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heets/sheet9.xml" ContentType="application/vnd.openxmlformats-officedocument.spreadsheetml.chart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195" windowHeight="8445"/>
  </bookViews>
  <sheets>
    <sheet name="Complete" sheetId="1" r:id="rId1"/>
    <sheet name="Downregulated" sheetId="2" r:id="rId2"/>
    <sheet name="Upregulated" sheetId="3" r:id="rId3"/>
    <sheet name="AlphaComplete" sheetId="4" r:id="rId4"/>
    <sheet name="Organized Upreg" sheetId="5" r:id="rId5"/>
    <sheet name="Organized Downreg" sheetId="6" r:id="rId6"/>
    <sheet name="CytP450" sheetId="20" r:id="rId7"/>
    <sheet name="CytP450Bar" sheetId="21" r:id="rId8"/>
    <sheet name="Phase1" sheetId="7" r:id="rId9"/>
    <sheet name="RespirationDR" sheetId="22" r:id="rId10"/>
    <sheet name="Phase2" sheetId="8" r:id="rId11"/>
    <sheet name="GST" sheetId="12" r:id="rId12"/>
    <sheet name="glycosyl-" sheetId="13" r:id="rId13"/>
    <sheet name="Glucosyl-" sheetId="14" r:id="rId14"/>
    <sheet name="DNADR" sheetId="23" r:id="rId15"/>
    <sheet name="Phase3" sheetId="9" r:id="rId16"/>
    <sheet name="ATP&amp;ABC" sheetId="15" r:id="rId17"/>
    <sheet name="OtherInduced" sheetId="10" r:id="rId18"/>
    <sheet name="PieofOtherInduced" sheetId="18" r:id="rId19"/>
    <sheet name="Sheet4" sheetId="16" r:id="rId20"/>
  </sheets>
  <calcPr calcId="125725"/>
</workbook>
</file>

<file path=xl/calcChain.xml><?xml version="1.0" encoding="utf-8"?>
<calcChain xmlns="http://schemas.openxmlformats.org/spreadsheetml/2006/main">
  <c r="D129" i="8"/>
  <c r="D128"/>
  <c r="D127"/>
  <c r="D126"/>
  <c r="D125"/>
  <c r="D130"/>
  <c r="B131"/>
  <c r="A173"/>
  <c r="B291" i="6"/>
  <c r="C291"/>
  <c r="D291"/>
  <c r="A298"/>
  <c r="A297"/>
  <c r="A296"/>
  <c r="A295"/>
  <c r="D298"/>
  <c r="D297"/>
  <c r="D296"/>
  <c r="D295"/>
  <c r="B300"/>
  <c r="D292"/>
  <c r="C292"/>
  <c r="B292"/>
  <c r="A292"/>
  <c r="B290"/>
  <c r="C290"/>
  <c r="D290"/>
  <c r="A290"/>
  <c r="D183" i="9"/>
  <c r="D182"/>
  <c r="D181"/>
  <c r="D180"/>
  <c r="D179"/>
  <c r="B187"/>
  <c r="A107" i="3"/>
  <c r="A64" i="9"/>
  <c r="A61"/>
  <c r="F54" i="8"/>
  <c r="F51"/>
  <c r="E64" i="7"/>
  <c r="E65"/>
  <c r="E66"/>
  <c r="E67"/>
  <c r="E68"/>
  <c r="E69"/>
  <c r="E70"/>
  <c r="E63"/>
  <c r="C63"/>
  <c r="B63"/>
  <c r="G70" i="10"/>
  <c r="G75"/>
  <c r="G74"/>
  <c r="G71"/>
  <c r="G73"/>
  <c r="G72"/>
  <c r="G69"/>
  <c r="D77"/>
  <c r="A69"/>
  <c r="C64" i="8"/>
  <c r="D64"/>
  <c r="B64"/>
  <c r="C78"/>
  <c r="D78"/>
  <c r="B78"/>
  <c r="H47"/>
  <c r="H48"/>
  <c r="H46"/>
  <c r="C61" i="7"/>
  <c r="D61"/>
  <c r="B61"/>
</calcChain>
</file>

<file path=xl/sharedStrings.xml><?xml version="1.0" encoding="utf-8"?>
<sst xmlns="http://schemas.openxmlformats.org/spreadsheetml/2006/main" count="10351" uniqueCount="1468">
  <si>
    <t>transport</t>
  </si>
  <si>
    <t>Lipocalin-related protein and Bos/Can/Equ allergen</t>
  </si>
  <si>
    <t>PtpAffx.203040.1.S1_at</t>
  </si>
  <si>
    <t>triacylglycerol lipase activity</t>
  </si>
  <si>
    <t>lipid metabolism</t>
  </si>
  <si>
    <t>Ptp.5198.1.S1_at</t>
  </si>
  <si>
    <t>UBQ4 (ubiquitin 4); protein binding</t>
  </si>
  <si>
    <t>PtpAffx.123151.1.A1_at</t>
  </si>
  <si>
    <t>PtpAffx.61027.6.A1_a_at</t>
  </si>
  <si>
    <t>urate oxidase activity</t>
  </si>
  <si>
    <t>purine base metabolism</t>
  </si>
  <si>
    <t>Uricase</t>
  </si>
  <si>
    <t>PtpAffx.249.54.A1_at</t>
  </si>
  <si>
    <t>wound response mRNA</t>
  </si>
  <si>
    <t>PtpAffx.10771.6.A1_at</t>
  </si>
  <si>
    <t>wound-responsive protein</t>
  </si>
  <si>
    <t>Ptp.1235.2.A1_a_at</t>
  </si>
  <si>
    <t>xx</t>
  </si>
  <si>
    <t>Ptp.1468.1.S1_s_at</t>
  </si>
  <si>
    <t>Ptp.2104.1.A1_s_at</t>
  </si>
  <si>
    <t>Ptp.2206.2.A1_a_at</t>
  </si>
  <si>
    <t>Ptp.2399.1.S1_s_at</t>
  </si>
  <si>
    <t>Ptp.2660.1.A1_at</t>
  </si>
  <si>
    <t>Ptp.2808.1.S1_at</t>
  </si>
  <si>
    <t>Ptp.2903.1.A1_s_at</t>
  </si>
  <si>
    <t>Ptp.2985.1.S1_at</t>
  </si>
  <si>
    <t>Ptp.3168.2.A1_at</t>
  </si>
  <si>
    <t>Ptp.3327.1.S1_at</t>
  </si>
  <si>
    <t>Ptp.3330.1.S1_at</t>
  </si>
  <si>
    <t>Ptp.3619.1.S1_at</t>
  </si>
  <si>
    <t>Ptp.3716.1.S1_at</t>
  </si>
  <si>
    <t>Ptp.3716.1.S1_s_at</t>
  </si>
  <si>
    <t>Ptp.3716.2.S1_s_at</t>
  </si>
  <si>
    <t>Ptp.3749.1.S1_at</t>
  </si>
  <si>
    <t>Ptp.3826.1.A1_s_at</t>
  </si>
  <si>
    <t>Ptp.3892.1.S1_at</t>
  </si>
  <si>
    <t>Ptp.3954.1.S1_s_at</t>
  </si>
  <si>
    <t>Ptp.4129.1.S1_at</t>
  </si>
  <si>
    <t>Ptp.4166.1.S1_at</t>
  </si>
  <si>
    <t>Ptp.4343.1.S1_at</t>
  </si>
  <si>
    <t>Ptp.4343.1.S1_s_at</t>
  </si>
  <si>
    <t>Ptp.4747.1.A1_x_at</t>
  </si>
  <si>
    <t>Ptp.4749.1.S1_at</t>
  </si>
  <si>
    <t>Ptp.5045.1.S1_at</t>
  </si>
  <si>
    <t>Ptp.517.1.S1_at</t>
  </si>
  <si>
    <t>Ptp.5240.1.S1_s_at</t>
  </si>
  <si>
    <t>Ptp.5900.2.S1_at</t>
  </si>
  <si>
    <t>Ptp.5909.1.S1_x_at</t>
  </si>
  <si>
    <t>Ptp.5926.2.S1_at</t>
  </si>
  <si>
    <t>Ptp.5929.1.S1_at</t>
  </si>
  <si>
    <t>Ptp.5929.1.S1_s_at</t>
  </si>
  <si>
    <t>Ptp.6091.1.S1_at</t>
  </si>
  <si>
    <t>Ptp.6218.1.S1_at</t>
  </si>
  <si>
    <t>Ptp.6364.1.S1_at</t>
  </si>
  <si>
    <t>Ptp.6420.1.S1_at</t>
  </si>
  <si>
    <t>Ptp.7207.1.S1_at</t>
  </si>
  <si>
    <t>Ptp.7258.1.A1_at</t>
  </si>
  <si>
    <t>Ptp.7340.1.S1_at</t>
  </si>
  <si>
    <t>Ptp.7511.2.S1_a_at</t>
  </si>
  <si>
    <t>Ptp.7515.1.S1_s_at</t>
  </si>
  <si>
    <t>Ptp.7599.2.S1_a_at</t>
  </si>
  <si>
    <t>Ptp.7653.2.S1_at</t>
  </si>
  <si>
    <t>Ptp.7696.1.S1_at</t>
  </si>
  <si>
    <t>Ptp.7966.1.S1_s_at</t>
  </si>
  <si>
    <t>PtpAffx.101922.1.A1_at</t>
  </si>
  <si>
    <t>PtpAffx.102081.1.A1_at</t>
  </si>
  <si>
    <t>PtpAffx.10247.2.S1_at</t>
  </si>
  <si>
    <t>PtpAffx.105087.1.S1_at</t>
  </si>
  <si>
    <t>PtpAffx.107431.1.A1_at</t>
  </si>
  <si>
    <t>PtpAffx.107571.1.A1_s_at</t>
  </si>
  <si>
    <t>PtpAffx.108012.1.A1_at</t>
  </si>
  <si>
    <t>PtpAffx.108074.1.A1_at</t>
  </si>
  <si>
    <t>PtpAffx.108686.1.A1_at</t>
  </si>
  <si>
    <t>PtpAffx.111457.1.S1_at</t>
  </si>
  <si>
    <t>PtpAffx.112057.1.S1_s_at</t>
  </si>
  <si>
    <t>PtpAffx.113677.1.S1_at</t>
  </si>
  <si>
    <t>PtpAffx.114251.1.A1_at</t>
  </si>
  <si>
    <t>PtpAffx.114321.1.A1_at</t>
  </si>
  <si>
    <t>PtpAffx.114324.1.A1_at</t>
  </si>
  <si>
    <t>PtpAffx.114469.1.A1_at</t>
  </si>
  <si>
    <t>PtpAffx.114653.1.A1_at</t>
  </si>
  <si>
    <t>PtpAffx.114735.1.A1_at</t>
  </si>
  <si>
    <t>PtpAffx.11493.1.S1_at</t>
  </si>
  <si>
    <t>PtpAffx.115091.1.A1_at</t>
  </si>
  <si>
    <t>PtpAffx.11511.2.S1_s_at</t>
  </si>
  <si>
    <t>PtpAffx.11535.2.A1_s_at</t>
  </si>
  <si>
    <t>PtpAffx.11633.1.A1_at</t>
  </si>
  <si>
    <t>PtpAffx.116747.1.A1_at</t>
  </si>
  <si>
    <t>PtpAffx.11691.1.S1_at</t>
  </si>
  <si>
    <t>PtpAffx.117004.2.S1_a_at</t>
  </si>
  <si>
    <t>PtpAffx.117893.1.S1_at</t>
  </si>
  <si>
    <t>PtpAffx.119501.1.A1_s_at</t>
  </si>
  <si>
    <t>PtpAffx.11994.2.A1_at</t>
  </si>
  <si>
    <t>PtpAffx.120834.1.A1_at</t>
  </si>
  <si>
    <t>PtpAffx.120896.1.A1_at</t>
  </si>
  <si>
    <t>PtpAffx.121447.1.S1_at</t>
  </si>
  <si>
    <t>PtpAffx.125484.1.S1_at</t>
  </si>
  <si>
    <t>xxx</t>
  </si>
  <si>
    <t>PtpAffx.126789.1.S1_at</t>
  </si>
  <si>
    <t>PtpAffx.126979.1.A1_at</t>
  </si>
  <si>
    <t>PtpAffx.127054.1.A1_at</t>
  </si>
  <si>
    <t>PtpAffx.127135.1.A1_at</t>
  </si>
  <si>
    <t>PtpAffx.127951.1.A1_at</t>
  </si>
  <si>
    <t>PtpAffx.129974.1.S1_s_at</t>
  </si>
  <si>
    <t>PtpAffx.130549.1.S1_at</t>
  </si>
  <si>
    <t>PtpAffx.131860.1.S1_at</t>
  </si>
  <si>
    <t>PtpAffx.13344.3.S1_s_at</t>
  </si>
  <si>
    <t>PtpAffx.1352.3.A1_s_at</t>
  </si>
  <si>
    <t>PtpAffx.136901.1.S1_at</t>
  </si>
  <si>
    <t>PtpAffx.14027.1.S1_at</t>
  </si>
  <si>
    <t>PtpAffx.14065.1.A1_a_at</t>
  </si>
  <si>
    <t>PtpAffx.141217.1.A1_at</t>
  </si>
  <si>
    <t>PtpAffx.141337.1.S1_at</t>
  </si>
  <si>
    <t>PtpAffx.142297.1.S1_at</t>
  </si>
  <si>
    <t>PtpAffx.142669.1.S1_s_at</t>
  </si>
  <si>
    <t>PtpAffx.14337.2.A1_at</t>
  </si>
  <si>
    <t>PtpAffx.145296.1.A1_a_at</t>
  </si>
  <si>
    <t>PtpAffx.145571.1.S1_at</t>
  </si>
  <si>
    <t>PtpAffx.146175.1.S1_at</t>
  </si>
  <si>
    <t>PtpAffx.146388.1.A1_at</t>
  </si>
  <si>
    <t>PtpAffx.14645.1.S1_at</t>
  </si>
  <si>
    <t>PtpAffx.146622.1.A1_at</t>
  </si>
  <si>
    <t>PtpAffx.146768.1.A1_a_at</t>
  </si>
  <si>
    <t>PtpAffx.147049.1.A1_at</t>
  </si>
  <si>
    <t>PtpAffx.149231.1.S1_a_at</t>
  </si>
  <si>
    <t>PtpAffx.149231.2.A1_at</t>
  </si>
  <si>
    <t>PtpAffx.149231.3.S1_at</t>
  </si>
  <si>
    <t>PtpAffx.149533.1.A1_at</t>
  </si>
  <si>
    <t>PtpAffx.15005.1.S1_at</t>
  </si>
  <si>
    <t>PtpAffx.15008.1.S1_at</t>
  </si>
  <si>
    <t>PtpAffx.1501.2.S1_at</t>
  </si>
  <si>
    <t>PtpAffx.15038.1.A1_a_at</t>
  </si>
  <si>
    <t>PtpAffx.15038.1.A1_at</t>
  </si>
  <si>
    <t>PtpAffx.15038.2.S1_a_at</t>
  </si>
  <si>
    <t>PtpAffx.15038.3.S1_a_at</t>
  </si>
  <si>
    <t>PtpAffx.15038.3.S1_at</t>
  </si>
  <si>
    <t>PtpAffx.15038.4.S1_at</t>
  </si>
  <si>
    <t>PtpAffx.151368.1.S1_at</t>
  </si>
  <si>
    <t>root nodule protein</t>
  </si>
  <si>
    <t>chloroplast</t>
  </si>
  <si>
    <t>chloroplast envelope membrane protein</t>
  </si>
  <si>
    <t>glycosyl transferase</t>
  </si>
  <si>
    <t>glucosyl transferase</t>
  </si>
  <si>
    <t>DNA binding;  N-methyltransferase activity</t>
  </si>
  <si>
    <t>N-6 Adenine-specific DNA methylase</t>
  </si>
  <si>
    <t>auxin</t>
  </si>
  <si>
    <t>stress response</t>
  </si>
  <si>
    <t>oxidase</t>
  </si>
  <si>
    <t>MLO family protein</t>
  </si>
  <si>
    <t>FAD</t>
  </si>
  <si>
    <t>Zero-8LT2</t>
  </si>
  <si>
    <t>Zero-8GT2</t>
  </si>
  <si>
    <t>Zero-24LT2</t>
  </si>
  <si>
    <t>Zero-24GT2</t>
  </si>
  <si>
    <t>Zero-48LT2</t>
  </si>
  <si>
    <t>Zero-48GT2</t>
  </si>
  <si>
    <t>PtpAffx.151954.1.S1_a_at</t>
  </si>
  <si>
    <t>PtpAffx.151954.1.S1_at</t>
  </si>
  <si>
    <t>PtpAffx.151954.3.S1_a_at</t>
  </si>
  <si>
    <t>PtpAffx.153007.1.A1_at</t>
  </si>
  <si>
    <t>PtpAffx.153962.1.A1_at</t>
  </si>
  <si>
    <t>PtpAffx.154120.1.A1_at</t>
  </si>
  <si>
    <t>PtpAffx.154167.1.A1_at</t>
  </si>
  <si>
    <t>PtpAffx.154539.1.S1_s_at</t>
  </si>
  <si>
    <t>PtpAffx.156807.1.S1_at</t>
  </si>
  <si>
    <t>PtpAffx.157551.1.S1_s_at</t>
  </si>
  <si>
    <t>PtpAffx.157667.1.S1_s_at</t>
  </si>
  <si>
    <t>PtpAffx.158361.1.S1_at</t>
  </si>
  <si>
    <t>PtpAffx.158865.1.S1_at</t>
  </si>
  <si>
    <t>PtpAffx.159519.1.A1_at</t>
  </si>
  <si>
    <t>PtpAffx.16061.2.S1_at</t>
  </si>
  <si>
    <t>PtpAffx.16113.1.S1_at</t>
  </si>
  <si>
    <t>PtpAffx.161852.1.A1_at</t>
  </si>
  <si>
    <t>PtpAffx.16253.1.S1_at</t>
  </si>
  <si>
    <t>PtpAffx.163141.1.S1_s_at</t>
  </si>
  <si>
    <t>PtpAffx.163372.1.S1_s_at</t>
  </si>
  <si>
    <t>PtpAffx.16359.1.A1_at</t>
  </si>
  <si>
    <t>PtpAffx.16538.1.S1_at</t>
  </si>
  <si>
    <t>PtpAffx.16538.2.A1_a_at</t>
  </si>
  <si>
    <t>PtpAffx.18011.2.A1_at</t>
  </si>
  <si>
    <t>PtpAffx.18283.1.S1_at</t>
  </si>
  <si>
    <t>PtpAffx.19128.1.S1_at</t>
  </si>
  <si>
    <t>PtpAffx.200047.1.S1_at</t>
  </si>
  <si>
    <t>PtpAffx.200095.1.S1_at</t>
  </si>
  <si>
    <t>PtpAffx.200181.1.S1_at</t>
  </si>
  <si>
    <t>ETHYLENE-INSENSITIVE3E (EIN3E) primary transcription factor, predicted CDS</t>
  </si>
  <si>
    <t>PtpAffx.200248.1.S1_at</t>
  </si>
  <si>
    <t>PtpAffx.200367.1.S1_at</t>
  </si>
  <si>
    <t>PtpAffx.200367.1.S1_x_at</t>
  </si>
  <si>
    <t>PtpAffx.200436.1.S1_at</t>
  </si>
  <si>
    <t>PtpAffx.200496.1.S1_at</t>
  </si>
  <si>
    <t>PtpAffx.200686.1.S1_at</t>
  </si>
  <si>
    <t>PtpAffx.200903.1.S1_at</t>
  </si>
  <si>
    <t>PtpAffx.200906.1.S1_at</t>
  </si>
  <si>
    <t>PtpAffx.200907.1.S1_at</t>
  </si>
  <si>
    <t>PtpAffx.201133.1.S1_at</t>
  </si>
  <si>
    <t>PtpAffx.201195.1.S1_at</t>
  </si>
  <si>
    <t>PtpAffx.201243.1.S1_at</t>
  </si>
  <si>
    <t>PtpAffx.201333.1.S1_at</t>
  </si>
  <si>
    <t>PtpAffx.201509.1.S1_s_at</t>
  </si>
  <si>
    <t>PtpAffx.201650.1.S1_at</t>
  </si>
  <si>
    <t>PtpAffx.201773.1.S1_at</t>
  </si>
  <si>
    <t>PtpAffx.201786.1.S1_at</t>
  </si>
  <si>
    <t>PtpAffx.20208.2.A1_at</t>
  </si>
  <si>
    <t>PtpAffx.202233.1.S1_at</t>
  </si>
  <si>
    <t>PtpAffx.202322.1.S1_at</t>
  </si>
  <si>
    <t>PtpAffx.202322.1.S1_s_at</t>
  </si>
  <si>
    <t>PtpAffx.202745.1.S1_at</t>
  </si>
  <si>
    <t>PtpAffx.202885.1.S1_at</t>
  </si>
  <si>
    <t>PtpAffx.202885.1.S1_s_at</t>
  </si>
  <si>
    <t>PtpAffx.202943.1.S1_s_at</t>
  </si>
  <si>
    <t>PtpAffx.202989.1.S1_s_at</t>
  </si>
  <si>
    <t>PtpAffx.202994.1.S1_at</t>
  </si>
  <si>
    <t>PtpAffx.203009.1.S1_at</t>
  </si>
  <si>
    <t>PtpAffx.203073.1.S1_at</t>
  </si>
  <si>
    <t>PtpAffx.203159.1.S1_s_at</t>
  </si>
  <si>
    <t>PtpAffx.20349.1.A1_at</t>
  </si>
  <si>
    <t>PtpAffx.203618.1.S1_at</t>
  </si>
  <si>
    <t>PtpAffx.204112.1.S1_at</t>
  </si>
  <si>
    <t>PtpAffx.204200.1.S1_at</t>
  </si>
  <si>
    <t>PtpAffx.204613.1.S1_at</t>
  </si>
  <si>
    <t>PtpAffx.204639.1.S1_at</t>
  </si>
  <si>
    <t>PtpAffx.204743.1.S1_at</t>
  </si>
  <si>
    <t>PtpAffx.204746.1.S1_at</t>
  </si>
  <si>
    <t>PtpAffx.205168.1.S1_at</t>
  </si>
  <si>
    <t>PtpAffx.205523.1.S1_at</t>
  </si>
  <si>
    <t>PtpAffx.205595.1.S1_at</t>
  </si>
  <si>
    <t>PtpAffx.205672.1.S1_at</t>
  </si>
  <si>
    <t>PtpAffx.205878.1.S1_at</t>
  </si>
  <si>
    <t>PtpAffx.206000.1.S1_at</t>
  </si>
  <si>
    <t>PtpAffx.206225.1.S1_at</t>
  </si>
  <si>
    <t>PtpAffx.206345.1.S1_at</t>
  </si>
  <si>
    <t>PtpAffx.206419.1.S1_at</t>
  </si>
  <si>
    <t>PtpAffx.206422.1.S1_s_at</t>
  </si>
  <si>
    <t>PtpAffx.206584.1.S1_at</t>
  </si>
  <si>
    <t>PtpAffx.206599.1.S1_at</t>
  </si>
  <si>
    <t>PtpAffx.206771.1.S1_at</t>
  </si>
  <si>
    <t>PtpAffx.206798.1.S1_at</t>
  </si>
  <si>
    <t>PtpAffx.207164.1.S1_at</t>
  </si>
  <si>
    <t>PtpAffx.207294.1.S1_at</t>
  </si>
  <si>
    <t>PtpAffx.207438.1.S1_at</t>
  </si>
  <si>
    <t>PtpAffx.20744.1.A1_at</t>
  </si>
  <si>
    <t>PtpAffx.207591.1.S1_x_at</t>
  </si>
  <si>
    <t>PtpAffx.207593.1.S1_at</t>
  </si>
  <si>
    <t>PtpAffx.207593.1.S1_x_at</t>
  </si>
  <si>
    <t>PtpAffx.207610.1.S1_at</t>
  </si>
  <si>
    <t>PtpAffx.207691.1.S1_at</t>
  </si>
  <si>
    <t>PtpAffx.207707.1.S1_at</t>
  </si>
  <si>
    <t>PtpAffx.207772.1.S1_s_at</t>
  </si>
  <si>
    <t>PtpAffx.20781.1.S1_at</t>
  </si>
  <si>
    <t>PtpAffx.208008.1.S1_at</t>
  </si>
  <si>
    <t>PtpAffx.20806.1.S1_at</t>
  </si>
  <si>
    <t>PtpAffx.208082.1.S1_at</t>
  </si>
  <si>
    <t>PtpAffx.208235.1.S1_at</t>
  </si>
  <si>
    <t>PtpAffx.208290.1.S1_at</t>
  </si>
  <si>
    <t>PtpAffx.208291.1.S1_at</t>
  </si>
  <si>
    <t>PtpAffx.208587.1.S1_at</t>
  </si>
  <si>
    <t>PtpAffx.208673.1.S1_at</t>
  </si>
  <si>
    <t>PtpAffx.208686.1.S1_at</t>
  </si>
  <si>
    <t>PtpAffx.208861.1.S1_at</t>
  </si>
  <si>
    <t>PtpAffx.209035.1.S1_at</t>
  </si>
  <si>
    <t>PtpAffx.209192.1.S1_at</t>
  </si>
  <si>
    <t>PtpAffx.209403.1.S1_at</t>
  </si>
  <si>
    <t>PtpAffx.209408.1.S1_at</t>
  </si>
  <si>
    <t>PtpAffx.209529.1.S1_at</t>
  </si>
  <si>
    <t>PtpAffx.209705.1.S1_at</t>
  </si>
  <si>
    <t>PtpAffx.209762.1.S1_at</t>
  </si>
  <si>
    <t>PtpAffx.210227.1.S1_at</t>
  </si>
  <si>
    <t>PtpAffx.210291.1.S1_x_at</t>
  </si>
  <si>
    <t>PtpAffx.210308.1.S1_at</t>
  </si>
  <si>
    <t>PtpAffx.210548.1.S1_at</t>
  </si>
  <si>
    <t>PtpAffx.210548.1.S1_x_at</t>
  </si>
  <si>
    <t>PtpAffx.210568.1.S1_at</t>
  </si>
  <si>
    <t>PtpAffx.210646.1.S1_at</t>
  </si>
  <si>
    <t>PtpAffx.210646.1.S1_s_at</t>
  </si>
  <si>
    <t>PtpAffx.210648.1.S1_at</t>
  </si>
  <si>
    <t>PtpAffx.210771.1.S1_at</t>
  </si>
  <si>
    <t>PtpAffx.210886.1.S1_at</t>
  </si>
  <si>
    <t>PtpAffx.210972.1.S1_at</t>
  </si>
  <si>
    <t>PtpAffx.211015.1.S1_at</t>
  </si>
  <si>
    <t>PtpAffx.211140.1.S1_s_at</t>
  </si>
  <si>
    <t>PtpAffx.211145.1.S1_at</t>
  </si>
  <si>
    <t>PtpAffx.211209.1.S1_at</t>
  </si>
  <si>
    <t>PtpAffx.211426.1.S1_at</t>
  </si>
  <si>
    <t>PtpAffx.211445.1.S1_s_at</t>
  </si>
  <si>
    <t>PtpAffx.211449.1.S1_at</t>
  </si>
  <si>
    <t>PtpAffx.211449.1.S1_x_at</t>
  </si>
  <si>
    <t>PtpAffx.211465.1.S1_at</t>
  </si>
  <si>
    <t>PtpAffx.211728.1.S1_at</t>
  </si>
  <si>
    <t>PtpAffx.211742.1.S1_at</t>
  </si>
  <si>
    <t>PtpAffx.211803.1.S1_at</t>
  </si>
  <si>
    <t>PtpAffx.211997.1.S1_s_at</t>
  </si>
  <si>
    <t>PtpAffx.212138.1.S1_at</t>
  </si>
  <si>
    <t>PtpAffx.21218.1.S1_at</t>
  </si>
  <si>
    <t>PtpAffx.212375.1.S1_at</t>
  </si>
  <si>
    <t>PtpAffx.212649.1.S1_at</t>
  </si>
  <si>
    <t>PtpAffx.212776.1.S1_at</t>
  </si>
  <si>
    <t>PtpAffx.212836.1.S1_at</t>
  </si>
  <si>
    <t>PtpAffx.212948.1.S1_at</t>
  </si>
  <si>
    <t>PtpAffx.212972.1.S1_at</t>
  </si>
  <si>
    <t>PtpAffx.2130.1.A1_at</t>
  </si>
  <si>
    <t>PtpAffx.2130.2.A1_at</t>
  </si>
  <si>
    <t>PtpAffx.213152.1.S1_at</t>
  </si>
  <si>
    <t>PtpAffx.213152.1.S1_x_at</t>
  </si>
  <si>
    <t>PtpAffx.213174.1.S1_at</t>
  </si>
  <si>
    <t>PtpAffx.213174.1.S1_x_at</t>
  </si>
  <si>
    <t>PtpAffx.213200.1.S1_at</t>
  </si>
  <si>
    <t>PtpAffx.213619.1.S1_s_at</t>
  </si>
  <si>
    <t>PtpAffx.213748.1.S1_at</t>
  </si>
  <si>
    <t>PtpAffx.213765.1.S1_at</t>
  </si>
  <si>
    <t>PtpAffx.213837.1.S1_at</t>
  </si>
  <si>
    <t>PtpAffx.214165.1.S1_at</t>
  </si>
  <si>
    <t>PtpAffx.214174.1.S1_at</t>
  </si>
  <si>
    <t>PtpAffx.214510.1.S1_at</t>
  </si>
  <si>
    <t>PtpAffx.214731.1.S1_x_at</t>
  </si>
  <si>
    <t>PtpAffx.214746.1.S1_s_at</t>
  </si>
  <si>
    <t>PtpAffx.214766.1.S1_x_at</t>
  </si>
  <si>
    <t>PtpAffx.214830.1.S1_at</t>
  </si>
  <si>
    <t>PtpAffx.215115.1.S1_at</t>
  </si>
  <si>
    <t>PtpAffx.215115.1.S1_s_at</t>
  </si>
  <si>
    <t>PtpAffx.215115.1.S1_x_at</t>
  </si>
  <si>
    <t>PtpAffx.215168.1.S1_x_at</t>
  </si>
  <si>
    <t>PtpAffx.21524.1.S1_at</t>
  </si>
  <si>
    <t>PtpAffx.215260.1.S1_at</t>
  </si>
  <si>
    <t>PtpAffx.215261.1.S1_at</t>
  </si>
  <si>
    <t>PtpAffx.215318.1.S1_s_at</t>
  </si>
  <si>
    <t>PtpAffx.215486.1.S1_at</t>
  </si>
  <si>
    <t>PtpAffx.215621.1.S1_at</t>
  </si>
  <si>
    <t>PtpAffx.215782.1.S1_at</t>
  </si>
  <si>
    <t>PtpAffx.215884.1.S1_x_at</t>
  </si>
  <si>
    <t>PtpAffx.215916.1.S1_at</t>
  </si>
  <si>
    <t>PtpAffx.215993.1.S1_at</t>
  </si>
  <si>
    <t>PtpAffx.216366.1.S1_at</t>
  </si>
  <si>
    <t>PtpAffx.216648.1.S1_at</t>
  </si>
  <si>
    <t>PtpAffx.216683.1.S1_s_at</t>
  </si>
  <si>
    <t>PtpAffx.216900.1.S1_s_at</t>
  </si>
  <si>
    <t>PtpAffx.217421.1.S1_at</t>
  </si>
  <si>
    <t>PtpAffx.217542.1.S1_s_at</t>
  </si>
  <si>
    <t>PtpAffx.217570.1.S1_at</t>
  </si>
  <si>
    <t>PtpAffx.217792.1.S1_s_at</t>
  </si>
  <si>
    <t>PtpAffx.217867.1.S1_at</t>
  </si>
  <si>
    <t>PtpAffx.218949.1.S1_x_at</t>
  </si>
  <si>
    <t>PtpAffx.218985.1.S1_x_at</t>
  </si>
  <si>
    <t>PtpAffx.219016.1.S1_at</t>
  </si>
  <si>
    <t>PtpAffx.219698.1.S1_at</t>
  </si>
  <si>
    <t>PtpAffx.219836.1.S1_at</t>
  </si>
  <si>
    <t>PtpAffx.219938.1.S1_at</t>
  </si>
  <si>
    <t>PtpAffx.219965.1.S1_at</t>
  </si>
  <si>
    <t>PtpAffx.219965.1.S1_s_at</t>
  </si>
  <si>
    <t>PtpAffx.220040.1.S1_at</t>
  </si>
  <si>
    <t>PtpAffx.220454.1.S1_at</t>
  </si>
  <si>
    <t>PtpAffx.220467.1.S1_at</t>
  </si>
  <si>
    <t>PtpAffx.220850.1.S1_at</t>
  </si>
  <si>
    <t>PtpAffx.22099.1.S1_a_at</t>
  </si>
  <si>
    <t>PtpAffx.221015.1.S1_x_at</t>
  </si>
  <si>
    <t>PtpAffx.221056.1.S1_at</t>
  </si>
  <si>
    <t>PtpAffx.221296.1.S1_at</t>
  </si>
  <si>
    <t>PtpAffx.221302.1.S1_at</t>
  </si>
  <si>
    <t>PtpAffx.221310.1.S1_s_at</t>
  </si>
  <si>
    <t>PtpAffx.221437.1.S1_s_at</t>
  </si>
  <si>
    <t>PtpAffx.22152.1.S1_at</t>
  </si>
  <si>
    <t>PtpAffx.221593.1.S1_at</t>
  </si>
  <si>
    <t>PtpAffx.221641.1.S1_at</t>
  </si>
  <si>
    <t>PtpAffx.221648.1.S1_at</t>
  </si>
  <si>
    <t>PtpAffx.221648.1.S1_x_at</t>
  </si>
  <si>
    <t>PtpAffx.221955.1.S1_at</t>
  </si>
  <si>
    <t>PtpAffx.222086.1.S1_x_at</t>
  </si>
  <si>
    <t>PtpAffx.222217.1.S1_at</t>
  </si>
  <si>
    <t>PtpAffx.222296.1.S1_at</t>
  </si>
  <si>
    <t>PtpAffx.222345.1.S1_at</t>
  </si>
  <si>
    <t>PtpAffx.222443.1.S1_at</t>
  </si>
  <si>
    <t>PtpAffx.222475.1.S1_at</t>
  </si>
  <si>
    <t>PtpAffx.222702.1.S1_at</t>
  </si>
  <si>
    <t>PtpAffx.223094.1.S1_s_at</t>
  </si>
  <si>
    <t>PtpAffx.224010.1.S1_s_at</t>
  </si>
  <si>
    <t>PtpAffx.224022.1.S1_s_at</t>
  </si>
  <si>
    <t>PtpAffx.224119.1.S1_at</t>
  </si>
  <si>
    <t>PtpAffx.224466.1.S1_at</t>
  </si>
  <si>
    <t>PtpAffx.225364.1.S1_at</t>
  </si>
  <si>
    <t>PtpAffx.22552.1.S1_at</t>
  </si>
  <si>
    <t>PtpAffx.225623.1.S1_at</t>
  </si>
  <si>
    <t>PtpAffx.225705.1.S1_s_at</t>
  </si>
  <si>
    <t>PtpAffx.225705.1.S1_x_at</t>
  </si>
  <si>
    <t>PtpAffx.22770.1.S1_at</t>
  </si>
  <si>
    <t>PtpAffx.22778.1.A1_at</t>
  </si>
  <si>
    <t>PtpAffx.2385.2.A1_a_at</t>
  </si>
  <si>
    <t>PtpAffx.24519.1.A1_at</t>
  </si>
  <si>
    <t>PtpAffx.24520.1.A1_a_at</t>
  </si>
  <si>
    <t>PtpAffx.24520.1.A1_at</t>
  </si>
  <si>
    <t>PtpAffx.249.173.S1_at</t>
  </si>
  <si>
    <t>PtpAffx.249.33.A1_at</t>
  </si>
  <si>
    <t>PtpAffx.249.74.S1_x_at</t>
  </si>
  <si>
    <t>PtpAffx.249.8.A2_s_at</t>
  </si>
  <si>
    <t>PtpAffx.249.88.S1_at</t>
  </si>
  <si>
    <t>PtpAffx.25697.1.S1_at</t>
  </si>
  <si>
    <t>PtpAffx.26214.1.A1_at</t>
  </si>
  <si>
    <t>PtpAffx.27718.2.S1_at</t>
  </si>
  <si>
    <t>PtpAffx.27882.1.S1_at</t>
  </si>
  <si>
    <t>PtpAffx.28083.1.S1_at</t>
  </si>
  <si>
    <t>PtpAffx.28507.1.S1_at</t>
  </si>
  <si>
    <t>PtpAffx.29169.1.A1_at</t>
  </si>
  <si>
    <t>PtpAffx.29235.1.A1_at</t>
  </si>
  <si>
    <t>PtpAffx.2951.2.S1_at</t>
  </si>
  <si>
    <t>PtpAffx.30221.1.A1_a_at</t>
  </si>
  <si>
    <t>PtpAffx.30221.3.S1_s_at</t>
  </si>
  <si>
    <t>PtpAffx.30445.1.A1_at</t>
  </si>
  <si>
    <t>PtpAffx.30445.2.S1_a_at</t>
  </si>
  <si>
    <t>PtpAffx.30445.2.S1_at</t>
  </si>
  <si>
    <t>PtpAffx.30481.1.A1_at</t>
  </si>
  <si>
    <t>PtpAffx.30613.1.A1_at</t>
  </si>
  <si>
    <t>PtpAffx.30613.2.A1_a_at</t>
  </si>
  <si>
    <t>x</t>
  </si>
  <si>
    <t>PtpAffx.30613.2.A1_at</t>
  </si>
  <si>
    <t>PtpAffx.31317.1.A1_at</t>
  </si>
  <si>
    <t>PtpAffx.31494.1.A1_at</t>
  </si>
  <si>
    <t>PtpAffx.32089.1.A1_a_at</t>
  </si>
  <si>
    <t>PtpAffx.3256.1.S1_at</t>
  </si>
  <si>
    <t>PtpAffx.32661.1.S1_a_at</t>
  </si>
  <si>
    <t>PtpAffx.32661.1.S1_at</t>
  </si>
  <si>
    <t>PtpAffx.32661.2.S1_a_at</t>
  </si>
  <si>
    <t>PtpAffx.33976.1.S1_at</t>
  </si>
  <si>
    <t>PtpAffx.34213.1.S1_at</t>
  </si>
  <si>
    <t>PtpAffx.3527.1.S1_at</t>
  </si>
  <si>
    <t>PtpAffx.3575.1.S1_a_at</t>
  </si>
  <si>
    <t>PtpAffx.3575.2.S1_at</t>
  </si>
  <si>
    <t>PtpAffx.3630.2.S1_at</t>
  </si>
  <si>
    <t>PtpAffx.36744.1.A1_at</t>
  </si>
  <si>
    <t>PtpAffx.37337.1.A1_at</t>
  </si>
  <si>
    <t>PtpAffx.37406.1.S1_at</t>
  </si>
  <si>
    <t>PtpAffx.3745.2.S1_a_at</t>
  </si>
  <si>
    <t>PtpAffx.3745.2.S1_at</t>
  </si>
  <si>
    <t>PtpAffx.38067.1.A1_at</t>
  </si>
  <si>
    <t>PtpAffx.39214.1.A1_at</t>
  </si>
  <si>
    <t>PtpAffx.3973.1.A1_at</t>
  </si>
  <si>
    <t>PtpAffx.41437.1.A1_at</t>
  </si>
  <si>
    <t>PtpAffx.4170.1.A1_x_at</t>
  </si>
  <si>
    <t>PtpAffx.43742.1.S1_at</t>
  </si>
  <si>
    <t>PtpAffx.43827.1.A1_at</t>
  </si>
  <si>
    <t>PtpAffx.43830.1.A1_at</t>
  </si>
  <si>
    <t>PtpAffx.44290.1.A1_at</t>
  </si>
  <si>
    <t>PtpAffx.4473.6.S1_at</t>
  </si>
  <si>
    <t>PtpAffx.46270.1.S1_at</t>
  </si>
  <si>
    <t>PtpAffx.46493.2.S1_at</t>
  </si>
  <si>
    <t>PtpAffx.46526.1.S1_at</t>
  </si>
  <si>
    <t>PtpAffx.50193.1.A1_at</t>
  </si>
  <si>
    <t>PtpAffx.505.1.A1_at</t>
  </si>
  <si>
    <t>PtpAffx.50533.1.A1_s_at</t>
  </si>
  <si>
    <t>PtpAffx.5261.1.A1_at</t>
  </si>
  <si>
    <t>PtpAffx.5329.1.A1_s_at</t>
  </si>
  <si>
    <t>PtpAffx.5467.1.A1_at</t>
  </si>
  <si>
    <t>PtpAffx.5596.2.A1_a_at</t>
  </si>
  <si>
    <t>PtpAffx.56897.1.A1_at</t>
  </si>
  <si>
    <t>PtpAffx.57833.1.S1_at</t>
  </si>
  <si>
    <t>PtpAffx.58064.1.S1_at</t>
  </si>
  <si>
    <t>PtpAffx.58869.1.S1_at</t>
  </si>
  <si>
    <t>PtpAffx.59240.1.S1_at</t>
  </si>
  <si>
    <t>PtpAffx.59240.1.S1_s_at</t>
  </si>
  <si>
    <t>PtpAffx.59348.1.S1_at</t>
  </si>
  <si>
    <t>PtpAffx.59718.1.S1_at</t>
  </si>
  <si>
    <t>PtpAffx.60429.1.S1_a_at</t>
  </si>
  <si>
    <t>PtpAffx.60429.2.S1_a_at</t>
  </si>
  <si>
    <t>PtpAffx.608.2.A1_at</t>
  </si>
  <si>
    <t>PtpAffx.608.3.S1_a_at</t>
  </si>
  <si>
    <t>PtpAffx.608.3.S1_at</t>
  </si>
  <si>
    <t>PtpAffx.60868.1.S1_at</t>
  </si>
  <si>
    <t>PtpAffx.6101.1.S1_a_at</t>
  </si>
  <si>
    <t>PtpAffx.61285.1.A1_at</t>
  </si>
  <si>
    <t>PtpAffx.6190.1.S1_a_at</t>
  </si>
  <si>
    <t>PtpAffx.6190.1.S1_x_at</t>
  </si>
  <si>
    <t>PtpAffx.6190.2.S1_at</t>
  </si>
  <si>
    <t>PtpAffx.62539.1.A1_at</t>
  </si>
  <si>
    <t>PtpAffx.62756.1.A1_at</t>
  </si>
  <si>
    <t>PtpAffx.63395.1.A1_s_at</t>
  </si>
  <si>
    <t>PtpAffx.63727.1.A1_at</t>
  </si>
  <si>
    <t>PtpAffx.66132.1.S1_a_at</t>
  </si>
  <si>
    <t>PtpAffx.66734.1.S1_at</t>
  </si>
  <si>
    <t>PtpAffx.6692.6.S1_at</t>
  </si>
  <si>
    <t>PtpAffx.67985.2.S1_at</t>
  </si>
  <si>
    <t>PtpAffx.692.15.A1_a_at</t>
  </si>
  <si>
    <t>PtpAffx.692.17.S1_a_at</t>
  </si>
  <si>
    <t>PtpAffx.71191.1.S1_at</t>
  </si>
  <si>
    <t>PtpAffx.72308.1.S1_at</t>
  </si>
  <si>
    <t>PtpAffx.75514.1.A1_at</t>
  </si>
  <si>
    <t>PtpAffx.75566.2.A1_a_at</t>
  </si>
  <si>
    <t>PtpAffx.76877.1.S1_at</t>
  </si>
  <si>
    <t>PtpAffx.79577.1.A1_at</t>
  </si>
  <si>
    <t>PtpAffx.80352.1.S1_at</t>
  </si>
  <si>
    <t>PtpAffx.8177.1.S1_at</t>
  </si>
  <si>
    <t>PtpAffx.82804.1.A1_at</t>
  </si>
  <si>
    <t>PtpAffx.83321.1.A1_at</t>
  </si>
  <si>
    <t>PtpAffx.85855.1.S1_at</t>
  </si>
  <si>
    <t>PtpAffx.86209.1.S1_at</t>
  </si>
  <si>
    <t>PtpAffx.86734.1.S1_at</t>
  </si>
  <si>
    <t>PtpAffx.86923.1.A1_at</t>
  </si>
  <si>
    <t>PtpAffx.87145.1.A1_at</t>
  </si>
  <si>
    <t>PtpAffx.87980.1.A1_at</t>
  </si>
  <si>
    <t>PtpAffx.88591.1.A1_s_at</t>
  </si>
  <si>
    <t>PtpAffx.88702.1.A1_at</t>
  </si>
  <si>
    <t>PtpAffx.88710.1.A1_at</t>
  </si>
  <si>
    <t>PtpAffx.88956.1.A1_at</t>
  </si>
  <si>
    <t>PtpAffx.88983.3.A1_a_at</t>
  </si>
  <si>
    <t>PtpAffx.90520.1.S1_at</t>
  </si>
  <si>
    <t>PtpAffx.91656.1.S1_at</t>
  </si>
  <si>
    <t>PtpAffx.9204.2.A1_s_at</t>
  </si>
  <si>
    <t>PtpAffx.93131.1.S1_at</t>
  </si>
  <si>
    <t>PtpAffx.94680.1.A1_at</t>
  </si>
  <si>
    <t>PtpAffx.94975.1.A1_at</t>
  </si>
  <si>
    <t>PtpAffx.95100.1.A1_at</t>
  </si>
  <si>
    <t>PtpAffx.95417.1.A1_at</t>
  </si>
  <si>
    <t>PtpAffx.95443.1.A1_at</t>
  </si>
  <si>
    <t>PtpAffx.95473.1.A1_at</t>
  </si>
  <si>
    <t>PtpAffx.95571.1.A1_at</t>
  </si>
  <si>
    <t>PtpAffx.95937.1.A1_at</t>
  </si>
  <si>
    <t>PtpAffx.96247.1.S1_at</t>
  </si>
  <si>
    <t>PtpAffx.97290.1.A1_at</t>
  </si>
  <si>
    <t>PtpAffx.9877.1.S1_at</t>
  </si>
  <si>
    <t>PtpAffx.990.1.S1_at</t>
  </si>
  <si>
    <t>PtpAffx.13893.1.S1_at</t>
  </si>
  <si>
    <t>PtpAffx.11664.2.S1_at</t>
  </si>
  <si>
    <t>zinc finger</t>
  </si>
  <si>
    <t>PtpAffx.117819.1.S1_at</t>
  </si>
  <si>
    <t>PtpAffx.135947.2.A1_s_at</t>
  </si>
  <si>
    <t>PtpAffx.148855.1.S1_s_at</t>
  </si>
  <si>
    <t>PtpAffx.214420.1.S1_at</t>
  </si>
  <si>
    <t>PtpAffx.28701.2.S1_s_at</t>
  </si>
  <si>
    <t>PtpAffx.72203.3.S1_at</t>
  </si>
  <si>
    <t>PtpAffx.200369.1.S1_at</t>
  </si>
  <si>
    <t>zinc finger protein</t>
  </si>
  <si>
    <t>PtpAffx.209339.1.S1_s_at</t>
  </si>
  <si>
    <t>Zinc finger,</t>
  </si>
  <si>
    <t>PtpAffx.2363.3.A1_at</t>
  </si>
  <si>
    <t>Ptp.3327.1.S1_s_at</t>
  </si>
  <si>
    <t>Ptp.4050.13.A1_x_at</t>
  </si>
  <si>
    <t>metal ion binding</t>
  </si>
  <si>
    <t>Plant metallothionein, family 15</t>
  </si>
  <si>
    <t>Ptp.4130.1.S1_s_at</t>
  </si>
  <si>
    <t>Ptp.4218.1.S1_s_at</t>
  </si>
  <si>
    <t>Ptp.5289.1.S1_s_at</t>
  </si>
  <si>
    <t>Ptp.5980.3.A1_a_at</t>
  </si>
  <si>
    <t>Ptp.732.1.A1_at</t>
  </si>
  <si>
    <t>Ptp.7653.1.S1_s_at</t>
  </si>
  <si>
    <t>PtpAffx.10355.2.S1_at</t>
  </si>
  <si>
    <t>PtpAffx.10751.3.S1_at</t>
  </si>
  <si>
    <t>Auxin Efflux Carrier</t>
  </si>
  <si>
    <t>PtpAffx.13918.1.S1_at</t>
  </si>
  <si>
    <t>nodulation</t>
  </si>
  <si>
    <t>Early nodulin 93 ENOD93 protein</t>
  </si>
  <si>
    <t>PtpAffx.1564.1.A1_at</t>
  </si>
  <si>
    <t>PtpAffx.158231.1.A1_at</t>
  </si>
  <si>
    <t>UDP-glucose:anthocyanin 5-O-glucosyltransferase</t>
  </si>
  <si>
    <t>PtpAffx.200269.1.S1_at</t>
  </si>
  <si>
    <t>PtpAffx.203138.1.S1_at</t>
  </si>
  <si>
    <t>PtpAffx.205053.1.S1_at</t>
  </si>
  <si>
    <t>Mlo-related protein</t>
  </si>
  <si>
    <t>PtpAffx.208945.1.S1_at</t>
  </si>
  <si>
    <t>response to stress</t>
  </si>
  <si>
    <t>UspA</t>
  </si>
  <si>
    <t>PtpAffx.209615.1.S1_s_at</t>
  </si>
  <si>
    <t>PtpAffx.211624.1.S1_at</t>
  </si>
  <si>
    <t>PtpAffx.221586.1.S1_s_at</t>
  </si>
  <si>
    <t>Universal stress protein A</t>
  </si>
  <si>
    <t>PtpAffx.221688.1.S1_at</t>
  </si>
  <si>
    <t>PtpAffx.221962.1.S1_at</t>
  </si>
  <si>
    <t>PtpAffx.222544.1.S1_at</t>
  </si>
  <si>
    <t>cytochrome P450</t>
  </si>
  <si>
    <t>CYP721A7v2</t>
  </si>
  <si>
    <t>PtpAffx.223765.1.S1_s_at</t>
  </si>
  <si>
    <t>PtpAffx.225253.1.S1_at</t>
  </si>
  <si>
    <t>PtpAffx.249.74.S1_a_at</t>
  </si>
  <si>
    <t>PtpAffx.3287.1.S1_at</t>
  </si>
  <si>
    <t>PtpAffx.3575.1.S1_at</t>
  </si>
  <si>
    <t>PtpAffx.491.1.S1_s_at</t>
  </si>
  <si>
    <t>PtpAffx.55940.1.S1_at</t>
  </si>
  <si>
    <t>PtpAffx.60684.1.S1_at</t>
  </si>
  <si>
    <t>NAC domain protein,</t>
  </si>
  <si>
    <t>PtpAffx.70374.1.S1_at</t>
  </si>
  <si>
    <t>PtpAffx.80241.1.S1_at</t>
  </si>
  <si>
    <t>PtpAffx.95130.1.A1_s_at</t>
  </si>
  <si>
    <t>PtpAffx.99539.1.S1_at</t>
  </si>
  <si>
    <t>Probe ID</t>
  </si>
  <si>
    <t>Molecular</t>
  </si>
  <si>
    <t>Biological</t>
  </si>
  <si>
    <t>Gene Title</t>
  </si>
  <si>
    <t>Ptp.7279.1.A1_at</t>
  </si>
  <si>
    <t>5-methyltetrahydropteroyltriglutamate-homocysteine S-methyltransferase activity</t>
  </si>
  <si>
    <t>methionine biosynthesis</t>
  </si>
  <si>
    <t>5-methyltetrahydropteroyltriglutamate--homocysteine S-methyltransferase</t>
  </si>
  <si>
    <t>Ptp.7657.1.S1_at</t>
  </si>
  <si>
    <t>60S ribosomal protein L19-like protein</t>
  </si>
  <si>
    <t>PtpAffx.5423.2.A1_a_at</t>
  </si>
  <si>
    <t>6-phosphofructokinase activity</t>
  </si>
  <si>
    <t>glycolysis</t>
  </si>
  <si>
    <t>Phosphofructokinase</t>
  </si>
  <si>
    <t>PtpAffx.96963.1.S1_at</t>
  </si>
  <si>
    <t>PtpAffx.285.1.S1_at</t>
  </si>
  <si>
    <t>6-phosphofructokinase activity;  diphosphate-fructose-6-phosphate 1-phosphotransferase activity</t>
  </si>
  <si>
    <t>Phosphofructokinase;  Pyrophosphate-dependent phosphofructokinase PfpB</t>
  </si>
  <si>
    <t>PtpAffx.202717.1.S1_at</t>
  </si>
  <si>
    <t>ABC transporter family</t>
  </si>
  <si>
    <t>PtpAffx.219237.1.S1_at</t>
  </si>
  <si>
    <t>Ptp.6743.1.A1_at</t>
  </si>
  <si>
    <t>acetyl-CoA C-acyltransferase</t>
  </si>
  <si>
    <t>PtpAffx.98280.1.S1_at</t>
  </si>
  <si>
    <t>acetylglucosaminyltransferase activity</t>
  </si>
  <si>
    <t>membrane</t>
  </si>
  <si>
    <t>Glycosyl transferase, family 14</t>
  </si>
  <si>
    <t>PtpAffx.204357.1.S1_at</t>
  </si>
  <si>
    <t>acyl CoA reductase</t>
  </si>
  <si>
    <t>PtpAffx.205584.1.S1_at</t>
  </si>
  <si>
    <t>acyl-[acyl-carrier protein] desaturase activity;  oxidoreductase activity</t>
  </si>
  <si>
    <t>fatty acid metabolism</t>
  </si>
  <si>
    <t>Fatty acid desaturase, type 2</t>
  </si>
  <si>
    <t>PtpAffx.205584.1.S1_s_at</t>
  </si>
  <si>
    <t>PtpAffx.93735.1.S1_s_at</t>
  </si>
  <si>
    <t>Ptp.5761.1.S1_at</t>
  </si>
  <si>
    <t>alcohol dehydrogenase activity, zinc-dependent</t>
  </si>
  <si>
    <t>zinc ion binding</t>
  </si>
  <si>
    <t>Zinc-containing alcohol dehydrogenase</t>
  </si>
  <si>
    <t>PtpAffx.71061.2.S1_at</t>
  </si>
  <si>
    <t>PtpAffx.217860.1.S1_s_at</t>
  </si>
  <si>
    <t>alpha-amylase activity</t>
  </si>
  <si>
    <t>carbohydrate metabolism</t>
  </si>
  <si>
    <t>Glycoside hydrolase family 13</t>
  </si>
  <si>
    <t>PtpAffx.220653.1.S1_at</t>
  </si>
  <si>
    <t>Alu subfamily SQ sequence contamination warning entry</t>
  </si>
  <si>
    <t>PtpAffx.211410.1.S1_at</t>
  </si>
  <si>
    <t>amino acid binding</t>
  </si>
  <si>
    <t>metabolism</t>
  </si>
  <si>
    <t>Amino acid-binding ACT</t>
  </si>
  <si>
    <t>PtpAffx.204331.1.S1_at</t>
  </si>
  <si>
    <t>amino acid-polyamine transporter activity</t>
  </si>
  <si>
    <t>amino acid transport; membrane</t>
  </si>
  <si>
    <t>Amino acid/polyamine transporter II</t>
  </si>
  <si>
    <t>PtpAffx.208904.1.S1_at</t>
  </si>
  <si>
    <t>antiporter activity</t>
  </si>
  <si>
    <t>multidrug transport, membrane</t>
  </si>
  <si>
    <t>Multi antimicrobial extrusion protein MatE</t>
  </si>
  <si>
    <t>PtpAffx.208905.1.S1_at</t>
  </si>
  <si>
    <t>PtpAffx.213048.1.S1_at</t>
  </si>
  <si>
    <t>multidrug transport</t>
  </si>
  <si>
    <t>PtpAffx.218799.1.S1_at</t>
  </si>
  <si>
    <t>arsenite transporter activity</t>
  </si>
  <si>
    <t>integral to membrane</t>
  </si>
  <si>
    <t>Arsenical pump membrane protein</t>
  </si>
  <si>
    <t>PtpAffx.148770.1.S1_at</t>
  </si>
  <si>
    <t>aspartate kinase activity;  homoserine dehydrogenase activity;ATP binding;amino acid binding; tRNA ligase activity</t>
  </si>
  <si>
    <t>amino acid biosynthesis; aspartate family amino acid biosynthesis; metabolism</t>
  </si>
  <si>
    <t>Bifunctional aspartokinase/homoserine dehydrogenase I; Aspartate kinase; Homoserine dehydrogenase</t>
  </si>
  <si>
    <t>PtpAffx.10376.1.S1_a_at</t>
  </si>
  <si>
    <t>aspartate kinase activity; amino acid binding</t>
  </si>
  <si>
    <t>amino acid biosynthesis; metabolism</t>
  </si>
  <si>
    <t>Aspartate kinase;  Aspartate/glutamate/uridylate kinase</t>
  </si>
  <si>
    <t>PtpAffx.10376.2.S1_at</t>
  </si>
  <si>
    <t>PtpAffx.125956.1.S1_at</t>
  </si>
  <si>
    <t>aspartic-type endopeptidase activity</t>
  </si>
  <si>
    <t>proteolysis and peptidolysis</t>
  </si>
  <si>
    <t>Peptidase A1, pepsin;  Peptidase aspartic, active site</t>
  </si>
  <si>
    <t>PtpAffx.201397.1.S1_at</t>
  </si>
  <si>
    <t>ATP binding</t>
  </si>
  <si>
    <t>defense response to pathogen</t>
  </si>
  <si>
    <t>disease resistance protein</t>
  </si>
  <si>
    <t>PtpAffx.212897.1.S1_s_at</t>
  </si>
  <si>
    <t>ATP-binding region, ATPase-like</t>
  </si>
  <si>
    <t>PtpAffx.214961.1.S1_s_at</t>
  </si>
  <si>
    <t>PtpAffx.225122.1.S1_s_at</t>
  </si>
  <si>
    <t>apoptosis; defense response to pathogen</t>
  </si>
  <si>
    <t>PtpAffx.225531.1.S1_s_at</t>
  </si>
  <si>
    <t>Disease resistance protein</t>
  </si>
  <si>
    <t>PtpAffx.225717.1.S1_s_at</t>
  </si>
  <si>
    <t>PtpAffx.133781.1.A1_at</t>
  </si>
  <si>
    <t xml:space="preserve">ATPase activity, coupled to transmembrane movement of ions, phosphorylative mechanism; </t>
  </si>
  <si>
    <t>Haloacid dehalogenase-like hydrolase;  Phospholipid-translocating P-type ATPase, flippase</t>
  </si>
  <si>
    <t>Ptp.2887.1.S1_at</t>
  </si>
  <si>
    <t>ATP-binding cassette (ABC) transporter activity</t>
  </si>
  <si>
    <t>membrane transport</t>
  </si>
  <si>
    <t>ABC transporter</t>
  </si>
  <si>
    <t>PtpAffx.114367.1.A1_at</t>
  </si>
  <si>
    <t>PtpAffx.141628.1.S1_at</t>
  </si>
  <si>
    <t>PtpAffx.202418.1.S1_at</t>
  </si>
  <si>
    <t>PtpAffx.203553.1.S1_at</t>
  </si>
  <si>
    <t>PtpAffx.218920.1.S1_s_at</t>
  </si>
  <si>
    <t>PtpAffx.22198.1.S1_at</t>
  </si>
  <si>
    <t>PtpAffx.222197.1.S1_at</t>
  </si>
  <si>
    <t>PtpAffx.223705.1.S1_x_at</t>
  </si>
  <si>
    <t>PtpAffx.61049.1.S1_at</t>
  </si>
  <si>
    <t>PtpAffx.87677.1.S1_at</t>
  </si>
  <si>
    <t>PtpAffx.23657.1.S1_s_at</t>
  </si>
  <si>
    <t>biosynthesis</t>
  </si>
  <si>
    <t>sucrose metabolism</t>
  </si>
  <si>
    <t>Glycosyl transferase, group 1</t>
  </si>
  <si>
    <t>PtpAffx.23657.2.S1_s_at</t>
  </si>
  <si>
    <t>Ptp.2972.1.S1_at</t>
  </si>
  <si>
    <t>calcium ion binding</t>
  </si>
  <si>
    <t>Calcium-binding EF-hand</t>
  </si>
  <si>
    <t>Ptp.2972.1.S1_s_at</t>
  </si>
  <si>
    <t>PtpAffx.123757.1.S1_s_at</t>
  </si>
  <si>
    <t>PtpAffx.205723.1.S1_x_at</t>
  </si>
  <si>
    <t>PtpAffx.205724.1.S1_s_at</t>
  </si>
  <si>
    <t>PtpAffx.206684.1.S1_s_at</t>
  </si>
  <si>
    <t>PtpAffx.42091.1.A1_at</t>
  </si>
  <si>
    <t>PtpAffx.42091.2.S1_a_at</t>
  </si>
  <si>
    <t>PtpAffx.42091.2.S1_at</t>
  </si>
  <si>
    <t>PtpAffx.219714.1.S1_at</t>
  </si>
  <si>
    <t>calcium ion binding; oxidoreductase activity</t>
  </si>
  <si>
    <t>Cytochrome b-245, heavy chain; Calcium-binding EF-hand</t>
  </si>
  <si>
    <t>PtpAffx.119343.2.A1_a_at</t>
  </si>
  <si>
    <t>calcium ion binding; phospholipase A2 activity</t>
  </si>
  <si>
    <t>lipid catabolism</t>
  </si>
  <si>
    <t>Phospholipase A2</t>
  </si>
  <si>
    <t>PtpAffx.202493.1.S1_at</t>
  </si>
  <si>
    <t>caspase activity</t>
  </si>
  <si>
    <t>Caspase-1, p20</t>
  </si>
  <si>
    <t>Ptp.1080.1.S1_s_at</t>
  </si>
  <si>
    <t>catalytic activity</t>
  </si>
  <si>
    <t>Isoflavone reductase</t>
  </si>
  <si>
    <t>Ptp.7290.1.S1_s_at</t>
  </si>
  <si>
    <t>Glutamine amidotransferase class-I</t>
  </si>
  <si>
    <t>PtpAffx.208450.1.S1_at</t>
  </si>
  <si>
    <t>Protein phosphatase 2C-like</t>
  </si>
  <si>
    <t>PtpAffx.217877.1.S1_at</t>
  </si>
  <si>
    <t>ATP-citrate lyase/succinyl-CoA ligase; Succinyl-CoA ligase, alpha subunit</t>
  </si>
  <si>
    <t>PtpAffx.218217.1.S1_at</t>
  </si>
  <si>
    <t>Orn/Lys/Arg decarboxylase, C-terminal</t>
  </si>
  <si>
    <t>PtpAffx.211583.1.S1_at</t>
  </si>
  <si>
    <t>catalytic activity;  hydrolase activity</t>
  </si>
  <si>
    <t>Glycoside hydrolase, family 18</t>
  </si>
  <si>
    <t>PtpAffx.205488.1.S1_at</t>
  </si>
  <si>
    <t>catalytic activity;  intramolecular transferase activity, phosphotransferases</t>
  </si>
  <si>
    <t>glycolysis; metabolism</t>
  </si>
  <si>
    <t>Phosphoglycerate/bisphosphoglycerate mutase</t>
  </si>
  <si>
    <t>PtpAffx.125332.1.S1_at</t>
  </si>
  <si>
    <t>catalytic activity;  lyase activity</t>
  </si>
  <si>
    <t>Prenyltransferase/squalene oxidase</t>
  </si>
  <si>
    <t>PtpAffx.153772.1.S1_at</t>
  </si>
  <si>
    <t>catalytic activity; ubiquitin activating enzyme activity</t>
  </si>
  <si>
    <t>protein modification; ubiquitin cycle</t>
  </si>
  <si>
    <t>UBA/THIF-type NAD/FAD binding fold</t>
  </si>
  <si>
    <t>Ubiquitin-activating enzyme repeat</t>
  </si>
  <si>
    <t>PtpAffx.130839.1.S1_at</t>
  </si>
  <si>
    <t>catalytic activity;glutamate-5-semialdehyde dehydrogenase activity;glutamate 5-kinase activity</t>
  </si>
  <si>
    <t>amino acid biosynthesis</t>
  </si>
  <si>
    <t>delta l-pyrroline-5-carboxylate synthetase;Gamma-glutamyl phosphate reductase GPR; Glutamate 5-kinase;Aspartate/glutamate/uridylate kinase</t>
  </si>
  <si>
    <t>PtpAffx.5845.1.S1_at</t>
  </si>
  <si>
    <t>catalytic activity;phosphoglycerate mutase activity</t>
  </si>
  <si>
    <t>glucose catabolism</t>
  </si>
  <si>
    <t>Metalloenzyme; Phosphoglycerate mutase, 2,3-bisphosphoglycerate-independent</t>
  </si>
  <si>
    <t>PtpAffx.158518.1.S1_a_at</t>
  </si>
  <si>
    <t>cation transporter activity</t>
  </si>
  <si>
    <t>Calcium/proton exchanger superfamily</t>
  </si>
  <si>
    <t>PtpAffx.71066.7.A1_at</t>
  </si>
  <si>
    <t>PtpAffx.50200.1.A1_at</t>
  </si>
  <si>
    <t>cell adhesion</t>
  </si>
  <si>
    <t>Adhesion regulating molecule</t>
  </si>
  <si>
    <t>Ptp.5955.1.S1_at</t>
  </si>
  <si>
    <t>chaperone activity</t>
  </si>
  <si>
    <t>protein folding</t>
  </si>
  <si>
    <t>Heat shock protein DnaJ</t>
  </si>
  <si>
    <t>PtpAffx.215527.1.S1_at</t>
  </si>
  <si>
    <t>PtpAffx.70652.1.A1_at</t>
  </si>
  <si>
    <t>Chaperone DnaJ, C-terminal; Heat shock protein DnaJ</t>
  </si>
  <si>
    <t>PtpAffx.224399.1.S1_at</t>
  </si>
  <si>
    <t>chaperone activity; ATP binding</t>
  </si>
  <si>
    <t>Heat shock protein Hsp90</t>
  </si>
  <si>
    <t>PtpAffx.224399.1.S1_s_at</t>
  </si>
  <si>
    <t>PtpAffx.84890.1.S1_at</t>
  </si>
  <si>
    <t>Ptp.4506.1.S1_s_at</t>
  </si>
  <si>
    <t>chitinase: Glycoside hydrolase</t>
  </si>
  <si>
    <t>PtpAffx.5326.3.S1_at</t>
  </si>
  <si>
    <t>cinnamoyl-CoA reductase</t>
  </si>
  <si>
    <t>PtpAffx.225610.1.S1_at</t>
  </si>
  <si>
    <t>copper ion binding</t>
  </si>
  <si>
    <t>Multicopper oxidase, type 1</t>
  </si>
  <si>
    <t>PtpAffx.107682.1.A1_a_at</t>
  </si>
  <si>
    <t>copper-exporting ATPase activity; hydrolase activity, acting on acid anhydrides, catalyzing transmembrane movement of substances; ATPase activity, coupled to transmembrane movement of ions, phosphorylative mechanism</t>
  </si>
  <si>
    <t>metal ion transport; metabolism;  integral to membrane</t>
  </si>
  <si>
    <t>Copper-translocating P-type ATPase; Haloacid dehalogenase-like hydrolase;  ATPase, E1-E2 type</t>
  </si>
  <si>
    <t>PtpAffx.224623.1.S1_at</t>
  </si>
  <si>
    <t>Curculin-like (mannose-binding) lectin</t>
  </si>
  <si>
    <t>sugar binding</t>
  </si>
  <si>
    <t>PtpAffx.224623.1.S1_x_at</t>
  </si>
  <si>
    <t>Ptp.6084.3.S1_at</t>
  </si>
  <si>
    <t>cysteine-type endopeptidase activity</t>
  </si>
  <si>
    <t>Peptidase, eukaryotic cysteine peptidase active site</t>
  </si>
  <si>
    <t>PtpAffx.147155.1.A1_s_at</t>
  </si>
  <si>
    <t>PtpAffx.224721.1.S1_s_at</t>
  </si>
  <si>
    <t>cysteine-type endopeptidase activity;  protein kinase activity; sugar binding</t>
  </si>
  <si>
    <t xml:space="preserve"> protein amino acid phosphorylation; proteolysis and peptidolysis</t>
  </si>
  <si>
    <t>Peptidase, eukaryotic cysteine peptidase active site; Protein kinase; Curculin-like (mannose-binding) lectin</t>
  </si>
  <si>
    <t>PtpAffx.204507.1.S1_at</t>
  </si>
  <si>
    <t>damaged DNA binding, ATP binding</t>
  </si>
  <si>
    <t>Smr protein/MutS2 C-terminal</t>
  </si>
  <si>
    <t>PtpAffx.1463.1.S1_at</t>
  </si>
  <si>
    <t>dessication-related protein</t>
  </si>
  <si>
    <t>PtpAffx.200016.1.S1_at</t>
  </si>
  <si>
    <t>disease resistance family protein</t>
  </si>
  <si>
    <t>PtpAffx.223813.1.S1_x_at</t>
  </si>
  <si>
    <t>PtpAffx.215168.1.S1_at</t>
  </si>
  <si>
    <t>PtpAffx.225084.1.S1_s_at</t>
  </si>
  <si>
    <t>disease resistance protein;</t>
  </si>
  <si>
    <t>PtpAffx.201327.1.S1_s_at</t>
  </si>
  <si>
    <t>disease resistant protein</t>
  </si>
  <si>
    <t>Ptp.6473.2.S1_s_at</t>
  </si>
  <si>
    <t>DNA binding</t>
  </si>
  <si>
    <t>Myb, DNA-binding</t>
  </si>
  <si>
    <t>Ptp.6817.1.A1_at</t>
  </si>
  <si>
    <t>PtpAffx.107622.1.A1_a_at</t>
  </si>
  <si>
    <t>PtpAffx.120706.1.A1_at</t>
  </si>
  <si>
    <t>PtpAffx.129941.1.S1_s_at</t>
  </si>
  <si>
    <t>PtpAffx.201921.1.S1_at</t>
  </si>
  <si>
    <t>PtpAffx.204954.1.S1_at</t>
  </si>
  <si>
    <t>PtpAffx.204954.1.S1_x_at</t>
  </si>
  <si>
    <t>PtpAffx.205173.1.S1_s_at</t>
  </si>
  <si>
    <t>PtpAffx.205272.1.S1_at</t>
  </si>
  <si>
    <t>PtpAffx.205579.1.S1_at</t>
  </si>
  <si>
    <t>PtpAffx.206584.1.S1_s_at</t>
  </si>
  <si>
    <t>regulation of transcription, DNA-dependent</t>
  </si>
  <si>
    <t>Transcriptional factor B3</t>
  </si>
  <si>
    <t>PtpAffx.207054.1.S1_at</t>
  </si>
  <si>
    <t>PtpAffx.210586.1.S1_at</t>
  </si>
  <si>
    <t>PtpAffx.211106.1.S1_at</t>
  </si>
  <si>
    <t>PtpAffx.211106.1.S1_s_at</t>
  </si>
  <si>
    <t>PtpAffx.212088.1.S1_at</t>
  </si>
  <si>
    <t>DNA methylation</t>
  </si>
  <si>
    <t>C-5 cytosine-specific DNA methylase</t>
  </si>
  <si>
    <t>PtpAffx.212088.1.S1_s_at</t>
  </si>
  <si>
    <t>PtpAffx.212249.1.S1_at</t>
  </si>
  <si>
    <t>monooxygenase activity; electron transport</t>
  </si>
  <si>
    <t>8 hours</t>
  </si>
  <si>
    <t>24 hours</t>
  </si>
  <si>
    <t>48 hours</t>
  </si>
  <si>
    <t>Molecular &amp; Biological Functions</t>
  </si>
  <si>
    <t>Gene type</t>
  </si>
  <si>
    <t>Affymetrix Probe ID</t>
  </si>
  <si>
    <t>GST</t>
  </si>
  <si>
    <t>Glycosyl</t>
  </si>
  <si>
    <t>Glucosyl</t>
  </si>
  <si>
    <t>ATP binding &amp; ABC transporter activity</t>
  </si>
  <si>
    <t>MDR</t>
  </si>
  <si>
    <t>Zn-finger, Dof type</t>
  </si>
  <si>
    <t>PtpAffx.212762.1.S1_at</t>
  </si>
  <si>
    <t>Bromo adjacent region</t>
  </si>
  <si>
    <t>PtpAffx.212924.1.S1_at</t>
  </si>
  <si>
    <t>endocytosis</t>
  </si>
  <si>
    <t>Human Rev interacting-like protein (hRIP)</t>
  </si>
  <si>
    <t>PtpAffx.215114.1.S1_at</t>
  </si>
  <si>
    <t>Zn-finger-like, PHD finger</t>
  </si>
  <si>
    <t>PtpAffx.215421.1.S1_at</t>
  </si>
  <si>
    <t>Basic-leucine zipper (bZIP) transcription factor</t>
  </si>
  <si>
    <t>PtpAffx.217955.1.S1_at</t>
  </si>
  <si>
    <t>PtpAffx.220265.1.S1_at</t>
  </si>
  <si>
    <t>PtpAffx.224606.1.S1_at</t>
  </si>
  <si>
    <t>PtpAffx.37260.1.S1_at</t>
  </si>
  <si>
    <t>Helix-turn-helix motif</t>
  </si>
  <si>
    <t>PtpAffx.50620.1.S1_at</t>
  </si>
  <si>
    <t>PtpAffx.66318.2.S1_at</t>
  </si>
  <si>
    <t>PtpAffx.5662.1.S1_at</t>
  </si>
  <si>
    <t>DNA binding / transcription factor</t>
  </si>
  <si>
    <t>PtpAffx.222513.1.S1_s_at</t>
  </si>
  <si>
    <t>DNA binding, Zn binding</t>
  </si>
  <si>
    <t>PtpAffx.5686.2.S1_a_at</t>
  </si>
  <si>
    <t>Zn-finger, CONSTANS type</t>
  </si>
  <si>
    <t>PtpAffx.221591.1.S1_at</t>
  </si>
  <si>
    <t>DNA binding;  transcription factor activity</t>
  </si>
  <si>
    <t>Homeobox;  Helix-turn-helix motif</t>
  </si>
  <si>
    <t>PtpAffx.4806.3.S1_a_at</t>
  </si>
  <si>
    <t>Homeobox; Leucine zipper, Helix-turn-helix motif</t>
  </si>
  <si>
    <t>PtpAffx.4806.3.S1_at</t>
  </si>
  <si>
    <t>PtpAffx.206295.1.S1_at</t>
  </si>
  <si>
    <t>DNA-directed RNA polymerase activity</t>
  </si>
  <si>
    <t>transcription</t>
  </si>
  <si>
    <t>RNA polymerase Rpb2, domain 7</t>
  </si>
  <si>
    <t>PtpAffx.203139.1.S1_at</t>
  </si>
  <si>
    <t>electron transporter activity</t>
  </si>
  <si>
    <t>electron transport</t>
  </si>
  <si>
    <t>2Fe-2S ferredoxin, iron-sulfur binding site</t>
  </si>
  <si>
    <t>PtpAffx.208123.1.S1_at</t>
  </si>
  <si>
    <t>Glutaredoxin</t>
  </si>
  <si>
    <t>PtpAffx.201310.1.S1_at</t>
  </si>
  <si>
    <t>electron transporter activity; alcohol dehydrogenase activity, zinc-dependent</t>
  </si>
  <si>
    <t>Cytochrome c heme-binding site; Zinc-containing alcohol dehydrogenase superfamily</t>
  </si>
  <si>
    <t>PtpAffx.3594.1.S1_at</t>
  </si>
  <si>
    <t>PtpAffx.5078.7.A1_at</t>
  </si>
  <si>
    <t>electron transporter activity; heme binding</t>
  </si>
  <si>
    <t>Cytochrome c heme-binding site</t>
  </si>
  <si>
    <t>Ptp.6755.1.S1_x_at</t>
  </si>
  <si>
    <t>endopeptidase inhibitor activity</t>
  </si>
  <si>
    <t>Proteinase inhibitor I3, Kunitz legume</t>
  </si>
  <si>
    <t>PtpAffx.203792.1.S1_at</t>
  </si>
  <si>
    <t>PtpAffx.29592.1.S1_at</t>
  </si>
  <si>
    <t>ENDOPLASMIC RETICULUM OXIDOREDUCTINS</t>
  </si>
  <si>
    <t>PtpAffx.224218.1.S1_at</t>
  </si>
  <si>
    <t>FAD linked oxidase, N-terminal</t>
  </si>
  <si>
    <t>PtpAffx.3369.2.A1_s_at</t>
  </si>
  <si>
    <t>Ptp.6087.1.S1_at</t>
  </si>
  <si>
    <t>ferric iron binding</t>
  </si>
  <si>
    <t>iron ion transport</t>
  </si>
  <si>
    <t>Ferritin</t>
  </si>
  <si>
    <t>PtpAffx.222222.1.S1_at</t>
  </si>
  <si>
    <t>fringe-related protein</t>
  </si>
  <si>
    <t>PtpAffx.210249.1.S1_at</t>
  </si>
  <si>
    <t>glutamate synthase activity</t>
  </si>
  <si>
    <t>nitrogen metabolism</t>
  </si>
  <si>
    <t>Glutamate synthase, amidotransferase region</t>
  </si>
  <si>
    <t>Ptp.7575.1.S1_s_at</t>
  </si>
  <si>
    <t>glutamate-ammonia ligase activity</t>
  </si>
  <si>
    <t>nitrogen fixation</t>
  </si>
  <si>
    <t>Glutamine synthetase, catalytic region</t>
  </si>
  <si>
    <t>PtpAffx.14482.1.A1_at</t>
  </si>
  <si>
    <t>Glutamine amidotransferase</t>
  </si>
  <si>
    <t>PtpAffx.224201.1.S1_at</t>
  </si>
  <si>
    <t>glutathione S-transferase</t>
  </si>
  <si>
    <t>PtpAffx.224631.1.S1_s_at</t>
  </si>
  <si>
    <t>PtpAffx.225564.1.S1_at</t>
  </si>
  <si>
    <t>PtpAffx.4246.2.S1_a_at</t>
  </si>
  <si>
    <t>PtpAffx.43231.1.A1_at</t>
  </si>
  <si>
    <t>Ptp.3709.1.S1_at</t>
  </si>
  <si>
    <t>glutathione transferase activity</t>
  </si>
  <si>
    <t>Glutathione S-transferase, omega-class</t>
  </si>
  <si>
    <t>PtpAffx.74457.1.S1_s_at</t>
  </si>
  <si>
    <t>glyceraldehyde-3-phosphate dehydrogenase activity</t>
  </si>
  <si>
    <t>glycolysis; glucose metabolism</t>
  </si>
  <si>
    <t>Glyceraldehyde-3-phosphate dehydrogenase,</t>
  </si>
  <si>
    <t>PtpAffx.135397.1.S1_at</t>
  </si>
  <si>
    <t>glycerophosphodiester phosphodiesterase activity</t>
  </si>
  <si>
    <t>glycerol metabolism</t>
  </si>
  <si>
    <t>Glycerophosphoryl diester phosphodiesterase</t>
  </si>
  <si>
    <t>Ptp.5698.1.S1_s_at</t>
  </si>
  <si>
    <t>glycine hydroxymethyltransferase activity</t>
  </si>
  <si>
    <t>glycine metabolism;  L-serine metabolism</t>
  </si>
  <si>
    <t>Glycine hydroxymethyltransferase</t>
  </si>
  <si>
    <t>PtpAffx.115155.2.S1_at</t>
  </si>
  <si>
    <t>glycoside hydrolase family 28 protein / polygalacturonase (pectinase) family protein</t>
  </si>
  <si>
    <t>PtpAffx.223848.1.S1_at</t>
  </si>
  <si>
    <t>glycosyl hydrolase family 17 protein</t>
  </si>
  <si>
    <t>PtpAffx.222320.1.S1_at</t>
  </si>
  <si>
    <t>GTPase activity, GTP binding</t>
  </si>
  <si>
    <t>immune response</t>
  </si>
  <si>
    <t>Guanylate-binding protein</t>
  </si>
  <si>
    <t>Ptp.2189.2.S1_at</t>
  </si>
  <si>
    <t>GTPase activity; GTP binding</t>
  </si>
  <si>
    <t>Dynamin GTPase effector</t>
  </si>
  <si>
    <t>PtpAffx.206046.1.S1_s_at</t>
  </si>
  <si>
    <t>Heat shock 22 kDa protein</t>
  </si>
  <si>
    <t>Ptp.4789.1.S1_s_at</t>
  </si>
  <si>
    <t>heat shock cognate protein</t>
  </si>
  <si>
    <t>Ptp.4014.1.S1_s_at</t>
  </si>
  <si>
    <t>heat shock protein</t>
  </si>
  <si>
    <t>Ptp.4187.1.S1_at</t>
  </si>
  <si>
    <t>Ptp.7653.1.S1_a_at</t>
  </si>
  <si>
    <t>PtpAffx.10803.1.S1_at</t>
  </si>
  <si>
    <t>PtpAffx.200666.1.S1_at</t>
  </si>
  <si>
    <t>PtpAffx.209307.1.S1_s_at</t>
  </si>
  <si>
    <t>PtpAffx.21139.1.S1_at</t>
  </si>
  <si>
    <t>PtpAffx.249.517.S1_at</t>
  </si>
  <si>
    <t>PtpAffx.454.8.S1_at</t>
  </si>
  <si>
    <t>PtpAffx.59631.1.S1_s_at</t>
  </si>
  <si>
    <t>PtpAffx.76531.1.S1_at</t>
  </si>
  <si>
    <t>photosynthesis; photosystem I reaction center</t>
  </si>
  <si>
    <t>Photosystem I protein PsaD</t>
  </si>
  <si>
    <t>PtpAffx.78723.1.S1_at</t>
  </si>
  <si>
    <t>PtpAffx.20898.1.A1_at</t>
  </si>
  <si>
    <t>heat shock protein precursor</t>
  </si>
  <si>
    <t>PtpAffx.203551.1.S1_at</t>
  </si>
  <si>
    <t>helicase activity, DNA/ATP binding</t>
  </si>
  <si>
    <t>DEAD/DEAH box helicase</t>
  </si>
  <si>
    <t>Helicase, C-terminal</t>
  </si>
  <si>
    <t>Chromatin remodeling complex subunit R</t>
  </si>
  <si>
    <t>PtpAffx.30476.1.A1_at</t>
  </si>
  <si>
    <t>Ptp.3259.2.S1_a_at</t>
  </si>
  <si>
    <t>heme binding; Zn binding</t>
  </si>
  <si>
    <t>Ptp.3259.3.S1_at</t>
  </si>
  <si>
    <t>PtpAffx.208684.1.S1_at</t>
  </si>
  <si>
    <t>heme-binding family protein</t>
  </si>
  <si>
    <t>PtpAffx.72971.1.S1_at</t>
  </si>
  <si>
    <t>hexokinase activity</t>
  </si>
  <si>
    <t>Hexokinase</t>
  </si>
  <si>
    <t>PtpAffx.208786.1.S1_at</t>
  </si>
  <si>
    <t>high molecular weight heat shock protein</t>
  </si>
  <si>
    <t>PtpAffx.249.475.S1_a_at</t>
  </si>
  <si>
    <t>PtpAffx.41826.1.S1_at</t>
  </si>
  <si>
    <t>PtpAffx.17806.1.S1_at</t>
  </si>
  <si>
    <t>homocysteine S-methyltransferase activity</t>
  </si>
  <si>
    <t>Homocysteine S-methyltransferase</t>
  </si>
  <si>
    <t>Ptp.4725.1.S1_s_at</t>
  </si>
  <si>
    <t>hydrogen-translocating pyrophosphatase activity</t>
  </si>
  <si>
    <t>proton transport; membrane</t>
  </si>
  <si>
    <t>Inorganic H+ pyrophosphatase</t>
  </si>
  <si>
    <t>PtpAffx.145512.1.S1_at</t>
  </si>
  <si>
    <t>proton transport, membrane</t>
  </si>
  <si>
    <t>PtpAffx.147926.1.S1_s_at</t>
  </si>
  <si>
    <t>proton transport</t>
  </si>
  <si>
    <t>Ptp.6082.1.S1_at</t>
  </si>
  <si>
    <t>hydrolase activity</t>
  </si>
  <si>
    <t>Metallophosphoesterase</t>
  </si>
  <si>
    <t>PtpAffx.8550.1.A1_x_at</t>
  </si>
  <si>
    <t>Nucleoside phosphatase GDA1/CD39</t>
  </si>
  <si>
    <t>PtpAffx.146175.1.S1_s_at</t>
  </si>
  <si>
    <t>hydrolase activity, acting on acid anhydrides, catalyzing transmembrane movement of substances;  ATPase activity, coupled to transmembrane movement of ions, phosphorylative mechanism</t>
  </si>
  <si>
    <t>proton transport; metabolism</t>
  </si>
  <si>
    <t>Haloacid dehalogenase-like hydrolase;  H+ transporting ATPase, proton pump</t>
  </si>
  <si>
    <t>PtpAffx.150928.1.S1_s_at</t>
  </si>
  <si>
    <t>calcium ion transport; metabolism</t>
  </si>
  <si>
    <t>Haloacid dehalogenase-like hydrolase;   Calcium-translocating P-type ATPase, PMCA-type; ATPase, E1-E2 type</t>
  </si>
  <si>
    <t>PtpAffx.17702.1.A1_at</t>
  </si>
  <si>
    <t>Ptp.3522.1.S1_s_at</t>
  </si>
  <si>
    <t>hydrolase activity, hydrolyzing O-glycosyl compounds</t>
  </si>
  <si>
    <t>Glycoside hydrolase, clan GH-D</t>
  </si>
  <si>
    <t>Ptp.4747.1.A1_s_at</t>
  </si>
  <si>
    <t>Glycoside hydrolase, family 17</t>
  </si>
  <si>
    <t>Ptp.6729.1.S1_at</t>
  </si>
  <si>
    <t>Glycoside hydrolase, family 16</t>
  </si>
  <si>
    <t>PtpAffx.127059.1.A1_at</t>
  </si>
  <si>
    <t>Glycoside hydrolase, family 1</t>
  </si>
  <si>
    <t>PtpAffx.135403.1.S1_s_at</t>
  </si>
  <si>
    <t>PtpAffx.200185.1.S1_s_at</t>
  </si>
  <si>
    <t>PtpAffx.203300.1.S1_s_at</t>
  </si>
  <si>
    <t>PtpAffx.209038.1.S1_s_at</t>
  </si>
  <si>
    <t>Glycoside hydrolase, family 3, N-terminal</t>
  </si>
  <si>
    <t>PtpAffx.214310.1.S1_at</t>
  </si>
  <si>
    <t>PtpAffx.217237.1.S1_at</t>
  </si>
  <si>
    <t>PtpAffx.220042.1.S1_at</t>
  </si>
  <si>
    <t>PtpAffx.221654.1.S1_s_at</t>
  </si>
  <si>
    <t>Glycoside hydrolase,</t>
  </si>
  <si>
    <t>PtpAffx.224410.1.S1_at</t>
  </si>
  <si>
    <t>PtpAffx.32356.3.S1_at</t>
  </si>
  <si>
    <t>PtpAffx.83041.1.A1_s_at</t>
  </si>
  <si>
    <t>PtpAffx.85937.1.A1_s_at</t>
  </si>
  <si>
    <t>PtpAffx.86724.1.S1_at</t>
  </si>
  <si>
    <t>PtpAffx.215755.1.S1_at</t>
  </si>
  <si>
    <t>hydrolase, hydrolyzing O-glycosyl compounds</t>
  </si>
  <si>
    <t>Ptp.7971.1.S1_at</t>
  </si>
  <si>
    <t>hydroxyacylglutathione</t>
  </si>
  <si>
    <t>Ptp.7971.1.S1_s_at</t>
  </si>
  <si>
    <t>PtpAffx.60076.2.A1_at</t>
  </si>
  <si>
    <t>hydroxyacylglutathione hydrolase 3</t>
  </si>
  <si>
    <t>PtpAffx.5423.1.S1_s_at</t>
  </si>
  <si>
    <t>hydroxymethylglutaryl-CoA synthase activity</t>
  </si>
  <si>
    <t>acetyl-CoA metabolism</t>
  </si>
  <si>
    <t>Hydroxymethylglutaryl-coenzyme A synthase</t>
  </si>
  <si>
    <t>PtpAffx.206856.1.S1_s_at</t>
  </si>
  <si>
    <t>inorganic phosphate transporter activity</t>
  </si>
  <si>
    <t>phosphate transport, membrane</t>
  </si>
  <si>
    <t>Phosphate transporter</t>
  </si>
  <si>
    <t>PtpAffx.224232.1.S1_s_at</t>
  </si>
  <si>
    <t>PtpAffx.249.474.S1_at</t>
  </si>
  <si>
    <t>inositol-3-phosphate synthase activity</t>
  </si>
  <si>
    <t>phospholipid biosynthesis</t>
  </si>
  <si>
    <t>Ptp.2268.1.S1_s_at</t>
  </si>
  <si>
    <t>intramolecular transferase activity, phosphotransferases</t>
  </si>
  <si>
    <t>Phosphoglucomutase/phosphomannomutase C terminal</t>
  </si>
  <si>
    <t>PtpAffx.163029.1.S1_at</t>
  </si>
  <si>
    <t>Ptp.1273.1.S1_at</t>
  </si>
  <si>
    <t>Laccase, lac90 gene</t>
  </si>
  <si>
    <t>copper ion binding, laccase activity, oxidoreductase activity, metal ion binding</t>
  </si>
  <si>
    <t>PtpAffx.8895.1.S1_at</t>
  </si>
  <si>
    <t>latex protein allergen</t>
  </si>
  <si>
    <t>Patatin</t>
  </si>
  <si>
    <t>PtpAffx.221539.1.S1_x_at</t>
  </si>
  <si>
    <t>leucine-rich repeat family protein</t>
  </si>
  <si>
    <t>PtpAffx.133471.1.A1_at</t>
  </si>
  <si>
    <t>lipid binding</t>
  </si>
  <si>
    <t>lipid transport</t>
  </si>
  <si>
    <t>Plant lipid transfer protein/Par allergen</t>
  </si>
  <si>
    <t>PtpAffx.201722.1.S1_at</t>
  </si>
  <si>
    <t>PtpAffx.30567.1.A1_at</t>
  </si>
  <si>
    <t>PtpAffx.59172.1.S1_s_at</t>
  </si>
  <si>
    <t>PtpAffx.491.4.S1_at</t>
  </si>
  <si>
    <t>low molecular weight heat shock protein</t>
  </si>
  <si>
    <t>PtpAffx.46615.1.S1_at</t>
  </si>
  <si>
    <t>low molecular weight heat-shock protein</t>
  </si>
  <si>
    <t>PtpAffx.110923.1.S1_at</t>
  </si>
  <si>
    <t>Luminal-binding protein</t>
  </si>
  <si>
    <t>Ptp.4421.1.A1_s_at</t>
  </si>
  <si>
    <t>metabolic process</t>
  </si>
  <si>
    <t>catechol oxidase activity, monophenol monooxygenase activity, copper ion binding, oxidoreductase activity</t>
  </si>
  <si>
    <t>PtpAffx.138147.1.S1_s_at</t>
  </si>
  <si>
    <t>PtpAffx.202320.1.S1_at</t>
  </si>
  <si>
    <t>metal ion binding / oxidoreductase</t>
  </si>
  <si>
    <t>PtpAffx.309.1.S1_x_at</t>
  </si>
  <si>
    <t>metal ion transporter activity</t>
  </si>
  <si>
    <t>zinc transporter</t>
  </si>
  <si>
    <t>PtpAffx.71047.1.S1_a_at</t>
  </si>
  <si>
    <t>metalloendopeptidase activity; zinc ion binding</t>
  </si>
  <si>
    <t>Peptidase M10A and M12B, matrixin and adamalysin</t>
  </si>
  <si>
    <t>PtpAffx.71047.1.S1_at</t>
  </si>
  <si>
    <t>PtpAffx.71047.2.S1_at</t>
  </si>
  <si>
    <t>PtpAffx.93557.1.A1_at</t>
  </si>
  <si>
    <t>PtpAffx.213952.1.S1_at</t>
  </si>
  <si>
    <t>metallopeptidase activity</t>
  </si>
  <si>
    <t>Peptidase M, neutral zinc metallopeptidases, zinc-binding site</t>
  </si>
  <si>
    <t>PtpAffx.36282.1.S1_s_at</t>
  </si>
  <si>
    <t>PtpAffx.39846.1.S1_s_at</t>
  </si>
  <si>
    <t>methyltransferase</t>
  </si>
  <si>
    <t>PtpAffx.127438.1.A1_at</t>
  </si>
  <si>
    <t>methyltransferase activity</t>
  </si>
  <si>
    <t>Putative methyltransferase DUF248</t>
  </si>
  <si>
    <t>PtpAffx.202194.1.S1_at</t>
  </si>
  <si>
    <t>PtpAffx.132618.1.S1_at</t>
  </si>
  <si>
    <t>monooxygenase activity</t>
  </si>
  <si>
    <t>Cytochrome P450</t>
  </si>
  <si>
    <t>PtpAffx.138857.1.A1_at</t>
  </si>
  <si>
    <t>PtpAffx.151850.1.A1_at</t>
  </si>
  <si>
    <t>PtpAffx.203277.1.S1_at</t>
  </si>
  <si>
    <t>PtpAffx.218528.1.S1_at</t>
  </si>
  <si>
    <t>PtpAffx.225096.1.S1_s_at</t>
  </si>
  <si>
    <t>PtpAffx.33300.1.A1_at</t>
  </si>
  <si>
    <t>PtpAffx.35496.1.A1_at</t>
  </si>
  <si>
    <t>PtpAffx.36102.1.A1_at</t>
  </si>
  <si>
    <t>PtpAffx.90126.1.S1_at</t>
  </si>
  <si>
    <t>Cytochrome P450; E-class P450, group IV</t>
  </si>
  <si>
    <t>PtpAffx.210886.1.S1_s_at</t>
  </si>
  <si>
    <t>mRNA splicing regulator</t>
  </si>
  <si>
    <t>PtpAffx.206690.1.S1_at</t>
  </si>
  <si>
    <t>NAD+ ADP-ribosyltransferase</t>
  </si>
  <si>
    <t>PtpAffx.204987.1.S1_at</t>
  </si>
  <si>
    <t>nucleic acid binding</t>
  </si>
  <si>
    <t>RNA recognition, region 1</t>
  </si>
  <si>
    <t>PtpAffx.204579.1.S1_s_at</t>
  </si>
  <si>
    <t>nucleic acid binding / protein binding / zinc ion binding</t>
  </si>
  <si>
    <t>PtpAffx.101182.1.A1_at</t>
  </si>
  <si>
    <t xml:space="preserve">nucleic acid binding; </t>
  </si>
  <si>
    <t>Zn-finger, C2H2 type</t>
  </si>
  <si>
    <t>PtpAffx.201640.1.S1_at</t>
  </si>
  <si>
    <t>nucleotide binding</t>
  </si>
  <si>
    <t>AAA ATPase</t>
  </si>
  <si>
    <t>Ptp.1501.1.A1_s_at</t>
  </si>
  <si>
    <t>nucleotide binding, ATP binding</t>
  </si>
  <si>
    <t>PtpAffx.144449.1.S1_at</t>
  </si>
  <si>
    <t>nucleotidyltransferase activity</t>
  </si>
  <si>
    <t>UTP--glucose-1-phosphate uridylyltransferase</t>
  </si>
  <si>
    <t>PtpAffx.26689.1.S1_a_at</t>
  </si>
  <si>
    <t>Nucleotidyl transferase</t>
  </si>
  <si>
    <t>PtpAffx.26689.1.S1_at</t>
  </si>
  <si>
    <t>PtpAffx.211043.1.S1_at</t>
  </si>
  <si>
    <t>nutrient reservoir activity</t>
  </si>
  <si>
    <t>Cupin</t>
  </si>
  <si>
    <t>PtpAffx.211091.1.S1_s_at</t>
  </si>
  <si>
    <t>PtpAffx.217785.1.S1_at</t>
  </si>
  <si>
    <t>PtpAffx.3487.1.S1_at</t>
  </si>
  <si>
    <t>PtpAffx.207573.1.S1_at</t>
  </si>
  <si>
    <t>O-glucosyltransferase</t>
  </si>
  <si>
    <t>PtpAffx.209276.1.S1_at</t>
  </si>
  <si>
    <t>Omega-3 fatty acid desaturase</t>
  </si>
  <si>
    <t>PtpAffx.209276.1.S1_x_at</t>
  </si>
  <si>
    <t>PtpAffx.209276.1.S1_s_at</t>
  </si>
  <si>
    <t>Omega-3 fatty acid desaturase,</t>
  </si>
  <si>
    <t>Ptp.4936.1.S1_s_at</t>
  </si>
  <si>
    <t>oxidoreductase activity</t>
  </si>
  <si>
    <t>Mo-co oxidoreductase dimerisation domain; Oxidoreductase, molybdopterin binding</t>
  </si>
  <si>
    <t>PtpAffx.146847.1.A1_s_at</t>
  </si>
  <si>
    <t>Short-chain dehydrogenase/reductase SDR; Glucose/ribitol dehydrogenase</t>
  </si>
  <si>
    <t>PtpAffx.153499.1.A1_at</t>
  </si>
  <si>
    <t>Amine oxidase</t>
  </si>
  <si>
    <t>PtpAffx.201634.1.S1_at</t>
  </si>
  <si>
    <t>Oxygen oxidoreductase covalent FAD-binding site</t>
  </si>
  <si>
    <t>PtpAffx.213695.1.S1_at</t>
  </si>
  <si>
    <t>Short-chain dehydrogenase/reductase SDR</t>
  </si>
  <si>
    <t>Glucose/ribitol dehydrogenase</t>
  </si>
  <si>
    <t>PtpAffx.218925.1.S1_at</t>
  </si>
  <si>
    <t>Oxygen oxidoreductase covalent FAD-binding site; FAD linked oxidase, N-terminal</t>
  </si>
  <si>
    <t>PtpAffx.44935.1.A1_a_at</t>
  </si>
  <si>
    <t>NADH:flavin oxidoreductase/NADH oxidase</t>
  </si>
  <si>
    <t>PtpAffx.140553.1.A1_at</t>
  </si>
  <si>
    <t>oxidoreductase activity, acting on the CH-OH group of donors, NAD or NADP as acceptor;  alcohol dehydrogenase activity, zinc-dependent</t>
  </si>
  <si>
    <t>L-serine biosynthesis</t>
  </si>
  <si>
    <t>D-isomer specific 2-hydroxyacid dehydrogenase, NAD-binding;  Zinc-containing alcohol dehydrogenase superfamily</t>
  </si>
  <si>
    <t>PtpAffx.126807.1.S1_at</t>
  </si>
  <si>
    <t>PAT1 (PHYTOCHROME A SIGNAL TRANSDUCTION 1</t>
  </si>
  <si>
    <t>PtpAffx.165.1.S1_at</t>
  </si>
  <si>
    <t>pepsin A activity</t>
  </si>
  <si>
    <t>Peptidase A1, pepsin</t>
  </si>
  <si>
    <t>PtpAffx.206696.1.S1_s_at</t>
  </si>
  <si>
    <t>PtpAffx.225112.1.S1_at</t>
  </si>
  <si>
    <t>peptidase activity, subtilase activity</t>
  </si>
  <si>
    <t>Peptidase S8 and S53, subtilisin, kexin, sedolisin</t>
  </si>
  <si>
    <t>AIR3 (Auxin-Induced in Root cultures 3)</t>
  </si>
  <si>
    <t>PtpAffx.209373.1.S1_at</t>
  </si>
  <si>
    <t>peptidase activity; hydrolase activity</t>
  </si>
  <si>
    <t>metabolism;  proteolysis and peptidolysis</t>
  </si>
  <si>
    <t>Peptidase S26, signal peptidase I</t>
  </si>
  <si>
    <t>PtpAffx.97010.1.S1_s_at</t>
  </si>
  <si>
    <t>peptidase activity; subtilase activity</t>
  </si>
  <si>
    <t>Protease-associated PA; Peptidase S8 and S53, subtilisin, kexin, sedolisin</t>
  </si>
  <si>
    <t>Ptp.719.1.S1_at</t>
  </si>
  <si>
    <t>peroxidase activity</t>
  </si>
  <si>
    <t>response to oxidative stress</t>
  </si>
  <si>
    <t>Plant peroxidase</t>
  </si>
  <si>
    <t>PtpAffx.16117.1.A1_a_at</t>
  </si>
  <si>
    <t>PtpAffx.18226.1.A1_a_at</t>
  </si>
  <si>
    <t>PtpAffx.211356.1.S1_at</t>
  </si>
  <si>
    <t>PtpAffx.213709.1.S1_at</t>
  </si>
  <si>
    <t>PtpAffx.216844.1.S1_at</t>
  </si>
  <si>
    <t>PtpAffx.224549.1.S1_s_at</t>
  </si>
  <si>
    <t>PtpAffx.225157.1.S1_at</t>
  </si>
  <si>
    <t>PtpAffx.5.2.S1_a_at</t>
  </si>
  <si>
    <t>Ptp.3905.1.S1_s_at</t>
  </si>
  <si>
    <t>phosphoenolpyruvate carboxykinase</t>
  </si>
  <si>
    <t>Ptp.4054.1.S1_a_at</t>
  </si>
  <si>
    <t>Glycoside hydrolase</t>
  </si>
  <si>
    <t>nitrogen source</t>
  </si>
  <si>
    <t>phosphopyruvate hydratase activity</t>
  </si>
  <si>
    <t>Enolase</t>
  </si>
  <si>
    <t>PtpAffx.207056.1.S1_at</t>
  </si>
  <si>
    <t>polygalacturonase activity</t>
  </si>
  <si>
    <t>Glycoside hydrolase, family 28</t>
  </si>
  <si>
    <t>PtpAffx.225050.1.S1_at</t>
  </si>
  <si>
    <t>polynucleotide adenylyltransferase activity; nucleotidyltransferase activity</t>
  </si>
  <si>
    <t>Poly(A) polymerase, central region</t>
  </si>
  <si>
    <t>Ptp.1400.1.S1_s_at</t>
  </si>
  <si>
    <t>pop3 peptide</t>
  </si>
  <si>
    <t>Ptp.3045.1.S1_at</t>
  </si>
  <si>
    <t>prephenate dehydratase activity</t>
  </si>
  <si>
    <t>L-phenylalanine biosynthesis</t>
  </si>
  <si>
    <t>Prephenate dehydratase</t>
  </si>
  <si>
    <t>Ptp.3045.1.S1_s_at</t>
  </si>
  <si>
    <t>Ptp.6414.1.S1_at</t>
  </si>
  <si>
    <t>PtpAffx.6463.1.S1_at</t>
  </si>
  <si>
    <t>PtpAffx.203476.1.S1_at</t>
  </si>
  <si>
    <t>protein amino acid phosphorylation, signal transduction</t>
  </si>
  <si>
    <t>nucleotide binding, protein kinase activity, protein serine/threonine kinase activity, ATP binding, kinase activity, transferase activity</t>
  </si>
  <si>
    <t>CBL-interacting protein kinase 23 (CIPK23)</t>
  </si>
  <si>
    <t>PtpAffx.152447.1.S1_at</t>
  </si>
  <si>
    <t>protein binding</t>
  </si>
  <si>
    <t>BTB/POZ</t>
  </si>
  <si>
    <t>PtpAffx.202241.1.S1_at</t>
  </si>
  <si>
    <t>apoptosis</t>
  </si>
  <si>
    <t>Apoptosis regulator Bcl-2 protein, BAG</t>
  </si>
  <si>
    <t>PtpAffx.203412.1.S1_at</t>
  </si>
  <si>
    <t>poptosis regulator Bcl-2 protein, BAG</t>
  </si>
  <si>
    <t>PtpAffx.47143.1.S1_at</t>
  </si>
  <si>
    <t>PtpAffx.6061.1.S1_at</t>
  </si>
  <si>
    <t>Coagulation factor 5/8 type, C-terminal</t>
  </si>
  <si>
    <t>PtpAffx.44551.1.A1_at</t>
  </si>
  <si>
    <t>protein binding / ubiquitin-protein ligase/ zinc ion binding</t>
  </si>
  <si>
    <t>PtpAffx.67538.1.S1_at</t>
  </si>
  <si>
    <t>PtpAffx.216512.1.S1_at</t>
  </si>
  <si>
    <t>protein kinase</t>
  </si>
  <si>
    <t>PtpAffx.206958.1.S1_at</t>
  </si>
  <si>
    <t>protein kinase activity</t>
  </si>
  <si>
    <t>protein amino acid phosphorylation</t>
  </si>
  <si>
    <t>Protein kinase</t>
  </si>
  <si>
    <t>PtpAffx.217558.1.S1_at</t>
  </si>
  <si>
    <t>PtpAffx.224624.1.S1_s_at</t>
  </si>
  <si>
    <t>PtpAffx.124321.1.S1_s_at</t>
  </si>
  <si>
    <t>protein kinase activity, ATP binding</t>
  </si>
  <si>
    <t>PtpAffx.203717.1.S1_s_at</t>
  </si>
  <si>
    <t>protein kinase activity, protein-tyrosine kinase activity,  protein serine/threonine kinase activity</t>
  </si>
  <si>
    <t>Tyrosine protein kinase, Serine/threonine protein kinase</t>
  </si>
  <si>
    <t>PtpAffx.210610.1.S1_at</t>
  </si>
  <si>
    <t>PtpAffx.210610.1.S1_x_at</t>
  </si>
  <si>
    <t>PtpAffx.147163.1.A1_at</t>
  </si>
  <si>
    <t>protein kinase activity;  sugar binding; protein-tyrosine kinase activity;protein serine/threonine kinase activity</t>
  </si>
  <si>
    <t>Protein kinase; Curculin-like (mannose-binding) lectin;  Tyrosine protein kinase; Serine/threonine protein kinase</t>
  </si>
  <si>
    <t>PtpAffx.224720.1.S1_s_at</t>
  </si>
  <si>
    <t>PtpAffx.225063.1.S1_at</t>
  </si>
  <si>
    <t>Ptp.3289.1.A1_at</t>
  </si>
  <si>
    <t>protein-tyrosine kinase activity, protein serine/threonine kinase activity</t>
  </si>
  <si>
    <t>protein amino acid phosphorylation, proteolysis and peptidolysis</t>
  </si>
  <si>
    <t>Peptidase, eukaryotic cysteine peptidase active site,  Tyrosine protein kinase, Serine/threonine protein kinase</t>
  </si>
  <si>
    <t>Ptp.3396.1.S1_s_at</t>
  </si>
  <si>
    <t>Ptp.5017.1.S1_at</t>
  </si>
  <si>
    <t>Ptp.6313.1.S1_s_at</t>
  </si>
  <si>
    <t>PtpAffx.114210.2.A1_at</t>
  </si>
  <si>
    <t>PtpAffx.213880.1.S1_at</t>
  </si>
  <si>
    <t>intracellular signaling cascade,  protein amino acid phosphorylation</t>
  </si>
  <si>
    <t>PtpAffx.213880.1.S1_s_at</t>
  </si>
  <si>
    <t>PtpAffx.214452.1.S1_at</t>
  </si>
  <si>
    <t>PtpAffx.215196.1.S1_at</t>
  </si>
  <si>
    <t>PtpAffx.216532.1.S1_s_at</t>
  </si>
  <si>
    <t>PtpAffx.217348.1.S1_at</t>
  </si>
  <si>
    <t>PtpAffx.217876.1.S1_at</t>
  </si>
  <si>
    <t>PtpAffx.218232.1.S1_x_at</t>
  </si>
  <si>
    <t>PtpAffx.219306.1.S1_s_at</t>
  </si>
  <si>
    <t>PtpAffx.223308.1.S1_at</t>
  </si>
  <si>
    <t>PtpAffx.224424.1.S1_s_at</t>
  </si>
  <si>
    <t>PtpAffx.224465.1.S1_at</t>
  </si>
  <si>
    <t>PtpAffx.224695.1.S1_s_at</t>
  </si>
  <si>
    <t>PtpAffx.224696.1.S1_s_at</t>
  </si>
  <si>
    <t>PtpAffx.224697.1.S1_at</t>
  </si>
  <si>
    <t>PtpAffx.224716.1.S1_x_at</t>
  </si>
  <si>
    <t>PtpAffx.225149.1.S1_s_at</t>
  </si>
  <si>
    <t>PtpAffx.225430.1.S1_s_at</t>
  </si>
  <si>
    <t>PtpAffx.225628.1.S1_at</t>
  </si>
  <si>
    <t>PtpAffx.225742.1.S1_s_at</t>
  </si>
  <si>
    <t>PtpAffx.225811.1.S1_s_at</t>
  </si>
  <si>
    <t>PtpAffx.35408.1.S1_at</t>
  </si>
  <si>
    <t>PtpAffx.92745.1.S1_at</t>
  </si>
  <si>
    <t>PtpAffx.220068.1.S1_at</t>
  </si>
  <si>
    <t>putative fertility restorer homologue</t>
  </si>
  <si>
    <t>Ptp.6996.1.S1_at</t>
  </si>
  <si>
    <t>pyridoxal biosynthesis protein</t>
  </si>
  <si>
    <t>PtpAffx.41501.1.S1_s_at</t>
  </si>
  <si>
    <t>pyruvate kinase activity</t>
  </si>
  <si>
    <t>Pyruvate kinase</t>
  </si>
  <si>
    <t>PtpAffx.57928.2.S1_at</t>
  </si>
  <si>
    <t>PtpAffx.82253.1.A1_at</t>
  </si>
  <si>
    <t>Ptp.8060.1.S1_at</t>
  </si>
  <si>
    <t>receptor activity</t>
  </si>
  <si>
    <t>protein transport; integral to membrane</t>
  </si>
  <si>
    <t>ER lumen protein retaining receptor</t>
  </si>
  <si>
    <t>PtpAffx.214567.1.S1_s_at</t>
  </si>
  <si>
    <t>regulation of translation</t>
  </si>
  <si>
    <t>nucleus</t>
  </si>
  <si>
    <t>AUX/IAA protein</t>
  </si>
  <si>
    <t>PtpAffx.74112.1.A1_at</t>
  </si>
  <si>
    <t>respiratory gaseous exchange</t>
  </si>
  <si>
    <t>mitochondrial membrane</t>
  </si>
  <si>
    <t>Alternative oxidase</t>
  </si>
  <si>
    <t>PtpAffx.6328.1.S1_at</t>
  </si>
  <si>
    <t>response to dessication</t>
  </si>
  <si>
    <t>Late embryogenesis abundant protein 2</t>
  </si>
  <si>
    <t>PtpAffx.129030.1.S1_s_at</t>
  </si>
  <si>
    <t>ribonuclease III activity</t>
  </si>
  <si>
    <t>RNA processing</t>
  </si>
  <si>
    <t>Double-stranded RNA binding</t>
  </si>
  <si>
    <t>PtpAffx.202485.1.S1_at</t>
  </si>
  <si>
    <t>PtpAffx.213990.1.S1_at</t>
  </si>
  <si>
    <t>RNA polymerase II transcription factor activity</t>
  </si>
  <si>
    <t>Transcription factor TFIIB</t>
  </si>
  <si>
    <t>PtpAffx.203864.1.S1_at</t>
  </si>
  <si>
    <t>S-adenosylmethionine-dependent methyltransferase activity; O-methyltransferase activity;  methyltransferase activity</t>
  </si>
  <si>
    <t>O-methyltransferase, family 2</t>
  </si>
  <si>
    <t>PtpAffx.56971.1.A1_s_at</t>
  </si>
  <si>
    <t xml:space="preserve">serine-type endopeptidase activity, chaperone activity,  ATP binding / ATPase </t>
  </si>
  <si>
    <t>Peptidase S16, lon protease</t>
  </si>
  <si>
    <t>PtpAffx.127056.1.A1_at</t>
  </si>
  <si>
    <t>signal transducer activity</t>
  </si>
  <si>
    <t>signal transduction; regulation of transcription, DNA-dependent</t>
  </si>
  <si>
    <t>PAS; PAC motif</t>
  </si>
  <si>
    <t>PtpAffx.117473.1.S1_at</t>
  </si>
  <si>
    <t>small heat shock protein</t>
  </si>
  <si>
    <t>PtpAffx.27422.1.S1_x_at</t>
  </si>
  <si>
    <t>PtpAffx.27422.2.A1_at</t>
  </si>
  <si>
    <t>Ptp.52.1.S1_at</t>
  </si>
  <si>
    <t>S-methyltransferase/ methionine synthase</t>
  </si>
  <si>
    <t>PtpAffx.30473.1.A1_at</t>
  </si>
  <si>
    <t>structural constituent of cell wall</t>
  </si>
  <si>
    <t>cell wall organization and biogenesis</t>
  </si>
  <si>
    <t>PtpAffx.9055.4.S1_at</t>
  </si>
  <si>
    <t>Extensin-like protein; Glutelin</t>
  </si>
  <si>
    <t>PtpAffx.203344.1.S1_at</t>
  </si>
  <si>
    <t>structural constituent of ribosome</t>
  </si>
  <si>
    <t>protein biosynthesis</t>
  </si>
  <si>
    <t>Ribosomal protein L19</t>
  </si>
  <si>
    <t>PtpAffx.222447.1.S1_at</t>
  </si>
  <si>
    <t>Ribosomal protein L40e</t>
  </si>
  <si>
    <t>PtpAffx.5260.1.A1_at</t>
  </si>
  <si>
    <t>PtpAffx.102128.1.A1_at</t>
  </si>
  <si>
    <t>PtpAffx.765.1.A1_at</t>
  </si>
  <si>
    <t>threonine aldolase</t>
  </si>
  <si>
    <t>PtpAffx.213711.1.S1_at</t>
  </si>
  <si>
    <t>transaminase activity</t>
  </si>
  <si>
    <t>amino acid metabolism; biosynthesis</t>
  </si>
  <si>
    <t>Aminotransferase, class I and II; Aspartate/other aminotransferase</t>
  </si>
  <si>
    <t>PtpAffx.26894.1.S1_s_at</t>
  </si>
  <si>
    <t>biosynthesis; amino acid metabolism</t>
  </si>
  <si>
    <t>Aspartate/other aminotransferase; Aminotransferases class-I pyridoxal-phosphate-binding site</t>
  </si>
  <si>
    <t>PtpAffx.153843.1.A1_at</t>
  </si>
  <si>
    <t>transcription factor activity</t>
  </si>
  <si>
    <t>Transcription factor, MADS-box</t>
  </si>
  <si>
    <t>PtpAffx.200265.1.S1_at</t>
  </si>
  <si>
    <t>Pathogenesis-related transcriptional factor and ERF</t>
  </si>
  <si>
    <t>PtpAffx.202313.1.S1_at</t>
  </si>
  <si>
    <t>PtpAffx.207418.1.S1_at</t>
  </si>
  <si>
    <t>PtpAffx.211594.1.S1_at</t>
  </si>
  <si>
    <t>PtpAffx.213014.1.S1_at</t>
  </si>
  <si>
    <t>Transcription factor, MADS-box; Transcription factor, K-box</t>
  </si>
  <si>
    <t>PtpAffx.213667.1.S1_at</t>
  </si>
  <si>
    <t>PtpAffx.216443.1.S1_at</t>
  </si>
  <si>
    <t>Bacterial regulatory protein, GntR</t>
  </si>
  <si>
    <t>PtpAffx.219815.1.S1_at</t>
  </si>
  <si>
    <t>Heat shock factor (HSF)-type, DNA-binding</t>
  </si>
  <si>
    <t>PtpAffx.221688.1.S1_s_at</t>
  </si>
  <si>
    <t>Zn-finger, GATA type</t>
  </si>
  <si>
    <t>PtpAffx.75787.2.A1_s_at</t>
  </si>
  <si>
    <t>PtpAffx.84967.1.A1_at</t>
  </si>
  <si>
    <t>Transcription factor, MADS-box; k-box</t>
  </si>
  <si>
    <t>PtpAffx.95030.1.A1_at</t>
  </si>
  <si>
    <t>PtpAffx.217359.1.S1_at</t>
  </si>
  <si>
    <t>transcription factor/ ubiquitin-protein ligase/ zinc ion binding</t>
  </si>
  <si>
    <t>PtpAffx.214234.1.S1_x_at</t>
  </si>
  <si>
    <t>transcription regulator activity</t>
  </si>
  <si>
    <t>regulation of transcription</t>
  </si>
  <si>
    <t>WD40 associated region in TFIID subunit</t>
  </si>
  <si>
    <t>PtpAffx.160025.1.A1_at</t>
  </si>
  <si>
    <t>transcriptional regulator family protein</t>
  </si>
  <si>
    <t>PtpAffx.23271.1.S1_at</t>
  </si>
  <si>
    <t>transferase activity</t>
  </si>
  <si>
    <t>Squalene/phytoene synthase</t>
  </si>
  <si>
    <t>PtpAffx.23271.2.S1_at</t>
  </si>
  <si>
    <t>Ptp.6228.1.S1_at</t>
  </si>
  <si>
    <t>transferase activity, transferring hexosyl groups</t>
  </si>
  <si>
    <t>UDP-glucuronosyl/UDP-glucosyltransferase</t>
  </si>
  <si>
    <t>Ptp.6958.1.S1_s_at</t>
  </si>
  <si>
    <t>PtpAffx.139063.1.S1_at</t>
  </si>
  <si>
    <t>PtpAffx.153330.1.A1_at</t>
  </si>
  <si>
    <t>PtpAffx.215169.1.S1_s_at</t>
  </si>
  <si>
    <t>PtpAffx.216568.1.S1_s_at</t>
  </si>
  <si>
    <t>PtpAffx.224189.1.S1_at</t>
  </si>
  <si>
    <t>PtpAffx.22666.1.A1_s_at</t>
  </si>
  <si>
    <t>PtpAffx.2665.1.S1_at</t>
  </si>
  <si>
    <t>PtpAffx.31211.1.A1_at</t>
  </si>
  <si>
    <t>PtpAffx.57053.1.A1_at</t>
  </si>
  <si>
    <t>PtpAffx.59312.1.A1_at</t>
  </si>
  <si>
    <t>carbohydrate biosynthesis</t>
  </si>
  <si>
    <t>Glycosyl transferase, family 8</t>
  </si>
  <si>
    <t>PtpAffx.90640.1.S1_at</t>
  </si>
  <si>
    <t>Galactosyl transferase</t>
  </si>
  <si>
    <t>PtpAffx.39703.1.S1_at</t>
  </si>
  <si>
    <t>transferase activity, transferring phosphorus-containing groups</t>
  </si>
  <si>
    <t>tRNA splicing</t>
  </si>
  <si>
    <t>Phosphotransferase KptA/Tpt1</t>
  </si>
  <si>
    <t>PtpAffx.225132.1.S1_s_at</t>
  </si>
  <si>
    <t>transmembrane receptor activity</t>
  </si>
  <si>
    <t>Ptp.4379.1.S1_s_at</t>
  </si>
  <si>
    <t>transporter activity</t>
  </si>
  <si>
    <t>transport membrane</t>
  </si>
  <si>
    <t>Major intrinsic protein</t>
  </si>
  <si>
    <t>Ptp.7558.1.A1_at</t>
  </si>
  <si>
    <t>Adenine nucleotide translocator 1;  Mitochondrial carrier protein</t>
  </si>
  <si>
    <t>PtpAffx.14146.1.A1_s_at</t>
  </si>
  <si>
    <t>PtpAffx.159072.1.S1_at</t>
  </si>
  <si>
    <t>PtpAffx.204923.1.S1_at</t>
  </si>
  <si>
    <t>oligopeptide transport; membrane</t>
  </si>
  <si>
    <t>TGF-beta receptor, type I/II extracellular region</t>
  </si>
  <si>
    <t>PtpAffx.204923.1.S1_x_at</t>
  </si>
  <si>
    <t>PtpAffx.216706.1.S1_at</t>
  </si>
  <si>
    <t>PtpAffx.216706.1.S1_x_at</t>
  </si>
  <si>
    <t>PtpAffx.221953.1.S1_at</t>
  </si>
  <si>
    <t>plasma membrane intrinsic protein</t>
  </si>
  <si>
    <t>PtpAffx.221953.1.S1_s_at</t>
  </si>
  <si>
    <t>PtpAffx.75314.1.A1_at</t>
  </si>
  <si>
    <t>oligopeptide transport</t>
  </si>
  <si>
    <t>nitrate transporter</t>
  </si>
  <si>
    <t>PtpAffx.83667.1.A1_at</t>
  </si>
  <si>
    <t>Ptp.4477.1.S1_at</t>
  </si>
  <si>
    <t>transporter activity, binding</t>
  </si>
  <si>
    <t>mitochondrial inner membrane</t>
  </si>
  <si>
    <t>Ptp.1224.1.S1_s_at</t>
  </si>
  <si>
    <t>transporter activity; lipid binding</t>
  </si>
  <si>
    <t>other</t>
  </si>
  <si>
    <t>metal binding</t>
  </si>
  <si>
    <t>Other</t>
  </si>
  <si>
    <t>nitrogen source and fixation</t>
  </si>
  <si>
    <t>Metabolism</t>
  </si>
  <si>
    <t>Nitrogen Source and Fixation</t>
  </si>
  <si>
    <t>Biosynthesis</t>
  </si>
  <si>
    <t>Electron Transport</t>
  </si>
  <si>
    <t>Other Greater than  2-fold Gene Expression</t>
  </si>
  <si>
    <t>Lipid Binding</t>
  </si>
  <si>
    <t>Metal Binding</t>
  </si>
  <si>
    <t>Other transporter activity</t>
  </si>
  <si>
    <t>Fatty Acid Metabolism</t>
  </si>
  <si>
    <t>Glycolysis</t>
  </si>
  <si>
    <t>Aspartate Kinase Activity</t>
  </si>
  <si>
    <t>Catalytic Activity</t>
  </si>
  <si>
    <t>Proteolysis an Peptidolysis</t>
  </si>
  <si>
    <t>Respiration Related Downregulation</t>
  </si>
  <si>
    <t>DNA Binding</t>
  </si>
  <si>
    <t>General DNA Binding</t>
  </si>
  <si>
    <t>Zinc-finger</t>
  </si>
  <si>
    <t>Leucine zipper</t>
  </si>
  <si>
    <t>Helix-turn-Helix</t>
  </si>
  <si>
    <t>4-4.99</t>
  </si>
  <si>
    <t>5-5.99</t>
  </si>
  <si>
    <t>6-6.99</t>
  </si>
  <si>
    <t>7-7.99</t>
  </si>
  <si>
    <t>Tyrosine Protein Kinase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</si>
</sst>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sz val="8"/>
      <name val="Arial"/>
    </font>
    <font>
      <b/>
      <sz val="12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0" fillId="0" borderId="0" xfId="0" applyFill="1"/>
    <xf numFmtId="0" fontId="0" fillId="0" borderId="0" xfId="0" applyNumberFormat="1"/>
    <xf numFmtId="0" fontId="0" fillId="2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NumberFormat="1" applyFill="1"/>
    <xf numFmtId="0" fontId="2" fillId="0" borderId="0" xfId="0" applyFont="1" applyFill="1"/>
    <xf numFmtId="0" fontId="0" fillId="0" borderId="1" xfId="0" applyFill="1" applyBorder="1"/>
    <xf numFmtId="0" fontId="0" fillId="0" borderId="1" xfId="0" applyNumberFormat="1" applyFill="1" applyBorder="1"/>
    <xf numFmtId="0" fontId="0" fillId="0" borderId="2" xfId="0" applyFill="1" applyBorder="1"/>
    <xf numFmtId="0" fontId="0" fillId="0" borderId="2" xfId="0" applyNumberFormat="1" applyFill="1" applyBorder="1"/>
    <xf numFmtId="0" fontId="4" fillId="0" borderId="2" xfId="0" applyFont="1" applyFill="1" applyBorder="1" applyAlignment="1">
      <alignment horizontal="center"/>
    </xf>
    <xf numFmtId="0" fontId="0" fillId="0" borderId="3" xfId="0" applyNumberFormat="1" applyFill="1" applyBorder="1"/>
    <xf numFmtId="0" fontId="0" fillId="0" borderId="4" xfId="0" applyNumberFormat="1" applyFill="1" applyBorder="1"/>
    <xf numFmtId="0" fontId="0" fillId="0" borderId="5" xfId="0" applyNumberFormat="1" applyFill="1" applyBorder="1"/>
    <xf numFmtId="0" fontId="0" fillId="0" borderId="0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0" borderId="0" xfId="0" applyFont="1" applyFill="1"/>
    <xf numFmtId="0" fontId="6" fillId="0" borderId="0" xfId="0" applyFont="1" applyFill="1"/>
    <xf numFmtId="164" fontId="6" fillId="0" borderId="0" xfId="0" applyNumberFormat="1" applyFont="1" applyFill="1"/>
    <xf numFmtId="0" fontId="0" fillId="6" borderId="0" xfId="0" applyNumberFormat="1" applyFill="1"/>
    <xf numFmtId="2" fontId="0" fillId="0" borderId="0" xfId="0" applyNumberFormat="1" applyFill="1"/>
    <xf numFmtId="0" fontId="0" fillId="12" borderId="0" xfId="0" applyNumberFormat="1" applyFill="1"/>
    <xf numFmtId="0" fontId="0" fillId="13" borderId="0" xfId="0" applyNumberFormat="1" applyFill="1"/>
    <xf numFmtId="0" fontId="0" fillId="14" borderId="0" xfId="0" applyNumberFormat="1" applyFill="1"/>
    <xf numFmtId="0" fontId="0" fillId="15" borderId="0" xfId="0" applyNumberFormat="1" applyFill="1"/>
    <xf numFmtId="0" fontId="0" fillId="16" borderId="0" xfId="0" applyFill="1"/>
    <xf numFmtId="0" fontId="0" fillId="16" borderId="0" xfId="0" applyNumberFormat="1" applyFill="1"/>
    <xf numFmtId="0" fontId="0" fillId="0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chartsheet" Target="chartsheets/sheet5.xml"/><Relationship Id="rId18" Type="http://schemas.openxmlformats.org/officeDocument/2006/relationships/worksheet" Target="worksheets/sheet10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4.xml"/><Relationship Id="rId17" Type="http://schemas.openxmlformats.org/officeDocument/2006/relationships/chartsheet" Target="chartsheets/sheet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9.xml"/><Relationship Id="rId20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8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7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3.xml"/><Relationship Id="rId19" Type="http://schemas.openxmlformats.org/officeDocument/2006/relationships/chartsheet" Target="chart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chartsheet" Target="chartsheets/sheet6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9"/>
  <c:chart>
    <c:title>
      <c:tx>
        <c:rich>
          <a:bodyPr/>
          <a:lstStyle/>
          <a:p>
            <a:pPr>
              <a:defRPr/>
            </a:pPr>
            <a:r>
              <a:rPr lang="en-US" sz="1600"/>
              <a:t>Cytochrome</a:t>
            </a:r>
            <a:r>
              <a:rPr lang="en-US" sz="1600" baseline="0"/>
              <a:t> P450</a:t>
            </a:r>
            <a:endParaRPr lang="en-US" sz="1600"/>
          </a:p>
        </c:rich>
      </c:tx>
    </c:title>
    <c:plotArea>
      <c:layout>
        <c:manualLayout>
          <c:layoutTarget val="inner"/>
          <c:xMode val="edge"/>
          <c:yMode val="edge"/>
          <c:x val="0.10392330971453044"/>
          <c:y val="7.892430067266587E-2"/>
          <c:w val="0.86960912011538605"/>
          <c:h val="0.78680539188697918"/>
        </c:manualLayout>
      </c:layout>
      <c:scatterChart>
        <c:scatterStyle val="lineMarker"/>
        <c:ser>
          <c:idx val="0"/>
          <c:order val="0"/>
          <c:spPr>
            <a:ln w="47625">
              <a:noFill/>
            </a:ln>
          </c:spPr>
          <c:errBars>
            <c:errDir val="y"/>
            <c:errBarType val="both"/>
            <c:errValType val="cust"/>
            <c:plus>
              <c:numRef>
                <c:f>Phase1!$E$63</c:f>
                <c:numCache>
                  <c:formatCode>General</c:formatCode>
                  <c:ptCount val="1"/>
                  <c:pt idx="0">
                    <c:v>8.9013000000000009E-2</c:v>
                  </c:pt>
                </c:numCache>
              </c:numRef>
            </c:plus>
            <c:minus>
              <c:numRef>
                <c:f>Phase1!$E$63</c:f>
                <c:numCache>
                  <c:formatCode>General</c:formatCode>
                  <c:ptCount val="1"/>
                  <c:pt idx="0">
                    <c:v>8.9013000000000009E-2</c:v>
                  </c:pt>
                </c:numCache>
              </c:numRef>
            </c:minus>
          </c:errBars>
          <c:xVal>
            <c:numRef>
              <c:f>Phase1!$B$52:$D$52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Phase1!$B$53:$D$53</c:f>
              <c:numCache>
                <c:formatCode>General</c:formatCode>
                <c:ptCount val="3"/>
                <c:pt idx="0">
                  <c:v>3.3107218999999999</c:v>
                </c:pt>
                <c:pt idx="1">
                  <c:v>3.7498927000000002</c:v>
                </c:pt>
                <c:pt idx="2">
                  <c:v>3.1335044000000001</c:v>
                </c:pt>
              </c:numCache>
            </c:numRef>
          </c:yVal>
        </c:ser>
        <c:ser>
          <c:idx val="1"/>
          <c:order val="1"/>
          <c:spPr>
            <a:ln w="47625">
              <a:noFill/>
            </a:ln>
          </c:spPr>
          <c:errBars>
            <c:errDir val="y"/>
            <c:errBarType val="both"/>
            <c:errValType val="cust"/>
            <c:plus>
              <c:numRef>
                <c:f>Phase1!$E$64</c:f>
                <c:numCache>
                  <c:formatCode>General</c:formatCode>
                  <c:ptCount val="1"/>
                  <c:pt idx="0">
                    <c:v>6.0153333333333336E-2</c:v>
                  </c:pt>
                </c:numCache>
              </c:numRef>
            </c:plus>
            <c:minus>
              <c:numRef>
                <c:f>Phase1!$E$64</c:f>
                <c:numCache>
                  <c:formatCode>General</c:formatCode>
                  <c:ptCount val="1"/>
                  <c:pt idx="0">
                    <c:v>6.0153333333333336E-2</c:v>
                  </c:pt>
                </c:numCache>
              </c:numRef>
            </c:minus>
          </c:errBars>
          <c:xVal>
            <c:numRef>
              <c:f>Phase1!$B$52:$D$52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Phase1!$B$54:$D$54</c:f>
              <c:numCache>
                <c:formatCode>General</c:formatCode>
                <c:ptCount val="3"/>
                <c:pt idx="0">
                  <c:v>2.2509383999999999</c:v>
                </c:pt>
                <c:pt idx="1">
                  <c:v>3.3611163999999998</c:v>
                </c:pt>
                <c:pt idx="2">
                  <c:v>3.2695656</c:v>
                </c:pt>
              </c:numCache>
            </c:numRef>
          </c:yVal>
        </c:ser>
        <c:ser>
          <c:idx val="2"/>
          <c:order val="2"/>
          <c:spPr>
            <a:ln w="47625">
              <a:noFill/>
            </a:ln>
          </c:spPr>
          <c:errBars>
            <c:errDir val="y"/>
            <c:errBarType val="both"/>
            <c:errValType val="cust"/>
            <c:plus>
              <c:numRef>
                <c:f>Phase1!$E$65</c:f>
                <c:numCache>
                  <c:formatCode>General</c:formatCode>
                  <c:ptCount val="1"/>
                  <c:pt idx="0">
                    <c:v>0.13439999999999999</c:v>
                  </c:pt>
                </c:numCache>
              </c:numRef>
            </c:plus>
            <c:minus>
              <c:numRef>
                <c:f>Phase1!$E$65</c:f>
                <c:numCache>
                  <c:formatCode>General</c:formatCode>
                  <c:ptCount val="1"/>
                  <c:pt idx="0">
                    <c:v>0.13439999999999999</c:v>
                  </c:pt>
                </c:numCache>
              </c:numRef>
            </c:minus>
          </c:errBars>
          <c:xVal>
            <c:numRef>
              <c:f>Phase1!$B$52:$D$52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Phase1!$B$55:$D$55</c:f>
              <c:numCache>
                <c:formatCode>General</c:formatCode>
                <c:ptCount val="3"/>
                <c:pt idx="0">
                  <c:v>2.1884513000000001</c:v>
                </c:pt>
                <c:pt idx="1">
                  <c:v>3.1054263</c:v>
                </c:pt>
                <c:pt idx="2">
                  <c:v>3.1093183</c:v>
                </c:pt>
              </c:numCache>
            </c:numRef>
          </c:yVal>
        </c:ser>
        <c:ser>
          <c:idx val="3"/>
          <c:order val="3"/>
          <c:spPr>
            <a:ln w="47625">
              <a:noFill/>
            </a:ln>
          </c:spPr>
          <c:xVal>
            <c:numRef>
              <c:f>Phase1!$C$52:$D$52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Phase1!$C$55:$D$55</c:f>
              <c:numCache>
                <c:formatCode>General</c:formatCode>
                <c:ptCount val="2"/>
                <c:pt idx="0">
                  <c:v>3.1054263</c:v>
                </c:pt>
                <c:pt idx="1">
                  <c:v>3.1093183</c:v>
                </c:pt>
              </c:numCache>
            </c:numRef>
          </c:yVal>
        </c:ser>
        <c:ser>
          <c:idx val="4"/>
          <c:order val="4"/>
          <c:spPr>
            <a:ln w="47625">
              <a:noFill/>
            </a:ln>
          </c:spPr>
          <c:errBars>
            <c:errDir val="y"/>
            <c:errBarType val="both"/>
            <c:errValType val="cust"/>
            <c:plus>
              <c:numRef>
                <c:f>Phase1!$E$67</c:f>
                <c:numCache>
                  <c:formatCode>General</c:formatCode>
                  <c:ptCount val="1"/>
                  <c:pt idx="0">
                    <c:v>0.139685</c:v>
                  </c:pt>
                </c:numCache>
              </c:numRef>
            </c:plus>
            <c:minus>
              <c:numRef>
                <c:f>Phase1!$E$67</c:f>
                <c:numCache>
                  <c:formatCode>General</c:formatCode>
                  <c:ptCount val="1"/>
                  <c:pt idx="0">
                    <c:v>0.139685</c:v>
                  </c:pt>
                </c:numCache>
              </c:numRef>
            </c:minus>
          </c:errBars>
          <c:xVal>
            <c:numRef>
              <c:f>Phase1!$C$52:$D$52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Phase1!$C$57:$D$57</c:f>
              <c:numCache>
                <c:formatCode>General</c:formatCode>
                <c:ptCount val="2"/>
                <c:pt idx="0">
                  <c:v>2.4521494000000001</c:v>
                </c:pt>
                <c:pt idx="1">
                  <c:v>2.130147</c:v>
                </c:pt>
              </c:numCache>
            </c:numRef>
          </c:yVal>
        </c:ser>
        <c:ser>
          <c:idx val="5"/>
          <c:order val="5"/>
          <c:spPr>
            <a:ln w="47625">
              <a:noFill/>
            </a:ln>
          </c:spPr>
          <c:errBars>
            <c:errDir val="y"/>
            <c:errBarType val="both"/>
            <c:errValType val="cust"/>
            <c:plus>
              <c:numRef>
                <c:f>Phase1!$E$68</c:f>
                <c:numCache>
                  <c:formatCode>General</c:formatCode>
                  <c:ptCount val="1"/>
                  <c:pt idx="0">
                    <c:v>0.106585</c:v>
                  </c:pt>
                </c:numCache>
              </c:numRef>
            </c:plus>
            <c:minus>
              <c:numRef>
                <c:f>Phase1!$E$68</c:f>
                <c:numCache>
                  <c:formatCode>General</c:formatCode>
                  <c:ptCount val="1"/>
                  <c:pt idx="0">
                    <c:v>0.106585</c:v>
                  </c:pt>
                </c:numCache>
              </c:numRef>
            </c:minus>
          </c:errBars>
          <c:xVal>
            <c:numRef>
              <c:f>Phase1!$C$52:$D$52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Phase1!$C$58:$D$58</c:f>
              <c:numCache>
                <c:formatCode>General</c:formatCode>
                <c:ptCount val="2"/>
                <c:pt idx="0">
                  <c:v>2.4258237</c:v>
                </c:pt>
                <c:pt idx="1">
                  <c:v>3.2837909999999999</c:v>
                </c:pt>
              </c:numCache>
            </c:numRef>
          </c:yVal>
        </c:ser>
        <c:ser>
          <c:idx val="6"/>
          <c:order val="6"/>
          <c:spPr>
            <a:ln w="47625">
              <a:noFill/>
            </a:ln>
          </c:spPr>
          <c:marker>
            <c:spPr>
              <a:solidFill>
                <a:sysClr val="windowText" lastClr="000000"/>
              </a:solidFill>
            </c:spPr>
          </c:marker>
          <c:errBars>
            <c:errDir val="y"/>
            <c:errBarType val="both"/>
            <c:errValType val="cust"/>
            <c:plus>
              <c:numRef>
                <c:f>Phase1!$E$69</c:f>
                <c:numCache>
                  <c:formatCode>General</c:formatCode>
                  <c:ptCount val="1"/>
                  <c:pt idx="0">
                    <c:v>0.15914500000000001</c:v>
                  </c:pt>
                </c:numCache>
              </c:numRef>
            </c:plus>
            <c:minus>
              <c:numRef>
                <c:f>Phase1!$E$69</c:f>
                <c:numCache>
                  <c:formatCode>General</c:formatCode>
                  <c:ptCount val="1"/>
                  <c:pt idx="0">
                    <c:v>0.15914500000000001</c:v>
                  </c:pt>
                </c:numCache>
              </c:numRef>
            </c:minus>
          </c:errBars>
          <c:xVal>
            <c:numRef>
              <c:f>Phase1!$C$52:$D$52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Phase1!$C$59:$D$59</c:f>
              <c:numCache>
                <c:formatCode>General</c:formatCode>
                <c:ptCount val="2"/>
                <c:pt idx="0">
                  <c:v>2.5653790999999999</c:v>
                </c:pt>
                <c:pt idx="1">
                  <c:v>2.3721622999999998</c:v>
                </c:pt>
              </c:numCache>
            </c:numRef>
          </c:yVal>
        </c:ser>
        <c:ser>
          <c:idx val="7"/>
          <c:order val="7"/>
          <c:spPr>
            <a:ln w="47625">
              <a:noFill/>
            </a:ln>
          </c:spPr>
          <c:errBars>
            <c:errDir val="y"/>
            <c:errBarType val="both"/>
            <c:errValType val="cust"/>
            <c:plus>
              <c:numRef>
                <c:f>Phase1!$E$70</c:f>
                <c:numCache>
                  <c:formatCode>General</c:formatCode>
                  <c:ptCount val="1"/>
                  <c:pt idx="0">
                    <c:v>8.9300000000000004E-2</c:v>
                  </c:pt>
                </c:numCache>
              </c:numRef>
            </c:plus>
            <c:minus>
              <c:numRef>
                <c:f>Phase1!$E$70</c:f>
                <c:numCache>
                  <c:formatCode>General</c:formatCode>
                  <c:ptCount val="1"/>
                  <c:pt idx="0">
                    <c:v>8.9300000000000004E-2</c:v>
                  </c:pt>
                </c:numCache>
              </c:numRef>
            </c:minus>
          </c:errBars>
          <c:xVal>
            <c:numRef>
              <c:f>Phase1!$D$52</c:f>
              <c:numCache>
                <c:formatCode>General</c:formatCode>
                <c:ptCount val="1"/>
                <c:pt idx="0">
                  <c:v>48</c:v>
                </c:pt>
              </c:numCache>
            </c:numRef>
          </c:xVal>
          <c:yVal>
            <c:numRef>
              <c:f>Phase1!$D$60</c:f>
              <c:numCache>
                <c:formatCode>General</c:formatCode>
                <c:ptCount val="1"/>
                <c:pt idx="0">
                  <c:v>2.0513482000000001</c:v>
                </c:pt>
              </c:numCache>
            </c:numRef>
          </c:yVal>
        </c:ser>
        <c:ser>
          <c:idx val="8"/>
          <c:order val="8"/>
          <c:spPr>
            <a:ln w="47625">
              <a:noFill/>
            </a:ln>
          </c:spPr>
          <c:xVal>
            <c:numRef>
              <c:f>Phase1!$B$52:$D$52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Phase1!$B$61:$D$61</c:f>
              <c:numCache>
                <c:formatCode>General</c:formatCode>
                <c:ptCount val="3"/>
                <c:pt idx="0">
                  <c:v>2.5833705333333334</c:v>
                </c:pt>
                <c:pt idx="1">
                  <c:v>3.4054784666666666</c:v>
                </c:pt>
                <c:pt idx="2">
                  <c:v>3.1707961</c:v>
                </c:pt>
              </c:numCache>
            </c:numRef>
          </c:yVal>
        </c:ser>
        <c:axId val="70703360"/>
        <c:axId val="70710016"/>
      </c:scatterChart>
      <c:valAx>
        <c:axId val="7070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3785645636750314"/>
              <c:y val="0.91921266058471551"/>
            </c:manualLayout>
          </c:layout>
        </c:title>
        <c:numFmt formatCode="General" sourceLinked="1"/>
        <c:majorTickMark val="none"/>
        <c:tickLblPos val="nextTo"/>
        <c:crossAx val="70710016"/>
        <c:crosses val="autoZero"/>
        <c:crossBetween val="midCat"/>
      </c:valAx>
      <c:valAx>
        <c:axId val="70710016"/>
        <c:scaling>
          <c:orientation val="minMax"/>
          <c:min val="1.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/>
                  <a:t>Upregulation Amplification Factor</a:t>
                </a:r>
              </a:p>
            </c:rich>
          </c:tx>
        </c:title>
        <c:numFmt formatCode="General" sourceLinked="1"/>
        <c:majorTickMark val="none"/>
        <c:tickLblPos val="nextTo"/>
        <c:crossAx val="70703360"/>
        <c:crosses val="autoZero"/>
        <c:crossBetween val="midCat"/>
      </c:valAx>
    </c:plotArea>
    <c:plotVisOnly val="1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plotArea>
      <c:layout/>
      <c:barChart>
        <c:barDir val="col"/>
        <c:grouping val="clustered"/>
        <c:ser>
          <c:idx val="0"/>
          <c:order val="0"/>
          <c:tx>
            <c:v>8 hours</c:v>
          </c:tx>
          <c:spPr>
            <a:solidFill>
              <a:sysClr val="windowText" lastClr="000000"/>
            </a:solidFill>
          </c:spPr>
          <c:errBars>
            <c:errBarType val="both"/>
            <c:errValType val="cust"/>
            <c:plus>
              <c:numRef>
                <c:f>Phase1!$E$63</c:f>
                <c:numCache>
                  <c:formatCode>General</c:formatCode>
                  <c:ptCount val="1"/>
                  <c:pt idx="0">
                    <c:v>8.9013000000000009E-2</c:v>
                  </c:pt>
                </c:numCache>
              </c:numRef>
            </c:plus>
            <c:minus>
              <c:numRef>
                <c:f>Phase1!$E$63</c:f>
                <c:numCache>
                  <c:formatCode>General</c:formatCode>
                  <c:ptCount val="1"/>
                  <c:pt idx="0">
                    <c:v>8.9013000000000009E-2</c:v>
                  </c:pt>
                </c:numCache>
              </c:numRef>
            </c:minus>
            <c:spPr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errBars>
          <c:val>
            <c:numRef>
              <c:f>Phase1!$B$53:$B$55</c:f>
              <c:numCache>
                <c:formatCode>General</c:formatCode>
                <c:ptCount val="3"/>
                <c:pt idx="0">
                  <c:v>3.3107218999999999</c:v>
                </c:pt>
                <c:pt idx="1">
                  <c:v>2.2509383999999999</c:v>
                </c:pt>
                <c:pt idx="2">
                  <c:v>2.1884513000000001</c:v>
                </c:pt>
              </c:numCache>
            </c:numRef>
          </c:val>
        </c:ser>
        <c:ser>
          <c:idx val="1"/>
          <c:order val="1"/>
          <c:tx>
            <c:v>24 hours</c:v>
          </c:tx>
          <c:errBars>
            <c:errBarType val="both"/>
            <c:errValType val="cust"/>
            <c:plus>
              <c:numRef>
                <c:f>Phase1!$E$65</c:f>
                <c:numCache>
                  <c:formatCode>General</c:formatCode>
                  <c:ptCount val="1"/>
                  <c:pt idx="0">
                    <c:v>0.13439999999999999</c:v>
                  </c:pt>
                </c:numCache>
              </c:numRef>
            </c:plus>
            <c:minus>
              <c:numRef>
                <c:f>Phase1!$E$65</c:f>
                <c:numCache>
                  <c:formatCode>General</c:formatCode>
                  <c:ptCount val="1"/>
                  <c:pt idx="0">
                    <c:v>0.13439999999999999</c:v>
                  </c:pt>
                </c:numCache>
              </c:numRef>
            </c:minus>
          </c:errBars>
          <c:val>
            <c:numRef>
              <c:f>Phase1!$C$53:$C$59</c:f>
              <c:numCache>
                <c:formatCode>General</c:formatCode>
                <c:ptCount val="7"/>
                <c:pt idx="0">
                  <c:v>3.7498927000000002</c:v>
                </c:pt>
                <c:pt idx="1">
                  <c:v>3.3611163999999998</c:v>
                </c:pt>
                <c:pt idx="2">
                  <c:v>3.1054263</c:v>
                </c:pt>
                <c:pt idx="3">
                  <c:v>3.1632519000000001</c:v>
                </c:pt>
                <c:pt idx="4">
                  <c:v>2.4521494000000001</c:v>
                </c:pt>
                <c:pt idx="5">
                  <c:v>2.4258237</c:v>
                </c:pt>
                <c:pt idx="6">
                  <c:v>2.5653790999999999</c:v>
                </c:pt>
              </c:numCache>
            </c:numRef>
          </c:val>
        </c:ser>
        <c:ser>
          <c:idx val="2"/>
          <c:order val="2"/>
          <c:tx>
            <c:v>48 hours</c:v>
          </c:tx>
          <c:errBars>
            <c:errBarType val="both"/>
            <c:errValType val="cust"/>
            <c:plus>
              <c:numRef>
                <c:f>Phase1!$E$68</c:f>
                <c:numCache>
                  <c:formatCode>General</c:formatCode>
                  <c:ptCount val="1"/>
                  <c:pt idx="0">
                    <c:v>0.106585</c:v>
                  </c:pt>
                </c:numCache>
              </c:numRef>
            </c:plus>
            <c:minus>
              <c:numRef>
                <c:f>Phase1!$E$68</c:f>
                <c:numCache>
                  <c:formatCode>General</c:formatCode>
                  <c:ptCount val="1"/>
                  <c:pt idx="0">
                    <c:v>0.106585</c:v>
                  </c:pt>
                </c:numCache>
              </c:numRef>
            </c:minus>
          </c:errBars>
          <c:val>
            <c:numRef>
              <c:f>Phase1!$D$53:$D$60</c:f>
              <c:numCache>
                <c:formatCode>General</c:formatCode>
                <c:ptCount val="8"/>
                <c:pt idx="0">
                  <c:v>3.1335044000000001</c:v>
                </c:pt>
                <c:pt idx="1">
                  <c:v>3.2695656</c:v>
                </c:pt>
                <c:pt idx="2">
                  <c:v>3.1093183</c:v>
                </c:pt>
                <c:pt idx="3">
                  <c:v>2.5497822999999999</c:v>
                </c:pt>
                <c:pt idx="4">
                  <c:v>2.130147</c:v>
                </c:pt>
                <c:pt idx="5">
                  <c:v>3.2837909999999999</c:v>
                </c:pt>
                <c:pt idx="6">
                  <c:v>2.3721622999999998</c:v>
                </c:pt>
                <c:pt idx="7">
                  <c:v>2.0513482000000001</c:v>
                </c:pt>
              </c:numCache>
            </c:numRef>
          </c:val>
        </c:ser>
        <c:axId val="71901184"/>
        <c:axId val="71902720"/>
      </c:barChart>
      <c:catAx>
        <c:axId val="71901184"/>
        <c:scaling>
          <c:orientation val="minMax"/>
        </c:scaling>
        <c:axPos val="b"/>
        <c:tickLblPos val="nextTo"/>
        <c:crossAx val="71902720"/>
        <c:crosses val="autoZero"/>
        <c:auto val="1"/>
        <c:lblAlgn val="ctr"/>
        <c:lblOffset val="100"/>
      </c:catAx>
      <c:valAx>
        <c:axId val="71902720"/>
        <c:scaling>
          <c:orientation val="minMax"/>
          <c:min val="1.5"/>
        </c:scaling>
        <c:axPos val="l"/>
        <c:majorGridlines/>
        <c:numFmt formatCode="General" sourceLinked="1"/>
        <c:tickLblPos val="nextTo"/>
        <c:crossAx val="71901184"/>
        <c:crosses val="autoZero"/>
        <c:crossBetween val="between"/>
      </c:valAx>
    </c:plotArea>
    <c:legend>
      <c:legendPos val="r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Respiration Related Downregulation</a:t>
            </a:r>
          </a:p>
        </c:rich>
      </c:tx>
    </c:title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4.9156201077726148E-2"/>
                  <c:y val="0.11868121347672769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-8.4125202263972382E-2"/>
                  <c:y val="9.624602861843789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Fatty Acid </a:t>
                    </a:r>
                  </a:p>
                  <a:p>
                    <a:r>
                      <a:rPr lang="en-US"/>
                      <a:t>Metabolism
4%</a:t>
                    </a:r>
                  </a:p>
                </c:rich>
              </c:tx>
              <c:showCatName val="1"/>
              <c:showPercent val="1"/>
            </c:dLbl>
            <c:dLbl>
              <c:idx val="2"/>
              <c:layout>
                <c:manualLayout>
                  <c:x val="-0.10518880047025368"/>
                  <c:y val="7.60988111856750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Aspartate </a:t>
                    </a:r>
                  </a:p>
                  <a:p>
                    <a:r>
                      <a:rPr lang="en-US"/>
                      <a:t>Kinase Activity
6%</a:t>
                    </a:r>
                  </a:p>
                </c:rich>
              </c:tx>
              <c:showCatName val="1"/>
              <c:showPercent val="1"/>
            </c:dLbl>
            <c:dLbl>
              <c:idx val="3"/>
              <c:layout>
                <c:manualLayout>
                  <c:x val="-0.18430267779735621"/>
                  <c:y val="-2.3728895500304231E-3"/>
                </c:manualLayout>
              </c:layout>
              <c:showCatName val="1"/>
              <c:showPercent val="1"/>
            </c:dLbl>
            <c:dLbl>
              <c:idx val="4"/>
              <c:layout>
                <c:manualLayout>
                  <c:x val="-0.15656950152283391"/>
                  <c:y val="-0.1595985696188078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Proteolysis &amp; Peptidolysis
15%</a:t>
                    </a:r>
                  </a:p>
                </c:rich>
              </c:tx>
              <c:showCatName val="1"/>
              <c:showPercent val="1"/>
            </c:dLbl>
            <c:dLbl>
              <c:idx val="5"/>
              <c:layout>
                <c:manualLayout>
                  <c:x val="0.19300371976537148"/>
                  <c:y val="-3.3189124751873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Tyrosine Protein</a:t>
                    </a:r>
                  </a:p>
                  <a:p>
                    <a:r>
                      <a:rPr lang="en-US"/>
                      <a:t>Kinase
53%</a:t>
                    </a:r>
                  </a:p>
                </c:rich>
              </c:tx>
              <c:showCatName val="1"/>
              <c:showPercent val="1"/>
            </c:dLbl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CatName val="1"/>
            <c:showPercent val="1"/>
          </c:dLbls>
          <c:cat>
            <c:strRef>
              <c:f>Phase2!$C$125:$C$130</c:f>
              <c:strCache>
                <c:ptCount val="6"/>
                <c:pt idx="0">
                  <c:v>Glycolysis</c:v>
                </c:pt>
                <c:pt idx="1">
                  <c:v>Fatty Acid Metabolism</c:v>
                </c:pt>
                <c:pt idx="2">
                  <c:v>Aspartate Kinase Activity</c:v>
                </c:pt>
                <c:pt idx="3">
                  <c:v>Catalytic Activity</c:v>
                </c:pt>
                <c:pt idx="4">
                  <c:v>Proteolysis an Peptidolysis</c:v>
                </c:pt>
                <c:pt idx="5">
                  <c:v>Tyrosine Protein Kinase</c:v>
                </c:pt>
              </c:strCache>
            </c:strRef>
          </c:cat>
          <c:val>
            <c:numRef>
              <c:f>Phase2!$D$125:$D$130</c:f>
              <c:numCache>
                <c:formatCode>0.00</c:formatCode>
                <c:ptCount val="6"/>
                <c:pt idx="0">
                  <c:v>9.5890410958904102</c:v>
                </c:pt>
                <c:pt idx="1">
                  <c:v>4.10958904109589</c:v>
                </c:pt>
                <c:pt idx="2">
                  <c:v>5.4794520547945202</c:v>
                </c:pt>
                <c:pt idx="3">
                  <c:v>12.328767123287671</c:v>
                </c:pt>
                <c:pt idx="4">
                  <c:v>15.068493150684931</c:v>
                </c:pt>
                <c:pt idx="5">
                  <c:v>53.424657534246577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/>
              <a:t>Phase</a:t>
            </a:r>
            <a:r>
              <a:rPr lang="en-US" sz="1400" baseline="0"/>
              <a:t> 2: </a:t>
            </a:r>
            <a:r>
              <a:rPr lang="en-US" sz="1400"/>
              <a:t>Glutathione S-transferase</a:t>
            </a:r>
          </a:p>
        </c:rich>
      </c:tx>
      <c:layout>
        <c:manualLayout>
          <c:xMode val="edge"/>
          <c:yMode val="edge"/>
          <c:x val="0.28782833888272313"/>
          <c:y val="2.8276237085372517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5830558638549756E-2"/>
          <c:y val="0.12234910277324641"/>
          <c:w val="0.89308176100628889"/>
          <c:h val="0.76073953235454173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Phase2!$C$46:$C$48</c:f>
              <c:numCache>
                <c:formatCode>General</c:formatCode>
                <c:ptCount val="3"/>
                <c:pt idx="0">
                  <c:v>2.0720972999999998</c:v>
                </c:pt>
                <c:pt idx="1">
                  <c:v>3.8047013000000001</c:v>
                </c:pt>
                <c:pt idx="2">
                  <c:v>2.0575671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Phase2!$F$51</c:f>
                <c:numCache>
                  <c:formatCode>General</c:formatCode>
                  <c:ptCount val="1"/>
                  <c:pt idx="0">
                    <c:v>8.0468999999999999E-2</c:v>
                  </c:pt>
                </c:numCache>
              </c:numRef>
            </c:plus>
            <c:minus>
              <c:numRef>
                <c:f>Phase2!$F$51</c:f>
                <c:numCache>
                  <c:formatCode>General</c:formatCode>
                  <c:ptCount val="1"/>
                  <c:pt idx="0">
                    <c:v>8.0468999999999999E-2</c:v>
                  </c:pt>
                </c:numCache>
              </c:numRef>
            </c:minus>
          </c:errBars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Phase2!$C$46:$C$48</c:f>
              <c:numCache>
                <c:formatCode>General</c:formatCode>
                <c:ptCount val="3"/>
                <c:pt idx="0">
                  <c:v>2.0720972999999998</c:v>
                </c:pt>
                <c:pt idx="1">
                  <c:v>3.8047013000000001</c:v>
                </c:pt>
                <c:pt idx="2">
                  <c:v>2.0575671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Phase2!$F$53</c:f>
                <c:numCache>
                  <c:formatCode>General</c:formatCode>
                  <c:ptCount val="1"/>
                  <c:pt idx="0">
                    <c:v>6.4299999999999996E-2</c:v>
                  </c:pt>
                </c:numCache>
              </c:numRef>
            </c:plus>
            <c:minus>
              <c:numRef>
                <c:f>Phase2!$F$53</c:f>
                <c:numCache>
                  <c:formatCode>General</c:formatCode>
                  <c:ptCount val="1"/>
                  <c:pt idx="0">
                    <c:v>6.4299999999999996E-2</c:v>
                  </c:pt>
                </c:numCache>
              </c:numRef>
            </c:minus>
          </c:errBars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Phase2!$D$46:$D$48</c:f>
              <c:numCache>
                <c:formatCode>General</c:formatCode>
                <c:ptCount val="3"/>
                <c:pt idx="0">
                  <c:v>2.3783994000000002</c:v>
                </c:pt>
                <c:pt idx="1">
                  <c:v>2.2582946000000002</c:v>
                </c:pt>
                <c:pt idx="2">
                  <c:v>2.7821506999999999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squar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Phase2!$F$52</c:f>
                <c:numCache>
                  <c:formatCode>General</c:formatCode>
                  <c:ptCount val="1"/>
                  <c:pt idx="0">
                    <c:v>6.2080000000000003E-2</c:v>
                  </c:pt>
                </c:numCache>
              </c:numRef>
            </c:plus>
            <c:minus>
              <c:numRef>
                <c:f>Phase2!$F$52</c:f>
                <c:numCache>
                  <c:formatCode>General</c:formatCode>
                  <c:ptCount val="1"/>
                  <c:pt idx="0">
                    <c:v>6.2080000000000003E-2</c:v>
                  </c:pt>
                </c:numCache>
              </c:numRef>
            </c:minus>
          </c:errBars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Phase2!$E$46:$E$48</c:f>
              <c:numCache>
                <c:formatCode>General</c:formatCode>
                <c:ptCount val="3"/>
                <c:pt idx="0">
                  <c:v>3.384468</c:v>
                </c:pt>
                <c:pt idx="1">
                  <c:v>3.4396868</c:v>
                </c:pt>
                <c:pt idx="2">
                  <c:v>3.3448153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Phase2!$F$55</c:f>
                <c:numCache>
                  <c:formatCode>General</c:formatCode>
                  <c:ptCount val="1"/>
                  <c:pt idx="0">
                    <c:v>3.9620000000000002E-2</c:v>
                  </c:pt>
                </c:numCache>
              </c:numRef>
            </c:plus>
            <c:minus>
              <c:numRef>
                <c:f>Phase2!$F$55</c:f>
                <c:numCache>
                  <c:formatCode>General</c:formatCode>
                  <c:ptCount val="1"/>
                  <c:pt idx="0">
                    <c:v>3.9620000000000002E-2</c:v>
                  </c:pt>
                </c:numCache>
              </c:numRef>
            </c:minus>
          </c:errBars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Phase2!$F$46:$F$48</c:f>
              <c:numCache>
                <c:formatCode>General</c:formatCode>
                <c:ptCount val="3"/>
                <c:pt idx="0">
                  <c:v>3.2639326999999998</c:v>
                </c:pt>
                <c:pt idx="1">
                  <c:v>3.2918677000000001</c:v>
                </c:pt>
                <c:pt idx="2">
                  <c:v>3.6261315000000001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Phase2!$F$54</c:f>
                <c:numCache>
                  <c:formatCode>General</c:formatCode>
                  <c:ptCount val="1"/>
                  <c:pt idx="0">
                    <c:v>9.7030000000000005E-2</c:v>
                  </c:pt>
                </c:numCache>
              </c:numRef>
            </c:plus>
            <c:minus>
              <c:numRef>
                <c:f>Phase2!$F$54</c:f>
                <c:numCache>
                  <c:formatCode>General</c:formatCode>
                  <c:ptCount val="1"/>
                  <c:pt idx="0">
                    <c:v>9.7030000000000005E-2</c:v>
                  </c:pt>
                </c:numCache>
              </c:numRef>
            </c:minus>
          </c:errBars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Phase2!$G$46:$G$48</c:f>
              <c:numCache>
                <c:formatCode>General</c:formatCode>
                <c:ptCount val="3"/>
                <c:pt idx="0">
                  <c:v>2.9861960000000001</c:v>
                </c:pt>
                <c:pt idx="1">
                  <c:v>3.2701983000000001</c:v>
                </c:pt>
                <c:pt idx="2">
                  <c:v>2.5533055999999998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Phase2!$A$46:$A$48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Phase2!$H$46:$H$48</c:f>
              <c:numCache>
                <c:formatCode>General</c:formatCode>
                <c:ptCount val="3"/>
                <c:pt idx="0">
                  <c:v>2.6860306833333336</c:v>
                </c:pt>
                <c:pt idx="1">
                  <c:v>3.0823015333333337</c:v>
                </c:pt>
                <c:pt idx="2">
                  <c:v>2.7743046999999996</c:v>
                </c:pt>
              </c:numCache>
            </c:numRef>
          </c:yVal>
        </c:ser>
        <c:axId val="72063232"/>
        <c:axId val="72073984"/>
      </c:scatterChart>
      <c:valAx>
        <c:axId val="72063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4987051424343338"/>
              <c:y val="0.9401848830886351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73984"/>
        <c:crosses val="autoZero"/>
        <c:crossBetween val="midCat"/>
      </c:valAx>
      <c:valAx>
        <c:axId val="72073984"/>
        <c:scaling>
          <c:orientation val="minMax"/>
          <c:min val="1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Upregulation Amplification Factor</a:t>
                </a:r>
              </a:p>
            </c:rich>
          </c:tx>
          <c:layout>
            <c:manualLayout>
              <c:xMode val="edge"/>
              <c:yMode val="edge"/>
              <c:x val="1.0728819829818728E-2"/>
              <c:y val="0.23926046764545961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206323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/>
              <a:t>Phase 2: Glycosyltransferase </a:t>
            </a:r>
          </a:p>
        </c:rich>
      </c:tx>
      <c:layout>
        <c:manualLayout>
          <c:xMode val="edge"/>
          <c:yMode val="edge"/>
          <c:x val="0.41176470588235342"/>
          <c:y val="1.957585644371943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321864594894567"/>
          <c:y val="0.10766721044045684"/>
          <c:w val="0.86311505734369298"/>
          <c:h val="0.76889613920609079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ot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errBars>
            <c:errDir val="y"/>
            <c:errBarType val="both"/>
            <c:errValType val="cust"/>
            <c:plus>
              <c:numRef>
                <c:f>Phase2!$F$62</c:f>
                <c:numCache>
                  <c:formatCode>General</c:formatCode>
                  <c:ptCount val="1"/>
                  <c:pt idx="0">
                    <c:v>7.8759999999999997E-2</c:v>
                  </c:pt>
                </c:numCache>
              </c:numRef>
            </c:plus>
            <c:minus>
              <c:numRef>
                <c:f>Phase2!$F$62</c:f>
                <c:numCache>
                  <c:formatCode>General</c:formatCode>
                  <c:ptCount val="1"/>
                  <c:pt idx="0">
                    <c:v>7.8759999999999997E-2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Phase2!$B$51:$D$51</c:f>
              <c:numCache>
                <c:formatCode>General</c:formatCode>
                <c:ptCount val="3"/>
                <c:pt idx="2">
                  <c:v>2.4857844999999998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errBars>
            <c:errDir val="y"/>
            <c:errBarType val="both"/>
            <c:errValType val="cust"/>
            <c:plus>
              <c:numRef>
                <c:f>Phase2!$F$55</c:f>
                <c:numCache>
                  <c:formatCode>General</c:formatCode>
                  <c:ptCount val="1"/>
                  <c:pt idx="0">
                    <c:v>3.9620000000000002E-2</c:v>
                  </c:pt>
                </c:numCache>
              </c:numRef>
            </c:plus>
            <c:minus>
              <c:numRef>
                <c:f>Phase2!$F$55</c:f>
                <c:numCache>
                  <c:formatCode>General</c:formatCode>
                  <c:ptCount val="1"/>
                  <c:pt idx="0">
                    <c:v>3.9620000000000002E-2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Phase2!$B$52:$D$52</c:f>
              <c:numCache>
                <c:formatCode>General</c:formatCode>
                <c:ptCount val="3"/>
                <c:pt idx="2">
                  <c:v>2.0315413000000002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errBars>
            <c:errDir val="y"/>
            <c:errBarType val="both"/>
            <c:errValType val="cust"/>
            <c:plus>
              <c:numRef>
                <c:f>Phase2!$F$68</c:f>
                <c:numCache>
                  <c:formatCode>General</c:formatCode>
                  <c:ptCount val="1"/>
                  <c:pt idx="0">
                    <c:v>8.9300000000000004E-2</c:v>
                  </c:pt>
                </c:numCache>
              </c:numRef>
            </c:plus>
            <c:minus>
              <c:numRef>
                <c:f>Phase2!$F$68</c:f>
                <c:numCache>
                  <c:formatCode>General</c:formatCode>
                  <c:ptCount val="1"/>
                  <c:pt idx="0">
                    <c:v>8.9300000000000004E-2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Phase2!$B$53:$D$53</c:f>
              <c:numCache>
                <c:formatCode>General</c:formatCode>
                <c:ptCount val="3"/>
                <c:pt idx="2">
                  <c:v>2.0006927999999999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squar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errBars>
            <c:errDir val="y"/>
            <c:errBarType val="both"/>
            <c:errValType val="cust"/>
            <c:plus>
              <c:numRef>
                <c:f>Phase2!$F$64</c:f>
                <c:numCache>
                  <c:formatCode>General</c:formatCode>
                  <c:ptCount val="1"/>
                  <c:pt idx="0">
                    <c:v>9.3439999999999995E-2</c:v>
                  </c:pt>
                </c:numCache>
              </c:numRef>
            </c:plus>
            <c:minus>
              <c:numRef>
                <c:f>Phase2!$F$64</c:f>
                <c:numCache>
                  <c:formatCode>General</c:formatCode>
                  <c:ptCount val="1"/>
                  <c:pt idx="0">
                    <c:v>9.3439999999999995E-2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Phase2!$B$54:$D$54</c:f>
              <c:numCache>
                <c:formatCode>General</c:formatCode>
                <c:ptCount val="3"/>
                <c:pt idx="1">
                  <c:v>2.4403095000000001</c:v>
                </c:pt>
                <c:pt idx="2">
                  <c:v>2.4009103999999999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triang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Phase2!$F$66</c:f>
                <c:numCache>
                  <c:formatCode>General</c:formatCode>
                  <c:ptCount val="1"/>
                  <c:pt idx="0">
                    <c:v>0.1108</c:v>
                  </c:pt>
                </c:numCache>
              </c:numRef>
            </c:plus>
            <c:minus>
              <c:numRef>
                <c:f>Phase2!$F$66</c:f>
                <c:numCache>
                  <c:formatCode>General</c:formatCode>
                  <c:ptCount val="1"/>
                  <c:pt idx="0">
                    <c:v>0.1108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Phase2!$B$55:$D$55</c:f>
              <c:numCache>
                <c:formatCode>General</c:formatCode>
                <c:ptCount val="3"/>
                <c:pt idx="0">
                  <c:v>2.4714274000000001</c:v>
                </c:pt>
                <c:pt idx="1">
                  <c:v>2.972394</c:v>
                </c:pt>
                <c:pt idx="2">
                  <c:v>3.6646070000000002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Phase2!$F$62</c:f>
                <c:numCache>
                  <c:formatCode>General</c:formatCode>
                  <c:ptCount val="1"/>
                  <c:pt idx="0">
                    <c:v>7.8759999999999997E-2</c:v>
                  </c:pt>
                </c:numCache>
              </c:numRef>
            </c:plus>
            <c:minus>
              <c:numRef>
                <c:f>Phase2!$F$62</c:f>
                <c:numCache>
                  <c:formatCode>General</c:formatCode>
                  <c:ptCount val="1"/>
                  <c:pt idx="0">
                    <c:v>7.8759999999999997E-2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Phase2!$B$56:$D$56</c:f>
              <c:numCache>
                <c:formatCode>General</c:formatCode>
                <c:ptCount val="3"/>
                <c:pt idx="0">
                  <c:v>2.2652291999999998</c:v>
                </c:pt>
                <c:pt idx="1">
                  <c:v>3.3127928</c:v>
                </c:pt>
                <c:pt idx="2">
                  <c:v>2.5785407999999999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Phase2!$F$63</c:f>
                <c:numCache>
                  <c:formatCode>General</c:formatCode>
                  <c:ptCount val="1"/>
                  <c:pt idx="0">
                    <c:v>0.1368</c:v>
                  </c:pt>
                </c:numCache>
              </c:numRef>
            </c:plus>
            <c:minus>
              <c:numRef>
                <c:f>Phase2!$F$63</c:f>
                <c:numCache>
                  <c:formatCode>General</c:formatCode>
                  <c:ptCount val="1"/>
                  <c:pt idx="0">
                    <c:v>0.1368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Phase2!$B$57:$D$57</c:f>
              <c:numCache>
                <c:formatCode>General</c:formatCode>
                <c:ptCount val="3"/>
                <c:pt idx="0">
                  <c:v>2.2626428999999999</c:v>
                </c:pt>
                <c:pt idx="1">
                  <c:v>2.5350199</c:v>
                </c:pt>
                <c:pt idx="2">
                  <c:v>2.5151935000000001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Phase2!$F$64</c:f>
                <c:numCache>
                  <c:formatCode>General</c:formatCode>
                  <c:ptCount val="1"/>
                  <c:pt idx="0">
                    <c:v>9.3439999999999995E-2</c:v>
                  </c:pt>
                </c:numCache>
              </c:numRef>
            </c:plus>
            <c:minus>
              <c:numRef>
                <c:f>Phase2!$F$64</c:f>
                <c:numCache>
                  <c:formatCode>General</c:formatCode>
                  <c:ptCount val="1"/>
                  <c:pt idx="0">
                    <c:v>9.3439999999999995E-2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Phase2!$B$58:$D$58</c:f>
              <c:numCache>
                <c:formatCode>General</c:formatCode>
                <c:ptCount val="3"/>
                <c:pt idx="0">
                  <c:v>4.4594072999999996</c:v>
                </c:pt>
                <c:pt idx="1">
                  <c:v>3.8608221999999999</c:v>
                </c:pt>
                <c:pt idx="2">
                  <c:v>2.1724543999999999</c:v>
                </c:pt>
              </c:numCache>
            </c:numRef>
          </c:yVal>
        </c:ser>
        <c:ser>
          <c:idx val="8"/>
          <c:order val="8"/>
          <c:spPr>
            <a:ln w="28575">
              <a:noFill/>
            </a:ln>
          </c:spPr>
          <c:marker>
            <c:symbol val="squar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Phase2!$F$56</c:f>
                <c:numCache>
                  <c:formatCode>General</c:formatCode>
                  <c:ptCount val="1"/>
                  <c:pt idx="0">
                    <c:v>0.2021</c:v>
                  </c:pt>
                </c:numCache>
              </c:numRef>
            </c:plus>
            <c:minus>
              <c:numRef>
                <c:f>Phase2!$F$56</c:f>
                <c:numCache>
                  <c:formatCode>General</c:formatCode>
                  <c:ptCount val="1"/>
                  <c:pt idx="0">
                    <c:v>0.2021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Phase2!$B$59:$D$59</c:f>
              <c:numCache>
                <c:formatCode>General</c:formatCode>
                <c:ptCount val="3"/>
                <c:pt idx="1">
                  <c:v>2.4181089999999998</c:v>
                </c:pt>
                <c:pt idx="2">
                  <c:v>2.0497402999999998</c:v>
                </c:pt>
              </c:numCache>
            </c:numRef>
          </c:yVal>
        </c:ser>
        <c:ser>
          <c:idx val="9"/>
          <c:order val="9"/>
          <c:spPr>
            <a:ln w="28575">
              <a:noFill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Phase2!$F$60</c:f>
                <c:numCache>
                  <c:formatCode>General</c:formatCode>
                  <c:ptCount val="1"/>
                  <c:pt idx="0">
                    <c:v>0.21379000000000001</c:v>
                  </c:pt>
                </c:numCache>
              </c:numRef>
            </c:plus>
            <c:minus>
              <c:numRef>
                <c:f>Phase2!$F$60</c:f>
                <c:numCache>
                  <c:formatCode>General</c:formatCode>
                  <c:ptCount val="1"/>
                  <c:pt idx="0">
                    <c:v>0.21379000000000001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Phase2!$B$60:$D$60</c:f>
              <c:numCache>
                <c:formatCode>General</c:formatCode>
                <c:ptCount val="3"/>
                <c:pt idx="0">
                  <c:v>2.3411007000000001</c:v>
                </c:pt>
                <c:pt idx="1">
                  <c:v>2.8032460000000001</c:v>
                </c:pt>
                <c:pt idx="2">
                  <c:v>2.1271266999999998</c:v>
                </c:pt>
              </c:numCache>
            </c:numRef>
          </c:yVal>
        </c:ser>
        <c:ser>
          <c:idx val="10"/>
          <c:order val="10"/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Phase2!$F$68</c:f>
                <c:numCache>
                  <c:formatCode>General</c:formatCode>
                  <c:ptCount val="1"/>
                  <c:pt idx="0">
                    <c:v>8.9300000000000004E-2</c:v>
                  </c:pt>
                </c:numCache>
              </c:numRef>
            </c:plus>
            <c:minus>
              <c:numRef>
                <c:f>Phase2!$F$68</c:f>
                <c:numCache>
                  <c:formatCode>General</c:formatCode>
                  <c:ptCount val="1"/>
                  <c:pt idx="0">
                    <c:v>8.9300000000000004E-2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Phase2!$B$61:$D$61</c:f>
              <c:numCache>
                <c:formatCode>General</c:formatCode>
                <c:ptCount val="3"/>
                <c:pt idx="0">
                  <c:v>4.0937960000000002</c:v>
                </c:pt>
                <c:pt idx="1">
                  <c:v>4.6559524999999997</c:v>
                </c:pt>
                <c:pt idx="2">
                  <c:v>2.638754</c:v>
                </c:pt>
              </c:numCache>
            </c:numRef>
          </c:yVal>
        </c:ser>
        <c:ser>
          <c:idx val="11"/>
          <c:order val="11"/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Phase2!$F$67</c:f>
                <c:numCache>
                  <c:formatCode>General</c:formatCode>
                  <c:ptCount val="1"/>
                  <c:pt idx="0">
                    <c:v>0.1045</c:v>
                  </c:pt>
                </c:numCache>
              </c:numRef>
            </c:plus>
            <c:minus>
              <c:numRef>
                <c:f>Phase2!$F$67</c:f>
                <c:numCache>
                  <c:formatCode>General</c:formatCode>
                  <c:ptCount val="1"/>
                  <c:pt idx="0">
                    <c:v>0.1045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Phase2!$B$62:$D$62</c:f>
              <c:numCache>
                <c:formatCode>General</c:formatCode>
                <c:ptCount val="3"/>
                <c:pt idx="0">
                  <c:v>3.8327016999999999</c:v>
                </c:pt>
                <c:pt idx="1">
                  <c:v>4.9457655000000003</c:v>
                </c:pt>
                <c:pt idx="2">
                  <c:v>2.6404830000000001</c:v>
                </c:pt>
              </c:numCache>
            </c:numRef>
          </c:yVal>
        </c:ser>
        <c:ser>
          <c:idx val="14"/>
          <c:order val="12"/>
          <c:spPr>
            <a:ln w="28575">
              <a:noFill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Pt>
            <c:idx val="1"/>
            <c:marker>
              <c:symbol val="star"/>
              <c:size val="6"/>
              <c:spPr>
                <a:noFill/>
                <a:ln>
                  <a:solidFill>
                    <a:srgbClr val="000000"/>
                  </a:solidFill>
                  <a:prstDash val="solid"/>
                </a:ln>
              </c:spPr>
            </c:marker>
          </c:dPt>
          <c:errBars>
            <c:errDir val="y"/>
            <c:errBarType val="both"/>
            <c:errValType val="cust"/>
            <c:plus>
              <c:numRef>
                <c:f>Phase2!$F$52</c:f>
                <c:numCache>
                  <c:formatCode>General</c:formatCode>
                  <c:ptCount val="1"/>
                  <c:pt idx="0">
                    <c:v>6.2080000000000003E-2</c:v>
                  </c:pt>
                </c:numCache>
              </c:numRef>
            </c:plus>
            <c:minus>
              <c:numRef>
                <c:f>Phase2!$F$52</c:f>
                <c:numCache>
                  <c:formatCode>General</c:formatCode>
                  <c:ptCount val="1"/>
                  <c:pt idx="0">
                    <c:v>6.2080000000000003E-2</c:v>
                  </c:pt>
                </c:numCache>
              </c:numRef>
            </c:minus>
          </c:errBars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Phase2!$B$63:$D$63</c:f>
              <c:numCache>
                <c:formatCode>General</c:formatCode>
                <c:ptCount val="3"/>
                <c:pt idx="0">
                  <c:v>3.07443</c:v>
                </c:pt>
                <c:pt idx="1">
                  <c:v>3.6248583999999999</c:v>
                </c:pt>
                <c:pt idx="2">
                  <c:v>2.5586380000000002</c:v>
                </c:pt>
              </c:numCache>
            </c:numRef>
          </c:yVal>
        </c:ser>
        <c:ser>
          <c:idx val="12"/>
          <c:order val="13"/>
          <c:spPr>
            <a:ln w="28575">
              <a:noFill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Phase2!$B$50:$D$50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Phase2!$B$64:$D$64</c:f>
              <c:numCache>
                <c:formatCode>General</c:formatCode>
                <c:ptCount val="3"/>
                <c:pt idx="0">
                  <c:v>3.1000918999999998</c:v>
                </c:pt>
                <c:pt idx="1">
                  <c:v>3.3569269799999999</c:v>
                </c:pt>
                <c:pt idx="2">
                  <c:v>2.4511128230769228</c:v>
                </c:pt>
              </c:numCache>
            </c:numRef>
          </c:yVal>
        </c:ser>
        <c:axId val="75014144"/>
        <c:axId val="75016448"/>
      </c:scatterChart>
      <c:valAx>
        <c:axId val="75014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5689974102848685"/>
              <c:y val="0.9358346927678086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016448"/>
        <c:crosses val="autoZero"/>
        <c:crossBetween val="midCat"/>
      </c:valAx>
      <c:valAx>
        <c:axId val="75016448"/>
        <c:scaling>
          <c:orientation val="minMax"/>
          <c:max val="5.5"/>
          <c:min val="1.5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Upregulation Amplification Factor</a:t>
                </a:r>
              </a:p>
            </c:rich>
          </c:tx>
          <c:layout>
            <c:manualLayout>
              <c:xMode val="edge"/>
              <c:yMode val="edge"/>
              <c:x val="2.3677395486496527E-2"/>
              <c:y val="0.21750951604132698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0141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/>
              <a:t>Phase</a:t>
            </a:r>
            <a:r>
              <a:rPr lang="en-US" sz="1400" baseline="0"/>
              <a:t> 2: </a:t>
            </a:r>
            <a:r>
              <a:rPr lang="en-US" sz="1400"/>
              <a:t>Glucosyltransferase</a:t>
            </a:r>
          </a:p>
        </c:rich>
      </c:tx>
      <c:layout>
        <c:manualLayout>
          <c:xMode val="edge"/>
          <c:yMode val="edge"/>
          <c:x val="0.40399556048834628"/>
          <c:y val="1.46818923327895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0802811690714022"/>
          <c:y val="0.12071778140293646"/>
          <c:w val="0.86977432482426931"/>
          <c:h val="0.74279499728113185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Phase2!$F$54</c:f>
                <c:numCache>
                  <c:formatCode>General</c:formatCode>
                  <c:ptCount val="1"/>
                  <c:pt idx="0">
                    <c:v>9.7030000000000005E-2</c:v>
                  </c:pt>
                </c:numCache>
              </c:numRef>
            </c:plus>
            <c:minus>
              <c:numRef>
                <c:f>Phase2!$F$54</c:f>
                <c:numCache>
                  <c:formatCode>General</c:formatCode>
                  <c:ptCount val="1"/>
                  <c:pt idx="0">
                    <c:v>9.7030000000000005E-2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Phase2!$B$69:$D$69</c:f>
              <c:numCache>
                <c:formatCode>General</c:formatCode>
                <c:ptCount val="3"/>
                <c:pt idx="0">
                  <c:v>2.2868433000000001</c:v>
                </c:pt>
                <c:pt idx="1">
                  <c:v>2.7557019999999999</c:v>
                </c:pt>
                <c:pt idx="2">
                  <c:v>2.050694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Phase2!$F$67</c:f>
                <c:numCache>
                  <c:formatCode>General</c:formatCode>
                  <c:ptCount val="1"/>
                  <c:pt idx="0">
                    <c:v>0.1045</c:v>
                  </c:pt>
                </c:numCache>
              </c:numRef>
            </c:plus>
            <c:minus>
              <c:numRef>
                <c:f>Phase2!$F$67</c:f>
                <c:numCache>
                  <c:formatCode>General</c:formatCode>
                  <c:ptCount val="1"/>
                  <c:pt idx="0">
                    <c:v>0.1045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Phase2!$B$70:$D$70</c:f>
              <c:numCache>
                <c:formatCode>General</c:formatCode>
                <c:ptCount val="3"/>
                <c:pt idx="0">
                  <c:v>2.3990064000000002</c:v>
                </c:pt>
                <c:pt idx="1">
                  <c:v>3.3213157999999998</c:v>
                </c:pt>
                <c:pt idx="2">
                  <c:v>3.2685366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Phase2!$F$63</c:f>
                <c:numCache>
                  <c:formatCode>General</c:formatCode>
                  <c:ptCount val="1"/>
                  <c:pt idx="0">
                    <c:v>0.1368</c:v>
                  </c:pt>
                </c:numCache>
              </c:numRef>
            </c:plus>
            <c:minus>
              <c:numRef>
                <c:f>Phase2!$F$63</c:f>
                <c:numCache>
                  <c:formatCode>General</c:formatCode>
                  <c:ptCount val="1"/>
                  <c:pt idx="0">
                    <c:v>0.1368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Phase2!$B$71:$D$71</c:f>
              <c:numCache>
                <c:formatCode>General</c:formatCode>
                <c:ptCount val="3"/>
                <c:pt idx="0">
                  <c:v>3.6439176</c:v>
                </c:pt>
                <c:pt idx="1">
                  <c:v>4.4505486000000003</c:v>
                </c:pt>
                <c:pt idx="2">
                  <c:v>4.3238797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diamond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Phase2!$F$62</c:f>
                <c:numCache>
                  <c:formatCode>General</c:formatCode>
                  <c:ptCount val="1"/>
                  <c:pt idx="0">
                    <c:v>7.8759999999999997E-2</c:v>
                  </c:pt>
                </c:numCache>
              </c:numRef>
            </c:plus>
            <c:minus>
              <c:numRef>
                <c:f>Phase2!$F$62</c:f>
                <c:numCache>
                  <c:formatCode>General</c:formatCode>
                  <c:ptCount val="1"/>
                  <c:pt idx="0">
                    <c:v>7.8759999999999997E-2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Phase2!$B$72:$D$72</c:f>
              <c:numCache>
                <c:formatCode>General</c:formatCode>
                <c:ptCount val="3"/>
                <c:pt idx="0">
                  <c:v>2.4890219999999998</c:v>
                </c:pt>
                <c:pt idx="1">
                  <c:v>3.9252937000000001</c:v>
                </c:pt>
                <c:pt idx="2">
                  <c:v>4.8174533999999998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squar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Phase2!$F$58</c:f>
                <c:numCache>
                  <c:formatCode>General</c:formatCode>
                  <c:ptCount val="1"/>
                  <c:pt idx="0">
                    <c:v>0.15067</c:v>
                  </c:pt>
                </c:numCache>
              </c:numRef>
            </c:plus>
            <c:minus>
              <c:numRef>
                <c:f>Phase2!$F$58</c:f>
                <c:numCache>
                  <c:formatCode>General</c:formatCode>
                  <c:ptCount val="1"/>
                  <c:pt idx="0">
                    <c:v>0.15067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Phase2!$B$73:$D$73</c:f>
              <c:numCache>
                <c:formatCode>General</c:formatCode>
                <c:ptCount val="3"/>
                <c:pt idx="0">
                  <c:v>3.9955196000000002</c:v>
                </c:pt>
                <c:pt idx="1">
                  <c:v>4.2567089999999999</c:v>
                </c:pt>
                <c:pt idx="2">
                  <c:v>3.9959383000000002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Phase2!$F$53</c:f>
                <c:numCache>
                  <c:formatCode>General</c:formatCode>
                  <c:ptCount val="1"/>
                  <c:pt idx="0">
                    <c:v>6.4299999999999996E-2</c:v>
                  </c:pt>
                </c:numCache>
              </c:numRef>
            </c:plus>
            <c:minus>
              <c:numRef>
                <c:f>Phase2!$F$53</c:f>
                <c:numCache>
                  <c:formatCode>General</c:formatCode>
                  <c:ptCount val="1"/>
                  <c:pt idx="0">
                    <c:v>6.4299999999999996E-2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Phase2!$B$74:$D$74</c:f>
              <c:numCache>
                <c:formatCode>General</c:formatCode>
                <c:ptCount val="3"/>
                <c:pt idx="1">
                  <c:v>3.2951157000000002</c:v>
                </c:pt>
                <c:pt idx="2">
                  <c:v>4.4070396000000001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Phase2!$F$59</c:f>
                <c:numCache>
                  <c:formatCode>General</c:formatCode>
                  <c:ptCount val="1"/>
                  <c:pt idx="0">
                    <c:v>0.10237</c:v>
                  </c:pt>
                </c:numCache>
              </c:numRef>
            </c:plus>
            <c:minus>
              <c:numRef>
                <c:f>Phase2!$F$59</c:f>
                <c:numCache>
                  <c:formatCode>General</c:formatCode>
                  <c:ptCount val="1"/>
                  <c:pt idx="0">
                    <c:v>0.10237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Phase2!$B$75:$D$75</c:f>
              <c:numCache>
                <c:formatCode>General</c:formatCode>
                <c:ptCount val="3"/>
                <c:pt idx="1">
                  <c:v>2.4953455999999998</c:v>
                </c:pt>
                <c:pt idx="2">
                  <c:v>2.1938447999999999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star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Phase2!$F$63</c:f>
                <c:numCache>
                  <c:formatCode>General</c:formatCode>
                  <c:ptCount val="1"/>
                  <c:pt idx="0">
                    <c:v>0.1368</c:v>
                  </c:pt>
                </c:numCache>
              </c:numRef>
            </c:plus>
            <c:minus>
              <c:numRef>
                <c:f>Phase2!$F$63</c:f>
                <c:numCache>
                  <c:formatCode>General</c:formatCode>
                  <c:ptCount val="1"/>
                  <c:pt idx="0">
                    <c:v>0.1368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Phase2!$B$76:$D$76</c:f>
              <c:numCache>
                <c:formatCode>General</c:formatCode>
                <c:ptCount val="3"/>
                <c:pt idx="1">
                  <c:v>2.0399215000000002</c:v>
                </c:pt>
                <c:pt idx="2">
                  <c:v>2.2210516999999999</c:v>
                </c:pt>
              </c:numCache>
            </c:numRef>
          </c:yVal>
        </c:ser>
        <c:ser>
          <c:idx val="8"/>
          <c:order val="8"/>
          <c:spPr>
            <a:ln w="28575">
              <a:noFill/>
            </a:ln>
          </c:spPr>
          <c:marker>
            <c:symbol val="triang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plus>
              <c:numRef>
                <c:f>Phase2!$F$61</c:f>
                <c:numCache>
                  <c:formatCode>General</c:formatCode>
                  <c:ptCount val="1"/>
                  <c:pt idx="0">
                    <c:v>8.9539999999999995E-2</c:v>
                  </c:pt>
                </c:numCache>
              </c:numRef>
            </c:plus>
            <c:minus>
              <c:numRef>
                <c:f>Phase2!$F$61</c:f>
                <c:numCache>
                  <c:formatCode>General</c:formatCode>
                  <c:ptCount val="1"/>
                  <c:pt idx="0">
                    <c:v>8.9539999999999995E-2</c:v>
                  </c:pt>
                </c:numCache>
              </c:numRef>
            </c:minus>
          </c:errBars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Phase2!$B$77:$D$77</c:f>
              <c:numCache>
                <c:formatCode>General</c:formatCode>
                <c:ptCount val="3"/>
                <c:pt idx="1">
                  <c:v>2.6103844999999999</c:v>
                </c:pt>
                <c:pt idx="2">
                  <c:v>3.6278736999999999</c:v>
                </c:pt>
              </c:numCache>
            </c:numRef>
          </c:yVal>
        </c:ser>
        <c:ser>
          <c:idx val="9"/>
          <c:order val="9"/>
          <c:spPr>
            <a:ln w="28575">
              <a:noFill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Phase2!$B$68:$D$68</c:f>
              <c:numCache>
                <c:formatCode>General</c:formatCode>
                <c:ptCount val="3"/>
                <c:pt idx="0">
                  <c:v>8</c:v>
                </c:pt>
                <c:pt idx="1">
                  <c:v>24</c:v>
                </c:pt>
                <c:pt idx="2">
                  <c:v>48</c:v>
                </c:pt>
              </c:numCache>
            </c:numRef>
          </c:xVal>
          <c:yVal>
            <c:numRef>
              <c:f>Phase2!$B$78:$D$78</c:f>
              <c:numCache>
                <c:formatCode>General</c:formatCode>
                <c:ptCount val="3"/>
                <c:pt idx="0">
                  <c:v>2.9628617799999999</c:v>
                </c:pt>
                <c:pt idx="1">
                  <c:v>3.2389262666666672</c:v>
                </c:pt>
                <c:pt idx="2">
                  <c:v>3.4340346444444445</c:v>
                </c:pt>
              </c:numCache>
            </c:numRef>
          </c:yVal>
        </c:ser>
        <c:axId val="75388416"/>
        <c:axId val="75390976"/>
      </c:scatterChart>
      <c:valAx>
        <c:axId val="75388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355900850906401"/>
              <c:y val="0.927134312126155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390976"/>
        <c:crosses val="autoZero"/>
        <c:crossBetween val="midCat"/>
      </c:valAx>
      <c:valAx>
        <c:axId val="75390976"/>
        <c:scaling>
          <c:orientation val="minMax"/>
          <c:max val="5"/>
          <c:min val="1.5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Upregulation Amplification Factor</a:t>
                </a:r>
              </a:p>
            </c:rich>
          </c:tx>
          <c:layout>
            <c:manualLayout>
              <c:xMode val="edge"/>
              <c:yMode val="edge"/>
              <c:x val="1.9607843137254902E-2"/>
              <c:y val="0.2936378466557909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38841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DNA Binding Downregulation</a:t>
            </a:r>
          </a:p>
        </c:rich>
      </c:tx>
    </c:title>
    <c:plotArea>
      <c:layout/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22780217787602422"/>
                  <c:y val="-4.7019185720869536E-2"/>
                </c:manualLayout>
              </c:layout>
              <c:showCatName val="1"/>
              <c:showPercent val="1"/>
            </c:dLbl>
            <c:dLbl>
              <c:idx val="1"/>
              <c:layout>
                <c:manualLayout>
                  <c:x val="0.10099449048396172"/>
                  <c:y val="-0.12009642318825654"/>
                </c:manualLayout>
              </c:layout>
              <c:showCatName val="1"/>
              <c:showPercent val="1"/>
            </c:dLbl>
            <c:dLbl>
              <c:idx val="2"/>
              <c:layout>
                <c:manualLayout>
                  <c:x val="0.1726774882217427"/>
                  <c:y val="-7.5389854573247282E-3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0.13588136338490345"/>
                  <c:y val="0.11693871962244955"/>
                </c:manualLayout>
              </c:layout>
              <c:showCatName val="1"/>
              <c:showPercent val="1"/>
            </c:dLbl>
            <c:dLbl>
              <c:idx val="4"/>
              <c:layout>
                <c:manualLayout>
                  <c:x val="9.9074914838043524E-2"/>
                  <c:y val="0.14571618771542649"/>
                </c:manualLayout>
              </c:layout>
              <c:showCatName val="1"/>
              <c:showPercent val="1"/>
            </c:dLbl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Phase3!$C$179:$C$183</c:f>
              <c:strCache>
                <c:ptCount val="5"/>
                <c:pt idx="0">
                  <c:v>General DNA Binding</c:v>
                </c:pt>
                <c:pt idx="1">
                  <c:v>Zinc-finger</c:v>
                </c:pt>
                <c:pt idx="2">
                  <c:v>Leucine zipper</c:v>
                </c:pt>
                <c:pt idx="3">
                  <c:v>Helix-turn-Helix</c:v>
                </c:pt>
                <c:pt idx="4">
                  <c:v>DNA methylation</c:v>
                </c:pt>
              </c:strCache>
            </c:strRef>
          </c:cat>
          <c:val>
            <c:numRef>
              <c:f>Phase3!$D$179:$D$183</c:f>
              <c:numCache>
                <c:formatCode>0.00</c:formatCode>
                <c:ptCount val="5"/>
                <c:pt idx="0">
                  <c:v>54.054054054054056</c:v>
                </c:pt>
                <c:pt idx="1">
                  <c:v>13.513513513513514</c:v>
                </c:pt>
                <c:pt idx="2">
                  <c:v>13.513513513513514</c:v>
                </c:pt>
                <c:pt idx="3">
                  <c:v>8.1081081081081088</c:v>
                </c:pt>
                <c:pt idx="4">
                  <c:v>10.810810810810811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Phase3!$C$36:$D$36</c:f>
              <c:numCache>
                <c:formatCode>General</c:formatCode>
                <c:ptCount val="2"/>
                <c:pt idx="0">
                  <c:v>2.4039712</c:v>
                </c:pt>
                <c:pt idx="1">
                  <c:v>2.3869429000000002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Phase3!$C$37:$D$37</c:f>
              <c:numCache>
                <c:formatCode>General</c:formatCode>
                <c:ptCount val="2"/>
                <c:pt idx="0">
                  <c:v>2.2229643000000001</c:v>
                </c:pt>
                <c:pt idx="1">
                  <c:v>2.6921952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Phase3!$C$38:$D$38</c:f>
              <c:numCache>
                <c:formatCode>General</c:formatCode>
                <c:ptCount val="2"/>
                <c:pt idx="1">
                  <c:v>2.0066310000000001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Phase3!$C$39:$D$39</c:f>
              <c:numCache>
                <c:formatCode>General</c:formatCode>
                <c:ptCount val="2"/>
                <c:pt idx="1">
                  <c:v>2.2656455000000002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Phase3!$C$40:$D$40</c:f>
              <c:numCache>
                <c:formatCode>General</c:formatCode>
                <c:ptCount val="2"/>
                <c:pt idx="1">
                  <c:v>2.2813810999999999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Phase3!$C$41:$D$41</c:f>
              <c:numCache>
                <c:formatCode>General</c:formatCode>
                <c:ptCount val="2"/>
                <c:pt idx="1">
                  <c:v>2.5598920000000001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Phase3!$C$42:$D$42</c:f>
              <c:numCache>
                <c:formatCode>General</c:formatCode>
                <c:ptCount val="2"/>
                <c:pt idx="1">
                  <c:v>2.9396334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Phase3!$C$43:$D$43</c:f>
              <c:numCache>
                <c:formatCode>General</c:formatCode>
                <c:ptCount val="2"/>
                <c:pt idx="1">
                  <c:v>3.0891852000000002</c:v>
                </c:pt>
              </c:numCache>
            </c:numRef>
          </c:yVal>
        </c:ser>
        <c:ser>
          <c:idx val="8"/>
          <c:order val="8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Phase3!$C$44:$D$44</c:f>
              <c:numCache>
                <c:formatCode>General</c:formatCode>
                <c:ptCount val="2"/>
                <c:pt idx="1">
                  <c:v>3.3455663000000002</c:v>
                </c:pt>
              </c:numCache>
            </c:numRef>
          </c:yVal>
        </c:ser>
        <c:ser>
          <c:idx val="9"/>
          <c:order val="9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Phase3!$C$45:$D$45</c:f>
              <c:numCache>
                <c:formatCode>General</c:formatCode>
                <c:ptCount val="2"/>
                <c:pt idx="1">
                  <c:v>3.3714118000000002</c:v>
                </c:pt>
              </c:numCache>
            </c:numRef>
          </c:yVal>
        </c:ser>
        <c:ser>
          <c:idx val="10"/>
          <c:order val="10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Phase3!$C$46:$D$46</c:f>
              <c:numCache>
                <c:formatCode>General</c:formatCode>
                <c:ptCount val="2"/>
                <c:pt idx="1">
                  <c:v>3.3911204000000001</c:v>
                </c:pt>
              </c:numCache>
            </c:numRef>
          </c:yVal>
        </c:ser>
        <c:ser>
          <c:idx val="11"/>
          <c:order val="11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Phase3!$C$47:$D$47</c:f>
              <c:numCache>
                <c:formatCode>General</c:formatCode>
                <c:ptCount val="2"/>
                <c:pt idx="1">
                  <c:v>3.8050527999999999</c:v>
                </c:pt>
              </c:numCache>
            </c:numRef>
          </c:yVal>
        </c:ser>
        <c:ser>
          <c:idx val="12"/>
          <c:order val="12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Phase3!$C$48:$D$48</c:f>
              <c:numCache>
                <c:formatCode>General</c:formatCode>
                <c:ptCount val="2"/>
                <c:pt idx="1">
                  <c:v>4.0991564</c:v>
                </c:pt>
              </c:numCache>
            </c:numRef>
          </c:yVal>
        </c:ser>
        <c:ser>
          <c:idx val="13"/>
          <c:order val="13"/>
          <c:spPr>
            <a:ln w="28575">
              <a:noFill/>
            </a:ln>
          </c:spP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Phase3!$C$49:$D$49</c:f>
              <c:numCache>
                <c:formatCode>General</c:formatCode>
                <c:ptCount val="2"/>
                <c:pt idx="1">
                  <c:v>4.2127140000000001</c:v>
                </c:pt>
              </c:numCache>
            </c:numRef>
          </c:yVal>
        </c:ser>
        <c:axId val="75508736"/>
        <c:axId val="75518720"/>
      </c:scatterChart>
      <c:valAx>
        <c:axId val="75508736"/>
        <c:scaling>
          <c:orientation val="minMax"/>
        </c:scaling>
        <c:axPos val="b"/>
        <c:numFmt formatCode="General" sourceLinked="1"/>
        <c:tickLblPos val="nextTo"/>
        <c:crossAx val="75518720"/>
        <c:crosses val="autoZero"/>
        <c:crossBetween val="midCat"/>
      </c:valAx>
      <c:valAx>
        <c:axId val="75518720"/>
        <c:scaling>
          <c:orientation val="minMax"/>
        </c:scaling>
        <c:axPos val="l"/>
        <c:majorGridlines/>
        <c:numFmt formatCode="General" sourceLinked="1"/>
        <c:tickLblPos val="nextTo"/>
        <c:crossAx val="75508736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ATP binding &amp; ABC transporter</a:t>
            </a:r>
          </a:p>
        </c:rich>
      </c:tx>
      <c:layout>
        <c:manualLayout>
          <c:xMode val="edge"/>
          <c:yMode val="edge"/>
          <c:x val="0.36403995560488378"/>
          <c:y val="1.957585644371943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1032186459489471E-2"/>
          <c:y val="0.12234910277324641"/>
          <c:w val="0.90788013318534966"/>
          <c:h val="0.77161500815660755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Phase3!$C$36:$E$36</c:f>
              <c:numCache>
                <c:formatCode>General</c:formatCode>
                <c:ptCount val="3"/>
                <c:pt idx="0">
                  <c:v>2.4039712</c:v>
                </c:pt>
                <c:pt idx="1">
                  <c:v>2.3869429000000002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Phase3!$C$36:$D$36</c:f>
              <c:numCache>
                <c:formatCode>General</c:formatCode>
                <c:ptCount val="2"/>
                <c:pt idx="0">
                  <c:v>2.4039712</c:v>
                </c:pt>
                <c:pt idx="1">
                  <c:v>2.3869429000000002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Phase3!$C$39:$E$39</c:f>
              <c:numCache>
                <c:formatCode>General</c:formatCode>
                <c:ptCount val="3"/>
                <c:pt idx="1">
                  <c:v>2.2656455000000002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Phase3!$C$40:$E$40</c:f>
              <c:numCache>
                <c:formatCode>General</c:formatCode>
                <c:ptCount val="3"/>
                <c:pt idx="1">
                  <c:v>2.2813810999999999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Phase3!$C$41:$E$41</c:f>
              <c:numCache>
                <c:formatCode>General</c:formatCode>
                <c:ptCount val="3"/>
                <c:pt idx="1">
                  <c:v>2.5598920000000001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Phase3!$C$42:$E$42</c:f>
              <c:numCache>
                <c:formatCode>General</c:formatCode>
                <c:ptCount val="3"/>
                <c:pt idx="1">
                  <c:v>2.9396334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Phase3!$C$43:$E$43</c:f>
              <c:numCache>
                <c:formatCode>General</c:formatCode>
                <c:ptCount val="3"/>
                <c:pt idx="1">
                  <c:v>3.0891852000000002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Phase3!$C$44:$E$44</c:f>
              <c:numCache>
                <c:formatCode>General</c:formatCode>
                <c:ptCount val="3"/>
                <c:pt idx="1">
                  <c:v>3.3455663000000002</c:v>
                </c:pt>
              </c:numCache>
            </c:numRef>
          </c:yVal>
        </c:ser>
        <c:ser>
          <c:idx val="8"/>
          <c:order val="8"/>
          <c:spPr>
            <a:ln w="28575">
              <a:noFill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Phase3!$C$37:$D$37</c:f>
              <c:numCache>
                <c:formatCode>General</c:formatCode>
                <c:ptCount val="2"/>
                <c:pt idx="0">
                  <c:v>2.2229643000000001</c:v>
                </c:pt>
                <c:pt idx="1">
                  <c:v>2.6921952</c:v>
                </c:pt>
              </c:numCache>
            </c:numRef>
          </c:yVal>
        </c:ser>
        <c:ser>
          <c:idx val="9"/>
          <c:order val="9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Phase3!$C$46:$E$46</c:f>
              <c:numCache>
                <c:formatCode>General</c:formatCode>
                <c:ptCount val="3"/>
                <c:pt idx="1">
                  <c:v>3.3911204000000001</c:v>
                </c:pt>
              </c:numCache>
            </c:numRef>
          </c:yVal>
        </c:ser>
        <c:ser>
          <c:idx val="10"/>
          <c:order val="10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Phase3!$C$47:$E$47</c:f>
              <c:numCache>
                <c:formatCode>General</c:formatCode>
                <c:ptCount val="3"/>
                <c:pt idx="1">
                  <c:v>3.8050527999999999</c:v>
                </c:pt>
              </c:numCache>
            </c:numRef>
          </c:yVal>
        </c:ser>
        <c:ser>
          <c:idx val="11"/>
          <c:order val="11"/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Phase3!$C$48:$E$48</c:f>
              <c:numCache>
                <c:formatCode>General</c:formatCode>
                <c:ptCount val="3"/>
                <c:pt idx="1">
                  <c:v>4.0991564</c:v>
                </c:pt>
              </c:numCache>
            </c:numRef>
          </c:yVal>
        </c:ser>
        <c:ser>
          <c:idx val="12"/>
          <c:order val="12"/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Phase3!$C$49:$E$49</c:f>
              <c:numCache>
                <c:formatCode>General</c:formatCode>
                <c:ptCount val="3"/>
                <c:pt idx="1">
                  <c:v>4.2127140000000001</c:v>
                </c:pt>
              </c:numCache>
            </c:numRef>
          </c:yVal>
        </c:ser>
        <c:ser>
          <c:idx val="13"/>
          <c:order val="13"/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Phase3!$C$50:$E$50</c:f>
              <c:numCache>
                <c:formatCode>General</c:formatCode>
                <c:ptCount val="3"/>
              </c:numCache>
            </c:numRef>
          </c:yVal>
        </c:ser>
        <c:ser>
          <c:idx val="14"/>
          <c:order val="14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xVal>
            <c:numRef>
              <c:f>Phase3!$C$35:$D$35</c:f>
              <c:numCache>
                <c:formatCode>General</c:formatCode>
                <c:ptCount val="2"/>
                <c:pt idx="0">
                  <c:v>24</c:v>
                </c:pt>
                <c:pt idx="1">
                  <c:v>48</c:v>
                </c:pt>
              </c:numCache>
            </c:numRef>
          </c:xVal>
          <c:yVal>
            <c:numRef>
              <c:f>Phase3!$C$44:$D$44</c:f>
              <c:numCache>
                <c:formatCode>General</c:formatCode>
                <c:ptCount val="2"/>
                <c:pt idx="1">
                  <c:v>3.3455663000000002</c:v>
                </c:pt>
              </c:numCache>
            </c:numRef>
          </c:yVal>
        </c:ser>
        <c:axId val="81015552"/>
        <c:axId val="81017472"/>
      </c:scatterChart>
      <c:valAx>
        <c:axId val="8101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(hours)</a:t>
                </a:r>
              </a:p>
            </c:rich>
          </c:tx>
          <c:layout>
            <c:manualLayout>
              <c:xMode val="edge"/>
              <c:yMode val="edge"/>
              <c:x val="0.47946725860155376"/>
              <c:y val="0.94453507340946163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17472"/>
        <c:crosses val="autoZero"/>
        <c:crossBetween val="midCat"/>
      </c:valAx>
      <c:valAx>
        <c:axId val="81017472"/>
        <c:scaling>
          <c:orientation val="minMax"/>
          <c:max val="5"/>
          <c:min val="1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Fold of Upregulation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39804241435562865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101555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Gene Groups for Other &gt;2-fold Induced Genes</a:t>
            </a:r>
          </a:p>
        </c:rich>
      </c:tx>
    </c:title>
    <c:plotArea>
      <c:layout/>
      <c:pieChart>
        <c:varyColors val="1"/>
        <c:ser>
          <c:idx val="0"/>
          <c:order val="0"/>
          <c:dLbls>
            <c:dLbl>
              <c:idx val="1"/>
              <c:layout>
                <c:manualLayout>
                  <c:x val="-0.14474095216211949"/>
                  <c:y val="9.1141159336487865E-2"/>
                </c:manualLayout>
              </c:layout>
              <c:showCatName val="1"/>
              <c:showPercent val="1"/>
            </c:dLbl>
            <c:dLbl>
              <c:idx val="2"/>
              <c:layout>
                <c:manualLayout>
                  <c:x val="-6.3249449440581806E-2"/>
                  <c:y val="-0.17237012560522916"/>
                </c:manualLayout>
              </c:layout>
              <c:showCatName val="1"/>
              <c:showPercent val="1"/>
            </c:dLbl>
            <c:dLbl>
              <c:idx val="3"/>
              <c:layout>
                <c:manualLayout>
                  <c:x val="0.13816988189675741"/>
                  <c:y val="-0.14392534868165566"/>
                </c:manualLayout>
              </c:layout>
              <c:showCatName val="1"/>
              <c:showPercent val="1"/>
            </c:dLbl>
            <c:dLbl>
              <c:idx val="4"/>
              <c:layout>
                <c:manualLayout>
                  <c:x val="0.19370901948516644"/>
                  <c:y val="-1.405715608845514E-2"/>
                </c:manualLayout>
              </c:layout>
              <c:showCatName val="1"/>
              <c:showPercent val="1"/>
            </c:dLbl>
            <c:dLbl>
              <c:idx val="5"/>
              <c:layout>
                <c:manualLayout>
                  <c:x val="0.13823591903627541"/>
                  <c:y val="0.10596563611919249"/>
                </c:manualLayout>
              </c:layout>
              <c:showCatName val="1"/>
              <c:showPercent val="1"/>
            </c:dLbl>
            <c:dLbl>
              <c:idx val="6"/>
              <c:layout>
                <c:manualLayout>
                  <c:x val="8.860673055139924E-2"/>
                  <c:y val="0.15673379967347928"/>
                </c:manualLayout>
              </c:layout>
              <c:showCatName val="1"/>
              <c:showPercent val="1"/>
            </c:dLbl>
            <c:dLbl>
              <c:idx val="7"/>
              <c:layout>
                <c:manualLayout>
                  <c:x val="3.2692248243354489E-2"/>
                  <c:y val="0.11957559929734098"/>
                </c:manualLayout>
              </c:layout>
              <c:showCatName val="1"/>
              <c:showPercent val="1"/>
            </c:dLbl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CatName val="1"/>
            <c:showPercent val="1"/>
          </c:dLbls>
          <c:cat>
            <c:strRef>
              <c:f>OtherInduced!$F$68:$F$75</c:f>
              <c:strCache>
                <c:ptCount val="8"/>
                <c:pt idx="0">
                  <c:v>Other Greater than  2-fold Gene Expression</c:v>
                </c:pt>
                <c:pt idx="1">
                  <c:v>Metabolism</c:v>
                </c:pt>
                <c:pt idx="2">
                  <c:v>Other</c:v>
                </c:pt>
                <c:pt idx="3">
                  <c:v>Electron Transport</c:v>
                </c:pt>
                <c:pt idx="4">
                  <c:v>Nitrogen Source and Fixation</c:v>
                </c:pt>
                <c:pt idx="5">
                  <c:v>Biosynthesis</c:v>
                </c:pt>
                <c:pt idx="6">
                  <c:v>Lipid Binding</c:v>
                </c:pt>
                <c:pt idx="7">
                  <c:v>Metal Binding</c:v>
                </c:pt>
              </c:strCache>
            </c:strRef>
          </c:cat>
          <c:val>
            <c:numRef>
              <c:f>OtherInduced!$G$68:$G$75</c:f>
              <c:numCache>
                <c:formatCode>0.0</c:formatCode>
                <c:ptCount val="8"/>
                <c:pt idx="1">
                  <c:v>30.303030303030305</c:v>
                </c:pt>
                <c:pt idx="2">
                  <c:v>24.242424242424242</c:v>
                </c:pt>
                <c:pt idx="3">
                  <c:v>13.636363636363635</c:v>
                </c:pt>
                <c:pt idx="4">
                  <c:v>10.606060606060606</c:v>
                </c:pt>
                <c:pt idx="5">
                  <c:v>10.606060606060606</c:v>
                </c:pt>
                <c:pt idx="6">
                  <c:v>6.0606060606060606</c:v>
                </c:pt>
                <c:pt idx="7">
                  <c:v>4.5454545454545459</c:v>
                </c:pt>
              </c:numCache>
            </c:numRef>
          </c:val>
        </c:ser>
        <c:dLbls>
          <c:showCatName val="1"/>
          <c:showPercent val="1"/>
        </c:dLbls>
        <c:firstSliceAng val="0"/>
      </c:pieChart>
    </c:plotArea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6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36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36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36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0.22067</cdr:x>
      <cdr:y>0.26573</cdr:y>
    </cdr:from>
    <cdr:to>
      <cdr:x>0.45065</cdr:x>
      <cdr:y>0.52632</cdr:y>
    </cdr:to>
    <cdr:sp macro="" textlink="">
      <cdr:nvSpPr>
        <cdr:cNvPr id="7" name="Straight Connector 6"/>
        <cdr:cNvSpPr/>
      </cdr:nvSpPr>
      <cdr:spPr>
        <a:xfrm xmlns:a="http://schemas.openxmlformats.org/drawingml/2006/main" flipV="1">
          <a:off x="1913072" y="1670911"/>
          <a:ext cx="1993792" cy="1638623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0.45158</cdr:x>
      <cdr:y>0.26573</cdr:y>
    </cdr:from>
    <cdr:to>
      <cdr:x>0.79981</cdr:x>
      <cdr:y>0.34018</cdr:y>
    </cdr:to>
    <cdr:sp macro="" textlink="">
      <cdr:nvSpPr>
        <cdr:cNvPr id="9" name="Straight Connector 8"/>
        <cdr:cNvSpPr/>
      </cdr:nvSpPr>
      <cdr:spPr>
        <a:xfrm xmlns:a="http://schemas.openxmlformats.org/drawingml/2006/main">
          <a:off x="3914936" y="1670911"/>
          <a:ext cx="3018941" cy="46817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0.51117</cdr:x>
      <cdr:y>0.13222</cdr:y>
    </cdr:from>
    <cdr:to>
      <cdr:x>0.76164</cdr:x>
      <cdr:y>0.20539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431546" y="831420"/>
          <a:ext cx="2171378" cy="460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Line indicates</a:t>
          </a:r>
          <a:r>
            <a:rPr lang="en-US" sz="1100" baseline="0"/>
            <a:t> </a:t>
          </a:r>
          <a:r>
            <a:rPr lang="en-US" sz="1100"/>
            <a:t>average upregulation </a:t>
          </a:r>
        </a:p>
        <a:p xmlns:a="http://schemas.openxmlformats.org/drawingml/2006/main">
          <a:r>
            <a:rPr lang="en-US" sz="1100"/>
            <a:t>of</a:t>
          </a:r>
          <a:r>
            <a:rPr lang="en-US" sz="1100" baseline="0"/>
            <a:t> all Cytochrome P450 genes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-24216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8490" y="16249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0.20565</cdr:x>
      <cdr:y>0.42942</cdr:y>
    </cdr:from>
    <cdr:to>
      <cdr:x>0.44314</cdr:x>
      <cdr:y>0.51579</cdr:y>
    </cdr:to>
    <cdr:sp macro="" textlink="">
      <cdr:nvSpPr>
        <cdr:cNvPr id="5" name="Straight Connector 4"/>
        <cdr:cNvSpPr/>
      </cdr:nvSpPr>
      <cdr:spPr>
        <a:xfrm xmlns:a="http://schemas.openxmlformats.org/drawingml/2006/main" flipV="1">
          <a:off x="1764926" y="2507316"/>
          <a:ext cx="2038070" cy="50426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0.44477</cdr:x>
      <cdr:y>0.42942</cdr:y>
    </cdr:from>
    <cdr:to>
      <cdr:x>0.80058</cdr:x>
      <cdr:y>0.49659</cdr:y>
    </cdr:to>
    <cdr:sp macro="" textlink="">
      <cdr:nvSpPr>
        <cdr:cNvPr id="7" name="Straight Connector 6"/>
        <cdr:cNvSpPr/>
      </cdr:nvSpPr>
      <cdr:spPr>
        <a:xfrm xmlns:a="http://schemas.openxmlformats.org/drawingml/2006/main">
          <a:off x="3817004" y="2507316"/>
          <a:ext cx="3053603" cy="392206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0.48884</cdr:x>
      <cdr:y>0.2519</cdr:y>
    </cdr:from>
    <cdr:to>
      <cdr:x>0.74185</cdr:x>
      <cdr:y>0.3307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195202" y="1470772"/>
          <a:ext cx="2171378" cy="460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Line indicates</a:t>
          </a:r>
          <a:r>
            <a:rPr lang="en-US" sz="1100" baseline="0"/>
            <a:t> </a:t>
          </a:r>
          <a:r>
            <a:rPr lang="en-US" sz="1100"/>
            <a:t>average </a:t>
          </a:r>
        </a:p>
        <a:p xmlns:a="http://schemas.openxmlformats.org/drawingml/2006/main">
          <a:r>
            <a:rPr lang="en-US" sz="1100"/>
            <a:t>upregulation of</a:t>
          </a:r>
          <a:r>
            <a:rPr lang="en-US" sz="1100" baseline="0"/>
            <a:t> all GST genes</a:t>
          </a:r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4483" y="-21011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36</xdr:row>
      <xdr:rowOff>19050</xdr:rowOff>
    </xdr:from>
    <xdr:to>
      <xdr:col>5</xdr:col>
      <xdr:colOff>2495550</xdr:colOff>
      <xdr:row>53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-24216" y="-8072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57"/>
  <sheetViews>
    <sheetView tabSelected="1" topLeftCell="A438" workbookViewId="0">
      <selection activeCell="A916" sqref="A916:XFD916"/>
    </sheetView>
  </sheetViews>
  <sheetFormatPr defaultRowHeight="12.75"/>
  <cols>
    <col min="1" max="1" width="23" bestFit="1" customWidth="1"/>
    <col min="2" max="2" width="15.42578125" bestFit="1" customWidth="1"/>
    <col min="3" max="4" width="17" bestFit="1" customWidth="1"/>
    <col min="5" max="5" width="15" bestFit="1" customWidth="1"/>
    <col min="6" max="7" width="16.5703125" bestFit="1" customWidth="1"/>
    <col min="8" max="8" width="41.28515625" customWidth="1"/>
    <col min="9" max="9" width="44.7109375" customWidth="1"/>
    <col min="10" max="10" width="33" customWidth="1"/>
  </cols>
  <sheetData>
    <row r="1" spans="1:10" ht="18">
      <c r="A1" s="1" t="s">
        <v>579</v>
      </c>
      <c r="B1" s="1" t="s">
        <v>151</v>
      </c>
      <c r="C1" s="1" t="s">
        <v>153</v>
      </c>
      <c r="D1" s="1" t="s">
        <v>155</v>
      </c>
      <c r="E1" s="1" t="s">
        <v>150</v>
      </c>
      <c r="F1" s="1" t="s">
        <v>152</v>
      </c>
      <c r="G1" s="1" t="s">
        <v>154</v>
      </c>
      <c r="H1" s="2" t="s">
        <v>580</v>
      </c>
      <c r="I1" s="2" t="s">
        <v>581</v>
      </c>
      <c r="J1" s="2" t="s">
        <v>582</v>
      </c>
    </row>
    <row r="2" spans="1:10">
      <c r="A2" t="s">
        <v>583</v>
      </c>
      <c r="B2" s="6"/>
      <c r="C2" s="6"/>
      <c r="D2" s="6">
        <v>2.118185</v>
      </c>
      <c r="E2" s="6"/>
      <c r="F2" s="6"/>
      <c r="G2" s="6"/>
      <c r="H2" t="s">
        <v>584</v>
      </c>
      <c r="I2" t="s">
        <v>585</v>
      </c>
      <c r="J2" t="s">
        <v>586</v>
      </c>
    </row>
    <row r="3" spans="1:10">
      <c r="A3" t="s">
        <v>587</v>
      </c>
      <c r="B3" s="6"/>
      <c r="C3" s="6"/>
      <c r="D3" s="6"/>
      <c r="E3" s="6">
        <v>-3.8402820000000002</v>
      </c>
      <c r="F3" s="6">
        <v>-3.4278940000000002</v>
      </c>
      <c r="G3" s="6">
        <v>-5.6594872000000001</v>
      </c>
      <c r="H3" t="s">
        <v>588</v>
      </c>
    </row>
    <row r="4" spans="1:10">
      <c r="A4" t="s">
        <v>589</v>
      </c>
      <c r="B4" s="6"/>
      <c r="C4" s="6"/>
      <c r="D4" s="6"/>
      <c r="E4" s="6">
        <v>-3.0331106000000001</v>
      </c>
      <c r="F4" s="6">
        <v>-3.059596</v>
      </c>
      <c r="G4" s="6">
        <v>-5.2993927000000003</v>
      </c>
      <c r="H4" t="s">
        <v>590</v>
      </c>
      <c r="I4" t="s">
        <v>591</v>
      </c>
      <c r="J4" t="s">
        <v>592</v>
      </c>
    </row>
    <row r="5" spans="1:10">
      <c r="A5" t="s">
        <v>593</v>
      </c>
      <c r="B5" s="6"/>
      <c r="C5" s="6"/>
      <c r="D5" s="6"/>
      <c r="E5" s="6">
        <v>-2.9202436999999999</v>
      </c>
      <c r="F5" s="6">
        <v>-3.3310876</v>
      </c>
      <c r="G5" s="6">
        <v>-5.7892060000000001</v>
      </c>
      <c r="H5" t="s">
        <v>590</v>
      </c>
      <c r="I5" t="s">
        <v>591</v>
      </c>
      <c r="J5" t="s">
        <v>592</v>
      </c>
    </row>
    <row r="6" spans="1:10">
      <c r="A6" t="s">
        <v>594</v>
      </c>
      <c r="B6" s="6"/>
      <c r="C6" s="6"/>
      <c r="D6" s="6"/>
      <c r="E6" s="6"/>
      <c r="F6" s="6"/>
      <c r="G6" s="6">
        <v>-2.0015917000000001</v>
      </c>
      <c r="H6" t="s">
        <v>595</v>
      </c>
      <c r="I6" t="s">
        <v>591</v>
      </c>
      <c r="J6" t="s">
        <v>596</v>
      </c>
    </row>
    <row r="7" spans="1:10">
      <c r="A7" t="s">
        <v>597</v>
      </c>
      <c r="B7" s="6"/>
      <c r="C7" s="6"/>
      <c r="D7" s="6"/>
      <c r="E7" s="6"/>
      <c r="F7" s="6"/>
      <c r="G7" s="6">
        <v>-2.1477903999999999</v>
      </c>
      <c r="H7" t="s">
        <v>598</v>
      </c>
    </row>
    <row r="8" spans="1:10">
      <c r="A8" t="s">
        <v>599</v>
      </c>
      <c r="B8" s="6"/>
      <c r="C8" s="6"/>
      <c r="D8" s="6"/>
      <c r="E8" s="6"/>
      <c r="F8" s="6"/>
      <c r="G8" s="6">
        <v>-2.6921952</v>
      </c>
      <c r="H8" t="s">
        <v>598</v>
      </c>
    </row>
    <row r="9" spans="1:10">
      <c r="A9" t="s">
        <v>600</v>
      </c>
      <c r="B9" s="6"/>
      <c r="C9" s="6"/>
      <c r="D9" s="6">
        <v>2.1416917</v>
      </c>
      <c r="E9" s="6"/>
      <c r="F9" s="6"/>
      <c r="G9" s="6"/>
      <c r="H9" t="s">
        <v>601</v>
      </c>
    </row>
    <row r="10" spans="1:10">
      <c r="A10" t="s">
        <v>606</v>
      </c>
      <c r="B10" s="6"/>
      <c r="C10" s="6"/>
      <c r="D10" s="6"/>
      <c r="E10" s="6"/>
      <c r="F10" s="6">
        <v>-2.3858252000000002</v>
      </c>
      <c r="G10" s="6"/>
      <c r="H10" t="s">
        <v>607</v>
      </c>
    </row>
    <row r="11" spans="1:10">
      <c r="A11" t="s">
        <v>608</v>
      </c>
      <c r="B11" s="6"/>
      <c r="C11" s="6"/>
      <c r="D11" s="6"/>
      <c r="E11" s="6">
        <v>-2.9375029000000001</v>
      </c>
      <c r="F11" s="6">
        <v>-3.0255774999999998</v>
      </c>
      <c r="G11" s="6">
        <v>-3.6618338000000001</v>
      </c>
      <c r="H11" t="s">
        <v>609</v>
      </c>
      <c r="I11" t="s">
        <v>610</v>
      </c>
      <c r="J11" t="s">
        <v>611</v>
      </c>
    </row>
    <row r="12" spans="1:10">
      <c r="A12" t="s">
        <v>612</v>
      </c>
      <c r="B12" s="6"/>
      <c r="C12" s="6"/>
      <c r="D12" s="6"/>
      <c r="E12" s="6">
        <v>-3.2912545</v>
      </c>
      <c r="F12" s="6">
        <v>-3.6411661999999998</v>
      </c>
      <c r="G12" s="6">
        <v>-4.3774246999999997</v>
      </c>
      <c r="H12" t="s">
        <v>609</v>
      </c>
      <c r="I12" t="s">
        <v>610</v>
      </c>
      <c r="J12" t="s">
        <v>611</v>
      </c>
    </row>
    <row r="13" spans="1:10">
      <c r="A13" t="s">
        <v>613</v>
      </c>
      <c r="B13" s="6"/>
      <c r="C13" s="6"/>
      <c r="D13" s="6"/>
      <c r="E13" s="6">
        <v>-3.2541465999999999</v>
      </c>
      <c r="F13" s="6">
        <v>-3.7440642999999998</v>
      </c>
      <c r="G13" s="6">
        <v>-4.5704184000000003</v>
      </c>
      <c r="H13" t="s">
        <v>609</v>
      </c>
      <c r="I13" t="s">
        <v>610</v>
      </c>
      <c r="J13" t="s">
        <v>611</v>
      </c>
    </row>
    <row r="14" spans="1:10">
      <c r="A14" t="s">
        <v>614</v>
      </c>
      <c r="B14" s="6"/>
      <c r="C14" s="6"/>
      <c r="D14" s="6"/>
      <c r="E14" s="6"/>
      <c r="F14" s="6">
        <v>-2.0148945</v>
      </c>
      <c r="G14" s="6">
        <v>-2.1888131999999998</v>
      </c>
      <c r="H14" t="s">
        <v>615</v>
      </c>
      <c r="I14" t="s">
        <v>616</v>
      </c>
      <c r="J14" t="s">
        <v>617</v>
      </c>
    </row>
    <row r="15" spans="1:10">
      <c r="A15" t="s">
        <v>618</v>
      </c>
      <c r="B15" s="6"/>
      <c r="C15" s="6"/>
      <c r="D15" s="6"/>
      <c r="E15" s="6">
        <v>-3.3542589999999999</v>
      </c>
      <c r="F15" s="6">
        <v>-3.1404405</v>
      </c>
      <c r="G15" s="6">
        <v>-5.0528407</v>
      </c>
      <c r="H15" t="s">
        <v>615</v>
      </c>
      <c r="I15" t="s">
        <v>616</v>
      </c>
      <c r="J15" t="s">
        <v>617</v>
      </c>
    </row>
    <row r="16" spans="1:10">
      <c r="A16" t="s">
        <v>619</v>
      </c>
      <c r="B16" s="6"/>
      <c r="C16" s="6"/>
      <c r="D16" s="6"/>
      <c r="E16" s="6"/>
      <c r="F16" s="6">
        <v>-2.4133624999999999</v>
      </c>
      <c r="G16" s="6"/>
      <c r="H16" t="s">
        <v>620</v>
      </c>
      <c r="I16" t="s">
        <v>621</v>
      </c>
      <c r="J16" t="s">
        <v>622</v>
      </c>
    </row>
    <row r="17" spans="1:10">
      <c r="A17" t="s">
        <v>623</v>
      </c>
      <c r="B17" s="6"/>
      <c r="C17" s="6"/>
      <c r="D17" s="6"/>
      <c r="E17" s="6"/>
      <c r="F17" s="6"/>
      <c r="G17" s="6"/>
      <c r="H17" t="s">
        <v>624</v>
      </c>
    </row>
    <row r="18" spans="1:10">
      <c r="A18" t="s">
        <v>625</v>
      </c>
      <c r="B18" s="6"/>
      <c r="C18" s="6"/>
      <c r="D18" s="6"/>
      <c r="E18" s="6">
        <v>-3.6298778</v>
      </c>
      <c r="F18" s="6">
        <v>-3.4737336999999999</v>
      </c>
      <c r="G18" s="6">
        <v>-6.2222776</v>
      </c>
      <c r="H18" t="s">
        <v>626</v>
      </c>
      <c r="I18" t="s">
        <v>627</v>
      </c>
      <c r="J18" t="s">
        <v>628</v>
      </c>
    </row>
    <row r="19" spans="1:10">
      <c r="A19" t="s">
        <v>629</v>
      </c>
      <c r="B19" s="6"/>
      <c r="C19" s="6"/>
      <c r="D19" s="6"/>
      <c r="E19" s="6"/>
      <c r="F19" s="6">
        <v>-2.5974819999999998</v>
      </c>
      <c r="G19" s="6"/>
      <c r="H19" t="s">
        <v>630</v>
      </c>
      <c r="I19" t="s">
        <v>631</v>
      </c>
      <c r="J19" t="s">
        <v>632</v>
      </c>
    </row>
    <row r="20" spans="1:10">
      <c r="A20" t="s">
        <v>633</v>
      </c>
      <c r="B20" s="6"/>
      <c r="C20" s="6"/>
      <c r="D20" s="6"/>
      <c r="E20" s="6"/>
      <c r="F20" s="6">
        <v>-2.2374578000000001</v>
      </c>
      <c r="G20" s="6">
        <v>-4.0735383000000001</v>
      </c>
      <c r="H20" t="s">
        <v>634</v>
      </c>
      <c r="I20" t="s">
        <v>635</v>
      </c>
      <c r="J20" t="s">
        <v>636</v>
      </c>
    </row>
    <row r="21" spans="1:10">
      <c r="A21" t="s">
        <v>637</v>
      </c>
      <c r="B21" s="6"/>
      <c r="C21" s="6"/>
      <c r="D21" s="6"/>
      <c r="E21" s="6"/>
      <c r="F21" s="6"/>
      <c r="G21" s="6">
        <v>-3.8772473000000001</v>
      </c>
      <c r="H21" t="s">
        <v>634</v>
      </c>
      <c r="I21" t="s">
        <v>635</v>
      </c>
      <c r="J21" t="s">
        <v>636</v>
      </c>
    </row>
    <row r="22" spans="1:10">
      <c r="A22" t="s">
        <v>638</v>
      </c>
      <c r="B22" s="6"/>
      <c r="C22" s="6"/>
      <c r="D22" s="6"/>
      <c r="E22" s="6"/>
      <c r="F22" s="6"/>
      <c r="G22" s="6">
        <v>-2.580606</v>
      </c>
      <c r="H22" t="s">
        <v>634</v>
      </c>
      <c r="I22" t="s">
        <v>639</v>
      </c>
      <c r="J22" t="s">
        <v>636</v>
      </c>
    </row>
    <row r="23" spans="1:10">
      <c r="A23" t="s">
        <v>640</v>
      </c>
      <c r="B23" s="6"/>
      <c r="C23" s="6"/>
      <c r="D23" s="6"/>
      <c r="E23" s="6"/>
      <c r="F23" s="6"/>
      <c r="G23" s="6"/>
      <c r="H23" t="s">
        <v>641</v>
      </c>
      <c r="I23" t="s">
        <v>642</v>
      </c>
      <c r="J23" t="s">
        <v>643</v>
      </c>
    </row>
    <row r="24" spans="1:10">
      <c r="A24" t="s">
        <v>644</v>
      </c>
      <c r="B24" s="6"/>
      <c r="C24" s="6"/>
      <c r="D24" s="6"/>
      <c r="E24" s="6"/>
      <c r="F24" s="6"/>
      <c r="G24" s="6">
        <v>-2.0661855</v>
      </c>
      <c r="H24" t="s">
        <v>645</v>
      </c>
      <c r="I24" t="s">
        <v>646</v>
      </c>
      <c r="J24" t="s">
        <v>647</v>
      </c>
    </row>
    <row r="25" spans="1:10">
      <c r="A25" t="s">
        <v>648</v>
      </c>
      <c r="B25" s="6"/>
      <c r="C25" s="6"/>
      <c r="D25" s="6"/>
      <c r="E25" s="6"/>
      <c r="F25" s="6"/>
      <c r="G25" s="6">
        <v>-2.8667574</v>
      </c>
      <c r="H25" t="s">
        <v>649</v>
      </c>
      <c r="I25" t="s">
        <v>650</v>
      </c>
      <c r="J25" t="s">
        <v>651</v>
      </c>
    </row>
    <row r="26" spans="1:10">
      <c r="A26" t="s">
        <v>652</v>
      </c>
      <c r="B26" s="6"/>
      <c r="C26" s="6"/>
      <c r="D26" s="6"/>
      <c r="E26" s="6"/>
      <c r="F26" s="6"/>
      <c r="G26" s="6">
        <v>-4.4597154000000003</v>
      </c>
      <c r="H26" t="s">
        <v>649</v>
      </c>
      <c r="I26" t="s">
        <v>650</v>
      </c>
      <c r="J26" t="s">
        <v>651</v>
      </c>
    </row>
    <row r="27" spans="1:10">
      <c r="A27" t="s">
        <v>653</v>
      </c>
      <c r="B27" s="6"/>
      <c r="C27" s="6"/>
      <c r="D27" s="6"/>
      <c r="E27" s="6">
        <v>-2.9762757</v>
      </c>
      <c r="F27" s="6">
        <v>-4.6078700000000001</v>
      </c>
      <c r="G27" s="6"/>
      <c r="H27" t="s">
        <v>654</v>
      </c>
      <c r="I27" t="s">
        <v>655</v>
      </c>
      <c r="J27" t="s">
        <v>656</v>
      </c>
    </row>
    <row r="28" spans="1:10">
      <c r="A28" t="s">
        <v>657</v>
      </c>
      <c r="B28" s="6"/>
      <c r="C28" s="6"/>
      <c r="D28" s="6"/>
      <c r="E28" s="6"/>
      <c r="F28" s="6"/>
      <c r="G28" s="6"/>
      <c r="H28" t="s">
        <v>658</v>
      </c>
      <c r="I28" t="s">
        <v>659</v>
      </c>
      <c r="J28" t="s">
        <v>660</v>
      </c>
    </row>
    <row r="29" spans="1:10">
      <c r="A29" t="s">
        <v>661</v>
      </c>
      <c r="B29" s="6"/>
      <c r="C29" s="6"/>
      <c r="D29" s="6"/>
      <c r="E29" s="6"/>
      <c r="F29" s="6"/>
      <c r="G29" s="6">
        <v>-2.2813810999999999</v>
      </c>
      <c r="H29" t="s">
        <v>658</v>
      </c>
      <c r="J29" t="s">
        <v>662</v>
      </c>
    </row>
    <row r="30" spans="1:10">
      <c r="A30" t="s">
        <v>663</v>
      </c>
      <c r="B30" s="6"/>
      <c r="C30" s="6"/>
      <c r="D30" s="6"/>
      <c r="E30" s="6"/>
      <c r="F30" s="6">
        <v>-2.4039712</v>
      </c>
      <c r="G30" s="6">
        <v>-2.3869429000000002</v>
      </c>
      <c r="H30" t="s">
        <v>658</v>
      </c>
      <c r="I30" t="s">
        <v>659</v>
      </c>
    </row>
    <row r="31" spans="1:10">
      <c r="A31" t="s">
        <v>664</v>
      </c>
      <c r="B31" s="6"/>
      <c r="C31" s="6"/>
      <c r="D31" s="6"/>
      <c r="E31" s="6"/>
      <c r="F31" s="6"/>
      <c r="G31" s="6">
        <v>-3.3714118000000002</v>
      </c>
      <c r="H31" t="s">
        <v>658</v>
      </c>
      <c r="I31" t="s">
        <v>665</v>
      </c>
      <c r="J31" t="s">
        <v>660</v>
      </c>
    </row>
    <row r="32" spans="1:10">
      <c r="A32" t="s">
        <v>666</v>
      </c>
      <c r="B32" s="6"/>
      <c r="C32" s="6"/>
      <c r="D32" s="6"/>
      <c r="E32" s="6"/>
      <c r="F32" s="6"/>
      <c r="G32" s="6">
        <v>-2.0066310000000001</v>
      </c>
      <c r="H32" t="s">
        <v>658</v>
      </c>
      <c r="I32" t="s">
        <v>665</v>
      </c>
      <c r="J32" t="s">
        <v>667</v>
      </c>
    </row>
    <row r="33" spans="1:10">
      <c r="A33" t="s">
        <v>668</v>
      </c>
      <c r="B33" s="6"/>
      <c r="C33" s="6"/>
      <c r="D33" s="6"/>
      <c r="E33" s="6"/>
      <c r="F33" s="6"/>
      <c r="G33" s="6">
        <v>-2.2656455000000002</v>
      </c>
      <c r="H33" t="s">
        <v>658</v>
      </c>
      <c r="I33" t="s">
        <v>665</v>
      </c>
      <c r="J33" t="s">
        <v>667</v>
      </c>
    </row>
    <row r="34" spans="1:10">
      <c r="A34" t="s">
        <v>669</v>
      </c>
      <c r="B34" s="6"/>
      <c r="C34" s="6">
        <v>2.5798644999999998</v>
      </c>
      <c r="D34" s="6"/>
      <c r="E34" s="6"/>
      <c r="F34" s="6"/>
      <c r="G34" s="6"/>
      <c r="H34" t="s">
        <v>670</v>
      </c>
      <c r="I34" t="s">
        <v>627</v>
      </c>
      <c r="J34" t="s">
        <v>671</v>
      </c>
    </row>
    <row r="35" spans="1:10">
      <c r="A35" t="s">
        <v>672</v>
      </c>
      <c r="B35" s="6"/>
      <c r="C35" s="6"/>
      <c r="D35" s="6"/>
      <c r="E35" s="6"/>
      <c r="F35" s="6"/>
      <c r="G35" s="6">
        <v>-4.0991564</v>
      </c>
      <c r="H35" t="s">
        <v>673</v>
      </c>
      <c r="I35" t="s">
        <v>674</v>
      </c>
      <c r="J35" t="s">
        <v>675</v>
      </c>
    </row>
    <row r="36" spans="1:10">
      <c r="A36" t="s">
        <v>676</v>
      </c>
      <c r="B36" s="6"/>
      <c r="C36" s="6"/>
      <c r="D36" s="6"/>
      <c r="E36" s="6"/>
      <c r="F36" s="6"/>
      <c r="G36" s="6">
        <v>-2.5598920000000001</v>
      </c>
      <c r="H36" t="s">
        <v>673</v>
      </c>
      <c r="I36" t="s">
        <v>674</v>
      </c>
      <c r="J36" t="s">
        <v>675</v>
      </c>
    </row>
    <row r="37" spans="1:10">
      <c r="A37" t="s">
        <v>677</v>
      </c>
      <c r="B37" s="6"/>
      <c r="C37" s="6"/>
      <c r="D37" s="6"/>
      <c r="E37" s="6"/>
      <c r="F37" s="6"/>
      <c r="G37" s="6">
        <v>-3.8050527999999999</v>
      </c>
      <c r="H37" t="s">
        <v>673</v>
      </c>
      <c r="I37" t="s">
        <v>674</v>
      </c>
      <c r="J37" t="s">
        <v>675</v>
      </c>
    </row>
    <row r="38" spans="1:10">
      <c r="A38" t="s">
        <v>678</v>
      </c>
      <c r="B38" s="6"/>
      <c r="C38" s="6">
        <v>2.2229643000000001</v>
      </c>
      <c r="D38" s="6"/>
      <c r="E38" s="6"/>
      <c r="F38" s="6"/>
      <c r="G38" s="6"/>
      <c r="H38" t="s">
        <v>673</v>
      </c>
      <c r="I38" t="s">
        <v>674</v>
      </c>
      <c r="J38" t="s">
        <v>675</v>
      </c>
    </row>
    <row r="39" spans="1:10">
      <c r="A39" t="s">
        <v>679</v>
      </c>
      <c r="B39" s="6"/>
      <c r="C39" s="6"/>
      <c r="D39" s="6"/>
      <c r="E39" s="6"/>
      <c r="F39" s="6"/>
      <c r="G39" s="6"/>
      <c r="H39" t="s">
        <v>673</v>
      </c>
      <c r="I39" t="s">
        <v>674</v>
      </c>
      <c r="J39" t="s">
        <v>675</v>
      </c>
    </row>
    <row r="40" spans="1:10">
      <c r="A40" t="s">
        <v>680</v>
      </c>
      <c r="B40" s="6"/>
      <c r="C40" s="6"/>
      <c r="D40" s="6"/>
      <c r="E40" s="6"/>
      <c r="F40" s="6"/>
      <c r="G40" s="6">
        <v>-3.3911204000000001</v>
      </c>
      <c r="H40" t="s">
        <v>673</v>
      </c>
      <c r="I40" t="s">
        <v>674</v>
      </c>
      <c r="J40" t="s">
        <v>675</v>
      </c>
    </row>
    <row r="41" spans="1:10">
      <c r="A41" t="s">
        <v>681</v>
      </c>
      <c r="B41" s="6"/>
      <c r="C41" s="6"/>
      <c r="D41" s="6"/>
      <c r="E41" s="6"/>
      <c r="F41" s="6"/>
      <c r="G41" s="6">
        <v>-3.3455663000000002</v>
      </c>
      <c r="H41" t="s">
        <v>673</v>
      </c>
      <c r="I41" t="s">
        <v>674</v>
      </c>
      <c r="J41" t="s">
        <v>675</v>
      </c>
    </row>
    <row r="42" spans="1:10">
      <c r="A42" t="s">
        <v>682</v>
      </c>
      <c r="B42" s="6"/>
      <c r="C42" s="6"/>
      <c r="D42" s="6"/>
      <c r="E42" s="6"/>
      <c r="F42" s="6"/>
      <c r="G42" s="6"/>
      <c r="H42" t="s">
        <v>673</v>
      </c>
      <c r="I42" t="s">
        <v>674</v>
      </c>
      <c r="J42" t="s">
        <v>675</v>
      </c>
    </row>
    <row r="43" spans="1:10">
      <c r="A43" t="s">
        <v>683</v>
      </c>
      <c r="B43" s="6"/>
      <c r="C43" s="6"/>
      <c r="D43" s="6"/>
      <c r="E43" s="6"/>
      <c r="F43" s="6"/>
      <c r="G43" s="6">
        <v>-4.2127140000000001</v>
      </c>
      <c r="H43" t="s">
        <v>673</v>
      </c>
      <c r="I43" t="s">
        <v>674</v>
      </c>
      <c r="J43" t="s">
        <v>675</v>
      </c>
    </row>
    <row r="44" spans="1:10">
      <c r="A44" t="s">
        <v>684</v>
      </c>
      <c r="B44" s="6"/>
      <c r="C44" s="6"/>
      <c r="D44" s="6"/>
      <c r="E44" s="6"/>
      <c r="F44" s="6"/>
      <c r="G44" s="6">
        <v>-3.0891852000000002</v>
      </c>
      <c r="H44" t="s">
        <v>673</v>
      </c>
      <c r="I44" t="s">
        <v>674</v>
      </c>
      <c r="J44" t="s">
        <v>675</v>
      </c>
    </row>
    <row r="45" spans="1:10">
      <c r="A45" t="s">
        <v>685</v>
      </c>
      <c r="B45" s="6"/>
      <c r="C45" s="6"/>
      <c r="D45" s="6"/>
      <c r="E45" s="6"/>
      <c r="F45" s="6"/>
      <c r="G45" s="6">
        <v>-2.9396334</v>
      </c>
      <c r="H45" t="s">
        <v>673</v>
      </c>
      <c r="I45" t="s">
        <v>674</v>
      </c>
      <c r="J45" t="s">
        <v>675</v>
      </c>
    </row>
    <row r="46" spans="1:10">
      <c r="A46" t="s">
        <v>542</v>
      </c>
      <c r="B46" s="6"/>
      <c r="C46" s="6"/>
      <c r="D46" s="6"/>
      <c r="E46" s="6"/>
      <c r="F46" s="6"/>
      <c r="G46" s="6">
        <v>-2.5617122999999999</v>
      </c>
      <c r="H46" t="s">
        <v>145</v>
      </c>
      <c r="I46" t="s">
        <v>642</v>
      </c>
      <c r="J46" t="s">
        <v>543</v>
      </c>
    </row>
    <row r="47" spans="1:10">
      <c r="A47" t="s">
        <v>561</v>
      </c>
      <c r="B47" s="6"/>
      <c r="C47" s="6"/>
      <c r="D47" s="6"/>
      <c r="E47" s="6"/>
      <c r="F47" s="6"/>
      <c r="G47" s="6"/>
      <c r="H47" t="s">
        <v>145</v>
      </c>
      <c r="I47" t="s">
        <v>642</v>
      </c>
      <c r="J47" t="s">
        <v>543</v>
      </c>
    </row>
    <row r="48" spans="1:10">
      <c r="A48" s="3" t="s">
        <v>686</v>
      </c>
      <c r="B48" s="6"/>
      <c r="C48" s="6"/>
      <c r="D48" s="6"/>
      <c r="E48" s="6">
        <v>-2.0547390000000001</v>
      </c>
      <c r="F48" s="6">
        <v>-2.4695778000000002</v>
      </c>
      <c r="G48" s="6">
        <v>-3.5900916999999999</v>
      </c>
      <c r="H48" s="3" t="s">
        <v>687</v>
      </c>
      <c r="I48" s="3" t="s">
        <v>688</v>
      </c>
      <c r="J48" s="3" t="s">
        <v>689</v>
      </c>
    </row>
    <row r="49" spans="1:10">
      <c r="A49" s="3" t="s">
        <v>690</v>
      </c>
      <c r="B49" s="6"/>
      <c r="C49" s="6"/>
      <c r="D49" s="6"/>
      <c r="E49" s="6">
        <v>-2.0153908999999999</v>
      </c>
      <c r="F49" s="6">
        <v>-2.5564741999999998</v>
      </c>
      <c r="G49" s="6">
        <v>-3.7440972000000001</v>
      </c>
      <c r="H49" s="3" t="s">
        <v>687</v>
      </c>
      <c r="I49" s="3" t="s">
        <v>688</v>
      </c>
      <c r="J49" s="3" t="s">
        <v>689</v>
      </c>
    </row>
    <row r="50" spans="1:10">
      <c r="A50" t="s">
        <v>691</v>
      </c>
      <c r="B50" s="6"/>
      <c r="C50" s="6"/>
      <c r="D50" s="6"/>
      <c r="E50" s="6"/>
      <c r="F50" s="6"/>
      <c r="G50" s="6">
        <v>-2.4750065999999999</v>
      </c>
      <c r="H50" t="s">
        <v>692</v>
      </c>
      <c r="J50" t="s">
        <v>693</v>
      </c>
    </row>
    <row r="51" spans="1:10">
      <c r="A51" t="s">
        <v>694</v>
      </c>
      <c r="B51" s="6"/>
      <c r="C51" s="6"/>
      <c r="D51" s="6"/>
      <c r="E51" s="6"/>
      <c r="F51" s="6"/>
      <c r="G51" s="6">
        <v>-2.7095007999999998</v>
      </c>
      <c r="H51" t="s">
        <v>692</v>
      </c>
      <c r="J51" t="s">
        <v>693</v>
      </c>
    </row>
    <row r="52" spans="1:10">
      <c r="A52" t="s">
        <v>695</v>
      </c>
      <c r="B52" s="6"/>
      <c r="C52" s="6"/>
      <c r="D52" s="6"/>
      <c r="E52" s="6"/>
      <c r="F52" s="6"/>
      <c r="G52" s="6">
        <v>-2.9039983999999999</v>
      </c>
      <c r="H52" t="s">
        <v>692</v>
      </c>
      <c r="J52" t="s">
        <v>693</v>
      </c>
    </row>
    <row r="53" spans="1:10">
      <c r="A53" t="s">
        <v>696</v>
      </c>
      <c r="B53" s="6">
        <v>2.2350373000000001</v>
      </c>
      <c r="C53" s="6">
        <v>3.9955753999999999</v>
      </c>
      <c r="D53" s="6">
        <v>2.6519759999999999</v>
      </c>
      <c r="E53" s="6"/>
      <c r="F53" s="6"/>
      <c r="G53" s="6"/>
      <c r="H53" t="s">
        <v>692</v>
      </c>
      <c r="J53" t="s">
        <v>693</v>
      </c>
    </row>
    <row r="54" spans="1:10">
      <c r="A54" t="s">
        <v>697</v>
      </c>
      <c r="B54" s="6"/>
      <c r="C54" s="6">
        <v>3.7983427000000001</v>
      </c>
      <c r="D54" s="6">
        <v>2.7496027999999999</v>
      </c>
      <c r="E54" s="6"/>
      <c r="F54" s="6"/>
      <c r="G54" s="6"/>
      <c r="H54" t="s">
        <v>692</v>
      </c>
      <c r="I54" t="s">
        <v>693</v>
      </c>
    </row>
    <row r="55" spans="1:10">
      <c r="A55" t="s">
        <v>698</v>
      </c>
      <c r="B55" s="6"/>
      <c r="C55" s="6"/>
      <c r="D55" s="6"/>
      <c r="E55" s="6"/>
      <c r="F55" s="6"/>
      <c r="G55" s="6">
        <v>-2.4958086000000002</v>
      </c>
      <c r="H55" t="s">
        <v>692</v>
      </c>
      <c r="J55" t="s">
        <v>693</v>
      </c>
    </row>
    <row r="56" spans="1:10">
      <c r="A56" t="s">
        <v>699</v>
      </c>
      <c r="B56" s="6"/>
      <c r="C56" s="6"/>
      <c r="D56" s="6"/>
      <c r="E56" s="6"/>
      <c r="F56" s="6">
        <v>-2.0047855000000001</v>
      </c>
      <c r="G56" s="6">
        <v>-2.9584627000000001</v>
      </c>
      <c r="H56" t="s">
        <v>692</v>
      </c>
      <c r="J56" t="s">
        <v>693</v>
      </c>
    </row>
    <row r="57" spans="1:10">
      <c r="A57" t="s">
        <v>700</v>
      </c>
      <c r="B57" s="6"/>
      <c r="C57" s="6"/>
      <c r="D57" s="6"/>
      <c r="E57" s="6"/>
      <c r="F57" s="6"/>
      <c r="G57" s="6">
        <v>-2.5249562000000001</v>
      </c>
      <c r="H57" t="s">
        <v>692</v>
      </c>
      <c r="J57" t="s">
        <v>693</v>
      </c>
    </row>
    <row r="58" spans="1:10">
      <c r="A58" t="s">
        <v>701</v>
      </c>
      <c r="B58" s="6"/>
      <c r="C58" s="6"/>
      <c r="D58" s="6"/>
      <c r="E58" s="6"/>
      <c r="F58" s="6"/>
      <c r="G58" s="6">
        <v>-2.3186249999999999</v>
      </c>
      <c r="H58" t="s">
        <v>692</v>
      </c>
      <c r="J58" t="s">
        <v>693</v>
      </c>
    </row>
    <row r="59" spans="1:10">
      <c r="A59" t="s">
        <v>702</v>
      </c>
      <c r="B59" s="6"/>
      <c r="C59" s="6">
        <v>2.2029342999999999</v>
      </c>
      <c r="D59" s="6"/>
      <c r="E59" s="6"/>
      <c r="F59" s="6"/>
      <c r="G59" s="6"/>
      <c r="H59" t="s">
        <v>703</v>
      </c>
      <c r="I59" t="s">
        <v>604</v>
      </c>
      <c r="J59" t="s">
        <v>704</v>
      </c>
    </row>
    <row r="60" spans="1:10">
      <c r="A60" t="s">
        <v>705</v>
      </c>
      <c r="B60" s="6">
        <v>2.0725574</v>
      </c>
      <c r="C60" s="6">
        <v>2.6502180000000002</v>
      </c>
      <c r="D60" s="6">
        <v>2.8456372999999999</v>
      </c>
      <c r="E60" s="6"/>
      <c r="F60" s="6"/>
      <c r="G60" s="6"/>
      <c r="H60" t="s">
        <v>706</v>
      </c>
      <c r="I60" t="s">
        <v>707</v>
      </c>
      <c r="J60" t="s">
        <v>708</v>
      </c>
    </row>
    <row r="61" spans="1:10">
      <c r="A61" t="s">
        <v>709</v>
      </c>
      <c r="B61" s="6"/>
      <c r="C61" s="6"/>
      <c r="D61" s="6"/>
      <c r="E61" s="6"/>
      <c r="F61" s="6"/>
      <c r="G61" s="6"/>
      <c r="H61" t="s">
        <v>710</v>
      </c>
      <c r="I61" t="s">
        <v>655</v>
      </c>
      <c r="J61" t="s">
        <v>711</v>
      </c>
    </row>
    <row r="62" spans="1:10">
      <c r="A62" t="s">
        <v>712</v>
      </c>
      <c r="B62" s="6">
        <v>2.0105976999999999</v>
      </c>
      <c r="C62" s="6">
        <v>3.3419256000000002</v>
      </c>
      <c r="D62" s="6">
        <v>3.6186289999999999</v>
      </c>
      <c r="E62" s="6"/>
      <c r="F62" s="6"/>
      <c r="G62" s="6"/>
      <c r="H62" t="s">
        <v>713</v>
      </c>
      <c r="J62" t="s">
        <v>714</v>
      </c>
    </row>
    <row r="63" spans="1:10">
      <c r="A63" t="s">
        <v>715</v>
      </c>
      <c r="B63" s="6"/>
      <c r="C63" s="6"/>
      <c r="D63" s="6"/>
      <c r="E63" s="6"/>
      <c r="F63" s="6"/>
      <c r="G63" s="6">
        <v>-2.4287429999999999</v>
      </c>
      <c r="H63" t="s">
        <v>713</v>
      </c>
      <c r="J63" t="s">
        <v>716</v>
      </c>
    </row>
    <row r="64" spans="1:10">
      <c r="A64" t="s">
        <v>717</v>
      </c>
      <c r="B64" s="6"/>
      <c r="C64" s="6"/>
      <c r="D64" s="6"/>
      <c r="E64" s="6"/>
      <c r="F64" s="6"/>
      <c r="G64" s="6">
        <v>-2.0242871999999998</v>
      </c>
      <c r="H64" t="s">
        <v>713</v>
      </c>
      <c r="J64" t="s">
        <v>718</v>
      </c>
    </row>
    <row r="65" spans="1:11">
      <c r="A65" t="s">
        <v>719</v>
      </c>
      <c r="B65" s="6"/>
      <c r="C65" s="6"/>
      <c r="D65" s="6"/>
      <c r="E65" s="6"/>
      <c r="F65" s="6"/>
      <c r="G65" s="6"/>
      <c r="H65" t="s">
        <v>713</v>
      </c>
      <c r="I65" t="s">
        <v>627</v>
      </c>
      <c r="J65" t="s">
        <v>720</v>
      </c>
    </row>
    <row r="66" spans="1:11">
      <c r="A66" t="s">
        <v>721</v>
      </c>
      <c r="B66" s="6"/>
      <c r="C66" s="6"/>
      <c r="D66" s="6"/>
      <c r="E66" s="6"/>
      <c r="F66" s="6"/>
      <c r="G66" s="6"/>
      <c r="H66" t="s">
        <v>713</v>
      </c>
      <c r="J66" t="s">
        <v>722</v>
      </c>
    </row>
    <row r="67" spans="1:11">
      <c r="A67" t="s">
        <v>723</v>
      </c>
      <c r="B67" s="6"/>
      <c r="C67" s="6"/>
      <c r="D67" s="6"/>
      <c r="E67" s="6">
        <v>-2.9506115999999998</v>
      </c>
      <c r="F67" s="6">
        <v>-3.4669576000000002</v>
      </c>
      <c r="G67" s="6">
        <v>-3.9335789999999999</v>
      </c>
      <c r="H67" t="s">
        <v>724</v>
      </c>
      <c r="I67" t="s">
        <v>621</v>
      </c>
      <c r="J67" t="s">
        <v>725</v>
      </c>
    </row>
    <row r="68" spans="1:11">
      <c r="A68" t="s">
        <v>726</v>
      </c>
      <c r="B68" s="6"/>
      <c r="C68" s="6"/>
      <c r="D68" s="6"/>
      <c r="E68" s="6"/>
      <c r="F68" s="6"/>
      <c r="G68" s="6">
        <v>-4.0644216999999996</v>
      </c>
      <c r="H68" t="s">
        <v>727</v>
      </c>
      <c r="I68" t="s">
        <v>728</v>
      </c>
      <c r="J68" t="s">
        <v>729</v>
      </c>
    </row>
    <row r="69" spans="1:11">
      <c r="A69" t="s">
        <v>730</v>
      </c>
      <c r="B69" s="6"/>
      <c r="C69" s="6"/>
      <c r="D69" s="6"/>
      <c r="E69" s="6"/>
      <c r="F69" s="6"/>
      <c r="G69" s="6">
        <v>-2.1049275000000001</v>
      </c>
      <c r="H69" t="s">
        <v>731</v>
      </c>
      <c r="I69" t="s">
        <v>627</v>
      </c>
      <c r="J69" t="s">
        <v>732</v>
      </c>
    </row>
    <row r="70" spans="1:11">
      <c r="A70" t="s">
        <v>733</v>
      </c>
      <c r="B70" s="6"/>
      <c r="C70" s="6"/>
      <c r="D70" s="6"/>
      <c r="E70" s="6"/>
      <c r="F70" s="6"/>
      <c r="G70" s="6">
        <v>-2.1717577000000001</v>
      </c>
      <c r="H70" t="s">
        <v>734</v>
      </c>
      <c r="I70" t="s">
        <v>735</v>
      </c>
      <c r="J70" t="s">
        <v>736</v>
      </c>
      <c r="K70" t="s">
        <v>737</v>
      </c>
    </row>
    <row r="71" spans="1:11">
      <c r="A71" t="s">
        <v>738</v>
      </c>
      <c r="B71" s="6"/>
      <c r="C71" s="6"/>
      <c r="D71" s="6"/>
      <c r="E71" s="6"/>
      <c r="F71" s="6"/>
      <c r="G71" s="6">
        <v>-2.1405911</v>
      </c>
      <c r="H71" t="s">
        <v>739</v>
      </c>
      <c r="I71" t="s">
        <v>740</v>
      </c>
      <c r="J71" t="s">
        <v>741</v>
      </c>
    </row>
    <row r="72" spans="1:11">
      <c r="A72" t="s">
        <v>742</v>
      </c>
      <c r="B72" s="6"/>
      <c r="C72" s="6"/>
      <c r="D72" s="6"/>
      <c r="E72" s="6"/>
      <c r="F72" s="6"/>
      <c r="G72" s="6">
        <v>-2.1975546000000001</v>
      </c>
      <c r="H72" t="s">
        <v>743</v>
      </c>
      <c r="I72" t="s">
        <v>744</v>
      </c>
      <c r="J72" t="s">
        <v>745</v>
      </c>
    </row>
    <row r="73" spans="1:11">
      <c r="A73" t="s">
        <v>746</v>
      </c>
      <c r="B73" s="6"/>
      <c r="C73" s="6"/>
      <c r="D73" s="6"/>
      <c r="E73" s="6"/>
      <c r="F73" s="6">
        <v>-2.4813094000000002</v>
      </c>
      <c r="G73" s="6"/>
      <c r="H73" t="s">
        <v>747</v>
      </c>
      <c r="I73" t="s">
        <v>642</v>
      </c>
      <c r="J73" t="s">
        <v>748</v>
      </c>
    </row>
    <row r="74" spans="1:11">
      <c r="A74" t="s">
        <v>749</v>
      </c>
      <c r="B74" s="6"/>
      <c r="C74" s="6"/>
      <c r="D74" s="6"/>
      <c r="E74" s="6">
        <v>-2.8065349999999998</v>
      </c>
      <c r="F74" s="6">
        <v>-3.2967240000000002</v>
      </c>
      <c r="G74" s="6">
        <v>-2.1919072000000002</v>
      </c>
      <c r="H74" t="s">
        <v>747</v>
      </c>
      <c r="I74" t="s">
        <v>642</v>
      </c>
      <c r="J74" t="s">
        <v>748</v>
      </c>
    </row>
    <row r="75" spans="1:11">
      <c r="A75" t="s">
        <v>750</v>
      </c>
      <c r="B75" s="6"/>
      <c r="C75" s="6"/>
      <c r="D75" s="6"/>
      <c r="E75" s="6"/>
      <c r="F75" s="6"/>
      <c r="G75" s="6">
        <v>-2.0978823000000002</v>
      </c>
      <c r="H75" t="s">
        <v>751</v>
      </c>
      <c r="I75" t="s">
        <v>642</v>
      </c>
      <c r="J75" t="s">
        <v>752</v>
      </c>
    </row>
    <row r="76" spans="1:11">
      <c r="A76" t="s">
        <v>753</v>
      </c>
      <c r="B76" s="6"/>
      <c r="C76" s="6"/>
      <c r="D76" s="6"/>
      <c r="E76" s="6"/>
      <c r="F76" s="6"/>
      <c r="G76" s="6">
        <v>-2.033525</v>
      </c>
      <c r="H76" t="s">
        <v>754</v>
      </c>
      <c r="I76" t="s">
        <v>755</v>
      </c>
      <c r="J76" t="s">
        <v>756</v>
      </c>
    </row>
    <row r="77" spans="1:11">
      <c r="A77" t="s">
        <v>757</v>
      </c>
      <c r="B77" s="6"/>
      <c r="C77" s="6"/>
      <c r="D77" s="6"/>
      <c r="E77" s="6"/>
      <c r="F77" s="6"/>
      <c r="G77" s="6">
        <v>-4.1266803999999997</v>
      </c>
      <c r="H77" t="s">
        <v>754</v>
      </c>
      <c r="I77" t="s">
        <v>755</v>
      </c>
      <c r="J77" t="s">
        <v>756</v>
      </c>
    </row>
    <row r="78" spans="1:11">
      <c r="A78" t="s">
        <v>758</v>
      </c>
      <c r="B78" s="6"/>
      <c r="C78" s="6"/>
      <c r="D78" s="6"/>
      <c r="E78" s="6"/>
      <c r="F78" s="6"/>
      <c r="G78" s="6">
        <v>-2.1746454000000002</v>
      </c>
      <c r="H78" t="s">
        <v>754</v>
      </c>
      <c r="I78" t="s">
        <v>755</v>
      </c>
      <c r="J78" t="s">
        <v>759</v>
      </c>
    </row>
    <row r="79" spans="1:11">
      <c r="A79" t="s">
        <v>760</v>
      </c>
      <c r="B79" s="6"/>
      <c r="C79" s="6"/>
      <c r="D79" s="6"/>
      <c r="E79" s="6"/>
      <c r="F79" s="6"/>
      <c r="G79" s="6">
        <v>-3.8278989999999999</v>
      </c>
      <c r="H79" t="s">
        <v>761</v>
      </c>
      <c r="I79" t="s">
        <v>755</v>
      </c>
      <c r="J79" t="s">
        <v>762</v>
      </c>
    </row>
    <row r="80" spans="1:11">
      <c r="A80" t="s">
        <v>763</v>
      </c>
      <c r="B80" s="6"/>
      <c r="C80" s="6"/>
      <c r="D80" s="6"/>
      <c r="E80" s="6"/>
      <c r="F80" s="6"/>
      <c r="G80" s="6">
        <v>-3.9244967000000002</v>
      </c>
      <c r="H80" t="s">
        <v>761</v>
      </c>
      <c r="I80" t="s">
        <v>755</v>
      </c>
      <c r="J80" t="s">
        <v>762</v>
      </c>
    </row>
    <row r="81" spans="1:10">
      <c r="A81" t="s">
        <v>764</v>
      </c>
      <c r="B81" s="6"/>
      <c r="C81" s="6"/>
      <c r="D81" s="6"/>
      <c r="E81" s="6"/>
      <c r="F81" s="6"/>
      <c r="G81" s="6">
        <v>-2.5612750000000002</v>
      </c>
      <c r="H81" t="s">
        <v>761</v>
      </c>
      <c r="I81" t="s">
        <v>755</v>
      </c>
      <c r="J81" t="s">
        <v>762</v>
      </c>
    </row>
    <row r="82" spans="1:10">
      <c r="A82" t="s">
        <v>765</v>
      </c>
      <c r="B82" s="6"/>
      <c r="C82" s="6"/>
      <c r="D82" s="6"/>
      <c r="E82" s="6">
        <v>-4.0937960000000002</v>
      </c>
      <c r="F82" s="6">
        <v>-4.6559524999999997</v>
      </c>
      <c r="G82" s="6">
        <v>-2.638754</v>
      </c>
      <c r="H82" t="s">
        <v>766</v>
      </c>
      <c r="I82" t="s">
        <v>621</v>
      </c>
    </row>
    <row r="83" spans="1:10">
      <c r="A83" t="s">
        <v>566</v>
      </c>
      <c r="B83" s="6"/>
      <c r="C83" s="6"/>
      <c r="D83" s="6"/>
      <c r="E83" s="6"/>
      <c r="F83" s="6"/>
      <c r="G83" s="6">
        <v>-2.4179176999999998</v>
      </c>
      <c r="H83" t="s">
        <v>139</v>
      </c>
      <c r="I83" t="s">
        <v>642</v>
      </c>
      <c r="J83" t="s">
        <v>140</v>
      </c>
    </row>
    <row r="84" spans="1:10">
      <c r="A84" t="s">
        <v>767</v>
      </c>
      <c r="B84" s="6"/>
      <c r="C84" s="6"/>
      <c r="D84" s="6">
        <v>2.5553498000000001</v>
      </c>
      <c r="E84" s="6"/>
      <c r="F84" s="6"/>
      <c r="G84" s="6"/>
      <c r="H84" t="s">
        <v>768</v>
      </c>
    </row>
    <row r="85" spans="1:10">
      <c r="A85" t="s">
        <v>769</v>
      </c>
      <c r="B85" s="6"/>
      <c r="C85" s="6"/>
      <c r="D85" s="6">
        <v>2.1183972</v>
      </c>
      <c r="E85" s="6"/>
      <c r="F85" s="6"/>
      <c r="G85" s="6"/>
      <c r="H85" t="s">
        <v>770</v>
      </c>
      <c r="J85" t="s">
        <v>771</v>
      </c>
    </row>
    <row r="86" spans="1:10">
      <c r="A86" t="s">
        <v>772</v>
      </c>
      <c r="B86" s="6"/>
      <c r="C86" s="6">
        <v>2.7156457999999999</v>
      </c>
      <c r="D86" s="6"/>
      <c r="E86" s="6"/>
      <c r="F86" s="6"/>
      <c r="G86" s="6"/>
      <c r="H86" t="s">
        <v>773</v>
      </c>
      <c r="I86" t="s">
        <v>774</v>
      </c>
      <c r="J86" t="s">
        <v>775</v>
      </c>
    </row>
    <row r="87" spans="1:10">
      <c r="A87" t="s">
        <v>776</v>
      </c>
      <c r="B87" s="6"/>
      <c r="C87" s="6"/>
      <c r="D87" s="6"/>
      <c r="E87" s="6"/>
      <c r="F87" s="6"/>
      <c r="G87" s="6"/>
      <c r="H87" t="s">
        <v>777</v>
      </c>
      <c r="I87" t="s">
        <v>778</v>
      </c>
    </row>
    <row r="88" spans="1:10">
      <c r="A88" t="s">
        <v>779</v>
      </c>
      <c r="B88" s="6"/>
      <c r="C88" s="6"/>
      <c r="D88" s="6"/>
      <c r="E88" s="6"/>
      <c r="F88" s="6"/>
      <c r="G88" s="6"/>
      <c r="H88" t="s">
        <v>777</v>
      </c>
      <c r="I88" t="s">
        <v>778</v>
      </c>
    </row>
    <row r="89" spans="1:10">
      <c r="A89" t="s">
        <v>780</v>
      </c>
      <c r="B89" s="6"/>
      <c r="C89" s="6"/>
      <c r="D89" s="6"/>
      <c r="E89" s="6"/>
      <c r="F89" s="6">
        <v>-2.4915338</v>
      </c>
      <c r="G89" s="6"/>
      <c r="H89" t="s">
        <v>781</v>
      </c>
      <c r="I89" t="s">
        <v>655</v>
      </c>
      <c r="J89" t="s">
        <v>782</v>
      </c>
    </row>
    <row r="90" spans="1:10">
      <c r="A90" t="s">
        <v>783</v>
      </c>
      <c r="B90" s="6"/>
      <c r="C90" s="6"/>
      <c r="D90" s="6"/>
      <c r="E90" s="6"/>
      <c r="F90" s="6"/>
      <c r="G90" s="6">
        <v>-2.0419770000000002</v>
      </c>
      <c r="H90" t="s">
        <v>781</v>
      </c>
      <c r="I90" t="s">
        <v>655</v>
      </c>
      <c r="J90" t="s">
        <v>782</v>
      </c>
    </row>
    <row r="91" spans="1:10">
      <c r="A91" t="s">
        <v>784</v>
      </c>
      <c r="B91" s="6"/>
      <c r="C91" s="6"/>
      <c r="D91" s="6"/>
      <c r="E91" s="6"/>
      <c r="F91" s="6"/>
      <c r="G91" s="6">
        <v>-3.2744384000000002</v>
      </c>
      <c r="H91" t="s">
        <v>785</v>
      </c>
      <c r="I91" t="s">
        <v>786</v>
      </c>
      <c r="J91" t="s">
        <v>787</v>
      </c>
    </row>
    <row r="92" spans="1:10">
      <c r="A92" t="s">
        <v>788</v>
      </c>
      <c r="B92" s="6"/>
      <c r="C92" s="6"/>
      <c r="D92" s="6"/>
      <c r="E92" s="6"/>
      <c r="F92" s="6"/>
      <c r="G92" s="6">
        <v>-2.2939571999999999</v>
      </c>
      <c r="H92" t="s">
        <v>789</v>
      </c>
      <c r="J92" t="s">
        <v>790</v>
      </c>
    </row>
    <row r="93" spans="1:10">
      <c r="A93" t="s">
        <v>791</v>
      </c>
      <c r="B93" s="6"/>
      <c r="C93" s="6"/>
      <c r="D93" s="6"/>
      <c r="E93" s="6"/>
      <c r="F93" s="6">
        <v>-2.5802502999999999</v>
      </c>
      <c r="G93" s="6"/>
      <c r="H93" t="s">
        <v>792</v>
      </c>
    </row>
    <row r="94" spans="1:10">
      <c r="A94" t="s">
        <v>793</v>
      </c>
      <c r="B94" s="6"/>
      <c r="C94" s="6"/>
      <c r="D94" s="6"/>
      <c r="E94" s="6"/>
      <c r="F94" s="6"/>
      <c r="G94" s="6">
        <v>-2.0031047000000002</v>
      </c>
      <c r="H94" t="s">
        <v>794</v>
      </c>
    </row>
    <row r="95" spans="1:10">
      <c r="A95" t="s">
        <v>795</v>
      </c>
      <c r="B95" s="6"/>
      <c r="C95" s="6"/>
      <c r="D95" s="6"/>
      <c r="E95" s="6"/>
      <c r="F95" s="6"/>
      <c r="G95" s="6"/>
      <c r="H95" t="s">
        <v>794</v>
      </c>
    </row>
    <row r="96" spans="1:10">
      <c r="A96" t="s">
        <v>796</v>
      </c>
      <c r="B96" s="6"/>
      <c r="C96" s="6"/>
      <c r="D96" s="6"/>
      <c r="E96" s="6">
        <v>-2.2975278000000001</v>
      </c>
      <c r="F96" s="6">
        <v>-2.6770520000000002</v>
      </c>
      <c r="G96" s="6"/>
      <c r="H96" t="s">
        <v>660</v>
      </c>
    </row>
    <row r="97" spans="1:10">
      <c r="A97" t="s">
        <v>797</v>
      </c>
      <c r="B97" s="6"/>
      <c r="C97" s="6"/>
      <c r="D97" s="6"/>
      <c r="E97" s="6">
        <v>-3.6621543999999999</v>
      </c>
      <c r="F97" s="6">
        <v>-4.1896962999999996</v>
      </c>
      <c r="G97" s="6">
        <v>-2.5971215000000001</v>
      </c>
      <c r="H97" t="s">
        <v>798</v>
      </c>
    </row>
    <row r="98" spans="1:10">
      <c r="A98" t="s">
        <v>799</v>
      </c>
      <c r="B98" s="6"/>
      <c r="C98" s="6"/>
      <c r="D98" s="6"/>
      <c r="E98" s="6"/>
      <c r="F98" s="6"/>
      <c r="G98" s="6">
        <v>-2.5297464999999999</v>
      </c>
      <c r="H98" t="s">
        <v>800</v>
      </c>
    </row>
    <row r="99" spans="1:10">
      <c r="A99" t="s">
        <v>801</v>
      </c>
      <c r="B99" s="6"/>
      <c r="C99" s="6"/>
      <c r="D99" s="6"/>
      <c r="E99" s="6"/>
      <c r="F99" s="6"/>
      <c r="G99" s="6">
        <v>-2.3599929999999998</v>
      </c>
      <c r="H99" t="s">
        <v>802</v>
      </c>
      <c r="J99" t="s">
        <v>803</v>
      </c>
    </row>
    <row r="100" spans="1:10">
      <c r="A100" t="s">
        <v>804</v>
      </c>
      <c r="B100" s="6"/>
      <c r="C100" s="6"/>
      <c r="D100" s="6"/>
      <c r="E100" s="6"/>
      <c r="F100" s="6"/>
      <c r="G100" s="6">
        <v>-2.0204629999999999</v>
      </c>
      <c r="H100" t="s">
        <v>802</v>
      </c>
      <c r="J100" t="s">
        <v>803</v>
      </c>
    </row>
    <row r="101" spans="1:10">
      <c r="A101" t="s">
        <v>805</v>
      </c>
      <c r="B101" s="6"/>
      <c r="C101" s="6"/>
      <c r="D101" s="6">
        <v>2.1033254000000001</v>
      </c>
      <c r="E101" s="6"/>
      <c r="F101" s="6"/>
      <c r="G101" s="6"/>
      <c r="H101" t="s">
        <v>802</v>
      </c>
    </row>
    <row r="102" spans="1:10">
      <c r="A102" t="s">
        <v>806</v>
      </c>
      <c r="B102" s="6"/>
      <c r="C102" s="6"/>
      <c r="D102" s="6"/>
      <c r="E102" s="6"/>
      <c r="F102" s="6"/>
      <c r="G102" s="6">
        <v>-2.4801392999999998</v>
      </c>
      <c r="H102" t="s">
        <v>802</v>
      </c>
      <c r="J102" t="s">
        <v>803</v>
      </c>
    </row>
    <row r="103" spans="1:10">
      <c r="A103" t="s">
        <v>807</v>
      </c>
      <c r="B103" s="6">
        <v>2.5733961999999999</v>
      </c>
      <c r="C103" s="6">
        <v>2.6139326000000001</v>
      </c>
      <c r="D103" s="6">
        <v>2.5278</v>
      </c>
      <c r="E103" s="6"/>
      <c r="F103" s="6"/>
      <c r="G103" s="6"/>
      <c r="H103" t="s">
        <v>802</v>
      </c>
      <c r="J103" t="s">
        <v>803</v>
      </c>
    </row>
    <row r="104" spans="1:10">
      <c r="A104" t="s">
        <v>808</v>
      </c>
      <c r="B104" s="6"/>
      <c r="C104" s="6"/>
      <c r="D104" s="6"/>
      <c r="E104" s="6"/>
      <c r="F104" s="6">
        <v>-2.3044311999999998</v>
      </c>
      <c r="G104" s="6"/>
      <c r="H104" t="s">
        <v>802</v>
      </c>
      <c r="J104" t="s">
        <v>803</v>
      </c>
    </row>
    <row r="105" spans="1:10">
      <c r="A105" t="s">
        <v>809</v>
      </c>
      <c r="B105" s="6"/>
      <c r="C105" s="6"/>
      <c r="D105" s="6"/>
      <c r="E105" s="6"/>
      <c r="F105" s="6"/>
      <c r="G105" s="6">
        <v>-2.2246717999999999</v>
      </c>
      <c r="H105" t="s">
        <v>802</v>
      </c>
      <c r="J105" t="s">
        <v>803</v>
      </c>
    </row>
    <row r="106" spans="1:10">
      <c r="A106" t="s">
        <v>810</v>
      </c>
      <c r="B106" s="6"/>
      <c r="C106" s="6"/>
      <c r="D106" s="6"/>
      <c r="E106" s="6"/>
      <c r="F106" s="6"/>
      <c r="G106" s="6">
        <v>-2.1982694</v>
      </c>
      <c r="H106" t="s">
        <v>802</v>
      </c>
      <c r="J106" t="s">
        <v>803</v>
      </c>
    </row>
    <row r="107" spans="1:10">
      <c r="A107" t="s">
        <v>811</v>
      </c>
      <c r="B107" s="6"/>
      <c r="C107" s="6"/>
      <c r="D107" s="6"/>
      <c r="E107" s="6"/>
      <c r="F107" s="6">
        <v>-2.0628555</v>
      </c>
      <c r="G107" s="6"/>
      <c r="H107" t="s">
        <v>802</v>
      </c>
      <c r="J107" t="s">
        <v>803</v>
      </c>
    </row>
    <row r="108" spans="1:10">
      <c r="A108" t="s">
        <v>812</v>
      </c>
      <c r="B108" s="6"/>
      <c r="C108" s="6"/>
      <c r="D108" s="6"/>
      <c r="E108" s="6"/>
      <c r="F108" s="6"/>
      <c r="G108" s="6">
        <v>-2.8936557999999999</v>
      </c>
      <c r="H108" t="s">
        <v>802</v>
      </c>
      <c r="J108" t="s">
        <v>803</v>
      </c>
    </row>
    <row r="109" spans="1:10">
      <c r="A109" t="s">
        <v>813</v>
      </c>
      <c r="B109" s="6"/>
      <c r="C109" s="6"/>
      <c r="D109" s="6"/>
      <c r="E109" s="6"/>
      <c r="F109" s="6"/>
      <c r="G109" s="6"/>
      <c r="H109" t="s">
        <v>802</v>
      </c>
      <c r="J109" t="s">
        <v>803</v>
      </c>
    </row>
    <row r="110" spans="1:10">
      <c r="A110" t="s">
        <v>814</v>
      </c>
      <c r="B110" s="6"/>
      <c r="C110" s="6"/>
      <c r="D110" s="6"/>
      <c r="E110" s="6"/>
      <c r="F110" s="6"/>
      <c r="G110" s="6">
        <v>-2.1856450000000001</v>
      </c>
      <c r="H110" t="s">
        <v>802</v>
      </c>
      <c r="I110" t="s">
        <v>815</v>
      </c>
      <c r="J110" t="s">
        <v>816</v>
      </c>
    </row>
    <row r="111" spans="1:10">
      <c r="A111" t="s">
        <v>817</v>
      </c>
      <c r="B111" s="6"/>
      <c r="C111" s="6"/>
      <c r="D111" s="6"/>
      <c r="E111" s="6"/>
      <c r="F111" s="6"/>
      <c r="G111" s="6"/>
      <c r="H111" t="s">
        <v>802</v>
      </c>
      <c r="J111" t="s">
        <v>803</v>
      </c>
    </row>
    <row r="112" spans="1:10">
      <c r="A112" t="s">
        <v>818</v>
      </c>
      <c r="B112" s="6"/>
      <c r="C112" s="6"/>
      <c r="D112" s="6"/>
      <c r="E112" s="6"/>
      <c r="F112" s="6">
        <v>-2.8280677999999999</v>
      </c>
      <c r="G112" s="6">
        <v>-3.6198977999999999</v>
      </c>
      <c r="H112" t="s">
        <v>802</v>
      </c>
      <c r="J112" t="s">
        <v>803</v>
      </c>
    </row>
    <row r="113" spans="1:10">
      <c r="A113" t="s">
        <v>819</v>
      </c>
      <c r="B113" s="6"/>
      <c r="C113" s="6"/>
      <c r="D113" s="6"/>
      <c r="E113" s="6"/>
      <c r="F113" s="6"/>
      <c r="G113" s="6">
        <v>-2.8447464</v>
      </c>
      <c r="H113" t="s">
        <v>802</v>
      </c>
      <c r="J113" t="s">
        <v>803</v>
      </c>
    </row>
    <row r="114" spans="1:10">
      <c r="A114" t="s">
        <v>820</v>
      </c>
      <c r="B114" s="6"/>
      <c r="C114" s="6"/>
      <c r="D114" s="6"/>
      <c r="E114" s="6"/>
      <c r="F114" s="6"/>
      <c r="G114" s="6">
        <v>-2.5789369999999998</v>
      </c>
      <c r="H114" t="s">
        <v>802</v>
      </c>
      <c r="J114" t="s">
        <v>803</v>
      </c>
    </row>
    <row r="115" spans="1:10">
      <c r="A115" t="s">
        <v>821</v>
      </c>
      <c r="B115" s="6"/>
      <c r="C115" s="6"/>
      <c r="D115" s="6"/>
      <c r="E115" s="6"/>
      <c r="F115" s="6"/>
      <c r="G115" s="6">
        <v>-2.484013</v>
      </c>
      <c r="H115" t="s">
        <v>802</v>
      </c>
      <c r="I115" t="s">
        <v>822</v>
      </c>
      <c r="J115" t="s">
        <v>823</v>
      </c>
    </row>
    <row r="116" spans="1:10">
      <c r="A116" t="s">
        <v>824</v>
      </c>
      <c r="B116" s="6"/>
      <c r="C116" s="6"/>
      <c r="D116" s="6"/>
      <c r="E116" s="6"/>
      <c r="F116" s="6"/>
      <c r="G116" s="6">
        <v>-2.1538309999999998</v>
      </c>
      <c r="H116" t="s">
        <v>802</v>
      </c>
      <c r="I116" t="s">
        <v>822</v>
      </c>
      <c r="J116" t="s">
        <v>823</v>
      </c>
    </row>
    <row r="117" spans="1:10">
      <c r="A117" t="s">
        <v>825</v>
      </c>
      <c r="B117" s="6"/>
      <c r="C117" s="6"/>
      <c r="D117" s="6"/>
      <c r="E117" s="6"/>
      <c r="F117" s="6"/>
      <c r="G117" s="6">
        <v>-2.1019801999999999</v>
      </c>
      <c r="H117" t="s">
        <v>802</v>
      </c>
      <c r="J117" t="s">
        <v>838</v>
      </c>
    </row>
    <row r="118" spans="1:10">
      <c r="A118" t="s">
        <v>839</v>
      </c>
      <c r="B118" s="6"/>
      <c r="C118" s="6"/>
      <c r="D118" s="6"/>
      <c r="E118" s="6"/>
      <c r="F118" s="6"/>
      <c r="G118" s="6">
        <v>-2.3835812000000001</v>
      </c>
      <c r="H118" t="s">
        <v>802</v>
      </c>
      <c r="I118" t="s">
        <v>840</v>
      </c>
    </row>
    <row r="119" spans="1:10">
      <c r="A119" t="s">
        <v>841</v>
      </c>
      <c r="B119" s="6"/>
      <c r="C119" s="6"/>
      <c r="D119" s="6"/>
      <c r="E119" s="6"/>
      <c r="F119" s="6"/>
      <c r="G119" s="6">
        <v>-2.895092</v>
      </c>
      <c r="H119" t="s">
        <v>802</v>
      </c>
      <c r="I119" t="s">
        <v>842</v>
      </c>
      <c r="J119" t="s">
        <v>843</v>
      </c>
    </row>
    <row r="120" spans="1:10">
      <c r="A120" t="s">
        <v>844</v>
      </c>
      <c r="B120" s="6"/>
      <c r="C120" s="6"/>
      <c r="D120" s="6"/>
      <c r="E120" s="6"/>
      <c r="F120" s="6"/>
      <c r="G120" s="6">
        <v>-2.1190476</v>
      </c>
      <c r="H120" t="s">
        <v>802</v>
      </c>
      <c r="I120" t="s">
        <v>815</v>
      </c>
      <c r="J120" t="s">
        <v>845</v>
      </c>
    </row>
    <row r="121" spans="1:10">
      <c r="A121" t="s">
        <v>846</v>
      </c>
      <c r="B121" s="6"/>
      <c r="C121" s="6"/>
      <c r="D121" s="6"/>
      <c r="E121" s="6"/>
      <c r="F121" s="6">
        <v>-2.4425210000000002</v>
      </c>
      <c r="G121" s="6">
        <v>-2.7323607999999999</v>
      </c>
      <c r="H121" t="s">
        <v>802</v>
      </c>
      <c r="I121" t="s">
        <v>815</v>
      </c>
      <c r="J121" t="s">
        <v>847</v>
      </c>
    </row>
    <row r="122" spans="1:10">
      <c r="A122" t="s">
        <v>848</v>
      </c>
      <c r="B122" s="6"/>
      <c r="C122" s="6"/>
      <c r="D122" s="6"/>
      <c r="E122" s="6"/>
      <c r="F122" s="6"/>
      <c r="G122" s="6">
        <v>-2.1260886000000001</v>
      </c>
      <c r="H122" t="s">
        <v>802</v>
      </c>
      <c r="J122" t="s">
        <v>803</v>
      </c>
    </row>
    <row r="123" spans="1:10">
      <c r="A123" t="s">
        <v>849</v>
      </c>
      <c r="B123" s="6"/>
      <c r="C123" s="6"/>
      <c r="D123" s="6"/>
      <c r="E123" s="6"/>
      <c r="F123" s="6">
        <v>-2.2862</v>
      </c>
      <c r="G123" s="6">
        <v>-2.3730745</v>
      </c>
      <c r="H123" t="s">
        <v>802</v>
      </c>
      <c r="I123" t="s">
        <v>815</v>
      </c>
      <c r="J123" t="s">
        <v>847</v>
      </c>
    </row>
    <row r="124" spans="1:10">
      <c r="A124" t="s">
        <v>850</v>
      </c>
      <c r="B124" s="6">
        <v>2.5684513999999998</v>
      </c>
      <c r="C124" s="6">
        <v>2.7728028</v>
      </c>
      <c r="D124" s="6">
        <v>2.5567280000000001</v>
      </c>
      <c r="E124" s="6"/>
      <c r="F124" s="6"/>
      <c r="G124" s="6"/>
      <c r="H124" t="s">
        <v>802</v>
      </c>
      <c r="J124" t="s">
        <v>803</v>
      </c>
    </row>
    <row r="125" spans="1:10">
      <c r="A125" t="s">
        <v>851</v>
      </c>
      <c r="B125" s="6"/>
      <c r="C125" s="6"/>
      <c r="D125" s="6"/>
      <c r="E125" s="6"/>
      <c r="F125" s="6"/>
      <c r="G125" s="6">
        <v>-2.0410146999999998</v>
      </c>
      <c r="H125" t="s">
        <v>802</v>
      </c>
      <c r="J125" t="s">
        <v>852</v>
      </c>
    </row>
    <row r="126" spans="1:10">
      <c r="A126" t="s">
        <v>853</v>
      </c>
      <c r="B126" s="6"/>
      <c r="C126" s="6"/>
      <c r="D126" s="6"/>
      <c r="E126" s="6"/>
      <c r="F126" s="6"/>
      <c r="G126" s="6">
        <v>-2.1235723000000002</v>
      </c>
      <c r="H126" t="s">
        <v>802</v>
      </c>
      <c r="J126" t="s">
        <v>803</v>
      </c>
    </row>
    <row r="127" spans="1:10">
      <c r="A127" t="s">
        <v>854</v>
      </c>
      <c r="B127" s="6"/>
      <c r="C127" s="6"/>
      <c r="D127" s="6"/>
      <c r="E127" s="6"/>
      <c r="F127" s="6"/>
      <c r="G127" s="6">
        <v>-2.1703166999999999</v>
      </c>
      <c r="H127" t="s">
        <v>802</v>
      </c>
      <c r="I127" t="s">
        <v>815</v>
      </c>
      <c r="J127" t="s">
        <v>847</v>
      </c>
    </row>
    <row r="128" spans="1:10">
      <c r="A128" t="s">
        <v>855</v>
      </c>
      <c r="B128" s="6"/>
      <c r="C128" s="6"/>
      <c r="D128" s="6"/>
      <c r="E128" s="6"/>
      <c r="F128" s="6"/>
      <c r="G128" s="6">
        <v>-2.1186752000000002</v>
      </c>
      <c r="H128" t="s">
        <v>856</v>
      </c>
    </row>
    <row r="129" spans="1:10">
      <c r="A129" t="s">
        <v>857</v>
      </c>
      <c r="B129" s="6"/>
      <c r="C129" s="6"/>
      <c r="D129" s="6"/>
      <c r="E129" s="6"/>
      <c r="F129" s="6"/>
      <c r="G129" s="6">
        <v>-2.1185174</v>
      </c>
      <c r="H129" t="s">
        <v>858</v>
      </c>
      <c r="I129" t="s">
        <v>815</v>
      </c>
      <c r="J129" t="s">
        <v>845</v>
      </c>
    </row>
    <row r="130" spans="1:10">
      <c r="A130" t="s">
        <v>859</v>
      </c>
      <c r="B130" s="6"/>
      <c r="C130" s="6"/>
      <c r="D130" s="6"/>
      <c r="E130" s="6"/>
      <c r="F130" s="6"/>
      <c r="G130" s="6">
        <v>-2.1252179999999998</v>
      </c>
      <c r="H130" t="s">
        <v>858</v>
      </c>
      <c r="I130" t="s">
        <v>860</v>
      </c>
    </row>
    <row r="131" spans="1:10">
      <c r="A131" t="s">
        <v>538</v>
      </c>
      <c r="B131" s="6"/>
      <c r="C131" s="6"/>
      <c r="D131" s="6"/>
      <c r="E131" s="6">
        <v>-5.5525336000000003</v>
      </c>
      <c r="F131" s="6">
        <v>-7.1708026</v>
      </c>
      <c r="G131" s="6">
        <v>-4.3243660000000004</v>
      </c>
      <c r="H131" t="s">
        <v>143</v>
      </c>
      <c r="I131" t="s">
        <v>822</v>
      </c>
      <c r="J131" t="s">
        <v>144</v>
      </c>
    </row>
    <row r="132" spans="1:10">
      <c r="A132" t="s">
        <v>577</v>
      </c>
      <c r="B132" s="6"/>
      <c r="C132" s="6"/>
      <c r="D132" s="6"/>
      <c r="E132" s="6">
        <v>-5.7130302999999998</v>
      </c>
      <c r="F132" s="6">
        <v>-7.0007520000000003</v>
      </c>
      <c r="G132" s="6">
        <v>-4.2652279999999996</v>
      </c>
      <c r="H132" t="s">
        <v>143</v>
      </c>
      <c r="I132" t="s">
        <v>822</v>
      </c>
      <c r="J132" t="s">
        <v>144</v>
      </c>
    </row>
    <row r="133" spans="1:10">
      <c r="A133" t="s">
        <v>861</v>
      </c>
      <c r="B133" s="6"/>
      <c r="C133" s="6"/>
      <c r="D133" s="6"/>
      <c r="E133" s="6"/>
      <c r="F133" s="6"/>
      <c r="G133" s="6"/>
      <c r="H133" t="s">
        <v>862</v>
      </c>
      <c r="I133" t="s">
        <v>815</v>
      </c>
      <c r="J133" t="s">
        <v>863</v>
      </c>
    </row>
    <row r="134" spans="1:10">
      <c r="A134" t="s">
        <v>864</v>
      </c>
      <c r="B134" s="6"/>
      <c r="C134" s="6"/>
      <c r="D134" s="6"/>
      <c r="E134" s="6"/>
      <c r="F134" s="6"/>
      <c r="G134" s="6">
        <v>-2.0181222000000001</v>
      </c>
      <c r="H134" t="s">
        <v>862</v>
      </c>
      <c r="I134" t="s">
        <v>815</v>
      </c>
      <c r="J134" t="s">
        <v>865</v>
      </c>
    </row>
    <row r="135" spans="1:10">
      <c r="A135" t="s">
        <v>866</v>
      </c>
      <c r="B135" s="6"/>
      <c r="C135" s="6"/>
      <c r="D135" s="6"/>
      <c r="E135" s="6"/>
      <c r="F135" s="6"/>
      <c r="G135" s="6">
        <v>-2.4773725999999998</v>
      </c>
      <c r="H135" t="s">
        <v>862</v>
      </c>
      <c r="I135" t="s">
        <v>815</v>
      </c>
      <c r="J135" t="s">
        <v>865</v>
      </c>
    </row>
    <row r="136" spans="1:10">
      <c r="A136" t="s">
        <v>867</v>
      </c>
      <c r="B136" s="6"/>
      <c r="C136" s="6"/>
      <c r="D136" s="6"/>
      <c r="E136" s="6"/>
      <c r="F136" s="6"/>
      <c r="G136" s="6">
        <v>-3.5417686000000002</v>
      </c>
      <c r="H136" t="s">
        <v>868</v>
      </c>
      <c r="I136" t="s">
        <v>869</v>
      </c>
      <c r="J136" t="s">
        <v>870</v>
      </c>
    </row>
    <row r="137" spans="1:10">
      <c r="A137" t="s">
        <v>871</v>
      </c>
      <c r="B137" s="6"/>
      <c r="C137" s="6"/>
      <c r="D137" s="6"/>
      <c r="E137" s="6"/>
      <c r="F137" s="6"/>
      <c r="G137" s="6">
        <v>-4.6209610000000003</v>
      </c>
      <c r="H137" t="s">
        <v>872</v>
      </c>
      <c r="I137" t="s">
        <v>873</v>
      </c>
      <c r="J137" t="s">
        <v>874</v>
      </c>
    </row>
    <row r="138" spans="1:10">
      <c r="A138" t="s">
        <v>875</v>
      </c>
      <c r="B138" s="6"/>
      <c r="C138" s="6"/>
      <c r="D138" s="6"/>
      <c r="E138" s="6"/>
      <c r="F138" s="6"/>
      <c r="G138" s="6">
        <v>-2.0235853000000001</v>
      </c>
      <c r="H138" t="s">
        <v>872</v>
      </c>
      <c r="J138" t="s">
        <v>876</v>
      </c>
    </row>
    <row r="139" spans="1:10">
      <c r="A139" t="s">
        <v>877</v>
      </c>
      <c r="B139" s="6"/>
      <c r="C139" s="6"/>
      <c r="D139" s="6"/>
      <c r="E139" s="6"/>
      <c r="F139" s="6">
        <v>-3.3473326999999999</v>
      </c>
      <c r="G139" s="6">
        <v>-5.4696160000000003</v>
      </c>
      <c r="H139" t="s">
        <v>878</v>
      </c>
      <c r="I139" t="s">
        <v>873</v>
      </c>
      <c r="J139" s="3" t="s">
        <v>879</v>
      </c>
    </row>
    <row r="140" spans="1:10">
      <c r="A140" t="s">
        <v>880</v>
      </c>
      <c r="B140" s="6"/>
      <c r="C140" s="6"/>
      <c r="D140" s="6">
        <v>2.052003</v>
      </c>
      <c r="E140" s="6"/>
      <c r="F140" s="6"/>
      <c r="G140" s="6"/>
      <c r="H140" t="s">
        <v>878</v>
      </c>
      <c r="I140" t="s">
        <v>873</v>
      </c>
      <c r="J140" s="3" t="s">
        <v>879</v>
      </c>
    </row>
    <row r="141" spans="1:10">
      <c r="A141" t="s">
        <v>881</v>
      </c>
      <c r="B141" s="6">
        <v>3.1407002999999998</v>
      </c>
      <c r="C141" s="6">
        <v>3.2185570000000001</v>
      </c>
      <c r="D141" s="6">
        <v>3.5042844</v>
      </c>
      <c r="E141" s="6"/>
      <c r="F141" s="6"/>
      <c r="G141" s="6"/>
      <c r="H141" t="s">
        <v>882</v>
      </c>
      <c r="I141" t="s">
        <v>873</v>
      </c>
      <c r="J141" t="s">
        <v>883</v>
      </c>
    </row>
    <row r="142" spans="1:10">
      <c r="A142" t="s">
        <v>884</v>
      </c>
      <c r="B142" s="6"/>
      <c r="C142" s="6">
        <v>3.3321079999999998</v>
      </c>
      <c r="D142" s="6">
        <v>3.4611573</v>
      </c>
      <c r="E142" s="6"/>
      <c r="F142" s="6"/>
      <c r="G142" s="6"/>
      <c r="H142" t="s">
        <v>885</v>
      </c>
      <c r="J142" t="s">
        <v>886</v>
      </c>
    </row>
    <row r="143" spans="1:10">
      <c r="A143" t="s">
        <v>887</v>
      </c>
      <c r="B143" s="6"/>
      <c r="C143" s="6"/>
      <c r="D143" s="6"/>
      <c r="E143" s="6"/>
      <c r="F143" s="6">
        <v>-2.0257645000000002</v>
      </c>
      <c r="G143" s="6">
        <v>-4.4967889999999997</v>
      </c>
      <c r="H143" t="s">
        <v>885</v>
      </c>
      <c r="J143" t="s">
        <v>886</v>
      </c>
    </row>
    <row r="144" spans="1:10">
      <c r="A144" t="s">
        <v>888</v>
      </c>
      <c r="B144" s="6"/>
      <c r="C144" s="6"/>
      <c r="D144" s="6"/>
      <c r="E144" s="6"/>
      <c r="F144" s="6"/>
      <c r="G144" s="6">
        <v>-2.4038094999999999</v>
      </c>
      <c r="H144" t="s">
        <v>889</v>
      </c>
    </row>
    <row r="145" spans="1:10">
      <c r="A145" t="s">
        <v>567</v>
      </c>
      <c r="B145" s="6"/>
      <c r="C145" s="6"/>
      <c r="D145" s="6">
        <v>2.7873774</v>
      </c>
      <c r="E145" s="6"/>
      <c r="F145" s="6"/>
      <c r="G145" s="6"/>
      <c r="H145" t="s">
        <v>149</v>
      </c>
      <c r="I145" t="s">
        <v>873</v>
      </c>
      <c r="J145" t="s">
        <v>891</v>
      </c>
    </row>
    <row r="146" spans="1:10">
      <c r="A146" t="s">
        <v>890</v>
      </c>
      <c r="B146" s="6"/>
      <c r="C146" s="6"/>
      <c r="D146" s="6">
        <v>2.6228400000000001</v>
      </c>
      <c r="E146" s="6"/>
      <c r="F146" s="6"/>
      <c r="G146" s="6"/>
      <c r="H146" t="s">
        <v>891</v>
      </c>
    </row>
    <row r="147" spans="1:10">
      <c r="A147" t="s">
        <v>892</v>
      </c>
      <c r="B147" s="6"/>
      <c r="C147" s="6"/>
      <c r="D147" s="6">
        <v>2.5363039999999999</v>
      </c>
      <c r="E147" s="6"/>
      <c r="F147" s="6"/>
      <c r="G147" s="6"/>
      <c r="H147" t="s">
        <v>891</v>
      </c>
      <c r="I147" t="s">
        <v>873</v>
      </c>
    </row>
    <row r="148" spans="1:10">
      <c r="A148" t="s">
        <v>893</v>
      </c>
      <c r="B148" s="6"/>
      <c r="C148" s="6"/>
      <c r="D148" s="6"/>
      <c r="E148" s="6">
        <v>-2.5025153000000002</v>
      </c>
      <c r="F148" s="6">
        <v>-2.2376103000000001</v>
      </c>
      <c r="G148" s="6"/>
      <c r="H148" t="s">
        <v>894</v>
      </c>
      <c r="I148" t="s">
        <v>895</v>
      </c>
      <c r="J148" t="s">
        <v>896</v>
      </c>
    </row>
    <row r="149" spans="1:10">
      <c r="A149" t="s">
        <v>897</v>
      </c>
      <c r="B149" s="6"/>
      <c r="C149" s="6"/>
      <c r="D149" s="6"/>
      <c r="E149" s="6"/>
      <c r="F149" s="6"/>
      <c r="G149" s="6">
        <v>-3.0188060000000001</v>
      </c>
      <c r="H149" t="s">
        <v>898</v>
      </c>
    </row>
    <row r="150" spans="1:10">
      <c r="A150" s="3" t="s">
        <v>548</v>
      </c>
      <c r="B150" s="6"/>
      <c r="C150" s="6"/>
      <c r="D150" s="6"/>
      <c r="E150" s="6">
        <v>-2.2621273999999998</v>
      </c>
      <c r="F150" s="6">
        <v>-2.7849889000000001</v>
      </c>
      <c r="G150" s="6">
        <v>-2.5491432999999999</v>
      </c>
      <c r="H150" t="s">
        <v>142</v>
      </c>
      <c r="J150" s="3" t="s">
        <v>549</v>
      </c>
    </row>
    <row r="151" spans="1:10">
      <c r="A151" t="s">
        <v>899</v>
      </c>
      <c r="B151" s="6"/>
      <c r="C151" s="6"/>
      <c r="D151" s="6"/>
      <c r="E151" s="6"/>
      <c r="F151" s="6"/>
      <c r="G151" s="6">
        <v>-3.8047013000000001</v>
      </c>
      <c r="H151" t="s">
        <v>900</v>
      </c>
      <c r="I151" t="s">
        <v>901</v>
      </c>
      <c r="J151" t="s">
        <v>902</v>
      </c>
    </row>
    <row r="152" spans="1:10">
      <c r="A152" t="s">
        <v>903</v>
      </c>
      <c r="B152" s="6"/>
      <c r="C152" s="6"/>
      <c r="D152" s="6">
        <v>2.7230492000000002</v>
      </c>
      <c r="E152" s="6"/>
      <c r="F152" s="6"/>
      <c r="G152" s="6"/>
      <c r="H152" t="s">
        <v>904</v>
      </c>
      <c r="I152" t="s">
        <v>905</v>
      </c>
      <c r="J152" t="s">
        <v>906</v>
      </c>
    </row>
    <row r="153" spans="1:10">
      <c r="A153" t="s">
        <v>907</v>
      </c>
      <c r="B153" s="6"/>
      <c r="C153" s="6"/>
      <c r="D153" s="6"/>
      <c r="E153" s="6"/>
      <c r="F153" s="6"/>
      <c r="G153" s="6">
        <v>-2.0366602</v>
      </c>
      <c r="H153" t="s">
        <v>908</v>
      </c>
    </row>
    <row r="154" spans="1:10">
      <c r="A154" s="3" t="s">
        <v>537</v>
      </c>
      <c r="B154" s="6">
        <v>2.0310907</v>
      </c>
      <c r="C154" s="6">
        <v>2.4290604999999998</v>
      </c>
      <c r="D154" s="6">
        <v>2.2818580000000002</v>
      </c>
      <c r="E154" s="6"/>
      <c r="F154" s="6"/>
      <c r="G154" s="6"/>
      <c r="H154" s="3" t="s">
        <v>910</v>
      </c>
    </row>
    <row r="155" spans="1:10">
      <c r="A155" s="3" t="s">
        <v>909</v>
      </c>
      <c r="B155" s="6"/>
      <c r="C155" s="6"/>
      <c r="D155" s="6"/>
      <c r="E155" s="7">
        <v>-2.0720972999999998</v>
      </c>
      <c r="F155" s="7"/>
      <c r="G155" s="7">
        <v>-2.5533055999999998</v>
      </c>
      <c r="H155" s="3" t="s">
        <v>910</v>
      </c>
    </row>
    <row r="156" spans="1:10">
      <c r="A156" s="3" t="s">
        <v>911</v>
      </c>
      <c r="B156" s="6"/>
      <c r="C156" s="6"/>
      <c r="D156" s="6"/>
      <c r="E156" s="7">
        <v>-2.3783994000000002</v>
      </c>
      <c r="F156" s="7">
        <v>-2.2582946000000002</v>
      </c>
      <c r="G156" s="7">
        <v>-2.7821506999999999</v>
      </c>
      <c r="H156" s="3" t="s">
        <v>910</v>
      </c>
    </row>
    <row r="157" spans="1:10">
      <c r="A157" s="3" t="s">
        <v>912</v>
      </c>
      <c r="B157" s="6"/>
      <c r="C157" s="6"/>
      <c r="D157" s="6"/>
      <c r="E157" s="7"/>
      <c r="F157" s="7"/>
      <c r="G157" s="7"/>
      <c r="H157" s="3" t="s">
        <v>910</v>
      </c>
    </row>
    <row r="158" spans="1:10">
      <c r="A158" s="3" t="s">
        <v>913</v>
      </c>
      <c r="B158" s="6"/>
      <c r="C158" s="6"/>
      <c r="D158" s="6"/>
      <c r="E158" s="7">
        <v>-3.384468</v>
      </c>
      <c r="F158" s="7">
        <v>-3.4396868</v>
      </c>
      <c r="G158" s="7">
        <v>-3.3448153</v>
      </c>
      <c r="H158" s="3" t="s">
        <v>910</v>
      </c>
    </row>
    <row r="159" spans="1:10">
      <c r="A159" s="3" t="s">
        <v>914</v>
      </c>
      <c r="B159" s="6"/>
      <c r="C159" s="6"/>
      <c r="D159" s="6"/>
      <c r="E159" s="7">
        <v>-3.2639326999999998</v>
      </c>
      <c r="F159" s="7">
        <v>-3.2918677000000001</v>
      </c>
      <c r="G159" s="7">
        <v>-3.6261315000000001</v>
      </c>
      <c r="H159" s="3" t="s">
        <v>910</v>
      </c>
    </row>
    <row r="160" spans="1:10">
      <c r="A160" s="3" t="s">
        <v>915</v>
      </c>
      <c r="B160" s="6"/>
      <c r="C160" s="6"/>
      <c r="D160" s="6"/>
      <c r="E160" s="7">
        <v>-2.9861960000000001</v>
      </c>
      <c r="F160" s="7">
        <v>-3.2701983000000001</v>
      </c>
      <c r="G160" s="7"/>
      <c r="H160" s="3" t="s">
        <v>916</v>
      </c>
      <c r="I160" s="3" t="s">
        <v>627</v>
      </c>
      <c r="J160" s="3" t="s">
        <v>917</v>
      </c>
    </row>
    <row r="161" spans="1:10">
      <c r="A161" t="s">
        <v>918</v>
      </c>
      <c r="B161" s="6"/>
      <c r="C161" s="6"/>
      <c r="D161" s="6"/>
      <c r="E161" s="6"/>
      <c r="F161" s="6"/>
      <c r="G161" s="6">
        <v>-3.0524292000000002</v>
      </c>
      <c r="H161" t="s">
        <v>919</v>
      </c>
      <c r="I161" t="s">
        <v>920</v>
      </c>
      <c r="J161" t="s">
        <v>921</v>
      </c>
    </row>
    <row r="162" spans="1:10">
      <c r="A162" t="s">
        <v>922</v>
      </c>
      <c r="B162" s="6"/>
      <c r="C162" s="6"/>
      <c r="D162" s="6"/>
      <c r="E162" s="6"/>
      <c r="F162" s="6">
        <v>-2.4699149999999999</v>
      </c>
      <c r="G162" s="6">
        <v>-3.6620903</v>
      </c>
      <c r="H162" t="s">
        <v>923</v>
      </c>
      <c r="I162" t="s">
        <v>924</v>
      </c>
      <c r="J162" t="s">
        <v>925</v>
      </c>
    </row>
    <row r="163" spans="1:10">
      <c r="A163" t="s">
        <v>926</v>
      </c>
      <c r="B163" s="6"/>
      <c r="C163" s="6"/>
      <c r="D163" s="6">
        <v>2.0288591</v>
      </c>
      <c r="E163" s="6"/>
      <c r="F163" s="6"/>
      <c r="G163" s="6"/>
      <c r="H163" t="s">
        <v>927</v>
      </c>
      <c r="I163" t="s">
        <v>928</v>
      </c>
      <c r="J163" t="s">
        <v>929</v>
      </c>
    </row>
    <row r="164" spans="1:10">
      <c r="A164" t="s">
        <v>930</v>
      </c>
      <c r="B164" s="6"/>
      <c r="C164" s="6"/>
      <c r="D164" s="6"/>
      <c r="E164" s="6"/>
      <c r="F164" s="6"/>
      <c r="G164" s="6">
        <v>-2.0347195</v>
      </c>
      <c r="H164" t="s">
        <v>931</v>
      </c>
    </row>
    <row r="165" spans="1:10">
      <c r="A165" t="s">
        <v>932</v>
      </c>
      <c r="B165" s="6"/>
      <c r="C165" s="6"/>
      <c r="D165" s="6">
        <v>2.0315413000000002</v>
      </c>
      <c r="E165" s="6"/>
      <c r="F165" s="6"/>
      <c r="G165" s="6"/>
      <c r="H165" t="s">
        <v>933</v>
      </c>
    </row>
    <row r="166" spans="1:10">
      <c r="A166" s="3" t="s">
        <v>551</v>
      </c>
      <c r="B166" s="6"/>
      <c r="C166" s="6"/>
      <c r="D166" s="6"/>
      <c r="E166" s="6"/>
      <c r="F166" s="6"/>
      <c r="G166" s="6">
        <v>-2.4857844999999998</v>
      </c>
      <c r="H166" s="3" t="s">
        <v>141</v>
      </c>
      <c r="I166" s="3" t="s">
        <v>687</v>
      </c>
      <c r="J166" s="3" t="s">
        <v>689</v>
      </c>
    </row>
    <row r="167" spans="1:10">
      <c r="A167" t="s">
        <v>934</v>
      </c>
      <c r="B167" s="6"/>
      <c r="C167" s="6"/>
      <c r="D167" s="6"/>
      <c r="E167" s="6"/>
      <c r="F167" s="6"/>
      <c r="G167" s="6">
        <v>-2.0577407000000001</v>
      </c>
      <c r="H167" t="s">
        <v>935</v>
      </c>
      <c r="I167" t="s">
        <v>936</v>
      </c>
      <c r="J167" t="s">
        <v>937</v>
      </c>
    </row>
    <row r="168" spans="1:10">
      <c r="A168" t="s">
        <v>938</v>
      </c>
      <c r="B168" s="6"/>
      <c r="C168" s="6"/>
      <c r="D168" s="6"/>
      <c r="E168" s="6"/>
      <c r="F168" s="6"/>
      <c r="G168" s="6">
        <v>-2.7392167999999999</v>
      </c>
      <c r="H168" t="s">
        <v>939</v>
      </c>
      <c r="J168" t="s">
        <v>940</v>
      </c>
    </row>
    <row r="169" spans="1:10">
      <c r="A169" t="s">
        <v>941</v>
      </c>
      <c r="B169" s="6"/>
      <c r="C169" s="6"/>
      <c r="D169" s="6"/>
      <c r="E169" s="6"/>
      <c r="F169" s="6"/>
      <c r="G169" s="6">
        <v>-2.9072947999999998</v>
      </c>
      <c r="H169" t="s">
        <v>942</v>
      </c>
    </row>
    <row r="170" spans="1:10">
      <c r="A170" t="s">
        <v>943</v>
      </c>
      <c r="B170" s="6"/>
      <c r="C170" s="6"/>
      <c r="D170" s="6"/>
      <c r="E170" s="6"/>
      <c r="F170" s="6"/>
      <c r="G170" s="6">
        <v>-2.1806983999999998</v>
      </c>
      <c r="H170" t="s">
        <v>944</v>
      </c>
    </row>
    <row r="171" spans="1:10">
      <c r="A171" t="s">
        <v>945</v>
      </c>
      <c r="B171" s="6"/>
      <c r="C171" s="6"/>
      <c r="D171" s="6"/>
      <c r="E171" s="6"/>
      <c r="F171" s="6">
        <v>-2.0944943</v>
      </c>
      <c r="G171" s="6">
        <v>-4.5666412999999997</v>
      </c>
      <c r="H171" t="s">
        <v>946</v>
      </c>
    </row>
    <row r="172" spans="1:10">
      <c r="A172" t="s">
        <v>947</v>
      </c>
      <c r="B172" s="6"/>
      <c r="C172" s="6"/>
      <c r="D172" s="6"/>
      <c r="E172" s="6"/>
      <c r="F172" s="6"/>
      <c r="G172" s="6">
        <v>-3.9813404000000001</v>
      </c>
      <c r="H172" t="s">
        <v>946</v>
      </c>
    </row>
    <row r="173" spans="1:10">
      <c r="A173" t="s">
        <v>948</v>
      </c>
      <c r="B173" s="6"/>
      <c r="C173" s="6"/>
      <c r="D173" s="6"/>
      <c r="E173" s="6"/>
      <c r="F173" s="6"/>
      <c r="G173" s="6">
        <v>-2.2393265000000002</v>
      </c>
      <c r="H173" t="s">
        <v>946</v>
      </c>
    </row>
    <row r="174" spans="1:10">
      <c r="A174" t="s">
        <v>540</v>
      </c>
      <c r="B174" s="6"/>
      <c r="C174" s="6"/>
      <c r="D174" s="6"/>
      <c r="E174" s="6"/>
      <c r="F174" s="6">
        <v>-2.1178370000000002</v>
      </c>
      <c r="G174" s="6">
        <v>-3.2063264999999999</v>
      </c>
      <c r="H174" t="s">
        <v>946</v>
      </c>
    </row>
    <row r="175" spans="1:10">
      <c r="A175" t="s">
        <v>949</v>
      </c>
      <c r="B175" s="6"/>
      <c r="C175" s="6"/>
      <c r="D175" s="6">
        <v>2.9353251</v>
      </c>
      <c r="E175" s="6"/>
      <c r="F175" s="6"/>
      <c r="G175" s="6"/>
      <c r="H175" t="s">
        <v>946</v>
      </c>
    </row>
    <row r="176" spans="1:10">
      <c r="A176" t="s">
        <v>950</v>
      </c>
      <c r="B176" s="6"/>
      <c r="C176" s="6"/>
      <c r="D176" s="6"/>
      <c r="E176" s="6"/>
      <c r="F176" s="6"/>
      <c r="G176" s="6">
        <v>-4.8234877999999997</v>
      </c>
      <c r="H176" t="s">
        <v>946</v>
      </c>
    </row>
    <row r="177" spans="1:11">
      <c r="A177" t="s">
        <v>951</v>
      </c>
      <c r="B177" s="6"/>
      <c r="C177" s="6"/>
      <c r="D177" s="6"/>
      <c r="E177" s="6"/>
      <c r="F177" s="6"/>
      <c r="G177" s="6">
        <v>-2.6848893</v>
      </c>
      <c r="H177" t="s">
        <v>946</v>
      </c>
    </row>
    <row r="178" spans="1:11">
      <c r="A178" t="s">
        <v>952</v>
      </c>
      <c r="B178" s="6"/>
      <c r="C178" s="6"/>
      <c r="D178" s="6"/>
      <c r="E178" s="6"/>
      <c r="F178" s="6"/>
      <c r="G178" s="6">
        <v>-3.2787799999999998</v>
      </c>
      <c r="H178" t="s">
        <v>946</v>
      </c>
    </row>
    <row r="179" spans="1:11">
      <c r="A179" t="s">
        <v>953</v>
      </c>
      <c r="B179" s="6"/>
      <c r="C179" s="6"/>
      <c r="D179" s="6"/>
      <c r="E179" s="6"/>
      <c r="F179" s="6"/>
      <c r="G179" s="6">
        <v>-2.286108</v>
      </c>
      <c r="H179" t="s">
        <v>946</v>
      </c>
    </row>
    <row r="180" spans="1:11">
      <c r="A180" t="s">
        <v>954</v>
      </c>
      <c r="B180" s="6"/>
      <c r="C180" s="6"/>
      <c r="D180" s="6"/>
      <c r="E180" s="6"/>
      <c r="F180" s="6"/>
      <c r="G180" s="6">
        <v>-2.62432</v>
      </c>
      <c r="H180" t="s">
        <v>946</v>
      </c>
    </row>
    <row r="181" spans="1:11">
      <c r="A181" t="s">
        <v>571</v>
      </c>
      <c r="B181" s="6"/>
      <c r="C181" s="6"/>
      <c r="D181" s="6"/>
      <c r="E181" s="6"/>
      <c r="F181" s="6">
        <v>-2.0948806000000002</v>
      </c>
      <c r="G181" s="6">
        <v>-2.9989905000000001</v>
      </c>
      <c r="H181" t="s">
        <v>946</v>
      </c>
    </row>
    <row r="182" spans="1:11">
      <c r="A182" t="s">
        <v>955</v>
      </c>
      <c r="B182" s="6"/>
      <c r="C182" s="6"/>
      <c r="D182" s="6"/>
      <c r="E182" s="6"/>
      <c r="F182" s="6">
        <v>-2.7806896999999999</v>
      </c>
      <c r="G182" s="6">
        <v>-5.3540473000000004</v>
      </c>
      <c r="H182" t="s">
        <v>946</v>
      </c>
    </row>
    <row r="183" spans="1:11">
      <c r="A183" t="s">
        <v>956</v>
      </c>
      <c r="B183" s="6"/>
      <c r="C183" s="6"/>
      <c r="D183" s="6"/>
      <c r="E183" s="6"/>
      <c r="F183" s="6"/>
      <c r="G183" s="6">
        <v>-2.2995106999999999</v>
      </c>
      <c r="H183" t="s">
        <v>946</v>
      </c>
      <c r="I183" t="s">
        <v>957</v>
      </c>
      <c r="J183" t="s">
        <v>958</v>
      </c>
    </row>
    <row r="184" spans="1:11">
      <c r="A184" t="s">
        <v>959</v>
      </c>
      <c r="B184" s="6"/>
      <c r="C184" s="6"/>
      <c r="D184" s="6"/>
      <c r="E184" s="6"/>
      <c r="F184" s="6"/>
      <c r="G184" s="6">
        <v>-3.2445970000000002</v>
      </c>
      <c r="H184" t="s">
        <v>946</v>
      </c>
    </row>
    <row r="185" spans="1:11">
      <c r="A185" t="s">
        <v>960</v>
      </c>
      <c r="B185" s="6"/>
      <c r="C185" s="6"/>
      <c r="D185" s="6"/>
      <c r="E185" s="6"/>
      <c r="F185" s="6"/>
      <c r="G185" s="6">
        <v>-5.6393120000000003</v>
      </c>
      <c r="H185" t="s">
        <v>961</v>
      </c>
    </row>
    <row r="186" spans="1:11">
      <c r="A186" t="s">
        <v>962</v>
      </c>
      <c r="B186" s="6"/>
      <c r="C186" s="6"/>
      <c r="D186" s="6"/>
      <c r="E186" s="6"/>
      <c r="F186" s="6"/>
      <c r="G186" s="6">
        <v>-3.2427106000000001</v>
      </c>
      <c r="H186" t="s">
        <v>963</v>
      </c>
      <c r="I186" t="s">
        <v>964</v>
      </c>
      <c r="J186" t="s">
        <v>965</v>
      </c>
      <c r="K186" t="s">
        <v>966</v>
      </c>
    </row>
    <row r="187" spans="1:11">
      <c r="A187" t="s">
        <v>967</v>
      </c>
      <c r="B187" s="6"/>
      <c r="C187" s="6"/>
      <c r="D187" s="6"/>
      <c r="E187" s="6"/>
      <c r="F187" s="6"/>
      <c r="G187" s="6">
        <v>-2.0880923</v>
      </c>
      <c r="H187" t="s">
        <v>963</v>
      </c>
      <c r="I187" t="s">
        <v>964</v>
      </c>
      <c r="J187" t="s">
        <v>965</v>
      </c>
    </row>
    <row r="188" spans="1:11">
      <c r="A188" t="s">
        <v>968</v>
      </c>
      <c r="B188" s="6"/>
      <c r="C188" s="6"/>
      <c r="D188" s="6"/>
      <c r="E188" s="6"/>
      <c r="F188" s="6"/>
      <c r="G188" s="6">
        <v>-2.1364746000000001</v>
      </c>
      <c r="H188" t="s">
        <v>969</v>
      </c>
      <c r="I188" t="s">
        <v>872</v>
      </c>
      <c r="J188" s="3" t="s">
        <v>883</v>
      </c>
    </row>
    <row r="189" spans="1:11">
      <c r="A189" t="s">
        <v>970</v>
      </c>
      <c r="B189" s="6"/>
      <c r="C189" s="6"/>
      <c r="D189" s="6"/>
      <c r="E189" s="6"/>
      <c r="F189" s="6">
        <v>-2.2598834000000001</v>
      </c>
      <c r="G189" s="6">
        <v>-2.3883451999999998</v>
      </c>
      <c r="H189" t="s">
        <v>969</v>
      </c>
      <c r="I189" t="s">
        <v>872</v>
      </c>
      <c r="J189" s="3" t="s">
        <v>883</v>
      </c>
    </row>
    <row r="190" spans="1:11">
      <c r="A190" t="s">
        <v>971</v>
      </c>
      <c r="B190" s="6"/>
      <c r="C190" s="6"/>
      <c r="D190" s="6"/>
      <c r="E190" s="6"/>
      <c r="F190" s="6"/>
      <c r="G190" s="6">
        <v>-4.1553573999999998</v>
      </c>
      <c r="H190" t="s">
        <v>972</v>
      </c>
    </row>
    <row r="191" spans="1:11">
      <c r="A191" t="s">
        <v>973</v>
      </c>
      <c r="B191" s="6"/>
      <c r="C191" s="6"/>
      <c r="D191" s="6"/>
      <c r="E191" s="6"/>
      <c r="F191" s="6"/>
      <c r="G191" s="6">
        <v>-2.0824022000000002</v>
      </c>
      <c r="H191" t="s">
        <v>974</v>
      </c>
      <c r="I191" t="s">
        <v>591</v>
      </c>
      <c r="J191" t="s">
        <v>975</v>
      </c>
    </row>
    <row r="192" spans="1:11">
      <c r="A192" t="s">
        <v>976</v>
      </c>
      <c r="B192" s="6"/>
      <c r="C192" s="6"/>
      <c r="D192" s="6"/>
      <c r="E192" s="6"/>
      <c r="F192" s="6"/>
      <c r="G192" s="6">
        <v>-3.5698788000000001</v>
      </c>
      <c r="H192" t="s">
        <v>977</v>
      </c>
    </row>
    <row r="193" spans="1:11">
      <c r="A193" t="s">
        <v>978</v>
      </c>
      <c r="B193" s="6"/>
      <c r="C193" s="6"/>
      <c r="D193" s="6"/>
      <c r="E193" s="6"/>
      <c r="F193" s="6"/>
      <c r="G193" s="6">
        <v>-2.899149</v>
      </c>
      <c r="H193" t="s">
        <v>977</v>
      </c>
    </row>
    <row r="194" spans="1:11">
      <c r="A194" t="s">
        <v>979</v>
      </c>
      <c r="B194" s="6"/>
      <c r="C194" s="6"/>
      <c r="D194" s="6"/>
      <c r="E194" s="6"/>
      <c r="F194" s="6"/>
      <c r="G194" s="6">
        <v>-3.7983571999999999</v>
      </c>
      <c r="H194" t="s">
        <v>977</v>
      </c>
    </row>
    <row r="195" spans="1:11">
      <c r="A195" t="s">
        <v>980</v>
      </c>
      <c r="B195" s="6"/>
      <c r="C195" s="6">
        <v>2.1118964999999998</v>
      </c>
      <c r="D195" s="6">
        <v>2.2459006000000001</v>
      </c>
      <c r="E195" s="6"/>
      <c r="F195" s="6"/>
      <c r="G195" s="6"/>
      <c r="H195" t="s">
        <v>981</v>
      </c>
      <c r="J195" t="s">
        <v>982</v>
      </c>
    </row>
    <row r="196" spans="1:11">
      <c r="A196" t="s">
        <v>983</v>
      </c>
      <c r="B196" s="6"/>
      <c r="C196" s="6"/>
      <c r="D196" s="6"/>
      <c r="E196" s="6"/>
      <c r="F196" s="6"/>
      <c r="G196" s="6">
        <v>-2.789949</v>
      </c>
      <c r="H196" t="s">
        <v>984</v>
      </c>
      <c r="I196" t="s">
        <v>985</v>
      </c>
      <c r="J196" t="s">
        <v>986</v>
      </c>
    </row>
    <row r="197" spans="1:11">
      <c r="A197" t="s">
        <v>987</v>
      </c>
      <c r="B197" s="6"/>
      <c r="C197" s="6"/>
      <c r="D197" s="6"/>
      <c r="E197" s="6"/>
      <c r="F197" s="6">
        <v>-2.2576369999999999</v>
      </c>
      <c r="G197" s="6">
        <v>-3.2380800000000001</v>
      </c>
      <c r="H197" t="s">
        <v>984</v>
      </c>
      <c r="I197" t="s">
        <v>988</v>
      </c>
      <c r="J197" t="s">
        <v>986</v>
      </c>
    </row>
    <row r="198" spans="1:11">
      <c r="A198" t="s">
        <v>989</v>
      </c>
      <c r="B198" s="6"/>
      <c r="C198" s="6"/>
      <c r="D198" s="6"/>
      <c r="E198" s="6"/>
      <c r="F198" s="6"/>
      <c r="G198" s="6">
        <v>-3.239554</v>
      </c>
      <c r="H198" t="s">
        <v>984</v>
      </c>
      <c r="I198" t="s">
        <v>990</v>
      </c>
      <c r="J198" t="s">
        <v>986</v>
      </c>
    </row>
    <row r="199" spans="1:11">
      <c r="A199" t="s">
        <v>991</v>
      </c>
      <c r="B199" s="6"/>
      <c r="C199" s="6"/>
      <c r="D199" s="6"/>
      <c r="E199" s="6"/>
      <c r="F199" s="6"/>
      <c r="G199" s="6">
        <v>-2.294489</v>
      </c>
      <c r="H199" t="s">
        <v>992</v>
      </c>
      <c r="J199" t="s">
        <v>993</v>
      </c>
    </row>
    <row r="200" spans="1:11">
      <c r="A200" t="s">
        <v>994</v>
      </c>
      <c r="B200" s="6"/>
      <c r="C200" s="6">
        <v>3.8487515000000001</v>
      </c>
      <c r="D200" s="6">
        <v>3.6562638000000001</v>
      </c>
      <c r="E200" s="6"/>
      <c r="F200" s="6"/>
      <c r="G200" s="6"/>
      <c r="H200" t="s">
        <v>992</v>
      </c>
      <c r="J200" t="s">
        <v>995</v>
      </c>
    </row>
    <row r="201" spans="1:11">
      <c r="A201" t="s">
        <v>996</v>
      </c>
      <c r="B201" s="6"/>
      <c r="C201" s="6"/>
      <c r="D201" s="6"/>
      <c r="E201" s="6"/>
      <c r="F201" s="6"/>
      <c r="G201" s="6">
        <v>-2.1256680000000001</v>
      </c>
      <c r="H201" t="s">
        <v>997</v>
      </c>
      <c r="I201" t="s">
        <v>998</v>
      </c>
      <c r="J201" t="s">
        <v>604</v>
      </c>
      <c r="K201" t="s">
        <v>999</v>
      </c>
    </row>
    <row r="202" spans="1:11">
      <c r="A202" t="s">
        <v>1000</v>
      </c>
      <c r="B202" s="6"/>
      <c r="C202" s="6"/>
      <c r="D202" s="6"/>
      <c r="E202" s="6"/>
      <c r="F202" s="6"/>
      <c r="G202" s="6">
        <v>-2.2196707999999998</v>
      </c>
      <c r="H202" t="s">
        <v>997</v>
      </c>
      <c r="I202" t="s">
        <v>1001</v>
      </c>
      <c r="J202" t="s">
        <v>1002</v>
      </c>
    </row>
    <row r="203" spans="1:11">
      <c r="A203" t="s">
        <v>1003</v>
      </c>
      <c r="B203" s="6"/>
      <c r="C203" s="6"/>
      <c r="D203" s="6"/>
      <c r="E203" s="6"/>
      <c r="F203" s="6"/>
      <c r="G203" s="6">
        <v>-2.0575671</v>
      </c>
      <c r="H203" t="s">
        <v>997</v>
      </c>
      <c r="I203" t="s">
        <v>998</v>
      </c>
      <c r="J203" t="s">
        <v>604</v>
      </c>
      <c r="K203" t="s">
        <v>999</v>
      </c>
    </row>
    <row r="204" spans="1:11">
      <c r="A204" s="3" t="s">
        <v>1004</v>
      </c>
      <c r="B204" s="6"/>
      <c r="C204" s="6"/>
      <c r="D204" s="6"/>
      <c r="E204" s="6"/>
      <c r="F204" s="6"/>
      <c r="G204" s="6">
        <v>-2.0006927999999999</v>
      </c>
      <c r="H204" s="3" t="s">
        <v>1005</v>
      </c>
      <c r="I204" s="3" t="s">
        <v>621</v>
      </c>
      <c r="J204" s="3" t="s">
        <v>1006</v>
      </c>
    </row>
    <row r="205" spans="1:11">
      <c r="A205" s="3" t="s">
        <v>1007</v>
      </c>
      <c r="B205" s="6"/>
      <c r="C205" s="6"/>
      <c r="D205" s="6"/>
      <c r="E205" s="6"/>
      <c r="F205" s="6">
        <v>-2.4403095000000001</v>
      </c>
      <c r="G205" s="6"/>
      <c r="H205" s="3" t="s">
        <v>1005</v>
      </c>
      <c r="I205" s="3" t="s">
        <v>621</v>
      </c>
      <c r="J205" s="3" t="s">
        <v>1008</v>
      </c>
    </row>
    <row r="206" spans="1:11">
      <c r="A206" s="3" t="s">
        <v>1009</v>
      </c>
      <c r="B206" s="6"/>
      <c r="C206" s="6"/>
      <c r="D206" s="6"/>
      <c r="E206" s="6"/>
      <c r="F206" s="6"/>
      <c r="G206" s="6">
        <v>-2.4009103999999999</v>
      </c>
      <c r="H206" s="3" t="s">
        <v>1005</v>
      </c>
      <c r="I206" s="3" t="s">
        <v>621</v>
      </c>
      <c r="J206" s="3" t="s">
        <v>1010</v>
      </c>
    </row>
    <row r="207" spans="1:11">
      <c r="A207" s="3" t="s">
        <v>1011</v>
      </c>
      <c r="B207" s="6">
        <v>2.4714274000000001</v>
      </c>
      <c r="C207" s="6"/>
      <c r="D207" s="6">
        <v>3.6646070000000002</v>
      </c>
      <c r="E207" s="6"/>
      <c r="F207" s="6"/>
      <c r="G207" s="6"/>
      <c r="H207" s="3" t="s">
        <v>1005</v>
      </c>
      <c r="I207" s="3" t="s">
        <v>621</v>
      </c>
      <c r="J207" s="3" t="s">
        <v>1012</v>
      </c>
    </row>
    <row r="208" spans="1:11">
      <c r="A208" s="3" t="s">
        <v>1013</v>
      </c>
      <c r="B208" s="6"/>
      <c r="C208" s="6"/>
      <c r="D208" s="6"/>
      <c r="E208" s="6"/>
      <c r="F208" s="6">
        <v>-2.972394</v>
      </c>
      <c r="G208" s="6"/>
      <c r="H208" s="3" t="s">
        <v>1005</v>
      </c>
      <c r="I208" s="3" t="s">
        <v>621</v>
      </c>
      <c r="J208" s="3" t="s">
        <v>1008</v>
      </c>
    </row>
    <row r="209" spans="1:10">
      <c r="A209" s="3" t="s">
        <v>1014</v>
      </c>
      <c r="B209" s="6">
        <v>2.2652291999999998</v>
      </c>
      <c r="C209" s="6">
        <v>3.3127928</v>
      </c>
      <c r="D209" s="6"/>
      <c r="E209" s="6"/>
      <c r="F209" s="6"/>
      <c r="G209" s="6"/>
      <c r="H209" s="3" t="s">
        <v>1005</v>
      </c>
      <c r="I209" s="3" t="s">
        <v>621</v>
      </c>
      <c r="J209" s="3" t="s">
        <v>1012</v>
      </c>
    </row>
    <row r="210" spans="1:10">
      <c r="A210" s="3" t="s">
        <v>1015</v>
      </c>
      <c r="B210" s="6"/>
      <c r="C210" s="6"/>
      <c r="D210" s="6"/>
      <c r="E210" s="6"/>
      <c r="F210" s="6"/>
      <c r="G210" s="6">
        <v>-2.5785407999999999</v>
      </c>
      <c r="H210" s="3" t="s">
        <v>1005</v>
      </c>
      <c r="I210" s="3" t="s">
        <v>621</v>
      </c>
      <c r="J210" s="3" t="s">
        <v>1008</v>
      </c>
    </row>
    <row r="211" spans="1:10">
      <c r="A211" s="3" t="s">
        <v>1016</v>
      </c>
      <c r="B211" s="6"/>
      <c r="C211" s="6"/>
      <c r="D211" s="6"/>
      <c r="E211" s="6">
        <v>-2.2626428999999999</v>
      </c>
      <c r="F211" s="6">
        <v>-2.5350199</v>
      </c>
      <c r="G211" s="6"/>
      <c r="H211" s="3" t="s">
        <v>1005</v>
      </c>
      <c r="I211" s="3" t="s">
        <v>621</v>
      </c>
      <c r="J211" s="3" t="s">
        <v>1017</v>
      </c>
    </row>
    <row r="212" spans="1:10">
      <c r="A212" s="3" t="s">
        <v>1018</v>
      </c>
      <c r="B212" s="6"/>
      <c r="C212" s="6"/>
      <c r="D212" s="6">
        <v>2.5151935000000001</v>
      </c>
      <c r="E212" s="6"/>
      <c r="F212" s="6"/>
      <c r="G212" s="6"/>
      <c r="H212" s="3" t="s">
        <v>1005</v>
      </c>
      <c r="I212" s="3" t="s">
        <v>621</v>
      </c>
      <c r="J212" s="3" t="s">
        <v>1008</v>
      </c>
    </row>
    <row r="213" spans="1:10">
      <c r="A213" s="3" t="s">
        <v>1019</v>
      </c>
      <c r="B213" s="6"/>
      <c r="C213" s="6"/>
      <c r="D213" s="6"/>
      <c r="E213" s="6">
        <v>-4.4594072999999996</v>
      </c>
      <c r="F213" s="6">
        <v>-3.8608221999999999</v>
      </c>
      <c r="G213" s="6"/>
      <c r="H213" s="3" t="s">
        <v>1005</v>
      </c>
      <c r="I213" s="3" t="s">
        <v>621</v>
      </c>
      <c r="J213" s="3" t="s">
        <v>1017</v>
      </c>
    </row>
    <row r="214" spans="1:10">
      <c r="A214" s="3" t="s">
        <v>1020</v>
      </c>
      <c r="B214" s="6"/>
      <c r="C214" s="6"/>
      <c r="D214" s="6"/>
      <c r="E214" s="6"/>
      <c r="F214" s="6"/>
      <c r="G214" s="6">
        <v>-2.0497402999999998</v>
      </c>
      <c r="H214" s="3" t="s">
        <v>1005</v>
      </c>
      <c r="I214" s="3" t="s">
        <v>621</v>
      </c>
      <c r="J214" s="3" t="s">
        <v>1008</v>
      </c>
    </row>
    <row r="215" spans="1:10">
      <c r="A215" t="s">
        <v>1021</v>
      </c>
      <c r="B215" s="6"/>
      <c r="C215" s="6"/>
      <c r="D215" s="6"/>
      <c r="E215" s="6"/>
      <c r="F215" s="6">
        <v>-2.4181089999999998</v>
      </c>
      <c r="G215" s="6"/>
      <c r="H215" t="s">
        <v>1005</v>
      </c>
      <c r="I215" t="s">
        <v>621</v>
      </c>
      <c r="J215" t="s">
        <v>1022</v>
      </c>
    </row>
    <row r="216" spans="1:10">
      <c r="A216" s="3" t="s">
        <v>1023</v>
      </c>
      <c r="B216" s="6"/>
      <c r="C216" s="6"/>
      <c r="D216" s="6"/>
      <c r="E216" s="6">
        <v>-2.3411007000000001</v>
      </c>
      <c r="F216" s="6">
        <v>-2.8032460000000001</v>
      </c>
      <c r="G216" s="6"/>
      <c r="H216" s="3" t="s">
        <v>1005</v>
      </c>
      <c r="I216" s="3" t="s">
        <v>621</v>
      </c>
      <c r="J216" s="3" t="s">
        <v>1008</v>
      </c>
    </row>
    <row r="217" spans="1:10">
      <c r="A217" s="3" t="s">
        <v>1024</v>
      </c>
      <c r="B217" s="6"/>
      <c r="C217" s="6"/>
      <c r="D217" s="6"/>
      <c r="E217" s="6">
        <v>-3.8327016999999999</v>
      </c>
      <c r="F217" s="6">
        <v>-4.9457655000000003</v>
      </c>
      <c r="G217" s="6">
        <v>-2.6404830000000001</v>
      </c>
      <c r="H217" s="3" t="s">
        <v>1005</v>
      </c>
      <c r="I217" s="3" t="s">
        <v>621</v>
      </c>
      <c r="J217" s="3" t="s">
        <v>1008</v>
      </c>
    </row>
    <row r="218" spans="1:10">
      <c r="A218" s="3" t="s">
        <v>1025</v>
      </c>
      <c r="B218" s="6"/>
      <c r="C218" s="6"/>
      <c r="D218" s="6"/>
      <c r="E218" s="6">
        <v>-3.07443</v>
      </c>
      <c r="F218" s="6">
        <v>-3.6248583999999999</v>
      </c>
      <c r="G218" s="6"/>
      <c r="H218" s="3" t="s">
        <v>1005</v>
      </c>
      <c r="I218" s="3" t="s">
        <v>621</v>
      </c>
      <c r="J218" s="3" t="s">
        <v>1017</v>
      </c>
    </row>
    <row r="219" spans="1:10">
      <c r="A219" s="3" t="s">
        <v>1026</v>
      </c>
      <c r="B219" s="6"/>
      <c r="C219" s="6"/>
      <c r="D219" s="6"/>
      <c r="E219" s="6"/>
      <c r="F219" s="6">
        <v>-2.1271266999999998</v>
      </c>
      <c r="G219" s="6"/>
      <c r="H219" s="3" t="s">
        <v>1005</v>
      </c>
      <c r="I219" s="3" t="s">
        <v>621</v>
      </c>
      <c r="J219" s="3" t="s">
        <v>1008</v>
      </c>
    </row>
    <row r="220" spans="1:10">
      <c r="A220" s="3" t="s">
        <v>1027</v>
      </c>
      <c r="B220" s="6"/>
      <c r="C220" s="6"/>
      <c r="D220" s="6"/>
      <c r="E220" s="6"/>
      <c r="F220" s="6"/>
      <c r="G220" s="6">
        <v>-2.1724543999999999</v>
      </c>
      <c r="H220" s="3" t="s">
        <v>1005</v>
      </c>
      <c r="I220" s="3" t="s">
        <v>621</v>
      </c>
      <c r="J220" s="3" t="s">
        <v>1012</v>
      </c>
    </row>
    <row r="221" spans="1:10">
      <c r="A221" t="s">
        <v>1028</v>
      </c>
      <c r="B221" s="6"/>
      <c r="C221" s="6">
        <v>2.5586380000000002</v>
      </c>
      <c r="D221" s="6"/>
      <c r="E221" s="6"/>
      <c r="F221" s="6"/>
      <c r="G221" s="6"/>
      <c r="H221" t="s">
        <v>1029</v>
      </c>
    </row>
    <row r="222" spans="1:10">
      <c r="A222" t="s">
        <v>1030</v>
      </c>
      <c r="B222" s="6"/>
      <c r="C222" s="6"/>
      <c r="D222" s="6"/>
      <c r="E222" s="6"/>
      <c r="F222" s="6"/>
      <c r="G222" s="6">
        <v>-2.7426781999999998</v>
      </c>
      <c r="H222" t="s">
        <v>1031</v>
      </c>
    </row>
    <row r="223" spans="1:10">
      <c r="A223" t="s">
        <v>1032</v>
      </c>
      <c r="B223" s="6"/>
      <c r="C223" s="6"/>
      <c r="D223" s="6"/>
      <c r="E223" s="6"/>
      <c r="F223" s="6">
        <v>-2.2553024000000002</v>
      </c>
      <c r="G223" s="6">
        <v>-3.4573516999999998</v>
      </c>
      <c r="H223" t="s">
        <v>1031</v>
      </c>
    </row>
    <row r="224" spans="1:10">
      <c r="A224" t="s">
        <v>1033</v>
      </c>
      <c r="B224" s="6"/>
      <c r="C224" s="6"/>
      <c r="D224" s="6"/>
      <c r="E224" s="6"/>
      <c r="F224" s="6"/>
      <c r="G224" s="6">
        <v>-3.606382</v>
      </c>
      <c r="H224" t="s">
        <v>1034</v>
      </c>
    </row>
    <row r="225" spans="1:10">
      <c r="A225" t="s">
        <v>1035</v>
      </c>
      <c r="B225" s="6"/>
      <c r="C225" s="6">
        <v>2.2607803</v>
      </c>
      <c r="D225" s="6"/>
      <c r="E225" s="6"/>
      <c r="F225" s="6"/>
      <c r="G225" s="6"/>
      <c r="H225" t="s">
        <v>1036</v>
      </c>
      <c r="I225" t="s">
        <v>1037</v>
      </c>
      <c r="J225" t="s">
        <v>1038</v>
      </c>
    </row>
    <row r="226" spans="1:10">
      <c r="A226" t="s">
        <v>1039</v>
      </c>
      <c r="B226" s="6"/>
      <c r="C226" s="6"/>
      <c r="D226" s="6"/>
      <c r="E226" s="6"/>
      <c r="F226" s="6"/>
      <c r="G226" s="6"/>
      <c r="H226" t="s">
        <v>1040</v>
      </c>
      <c r="I226" t="s">
        <v>1041</v>
      </c>
      <c r="J226" t="s">
        <v>1042</v>
      </c>
    </row>
    <row r="227" spans="1:10">
      <c r="A227" t="s">
        <v>1043</v>
      </c>
      <c r="B227" s="6"/>
      <c r="C227" s="6"/>
      <c r="D227" s="6"/>
      <c r="E227" s="6"/>
      <c r="F227" s="6">
        <v>-5.8324975999999999</v>
      </c>
      <c r="G227" s="6"/>
      <c r="H227" t="s">
        <v>1040</v>
      </c>
      <c r="I227" t="s">
        <v>1041</v>
      </c>
      <c r="J227" t="s">
        <v>1042</v>
      </c>
    </row>
    <row r="228" spans="1:10">
      <c r="A228" t="s">
        <v>1044</v>
      </c>
      <c r="B228" s="6"/>
      <c r="C228" s="6"/>
      <c r="D228" s="6"/>
      <c r="E228" s="6"/>
      <c r="F228" s="6"/>
      <c r="G228" s="6"/>
      <c r="H228" t="s">
        <v>1045</v>
      </c>
      <c r="I228" t="s">
        <v>1046</v>
      </c>
    </row>
    <row r="229" spans="1:10">
      <c r="A229" t="s">
        <v>1047</v>
      </c>
      <c r="B229" s="6"/>
      <c r="C229" s="6"/>
      <c r="D229" s="6"/>
      <c r="E229" s="6"/>
      <c r="F229" s="6"/>
      <c r="G229" s="6">
        <v>-2.1081557000000002</v>
      </c>
      <c r="H229" t="s">
        <v>1048</v>
      </c>
      <c r="I229" t="s">
        <v>621</v>
      </c>
      <c r="J229" t="s">
        <v>1049</v>
      </c>
    </row>
    <row r="230" spans="1:10">
      <c r="A230" t="s">
        <v>1050</v>
      </c>
      <c r="B230" s="6"/>
      <c r="C230" s="6"/>
      <c r="D230" s="6"/>
      <c r="E230" s="6"/>
      <c r="F230" s="6"/>
      <c r="G230" s="6">
        <v>-2.4316087</v>
      </c>
      <c r="H230" t="s">
        <v>1048</v>
      </c>
      <c r="I230" t="s">
        <v>621</v>
      </c>
      <c r="J230" t="s">
        <v>1049</v>
      </c>
    </row>
    <row r="231" spans="1:10">
      <c r="A231" t="s">
        <v>1051</v>
      </c>
      <c r="B231" s="6"/>
      <c r="C231" s="6"/>
      <c r="D231" s="6">
        <v>2.4140595999999999</v>
      </c>
      <c r="E231" s="6"/>
      <c r="F231" s="6"/>
      <c r="G231" s="6"/>
      <c r="H231" t="s">
        <v>1052</v>
      </c>
      <c r="I231" s="4" t="s">
        <v>1053</v>
      </c>
    </row>
    <row r="232" spans="1:10">
      <c r="A232" t="s">
        <v>1054</v>
      </c>
      <c r="B232" s="6"/>
      <c r="C232" s="6"/>
      <c r="D232" s="6">
        <v>2.3037529999999999</v>
      </c>
      <c r="E232" s="6"/>
      <c r="F232" s="6"/>
      <c r="G232" s="6"/>
      <c r="H232" t="s">
        <v>1055</v>
      </c>
      <c r="I232" t="s">
        <v>713</v>
      </c>
      <c r="J232" t="s">
        <v>1056</v>
      </c>
    </row>
    <row r="233" spans="1:10">
      <c r="A233" t="s">
        <v>1057</v>
      </c>
      <c r="B233" s="6"/>
      <c r="C233" s="6"/>
      <c r="D233" s="6"/>
      <c r="E233" s="6"/>
      <c r="F233" s="6"/>
      <c r="G233" s="6"/>
      <c r="H233" t="s">
        <v>1058</v>
      </c>
    </row>
    <row r="234" spans="1:10">
      <c r="A234" t="s">
        <v>1059</v>
      </c>
      <c r="B234" s="6"/>
      <c r="C234" s="6"/>
      <c r="D234" s="6">
        <v>2.3046122000000002</v>
      </c>
      <c r="E234" s="6"/>
      <c r="F234" s="6"/>
      <c r="G234" s="6"/>
      <c r="H234" t="s">
        <v>1060</v>
      </c>
      <c r="I234" t="s">
        <v>1061</v>
      </c>
      <c r="J234" t="s">
        <v>1062</v>
      </c>
    </row>
    <row r="235" spans="1:10">
      <c r="A235" t="s">
        <v>1063</v>
      </c>
      <c r="B235" s="6"/>
      <c r="C235" s="6"/>
      <c r="D235" s="6">
        <v>2.8296036999999998</v>
      </c>
      <c r="E235" s="6"/>
      <c r="F235" s="6"/>
      <c r="G235" s="6"/>
      <c r="H235" t="s">
        <v>1060</v>
      </c>
      <c r="I235" t="s">
        <v>1061</v>
      </c>
      <c r="J235" t="s">
        <v>1062</v>
      </c>
    </row>
    <row r="236" spans="1:10">
      <c r="A236" t="s">
        <v>1064</v>
      </c>
      <c r="B236" s="6"/>
      <c r="C236" s="6"/>
      <c r="D236" s="6">
        <v>2.3389000000000002</v>
      </c>
      <c r="E236" s="6"/>
      <c r="F236" s="6"/>
      <c r="G236" s="6"/>
      <c r="H236" t="s">
        <v>1060</v>
      </c>
      <c r="I236" t="s">
        <v>1061</v>
      </c>
      <c r="J236" t="s">
        <v>1062</v>
      </c>
    </row>
    <row r="237" spans="1:10">
      <c r="A237" t="s">
        <v>1065</v>
      </c>
      <c r="B237" s="6"/>
      <c r="C237" s="6"/>
      <c r="D237" s="6">
        <v>2.425805</v>
      </c>
      <c r="E237" s="6"/>
      <c r="F237" s="6"/>
      <c r="G237" s="6"/>
      <c r="H237" t="s">
        <v>1060</v>
      </c>
      <c r="I237" t="s">
        <v>1061</v>
      </c>
      <c r="J237" t="s">
        <v>1062</v>
      </c>
    </row>
    <row r="238" spans="1:10">
      <c r="A238" t="s">
        <v>1066</v>
      </c>
      <c r="B238" s="6"/>
      <c r="C238" s="6"/>
      <c r="D238" s="6"/>
      <c r="E238" s="6"/>
      <c r="F238" s="6"/>
      <c r="G238" s="6">
        <v>-2.1824384000000001</v>
      </c>
      <c r="H238" t="s">
        <v>1067</v>
      </c>
    </row>
    <row r="239" spans="1:10">
      <c r="A239" t="s">
        <v>1068</v>
      </c>
      <c r="B239" s="6"/>
      <c r="C239" s="6"/>
      <c r="D239" s="6"/>
      <c r="E239" s="6"/>
      <c r="F239" s="6"/>
      <c r="G239" s="6">
        <v>-2.606697</v>
      </c>
      <c r="H239" t="s">
        <v>1069</v>
      </c>
    </row>
    <row r="240" spans="1:10">
      <c r="A240" t="s">
        <v>1070</v>
      </c>
      <c r="B240" s="6"/>
      <c r="C240" s="6"/>
      <c r="D240" s="6"/>
      <c r="E240" s="6"/>
      <c r="F240" s="6"/>
      <c r="G240" s="6"/>
      <c r="H240" t="s">
        <v>1071</v>
      </c>
    </row>
    <row r="241" spans="1:10">
      <c r="A241" s="3" t="s">
        <v>1072</v>
      </c>
      <c r="B241" s="6">
        <v>2.167592</v>
      </c>
      <c r="C241" s="6">
        <v>3.3128114000000002</v>
      </c>
      <c r="D241" s="6">
        <v>3.2781734</v>
      </c>
      <c r="E241" s="6"/>
      <c r="F241" s="6"/>
      <c r="G241" s="6"/>
      <c r="H241" s="3" t="s">
        <v>1073</v>
      </c>
      <c r="I241" s="3" t="s">
        <v>1074</v>
      </c>
      <c r="J241" s="3"/>
    </row>
    <row r="242" spans="1:10">
      <c r="A242" s="3" t="s">
        <v>1075</v>
      </c>
      <c r="B242" s="6">
        <v>2.4421697</v>
      </c>
      <c r="C242" s="6">
        <v>2.9276352000000001</v>
      </c>
      <c r="D242" s="6"/>
      <c r="E242" s="6"/>
      <c r="F242" s="6"/>
      <c r="G242" s="6"/>
      <c r="H242" s="3" t="s">
        <v>1073</v>
      </c>
      <c r="I242" s="3" t="s">
        <v>1074</v>
      </c>
      <c r="J242" s="3"/>
    </row>
    <row r="243" spans="1:10">
      <c r="A243" t="s">
        <v>532</v>
      </c>
      <c r="B243" s="6"/>
      <c r="C243" s="6">
        <v>2.2827829999999998</v>
      </c>
      <c r="D243" s="6">
        <v>2.3186417000000001</v>
      </c>
      <c r="E243" s="6"/>
      <c r="F243" s="6"/>
      <c r="G243" s="6"/>
      <c r="H243" t="s">
        <v>533</v>
      </c>
      <c r="J243" t="s">
        <v>534</v>
      </c>
    </row>
    <row r="244" spans="1:10">
      <c r="A244" t="s">
        <v>1076</v>
      </c>
      <c r="B244" s="6"/>
      <c r="C244" s="6"/>
      <c r="D244" s="6"/>
      <c r="E244" s="6"/>
      <c r="F244" s="6"/>
      <c r="G244" s="6">
        <v>-2.9924067999999999</v>
      </c>
      <c r="H244" t="s">
        <v>1077</v>
      </c>
    </row>
    <row r="245" spans="1:10">
      <c r="A245" t="s">
        <v>1078</v>
      </c>
      <c r="B245" s="6"/>
      <c r="C245" s="6"/>
      <c r="D245" s="6"/>
      <c r="E245" s="6"/>
      <c r="F245" s="6">
        <v>-2.2220249999999999</v>
      </c>
      <c r="G245" s="6"/>
      <c r="H245" t="s">
        <v>1079</v>
      </c>
      <c r="I245" t="s">
        <v>1080</v>
      </c>
    </row>
    <row r="246" spans="1:10">
      <c r="A246" t="s">
        <v>1081</v>
      </c>
      <c r="B246" s="6"/>
      <c r="C246" s="6"/>
      <c r="D246" s="6"/>
      <c r="E246" s="6">
        <v>-4.789072</v>
      </c>
      <c r="F246" s="6">
        <v>-4.8427220000000002</v>
      </c>
      <c r="G246" s="6"/>
      <c r="H246" t="s">
        <v>1082</v>
      </c>
      <c r="I246" t="s">
        <v>655</v>
      </c>
      <c r="J246" t="s">
        <v>1083</v>
      </c>
    </row>
    <row r="247" spans="1:10">
      <c r="A247" t="s">
        <v>1084</v>
      </c>
      <c r="B247" s="6"/>
      <c r="C247" s="6"/>
      <c r="D247" s="6"/>
      <c r="E247" s="6"/>
      <c r="F247" s="6">
        <v>-5.4334064</v>
      </c>
      <c r="G247" s="6"/>
      <c r="H247" t="s">
        <v>1082</v>
      </c>
      <c r="I247" t="s">
        <v>655</v>
      </c>
      <c r="J247" t="s">
        <v>1083</v>
      </c>
    </row>
    <row r="248" spans="1:10">
      <c r="A248" t="s">
        <v>1085</v>
      </c>
      <c r="B248" s="6"/>
      <c r="C248" s="6"/>
      <c r="D248" s="6"/>
      <c r="E248" s="6">
        <v>-5.4970309999999998</v>
      </c>
      <c r="F248" s="6">
        <v>-5.6932383</v>
      </c>
      <c r="G248" s="6"/>
      <c r="H248" t="s">
        <v>1082</v>
      </c>
      <c r="I248" t="s">
        <v>655</v>
      </c>
      <c r="J248" t="s">
        <v>1083</v>
      </c>
    </row>
    <row r="249" spans="1:10">
      <c r="A249" t="s">
        <v>1086</v>
      </c>
      <c r="B249" s="6"/>
      <c r="C249" s="6"/>
      <c r="D249" s="6">
        <v>2.2274045999999998</v>
      </c>
      <c r="E249" s="6"/>
      <c r="F249" s="6"/>
      <c r="G249" s="6"/>
      <c r="H249" t="s">
        <v>1082</v>
      </c>
      <c r="I249" t="s">
        <v>655</v>
      </c>
      <c r="J249" t="s">
        <v>1083</v>
      </c>
    </row>
    <row r="250" spans="1:10">
      <c r="A250" t="s">
        <v>1087</v>
      </c>
      <c r="B250" s="6"/>
      <c r="C250" s="6"/>
      <c r="D250" s="6"/>
      <c r="E250" s="6"/>
      <c r="F250" s="6"/>
      <c r="G250" s="6">
        <v>-2.0335264</v>
      </c>
      <c r="H250" t="s">
        <v>1088</v>
      </c>
      <c r="I250" t="s">
        <v>655</v>
      </c>
      <c r="J250" t="s">
        <v>1089</v>
      </c>
    </row>
    <row r="251" spans="1:10">
      <c r="A251" t="s">
        <v>1090</v>
      </c>
      <c r="B251" s="6"/>
      <c r="C251" s="6"/>
      <c r="D251" s="6"/>
      <c r="E251" s="6"/>
      <c r="F251" s="6"/>
      <c r="G251" s="6">
        <v>-2.2840284999999998</v>
      </c>
      <c r="H251" t="s">
        <v>1088</v>
      </c>
      <c r="I251" t="s">
        <v>655</v>
      </c>
      <c r="J251" t="s">
        <v>1089</v>
      </c>
    </row>
    <row r="252" spans="1:10">
      <c r="A252" t="s">
        <v>1091</v>
      </c>
      <c r="B252" s="6"/>
      <c r="C252" s="6"/>
      <c r="D252" s="6">
        <v>2.0094428</v>
      </c>
      <c r="E252" s="6"/>
      <c r="F252" s="6"/>
      <c r="G252" s="6"/>
      <c r="H252" t="s">
        <v>1092</v>
      </c>
    </row>
    <row r="253" spans="1:10">
      <c r="A253" t="s">
        <v>1093</v>
      </c>
      <c r="B253" s="6"/>
      <c r="C253" s="6"/>
      <c r="D253" s="6"/>
      <c r="E253" s="6"/>
      <c r="F253" s="6"/>
      <c r="G253" s="6">
        <v>-2.0213800000000002</v>
      </c>
      <c r="H253" t="s">
        <v>1094</v>
      </c>
      <c r="J253" t="s">
        <v>1095</v>
      </c>
    </row>
    <row r="254" spans="1:10">
      <c r="A254" t="s">
        <v>1096</v>
      </c>
      <c r="B254" s="6"/>
      <c r="C254" s="6"/>
      <c r="D254" s="6"/>
      <c r="E254" s="6"/>
      <c r="F254" s="6"/>
      <c r="G254" s="6">
        <v>-2.0093236000000001</v>
      </c>
      <c r="H254" t="s">
        <v>1094</v>
      </c>
      <c r="J254" t="s">
        <v>1095</v>
      </c>
    </row>
    <row r="255" spans="1:10">
      <c r="A255" t="s">
        <v>552</v>
      </c>
      <c r="B255" s="6"/>
      <c r="C255" s="6">
        <v>2.1594275999999999</v>
      </c>
      <c r="D255" s="6">
        <v>2.4132600000000002</v>
      </c>
      <c r="E255" s="6"/>
      <c r="F255" s="6"/>
      <c r="G255" s="6"/>
      <c r="H255" t="s">
        <v>148</v>
      </c>
      <c r="I255" t="s">
        <v>642</v>
      </c>
      <c r="J255" t="s">
        <v>553</v>
      </c>
    </row>
    <row r="256" spans="1:10">
      <c r="A256" t="s">
        <v>562</v>
      </c>
      <c r="B256" s="6"/>
      <c r="C256" s="6"/>
      <c r="D256" s="6"/>
      <c r="E256" s="6"/>
      <c r="F256" s="6">
        <v>-2.007358</v>
      </c>
      <c r="G256" s="6">
        <v>-3.2889175000000002</v>
      </c>
      <c r="H256" t="s">
        <v>148</v>
      </c>
      <c r="I256" t="s">
        <v>642</v>
      </c>
      <c r="J256" t="s">
        <v>553</v>
      </c>
    </row>
    <row r="257" spans="1:11">
      <c r="A257" s="3" t="s">
        <v>1097</v>
      </c>
      <c r="B257" s="6"/>
      <c r="C257" s="6">
        <v>3.1632519000000001</v>
      </c>
      <c r="D257" s="6">
        <v>2.5497822999999999</v>
      </c>
      <c r="E257" s="6"/>
      <c r="F257" s="6"/>
      <c r="G257" s="6"/>
      <c r="H257" s="3" t="s">
        <v>1098</v>
      </c>
      <c r="I257" s="3" t="s">
        <v>873</v>
      </c>
      <c r="J257" s="3" t="s">
        <v>1099</v>
      </c>
    </row>
    <row r="258" spans="1:11">
      <c r="A258" s="3" t="s">
        <v>1100</v>
      </c>
      <c r="B258" s="6">
        <v>3.3107218999999999</v>
      </c>
      <c r="C258" s="6">
        <v>3.7498927000000002</v>
      </c>
      <c r="D258" s="6">
        <v>3.1335044000000001</v>
      </c>
      <c r="E258" s="6"/>
      <c r="F258" s="6"/>
      <c r="G258" s="6"/>
      <c r="H258" s="3" t="s">
        <v>1098</v>
      </c>
      <c r="I258" s="3" t="s">
        <v>873</v>
      </c>
      <c r="J258" s="3" t="s">
        <v>1099</v>
      </c>
    </row>
    <row r="259" spans="1:11">
      <c r="A259" s="3" t="s">
        <v>1101</v>
      </c>
      <c r="B259" s="6"/>
      <c r="C259" s="6">
        <v>2.4521494000000001</v>
      </c>
      <c r="D259" s="6"/>
      <c r="E259" s="6"/>
      <c r="F259" s="6"/>
      <c r="G259" s="6"/>
      <c r="H259" s="3" t="s">
        <v>1098</v>
      </c>
      <c r="I259" s="3" t="s">
        <v>873</v>
      </c>
      <c r="J259" s="3" t="s">
        <v>1099</v>
      </c>
    </row>
    <row r="260" spans="1:11">
      <c r="A260" s="3" t="s">
        <v>1102</v>
      </c>
      <c r="B260" s="6"/>
      <c r="C260" s="6"/>
      <c r="D260" s="6">
        <v>2.130147</v>
      </c>
      <c r="E260" s="6"/>
      <c r="F260" s="6"/>
      <c r="G260" s="6"/>
      <c r="H260" s="3" t="s">
        <v>1098</v>
      </c>
      <c r="I260" s="3" t="s">
        <v>873</v>
      </c>
      <c r="J260" s="3" t="s">
        <v>1099</v>
      </c>
    </row>
    <row r="261" spans="1:11" s="5" customFormat="1">
      <c r="A261" s="3" t="s">
        <v>1103</v>
      </c>
      <c r="B261" s="6"/>
      <c r="C261" s="6">
        <v>2.4258237</v>
      </c>
      <c r="D261" s="6"/>
      <c r="E261" s="6"/>
      <c r="F261" s="6"/>
      <c r="G261" s="6"/>
      <c r="H261" s="3" t="s">
        <v>1098</v>
      </c>
      <c r="I261" s="3" t="s">
        <v>873</v>
      </c>
      <c r="J261" s="3" t="s">
        <v>1099</v>
      </c>
    </row>
    <row r="262" spans="1:11">
      <c r="A262" s="3" t="s">
        <v>563</v>
      </c>
      <c r="B262" s="6"/>
      <c r="C262" s="6"/>
      <c r="D262" s="6"/>
      <c r="E262" s="6"/>
      <c r="F262" s="6"/>
      <c r="G262" s="6">
        <v>-3.2837909999999999</v>
      </c>
      <c r="H262" s="3" t="s">
        <v>1098</v>
      </c>
      <c r="I262" s="3" t="s">
        <v>873</v>
      </c>
      <c r="J262" s="3" t="s">
        <v>564</v>
      </c>
      <c r="K262" s="3" t="s">
        <v>565</v>
      </c>
    </row>
    <row r="263" spans="1:11">
      <c r="A263" s="3" t="s">
        <v>1104</v>
      </c>
      <c r="B263" s="6"/>
      <c r="C263" s="6"/>
      <c r="D263" s="6"/>
      <c r="E263" s="6"/>
      <c r="F263" s="6"/>
      <c r="G263" s="6">
        <v>-2.0513482000000001</v>
      </c>
      <c r="H263" s="3" t="s">
        <v>1098</v>
      </c>
      <c r="I263" s="3" t="s">
        <v>873</v>
      </c>
      <c r="J263" s="3" t="s">
        <v>1099</v>
      </c>
    </row>
    <row r="264" spans="1:11">
      <c r="A264" s="3" t="s">
        <v>1105</v>
      </c>
      <c r="B264" s="6">
        <v>2.2509383999999999</v>
      </c>
      <c r="C264" s="6">
        <v>3.3611163999999998</v>
      </c>
      <c r="D264" s="6">
        <v>3.2695656</v>
      </c>
      <c r="E264" s="6"/>
      <c r="F264" s="6"/>
      <c r="G264" s="6"/>
      <c r="H264" s="3" t="s">
        <v>1098</v>
      </c>
      <c r="I264" s="3" t="s">
        <v>873</v>
      </c>
      <c r="J264" s="3" t="s">
        <v>1099</v>
      </c>
    </row>
    <row r="265" spans="1:11">
      <c r="A265" s="3" t="s">
        <v>1106</v>
      </c>
      <c r="B265" s="6"/>
      <c r="C265" s="6"/>
      <c r="D265" s="6"/>
      <c r="E265" s="6"/>
      <c r="F265" s="6"/>
      <c r="G265" s="6">
        <v>-2.3721622999999998</v>
      </c>
      <c r="H265" s="3" t="s">
        <v>1098</v>
      </c>
      <c r="I265" s="3"/>
      <c r="J265" s="3" t="s">
        <v>1099</v>
      </c>
    </row>
    <row r="266" spans="1:11">
      <c r="A266" s="3" t="s">
        <v>1107</v>
      </c>
      <c r="B266" s="6"/>
      <c r="C266" s="6">
        <v>2.5653790999999999</v>
      </c>
      <c r="D266" s="6"/>
      <c r="E266" s="6"/>
      <c r="F266" s="6"/>
      <c r="G266" s="6"/>
      <c r="H266" s="3" t="s">
        <v>1098</v>
      </c>
      <c r="I266" s="3" t="s">
        <v>873</v>
      </c>
      <c r="J266" s="3" t="s">
        <v>1099</v>
      </c>
    </row>
    <row r="267" spans="1:11">
      <c r="A267" s="3" t="s">
        <v>1108</v>
      </c>
      <c r="B267" s="6">
        <v>2.1884513000000001</v>
      </c>
      <c r="C267" s="6">
        <v>3.1054263</v>
      </c>
      <c r="D267" s="6">
        <v>3.1093183</v>
      </c>
      <c r="E267" s="6"/>
      <c r="F267" s="6"/>
      <c r="G267" s="6"/>
      <c r="H267" s="3" t="s">
        <v>1098</v>
      </c>
      <c r="I267" s="3" t="s">
        <v>873</v>
      </c>
      <c r="J267" s="3" t="s">
        <v>1109</v>
      </c>
    </row>
    <row r="268" spans="1:11">
      <c r="A268" t="s">
        <v>1110</v>
      </c>
      <c r="B268" s="6"/>
      <c r="C268" s="6"/>
      <c r="D268" s="6"/>
      <c r="E268" s="6"/>
      <c r="F268" s="6"/>
      <c r="G268" s="6">
        <v>-2.4063477999999998</v>
      </c>
      <c r="H268" t="s">
        <v>1111</v>
      </c>
    </row>
    <row r="269" spans="1:11">
      <c r="A269" t="s">
        <v>1112</v>
      </c>
      <c r="B269" s="6"/>
      <c r="C269" s="6"/>
      <c r="D269" s="6"/>
      <c r="E269" s="6"/>
      <c r="F269" s="6"/>
      <c r="G269" s="6">
        <v>-3.4199223999999999</v>
      </c>
      <c r="H269" t="s">
        <v>1113</v>
      </c>
    </row>
    <row r="270" spans="1:11">
      <c r="A270" t="s">
        <v>1114</v>
      </c>
      <c r="B270" s="6"/>
      <c r="C270" s="6"/>
      <c r="D270" s="6"/>
      <c r="E270" s="6"/>
      <c r="F270" s="6"/>
      <c r="G270" s="6">
        <v>-2.100965</v>
      </c>
      <c r="H270" t="s">
        <v>1115</v>
      </c>
      <c r="J270" t="s">
        <v>1116</v>
      </c>
    </row>
    <row r="271" spans="1:11">
      <c r="A271" t="s">
        <v>1117</v>
      </c>
      <c r="B271" s="6"/>
      <c r="C271" s="6"/>
      <c r="D271" s="6"/>
      <c r="E271" s="6"/>
      <c r="F271" s="6"/>
      <c r="G271" s="6">
        <v>-2.3865924000000001</v>
      </c>
      <c r="H271" t="s">
        <v>1118</v>
      </c>
    </row>
    <row r="272" spans="1:11">
      <c r="A272" t="s">
        <v>1119</v>
      </c>
      <c r="B272" s="6"/>
      <c r="C272" s="6"/>
      <c r="D272" s="6"/>
      <c r="E272" s="6">
        <v>-2.9325994999999998</v>
      </c>
      <c r="F272" s="6">
        <v>-2.7150626</v>
      </c>
      <c r="G272" s="6">
        <v>-3.0515208</v>
      </c>
      <c r="H272" t="s">
        <v>1120</v>
      </c>
      <c r="I272" t="s">
        <v>616</v>
      </c>
      <c r="J272" t="s">
        <v>1121</v>
      </c>
    </row>
    <row r="273" spans="1:10">
      <c r="A273" t="s">
        <v>1122</v>
      </c>
      <c r="B273" s="6"/>
      <c r="C273" s="6"/>
      <c r="D273" s="6"/>
      <c r="E273" s="6"/>
      <c r="F273" s="6"/>
      <c r="G273" s="6">
        <v>-5.7382964999999997</v>
      </c>
      <c r="H273" t="s">
        <v>1123</v>
      </c>
      <c r="I273" t="s">
        <v>658</v>
      </c>
      <c r="J273" t="s">
        <v>1124</v>
      </c>
    </row>
    <row r="274" spans="1:10">
      <c r="A274" t="s">
        <v>1125</v>
      </c>
      <c r="B274" s="6"/>
      <c r="C274" s="6"/>
      <c r="D274" s="6"/>
      <c r="E274" s="6">
        <v>-2.7541695000000002</v>
      </c>
      <c r="F274" s="6">
        <v>-3.0283232</v>
      </c>
      <c r="G274" s="6">
        <v>-2.097642</v>
      </c>
      <c r="H274" t="s">
        <v>1126</v>
      </c>
      <c r="J274" t="s">
        <v>1124</v>
      </c>
    </row>
    <row r="275" spans="1:10">
      <c r="A275" t="s">
        <v>1127</v>
      </c>
      <c r="B275" s="6"/>
      <c r="C275" s="6"/>
      <c r="D275" s="6"/>
      <c r="E275" s="6"/>
      <c r="F275" s="6"/>
      <c r="G275" s="6">
        <v>-2.6103844999999999</v>
      </c>
      <c r="H275" t="s">
        <v>1128</v>
      </c>
      <c r="I275" t="s">
        <v>627</v>
      </c>
      <c r="J275" t="s">
        <v>1129</v>
      </c>
    </row>
    <row r="276" spans="1:10">
      <c r="A276" t="s">
        <v>1130</v>
      </c>
      <c r="B276" s="6"/>
      <c r="C276" s="6"/>
      <c r="D276" s="6"/>
      <c r="E276" s="6"/>
      <c r="F276" s="6"/>
      <c r="G276" s="6">
        <v>-2.962853</v>
      </c>
      <c r="H276" t="s">
        <v>1128</v>
      </c>
      <c r="I276" t="s">
        <v>687</v>
      </c>
      <c r="J276" t="s">
        <v>1131</v>
      </c>
    </row>
    <row r="277" spans="1:10">
      <c r="A277" t="s">
        <v>1132</v>
      </c>
      <c r="B277" s="6"/>
      <c r="C277" s="6"/>
      <c r="D277" s="6"/>
      <c r="E277" s="6"/>
      <c r="F277" s="6"/>
      <c r="G277" s="6">
        <v>-2.6101637000000002</v>
      </c>
      <c r="H277" t="s">
        <v>1128</v>
      </c>
      <c r="I277" t="s">
        <v>687</v>
      </c>
      <c r="J277" t="s">
        <v>1131</v>
      </c>
    </row>
    <row r="278" spans="1:10">
      <c r="A278" t="s">
        <v>1133</v>
      </c>
      <c r="B278" s="6">
        <v>2.5439156999999999</v>
      </c>
      <c r="C278" s="6">
        <v>2.9261436000000001</v>
      </c>
      <c r="D278" s="6">
        <v>2.6182690000000002</v>
      </c>
      <c r="E278" s="6"/>
      <c r="F278" s="6"/>
      <c r="G278" s="6"/>
      <c r="H278" t="s">
        <v>1134</v>
      </c>
      <c r="J278" t="s">
        <v>1135</v>
      </c>
    </row>
    <row r="279" spans="1:10">
      <c r="A279" t="s">
        <v>1136</v>
      </c>
      <c r="B279" s="6">
        <v>4.0508303999999997</v>
      </c>
      <c r="C279" s="6">
        <v>5.1262879999999997</v>
      </c>
      <c r="D279" s="6">
        <v>5.6281724000000004</v>
      </c>
      <c r="E279" s="6"/>
      <c r="F279" s="6"/>
      <c r="G279" s="6"/>
      <c r="H279" t="s">
        <v>1134</v>
      </c>
      <c r="J279" t="s">
        <v>1135</v>
      </c>
    </row>
    <row r="280" spans="1:10">
      <c r="A280" t="s">
        <v>1137</v>
      </c>
      <c r="B280" s="6"/>
      <c r="C280" s="6"/>
      <c r="D280" s="6">
        <v>2.0135632000000001</v>
      </c>
      <c r="E280" s="6"/>
      <c r="F280" s="6"/>
      <c r="G280" s="6"/>
      <c r="H280" t="s">
        <v>1134</v>
      </c>
      <c r="J280" t="s">
        <v>1135</v>
      </c>
    </row>
    <row r="281" spans="1:10">
      <c r="A281" t="s">
        <v>1138</v>
      </c>
      <c r="B281" s="6"/>
      <c r="C281" s="6"/>
      <c r="D281" s="6">
        <v>2.5946913</v>
      </c>
      <c r="E281" s="6"/>
      <c r="F281" s="6"/>
      <c r="G281" s="6"/>
      <c r="H281" t="s">
        <v>1134</v>
      </c>
      <c r="J281" t="s">
        <v>1135</v>
      </c>
    </row>
    <row r="282" spans="1:10">
      <c r="A282" t="s">
        <v>1139</v>
      </c>
      <c r="B282" s="6"/>
      <c r="C282" s="6"/>
      <c r="D282" s="6"/>
      <c r="E282" s="6"/>
      <c r="F282" s="6"/>
      <c r="G282" s="6">
        <v>-3.6278736999999999</v>
      </c>
      <c r="H282" t="s">
        <v>1140</v>
      </c>
    </row>
    <row r="283" spans="1:10">
      <c r="A283" t="s">
        <v>1141</v>
      </c>
      <c r="B283" s="6"/>
      <c r="C283" s="6">
        <v>2.0620055000000002</v>
      </c>
      <c r="D283" s="6"/>
      <c r="E283" s="6"/>
      <c r="F283" s="6"/>
      <c r="G283" s="6"/>
      <c r="H283" t="s">
        <v>1142</v>
      </c>
    </row>
    <row r="284" spans="1:10">
      <c r="A284" t="s">
        <v>1143</v>
      </c>
      <c r="B284" s="6"/>
      <c r="C284" s="6">
        <v>2.0901198000000001</v>
      </c>
      <c r="D284" s="6"/>
      <c r="E284" s="6"/>
      <c r="F284" s="6"/>
      <c r="G284" s="6"/>
      <c r="H284" t="s">
        <v>1142</v>
      </c>
    </row>
    <row r="285" spans="1:10">
      <c r="A285" t="s">
        <v>1144</v>
      </c>
      <c r="B285" s="6"/>
      <c r="C285" s="6">
        <v>2.1847625000000002</v>
      </c>
      <c r="D285" s="6"/>
      <c r="E285" s="6"/>
      <c r="F285" s="6"/>
      <c r="G285" s="6"/>
      <c r="H285" t="s">
        <v>1145</v>
      </c>
    </row>
    <row r="286" spans="1:10">
      <c r="A286" t="s">
        <v>539</v>
      </c>
      <c r="B286" s="6">
        <v>2.7549104999999998</v>
      </c>
      <c r="C286" s="6">
        <v>2.8424140000000002</v>
      </c>
      <c r="D286" s="6">
        <v>3.28871</v>
      </c>
      <c r="E286" s="6"/>
      <c r="F286" s="6"/>
      <c r="G286" s="6"/>
      <c r="H286" t="s">
        <v>147</v>
      </c>
      <c r="I286" t="s">
        <v>873</v>
      </c>
      <c r="J286" t="s">
        <v>891</v>
      </c>
    </row>
    <row r="287" spans="1:10">
      <c r="A287" t="s">
        <v>1146</v>
      </c>
      <c r="B287" s="6"/>
      <c r="C287" s="6"/>
      <c r="D287" s="6"/>
      <c r="E287" s="6"/>
      <c r="F287" s="6"/>
      <c r="G287" s="6">
        <v>-2.0150212999999999</v>
      </c>
      <c r="H287" t="s">
        <v>1147</v>
      </c>
      <c r="I287" t="s">
        <v>873</v>
      </c>
      <c r="J287" t="s">
        <v>1148</v>
      </c>
    </row>
    <row r="288" spans="1:10">
      <c r="A288" t="s">
        <v>1149</v>
      </c>
      <c r="B288" s="6"/>
      <c r="C288" s="6"/>
      <c r="D288" s="6"/>
      <c r="E288" s="6"/>
      <c r="F288" s="6"/>
      <c r="G288" s="6">
        <v>-4.3764124000000004</v>
      </c>
      <c r="H288" t="s">
        <v>1147</v>
      </c>
      <c r="I288" t="s">
        <v>627</v>
      </c>
      <c r="J288" t="s">
        <v>1150</v>
      </c>
    </row>
    <row r="289" spans="1:11">
      <c r="A289" t="s">
        <v>1151</v>
      </c>
      <c r="B289" s="6"/>
      <c r="C289" s="6"/>
      <c r="D289" s="6"/>
      <c r="E289" s="6"/>
      <c r="F289" s="6"/>
      <c r="G289" s="6">
        <v>-2.8510737000000002</v>
      </c>
      <c r="H289" t="s">
        <v>1147</v>
      </c>
      <c r="I289" t="s">
        <v>873</v>
      </c>
      <c r="J289" t="s">
        <v>1152</v>
      </c>
    </row>
    <row r="290" spans="1:11">
      <c r="A290" t="s">
        <v>1153</v>
      </c>
      <c r="B290" s="6"/>
      <c r="C290" s="6"/>
      <c r="D290" s="6"/>
      <c r="E290" s="6">
        <v>-2.0346959999999998</v>
      </c>
      <c r="F290" s="6">
        <v>-3.1606855</v>
      </c>
      <c r="G290" s="6">
        <v>-3.8481507000000001</v>
      </c>
      <c r="H290" t="s">
        <v>1147</v>
      </c>
      <c r="I290" t="s">
        <v>873</v>
      </c>
      <c r="J290" t="s">
        <v>1154</v>
      </c>
    </row>
    <row r="291" spans="1:11">
      <c r="A291" t="s">
        <v>1155</v>
      </c>
      <c r="B291" s="6"/>
      <c r="C291" s="6"/>
      <c r="D291" s="6"/>
      <c r="E291" s="6"/>
      <c r="F291" s="6"/>
      <c r="G291" s="6">
        <v>-2.5942091999999999</v>
      </c>
      <c r="H291" t="s">
        <v>1147</v>
      </c>
      <c r="I291" t="s">
        <v>627</v>
      </c>
      <c r="J291" t="s">
        <v>1156</v>
      </c>
      <c r="K291" t="s">
        <v>1157</v>
      </c>
    </row>
    <row r="292" spans="1:11">
      <c r="A292" t="s">
        <v>1158</v>
      </c>
      <c r="B292" s="6"/>
      <c r="C292" s="6"/>
      <c r="D292" s="6"/>
      <c r="E292" s="6"/>
      <c r="F292" s="6"/>
      <c r="G292" s="6">
        <v>-3.4910874000000001</v>
      </c>
      <c r="H292" t="s">
        <v>1147</v>
      </c>
      <c r="I292" t="s">
        <v>873</v>
      </c>
      <c r="J292" t="s">
        <v>1159</v>
      </c>
    </row>
    <row r="293" spans="1:11">
      <c r="A293" t="s">
        <v>1160</v>
      </c>
      <c r="B293" s="6"/>
      <c r="C293" s="6">
        <v>2.679789</v>
      </c>
      <c r="D293" s="6">
        <v>2.2549747999999998</v>
      </c>
      <c r="E293" s="6"/>
      <c r="F293" s="6"/>
      <c r="G293" s="6"/>
      <c r="H293" t="s">
        <v>1147</v>
      </c>
      <c r="I293" t="s">
        <v>873</v>
      </c>
      <c r="J293" t="s">
        <v>1161</v>
      </c>
    </row>
    <row r="294" spans="1:11">
      <c r="A294" t="s">
        <v>1162</v>
      </c>
      <c r="B294" s="6"/>
      <c r="C294" s="6"/>
      <c r="D294" s="6"/>
      <c r="E294" s="6">
        <v>-4.9078350000000004</v>
      </c>
      <c r="F294" s="6">
        <v>-5.7239760000000004</v>
      </c>
      <c r="G294" s="6">
        <v>-6.1646609999999997</v>
      </c>
      <c r="H294" t="s">
        <v>1163</v>
      </c>
      <c r="I294" t="s">
        <v>1164</v>
      </c>
      <c r="J294" t="s">
        <v>1165</v>
      </c>
    </row>
    <row r="295" spans="1:11">
      <c r="A295" t="s">
        <v>1166</v>
      </c>
      <c r="B295" s="6"/>
      <c r="C295" s="6"/>
      <c r="D295" s="6"/>
      <c r="E295" s="6"/>
      <c r="F295" s="6"/>
      <c r="G295" s="6">
        <v>-2.0391154</v>
      </c>
      <c r="H295" t="s">
        <v>1167</v>
      </c>
    </row>
    <row r="296" spans="1:11">
      <c r="A296" t="s">
        <v>1168</v>
      </c>
      <c r="B296" s="6"/>
      <c r="C296" s="6"/>
      <c r="D296" s="6"/>
      <c r="E296" s="6">
        <v>-5.4354620000000002</v>
      </c>
      <c r="F296" s="6">
        <v>-6.5984850000000002</v>
      </c>
      <c r="G296" s="6">
        <v>-4.0098010000000004</v>
      </c>
      <c r="H296" t="s">
        <v>1169</v>
      </c>
      <c r="I296" t="s">
        <v>655</v>
      </c>
      <c r="J296" t="s">
        <v>1170</v>
      </c>
    </row>
    <row r="297" spans="1:11">
      <c r="A297" t="s">
        <v>1171</v>
      </c>
      <c r="B297" s="6"/>
      <c r="C297" s="6"/>
      <c r="D297" s="6"/>
      <c r="E297" s="6">
        <v>-4.1745042999999997</v>
      </c>
      <c r="F297" s="6">
        <v>-4.4939631999999996</v>
      </c>
      <c r="G297" s="6"/>
      <c r="H297" t="s">
        <v>1169</v>
      </c>
      <c r="I297" t="s">
        <v>655</v>
      </c>
      <c r="J297" t="s">
        <v>1170</v>
      </c>
    </row>
    <row r="298" spans="1:11">
      <c r="A298" t="s">
        <v>1172</v>
      </c>
      <c r="B298" s="6"/>
      <c r="C298" s="6">
        <v>2.3872675999999999</v>
      </c>
      <c r="D298" s="6">
        <v>2.4584741999999999</v>
      </c>
      <c r="E298" s="6"/>
      <c r="F298" s="6"/>
      <c r="G298" s="6"/>
      <c r="H298" t="s">
        <v>1173</v>
      </c>
      <c r="I298" t="s">
        <v>655</v>
      </c>
      <c r="J298" t="s">
        <v>1174</v>
      </c>
      <c r="K298" t="s">
        <v>1175</v>
      </c>
    </row>
    <row r="299" spans="1:11">
      <c r="A299" t="s">
        <v>1176</v>
      </c>
      <c r="B299" s="6"/>
      <c r="C299" s="6"/>
      <c r="D299" s="6"/>
      <c r="E299" s="6"/>
      <c r="F299" s="6"/>
      <c r="G299" s="6">
        <v>-3.2085957999999999</v>
      </c>
      <c r="H299" t="s">
        <v>1177</v>
      </c>
      <c r="I299" t="s">
        <v>1178</v>
      </c>
      <c r="J299" t="s">
        <v>1179</v>
      </c>
    </row>
    <row r="300" spans="1:11">
      <c r="A300" t="s">
        <v>1180</v>
      </c>
      <c r="B300" s="6"/>
      <c r="C300" s="6"/>
      <c r="D300" s="6">
        <v>2.7816472000000001</v>
      </c>
      <c r="E300" s="6"/>
      <c r="F300" s="6"/>
      <c r="G300" s="6"/>
      <c r="H300" t="s">
        <v>1181</v>
      </c>
      <c r="I300" t="s">
        <v>655</v>
      </c>
      <c r="J300" t="s">
        <v>1182</v>
      </c>
    </row>
    <row r="301" spans="1:11">
      <c r="A301" t="s">
        <v>1183</v>
      </c>
      <c r="B301" s="6"/>
      <c r="C301" s="6"/>
      <c r="D301" s="6"/>
      <c r="E301" s="6"/>
      <c r="F301" s="6"/>
      <c r="G301" s="6">
        <v>-2.1795464</v>
      </c>
      <c r="H301" t="s">
        <v>1184</v>
      </c>
      <c r="I301" t="s">
        <v>1185</v>
      </c>
      <c r="J301" t="s">
        <v>1186</v>
      </c>
    </row>
    <row r="302" spans="1:11">
      <c r="A302" t="s">
        <v>541</v>
      </c>
      <c r="B302" s="6"/>
      <c r="C302" s="6"/>
      <c r="D302" s="6"/>
      <c r="E302" s="6">
        <v>-4.4304456999999999</v>
      </c>
      <c r="F302" s="6">
        <v>-4.0965775999999998</v>
      </c>
      <c r="G302" s="6">
        <v>-5.2071877000000004</v>
      </c>
      <c r="H302" t="s">
        <v>1184</v>
      </c>
      <c r="I302" t="s">
        <v>1185</v>
      </c>
      <c r="J302" t="s">
        <v>1186</v>
      </c>
    </row>
    <row r="303" spans="1:11">
      <c r="A303" t="s">
        <v>1187</v>
      </c>
      <c r="B303" s="6"/>
      <c r="C303" s="6">
        <v>2.310505</v>
      </c>
      <c r="D303" s="6"/>
      <c r="E303" s="6"/>
      <c r="F303" s="6"/>
      <c r="G303" s="6"/>
      <c r="H303" t="s">
        <v>1184</v>
      </c>
      <c r="I303" t="s">
        <v>1185</v>
      </c>
      <c r="J303" t="s">
        <v>1186</v>
      </c>
    </row>
    <row r="304" spans="1:11">
      <c r="A304" t="s">
        <v>1188</v>
      </c>
      <c r="B304" s="6"/>
      <c r="C304" s="6"/>
      <c r="D304" s="6">
        <v>2.3352450999999999</v>
      </c>
      <c r="E304" s="6"/>
      <c r="F304" s="6"/>
      <c r="G304" s="6"/>
      <c r="H304" t="s">
        <v>1184</v>
      </c>
      <c r="I304" t="s">
        <v>1185</v>
      </c>
      <c r="J304" t="s">
        <v>1186</v>
      </c>
    </row>
    <row r="305" spans="1:10">
      <c r="A305" t="s">
        <v>1189</v>
      </c>
      <c r="B305" s="6"/>
      <c r="C305" s="6"/>
      <c r="D305" s="6"/>
      <c r="E305" s="6">
        <v>-2.5623716999999999</v>
      </c>
      <c r="F305" s="6">
        <v>-3.2943435000000001</v>
      </c>
      <c r="G305" s="6">
        <v>-3.3013682000000002</v>
      </c>
      <c r="H305" t="s">
        <v>1184</v>
      </c>
      <c r="I305" t="s">
        <v>1185</v>
      </c>
      <c r="J305" t="s">
        <v>1186</v>
      </c>
    </row>
    <row r="306" spans="1:10">
      <c r="A306" t="s">
        <v>1190</v>
      </c>
      <c r="B306" s="6"/>
      <c r="C306" s="6">
        <v>2.8623953000000002</v>
      </c>
      <c r="D306" s="6">
        <v>2.8446088</v>
      </c>
      <c r="E306" s="6"/>
      <c r="F306" s="6"/>
      <c r="G306" s="6"/>
      <c r="H306" t="s">
        <v>1184</v>
      </c>
      <c r="I306" t="s">
        <v>1185</v>
      </c>
      <c r="J306" t="s">
        <v>1186</v>
      </c>
    </row>
    <row r="307" spans="1:10">
      <c r="A307" t="s">
        <v>1191</v>
      </c>
      <c r="B307" s="6"/>
      <c r="C307" s="6"/>
      <c r="D307" s="6">
        <v>2.4169436000000002</v>
      </c>
      <c r="E307" s="6"/>
      <c r="F307" s="6"/>
      <c r="G307" s="6"/>
      <c r="H307" t="s">
        <v>1184</v>
      </c>
      <c r="I307" t="s">
        <v>1185</v>
      </c>
      <c r="J307" t="s">
        <v>1186</v>
      </c>
    </row>
    <row r="308" spans="1:10">
      <c r="A308" t="s">
        <v>1192</v>
      </c>
      <c r="B308" s="6"/>
      <c r="C308" s="6"/>
      <c r="D308" s="6">
        <v>2.0335903000000002</v>
      </c>
      <c r="E308" s="6"/>
      <c r="F308" s="6"/>
      <c r="G308" s="6"/>
      <c r="H308" t="s">
        <v>1184</v>
      </c>
      <c r="I308" t="s">
        <v>1185</v>
      </c>
      <c r="J308" t="s">
        <v>1186</v>
      </c>
    </row>
    <row r="309" spans="1:10">
      <c r="A309" t="s">
        <v>1193</v>
      </c>
      <c r="B309" s="6"/>
      <c r="C309" s="6"/>
      <c r="D309" s="6">
        <v>2.5330940000000002</v>
      </c>
      <c r="E309" s="6"/>
      <c r="F309" s="6"/>
      <c r="G309" s="6"/>
      <c r="H309" t="s">
        <v>1184</v>
      </c>
      <c r="I309" t="s">
        <v>1185</v>
      </c>
      <c r="J309" t="s">
        <v>1186</v>
      </c>
    </row>
    <row r="310" spans="1:10">
      <c r="A310" t="s">
        <v>1194</v>
      </c>
      <c r="B310" s="6"/>
      <c r="C310" s="6"/>
      <c r="D310" s="6"/>
      <c r="E310" s="6">
        <v>-2.5674486000000001</v>
      </c>
      <c r="F310" s="6">
        <v>-3.3197421999999999</v>
      </c>
      <c r="G310" s="6"/>
      <c r="H310" t="s">
        <v>1184</v>
      </c>
      <c r="I310" t="s">
        <v>1185</v>
      </c>
      <c r="J310" t="s">
        <v>1186</v>
      </c>
    </row>
    <row r="311" spans="1:10">
      <c r="A311" t="s">
        <v>1195</v>
      </c>
      <c r="B311" s="6"/>
      <c r="C311" s="6"/>
      <c r="D311" s="6"/>
      <c r="E311" s="6"/>
      <c r="F311" s="6">
        <v>-2.8553405000000001</v>
      </c>
      <c r="G311" s="6">
        <v>-2.1008306000000001</v>
      </c>
      <c r="H311" t="s">
        <v>1196</v>
      </c>
    </row>
    <row r="312" spans="1:10">
      <c r="A312" t="s">
        <v>1197</v>
      </c>
      <c r="B312" s="6"/>
      <c r="C312" s="6"/>
      <c r="D312" s="6"/>
      <c r="E312" s="6"/>
      <c r="F312" s="6"/>
      <c r="G312" s="6">
        <v>-2.0025271999999998</v>
      </c>
      <c r="H312" t="s">
        <v>1200</v>
      </c>
      <c r="I312" t="s">
        <v>591</v>
      </c>
      <c r="J312" t="s">
        <v>1201</v>
      </c>
    </row>
    <row r="313" spans="1:10">
      <c r="A313" s="3" t="s">
        <v>1202</v>
      </c>
      <c r="B313" s="6"/>
      <c r="C313" s="6"/>
      <c r="D313" s="6"/>
      <c r="E313" s="6"/>
      <c r="F313" s="6"/>
      <c r="G313" s="6">
        <v>-2.8311809999999999</v>
      </c>
      <c r="H313" s="3" t="s">
        <v>1203</v>
      </c>
      <c r="I313" s="3" t="s">
        <v>621</v>
      </c>
      <c r="J313" s="3" t="s">
        <v>1204</v>
      </c>
    </row>
    <row r="314" spans="1:10">
      <c r="A314" t="s">
        <v>1205</v>
      </c>
      <c r="B314" s="6"/>
      <c r="C314" s="6"/>
      <c r="D314" s="6"/>
      <c r="E314" s="6"/>
      <c r="F314" s="6"/>
      <c r="G314" s="6">
        <v>-2.0377377999999999</v>
      </c>
      <c r="H314" t="s">
        <v>1206</v>
      </c>
      <c r="I314" t="s">
        <v>869</v>
      </c>
      <c r="J314" t="s">
        <v>1207</v>
      </c>
    </row>
    <row r="315" spans="1:10">
      <c r="A315" t="s">
        <v>1208</v>
      </c>
      <c r="B315" s="6"/>
      <c r="C315" s="6">
        <v>3.0369139000000001</v>
      </c>
      <c r="D315" s="6">
        <v>2.7118243999999998</v>
      </c>
      <c r="E315" s="6"/>
      <c r="F315" s="6"/>
      <c r="G315" s="6"/>
      <c r="H315" t="s">
        <v>1209</v>
      </c>
    </row>
    <row r="316" spans="1:10">
      <c r="A316" t="s">
        <v>1210</v>
      </c>
      <c r="B316" s="6"/>
      <c r="C316" s="6"/>
      <c r="D316" s="6">
        <v>2.5722413</v>
      </c>
      <c r="E316" s="6"/>
      <c r="F316" s="6"/>
      <c r="G316" s="6"/>
      <c r="H316" t="s">
        <v>1211</v>
      </c>
      <c r="I316" t="s">
        <v>1212</v>
      </c>
      <c r="J316" t="s">
        <v>1213</v>
      </c>
    </row>
    <row r="317" spans="1:10">
      <c r="A317" t="s">
        <v>1214</v>
      </c>
      <c r="B317" s="6"/>
      <c r="C317" s="6"/>
      <c r="D317" s="6">
        <v>2.6773505000000002</v>
      </c>
      <c r="E317" s="6"/>
      <c r="F317" s="6"/>
      <c r="G317" s="6"/>
      <c r="H317" t="s">
        <v>1211</v>
      </c>
      <c r="I317" t="s">
        <v>1212</v>
      </c>
      <c r="J317" t="s">
        <v>1213</v>
      </c>
    </row>
    <row r="318" spans="1:10">
      <c r="A318" t="s">
        <v>1215</v>
      </c>
      <c r="B318" s="6"/>
      <c r="C318" s="6">
        <v>2.2297191999999999</v>
      </c>
      <c r="D318" s="6">
        <v>2.2474327000000001</v>
      </c>
      <c r="E318" s="6"/>
      <c r="F318" s="6"/>
      <c r="G318" s="6"/>
      <c r="H318" t="s">
        <v>1211</v>
      </c>
      <c r="I318" t="s">
        <v>1212</v>
      </c>
      <c r="J318" t="s">
        <v>1213</v>
      </c>
    </row>
    <row r="319" spans="1:10">
      <c r="A319" t="s">
        <v>1216</v>
      </c>
      <c r="B319" s="6"/>
      <c r="C319" s="6"/>
      <c r="D319" s="6">
        <v>2.450078</v>
      </c>
      <c r="E319" s="6"/>
      <c r="F319" s="6"/>
      <c r="G319" s="6"/>
      <c r="H319" t="s">
        <v>1211</v>
      </c>
      <c r="I319" t="s">
        <v>1212</v>
      </c>
      <c r="J319" t="s">
        <v>1213</v>
      </c>
    </row>
    <row r="320" spans="1:10">
      <c r="A320" t="s">
        <v>1217</v>
      </c>
      <c r="B320" s="6"/>
      <c r="C320" s="6"/>
      <c r="D320" s="6"/>
      <c r="E320" s="6"/>
      <c r="F320" s="6"/>
      <c r="G320" s="6">
        <v>-2.9746766</v>
      </c>
      <c r="H320" t="s">
        <v>1218</v>
      </c>
      <c r="I320" t="s">
        <v>1219</v>
      </c>
      <c r="J320" t="s">
        <v>1220</v>
      </c>
    </row>
    <row r="321" spans="1:10">
      <c r="A321" t="s">
        <v>1221</v>
      </c>
      <c r="B321" s="6"/>
      <c r="C321" s="6"/>
      <c r="D321" s="6"/>
      <c r="E321" s="6"/>
      <c r="F321" s="6"/>
      <c r="G321" s="6">
        <v>-2.3917250000000001</v>
      </c>
      <c r="H321" t="s">
        <v>1222</v>
      </c>
      <c r="I321" t="s">
        <v>751</v>
      </c>
      <c r="J321" t="s">
        <v>1223</v>
      </c>
    </row>
    <row r="322" spans="1:10">
      <c r="A322" t="s">
        <v>1224</v>
      </c>
      <c r="B322" s="6"/>
      <c r="C322" s="6"/>
      <c r="D322" s="6"/>
      <c r="E322" s="6"/>
      <c r="F322" s="6"/>
      <c r="G322" s="6">
        <v>-4.6515117000000004</v>
      </c>
      <c r="H322" t="s">
        <v>1222</v>
      </c>
      <c r="I322" t="s">
        <v>1225</v>
      </c>
      <c r="J322" t="s">
        <v>1226</v>
      </c>
    </row>
    <row r="323" spans="1:10">
      <c r="A323" t="s">
        <v>1227</v>
      </c>
      <c r="B323" s="6"/>
      <c r="C323" s="6"/>
      <c r="D323" s="6"/>
      <c r="E323" s="6"/>
      <c r="F323" s="6">
        <v>-2.6059855999999999</v>
      </c>
      <c r="G323" s="6">
        <v>-4.0988319999999998</v>
      </c>
      <c r="H323" t="s">
        <v>1222</v>
      </c>
      <c r="I323" t="s">
        <v>1225</v>
      </c>
      <c r="J323" t="s">
        <v>1228</v>
      </c>
    </row>
    <row r="324" spans="1:10">
      <c r="A324" t="s">
        <v>1229</v>
      </c>
      <c r="B324" s="6"/>
      <c r="C324" s="6"/>
      <c r="D324" s="6"/>
      <c r="E324" s="6"/>
      <c r="F324" s="6"/>
      <c r="G324" s="6">
        <v>-5.8523053999999997</v>
      </c>
      <c r="H324" t="s">
        <v>1222</v>
      </c>
      <c r="I324" t="s">
        <v>1225</v>
      </c>
      <c r="J324" t="s">
        <v>1226</v>
      </c>
    </row>
    <row r="325" spans="1:10">
      <c r="A325" t="s">
        <v>1230</v>
      </c>
      <c r="B325" s="6"/>
      <c r="C325" s="6"/>
      <c r="D325" s="6"/>
      <c r="E325" s="6"/>
      <c r="F325" s="6"/>
      <c r="G325" s="6">
        <v>-2.1292119999999999</v>
      </c>
      <c r="H325" t="s">
        <v>1222</v>
      </c>
      <c r="I325" t="s">
        <v>751</v>
      </c>
      <c r="J325" t="s">
        <v>1231</v>
      </c>
    </row>
    <row r="326" spans="1:10">
      <c r="A326" t="s">
        <v>1232</v>
      </c>
      <c r="B326" s="6"/>
      <c r="C326" s="6"/>
      <c r="D326" s="6"/>
      <c r="E326" s="6"/>
      <c r="F326" s="6"/>
      <c r="G326" s="6">
        <v>-2.3561580000000002</v>
      </c>
      <c r="H326" t="s">
        <v>1233</v>
      </c>
    </row>
    <row r="327" spans="1:10">
      <c r="A327" t="s">
        <v>1234</v>
      </c>
      <c r="B327" s="6"/>
      <c r="C327" s="6"/>
      <c r="D327" s="6"/>
      <c r="E327" s="6">
        <v>-3.2242991999999999</v>
      </c>
      <c r="F327" s="6">
        <v>-3.4591148</v>
      </c>
      <c r="G327" s="6">
        <v>-3.8600775999999999</v>
      </c>
      <c r="H327" t="s">
        <v>1233</v>
      </c>
    </row>
    <row r="328" spans="1:10">
      <c r="A328" t="s">
        <v>1235</v>
      </c>
      <c r="B328" s="6"/>
      <c r="C328" s="6"/>
      <c r="D328" s="6"/>
      <c r="E328" s="6"/>
      <c r="F328" s="6"/>
      <c r="G328" s="6"/>
      <c r="H328" t="s">
        <v>1236</v>
      </c>
    </row>
    <row r="329" spans="1:10">
      <c r="A329" t="s">
        <v>1237</v>
      </c>
      <c r="B329" s="6"/>
      <c r="C329" s="6"/>
      <c r="D329" s="6"/>
      <c r="E329" s="6"/>
      <c r="F329" s="6"/>
      <c r="G329" s="6">
        <v>-2.4493592</v>
      </c>
      <c r="H329" t="s">
        <v>1238</v>
      </c>
      <c r="I329" t="s">
        <v>1239</v>
      </c>
      <c r="J329" t="s">
        <v>1240</v>
      </c>
    </row>
    <row r="330" spans="1:10">
      <c r="A330" t="s">
        <v>1241</v>
      </c>
      <c r="B330" s="6"/>
      <c r="C330" s="6"/>
      <c r="D330" s="6"/>
      <c r="E330" s="6"/>
      <c r="F330" s="6"/>
      <c r="G330" s="6"/>
      <c r="H330" t="s">
        <v>1238</v>
      </c>
      <c r="I330" t="s">
        <v>1239</v>
      </c>
      <c r="J330" t="s">
        <v>1240</v>
      </c>
    </row>
    <row r="331" spans="1:10">
      <c r="A331" t="s">
        <v>1242</v>
      </c>
      <c r="B331" s="6"/>
      <c r="C331" s="6"/>
      <c r="D331" s="6"/>
      <c r="E331" s="6"/>
      <c r="F331" s="6">
        <v>-2.6446602000000001</v>
      </c>
      <c r="G331" s="6"/>
      <c r="H331" t="s">
        <v>1238</v>
      </c>
      <c r="I331" t="s">
        <v>1239</v>
      </c>
      <c r="J331" t="s">
        <v>1240</v>
      </c>
    </row>
    <row r="332" spans="1:10">
      <c r="A332" t="s">
        <v>1243</v>
      </c>
      <c r="B332" s="6"/>
      <c r="C332" s="6"/>
      <c r="D332" s="6"/>
      <c r="E332" s="6"/>
      <c r="F332" s="6"/>
      <c r="G332" s="6">
        <v>-2.4737803999999999</v>
      </c>
      <c r="H332" t="s">
        <v>1244</v>
      </c>
      <c r="I332" t="s">
        <v>1239</v>
      </c>
      <c r="J332" t="s">
        <v>1240</v>
      </c>
    </row>
    <row r="333" spans="1:10">
      <c r="A333" t="s">
        <v>1245</v>
      </c>
      <c r="B333" s="6"/>
      <c r="C333" s="6"/>
      <c r="D333" s="6"/>
      <c r="E333" s="6"/>
      <c r="F333" s="6"/>
      <c r="G333" s="6">
        <v>-2.5767622000000001</v>
      </c>
      <c r="H333" t="s">
        <v>1246</v>
      </c>
      <c r="J333" t="s">
        <v>1247</v>
      </c>
    </row>
    <row r="334" spans="1:10">
      <c r="A334" t="s">
        <v>1248</v>
      </c>
      <c r="B334" s="6"/>
      <c r="C334" s="6"/>
      <c r="D334" s="6"/>
      <c r="E334" s="6"/>
      <c r="F334" s="6">
        <v>-3.3353448000000001</v>
      </c>
      <c r="G334" s="6"/>
      <c r="H334" t="s">
        <v>1246</v>
      </c>
      <c r="J334" t="s">
        <v>1247</v>
      </c>
    </row>
    <row r="335" spans="1:10">
      <c r="A335" t="s">
        <v>1249</v>
      </c>
      <c r="B335" s="6"/>
      <c r="C335" s="6"/>
      <c r="D335" s="6"/>
      <c r="E335" s="6">
        <v>-3.0358567000000001</v>
      </c>
      <c r="F335" s="6">
        <v>-3.4994044</v>
      </c>
      <c r="G335" s="6"/>
      <c r="H335" t="s">
        <v>1246</v>
      </c>
      <c r="I335" t="s">
        <v>1239</v>
      </c>
      <c r="J335" t="s">
        <v>1247</v>
      </c>
    </row>
    <row r="336" spans="1:10">
      <c r="A336" t="s">
        <v>1250</v>
      </c>
      <c r="B336" s="6"/>
      <c r="C336" s="6"/>
      <c r="D336" s="6"/>
      <c r="E336" s="6">
        <v>-2.3265745999999998</v>
      </c>
      <c r="F336" s="6">
        <v>-2.6599075999999999</v>
      </c>
      <c r="G336" s="6"/>
      <c r="H336" t="s">
        <v>1251</v>
      </c>
      <c r="I336" t="s">
        <v>1239</v>
      </c>
      <c r="J336" t="s">
        <v>1252</v>
      </c>
    </row>
    <row r="337" spans="1:10">
      <c r="A337" t="s">
        <v>1253</v>
      </c>
      <c r="B337" s="6"/>
      <c r="C337" s="6"/>
      <c r="D337" s="6"/>
      <c r="E337" s="6"/>
      <c r="F337" s="6"/>
      <c r="G337" s="6">
        <v>-3.4285846000000002</v>
      </c>
      <c r="H337" t="s">
        <v>1251</v>
      </c>
      <c r="I337" t="s">
        <v>1239</v>
      </c>
      <c r="J337" t="s">
        <v>1252</v>
      </c>
    </row>
    <row r="338" spans="1:10">
      <c r="A338" t="s">
        <v>1254</v>
      </c>
      <c r="B338" s="6"/>
      <c r="C338" s="6"/>
      <c r="D338" s="6"/>
      <c r="E338" s="6"/>
      <c r="F338" s="6"/>
      <c r="G338" s="6">
        <v>-2.0951743</v>
      </c>
      <c r="H338" t="s">
        <v>1251</v>
      </c>
      <c r="I338" t="s">
        <v>1239</v>
      </c>
      <c r="J338" t="s">
        <v>1252</v>
      </c>
    </row>
    <row r="339" spans="1:10">
      <c r="A339" t="s">
        <v>1255</v>
      </c>
      <c r="B339" s="6"/>
      <c r="C339" s="6"/>
      <c r="D339" s="6"/>
      <c r="E339" s="6"/>
      <c r="F339" s="6"/>
      <c r="G339" s="6"/>
      <c r="H339" t="s">
        <v>1256</v>
      </c>
      <c r="I339" t="s">
        <v>1257</v>
      </c>
      <c r="J339" t="s">
        <v>1258</v>
      </c>
    </row>
    <row r="340" spans="1:10">
      <c r="A340" t="s">
        <v>1259</v>
      </c>
      <c r="B340" s="6"/>
      <c r="C340" s="6">
        <v>2.605585</v>
      </c>
      <c r="D340" s="6">
        <v>2.2503128000000001</v>
      </c>
      <c r="E340" s="6"/>
      <c r="F340" s="6"/>
      <c r="G340" s="6"/>
      <c r="H340" t="s">
        <v>1256</v>
      </c>
      <c r="I340" t="s">
        <v>1257</v>
      </c>
      <c r="J340" t="s">
        <v>1258</v>
      </c>
    </row>
    <row r="341" spans="1:10">
      <c r="A341" t="s">
        <v>1260</v>
      </c>
      <c r="B341" s="6"/>
      <c r="C341" s="6"/>
      <c r="D341" s="6">
        <v>2.6195908000000001</v>
      </c>
      <c r="E341" s="6"/>
      <c r="F341" s="6"/>
      <c r="G341" s="6"/>
      <c r="H341" t="s">
        <v>1256</v>
      </c>
      <c r="I341" t="s">
        <v>1257</v>
      </c>
      <c r="J341" t="s">
        <v>1258</v>
      </c>
    </row>
    <row r="342" spans="1:10">
      <c r="A342" t="s">
        <v>1261</v>
      </c>
      <c r="B342" s="6"/>
      <c r="C342" s="6"/>
      <c r="D342" s="6"/>
      <c r="E342" s="6"/>
      <c r="F342" s="6"/>
      <c r="G342" s="6">
        <v>-2.1023692999999999</v>
      </c>
      <c r="H342" t="s">
        <v>1256</v>
      </c>
      <c r="I342" t="s">
        <v>1257</v>
      </c>
      <c r="J342" t="s">
        <v>1258</v>
      </c>
    </row>
    <row r="343" spans="1:10">
      <c r="A343" t="s">
        <v>1262</v>
      </c>
      <c r="B343" s="6"/>
      <c r="C343" s="6"/>
      <c r="D343" s="6"/>
      <c r="E343" s="6"/>
      <c r="F343" s="6"/>
      <c r="G343" s="6">
        <v>-2.0977926</v>
      </c>
      <c r="H343" t="s">
        <v>1256</v>
      </c>
      <c r="I343" t="s">
        <v>1257</v>
      </c>
      <c r="J343" t="s">
        <v>1258</v>
      </c>
    </row>
    <row r="344" spans="1:10">
      <c r="A344" t="s">
        <v>1263</v>
      </c>
      <c r="B344" s="6"/>
      <c r="C344" s="6"/>
      <c r="D344" s="6"/>
      <c r="E344" s="6"/>
      <c r="F344" s="6"/>
      <c r="G344" s="6">
        <v>-3.0363183</v>
      </c>
      <c r="H344" t="s">
        <v>1256</v>
      </c>
      <c r="I344" t="s">
        <v>1264</v>
      </c>
      <c r="J344" t="s">
        <v>1247</v>
      </c>
    </row>
    <row r="345" spans="1:10">
      <c r="A345" t="s">
        <v>1265</v>
      </c>
      <c r="B345" s="6"/>
      <c r="C345" s="6"/>
      <c r="D345" s="6"/>
      <c r="E345" s="6"/>
      <c r="F345" s="6"/>
      <c r="G345" s="6">
        <v>-3.0489739999999999</v>
      </c>
      <c r="H345" t="s">
        <v>1256</v>
      </c>
      <c r="I345" t="s">
        <v>1264</v>
      </c>
      <c r="J345" t="s">
        <v>1247</v>
      </c>
    </row>
    <row r="346" spans="1:10">
      <c r="A346" t="s">
        <v>1266</v>
      </c>
      <c r="B346" s="6"/>
      <c r="C346" s="6"/>
      <c r="D346" s="6"/>
      <c r="E346" s="6"/>
      <c r="F346" s="6"/>
      <c r="G346" s="6">
        <v>-2.4497867000000002</v>
      </c>
      <c r="H346" t="s">
        <v>1256</v>
      </c>
      <c r="I346" t="s">
        <v>1257</v>
      </c>
      <c r="J346" t="s">
        <v>1258</v>
      </c>
    </row>
    <row r="347" spans="1:10">
      <c r="A347" t="s">
        <v>1267</v>
      </c>
      <c r="B347" s="6"/>
      <c r="C347" s="6"/>
      <c r="D347" s="6"/>
      <c r="E347" s="6"/>
      <c r="F347" s="6"/>
      <c r="G347" s="6">
        <v>-2.2732382000000002</v>
      </c>
      <c r="H347" t="s">
        <v>1256</v>
      </c>
      <c r="I347" t="s">
        <v>1257</v>
      </c>
      <c r="J347" t="s">
        <v>1258</v>
      </c>
    </row>
    <row r="348" spans="1:10">
      <c r="A348" t="s">
        <v>1268</v>
      </c>
      <c r="B348" s="6"/>
      <c r="C348" s="6"/>
      <c r="D348" s="6"/>
      <c r="E348" s="6"/>
      <c r="F348" s="6"/>
      <c r="G348" s="6">
        <v>-2.689673</v>
      </c>
      <c r="H348" t="s">
        <v>1256</v>
      </c>
      <c r="I348" t="s">
        <v>1257</v>
      </c>
      <c r="J348" t="s">
        <v>1258</v>
      </c>
    </row>
    <row r="349" spans="1:10">
      <c r="A349" t="s">
        <v>1269</v>
      </c>
      <c r="B349" s="6"/>
      <c r="C349" s="6"/>
      <c r="D349" s="6"/>
      <c r="E349" s="6"/>
      <c r="F349" s="6"/>
      <c r="G349" s="6">
        <v>-2.8196734999999999</v>
      </c>
      <c r="H349" t="s">
        <v>1256</v>
      </c>
      <c r="I349" t="s">
        <v>1257</v>
      </c>
      <c r="J349" t="s">
        <v>1258</v>
      </c>
    </row>
    <row r="350" spans="1:10">
      <c r="A350" t="s">
        <v>1270</v>
      </c>
      <c r="B350" s="6"/>
      <c r="C350" s="6"/>
      <c r="D350" s="6"/>
      <c r="E350" s="6">
        <v>-2.3414378</v>
      </c>
      <c r="F350" s="6">
        <v>-2.8026233</v>
      </c>
      <c r="G350" s="6"/>
      <c r="H350" t="s">
        <v>1256</v>
      </c>
      <c r="I350" t="s">
        <v>1257</v>
      </c>
      <c r="J350" t="s">
        <v>1258</v>
      </c>
    </row>
    <row r="351" spans="1:10">
      <c r="A351" t="s">
        <v>1271</v>
      </c>
      <c r="B351" s="6"/>
      <c r="C351" s="6"/>
      <c r="D351" s="6"/>
      <c r="E351" s="6"/>
      <c r="F351" s="6"/>
      <c r="G351" s="6"/>
      <c r="H351" t="s">
        <v>1256</v>
      </c>
      <c r="I351" t="s">
        <v>1257</v>
      </c>
      <c r="J351" t="s">
        <v>1258</v>
      </c>
    </row>
    <row r="352" spans="1:10">
      <c r="A352" t="s">
        <v>1272</v>
      </c>
      <c r="B352" s="6"/>
      <c r="C352" s="6"/>
      <c r="D352" s="6"/>
      <c r="E352" s="6"/>
      <c r="F352" s="6"/>
      <c r="G352" s="6"/>
      <c r="H352" t="s">
        <v>1256</v>
      </c>
      <c r="I352" t="s">
        <v>1257</v>
      </c>
      <c r="J352" t="s">
        <v>1258</v>
      </c>
    </row>
    <row r="353" spans="1:10">
      <c r="A353" t="s">
        <v>1273</v>
      </c>
      <c r="B353" s="6"/>
      <c r="C353" s="6"/>
      <c r="D353" s="6">
        <v>2.3676772000000001</v>
      </c>
      <c r="E353" s="6"/>
      <c r="F353" s="6"/>
      <c r="G353" s="6"/>
      <c r="H353" t="s">
        <v>1256</v>
      </c>
      <c r="I353" t="s">
        <v>1257</v>
      </c>
      <c r="J353" t="s">
        <v>1258</v>
      </c>
    </row>
    <row r="354" spans="1:10">
      <c r="A354" t="s">
        <v>1274</v>
      </c>
      <c r="B354" s="6"/>
      <c r="C354" s="6">
        <v>2.0306787000000002</v>
      </c>
      <c r="D354" s="6"/>
      <c r="E354" s="6"/>
      <c r="F354" s="6"/>
      <c r="G354" s="6"/>
      <c r="H354" t="s">
        <v>1256</v>
      </c>
      <c r="I354" t="s">
        <v>1257</v>
      </c>
      <c r="J354" t="s">
        <v>1258</v>
      </c>
    </row>
    <row r="355" spans="1:10">
      <c r="A355" t="s">
        <v>1275</v>
      </c>
      <c r="B355" s="6"/>
      <c r="C355" s="6"/>
      <c r="D355" s="6"/>
      <c r="E355" s="6"/>
      <c r="F355" s="6"/>
      <c r="G355" s="6">
        <v>-2.134954</v>
      </c>
      <c r="H355" t="s">
        <v>1256</v>
      </c>
      <c r="I355" t="s">
        <v>1257</v>
      </c>
      <c r="J355" t="s">
        <v>1258</v>
      </c>
    </row>
    <row r="356" spans="1:10">
      <c r="A356" t="s">
        <v>1276</v>
      </c>
      <c r="B356" s="6"/>
      <c r="C356" s="6"/>
      <c r="D356" s="6"/>
      <c r="E356" s="6"/>
      <c r="F356" s="6"/>
      <c r="G356" s="6">
        <v>-4.4664859999999997</v>
      </c>
      <c r="H356" t="s">
        <v>1256</v>
      </c>
      <c r="I356" t="s">
        <v>1257</v>
      </c>
      <c r="J356" t="s">
        <v>1258</v>
      </c>
    </row>
    <row r="357" spans="1:10">
      <c r="A357" t="s">
        <v>1277</v>
      </c>
      <c r="B357" s="6"/>
      <c r="C357" s="6"/>
      <c r="D357" s="6"/>
      <c r="E357" s="6"/>
      <c r="F357" s="6"/>
      <c r="G357" s="6">
        <v>-2.1095586000000002</v>
      </c>
      <c r="H357" t="s">
        <v>1256</v>
      </c>
      <c r="I357" t="s">
        <v>1257</v>
      </c>
      <c r="J357" t="s">
        <v>1258</v>
      </c>
    </row>
    <row r="358" spans="1:10">
      <c r="A358" t="s">
        <v>1278</v>
      </c>
      <c r="B358" s="6"/>
      <c r="C358" s="6"/>
      <c r="D358" s="6"/>
      <c r="E358" s="6"/>
      <c r="F358" s="6"/>
      <c r="G358" s="6"/>
      <c r="H358" t="s">
        <v>1256</v>
      </c>
      <c r="I358" t="s">
        <v>1257</v>
      </c>
      <c r="J358" t="s">
        <v>1258</v>
      </c>
    </row>
    <row r="359" spans="1:10">
      <c r="A359" t="s">
        <v>1279</v>
      </c>
      <c r="B359" s="6"/>
      <c r="C359" s="6"/>
      <c r="D359" s="6"/>
      <c r="E359" s="6"/>
      <c r="F359" s="6"/>
      <c r="G359" s="6">
        <v>-2.4119459999999999</v>
      </c>
      <c r="H359" t="s">
        <v>1256</v>
      </c>
      <c r="I359" t="s">
        <v>1257</v>
      </c>
      <c r="J359" t="s">
        <v>1258</v>
      </c>
    </row>
    <row r="360" spans="1:10">
      <c r="A360" t="s">
        <v>1280</v>
      </c>
      <c r="B360" s="6"/>
      <c r="C360" s="6"/>
      <c r="D360" s="6"/>
      <c r="E360" s="6"/>
      <c r="F360" s="6"/>
      <c r="G360" s="6"/>
      <c r="H360" t="s">
        <v>1256</v>
      </c>
      <c r="I360" t="s">
        <v>1257</v>
      </c>
      <c r="J360" t="s">
        <v>1258</v>
      </c>
    </row>
    <row r="361" spans="1:10">
      <c r="A361" t="s">
        <v>1281</v>
      </c>
      <c r="B361" s="6"/>
      <c r="C361" s="6"/>
      <c r="D361" s="6"/>
      <c r="E361" s="6"/>
      <c r="F361" s="6"/>
      <c r="G361" s="6">
        <v>-2.1620898</v>
      </c>
      <c r="H361" t="s">
        <v>1256</v>
      </c>
      <c r="I361" t="s">
        <v>1264</v>
      </c>
    </row>
    <row r="362" spans="1:10">
      <c r="A362" t="s">
        <v>1282</v>
      </c>
      <c r="B362" s="6"/>
      <c r="C362" s="6"/>
      <c r="D362" s="6"/>
      <c r="E362" s="6"/>
      <c r="F362" s="6"/>
      <c r="G362" s="6">
        <v>-6.2922453999999997</v>
      </c>
      <c r="H362" t="s">
        <v>1256</v>
      </c>
      <c r="I362" t="s">
        <v>1257</v>
      </c>
      <c r="J362" t="s">
        <v>1258</v>
      </c>
    </row>
    <row r="363" spans="1:10">
      <c r="A363" t="s">
        <v>1283</v>
      </c>
      <c r="B363" s="6"/>
      <c r="C363" s="6"/>
      <c r="D363" s="6">
        <v>2.3419712000000001</v>
      </c>
      <c r="E363" s="6"/>
      <c r="F363" s="6"/>
      <c r="G363" s="6"/>
      <c r="H363" t="s">
        <v>1256</v>
      </c>
      <c r="I363" t="s">
        <v>1257</v>
      </c>
      <c r="J363" t="s">
        <v>1258</v>
      </c>
    </row>
    <row r="364" spans="1:10">
      <c r="A364" t="s">
        <v>1284</v>
      </c>
      <c r="B364" s="6"/>
      <c r="C364" s="6"/>
      <c r="D364" s="6"/>
      <c r="E364" s="6"/>
      <c r="F364" s="6"/>
      <c r="G364" s="6">
        <v>-2.0524209999999998</v>
      </c>
      <c r="H364" t="s">
        <v>1256</v>
      </c>
      <c r="I364" t="s">
        <v>1257</v>
      </c>
      <c r="J364" t="s">
        <v>1258</v>
      </c>
    </row>
    <row r="365" spans="1:10">
      <c r="A365" t="s">
        <v>1285</v>
      </c>
      <c r="B365" s="6"/>
      <c r="C365" s="6"/>
      <c r="D365" s="6"/>
      <c r="E365" s="6"/>
      <c r="F365" s="6">
        <v>-2.4330888000000002</v>
      </c>
      <c r="G365" s="6"/>
      <c r="H365" t="s">
        <v>1256</v>
      </c>
      <c r="I365" t="s">
        <v>1257</v>
      </c>
      <c r="J365" t="s">
        <v>1258</v>
      </c>
    </row>
    <row r="366" spans="1:10">
      <c r="A366" t="s">
        <v>1286</v>
      </c>
      <c r="B366" s="6"/>
      <c r="C366" s="6"/>
      <c r="D366" s="6">
        <v>2.1203865999999998</v>
      </c>
      <c r="E366" s="6"/>
      <c r="F366" s="6"/>
      <c r="G366" s="6"/>
      <c r="H366" t="s">
        <v>1256</v>
      </c>
      <c r="I366" t="s">
        <v>1257</v>
      </c>
      <c r="J366" t="s">
        <v>1258</v>
      </c>
    </row>
    <row r="367" spans="1:10">
      <c r="A367" t="s">
        <v>1287</v>
      </c>
      <c r="B367" s="6"/>
      <c r="C367" s="6"/>
      <c r="D367" s="6"/>
      <c r="E367" s="6"/>
      <c r="F367" s="6"/>
      <c r="G367" s="6">
        <v>-2.0002958999999998</v>
      </c>
      <c r="H367" t="s">
        <v>1288</v>
      </c>
    </row>
    <row r="368" spans="1:10">
      <c r="A368" t="s">
        <v>1289</v>
      </c>
      <c r="B368" s="6"/>
      <c r="C368" s="6"/>
      <c r="D368" s="6"/>
      <c r="E368" s="6">
        <v>-2.1253939000000002</v>
      </c>
      <c r="F368" s="6">
        <v>-2.1081333</v>
      </c>
      <c r="G368" s="6">
        <v>-2.9050015999999999</v>
      </c>
      <c r="H368" t="s">
        <v>1290</v>
      </c>
    </row>
    <row r="369" spans="1:10">
      <c r="A369" t="s">
        <v>1291</v>
      </c>
      <c r="B369" s="6"/>
      <c r="C369" s="6"/>
      <c r="D369" s="6"/>
      <c r="E369" s="6"/>
      <c r="F369" s="6"/>
      <c r="G369" s="6">
        <v>-2.41778</v>
      </c>
      <c r="H369" t="s">
        <v>1292</v>
      </c>
      <c r="I369" t="s">
        <v>591</v>
      </c>
      <c r="J369" t="s">
        <v>1293</v>
      </c>
    </row>
    <row r="370" spans="1:10">
      <c r="A370" t="s">
        <v>1294</v>
      </c>
      <c r="B370" s="6"/>
      <c r="C370" s="6"/>
      <c r="D370" s="6"/>
      <c r="E370" s="6"/>
      <c r="F370" s="6">
        <v>-2.0043855000000002</v>
      </c>
      <c r="G370" s="6">
        <v>-2.8835092000000002</v>
      </c>
      <c r="H370" t="s">
        <v>1292</v>
      </c>
      <c r="I370" t="s">
        <v>591</v>
      </c>
      <c r="J370" t="s">
        <v>1293</v>
      </c>
    </row>
    <row r="371" spans="1:10">
      <c r="A371" t="s">
        <v>1295</v>
      </c>
      <c r="B371" s="6"/>
      <c r="C371" s="6"/>
      <c r="D371" s="6"/>
      <c r="E371" s="6"/>
      <c r="F371" s="6"/>
      <c r="G371" s="6">
        <v>-2.5649294999999999</v>
      </c>
      <c r="H371" t="s">
        <v>1292</v>
      </c>
      <c r="I371" t="s">
        <v>591</v>
      </c>
      <c r="J371" t="s">
        <v>1293</v>
      </c>
    </row>
    <row r="372" spans="1:10">
      <c r="A372" t="s">
        <v>1296</v>
      </c>
      <c r="B372" s="6"/>
      <c r="C372" s="6"/>
      <c r="D372" s="6"/>
      <c r="E372" s="6"/>
      <c r="F372" s="6"/>
      <c r="G372" s="6">
        <v>-2.722763</v>
      </c>
      <c r="H372" t="s">
        <v>1297</v>
      </c>
      <c r="I372" t="s">
        <v>1298</v>
      </c>
      <c r="J372" t="s">
        <v>1299</v>
      </c>
    </row>
    <row r="373" spans="1:10">
      <c r="A373" t="s">
        <v>1300</v>
      </c>
      <c r="B373" s="6"/>
      <c r="C373" s="6"/>
      <c r="D373" s="6"/>
      <c r="E373" s="6"/>
      <c r="F373" s="6">
        <v>-2.3249496999999999</v>
      </c>
      <c r="G373" s="6">
        <v>-4.5839933999999998</v>
      </c>
      <c r="H373" t="s">
        <v>1301</v>
      </c>
      <c r="I373" t="s">
        <v>1302</v>
      </c>
      <c r="J373" t="s">
        <v>1303</v>
      </c>
    </row>
    <row r="374" spans="1:10">
      <c r="A374" t="s">
        <v>1304</v>
      </c>
      <c r="B374" s="6"/>
      <c r="C374" s="6"/>
      <c r="D374" s="6">
        <v>2.1552978</v>
      </c>
      <c r="E374" s="6"/>
      <c r="F374" s="6"/>
      <c r="G374" s="6"/>
      <c r="H374" t="s">
        <v>1305</v>
      </c>
      <c r="I374" t="s">
        <v>1306</v>
      </c>
      <c r="J374" t="s">
        <v>1307</v>
      </c>
    </row>
    <row r="375" spans="1:10">
      <c r="A375" t="s">
        <v>1308</v>
      </c>
      <c r="B375" s="6"/>
      <c r="C375" s="6"/>
      <c r="D375" s="6">
        <v>2.3876753000000002</v>
      </c>
      <c r="E375" s="6"/>
      <c r="F375" s="6"/>
      <c r="G375" s="6"/>
      <c r="H375" t="s">
        <v>1309</v>
      </c>
      <c r="J375" t="s">
        <v>1310</v>
      </c>
    </row>
    <row r="376" spans="1:10">
      <c r="A376" t="s">
        <v>1311</v>
      </c>
      <c r="B376" s="6"/>
      <c r="C376" s="6"/>
      <c r="D376" s="6"/>
      <c r="E376" s="6"/>
      <c r="F376" s="6"/>
      <c r="G376" s="6">
        <v>-2.3707246999999998</v>
      </c>
      <c r="H376" t="s">
        <v>1312</v>
      </c>
      <c r="I376" t="s">
        <v>1313</v>
      </c>
      <c r="J376" t="s">
        <v>1314</v>
      </c>
    </row>
    <row r="377" spans="1:10">
      <c r="A377" t="s">
        <v>1315</v>
      </c>
      <c r="B377" s="6"/>
      <c r="C377" s="6"/>
      <c r="D377" s="6"/>
      <c r="E377" s="6"/>
      <c r="F377" s="6"/>
      <c r="G377" s="6">
        <v>-2.67245</v>
      </c>
      <c r="H377" t="s">
        <v>1312</v>
      </c>
      <c r="I377" t="s">
        <v>1313</v>
      </c>
      <c r="J377" t="s">
        <v>1314</v>
      </c>
    </row>
    <row r="378" spans="1:10">
      <c r="A378" t="s">
        <v>1316</v>
      </c>
      <c r="B378" s="6"/>
      <c r="C378" s="6"/>
      <c r="D378" s="6"/>
      <c r="E378" s="6"/>
      <c r="F378" s="6"/>
      <c r="G378" s="6">
        <v>-4.5162106</v>
      </c>
      <c r="H378" t="s">
        <v>1317</v>
      </c>
      <c r="I378" t="s">
        <v>815</v>
      </c>
      <c r="J378" t="s">
        <v>1318</v>
      </c>
    </row>
    <row r="379" spans="1:10">
      <c r="A379" t="s">
        <v>544</v>
      </c>
      <c r="B379" s="6"/>
      <c r="C379" s="6"/>
      <c r="D379" s="6"/>
      <c r="E379" s="6">
        <v>-4.6391315000000004</v>
      </c>
      <c r="F379" s="6">
        <v>-4.5544976999999998</v>
      </c>
      <c r="G379" s="6">
        <v>-5.0727662999999996</v>
      </c>
      <c r="H379" t="s">
        <v>138</v>
      </c>
      <c r="I379" t="s">
        <v>545</v>
      </c>
      <c r="J379" t="s">
        <v>546</v>
      </c>
    </row>
    <row r="380" spans="1:10">
      <c r="A380" t="s">
        <v>1319</v>
      </c>
      <c r="B380" s="6"/>
      <c r="C380" s="6"/>
      <c r="D380" s="6">
        <v>2.6655229999999999</v>
      </c>
      <c r="E380" s="6"/>
      <c r="F380" s="6"/>
      <c r="G380" s="6"/>
      <c r="H380" t="s">
        <v>1320</v>
      </c>
      <c r="J380" t="s">
        <v>1321</v>
      </c>
    </row>
    <row r="381" spans="1:10">
      <c r="A381" t="s">
        <v>1322</v>
      </c>
      <c r="B381" s="6"/>
      <c r="C381" s="6"/>
      <c r="D381" s="6"/>
      <c r="E381" s="6"/>
      <c r="F381" s="6"/>
      <c r="G381" s="6">
        <v>-2.5181304999999998</v>
      </c>
      <c r="H381" t="s">
        <v>1323</v>
      </c>
      <c r="I381" t="s">
        <v>655</v>
      </c>
      <c r="J381" t="s">
        <v>1324</v>
      </c>
    </row>
    <row r="382" spans="1:10">
      <c r="A382" t="s">
        <v>1325</v>
      </c>
      <c r="B382" s="6"/>
      <c r="C382" s="6"/>
      <c r="D382" s="6"/>
      <c r="E382" s="6"/>
      <c r="F382" s="6"/>
      <c r="G382" s="6">
        <v>-3.9999410000000002</v>
      </c>
      <c r="H382" t="s">
        <v>1326</v>
      </c>
      <c r="I382" t="s">
        <v>1327</v>
      </c>
      <c r="J382" t="s">
        <v>1328</v>
      </c>
    </row>
    <row r="383" spans="1:10">
      <c r="A383" t="s">
        <v>1329</v>
      </c>
      <c r="B383" s="6"/>
      <c r="C383" s="6"/>
      <c r="D383" s="6"/>
      <c r="E383" s="6"/>
      <c r="F383" s="6"/>
      <c r="G383" s="6">
        <v>-4.2270174000000003</v>
      </c>
      <c r="H383" t="s">
        <v>1330</v>
      </c>
    </row>
    <row r="384" spans="1:10">
      <c r="A384" t="s">
        <v>1331</v>
      </c>
      <c r="B384" s="6"/>
      <c r="C384" s="6"/>
      <c r="D384" s="6"/>
      <c r="E384" s="6"/>
      <c r="F384" s="6"/>
      <c r="G384" s="6">
        <v>-3.3412761999999998</v>
      </c>
      <c r="H384" t="s">
        <v>1330</v>
      </c>
    </row>
    <row r="385" spans="1:10">
      <c r="A385" t="s">
        <v>1332</v>
      </c>
      <c r="B385" s="6"/>
      <c r="C385" s="6"/>
      <c r="D385" s="6"/>
      <c r="E385" s="6"/>
      <c r="F385" s="6"/>
      <c r="G385" s="6">
        <v>-3.1950721999999998</v>
      </c>
      <c r="H385" t="s">
        <v>1330</v>
      </c>
    </row>
    <row r="386" spans="1:10">
      <c r="A386" t="s">
        <v>1333</v>
      </c>
      <c r="B386" s="6"/>
      <c r="C386" s="6"/>
      <c r="D386" s="6">
        <v>2.3528414</v>
      </c>
      <c r="E386" s="6"/>
      <c r="F386" s="6"/>
      <c r="G386" s="6"/>
      <c r="H386" t="s">
        <v>1334</v>
      </c>
    </row>
    <row r="387" spans="1:10">
      <c r="A387" t="s">
        <v>554</v>
      </c>
      <c r="B387" s="6"/>
      <c r="C387" s="6"/>
      <c r="D387" s="6"/>
      <c r="E387" s="6"/>
      <c r="F387" s="6">
        <v>-2.7922482</v>
      </c>
      <c r="G387" s="6"/>
      <c r="H387" t="s">
        <v>146</v>
      </c>
      <c r="I387" t="s">
        <v>555</v>
      </c>
      <c r="J387" t="s">
        <v>556</v>
      </c>
    </row>
    <row r="388" spans="1:10">
      <c r="A388" t="s">
        <v>559</v>
      </c>
      <c r="B388" s="6"/>
      <c r="C388" s="6"/>
      <c r="D388" s="6"/>
      <c r="E388" s="6"/>
      <c r="F388" s="6"/>
      <c r="G388" s="6">
        <v>-2.1503363000000002</v>
      </c>
      <c r="H388" t="s">
        <v>146</v>
      </c>
      <c r="I388" t="s">
        <v>555</v>
      </c>
      <c r="J388" t="s">
        <v>560</v>
      </c>
    </row>
    <row r="389" spans="1:10">
      <c r="A389" t="s">
        <v>575</v>
      </c>
      <c r="B389" s="6"/>
      <c r="C389" s="6"/>
      <c r="D389" s="6"/>
      <c r="E389" s="6">
        <v>-2.5936149999999998</v>
      </c>
      <c r="F389" s="6">
        <v>-2.1378484000000002</v>
      </c>
      <c r="G389" s="6">
        <v>-3.3439945999999998</v>
      </c>
      <c r="H389" t="s">
        <v>146</v>
      </c>
      <c r="I389" t="s">
        <v>555</v>
      </c>
      <c r="J389" t="s">
        <v>556</v>
      </c>
    </row>
    <row r="390" spans="1:10">
      <c r="A390" t="s">
        <v>1335</v>
      </c>
      <c r="B390" s="6"/>
      <c r="C390" s="6"/>
      <c r="D390" s="6">
        <v>2.2043675999999999</v>
      </c>
      <c r="E390" s="6"/>
      <c r="F390" s="6"/>
      <c r="G390" s="6"/>
      <c r="H390" t="s">
        <v>1336</v>
      </c>
      <c r="I390" t="s">
        <v>1337</v>
      </c>
    </row>
    <row r="391" spans="1:10">
      <c r="A391" t="s">
        <v>1338</v>
      </c>
      <c r="B391" s="6"/>
      <c r="C391" s="6"/>
      <c r="D391" s="6"/>
      <c r="E391" s="6">
        <v>-3.1636142999999999</v>
      </c>
      <c r="F391" s="6">
        <v>-3.0810213000000002</v>
      </c>
      <c r="G391" s="6"/>
      <c r="H391" t="s">
        <v>1336</v>
      </c>
      <c r="I391" t="s">
        <v>1134</v>
      </c>
      <c r="J391" t="s">
        <v>1339</v>
      </c>
    </row>
    <row r="392" spans="1:10">
      <c r="A392" t="s">
        <v>1340</v>
      </c>
      <c r="B392" s="6"/>
      <c r="C392" s="6"/>
      <c r="D392" s="6"/>
      <c r="E392" s="6"/>
      <c r="F392" s="6"/>
      <c r="G392" s="6">
        <v>-3.2844709999999999</v>
      </c>
      <c r="H392" t="s">
        <v>1341</v>
      </c>
      <c r="I392" t="s">
        <v>1342</v>
      </c>
      <c r="J392" t="s">
        <v>1343</v>
      </c>
    </row>
    <row r="393" spans="1:10">
      <c r="A393" t="s">
        <v>1344</v>
      </c>
      <c r="B393" s="6"/>
      <c r="C393" s="6"/>
      <c r="D393" s="6"/>
      <c r="E393" s="6"/>
      <c r="F393" s="6">
        <v>-3.288036</v>
      </c>
      <c r="G393" s="6">
        <v>-4.6976212999999998</v>
      </c>
      <c r="H393" t="s">
        <v>1341</v>
      </c>
      <c r="I393" t="s">
        <v>1342</v>
      </c>
      <c r="J393" t="s">
        <v>1345</v>
      </c>
    </row>
    <row r="394" spans="1:10">
      <c r="A394" t="s">
        <v>1346</v>
      </c>
      <c r="B394" s="6"/>
      <c r="C394" s="6"/>
      <c r="D394" s="6"/>
      <c r="E394" s="6"/>
      <c r="F394" s="6"/>
      <c r="G394" s="6"/>
      <c r="H394" t="s">
        <v>1341</v>
      </c>
      <c r="I394" t="s">
        <v>1342</v>
      </c>
      <c r="J394" t="s">
        <v>1343</v>
      </c>
    </row>
    <row r="395" spans="1:10">
      <c r="A395" t="s">
        <v>1347</v>
      </c>
      <c r="B395" s="6"/>
      <c r="C395" s="6"/>
      <c r="D395" s="6"/>
      <c r="E395" s="6"/>
      <c r="F395" s="6"/>
      <c r="G395" s="6">
        <v>-2.1663103000000001</v>
      </c>
      <c r="H395" t="s">
        <v>778</v>
      </c>
      <c r="J395" t="s">
        <v>777</v>
      </c>
    </row>
    <row r="396" spans="1:10">
      <c r="A396" t="s">
        <v>1348</v>
      </c>
      <c r="B396" s="6"/>
      <c r="C396" s="6"/>
      <c r="D396" s="6">
        <v>2.0475178000000001</v>
      </c>
      <c r="E396" s="6"/>
      <c r="F396" s="6"/>
      <c r="G396" s="6"/>
      <c r="H396" t="s">
        <v>1349</v>
      </c>
    </row>
    <row r="397" spans="1:10">
      <c r="A397" t="s">
        <v>1350</v>
      </c>
      <c r="B397" s="6"/>
      <c r="C397" s="6"/>
      <c r="D397" s="6"/>
      <c r="E397" s="6"/>
      <c r="F397" s="6"/>
      <c r="G397" s="6"/>
      <c r="H397" t="s">
        <v>1351</v>
      </c>
      <c r="I397" t="s">
        <v>1352</v>
      </c>
      <c r="J397" t="s">
        <v>1353</v>
      </c>
    </row>
    <row r="398" spans="1:10">
      <c r="A398" t="s">
        <v>1354</v>
      </c>
      <c r="B398" s="6"/>
      <c r="C398" s="6"/>
      <c r="D398" s="6"/>
      <c r="E398" s="6"/>
      <c r="F398" s="6"/>
      <c r="G398" s="6">
        <v>-2.0100756</v>
      </c>
      <c r="H398" t="s">
        <v>1351</v>
      </c>
      <c r="I398" t="s">
        <v>1355</v>
      </c>
      <c r="J398" t="s">
        <v>1356</v>
      </c>
    </row>
    <row r="399" spans="1:10">
      <c r="A399" t="s">
        <v>1357</v>
      </c>
      <c r="B399" s="6"/>
      <c r="C399" s="6"/>
      <c r="D399" s="6"/>
      <c r="E399" s="6">
        <v>-2.9082623000000001</v>
      </c>
      <c r="F399" s="6">
        <v>-3.8720664999999999</v>
      </c>
      <c r="G399" s="6"/>
      <c r="H399" t="s">
        <v>1358</v>
      </c>
      <c r="I399" t="s">
        <v>815</v>
      </c>
      <c r="J399" t="s">
        <v>1359</v>
      </c>
    </row>
    <row r="400" spans="1:10">
      <c r="A400" t="s">
        <v>1360</v>
      </c>
      <c r="B400" s="6"/>
      <c r="C400" s="6"/>
      <c r="D400" s="6"/>
      <c r="E400" s="6"/>
      <c r="F400" s="6"/>
      <c r="G400" s="6">
        <v>-2.1751518000000001</v>
      </c>
      <c r="H400" t="s">
        <v>1358</v>
      </c>
      <c r="I400" t="s">
        <v>815</v>
      </c>
      <c r="J400" t="s">
        <v>1361</v>
      </c>
    </row>
    <row r="401" spans="1:10">
      <c r="A401" t="s">
        <v>1362</v>
      </c>
      <c r="B401" s="6"/>
      <c r="C401" s="6"/>
      <c r="D401" s="6"/>
      <c r="E401" s="6"/>
      <c r="F401" s="6">
        <v>-2.0742962</v>
      </c>
      <c r="G401" s="6">
        <v>-2.4508907999999998</v>
      </c>
      <c r="H401" t="s">
        <v>1358</v>
      </c>
      <c r="I401" t="s">
        <v>815</v>
      </c>
      <c r="J401" t="s">
        <v>1359</v>
      </c>
    </row>
    <row r="402" spans="1:10">
      <c r="A402" t="s">
        <v>1363</v>
      </c>
      <c r="B402" s="6"/>
      <c r="C402" s="6"/>
      <c r="D402" s="6"/>
      <c r="E402" s="6"/>
      <c r="F402" s="6"/>
      <c r="G402" s="6">
        <v>-2.6049829</v>
      </c>
      <c r="H402" t="s">
        <v>1358</v>
      </c>
      <c r="I402" t="s">
        <v>815</v>
      </c>
      <c r="J402" t="s">
        <v>1361</v>
      </c>
    </row>
    <row r="403" spans="1:10">
      <c r="A403" t="s">
        <v>1364</v>
      </c>
      <c r="B403" s="6"/>
      <c r="C403" s="6"/>
      <c r="D403" s="6"/>
      <c r="E403" s="6"/>
      <c r="F403" s="6"/>
      <c r="G403" s="6">
        <v>-3.8701498999999999</v>
      </c>
      <c r="H403" t="s">
        <v>1358</v>
      </c>
      <c r="I403" t="s">
        <v>815</v>
      </c>
      <c r="J403" t="s">
        <v>1361</v>
      </c>
    </row>
    <row r="404" spans="1:10">
      <c r="A404" t="s">
        <v>1365</v>
      </c>
      <c r="B404" s="6"/>
      <c r="C404" s="6"/>
      <c r="D404" s="6"/>
      <c r="E404" s="6"/>
      <c r="F404" s="6">
        <v>-2.2868876</v>
      </c>
      <c r="G404" s="6">
        <v>-2.7112259999999999</v>
      </c>
      <c r="H404" t="s">
        <v>1358</v>
      </c>
      <c r="I404" t="s">
        <v>815</v>
      </c>
      <c r="J404" t="s">
        <v>1366</v>
      </c>
    </row>
    <row r="405" spans="1:10">
      <c r="A405" t="s">
        <v>1367</v>
      </c>
      <c r="B405" s="6"/>
      <c r="C405" s="6"/>
      <c r="D405" s="6"/>
      <c r="E405" s="6"/>
      <c r="F405" s="6"/>
      <c r="G405" s="6">
        <v>-3.6635860999999998</v>
      </c>
      <c r="H405" t="s">
        <v>1358</v>
      </c>
      <c r="I405" t="s">
        <v>815</v>
      </c>
      <c r="J405" t="s">
        <v>1361</v>
      </c>
    </row>
    <row r="406" spans="1:10">
      <c r="A406" t="s">
        <v>1368</v>
      </c>
      <c r="B406" s="6"/>
      <c r="C406" s="6"/>
      <c r="D406" s="6"/>
      <c r="E406" s="6"/>
      <c r="F406" s="6"/>
      <c r="G406" s="6"/>
      <c r="H406" t="s">
        <v>1358</v>
      </c>
      <c r="I406" t="s">
        <v>815</v>
      </c>
      <c r="J406" t="s">
        <v>1369</v>
      </c>
    </row>
    <row r="407" spans="1:10">
      <c r="A407" t="s">
        <v>1370</v>
      </c>
      <c r="B407" s="6"/>
      <c r="C407" s="6"/>
      <c r="D407" s="6"/>
      <c r="E407" s="6"/>
      <c r="F407" s="6"/>
      <c r="G407" s="6">
        <v>-2.2721046999999999</v>
      </c>
      <c r="H407" t="s">
        <v>1358</v>
      </c>
      <c r="I407" t="s">
        <v>815</v>
      </c>
      <c r="J407" t="s">
        <v>1371</v>
      </c>
    </row>
    <row r="408" spans="1:10">
      <c r="A408" t="s">
        <v>1372</v>
      </c>
      <c r="B408" s="6"/>
      <c r="C408" s="6"/>
      <c r="D408" s="6"/>
      <c r="E408" s="6"/>
      <c r="F408" s="6">
        <v>-2.9266239999999999</v>
      </c>
      <c r="G408" s="6">
        <v>-3.9918119999999999</v>
      </c>
      <c r="H408" t="s">
        <v>1358</v>
      </c>
      <c r="I408" t="s">
        <v>815</v>
      </c>
      <c r="J408" t="s">
        <v>1373</v>
      </c>
    </row>
    <row r="409" spans="1:10">
      <c r="A409" t="s">
        <v>1374</v>
      </c>
      <c r="B409" s="6"/>
      <c r="C409" s="6"/>
      <c r="D409" s="6"/>
      <c r="E409" s="6"/>
      <c r="F409" s="6"/>
      <c r="G409" s="6">
        <v>-2.0081815999999999</v>
      </c>
      <c r="H409" t="s">
        <v>1358</v>
      </c>
      <c r="I409" t="s">
        <v>815</v>
      </c>
      <c r="J409" t="s">
        <v>1361</v>
      </c>
    </row>
    <row r="410" spans="1:10">
      <c r="A410" t="s">
        <v>1375</v>
      </c>
      <c r="B410" s="6"/>
      <c r="C410" s="6">
        <v>2.3687176999999999</v>
      </c>
      <c r="D410" s="6"/>
      <c r="E410" s="6"/>
      <c r="F410" s="6"/>
      <c r="G410" s="6"/>
      <c r="H410" t="s">
        <v>1358</v>
      </c>
      <c r="I410" t="s">
        <v>1358</v>
      </c>
      <c r="J410" t="s">
        <v>1376</v>
      </c>
    </row>
    <row r="411" spans="1:10">
      <c r="A411" t="s">
        <v>1377</v>
      </c>
      <c r="B411" s="6"/>
      <c r="C411" s="6">
        <v>2.0246200000000001</v>
      </c>
      <c r="D411" s="6"/>
      <c r="E411" s="6"/>
      <c r="F411" s="6"/>
      <c r="G411" s="6"/>
      <c r="H411" t="s">
        <v>1358</v>
      </c>
      <c r="I411" t="s">
        <v>815</v>
      </c>
      <c r="J411" t="s">
        <v>1361</v>
      </c>
    </row>
    <row r="412" spans="1:10">
      <c r="A412" t="s">
        <v>1378</v>
      </c>
      <c r="B412" s="6"/>
      <c r="C412" s="6"/>
      <c r="D412" s="6"/>
      <c r="E412" s="6"/>
      <c r="F412" s="6"/>
      <c r="G412" s="6">
        <v>-2.3712783000000002</v>
      </c>
      <c r="H412" t="s">
        <v>1379</v>
      </c>
    </row>
    <row r="413" spans="1:10">
      <c r="A413" t="s">
        <v>1380</v>
      </c>
      <c r="B413" s="6"/>
      <c r="C413" s="6"/>
      <c r="D413" s="6"/>
      <c r="E413" s="6"/>
      <c r="F413" s="6"/>
      <c r="G413" s="6"/>
      <c r="H413" t="s">
        <v>1381</v>
      </c>
      <c r="I413" t="s">
        <v>1382</v>
      </c>
      <c r="J413" t="s">
        <v>1383</v>
      </c>
    </row>
    <row r="414" spans="1:10">
      <c r="A414" t="s">
        <v>1384</v>
      </c>
      <c r="B414" s="6"/>
      <c r="C414" s="6"/>
      <c r="D414" s="6"/>
      <c r="E414" s="6"/>
      <c r="F414" s="6"/>
      <c r="G414" s="6">
        <v>-2.013245</v>
      </c>
      <c r="H414" t="s">
        <v>1385</v>
      </c>
    </row>
    <row r="415" spans="1:10">
      <c r="A415" t="s">
        <v>1386</v>
      </c>
      <c r="B415" s="6"/>
      <c r="C415" s="6">
        <v>2.1926793999999998</v>
      </c>
      <c r="D415" s="6"/>
      <c r="E415" s="6"/>
      <c r="F415" s="6"/>
      <c r="G415" s="6"/>
      <c r="H415" t="s">
        <v>1387</v>
      </c>
      <c r="I415" t="s">
        <v>687</v>
      </c>
      <c r="J415" t="s">
        <v>1388</v>
      </c>
    </row>
    <row r="416" spans="1:10">
      <c r="A416" t="s">
        <v>1389</v>
      </c>
      <c r="B416" s="6"/>
      <c r="C416" s="6"/>
      <c r="D416" s="6">
        <v>2.0806985</v>
      </c>
      <c r="E416" s="6"/>
      <c r="F416" s="6"/>
      <c r="G416" s="6"/>
      <c r="H416" t="s">
        <v>1387</v>
      </c>
      <c r="I416" t="s">
        <v>687</v>
      </c>
      <c r="J416" t="s">
        <v>1388</v>
      </c>
    </row>
    <row r="417" spans="1:11">
      <c r="A417" s="3" t="s">
        <v>1390</v>
      </c>
      <c r="B417" s="6"/>
      <c r="C417" s="6"/>
      <c r="D417" s="6"/>
      <c r="E417" s="6"/>
      <c r="F417" s="6"/>
      <c r="G417" s="6">
        <v>-2.050694</v>
      </c>
      <c r="H417" s="3" t="s">
        <v>1391</v>
      </c>
      <c r="I417" s="3" t="s">
        <v>627</v>
      </c>
      <c r="J417" s="3" t="s">
        <v>1392</v>
      </c>
    </row>
    <row r="418" spans="1:11">
      <c r="A418" s="3" t="s">
        <v>1393</v>
      </c>
      <c r="B418" s="6"/>
      <c r="C418" s="6"/>
      <c r="D418" s="6"/>
      <c r="E418" s="6">
        <v>-2.2868433000000001</v>
      </c>
      <c r="F418" s="6">
        <v>-2.7557019999999999</v>
      </c>
      <c r="G418" s="6"/>
      <c r="H418" s="3" t="s">
        <v>1391</v>
      </c>
      <c r="I418" s="3" t="s">
        <v>627</v>
      </c>
      <c r="J418" s="3" t="s">
        <v>1392</v>
      </c>
    </row>
    <row r="419" spans="1:11">
      <c r="A419" s="3" t="s">
        <v>1394</v>
      </c>
      <c r="B419" s="6"/>
      <c r="C419" s="6"/>
      <c r="D419" s="6"/>
      <c r="E419" s="6">
        <v>-2.3990064000000002</v>
      </c>
      <c r="F419" s="6">
        <v>-3.3213157999999998</v>
      </c>
      <c r="G419" s="6">
        <v>-3.2685366</v>
      </c>
      <c r="H419" s="3" t="s">
        <v>1391</v>
      </c>
      <c r="I419" s="3" t="s">
        <v>627</v>
      </c>
      <c r="J419" s="3" t="s">
        <v>1392</v>
      </c>
    </row>
    <row r="420" spans="1:11">
      <c r="A420" s="3" t="s">
        <v>1395</v>
      </c>
      <c r="B420" s="6"/>
      <c r="C420" s="6"/>
      <c r="D420" s="6">
        <v>2.2210516999999999</v>
      </c>
      <c r="E420" s="6"/>
      <c r="F420" s="6"/>
      <c r="G420" s="6"/>
      <c r="H420" s="3" t="s">
        <v>1391</v>
      </c>
      <c r="I420" s="3" t="s">
        <v>627</v>
      </c>
      <c r="J420" s="3" t="s">
        <v>1392</v>
      </c>
    </row>
    <row r="421" spans="1:11">
      <c r="A421" s="3" t="s">
        <v>1396</v>
      </c>
      <c r="B421" s="6"/>
      <c r="C421" s="6"/>
      <c r="D421" s="6"/>
      <c r="E421" s="6">
        <v>-3.6439176</v>
      </c>
      <c r="F421" s="6">
        <v>-4.4505486000000003</v>
      </c>
      <c r="G421" s="6">
        <v>-4.3238797</v>
      </c>
      <c r="H421" s="3" t="s">
        <v>1391</v>
      </c>
      <c r="I421" s="3" t="s">
        <v>627</v>
      </c>
      <c r="J421" s="3" t="s">
        <v>1392</v>
      </c>
    </row>
    <row r="422" spans="1:11">
      <c r="A422" s="3" t="s">
        <v>1397</v>
      </c>
      <c r="B422" s="6"/>
      <c r="C422" s="6"/>
      <c r="D422" s="6"/>
      <c r="E422" s="6">
        <v>-2.4890219999999998</v>
      </c>
      <c r="F422" s="6">
        <v>-3.9252937000000001</v>
      </c>
      <c r="G422" s="6">
        <v>-4.8174533999999998</v>
      </c>
      <c r="H422" s="3" t="s">
        <v>1391</v>
      </c>
      <c r="I422" s="3" t="s">
        <v>627</v>
      </c>
      <c r="J422" s="3" t="s">
        <v>1392</v>
      </c>
    </row>
    <row r="423" spans="1:11">
      <c r="A423" s="3" t="s">
        <v>1398</v>
      </c>
      <c r="B423" s="6"/>
      <c r="C423" s="6"/>
      <c r="D423" s="6"/>
      <c r="E423" s="6">
        <v>-3.9955196000000002</v>
      </c>
      <c r="F423" s="6">
        <v>-4.2567089999999999</v>
      </c>
      <c r="G423" s="6">
        <v>-3.9959383000000002</v>
      </c>
      <c r="H423" s="3" t="s">
        <v>1391</v>
      </c>
      <c r="I423" s="3" t="s">
        <v>627</v>
      </c>
      <c r="J423" s="3" t="s">
        <v>1392</v>
      </c>
    </row>
    <row r="424" spans="1:11">
      <c r="A424" s="3" t="s">
        <v>1399</v>
      </c>
      <c r="B424" s="6"/>
      <c r="C424" s="6"/>
      <c r="D424" s="6"/>
      <c r="E424" s="6"/>
      <c r="F424" s="6"/>
      <c r="G424" s="6"/>
      <c r="H424" s="3" t="s">
        <v>1391</v>
      </c>
      <c r="I424" s="3" t="s">
        <v>627</v>
      </c>
      <c r="J424" s="3" t="s">
        <v>1392</v>
      </c>
      <c r="K424" t="s">
        <v>693</v>
      </c>
    </row>
    <row r="425" spans="1:11">
      <c r="A425" s="3" t="s">
        <v>1400</v>
      </c>
      <c r="B425" s="6"/>
      <c r="C425" s="6"/>
      <c r="D425" s="6"/>
      <c r="E425" s="6"/>
      <c r="F425" s="6">
        <v>-3.2951157000000002</v>
      </c>
      <c r="G425" s="6">
        <v>-4.4070396000000001</v>
      </c>
      <c r="H425" s="3" t="s">
        <v>1391</v>
      </c>
      <c r="I425" s="3" t="s">
        <v>627</v>
      </c>
      <c r="J425" s="3" t="s">
        <v>1392</v>
      </c>
    </row>
    <row r="426" spans="1:11">
      <c r="A426" s="3" t="s">
        <v>1401</v>
      </c>
      <c r="B426" s="6"/>
      <c r="C426" s="6"/>
      <c r="D426" s="6"/>
      <c r="E426" s="6"/>
      <c r="F426" s="6">
        <v>-2.4953455999999998</v>
      </c>
      <c r="G426" s="6"/>
      <c r="H426" s="3" t="s">
        <v>1391</v>
      </c>
      <c r="I426" s="3" t="s">
        <v>627</v>
      </c>
      <c r="J426" s="3" t="s">
        <v>1392</v>
      </c>
    </row>
    <row r="427" spans="1:11">
      <c r="A427" s="3" t="s">
        <v>1402</v>
      </c>
      <c r="B427" s="6"/>
      <c r="C427" s="6"/>
      <c r="D427" s="6"/>
      <c r="E427" s="6"/>
      <c r="F427" s="6">
        <v>-2.0399215000000002</v>
      </c>
      <c r="G427" s="6"/>
      <c r="H427" s="3" t="s">
        <v>1391</v>
      </c>
      <c r="I427" s="3" t="s">
        <v>627</v>
      </c>
      <c r="J427" s="3" t="s">
        <v>1392</v>
      </c>
    </row>
    <row r="428" spans="1:11">
      <c r="A428" s="3" t="s">
        <v>1403</v>
      </c>
      <c r="B428" s="6"/>
      <c r="C428" s="6"/>
      <c r="D428" s="6"/>
      <c r="E428" s="6"/>
      <c r="F428" s="6"/>
      <c r="G428" s="6">
        <v>-2.1938447999999999</v>
      </c>
      <c r="H428" s="3" t="s">
        <v>1391</v>
      </c>
      <c r="I428" s="3" t="s">
        <v>1404</v>
      </c>
      <c r="J428" s="3" t="s">
        <v>1405</v>
      </c>
    </row>
    <row r="429" spans="1:11">
      <c r="A429" t="s">
        <v>1406</v>
      </c>
      <c r="B429" s="6"/>
      <c r="C429" s="6"/>
      <c r="D429" s="6"/>
      <c r="E429" s="6"/>
      <c r="F429" s="6"/>
      <c r="G429" s="6"/>
      <c r="H429" t="s">
        <v>1391</v>
      </c>
      <c r="I429" t="s">
        <v>642</v>
      </c>
      <c r="J429" t="s">
        <v>1407</v>
      </c>
    </row>
    <row r="430" spans="1:11">
      <c r="A430" t="s">
        <v>1408</v>
      </c>
      <c r="B430" s="6"/>
      <c r="C430" s="6"/>
      <c r="D430" s="6"/>
      <c r="E430" s="6"/>
      <c r="F430" s="6"/>
      <c r="G430" s="6">
        <v>-2.1996669999999998</v>
      </c>
      <c r="H430" t="s">
        <v>1409</v>
      </c>
      <c r="I430" t="s">
        <v>1410</v>
      </c>
      <c r="J430" t="s">
        <v>1411</v>
      </c>
    </row>
    <row r="431" spans="1:11">
      <c r="A431" t="s">
        <v>1412</v>
      </c>
      <c r="B431" s="6"/>
      <c r="C431" s="6"/>
      <c r="D431" s="6"/>
      <c r="E431" s="6"/>
      <c r="F431" s="6">
        <v>-2.3433446999999998</v>
      </c>
      <c r="G431" s="6"/>
      <c r="H431" t="s">
        <v>1413</v>
      </c>
      <c r="I431" t="s">
        <v>604</v>
      </c>
    </row>
    <row r="432" spans="1:11">
      <c r="A432" t="s">
        <v>1414</v>
      </c>
      <c r="B432" s="6"/>
      <c r="C432" s="6"/>
      <c r="D432" s="6"/>
      <c r="E432" s="6"/>
      <c r="F432" s="6"/>
      <c r="G432" s="6"/>
      <c r="H432" t="s">
        <v>1415</v>
      </c>
      <c r="I432" t="s">
        <v>1416</v>
      </c>
      <c r="J432" t="s">
        <v>1417</v>
      </c>
    </row>
    <row r="433" spans="1:11">
      <c r="A433" t="s">
        <v>1418</v>
      </c>
      <c r="B433" s="6"/>
      <c r="C433" s="6">
        <v>2.0054249999999998</v>
      </c>
      <c r="D433" s="6">
        <v>2.3193902999999998</v>
      </c>
      <c r="E433" s="6"/>
      <c r="F433" s="6"/>
      <c r="G433" s="6"/>
      <c r="H433" t="s">
        <v>1415</v>
      </c>
      <c r="I433" t="s">
        <v>604</v>
      </c>
      <c r="J433" t="s">
        <v>1419</v>
      </c>
    </row>
    <row r="434" spans="1:11">
      <c r="A434" t="s">
        <v>1420</v>
      </c>
      <c r="B434" s="6"/>
      <c r="C434" s="6">
        <v>2.0067553999999999</v>
      </c>
      <c r="D434" s="6">
        <v>2.4475513000000002</v>
      </c>
      <c r="E434" s="6"/>
      <c r="F434" s="6"/>
      <c r="G434" s="6"/>
      <c r="H434" t="s">
        <v>1415</v>
      </c>
      <c r="I434" t="s">
        <v>604</v>
      </c>
      <c r="J434" t="s">
        <v>1419</v>
      </c>
    </row>
    <row r="435" spans="1:11">
      <c r="A435" t="s">
        <v>1421</v>
      </c>
      <c r="B435" s="6"/>
      <c r="C435" s="6"/>
      <c r="D435" s="6"/>
      <c r="E435" s="6"/>
      <c r="F435" s="6"/>
      <c r="G435" s="6">
        <v>-2.7642798000000002</v>
      </c>
      <c r="H435" t="s">
        <v>1415</v>
      </c>
      <c r="I435" t="s">
        <v>604</v>
      </c>
      <c r="J435" t="s">
        <v>1419</v>
      </c>
    </row>
    <row r="436" spans="1:11">
      <c r="A436" t="s">
        <v>1422</v>
      </c>
      <c r="B436" s="6"/>
      <c r="C436" s="6"/>
      <c r="D436" s="6"/>
      <c r="E436" s="6"/>
      <c r="F436" s="6">
        <v>-2.1976599999999999</v>
      </c>
      <c r="G436" s="6"/>
      <c r="H436" t="s">
        <v>1415</v>
      </c>
      <c r="I436" t="s">
        <v>1423</v>
      </c>
      <c r="J436" t="s">
        <v>1424</v>
      </c>
    </row>
    <row r="437" spans="1:11">
      <c r="A437" t="s">
        <v>1425</v>
      </c>
      <c r="B437" s="6"/>
      <c r="C437" s="6"/>
      <c r="D437" s="6"/>
      <c r="E437" s="6"/>
      <c r="F437" s="6">
        <v>-2.0332880000000002</v>
      </c>
      <c r="G437" s="6"/>
      <c r="H437" t="s">
        <v>1415</v>
      </c>
      <c r="I437" t="s">
        <v>1423</v>
      </c>
      <c r="J437" t="s">
        <v>1424</v>
      </c>
    </row>
    <row r="438" spans="1:11">
      <c r="A438" t="s">
        <v>1426</v>
      </c>
      <c r="B438" s="6"/>
      <c r="C438" s="6"/>
      <c r="D438" s="6"/>
      <c r="E438" s="6">
        <v>-2.2249498000000001</v>
      </c>
      <c r="F438" s="6">
        <v>-3.2083529999999998</v>
      </c>
      <c r="G438" s="6">
        <v>-3.9759893000000002</v>
      </c>
      <c r="H438" t="s">
        <v>1415</v>
      </c>
      <c r="I438" t="s">
        <v>1423</v>
      </c>
      <c r="J438" t="s">
        <v>1424</v>
      </c>
    </row>
    <row r="439" spans="1:11">
      <c r="A439" t="s">
        <v>1427</v>
      </c>
      <c r="B439" s="6"/>
      <c r="C439" s="6"/>
      <c r="D439" s="6"/>
      <c r="E439" s="6">
        <v>-2.2034812000000001</v>
      </c>
      <c r="F439" s="6">
        <v>-3.1559978000000002</v>
      </c>
      <c r="G439" s="6">
        <v>-3.9249643999999999</v>
      </c>
      <c r="H439" t="s">
        <v>1415</v>
      </c>
      <c r="I439" t="s">
        <v>1423</v>
      </c>
      <c r="J439" t="s">
        <v>1424</v>
      </c>
    </row>
    <row r="440" spans="1:11">
      <c r="A440" t="s">
        <v>1428</v>
      </c>
      <c r="B440" s="6"/>
      <c r="C440" s="6">
        <v>2.1669068</v>
      </c>
      <c r="D440" s="6"/>
      <c r="E440" s="6"/>
      <c r="F440" s="6"/>
      <c r="G440" s="6"/>
      <c r="H440" t="s">
        <v>1415</v>
      </c>
      <c r="I440" t="s">
        <v>604</v>
      </c>
      <c r="J440" t="s">
        <v>1429</v>
      </c>
    </row>
    <row r="441" spans="1:11">
      <c r="A441" t="s">
        <v>1430</v>
      </c>
      <c r="B441" s="6"/>
      <c r="C441" s="6">
        <v>2.4340787000000002</v>
      </c>
      <c r="D441" s="6"/>
      <c r="E441" s="6"/>
      <c r="F441" s="6"/>
      <c r="G441" s="6"/>
      <c r="H441" t="s">
        <v>1415</v>
      </c>
      <c r="I441" t="s">
        <v>604</v>
      </c>
      <c r="J441" t="s">
        <v>1429</v>
      </c>
    </row>
    <row r="442" spans="1:11">
      <c r="A442" t="s">
        <v>1431</v>
      </c>
      <c r="B442" s="6"/>
      <c r="C442" s="6"/>
      <c r="D442" s="6">
        <v>2.3140429999999999</v>
      </c>
      <c r="E442" s="6"/>
      <c r="F442" s="6"/>
      <c r="G442" s="6"/>
      <c r="H442" t="s">
        <v>1415</v>
      </c>
      <c r="I442" t="s">
        <v>1432</v>
      </c>
      <c r="J442" t="s">
        <v>1424</v>
      </c>
      <c r="K442" t="s">
        <v>1433</v>
      </c>
    </row>
    <row r="443" spans="1:11">
      <c r="A443" t="s">
        <v>1434</v>
      </c>
      <c r="B443" s="6"/>
      <c r="C443" s="6"/>
      <c r="D443" s="6"/>
      <c r="E443" s="6"/>
      <c r="F443" s="6"/>
      <c r="G443" s="6">
        <v>-2.9495719999999999</v>
      </c>
      <c r="H443" t="s">
        <v>1415</v>
      </c>
      <c r="I443" t="s">
        <v>604</v>
      </c>
      <c r="J443" t="s">
        <v>1419</v>
      </c>
    </row>
    <row r="444" spans="1:11">
      <c r="A444" t="s">
        <v>1435</v>
      </c>
      <c r="B444" s="6"/>
      <c r="C444" s="6"/>
      <c r="D444" s="6">
        <v>2.2137389999999999</v>
      </c>
      <c r="E444" s="6"/>
      <c r="F444" s="6"/>
      <c r="G444" s="6"/>
      <c r="H444" t="s">
        <v>1436</v>
      </c>
      <c r="I444" t="s">
        <v>1437</v>
      </c>
    </row>
    <row r="445" spans="1:11">
      <c r="A445" t="s">
        <v>1438</v>
      </c>
      <c r="B445" s="6"/>
      <c r="C445" s="6"/>
      <c r="D445" s="6"/>
      <c r="E445" s="6"/>
      <c r="F445" s="6"/>
      <c r="G445" s="6">
        <v>-2.2699851999999998</v>
      </c>
      <c r="H445" t="s">
        <v>1439</v>
      </c>
      <c r="I445" t="s">
        <v>0</v>
      </c>
      <c r="J445" t="s">
        <v>1</v>
      </c>
    </row>
    <row r="446" spans="1:11">
      <c r="A446" t="s">
        <v>2</v>
      </c>
      <c r="B446" s="6"/>
      <c r="C446" s="6">
        <v>2.0227365000000002</v>
      </c>
      <c r="D446" s="6"/>
      <c r="E446" s="6"/>
      <c r="F446" s="6"/>
      <c r="G446" s="6"/>
      <c r="H446" t="s">
        <v>3</v>
      </c>
      <c r="I446" t="s">
        <v>4</v>
      </c>
    </row>
    <row r="447" spans="1:11">
      <c r="A447" t="s">
        <v>5</v>
      </c>
      <c r="B447" s="6"/>
      <c r="C447" s="6"/>
      <c r="D447" s="6"/>
      <c r="E447" s="6"/>
      <c r="F447" s="6"/>
      <c r="G447" s="6">
        <v>-2.5083098000000001</v>
      </c>
      <c r="H447" t="s">
        <v>6</v>
      </c>
    </row>
    <row r="448" spans="1:11">
      <c r="A448" t="s">
        <v>7</v>
      </c>
      <c r="B448" s="6"/>
      <c r="C448" s="6"/>
      <c r="D448" s="6"/>
      <c r="E448" s="6"/>
      <c r="F448" s="6"/>
      <c r="G448" s="6">
        <v>-2.1371907999999999</v>
      </c>
      <c r="H448" t="s">
        <v>6</v>
      </c>
    </row>
    <row r="449" spans="1:10">
      <c r="A449" t="s">
        <v>8</v>
      </c>
      <c r="B449" s="6"/>
      <c r="C449" s="6"/>
      <c r="D449" s="6"/>
      <c r="E449" s="6"/>
      <c r="F449" s="6"/>
      <c r="G449" s="6">
        <v>-2.0443478000000002</v>
      </c>
      <c r="H449" t="s">
        <v>9</v>
      </c>
      <c r="I449" t="s">
        <v>10</v>
      </c>
      <c r="J449" t="s">
        <v>11</v>
      </c>
    </row>
    <row r="450" spans="1:10">
      <c r="A450" t="s">
        <v>12</v>
      </c>
      <c r="B450" s="6"/>
      <c r="C450" s="6">
        <v>3.0654091999999999</v>
      </c>
      <c r="D450" s="6">
        <v>3.3637589999999999</v>
      </c>
      <c r="E450" s="6"/>
      <c r="F450" s="6"/>
      <c r="G450" s="6"/>
      <c r="H450" t="s">
        <v>13</v>
      </c>
    </row>
    <row r="451" spans="1:10">
      <c r="A451" t="s">
        <v>14</v>
      </c>
      <c r="B451" s="6"/>
      <c r="C451" s="6"/>
      <c r="D451" s="6"/>
      <c r="E451" s="6"/>
      <c r="F451" s="6"/>
      <c r="G451" s="6">
        <v>-2.0960174</v>
      </c>
      <c r="H451" t="s">
        <v>15</v>
      </c>
    </row>
    <row r="452" spans="1:10">
      <c r="A452" t="s">
        <v>518</v>
      </c>
      <c r="B452" s="6"/>
      <c r="C452" s="6"/>
      <c r="D452" s="6"/>
      <c r="E452" s="6"/>
      <c r="F452" s="6"/>
      <c r="G452" s="6">
        <v>-2.1915808000000001</v>
      </c>
      <c r="H452" t="s">
        <v>519</v>
      </c>
    </row>
    <row r="453" spans="1:10">
      <c r="A453" t="s">
        <v>520</v>
      </c>
      <c r="B453" s="6"/>
      <c r="C453" s="6"/>
      <c r="D453" s="6"/>
      <c r="E453" s="6"/>
      <c r="F453" s="6"/>
      <c r="G453" s="6">
        <v>-2.0012235999999999</v>
      </c>
      <c r="H453" t="s">
        <v>519</v>
      </c>
    </row>
    <row r="454" spans="1:10">
      <c r="A454" t="s">
        <v>521</v>
      </c>
      <c r="B454" s="6"/>
      <c r="C454" s="6">
        <v>2.6068381999999999</v>
      </c>
      <c r="D454" s="6">
        <v>2.6419009999999998</v>
      </c>
      <c r="E454" s="6"/>
      <c r="F454" s="6"/>
      <c r="G454" s="6"/>
      <c r="H454" t="s">
        <v>519</v>
      </c>
    </row>
    <row r="455" spans="1:10">
      <c r="A455" t="s">
        <v>522</v>
      </c>
      <c r="B455" s="6"/>
      <c r="C455" s="6"/>
      <c r="D455" s="6"/>
      <c r="E455" s="6"/>
      <c r="F455" s="6"/>
      <c r="G455" s="6">
        <v>-2.0703014999999998</v>
      </c>
      <c r="H455" t="s">
        <v>519</v>
      </c>
    </row>
    <row r="456" spans="1:10">
      <c r="A456" t="s">
        <v>523</v>
      </c>
      <c r="B456" s="6"/>
      <c r="C456" s="6"/>
      <c r="D456" s="6"/>
      <c r="E456" s="6"/>
      <c r="F456" s="6"/>
      <c r="G456" s="6">
        <v>-4.1603764999999999</v>
      </c>
      <c r="H456" t="s">
        <v>519</v>
      </c>
    </row>
    <row r="457" spans="1:10">
      <c r="A457" t="s">
        <v>524</v>
      </c>
      <c r="B457" s="6"/>
      <c r="C457" s="6"/>
      <c r="D457" s="6"/>
      <c r="E457" s="6"/>
      <c r="F457" s="6"/>
      <c r="G457" s="6">
        <v>-2.1479368000000001</v>
      </c>
      <c r="H457" t="s">
        <v>519</v>
      </c>
    </row>
    <row r="458" spans="1:10">
      <c r="A458" t="s">
        <v>525</v>
      </c>
      <c r="B458" s="6"/>
      <c r="C458" s="6"/>
      <c r="D458" s="6">
        <v>2.0114497999999998</v>
      </c>
      <c r="E458" s="6"/>
      <c r="F458" s="6"/>
      <c r="G458" s="6"/>
      <c r="H458" t="s">
        <v>519</v>
      </c>
    </row>
    <row r="459" spans="1:10">
      <c r="A459" t="s">
        <v>526</v>
      </c>
      <c r="B459" s="6"/>
      <c r="C459" s="6"/>
      <c r="D459" s="6">
        <v>2.3907056</v>
      </c>
      <c r="E459" s="6"/>
      <c r="F459" s="6"/>
      <c r="G459" s="6"/>
      <c r="H459" t="s">
        <v>527</v>
      </c>
    </row>
    <row r="460" spans="1:10">
      <c r="A460" t="s">
        <v>528</v>
      </c>
      <c r="B460" s="6"/>
      <c r="C460" s="6"/>
      <c r="D460" s="6"/>
      <c r="E460" s="6">
        <v>-2.5531693</v>
      </c>
      <c r="F460" s="6">
        <v>-2.8869066000000001</v>
      </c>
      <c r="G460" s="6">
        <v>-3.7412833999999999</v>
      </c>
      <c r="H460" t="s">
        <v>529</v>
      </c>
    </row>
    <row r="461" spans="1:10">
      <c r="B461" s="6"/>
      <c r="C461" s="6"/>
      <c r="D461" s="6"/>
      <c r="E461" s="6"/>
      <c r="F461" s="6"/>
      <c r="G461" s="6"/>
    </row>
    <row r="462" spans="1:10">
      <c r="B462" s="6"/>
      <c r="C462" s="6"/>
      <c r="D462" s="6"/>
      <c r="E462" s="6"/>
      <c r="F462" s="6"/>
      <c r="G462" s="6"/>
    </row>
    <row r="463" spans="1:10">
      <c r="A463" t="s">
        <v>16</v>
      </c>
      <c r="B463" s="6"/>
      <c r="C463" s="6"/>
      <c r="D463" s="6"/>
      <c r="E463" s="6"/>
      <c r="F463" s="6"/>
      <c r="G463" s="6">
        <v>-2.3062695999999998</v>
      </c>
      <c r="H463" t="s">
        <v>17</v>
      </c>
      <c r="I463" t="s">
        <v>17</v>
      </c>
    </row>
    <row r="464" spans="1:10">
      <c r="A464" t="s">
        <v>18</v>
      </c>
      <c r="B464" s="6"/>
      <c r="C464" s="6"/>
      <c r="D464" s="6"/>
      <c r="E464" s="6"/>
      <c r="F464" s="6"/>
      <c r="G464" s="6">
        <v>-2.3943927</v>
      </c>
      <c r="H464" t="s">
        <v>17</v>
      </c>
      <c r="I464" t="s">
        <v>17</v>
      </c>
    </row>
    <row r="465" spans="1:9">
      <c r="A465" t="s">
        <v>19</v>
      </c>
      <c r="B465" s="6"/>
      <c r="C465" s="6"/>
      <c r="D465" s="6"/>
      <c r="E465" s="6"/>
      <c r="F465" s="6"/>
      <c r="G465" s="6">
        <v>-2.8689909999999998</v>
      </c>
      <c r="H465" t="s">
        <v>17</v>
      </c>
      <c r="I465" t="s">
        <v>17</v>
      </c>
    </row>
    <row r="466" spans="1:9">
      <c r="A466" t="s">
        <v>20</v>
      </c>
      <c r="B466" s="6"/>
      <c r="C466" s="6"/>
      <c r="D466" s="6"/>
      <c r="E466" s="6"/>
      <c r="F466" s="6"/>
      <c r="G466" s="6">
        <v>-2.8950973000000002</v>
      </c>
      <c r="H466" t="s">
        <v>17</v>
      </c>
      <c r="I466" t="s">
        <v>17</v>
      </c>
    </row>
    <row r="467" spans="1:9">
      <c r="A467" t="s">
        <v>21</v>
      </c>
      <c r="B467" s="6"/>
      <c r="C467" s="6"/>
      <c r="D467" s="6">
        <v>2.6672340000000001</v>
      </c>
      <c r="E467" s="6"/>
      <c r="F467" s="6"/>
      <c r="G467" s="6"/>
      <c r="H467" t="s">
        <v>17</v>
      </c>
      <c r="I467" t="s">
        <v>17</v>
      </c>
    </row>
    <row r="468" spans="1:9">
      <c r="A468" t="s">
        <v>22</v>
      </c>
      <c r="B468" s="6"/>
      <c r="C468" s="6"/>
      <c r="D468" s="6">
        <v>2.0123023999999998</v>
      </c>
      <c r="E468" s="6"/>
      <c r="F468" s="6"/>
      <c r="G468" s="6"/>
      <c r="H468" t="s">
        <v>17</v>
      </c>
      <c r="I468" t="s">
        <v>17</v>
      </c>
    </row>
    <row r="469" spans="1:9">
      <c r="A469" t="s">
        <v>23</v>
      </c>
      <c r="B469" s="6"/>
      <c r="C469" s="6"/>
      <c r="D469" s="6"/>
      <c r="E469" s="6"/>
      <c r="F469" s="6"/>
      <c r="G469" s="6"/>
      <c r="H469" t="s">
        <v>17</v>
      </c>
      <c r="I469" t="s">
        <v>17</v>
      </c>
    </row>
    <row r="470" spans="1:9">
      <c r="A470" t="s">
        <v>24</v>
      </c>
      <c r="B470" s="6"/>
      <c r="C470" s="6"/>
      <c r="D470" s="6"/>
      <c r="E470" s="6"/>
      <c r="F470" s="6">
        <v>-2.1178170000000001</v>
      </c>
      <c r="G470" s="6">
        <v>-3.5963039999999999</v>
      </c>
      <c r="H470" t="s">
        <v>17</v>
      </c>
      <c r="I470" t="s">
        <v>17</v>
      </c>
    </row>
    <row r="471" spans="1:9">
      <c r="A471" t="s">
        <v>25</v>
      </c>
      <c r="B471" s="6"/>
      <c r="C471" s="6">
        <v>2.115415</v>
      </c>
      <c r="D471" s="6">
        <v>2.0541</v>
      </c>
      <c r="E471" s="6"/>
      <c r="F471" s="6"/>
      <c r="G471" s="6"/>
      <c r="H471" t="s">
        <v>17</v>
      </c>
      <c r="I471" t="s">
        <v>17</v>
      </c>
    </row>
    <row r="472" spans="1:9">
      <c r="A472" t="s">
        <v>26</v>
      </c>
      <c r="B472" s="6"/>
      <c r="C472" s="6"/>
      <c r="D472" s="6"/>
      <c r="E472" s="6">
        <v>-3.4659320999999998</v>
      </c>
      <c r="F472" s="6">
        <v>-3.6249783</v>
      </c>
      <c r="G472" s="6"/>
      <c r="H472" t="s">
        <v>17</v>
      </c>
      <c r="I472" t="s">
        <v>17</v>
      </c>
    </row>
    <row r="473" spans="1:9">
      <c r="A473" t="s">
        <v>27</v>
      </c>
      <c r="B473" s="6"/>
      <c r="C473" s="6"/>
      <c r="D473" s="6"/>
      <c r="E473" s="6"/>
      <c r="F473" s="6">
        <v>-2.1837882999999998</v>
      </c>
      <c r="G473" s="6">
        <v>-3.6452217</v>
      </c>
      <c r="H473" t="s">
        <v>17</v>
      </c>
      <c r="I473" t="s">
        <v>17</v>
      </c>
    </row>
    <row r="474" spans="1:9">
      <c r="A474" t="s">
        <v>531</v>
      </c>
      <c r="B474" s="6"/>
      <c r="C474" s="6"/>
      <c r="D474" s="6"/>
      <c r="E474" s="6">
        <v>-2.3566180000000001</v>
      </c>
      <c r="F474" s="6">
        <v>-2.2509375</v>
      </c>
      <c r="G474" s="6">
        <v>-3.6819905999999998</v>
      </c>
      <c r="H474" t="s">
        <v>17</v>
      </c>
      <c r="I474" t="s">
        <v>17</v>
      </c>
    </row>
    <row r="475" spans="1:9">
      <c r="A475" t="s">
        <v>28</v>
      </c>
      <c r="B475" s="6"/>
      <c r="C475" s="6"/>
      <c r="D475" s="6"/>
      <c r="E475" s="6"/>
      <c r="F475" s="6"/>
      <c r="G475" s="6"/>
      <c r="H475" t="s">
        <v>17</v>
      </c>
      <c r="I475" t="s">
        <v>17</v>
      </c>
    </row>
    <row r="476" spans="1:9">
      <c r="A476" t="s">
        <v>29</v>
      </c>
      <c r="B476" s="6"/>
      <c r="C476" s="6"/>
      <c r="D476" s="6">
        <v>2.3002658</v>
      </c>
      <c r="E476" s="6"/>
      <c r="F476" s="6"/>
      <c r="G476" s="6"/>
      <c r="H476" t="s">
        <v>17</v>
      </c>
      <c r="I476" t="s">
        <v>17</v>
      </c>
    </row>
    <row r="477" spans="1:9">
      <c r="A477" t="s">
        <v>30</v>
      </c>
      <c r="B477" s="6"/>
      <c r="C477" s="6"/>
      <c r="D477" s="6"/>
      <c r="E477" s="6"/>
      <c r="F477" s="6"/>
      <c r="G477" s="6">
        <v>-3.1939753999999998</v>
      </c>
      <c r="H477" t="s">
        <v>17</v>
      </c>
      <c r="I477" t="s">
        <v>17</v>
      </c>
    </row>
    <row r="478" spans="1:9">
      <c r="A478" t="s">
        <v>31</v>
      </c>
      <c r="B478" s="6"/>
      <c r="C478" s="6"/>
      <c r="D478" s="6"/>
      <c r="E478" s="6"/>
      <c r="F478" s="6"/>
      <c r="G478" s="6">
        <v>-2.9891361999999999</v>
      </c>
      <c r="H478" t="s">
        <v>17</v>
      </c>
      <c r="I478" t="s">
        <v>17</v>
      </c>
    </row>
    <row r="479" spans="1:9">
      <c r="A479" t="s">
        <v>32</v>
      </c>
      <c r="B479" s="6"/>
      <c r="C479" s="6"/>
      <c r="D479" s="6"/>
      <c r="E479" s="6"/>
      <c r="F479" s="6">
        <v>-2.1785648000000002</v>
      </c>
      <c r="G479" s="6">
        <v>-3.0329272999999999</v>
      </c>
      <c r="H479" t="s">
        <v>17</v>
      </c>
      <c r="I479" t="s">
        <v>17</v>
      </c>
    </row>
    <row r="480" spans="1:9">
      <c r="A480" t="s">
        <v>33</v>
      </c>
      <c r="B480" s="6"/>
      <c r="C480" s="6"/>
      <c r="D480" s="6"/>
      <c r="E480" s="6">
        <v>-3.5050013</v>
      </c>
      <c r="F480" s="6">
        <v>-4.9559040000000003</v>
      </c>
      <c r="G480" s="6">
        <v>-5.2011500000000002</v>
      </c>
      <c r="H480" t="s">
        <v>17</v>
      </c>
      <c r="I480" t="s">
        <v>17</v>
      </c>
    </row>
    <row r="481" spans="1:9">
      <c r="A481" t="s">
        <v>34</v>
      </c>
      <c r="B481" s="6"/>
      <c r="C481" s="6"/>
      <c r="D481" s="6">
        <v>2.0803737999999998</v>
      </c>
      <c r="E481" s="6"/>
      <c r="F481" s="6"/>
      <c r="G481" s="6"/>
      <c r="H481" t="s">
        <v>17</v>
      </c>
      <c r="I481" t="s">
        <v>17</v>
      </c>
    </row>
    <row r="482" spans="1:9">
      <c r="A482" t="s">
        <v>35</v>
      </c>
      <c r="B482" s="6"/>
      <c r="C482" s="6">
        <v>2.211265</v>
      </c>
      <c r="D482" s="6"/>
      <c r="E482" s="6"/>
      <c r="F482" s="6"/>
      <c r="G482" s="6"/>
      <c r="H482" t="s">
        <v>17</v>
      </c>
      <c r="I482" t="s">
        <v>17</v>
      </c>
    </row>
    <row r="483" spans="1:9">
      <c r="A483" t="s">
        <v>36</v>
      </c>
      <c r="B483" s="6"/>
      <c r="C483" s="6">
        <v>2.1371346</v>
      </c>
      <c r="D483" s="6"/>
      <c r="E483" s="6"/>
      <c r="F483" s="6"/>
      <c r="G483" s="6"/>
      <c r="H483" t="s">
        <v>17</v>
      </c>
      <c r="I483" t="s">
        <v>17</v>
      </c>
    </row>
    <row r="484" spans="1:9">
      <c r="A484" t="s">
        <v>37</v>
      </c>
      <c r="B484" s="6"/>
      <c r="C484" s="6"/>
      <c r="D484" s="6"/>
      <c r="E484" s="6"/>
      <c r="F484" s="6"/>
      <c r="G484" s="6"/>
      <c r="H484" t="s">
        <v>17</v>
      </c>
      <c r="I484" t="s">
        <v>17</v>
      </c>
    </row>
    <row r="485" spans="1:9">
      <c r="A485" t="s">
        <v>535</v>
      </c>
      <c r="B485" s="6">
        <v>2.6876167999999998</v>
      </c>
      <c r="C485" s="6">
        <v>3.6530231999999998</v>
      </c>
      <c r="D485" s="6">
        <v>3.0243316</v>
      </c>
      <c r="E485" s="6"/>
      <c r="F485" s="6"/>
      <c r="G485" s="6"/>
      <c r="H485" t="s">
        <v>17</v>
      </c>
      <c r="I485" t="s">
        <v>17</v>
      </c>
    </row>
    <row r="486" spans="1:9">
      <c r="A486" t="s">
        <v>38</v>
      </c>
      <c r="B486" s="6"/>
      <c r="C486" s="6"/>
      <c r="D486" s="6"/>
      <c r="E486" s="6"/>
      <c r="F486" s="6"/>
      <c r="G486" s="6"/>
      <c r="H486" t="s">
        <v>17</v>
      </c>
      <c r="I486" t="s">
        <v>17</v>
      </c>
    </row>
    <row r="487" spans="1:9">
      <c r="A487" t="s">
        <v>536</v>
      </c>
      <c r="B487" s="6">
        <v>2.1405829999999999</v>
      </c>
      <c r="C487" s="6">
        <v>2.2159767000000001</v>
      </c>
      <c r="D487" s="6">
        <v>3.3715600000000001</v>
      </c>
      <c r="E487" s="6"/>
      <c r="F487" s="6"/>
      <c r="G487" s="6"/>
      <c r="H487" t="s">
        <v>17</v>
      </c>
      <c r="I487" t="s">
        <v>17</v>
      </c>
    </row>
    <row r="488" spans="1:9">
      <c r="A488" t="s">
        <v>39</v>
      </c>
      <c r="B488" s="6"/>
      <c r="C488" s="6"/>
      <c r="D488" s="6"/>
      <c r="E488" s="6"/>
      <c r="F488" s="6"/>
      <c r="G488" s="6">
        <v>-2.2753296000000001</v>
      </c>
      <c r="H488" t="s">
        <v>17</v>
      </c>
      <c r="I488" t="s">
        <v>17</v>
      </c>
    </row>
    <row r="489" spans="1:9">
      <c r="A489" t="s">
        <v>40</v>
      </c>
      <c r="B489" s="6"/>
      <c r="C489" s="6"/>
      <c r="D489" s="6"/>
      <c r="E489" s="6"/>
      <c r="F489" s="6"/>
      <c r="G489" s="6">
        <v>-2.2449713</v>
      </c>
      <c r="H489" t="s">
        <v>17</v>
      </c>
      <c r="I489" t="s">
        <v>17</v>
      </c>
    </row>
    <row r="490" spans="1:9">
      <c r="A490" t="s">
        <v>41</v>
      </c>
      <c r="B490" s="6"/>
      <c r="C490" s="6"/>
      <c r="D490" s="6"/>
      <c r="E490" s="6"/>
      <c r="F490" s="6">
        <v>-2.3029145999999998</v>
      </c>
      <c r="G490" s="6"/>
      <c r="H490" t="s">
        <v>17</v>
      </c>
      <c r="I490" t="s">
        <v>17</v>
      </c>
    </row>
    <row r="491" spans="1:9">
      <c r="A491" t="s">
        <v>42</v>
      </c>
      <c r="B491" s="6"/>
      <c r="C491" s="6"/>
      <c r="D491" s="6"/>
      <c r="E491" s="6"/>
      <c r="F491" s="6"/>
      <c r="G491" s="6">
        <v>-2.9383707000000001</v>
      </c>
      <c r="H491" t="s">
        <v>17</v>
      </c>
      <c r="I491" t="s">
        <v>17</v>
      </c>
    </row>
    <row r="492" spans="1:9">
      <c r="A492" t="s">
        <v>43</v>
      </c>
      <c r="B492" s="6"/>
      <c r="C492" s="6"/>
      <c r="D492" s="6"/>
      <c r="E492" s="6"/>
      <c r="F492" s="6"/>
      <c r="G492" s="6">
        <v>-2.3392919999999999</v>
      </c>
      <c r="H492" t="s">
        <v>17</v>
      </c>
      <c r="I492" t="s">
        <v>17</v>
      </c>
    </row>
    <row r="493" spans="1:9">
      <c r="A493" t="s">
        <v>44</v>
      </c>
      <c r="B493" s="6"/>
      <c r="C493" s="6"/>
      <c r="D493" s="6">
        <v>2.2828965000000001</v>
      </c>
      <c r="E493" s="6"/>
      <c r="F493" s="6"/>
      <c r="G493" s="6"/>
      <c r="H493" t="s">
        <v>17</v>
      </c>
      <c r="I493" t="s">
        <v>17</v>
      </c>
    </row>
    <row r="494" spans="1:9">
      <c r="A494" t="s">
        <v>45</v>
      </c>
      <c r="B494" s="6"/>
      <c r="C494" s="6"/>
      <c r="D494" s="6"/>
      <c r="E494" s="6"/>
      <c r="F494" s="6"/>
      <c r="G494" s="6">
        <v>-2.0597699999999999</v>
      </c>
      <c r="H494" t="s">
        <v>17</v>
      </c>
      <c r="I494" t="s">
        <v>17</v>
      </c>
    </row>
    <row r="495" spans="1:9">
      <c r="A495" t="s">
        <v>46</v>
      </c>
      <c r="B495" s="6"/>
      <c r="C495" s="6"/>
      <c r="D495" s="6"/>
      <c r="E495" s="6"/>
      <c r="F495" s="6"/>
      <c r="G495" s="6">
        <v>-2.5295290000000001</v>
      </c>
      <c r="H495" t="s">
        <v>17</v>
      </c>
      <c r="I495" t="s">
        <v>17</v>
      </c>
    </row>
    <row r="496" spans="1:9">
      <c r="A496" t="s">
        <v>47</v>
      </c>
      <c r="B496" s="6"/>
      <c r="C496" s="6"/>
      <c r="D496" s="6"/>
      <c r="E496" s="6"/>
      <c r="F496" s="6"/>
      <c r="G496" s="6">
        <v>-2.8462138000000001</v>
      </c>
      <c r="H496" t="s">
        <v>17</v>
      </c>
      <c r="I496" t="s">
        <v>17</v>
      </c>
    </row>
    <row r="497" spans="1:9">
      <c r="A497" t="s">
        <v>48</v>
      </c>
      <c r="B497" s="6"/>
      <c r="C497" s="6"/>
      <c r="D497" s="6"/>
      <c r="E497" s="6"/>
      <c r="F497" s="6"/>
      <c r="G497" s="6"/>
      <c r="H497" t="s">
        <v>17</v>
      </c>
      <c r="I497" t="s">
        <v>17</v>
      </c>
    </row>
    <row r="498" spans="1:9">
      <c r="A498" t="s">
        <v>49</v>
      </c>
      <c r="B498" s="6"/>
      <c r="C498" s="6"/>
      <c r="D498" s="6"/>
      <c r="E498" s="6"/>
      <c r="F498" s="6"/>
      <c r="G498" s="6">
        <v>-2.1538954000000001</v>
      </c>
      <c r="H498" t="s">
        <v>17</v>
      </c>
      <c r="I498" t="s">
        <v>17</v>
      </c>
    </row>
    <row r="499" spans="1:9">
      <c r="A499" t="s">
        <v>50</v>
      </c>
      <c r="B499" s="6"/>
      <c r="C499" s="6"/>
      <c r="D499" s="6"/>
      <c r="E499" s="6"/>
      <c r="F499" s="6"/>
      <c r="G499" s="6">
        <v>-2.1695126999999998</v>
      </c>
      <c r="H499" t="s">
        <v>17</v>
      </c>
      <c r="I499" t="s">
        <v>17</v>
      </c>
    </row>
    <row r="500" spans="1:9">
      <c r="A500" t="s">
        <v>51</v>
      </c>
      <c r="B500" s="6"/>
      <c r="C500" s="6"/>
      <c r="D500" s="6"/>
      <c r="E500" s="6">
        <v>-3.0513224999999999</v>
      </c>
      <c r="F500" s="6">
        <v>-2.7482772</v>
      </c>
      <c r="G500" s="6">
        <v>-4.7684879999999996</v>
      </c>
      <c r="H500" t="s">
        <v>17</v>
      </c>
      <c r="I500" t="s">
        <v>17</v>
      </c>
    </row>
    <row r="501" spans="1:9">
      <c r="A501" t="s">
        <v>52</v>
      </c>
      <c r="B501" s="6"/>
      <c r="C501" s="6"/>
      <c r="D501" s="6"/>
      <c r="E501" s="6"/>
      <c r="F501" s="6"/>
      <c r="G501" s="6"/>
      <c r="H501" t="s">
        <v>17</v>
      </c>
      <c r="I501" t="s">
        <v>17</v>
      </c>
    </row>
    <row r="502" spans="1:9">
      <c r="A502" t="s">
        <v>53</v>
      </c>
      <c r="B502" s="6">
        <v>2.2191386</v>
      </c>
      <c r="C502" s="6">
        <v>3.2074322999999998</v>
      </c>
      <c r="D502" s="6"/>
      <c r="E502" s="6"/>
      <c r="F502" s="6"/>
      <c r="G502" s="6"/>
      <c r="H502" t="s">
        <v>17</v>
      </c>
      <c r="I502" t="s">
        <v>17</v>
      </c>
    </row>
    <row r="503" spans="1:9">
      <c r="A503" t="s">
        <v>54</v>
      </c>
      <c r="B503" s="6"/>
      <c r="C503" s="6">
        <v>2.4288158000000002</v>
      </c>
      <c r="D503" s="6"/>
      <c r="E503" s="6"/>
      <c r="F503" s="6"/>
      <c r="G503" s="6"/>
      <c r="H503" t="s">
        <v>17</v>
      </c>
      <c r="I503" t="s">
        <v>17</v>
      </c>
    </row>
    <row r="504" spans="1:9">
      <c r="A504" t="s">
        <v>55</v>
      </c>
      <c r="B504" s="6"/>
      <c r="C504" s="6"/>
      <c r="D504" s="6"/>
      <c r="E504" s="6"/>
      <c r="F504" s="6"/>
      <c r="G504" s="6"/>
      <c r="H504" t="s">
        <v>17</v>
      </c>
      <c r="I504" t="s">
        <v>17</v>
      </c>
    </row>
    <row r="505" spans="1:9">
      <c r="A505" t="s">
        <v>56</v>
      </c>
      <c r="B505" s="6"/>
      <c r="C505" s="6"/>
      <c r="D505" s="6"/>
      <c r="E505" s="6"/>
      <c r="F505" s="6"/>
      <c r="G505" s="6">
        <v>-2.0099216000000002</v>
      </c>
      <c r="H505" t="s">
        <v>17</v>
      </c>
      <c r="I505" t="s">
        <v>17</v>
      </c>
    </row>
    <row r="506" spans="1:9">
      <c r="A506" t="s">
        <v>57</v>
      </c>
      <c r="B506" s="6"/>
      <c r="C506" s="6"/>
      <c r="D506" s="6">
        <v>2.8257246</v>
      </c>
      <c r="E506" s="6"/>
      <c r="F506" s="6"/>
      <c r="G506" s="6"/>
      <c r="H506" t="s">
        <v>17</v>
      </c>
      <c r="I506" t="s">
        <v>17</v>
      </c>
    </row>
    <row r="507" spans="1:9">
      <c r="A507" t="s">
        <v>58</v>
      </c>
      <c r="B507" s="6"/>
      <c r="C507" s="6"/>
      <c r="D507" s="6"/>
      <c r="E507" s="6">
        <v>-4.4889510000000001</v>
      </c>
      <c r="F507" s="6">
        <v>-4.2390274999999997</v>
      </c>
      <c r="G507" s="6">
        <v>-3.6890263999999999</v>
      </c>
      <c r="H507" t="s">
        <v>17</v>
      </c>
      <c r="I507" t="s">
        <v>17</v>
      </c>
    </row>
    <row r="508" spans="1:9">
      <c r="A508" t="s">
        <v>59</v>
      </c>
      <c r="B508" s="6"/>
      <c r="C508" s="6"/>
      <c r="D508" s="6"/>
      <c r="E508" s="6"/>
      <c r="F508" s="6"/>
      <c r="G508" s="6"/>
      <c r="H508" t="s">
        <v>17</v>
      </c>
      <c r="I508" t="s">
        <v>17</v>
      </c>
    </row>
    <row r="509" spans="1:9">
      <c r="A509" t="s">
        <v>60</v>
      </c>
      <c r="B509" s="6"/>
      <c r="C509" s="6"/>
      <c r="D509" s="6"/>
      <c r="E509" s="6"/>
      <c r="F509" s="6"/>
      <c r="G509" s="6">
        <v>-2.0214496</v>
      </c>
      <c r="H509" t="s">
        <v>17</v>
      </c>
      <c r="I509" t="s">
        <v>17</v>
      </c>
    </row>
    <row r="510" spans="1:9">
      <c r="A510" t="s">
        <v>61</v>
      </c>
      <c r="B510" s="6"/>
      <c r="C510" s="6"/>
      <c r="D510" s="6"/>
      <c r="E510" s="6"/>
      <c r="F510" s="6"/>
      <c r="G510" s="6">
        <v>-3.0204477000000001</v>
      </c>
      <c r="H510" t="s">
        <v>17</v>
      </c>
      <c r="I510" t="s">
        <v>17</v>
      </c>
    </row>
    <row r="511" spans="1:9">
      <c r="A511" t="s">
        <v>62</v>
      </c>
      <c r="B511" s="6"/>
      <c r="C511" s="6"/>
      <c r="D511" s="6"/>
      <c r="E511" s="6"/>
      <c r="F511" s="6">
        <v>-2.2421079000000002</v>
      </c>
      <c r="G511" s="6">
        <v>-3.7958322</v>
      </c>
      <c r="H511" t="s">
        <v>17</v>
      </c>
      <c r="I511" t="s">
        <v>17</v>
      </c>
    </row>
    <row r="512" spans="1:9">
      <c r="A512" t="s">
        <v>63</v>
      </c>
      <c r="B512" s="6"/>
      <c r="C512" s="6"/>
      <c r="D512" s="6"/>
      <c r="E512" s="6">
        <v>-2.0078273000000002</v>
      </c>
      <c r="F512" s="6">
        <v>-2.3507294999999999</v>
      </c>
      <c r="G512" s="6">
        <v>-2.9476390000000001</v>
      </c>
      <c r="H512" t="s">
        <v>17</v>
      </c>
      <c r="I512" t="s">
        <v>17</v>
      </c>
    </row>
    <row r="513" spans="1:9">
      <c r="A513" t="s">
        <v>64</v>
      </c>
      <c r="B513" s="6"/>
      <c r="C513" s="6"/>
      <c r="D513" s="6"/>
      <c r="E513" s="6"/>
      <c r="F513" s="6"/>
      <c r="G513" s="6">
        <v>-2.7847160999999998</v>
      </c>
      <c r="H513" t="s">
        <v>17</v>
      </c>
      <c r="I513" t="s">
        <v>17</v>
      </c>
    </row>
    <row r="514" spans="1:9">
      <c r="A514" t="s">
        <v>65</v>
      </c>
      <c r="B514" s="6"/>
      <c r="C514" s="6"/>
      <c r="D514" s="6"/>
      <c r="E514" s="6"/>
      <c r="F514" s="6"/>
      <c r="G514" s="6">
        <v>-2.3550520000000001</v>
      </c>
      <c r="H514" t="s">
        <v>17</v>
      </c>
      <c r="I514" t="s">
        <v>17</v>
      </c>
    </row>
    <row r="515" spans="1:9">
      <c r="A515" t="s">
        <v>66</v>
      </c>
      <c r="B515" s="6"/>
      <c r="C515" s="6"/>
      <c r="D515" s="6">
        <v>2.6045356000000002</v>
      </c>
      <c r="E515" s="6"/>
      <c r="F515" s="6"/>
      <c r="G515" s="6"/>
      <c r="H515" t="s">
        <v>17</v>
      </c>
      <c r="I515" t="s">
        <v>17</v>
      </c>
    </row>
    <row r="516" spans="1:9">
      <c r="A516" t="s">
        <v>67</v>
      </c>
      <c r="B516" s="6"/>
      <c r="C516" s="6"/>
      <c r="D516" s="6"/>
      <c r="E516" s="6"/>
      <c r="F516" s="6"/>
      <c r="G516" s="6">
        <v>-2.4553479999999999</v>
      </c>
      <c r="H516" t="s">
        <v>17</v>
      </c>
      <c r="I516" t="s">
        <v>17</v>
      </c>
    </row>
    <row r="517" spans="1:9">
      <c r="A517" t="s">
        <v>68</v>
      </c>
      <c r="B517" s="6"/>
      <c r="C517" s="6"/>
      <c r="D517" s="6"/>
      <c r="E517" s="6"/>
      <c r="F517" s="6"/>
      <c r="G517" s="6">
        <v>-2.4408949999999998</v>
      </c>
      <c r="H517" t="s">
        <v>17</v>
      </c>
      <c r="I517" t="s">
        <v>17</v>
      </c>
    </row>
    <row r="518" spans="1:9">
      <c r="A518" t="s">
        <v>69</v>
      </c>
      <c r="B518" s="6"/>
      <c r="C518" s="6"/>
      <c r="D518" s="6">
        <v>3.177238</v>
      </c>
      <c r="E518" s="6"/>
      <c r="F518" s="6"/>
      <c r="G518" s="6"/>
      <c r="H518" t="s">
        <v>17</v>
      </c>
      <c r="I518" t="s">
        <v>17</v>
      </c>
    </row>
    <row r="519" spans="1:9">
      <c r="A519" t="s">
        <v>70</v>
      </c>
      <c r="B519" s="6"/>
      <c r="C519" s="6"/>
      <c r="D519" s="6"/>
      <c r="E519" s="6"/>
      <c r="F519" s="6"/>
      <c r="G519" s="6">
        <v>-2.3904640000000001</v>
      </c>
      <c r="H519" t="s">
        <v>17</v>
      </c>
      <c r="I519" t="s">
        <v>17</v>
      </c>
    </row>
    <row r="520" spans="1:9">
      <c r="A520" t="s">
        <v>71</v>
      </c>
      <c r="B520" s="6"/>
      <c r="C520" s="6"/>
      <c r="D520" s="6"/>
      <c r="E520" s="6">
        <v>-2.0879802999999999</v>
      </c>
      <c r="F520" s="6">
        <v>-2.2531853000000002</v>
      </c>
      <c r="G520" s="6">
        <v>-2.2331585999999999</v>
      </c>
      <c r="H520" t="s">
        <v>17</v>
      </c>
      <c r="I520" t="s">
        <v>17</v>
      </c>
    </row>
    <row r="521" spans="1:9">
      <c r="A521" t="s">
        <v>72</v>
      </c>
      <c r="B521" s="6"/>
      <c r="C521" s="6">
        <v>2.3520856000000001</v>
      </c>
      <c r="D521" s="6">
        <v>2.0698327999999999</v>
      </c>
      <c r="E521" s="6"/>
      <c r="F521" s="6"/>
      <c r="G521" s="6"/>
      <c r="H521" t="s">
        <v>17</v>
      </c>
      <c r="I521" t="s">
        <v>17</v>
      </c>
    </row>
    <row r="522" spans="1:9">
      <c r="A522" t="s">
        <v>73</v>
      </c>
      <c r="B522" s="6"/>
      <c r="C522" s="6"/>
      <c r="D522" s="6"/>
      <c r="E522" s="6"/>
      <c r="F522" s="6">
        <v>-2.7406093999999999</v>
      </c>
      <c r="G522" s="6">
        <v>-3.8026844999999998</v>
      </c>
      <c r="H522" t="s">
        <v>17</v>
      </c>
      <c r="I522" t="s">
        <v>17</v>
      </c>
    </row>
    <row r="523" spans="1:9">
      <c r="A523" t="s">
        <v>74</v>
      </c>
      <c r="B523" s="6"/>
      <c r="C523" s="6"/>
      <c r="D523" s="6"/>
      <c r="E523" s="6">
        <v>-3.7670908000000001</v>
      </c>
      <c r="F523" s="6">
        <v>-4.6010280000000003</v>
      </c>
      <c r="G523" s="6">
        <v>-5.7180439999999999</v>
      </c>
      <c r="H523" t="s">
        <v>17</v>
      </c>
      <c r="I523" t="s">
        <v>17</v>
      </c>
    </row>
    <row r="524" spans="1:9">
      <c r="A524" t="s">
        <v>75</v>
      </c>
      <c r="B524" s="6"/>
      <c r="C524" s="6"/>
      <c r="D524" s="6"/>
      <c r="E524" s="6"/>
      <c r="F524" s="6"/>
      <c r="G524" s="6">
        <v>-2.0431232000000001</v>
      </c>
      <c r="H524" t="s">
        <v>17</v>
      </c>
      <c r="I524" t="s">
        <v>17</v>
      </c>
    </row>
    <row r="525" spans="1:9">
      <c r="A525" t="s">
        <v>76</v>
      </c>
      <c r="B525" s="6"/>
      <c r="C525" s="6"/>
      <c r="D525" s="6"/>
      <c r="E525" s="6"/>
      <c r="F525" s="6"/>
      <c r="G525" s="6">
        <v>-2.8819346000000001</v>
      </c>
      <c r="H525" t="s">
        <v>17</v>
      </c>
      <c r="I525" t="s">
        <v>17</v>
      </c>
    </row>
    <row r="526" spans="1:9">
      <c r="A526" t="s">
        <v>77</v>
      </c>
      <c r="B526" s="6"/>
      <c r="C526" s="6"/>
      <c r="D526" s="6">
        <v>2.2634897</v>
      </c>
      <c r="E526" s="6"/>
      <c r="F526" s="6"/>
      <c r="G526" s="6"/>
      <c r="H526" t="s">
        <v>17</v>
      </c>
      <c r="I526" t="s">
        <v>17</v>
      </c>
    </row>
    <row r="527" spans="1:9">
      <c r="A527" t="s">
        <v>78</v>
      </c>
      <c r="B527" s="6"/>
      <c r="C527" s="6"/>
      <c r="D527" s="6"/>
      <c r="E527" s="6"/>
      <c r="F527" s="6"/>
      <c r="G527" s="6">
        <v>-2.0568135000000001</v>
      </c>
      <c r="H527" t="s">
        <v>17</v>
      </c>
      <c r="I527" t="s">
        <v>17</v>
      </c>
    </row>
    <row r="528" spans="1:9">
      <c r="A528" t="s">
        <v>79</v>
      </c>
      <c r="B528" s="6"/>
      <c r="C528" s="6"/>
      <c r="D528" s="6"/>
      <c r="E528" s="6"/>
      <c r="F528" s="6">
        <v>-2.0189328</v>
      </c>
      <c r="G528" s="6">
        <v>-2.8170524000000001</v>
      </c>
      <c r="H528" t="s">
        <v>17</v>
      </c>
      <c r="I528" t="s">
        <v>17</v>
      </c>
    </row>
    <row r="529" spans="1:9">
      <c r="A529" t="s">
        <v>80</v>
      </c>
      <c r="B529" s="6"/>
      <c r="C529" s="6"/>
      <c r="D529" s="6"/>
      <c r="E529" s="6"/>
      <c r="F529" s="6"/>
      <c r="G529" s="6">
        <v>-2.6517681999999998</v>
      </c>
      <c r="H529" t="s">
        <v>17</v>
      </c>
      <c r="I529" t="s">
        <v>17</v>
      </c>
    </row>
    <row r="530" spans="1:9">
      <c r="A530" t="s">
        <v>81</v>
      </c>
      <c r="B530" s="6"/>
      <c r="C530" s="6">
        <v>2.2655854</v>
      </c>
      <c r="D530" s="6"/>
      <c r="E530" s="6"/>
      <c r="F530" s="6"/>
      <c r="G530" s="6"/>
      <c r="H530" t="s">
        <v>17</v>
      </c>
      <c r="I530" t="s">
        <v>17</v>
      </c>
    </row>
    <row r="531" spans="1:9">
      <c r="A531" t="s">
        <v>82</v>
      </c>
      <c r="B531" s="6"/>
      <c r="C531" s="6"/>
      <c r="D531" s="6"/>
      <c r="E531" s="6">
        <v>-2.860671</v>
      </c>
      <c r="F531" s="6">
        <v>-2.6625565999999998</v>
      </c>
      <c r="G531" s="6">
        <v>-3.9506884000000002</v>
      </c>
      <c r="H531" t="s">
        <v>17</v>
      </c>
      <c r="I531" t="s">
        <v>17</v>
      </c>
    </row>
    <row r="532" spans="1:9">
      <c r="A532" t="s">
        <v>83</v>
      </c>
      <c r="B532" s="6"/>
      <c r="C532" s="6"/>
      <c r="D532" s="6"/>
      <c r="E532" s="6"/>
      <c r="F532" s="6"/>
      <c r="G532" s="6">
        <v>-2.8391232</v>
      </c>
      <c r="H532" t="s">
        <v>17</v>
      </c>
      <c r="I532" t="s">
        <v>17</v>
      </c>
    </row>
    <row r="533" spans="1:9">
      <c r="A533" t="s">
        <v>84</v>
      </c>
      <c r="B533" s="6"/>
      <c r="C533" s="6"/>
      <c r="D533" s="6">
        <v>2.1306539</v>
      </c>
      <c r="E533" s="6"/>
      <c r="F533" s="6"/>
      <c r="G533" s="6"/>
      <c r="H533" t="s">
        <v>17</v>
      </c>
      <c r="I533" t="s">
        <v>17</v>
      </c>
    </row>
    <row r="534" spans="1:9">
      <c r="A534" t="s">
        <v>85</v>
      </c>
      <c r="B534" s="6"/>
      <c r="C534" s="6"/>
      <c r="D534" s="6"/>
      <c r="E534" s="6"/>
      <c r="F534" s="6"/>
      <c r="G534" s="6">
        <v>-3.1091008000000002</v>
      </c>
      <c r="H534" t="s">
        <v>17</v>
      </c>
      <c r="I534" t="s">
        <v>17</v>
      </c>
    </row>
    <row r="535" spans="1:9">
      <c r="A535" t="s">
        <v>86</v>
      </c>
      <c r="B535" s="6"/>
      <c r="C535" s="6"/>
      <c r="D535" s="6"/>
      <c r="E535" s="6"/>
      <c r="F535" s="6"/>
      <c r="G535" s="6">
        <v>-2.7176300000000002</v>
      </c>
      <c r="H535" t="s">
        <v>17</v>
      </c>
      <c r="I535" t="s">
        <v>17</v>
      </c>
    </row>
    <row r="536" spans="1:9">
      <c r="A536" t="s">
        <v>87</v>
      </c>
      <c r="B536" s="6"/>
      <c r="C536" s="6"/>
      <c r="D536" s="6"/>
      <c r="E536" s="6"/>
      <c r="F536" s="6"/>
      <c r="G536" s="6">
        <v>-2.3256635999999999</v>
      </c>
      <c r="H536" t="s">
        <v>17</v>
      </c>
      <c r="I536" t="s">
        <v>17</v>
      </c>
    </row>
    <row r="537" spans="1:9">
      <c r="A537" t="s">
        <v>88</v>
      </c>
      <c r="B537" s="6"/>
      <c r="C537" s="6"/>
      <c r="D537" s="6"/>
      <c r="E537" s="6"/>
      <c r="F537" s="6"/>
      <c r="G537" s="6">
        <v>-2.1390780999999999</v>
      </c>
      <c r="H537" t="s">
        <v>17</v>
      </c>
      <c r="I537" t="s">
        <v>17</v>
      </c>
    </row>
    <row r="538" spans="1:9">
      <c r="A538" t="s">
        <v>89</v>
      </c>
      <c r="B538" s="6"/>
      <c r="C538" s="6"/>
      <c r="D538" s="6"/>
      <c r="E538" s="6">
        <v>-2.6467627999999999</v>
      </c>
      <c r="F538" s="6">
        <v>-2.6729383000000002</v>
      </c>
      <c r="G538" s="6"/>
      <c r="H538" t="s">
        <v>17</v>
      </c>
      <c r="I538" t="s">
        <v>17</v>
      </c>
    </row>
    <row r="539" spans="1:9">
      <c r="A539" t="s">
        <v>90</v>
      </c>
      <c r="B539" s="6"/>
      <c r="C539" s="6"/>
      <c r="D539" s="6"/>
      <c r="E539" s="6"/>
      <c r="F539" s="6"/>
      <c r="G539" s="6">
        <v>-2.3777952</v>
      </c>
      <c r="H539" t="s">
        <v>17</v>
      </c>
      <c r="I539" t="s">
        <v>17</v>
      </c>
    </row>
    <row r="540" spans="1:9">
      <c r="A540" t="s">
        <v>91</v>
      </c>
      <c r="B540" s="6"/>
      <c r="C540" s="6"/>
      <c r="D540" s="6"/>
      <c r="E540" s="6"/>
      <c r="F540" s="6"/>
      <c r="G540" s="6">
        <v>-2.0200629999999999</v>
      </c>
      <c r="H540" t="s">
        <v>17</v>
      </c>
      <c r="I540" t="s">
        <v>17</v>
      </c>
    </row>
    <row r="541" spans="1:9">
      <c r="A541" t="s">
        <v>92</v>
      </c>
      <c r="B541" s="6"/>
      <c r="C541" s="6"/>
      <c r="D541" s="6"/>
      <c r="E541" s="6"/>
      <c r="F541" s="6"/>
      <c r="G541" s="6"/>
      <c r="H541" t="s">
        <v>17</v>
      </c>
      <c r="I541" t="s">
        <v>17</v>
      </c>
    </row>
    <row r="542" spans="1:9">
      <c r="A542" t="s">
        <v>93</v>
      </c>
      <c r="B542" s="6"/>
      <c r="C542" s="6"/>
      <c r="D542" s="6">
        <v>2.0812460000000002</v>
      </c>
      <c r="E542" s="6"/>
      <c r="F542" s="6"/>
      <c r="G542" s="6"/>
      <c r="H542" t="s">
        <v>17</v>
      </c>
      <c r="I542" t="s">
        <v>17</v>
      </c>
    </row>
    <row r="543" spans="1:9">
      <c r="A543" t="s">
        <v>94</v>
      </c>
      <c r="B543" s="6"/>
      <c r="C543" s="6"/>
      <c r="D543" s="6"/>
      <c r="E543" s="6"/>
      <c r="F543" s="6"/>
      <c r="G543" s="6">
        <v>-2.0134764000000001</v>
      </c>
      <c r="H543" t="s">
        <v>17</v>
      </c>
      <c r="I543" t="s">
        <v>17</v>
      </c>
    </row>
    <row r="544" spans="1:9">
      <c r="A544" t="s">
        <v>95</v>
      </c>
      <c r="B544" s="6"/>
      <c r="C544" s="6"/>
      <c r="D544" s="6">
        <v>2.2507671999999999</v>
      </c>
      <c r="E544" s="6"/>
      <c r="F544" s="6"/>
      <c r="G544" s="6"/>
      <c r="H544" t="s">
        <v>17</v>
      </c>
      <c r="I544" t="s">
        <v>17</v>
      </c>
    </row>
    <row r="545" spans="1:9">
      <c r="A545" t="s">
        <v>96</v>
      </c>
      <c r="B545" s="6"/>
      <c r="C545" s="6"/>
      <c r="D545" s="6"/>
      <c r="E545" s="6"/>
      <c r="F545" s="6"/>
      <c r="G545" s="6">
        <v>-4.1808079999999999</v>
      </c>
      <c r="H545" t="s">
        <v>17</v>
      </c>
      <c r="I545" t="s">
        <v>97</v>
      </c>
    </row>
    <row r="546" spans="1:9">
      <c r="A546" t="s">
        <v>98</v>
      </c>
      <c r="B546" s="6"/>
      <c r="C546" s="6"/>
      <c r="D546" s="6"/>
      <c r="E546" s="6"/>
      <c r="F546" s="6"/>
      <c r="G546" s="6">
        <v>-2.6671404999999999</v>
      </c>
      <c r="H546" t="s">
        <v>17</v>
      </c>
      <c r="I546" t="s">
        <v>17</v>
      </c>
    </row>
    <row r="547" spans="1:9">
      <c r="A547" t="s">
        <v>99</v>
      </c>
      <c r="B547" s="6"/>
      <c r="C547" s="6"/>
      <c r="D547" s="6"/>
      <c r="E547" s="6"/>
      <c r="F547" s="6">
        <v>-2.4595243999999998</v>
      </c>
      <c r="G547" s="6">
        <v>-3.2015307000000002</v>
      </c>
      <c r="H547" t="s">
        <v>17</v>
      </c>
      <c r="I547" t="s">
        <v>17</v>
      </c>
    </row>
    <row r="548" spans="1:9">
      <c r="A548" t="s">
        <v>100</v>
      </c>
      <c r="B548" s="6"/>
      <c r="C548" s="6"/>
      <c r="D548" s="6"/>
      <c r="E548" s="6"/>
      <c r="F548" s="6"/>
      <c r="G548" s="6">
        <v>-3.2377967999999999</v>
      </c>
      <c r="H548" t="s">
        <v>17</v>
      </c>
      <c r="I548" t="s">
        <v>17</v>
      </c>
    </row>
    <row r="549" spans="1:9">
      <c r="A549" t="s">
        <v>101</v>
      </c>
      <c r="B549" s="6"/>
      <c r="C549" s="6"/>
      <c r="D549" s="6"/>
      <c r="E549" s="6">
        <v>-3.5951767000000001</v>
      </c>
      <c r="F549" s="6">
        <v>-3.9498289999999998</v>
      </c>
      <c r="G549" s="6"/>
      <c r="H549" t="s">
        <v>17</v>
      </c>
      <c r="I549" t="s">
        <v>17</v>
      </c>
    </row>
    <row r="550" spans="1:9">
      <c r="A550" t="s">
        <v>102</v>
      </c>
      <c r="B550" s="6"/>
      <c r="C550" s="6"/>
      <c r="D550" s="6"/>
      <c r="E550" s="6"/>
      <c r="F550" s="6"/>
      <c r="G550" s="6"/>
      <c r="H550" t="s">
        <v>17</v>
      </c>
      <c r="I550" t="s">
        <v>17</v>
      </c>
    </row>
    <row r="551" spans="1:9">
      <c r="A551" t="s">
        <v>103</v>
      </c>
      <c r="B551" s="6"/>
      <c r="C551" s="6"/>
      <c r="D551" s="6"/>
      <c r="E551" s="6">
        <v>-2.1886907</v>
      </c>
      <c r="F551" s="6">
        <v>-2.5833620000000002</v>
      </c>
      <c r="G551" s="6">
        <v>-2.178318</v>
      </c>
      <c r="H551" t="s">
        <v>17</v>
      </c>
      <c r="I551" t="s">
        <v>17</v>
      </c>
    </row>
    <row r="552" spans="1:9">
      <c r="A552" t="s">
        <v>104</v>
      </c>
      <c r="B552" s="6"/>
      <c r="C552" s="6"/>
      <c r="D552" s="6"/>
      <c r="E552" s="6"/>
      <c r="F552" s="6"/>
      <c r="G552" s="6">
        <v>-3.1539328000000002</v>
      </c>
      <c r="H552" t="s">
        <v>17</v>
      </c>
      <c r="I552" t="s">
        <v>17</v>
      </c>
    </row>
    <row r="553" spans="1:9">
      <c r="A553" t="s">
        <v>105</v>
      </c>
      <c r="B553" s="6"/>
      <c r="C553" s="6"/>
      <c r="D553" s="6"/>
      <c r="E553" s="6"/>
      <c r="F553" s="6"/>
      <c r="G553" s="6"/>
      <c r="H553" t="s">
        <v>17</v>
      </c>
      <c r="I553" t="s">
        <v>17</v>
      </c>
    </row>
    <row r="554" spans="1:9">
      <c r="A554" t="s">
        <v>106</v>
      </c>
      <c r="B554" s="6"/>
      <c r="C554" s="6"/>
      <c r="D554" s="6"/>
      <c r="E554" s="6"/>
      <c r="F554" s="6"/>
      <c r="G554" s="6">
        <v>-2.3418611999999999</v>
      </c>
      <c r="H554" t="s">
        <v>17</v>
      </c>
      <c r="I554" t="s">
        <v>17</v>
      </c>
    </row>
    <row r="555" spans="1:9">
      <c r="A555" t="s">
        <v>107</v>
      </c>
      <c r="B555" s="6"/>
      <c r="C555" s="6"/>
      <c r="D555" s="6"/>
      <c r="E555" s="6"/>
      <c r="F555" s="6">
        <v>-2.2542968000000001</v>
      </c>
      <c r="G555" s="6"/>
      <c r="H555" t="s">
        <v>17</v>
      </c>
      <c r="I555" t="s">
        <v>17</v>
      </c>
    </row>
    <row r="556" spans="1:9">
      <c r="A556" t="s">
        <v>108</v>
      </c>
      <c r="B556" s="6"/>
      <c r="C556" s="6"/>
      <c r="D556" s="6"/>
      <c r="E556" s="6"/>
      <c r="F556" s="6">
        <v>-2.1448849999999999</v>
      </c>
      <c r="G556" s="6">
        <v>-3.0864916</v>
      </c>
      <c r="H556" t="s">
        <v>17</v>
      </c>
      <c r="I556" t="s">
        <v>17</v>
      </c>
    </row>
    <row r="557" spans="1:9">
      <c r="A557" t="s">
        <v>517</v>
      </c>
      <c r="B557" s="6"/>
      <c r="C557" s="6"/>
      <c r="D557" s="6"/>
      <c r="E557" s="6"/>
      <c r="F557" s="6"/>
      <c r="G557" s="6">
        <v>-2.0054202000000001</v>
      </c>
      <c r="H557" t="s">
        <v>17</v>
      </c>
      <c r="I557" t="s">
        <v>17</v>
      </c>
    </row>
    <row r="558" spans="1:9">
      <c r="A558" t="s">
        <v>109</v>
      </c>
      <c r="B558" s="6"/>
      <c r="C558" s="6"/>
      <c r="D558" s="6"/>
      <c r="E558" s="6"/>
      <c r="F558" s="6"/>
      <c r="G558" s="6">
        <v>-2.1717900999999999</v>
      </c>
      <c r="H558" t="s">
        <v>17</v>
      </c>
      <c r="I558" t="s">
        <v>17</v>
      </c>
    </row>
    <row r="559" spans="1:9">
      <c r="A559" t="s">
        <v>110</v>
      </c>
      <c r="B559" s="6"/>
      <c r="C559" s="6">
        <v>2.3346733999999998</v>
      </c>
      <c r="D559" s="6"/>
      <c r="E559" s="6"/>
      <c r="F559" s="6"/>
      <c r="G559" s="6"/>
      <c r="H559" t="s">
        <v>17</v>
      </c>
      <c r="I559" t="s">
        <v>17</v>
      </c>
    </row>
    <row r="560" spans="1:9">
      <c r="A560" t="s">
        <v>111</v>
      </c>
      <c r="B560" s="6"/>
      <c r="C560" s="6"/>
      <c r="D560" s="6"/>
      <c r="E560" s="6"/>
      <c r="F560" s="6"/>
      <c r="G560" s="6">
        <v>-2.0046206</v>
      </c>
      <c r="H560" t="s">
        <v>17</v>
      </c>
      <c r="I560" t="s">
        <v>17</v>
      </c>
    </row>
    <row r="561" spans="1:9">
      <c r="A561" t="s">
        <v>112</v>
      </c>
      <c r="B561" s="6"/>
      <c r="C561" s="6"/>
      <c r="D561" s="6"/>
      <c r="E561" s="6"/>
      <c r="F561" s="6"/>
      <c r="G561" s="6">
        <v>-2.4747957999999999</v>
      </c>
      <c r="H561" t="s">
        <v>17</v>
      </c>
      <c r="I561" t="s">
        <v>17</v>
      </c>
    </row>
    <row r="562" spans="1:9">
      <c r="A562" t="s">
        <v>113</v>
      </c>
      <c r="B562" s="6"/>
      <c r="C562" s="6"/>
      <c r="D562" s="6"/>
      <c r="E562" s="6"/>
      <c r="F562" s="6"/>
      <c r="G562" s="6">
        <v>-2.4583560000000002</v>
      </c>
      <c r="H562" t="s">
        <v>17</v>
      </c>
      <c r="I562" t="s">
        <v>17</v>
      </c>
    </row>
    <row r="563" spans="1:9">
      <c r="A563" t="s">
        <v>114</v>
      </c>
      <c r="B563" s="6"/>
      <c r="C563" s="6"/>
      <c r="D563" s="6"/>
      <c r="E563" s="6"/>
      <c r="F563" s="6"/>
      <c r="G563" s="6">
        <v>-2.4174050999999999</v>
      </c>
      <c r="H563" t="s">
        <v>17</v>
      </c>
      <c r="I563" t="s">
        <v>17</v>
      </c>
    </row>
    <row r="564" spans="1:9">
      <c r="A564" t="s">
        <v>115</v>
      </c>
      <c r="B564" s="6"/>
      <c r="C564" s="6"/>
      <c r="D564" s="6"/>
      <c r="E564" s="6"/>
      <c r="F564" s="6"/>
      <c r="G564" s="6"/>
      <c r="H564" t="s">
        <v>17</v>
      </c>
      <c r="I564" t="s">
        <v>17</v>
      </c>
    </row>
    <row r="565" spans="1:9">
      <c r="A565" t="s">
        <v>116</v>
      </c>
      <c r="B565" s="6"/>
      <c r="C565" s="6"/>
      <c r="D565" s="6"/>
      <c r="E565" s="6"/>
      <c r="F565" s="6"/>
      <c r="G565" s="6">
        <v>-2.5263247</v>
      </c>
      <c r="H565" t="s">
        <v>17</v>
      </c>
      <c r="I565" t="s">
        <v>17</v>
      </c>
    </row>
    <row r="566" spans="1:9">
      <c r="A566" t="s">
        <v>117</v>
      </c>
      <c r="B566" s="6"/>
      <c r="C566" s="6"/>
      <c r="D566" s="6"/>
      <c r="E566" s="6"/>
      <c r="F566" s="6"/>
      <c r="G566" s="6">
        <v>-2.3589791999999998</v>
      </c>
      <c r="H566" t="s">
        <v>17</v>
      </c>
      <c r="I566" t="s">
        <v>17</v>
      </c>
    </row>
    <row r="567" spans="1:9">
      <c r="A567" t="s">
        <v>118</v>
      </c>
      <c r="B567" s="6"/>
      <c r="C567" s="6"/>
      <c r="D567" s="6"/>
      <c r="E567" s="6"/>
      <c r="F567" s="6"/>
      <c r="G567" s="6">
        <v>-2.5027780000000002</v>
      </c>
      <c r="H567" t="s">
        <v>17</v>
      </c>
      <c r="I567" t="s">
        <v>17</v>
      </c>
    </row>
    <row r="568" spans="1:9">
      <c r="A568" t="s">
        <v>119</v>
      </c>
      <c r="B568" s="6"/>
      <c r="C568" s="6">
        <v>2.2768435</v>
      </c>
      <c r="D568" s="6">
        <v>2.1594666999999999</v>
      </c>
      <c r="E568" s="6"/>
      <c r="F568" s="6"/>
      <c r="G568" s="6"/>
      <c r="H568" t="s">
        <v>17</v>
      </c>
      <c r="I568" t="s">
        <v>17</v>
      </c>
    </row>
    <row r="569" spans="1:9">
      <c r="A569" t="s">
        <v>120</v>
      </c>
      <c r="B569" s="6"/>
      <c r="C569" s="6"/>
      <c r="D569" s="6"/>
      <c r="E569" s="6"/>
      <c r="F569" s="6"/>
      <c r="G569" s="6">
        <v>-2.2072191000000001</v>
      </c>
      <c r="H569" t="s">
        <v>17</v>
      </c>
      <c r="I569" t="s">
        <v>17</v>
      </c>
    </row>
    <row r="570" spans="1:9">
      <c r="A570" t="s">
        <v>121</v>
      </c>
      <c r="B570" s="6">
        <v>2.040864</v>
      </c>
      <c r="C570" s="6">
        <v>2.3333463999999999</v>
      </c>
      <c r="D570" s="6">
        <v>2.2845550000000001</v>
      </c>
      <c r="E570" s="6"/>
      <c r="F570" s="6"/>
      <c r="G570" s="6"/>
      <c r="H570" t="s">
        <v>17</v>
      </c>
      <c r="I570" t="s">
        <v>17</v>
      </c>
    </row>
    <row r="571" spans="1:9">
      <c r="A571" t="s">
        <v>122</v>
      </c>
      <c r="B571" s="6"/>
      <c r="C571" s="6"/>
      <c r="D571" s="6"/>
      <c r="E571" s="6"/>
      <c r="F571" s="6"/>
      <c r="G571" s="6">
        <v>-2.0085677999999998</v>
      </c>
      <c r="H571" t="s">
        <v>17</v>
      </c>
      <c r="I571" t="s">
        <v>17</v>
      </c>
    </row>
    <row r="572" spans="1:9">
      <c r="A572" t="s">
        <v>123</v>
      </c>
      <c r="B572" s="6"/>
      <c r="C572" s="6"/>
      <c r="D572" s="6"/>
      <c r="E572" s="6"/>
      <c r="F572" s="6"/>
      <c r="G572" s="6">
        <v>-2.3626947</v>
      </c>
      <c r="H572" t="s">
        <v>17</v>
      </c>
      <c r="I572" t="s">
        <v>17</v>
      </c>
    </row>
    <row r="573" spans="1:9">
      <c r="A573" t="s">
        <v>124</v>
      </c>
      <c r="B573" s="6"/>
      <c r="C573" s="6"/>
      <c r="D573" s="6"/>
      <c r="E573" s="6">
        <v>-3.0617595</v>
      </c>
      <c r="F573" s="6">
        <v>-3.3852878</v>
      </c>
      <c r="G573" s="6">
        <v>-2.4751449000000001</v>
      </c>
      <c r="H573" t="s">
        <v>17</v>
      </c>
      <c r="I573" t="s">
        <v>17</v>
      </c>
    </row>
    <row r="574" spans="1:9">
      <c r="A574" t="s">
        <v>125</v>
      </c>
      <c r="B574" s="6"/>
      <c r="C574" s="6"/>
      <c r="D574" s="6"/>
      <c r="E574" s="6">
        <v>-3.2231193</v>
      </c>
      <c r="F574" s="6">
        <v>-3.4464049999999999</v>
      </c>
      <c r="G574" s="6">
        <v>-2.5286097999999999</v>
      </c>
      <c r="H574" t="s">
        <v>17</v>
      </c>
      <c r="I574" t="s">
        <v>17</v>
      </c>
    </row>
    <row r="575" spans="1:9">
      <c r="A575" t="s">
        <v>126</v>
      </c>
      <c r="B575" s="6"/>
      <c r="C575" s="6"/>
      <c r="D575" s="6"/>
      <c r="E575" s="6"/>
      <c r="F575" s="6"/>
      <c r="G575" s="6"/>
      <c r="H575" t="s">
        <v>17</v>
      </c>
      <c r="I575" t="s">
        <v>17</v>
      </c>
    </row>
    <row r="576" spans="1:9">
      <c r="A576" t="s">
        <v>127</v>
      </c>
      <c r="B576" s="6"/>
      <c r="C576" s="6"/>
      <c r="D576" s="6"/>
      <c r="E576" s="6"/>
      <c r="F576" s="6"/>
      <c r="G576" s="6">
        <v>-2.580368</v>
      </c>
      <c r="H576" t="s">
        <v>17</v>
      </c>
      <c r="I576" t="s">
        <v>17</v>
      </c>
    </row>
    <row r="577" spans="1:9">
      <c r="A577" t="s">
        <v>128</v>
      </c>
      <c r="B577" s="6"/>
      <c r="C577" s="6"/>
      <c r="D577" s="6">
        <v>2.1266889999999998</v>
      </c>
      <c r="E577" s="6"/>
      <c r="F577" s="6"/>
      <c r="G577" s="6"/>
      <c r="H577" t="s">
        <v>17</v>
      </c>
      <c r="I577" t="s">
        <v>17</v>
      </c>
    </row>
    <row r="578" spans="1:9">
      <c r="A578" t="s">
        <v>129</v>
      </c>
      <c r="B578" s="6"/>
      <c r="C578" s="6"/>
      <c r="D578" s="6"/>
      <c r="E578" s="6"/>
      <c r="F578" s="6"/>
      <c r="G578" s="6">
        <v>-2.2903663999999999</v>
      </c>
      <c r="H578" t="s">
        <v>17</v>
      </c>
      <c r="I578" t="s">
        <v>17</v>
      </c>
    </row>
    <row r="579" spans="1:9">
      <c r="A579" t="s">
        <v>130</v>
      </c>
      <c r="B579" s="6">
        <v>2.0722532</v>
      </c>
      <c r="C579" s="6">
        <v>2.6325821999999999</v>
      </c>
      <c r="D579" s="6"/>
      <c r="E579" s="6"/>
      <c r="F579" s="6"/>
      <c r="G579" s="6"/>
      <c r="H579" t="s">
        <v>17</v>
      </c>
      <c r="I579" t="s">
        <v>17</v>
      </c>
    </row>
    <row r="580" spans="1:9">
      <c r="A580" t="s">
        <v>131</v>
      </c>
      <c r="B580" s="6"/>
      <c r="C580" s="6"/>
      <c r="D580" s="6"/>
      <c r="E580" s="6">
        <v>-2.4414935</v>
      </c>
      <c r="F580" s="6">
        <v>-2.7725854000000001</v>
      </c>
      <c r="G580" s="6">
        <v>-4.5086073999999998</v>
      </c>
      <c r="H580" t="s">
        <v>17</v>
      </c>
      <c r="I580" t="s">
        <v>17</v>
      </c>
    </row>
    <row r="581" spans="1:9">
      <c r="A581" t="s">
        <v>132</v>
      </c>
      <c r="B581" s="6"/>
      <c r="C581" s="6"/>
      <c r="D581" s="6"/>
      <c r="E581" s="6"/>
      <c r="F581" s="6"/>
      <c r="G581" s="6">
        <v>-2.9556851000000002</v>
      </c>
      <c r="H581" t="s">
        <v>17</v>
      </c>
      <c r="I581" t="s">
        <v>17</v>
      </c>
    </row>
    <row r="582" spans="1:9">
      <c r="A582" t="s">
        <v>133</v>
      </c>
      <c r="B582" s="6"/>
      <c r="C582" s="6"/>
      <c r="D582" s="6"/>
      <c r="E582" s="6"/>
      <c r="F582" s="6"/>
      <c r="G582" s="6">
        <v>-3.3984141000000001</v>
      </c>
      <c r="H582" t="s">
        <v>17</v>
      </c>
      <c r="I582" t="s">
        <v>17</v>
      </c>
    </row>
    <row r="583" spans="1:9">
      <c r="A583" t="s">
        <v>134</v>
      </c>
      <c r="B583" s="6"/>
      <c r="C583" s="6"/>
      <c r="D583" s="6"/>
      <c r="E583" s="6"/>
      <c r="F583" s="6"/>
      <c r="G583" s="6">
        <v>-3.1695614000000001</v>
      </c>
      <c r="H583" t="s">
        <v>17</v>
      </c>
      <c r="I583" t="s">
        <v>17</v>
      </c>
    </row>
    <row r="584" spans="1:9">
      <c r="A584" t="s">
        <v>135</v>
      </c>
      <c r="B584" s="6"/>
      <c r="C584" s="6"/>
      <c r="D584" s="6"/>
      <c r="E584" s="6"/>
      <c r="F584" s="6"/>
      <c r="G584" s="6"/>
      <c r="H584" t="s">
        <v>17</v>
      </c>
      <c r="I584" t="s">
        <v>17</v>
      </c>
    </row>
    <row r="585" spans="1:9">
      <c r="A585" t="s">
        <v>136</v>
      </c>
      <c r="B585" s="6"/>
      <c r="C585" s="6"/>
      <c r="D585" s="6"/>
      <c r="E585" s="6"/>
      <c r="F585" s="6"/>
      <c r="G585" s="6">
        <v>-2.9041529000000001</v>
      </c>
      <c r="H585" t="s">
        <v>17</v>
      </c>
      <c r="I585" t="s">
        <v>17</v>
      </c>
    </row>
    <row r="586" spans="1:9">
      <c r="A586" t="s">
        <v>137</v>
      </c>
      <c r="B586" s="6"/>
      <c r="C586" s="6"/>
      <c r="D586" s="6"/>
      <c r="E586" s="6"/>
      <c r="F586" s="6"/>
      <c r="G586" s="6"/>
      <c r="H586" t="s">
        <v>17</v>
      </c>
      <c r="I586" t="s">
        <v>17</v>
      </c>
    </row>
    <row r="587" spans="1:9">
      <c r="A587" t="s">
        <v>156</v>
      </c>
      <c r="B587" s="6"/>
      <c r="C587" s="6"/>
      <c r="D587" s="6"/>
      <c r="E587" s="6"/>
      <c r="F587" s="6"/>
      <c r="G587" s="6">
        <v>-2.4271110999999999</v>
      </c>
      <c r="H587" t="s">
        <v>17</v>
      </c>
      <c r="I587" t="s">
        <v>17</v>
      </c>
    </row>
    <row r="588" spans="1:9">
      <c r="A588" t="s">
        <v>157</v>
      </c>
      <c r="B588" s="6"/>
      <c r="C588" s="6"/>
      <c r="D588" s="6"/>
      <c r="E588" s="6"/>
      <c r="F588" s="6"/>
      <c r="G588" s="6">
        <v>-2.8041700999999999</v>
      </c>
      <c r="H588" t="s">
        <v>17</v>
      </c>
      <c r="I588" t="s">
        <v>17</v>
      </c>
    </row>
    <row r="589" spans="1:9">
      <c r="A589" t="s">
        <v>158</v>
      </c>
      <c r="B589" s="6"/>
      <c r="C589" s="6"/>
      <c r="D589" s="6"/>
      <c r="E589" s="6"/>
      <c r="F589" s="6"/>
      <c r="G589" s="6">
        <v>-2.6803659999999998</v>
      </c>
      <c r="H589" t="s">
        <v>17</v>
      </c>
      <c r="I589" t="s">
        <v>17</v>
      </c>
    </row>
    <row r="590" spans="1:9">
      <c r="A590" t="s">
        <v>159</v>
      </c>
      <c r="B590" s="6"/>
      <c r="C590" s="6"/>
      <c r="D590" s="6"/>
      <c r="E590" s="6"/>
      <c r="F590" s="6">
        <v>-2.2719369999999999</v>
      </c>
      <c r="G590" s="6">
        <v>-5.3995199999999999</v>
      </c>
      <c r="H590" t="s">
        <v>17</v>
      </c>
      <c r="I590" t="s">
        <v>17</v>
      </c>
    </row>
    <row r="591" spans="1:9">
      <c r="A591" t="s">
        <v>160</v>
      </c>
      <c r="B591" s="6"/>
      <c r="C591" s="6"/>
      <c r="D591" s="6"/>
      <c r="E591" s="6"/>
      <c r="F591" s="6"/>
      <c r="G591" s="6">
        <v>-2.0782733000000002</v>
      </c>
      <c r="H591" t="s">
        <v>17</v>
      </c>
      <c r="I591" t="s">
        <v>17</v>
      </c>
    </row>
    <row r="592" spans="1:9">
      <c r="A592" t="s">
        <v>161</v>
      </c>
      <c r="B592" s="6"/>
      <c r="C592" s="6">
        <v>2.0712380000000001</v>
      </c>
      <c r="D592" s="6"/>
      <c r="E592" s="6"/>
      <c r="F592" s="6"/>
      <c r="G592" s="6"/>
      <c r="H592" t="s">
        <v>17</v>
      </c>
      <c r="I592" t="s">
        <v>17</v>
      </c>
    </row>
    <row r="593" spans="1:9">
      <c r="A593" t="s">
        <v>162</v>
      </c>
      <c r="B593" s="6"/>
      <c r="C593" s="6"/>
      <c r="D593" s="6"/>
      <c r="E593" s="6"/>
      <c r="F593" s="6"/>
      <c r="G593" s="6"/>
      <c r="H593" t="s">
        <v>17</v>
      </c>
      <c r="I593" t="s">
        <v>17</v>
      </c>
    </row>
    <row r="594" spans="1:9">
      <c r="A594" t="s">
        <v>163</v>
      </c>
      <c r="B594" s="6"/>
      <c r="C594" s="6"/>
      <c r="D594" s="6"/>
      <c r="E594" s="6"/>
      <c r="F594" s="6"/>
      <c r="G594" s="6">
        <v>-2.0751643</v>
      </c>
      <c r="H594" t="s">
        <v>17</v>
      </c>
      <c r="I594" t="s">
        <v>17</v>
      </c>
    </row>
    <row r="595" spans="1:9">
      <c r="A595" t="s">
        <v>547</v>
      </c>
      <c r="B595" s="6"/>
      <c r="C595" s="6"/>
      <c r="D595" s="6"/>
      <c r="E595" s="6"/>
      <c r="F595" s="6"/>
      <c r="G595" s="6">
        <v>-2.0080222999999999</v>
      </c>
      <c r="H595" t="s">
        <v>17</v>
      </c>
      <c r="I595" t="s">
        <v>17</v>
      </c>
    </row>
    <row r="596" spans="1:9">
      <c r="A596" t="s">
        <v>164</v>
      </c>
      <c r="B596" s="6"/>
      <c r="C596" s="6"/>
      <c r="D596" s="6"/>
      <c r="E596" s="6"/>
      <c r="F596" s="6"/>
      <c r="G596" s="6">
        <v>-2.7815675999999998</v>
      </c>
      <c r="H596" t="s">
        <v>17</v>
      </c>
      <c r="I596" t="s">
        <v>17</v>
      </c>
    </row>
    <row r="597" spans="1:9">
      <c r="A597" t="s">
        <v>165</v>
      </c>
      <c r="B597" s="6"/>
      <c r="C597" s="6"/>
      <c r="D597" s="6"/>
      <c r="E597" s="6">
        <v>-2.2239232000000002</v>
      </c>
      <c r="F597" s="6">
        <v>-2.5393910000000002</v>
      </c>
      <c r="G597" s="6">
        <v>-3.9963354999999998</v>
      </c>
      <c r="H597" t="s">
        <v>17</v>
      </c>
      <c r="I597" t="s">
        <v>17</v>
      </c>
    </row>
    <row r="598" spans="1:9">
      <c r="A598" t="s">
        <v>166</v>
      </c>
      <c r="B598" s="6"/>
      <c r="C598" s="6"/>
      <c r="D598" s="6"/>
      <c r="E598" s="6"/>
      <c r="F598" s="6"/>
      <c r="G598" s="6">
        <v>-2.4543252</v>
      </c>
      <c r="H598" t="s">
        <v>17</v>
      </c>
      <c r="I598" t="s">
        <v>17</v>
      </c>
    </row>
    <row r="599" spans="1:9">
      <c r="A599" t="s">
        <v>167</v>
      </c>
      <c r="B599" s="6">
        <v>2.5158458000000001</v>
      </c>
      <c r="C599" s="6">
        <v>2.6053232999999998</v>
      </c>
      <c r="D599" s="6">
        <v>2.7602859</v>
      </c>
      <c r="E599" s="6"/>
      <c r="F599" s="6"/>
      <c r="G599" s="6"/>
      <c r="H599" t="s">
        <v>17</v>
      </c>
      <c r="I599" t="s">
        <v>17</v>
      </c>
    </row>
    <row r="600" spans="1:9">
      <c r="A600" t="s">
        <v>168</v>
      </c>
      <c r="B600" s="6"/>
      <c r="C600" s="6">
        <v>2.3125930000000001</v>
      </c>
      <c r="D600" s="6">
        <v>2.2345738000000002</v>
      </c>
      <c r="E600" s="6"/>
      <c r="F600" s="6"/>
      <c r="G600" s="6"/>
      <c r="H600" t="s">
        <v>17</v>
      </c>
      <c r="I600" t="s">
        <v>17</v>
      </c>
    </row>
    <row r="601" spans="1:9">
      <c r="A601" t="s">
        <v>169</v>
      </c>
      <c r="B601" s="6"/>
      <c r="C601" s="6"/>
      <c r="D601" s="6"/>
      <c r="E601" s="6"/>
      <c r="F601" s="6"/>
      <c r="G601" s="6">
        <v>-2.3184257000000001</v>
      </c>
      <c r="H601" t="s">
        <v>17</v>
      </c>
      <c r="I601" t="s">
        <v>17</v>
      </c>
    </row>
    <row r="602" spans="1:9">
      <c r="A602" t="s">
        <v>170</v>
      </c>
      <c r="B602" s="6"/>
      <c r="C602" s="6"/>
      <c r="D602" s="6"/>
      <c r="E602" s="6"/>
      <c r="F602" s="6"/>
      <c r="G602" s="6">
        <v>-2.8803158</v>
      </c>
      <c r="H602" t="s">
        <v>17</v>
      </c>
      <c r="I602" t="s">
        <v>17</v>
      </c>
    </row>
    <row r="603" spans="1:9">
      <c r="A603" t="s">
        <v>171</v>
      </c>
      <c r="B603" s="6"/>
      <c r="C603" s="6"/>
      <c r="D603" s="6"/>
      <c r="E603" s="6"/>
      <c r="F603" s="6"/>
      <c r="G603" s="6">
        <v>-3.2409713</v>
      </c>
      <c r="H603" t="s">
        <v>17</v>
      </c>
      <c r="I603" t="s">
        <v>17</v>
      </c>
    </row>
    <row r="604" spans="1:9">
      <c r="A604" t="s">
        <v>172</v>
      </c>
      <c r="B604" s="6"/>
      <c r="C604" s="6"/>
      <c r="D604" s="6"/>
      <c r="E604" s="6"/>
      <c r="F604" s="6"/>
      <c r="G604" s="6">
        <v>-2.2558579999999999</v>
      </c>
      <c r="H604" t="s">
        <v>17</v>
      </c>
      <c r="I604" t="s">
        <v>17</v>
      </c>
    </row>
    <row r="605" spans="1:9">
      <c r="A605" t="s">
        <v>173</v>
      </c>
      <c r="B605" s="6"/>
      <c r="C605" s="6"/>
      <c r="D605" s="6"/>
      <c r="E605" s="6"/>
      <c r="F605" s="6">
        <v>-2.4512280999999998</v>
      </c>
      <c r="G605" s="6">
        <v>-2.812049</v>
      </c>
      <c r="H605" t="s">
        <v>17</v>
      </c>
      <c r="I605" t="s">
        <v>17</v>
      </c>
    </row>
    <row r="606" spans="1:9">
      <c r="A606" t="s">
        <v>174</v>
      </c>
      <c r="B606" s="6"/>
      <c r="C606" s="6"/>
      <c r="D606" s="6"/>
      <c r="E606" s="6"/>
      <c r="F606" s="6"/>
      <c r="G606" s="6">
        <v>-2.5038740000000002</v>
      </c>
      <c r="H606" t="s">
        <v>17</v>
      </c>
      <c r="I606" t="s">
        <v>17</v>
      </c>
    </row>
    <row r="607" spans="1:9">
      <c r="A607" t="s">
        <v>175</v>
      </c>
      <c r="B607" s="6"/>
      <c r="C607" s="6">
        <v>2.1373950000000002</v>
      </c>
      <c r="D607" s="6"/>
      <c r="E607" s="6"/>
      <c r="F607" s="6"/>
      <c r="G607" s="6"/>
      <c r="H607" t="s">
        <v>17</v>
      </c>
      <c r="I607" t="s">
        <v>17</v>
      </c>
    </row>
    <row r="608" spans="1:9">
      <c r="A608" t="s">
        <v>176</v>
      </c>
      <c r="B608" s="6"/>
      <c r="C608" s="6"/>
      <c r="D608" s="6"/>
      <c r="E608" s="6"/>
      <c r="F608" s="6"/>
      <c r="G608" s="6">
        <v>-3.0329408999999998</v>
      </c>
      <c r="H608" t="s">
        <v>17</v>
      </c>
      <c r="I608" t="s">
        <v>17</v>
      </c>
    </row>
    <row r="609" spans="1:11">
      <c r="A609" t="s">
        <v>177</v>
      </c>
      <c r="B609" s="6"/>
      <c r="C609" s="6"/>
      <c r="D609" s="6"/>
      <c r="E609" s="6"/>
      <c r="F609" s="6">
        <v>-2.2444061999999998</v>
      </c>
      <c r="G609" s="6"/>
      <c r="H609" t="s">
        <v>17</v>
      </c>
      <c r="I609" t="s">
        <v>17</v>
      </c>
    </row>
    <row r="610" spans="1:11">
      <c r="A610" t="s">
        <v>178</v>
      </c>
      <c r="B610" s="6"/>
      <c r="C610" s="6"/>
      <c r="D610" s="6"/>
      <c r="E610" s="6"/>
      <c r="F610" s="6">
        <v>-2.4255561999999999</v>
      </c>
      <c r="G610" s="6"/>
      <c r="H610" t="s">
        <v>17</v>
      </c>
      <c r="I610" t="s">
        <v>17</v>
      </c>
    </row>
    <row r="611" spans="1:11">
      <c r="A611" t="s">
        <v>179</v>
      </c>
      <c r="B611" s="6"/>
      <c r="C611" s="6"/>
      <c r="D611" s="6"/>
      <c r="E611" s="6"/>
      <c r="F611" s="6"/>
      <c r="G611" s="6">
        <v>-3.2814125999999999</v>
      </c>
      <c r="H611" t="s">
        <v>17</v>
      </c>
      <c r="I611" t="s">
        <v>17</v>
      </c>
    </row>
    <row r="612" spans="1:11">
      <c r="A612" t="s">
        <v>180</v>
      </c>
      <c r="B612" s="6"/>
      <c r="C612" s="6"/>
      <c r="D612" s="6">
        <v>2.3160086</v>
      </c>
      <c r="E612" s="6"/>
      <c r="F612" s="6"/>
      <c r="G612" s="6"/>
      <c r="H612" t="s">
        <v>17</v>
      </c>
      <c r="I612" t="s">
        <v>17</v>
      </c>
    </row>
    <row r="613" spans="1:11">
      <c r="A613" t="s">
        <v>181</v>
      </c>
      <c r="B613" s="6"/>
      <c r="C613" s="6"/>
      <c r="D613" s="6"/>
      <c r="E613" s="6"/>
      <c r="F613" s="6"/>
      <c r="G613" s="6">
        <v>-2.7909459999999999</v>
      </c>
      <c r="H613" t="s">
        <v>17</v>
      </c>
      <c r="I613" t="s">
        <v>17</v>
      </c>
    </row>
    <row r="614" spans="1:11">
      <c r="A614" t="s">
        <v>182</v>
      </c>
      <c r="B614" s="6"/>
      <c r="C614" s="6"/>
      <c r="D614" s="6"/>
      <c r="E614" s="6">
        <v>-3.5317816999999998</v>
      </c>
      <c r="F614" s="6">
        <v>-3.6203903999999998</v>
      </c>
      <c r="G614" s="6">
        <v>-4.9452759999999998</v>
      </c>
      <c r="H614" t="s">
        <v>17</v>
      </c>
      <c r="I614" t="s">
        <v>17</v>
      </c>
    </row>
    <row r="615" spans="1:11">
      <c r="A615" t="s">
        <v>183</v>
      </c>
      <c r="B615" s="6"/>
      <c r="C615" s="6"/>
      <c r="D615" s="6"/>
      <c r="E615" s="6"/>
      <c r="F615" s="6"/>
      <c r="G615" s="6"/>
      <c r="H615" t="s">
        <v>17</v>
      </c>
      <c r="I615" t="s">
        <v>17</v>
      </c>
    </row>
    <row r="616" spans="1:11">
      <c r="A616" t="s">
        <v>184</v>
      </c>
      <c r="B616" s="6"/>
      <c r="C616" s="6"/>
      <c r="D616" s="6"/>
      <c r="E616" s="6"/>
      <c r="F616" s="6"/>
      <c r="G616" s="6">
        <v>-2.0590649000000001</v>
      </c>
      <c r="H616" t="s">
        <v>17</v>
      </c>
      <c r="I616" t="s">
        <v>17</v>
      </c>
      <c r="K616" t="s">
        <v>185</v>
      </c>
    </row>
    <row r="617" spans="1:11">
      <c r="A617" t="s">
        <v>186</v>
      </c>
      <c r="B617" s="6"/>
      <c r="C617" s="6">
        <v>2.1412745000000002</v>
      </c>
      <c r="D617" s="6">
        <v>2.5581927000000002</v>
      </c>
      <c r="E617" s="6"/>
      <c r="F617" s="6"/>
      <c r="G617" s="6"/>
      <c r="H617" t="s">
        <v>17</v>
      </c>
      <c r="I617" t="s">
        <v>17</v>
      </c>
    </row>
    <row r="618" spans="1:11">
      <c r="A618" t="s">
        <v>550</v>
      </c>
      <c r="B618" s="6"/>
      <c r="C618" s="6"/>
      <c r="D618" s="6"/>
      <c r="E618" s="6">
        <v>-2.2564087000000002</v>
      </c>
      <c r="F618" s="6">
        <v>-2.2742882</v>
      </c>
      <c r="G618" s="6">
        <v>-2.8237220000000001</v>
      </c>
      <c r="H618" t="s">
        <v>17</v>
      </c>
      <c r="I618" t="s">
        <v>17</v>
      </c>
    </row>
    <row r="619" spans="1:11">
      <c r="A619" t="s">
        <v>187</v>
      </c>
      <c r="B619" s="6"/>
      <c r="C619" s="6"/>
      <c r="D619" s="6"/>
      <c r="E619" s="6"/>
      <c r="F619" s="6"/>
      <c r="G619" s="6"/>
      <c r="H619" t="s">
        <v>17</v>
      </c>
      <c r="I619" t="s">
        <v>17</v>
      </c>
    </row>
    <row r="620" spans="1:11">
      <c r="A620" t="s">
        <v>188</v>
      </c>
      <c r="B620" s="6"/>
      <c r="C620" s="6"/>
      <c r="D620" s="6"/>
      <c r="E620" s="6">
        <v>-2.0699179999999999</v>
      </c>
      <c r="F620" s="6"/>
      <c r="G620" s="6"/>
      <c r="H620" t="s">
        <v>17</v>
      </c>
      <c r="I620" t="s">
        <v>17</v>
      </c>
    </row>
    <row r="621" spans="1:11">
      <c r="A621" t="s">
        <v>189</v>
      </c>
      <c r="B621" s="6"/>
      <c r="C621" s="6">
        <v>2.0853505000000001</v>
      </c>
      <c r="D621" s="6"/>
      <c r="E621" s="6"/>
      <c r="F621" s="6"/>
      <c r="G621" s="6"/>
      <c r="H621" t="s">
        <v>17</v>
      </c>
      <c r="I621" t="s">
        <v>17</v>
      </c>
    </row>
    <row r="622" spans="1:11">
      <c r="A622" t="s">
        <v>190</v>
      </c>
      <c r="B622" s="6"/>
      <c r="C622" s="6"/>
      <c r="D622" s="6"/>
      <c r="E622" s="6"/>
      <c r="F622" s="6"/>
      <c r="G622" s="6">
        <v>-2.5424047000000001</v>
      </c>
      <c r="H622" t="s">
        <v>17</v>
      </c>
      <c r="I622" t="s">
        <v>17</v>
      </c>
    </row>
    <row r="623" spans="1:11">
      <c r="A623" t="s">
        <v>191</v>
      </c>
      <c r="B623" s="6"/>
      <c r="C623" s="6"/>
      <c r="D623" s="6"/>
      <c r="E623" s="6"/>
      <c r="F623" s="6"/>
      <c r="G623" s="6">
        <v>-2.7753057000000001</v>
      </c>
      <c r="H623" t="s">
        <v>17</v>
      </c>
      <c r="I623" t="s">
        <v>17</v>
      </c>
    </row>
    <row r="624" spans="1:11">
      <c r="A624" t="s">
        <v>192</v>
      </c>
      <c r="B624" s="6"/>
      <c r="C624" s="6"/>
      <c r="D624" s="6"/>
      <c r="E624" s="6"/>
      <c r="F624" s="6"/>
      <c r="G624" s="6">
        <v>-2.9133406000000002</v>
      </c>
      <c r="H624" t="s">
        <v>17</v>
      </c>
      <c r="I624" t="s">
        <v>17</v>
      </c>
    </row>
    <row r="625" spans="1:9">
      <c r="A625" t="s">
        <v>193</v>
      </c>
      <c r="B625" s="6"/>
      <c r="C625" s="6"/>
      <c r="D625" s="6"/>
      <c r="E625" s="6"/>
      <c r="F625" s="6"/>
      <c r="G625" s="6">
        <v>-2.1579394000000001</v>
      </c>
      <c r="H625" t="s">
        <v>17</v>
      </c>
      <c r="I625" t="s">
        <v>17</v>
      </c>
    </row>
    <row r="626" spans="1:9">
      <c r="A626" t="s">
        <v>194</v>
      </c>
      <c r="B626" s="6"/>
      <c r="C626" s="6"/>
      <c r="D626" s="6"/>
      <c r="E626" s="6"/>
      <c r="F626" s="6"/>
      <c r="G626" s="6">
        <v>-2.4149400000000001</v>
      </c>
      <c r="H626" t="s">
        <v>17</v>
      </c>
      <c r="I626" t="s">
        <v>17</v>
      </c>
    </row>
    <row r="627" spans="1:9">
      <c r="A627" t="s">
        <v>195</v>
      </c>
      <c r="B627" s="6"/>
      <c r="C627" s="6"/>
      <c r="D627" s="6">
        <v>3.1342954999999999</v>
      </c>
      <c r="E627" s="6"/>
      <c r="F627" s="6"/>
      <c r="G627" s="6"/>
      <c r="H627" t="s">
        <v>17</v>
      </c>
      <c r="I627" t="s">
        <v>17</v>
      </c>
    </row>
    <row r="628" spans="1:9">
      <c r="A628" t="s">
        <v>196</v>
      </c>
      <c r="B628" s="6"/>
      <c r="C628" s="6"/>
      <c r="D628" s="6"/>
      <c r="E628" s="6"/>
      <c r="F628" s="6"/>
      <c r="G628" s="6">
        <v>-2.2377071000000002</v>
      </c>
      <c r="H628" t="s">
        <v>17</v>
      </c>
      <c r="I628" t="s">
        <v>17</v>
      </c>
    </row>
    <row r="629" spans="1:9">
      <c r="A629" t="s">
        <v>197</v>
      </c>
      <c r="B629" s="6"/>
      <c r="C629" s="6"/>
      <c r="D629" s="6"/>
      <c r="E629" s="6"/>
      <c r="F629" s="6"/>
      <c r="G629" s="6">
        <v>-2.3981620000000001</v>
      </c>
      <c r="H629" t="s">
        <v>17</v>
      </c>
      <c r="I629" t="s">
        <v>17</v>
      </c>
    </row>
    <row r="630" spans="1:9">
      <c r="A630" t="s">
        <v>198</v>
      </c>
      <c r="B630" s="6"/>
      <c r="C630" s="6"/>
      <c r="D630" s="6"/>
      <c r="E630" s="6"/>
      <c r="F630" s="6"/>
      <c r="G630" s="6"/>
      <c r="H630" t="s">
        <v>17</v>
      </c>
      <c r="I630" t="s">
        <v>17</v>
      </c>
    </row>
    <row r="631" spans="1:9">
      <c r="A631" t="s">
        <v>199</v>
      </c>
      <c r="B631" s="6"/>
      <c r="C631" s="6"/>
      <c r="D631" s="6"/>
      <c r="E631" s="6"/>
      <c r="F631" s="6"/>
      <c r="G631" s="6">
        <v>-2.2583652000000001</v>
      </c>
      <c r="H631" t="s">
        <v>17</v>
      </c>
      <c r="I631" t="s">
        <v>17</v>
      </c>
    </row>
    <row r="632" spans="1:9">
      <c r="A632" t="s">
        <v>200</v>
      </c>
      <c r="B632" s="6"/>
      <c r="C632" s="6"/>
      <c r="D632" s="6"/>
      <c r="E632" s="6"/>
      <c r="F632" s="6"/>
      <c r="G632" s="6"/>
      <c r="H632" t="s">
        <v>17</v>
      </c>
      <c r="I632" t="s">
        <v>17</v>
      </c>
    </row>
    <row r="633" spans="1:9">
      <c r="A633" t="s">
        <v>201</v>
      </c>
      <c r="B633" s="6">
        <v>2.1125913000000001</v>
      </c>
      <c r="C633" s="6">
        <v>2.1245718</v>
      </c>
      <c r="D633" s="6">
        <v>3.3460822000000001</v>
      </c>
      <c r="E633" s="6"/>
      <c r="F633" s="6"/>
      <c r="G633" s="6"/>
      <c r="H633" t="s">
        <v>17</v>
      </c>
      <c r="I633" t="s">
        <v>17</v>
      </c>
    </row>
    <row r="634" spans="1:9">
      <c r="A634" t="s">
        <v>202</v>
      </c>
      <c r="B634" s="6"/>
      <c r="C634" s="6"/>
      <c r="D634" s="6"/>
      <c r="E634" s="6">
        <v>-2.7983956000000001</v>
      </c>
      <c r="F634" s="6">
        <v>-2.9103074000000002</v>
      </c>
      <c r="G634" s="6">
        <v>-4.0324270000000002</v>
      </c>
      <c r="H634" t="s">
        <v>17</v>
      </c>
      <c r="I634" t="s">
        <v>17</v>
      </c>
    </row>
    <row r="635" spans="1:9">
      <c r="A635" t="s">
        <v>203</v>
      </c>
      <c r="B635" s="6"/>
      <c r="C635" s="6"/>
      <c r="D635" s="6"/>
      <c r="E635" s="6"/>
      <c r="F635" s="6"/>
      <c r="G635" s="6"/>
      <c r="H635" t="s">
        <v>17</v>
      </c>
      <c r="I635" t="s">
        <v>17</v>
      </c>
    </row>
    <row r="636" spans="1:9">
      <c r="A636" t="s">
        <v>204</v>
      </c>
      <c r="B636" s="6"/>
      <c r="C636" s="6"/>
      <c r="D636" s="6"/>
      <c r="E636" s="6">
        <v>-2.5764703999999998</v>
      </c>
      <c r="F636" s="6">
        <v>-2.405427</v>
      </c>
      <c r="G636" s="6">
        <v>-4.5837950000000003</v>
      </c>
      <c r="H636" t="s">
        <v>17</v>
      </c>
      <c r="I636" t="s">
        <v>17</v>
      </c>
    </row>
    <row r="637" spans="1:9">
      <c r="A637" t="s">
        <v>205</v>
      </c>
      <c r="B637" s="6"/>
      <c r="C637" s="6"/>
      <c r="D637" s="6"/>
      <c r="E637" s="6"/>
      <c r="F637" s="6"/>
      <c r="G637" s="6">
        <v>-2.5296496999999998</v>
      </c>
      <c r="H637" t="s">
        <v>17</v>
      </c>
      <c r="I637" t="s">
        <v>17</v>
      </c>
    </row>
    <row r="638" spans="1:9">
      <c r="A638" t="s">
        <v>206</v>
      </c>
      <c r="B638" s="6"/>
      <c r="C638" s="6"/>
      <c r="D638" s="6"/>
      <c r="E638" s="6"/>
      <c r="F638" s="6"/>
      <c r="G638" s="6">
        <v>-2.049439</v>
      </c>
      <c r="H638" t="s">
        <v>17</v>
      </c>
      <c r="I638" t="s">
        <v>17</v>
      </c>
    </row>
    <row r="639" spans="1:9">
      <c r="A639" t="s">
        <v>207</v>
      </c>
      <c r="B639" s="6"/>
      <c r="C639" s="6"/>
      <c r="D639" s="6"/>
      <c r="E639" s="6"/>
      <c r="F639" s="6"/>
      <c r="G639" s="6">
        <v>-2.0060758999999999</v>
      </c>
      <c r="H639" t="s">
        <v>17</v>
      </c>
      <c r="I639" t="s">
        <v>17</v>
      </c>
    </row>
    <row r="640" spans="1:9">
      <c r="A640" t="s">
        <v>208</v>
      </c>
      <c r="B640" s="6"/>
      <c r="C640" s="6"/>
      <c r="D640" s="6"/>
      <c r="E640" s="6"/>
      <c r="F640" s="6"/>
      <c r="G640" s="6">
        <v>-2.2634306</v>
      </c>
      <c r="H640" t="s">
        <v>17</v>
      </c>
      <c r="I640" t="s">
        <v>17</v>
      </c>
    </row>
    <row r="641" spans="1:9">
      <c r="A641" t="s">
        <v>209</v>
      </c>
      <c r="B641" s="6"/>
      <c r="C641" s="6"/>
      <c r="D641" s="6"/>
      <c r="E641" s="6"/>
      <c r="F641" s="6"/>
      <c r="G641" s="6">
        <v>-2.1705804</v>
      </c>
      <c r="H641" t="s">
        <v>17</v>
      </c>
      <c r="I641" t="s">
        <v>17</v>
      </c>
    </row>
    <row r="642" spans="1:9">
      <c r="A642" t="s">
        <v>210</v>
      </c>
      <c r="B642" s="6"/>
      <c r="C642" s="6"/>
      <c r="D642" s="6"/>
      <c r="E642" s="6"/>
      <c r="F642" s="6"/>
      <c r="G642" s="6">
        <v>-2.5111856000000001</v>
      </c>
      <c r="H642" t="s">
        <v>17</v>
      </c>
      <c r="I642" t="s">
        <v>17</v>
      </c>
    </row>
    <row r="643" spans="1:9">
      <c r="A643" t="s">
        <v>211</v>
      </c>
      <c r="B643" s="6"/>
      <c r="C643" s="6"/>
      <c r="D643" s="6"/>
      <c r="E643" s="6"/>
      <c r="F643" s="6"/>
      <c r="G643" s="6">
        <v>-2.0139794000000002</v>
      </c>
      <c r="H643" t="s">
        <v>17</v>
      </c>
      <c r="I643" t="s">
        <v>17</v>
      </c>
    </row>
    <row r="644" spans="1:9">
      <c r="A644" t="s">
        <v>212</v>
      </c>
      <c r="B644" s="6"/>
      <c r="C644" s="6"/>
      <c r="D644" s="6"/>
      <c r="E644" s="6"/>
      <c r="F644" s="6"/>
      <c r="G644" s="6">
        <v>-2.9291676999999998</v>
      </c>
      <c r="H644" t="s">
        <v>17</v>
      </c>
      <c r="I644" t="s">
        <v>17</v>
      </c>
    </row>
    <row r="645" spans="1:9">
      <c r="A645" t="s">
        <v>213</v>
      </c>
      <c r="B645" s="6"/>
      <c r="C645" s="6"/>
      <c r="D645" s="6"/>
      <c r="E645" s="6"/>
      <c r="F645" s="6"/>
      <c r="G645" s="6">
        <v>-2.5355340000000002</v>
      </c>
      <c r="H645" t="s">
        <v>17</v>
      </c>
      <c r="I645" t="s">
        <v>17</v>
      </c>
    </row>
    <row r="646" spans="1:9">
      <c r="A646" t="s">
        <v>214</v>
      </c>
      <c r="B646" s="6"/>
      <c r="C646" s="6"/>
      <c r="D646" s="6"/>
      <c r="E646" s="6"/>
      <c r="F646" s="6">
        <v>-2.060978</v>
      </c>
      <c r="G646" s="6"/>
      <c r="H646" t="s">
        <v>17</v>
      </c>
      <c r="I646" t="s">
        <v>17</v>
      </c>
    </row>
    <row r="647" spans="1:9">
      <c r="A647" t="s">
        <v>215</v>
      </c>
      <c r="B647" s="6"/>
      <c r="C647" s="6"/>
      <c r="D647" s="6"/>
      <c r="E647" s="6"/>
      <c r="F647" s="6"/>
      <c r="G647" s="6">
        <v>-2.4805882000000001</v>
      </c>
      <c r="H647" t="s">
        <v>17</v>
      </c>
      <c r="I647" t="s">
        <v>17</v>
      </c>
    </row>
    <row r="648" spans="1:9">
      <c r="A648" t="s">
        <v>216</v>
      </c>
      <c r="B648" s="6"/>
      <c r="C648" s="6"/>
      <c r="D648" s="6"/>
      <c r="E648" s="6"/>
      <c r="F648" s="6"/>
      <c r="G648" s="6"/>
      <c r="H648" t="s">
        <v>17</v>
      </c>
      <c r="I648" t="s">
        <v>17</v>
      </c>
    </row>
    <row r="649" spans="1:9">
      <c r="A649" t="s">
        <v>217</v>
      </c>
      <c r="B649" s="6"/>
      <c r="C649" s="6"/>
      <c r="D649" s="6"/>
      <c r="E649" s="6"/>
      <c r="F649" s="6"/>
      <c r="G649" s="6">
        <v>-2.7552192</v>
      </c>
      <c r="H649" t="s">
        <v>17</v>
      </c>
      <c r="I649" t="s">
        <v>17</v>
      </c>
    </row>
    <row r="650" spans="1:9">
      <c r="A650" t="s">
        <v>218</v>
      </c>
      <c r="B650" s="6"/>
      <c r="C650" s="6"/>
      <c r="D650" s="6"/>
      <c r="E650" s="6"/>
      <c r="F650" s="6"/>
      <c r="G650" s="6"/>
      <c r="H650" t="s">
        <v>17</v>
      </c>
      <c r="I650" t="s">
        <v>17</v>
      </c>
    </row>
    <row r="651" spans="1:9">
      <c r="A651" t="s">
        <v>219</v>
      </c>
      <c r="B651" s="6"/>
      <c r="C651" s="6"/>
      <c r="D651" s="6"/>
      <c r="E651" s="6"/>
      <c r="F651" s="6">
        <v>-2.4337854000000001</v>
      </c>
      <c r="G651" s="6"/>
      <c r="H651" t="s">
        <v>17</v>
      </c>
      <c r="I651" t="s">
        <v>17</v>
      </c>
    </row>
    <row r="652" spans="1:9">
      <c r="A652" t="s">
        <v>220</v>
      </c>
      <c r="B652" s="6"/>
      <c r="C652" s="6"/>
      <c r="D652" s="6"/>
      <c r="E652" s="6"/>
      <c r="F652" s="6"/>
      <c r="G652" s="6"/>
      <c r="H652" t="s">
        <v>17</v>
      </c>
      <c r="I652" t="s">
        <v>17</v>
      </c>
    </row>
    <row r="653" spans="1:9">
      <c r="A653" t="s">
        <v>221</v>
      </c>
      <c r="B653" s="6"/>
      <c r="C653" s="6"/>
      <c r="D653" s="6"/>
      <c r="E653" s="6"/>
      <c r="F653" s="6"/>
      <c r="G653" s="6"/>
      <c r="H653" t="s">
        <v>17</v>
      </c>
      <c r="I653" t="s">
        <v>17</v>
      </c>
    </row>
    <row r="654" spans="1:9">
      <c r="A654" t="s">
        <v>222</v>
      </c>
      <c r="B654" s="6"/>
      <c r="C654" s="6">
        <v>3.1579160000000002</v>
      </c>
      <c r="D654" s="6">
        <v>2.3321314000000002</v>
      </c>
      <c r="E654" s="6"/>
      <c r="F654" s="6"/>
      <c r="G654" s="6"/>
      <c r="H654" t="s">
        <v>17</v>
      </c>
      <c r="I654" t="s">
        <v>17</v>
      </c>
    </row>
    <row r="655" spans="1:9">
      <c r="A655" t="s">
        <v>223</v>
      </c>
      <c r="B655" s="6"/>
      <c r="C655" s="6"/>
      <c r="D655" s="6"/>
      <c r="E655" s="6"/>
      <c r="F655" s="6"/>
      <c r="G655" s="6">
        <v>-2.8377104000000002</v>
      </c>
      <c r="H655" t="s">
        <v>17</v>
      </c>
      <c r="I655" t="s">
        <v>17</v>
      </c>
    </row>
    <row r="656" spans="1:9">
      <c r="A656" t="s">
        <v>224</v>
      </c>
      <c r="B656" s="6"/>
      <c r="C656" s="6"/>
      <c r="D656" s="6"/>
      <c r="E656" s="6"/>
      <c r="F656" s="6"/>
      <c r="G656" s="6">
        <v>-2.3946947999999999</v>
      </c>
      <c r="H656" t="s">
        <v>17</v>
      </c>
      <c r="I656" t="s">
        <v>17</v>
      </c>
    </row>
    <row r="657" spans="1:9">
      <c r="A657" t="s">
        <v>225</v>
      </c>
      <c r="B657" s="6"/>
      <c r="C657" s="6"/>
      <c r="D657" s="6"/>
      <c r="E657" s="6"/>
      <c r="F657" s="6"/>
      <c r="G657" s="6">
        <v>-2.9714646</v>
      </c>
      <c r="H657" t="s">
        <v>17</v>
      </c>
      <c r="I657" t="s">
        <v>17</v>
      </c>
    </row>
    <row r="658" spans="1:9">
      <c r="A658" t="s">
        <v>226</v>
      </c>
      <c r="B658" s="6"/>
      <c r="C658" s="6">
        <v>2.1863207999999998</v>
      </c>
      <c r="D658" s="6">
        <v>2.3340301999999999</v>
      </c>
      <c r="E658" s="6"/>
      <c r="F658" s="6"/>
      <c r="G658" s="6"/>
      <c r="H658" t="s">
        <v>17</v>
      </c>
      <c r="I658" t="s">
        <v>17</v>
      </c>
    </row>
    <row r="659" spans="1:9">
      <c r="A659" t="s">
        <v>227</v>
      </c>
      <c r="B659" s="6"/>
      <c r="C659" s="6"/>
      <c r="D659" s="6">
        <v>2.4882083000000002</v>
      </c>
      <c r="E659" s="6"/>
      <c r="F659" s="6"/>
      <c r="G659" s="6"/>
      <c r="H659" t="s">
        <v>17</v>
      </c>
      <c r="I659" t="s">
        <v>17</v>
      </c>
    </row>
    <row r="660" spans="1:9">
      <c r="A660" s="39" t="s">
        <v>228</v>
      </c>
      <c r="B660" s="40"/>
      <c r="C660" s="40"/>
      <c r="D660" s="40"/>
      <c r="E660" s="40">
        <v>-5.7594120000000002</v>
      </c>
      <c r="F660" s="40">
        <v>-5.1401643999999997</v>
      </c>
      <c r="G660" s="40">
        <v>-7.4613275999999997</v>
      </c>
      <c r="H660" t="s">
        <v>17</v>
      </c>
      <c r="I660" t="s">
        <v>17</v>
      </c>
    </row>
    <row r="661" spans="1:9">
      <c r="A661" t="s">
        <v>229</v>
      </c>
      <c r="B661" s="6"/>
      <c r="C661" s="6"/>
      <c r="D661" s="6"/>
      <c r="E661" s="6"/>
      <c r="F661" s="6"/>
      <c r="G661" s="6">
        <v>-2.6403349999999999</v>
      </c>
      <c r="H661" t="s">
        <v>17</v>
      </c>
      <c r="I661" t="s">
        <v>17</v>
      </c>
    </row>
    <row r="662" spans="1:9">
      <c r="A662" t="s">
        <v>230</v>
      </c>
      <c r="B662" s="6"/>
      <c r="C662" s="6"/>
      <c r="D662" s="6"/>
      <c r="E662" s="6"/>
      <c r="F662" s="6"/>
      <c r="G662" s="6">
        <v>-3.2886329000000001</v>
      </c>
      <c r="H662" t="s">
        <v>17</v>
      </c>
      <c r="I662" t="s">
        <v>17</v>
      </c>
    </row>
    <row r="663" spans="1:9">
      <c r="A663" t="s">
        <v>231</v>
      </c>
      <c r="B663" s="6"/>
      <c r="C663" s="6"/>
      <c r="D663" s="6"/>
      <c r="E663" s="6">
        <v>-3.4680447999999999</v>
      </c>
      <c r="F663" s="6">
        <v>-3.133988</v>
      </c>
      <c r="G663" s="6">
        <v>-4.3816170000000003</v>
      </c>
      <c r="H663" t="s">
        <v>17</v>
      </c>
      <c r="I663" t="s">
        <v>17</v>
      </c>
    </row>
    <row r="664" spans="1:9">
      <c r="A664" t="s">
        <v>232</v>
      </c>
      <c r="B664" s="6"/>
      <c r="C664" s="6"/>
      <c r="D664" s="6"/>
      <c r="E664" s="6"/>
      <c r="F664" s="6"/>
      <c r="G664" s="6">
        <v>-3.3262596000000002</v>
      </c>
      <c r="H664" t="s">
        <v>17</v>
      </c>
      <c r="I664" t="s">
        <v>17</v>
      </c>
    </row>
    <row r="665" spans="1:9">
      <c r="A665" t="s">
        <v>233</v>
      </c>
      <c r="B665" s="6">
        <v>2.1064843999999998</v>
      </c>
      <c r="C665" s="6">
        <v>2.909319</v>
      </c>
      <c r="D665" s="6">
        <v>2.4709053000000001</v>
      </c>
      <c r="E665" s="6"/>
      <c r="F665" s="6"/>
      <c r="G665" s="6"/>
      <c r="H665" t="s">
        <v>17</v>
      </c>
      <c r="I665" t="s">
        <v>17</v>
      </c>
    </row>
    <row r="666" spans="1:9">
      <c r="A666" t="s">
        <v>234</v>
      </c>
      <c r="B666" s="6"/>
      <c r="C666" s="6"/>
      <c r="D666" s="6"/>
      <c r="E666" s="6"/>
      <c r="F666" s="6"/>
      <c r="G666" s="6">
        <v>-3.1846801999999999</v>
      </c>
      <c r="H666" t="s">
        <v>17</v>
      </c>
      <c r="I666" t="s">
        <v>17</v>
      </c>
    </row>
    <row r="667" spans="1:9">
      <c r="A667" t="s">
        <v>235</v>
      </c>
      <c r="B667" s="6"/>
      <c r="C667" s="6"/>
      <c r="D667" s="6"/>
      <c r="E667" s="6"/>
      <c r="F667" s="6"/>
      <c r="G667" s="6"/>
      <c r="H667" t="s">
        <v>17</v>
      </c>
      <c r="I667" t="s">
        <v>17</v>
      </c>
    </row>
    <row r="668" spans="1:9">
      <c r="A668" t="s">
        <v>236</v>
      </c>
      <c r="B668" s="6"/>
      <c r="C668" s="6"/>
      <c r="D668" s="6"/>
      <c r="E668" s="6"/>
      <c r="F668" s="6"/>
      <c r="G668" s="6">
        <v>-2.5737356999999998</v>
      </c>
      <c r="H668" t="s">
        <v>17</v>
      </c>
      <c r="I668" t="s">
        <v>17</v>
      </c>
    </row>
    <row r="669" spans="1:9">
      <c r="A669" t="s">
        <v>237</v>
      </c>
      <c r="B669" s="6"/>
      <c r="C669" s="6">
        <v>2.9023241999999998</v>
      </c>
      <c r="D669" s="6"/>
      <c r="E669" s="6"/>
      <c r="F669" s="6"/>
      <c r="G669" s="6"/>
      <c r="H669" t="s">
        <v>17</v>
      </c>
      <c r="I669" t="s">
        <v>17</v>
      </c>
    </row>
    <row r="670" spans="1:9">
      <c r="A670" t="s">
        <v>238</v>
      </c>
      <c r="B670" s="6"/>
      <c r="C670" s="6"/>
      <c r="D670" s="6"/>
      <c r="E670" s="6"/>
      <c r="F670" s="6"/>
      <c r="G670" s="6">
        <v>-2.6364383999999998</v>
      </c>
      <c r="H670" t="s">
        <v>17</v>
      </c>
      <c r="I670" t="s">
        <v>17</v>
      </c>
    </row>
    <row r="671" spans="1:9">
      <c r="A671" t="s">
        <v>239</v>
      </c>
      <c r="B671" s="6"/>
      <c r="C671" s="6"/>
      <c r="D671" s="6"/>
      <c r="E671" s="6"/>
      <c r="F671" s="6"/>
      <c r="G671" s="6"/>
      <c r="H671" t="s">
        <v>17</v>
      </c>
      <c r="I671" t="s">
        <v>17</v>
      </c>
    </row>
    <row r="672" spans="1:9">
      <c r="A672" t="s">
        <v>240</v>
      </c>
      <c r="B672" s="6"/>
      <c r="C672" s="6">
        <v>3.4723267999999998</v>
      </c>
      <c r="D672" s="6">
        <v>2.3239665</v>
      </c>
      <c r="E672" s="6"/>
      <c r="F672" s="6"/>
      <c r="G672" s="6"/>
      <c r="H672" t="s">
        <v>17</v>
      </c>
      <c r="I672" t="s">
        <v>17</v>
      </c>
    </row>
    <row r="673" spans="1:9">
      <c r="A673" t="s">
        <v>241</v>
      </c>
      <c r="B673" s="6"/>
      <c r="C673" s="6">
        <v>2.2952713999999999</v>
      </c>
      <c r="D673" s="6"/>
      <c r="E673" s="6"/>
      <c r="F673" s="6"/>
      <c r="G673" s="6"/>
      <c r="H673" t="s">
        <v>17</v>
      </c>
      <c r="I673" t="s">
        <v>17</v>
      </c>
    </row>
    <row r="674" spans="1:9">
      <c r="A674" t="s">
        <v>242</v>
      </c>
      <c r="B674" s="6"/>
      <c r="C674" s="6"/>
      <c r="D674" s="6"/>
      <c r="E674" s="6"/>
      <c r="F674" s="6">
        <v>-2.0081229999999999</v>
      </c>
      <c r="G674" s="6">
        <v>-3.3535159999999999</v>
      </c>
      <c r="H674" t="s">
        <v>17</v>
      </c>
      <c r="I674" t="s">
        <v>17</v>
      </c>
    </row>
    <row r="675" spans="1:9">
      <c r="A675" t="s">
        <v>243</v>
      </c>
      <c r="B675" s="6"/>
      <c r="C675" s="6"/>
      <c r="D675" s="6"/>
      <c r="E675" s="6"/>
      <c r="F675" s="6">
        <v>-2.2348151000000001</v>
      </c>
      <c r="G675" s="6"/>
      <c r="H675" t="s">
        <v>17</v>
      </c>
      <c r="I675" t="s">
        <v>17</v>
      </c>
    </row>
    <row r="676" spans="1:9">
      <c r="A676" t="s">
        <v>244</v>
      </c>
      <c r="B676" s="6"/>
      <c r="C676" s="6"/>
      <c r="D676" s="6"/>
      <c r="E676" s="6"/>
      <c r="F676" s="6"/>
      <c r="G676" s="6">
        <v>-3.514192</v>
      </c>
      <c r="H676" t="s">
        <v>17</v>
      </c>
      <c r="I676" t="s">
        <v>17</v>
      </c>
    </row>
    <row r="677" spans="1:9">
      <c r="A677" t="s">
        <v>245</v>
      </c>
      <c r="B677" s="6"/>
      <c r="C677" s="6"/>
      <c r="D677" s="6"/>
      <c r="E677" s="6"/>
      <c r="F677" s="6">
        <v>-2.4317348000000001</v>
      </c>
      <c r="G677" s="6">
        <v>-3.4762366</v>
      </c>
      <c r="H677" t="s">
        <v>17</v>
      </c>
      <c r="I677" t="s">
        <v>17</v>
      </c>
    </row>
    <row r="678" spans="1:9" s="39" customFormat="1">
      <c r="A678" s="39" t="s">
        <v>246</v>
      </c>
      <c r="B678" s="40"/>
      <c r="C678" s="40"/>
      <c r="D678" s="40"/>
      <c r="E678" s="40">
        <v>-3.6357387999999999</v>
      </c>
      <c r="F678" s="40">
        <v>-4.6301674999999998</v>
      </c>
      <c r="G678" s="40">
        <v>-5.6662907999999996</v>
      </c>
      <c r="H678" s="39" t="s">
        <v>17</v>
      </c>
      <c r="I678" s="39" t="s">
        <v>17</v>
      </c>
    </row>
    <row r="679" spans="1:9">
      <c r="A679" t="s">
        <v>247</v>
      </c>
      <c r="B679" s="6"/>
      <c r="C679" s="6"/>
      <c r="D679" s="6"/>
      <c r="E679" s="6"/>
      <c r="F679" s="6"/>
      <c r="G679" s="6">
        <v>-2.3829129999999998</v>
      </c>
      <c r="H679" t="s">
        <v>17</v>
      </c>
      <c r="I679" t="s">
        <v>17</v>
      </c>
    </row>
    <row r="680" spans="1:9">
      <c r="A680" t="s">
        <v>248</v>
      </c>
      <c r="B680" s="6"/>
      <c r="C680" s="6"/>
      <c r="D680" s="6"/>
      <c r="E680" s="6"/>
      <c r="F680" s="6"/>
      <c r="G680" s="6">
        <v>-2.9858956000000001</v>
      </c>
      <c r="H680" t="s">
        <v>17</v>
      </c>
      <c r="I680" t="s">
        <v>17</v>
      </c>
    </row>
    <row r="681" spans="1:9">
      <c r="A681" t="s">
        <v>249</v>
      </c>
      <c r="B681" s="6"/>
      <c r="C681" s="6"/>
      <c r="D681" s="6"/>
      <c r="E681" s="6"/>
      <c r="F681" s="6"/>
      <c r="G681" s="6">
        <v>-2.2357657</v>
      </c>
      <c r="H681" t="s">
        <v>17</v>
      </c>
      <c r="I681" t="s">
        <v>17</v>
      </c>
    </row>
    <row r="682" spans="1:9">
      <c r="A682" t="s">
        <v>250</v>
      </c>
      <c r="B682" s="6"/>
      <c r="C682" s="6"/>
      <c r="D682" s="6"/>
      <c r="E682" s="6"/>
      <c r="F682" s="6">
        <v>-2.1225442999999999</v>
      </c>
      <c r="G682" s="6">
        <v>-2.1981660000000001</v>
      </c>
      <c r="H682" t="s">
        <v>17</v>
      </c>
      <c r="I682" t="s">
        <v>17</v>
      </c>
    </row>
    <row r="683" spans="1:9">
      <c r="A683" t="s">
        <v>251</v>
      </c>
      <c r="B683" s="6"/>
      <c r="C683" s="6"/>
      <c r="D683" s="6"/>
      <c r="E683" s="6"/>
      <c r="F683" s="6"/>
      <c r="G683" s="6">
        <v>-2.7833714000000001</v>
      </c>
      <c r="H683" t="s">
        <v>17</v>
      </c>
      <c r="I683" t="s">
        <v>17</v>
      </c>
    </row>
    <row r="684" spans="1:9" s="39" customFormat="1">
      <c r="A684" s="39" t="s">
        <v>252</v>
      </c>
      <c r="B684" s="40"/>
      <c r="C684" s="40"/>
      <c r="D684" s="40"/>
      <c r="E684" s="40">
        <v>-4.3165190000000004</v>
      </c>
      <c r="F684" s="40">
        <v>-4.9269857000000004</v>
      </c>
      <c r="G684" s="40">
        <v>-3.2189179999999999</v>
      </c>
      <c r="H684" s="39" t="s">
        <v>17</v>
      </c>
      <c r="I684" s="39" t="s">
        <v>17</v>
      </c>
    </row>
    <row r="685" spans="1:9">
      <c r="A685" t="s">
        <v>253</v>
      </c>
      <c r="B685" s="6"/>
      <c r="C685" s="6"/>
      <c r="D685" s="6"/>
      <c r="E685" s="6"/>
      <c r="F685" s="6"/>
      <c r="G685" s="6">
        <v>-2.1561903999999998</v>
      </c>
      <c r="H685" t="s">
        <v>17</v>
      </c>
      <c r="I685" t="s">
        <v>17</v>
      </c>
    </row>
    <row r="686" spans="1:9">
      <c r="A686" t="s">
        <v>254</v>
      </c>
      <c r="B686" s="6"/>
      <c r="C686" s="6"/>
      <c r="D686" s="6"/>
      <c r="E686" s="6"/>
      <c r="F686" s="6"/>
      <c r="G686" s="6">
        <v>-2.1736784</v>
      </c>
      <c r="H686" t="s">
        <v>17</v>
      </c>
      <c r="I686" t="s">
        <v>17</v>
      </c>
    </row>
    <row r="687" spans="1:9">
      <c r="A687" t="s">
        <v>255</v>
      </c>
      <c r="B687" s="6"/>
      <c r="C687" s="6"/>
      <c r="D687" s="6"/>
      <c r="E687" s="6"/>
      <c r="F687" s="6"/>
      <c r="G687" s="6">
        <v>-2.8787574999999999</v>
      </c>
      <c r="H687" t="s">
        <v>17</v>
      </c>
      <c r="I687" t="s">
        <v>17</v>
      </c>
    </row>
    <row r="688" spans="1:9">
      <c r="A688" t="s">
        <v>256</v>
      </c>
      <c r="B688" s="6"/>
      <c r="C688" s="6"/>
      <c r="D688" s="6"/>
      <c r="E688" s="6"/>
      <c r="F688" s="6"/>
      <c r="G688" s="6">
        <v>-2.1195507</v>
      </c>
      <c r="H688" t="s">
        <v>17</v>
      </c>
      <c r="I688" t="s">
        <v>17</v>
      </c>
    </row>
    <row r="689" spans="1:9">
      <c r="A689" t="s">
        <v>257</v>
      </c>
      <c r="B689" s="6"/>
      <c r="C689" s="6"/>
      <c r="D689" s="6"/>
      <c r="E689" s="6"/>
      <c r="F689" s="6"/>
      <c r="G689" s="6">
        <v>-2.5767555</v>
      </c>
      <c r="H689" t="s">
        <v>17</v>
      </c>
      <c r="I689" t="s">
        <v>17</v>
      </c>
    </row>
    <row r="690" spans="1:9">
      <c r="A690" t="s">
        <v>258</v>
      </c>
      <c r="B690" s="6"/>
      <c r="C690" s="6"/>
      <c r="D690" s="6"/>
      <c r="E690" s="6"/>
      <c r="F690" s="6"/>
      <c r="G690" s="6">
        <v>-2.0605392</v>
      </c>
      <c r="H690" t="s">
        <v>17</v>
      </c>
      <c r="I690" t="s">
        <v>17</v>
      </c>
    </row>
    <row r="691" spans="1:9">
      <c r="A691" t="s">
        <v>259</v>
      </c>
      <c r="B691" s="6"/>
      <c r="C691" s="6"/>
      <c r="D691" s="6"/>
      <c r="E691" s="6"/>
      <c r="F691" s="6"/>
      <c r="G691" s="6"/>
      <c r="H691" t="s">
        <v>17</v>
      </c>
      <c r="I691" t="s">
        <v>17</v>
      </c>
    </row>
    <row r="692" spans="1:9">
      <c r="A692" t="s">
        <v>260</v>
      </c>
      <c r="B692" s="6"/>
      <c r="C692" s="6"/>
      <c r="D692" s="6"/>
      <c r="E692" s="6"/>
      <c r="F692" s="6"/>
      <c r="G692" s="6"/>
      <c r="H692" t="s">
        <v>17</v>
      </c>
      <c r="I692" t="s">
        <v>17</v>
      </c>
    </row>
    <row r="693" spans="1:9">
      <c r="A693" t="s">
        <v>261</v>
      </c>
      <c r="B693" s="6"/>
      <c r="C693" s="6"/>
      <c r="D693" s="6"/>
      <c r="E693" s="6"/>
      <c r="F693" s="6"/>
      <c r="G693" s="6">
        <v>-2.1406611999999998</v>
      </c>
      <c r="H693" t="s">
        <v>17</v>
      </c>
      <c r="I693" t="s">
        <v>17</v>
      </c>
    </row>
    <row r="694" spans="1:9">
      <c r="A694" t="s">
        <v>262</v>
      </c>
      <c r="B694" s="6"/>
      <c r="C694" s="6"/>
      <c r="D694" s="6"/>
      <c r="E694" s="6"/>
      <c r="F694" s="6"/>
      <c r="G694" s="6"/>
      <c r="H694" t="s">
        <v>17</v>
      </c>
      <c r="I694" t="s">
        <v>17</v>
      </c>
    </row>
    <row r="695" spans="1:9">
      <c r="A695" t="s">
        <v>263</v>
      </c>
      <c r="B695" s="6"/>
      <c r="C695" s="6"/>
      <c r="D695" s="6"/>
      <c r="E695" s="6"/>
      <c r="F695" s="6"/>
      <c r="G695" s="6">
        <v>-2.0265884000000001</v>
      </c>
      <c r="H695" t="s">
        <v>17</v>
      </c>
      <c r="I695" t="s">
        <v>17</v>
      </c>
    </row>
    <row r="696" spans="1:9">
      <c r="A696" t="s">
        <v>264</v>
      </c>
      <c r="B696" s="6"/>
      <c r="C696" s="6"/>
      <c r="D696" s="6"/>
      <c r="E696" s="6"/>
      <c r="F696" s="6"/>
      <c r="G696" s="6">
        <v>-2.1001978000000001</v>
      </c>
      <c r="H696" t="s">
        <v>17</v>
      </c>
      <c r="I696" t="s">
        <v>17</v>
      </c>
    </row>
    <row r="697" spans="1:9" s="39" customFormat="1">
      <c r="A697" s="39" t="s">
        <v>557</v>
      </c>
      <c r="B697" s="40"/>
      <c r="C697" s="40"/>
      <c r="D697" s="40"/>
      <c r="E697" s="40">
        <v>-4.9260979999999996</v>
      </c>
      <c r="F697" s="40">
        <v>-4.8218535999999999</v>
      </c>
      <c r="G697" s="40">
        <v>-8.6335519999999999</v>
      </c>
      <c r="H697" s="39" t="s">
        <v>17</v>
      </c>
      <c r="I697" s="39" t="s">
        <v>17</v>
      </c>
    </row>
    <row r="698" spans="1:9">
      <c r="A698" t="s">
        <v>265</v>
      </c>
      <c r="B698" s="6"/>
      <c r="C698" s="6"/>
      <c r="D698" s="6"/>
      <c r="E698" s="6"/>
      <c r="F698" s="6"/>
      <c r="G698" s="6">
        <v>-2.1409912000000002</v>
      </c>
      <c r="H698" t="s">
        <v>17</v>
      </c>
      <c r="I698" t="s">
        <v>17</v>
      </c>
    </row>
    <row r="699" spans="1:9">
      <c r="A699" t="s">
        <v>266</v>
      </c>
      <c r="B699" s="6"/>
      <c r="C699" s="6"/>
      <c r="D699" s="6"/>
      <c r="E699" s="6"/>
      <c r="F699" s="6"/>
      <c r="G699" s="6"/>
      <c r="H699" t="s">
        <v>17</v>
      </c>
      <c r="I699" t="s">
        <v>17</v>
      </c>
    </row>
    <row r="700" spans="1:9">
      <c r="A700" t="s">
        <v>267</v>
      </c>
      <c r="B700" s="6"/>
      <c r="C700" s="6"/>
      <c r="D700" s="6"/>
      <c r="E700" s="6">
        <v>-2.5489109000000001</v>
      </c>
      <c r="F700" s="6">
        <v>-4.5569553000000003</v>
      </c>
      <c r="G700" s="6">
        <v>-7.2848119999999996</v>
      </c>
      <c r="H700" t="s">
        <v>17</v>
      </c>
      <c r="I700" t="s">
        <v>17</v>
      </c>
    </row>
    <row r="701" spans="1:9">
      <c r="A701" t="s">
        <v>268</v>
      </c>
      <c r="B701" s="6"/>
      <c r="C701" s="6"/>
      <c r="D701" s="6"/>
      <c r="E701" s="6"/>
      <c r="F701" s="6"/>
      <c r="G701" s="6">
        <v>-2.1409981</v>
      </c>
      <c r="H701" t="s">
        <v>17</v>
      </c>
      <c r="I701" t="s">
        <v>17</v>
      </c>
    </row>
    <row r="702" spans="1:9">
      <c r="A702" t="s">
        <v>269</v>
      </c>
      <c r="B702" s="6"/>
      <c r="C702" s="6"/>
      <c r="D702" s="6"/>
      <c r="E702" s="6"/>
      <c r="F702" s="6"/>
      <c r="G702" s="6">
        <v>-5.2381260000000003</v>
      </c>
      <c r="H702" t="s">
        <v>17</v>
      </c>
      <c r="I702" t="s">
        <v>17</v>
      </c>
    </row>
    <row r="703" spans="1:9">
      <c r="A703" t="s">
        <v>270</v>
      </c>
      <c r="B703" s="6"/>
      <c r="C703" s="6"/>
      <c r="D703" s="6"/>
      <c r="E703" s="6"/>
      <c r="F703" s="6"/>
      <c r="G703" s="6">
        <v>-2.5059876000000001</v>
      </c>
      <c r="H703" t="s">
        <v>17</v>
      </c>
      <c r="I703" t="s">
        <v>17</v>
      </c>
    </row>
    <row r="704" spans="1:9">
      <c r="A704" t="s">
        <v>271</v>
      </c>
      <c r="B704" s="6"/>
      <c r="C704" s="6"/>
      <c r="D704" s="6"/>
      <c r="E704" s="6">
        <v>-2.0329207999999999</v>
      </c>
      <c r="F704" s="6"/>
      <c r="G704" s="6">
        <v>-2.7473960000000002</v>
      </c>
      <c r="H704" t="s">
        <v>17</v>
      </c>
      <c r="I704" t="s">
        <v>17</v>
      </c>
    </row>
    <row r="705" spans="1:9" s="39" customFormat="1">
      <c r="A705" s="39" t="s">
        <v>272</v>
      </c>
      <c r="B705" s="40"/>
      <c r="C705" s="40"/>
      <c r="D705" s="40"/>
      <c r="E705" s="40">
        <v>-4.1650910000000003</v>
      </c>
      <c r="F705" s="40">
        <v>-3.9247860000000001</v>
      </c>
      <c r="G705" s="40">
        <v>-5.6502650000000001</v>
      </c>
      <c r="H705" s="39" t="s">
        <v>17</v>
      </c>
      <c r="I705" s="39" t="s">
        <v>17</v>
      </c>
    </row>
    <row r="706" spans="1:9">
      <c r="A706" t="s">
        <v>273</v>
      </c>
      <c r="B706" s="6"/>
      <c r="C706" s="6"/>
      <c r="D706" s="6"/>
      <c r="E706" s="6"/>
      <c r="F706" s="6"/>
      <c r="G706" s="6">
        <v>-2.8871216999999998</v>
      </c>
      <c r="H706" t="s">
        <v>17</v>
      </c>
      <c r="I706" t="s">
        <v>17</v>
      </c>
    </row>
    <row r="707" spans="1:9">
      <c r="A707" t="s">
        <v>274</v>
      </c>
      <c r="B707" s="6"/>
      <c r="C707" s="6"/>
      <c r="D707" s="6"/>
      <c r="E707" s="6"/>
      <c r="F707" s="6"/>
      <c r="G707" s="6">
        <v>-2.6092010000000001</v>
      </c>
      <c r="H707" t="s">
        <v>17</v>
      </c>
      <c r="I707" t="s">
        <v>17</v>
      </c>
    </row>
    <row r="708" spans="1:9">
      <c r="A708" t="s">
        <v>275</v>
      </c>
      <c r="B708" s="6"/>
      <c r="C708" s="6"/>
      <c r="D708" s="6"/>
      <c r="E708" s="6"/>
      <c r="F708" s="6"/>
      <c r="G708" s="6">
        <v>-2.3248506</v>
      </c>
      <c r="H708" t="s">
        <v>17</v>
      </c>
      <c r="I708" t="s">
        <v>17</v>
      </c>
    </row>
    <row r="709" spans="1:9">
      <c r="A709" t="s">
        <v>276</v>
      </c>
      <c r="B709" s="6"/>
      <c r="C709" s="6"/>
      <c r="D709" s="6"/>
      <c r="E709" s="6">
        <v>-2.2145261999999999</v>
      </c>
      <c r="F709" s="6">
        <v>-2.8561497</v>
      </c>
      <c r="G709" s="6">
        <v>-4.4043602999999996</v>
      </c>
      <c r="H709" t="s">
        <v>17</v>
      </c>
      <c r="I709" t="s">
        <v>17</v>
      </c>
    </row>
    <row r="710" spans="1:9">
      <c r="A710" t="s">
        <v>277</v>
      </c>
      <c r="B710" s="6"/>
      <c r="C710" s="6"/>
      <c r="D710" s="6"/>
      <c r="E710" s="6"/>
      <c r="F710" s="6"/>
      <c r="G710" s="6">
        <v>-2.3030430000000002</v>
      </c>
      <c r="H710" t="s">
        <v>17</v>
      </c>
      <c r="I710" t="s">
        <v>17</v>
      </c>
    </row>
    <row r="711" spans="1:9">
      <c r="A711" t="s">
        <v>278</v>
      </c>
      <c r="B711" s="6"/>
      <c r="C711" s="6"/>
      <c r="D711" s="6"/>
      <c r="E711" s="6"/>
      <c r="F711" s="6"/>
      <c r="G711" s="6"/>
      <c r="H711" t="s">
        <v>17</v>
      </c>
      <c r="I711" t="s">
        <v>17</v>
      </c>
    </row>
    <row r="712" spans="1:9">
      <c r="A712" t="s">
        <v>279</v>
      </c>
      <c r="B712" s="6"/>
      <c r="C712" s="6"/>
      <c r="D712" s="6"/>
      <c r="E712" s="6"/>
      <c r="F712" s="6"/>
      <c r="G712" s="6">
        <v>-3.3533691999999999</v>
      </c>
      <c r="H712" t="s">
        <v>17</v>
      </c>
      <c r="I712" t="s">
        <v>17</v>
      </c>
    </row>
    <row r="713" spans="1:9">
      <c r="A713" t="s">
        <v>280</v>
      </c>
      <c r="B713" s="6"/>
      <c r="C713" s="6">
        <v>2.0116643999999999</v>
      </c>
      <c r="D713" s="6"/>
      <c r="E713" s="6"/>
      <c r="F713" s="6"/>
      <c r="G713" s="6"/>
      <c r="H713" t="s">
        <v>17</v>
      </c>
      <c r="I713" t="s">
        <v>17</v>
      </c>
    </row>
    <row r="714" spans="1:9">
      <c r="A714" t="s">
        <v>281</v>
      </c>
      <c r="B714" s="6"/>
      <c r="C714" s="6"/>
      <c r="D714" s="6"/>
      <c r="E714" s="6"/>
      <c r="F714" s="6"/>
      <c r="G714" s="6"/>
      <c r="H714" t="s">
        <v>17</v>
      </c>
      <c r="I714" t="s">
        <v>17</v>
      </c>
    </row>
    <row r="715" spans="1:9">
      <c r="A715" t="s">
        <v>282</v>
      </c>
      <c r="B715" s="6"/>
      <c r="C715" s="6"/>
      <c r="D715" s="6"/>
      <c r="E715" s="6"/>
      <c r="F715" s="6"/>
      <c r="G715" s="6"/>
      <c r="H715" t="s">
        <v>17</v>
      </c>
      <c r="I715" t="s">
        <v>17</v>
      </c>
    </row>
    <row r="716" spans="1:9">
      <c r="A716" t="s">
        <v>283</v>
      </c>
      <c r="B716" s="6"/>
      <c r="C716" s="6"/>
      <c r="D716" s="6">
        <v>2.7045797999999999</v>
      </c>
      <c r="E716" s="6"/>
      <c r="F716" s="6"/>
      <c r="G716" s="6"/>
      <c r="H716" t="s">
        <v>17</v>
      </c>
      <c r="I716" t="s">
        <v>17</v>
      </c>
    </row>
    <row r="717" spans="1:9">
      <c r="A717" t="s">
        <v>284</v>
      </c>
      <c r="B717" s="6"/>
      <c r="C717" s="6"/>
      <c r="D717" s="6"/>
      <c r="E717" s="6"/>
      <c r="F717" s="6"/>
      <c r="G717" s="6"/>
      <c r="H717" t="s">
        <v>17</v>
      </c>
      <c r="I717" t="s">
        <v>17</v>
      </c>
    </row>
    <row r="718" spans="1:9">
      <c r="A718" t="s">
        <v>285</v>
      </c>
      <c r="B718" s="6"/>
      <c r="C718" s="6"/>
      <c r="D718" s="6"/>
      <c r="E718" s="6"/>
      <c r="F718" s="6">
        <v>-2.7140035999999998</v>
      </c>
      <c r="G718" s="6"/>
      <c r="H718" t="s">
        <v>17</v>
      </c>
      <c r="I718" t="s">
        <v>17</v>
      </c>
    </row>
    <row r="719" spans="1:9">
      <c r="A719" t="s">
        <v>286</v>
      </c>
      <c r="B719" s="6"/>
      <c r="C719" s="6"/>
      <c r="D719" s="6"/>
      <c r="E719" s="6"/>
      <c r="F719" s="6">
        <v>-2.2058817999999998</v>
      </c>
      <c r="G719" s="6"/>
      <c r="H719" t="s">
        <v>17</v>
      </c>
      <c r="I719" t="s">
        <v>17</v>
      </c>
    </row>
    <row r="720" spans="1:9">
      <c r="A720" t="s">
        <v>287</v>
      </c>
      <c r="B720" s="6"/>
      <c r="C720" s="6"/>
      <c r="D720" s="6"/>
      <c r="E720" s="6"/>
      <c r="F720" s="6"/>
      <c r="G720" s="6">
        <v>-2.4828477000000002</v>
      </c>
      <c r="H720" t="s">
        <v>17</v>
      </c>
      <c r="I720" t="s">
        <v>17</v>
      </c>
    </row>
    <row r="721" spans="1:9">
      <c r="A721" t="s">
        <v>558</v>
      </c>
      <c r="B721" s="6"/>
      <c r="C721" s="6">
        <v>2.4961042</v>
      </c>
      <c r="D721" s="6">
        <v>2.1387930000000002</v>
      </c>
      <c r="E721" s="6"/>
      <c r="F721" s="6"/>
      <c r="G721" s="6"/>
      <c r="H721" t="s">
        <v>17</v>
      </c>
      <c r="I721" t="s">
        <v>17</v>
      </c>
    </row>
    <row r="722" spans="1:9">
      <c r="A722" t="s">
        <v>288</v>
      </c>
      <c r="B722" s="6"/>
      <c r="C722" s="6"/>
      <c r="D722" s="6"/>
      <c r="E722" s="6"/>
      <c r="F722" s="6"/>
      <c r="G722" s="6">
        <v>-2.7707324</v>
      </c>
      <c r="H722" t="s">
        <v>17</v>
      </c>
      <c r="I722" t="s">
        <v>17</v>
      </c>
    </row>
    <row r="723" spans="1:9">
      <c r="A723" t="s">
        <v>289</v>
      </c>
      <c r="B723" s="6"/>
      <c r="C723" s="6">
        <v>2.1250586999999999</v>
      </c>
      <c r="D723" s="6"/>
      <c r="E723" s="6"/>
      <c r="F723" s="6"/>
      <c r="G723" s="6"/>
      <c r="H723" t="s">
        <v>17</v>
      </c>
      <c r="I723" t="s">
        <v>17</v>
      </c>
    </row>
    <row r="724" spans="1:9">
      <c r="A724" t="s">
        <v>290</v>
      </c>
      <c r="B724" s="6"/>
      <c r="C724" s="6"/>
      <c r="D724" s="6"/>
      <c r="E724" s="6"/>
      <c r="F724" s="6"/>
      <c r="G724" s="6">
        <v>-2.6589545999999999</v>
      </c>
      <c r="H724" t="s">
        <v>17</v>
      </c>
      <c r="I724" t="s">
        <v>17</v>
      </c>
    </row>
    <row r="725" spans="1:9">
      <c r="A725" t="s">
        <v>291</v>
      </c>
      <c r="B725" s="6"/>
      <c r="C725" s="6"/>
      <c r="D725" s="6"/>
      <c r="E725" s="6"/>
      <c r="F725" s="6"/>
      <c r="G725" s="6">
        <v>-2.4123049999999999</v>
      </c>
      <c r="H725" t="s">
        <v>17</v>
      </c>
      <c r="I725" t="s">
        <v>17</v>
      </c>
    </row>
    <row r="726" spans="1:9">
      <c r="A726" t="s">
        <v>292</v>
      </c>
      <c r="B726" s="6"/>
      <c r="C726" s="6"/>
      <c r="D726" s="6"/>
      <c r="E726" s="6"/>
      <c r="F726" s="6"/>
      <c r="G726" s="6">
        <v>-2.4412780000000001</v>
      </c>
      <c r="H726" t="s">
        <v>17</v>
      </c>
      <c r="I726" t="s">
        <v>17</v>
      </c>
    </row>
    <row r="727" spans="1:9">
      <c r="A727" t="s">
        <v>293</v>
      </c>
      <c r="B727" s="6"/>
      <c r="C727" s="6"/>
      <c r="D727" s="6"/>
      <c r="E727" s="6"/>
      <c r="F727" s="6">
        <v>-2.2384515</v>
      </c>
      <c r="G727" s="6"/>
      <c r="H727" t="s">
        <v>17</v>
      </c>
      <c r="I727" t="s">
        <v>17</v>
      </c>
    </row>
    <row r="728" spans="1:9">
      <c r="A728" t="s">
        <v>294</v>
      </c>
      <c r="B728" s="6"/>
      <c r="C728" s="6"/>
      <c r="D728" s="6"/>
      <c r="E728" s="6"/>
      <c r="F728" s="6"/>
      <c r="G728" s="6"/>
      <c r="H728" t="s">
        <v>17</v>
      </c>
      <c r="I728" t="s">
        <v>17</v>
      </c>
    </row>
    <row r="729" spans="1:9">
      <c r="A729" t="s">
        <v>295</v>
      </c>
      <c r="B729" s="6"/>
      <c r="C729" s="6"/>
      <c r="D729" s="6"/>
      <c r="E729" s="6">
        <v>-2.3834447999999999</v>
      </c>
      <c r="F729" s="6">
        <v>-2.64188</v>
      </c>
      <c r="G729" s="6">
        <v>-3.9558764000000002</v>
      </c>
      <c r="H729" t="s">
        <v>17</v>
      </c>
      <c r="I729" t="s">
        <v>17</v>
      </c>
    </row>
    <row r="730" spans="1:9">
      <c r="A730" t="s">
        <v>296</v>
      </c>
      <c r="B730" s="6"/>
      <c r="C730" s="6"/>
      <c r="D730" s="6"/>
      <c r="E730" s="6">
        <v>-2.4829721</v>
      </c>
      <c r="F730" s="6">
        <v>-2.2821999000000002</v>
      </c>
      <c r="G730" s="6">
        <v>-3.6573600000000002</v>
      </c>
      <c r="H730" t="s">
        <v>17</v>
      </c>
      <c r="I730" t="s">
        <v>17</v>
      </c>
    </row>
    <row r="731" spans="1:9">
      <c r="A731" t="s">
        <v>297</v>
      </c>
      <c r="B731" s="6"/>
      <c r="C731" s="6"/>
      <c r="D731" s="6"/>
      <c r="E731" s="6"/>
      <c r="F731" s="6"/>
      <c r="G731" s="6"/>
      <c r="H731" t="s">
        <v>17</v>
      </c>
      <c r="I731" t="s">
        <v>17</v>
      </c>
    </row>
    <row r="732" spans="1:9">
      <c r="A732" t="s">
        <v>298</v>
      </c>
      <c r="B732" s="6"/>
      <c r="C732" s="6"/>
      <c r="D732" s="6"/>
      <c r="E732" s="6">
        <v>-2.2065239999999999</v>
      </c>
      <c r="F732" s="6">
        <v>-2.9787712000000002</v>
      </c>
      <c r="G732" s="6">
        <v>-3.6121864000000001</v>
      </c>
      <c r="H732" t="s">
        <v>17</v>
      </c>
      <c r="I732" t="s">
        <v>17</v>
      </c>
    </row>
    <row r="733" spans="1:9">
      <c r="A733" t="s">
        <v>299</v>
      </c>
      <c r="B733" s="6"/>
      <c r="C733" s="6"/>
      <c r="D733" s="6"/>
      <c r="E733" s="6"/>
      <c r="F733" s="6"/>
      <c r="G733" s="6">
        <v>-2.4568720000000002</v>
      </c>
      <c r="H733" t="s">
        <v>17</v>
      </c>
      <c r="I733" t="s">
        <v>17</v>
      </c>
    </row>
    <row r="734" spans="1:9">
      <c r="A734" t="s">
        <v>300</v>
      </c>
      <c r="B734" s="6"/>
      <c r="C734" s="6"/>
      <c r="D734" s="6">
        <v>2.2992625000000002</v>
      </c>
      <c r="E734" s="6"/>
      <c r="F734" s="6"/>
      <c r="G734" s="6"/>
      <c r="H734" t="s">
        <v>17</v>
      </c>
      <c r="I734" t="s">
        <v>17</v>
      </c>
    </row>
    <row r="735" spans="1:9">
      <c r="A735" t="s">
        <v>301</v>
      </c>
      <c r="B735" s="6"/>
      <c r="C735" s="6"/>
      <c r="D735" s="6"/>
      <c r="E735" s="6">
        <v>-2.6704888000000002</v>
      </c>
      <c r="F735" s="6">
        <v>-3.5120939999999998</v>
      </c>
      <c r="G735" s="6"/>
      <c r="H735" t="s">
        <v>17</v>
      </c>
      <c r="I735" t="s">
        <v>17</v>
      </c>
    </row>
    <row r="736" spans="1:9">
      <c r="A736" t="s">
        <v>302</v>
      </c>
      <c r="B736" s="6"/>
      <c r="C736" s="6"/>
      <c r="D736" s="6"/>
      <c r="E736" s="6"/>
      <c r="F736" s="6"/>
      <c r="G736" s="6">
        <v>-2.4132853000000001</v>
      </c>
      <c r="H736" t="s">
        <v>17</v>
      </c>
      <c r="I736" t="s">
        <v>17</v>
      </c>
    </row>
    <row r="737" spans="1:9">
      <c r="A737" t="s">
        <v>303</v>
      </c>
      <c r="B737" s="6"/>
      <c r="C737" s="6"/>
      <c r="D737" s="6"/>
      <c r="E737" s="6"/>
      <c r="F737" s="6"/>
      <c r="G737" s="6">
        <v>-2.1299112</v>
      </c>
      <c r="H737" t="s">
        <v>17</v>
      </c>
      <c r="I737" t="s">
        <v>17</v>
      </c>
    </row>
    <row r="738" spans="1:9">
      <c r="A738" t="s">
        <v>304</v>
      </c>
      <c r="B738" s="6"/>
      <c r="C738" s="6"/>
      <c r="D738" s="6"/>
      <c r="E738" s="6"/>
      <c r="F738" s="6"/>
      <c r="G738" s="6">
        <v>-2.7477564999999999</v>
      </c>
      <c r="H738" t="s">
        <v>17</v>
      </c>
      <c r="I738" t="s">
        <v>17</v>
      </c>
    </row>
    <row r="739" spans="1:9">
      <c r="A739" t="s">
        <v>305</v>
      </c>
      <c r="B739" s="6"/>
      <c r="C739" s="6"/>
      <c r="D739" s="6"/>
      <c r="E739" s="6"/>
      <c r="F739" s="6"/>
      <c r="G739" s="6">
        <v>-2.6943636</v>
      </c>
      <c r="H739" t="s">
        <v>17</v>
      </c>
      <c r="I739" t="s">
        <v>17</v>
      </c>
    </row>
    <row r="740" spans="1:9">
      <c r="A740" t="s">
        <v>306</v>
      </c>
      <c r="B740" s="6"/>
      <c r="C740" s="6"/>
      <c r="D740" s="6"/>
      <c r="E740" s="6"/>
      <c r="F740" s="6"/>
      <c r="G740" s="6">
        <v>-2.3401360000000002</v>
      </c>
      <c r="H740" t="s">
        <v>17</v>
      </c>
      <c r="I740" t="s">
        <v>17</v>
      </c>
    </row>
    <row r="741" spans="1:9">
      <c r="A741" t="s">
        <v>307</v>
      </c>
      <c r="B741" s="6"/>
      <c r="C741" s="6"/>
      <c r="D741" s="6"/>
      <c r="E741" s="6"/>
      <c r="F741" s="6"/>
      <c r="G741" s="6">
        <v>-2.0247712</v>
      </c>
      <c r="H741" t="s">
        <v>17</v>
      </c>
      <c r="I741" t="s">
        <v>17</v>
      </c>
    </row>
    <row r="742" spans="1:9">
      <c r="A742" t="s">
        <v>308</v>
      </c>
      <c r="B742" s="6"/>
      <c r="C742" s="6">
        <v>2.3348365000000002</v>
      </c>
      <c r="D742" s="6"/>
      <c r="E742" s="6"/>
      <c r="F742" s="6"/>
      <c r="G742" s="6"/>
      <c r="H742" t="s">
        <v>17</v>
      </c>
      <c r="I742" t="s">
        <v>17</v>
      </c>
    </row>
    <row r="743" spans="1:9">
      <c r="A743" t="s">
        <v>309</v>
      </c>
      <c r="B743" s="6"/>
      <c r="C743" s="6"/>
      <c r="D743" s="6"/>
      <c r="E743" s="6"/>
      <c r="F743" s="6"/>
      <c r="G743" s="6"/>
      <c r="H743" t="s">
        <v>17</v>
      </c>
      <c r="I743" t="s">
        <v>17</v>
      </c>
    </row>
    <row r="744" spans="1:9">
      <c r="A744" t="s">
        <v>310</v>
      </c>
      <c r="B744" s="6"/>
      <c r="C744" s="6"/>
      <c r="D744" s="6"/>
      <c r="E744" s="6"/>
      <c r="F744" s="6"/>
      <c r="G744" s="6">
        <v>-2.1589480000000001</v>
      </c>
      <c r="H744" t="s">
        <v>17</v>
      </c>
      <c r="I744" t="s">
        <v>17</v>
      </c>
    </row>
    <row r="745" spans="1:9">
      <c r="A745" t="s">
        <v>311</v>
      </c>
      <c r="B745" s="6"/>
      <c r="C745" s="6"/>
      <c r="D745" s="6"/>
      <c r="E745" s="6"/>
      <c r="F745" s="6"/>
      <c r="G745" s="6"/>
      <c r="H745" t="s">
        <v>17</v>
      </c>
      <c r="I745" t="s">
        <v>17</v>
      </c>
    </row>
    <row r="746" spans="1:9">
      <c r="A746" t="s">
        <v>312</v>
      </c>
      <c r="B746" s="6"/>
      <c r="C746" s="6"/>
      <c r="D746" s="6"/>
      <c r="E746" s="6"/>
      <c r="F746" s="6"/>
      <c r="G746" s="6">
        <v>-2.7432737</v>
      </c>
      <c r="H746" t="s">
        <v>17</v>
      </c>
      <c r="I746" t="s">
        <v>17</v>
      </c>
    </row>
    <row r="747" spans="1:9">
      <c r="A747" t="s">
        <v>313</v>
      </c>
      <c r="B747" s="6"/>
      <c r="C747" s="6"/>
      <c r="D747" s="6"/>
      <c r="E747" s="6"/>
      <c r="F747" s="6">
        <v>-4.1030360000000003</v>
      </c>
      <c r="G747" s="6"/>
      <c r="H747" t="s">
        <v>17</v>
      </c>
      <c r="I747" t="s">
        <v>17</v>
      </c>
    </row>
    <row r="748" spans="1:9">
      <c r="A748" t="s">
        <v>314</v>
      </c>
      <c r="B748" s="6"/>
      <c r="C748" s="6"/>
      <c r="D748" s="6"/>
      <c r="E748" s="6"/>
      <c r="F748" s="6"/>
      <c r="G748" s="6">
        <v>-2.0009800000000002</v>
      </c>
      <c r="H748" t="s">
        <v>17</v>
      </c>
      <c r="I748" t="s">
        <v>17</v>
      </c>
    </row>
    <row r="749" spans="1:9">
      <c r="A749" t="s">
        <v>315</v>
      </c>
      <c r="B749" s="6"/>
      <c r="C749" s="6"/>
      <c r="D749" s="6"/>
      <c r="E749" s="6"/>
      <c r="F749" s="6"/>
      <c r="G749" s="6">
        <v>-5.2760983000000001</v>
      </c>
      <c r="H749" t="s">
        <v>17</v>
      </c>
      <c r="I749" t="s">
        <v>17</v>
      </c>
    </row>
    <row r="750" spans="1:9">
      <c r="A750" t="s">
        <v>316</v>
      </c>
      <c r="B750" s="6"/>
      <c r="C750" s="6"/>
      <c r="D750" s="6"/>
      <c r="E750" s="6"/>
      <c r="F750" s="6"/>
      <c r="G750" s="6">
        <v>-2.6156568999999998</v>
      </c>
      <c r="H750" t="s">
        <v>17</v>
      </c>
      <c r="I750" t="s">
        <v>17</v>
      </c>
    </row>
    <row r="751" spans="1:9">
      <c r="A751" t="s">
        <v>317</v>
      </c>
      <c r="B751" s="6"/>
      <c r="C751" s="6"/>
      <c r="D751" s="6"/>
      <c r="E751" s="6"/>
      <c r="F751" s="6"/>
      <c r="G751" s="6">
        <v>-3.7134985999999999</v>
      </c>
      <c r="H751" t="s">
        <v>17</v>
      </c>
      <c r="I751" t="s">
        <v>17</v>
      </c>
    </row>
    <row r="752" spans="1:9">
      <c r="A752" t="s">
        <v>318</v>
      </c>
      <c r="B752" s="6"/>
      <c r="C752" s="6"/>
      <c r="D752" s="6"/>
      <c r="E752" s="6"/>
      <c r="F752" s="6">
        <v>-2.5338916999999999</v>
      </c>
      <c r="G752" s="6">
        <v>-2.7940182999999998</v>
      </c>
      <c r="H752" t="s">
        <v>17</v>
      </c>
      <c r="I752" t="s">
        <v>17</v>
      </c>
    </row>
    <row r="753" spans="1:9">
      <c r="A753" t="s">
        <v>319</v>
      </c>
      <c r="B753" s="6"/>
      <c r="C753" s="6"/>
      <c r="D753" s="6"/>
      <c r="E753" s="6"/>
      <c r="F753" s="6">
        <v>-2.2303505000000001</v>
      </c>
      <c r="G753" s="6">
        <v>-2.6241460000000001</v>
      </c>
      <c r="H753" t="s">
        <v>17</v>
      </c>
      <c r="I753" t="s">
        <v>17</v>
      </c>
    </row>
    <row r="754" spans="1:9">
      <c r="A754" t="s">
        <v>320</v>
      </c>
      <c r="B754" s="6"/>
      <c r="C754" s="6"/>
      <c r="D754" s="6"/>
      <c r="E754" s="6"/>
      <c r="F754" s="6">
        <v>-2.7318726</v>
      </c>
      <c r="G754" s="6">
        <v>-3.0569448000000001</v>
      </c>
      <c r="H754" t="s">
        <v>17</v>
      </c>
      <c r="I754" t="s">
        <v>17</v>
      </c>
    </row>
    <row r="755" spans="1:9">
      <c r="A755" t="s">
        <v>321</v>
      </c>
      <c r="B755" s="6"/>
      <c r="C755" s="6"/>
      <c r="D755" s="6"/>
      <c r="E755" s="6"/>
      <c r="F755" s="6"/>
      <c r="G755" s="6"/>
      <c r="H755" t="s">
        <v>17</v>
      </c>
      <c r="I755" t="s">
        <v>17</v>
      </c>
    </row>
    <row r="756" spans="1:9">
      <c r="A756" t="s">
        <v>322</v>
      </c>
      <c r="B756" s="6"/>
      <c r="C756" s="6"/>
      <c r="D756" s="6"/>
      <c r="E756" s="6">
        <v>-3.5313563000000001</v>
      </c>
      <c r="F756" s="6">
        <v>-2.9198556</v>
      </c>
      <c r="G756" s="6">
        <v>-5.1180643999999997</v>
      </c>
      <c r="H756" t="s">
        <v>17</v>
      </c>
      <c r="I756" t="s">
        <v>17</v>
      </c>
    </row>
    <row r="757" spans="1:9" s="39" customFormat="1">
      <c r="A757" s="39" t="s">
        <v>323</v>
      </c>
      <c r="B757" s="40"/>
      <c r="C757" s="40"/>
      <c r="D757" s="40"/>
      <c r="E757" s="40">
        <v>-4.9131450000000001</v>
      </c>
      <c r="F757" s="40">
        <v>-5.2209826000000001</v>
      </c>
      <c r="G757" s="40">
        <v>-4.1907990000000002</v>
      </c>
      <c r="H757" s="39" t="s">
        <v>17</v>
      </c>
      <c r="I757" s="39" t="s">
        <v>17</v>
      </c>
    </row>
    <row r="758" spans="1:9">
      <c r="A758" t="s">
        <v>324</v>
      </c>
      <c r="B758" s="6"/>
      <c r="C758" s="6"/>
      <c r="D758" s="6"/>
      <c r="E758" s="6"/>
      <c r="F758" s="6">
        <v>-3.4434529999999999</v>
      </c>
      <c r="G758" s="6"/>
      <c r="H758" t="s">
        <v>17</v>
      </c>
      <c r="I758" t="s">
        <v>17</v>
      </c>
    </row>
    <row r="759" spans="1:9">
      <c r="A759" t="s">
        <v>325</v>
      </c>
      <c r="B759" s="6"/>
      <c r="C759" s="6"/>
      <c r="D759" s="6"/>
      <c r="E759" s="6"/>
      <c r="F759" s="6">
        <v>-3.1229724999999999</v>
      </c>
      <c r="G759" s="6">
        <v>-3.9448376000000001</v>
      </c>
      <c r="H759" t="s">
        <v>17</v>
      </c>
      <c r="I759" t="s">
        <v>17</v>
      </c>
    </row>
    <row r="760" spans="1:9">
      <c r="A760" t="s">
        <v>326</v>
      </c>
      <c r="B760" s="6"/>
      <c r="C760" s="6"/>
      <c r="D760" s="6"/>
      <c r="E760" s="6"/>
      <c r="F760" s="6"/>
      <c r="G760" s="6">
        <v>-2.00204</v>
      </c>
      <c r="H760" t="s">
        <v>17</v>
      </c>
      <c r="I760" t="s">
        <v>17</v>
      </c>
    </row>
    <row r="761" spans="1:9">
      <c r="A761" t="s">
        <v>327</v>
      </c>
      <c r="B761" s="6"/>
      <c r="C761" s="6"/>
      <c r="D761" s="6"/>
      <c r="E761" s="6"/>
      <c r="F761" s="6"/>
      <c r="G761" s="6"/>
      <c r="H761" t="s">
        <v>17</v>
      </c>
      <c r="I761" t="s">
        <v>17</v>
      </c>
    </row>
    <row r="762" spans="1:9">
      <c r="A762" t="s">
        <v>328</v>
      </c>
      <c r="B762" s="6"/>
      <c r="C762" s="6"/>
      <c r="D762" s="6"/>
      <c r="E762" s="6"/>
      <c r="F762" s="6">
        <v>-2.783525</v>
      </c>
      <c r="G762" s="6"/>
      <c r="H762" t="s">
        <v>17</v>
      </c>
      <c r="I762" t="s">
        <v>17</v>
      </c>
    </row>
    <row r="763" spans="1:9">
      <c r="A763" t="s">
        <v>329</v>
      </c>
      <c r="B763" s="6"/>
      <c r="C763" s="6"/>
      <c r="D763" s="6"/>
      <c r="E763" s="6"/>
      <c r="F763" s="6"/>
      <c r="G763" s="6">
        <v>-2.2931982999999998</v>
      </c>
      <c r="H763" t="s">
        <v>17</v>
      </c>
      <c r="I763" t="s">
        <v>17</v>
      </c>
    </row>
    <row r="764" spans="1:9">
      <c r="A764" t="s">
        <v>330</v>
      </c>
      <c r="B764" s="6"/>
      <c r="C764" s="6"/>
      <c r="D764" s="6"/>
      <c r="E764" s="6"/>
      <c r="F764" s="6"/>
      <c r="G764" s="6">
        <v>-2.8078932999999999</v>
      </c>
      <c r="H764" t="s">
        <v>17</v>
      </c>
      <c r="I764" t="s">
        <v>17</v>
      </c>
    </row>
    <row r="765" spans="1:9">
      <c r="A765" t="s">
        <v>331</v>
      </c>
      <c r="B765" s="6"/>
      <c r="C765" s="6"/>
      <c r="D765" s="6"/>
      <c r="E765" s="6"/>
      <c r="F765" s="6"/>
      <c r="G765" s="6"/>
      <c r="H765" t="s">
        <v>17</v>
      </c>
      <c r="I765" t="s">
        <v>17</v>
      </c>
    </row>
    <row r="766" spans="1:9">
      <c r="A766" t="s">
        <v>332</v>
      </c>
      <c r="B766" s="6"/>
      <c r="C766" s="6"/>
      <c r="D766" s="6"/>
      <c r="E766" s="6"/>
      <c r="F766" s="6"/>
      <c r="G766" s="6"/>
      <c r="H766" t="s">
        <v>17</v>
      </c>
      <c r="I766" t="s">
        <v>17</v>
      </c>
    </row>
    <row r="767" spans="1:9">
      <c r="A767" t="s">
        <v>333</v>
      </c>
      <c r="B767" s="6"/>
      <c r="C767" s="6"/>
      <c r="D767" s="6"/>
      <c r="E767" s="6"/>
      <c r="F767" s="6"/>
      <c r="G767" s="6">
        <v>-2.2098908000000002</v>
      </c>
      <c r="H767" t="s">
        <v>17</v>
      </c>
      <c r="I767" t="s">
        <v>17</v>
      </c>
    </row>
    <row r="768" spans="1:9">
      <c r="A768" t="s">
        <v>334</v>
      </c>
      <c r="B768" s="6">
        <v>3.4994402</v>
      </c>
      <c r="C768" s="6">
        <v>4.7804929999999999</v>
      </c>
      <c r="D768" s="6">
        <v>4.9020194999999998</v>
      </c>
      <c r="E768" s="6"/>
      <c r="F768" s="6"/>
      <c r="G768" s="6"/>
      <c r="H768" t="s">
        <v>17</v>
      </c>
      <c r="I768" t="s">
        <v>17</v>
      </c>
    </row>
    <row r="769" spans="1:9">
      <c r="A769" t="s">
        <v>335</v>
      </c>
      <c r="B769" s="6"/>
      <c r="C769" s="6"/>
      <c r="D769" s="6"/>
      <c r="E769" s="6">
        <v>-3.7272177000000002</v>
      </c>
      <c r="F769" s="6">
        <v>-3.7091036000000002</v>
      </c>
      <c r="G769" s="6">
        <v>-4.4185895999999998</v>
      </c>
      <c r="H769" t="s">
        <v>17</v>
      </c>
      <c r="I769" t="s">
        <v>17</v>
      </c>
    </row>
    <row r="770" spans="1:9">
      <c r="A770" t="s">
        <v>336</v>
      </c>
      <c r="B770" s="6"/>
      <c r="C770" s="6"/>
      <c r="D770" s="6"/>
      <c r="E770" s="6"/>
      <c r="F770" s="6"/>
      <c r="G770" s="6"/>
      <c r="H770" t="s">
        <v>17</v>
      </c>
      <c r="I770" t="s">
        <v>17</v>
      </c>
    </row>
    <row r="771" spans="1:9">
      <c r="A771" t="s">
        <v>337</v>
      </c>
      <c r="B771" s="6"/>
      <c r="C771" s="6"/>
      <c r="D771" s="6"/>
      <c r="E771" s="6"/>
      <c r="F771" s="6"/>
      <c r="G771" s="6">
        <v>-3.0014207000000002</v>
      </c>
      <c r="H771" t="s">
        <v>17</v>
      </c>
      <c r="I771" t="s">
        <v>17</v>
      </c>
    </row>
    <row r="772" spans="1:9">
      <c r="A772" t="s">
        <v>338</v>
      </c>
      <c r="B772" s="6"/>
      <c r="C772" s="6">
        <v>2.1574019999999998</v>
      </c>
      <c r="D772" s="6">
        <v>2.2073874</v>
      </c>
      <c r="E772" s="6"/>
      <c r="F772" s="6"/>
      <c r="G772" s="6"/>
      <c r="H772" t="s">
        <v>17</v>
      </c>
      <c r="I772" t="s">
        <v>17</v>
      </c>
    </row>
    <row r="773" spans="1:9">
      <c r="A773" t="s">
        <v>339</v>
      </c>
      <c r="B773" s="6"/>
      <c r="C773" s="6"/>
      <c r="D773" s="6"/>
      <c r="E773" s="6"/>
      <c r="F773" s="6"/>
      <c r="G773" s="6">
        <v>-2.5251890000000001</v>
      </c>
      <c r="H773" t="s">
        <v>17</v>
      </c>
      <c r="I773" t="s">
        <v>17</v>
      </c>
    </row>
    <row r="774" spans="1:9">
      <c r="A774" t="s">
        <v>340</v>
      </c>
      <c r="B774" s="6"/>
      <c r="C774" s="6"/>
      <c r="D774" s="6"/>
      <c r="E774" s="6"/>
      <c r="F774" s="6"/>
      <c r="G774" s="6"/>
      <c r="H774" t="s">
        <v>17</v>
      </c>
      <c r="I774" t="s">
        <v>17</v>
      </c>
    </row>
    <row r="775" spans="1:9">
      <c r="A775" t="s">
        <v>341</v>
      </c>
      <c r="B775" s="6"/>
      <c r="C775" s="6"/>
      <c r="D775" s="6"/>
      <c r="E775" s="6">
        <v>-2.4020343</v>
      </c>
      <c r="F775" s="6">
        <v>-3.5209842</v>
      </c>
      <c r="G775" s="6"/>
      <c r="H775" t="s">
        <v>17</v>
      </c>
      <c r="I775" t="s">
        <v>17</v>
      </c>
    </row>
    <row r="776" spans="1:9">
      <c r="A776" t="s">
        <v>342</v>
      </c>
      <c r="B776" s="6"/>
      <c r="C776" s="6"/>
      <c r="D776" s="6"/>
      <c r="E776" s="6"/>
      <c r="F776" s="6"/>
      <c r="G776" s="6">
        <v>-2.5213684999999999</v>
      </c>
      <c r="H776" t="s">
        <v>17</v>
      </c>
      <c r="I776" t="s">
        <v>17</v>
      </c>
    </row>
    <row r="777" spans="1:9">
      <c r="A777" t="s">
        <v>343</v>
      </c>
      <c r="B777" s="6"/>
      <c r="C777" s="6"/>
      <c r="D777" s="6"/>
      <c r="E777" s="6"/>
      <c r="F777" s="6"/>
      <c r="G777" s="6"/>
      <c r="H777" t="s">
        <v>17</v>
      </c>
      <c r="I777" t="s">
        <v>17</v>
      </c>
    </row>
    <row r="778" spans="1:9">
      <c r="A778" t="s">
        <v>344</v>
      </c>
      <c r="B778" s="6"/>
      <c r="C778" s="6"/>
      <c r="D778" s="6"/>
      <c r="E778" s="6"/>
      <c r="F778" s="6">
        <v>-2.6278557999999999</v>
      </c>
      <c r="G778" s="6">
        <v>-2.6723962000000001</v>
      </c>
      <c r="H778" t="s">
        <v>17</v>
      </c>
      <c r="I778" t="s">
        <v>17</v>
      </c>
    </row>
    <row r="779" spans="1:9">
      <c r="A779" t="s">
        <v>345</v>
      </c>
      <c r="B779" s="6"/>
      <c r="C779" s="6"/>
      <c r="D779" s="6"/>
      <c r="E779" s="6">
        <v>-2.4329122999999999</v>
      </c>
      <c r="F779" s="6"/>
      <c r="G779" s="6"/>
      <c r="H779" t="s">
        <v>17</v>
      </c>
      <c r="I779" t="s">
        <v>17</v>
      </c>
    </row>
    <row r="780" spans="1:9">
      <c r="A780" t="s">
        <v>346</v>
      </c>
      <c r="B780" s="6"/>
      <c r="C780" s="6"/>
      <c r="D780" s="6"/>
      <c r="E780" s="6"/>
      <c r="F780" s="6"/>
      <c r="G780" s="6"/>
      <c r="H780" t="s">
        <v>17</v>
      </c>
      <c r="I780" t="s">
        <v>17</v>
      </c>
    </row>
    <row r="781" spans="1:9">
      <c r="A781" t="s">
        <v>347</v>
      </c>
      <c r="B781" s="6"/>
      <c r="C781" s="6"/>
      <c r="D781" s="6"/>
      <c r="E781" s="6"/>
      <c r="F781" s="6"/>
      <c r="G781" s="6">
        <v>-2.2173642999999998</v>
      </c>
      <c r="H781" t="s">
        <v>17</v>
      </c>
      <c r="I781" t="s">
        <v>17</v>
      </c>
    </row>
    <row r="782" spans="1:9">
      <c r="A782" t="s">
        <v>348</v>
      </c>
      <c r="B782" s="6"/>
      <c r="C782" s="6"/>
      <c r="D782" s="6"/>
      <c r="E782" s="6"/>
      <c r="F782" s="6"/>
      <c r="G782" s="6">
        <v>-2.3708105000000002</v>
      </c>
      <c r="H782" t="s">
        <v>17</v>
      </c>
      <c r="I782" t="s">
        <v>17</v>
      </c>
    </row>
    <row r="783" spans="1:9">
      <c r="A783" t="s">
        <v>349</v>
      </c>
      <c r="B783" s="6"/>
      <c r="C783" s="6"/>
      <c r="D783" s="6"/>
      <c r="E783" s="6"/>
      <c r="F783" s="6"/>
      <c r="G783" s="6">
        <v>-2.839772</v>
      </c>
      <c r="H783" t="s">
        <v>17</v>
      </c>
      <c r="I783" t="s">
        <v>17</v>
      </c>
    </row>
    <row r="784" spans="1:9">
      <c r="A784" t="s">
        <v>350</v>
      </c>
      <c r="B784" s="6"/>
      <c r="C784" s="6"/>
      <c r="D784" s="6"/>
      <c r="E784" s="6"/>
      <c r="F784" s="6"/>
      <c r="G784" s="6"/>
      <c r="H784" t="s">
        <v>17</v>
      </c>
      <c r="I784" t="s">
        <v>17</v>
      </c>
    </row>
    <row r="785" spans="1:9">
      <c r="A785" t="s">
        <v>351</v>
      </c>
      <c r="B785" s="6"/>
      <c r="C785" s="6"/>
      <c r="D785" s="6"/>
      <c r="E785" s="6"/>
      <c r="F785" s="6"/>
      <c r="G785" s="6"/>
      <c r="H785" t="s">
        <v>17</v>
      </c>
      <c r="I785" t="s">
        <v>17</v>
      </c>
    </row>
    <row r="786" spans="1:9">
      <c r="A786" t="s">
        <v>352</v>
      </c>
      <c r="B786" s="6"/>
      <c r="C786" s="6"/>
      <c r="D786" s="6"/>
      <c r="E786" s="6"/>
      <c r="F786" s="6"/>
      <c r="G786" s="6"/>
      <c r="H786" t="s">
        <v>17</v>
      </c>
      <c r="I786" t="s">
        <v>17</v>
      </c>
    </row>
    <row r="787" spans="1:9">
      <c r="A787" t="s">
        <v>353</v>
      </c>
      <c r="B787" s="6"/>
      <c r="C787" s="6"/>
      <c r="D787" s="6"/>
      <c r="E787" s="6"/>
      <c r="F787" s="6">
        <v>-2.300681</v>
      </c>
      <c r="G787" s="6">
        <v>-2.2068699999999999</v>
      </c>
      <c r="H787" t="s">
        <v>17</v>
      </c>
      <c r="I787" t="s">
        <v>17</v>
      </c>
    </row>
    <row r="788" spans="1:9">
      <c r="A788" t="s">
        <v>354</v>
      </c>
      <c r="B788" s="6"/>
      <c r="C788" s="6"/>
      <c r="D788" s="6"/>
      <c r="E788" s="6"/>
      <c r="F788" s="6">
        <v>-3.4143126000000001</v>
      </c>
      <c r="G788" s="6"/>
      <c r="H788" t="s">
        <v>17</v>
      </c>
      <c r="I788" t="s">
        <v>17</v>
      </c>
    </row>
    <row r="789" spans="1:9">
      <c r="A789" t="s">
        <v>355</v>
      </c>
      <c r="B789" s="6"/>
      <c r="C789" s="6"/>
      <c r="D789" s="6"/>
      <c r="E789" s="6"/>
      <c r="F789" s="6"/>
      <c r="G789" s="6">
        <v>-2.2853851000000001</v>
      </c>
      <c r="H789" t="s">
        <v>17</v>
      </c>
      <c r="I789" t="s">
        <v>17</v>
      </c>
    </row>
    <row r="790" spans="1:9">
      <c r="A790" t="s">
        <v>356</v>
      </c>
      <c r="B790" s="6"/>
      <c r="C790" s="6"/>
      <c r="D790" s="6"/>
      <c r="E790" s="6"/>
      <c r="F790" s="6"/>
      <c r="G790" s="6">
        <v>-3.2546859000000001</v>
      </c>
      <c r="H790" t="s">
        <v>17</v>
      </c>
      <c r="I790" t="s">
        <v>17</v>
      </c>
    </row>
    <row r="791" spans="1:9">
      <c r="A791" t="s">
        <v>357</v>
      </c>
      <c r="B791" s="6"/>
      <c r="C791" s="6"/>
      <c r="D791" s="6"/>
      <c r="E791" s="6"/>
      <c r="F791" s="6"/>
      <c r="G791" s="6">
        <v>-3.7330074</v>
      </c>
      <c r="H791" t="s">
        <v>17</v>
      </c>
      <c r="I791" t="s">
        <v>17</v>
      </c>
    </row>
    <row r="792" spans="1:9">
      <c r="A792" t="s">
        <v>358</v>
      </c>
      <c r="B792" s="6"/>
      <c r="C792" s="6"/>
      <c r="D792" s="6"/>
      <c r="E792" s="6">
        <v>-2.1883811999999998</v>
      </c>
      <c r="F792" s="6">
        <v>-2.6114525999999998</v>
      </c>
      <c r="G792" s="6">
        <v>-4.3270726000000002</v>
      </c>
      <c r="H792" t="s">
        <v>17</v>
      </c>
      <c r="I792" t="s">
        <v>17</v>
      </c>
    </row>
    <row r="793" spans="1:9">
      <c r="A793" t="s">
        <v>359</v>
      </c>
      <c r="B793" s="6"/>
      <c r="C793" s="6"/>
      <c r="D793" s="6"/>
      <c r="E793" s="6"/>
      <c r="F793" s="6"/>
      <c r="G793" s="6">
        <v>-2.2627416</v>
      </c>
      <c r="H793" t="s">
        <v>17</v>
      </c>
      <c r="I793" t="s">
        <v>17</v>
      </c>
    </row>
    <row r="794" spans="1:9">
      <c r="A794" t="s">
        <v>360</v>
      </c>
      <c r="B794" s="6"/>
      <c r="C794" s="6"/>
      <c r="D794" s="6"/>
      <c r="E794" s="6">
        <v>-2.2322912000000001</v>
      </c>
      <c r="F794" s="6">
        <v>-2.5334023999999999</v>
      </c>
      <c r="G794" s="6">
        <v>-2.4204264000000002</v>
      </c>
      <c r="H794" t="s">
        <v>17</v>
      </c>
      <c r="I794" t="s">
        <v>17</v>
      </c>
    </row>
    <row r="795" spans="1:9">
      <c r="A795" t="s">
        <v>361</v>
      </c>
      <c r="B795" s="6"/>
      <c r="C795" s="6"/>
      <c r="D795" s="6"/>
      <c r="E795" s="6"/>
      <c r="F795" s="6"/>
      <c r="G795" s="6"/>
      <c r="H795" t="s">
        <v>17</v>
      </c>
      <c r="I795" t="s">
        <v>17</v>
      </c>
    </row>
    <row r="796" spans="1:9">
      <c r="A796" t="s">
        <v>362</v>
      </c>
      <c r="B796" s="6"/>
      <c r="C796" s="6"/>
      <c r="D796" s="6"/>
      <c r="E796" s="6"/>
      <c r="F796" s="6"/>
      <c r="G796" s="6">
        <v>-2.434342</v>
      </c>
      <c r="H796" t="s">
        <v>17</v>
      </c>
      <c r="I796" t="s">
        <v>17</v>
      </c>
    </row>
    <row r="797" spans="1:9">
      <c r="A797" t="s">
        <v>363</v>
      </c>
      <c r="B797" s="6"/>
      <c r="C797" s="6"/>
      <c r="D797" s="6"/>
      <c r="E797" s="6"/>
      <c r="F797" s="6"/>
      <c r="G797" s="6">
        <v>-2.4855236999999999</v>
      </c>
      <c r="H797" t="s">
        <v>17</v>
      </c>
      <c r="I797" t="s">
        <v>17</v>
      </c>
    </row>
    <row r="798" spans="1:9">
      <c r="A798" t="s">
        <v>364</v>
      </c>
      <c r="B798" s="6"/>
      <c r="C798" s="6"/>
      <c r="D798" s="6"/>
      <c r="E798" s="6"/>
      <c r="F798" s="6"/>
      <c r="G798" s="6">
        <v>-2.3404326000000002</v>
      </c>
      <c r="H798" t="s">
        <v>17</v>
      </c>
      <c r="I798" t="s">
        <v>17</v>
      </c>
    </row>
    <row r="799" spans="1:9">
      <c r="A799" t="s">
        <v>365</v>
      </c>
      <c r="B799" s="6"/>
      <c r="C799" s="6"/>
      <c r="D799" s="6"/>
      <c r="E799" s="6"/>
      <c r="F799" s="6"/>
      <c r="G799" s="6">
        <v>-2.1704694999999998</v>
      </c>
      <c r="H799" t="s">
        <v>17</v>
      </c>
      <c r="I799" t="s">
        <v>17</v>
      </c>
    </row>
    <row r="800" spans="1:9">
      <c r="A800" t="s">
        <v>366</v>
      </c>
      <c r="B800" s="6"/>
      <c r="C800" s="6"/>
      <c r="D800" s="6"/>
      <c r="E800" s="6"/>
      <c r="F800" s="6"/>
      <c r="G800" s="6"/>
      <c r="H800" t="s">
        <v>17</v>
      </c>
      <c r="I800" t="s">
        <v>17</v>
      </c>
    </row>
    <row r="801" spans="1:9">
      <c r="A801" t="s">
        <v>367</v>
      </c>
      <c r="B801" s="6">
        <v>2.7241430000000002</v>
      </c>
      <c r="C801" s="6">
        <v>3.6071776999999998</v>
      </c>
      <c r="D801" s="6">
        <v>2.8680189999999999</v>
      </c>
      <c r="E801" s="6"/>
      <c r="F801" s="6"/>
      <c r="G801" s="6"/>
      <c r="H801" t="s">
        <v>17</v>
      </c>
      <c r="I801" t="s">
        <v>17</v>
      </c>
    </row>
    <row r="802" spans="1:9">
      <c r="A802" t="s">
        <v>368</v>
      </c>
      <c r="B802" s="6"/>
      <c r="C802" s="6"/>
      <c r="D802" s="6"/>
      <c r="E802" s="6"/>
      <c r="F802" s="6"/>
      <c r="G802" s="6">
        <v>-2.3951468</v>
      </c>
      <c r="H802" t="s">
        <v>17</v>
      </c>
      <c r="I802" t="s">
        <v>17</v>
      </c>
    </row>
    <row r="803" spans="1:9">
      <c r="A803" t="s">
        <v>369</v>
      </c>
      <c r="B803" s="6"/>
      <c r="C803" s="6"/>
      <c r="D803" s="6"/>
      <c r="E803" s="6">
        <v>-5.380503</v>
      </c>
      <c r="F803" s="6">
        <v>-6.919778</v>
      </c>
      <c r="G803" s="6">
        <v>-5.3312689999999998</v>
      </c>
      <c r="H803" t="s">
        <v>17</v>
      </c>
      <c r="I803" t="s">
        <v>17</v>
      </c>
    </row>
    <row r="804" spans="1:9">
      <c r="A804" t="s">
        <v>370</v>
      </c>
      <c r="B804" s="6"/>
      <c r="C804" s="6"/>
      <c r="D804" s="6">
        <v>3.0109086</v>
      </c>
      <c r="E804" s="6"/>
      <c r="F804" s="6"/>
      <c r="G804" s="6"/>
      <c r="H804" t="s">
        <v>17</v>
      </c>
      <c r="I804" t="s">
        <v>17</v>
      </c>
    </row>
    <row r="805" spans="1:9">
      <c r="A805" t="s">
        <v>371</v>
      </c>
      <c r="B805" s="6"/>
      <c r="C805" s="6"/>
      <c r="D805" s="6"/>
      <c r="E805" s="6"/>
      <c r="F805" s="6"/>
      <c r="G805" s="6">
        <v>-2.0422530000000001</v>
      </c>
      <c r="H805" t="s">
        <v>17</v>
      </c>
      <c r="I805" t="s">
        <v>17</v>
      </c>
    </row>
    <row r="806" spans="1:9">
      <c r="A806" t="s">
        <v>372</v>
      </c>
      <c r="B806" s="6"/>
      <c r="C806" s="6"/>
      <c r="D806" s="6"/>
      <c r="E806" s="6"/>
      <c r="F806" s="6"/>
      <c r="G806" s="6"/>
      <c r="H806" t="s">
        <v>17</v>
      </c>
      <c r="I806" t="s">
        <v>17</v>
      </c>
    </row>
    <row r="807" spans="1:9">
      <c r="A807" t="s">
        <v>373</v>
      </c>
      <c r="B807" s="6"/>
      <c r="C807" s="6"/>
      <c r="D807" s="6"/>
      <c r="E807" s="6"/>
      <c r="F807" s="6"/>
      <c r="G807" s="6">
        <v>-3.0279658</v>
      </c>
      <c r="H807" t="s">
        <v>17</v>
      </c>
      <c r="I807" t="s">
        <v>17</v>
      </c>
    </row>
    <row r="808" spans="1:9">
      <c r="A808" t="s">
        <v>374</v>
      </c>
      <c r="B808" s="6"/>
      <c r="C808" s="6"/>
      <c r="D808" s="6"/>
      <c r="E808" s="6"/>
      <c r="F808" s="6"/>
      <c r="G808" s="6"/>
      <c r="H808" t="s">
        <v>17</v>
      </c>
      <c r="I808" t="s">
        <v>17</v>
      </c>
    </row>
    <row r="809" spans="1:9">
      <c r="A809" t="s">
        <v>375</v>
      </c>
      <c r="B809" s="6"/>
      <c r="C809" s="6"/>
      <c r="D809" s="6"/>
      <c r="E809" s="6"/>
      <c r="F809" s="6"/>
      <c r="G809" s="6"/>
      <c r="H809" t="s">
        <v>17</v>
      </c>
      <c r="I809" t="s">
        <v>17</v>
      </c>
    </row>
    <row r="810" spans="1:9">
      <c r="A810" t="s">
        <v>376</v>
      </c>
      <c r="B810" s="6"/>
      <c r="C810" s="6"/>
      <c r="D810" s="6"/>
      <c r="E810" s="6"/>
      <c r="F810" s="6"/>
      <c r="G810" s="6"/>
      <c r="H810" t="s">
        <v>17</v>
      </c>
      <c r="I810" t="s">
        <v>17</v>
      </c>
    </row>
    <row r="811" spans="1:9">
      <c r="A811" t="s">
        <v>377</v>
      </c>
      <c r="B811" s="6"/>
      <c r="C811" s="6"/>
      <c r="D811" s="6"/>
      <c r="E811" s="6"/>
      <c r="F811" s="6"/>
      <c r="G811" s="6">
        <v>-3.6468777999999999</v>
      </c>
      <c r="H811" t="s">
        <v>17</v>
      </c>
      <c r="I811" t="s">
        <v>17</v>
      </c>
    </row>
    <row r="812" spans="1:9">
      <c r="A812" t="s">
        <v>378</v>
      </c>
      <c r="B812" s="6"/>
      <c r="C812" s="6"/>
      <c r="D812" s="6"/>
      <c r="E812" s="6"/>
      <c r="F812" s="6"/>
      <c r="G812" s="6"/>
      <c r="H812" t="s">
        <v>17</v>
      </c>
      <c r="I812" t="s">
        <v>17</v>
      </c>
    </row>
    <row r="813" spans="1:9">
      <c r="A813" t="s">
        <v>379</v>
      </c>
      <c r="B813" s="6"/>
      <c r="C813" s="6"/>
      <c r="D813" s="6"/>
      <c r="E813" s="6"/>
      <c r="F813" s="6"/>
      <c r="G813" s="6"/>
      <c r="H813" t="s">
        <v>17</v>
      </c>
      <c r="I813" t="s">
        <v>17</v>
      </c>
    </row>
    <row r="814" spans="1:9">
      <c r="A814" t="s">
        <v>380</v>
      </c>
      <c r="B814" s="6"/>
      <c r="C814" s="6"/>
      <c r="D814" s="6"/>
      <c r="E814" s="6"/>
      <c r="F814" s="6"/>
      <c r="G814" s="6"/>
      <c r="H814" t="s">
        <v>17</v>
      </c>
      <c r="I814" t="s">
        <v>17</v>
      </c>
    </row>
    <row r="815" spans="1:9">
      <c r="A815" t="s">
        <v>381</v>
      </c>
      <c r="B815" s="6"/>
      <c r="C815" s="6"/>
      <c r="D815" s="6"/>
      <c r="E815" s="6"/>
      <c r="F815" s="6"/>
      <c r="G815" s="6">
        <v>-3.4008881999999998</v>
      </c>
      <c r="H815" t="s">
        <v>17</v>
      </c>
      <c r="I815" t="s">
        <v>17</v>
      </c>
    </row>
    <row r="816" spans="1:9">
      <c r="A816" t="s">
        <v>382</v>
      </c>
      <c r="B816" s="6"/>
      <c r="C816" s="6"/>
      <c r="D816" s="6"/>
      <c r="E816" s="6"/>
      <c r="F816" s="6"/>
      <c r="G816" s="6"/>
      <c r="H816" t="s">
        <v>17</v>
      </c>
      <c r="I816" t="s">
        <v>17</v>
      </c>
    </row>
    <row r="817" spans="1:10">
      <c r="A817" t="s">
        <v>383</v>
      </c>
      <c r="B817" s="6"/>
      <c r="C817" s="6"/>
      <c r="D817" s="6"/>
      <c r="E817" s="6"/>
      <c r="F817" s="6"/>
      <c r="G817" s="6"/>
      <c r="H817" t="s">
        <v>17</v>
      </c>
      <c r="I817" t="s">
        <v>17</v>
      </c>
    </row>
    <row r="818" spans="1:10">
      <c r="A818" t="s">
        <v>384</v>
      </c>
      <c r="B818" s="6"/>
      <c r="C818" s="6"/>
      <c r="D818" s="6"/>
      <c r="E818" s="6"/>
      <c r="F818" s="6"/>
      <c r="G818" s="6"/>
      <c r="H818" t="s">
        <v>17</v>
      </c>
      <c r="I818" t="s">
        <v>17</v>
      </c>
    </row>
    <row r="819" spans="1:10">
      <c r="A819" t="s">
        <v>530</v>
      </c>
      <c r="B819" s="6"/>
      <c r="C819" s="6"/>
      <c r="D819" s="6"/>
      <c r="E819" s="6"/>
      <c r="F819" s="6"/>
      <c r="G819" s="6">
        <v>-2.2816477000000002</v>
      </c>
      <c r="H819" t="s">
        <v>17</v>
      </c>
      <c r="I819" t="s">
        <v>17</v>
      </c>
    </row>
    <row r="820" spans="1:10">
      <c r="A820" t="s">
        <v>385</v>
      </c>
      <c r="B820" s="6"/>
      <c r="C820" s="6"/>
      <c r="D820" s="6"/>
      <c r="E820" s="6"/>
      <c r="F820" s="6"/>
      <c r="G820" s="6">
        <v>-2.0214352999999998</v>
      </c>
      <c r="H820" t="s">
        <v>17</v>
      </c>
      <c r="I820" t="s">
        <v>17</v>
      </c>
    </row>
    <row r="821" spans="1:10">
      <c r="A821" t="s">
        <v>386</v>
      </c>
      <c r="B821" s="6"/>
      <c r="C821" s="6"/>
      <c r="D821" s="6"/>
      <c r="E821" s="6"/>
      <c r="F821" s="6">
        <v>-2.3520726999999999</v>
      </c>
      <c r="G821" s="6"/>
      <c r="H821" t="s">
        <v>17</v>
      </c>
      <c r="I821" t="s">
        <v>17</v>
      </c>
    </row>
    <row r="822" spans="1:10">
      <c r="A822" t="s">
        <v>387</v>
      </c>
      <c r="B822" s="6"/>
      <c r="C822" s="6"/>
      <c r="D822" s="6"/>
      <c r="E822" s="6"/>
      <c r="F822" s="6"/>
      <c r="G822" s="6">
        <v>-5.9452275999999999</v>
      </c>
      <c r="H822" t="s">
        <v>17</v>
      </c>
      <c r="I822" t="s">
        <v>17</v>
      </c>
    </row>
    <row r="823" spans="1:10">
      <c r="A823" t="s">
        <v>388</v>
      </c>
      <c r="B823" s="6"/>
      <c r="C823" s="6"/>
      <c r="D823" s="6"/>
      <c r="E823" s="6"/>
      <c r="F823" s="6"/>
      <c r="G823" s="6">
        <v>-4.6265893</v>
      </c>
      <c r="H823" t="s">
        <v>17</v>
      </c>
      <c r="I823" t="s">
        <v>17</v>
      </c>
    </row>
    <row r="824" spans="1:10">
      <c r="A824" t="s">
        <v>389</v>
      </c>
      <c r="B824" s="6"/>
      <c r="C824" s="6"/>
      <c r="D824" s="6"/>
      <c r="E824" s="6">
        <v>-2.5160007000000002</v>
      </c>
      <c r="F824" s="6">
        <v>-2.2058659</v>
      </c>
      <c r="G824" s="6">
        <v>-3.2951535999999999</v>
      </c>
      <c r="H824" t="s">
        <v>17</v>
      </c>
      <c r="I824" t="s">
        <v>17</v>
      </c>
    </row>
    <row r="825" spans="1:10">
      <c r="A825" t="s">
        <v>390</v>
      </c>
      <c r="B825" s="6"/>
      <c r="C825" s="6"/>
      <c r="D825" s="6"/>
      <c r="E825" s="6"/>
      <c r="F825" s="6">
        <v>-2.6612062000000001</v>
      </c>
      <c r="G825" s="6">
        <v>-2.3979911999999999</v>
      </c>
      <c r="H825" t="s">
        <v>17</v>
      </c>
      <c r="I825" t="s">
        <v>17</v>
      </c>
    </row>
    <row r="826" spans="1:10">
      <c r="A826" t="s">
        <v>568</v>
      </c>
      <c r="B826" s="6"/>
      <c r="C826" s="6"/>
      <c r="D826" s="6"/>
      <c r="E826" s="6">
        <v>-2.0594009999999998</v>
      </c>
      <c r="F826" s="6">
        <v>-3.9692501999999998</v>
      </c>
      <c r="G826" s="6">
        <v>-4.6345460000000003</v>
      </c>
      <c r="H826" t="s">
        <v>17</v>
      </c>
      <c r="I826" t="s">
        <v>17</v>
      </c>
    </row>
    <row r="827" spans="1:10">
      <c r="A827" t="s">
        <v>391</v>
      </c>
      <c r="B827" s="6"/>
      <c r="C827" s="6"/>
      <c r="D827" s="6"/>
      <c r="E827" s="6">
        <v>-2.0017499999999999</v>
      </c>
      <c r="F827" s="6">
        <v>-4.0041485000000003</v>
      </c>
      <c r="G827" s="6">
        <v>-4.7748156000000002</v>
      </c>
      <c r="H827" t="s">
        <v>17</v>
      </c>
      <c r="I827" t="s">
        <v>17</v>
      </c>
    </row>
    <row r="828" spans="1:10">
      <c r="A828" t="s">
        <v>392</v>
      </c>
      <c r="B828" s="6">
        <v>2.0826072999999998</v>
      </c>
      <c r="C828" s="6">
        <v>3.0056943999999999</v>
      </c>
      <c r="D828" s="6">
        <v>3.2596120000000002</v>
      </c>
      <c r="E828" s="6"/>
      <c r="F828" s="6"/>
      <c r="G828" s="6"/>
      <c r="H828" t="s">
        <v>17</v>
      </c>
      <c r="I828" t="s">
        <v>17</v>
      </c>
      <c r="J828" t="s">
        <v>17</v>
      </c>
    </row>
    <row r="829" spans="1:10">
      <c r="A829" t="s">
        <v>393</v>
      </c>
      <c r="B829" s="6"/>
      <c r="C829" s="6"/>
      <c r="D829" s="6"/>
      <c r="E829" s="6">
        <v>-2.1699079999999999</v>
      </c>
      <c r="F829" s="6">
        <v>-2.8292774999999999</v>
      </c>
      <c r="G829" s="6">
        <v>-4.5601880000000001</v>
      </c>
      <c r="H829" t="s">
        <v>17</v>
      </c>
      <c r="I829" t="s">
        <v>17</v>
      </c>
    </row>
    <row r="830" spans="1:10">
      <c r="A830" t="s">
        <v>394</v>
      </c>
      <c r="B830" s="6"/>
      <c r="C830" s="6"/>
      <c r="D830" s="6"/>
      <c r="E830" s="6"/>
      <c r="F830" s="6"/>
      <c r="G830" s="6">
        <v>-2.5086974999999998</v>
      </c>
      <c r="H830" t="s">
        <v>17</v>
      </c>
      <c r="I830" t="s">
        <v>17</v>
      </c>
    </row>
    <row r="831" spans="1:10">
      <c r="A831" t="s">
        <v>395</v>
      </c>
      <c r="B831" s="6"/>
      <c r="C831" s="6"/>
      <c r="D831" s="6"/>
      <c r="E831" s="6"/>
      <c r="F831" s="6"/>
      <c r="G831" s="6"/>
      <c r="H831" t="s">
        <v>17</v>
      </c>
      <c r="I831" t="s">
        <v>17</v>
      </c>
    </row>
    <row r="832" spans="1:10">
      <c r="A832" t="s">
        <v>396</v>
      </c>
      <c r="B832" s="6"/>
      <c r="C832" s="6"/>
      <c r="D832" s="6"/>
      <c r="E832" s="6"/>
      <c r="F832" s="6"/>
      <c r="G832" s="6">
        <v>-2.0796366000000002</v>
      </c>
      <c r="H832" t="s">
        <v>17</v>
      </c>
      <c r="I832" t="s">
        <v>17</v>
      </c>
    </row>
    <row r="833" spans="1:9">
      <c r="A833" t="s">
        <v>397</v>
      </c>
      <c r="B833" s="6"/>
      <c r="C833" s="6"/>
      <c r="D833" s="6"/>
      <c r="E833" s="6"/>
      <c r="F833" s="6">
        <v>-2.4464177999999999</v>
      </c>
      <c r="G833" s="6"/>
      <c r="H833" t="s">
        <v>17</v>
      </c>
      <c r="I833" t="s">
        <v>17</v>
      </c>
    </row>
    <row r="834" spans="1:9">
      <c r="A834" t="s">
        <v>398</v>
      </c>
      <c r="B834" s="6"/>
      <c r="C834" s="6"/>
      <c r="D834" s="6"/>
      <c r="E834" s="6">
        <v>-2.1948346999999999</v>
      </c>
      <c r="F834" s="6"/>
      <c r="G834" s="6">
        <v>-3.1350392999999999</v>
      </c>
      <c r="H834" t="s">
        <v>17</v>
      </c>
      <c r="I834" t="s">
        <v>17</v>
      </c>
    </row>
    <row r="835" spans="1:9">
      <c r="A835" t="s">
        <v>399</v>
      </c>
      <c r="B835" s="6"/>
      <c r="C835" s="6"/>
      <c r="D835" s="6"/>
      <c r="E835" s="6"/>
      <c r="F835" s="6"/>
      <c r="G835" s="6">
        <v>-3.0405269000000001</v>
      </c>
      <c r="H835" t="s">
        <v>17</v>
      </c>
      <c r="I835" t="s">
        <v>17</v>
      </c>
    </row>
    <row r="836" spans="1:9">
      <c r="A836" t="s">
        <v>400</v>
      </c>
      <c r="B836" s="6"/>
      <c r="C836" s="6"/>
      <c r="D836" s="6"/>
      <c r="E836" s="6"/>
      <c r="F836" s="6">
        <v>-3.1880389999999998</v>
      </c>
      <c r="G836" s="6">
        <v>-5.3434809999999997</v>
      </c>
      <c r="H836" t="s">
        <v>17</v>
      </c>
      <c r="I836" t="s">
        <v>17</v>
      </c>
    </row>
    <row r="837" spans="1:9">
      <c r="A837" t="s">
        <v>401</v>
      </c>
      <c r="B837" s="6"/>
      <c r="C837" s="6"/>
      <c r="D837" s="6"/>
      <c r="E837" s="6">
        <v>-2.303042</v>
      </c>
      <c r="F837" s="6">
        <v>-3.2499718999999998</v>
      </c>
      <c r="G837" s="6"/>
      <c r="H837" t="s">
        <v>17</v>
      </c>
      <c r="I837" t="s">
        <v>17</v>
      </c>
    </row>
    <row r="838" spans="1:9">
      <c r="A838" t="s">
        <v>402</v>
      </c>
      <c r="B838" s="6"/>
      <c r="C838" s="6"/>
      <c r="D838" s="6"/>
      <c r="E838" s="6"/>
      <c r="F838" s="6"/>
      <c r="G838" s="6">
        <v>-2.1406974999999999</v>
      </c>
      <c r="H838" t="s">
        <v>17</v>
      </c>
      <c r="I838" t="s">
        <v>17</v>
      </c>
    </row>
    <row r="839" spans="1:9">
      <c r="A839" t="s">
        <v>403</v>
      </c>
      <c r="B839" s="6"/>
      <c r="C839" s="6"/>
      <c r="D839" s="6"/>
      <c r="E839" s="6"/>
      <c r="F839" s="6"/>
      <c r="G839" s="6">
        <v>-2.1685661999999999</v>
      </c>
      <c r="H839" t="s">
        <v>17</v>
      </c>
      <c r="I839" t="s">
        <v>17</v>
      </c>
    </row>
    <row r="840" spans="1:9">
      <c r="A840" t="s">
        <v>404</v>
      </c>
      <c r="B840" s="6"/>
      <c r="C840" s="6"/>
      <c r="D840" s="6"/>
      <c r="E840" s="6"/>
      <c r="F840" s="6"/>
      <c r="G840" s="6">
        <v>-2.4968276</v>
      </c>
      <c r="H840" t="s">
        <v>17</v>
      </c>
      <c r="I840" t="s">
        <v>17</v>
      </c>
    </row>
    <row r="841" spans="1:9">
      <c r="A841" t="s">
        <v>405</v>
      </c>
      <c r="B841" s="6"/>
      <c r="C841" s="6"/>
      <c r="D841" s="6">
        <v>2.8960499999999998</v>
      </c>
      <c r="E841" s="6"/>
      <c r="F841" s="6"/>
      <c r="G841" s="6"/>
      <c r="H841" t="s">
        <v>17</v>
      </c>
      <c r="I841" t="s">
        <v>17</v>
      </c>
    </row>
    <row r="842" spans="1:9">
      <c r="A842" t="s">
        <v>406</v>
      </c>
      <c r="B842" s="6"/>
      <c r="C842" s="6"/>
      <c r="D842" s="6">
        <v>2.3130760000000001</v>
      </c>
      <c r="E842" s="6"/>
      <c r="F842" s="6"/>
      <c r="G842" s="6"/>
      <c r="H842" t="s">
        <v>17</v>
      </c>
      <c r="I842" t="s">
        <v>17</v>
      </c>
    </row>
    <row r="843" spans="1:9">
      <c r="A843" t="s">
        <v>407</v>
      </c>
      <c r="B843" s="6"/>
      <c r="C843" s="6"/>
      <c r="D843" s="6">
        <v>2.1275601000000002</v>
      </c>
      <c r="E843" s="6"/>
      <c r="F843" s="6"/>
      <c r="G843" s="6"/>
      <c r="H843" t="s">
        <v>17</v>
      </c>
      <c r="I843" t="s">
        <v>17</v>
      </c>
    </row>
    <row r="844" spans="1:9">
      <c r="A844" t="s">
        <v>408</v>
      </c>
      <c r="B844" s="6"/>
      <c r="C844" s="6"/>
      <c r="D844" s="6"/>
      <c r="E844" s="6">
        <v>-2.0980253000000002</v>
      </c>
      <c r="F844" s="6">
        <v>-3.7564535000000001</v>
      </c>
      <c r="G844" s="6">
        <v>-4.7958699999999999</v>
      </c>
      <c r="H844" t="s">
        <v>17</v>
      </c>
      <c r="I844" t="s">
        <v>17</v>
      </c>
    </row>
    <row r="845" spans="1:9">
      <c r="A845" t="s">
        <v>409</v>
      </c>
      <c r="B845" s="6"/>
      <c r="C845" s="6"/>
      <c r="D845" s="6"/>
      <c r="E845" s="6"/>
      <c r="F845" s="6"/>
      <c r="G845" s="6">
        <v>-2.1816010000000001</v>
      </c>
      <c r="H845" t="s">
        <v>17</v>
      </c>
      <c r="I845" t="s">
        <v>17</v>
      </c>
    </row>
    <row r="846" spans="1:9">
      <c r="A846" t="s">
        <v>410</v>
      </c>
      <c r="B846" s="6"/>
      <c r="C846" s="6"/>
      <c r="D846" s="6"/>
      <c r="E846" s="6"/>
      <c r="F846" s="6"/>
      <c r="G846" s="6">
        <v>-3.1163892999999998</v>
      </c>
      <c r="H846" t="s">
        <v>17</v>
      </c>
      <c r="I846" t="s">
        <v>411</v>
      </c>
    </row>
    <row r="847" spans="1:9">
      <c r="A847" t="s">
        <v>412</v>
      </c>
      <c r="B847" s="6"/>
      <c r="C847" s="6"/>
      <c r="D847" s="6"/>
      <c r="E847" s="6"/>
      <c r="F847" s="6">
        <v>-2.2005121999999999</v>
      </c>
      <c r="G847" s="6">
        <v>-3.7180927000000001</v>
      </c>
      <c r="H847" t="s">
        <v>17</v>
      </c>
      <c r="I847" t="s">
        <v>17</v>
      </c>
    </row>
    <row r="848" spans="1:9">
      <c r="A848" t="s">
        <v>413</v>
      </c>
      <c r="B848" s="6"/>
      <c r="C848" s="6"/>
      <c r="D848" s="6"/>
      <c r="E848" s="6">
        <v>-2.6457944000000002</v>
      </c>
      <c r="F848" s="6">
        <v>-2.4182267</v>
      </c>
      <c r="G848" s="6">
        <v>-4.4329980000000004</v>
      </c>
      <c r="H848" t="s">
        <v>17</v>
      </c>
      <c r="I848" t="s">
        <v>17</v>
      </c>
    </row>
    <row r="849" spans="1:9">
      <c r="A849" t="s">
        <v>414</v>
      </c>
      <c r="B849" s="6"/>
      <c r="C849" s="6"/>
      <c r="D849" s="6"/>
      <c r="E849" s="6"/>
      <c r="F849" s="6"/>
      <c r="G849" s="6">
        <v>-2.2990946999999999</v>
      </c>
      <c r="H849" t="s">
        <v>17</v>
      </c>
      <c r="I849" t="s">
        <v>17</v>
      </c>
    </row>
    <row r="850" spans="1:9">
      <c r="A850" t="s">
        <v>415</v>
      </c>
      <c r="B850" s="6"/>
      <c r="C850" s="6"/>
      <c r="D850" s="6"/>
      <c r="E850" s="6"/>
      <c r="F850" s="6"/>
      <c r="G850" s="6">
        <v>-3.1531475000000002</v>
      </c>
      <c r="H850" t="s">
        <v>17</v>
      </c>
      <c r="I850" t="s">
        <v>17</v>
      </c>
    </row>
    <row r="851" spans="1:9">
      <c r="A851" t="s">
        <v>416</v>
      </c>
      <c r="B851" s="6"/>
      <c r="C851" s="6"/>
      <c r="D851" s="6"/>
      <c r="E851" s="6"/>
      <c r="F851" s="6"/>
      <c r="G851" s="6"/>
      <c r="H851" t="s">
        <v>17</v>
      </c>
      <c r="I851" t="s">
        <v>17</v>
      </c>
    </row>
    <row r="852" spans="1:9" s="39" customFormat="1">
      <c r="A852" s="39" t="s">
        <v>417</v>
      </c>
      <c r="B852" s="40"/>
      <c r="C852" s="40"/>
      <c r="D852" s="40"/>
      <c r="E852" s="40">
        <v>-4.8070107000000002</v>
      </c>
      <c r="F852" s="40">
        <v>-6.3578340000000004</v>
      </c>
      <c r="G852" s="40">
        <v>-6.4083985999999999</v>
      </c>
      <c r="H852" s="39" t="s">
        <v>17</v>
      </c>
      <c r="I852" s="39" t="s">
        <v>17</v>
      </c>
    </row>
    <row r="853" spans="1:9" s="39" customFormat="1">
      <c r="A853" s="39" t="s">
        <v>418</v>
      </c>
      <c r="B853" s="40"/>
      <c r="C853" s="40"/>
      <c r="D853" s="40"/>
      <c r="E853" s="40">
        <v>-4.1163129999999999</v>
      </c>
      <c r="F853" s="40">
        <v>-5.461195</v>
      </c>
      <c r="G853" s="40">
        <v>-5.3889620000000003</v>
      </c>
      <c r="H853" s="39" t="s">
        <v>17</v>
      </c>
      <c r="I853" s="39" t="s">
        <v>17</v>
      </c>
    </row>
    <row r="854" spans="1:9" s="39" customFormat="1">
      <c r="A854" s="39" t="s">
        <v>419</v>
      </c>
      <c r="B854" s="40"/>
      <c r="C854" s="40"/>
      <c r="D854" s="40"/>
      <c r="E854" s="40">
        <v>-5.0937023000000003</v>
      </c>
      <c r="F854" s="40">
        <v>-6.6829394999999998</v>
      </c>
      <c r="G854" s="40">
        <v>-6.7413235</v>
      </c>
      <c r="H854" s="39" t="s">
        <v>17</v>
      </c>
      <c r="I854" s="39" t="s">
        <v>17</v>
      </c>
    </row>
    <row r="855" spans="1:9">
      <c r="A855" t="s">
        <v>569</v>
      </c>
      <c r="B855" s="6"/>
      <c r="C855" s="6"/>
      <c r="D855" s="6"/>
      <c r="E855" s="6">
        <v>-2.0691671</v>
      </c>
      <c r="F855" s="6">
        <v>-2.3986149999999999</v>
      </c>
      <c r="G855" s="6">
        <v>-2.3788520000000002</v>
      </c>
      <c r="H855" t="s">
        <v>17</v>
      </c>
      <c r="I855" t="s">
        <v>17</v>
      </c>
    </row>
    <row r="856" spans="1:9">
      <c r="A856" t="s">
        <v>420</v>
      </c>
      <c r="B856" s="6"/>
      <c r="C856" s="6"/>
      <c r="D856" s="6">
        <v>2.0114516999999998</v>
      </c>
      <c r="E856" s="6"/>
      <c r="F856" s="6"/>
      <c r="G856" s="6"/>
      <c r="H856" t="s">
        <v>17</v>
      </c>
      <c r="I856" t="s">
        <v>17</v>
      </c>
    </row>
    <row r="857" spans="1:9">
      <c r="A857" t="s">
        <v>421</v>
      </c>
      <c r="B857" s="6"/>
      <c r="C857" s="6"/>
      <c r="D857" s="6"/>
      <c r="E857" s="6">
        <v>-2.2714940000000001</v>
      </c>
      <c r="F857" s="6">
        <v>-2.517744</v>
      </c>
      <c r="G857" s="6"/>
      <c r="H857" t="s">
        <v>17</v>
      </c>
      <c r="I857" t="s">
        <v>17</v>
      </c>
    </row>
    <row r="858" spans="1:9">
      <c r="A858" t="s">
        <v>422</v>
      </c>
      <c r="B858" s="6"/>
      <c r="C858" s="6"/>
      <c r="D858" s="6"/>
      <c r="E858" s="6"/>
      <c r="F858" s="6"/>
      <c r="G858" s="6"/>
      <c r="H858" t="s">
        <v>17</v>
      </c>
      <c r="I858" t="s">
        <v>17</v>
      </c>
    </row>
    <row r="859" spans="1:9">
      <c r="A859" t="s">
        <v>423</v>
      </c>
      <c r="B859" s="6"/>
      <c r="C859" s="6"/>
      <c r="D859" s="6"/>
      <c r="E859" s="6"/>
      <c r="F859" s="6">
        <v>-3.5899792000000001</v>
      </c>
      <c r="G859" s="6">
        <v>-5.3551345000000001</v>
      </c>
      <c r="H859" t="s">
        <v>17</v>
      </c>
      <c r="I859" t="s">
        <v>17</v>
      </c>
    </row>
    <row r="860" spans="1:9">
      <c r="A860" t="s">
        <v>570</v>
      </c>
      <c r="B860" s="6"/>
      <c r="C860" s="6"/>
      <c r="D860" s="6"/>
      <c r="E860" s="6"/>
      <c r="F860" s="6">
        <v>-5.4446973999999999</v>
      </c>
      <c r="G860" s="6">
        <v>-7.1817694000000003</v>
      </c>
      <c r="H860" t="s">
        <v>17</v>
      </c>
      <c r="I860" t="s">
        <v>17</v>
      </c>
    </row>
    <row r="861" spans="1:9">
      <c r="A861" t="s">
        <v>424</v>
      </c>
      <c r="B861" s="6"/>
      <c r="C861" s="6"/>
      <c r="D861" s="6"/>
      <c r="E861" s="6"/>
      <c r="F861" s="6"/>
      <c r="G861" s="6"/>
      <c r="H861" t="s">
        <v>17</v>
      </c>
      <c r="I861" t="s">
        <v>17</v>
      </c>
    </row>
    <row r="862" spans="1:9">
      <c r="A862" t="s">
        <v>425</v>
      </c>
      <c r="B862" s="6"/>
      <c r="C862" s="6"/>
      <c r="D862" s="6">
        <v>2.213705</v>
      </c>
      <c r="E862" s="6"/>
      <c r="F862" s="6"/>
      <c r="G862" s="6"/>
      <c r="H862" t="s">
        <v>17</v>
      </c>
      <c r="I862" t="s">
        <v>17</v>
      </c>
    </row>
    <row r="863" spans="1:9">
      <c r="A863" t="s">
        <v>426</v>
      </c>
      <c r="B863" s="6"/>
      <c r="C863" s="6"/>
      <c r="D863" s="6"/>
      <c r="E863" s="6"/>
      <c r="F863" s="6"/>
      <c r="G863" s="6">
        <v>-2.0115479999999999</v>
      </c>
      <c r="H863" t="s">
        <v>17</v>
      </c>
      <c r="I863" t="s">
        <v>17</v>
      </c>
    </row>
    <row r="864" spans="1:9">
      <c r="A864" t="s">
        <v>427</v>
      </c>
      <c r="B864" s="6"/>
      <c r="C864" s="6"/>
      <c r="D864" s="6"/>
      <c r="E864" s="6"/>
      <c r="F864" s="6"/>
      <c r="G864" s="6">
        <v>-3.7063552999999998</v>
      </c>
      <c r="H864" t="s">
        <v>17</v>
      </c>
      <c r="I864" t="s">
        <v>17</v>
      </c>
    </row>
    <row r="865" spans="1:9">
      <c r="A865" t="s">
        <v>428</v>
      </c>
      <c r="B865" s="6"/>
      <c r="C865" s="6"/>
      <c r="D865" s="6">
        <v>2.3368959999999999</v>
      </c>
      <c r="E865" s="6"/>
      <c r="F865" s="6"/>
      <c r="G865" s="6"/>
      <c r="H865" t="s">
        <v>17</v>
      </c>
      <c r="I865" t="s">
        <v>17</v>
      </c>
    </row>
    <row r="866" spans="1:9">
      <c r="A866" t="s">
        <v>429</v>
      </c>
      <c r="B866" s="6"/>
      <c r="C866" s="6"/>
      <c r="D866" s="6">
        <v>2.7212662999999999</v>
      </c>
      <c r="E866" s="6"/>
      <c r="F866" s="6"/>
      <c r="G866" s="6"/>
      <c r="H866" t="s">
        <v>17</v>
      </c>
      <c r="I866" t="s">
        <v>17</v>
      </c>
    </row>
    <row r="867" spans="1:9">
      <c r="A867" t="s">
        <v>430</v>
      </c>
      <c r="B867" s="6"/>
      <c r="C867" s="6">
        <v>2.0692267000000002</v>
      </c>
      <c r="D867" s="6"/>
      <c r="E867" s="6"/>
      <c r="F867" s="6"/>
      <c r="G867" s="6"/>
      <c r="H867" t="s">
        <v>17</v>
      </c>
      <c r="I867" t="s">
        <v>17</v>
      </c>
    </row>
    <row r="868" spans="1:9">
      <c r="A868" t="s">
        <v>431</v>
      </c>
      <c r="B868" s="6"/>
      <c r="C868" s="6"/>
      <c r="D868" s="6"/>
      <c r="E868" s="6"/>
      <c r="F868" s="6"/>
      <c r="G868" s="6">
        <v>-3.4548830000000001</v>
      </c>
      <c r="H868" t="s">
        <v>17</v>
      </c>
      <c r="I868" t="s">
        <v>17</v>
      </c>
    </row>
    <row r="869" spans="1:9">
      <c r="A869" t="s">
        <v>432</v>
      </c>
      <c r="B869" s="6"/>
      <c r="C869" s="6">
        <v>2.0807524000000002</v>
      </c>
      <c r="D869" s="6">
        <v>2.7453080000000001</v>
      </c>
      <c r="E869" s="6"/>
      <c r="F869" s="6"/>
      <c r="G869" s="6"/>
      <c r="H869" t="s">
        <v>17</v>
      </c>
      <c r="I869" t="s">
        <v>17</v>
      </c>
    </row>
    <row r="870" spans="1:9">
      <c r="A870" t="s">
        <v>433</v>
      </c>
      <c r="B870" s="6"/>
      <c r="C870" s="6"/>
      <c r="D870" s="6"/>
      <c r="E870" s="6"/>
      <c r="F870" s="6"/>
      <c r="G870" s="6">
        <v>-2.0603794999999998</v>
      </c>
      <c r="H870" t="s">
        <v>17</v>
      </c>
      <c r="I870" t="s">
        <v>17</v>
      </c>
    </row>
    <row r="871" spans="1:9">
      <c r="A871" t="s">
        <v>434</v>
      </c>
      <c r="B871" s="6"/>
      <c r="C871" s="6"/>
      <c r="D871" s="6"/>
      <c r="E871" s="6"/>
      <c r="F871" s="6">
        <v>-2.4194884000000001</v>
      </c>
      <c r="G871" s="6">
        <v>-2.2591643000000001</v>
      </c>
      <c r="H871" t="s">
        <v>17</v>
      </c>
      <c r="I871" t="s">
        <v>17</v>
      </c>
    </row>
    <row r="872" spans="1:9">
      <c r="A872" t="s">
        <v>435</v>
      </c>
      <c r="B872" s="6"/>
      <c r="C872" s="6"/>
      <c r="D872" s="6"/>
      <c r="E872" s="6"/>
      <c r="F872" s="6"/>
      <c r="G872" s="6">
        <v>-2.1431255</v>
      </c>
      <c r="H872" t="s">
        <v>17</v>
      </c>
      <c r="I872" t="s">
        <v>17</v>
      </c>
    </row>
    <row r="873" spans="1:9">
      <c r="A873" t="s">
        <v>436</v>
      </c>
      <c r="B873" s="6">
        <v>3.2254233000000001</v>
      </c>
      <c r="C873" s="6">
        <v>3.7511939999999999</v>
      </c>
      <c r="D873" s="6">
        <v>3.1109900000000001</v>
      </c>
      <c r="E873" s="6"/>
      <c r="F873" s="6"/>
      <c r="G873" s="6"/>
      <c r="H873" t="s">
        <v>17</v>
      </c>
      <c r="I873" t="s">
        <v>17</v>
      </c>
    </row>
    <row r="874" spans="1:9">
      <c r="A874" t="s">
        <v>437</v>
      </c>
      <c r="B874" s="6"/>
      <c r="C874" s="6"/>
      <c r="D874" s="6"/>
      <c r="E874" s="6"/>
      <c r="F874" s="6"/>
      <c r="G874" s="6">
        <v>-2.1086683000000002</v>
      </c>
      <c r="H874" t="s">
        <v>17</v>
      </c>
      <c r="I874" t="s">
        <v>17</v>
      </c>
    </row>
    <row r="875" spans="1:9">
      <c r="A875" t="s">
        <v>438</v>
      </c>
      <c r="B875" s="6"/>
      <c r="C875" s="6"/>
      <c r="D875" s="6"/>
      <c r="E875" s="6"/>
      <c r="F875" s="6"/>
      <c r="G875" s="6"/>
      <c r="H875" t="s">
        <v>17</v>
      </c>
      <c r="I875" t="s">
        <v>17</v>
      </c>
    </row>
    <row r="876" spans="1:9">
      <c r="A876" t="s">
        <v>439</v>
      </c>
      <c r="B876" s="6"/>
      <c r="C876" s="6">
        <v>2.3278007999999999</v>
      </c>
      <c r="D876" s="6">
        <v>2.7699208</v>
      </c>
      <c r="E876" s="6"/>
      <c r="F876" s="6"/>
      <c r="G876" s="6"/>
      <c r="H876" t="s">
        <v>17</v>
      </c>
      <c r="I876" t="s">
        <v>17</v>
      </c>
    </row>
    <row r="877" spans="1:9">
      <c r="A877" t="s">
        <v>440</v>
      </c>
      <c r="B877" s="6"/>
      <c r="C877" s="6"/>
      <c r="D877" s="6"/>
      <c r="E877" s="6"/>
      <c r="F877" s="6"/>
      <c r="G877" s="6">
        <v>-2.146439</v>
      </c>
      <c r="H877" t="s">
        <v>17</v>
      </c>
      <c r="I877" t="s">
        <v>17</v>
      </c>
    </row>
    <row r="878" spans="1:9">
      <c r="A878" t="s">
        <v>441</v>
      </c>
      <c r="B878" s="6"/>
      <c r="C878" s="6"/>
      <c r="D878" s="6"/>
      <c r="E878" s="6">
        <v>-2.6875171999999998</v>
      </c>
      <c r="F878" s="6">
        <v>-2.7202969000000001</v>
      </c>
      <c r="G878" s="6">
        <v>-3.5056276</v>
      </c>
      <c r="H878" t="s">
        <v>17</v>
      </c>
      <c r="I878" t="s">
        <v>17</v>
      </c>
    </row>
    <row r="879" spans="1:9">
      <c r="A879" t="s">
        <v>442</v>
      </c>
      <c r="B879" s="6"/>
      <c r="C879" s="6"/>
      <c r="D879" s="6">
        <v>2.1226869000000002</v>
      </c>
      <c r="E879" s="6"/>
      <c r="F879" s="6"/>
      <c r="G879" s="6"/>
      <c r="H879" t="s">
        <v>17</v>
      </c>
      <c r="I879" t="s">
        <v>17</v>
      </c>
    </row>
    <row r="880" spans="1:9">
      <c r="A880" t="s">
        <v>443</v>
      </c>
      <c r="B880" s="6"/>
      <c r="C880" s="6"/>
      <c r="D880" s="6"/>
      <c r="E880" s="6">
        <v>-2.5657740000000002</v>
      </c>
      <c r="F880" s="6">
        <v>-3.0436926</v>
      </c>
      <c r="G880" s="6"/>
      <c r="H880" t="s">
        <v>17</v>
      </c>
      <c r="I880" t="s">
        <v>17</v>
      </c>
    </row>
    <row r="881" spans="1:9">
      <c r="A881" t="s">
        <v>444</v>
      </c>
      <c r="B881" s="6"/>
      <c r="C881" s="6"/>
      <c r="D881" s="6"/>
      <c r="E881" s="6"/>
      <c r="F881" s="6">
        <v>-2.9497719999999998</v>
      </c>
      <c r="G881" s="6">
        <v>-4.8349359999999999</v>
      </c>
      <c r="H881" t="s">
        <v>17</v>
      </c>
      <c r="I881" t="s">
        <v>17</v>
      </c>
    </row>
    <row r="882" spans="1:9">
      <c r="A882" t="s">
        <v>445</v>
      </c>
      <c r="B882" s="6"/>
      <c r="C882" s="6"/>
      <c r="D882" s="6"/>
      <c r="E882" s="6"/>
      <c r="F882" s="6"/>
      <c r="G882" s="6">
        <v>-2.4340415000000002</v>
      </c>
      <c r="H882" t="s">
        <v>17</v>
      </c>
      <c r="I882" t="s">
        <v>17</v>
      </c>
    </row>
    <row r="883" spans="1:9">
      <c r="A883" t="s">
        <v>446</v>
      </c>
      <c r="B883" s="6"/>
      <c r="C883" s="6"/>
      <c r="D883" s="6"/>
      <c r="E883" s="6"/>
      <c r="F883" s="6"/>
      <c r="G883" s="6">
        <v>-2.1229252999999999</v>
      </c>
      <c r="H883" t="s">
        <v>17</v>
      </c>
      <c r="I883" t="s">
        <v>17</v>
      </c>
    </row>
    <row r="884" spans="1:9">
      <c r="A884" t="s">
        <v>447</v>
      </c>
      <c r="B884" s="6"/>
      <c r="C884" s="6"/>
      <c r="D884" s="6"/>
      <c r="E884" s="6"/>
      <c r="F884" s="6"/>
      <c r="G884" s="6">
        <v>-2.3275155999999999</v>
      </c>
      <c r="H884" t="s">
        <v>17</v>
      </c>
      <c r="I884" t="s">
        <v>17</v>
      </c>
    </row>
    <row r="885" spans="1:9">
      <c r="A885" t="s">
        <v>448</v>
      </c>
      <c r="B885" s="6"/>
      <c r="C885" s="6"/>
      <c r="D885" s="6">
        <v>2.2493400000000001</v>
      </c>
      <c r="E885" s="6"/>
      <c r="F885" s="6"/>
      <c r="G885" s="6"/>
      <c r="H885" t="s">
        <v>17</v>
      </c>
      <c r="I885" t="s">
        <v>17</v>
      </c>
    </row>
    <row r="886" spans="1:9">
      <c r="A886" t="s">
        <v>449</v>
      </c>
      <c r="B886" s="6"/>
      <c r="C886" s="6"/>
      <c r="D886" s="6"/>
      <c r="E886" s="6"/>
      <c r="F886" s="6"/>
      <c r="G886" s="6">
        <v>-2.1284318</v>
      </c>
      <c r="H886" t="s">
        <v>17</v>
      </c>
      <c r="I886" t="s">
        <v>17</v>
      </c>
    </row>
    <row r="887" spans="1:9">
      <c r="A887" t="s">
        <v>572</v>
      </c>
      <c r="B887" s="6"/>
      <c r="C887" s="6"/>
      <c r="D887" s="6"/>
      <c r="E887" s="6"/>
      <c r="F887" s="6"/>
      <c r="G887" s="6">
        <v>-3.5901589999999999</v>
      </c>
      <c r="H887" t="s">
        <v>17</v>
      </c>
      <c r="I887" t="s">
        <v>17</v>
      </c>
    </row>
    <row r="888" spans="1:9">
      <c r="A888" t="s">
        <v>450</v>
      </c>
      <c r="B888" s="6"/>
      <c r="C888" s="6"/>
      <c r="D888" s="6"/>
      <c r="E888" s="6"/>
      <c r="F888" s="6"/>
      <c r="G888" s="6">
        <v>-2.2340689</v>
      </c>
      <c r="H888" t="s">
        <v>17</v>
      </c>
      <c r="I888" t="s">
        <v>17</v>
      </c>
    </row>
    <row r="889" spans="1:9">
      <c r="A889" t="s">
        <v>451</v>
      </c>
      <c r="B889" s="6"/>
      <c r="C889" s="6"/>
      <c r="D889" s="6"/>
      <c r="E889" s="6"/>
      <c r="F889" s="6"/>
      <c r="G889" s="6">
        <v>-2.3907018</v>
      </c>
      <c r="H889" t="s">
        <v>17</v>
      </c>
      <c r="I889" t="s">
        <v>17</v>
      </c>
    </row>
    <row r="890" spans="1:9">
      <c r="A890" t="s">
        <v>452</v>
      </c>
      <c r="B890" s="6"/>
      <c r="C890" s="6"/>
      <c r="D890" s="6"/>
      <c r="E890" s="6"/>
      <c r="F890" s="6"/>
      <c r="G890" s="6">
        <v>-2.1183800000000002</v>
      </c>
      <c r="H890" t="s">
        <v>17</v>
      </c>
      <c r="I890" t="s">
        <v>17</v>
      </c>
    </row>
    <row r="891" spans="1:9">
      <c r="A891" t="s">
        <v>453</v>
      </c>
      <c r="B891" s="6"/>
      <c r="C891" s="6"/>
      <c r="D891" s="6"/>
      <c r="E891" s="6"/>
      <c r="F891" s="6"/>
      <c r="G891" s="6">
        <v>-2.0026956</v>
      </c>
      <c r="H891" t="s">
        <v>17</v>
      </c>
      <c r="I891" t="s">
        <v>17</v>
      </c>
    </row>
    <row r="892" spans="1:9">
      <c r="A892" t="s">
        <v>454</v>
      </c>
      <c r="B892" s="6"/>
      <c r="C892" s="6"/>
      <c r="D892" s="6"/>
      <c r="E892" s="6"/>
      <c r="F892" s="6"/>
      <c r="G892" s="6">
        <v>-3.2528676999999999</v>
      </c>
      <c r="H892" t="s">
        <v>17</v>
      </c>
      <c r="I892" t="s">
        <v>17</v>
      </c>
    </row>
    <row r="893" spans="1:9">
      <c r="A893" t="s">
        <v>455</v>
      </c>
      <c r="B893" s="6"/>
      <c r="C893" s="6"/>
      <c r="D893" s="6">
        <v>2.7959208000000002</v>
      </c>
      <c r="E893" s="6"/>
      <c r="F893" s="6"/>
      <c r="G893" s="6"/>
      <c r="H893" t="s">
        <v>17</v>
      </c>
      <c r="I893" t="s">
        <v>17</v>
      </c>
    </row>
    <row r="894" spans="1:9">
      <c r="A894" t="s">
        <v>456</v>
      </c>
      <c r="B894" s="6"/>
      <c r="C894" s="6"/>
      <c r="D894" s="6">
        <v>2.7003794000000001</v>
      </c>
      <c r="E894" s="6"/>
      <c r="F894" s="6"/>
      <c r="G894" s="6"/>
      <c r="H894" t="s">
        <v>17</v>
      </c>
      <c r="I894" t="s">
        <v>17</v>
      </c>
    </row>
    <row r="895" spans="1:9">
      <c r="A895" t="s">
        <v>457</v>
      </c>
      <c r="B895" s="6"/>
      <c r="C895" s="6"/>
      <c r="D895" s="6">
        <v>2.6128583000000001</v>
      </c>
      <c r="E895" s="6"/>
      <c r="F895" s="6"/>
      <c r="G895" s="6"/>
      <c r="H895" t="s">
        <v>17</v>
      </c>
      <c r="I895" t="s">
        <v>17</v>
      </c>
    </row>
    <row r="896" spans="1:9">
      <c r="A896" t="s">
        <v>458</v>
      </c>
      <c r="B896" s="6"/>
      <c r="C896" s="6"/>
      <c r="D896" s="6"/>
      <c r="E896" s="6">
        <v>-2.5646963</v>
      </c>
      <c r="F896" s="6">
        <v>-3.2749453000000002</v>
      </c>
      <c r="G896" s="6">
        <v>-4.4062356999999999</v>
      </c>
      <c r="H896" t="s">
        <v>17</v>
      </c>
      <c r="I896" t="s">
        <v>17</v>
      </c>
    </row>
    <row r="897" spans="1:10">
      <c r="A897" t="s">
        <v>459</v>
      </c>
      <c r="B897" s="6">
        <v>2.527183</v>
      </c>
      <c r="C897" s="6"/>
      <c r="D897" s="6"/>
      <c r="E897" s="6"/>
      <c r="F897" s="6"/>
      <c r="G897" s="6"/>
      <c r="H897" t="s">
        <v>17</v>
      </c>
      <c r="I897" t="s">
        <v>17</v>
      </c>
    </row>
    <row r="898" spans="1:10">
      <c r="A898" t="s">
        <v>460</v>
      </c>
      <c r="B898" s="6">
        <v>2.4150247999999999</v>
      </c>
      <c r="C898" s="6"/>
      <c r="D898" s="6">
        <v>3.7830796000000002</v>
      </c>
      <c r="E898" s="6"/>
      <c r="F898" s="6"/>
      <c r="G898" s="6"/>
      <c r="H898" t="s">
        <v>17</v>
      </c>
      <c r="I898" t="s">
        <v>17</v>
      </c>
    </row>
    <row r="899" spans="1:10">
      <c r="A899" t="s">
        <v>573</v>
      </c>
      <c r="B899" s="6"/>
      <c r="C899" s="6"/>
      <c r="D899" s="6"/>
      <c r="E899" s="6"/>
      <c r="F899" s="6"/>
      <c r="G899" s="6"/>
      <c r="H899" t="s">
        <v>17</v>
      </c>
      <c r="I899" t="s">
        <v>17</v>
      </c>
      <c r="J899" t="s">
        <v>574</v>
      </c>
    </row>
    <row r="900" spans="1:10">
      <c r="A900" t="s">
        <v>461</v>
      </c>
      <c r="B900" s="6"/>
      <c r="C900" s="6">
        <v>2.4079185000000001</v>
      </c>
      <c r="D900" s="6">
        <v>3.3023782000000002</v>
      </c>
      <c r="E900" s="6"/>
      <c r="F900" s="6"/>
      <c r="G900" s="6"/>
      <c r="H900" t="s">
        <v>17</v>
      </c>
      <c r="I900" t="s">
        <v>17</v>
      </c>
    </row>
    <row r="901" spans="1:10">
      <c r="A901" t="s">
        <v>462</v>
      </c>
      <c r="B901" s="6"/>
      <c r="C901" s="6">
        <v>2.2850427999999998</v>
      </c>
      <c r="D901" s="6">
        <v>2.7113562</v>
      </c>
      <c r="E901" s="6"/>
      <c r="F901" s="6"/>
      <c r="G901" s="6"/>
      <c r="H901" t="s">
        <v>17</v>
      </c>
      <c r="I901" t="s">
        <v>17</v>
      </c>
    </row>
    <row r="902" spans="1:10">
      <c r="A902" t="s">
        <v>463</v>
      </c>
      <c r="B902" s="6"/>
      <c r="C902" s="6">
        <v>2.0749420000000001</v>
      </c>
      <c r="D902" s="6">
        <v>2.6404103999999999</v>
      </c>
      <c r="E902" s="6"/>
      <c r="F902" s="6"/>
      <c r="G902" s="6"/>
      <c r="H902" t="s">
        <v>17</v>
      </c>
      <c r="I902" t="s">
        <v>17</v>
      </c>
    </row>
    <row r="903" spans="1:10">
      <c r="A903" t="s">
        <v>464</v>
      </c>
      <c r="B903" s="6"/>
      <c r="C903" s="6"/>
      <c r="D903" s="6"/>
      <c r="E903" s="6"/>
      <c r="F903" s="6"/>
      <c r="G903" s="6">
        <v>-2.0890580000000001</v>
      </c>
      <c r="H903" t="s">
        <v>17</v>
      </c>
      <c r="I903" t="s">
        <v>17</v>
      </c>
    </row>
    <row r="904" spans="1:10">
      <c r="A904" t="s">
        <v>465</v>
      </c>
      <c r="B904" s="6"/>
      <c r="C904" s="6"/>
      <c r="D904" s="6"/>
      <c r="E904" s="6">
        <v>-2.9397630000000001</v>
      </c>
      <c r="F904" s="6">
        <v>-3.4986752999999999</v>
      </c>
      <c r="G904" s="6">
        <v>-3.9714360000000002</v>
      </c>
      <c r="H904" t="s">
        <v>17</v>
      </c>
      <c r="I904" t="s">
        <v>17</v>
      </c>
    </row>
    <row r="905" spans="1:10">
      <c r="A905" t="s">
        <v>466</v>
      </c>
      <c r="B905" s="6"/>
      <c r="C905" s="6"/>
      <c r="D905" s="6"/>
      <c r="E905" s="6"/>
      <c r="F905" s="6"/>
      <c r="G905" s="6">
        <v>-2.53477</v>
      </c>
      <c r="H905" t="s">
        <v>17</v>
      </c>
      <c r="I905" t="s">
        <v>17</v>
      </c>
    </row>
    <row r="906" spans="1:10">
      <c r="A906" t="s">
        <v>467</v>
      </c>
      <c r="B906" s="6"/>
      <c r="C906" s="6">
        <v>2.4225636000000002</v>
      </c>
      <c r="D906" s="6">
        <v>2.1697912000000001</v>
      </c>
      <c r="E906" s="6"/>
      <c r="F906" s="6"/>
      <c r="G906" s="6"/>
      <c r="H906" t="s">
        <v>17</v>
      </c>
      <c r="I906" t="s">
        <v>17</v>
      </c>
    </row>
    <row r="907" spans="1:10">
      <c r="A907" t="s">
        <v>468</v>
      </c>
      <c r="B907" s="6"/>
      <c r="C907" s="6">
        <v>2.3709698000000001</v>
      </c>
      <c r="D907" s="6">
        <v>2.1299752999999999</v>
      </c>
      <c r="E907" s="6"/>
      <c r="F907" s="6"/>
      <c r="G907" s="6"/>
      <c r="H907" t="s">
        <v>17</v>
      </c>
      <c r="I907" t="s">
        <v>17</v>
      </c>
    </row>
    <row r="908" spans="1:10">
      <c r="A908" t="s">
        <v>469</v>
      </c>
      <c r="B908" s="6"/>
      <c r="C908" s="6">
        <v>2.0922822999999999</v>
      </c>
      <c r="D908" s="6"/>
      <c r="E908" s="6"/>
      <c r="F908" s="6"/>
      <c r="G908" s="6"/>
      <c r="H908" t="s">
        <v>17</v>
      </c>
      <c r="I908" t="s">
        <v>17</v>
      </c>
    </row>
    <row r="909" spans="1:10">
      <c r="A909" t="s">
        <v>470</v>
      </c>
      <c r="B909" s="6"/>
      <c r="C909" s="6"/>
      <c r="D909" s="6">
        <v>2.4545298</v>
      </c>
      <c r="E909" s="6"/>
      <c r="F909" s="6"/>
      <c r="G909" s="6"/>
      <c r="H909" t="s">
        <v>17</v>
      </c>
      <c r="I909" t="s">
        <v>17</v>
      </c>
    </row>
    <row r="910" spans="1:10">
      <c r="A910" t="s">
        <v>471</v>
      </c>
      <c r="B910" s="6"/>
      <c r="C910" s="6"/>
      <c r="D910" s="6">
        <v>2.7708077000000002</v>
      </c>
      <c r="E910" s="6"/>
      <c r="F910" s="6"/>
      <c r="G910" s="6"/>
      <c r="H910" t="s">
        <v>17</v>
      </c>
      <c r="I910" t="s">
        <v>17</v>
      </c>
    </row>
    <row r="911" spans="1:10">
      <c r="A911" t="s">
        <v>472</v>
      </c>
      <c r="B911" s="6"/>
      <c r="C911" s="6"/>
      <c r="D911" s="6"/>
      <c r="E911" s="6"/>
      <c r="F911" s="6"/>
      <c r="G911" s="6">
        <v>-2.3201195999999999</v>
      </c>
      <c r="H911" t="s">
        <v>17</v>
      </c>
      <c r="I911" t="s">
        <v>17</v>
      </c>
    </row>
    <row r="912" spans="1:10">
      <c r="A912" t="s">
        <v>473</v>
      </c>
      <c r="B912" s="6">
        <v>2.0124507</v>
      </c>
      <c r="C912" s="6">
        <v>2.756751</v>
      </c>
      <c r="D912" s="6"/>
      <c r="E912" s="6"/>
      <c r="F912" s="6"/>
      <c r="G912" s="6"/>
      <c r="H912" t="s">
        <v>17</v>
      </c>
      <c r="I912" t="s">
        <v>17</v>
      </c>
    </row>
    <row r="913" spans="1:9">
      <c r="A913" t="s">
        <v>474</v>
      </c>
      <c r="B913" s="6"/>
      <c r="C913" s="6"/>
      <c r="D913" s="6"/>
      <c r="E913" s="6"/>
      <c r="F913" s="6"/>
      <c r="G913" s="6">
        <v>-2.0257749999999999</v>
      </c>
      <c r="H913" t="s">
        <v>17</v>
      </c>
      <c r="I913" t="s">
        <v>17</v>
      </c>
    </row>
    <row r="914" spans="1:9">
      <c r="A914" t="s">
        <v>475</v>
      </c>
      <c r="B914" s="6"/>
      <c r="C914" s="6"/>
      <c r="D914" s="6"/>
      <c r="E914" s="6">
        <v>-2.4893364999999998</v>
      </c>
      <c r="F914" s="6">
        <v>-2.5720581999999999</v>
      </c>
      <c r="G914" s="6"/>
      <c r="H914" t="s">
        <v>17</v>
      </c>
      <c r="I914" t="s">
        <v>17</v>
      </c>
    </row>
    <row r="915" spans="1:9">
      <c r="A915" t="s">
        <v>476</v>
      </c>
      <c r="B915" s="6"/>
      <c r="C915" s="6"/>
      <c r="D915" s="6"/>
      <c r="E915" s="6"/>
      <c r="F915" s="6"/>
      <c r="G915" s="6">
        <v>-3.2147256999999998</v>
      </c>
      <c r="H915" t="s">
        <v>17</v>
      </c>
      <c r="I915" t="s">
        <v>17</v>
      </c>
    </row>
    <row r="916" spans="1:9" s="39" customFormat="1">
      <c r="A916" s="39" t="s">
        <v>477</v>
      </c>
      <c r="B916" s="40"/>
      <c r="C916" s="40"/>
      <c r="D916" s="40"/>
      <c r="E916" s="40">
        <v>-4.3183939999999996</v>
      </c>
      <c r="F916" s="40">
        <v>-4.0224957000000003</v>
      </c>
      <c r="G916" s="40">
        <v>-4.7465339999999996</v>
      </c>
      <c r="H916" s="39" t="s">
        <v>17</v>
      </c>
      <c r="I916" s="39" t="s">
        <v>17</v>
      </c>
    </row>
    <row r="917" spans="1:9">
      <c r="A917" t="s">
        <v>478</v>
      </c>
      <c r="B917" s="6"/>
      <c r="C917" s="6"/>
      <c r="D917" s="6"/>
      <c r="E917" s="6"/>
      <c r="F917" s="6"/>
      <c r="G917" s="6">
        <v>-2.1704854999999998</v>
      </c>
      <c r="H917" t="s">
        <v>17</v>
      </c>
      <c r="I917" t="s">
        <v>17</v>
      </c>
    </row>
    <row r="918" spans="1:9">
      <c r="A918" t="s">
        <v>479</v>
      </c>
      <c r="B918" s="6"/>
      <c r="C918" s="6"/>
      <c r="D918" s="6"/>
      <c r="E918" s="6"/>
      <c r="F918" s="6"/>
      <c r="G918" s="6">
        <v>-2.2866688000000002</v>
      </c>
      <c r="H918" t="s">
        <v>17</v>
      </c>
      <c r="I918" t="s">
        <v>17</v>
      </c>
    </row>
    <row r="919" spans="1:9">
      <c r="A919" t="s">
        <v>480</v>
      </c>
      <c r="B919" s="6"/>
      <c r="C919" s="6"/>
      <c r="D919" s="6"/>
      <c r="E919" s="6">
        <v>-2.0689449999999998</v>
      </c>
      <c r="F919" s="6">
        <v>-2.209813</v>
      </c>
      <c r="G919" s="6">
        <v>-2.7492036999999998</v>
      </c>
      <c r="H919" t="s">
        <v>17</v>
      </c>
      <c r="I919" t="s">
        <v>17</v>
      </c>
    </row>
    <row r="920" spans="1:9">
      <c r="A920" t="s">
        <v>481</v>
      </c>
      <c r="B920" s="6"/>
      <c r="C920" s="6"/>
      <c r="D920" s="6"/>
      <c r="E920" s="6"/>
      <c r="F920" s="6">
        <v>-2.9260451999999999</v>
      </c>
      <c r="G920" s="6">
        <v>-5.4955689999999997</v>
      </c>
      <c r="H920" t="s">
        <v>17</v>
      </c>
      <c r="I920" t="s">
        <v>17</v>
      </c>
    </row>
    <row r="921" spans="1:9">
      <c r="A921" t="s">
        <v>482</v>
      </c>
      <c r="B921" s="6"/>
      <c r="C921" s="6"/>
      <c r="D921" s="6">
        <v>2.9522414000000001</v>
      </c>
      <c r="E921" s="6"/>
      <c r="F921" s="6"/>
      <c r="G921" s="6"/>
      <c r="H921" t="s">
        <v>17</v>
      </c>
      <c r="I921" t="s">
        <v>17</v>
      </c>
    </row>
    <row r="922" spans="1:9">
      <c r="A922" t="s">
        <v>483</v>
      </c>
      <c r="B922" s="6"/>
      <c r="C922" s="6"/>
      <c r="D922" s="6"/>
      <c r="E922" s="6"/>
      <c r="F922" s="6">
        <v>-2.8345037</v>
      </c>
      <c r="G922" s="6"/>
      <c r="H922" t="s">
        <v>17</v>
      </c>
      <c r="I922" t="s">
        <v>17</v>
      </c>
    </row>
    <row r="923" spans="1:9">
      <c r="A923" t="s">
        <v>484</v>
      </c>
      <c r="B923" s="6"/>
      <c r="C923" s="6"/>
      <c r="D923" s="6"/>
      <c r="E923" s="6"/>
      <c r="F923" s="6">
        <v>-2.2759390000000002</v>
      </c>
      <c r="G923" s="6">
        <v>-2.6379347000000002</v>
      </c>
      <c r="H923" t="s">
        <v>17</v>
      </c>
      <c r="I923" t="s">
        <v>17</v>
      </c>
    </row>
    <row r="924" spans="1:9">
      <c r="A924" t="s">
        <v>485</v>
      </c>
      <c r="B924" s="6"/>
      <c r="C924" s="6"/>
      <c r="D924" s="6"/>
      <c r="E924" s="6"/>
      <c r="F924" s="6"/>
      <c r="G924" s="6">
        <v>-2.7617096999999999</v>
      </c>
      <c r="H924" t="s">
        <v>17</v>
      </c>
      <c r="I924" t="s">
        <v>17</v>
      </c>
    </row>
    <row r="925" spans="1:9">
      <c r="A925" t="s">
        <v>576</v>
      </c>
      <c r="B925" s="6"/>
      <c r="C925" s="6"/>
      <c r="D925" s="6"/>
      <c r="E925" s="6"/>
      <c r="F925" s="6"/>
      <c r="G925" s="6">
        <v>-4.7539540000000002</v>
      </c>
      <c r="H925" t="s">
        <v>17</v>
      </c>
      <c r="I925" t="s">
        <v>17</v>
      </c>
    </row>
    <row r="926" spans="1:9">
      <c r="A926" t="s">
        <v>486</v>
      </c>
      <c r="B926" s="6"/>
      <c r="C926" s="6"/>
      <c r="D926" s="6"/>
      <c r="E926" s="6"/>
      <c r="F926" s="6"/>
      <c r="G926" s="6">
        <v>-2.3029404000000002</v>
      </c>
      <c r="H926" t="s">
        <v>17</v>
      </c>
      <c r="I926" t="s">
        <v>17</v>
      </c>
    </row>
    <row r="927" spans="1:9">
      <c r="A927" t="s">
        <v>487</v>
      </c>
      <c r="B927" s="6"/>
      <c r="C927" s="6"/>
      <c r="D927" s="6"/>
      <c r="E927" s="6"/>
      <c r="F927" s="6"/>
      <c r="G927" s="6">
        <v>-2.0750346</v>
      </c>
      <c r="H927" t="s">
        <v>17</v>
      </c>
      <c r="I927" t="s">
        <v>17</v>
      </c>
    </row>
    <row r="928" spans="1:9">
      <c r="A928" t="s">
        <v>488</v>
      </c>
      <c r="B928" s="6"/>
      <c r="C928" s="6"/>
      <c r="D928" s="6"/>
      <c r="E928" s="6"/>
      <c r="F928" s="6"/>
      <c r="G928" s="6">
        <v>-2.5764751000000001</v>
      </c>
      <c r="H928" t="s">
        <v>17</v>
      </c>
      <c r="I928" t="s">
        <v>17</v>
      </c>
    </row>
    <row r="929" spans="1:17">
      <c r="A929" t="s">
        <v>489</v>
      </c>
      <c r="B929" s="6"/>
      <c r="C929" s="6"/>
      <c r="D929" s="6"/>
      <c r="E929" s="6"/>
      <c r="F929" s="6"/>
      <c r="G929" s="6">
        <v>-3.2260298999999999</v>
      </c>
      <c r="H929" t="s">
        <v>17</v>
      </c>
      <c r="I929" t="s">
        <v>17</v>
      </c>
    </row>
    <row r="930" spans="1:17">
      <c r="A930" t="s">
        <v>490</v>
      </c>
      <c r="B930" s="6"/>
      <c r="C930" s="6"/>
      <c r="D930" s="6"/>
      <c r="E930" s="6"/>
      <c r="F930" s="6"/>
      <c r="G930" s="6"/>
      <c r="H930" t="s">
        <v>17</v>
      </c>
      <c r="I930" t="s">
        <v>17</v>
      </c>
    </row>
    <row r="931" spans="1:17">
      <c r="A931" t="s">
        <v>491</v>
      </c>
      <c r="B931" s="6">
        <v>2.6261796999999998</v>
      </c>
      <c r="C931" s="6">
        <v>3.5893063999999999</v>
      </c>
      <c r="D931" s="6">
        <v>3.3204117000000002</v>
      </c>
      <c r="E931" s="6"/>
      <c r="F931" s="6"/>
      <c r="G931" s="6"/>
      <c r="H931" t="s">
        <v>17</v>
      </c>
      <c r="I931" t="s">
        <v>17</v>
      </c>
    </row>
    <row r="932" spans="1:17">
      <c r="A932" t="s">
        <v>492</v>
      </c>
      <c r="B932" s="6"/>
      <c r="C932" s="6"/>
      <c r="D932" s="6"/>
      <c r="E932" s="6"/>
      <c r="F932" s="6"/>
      <c r="G932" s="6">
        <v>-3.2276715999999999</v>
      </c>
      <c r="H932" s="5" t="s">
        <v>17</v>
      </c>
      <c r="I932" s="5" t="s">
        <v>17</v>
      </c>
      <c r="J932" s="5"/>
      <c r="K932" s="5"/>
      <c r="L932" s="5"/>
      <c r="M932" s="5"/>
      <c r="N932" s="5"/>
      <c r="O932" s="5"/>
      <c r="P932" s="5"/>
      <c r="Q932" s="5"/>
    </row>
    <row r="933" spans="1:17">
      <c r="A933" t="s">
        <v>493</v>
      </c>
      <c r="B933" s="6"/>
      <c r="C933" s="6"/>
      <c r="D933" s="6"/>
      <c r="E933" s="6"/>
      <c r="F933" s="6">
        <v>-4.1323910000000001</v>
      </c>
      <c r="G933" s="6"/>
      <c r="H933" s="5" t="s">
        <v>17</v>
      </c>
      <c r="I933" s="5" t="s">
        <v>17</v>
      </c>
      <c r="J933" s="5"/>
      <c r="K933" s="5"/>
      <c r="L933" s="5"/>
      <c r="M933" s="5"/>
      <c r="N933" s="5"/>
      <c r="O933" s="5"/>
      <c r="P933" s="5"/>
      <c r="Q933" s="5"/>
    </row>
    <row r="934" spans="1:17">
      <c r="A934" t="s">
        <v>494</v>
      </c>
      <c r="B934" s="6"/>
      <c r="C934" s="6">
        <v>2.6895775999999998</v>
      </c>
      <c r="D934" s="6"/>
      <c r="E934" s="6"/>
      <c r="F934" s="6"/>
      <c r="G934" s="6"/>
      <c r="H934" t="s">
        <v>17</v>
      </c>
      <c r="I934" t="s">
        <v>17</v>
      </c>
    </row>
    <row r="935" spans="1:17">
      <c r="A935" t="s">
        <v>495</v>
      </c>
      <c r="B935" s="6"/>
      <c r="C935" s="6"/>
      <c r="D935" s="6">
        <v>2.0938430000000001</v>
      </c>
      <c r="E935" s="6"/>
      <c r="F935" s="6"/>
      <c r="G935" s="6"/>
      <c r="H935" t="s">
        <v>17</v>
      </c>
      <c r="I935" t="s">
        <v>17</v>
      </c>
    </row>
    <row r="936" spans="1:17">
      <c r="A936" t="s">
        <v>496</v>
      </c>
      <c r="B936" s="6"/>
      <c r="C936" s="6"/>
      <c r="D936" s="6"/>
      <c r="E936" s="6"/>
      <c r="F936" s="6"/>
      <c r="G936" s="6">
        <v>-2.4034490000000002</v>
      </c>
      <c r="H936" t="s">
        <v>17</v>
      </c>
      <c r="I936" t="s">
        <v>17</v>
      </c>
    </row>
    <row r="937" spans="1:17">
      <c r="A937" t="s">
        <v>497</v>
      </c>
      <c r="B937" s="6"/>
      <c r="C937" s="6"/>
      <c r="D937" s="6"/>
      <c r="E937" s="6"/>
      <c r="F937" s="6"/>
      <c r="G937" s="6"/>
      <c r="H937" t="s">
        <v>17</v>
      </c>
      <c r="I937" t="s">
        <v>17</v>
      </c>
    </row>
    <row r="938" spans="1:17">
      <c r="A938" t="s">
        <v>498</v>
      </c>
      <c r="B938" s="6"/>
      <c r="C938" s="6"/>
      <c r="D938" s="6"/>
      <c r="E938" s="6">
        <v>-2.8025384</v>
      </c>
      <c r="F938" s="6">
        <v>-3.1821275</v>
      </c>
      <c r="G938" s="6">
        <v>-4.3891587000000003</v>
      </c>
      <c r="H938" t="s">
        <v>17</v>
      </c>
      <c r="I938" t="s">
        <v>17</v>
      </c>
    </row>
    <row r="939" spans="1:17">
      <c r="A939" t="s">
        <v>499</v>
      </c>
      <c r="B939" s="6"/>
      <c r="C939" s="6"/>
      <c r="D939" s="6">
        <v>2.0602212</v>
      </c>
      <c r="E939" s="6"/>
      <c r="F939" s="6"/>
      <c r="G939" s="6"/>
      <c r="H939" t="s">
        <v>17</v>
      </c>
      <c r="I939" t="s">
        <v>17</v>
      </c>
    </row>
    <row r="940" spans="1:17">
      <c r="A940" t="s">
        <v>500</v>
      </c>
      <c r="B940" s="6"/>
      <c r="C940" s="6"/>
      <c r="D940" s="6"/>
      <c r="E940" s="6"/>
      <c r="F940" s="6"/>
      <c r="G940" s="6">
        <v>-2.0404034000000002</v>
      </c>
      <c r="H940" t="s">
        <v>17</v>
      </c>
      <c r="I940" t="s">
        <v>17</v>
      </c>
    </row>
    <row r="941" spans="1:17">
      <c r="A941" t="s">
        <v>501</v>
      </c>
      <c r="B941" s="6"/>
      <c r="C941" s="6"/>
      <c r="D941" s="6"/>
      <c r="E941" s="6"/>
      <c r="F941" s="6"/>
      <c r="G941" s="6">
        <v>-2.2036709999999999</v>
      </c>
      <c r="H941" t="s">
        <v>17</v>
      </c>
      <c r="I941" t="s">
        <v>17</v>
      </c>
    </row>
    <row r="942" spans="1:17">
      <c r="A942" t="s">
        <v>502</v>
      </c>
      <c r="B942" s="6"/>
      <c r="C942" s="6"/>
      <c r="D942" s="6"/>
      <c r="E942" s="6"/>
      <c r="F942" s="6"/>
      <c r="G942" s="6"/>
      <c r="H942" t="s">
        <v>17</v>
      </c>
      <c r="I942" t="s">
        <v>17</v>
      </c>
    </row>
    <row r="943" spans="1:17">
      <c r="A943" t="s">
        <v>503</v>
      </c>
      <c r="B943" s="6"/>
      <c r="C943" s="6"/>
      <c r="D943" s="6">
        <v>2.2859229999999999</v>
      </c>
      <c r="E943" s="6"/>
      <c r="F943" s="6"/>
      <c r="G943" s="6"/>
      <c r="H943" t="s">
        <v>17</v>
      </c>
      <c r="I943" t="s">
        <v>17</v>
      </c>
    </row>
    <row r="944" spans="1:17">
      <c r="A944" t="s">
        <v>504</v>
      </c>
      <c r="B944" s="6"/>
      <c r="C944" s="6"/>
      <c r="D944" s="6"/>
      <c r="E944" s="6"/>
      <c r="F944" s="6"/>
      <c r="G944" s="6">
        <v>-2.7283650000000002</v>
      </c>
      <c r="H944" t="s">
        <v>17</v>
      </c>
      <c r="I944" t="s">
        <v>17</v>
      </c>
    </row>
    <row r="945" spans="1:9">
      <c r="A945" t="s">
        <v>505</v>
      </c>
      <c r="B945" s="6"/>
      <c r="C945" s="6"/>
      <c r="D945" s="6"/>
      <c r="E945" s="6"/>
      <c r="F945" s="6"/>
      <c r="G945" s="6">
        <v>-2.7031304999999999</v>
      </c>
      <c r="H945" t="s">
        <v>17</v>
      </c>
      <c r="I945" t="s">
        <v>17</v>
      </c>
    </row>
    <row r="946" spans="1:9">
      <c r="A946" t="s">
        <v>506</v>
      </c>
      <c r="B946" s="6"/>
      <c r="C946" s="6"/>
      <c r="D946" s="6"/>
      <c r="E946" s="6"/>
      <c r="F946" s="6">
        <v>-2.1084242</v>
      </c>
      <c r="G946" s="6"/>
      <c r="H946" t="s">
        <v>17</v>
      </c>
      <c r="I946" t="s">
        <v>17</v>
      </c>
    </row>
    <row r="947" spans="1:9">
      <c r="A947" t="s">
        <v>507</v>
      </c>
      <c r="B947" s="6"/>
      <c r="C947" s="6"/>
      <c r="D947" s="6"/>
      <c r="E947" s="6"/>
      <c r="F947" s="6"/>
      <c r="G947" s="6">
        <v>-2.0731883</v>
      </c>
      <c r="H947" t="s">
        <v>17</v>
      </c>
      <c r="I947" t="s">
        <v>17</v>
      </c>
    </row>
    <row r="948" spans="1:9">
      <c r="A948" t="s">
        <v>508</v>
      </c>
      <c r="B948" s="6"/>
      <c r="C948" s="6"/>
      <c r="D948" s="6"/>
      <c r="E948" s="6"/>
      <c r="F948" s="6"/>
      <c r="G948" s="6"/>
      <c r="H948" t="s">
        <v>17</v>
      </c>
      <c r="I948" t="s">
        <v>17</v>
      </c>
    </row>
    <row r="949" spans="1:9">
      <c r="A949" t="s">
        <v>509</v>
      </c>
      <c r="B949" s="6"/>
      <c r="C949" s="6"/>
      <c r="D949" s="6"/>
      <c r="E949" s="6"/>
      <c r="F949" s="6"/>
      <c r="G949" s="6">
        <v>-2.0561189999999998</v>
      </c>
      <c r="H949" t="s">
        <v>17</v>
      </c>
      <c r="I949" t="s">
        <v>17</v>
      </c>
    </row>
    <row r="950" spans="1:9">
      <c r="A950" t="s">
        <v>510</v>
      </c>
      <c r="B950" s="6"/>
      <c r="C950" s="6"/>
      <c r="D950" s="6"/>
      <c r="E950" s="6"/>
      <c r="F950" s="6"/>
      <c r="G950" s="6">
        <v>-2.2205940000000002</v>
      </c>
      <c r="H950" t="s">
        <v>17</v>
      </c>
      <c r="I950" t="s">
        <v>17</v>
      </c>
    </row>
    <row r="951" spans="1:9">
      <c r="A951" t="s">
        <v>511</v>
      </c>
      <c r="B951" s="6"/>
      <c r="C951" s="6"/>
      <c r="D951" s="6"/>
      <c r="E951" s="6">
        <v>-2.5448027</v>
      </c>
      <c r="F951" s="6">
        <v>-2.2126665000000001</v>
      </c>
      <c r="G951" s="6">
        <v>-3.4742327</v>
      </c>
      <c r="H951" t="s">
        <v>17</v>
      </c>
      <c r="I951" t="s">
        <v>17</v>
      </c>
    </row>
    <row r="952" spans="1:9">
      <c r="A952" t="s">
        <v>512</v>
      </c>
      <c r="B952" s="6"/>
      <c r="C952" s="6"/>
      <c r="D952" s="6"/>
      <c r="E952" s="6"/>
      <c r="F952" s="6">
        <v>-2.2990952</v>
      </c>
      <c r="G952" s="6">
        <v>-2.5409535999999999</v>
      </c>
      <c r="H952" t="s">
        <v>17</v>
      </c>
      <c r="I952" t="s">
        <v>17</v>
      </c>
    </row>
    <row r="953" spans="1:9">
      <c r="A953" t="s">
        <v>513</v>
      </c>
      <c r="B953" s="6"/>
      <c r="C953" s="6"/>
      <c r="D953" s="6"/>
      <c r="E953" s="6"/>
      <c r="F953" s="6"/>
      <c r="G953" s="6"/>
      <c r="H953" t="s">
        <v>17</v>
      </c>
      <c r="I953" t="s">
        <v>17</v>
      </c>
    </row>
    <row r="954" spans="1:9">
      <c r="A954" t="s">
        <v>514</v>
      </c>
      <c r="B954" s="6"/>
      <c r="C954" s="6"/>
      <c r="D954" s="6"/>
      <c r="E954" s="6"/>
      <c r="F954" s="6"/>
      <c r="G954" s="6"/>
      <c r="H954" t="s">
        <v>17</v>
      </c>
      <c r="I954" t="s">
        <v>17</v>
      </c>
    </row>
    <row r="955" spans="1:9">
      <c r="A955" t="s">
        <v>515</v>
      </c>
      <c r="B955" s="6"/>
      <c r="C955" s="6"/>
      <c r="D955" s="6"/>
      <c r="E955" s="6"/>
      <c r="F955" s="6"/>
      <c r="G955" s="6">
        <v>-2.5677867000000001</v>
      </c>
      <c r="H955" t="s">
        <v>17</v>
      </c>
      <c r="I955" t="s">
        <v>17</v>
      </c>
    </row>
    <row r="956" spans="1:9">
      <c r="A956" t="s">
        <v>516</v>
      </c>
      <c r="B956" s="6"/>
      <c r="C956" s="6"/>
      <c r="D956" s="6"/>
      <c r="E956" s="6"/>
      <c r="F956" s="6">
        <v>-2.0889034</v>
      </c>
      <c r="G956" s="6">
        <v>-2.3663645</v>
      </c>
      <c r="H956" t="s">
        <v>17</v>
      </c>
      <c r="I956" t="s">
        <v>17</v>
      </c>
    </row>
    <row r="957" spans="1:9">
      <c r="A957" t="s">
        <v>578</v>
      </c>
      <c r="B957" s="6"/>
      <c r="C957" s="6"/>
      <c r="D957" s="6"/>
      <c r="E957" s="6"/>
      <c r="F957" s="6">
        <v>-2.1776175000000002</v>
      </c>
      <c r="G957" s="6">
        <v>-2.5073704999999999</v>
      </c>
      <c r="H957" t="s">
        <v>17</v>
      </c>
      <c r="I957" t="s">
        <v>17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2"/>
  <sheetViews>
    <sheetView workbookViewId="0">
      <selection activeCell="A271" sqref="A271:XFD281"/>
    </sheetView>
  </sheetViews>
  <sheetFormatPr defaultRowHeight="12.75"/>
  <cols>
    <col min="1" max="1" width="23" bestFit="1" customWidth="1"/>
    <col min="2" max="2" width="15" bestFit="1" customWidth="1"/>
    <col min="3" max="4" width="16.5703125" bestFit="1" customWidth="1"/>
    <col min="5" max="5" width="41.28515625" customWidth="1"/>
    <col min="6" max="6" width="44.7109375" customWidth="1"/>
    <col min="7" max="7" width="33" customWidth="1"/>
  </cols>
  <sheetData>
    <row r="1" spans="1:7" ht="18">
      <c r="A1" s="1" t="s">
        <v>579</v>
      </c>
      <c r="B1" s="1" t="s">
        <v>150</v>
      </c>
      <c r="C1" s="1" t="s">
        <v>152</v>
      </c>
      <c r="D1" s="1" t="s">
        <v>154</v>
      </c>
      <c r="E1" s="2" t="s">
        <v>580</v>
      </c>
      <c r="F1" s="2" t="s">
        <v>581</v>
      </c>
      <c r="G1" s="2" t="s">
        <v>582</v>
      </c>
    </row>
    <row r="2" spans="1:7">
      <c r="A2" t="s">
        <v>587</v>
      </c>
      <c r="B2" s="6">
        <v>-3.8402820000000002</v>
      </c>
      <c r="C2" s="6">
        <v>-3.4278940000000002</v>
      </c>
      <c r="D2" s="6">
        <v>-5.6594872000000001</v>
      </c>
      <c r="E2" t="s">
        <v>588</v>
      </c>
    </row>
    <row r="3" spans="1:7">
      <c r="A3" t="s">
        <v>589</v>
      </c>
      <c r="B3" s="6">
        <v>-3.0331106000000001</v>
      </c>
      <c r="C3" s="6">
        <v>-3.059596</v>
      </c>
      <c r="D3" s="6">
        <v>-5.2993927000000003</v>
      </c>
      <c r="E3" t="s">
        <v>590</v>
      </c>
      <c r="F3" t="s">
        <v>591</v>
      </c>
      <c r="G3" t="s">
        <v>592</v>
      </c>
    </row>
    <row r="4" spans="1:7">
      <c r="A4" t="s">
        <v>593</v>
      </c>
      <c r="B4" s="6">
        <v>-2.9202436999999999</v>
      </c>
      <c r="C4" s="6">
        <v>-3.3310876</v>
      </c>
      <c r="D4" s="6">
        <v>-5.7892060000000001</v>
      </c>
      <c r="E4" t="s">
        <v>590</v>
      </c>
      <c r="F4" t="s">
        <v>591</v>
      </c>
      <c r="G4" t="s">
        <v>592</v>
      </c>
    </row>
    <row r="5" spans="1:7">
      <c r="A5" t="s">
        <v>594</v>
      </c>
      <c r="B5" s="6"/>
      <c r="C5" s="6"/>
      <c r="D5" s="6">
        <v>-2.0015917000000001</v>
      </c>
      <c r="E5" t="s">
        <v>595</v>
      </c>
      <c r="F5" t="s">
        <v>591</v>
      </c>
      <c r="G5" t="s">
        <v>596</v>
      </c>
    </row>
    <row r="6" spans="1:7">
      <c r="A6" t="s">
        <v>597</v>
      </c>
      <c r="B6" s="6"/>
      <c r="C6" s="6"/>
      <c r="D6" s="6">
        <v>-2.1477903999999999</v>
      </c>
      <c r="E6" t="s">
        <v>598</v>
      </c>
    </row>
    <row r="7" spans="1:7">
      <c r="A7" t="s">
        <v>599</v>
      </c>
      <c r="B7" s="6"/>
      <c r="C7" s="6"/>
      <c r="D7" s="6">
        <v>-2.6921952</v>
      </c>
      <c r="E7" t="s">
        <v>598</v>
      </c>
    </row>
    <row r="8" spans="1:7">
      <c r="A8" t="s">
        <v>606</v>
      </c>
      <c r="B8" s="6"/>
      <c r="C8" s="6">
        <v>-2.3858252000000002</v>
      </c>
      <c r="D8" s="6"/>
      <c r="E8" t="s">
        <v>607</v>
      </c>
    </row>
    <row r="9" spans="1:7">
      <c r="A9" t="s">
        <v>608</v>
      </c>
      <c r="B9" s="6">
        <v>-2.9375029000000001</v>
      </c>
      <c r="C9" s="6">
        <v>-3.0255774999999998</v>
      </c>
      <c r="D9" s="6">
        <v>-3.6618338000000001</v>
      </c>
      <c r="E9" t="s">
        <v>609</v>
      </c>
      <c r="F9" t="s">
        <v>610</v>
      </c>
      <c r="G9" t="s">
        <v>611</v>
      </c>
    </row>
    <row r="10" spans="1:7">
      <c r="A10" t="s">
        <v>612</v>
      </c>
      <c r="B10" s="6">
        <v>-3.2912545</v>
      </c>
      <c r="C10" s="6">
        <v>-3.6411661999999998</v>
      </c>
      <c r="D10" s="6">
        <v>-4.3774246999999997</v>
      </c>
      <c r="E10" t="s">
        <v>609</v>
      </c>
      <c r="F10" t="s">
        <v>610</v>
      </c>
      <c r="G10" t="s">
        <v>611</v>
      </c>
    </row>
    <row r="11" spans="1:7">
      <c r="A11" t="s">
        <v>613</v>
      </c>
      <c r="B11" s="6">
        <v>-3.2541465999999999</v>
      </c>
      <c r="C11" s="6">
        <v>-3.7440642999999998</v>
      </c>
      <c r="D11" s="6">
        <v>-4.5704184000000003</v>
      </c>
      <c r="E11" t="s">
        <v>609</v>
      </c>
      <c r="F11" t="s">
        <v>610</v>
      </c>
      <c r="G11" t="s">
        <v>611</v>
      </c>
    </row>
    <row r="12" spans="1:7">
      <c r="A12" t="s">
        <v>614</v>
      </c>
      <c r="B12" s="6"/>
      <c r="C12" s="6">
        <v>-2.0148945</v>
      </c>
      <c r="D12" s="6">
        <v>-2.1888131999999998</v>
      </c>
      <c r="E12" t="s">
        <v>615</v>
      </c>
      <c r="F12" t="s">
        <v>616</v>
      </c>
      <c r="G12" t="s">
        <v>617</v>
      </c>
    </row>
    <row r="13" spans="1:7">
      <c r="A13" t="s">
        <v>618</v>
      </c>
      <c r="B13" s="6">
        <v>-3.3542589999999999</v>
      </c>
      <c r="C13" s="6">
        <v>-3.1404405</v>
      </c>
      <c r="D13" s="6">
        <v>-5.0528407</v>
      </c>
      <c r="E13" t="s">
        <v>615</v>
      </c>
      <c r="F13" t="s">
        <v>616</v>
      </c>
      <c r="G13" t="s">
        <v>617</v>
      </c>
    </row>
    <row r="14" spans="1:7">
      <c r="A14" t="s">
        <v>619</v>
      </c>
      <c r="B14" s="6"/>
      <c r="C14" s="6">
        <v>-2.4133624999999999</v>
      </c>
      <c r="D14" s="6"/>
      <c r="E14" t="s">
        <v>620</v>
      </c>
      <c r="F14" t="s">
        <v>621</v>
      </c>
      <c r="G14" t="s">
        <v>622</v>
      </c>
    </row>
    <row r="15" spans="1:7">
      <c r="A15" t="s">
        <v>625</v>
      </c>
      <c r="B15" s="6">
        <v>-3.6298778</v>
      </c>
      <c r="C15" s="6">
        <v>-3.4737336999999999</v>
      </c>
      <c r="D15" s="6">
        <v>-6.2222776</v>
      </c>
      <c r="E15" t="s">
        <v>626</v>
      </c>
      <c r="F15" t="s">
        <v>627</v>
      </c>
      <c r="G15" t="s">
        <v>628</v>
      </c>
    </row>
    <row r="16" spans="1:7">
      <c r="A16" t="s">
        <v>629</v>
      </c>
      <c r="B16" s="6"/>
      <c r="C16" s="6">
        <v>-2.5974819999999998</v>
      </c>
      <c r="D16" s="6"/>
      <c r="E16" t="s">
        <v>630</v>
      </c>
      <c r="F16" t="s">
        <v>631</v>
      </c>
      <c r="G16" t="s">
        <v>632</v>
      </c>
    </row>
    <row r="17" spans="1:7">
      <c r="A17" t="s">
        <v>633</v>
      </c>
      <c r="B17" s="6"/>
      <c r="C17" s="6">
        <v>-2.2374578000000001</v>
      </c>
      <c r="D17" s="6">
        <v>-4.0735383000000001</v>
      </c>
      <c r="E17" t="s">
        <v>634</v>
      </c>
      <c r="F17" t="s">
        <v>635</v>
      </c>
      <c r="G17" t="s">
        <v>636</v>
      </c>
    </row>
    <row r="18" spans="1:7">
      <c r="A18" t="s">
        <v>637</v>
      </c>
      <c r="B18" s="6"/>
      <c r="C18" s="6"/>
      <c r="D18" s="6">
        <v>-3.8772473000000001</v>
      </c>
      <c r="E18" t="s">
        <v>634</v>
      </c>
      <c r="F18" t="s">
        <v>635</v>
      </c>
      <c r="G18" t="s">
        <v>636</v>
      </c>
    </row>
    <row r="19" spans="1:7">
      <c r="A19" t="s">
        <v>638</v>
      </c>
      <c r="B19" s="6"/>
      <c r="C19" s="6"/>
      <c r="D19" s="6">
        <v>-2.580606</v>
      </c>
      <c r="E19" t="s">
        <v>634</v>
      </c>
      <c r="F19" t="s">
        <v>639</v>
      </c>
      <c r="G19" t="s">
        <v>636</v>
      </c>
    </row>
    <row r="20" spans="1:7">
      <c r="A20" t="s">
        <v>644</v>
      </c>
      <c r="B20" s="6"/>
      <c r="C20" s="6"/>
      <c r="D20" s="6">
        <v>-2.0661855</v>
      </c>
      <c r="E20" t="s">
        <v>645</v>
      </c>
      <c r="F20" t="s">
        <v>646</v>
      </c>
      <c r="G20" t="s">
        <v>647</v>
      </c>
    </row>
    <row r="21" spans="1:7">
      <c r="A21" t="s">
        <v>648</v>
      </c>
      <c r="B21" s="6"/>
      <c r="C21" s="6"/>
      <c r="D21" s="6">
        <v>-2.8667574</v>
      </c>
      <c r="E21" t="s">
        <v>649</v>
      </c>
      <c r="F21" t="s">
        <v>650</v>
      </c>
      <c r="G21" t="s">
        <v>651</v>
      </c>
    </row>
    <row r="22" spans="1:7">
      <c r="A22" t="s">
        <v>652</v>
      </c>
      <c r="B22" s="6"/>
      <c r="C22" s="6"/>
      <c r="D22" s="6">
        <v>-4.4597154000000003</v>
      </c>
      <c r="E22" t="s">
        <v>649</v>
      </c>
      <c r="F22" t="s">
        <v>650</v>
      </c>
      <c r="G22" t="s">
        <v>651</v>
      </c>
    </row>
    <row r="23" spans="1:7">
      <c r="A23" t="s">
        <v>653</v>
      </c>
      <c r="B23" s="6">
        <v>-2.9762757</v>
      </c>
      <c r="C23" s="6">
        <v>-4.6078700000000001</v>
      </c>
      <c r="D23" s="6"/>
      <c r="E23" t="s">
        <v>654</v>
      </c>
      <c r="F23" t="s">
        <v>655</v>
      </c>
      <c r="G23" t="s">
        <v>656</v>
      </c>
    </row>
    <row r="24" spans="1:7">
      <c r="A24" t="s">
        <v>661</v>
      </c>
      <c r="B24" s="6"/>
      <c r="C24" s="6"/>
      <c r="D24" s="6">
        <v>-2.2813810999999999</v>
      </c>
      <c r="E24" t="s">
        <v>658</v>
      </c>
      <c r="G24" t="s">
        <v>662</v>
      </c>
    </row>
    <row r="25" spans="1:7">
      <c r="A25" t="s">
        <v>663</v>
      </c>
      <c r="B25" s="6"/>
      <c r="C25" s="6">
        <v>-2.4039712</v>
      </c>
      <c r="D25" s="6">
        <v>-2.3869429000000002</v>
      </c>
      <c r="E25" t="s">
        <v>658</v>
      </c>
      <c r="F25" t="s">
        <v>659</v>
      </c>
    </row>
    <row r="26" spans="1:7">
      <c r="A26" t="s">
        <v>664</v>
      </c>
      <c r="B26" s="6"/>
      <c r="C26" s="6"/>
      <c r="D26" s="6">
        <v>-3.3714118000000002</v>
      </c>
      <c r="E26" t="s">
        <v>658</v>
      </c>
      <c r="F26" t="s">
        <v>665</v>
      </c>
      <c r="G26" t="s">
        <v>660</v>
      </c>
    </row>
    <row r="27" spans="1:7">
      <c r="A27" t="s">
        <v>666</v>
      </c>
      <c r="B27" s="6"/>
      <c r="C27" s="6"/>
      <c r="D27" s="6">
        <v>-2.0066310000000001</v>
      </c>
      <c r="E27" t="s">
        <v>658</v>
      </c>
      <c r="F27" t="s">
        <v>665</v>
      </c>
      <c r="G27" t="s">
        <v>667</v>
      </c>
    </row>
    <row r="28" spans="1:7">
      <c r="A28" t="s">
        <v>668</v>
      </c>
      <c r="B28" s="6"/>
      <c r="C28" s="6"/>
      <c r="D28" s="6">
        <v>-2.2656455000000002</v>
      </c>
      <c r="E28" t="s">
        <v>658</v>
      </c>
      <c r="F28" t="s">
        <v>665</v>
      </c>
      <c r="G28" t="s">
        <v>667</v>
      </c>
    </row>
    <row r="29" spans="1:7">
      <c r="A29" t="s">
        <v>672</v>
      </c>
      <c r="B29" s="6"/>
      <c r="C29" s="6"/>
      <c r="D29" s="6">
        <v>-4.0991564</v>
      </c>
      <c r="E29" t="s">
        <v>673</v>
      </c>
      <c r="F29" t="s">
        <v>674</v>
      </c>
      <c r="G29" t="s">
        <v>675</v>
      </c>
    </row>
    <row r="30" spans="1:7">
      <c r="A30" t="s">
        <v>676</v>
      </c>
      <c r="B30" s="6"/>
      <c r="C30" s="6"/>
      <c r="D30" s="6">
        <v>-2.5598920000000001</v>
      </c>
      <c r="E30" t="s">
        <v>673</v>
      </c>
      <c r="F30" t="s">
        <v>674</v>
      </c>
      <c r="G30" t="s">
        <v>675</v>
      </c>
    </row>
    <row r="31" spans="1:7">
      <c r="A31" t="s">
        <v>677</v>
      </c>
      <c r="B31" s="6"/>
      <c r="C31" s="6"/>
      <c r="D31" s="6">
        <v>-3.8050527999999999</v>
      </c>
      <c r="E31" t="s">
        <v>673</v>
      </c>
      <c r="F31" t="s">
        <v>674</v>
      </c>
      <c r="G31" t="s">
        <v>675</v>
      </c>
    </row>
    <row r="32" spans="1:7">
      <c r="A32" t="s">
        <v>680</v>
      </c>
      <c r="B32" s="6"/>
      <c r="C32" s="6"/>
      <c r="D32" s="6">
        <v>-3.3911204000000001</v>
      </c>
      <c r="E32" t="s">
        <v>673</v>
      </c>
      <c r="F32" t="s">
        <v>674</v>
      </c>
      <c r="G32" t="s">
        <v>675</v>
      </c>
    </row>
    <row r="33" spans="1:7">
      <c r="A33" t="s">
        <v>681</v>
      </c>
      <c r="B33" s="6"/>
      <c r="C33" s="6"/>
      <c r="D33" s="6">
        <v>-3.3455663000000002</v>
      </c>
      <c r="E33" t="s">
        <v>673</v>
      </c>
      <c r="F33" t="s">
        <v>674</v>
      </c>
      <c r="G33" t="s">
        <v>675</v>
      </c>
    </row>
    <row r="34" spans="1:7">
      <c r="A34" t="s">
        <v>683</v>
      </c>
      <c r="B34" s="6"/>
      <c r="C34" s="6"/>
      <c r="D34" s="6">
        <v>-4.2127140000000001</v>
      </c>
      <c r="E34" t="s">
        <v>673</v>
      </c>
      <c r="F34" t="s">
        <v>674</v>
      </c>
      <c r="G34" t="s">
        <v>675</v>
      </c>
    </row>
    <row r="35" spans="1:7">
      <c r="A35" t="s">
        <v>684</v>
      </c>
      <c r="B35" s="6"/>
      <c r="C35" s="6"/>
      <c r="D35" s="6">
        <v>-3.0891852000000002</v>
      </c>
      <c r="E35" t="s">
        <v>673</v>
      </c>
      <c r="F35" t="s">
        <v>674</v>
      </c>
      <c r="G35" t="s">
        <v>675</v>
      </c>
    </row>
    <row r="36" spans="1:7">
      <c r="A36" t="s">
        <v>685</v>
      </c>
      <c r="B36" s="6"/>
      <c r="C36" s="6"/>
      <c r="D36" s="6">
        <v>-2.9396334</v>
      </c>
      <c r="E36" t="s">
        <v>673</v>
      </c>
      <c r="F36" t="s">
        <v>674</v>
      </c>
      <c r="G36" t="s">
        <v>675</v>
      </c>
    </row>
    <row r="37" spans="1:7">
      <c r="A37" t="s">
        <v>542</v>
      </c>
      <c r="B37" s="6"/>
      <c r="C37" s="6"/>
      <c r="D37" s="6">
        <v>-2.5617122999999999</v>
      </c>
      <c r="E37" t="s">
        <v>145</v>
      </c>
      <c r="F37" t="s">
        <v>642</v>
      </c>
      <c r="G37" t="s">
        <v>543</v>
      </c>
    </row>
    <row r="38" spans="1:7">
      <c r="A38" t="s">
        <v>691</v>
      </c>
      <c r="B38" s="6"/>
      <c r="C38" s="6"/>
      <c r="D38" s="6">
        <v>-2.4750065999999999</v>
      </c>
      <c r="E38" t="s">
        <v>692</v>
      </c>
      <c r="G38" t="s">
        <v>693</v>
      </c>
    </row>
    <row r="39" spans="1:7">
      <c r="A39" t="s">
        <v>694</v>
      </c>
      <c r="B39" s="6"/>
      <c r="C39" s="6"/>
      <c r="D39" s="6">
        <v>-2.7095007999999998</v>
      </c>
      <c r="E39" t="s">
        <v>692</v>
      </c>
      <c r="G39" t="s">
        <v>693</v>
      </c>
    </row>
    <row r="40" spans="1:7">
      <c r="A40" t="s">
        <v>695</v>
      </c>
      <c r="B40" s="6"/>
      <c r="C40" s="6"/>
      <c r="D40" s="6">
        <v>-2.9039983999999999</v>
      </c>
      <c r="E40" t="s">
        <v>692</v>
      </c>
      <c r="G40" t="s">
        <v>693</v>
      </c>
    </row>
    <row r="41" spans="1:7">
      <c r="A41" t="s">
        <v>698</v>
      </c>
      <c r="B41" s="6"/>
      <c r="C41" s="6"/>
      <c r="D41" s="6">
        <v>-2.4958086000000002</v>
      </c>
      <c r="E41" t="s">
        <v>692</v>
      </c>
      <c r="G41" t="s">
        <v>693</v>
      </c>
    </row>
    <row r="42" spans="1:7">
      <c r="A42" t="s">
        <v>699</v>
      </c>
      <c r="B42" s="6"/>
      <c r="C42" s="6">
        <v>-2.0047855000000001</v>
      </c>
      <c r="D42" s="6">
        <v>-2.9584627000000001</v>
      </c>
      <c r="E42" t="s">
        <v>692</v>
      </c>
      <c r="G42" t="s">
        <v>693</v>
      </c>
    </row>
    <row r="43" spans="1:7">
      <c r="A43" t="s">
        <v>700</v>
      </c>
      <c r="B43" s="6"/>
      <c r="C43" s="6"/>
      <c r="D43" s="6">
        <v>-2.5249562000000001</v>
      </c>
      <c r="E43" t="s">
        <v>692</v>
      </c>
      <c r="G43" t="s">
        <v>693</v>
      </c>
    </row>
    <row r="44" spans="1:7">
      <c r="A44" t="s">
        <v>701</v>
      </c>
      <c r="B44" s="6"/>
      <c r="C44" s="6"/>
      <c r="D44" s="6">
        <v>-2.3186249999999999</v>
      </c>
      <c r="E44" t="s">
        <v>692</v>
      </c>
      <c r="G44" t="s">
        <v>693</v>
      </c>
    </row>
    <row r="45" spans="1:7">
      <c r="A45" t="s">
        <v>715</v>
      </c>
      <c r="B45" s="6"/>
      <c r="C45" s="6"/>
      <c r="D45" s="6">
        <v>-2.4287429999999999</v>
      </c>
      <c r="E45" t="s">
        <v>713</v>
      </c>
      <c r="G45" t="s">
        <v>716</v>
      </c>
    </row>
    <row r="46" spans="1:7">
      <c r="A46" t="s">
        <v>717</v>
      </c>
      <c r="B46" s="6"/>
      <c r="C46" s="6"/>
      <c r="D46" s="6">
        <v>-2.0242871999999998</v>
      </c>
      <c r="E46" t="s">
        <v>713</v>
      </c>
      <c r="G46" t="s">
        <v>718</v>
      </c>
    </row>
    <row r="47" spans="1:7">
      <c r="A47" t="s">
        <v>723</v>
      </c>
      <c r="B47" s="6">
        <v>-2.9506115999999998</v>
      </c>
      <c r="C47" s="6">
        <v>-3.4669576000000002</v>
      </c>
      <c r="D47" s="6">
        <v>-3.9335789999999999</v>
      </c>
      <c r="E47" t="s">
        <v>724</v>
      </c>
      <c r="F47" t="s">
        <v>621</v>
      </c>
      <c r="G47" t="s">
        <v>725</v>
      </c>
    </row>
    <row r="48" spans="1:7">
      <c r="A48" t="s">
        <v>726</v>
      </c>
      <c r="B48" s="6"/>
      <c r="C48" s="6"/>
      <c r="D48" s="6">
        <v>-4.0644216999999996</v>
      </c>
      <c r="E48" t="s">
        <v>727</v>
      </c>
      <c r="F48" t="s">
        <v>728</v>
      </c>
      <c r="G48" t="s">
        <v>729</v>
      </c>
    </row>
    <row r="49" spans="1:8">
      <c r="A49" t="s">
        <v>730</v>
      </c>
      <c r="B49" s="6"/>
      <c r="C49" s="6"/>
      <c r="D49" s="6">
        <v>-2.1049275000000001</v>
      </c>
      <c r="E49" t="s">
        <v>731</v>
      </c>
      <c r="F49" t="s">
        <v>627</v>
      </c>
      <c r="G49" t="s">
        <v>732</v>
      </c>
    </row>
    <row r="50" spans="1:8">
      <c r="A50" t="s">
        <v>733</v>
      </c>
      <c r="B50" s="6"/>
      <c r="C50" s="6"/>
      <c r="D50" s="6">
        <v>-2.1717577000000001</v>
      </c>
      <c r="E50" t="s">
        <v>734</v>
      </c>
      <c r="F50" t="s">
        <v>735</v>
      </c>
      <c r="G50" t="s">
        <v>736</v>
      </c>
      <c r="H50" t="s">
        <v>737</v>
      </c>
    </row>
    <row r="51" spans="1:8">
      <c r="A51" t="s">
        <v>738</v>
      </c>
      <c r="B51" s="6"/>
      <c r="C51" s="6"/>
      <c r="D51" s="6">
        <v>-2.1405911</v>
      </c>
      <c r="E51" t="s">
        <v>739</v>
      </c>
      <c r="F51" t="s">
        <v>740</v>
      </c>
      <c r="G51" t="s">
        <v>741</v>
      </c>
    </row>
    <row r="52" spans="1:8">
      <c r="A52" t="s">
        <v>742</v>
      </c>
      <c r="B52" s="6"/>
      <c r="C52" s="6"/>
      <c r="D52" s="6">
        <v>-2.1975546000000001</v>
      </c>
      <c r="E52" t="s">
        <v>743</v>
      </c>
      <c r="F52" t="s">
        <v>744</v>
      </c>
      <c r="G52" t="s">
        <v>745</v>
      </c>
    </row>
    <row r="53" spans="1:8">
      <c r="A53" t="s">
        <v>746</v>
      </c>
      <c r="B53" s="6"/>
      <c r="C53" s="6">
        <v>-2.4813094000000002</v>
      </c>
      <c r="D53" s="6"/>
      <c r="E53" t="s">
        <v>747</v>
      </c>
      <c r="F53" t="s">
        <v>642</v>
      </c>
      <c r="G53" t="s">
        <v>748</v>
      </c>
    </row>
    <row r="54" spans="1:8">
      <c r="A54" t="s">
        <v>749</v>
      </c>
      <c r="B54" s="6">
        <v>-2.8065349999999998</v>
      </c>
      <c r="C54" s="6">
        <v>-3.2967240000000002</v>
      </c>
      <c r="D54" s="6">
        <v>-2.1919072000000002</v>
      </c>
      <c r="E54" t="s">
        <v>747</v>
      </c>
      <c r="F54" t="s">
        <v>642</v>
      </c>
      <c r="G54" t="s">
        <v>748</v>
      </c>
    </row>
    <row r="55" spans="1:8">
      <c r="A55" t="s">
        <v>750</v>
      </c>
      <c r="B55" s="6"/>
      <c r="C55" s="6"/>
      <c r="D55" s="6">
        <v>-2.0978823000000002</v>
      </c>
      <c r="E55" t="s">
        <v>751</v>
      </c>
      <c r="F55" t="s">
        <v>642</v>
      </c>
      <c r="G55" t="s">
        <v>752</v>
      </c>
    </row>
    <row r="56" spans="1:8">
      <c r="A56" t="s">
        <v>753</v>
      </c>
      <c r="B56" s="6"/>
      <c r="C56" s="6"/>
      <c r="D56" s="6">
        <v>-2.033525</v>
      </c>
      <c r="E56" t="s">
        <v>754</v>
      </c>
      <c r="F56" t="s">
        <v>755</v>
      </c>
      <c r="G56" t="s">
        <v>756</v>
      </c>
    </row>
    <row r="57" spans="1:8">
      <c r="A57" t="s">
        <v>757</v>
      </c>
      <c r="B57" s="6"/>
      <c r="C57" s="6"/>
      <c r="D57" s="6">
        <v>-4.1266803999999997</v>
      </c>
      <c r="E57" t="s">
        <v>754</v>
      </c>
      <c r="F57" t="s">
        <v>755</v>
      </c>
      <c r="G57" t="s">
        <v>756</v>
      </c>
    </row>
    <row r="58" spans="1:8">
      <c r="A58" t="s">
        <v>758</v>
      </c>
      <c r="B58" s="6"/>
      <c r="C58" s="6"/>
      <c r="D58" s="6">
        <v>-2.1746454000000002</v>
      </c>
      <c r="E58" t="s">
        <v>754</v>
      </c>
      <c r="F58" t="s">
        <v>755</v>
      </c>
      <c r="G58" t="s">
        <v>759</v>
      </c>
    </row>
    <row r="59" spans="1:8">
      <c r="A59" t="s">
        <v>760</v>
      </c>
      <c r="B59" s="6"/>
      <c r="C59" s="6"/>
      <c r="D59" s="6">
        <v>-3.8278989999999999</v>
      </c>
      <c r="E59" t="s">
        <v>761</v>
      </c>
      <c r="F59" t="s">
        <v>755</v>
      </c>
      <c r="G59" t="s">
        <v>762</v>
      </c>
    </row>
    <row r="60" spans="1:8">
      <c r="A60" t="s">
        <v>763</v>
      </c>
      <c r="B60" s="6"/>
      <c r="C60" s="6"/>
      <c r="D60" s="6">
        <v>-3.9244967000000002</v>
      </c>
      <c r="E60" t="s">
        <v>761</v>
      </c>
      <c r="F60" t="s">
        <v>755</v>
      </c>
      <c r="G60" t="s">
        <v>762</v>
      </c>
    </row>
    <row r="61" spans="1:8">
      <c r="A61" t="s">
        <v>764</v>
      </c>
      <c r="B61" s="6"/>
      <c r="C61" s="6"/>
      <c r="D61" s="6">
        <v>-2.5612750000000002</v>
      </c>
      <c r="E61" t="s">
        <v>761</v>
      </c>
      <c r="F61" t="s">
        <v>755</v>
      </c>
      <c r="G61" t="s">
        <v>762</v>
      </c>
    </row>
    <row r="62" spans="1:8">
      <c r="A62" t="s">
        <v>765</v>
      </c>
      <c r="B62" s="6">
        <v>-4.0937960000000002</v>
      </c>
      <c r="C62" s="6">
        <v>-4.6559524999999997</v>
      </c>
      <c r="D62" s="6">
        <v>-2.638754</v>
      </c>
      <c r="E62" t="s">
        <v>766</v>
      </c>
      <c r="F62" t="s">
        <v>621</v>
      </c>
    </row>
    <row r="63" spans="1:8">
      <c r="A63" t="s">
        <v>566</v>
      </c>
      <c r="B63" s="6"/>
      <c r="C63" s="6"/>
      <c r="D63" s="6">
        <v>-2.4179176999999998</v>
      </c>
      <c r="E63" t="s">
        <v>139</v>
      </c>
      <c r="F63" t="s">
        <v>642</v>
      </c>
      <c r="G63" t="s">
        <v>140</v>
      </c>
    </row>
    <row r="64" spans="1:8">
      <c r="A64" t="s">
        <v>780</v>
      </c>
      <c r="B64" s="6"/>
      <c r="C64" s="6">
        <v>-2.4915338</v>
      </c>
      <c r="D64" s="6"/>
      <c r="E64" t="s">
        <v>781</v>
      </c>
      <c r="F64" t="s">
        <v>655</v>
      </c>
      <c r="G64" t="s">
        <v>782</v>
      </c>
    </row>
    <row r="65" spans="1:7">
      <c r="A65" t="s">
        <v>783</v>
      </c>
      <c r="B65" s="6"/>
      <c r="C65" s="6"/>
      <c r="D65" s="6">
        <v>-2.0419770000000002</v>
      </c>
      <c r="E65" t="s">
        <v>781</v>
      </c>
      <c r="F65" t="s">
        <v>655</v>
      </c>
      <c r="G65" t="s">
        <v>782</v>
      </c>
    </row>
    <row r="66" spans="1:7">
      <c r="A66" t="s">
        <v>784</v>
      </c>
      <c r="B66" s="6"/>
      <c r="C66" s="6"/>
      <c r="D66" s="6">
        <v>-3.2744384000000002</v>
      </c>
      <c r="E66" t="s">
        <v>785</v>
      </c>
      <c r="F66" t="s">
        <v>786</v>
      </c>
      <c r="G66" t="s">
        <v>787</v>
      </c>
    </row>
    <row r="67" spans="1:7">
      <c r="A67" t="s">
        <v>788</v>
      </c>
      <c r="B67" s="6"/>
      <c r="C67" s="6"/>
      <c r="D67" s="6">
        <v>-2.2939571999999999</v>
      </c>
      <c r="E67" t="s">
        <v>789</v>
      </c>
      <c r="G67" t="s">
        <v>790</v>
      </c>
    </row>
    <row r="68" spans="1:7">
      <c r="A68" t="s">
        <v>791</v>
      </c>
      <c r="B68" s="6"/>
      <c r="C68" s="6">
        <v>-2.5802502999999999</v>
      </c>
      <c r="D68" s="6"/>
      <c r="E68" t="s">
        <v>792</v>
      </c>
    </row>
    <row r="69" spans="1:7">
      <c r="A69" t="s">
        <v>793</v>
      </c>
      <c r="B69" s="6"/>
      <c r="C69" s="6"/>
      <c r="D69" s="6">
        <v>-2.0031047000000002</v>
      </c>
      <c r="E69" t="s">
        <v>794</v>
      </c>
    </row>
    <row r="70" spans="1:7">
      <c r="A70" t="s">
        <v>796</v>
      </c>
      <c r="B70" s="6">
        <v>-2.2975278000000001</v>
      </c>
      <c r="C70" s="6">
        <v>-2.6770520000000002</v>
      </c>
      <c r="D70" s="6"/>
      <c r="E70" t="s">
        <v>660</v>
      </c>
    </row>
    <row r="71" spans="1:7">
      <c r="A71" t="s">
        <v>797</v>
      </c>
      <c r="B71" s="6">
        <v>-3.6621543999999999</v>
      </c>
      <c r="C71" s="6">
        <v>-4.1896962999999996</v>
      </c>
      <c r="D71" s="6">
        <v>-2.5971215000000001</v>
      </c>
      <c r="E71" t="s">
        <v>798</v>
      </c>
    </row>
    <row r="72" spans="1:7">
      <c r="A72" t="s">
        <v>799</v>
      </c>
      <c r="B72" s="6"/>
      <c r="C72" s="6"/>
      <c r="D72" s="6">
        <v>-2.5297464999999999</v>
      </c>
      <c r="E72" t="s">
        <v>800</v>
      </c>
    </row>
    <row r="73" spans="1:7">
      <c r="A73" t="s">
        <v>801</v>
      </c>
      <c r="B73" s="6"/>
      <c r="C73" s="6"/>
      <c r="D73" s="6">
        <v>-2.3599929999999998</v>
      </c>
      <c r="E73" t="s">
        <v>802</v>
      </c>
      <c r="G73" t="s">
        <v>803</v>
      </c>
    </row>
    <row r="74" spans="1:7">
      <c r="A74" t="s">
        <v>804</v>
      </c>
      <c r="B74" s="6"/>
      <c r="C74" s="6"/>
      <c r="D74" s="6">
        <v>-2.0204629999999999</v>
      </c>
      <c r="E74" t="s">
        <v>802</v>
      </c>
      <c r="G74" t="s">
        <v>803</v>
      </c>
    </row>
    <row r="75" spans="1:7">
      <c r="A75" t="s">
        <v>806</v>
      </c>
      <c r="B75" s="6"/>
      <c r="C75" s="6"/>
      <c r="D75" s="6">
        <v>-2.4801392999999998</v>
      </c>
      <c r="E75" t="s">
        <v>802</v>
      </c>
      <c r="G75" t="s">
        <v>803</v>
      </c>
    </row>
    <row r="76" spans="1:7">
      <c r="A76" t="s">
        <v>808</v>
      </c>
      <c r="B76" s="6"/>
      <c r="C76" s="6">
        <v>-2.3044311999999998</v>
      </c>
      <c r="D76" s="6"/>
      <c r="E76" t="s">
        <v>802</v>
      </c>
      <c r="G76" t="s">
        <v>803</v>
      </c>
    </row>
    <row r="77" spans="1:7">
      <c r="A77" t="s">
        <v>809</v>
      </c>
      <c r="B77" s="6"/>
      <c r="C77" s="6"/>
      <c r="D77" s="6">
        <v>-2.2246717999999999</v>
      </c>
      <c r="E77" t="s">
        <v>802</v>
      </c>
      <c r="G77" t="s">
        <v>803</v>
      </c>
    </row>
    <row r="78" spans="1:7">
      <c r="A78" t="s">
        <v>810</v>
      </c>
      <c r="B78" s="6"/>
      <c r="C78" s="6"/>
      <c r="D78" s="6">
        <v>-2.1982694</v>
      </c>
      <c r="E78" t="s">
        <v>802</v>
      </c>
      <c r="G78" t="s">
        <v>803</v>
      </c>
    </row>
    <row r="79" spans="1:7">
      <c r="A79" t="s">
        <v>811</v>
      </c>
      <c r="B79" s="6"/>
      <c r="C79" s="6">
        <v>-2.0628555</v>
      </c>
      <c r="D79" s="6"/>
      <c r="E79" t="s">
        <v>802</v>
      </c>
      <c r="G79" t="s">
        <v>803</v>
      </c>
    </row>
    <row r="80" spans="1:7">
      <c r="A80" t="s">
        <v>812</v>
      </c>
      <c r="B80" s="6"/>
      <c r="C80" s="6"/>
      <c r="D80" s="6">
        <v>-2.8936557999999999</v>
      </c>
      <c r="E80" t="s">
        <v>802</v>
      </c>
      <c r="G80" t="s">
        <v>803</v>
      </c>
    </row>
    <row r="81" spans="1:7">
      <c r="A81" t="s">
        <v>814</v>
      </c>
      <c r="B81" s="6"/>
      <c r="C81" s="6"/>
      <c r="D81" s="6">
        <v>-2.1856450000000001</v>
      </c>
      <c r="E81" t="s">
        <v>802</v>
      </c>
      <c r="F81" t="s">
        <v>815</v>
      </c>
      <c r="G81" t="s">
        <v>816</v>
      </c>
    </row>
    <row r="82" spans="1:7">
      <c r="A82" t="s">
        <v>818</v>
      </c>
      <c r="B82" s="6"/>
      <c r="C82" s="6">
        <v>-2.8280677999999999</v>
      </c>
      <c r="D82" s="6">
        <v>-3.6198977999999999</v>
      </c>
      <c r="E82" t="s">
        <v>802</v>
      </c>
      <c r="G82" t="s">
        <v>803</v>
      </c>
    </row>
    <row r="83" spans="1:7">
      <c r="A83" t="s">
        <v>819</v>
      </c>
      <c r="B83" s="6"/>
      <c r="C83" s="6"/>
      <c r="D83" s="6">
        <v>-2.8447464</v>
      </c>
      <c r="E83" t="s">
        <v>802</v>
      </c>
      <c r="G83" t="s">
        <v>803</v>
      </c>
    </row>
    <row r="84" spans="1:7">
      <c r="A84" t="s">
        <v>820</v>
      </c>
      <c r="B84" s="6"/>
      <c r="C84" s="6"/>
      <c r="D84" s="6">
        <v>-2.5789369999999998</v>
      </c>
      <c r="E84" t="s">
        <v>802</v>
      </c>
      <c r="G84" t="s">
        <v>803</v>
      </c>
    </row>
    <row r="85" spans="1:7">
      <c r="A85" t="s">
        <v>821</v>
      </c>
      <c r="B85" s="6"/>
      <c r="C85" s="6"/>
      <c r="D85" s="6">
        <v>-2.484013</v>
      </c>
      <c r="E85" t="s">
        <v>802</v>
      </c>
      <c r="F85" t="s">
        <v>822</v>
      </c>
      <c r="G85" t="s">
        <v>823</v>
      </c>
    </row>
    <row r="86" spans="1:7">
      <c r="A86" t="s">
        <v>824</v>
      </c>
      <c r="B86" s="6"/>
      <c r="C86" s="6"/>
      <c r="D86" s="6">
        <v>-2.1538309999999998</v>
      </c>
      <c r="E86" t="s">
        <v>802</v>
      </c>
      <c r="F86" t="s">
        <v>822</v>
      </c>
      <c r="G86" t="s">
        <v>823</v>
      </c>
    </row>
    <row r="87" spans="1:7">
      <c r="A87" t="s">
        <v>825</v>
      </c>
      <c r="B87" s="6"/>
      <c r="C87" s="6"/>
      <c r="D87" s="6">
        <v>-2.1019801999999999</v>
      </c>
      <c r="E87" t="s">
        <v>802</v>
      </c>
      <c r="G87" t="s">
        <v>838</v>
      </c>
    </row>
    <row r="88" spans="1:7">
      <c r="A88" t="s">
        <v>839</v>
      </c>
      <c r="B88" s="6"/>
      <c r="C88" s="6"/>
      <c r="D88" s="6">
        <v>-2.3835812000000001</v>
      </c>
      <c r="E88" t="s">
        <v>802</v>
      </c>
      <c r="F88" t="s">
        <v>840</v>
      </c>
    </row>
    <row r="89" spans="1:7">
      <c r="A89" t="s">
        <v>841</v>
      </c>
      <c r="B89" s="6"/>
      <c r="C89" s="6"/>
      <c r="D89" s="6">
        <v>-2.895092</v>
      </c>
      <c r="E89" t="s">
        <v>802</v>
      </c>
      <c r="F89" t="s">
        <v>842</v>
      </c>
      <c r="G89" t="s">
        <v>843</v>
      </c>
    </row>
    <row r="90" spans="1:7">
      <c r="A90" t="s">
        <v>844</v>
      </c>
      <c r="B90" s="6"/>
      <c r="C90" s="6"/>
      <c r="D90" s="6">
        <v>-2.1190476</v>
      </c>
      <c r="E90" t="s">
        <v>802</v>
      </c>
      <c r="F90" t="s">
        <v>815</v>
      </c>
      <c r="G90" t="s">
        <v>845</v>
      </c>
    </row>
    <row r="91" spans="1:7">
      <c r="A91" t="s">
        <v>846</v>
      </c>
      <c r="B91" s="6"/>
      <c r="C91" s="6">
        <v>-2.4425210000000002</v>
      </c>
      <c r="D91" s="6">
        <v>-2.7323607999999999</v>
      </c>
      <c r="E91" t="s">
        <v>802</v>
      </c>
      <c r="F91" t="s">
        <v>815</v>
      </c>
      <c r="G91" t="s">
        <v>847</v>
      </c>
    </row>
    <row r="92" spans="1:7">
      <c r="A92" t="s">
        <v>848</v>
      </c>
      <c r="B92" s="6"/>
      <c r="C92" s="6"/>
      <c r="D92" s="6">
        <v>-2.1260886000000001</v>
      </c>
      <c r="E92" t="s">
        <v>802</v>
      </c>
      <c r="G92" t="s">
        <v>803</v>
      </c>
    </row>
    <row r="93" spans="1:7">
      <c r="A93" t="s">
        <v>849</v>
      </c>
      <c r="B93" s="6"/>
      <c r="C93" s="6">
        <v>-2.2862</v>
      </c>
      <c r="D93" s="6">
        <v>-2.3730745</v>
      </c>
      <c r="E93" t="s">
        <v>802</v>
      </c>
      <c r="F93" t="s">
        <v>815</v>
      </c>
      <c r="G93" t="s">
        <v>847</v>
      </c>
    </row>
    <row r="94" spans="1:7">
      <c r="A94" t="s">
        <v>851</v>
      </c>
      <c r="B94" s="6"/>
      <c r="C94" s="6"/>
      <c r="D94" s="6">
        <v>-2.0410146999999998</v>
      </c>
      <c r="E94" t="s">
        <v>802</v>
      </c>
      <c r="G94" t="s">
        <v>852</v>
      </c>
    </row>
    <row r="95" spans="1:7">
      <c r="A95" t="s">
        <v>853</v>
      </c>
      <c r="B95" s="6"/>
      <c r="C95" s="6"/>
      <c r="D95" s="6">
        <v>-2.1235723000000002</v>
      </c>
      <c r="E95" t="s">
        <v>802</v>
      </c>
      <c r="G95" t="s">
        <v>803</v>
      </c>
    </row>
    <row r="96" spans="1:7">
      <c r="A96" t="s">
        <v>854</v>
      </c>
      <c r="B96" s="6"/>
      <c r="C96" s="6"/>
      <c r="D96" s="6">
        <v>-2.1703166999999999</v>
      </c>
      <c r="E96" t="s">
        <v>802</v>
      </c>
      <c r="F96" t="s">
        <v>815</v>
      </c>
      <c r="G96" t="s">
        <v>847</v>
      </c>
    </row>
    <row r="97" spans="1:7">
      <c r="A97" t="s">
        <v>855</v>
      </c>
      <c r="B97" s="6"/>
      <c r="C97" s="6"/>
      <c r="D97" s="6">
        <v>-2.1186752000000002</v>
      </c>
      <c r="E97" t="s">
        <v>856</v>
      </c>
    </row>
    <row r="98" spans="1:7">
      <c r="A98" t="s">
        <v>857</v>
      </c>
      <c r="B98" s="6"/>
      <c r="C98" s="6"/>
      <c r="D98" s="6">
        <v>-2.1185174</v>
      </c>
      <c r="E98" t="s">
        <v>858</v>
      </c>
      <c r="F98" t="s">
        <v>815</v>
      </c>
      <c r="G98" t="s">
        <v>845</v>
      </c>
    </row>
    <row r="99" spans="1:7">
      <c r="A99" t="s">
        <v>859</v>
      </c>
      <c r="B99" s="6"/>
      <c r="C99" s="6"/>
      <c r="D99" s="6">
        <v>-2.1252179999999998</v>
      </c>
      <c r="E99" t="s">
        <v>858</v>
      </c>
      <c r="F99" t="s">
        <v>860</v>
      </c>
    </row>
    <row r="100" spans="1:7">
      <c r="A100" t="s">
        <v>538</v>
      </c>
      <c r="B100" s="6">
        <v>-5.5525336000000003</v>
      </c>
      <c r="C100" s="6">
        <v>-7.1708026</v>
      </c>
      <c r="D100" s="6">
        <v>-4.3243660000000004</v>
      </c>
      <c r="E100" t="s">
        <v>143</v>
      </c>
      <c r="F100" t="s">
        <v>822</v>
      </c>
      <c r="G100" t="s">
        <v>144</v>
      </c>
    </row>
    <row r="101" spans="1:7">
      <c r="A101" t="s">
        <v>577</v>
      </c>
      <c r="B101" s="6">
        <v>-5.7130302999999998</v>
      </c>
      <c r="C101" s="6">
        <v>-7.0007520000000003</v>
      </c>
      <c r="D101" s="6">
        <v>-4.2652279999999996</v>
      </c>
      <c r="E101" t="s">
        <v>143</v>
      </c>
      <c r="F101" t="s">
        <v>822</v>
      </c>
      <c r="G101" t="s">
        <v>144</v>
      </c>
    </row>
    <row r="102" spans="1:7">
      <c r="A102" t="s">
        <v>864</v>
      </c>
      <c r="B102" s="6"/>
      <c r="C102" s="6"/>
      <c r="D102" s="6">
        <v>-2.0181222000000001</v>
      </c>
      <c r="E102" t="s">
        <v>862</v>
      </c>
      <c r="F102" t="s">
        <v>815</v>
      </c>
      <c r="G102" t="s">
        <v>865</v>
      </c>
    </row>
    <row r="103" spans="1:7">
      <c r="A103" t="s">
        <v>866</v>
      </c>
      <c r="B103" s="6"/>
      <c r="C103" s="6"/>
      <c r="D103" s="6">
        <v>-2.4773725999999998</v>
      </c>
      <c r="E103" t="s">
        <v>862</v>
      </c>
      <c r="F103" t="s">
        <v>815</v>
      </c>
      <c r="G103" t="s">
        <v>865</v>
      </c>
    </row>
    <row r="104" spans="1:7">
      <c r="A104" t="s">
        <v>867</v>
      </c>
      <c r="B104" s="6"/>
      <c r="C104" s="6"/>
      <c r="D104" s="6">
        <v>-3.5417686000000002</v>
      </c>
      <c r="E104" t="s">
        <v>868</v>
      </c>
      <c r="F104" t="s">
        <v>869</v>
      </c>
      <c r="G104" t="s">
        <v>870</v>
      </c>
    </row>
    <row r="105" spans="1:7">
      <c r="A105" t="s">
        <v>871</v>
      </c>
      <c r="B105" s="6"/>
      <c r="C105" s="6"/>
      <c r="D105" s="6">
        <v>-4.6209610000000003</v>
      </c>
      <c r="E105" t="s">
        <v>872</v>
      </c>
      <c r="F105" t="s">
        <v>873</v>
      </c>
      <c r="G105" t="s">
        <v>874</v>
      </c>
    </row>
    <row r="106" spans="1:7">
      <c r="A106" t="s">
        <v>875</v>
      </c>
      <c r="B106" s="6"/>
      <c r="C106" s="6"/>
      <c r="D106" s="6">
        <v>-2.0235853000000001</v>
      </c>
      <c r="E106" t="s">
        <v>872</v>
      </c>
      <c r="G106" t="s">
        <v>876</v>
      </c>
    </row>
    <row r="107" spans="1:7">
      <c r="A107" t="s">
        <v>887</v>
      </c>
      <c r="B107" s="6"/>
      <c r="C107" s="6">
        <v>-2.0257645000000002</v>
      </c>
      <c r="D107" s="6">
        <v>-4.4967889999999997</v>
      </c>
      <c r="E107" t="s">
        <v>885</v>
      </c>
      <c r="G107" t="s">
        <v>886</v>
      </c>
    </row>
    <row r="108" spans="1:7">
      <c r="A108" t="s">
        <v>888</v>
      </c>
      <c r="B108" s="6"/>
      <c r="C108" s="6"/>
      <c r="D108" s="6">
        <v>-2.4038094999999999</v>
      </c>
      <c r="E108" t="s">
        <v>889</v>
      </c>
    </row>
    <row r="109" spans="1:7">
      <c r="A109" t="s">
        <v>893</v>
      </c>
      <c r="B109" s="6">
        <v>-2.5025153000000002</v>
      </c>
      <c r="C109" s="6">
        <v>-2.2376103000000001</v>
      </c>
      <c r="D109" s="6"/>
      <c r="E109" t="s">
        <v>894</v>
      </c>
      <c r="F109" t="s">
        <v>895</v>
      </c>
      <c r="G109" t="s">
        <v>896</v>
      </c>
    </row>
    <row r="110" spans="1:7">
      <c r="A110" t="s">
        <v>897</v>
      </c>
      <c r="B110" s="6"/>
      <c r="C110" s="6"/>
      <c r="D110" s="6">
        <v>-3.0188060000000001</v>
      </c>
      <c r="E110" t="s">
        <v>898</v>
      </c>
    </row>
    <row r="111" spans="1:7">
      <c r="A111" t="s">
        <v>899</v>
      </c>
      <c r="B111" s="6"/>
      <c r="C111" s="6"/>
      <c r="D111" s="6">
        <v>-3.8047013000000001</v>
      </c>
      <c r="E111" t="s">
        <v>900</v>
      </c>
      <c r="F111" t="s">
        <v>901</v>
      </c>
      <c r="G111" t="s">
        <v>902</v>
      </c>
    </row>
    <row r="112" spans="1:7">
      <c r="A112" t="s">
        <v>907</v>
      </c>
      <c r="B112" s="6"/>
      <c r="C112" s="6"/>
      <c r="D112" s="6">
        <v>-2.0366602</v>
      </c>
      <c r="E112" t="s">
        <v>908</v>
      </c>
    </row>
    <row r="113" spans="1:7">
      <c r="A113" t="s">
        <v>918</v>
      </c>
      <c r="B113" s="6"/>
      <c r="C113" s="6"/>
      <c r="D113" s="6">
        <v>-3.0524292000000002</v>
      </c>
      <c r="E113" t="s">
        <v>919</v>
      </c>
      <c r="F113" t="s">
        <v>920</v>
      </c>
      <c r="G113" t="s">
        <v>921</v>
      </c>
    </row>
    <row r="114" spans="1:7">
      <c r="A114" t="s">
        <v>922</v>
      </c>
      <c r="B114" s="6"/>
      <c r="C114" s="6">
        <v>-2.4699149999999999</v>
      </c>
      <c r="D114" s="6">
        <v>-3.6620903</v>
      </c>
      <c r="E114" t="s">
        <v>923</v>
      </c>
      <c r="F114" t="s">
        <v>924</v>
      </c>
      <c r="G114" t="s">
        <v>925</v>
      </c>
    </row>
    <row r="115" spans="1:7">
      <c r="A115" t="s">
        <v>930</v>
      </c>
      <c r="B115" s="6"/>
      <c r="C115" s="6"/>
      <c r="D115" s="6">
        <v>-2.0347195</v>
      </c>
      <c r="E115" t="s">
        <v>931</v>
      </c>
    </row>
    <row r="116" spans="1:7">
      <c r="A116" t="s">
        <v>934</v>
      </c>
      <c r="B116" s="6"/>
      <c r="C116" s="6"/>
      <c r="D116" s="6">
        <v>-2.0577407000000001</v>
      </c>
      <c r="E116" t="s">
        <v>935</v>
      </c>
      <c r="F116" t="s">
        <v>936</v>
      </c>
      <c r="G116" t="s">
        <v>937</v>
      </c>
    </row>
    <row r="117" spans="1:7">
      <c r="A117" t="s">
        <v>938</v>
      </c>
      <c r="B117" s="6"/>
      <c r="C117" s="6"/>
      <c r="D117" s="6">
        <v>-2.7392167999999999</v>
      </c>
      <c r="E117" t="s">
        <v>939</v>
      </c>
      <c r="G117" t="s">
        <v>940</v>
      </c>
    </row>
    <row r="118" spans="1:7">
      <c r="A118" t="s">
        <v>941</v>
      </c>
      <c r="B118" s="6"/>
      <c r="C118" s="6"/>
      <c r="D118" s="6">
        <v>-2.9072947999999998</v>
      </c>
      <c r="E118" t="s">
        <v>942</v>
      </c>
    </row>
    <row r="119" spans="1:7">
      <c r="A119" t="s">
        <v>943</v>
      </c>
      <c r="B119" s="6"/>
      <c r="C119" s="6"/>
      <c r="D119" s="6">
        <v>-2.1806983999999998</v>
      </c>
      <c r="E119" t="s">
        <v>944</v>
      </c>
    </row>
    <row r="120" spans="1:7">
      <c r="A120" t="s">
        <v>945</v>
      </c>
      <c r="B120" s="6"/>
      <c r="C120" s="6">
        <v>-2.0944943</v>
      </c>
      <c r="D120" s="6">
        <v>-4.5666412999999997</v>
      </c>
      <c r="E120" t="s">
        <v>946</v>
      </c>
    </row>
    <row r="121" spans="1:7">
      <c r="A121" t="s">
        <v>947</v>
      </c>
      <c r="B121" s="6"/>
      <c r="C121" s="6"/>
      <c r="D121" s="6">
        <v>-3.9813404000000001</v>
      </c>
      <c r="E121" t="s">
        <v>946</v>
      </c>
    </row>
    <row r="122" spans="1:7">
      <c r="A122" t="s">
        <v>948</v>
      </c>
      <c r="B122" s="6"/>
      <c r="C122" s="6"/>
      <c r="D122" s="6">
        <v>-2.2393265000000002</v>
      </c>
      <c r="E122" t="s">
        <v>946</v>
      </c>
    </row>
    <row r="123" spans="1:7">
      <c r="A123" t="s">
        <v>540</v>
      </c>
      <c r="B123" s="6"/>
      <c r="C123" s="6">
        <v>-2.1178370000000002</v>
      </c>
      <c r="D123" s="6">
        <v>-3.2063264999999999</v>
      </c>
      <c r="E123" t="s">
        <v>946</v>
      </c>
    </row>
    <row r="124" spans="1:7">
      <c r="A124" t="s">
        <v>950</v>
      </c>
      <c r="B124" s="6"/>
      <c r="C124" s="6"/>
      <c r="D124" s="6">
        <v>-4.8234877999999997</v>
      </c>
      <c r="E124" t="s">
        <v>946</v>
      </c>
    </row>
    <row r="125" spans="1:7">
      <c r="A125" t="s">
        <v>951</v>
      </c>
      <c r="B125" s="6"/>
      <c r="C125" s="6"/>
      <c r="D125" s="6">
        <v>-2.6848893</v>
      </c>
      <c r="E125" t="s">
        <v>946</v>
      </c>
    </row>
    <row r="126" spans="1:7">
      <c r="A126" t="s">
        <v>952</v>
      </c>
      <c r="B126" s="6"/>
      <c r="C126" s="6"/>
      <c r="D126" s="6">
        <v>-3.2787799999999998</v>
      </c>
      <c r="E126" t="s">
        <v>946</v>
      </c>
    </row>
    <row r="127" spans="1:7">
      <c r="A127" t="s">
        <v>953</v>
      </c>
      <c r="B127" s="6"/>
      <c r="C127" s="6"/>
      <c r="D127" s="6">
        <v>-2.286108</v>
      </c>
      <c r="E127" t="s">
        <v>946</v>
      </c>
    </row>
    <row r="128" spans="1:7">
      <c r="A128" t="s">
        <v>954</v>
      </c>
      <c r="B128" s="6"/>
      <c r="C128" s="6"/>
      <c r="D128" s="6">
        <v>-2.62432</v>
      </c>
      <c r="E128" t="s">
        <v>946</v>
      </c>
    </row>
    <row r="129" spans="1:8">
      <c r="A129" t="s">
        <v>571</v>
      </c>
      <c r="B129" s="6"/>
      <c r="C129" s="6">
        <v>-2.0948806000000002</v>
      </c>
      <c r="D129" s="6">
        <v>-2.9989905000000001</v>
      </c>
      <c r="E129" t="s">
        <v>946</v>
      </c>
    </row>
    <row r="130" spans="1:8">
      <c r="A130" t="s">
        <v>955</v>
      </c>
      <c r="B130" s="6"/>
      <c r="C130" s="6">
        <v>-2.7806896999999999</v>
      </c>
      <c r="D130" s="6">
        <v>-5.3540473000000004</v>
      </c>
      <c r="E130" t="s">
        <v>946</v>
      </c>
    </row>
    <row r="131" spans="1:8">
      <c r="A131" t="s">
        <v>956</v>
      </c>
      <c r="B131" s="6"/>
      <c r="C131" s="6"/>
      <c r="D131" s="6">
        <v>-2.2995106999999999</v>
      </c>
      <c r="E131" t="s">
        <v>946</v>
      </c>
      <c r="F131" t="s">
        <v>957</v>
      </c>
      <c r="G131" t="s">
        <v>958</v>
      </c>
    </row>
    <row r="132" spans="1:8">
      <c r="A132" t="s">
        <v>959</v>
      </c>
      <c r="B132" s="6"/>
      <c r="C132" s="6"/>
      <c r="D132" s="6">
        <v>-3.2445970000000002</v>
      </c>
      <c r="E132" t="s">
        <v>946</v>
      </c>
    </row>
    <row r="133" spans="1:8">
      <c r="A133" t="s">
        <v>960</v>
      </c>
      <c r="B133" s="6"/>
      <c r="C133" s="6"/>
      <c r="D133" s="6">
        <v>-5.6393120000000003</v>
      </c>
      <c r="E133" t="s">
        <v>961</v>
      </c>
    </row>
    <row r="134" spans="1:8">
      <c r="A134" t="s">
        <v>962</v>
      </c>
      <c r="B134" s="6"/>
      <c r="C134" s="6"/>
      <c r="D134" s="6">
        <v>-3.2427106000000001</v>
      </c>
      <c r="E134" t="s">
        <v>963</v>
      </c>
      <c r="F134" t="s">
        <v>964</v>
      </c>
      <c r="G134" t="s">
        <v>965</v>
      </c>
      <c r="H134" t="s">
        <v>966</v>
      </c>
    </row>
    <row r="135" spans="1:8">
      <c r="A135" t="s">
        <v>967</v>
      </c>
      <c r="B135" s="6"/>
      <c r="C135" s="6"/>
      <c r="D135" s="6">
        <v>-2.0880923</v>
      </c>
      <c r="E135" t="s">
        <v>963</v>
      </c>
      <c r="F135" t="s">
        <v>964</v>
      </c>
      <c r="G135" t="s">
        <v>965</v>
      </c>
    </row>
    <row r="136" spans="1:8">
      <c r="A136" t="s">
        <v>971</v>
      </c>
      <c r="B136" s="6"/>
      <c r="C136" s="6"/>
      <c r="D136" s="6">
        <v>-4.1553573999999998</v>
      </c>
      <c r="E136" t="s">
        <v>972</v>
      </c>
    </row>
    <row r="137" spans="1:8">
      <c r="A137" t="s">
        <v>973</v>
      </c>
      <c r="B137" s="6"/>
      <c r="C137" s="6"/>
      <c r="D137" s="6">
        <v>-2.0824022000000002</v>
      </c>
      <c r="E137" t="s">
        <v>974</v>
      </c>
      <c r="F137" t="s">
        <v>591</v>
      </c>
      <c r="G137" t="s">
        <v>975</v>
      </c>
    </row>
    <row r="138" spans="1:8">
      <c r="A138" t="s">
        <v>976</v>
      </c>
      <c r="B138" s="6"/>
      <c r="C138" s="6"/>
      <c r="D138" s="6">
        <v>-3.5698788000000001</v>
      </c>
      <c r="E138" t="s">
        <v>977</v>
      </c>
    </row>
    <row r="139" spans="1:8">
      <c r="A139" t="s">
        <v>978</v>
      </c>
      <c r="B139" s="6"/>
      <c r="C139" s="6"/>
      <c r="D139" s="6">
        <v>-2.899149</v>
      </c>
      <c r="E139" t="s">
        <v>977</v>
      </c>
    </row>
    <row r="140" spans="1:8">
      <c r="A140" t="s">
        <v>979</v>
      </c>
      <c r="B140" s="6"/>
      <c r="C140" s="6"/>
      <c r="D140" s="6">
        <v>-3.7983571999999999</v>
      </c>
      <c r="E140" t="s">
        <v>977</v>
      </c>
    </row>
    <row r="141" spans="1:8">
      <c r="A141" t="s">
        <v>983</v>
      </c>
      <c r="B141" s="6"/>
      <c r="C141" s="6"/>
      <c r="D141" s="6">
        <v>-2.789949</v>
      </c>
      <c r="E141" t="s">
        <v>984</v>
      </c>
      <c r="F141" t="s">
        <v>985</v>
      </c>
      <c r="G141" t="s">
        <v>986</v>
      </c>
    </row>
    <row r="142" spans="1:8">
      <c r="A142" t="s">
        <v>987</v>
      </c>
      <c r="B142" s="6"/>
      <c r="C142" s="6">
        <v>-2.2576369999999999</v>
      </c>
      <c r="D142" s="6">
        <v>-3.2380800000000001</v>
      </c>
      <c r="E142" t="s">
        <v>984</v>
      </c>
      <c r="F142" t="s">
        <v>988</v>
      </c>
      <c r="G142" t="s">
        <v>986</v>
      </c>
    </row>
    <row r="143" spans="1:8">
      <c r="A143" t="s">
        <v>989</v>
      </c>
      <c r="B143" s="6"/>
      <c r="C143" s="6"/>
      <c r="D143" s="6">
        <v>-3.239554</v>
      </c>
      <c r="E143" t="s">
        <v>984</v>
      </c>
      <c r="F143" t="s">
        <v>990</v>
      </c>
      <c r="G143" t="s">
        <v>986</v>
      </c>
    </row>
    <row r="144" spans="1:8">
      <c r="A144" t="s">
        <v>991</v>
      </c>
      <c r="B144" s="6"/>
      <c r="C144" s="6"/>
      <c r="D144" s="6">
        <v>-2.294489</v>
      </c>
      <c r="E144" t="s">
        <v>992</v>
      </c>
      <c r="G144" t="s">
        <v>993</v>
      </c>
    </row>
    <row r="145" spans="1:8">
      <c r="A145" t="s">
        <v>996</v>
      </c>
      <c r="B145" s="6"/>
      <c r="C145" s="6"/>
      <c r="D145" s="6">
        <v>-2.1256680000000001</v>
      </c>
      <c r="E145" t="s">
        <v>997</v>
      </c>
      <c r="F145" t="s">
        <v>998</v>
      </c>
      <c r="G145" t="s">
        <v>604</v>
      </c>
      <c r="H145" t="s">
        <v>999</v>
      </c>
    </row>
    <row r="146" spans="1:8">
      <c r="A146" t="s">
        <v>1000</v>
      </c>
      <c r="B146" s="6"/>
      <c r="C146" s="6"/>
      <c r="D146" s="6">
        <v>-2.2196707999999998</v>
      </c>
      <c r="E146" t="s">
        <v>997</v>
      </c>
      <c r="F146" t="s">
        <v>1001</v>
      </c>
      <c r="G146" t="s">
        <v>1002</v>
      </c>
    </row>
    <row r="147" spans="1:8">
      <c r="A147" t="s">
        <v>1003</v>
      </c>
      <c r="B147" s="6"/>
      <c r="C147" s="6"/>
      <c r="D147" s="6">
        <v>-2.0575671</v>
      </c>
      <c r="E147" t="s">
        <v>997</v>
      </c>
      <c r="F147" t="s">
        <v>998</v>
      </c>
      <c r="G147" t="s">
        <v>604</v>
      </c>
      <c r="H147" t="s">
        <v>999</v>
      </c>
    </row>
    <row r="148" spans="1:8">
      <c r="A148" t="s">
        <v>1030</v>
      </c>
      <c r="B148" s="6"/>
      <c r="C148" s="6"/>
      <c r="D148" s="6">
        <v>-2.7426781999999998</v>
      </c>
      <c r="E148" t="s">
        <v>1031</v>
      </c>
    </row>
    <row r="149" spans="1:8">
      <c r="A149" t="s">
        <v>1032</v>
      </c>
      <c r="B149" s="6"/>
      <c r="C149" s="6">
        <v>-2.2553024000000002</v>
      </c>
      <c r="D149" s="6">
        <v>-3.4573516999999998</v>
      </c>
      <c r="E149" t="s">
        <v>1031</v>
      </c>
    </row>
    <row r="150" spans="1:8">
      <c r="A150" t="s">
        <v>1033</v>
      </c>
      <c r="B150" s="6"/>
      <c r="C150" s="6"/>
      <c r="D150" s="6">
        <v>-3.606382</v>
      </c>
      <c r="E150" t="s">
        <v>1034</v>
      </c>
    </row>
    <row r="151" spans="1:8">
      <c r="A151" t="s">
        <v>1043</v>
      </c>
      <c r="B151" s="6"/>
      <c r="C151" s="6">
        <v>-5.8324975999999999</v>
      </c>
      <c r="D151" s="6"/>
      <c r="E151" t="s">
        <v>1040</v>
      </c>
      <c r="F151" t="s">
        <v>1041</v>
      </c>
      <c r="G151" t="s">
        <v>1042</v>
      </c>
    </row>
    <row r="152" spans="1:8">
      <c r="A152" t="s">
        <v>1047</v>
      </c>
      <c r="B152" s="6"/>
      <c r="C152" s="6"/>
      <c r="D152" s="6">
        <v>-2.1081557000000002</v>
      </c>
      <c r="E152" t="s">
        <v>1048</v>
      </c>
      <c r="F152" t="s">
        <v>621</v>
      </c>
      <c r="G152" t="s">
        <v>1049</v>
      </c>
    </row>
    <row r="153" spans="1:8">
      <c r="A153" t="s">
        <v>1050</v>
      </c>
      <c r="B153" s="6"/>
      <c r="C153" s="6"/>
      <c r="D153" s="6">
        <v>-2.4316087</v>
      </c>
      <c r="E153" t="s">
        <v>1048</v>
      </c>
      <c r="F153" t="s">
        <v>621</v>
      </c>
      <c r="G153" t="s">
        <v>1049</v>
      </c>
    </row>
    <row r="154" spans="1:8">
      <c r="A154" t="s">
        <v>1066</v>
      </c>
      <c r="B154" s="6"/>
      <c r="C154" s="6"/>
      <c r="D154" s="6">
        <v>-2.1824384000000001</v>
      </c>
      <c r="E154" t="s">
        <v>1067</v>
      </c>
    </row>
    <row r="155" spans="1:8">
      <c r="A155" t="s">
        <v>1068</v>
      </c>
      <c r="B155" s="6"/>
      <c r="C155" s="6"/>
      <c r="D155" s="6">
        <v>-2.606697</v>
      </c>
      <c r="E155" t="s">
        <v>1069</v>
      </c>
    </row>
    <row r="156" spans="1:8">
      <c r="A156" t="s">
        <v>1076</v>
      </c>
      <c r="B156" s="6"/>
      <c r="C156" s="6"/>
      <c r="D156" s="6">
        <v>-2.9924067999999999</v>
      </c>
      <c r="E156" t="s">
        <v>1077</v>
      </c>
    </row>
    <row r="157" spans="1:8">
      <c r="A157" t="s">
        <v>1078</v>
      </c>
      <c r="B157" s="6"/>
      <c r="C157" s="6">
        <v>-2.2220249999999999</v>
      </c>
      <c r="D157" s="6"/>
      <c r="E157" t="s">
        <v>1079</v>
      </c>
      <c r="F157" t="s">
        <v>1080</v>
      </c>
    </row>
    <row r="158" spans="1:8">
      <c r="A158" t="s">
        <v>1081</v>
      </c>
      <c r="B158" s="6">
        <v>-4.789072</v>
      </c>
      <c r="C158" s="6">
        <v>-4.8427220000000002</v>
      </c>
      <c r="D158" s="6"/>
      <c r="E158" t="s">
        <v>1082</v>
      </c>
      <c r="F158" t="s">
        <v>655</v>
      </c>
      <c r="G158" t="s">
        <v>1083</v>
      </c>
    </row>
    <row r="159" spans="1:8">
      <c r="A159" t="s">
        <v>1084</v>
      </c>
      <c r="B159" s="6"/>
      <c r="C159" s="6">
        <v>-5.4334064</v>
      </c>
      <c r="D159" s="6"/>
      <c r="E159" t="s">
        <v>1082</v>
      </c>
      <c r="F159" t="s">
        <v>655</v>
      </c>
      <c r="G159" t="s">
        <v>1083</v>
      </c>
    </row>
    <row r="160" spans="1:8">
      <c r="A160" t="s">
        <v>1085</v>
      </c>
      <c r="B160" s="6">
        <v>-5.4970309999999998</v>
      </c>
      <c r="C160" s="6">
        <v>-5.6932383</v>
      </c>
      <c r="D160" s="6"/>
      <c r="E160" t="s">
        <v>1082</v>
      </c>
      <c r="F160" t="s">
        <v>655</v>
      </c>
      <c r="G160" t="s">
        <v>1083</v>
      </c>
    </row>
    <row r="161" spans="1:7">
      <c r="A161" t="s">
        <v>1087</v>
      </c>
      <c r="B161" s="6"/>
      <c r="C161" s="6"/>
      <c r="D161" s="6">
        <v>-2.0335264</v>
      </c>
      <c r="E161" t="s">
        <v>1088</v>
      </c>
      <c r="F161" t="s">
        <v>655</v>
      </c>
      <c r="G161" t="s">
        <v>1089</v>
      </c>
    </row>
    <row r="162" spans="1:7">
      <c r="A162" t="s">
        <v>1090</v>
      </c>
      <c r="B162" s="6"/>
      <c r="C162" s="6"/>
      <c r="D162" s="6">
        <v>-2.2840284999999998</v>
      </c>
      <c r="E162" t="s">
        <v>1088</v>
      </c>
      <c r="F162" t="s">
        <v>655</v>
      </c>
      <c r="G162" t="s">
        <v>1089</v>
      </c>
    </row>
    <row r="163" spans="1:7">
      <c r="A163" t="s">
        <v>1093</v>
      </c>
      <c r="B163" s="6"/>
      <c r="C163" s="6"/>
      <c r="D163" s="6">
        <v>-2.0213800000000002</v>
      </c>
      <c r="E163" t="s">
        <v>1094</v>
      </c>
      <c r="G163" t="s">
        <v>1095</v>
      </c>
    </row>
    <row r="164" spans="1:7">
      <c r="A164" t="s">
        <v>1096</v>
      </c>
      <c r="B164" s="6"/>
      <c r="C164" s="6"/>
      <c r="D164" s="6">
        <v>-2.0093236000000001</v>
      </c>
      <c r="E164" t="s">
        <v>1094</v>
      </c>
      <c r="G164" t="s">
        <v>1095</v>
      </c>
    </row>
    <row r="165" spans="1:7">
      <c r="A165" t="s">
        <v>562</v>
      </c>
      <c r="B165" s="6"/>
      <c r="C165" s="6">
        <v>-2.007358</v>
      </c>
      <c r="D165" s="6">
        <v>-3.2889175000000002</v>
      </c>
      <c r="E165" t="s">
        <v>148</v>
      </c>
      <c r="F165" t="s">
        <v>642</v>
      </c>
      <c r="G165" t="s">
        <v>553</v>
      </c>
    </row>
    <row r="166" spans="1:7">
      <c r="A166" t="s">
        <v>1110</v>
      </c>
      <c r="B166" s="6"/>
      <c r="C166" s="6"/>
      <c r="D166" s="6">
        <v>-2.4063477999999998</v>
      </c>
      <c r="E166" t="s">
        <v>1111</v>
      </c>
    </row>
    <row r="167" spans="1:7">
      <c r="A167" t="s">
        <v>1112</v>
      </c>
      <c r="B167" s="6"/>
      <c r="C167" s="6"/>
      <c r="D167" s="6">
        <v>-3.4199223999999999</v>
      </c>
      <c r="E167" t="s">
        <v>1113</v>
      </c>
    </row>
    <row r="168" spans="1:7">
      <c r="A168" t="s">
        <v>1114</v>
      </c>
      <c r="B168" s="6"/>
      <c r="C168" s="6"/>
      <c r="D168" s="6">
        <v>-2.100965</v>
      </c>
      <c r="E168" t="s">
        <v>1115</v>
      </c>
      <c r="G168" t="s">
        <v>1116</v>
      </c>
    </row>
    <row r="169" spans="1:7">
      <c r="A169" t="s">
        <v>1117</v>
      </c>
      <c r="B169" s="6"/>
      <c r="C169" s="6"/>
      <c r="D169" s="6">
        <v>-2.3865924000000001</v>
      </c>
      <c r="E169" t="s">
        <v>1118</v>
      </c>
    </row>
    <row r="170" spans="1:7">
      <c r="A170" t="s">
        <v>1119</v>
      </c>
      <c r="B170" s="6">
        <v>-2.9325994999999998</v>
      </c>
      <c r="C170" s="6">
        <v>-2.7150626</v>
      </c>
      <c r="D170" s="6">
        <v>-3.0515208</v>
      </c>
      <c r="E170" t="s">
        <v>1120</v>
      </c>
      <c r="F170" t="s">
        <v>616</v>
      </c>
      <c r="G170" t="s">
        <v>1121</v>
      </c>
    </row>
    <row r="171" spans="1:7">
      <c r="A171" t="s">
        <v>1122</v>
      </c>
      <c r="B171" s="6"/>
      <c r="C171" s="6"/>
      <c r="D171" s="6">
        <v>-5.7382964999999997</v>
      </c>
      <c r="E171" t="s">
        <v>1123</v>
      </c>
      <c r="F171" t="s">
        <v>658</v>
      </c>
      <c r="G171" t="s">
        <v>1124</v>
      </c>
    </row>
    <row r="172" spans="1:7">
      <c r="A172" t="s">
        <v>1125</v>
      </c>
      <c r="B172" s="6">
        <v>-2.7541695000000002</v>
      </c>
      <c r="C172" s="6">
        <v>-3.0283232</v>
      </c>
      <c r="D172" s="6">
        <v>-2.097642</v>
      </c>
      <c r="E172" t="s">
        <v>1126</v>
      </c>
      <c r="G172" t="s">
        <v>1124</v>
      </c>
    </row>
    <row r="173" spans="1:7">
      <c r="A173" t="s">
        <v>1127</v>
      </c>
      <c r="B173" s="6"/>
      <c r="C173" s="6"/>
      <c r="D173" s="6">
        <v>-2.6103844999999999</v>
      </c>
      <c r="E173" t="s">
        <v>1128</v>
      </c>
      <c r="F173" t="s">
        <v>627</v>
      </c>
      <c r="G173" t="s">
        <v>1129</v>
      </c>
    </row>
    <row r="174" spans="1:7">
      <c r="A174" t="s">
        <v>1130</v>
      </c>
      <c r="B174" s="6"/>
      <c r="C174" s="6"/>
      <c r="D174" s="6">
        <v>-2.962853</v>
      </c>
      <c r="E174" t="s">
        <v>1128</v>
      </c>
      <c r="F174" t="s">
        <v>687</v>
      </c>
      <c r="G174" t="s">
        <v>1131</v>
      </c>
    </row>
    <row r="175" spans="1:7">
      <c r="A175" t="s">
        <v>1132</v>
      </c>
      <c r="B175" s="6"/>
      <c r="C175" s="6"/>
      <c r="D175" s="6">
        <v>-2.6101637000000002</v>
      </c>
      <c r="E175" t="s">
        <v>1128</v>
      </c>
      <c r="F175" t="s">
        <v>687</v>
      </c>
      <c r="G175" t="s">
        <v>1131</v>
      </c>
    </row>
    <row r="176" spans="1:7">
      <c r="A176" t="s">
        <v>1139</v>
      </c>
      <c r="B176" s="6"/>
      <c r="C176" s="6"/>
      <c r="D176" s="6">
        <v>-3.6278736999999999</v>
      </c>
      <c r="E176" t="s">
        <v>1140</v>
      </c>
    </row>
    <row r="177" spans="1:8">
      <c r="A177" t="s">
        <v>1146</v>
      </c>
      <c r="B177" s="6"/>
      <c r="C177" s="6"/>
      <c r="D177" s="6">
        <v>-2.0150212999999999</v>
      </c>
      <c r="E177" t="s">
        <v>1147</v>
      </c>
      <c r="F177" t="s">
        <v>873</v>
      </c>
      <c r="G177" t="s">
        <v>1148</v>
      </c>
    </row>
    <row r="178" spans="1:8">
      <c r="A178" t="s">
        <v>1149</v>
      </c>
      <c r="B178" s="6"/>
      <c r="C178" s="6"/>
      <c r="D178" s="6">
        <v>-4.3764124000000004</v>
      </c>
      <c r="E178" t="s">
        <v>1147</v>
      </c>
      <c r="F178" t="s">
        <v>627</v>
      </c>
      <c r="G178" t="s">
        <v>1150</v>
      </c>
    </row>
    <row r="179" spans="1:8">
      <c r="A179" t="s">
        <v>1151</v>
      </c>
      <c r="B179" s="6"/>
      <c r="C179" s="6"/>
      <c r="D179" s="6">
        <v>-2.8510737000000002</v>
      </c>
      <c r="E179" t="s">
        <v>1147</v>
      </c>
      <c r="F179" t="s">
        <v>873</v>
      </c>
      <c r="G179" t="s">
        <v>1152</v>
      </c>
    </row>
    <row r="180" spans="1:8">
      <c r="A180" t="s">
        <v>1153</v>
      </c>
      <c r="B180" s="6">
        <v>-2.0346959999999998</v>
      </c>
      <c r="C180" s="6">
        <v>-3.1606855</v>
      </c>
      <c r="D180" s="6">
        <v>-3.8481507000000001</v>
      </c>
      <c r="E180" t="s">
        <v>1147</v>
      </c>
      <c r="F180" t="s">
        <v>873</v>
      </c>
      <c r="G180" t="s">
        <v>1154</v>
      </c>
    </row>
    <row r="181" spans="1:8">
      <c r="A181" t="s">
        <v>1155</v>
      </c>
      <c r="B181" s="6"/>
      <c r="C181" s="6"/>
      <c r="D181" s="6">
        <v>-2.5942091999999999</v>
      </c>
      <c r="E181" t="s">
        <v>1147</v>
      </c>
      <c r="F181" t="s">
        <v>627</v>
      </c>
      <c r="G181" t="s">
        <v>1156</v>
      </c>
      <c r="H181" t="s">
        <v>1157</v>
      </c>
    </row>
    <row r="182" spans="1:8">
      <c r="A182" t="s">
        <v>1158</v>
      </c>
      <c r="B182" s="6"/>
      <c r="C182" s="6"/>
      <c r="D182" s="6">
        <v>-3.4910874000000001</v>
      </c>
      <c r="E182" t="s">
        <v>1147</v>
      </c>
      <c r="F182" t="s">
        <v>873</v>
      </c>
      <c r="G182" t="s">
        <v>1159</v>
      </c>
    </row>
    <row r="183" spans="1:8">
      <c r="A183" t="s">
        <v>1162</v>
      </c>
      <c r="B183" s="6">
        <v>-4.9078350000000004</v>
      </c>
      <c r="C183" s="6">
        <v>-5.7239760000000004</v>
      </c>
      <c r="D183" s="6">
        <v>-6.1646609999999997</v>
      </c>
      <c r="E183" t="s">
        <v>1163</v>
      </c>
      <c r="F183" t="s">
        <v>1164</v>
      </c>
      <c r="G183" t="s">
        <v>1165</v>
      </c>
    </row>
    <row r="184" spans="1:8">
      <c r="A184" t="s">
        <v>1166</v>
      </c>
      <c r="B184" s="6"/>
      <c r="C184" s="6"/>
      <c r="D184" s="6">
        <v>-2.0391154</v>
      </c>
      <c r="E184" t="s">
        <v>1167</v>
      </c>
    </row>
    <row r="185" spans="1:8">
      <c r="A185" t="s">
        <v>1168</v>
      </c>
      <c r="B185" s="6">
        <v>-5.4354620000000002</v>
      </c>
      <c r="C185" s="6">
        <v>-6.5984850000000002</v>
      </c>
      <c r="D185" s="6">
        <v>-4.0098010000000004</v>
      </c>
      <c r="E185" t="s">
        <v>1169</v>
      </c>
      <c r="F185" t="s">
        <v>655</v>
      </c>
      <c r="G185" t="s">
        <v>1170</v>
      </c>
    </row>
    <row r="186" spans="1:8">
      <c r="A186" t="s">
        <v>1171</v>
      </c>
      <c r="B186" s="6">
        <v>-4.1745042999999997</v>
      </c>
      <c r="C186" s="6">
        <v>-4.4939631999999996</v>
      </c>
      <c r="D186" s="6"/>
      <c r="E186" t="s">
        <v>1169</v>
      </c>
      <c r="F186" t="s">
        <v>655</v>
      </c>
      <c r="G186" t="s">
        <v>1170</v>
      </c>
    </row>
    <row r="187" spans="1:8">
      <c r="A187" t="s">
        <v>1176</v>
      </c>
      <c r="B187" s="6"/>
      <c r="C187" s="6"/>
      <c r="D187" s="6">
        <v>-3.2085957999999999</v>
      </c>
      <c r="E187" t="s">
        <v>1177</v>
      </c>
      <c r="F187" t="s">
        <v>1178</v>
      </c>
      <c r="G187" t="s">
        <v>1179</v>
      </c>
    </row>
    <row r="188" spans="1:8">
      <c r="A188" t="s">
        <v>1183</v>
      </c>
      <c r="B188" s="6"/>
      <c r="C188" s="6"/>
      <c r="D188" s="6">
        <v>-2.1795464</v>
      </c>
      <c r="E188" t="s">
        <v>1184</v>
      </c>
      <c r="F188" t="s">
        <v>1185</v>
      </c>
      <c r="G188" t="s">
        <v>1186</v>
      </c>
    </row>
    <row r="189" spans="1:8">
      <c r="A189" t="s">
        <v>541</v>
      </c>
      <c r="B189" s="6">
        <v>-4.4304456999999999</v>
      </c>
      <c r="C189" s="6">
        <v>-4.0965775999999998</v>
      </c>
      <c r="D189" s="6">
        <v>-5.2071877000000004</v>
      </c>
      <c r="E189" t="s">
        <v>1184</v>
      </c>
      <c r="F189" t="s">
        <v>1185</v>
      </c>
      <c r="G189" t="s">
        <v>1186</v>
      </c>
    </row>
    <row r="190" spans="1:8">
      <c r="A190" t="s">
        <v>1189</v>
      </c>
      <c r="B190" s="6">
        <v>-2.5623716999999999</v>
      </c>
      <c r="C190" s="6">
        <v>-3.2943435000000001</v>
      </c>
      <c r="D190" s="6">
        <v>-3.3013682000000002</v>
      </c>
      <c r="E190" t="s">
        <v>1184</v>
      </c>
      <c r="F190" t="s">
        <v>1185</v>
      </c>
      <c r="G190" t="s">
        <v>1186</v>
      </c>
    </row>
    <row r="191" spans="1:8">
      <c r="A191" t="s">
        <v>1194</v>
      </c>
      <c r="B191" s="6">
        <v>-2.5674486000000001</v>
      </c>
      <c r="C191" s="6">
        <v>-3.3197421999999999</v>
      </c>
      <c r="D191" s="6"/>
      <c r="E191" t="s">
        <v>1184</v>
      </c>
      <c r="F191" t="s">
        <v>1185</v>
      </c>
      <c r="G191" t="s">
        <v>1186</v>
      </c>
    </row>
    <row r="192" spans="1:8">
      <c r="A192" t="s">
        <v>1187</v>
      </c>
      <c r="B192" s="6"/>
      <c r="C192" s="6">
        <v>-2.310505</v>
      </c>
      <c r="D192" s="6"/>
      <c r="E192" t="s">
        <v>1184</v>
      </c>
      <c r="F192" t="s">
        <v>1185</v>
      </c>
      <c r="G192" t="s">
        <v>1186</v>
      </c>
    </row>
    <row r="193" spans="1:7">
      <c r="A193" t="s">
        <v>1188</v>
      </c>
      <c r="B193" s="6"/>
      <c r="C193" s="6"/>
      <c r="D193" s="6">
        <v>-2.3352450999999999</v>
      </c>
      <c r="E193" t="s">
        <v>1184</v>
      </c>
      <c r="F193" t="s">
        <v>1185</v>
      </c>
      <c r="G193" t="s">
        <v>1186</v>
      </c>
    </row>
    <row r="194" spans="1:7">
      <c r="A194" t="s">
        <v>1190</v>
      </c>
      <c r="B194" s="6"/>
      <c r="C194" s="6">
        <v>-2.8623953000000002</v>
      </c>
      <c r="D194" s="6">
        <v>-2.8446088</v>
      </c>
      <c r="E194" t="s">
        <v>1184</v>
      </c>
      <c r="F194" t="s">
        <v>1185</v>
      </c>
      <c r="G194" t="s">
        <v>1186</v>
      </c>
    </row>
    <row r="195" spans="1:7">
      <c r="A195" t="s">
        <v>1191</v>
      </c>
      <c r="B195" s="6"/>
      <c r="C195" s="6"/>
      <c r="D195" s="6">
        <v>-2.4169436000000002</v>
      </c>
      <c r="E195" t="s">
        <v>1184</v>
      </c>
      <c r="F195" t="s">
        <v>1185</v>
      </c>
      <c r="G195" t="s">
        <v>1186</v>
      </c>
    </row>
    <row r="196" spans="1:7">
      <c r="A196" t="s">
        <v>1192</v>
      </c>
      <c r="B196" s="6"/>
      <c r="C196" s="6"/>
      <c r="D196" s="6">
        <v>-2.0335903000000002</v>
      </c>
      <c r="E196" t="s">
        <v>1184</v>
      </c>
      <c r="F196" t="s">
        <v>1185</v>
      </c>
      <c r="G196" t="s">
        <v>1186</v>
      </c>
    </row>
    <row r="197" spans="1:7">
      <c r="A197" t="s">
        <v>1193</v>
      </c>
      <c r="B197" s="6"/>
      <c r="C197" s="6"/>
      <c r="D197" s="6">
        <v>-2.5330940000000002</v>
      </c>
      <c r="E197" t="s">
        <v>1184</v>
      </c>
      <c r="F197" t="s">
        <v>1185</v>
      </c>
      <c r="G197" t="s">
        <v>1186</v>
      </c>
    </row>
    <row r="198" spans="1:7">
      <c r="A198" t="s">
        <v>1195</v>
      </c>
      <c r="B198" s="6"/>
      <c r="C198" s="6">
        <v>-2.8553405000000001</v>
      </c>
      <c r="D198" s="6">
        <v>-2.1008306000000001</v>
      </c>
      <c r="E198" t="s">
        <v>1196</v>
      </c>
    </row>
    <row r="199" spans="1:7">
      <c r="A199" t="s">
        <v>1197</v>
      </c>
      <c r="B199" s="6"/>
      <c r="C199" s="6"/>
      <c r="D199" s="6">
        <v>-2.0025271999999998</v>
      </c>
      <c r="E199" t="s">
        <v>1200</v>
      </c>
      <c r="F199" t="s">
        <v>591</v>
      </c>
      <c r="G199" t="s">
        <v>1201</v>
      </c>
    </row>
    <row r="200" spans="1:7">
      <c r="A200" t="s">
        <v>1205</v>
      </c>
      <c r="B200" s="6"/>
      <c r="C200" s="6"/>
      <c r="D200" s="6">
        <v>-2.0377377999999999</v>
      </c>
      <c r="E200" t="s">
        <v>1206</v>
      </c>
      <c r="F200" t="s">
        <v>869</v>
      </c>
      <c r="G200" t="s">
        <v>1207</v>
      </c>
    </row>
    <row r="201" spans="1:7">
      <c r="A201" t="s">
        <v>1217</v>
      </c>
      <c r="B201" s="6"/>
      <c r="C201" s="6"/>
      <c r="D201" s="6">
        <v>-2.9746766</v>
      </c>
      <c r="E201" t="s">
        <v>1218</v>
      </c>
      <c r="F201" t="s">
        <v>1219</v>
      </c>
      <c r="G201" t="s">
        <v>1220</v>
      </c>
    </row>
    <row r="202" spans="1:7">
      <c r="A202" t="s">
        <v>1221</v>
      </c>
      <c r="B202" s="6"/>
      <c r="C202" s="6"/>
      <c r="D202" s="6">
        <v>-2.3917250000000001</v>
      </c>
      <c r="E202" t="s">
        <v>1222</v>
      </c>
      <c r="F202" t="s">
        <v>751</v>
      </c>
      <c r="G202" t="s">
        <v>1223</v>
      </c>
    </row>
    <row r="203" spans="1:7">
      <c r="A203" t="s">
        <v>1224</v>
      </c>
      <c r="B203" s="6"/>
      <c r="C203" s="6"/>
      <c r="D203" s="6">
        <v>-4.6515117000000004</v>
      </c>
      <c r="E203" t="s">
        <v>1222</v>
      </c>
      <c r="F203" t="s">
        <v>1225</v>
      </c>
      <c r="G203" t="s">
        <v>1226</v>
      </c>
    </row>
    <row r="204" spans="1:7">
      <c r="A204" t="s">
        <v>1227</v>
      </c>
      <c r="B204" s="6"/>
      <c r="C204" s="6">
        <v>-2.6059855999999999</v>
      </c>
      <c r="D204" s="6">
        <v>-4.0988319999999998</v>
      </c>
      <c r="E204" t="s">
        <v>1222</v>
      </c>
      <c r="F204" t="s">
        <v>1225</v>
      </c>
      <c r="G204" t="s">
        <v>1228</v>
      </c>
    </row>
    <row r="205" spans="1:7">
      <c r="A205" t="s">
        <v>1229</v>
      </c>
      <c r="B205" s="6"/>
      <c r="C205" s="6"/>
      <c r="D205" s="6">
        <v>-5.8523053999999997</v>
      </c>
      <c r="E205" t="s">
        <v>1222</v>
      </c>
      <c r="F205" t="s">
        <v>1225</v>
      </c>
      <c r="G205" t="s">
        <v>1226</v>
      </c>
    </row>
    <row r="206" spans="1:7">
      <c r="A206" t="s">
        <v>1230</v>
      </c>
      <c r="B206" s="6"/>
      <c r="C206" s="6"/>
      <c r="D206" s="6">
        <v>-2.1292119999999999</v>
      </c>
      <c r="E206" t="s">
        <v>1222</v>
      </c>
      <c r="F206" t="s">
        <v>751</v>
      </c>
      <c r="G206" t="s">
        <v>1231</v>
      </c>
    </row>
    <row r="207" spans="1:7">
      <c r="A207" t="s">
        <v>1232</v>
      </c>
      <c r="B207" s="6"/>
      <c r="C207" s="6"/>
      <c r="D207" s="6">
        <v>-2.3561580000000002</v>
      </c>
      <c r="E207" t="s">
        <v>1233</v>
      </c>
    </row>
    <row r="208" spans="1:7">
      <c r="A208" t="s">
        <v>1234</v>
      </c>
      <c r="B208" s="6">
        <v>-3.2242991999999999</v>
      </c>
      <c r="C208" s="6">
        <v>-3.4591148</v>
      </c>
      <c r="D208" s="6">
        <v>-3.8600775999999999</v>
      </c>
      <c r="E208" t="s">
        <v>1233</v>
      </c>
    </row>
    <row r="209" spans="1:7">
      <c r="A209" t="s">
        <v>1237</v>
      </c>
      <c r="B209" s="6"/>
      <c r="C209" s="6"/>
      <c r="D209" s="6">
        <v>-2.4493592</v>
      </c>
      <c r="E209" t="s">
        <v>1238</v>
      </c>
      <c r="F209" t="s">
        <v>1239</v>
      </c>
      <c r="G209" t="s">
        <v>1240</v>
      </c>
    </row>
    <row r="210" spans="1:7">
      <c r="A210" t="s">
        <v>1242</v>
      </c>
      <c r="B210" s="6"/>
      <c r="C210" s="6">
        <v>-2.6446602000000001</v>
      </c>
      <c r="D210" s="6"/>
      <c r="E210" t="s">
        <v>1238</v>
      </c>
      <c r="F210" t="s">
        <v>1239</v>
      </c>
      <c r="G210" t="s">
        <v>1240</v>
      </c>
    </row>
    <row r="211" spans="1:7">
      <c r="A211" t="s">
        <v>1243</v>
      </c>
      <c r="B211" s="6"/>
      <c r="C211" s="6"/>
      <c r="D211" s="6">
        <v>-2.4737803999999999</v>
      </c>
      <c r="E211" t="s">
        <v>1244</v>
      </c>
      <c r="F211" t="s">
        <v>1239</v>
      </c>
      <c r="G211" t="s">
        <v>1240</v>
      </c>
    </row>
    <row r="212" spans="1:7">
      <c r="A212" t="s">
        <v>1245</v>
      </c>
      <c r="B212" s="6"/>
      <c r="C212" s="6"/>
      <c r="D212" s="6">
        <v>-2.5767622000000001</v>
      </c>
      <c r="E212" t="s">
        <v>1246</v>
      </c>
      <c r="G212" t="s">
        <v>1247</v>
      </c>
    </row>
    <row r="213" spans="1:7">
      <c r="A213" t="s">
        <v>1248</v>
      </c>
      <c r="B213" s="6"/>
      <c r="C213" s="6">
        <v>-3.3353448000000001</v>
      </c>
      <c r="D213" s="6"/>
      <c r="E213" t="s">
        <v>1246</v>
      </c>
      <c r="G213" t="s">
        <v>1247</v>
      </c>
    </row>
    <row r="214" spans="1:7">
      <c r="A214" t="s">
        <v>1249</v>
      </c>
      <c r="B214" s="6">
        <v>-3.0358567000000001</v>
      </c>
      <c r="C214" s="6">
        <v>-3.4994044</v>
      </c>
      <c r="D214" s="6"/>
      <c r="E214" t="s">
        <v>1246</v>
      </c>
      <c r="F214" t="s">
        <v>1239</v>
      </c>
      <c r="G214" t="s">
        <v>1247</v>
      </c>
    </row>
    <row r="215" spans="1:7">
      <c r="A215" t="s">
        <v>1250</v>
      </c>
      <c r="B215" s="6">
        <v>-2.3265745999999998</v>
      </c>
      <c r="C215" s="6">
        <v>-2.6599075999999999</v>
      </c>
      <c r="D215" s="6"/>
      <c r="E215" t="s">
        <v>1251</v>
      </c>
      <c r="F215" t="s">
        <v>1239</v>
      </c>
      <c r="G215" t="s">
        <v>1252</v>
      </c>
    </row>
    <row r="216" spans="1:7">
      <c r="A216" t="s">
        <v>1253</v>
      </c>
      <c r="B216" s="6"/>
      <c r="C216" s="6"/>
      <c r="D216" s="6">
        <v>-3.4285846000000002</v>
      </c>
      <c r="E216" t="s">
        <v>1251</v>
      </c>
      <c r="F216" t="s">
        <v>1239</v>
      </c>
      <c r="G216" t="s">
        <v>1252</v>
      </c>
    </row>
    <row r="217" spans="1:7">
      <c r="A217" t="s">
        <v>1254</v>
      </c>
      <c r="B217" s="6"/>
      <c r="C217" s="6"/>
      <c r="D217" s="6">
        <v>-2.0951743</v>
      </c>
      <c r="E217" t="s">
        <v>1251</v>
      </c>
      <c r="F217" t="s">
        <v>1239</v>
      </c>
      <c r="G217" t="s">
        <v>1252</v>
      </c>
    </row>
    <row r="218" spans="1:7">
      <c r="A218" t="s">
        <v>1261</v>
      </c>
      <c r="B218" s="6"/>
      <c r="C218" s="6"/>
      <c r="D218" s="6">
        <v>-2.1023692999999999</v>
      </c>
      <c r="E218" t="s">
        <v>1256</v>
      </c>
      <c r="F218" t="s">
        <v>1257</v>
      </c>
      <c r="G218" t="s">
        <v>1258</v>
      </c>
    </row>
    <row r="219" spans="1:7">
      <c r="A219" t="s">
        <v>1262</v>
      </c>
      <c r="B219" s="6"/>
      <c r="C219" s="6"/>
      <c r="D219" s="6">
        <v>-2.0977926</v>
      </c>
      <c r="E219" t="s">
        <v>1256</v>
      </c>
      <c r="F219" t="s">
        <v>1257</v>
      </c>
      <c r="G219" t="s">
        <v>1258</v>
      </c>
    </row>
    <row r="220" spans="1:7">
      <c r="A220" t="s">
        <v>1263</v>
      </c>
      <c r="B220" s="6"/>
      <c r="C220" s="6"/>
      <c r="D220" s="6">
        <v>-3.0363183</v>
      </c>
      <c r="E220" t="s">
        <v>1256</v>
      </c>
      <c r="F220" t="s">
        <v>1264</v>
      </c>
      <c r="G220" t="s">
        <v>1247</v>
      </c>
    </row>
    <row r="221" spans="1:7">
      <c r="A221" t="s">
        <v>1265</v>
      </c>
      <c r="B221" s="6"/>
      <c r="C221" s="6"/>
      <c r="D221" s="6">
        <v>-3.0489739999999999</v>
      </c>
      <c r="E221" t="s">
        <v>1256</v>
      </c>
      <c r="F221" t="s">
        <v>1264</v>
      </c>
      <c r="G221" t="s">
        <v>1247</v>
      </c>
    </row>
    <row r="222" spans="1:7">
      <c r="A222" t="s">
        <v>1266</v>
      </c>
      <c r="B222" s="6"/>
      <c r="C222" s="6"/>
      <c r="D222" s="6">
        <v>-2.4497867000000002</v>
      </c>
      <c r="E222" t="s">
        <v>1256</v>
      </c>
      <c r="F222" t="s">
        <v>1257</v>
      </c>
      <c r="G222" t="s">
        <v>1258</v>
      </c>
    </row>
    <row r="223" spans="1:7">
      <c r="A223" t="s">
        <v>1267</v>
      </c>
      <c r="B223" s="6"/>
      <c r="C223" s="6"/>
      <c r="D223" s="6">
        <v>-2.2732382000000002</v>
      </c>
      <c r="E223" t="s">
        <v>1256</v>
      </c>
      <c r="F223" t="s">
        <v>1257</v>
      </c>
      <c r="G223" t="s">
        <v>1258</v>
      </c>
    </row>
    <row r="224" spans="1:7">
      <c r="A224" t="s">
        <v>1268</v>
      </c>
      <c r="B224" s="6"/>
      <c r="C224" s="6"/>
      <c r="D224" s="6">
        <v>-2.689673</v>
      </c>
      <c r="E224" t="s">
        <v>1256</v>
      </c>
      <c r="F224" t="s">
        <v>1257</v>
      </c>
      <c r="G224" t="s">
        <v>1258</v>
      </c>
    </row>
    <row r="225" spans="1:7">
      <c r="A225" t="s">
        <v>1269</v>
      </c>
      <c r="B225" s="6"/>
      <c r="C225" s="6"/>
      <c r="D225" s="6">
        <v>-2.8196734999999999</v>
      </c>
      <c r="E225" t="s">
        <v>1256</v>
      </c>
      <c r="F225" t="s">
        <v>1257</v>
      </c>
      <c r="G225" t="s">
        <v>1258</v>
      </c>
    </row>
    <row r="226" spans="1:7">
      <c r="A226" t="s">
        <v>1270</v>
      </c>
      <c r="B226" s="6">
        <v>-2.3414378</v>
      </c>
      <c r="C226" s="6">
        <v>-2.8026233</v>
      </c>
      <c r="D226" s="6"/>
      <c r="E226" t="s">
        <v>1256</v>
      </c>
      <c r="F226" t="s">
        <v>1257</v>
      </c>
      <c r="G226" t="s">
        <v>1258</v>
      </c>
    </row>
    <row r="227" spans="1:7">
      <c r="A227" t="s">
        <v>1275</v>
      </c>
      <c r="B227" s="6"/>
      <c r="C227" s="6"/>
      <c r="D227" s="6">
        <v>-2.134954</v>
      </c>
      <c r="E227" t="s">
        <v>1256</v>
      </c>
      <c r="F227" t="s">
        <v>1257</v>
      </c>
      <c r="G227" t="s">
        <v>1258</v>
      </c>
    </row>
    <row r="228" spans="1:7">
      <c r="A228" t="s">
        <v>1276</v>
      </c>
      <c r="B228" s="6"/>
      <c r="C228" s="6"/>
      <c r="D228" s="6">
        <v>-4.4664859999999997</v>
      </c>
      <c r="E228" t="s">
        <v>1256</v>
      </c>
      <c r="F228" t="s">
        <v>1257</v>
      </c>
      <c r="G228" t="s">
        <v>1258</v>
      </c>
    </row>
    <row r="229" spans="1:7">
      <c r="A229" t="s">
        <v>1277</v>
      </c>
      <c r="B229" s="6"/>
      <c r="C229" s="6"/>
      <c r="D229" s="6">
        <v>-2.1095586000000002</v>
      </c>
      <c r="E229" t="s">
        <v>1256</v>
      </c>
      <c r="F229" t="s">
        <v>1257</v>
      </c>
      <c r="G229" t="s">
        <v>1258</v>
      </c>
    </row>
    <row r="230" spans="1:7">
      <c r="A230" t="s">
        <v>1279</v>
      </c>
      <c r="B230" s="6"/>
      <c r="C230" s="6"/>
      <c r="D230" s="6">
        <v>-2.4119459999999999</v>
      </c>
      <c r="E230" t="s">
        <v>1256</v>
      </c>
      <c r="F230" t="s">
        <v>1257</v>
      </c>
      <c r="G230" t="s">
        <v>1258</v>
      </c>
    </row>
    <row r="231" spans="1:7">
      <c r="A231" t="s">
        <v>1281</v>
      </c>
      <c r="B231" s="6"/>
      <c r="C231" s="6"/>
      <c r="D231" s="6">
        <v>-2.1620898</v>
      </c>
      <c r="E231" t="s">
        <v>1256</v>
      </c>
      <c r="F231" t="s">
        <v>1264</v>
      </c>
    </row>
    <row r="232" spans="1:7">
      <c r="A232" t="s">
        <v>1282</v>
      </c>
      <c r="B232" s="6"/>
      <c r="C232" s="6"/>
      <c r="D232" s="6">
        <v>-6.2922453999999997</v>
      </c>
      <c r="E232" t="s">
        <v>1256</v>
      </c>
      <c r="F232" t="s">
        <v>1257</v>
      </c>
      <c r="G232" t="s">
        <v>1258</v>
      </c>
    </row>
    <row r="233" spans="1:7">
      <c r="A233" t="s">
        <v>1284</v>
      </c>
      <c r="B233" s="6"/>
      <c r="C233" s="6"/>
      <c r="D233" s="6">
        <v>-2.0524209999999998</v>
      </c>
      <c r="E233" t="s">
        <v>1256</v>
      </c>
      <c r="F233" t="s">
        <v>1257</v>
      </c>
      <c r="G233" t="s">
        <v>1258</v>
      </c>
    </row>
    <row r="234" spans="1:7">
      <c r="A234" t="s">
        <v>1285</v>
      </c>
      <c r="B234" s="6"/>
      <c r="C234" s="6">
        <v>-2.4330888000000002</v>
      </c>
      <c r="D234" s="6"/>
      <c r="E234" t="s">
        <v>1256</v>
      </c>
      <c r="F234" t="s">
        <v>1257</v>
      </c>
      <c r="G234" t="s">
        <v>1258</v>
      </c>
    </row>
    <row r="235" spans="1:7">
      <c r="A235" t="s">
        <v>1287</v>
      </c>
      <c r="B235" s="6"/>
      <c r="C235" s="6"/>
      <c r="D235" s="6">
        <v>-2.0002958999999998</v>
      </c>
      <c r="E235" t="s">
        <v>1288</v>
      </c>
    </row>
    <row r="236" spans="1:7">
      <c r="A236" t="s">
        <v>1289</v>
      </c>
      <c r="B236" s="6">
        <v>-2.1253939000000002</v>
      </c>
      <c r="C236" s="6">
        <v>-2.1081333</v>
      </c>
      <c r="D236" s="6">
        <v>-2.9050015999999999</v>
      </c>
      <c r="E236" t="s">
        <v>1290</v>
      </c>
    </row>
    <row r="237" spans="1:7">
      <c r="A237" t="s">
        <v>1291</v>
      </c>
      <c r="B237" s="6"/>
      <c r="C237" s="6"/>
      <c r="D237" s="6">
        <v>-2.41778</v>
      </c>
      <c r="E237" t="s">
        <v>1292</v>
      </c>
      <c r="F237" t="s">
        <v>591</v>
      </c>
      <c r="G237" t="s">
        <v>1293</v>
      </c>
    </row>
    <row r="238" spans="1:7">
      <c r="A238" t="s">
        <v>1294</v>
      </c>
      <c r="B238" s="6"/>
      <c r="C238" s="6">
        <v>-2.0043855000000002</v>
      </c>
      <c r="D238" s="6">
        <v>-2.8835092000000002</v>
      </c>
      <c r="E238" t="s">
        <v>1292</v>
      </c>
      <c r="F238" t="s">
        <v>591</v>
      </c>
      <c r="G238" t="s">
        <v>1293</v>
      </c>
    </row>
    <row r="239" spans="1:7">
      <c r="A239" t="s">
        <v>1295</v>
      </c>
      <c r="B239" s="6"/>
      <c r="C239" s="6"/>
      <c r="D239" s="6">
        <v>-2.5649294999999999</v>
      </c>
      <c r="E239" t="s">
        <v>1292</v>
      </c>
      <c r="F239" t="s">
        <v>591</v>
      </c>
      <c r="G239" t="s">
        <v>1293</v>
      </c>
    </row>
    <row r="240" spans="1:7">
      <c r="A240" t="s">
        <v>1296</v>
      </c>
      <c r="B240" s="6"/>
      <c r="C240" s="6"/>
      <c r="D240" s="6">
        <v>-2.722763</v>
      </c>
      <c r="E240" t="s">
        <v>1297</v>
      </c>
      <c r="F240" t="s">
        <v>1298</v>
      </c>
      <c r="G240" t="s">
        <v>1299</v>
      </c>
    </row>
    <row r="241" spans="1:7">
      <c r="A241" t="s">
        <v>1300</v>
      </c>
      <c r="B241" s="6"/>
      <c r="C241" s="6">
        <v>-2.3249496999999999</v>
      </c>
      <c r="D241" s="6">
        <v>-4.5839933999999998</v>
      </c>
      <c r="E241" t="s">
        <v>1301</v>
      </c>
      <c r="F241" t="s">
        <v>1302</v>
      </c>
      <c r="G241" t="s">
        <v>1303</v>
      </c>
    </row>
    <row r="242" spans="1:7">
      <c r="A242" t="s">
        <v>1311</v>
      </c>
      <c r="B242" s="6"/>
      <c r="C242" s="6"/>
      <c r="D242" s="6">
        <v>-2.3707246999999998</v>
      </c>
      <c r="E242" t="s">
        <v>1312</v>
      </c>
      <c r="F242" t="s">
        <v>1313</v>
      </c>
      <c r="G242" t="s">
        <v>1314</v>
      </c>
    </row>
    <row r="243" spans="1:7">
      <c r="A243" t="s">
        <v>1315</v>
      </c>
      <c r="B243" s="6"/>
      <c r="C243" s="6"/>
      <c r="D243" s="6">
        <v>-2.67245</v>
      </c>
      <c r="E243" t="s">
        <v>1312</v>
      </c>
      <c r="F243" t="s">
        <v>1313</v>
      </c>
      <c r="G243" t="s">
        <v>1314</v>
      </c>
    </row>
    <row r="244" spans="1:7">
      <c r="A244" t="s">
        <v>1316</v>
      </c>
      <c r="B244" s="6"/>
      <c r="C244" s="6"/>
      <c r="D244" s="6">
        <v>-4.5162106</v>
      </c>
      <c r="E244" t="s">
        <v>1317</v>
      </c>
      <c r="F244" t="s">
        <v>815</v>
      </c>
      <c r="G244" t="s">
        <v>1318</v>
      </c>
    </row>
    <row r="245" spans="1:7">
      <c r="A245" t="s">
        <v>544</v>
      </c>
      <c r="B245" s="6">
        <v>-4.6391315000000004</v>
      </c>
      <c r="C245" s="6">
        <v>-4.5544976999999998</v>
      </c>
      <c r="D245" s="6">
        <v>-5.0727662999999996</v>
      </c>
      <c r="E245" t="s">
        <v>138</v>
      </c>
      <c r="F245" t="s">
        <v>545</v>
      </c>
      <c r="G245" t="s">
        <v>546</v>
      </c>
    </row>
    <row r="246" spans="1:7">
      <c r="A246" t="s">
        <v>1322</v>
      </c>
      <c r="B246" s="6"/>
      <c r="C246" s="6"/>
      <c r="D246" s="6">
        <v>-2.5181304999999998</v>
      </c>
      <c r="E246" t="s">
        <v>1323</v>
      </c>
      <c r="F246" t="s">
        <v>655</v>
      </c>
      <c r="G246" t="s">
        <v>1324</v>
      </c>
    </row>
    <row r="247" spans="1:7">
      <c r="A247" t="s">
        <v>1325</v>
      </c>
      <c r="B247" s="6"/>
      <c r="C247" s="6"/>
      <c r="D247" s="6">
        <v>-3.9999410000000002</v>
      </c>
      <c r="E247" t="s">
        <v>1326</v>
      </c>
      <c r="F247" t="s">
        <v>1327</v>
      </c>
      <c r="G247" t="s">
        <v>1328</v>
      </c>
    </row>
    <row r="248" spans="1:7">
      <c r="A248" t="s">
        <v>1329</v>
      </c>
      <c r="B248" s="6"/>
      <c r="C248" s="6"/>
      <c r="D248" s="6">
        <v>-4.2270174000000003</v>
      </c>
      <c r="E248" t="s">
        <v>1330</v>
      </c>
    </row>
    <row r="249" spans="1:7">
      <c r="A249" t="s">
        <v>1331</v>
      </c>
      <c r="B249" s="6"/>
      <c r="C249" s="6"/>
      <c r="D249" s="6">
        <v>-3.3412761999999998</v>
      </c>
      <c r="E249" t="s">
        <v>1330</v>
      </c>
    </row>
    <row r="250" spans="1:7">
      <c r="A250" t="s">
        <v>1332</v>
      </c>
      <c r="B250" s="6"/>
      <c r="C250" s="6"/>
      <c r="D250" s="6">
        <v>-3.1950721999999998</v>
      </c>
      <c r="E250" t="s">
        <v>1330</v>
      </c>
    </row>
    <row r="251" spans="1:7">
      <c r="A251" t="s">
        <v>554</v>
      </c>
      <c r="B251" s="6"/>
      <c r="C251" s="6">
        <v>-2.7922482</v>
      </c>
      <c r="D251" s="6"/>
      <c r="E251" t="s">
        <v>146</v>
      </c>
      <c r="F251" t="s">
        <v>555</v>
      </c>
      <c r="G251" t="s">
        <v>556</v>
      </c>
    </row>
    <row r="252" spans="1:7">
      <c r="A252" t="s">
        <v>559</v>
      </c>
      <c r="B252" s="6"/>
      <c r="C252" s="6"/>
      <c r="D252" s="6">
        <v>-2.1503363000000002</v>
      </c>
      <c r="E252" t="s">
        <v>146</v>
      </c>
      <c r="F252" t="s">
        <v>555</v>
      </c>
      <c r="G252" t="s">
        <v>560</v>
      </c>
    </row>
    <row r="253" spans="1:7">
      <c r="A253" t="s">
        <v>575</v>
      </c>
      <c r="B253" s="6">
        <v>-2.5936149999999998</v>
      </c>
      <c r="C253" s="6">
        <v>-2.1378484000000002</v>
      </c>
      <c r="D253" s="6">
        <v>-3.3439945999999998</v>
      </c>
      <c r="E253" t="s">
        <v>146</v>
      </c>
      <c r="F253" t="s">
        <v>555</v>
      </c>
      <c r="G253" t="s">
        <v>556</v>
      </c>
    </row>
    <row r="254" spans="1:7">
      <c r="A254" t="s">
        <v>1338</v>
      </c>
      <c r="B254" s="6">
        <v>-3.1636142999999999</v>
      </c>
      <c r="C254" s="6">
        <v>-3.0810213000000002</v>
      </c>
      <c r="D254" s="6"/>
      <c r="E254" t="s">
        <v>1336</v>
      </c>
      <c r="F254" t="s">
        <v>1134</v>
      </c>
      <c r="G254" t="s">
        <v>1339</v>
      </c>
    </row>
    <row r="255" spans="1:7">
      <c r="A255" t="s">
        <v>1340</v>
      </c>
      <c r="B255" s="6"/>
      <c r="C255" s="6"/>
      <c r="D255" s="6">
        <v>-3.2844709999999999</v>
      </c>
      <c r="E255" t="s">
        <v>1341</v>
      </c>
      <c r="F255" t="s">
        <v>1342</v>
      </c>
      <c r="G255" t="s">
        <v>1343</v>
      </c>
    </row>
    <row r="256" spans="1:7">
      <c r="A256" t="s">
        <v>1344</v>
      </c>
      <c r="B256" s="6"/>
      <c r="C256" s="6">
        <v>-3.288036</v>
      </c>
      <c r="D256" s="6">
        <v>-4.6976212999999998</v>
      </c>
      <c r="E256" t="s">
        <v>1341</v>
      </c>
      <c r="F256" t="s">
        <v>1342</v>
      </c>
      <c r="G256" t="s">
        <v>1345</v>
      </c>
    </row>
    <row r="257" spans="1:7">
      <c r="A257" t="s">
        <v>1347</v>
      </c>
      <c r="B257" s="6"/>
      <c r="C257" s="6"/>
      <c r="D257" s="6">
        <v>-2.1663103000000001</v>
      </c>
      <c r="E257" t="s">
        <v>778</v>
      </c>
      <c r="G257" t="s">
        <v>777</v>
      </c>
    </row>
    <row r="258" spans="1:7">
      <c r="A258" t="s">
        <v>1354</v>
      </c>
      <c r="B258" s="6"/>
      <c r="C258" s="6"/>
      <c r="D258" s="6">
        <v>-2.0100756</v>
      </c>
      <c r="E258" t="s">
        <v>1351</v>
      </c>
      <c r="F258" t="s">
        <v>1355</v>
      </c>
      <c r="G258" t="s">
        <v>1356</v>
      </c>
    </row>
    <row r="259" spans="1:7">
      <c r="A259" t="s">
        <v>1357</v>
      </c>
      <c r="B259" s="6">
        <v>-2.9082623000000001</v>
      </c>
      <c r="C259" s="6">
        <v>-3.8720664999999999</v>
      </c>
      <c r="D259" s="6"/>
      <c r="E259" t="s">
        <v>1358</v>
      </c>
      <c r="F259" t="s">
        <v>815</v>
      </c>
      <c r="G259" t="s">
        <v>1359</v>
      </c>
    </row>
    <row r="260" spans="1:7">
      <c r="A260" t="s">
        <v>1360</v>
      </c>
      <c r="B260" s="6"/>
      <c r="C260" s="6"/>
      <c r="D260" s="6">
        <v>-2.1751518000000001</v>
      </c>
      <c r="E260" t="s">
        <v>1358</v>
      </c>
      <c r="F260" t="s">
        <v>815</v>
      </c>
      <c r="G260" t="s">
        <v>1361</v>
      </c>
    </row>
    <row r="261" spans="1:7">
      <c r="A261" t="s">
        <v>1362</v>
      </c>
      <c r="B261" s="6"/>
      <c r="C261" s="6">
        <v>-2.0742962</v>
      </c>
      <c r="D261" s="6">
        <v>-2.4508907999999998</v>
      </c>
      <c r="E261" t="s">
        <v>1358</v>
      </c>
      <c r="F261" t="s">
        <v>815</v>
      </c>
      <c r="G261" t="s">
        <v>1359</v>
      </c>
    </row>
    <row r="262" spans="1:7">
      <c r="A262" t="s">
        <v>1363</v>
      </c>
      <c r="B262" s="6"/>
      <c r="C262" s="6"/>
      <c r="D262" s="6">
        <v>-2.6049829</v>
      </c>
      <c r="E262" t="s">
        <v>1358</v>
      </c>
      <c r="F262" t="s">
        <v>815</v>
      </c>
      <c r="G262" t="s">
        <v>1361</v>
      </c>
    </row>
    <row r="263" spans="1:7">
      <c r="A263" t="s">
        <v>1364</v>
      </c>
      <c r="B263" s="6"/>
      <c r="C263" s="6"/>
      <c r="D263" s="6">
        <v>-3.8701498999999999</v>
      </c>
      <c r="E263" t="s">
        <v>1358</v>
      </c>
      <c r="F263" t="s">
        <v>815</v>
      </c>
      <c r="G263" t="s">
        <v>1361</v>
      </c>
    </row>
    <row r="264" spans="1:7">
      <c r="A264" t="s">
        <v>1365</v>
      </c>
      <c r="B264" s="6"/>
      <c r="C264" s="6">
        <v>-2.2868876</v>
      </c>
      <c r="D264" s="6">
        <v>-2.7112259999999999</v>
      </c>
      <c r="E264" t="s">
        <v>1358</v>
      </c>
      <c r="F264" t="s">
        <v>815</v>
      </c>
      <c r="G264" t="s">
        <v>1366</v>
      </c>
    </row>
    <row r="265" spans="1:7">
      <c r="A265" t="s">
        <v>1367</v>
      </c>
      <c r="B265" s="6"/>
      <c r="C265" s="6"/>
      <c r="D265" s="6">
        <v>-3.6635860999999998</v>
      </c>
      <c r="E265" t="s">
        <v>1358</v>
      </c>
      <c r="F265" t="s">
        <v>815</v>
      </c>
      <c r="G265" t="s">
        <v>1361</v>
      </c>
    </row>
    <row r="266" spans="1:7">
      <c r="A266" t="s">
        <v>1370</v>
      </c>
      <c r="B266" s="6"/>
      <c r="C266" s="6"/>
      <c r="D266" s="6">
        <v>-2.2721046999999999</v>
      </c>
      <c r="E266" t="s">
        <v>1358</v>
      </c>
      <c r="F266" t="s">
        <v>815</v>
      </c>
      <c r="G266" t="s">
        <v>1371</v>
      </c>
    </row>
    <row r="267" spans="1:7">
      <c r="A267" t="s">
        <v>1372</v>
      </c>
      <c r="B267" s="6"/>
      <c r="C267" s="6">
        <v>-2.9266239999999999</v>
      </c>
      <c r="D267" s="6">
        <v>-3.9918119999999999</v>
      </c>
      <c r="E267" t="s">
        <v>1358</v>
      </c>
      <c r="F267" t="s">
        <v>815</v>
      </c>
      <c r="G267" t="s">
        <v>1373</v>
      </c>
    </row>
    <row r="268" spans="1:7">
      <c r="A268" t="s">
        <v>1374</v>
      </c>
      <c r="B268" s="6"/>
      <c r="C268" s="6"/>
      <c r="D268" s="6">
        <v>-2.0081815999999999</v>
      </c>
      <c r="E268" t="s">
        <v>1358</v>
      </c>
      <c r="F268" t="s">
        <v>815</v>
      </c>
      <c r="G268" t="s">
        <v>1361</v>
      </c>
    </row>
    <row r="269" spans="1:7">
      <c r="A269" t="s">
        <v>1378</v>
      </c>
      <c r="B269" s="6"/>
      <c r="C269" s="6"/>
      <c r="D269" s="6">
        <v>-2.3712783000000002</v>
      </c>
      <c r="E269" t="s">
        <v>1379</v>
      </c>
    </row>
    <row r="270" spans="1:7">
      <c r="A270" t="s">
        <v>1384</v>
      </c>
      <c r="B270" s="6"/>
      <c r="C270" s="6"/>
      <c r="D270" s="6">
        <v>-2.013245</v>
      </c>
      <c r="E270" t="s">
        <v>1385</v>
      </c>
    </row>
    <row r="271" spans="1:7">
      <c r="A271" t="s">
        <v>1408</v>
      </c>
      <c r="B271" s="6"/>
      <c r="C271" s="6"/>
      <c r="D271" s="6">
        <v>-2.1996669999999998</v>
      </c>
      <c r="E271" t="s">
        <v>1409</v>
      </c>
      <c r="F271" t="s">
        <v>1410</v>
      </c>
      <c r="G271" t="s">
        <v>1411</v>
      </c>
    </row>
    <row r="272" spans="1:7">
      <c r="A272" t="s">
        <v>1412</v>
      </c>
      <c r="B272" s="6"/>
      <c r="C272" s="6">
        <v>-2.3433446999999998</v>
      </c>
      <c r="D272" s="6"/>
      <c r="E272" t="s">
        <v>1413</v>
      </c>
      <c r="F272" t="s">
        <v>604</v>
      </c>
    </row>
    <row r="273" spans="1:7">
      <c r="A273" t="s">
        <v>1421</v>
      </c>
      <c r="B273" s="6"/>
      <c r="C273" s="6"/>
      <c r="D273" s="6">
        <v>-2.7642798000000002</v>
      </c>
      <c r="E273" t="s">
        <v>1415</v>
      </c>
      <c r="F273" t="s">
        <v>604</v>
      </c>
      <c r="G273" t="s">
        <v>1419</v>
      </c>
    </row>
    <row r="274" spans="1:7">
      <c r="A274" t="s">
        <v>1422</v>
      </c>
      <c r="B274" s="6"/>
      <c r="C274" s="6">
        <v>-2.1976599999999999</v>
      </c>
      <c r="D274" s="6"/>
      <c r="E274" t="s">
        <v>1415</v>
      </c>
      <c r="F274" t="s">
        <v>1423</v>
      </c>
      <c r="G274" t="s">
        <v>1424</v>
      </c>
    </row>
    <row r="275" spans="1:7">
      <c r="A275" t="s">
        <v>1425</v>
      </c>
      <c r="B275" s="6"/>
      <c r="C275" s="6">
        <v>-2.0332880000000002</v>
      </c>
      <c r="D275" s="6"/>
      <c r="E275" t="s">
        <v>1415</v>
      </c>
      <c r="F275" t="s">
        <v>1423</v>
      </c>
      <c r="G275" t="s">
        <v>1424</v>
      </c>
    </row>
    <row r="276" spans="1:7">
      <c r="A276" t="s">
        <v>1426</v>
      </c>
      <c r="B276" s="6">
        <v>-2.2249498000000001</v>
      </c>
      <c r="C276" s="6">
        <v>-3.2083529999999998</v>
      </c>
      <c r="D276" s="6">
        <v>-3.9759893000000002</v>
      </c>
      <c r="E276" t="s">
        <v>1415</v>
      </c>
      <c r="F276" t="s">
        <v>1423</v>
      </c>
      <c r="G276" t="s">
        <v>1424</v>
      </c>
    </row>
    <row r="277" spans="1:7">
      <c r="A277" t="s">
        <v>1427</v>
      </c>
      <c r="B277" s="6">
        <v>-2.2034812000000001</v>
      </c>
      <c r="C277" s="6">
        <v>-3.1559978000000002</v>
      </c>
      <c r="D277" s="6">
        <v>-3.9249643999999999</v>
      </c>
      <c r="E277" t="s">
        <v>1415</v>
      </c>
      <c r="F277" t="s">
        <v>1423</v>
      </c>
      <c r="G277" t="s">
        <v>1424</v>
      </c>
    </row>
    <row r="278" spans="1:7">
      <c r="A278" t="s">
        <v>1434</v>
      </c>
      <c r="B278" s="6"/>
      <c r="C278" s="6"/>
      <c r="D278" s="6">
        <v>-2.9495719999999999</v>
      </c>
      <c r="E278" t="s">
        <v>1415</v>
      </c>
      <c r="F278" t="s">
        <v>604</v>
      </c>
      <c r="G278" t="s">
        <v>1419</v>
      </c>
    </row>
    <row r="279" spans="1:7">
      <c r="A279" t="s">
        <v>1438</v>
      </c>
      <c r="B279" s="6"/>
      <c r="C279" s="6"/>
      <c r="D279" s="6">
        <v>-2.2699851999999998</v>
      </c>
      <c r="E279" t="s">
        <v>1439</v>
      </c>
      <c r="F279" t="s">
        <v>0</v>
      </c>
      <c r="G279" t="s">
        <v>1</v>
      </c>
    </row>
    <row r="280" spans="1:7">
      <c r="A280" t="s">
        <v>5</v>
      </c>
      <c r="B280" s="6"/>
      <c r="C280" s="6"/>
      <c r="D280" s="6">
        <v>-2.5083098000000001</v>
      </c>
      <c r="E280" t="s">
        <v>6</v>
      </c>
    </row>
    <row r="281" spans="1:7">
      <c r="A281" t="s">
        <v>7</v>
      </c>
      <c r="B281" s="6"/>
      <c r="C281" s="6"/>
      <c r="D281" s="6">
        <v>-2.1371907999999999</v>
      </c>
      <c r="E281" t="s">
        <v>6</v>
      </c>
    </row>
    <row r="282" spans="1:7" ht="13.5" customHeight="1">
      <c r="A282" t="s">
        <v>8</v>
      </c>
      <c r="B282" s="6"/>
      <c r="C282" s="6"/>
      <c r="D282" s="6">
        <v>-2.0443478000000002</v>
      </c>
      <c r="E282" t="s">
        <v>9</v>
      </c>
      <c r="F282" t="s">
        <v>10</v>
      </c>
      <c r="G282" t="s">
        <v>11</v>
      </c>
    </row>
    <row r="283" spans="1:7">
      <c r="A283" t="s">
        <v>14</v>
      </c>
      <c r="B283" s="6"/>
      <c r="C283" s="6"/>
      <c r="D283" s="6">
        <v>-2.0960174</v>
      </c>
      <c r="E283" t="s">
        <v>15</v>
      </c>
    </row>
    <row r="284" spans="1:7">
      <c r="A284" t="s">
        <v>518</v>
      </c>
      <c r="B284" s="6"/>
      <c r="C284" s="6"/>
      <c r="D284" s="6">
        <v>-2.1915808000000001</v>
      </c>
      <c r="E284" t="s">
        <v>519</v>
      </c>
    </row>
    <row r="285" spans="1:7">
      <c r="A285" t="s">
        <v>520</v>
      </c>
      <c r="B285" s="6"/>
      <c r="C285" s="6"/>
      <c r="D285" s="6">
        <v>-2.0012235999999999</v>
      </c>
      <c r="E285" t="s">
        <v>519</v>
      </c>
    </row>
    <row r="286" spans="1:7">
      <c r="A286" t="s">
        <v>522</v>
      </c>
      <c r="B286" s="6"/>
      <c r="C286" s="6"/>
      <c r="D286" s="6">
        <v>-2.0703014999999998</v>
      </c>
      <c r="E286" t="s">
        <v>519</v>
      </c>
    </row>
    <row r="287" spans="1:7">
      <c r="A287" t="s">
        <v>523</v>
      </c>
      <c r="B287" s="6"/>
      <c r="C287" s="6"/>
      <c r="D287" s="6">
        <v>-4.1603764999999999</v>
      </c>
      <c r="E287" t="s">
        <v>519</v>
      </c>
    </row>
    <row r="288" spans="1:7">
      <c r="A288" t="s">
        <v>524</v>
      </c>
      <c r="B288" s="6"/>
      <c r="C288" s="6"/>
      <c r="D288" s="6">
        <v>-2.1479368000000001</v>
      </c>
      <c r="E288" t="s">
        <v>519</v>
      </c>
    </row>
    <row r="289" spans="1:10">
      <c r="A289" t="s">
        <v>528</v>
      </c>
      <c r="B289" s="6">
        <v>-2.5531693</v>
      </c>
      <c r="C289" s="6">
        <v>-2.8869066000000001</v>
      </c>
      <c r="D289" s="6">
        <v>-3.7412833999999999</v>
      </c>
      <c r="E289" t="s">
        <v>529</v>
      </c>
    </row>
    <row r="290" spans="1:10">
      <c r="B290" s="6"/>
      <c r="C290" s="6"/>
      <c r="D290" s="6"/>
    </row>
    <row r="294" spans="1:10">
      <c r="B294" s="6"/>
      <c r="C294" s="6"/>
      <c r="D294" s="6"/>
      <c r="E294" s="6"/>
      <c r="F294" s="6">
        <v>-4.0965775999999998</v>
      </c>
      <c r="G294" s="6">
        <v>-5.2071877000000004</v>
      </c>
      <c r="H294" t="s">
        <v>1184</v>
      </c>
      <c r="I294" t="s">
        <v>1185</v>
      </c>
      <c r="J294" t="s">
        <v>1186</v>
      </c>
    </row>
    <row r="295" spans="1:10">
      <c r="B295" s="6"/>
      <c r="C295" s="6"/>
      <c r="D295" s="6"/>
      <c r="E295" s="6"/>
      <c r="F295" s="6"/>
      <c r="G295" s="6"/>
      <c r="H295" t="s">
        <v>1184</v>
      </c>
      <c r="I295" t="s">
        <v>1185</v>
      </c>
      <c r="J295" t="s">
        <v>1186</v>
      </c>
    </row>
    <row r="296" spans="1:10">
      <c r="B296" s="6"/>
      <c r="C296" s="6"/>
      <c r="D296" s="6"/>
      <c r="E296" s="6"/>
      <c r="F296" s="6"/>
      <c r="G296" s="6"/>
      <c r="H296" t="s">
        <v>1184</v>
      </c>
      <c r="I296" t="s">
        <v>1185</v>
      </c>
      <c r="J296" t="s">
        <v>1186</v>
      </c>
    </row>
    <row r="297" spans="1:10">
      <c r="B297" s="6"/>
      <c r="C297" s="6"/>
      <c r="D297" s="6"/>
      <c r="E297" s="6"/>
      <c r="F297" s="6">
        <v>-3.2943435000000001</v>
      </c>
      <c r="G297" s="6">
        <v>-3.3013682000000002</v>
      </c>
      <c r="H297" t="s">
        <v>1184</v>
      </c>
      <c r="I297" t="s">
        <v>1185</v>
      </c>
      <c r="J297" t="s">
        <v>1186</v>
      </c>
    </row>
    <row r="298" spans="1:10">
      <c r="B298" s="6"/>
      <c r="C298" s="6"/>
      <c r="D298" s="6"/>
      <c r="E298" s="6"/>
      <c r="F298" s="6"/>
      <c r="G298" s="6"/>
      <c r="H298" t="s">
        <v>1184</v>
      </c>
      <c r="I298" t="s">
        <v>1185</v>
      </c>
      <c r="J298" t="s">
        <v>1186</v>
      </c>
    </row>
    <row r="299" spans="1:10">
      <c r="B299" s="6"/>
      <c r="C299" s="6"/>
      <c r="D299" s="6"/>
      <c r="E299" s="6"/>
      <c r="F299" s="6"/>
      <c r="G299" s="6"/>
      <c r="H299" t="s">
        <v>1184</v>
      </c>
      <c r="I299" t="s">
        <v>1185</v>
      </c>
      <c r="J299" t="s">
        <v>1186</v>
      </c>
    </row>
    <row r="300" spans="1:10">
      <c r="B300" s="6"/>
      <c r="C300" s="6"/>
      <c r="D300" s="6"/>
      <c r="E300" s="6"/>
      <c r="F300" s="6"/>
      <c r="G300" s="6"/>
      <c r="H300" t="s">
        <v>1184</v>
      </c>
      <c r="I300" t="s">
        <v>1185</v>
      </c>
      <c r="J300" t="s">
        <v>1186</v>
      </c>
    </row>
    <row r="301" spans="1:10">
      <c r="B301" s="6"/>
      <c r="C301" s="6"/>
      <c r="D301" s="6"/>
      <c r="E301" s="6"/>
      <c r="F301" s="6"/>
      <c r="G301" s="6"/>
      <c r="H301" t="s">
        <v>1184</v>
      </c>
      <c r="I301" t="s">
        <v>1185</v>
      </c>
      <c r="J301" t="s">
        <v>1186</v>
      </c>
    </row>
    <row r="302" spans="1:10">
      <c r="B302" s="6"/>
      <c r="C302" s="6"/>
      <c r="D302" s="6"/>
      <c r="E302" s="6"/>
      <c r="F302" s="6">
        <v>-3.3197421999999999</v>
      </c>
      <c r="G302" s="6"/>
      <c r="H302" t="s">
        <v>1184</v>
      </c>
      <c r="I302" t="s">
        <v>1185</v>
      </c>
      <c r="J302" t="s">
        <v>1186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7"/>
  <sheetViews>
    <sheetView workbookViewId="0">
      <selection activeCell="B3" sqref="B3"/>
    </sheetView>
  </sheetViews>
  <sheetFormatPr defaultRowHeight="12.75"/>
  <cols>
    <col min="1" max="1" width="23" bestFit="1" customWidth="1"/>
    <col min="2" max="2" width="15.42578125" bestFit="1" customWidth="1"/>
    <col min="3" max="4" width="17" bestFit="1" customWidth="1"/>
    <col min="5" max="5" width="192.42578125" bestFit="1" customWidth="1"/>
    <col min="6" max="6" width="91.85546875" bestFit="1" customWidth="1"/>
    <col min="7" max="7" width="94.42578125" bestFit="1" customWidth="1"/>
  </cols>
  <sheetData>
    <row r="1" spans="1:7" ht="18">
      <c r="A1" s="1" t="s">
        <v>579</v>
      </c>
      <c r="B1" s="1" t="s">
        <v>151</v>
      </c>
      <c r="C1" s="1" t="s">
        <v>153</v>
      </c>
      <c r="D1" s="1" t="s">
        <v>155</v>
      </c>
      <c r="E1" s="2" t="s">
        <v>580</v>
      </c>
      <c r="F1" s="2" t="s">
        <v>581</v>
      </c>
      <c r="G1" s="2" t="s">
        <v>582</v>
      </c>
    </row>
    <row r="2" spans="1:7">
      <c r="A2" t="s">
        <v>583</v>
      </c>
      <c r="B2" s="6"/>
      <c r="C2" s="6"/>
      <c r="D2" s="6">
        <v>2.118185</v>
      </c>
      <c r="E2" t="s">
        <v>584</v>
      </c>
      <c r="F2" t="s">
        <v>585</v>
      </c>
      <c r="G2" t="s">
        <v>586</v>
      </c>
    </row>
    <row r="3" spans="1:7">
      <c r="A3" t="s">
        <v>600</v>
      </c>
      <c r="B3" s="6"/>
      <c r="C3" s="6"/>
      <c r="D3" s="6">
        <v>2.1416917</v>
      </c>
      <c r="E3" t="s">
        <v>601</v>
      </c>
    </row>
    <row r="4" spans="1:7">
      <c r="A4" t="s">
        <v>669</v>
      </c>
      <c r="B4" s="6"/>
      <c r="C4" s="6">
        <v>2.5798644999999998</v>
      </c>
      <c r="D4" s="6"/>
      <c r="E4" t="s">
        <v>670</v>
      </c>
      <c r="F4" t="s">
        <v>627</v>
      </c>
      <c r="G4" t="s">
        <v>671</v>
      </c>
    </row>
    <row r="5" spans="1:7">
      <c r="A5" t="s">
        <v>678</v>
      </c>
      <c r="B5" s="6"/>
      <c r="C5" s="6">
        <v>2.2229643000000001</v>
      </c>
      <c r="D5" s="6"/>
      <c r="E5" t="s">
        <v>673</v>
      </c>
      <c r="F5" t="s">
        <v>674</v>
      </c>
      <c r="G5" t="s">
        <v>675</v>
      </c>
    </row>
    <row r="6" spans="1:7">
      <c r="A6" t="s">
        <v>696</v>
      </c>
      <c r="B6" s="6">
        <v>2.2350373000000001</v>
      </c>
      <c r="C6" s="6">
        <v>3.9955753999999999</v>
      </c>
      <c r="D6" s="6">
        <v>2.6519759999999999</v>
      </c>
      <c r="E6" t="s">
        <v>692</v>
      </c>
      <c r="G6" t="s">
        <v>693</v>
      </c>
    </row>
    <row r="7" spans="1:7">
      <c r="A7" t="s">
        <v>697</v>
      </c>
      <c r="B7" s="6"/>
      <c r="C7" s="6">
        <v>3.7983427000000001</v>
      </c>
      <c r="D7" s="6">
        <v>2.7496027999999999</v>
      </c>
      <c r="E7" t="s">
        <v>692</v>
      </c>
      <c r="F7" t="s">
        <v>693</v>
      </c>
    </row>
    <row r="8" spans="1:7">
      <c r="A8" t="s">
        <v>702</v>
      </c>
      <c r="B8" s="6"/>
      <c r="C8" s="6">
        <v>2.2029342999999999</v>
      </c>
      <c r="D8" s="6"/>
      <c r="E8" t="s">
        <v>703</v>
      </c>
      <c r="F8" t="s">
        <v>604</v>
      </c>
      <c r="G8" t="s">
        <v>704</v>
      </c>
    </row>
    <row r="9" spans="1:7">
      <c r="A9" t="s">
        <v>705</v>
      </c>
      <c r="B9" s="6">
        <v>2.0725574</v>
      </c>
      <c r="C9" s="6">
        <v>2.6502180000000002</v>
      </c>
      <c r="D9" s="6">
        <v>2.8456372999999999</v>
      </c>
      <c r="E9" t="s">
        <v>706</v>
      </c>
      <c r="F9" t="s">
        <v>707</v>
      </c>
      <c r="G9" t="s">
        <v>708</v>
      </c>
    </row>
    <row r="10" spans="1:7">
      <c r="A10" t="s">
        <v>712</v>
      </c>
      <c r="B10" s="6">
        <v>2.0105976999999999</v>
      </c>
      <c r="C10" s="6">
        <v>3.3419256000000002</v>
      </c>
      <c r="D10" s="6">
        <v>3.6186289999999999</v>
      </c>
      <c r="E10" t="s">
        <v>713</v>
      </c>
      <c r="G10" t="s">
        <v>714</v>
      </c>
    </row>
    <row r="11" spans="1:7">
      <c r="A11" t="s">
        <v>767</v>
      </c>
      <c r="B11" s="6"/>
      <c r="C11" s="6"/>
      <c r="D11" s="6">
        <v>2.5553498000000001</v>
      </c>
      <c r="E11" t="s">
        <v>768</v>
      </c>
    </row>
    <row r="12" spans="1:7">
      <c r="A12" t="s">
        <v>769</v>
      </c>
      <c r="B12" s="6"/>
      <c r="C12" s="6"/>
      <c r="D12" s="6">
        <v>2.1183972</v>
      </c>
      <c r="E12" t="s">
        <v>770</v>
      </c>
      <c r="G12" t="s">
        <v>771</v>
      </c>
    </row>
    <row r="13" spans="1:7">
      <c r="A13" t="s">
        <v>772</v>
      </c>
      <c r="B13" s="6"/>
      <c r="C13" s="6">
        <v>2.7156457999999999</v>
      </c>
      <c r="D13" s="6"/>
      <c r="E13" t="s">
        <v>773</v>
      </c>
      <c r="F13" t="s">
        <v>774</v>
      </c>
      <c r="G13" t="s">
        <v>775</v>
      </c>
    </row>
    <row r="14" spans="1:7">
      <c r="A14" t="s">
        <v>805</v>
      </c>
      <c r="B14" s="6"/>
      <c r="C14" s="6"/>
      <c r="D14" s="6">
        <v>2.1033254000000001</v>
      </c>
      <c r="E14" t="s">
        <v>802</v>
      </c>
    </row>
    <row r="15" spans="1:7">
      <c r="A15" t="s">
        <v>807</v>
      </c>
      <c r="B15" s="6">
        <v>2.5733961999999999</v>
      </c>
      <c r="C15" s="6">
        <v>2.6139326000000001</v>
      </c>
      <c r="D15" s="6">
        <v>2.5278</v>
      </c>
      <c r="E15" t="s">
        <v>802</v>
      </c>
      <c r="G15" t="s">
        <v>803</v>
      </c>
    </row>
    <row r="16" spans="1:7">
      <c r="A16" t="s">
        <v>850</v>
      </c>
      <c r="B16" s="6">
        <v>2.5684513999999998</v>
      </c>
      <c r="C16" s="6">
        <v>2.7728028</v>
      </c>
      <c r="D16" s="6">
        <v>2.5567280000000001</v>
      </c>
      <c r="E16" t="s">
        <v>802</v>
      </c>
      <c r="G16" t="s">
        <v>803</v>
      </c>
    </row>
    <row r="17" spans="1:7">
      <c r="A17" t="s">
        <v>880</v>
      </c>
      <c r="B17" s="6"/>
      <c r="C17" s="6"/>
      <c r="D17" s="6">
        <v>2.052003</v>
      </c>
      <c r="E17" t="s">
        <v>878</v>
      </c>
      <c r="F17" t="s">
        <v>873</v>
      </c>
      <c r="G17" s="3" t="s">
        <v>879</v>
      </c>
    </row>
    <row r="18" spans="1:7">
      <c r="A18" t="s">
        <v>881</v>
      </c>
      <c r="B18" s="6">
        <v>3.1407002999999998</v>
      </c>
      <c r="C18" s="6">
        <v>3.2185570000000001</v>
      </c>
      <c r="D18" s="6">
        <v>3.5042844</v>
      </c>
      <c r="E18" t="s">
        <v>882</v>
      </c>
      <c r="F18" t="s">
        <v>873</v>
      </c>
      <c r="G18" t="s">
        <v>883</v>
      </c>
    </row>
    <row r="19" spans="1:7">
      <c r="A19" t="s">
        <v>884</v>
      </c>
      <c r="B19" s="6"/>
      <c r="C19" s="6">
        <v>3.3321079999999998</v>
      </c>
      <c r="D19" s="6">
        <v>3.4611573</v>
      </c>
      <c r="E19" t="s">
        <v>885</v>
      </c>
      <c r="G19" t="s">
        <v>886</v>
      </c>
    </row>
    <row r="20" spans="1:7">
      <c r="A20" t="s">
        <v>567</v>
      </c>
      <c r="B20" s="6"/>
      <c r="C20" s="6"/>
      <c r="D20" s="6">
        <v>2.7873774</v>
      </c>
      <c r="E20" t="s">
        <v>149</v>
      </c>
      <c r="F20" t="s">
        <v>873</v>
      </c>
      <c r="G20" t="s">
        <v>891</v>
      </c>
    </row>
    <row r="21" spans="1:7">
      <c r="A21" t="s">
        <v>890</v>
      </c>
      <c r="B21" s="6"/>
      <c r="C21" s="6"/>
      <c r="D21" s="6">
        <v>2.6228400000000001</v>
      </c>
      <c r="E21" t="s">
        <v>891</v>
      </c>
    </row>
    <row r="22" spans="1:7">
      <c r="A22" t="s">
        <v>892</v>
      </c>
      <c r="B22" s="6"/>
      <c r="C22" s="6"/>
      <c r="D22" s="6">
        <v>2.5363039999999999</v>
      </c>
      <c r="E22" t="s">
        <v>891</v>
      </c>
      <c r="F22" t="s">
        <v>873</v>
      </c>
    </row>
    <row r="23" spans="1:7">
      <c r="A23" t="s">
        <v>903</v>
      </c>
      <c r="B23" s="6"/>
      <c r="C23" s="6"/>
      <c r="D23" s="6">
        <v>2.7230492000000002</v>
      </c>
      <c r="E23" t="s">
        <v>904</v>
      </c>
      <c r="F23" t="s">
        <v>905</v>
      </c>
      <c r="G23" t="s">
        <v>906</v>
      </c>
    </row>
    <row r="24" spans="1:7">
      <c r="A24" s="3" t="s">
        <v>537</v>
      </c>
      <c r="B24" s="7">
        <v>2.0310907</v>
      </c>
      <c r="C24" s="7">
        <v>2.4290604999999998</v>
      </c>
      <c r="D24" s="7">
        <v>2.2818580000000002</v>
      </c>
      <c r="E24" s="3" t="s">
        <v>910</v>
      </c>
    </row>
    <row r="25" spans="1:7">
      <c r="A25" t="s">
        <v>926</v>
      </c>
      <c r="B25" s="6"/>
      <c r="C25" s="6"/>
      <c r="D25" s="6">
        <v>2.0288591</v>
      </c>
      <c r="E25" t="s">
        <v>927</v>
      </c>
      <c r="F25" t="s">
        <v>928</v>
      </c>
      <c r="G25" t="s">
        <v>929</v>
      </c>
    </row>
    <row r="26" spans="1:7">
      <c r="A26" t="s">
        <v>932</v>
      </c>
      <c r="B26" s="6"/>
      <c r="C26" s="6"/>
      <c r="D26" s="6">
        <v>2.0315413000000002</v>
      </c>
      <c r="E26" t="s">
        <v>933</v>
      </c>
    </row>
    <row r="27" spans="1:7">
      <c r="A27" t="s">
        <v>949</v>
      </c>
      <c r="B27" s="6"/>
      <c r="C27" s="6"/>
      <c r="D27" s="6">
        <v>2.9353251</v>
      </c>
      <c r="E27" t="s">
        <v>946</v>
      </c>
    </row>
    <row r="28" spans="1:7">
      <c r="A28" t="s">
        <v>980</v>
      </c>
      <c r="B28" s="6"/>
      <c r="C28" s="6">
        <v>2.1118964999999998</v>
      </c>
      <c r="D28" s="6">
        <v>2.2459006000000001</v>
      </c>
      <c r="E28" t="s">
        <v>981</v>
      </c>
      <c r="G28" t="s">
        <v>982</v>
      </c>
    </row>
    <row r="29" spans="1:7">
      <c r="A29" t="s">
        <v>994</v>
      </c>
      <c r="B29" s="6"/>
      <c r="C29" s="6">
        <v>3.8487515000000001</v>
      </c>
      <c r="D29" s="6">
        <v>3.6562638000000001</v>
      </c>
      <c r="E29" t="s">
        <v>992</v>
      </c>
      <c r="G29" t="s">
        <v>995</v>
      </c>
    </row>
    <row r="30" spans="1:7">
      <c r="A30" s="3" t="s">
        <v>1011</v>
      </c>
      <c r="B30" s="7">
        <v>2.4714274000000001</v>
      </c>
      <c r="C30" s="7"/>
      <c r="D30" s="7">
        <v>3.6646070000000002</v>
      </c>
      <c r="E30" s="3" t="s">
        <v>1005</v>
      </c>
      <c r="F30" s="3" t="s">
        <v>621</v>
      </c>
      <c r="G30" s="3" t="s">
        <v>1012</v>
      </c>
    </row>
    <row r="31" spans="1:7">
      <c r="A31" s="3" t="s">
        <v>1014</v>
      </c>
      <c r="B31" s="7">
        <v>2.2652291999999998</v>
      </c>
      <c r="C31" s="7">
        <v>3.3127928</v>
      </c>
      <c r="D31" s="7"/>
      <c r="E31" s="3" t="s">
        <v>1005</v>
      </c>
      <c r="F31" s="3" t="s">
        <v>621</v>
      </c>
      <c r="G31" s="3" t="s">
        <v>1012</v>
      </c>
    </row>
    <row r="32" spans="1:7">
      <c r="A32" s="3" t="s">
        <v>1018</v>
      </c>
      <c r="B32" s="7"/>
      <c r="C32" s="7"/>
      <c r="D32" s="7">
        <v>2.5151935000000001</v>
      </c>
      <c r="E32" s="3" t="s">
        <v>1005</v>
      </c>
      <c r="F32" s="3" t="s">
        <v>621</v>
      </c>
      <c r="G32" s="3" t="s">
        <v>1008</v>
      </c>
    </row>
    <row r="33" spans="1:7">
      <c r="A33" t="s">
        <v>1028</v>
      </c>
      <c r="B33" s="6"/>
      <c r="C33" s="6">
        <v>2.5586380000000002</v>
      </c>
      <c r="D33" s="6"/>
      <c r="E33" t="s">
        <v>1029</v>
      </c>
    </row>
    <row r="34" spans="1:7">
      <c r="A34" t="s">
        <v>1035</v>
      </c>
      <c r="B34" s="6"/>
      <c r="C34" s="6">
        <v>2.2607803</v>
      </c>
      <c r="D34" s="6"/>
      <c r="E34" t="s">
        <v>1036</v>
      </c>
      <c r="F34" t="s">
        <v>1037</v>
      </c>
      <c r="G34" t="s">
        <v>1038</v>
      </c>
    </row>
    <row r="35" spans="1:7">
      <c r="A35" t="s">
        <v>1051</v>
      </c>
      <c r="B35" s="6"/>
      <c r="C35" s="6"/>
      <c r="D35" s="6">
        <v>2.4140595999999999</v>
      </c>
      <c r="E35" t="s">
        <v>1052</v>
      </c>
      <c r="F35" s="4" t="s">
        <v>1053</v>
      </c>
    </row>
    <row r="36" spans="1:7">
      <c r="A36" t="s">
        <v>1054</v>
      </c>
      <c r="B36" s="6"/>
      <c r="C36" s="6"/>
      <c r="D36" s="6">
        <v>2.3037529999999999</v>
      </c>
      <c r="E36" t="s">
        <v>1055</v>
      </c>
      <c r="F36" t="s">
        <v>713</v>
      </c>
      <c r="G36" t="s">
        <v>1056</v>
      </c>
    </row>
    <row r="37" spans="1:7">
      <c r="A37" t="s">
        <v>1059</v>
      </c>
      <c r="B37" s="6"/>
      <c r="C37" s="6"/>
      <c r="D37" s="6">
        <v>2.3046122000000002</v>
      </c>
      <c r="E37" t="s">
        <v>1060</v>
      </c>
      <c r="F37" t="s">
        <v>1061</v>
      </c>
      <c r="G37" t="s">
        <v>1062</v>
      </c>
    </row>
    <row r="38" spans="1:7">
      <c r="A38" t="s">
        <v>1063</v>
      </c>
      <c r="B38" s="6"/>
      <c r="C38" s="6"/>
      <c r="D38" s="6">
        <v>2.8296036999999998</v>
      </c>
      <c r="E38" t="s">
        <v>1060</v>
      </c>
      <c r="F38" t="s">
        <v>1061</v>
      </c>
      <c r="G38" t="s">
        <v>1062</v>
      </c>
    </row>
    <row r="39" spans="1:7">
      <c r="A39" t="s">
        <v>1064</v>
      </c>
      <c r="B39" s="6"/>
      <c r="C39" s="6"/>
      <c r="D39" s="6">
        <v>2.3389000000000002</v>
      </c>
      <c r="E39" t="s">
        <v>1060</v>
      </c>
      <c r="F39" t="s">
        <v>1061</v>
      </c>
      <c r="G39" t="s">
        <v>1062</v>
      </c>
    </row>
    <row r="40" spans="1:7">
      <c r="A40" t="s">
        <v>1065</v>
      </c>
      <c r="B40" s="6"/>
      <c r="C40" s="6"/>
      <c r="D40" s="6">
        <v>2.425805</v>
      </c>
      <c r="E40" t="s">
        <v>1060</v>
      </c>
      <c r="F40" t="s">
        <v>1061</v>
      </c>
      <c r="G40" t="s">
        <v>1062</v>
      </c>
    </row>
    <row r="41" spans="1:7">
      <c r="A41" s="3" t="s">
        <v>1072</v>
      </c>
      <c r="B41" s="7">
        <v>2.167592</v>
      </c>
      <c r="C41" s="7">
        <v>3.3128114000000002</v>
      </c>
      <c r="D41" s="7">
        <v>3.2781734</v>
      </c>
      <c r="E41" s="3" t="s">
        <v>1073</v>
      </c>
      <c r="F41" s="3" t="s">
        <v>1074</v>
      </c>
      <c r="G41" s="3"/>
    </row>
    <row r="42" spans="1:7">
      <c r="A42" s="3" t="s">
        <v>1075</v>
      </c>
      <c r="B42" s="7">
        <v>2.4421697</v>
      </c>
      <c r="C42" s="7">
        <v>2.9276352000000001</v>
      </c>
      <c r="D42" s="7"/>
      <c r="E42" s="3" t="s">
        <v>1073</v>
      </c>
      <c r="F42" s="3" t="s">
        <v>1074</v>
      </c>
      <c r="G42" s="3"/>
    </row>
    <row r="43" spans="1:7">
      <c r="A43" t="s">
        <v>532</v>
      </c>
      <c r="B43" s="6"/>
      <c r="C43" s="6">
        <v>2.2827829999999998</v>
      </c>
      <c r="D43" s="6">
        <v>2.3186417000000001</v>
      </c>
      <c r="E43" t="s">
        <v>533</v>
      </c>
      <c r="G43" t="s">
        <v>534</v>
      </c>
    </row>
    <row r="44" spans="1:7">
      <c r="A44" t="s">
        <v>1086</v>
      </c>
      <c r="B44" s="6"/>
      <c r="C44" s="6"/>
      <c r="D44" s="6">
        <v>2.2274045999999998</v>
      </c>
      <c r="E44" t="s">
        <v>1082</v>
      </c>
      <c r="F44" t="s">
        <v>655</v>
      </c>
      <c r="G44" t="s">
        <v>1083</v>
      </c>
    </row>
    <row r="45" spans="1:7">
      <c r="A45" t="s">
        <v>1091</v>
      </c>
      <c r="B45" s="6"/>
      <c r="C45" s="6"/>
      <c r="D45" s="6">
        <v>2.0094428</v>
      </c>
      <c r="E45" t="s">
        <v>1092</v>
      </c>
    </row>
    <row r="46" spans="1:7">
      <c r="A46" t="s">
        <v>552</v>
      </c>
      <c r="B46" s="6"/>
      <c r="C46" s="6">
        <v>2.1594275999999999</v>
      </c>
      <c r="D46" s="6">
        <v>2.4132600000000002</v>
      </c>
      <c r="E46" t="s">
        <v>148</v>
      </c>
      <c r="F46" t="s">
        <v>642</v>
      </c>
      <c r="G46" t="s">
        <v>553</v>
      </c>
    </row>
    <row r="47" spans="1:7">
      <c r="A47" s="3" t="s">
        <v>1097</v>
      </c>
      <c r="B47" s="7"/>
      <c r="C47" s="7">
        <v>3.1632519000000001</v>
      </c>
      <c r="D47" s="7">
        <v>2.5497822999999999</v>
      </c>
      <c r="E47" s="3" t="s">
        <v>1098</v>
      </c>
      <c r="F47" s="3" t="s">
        <v>873</v>
      </c>
      <c r="G47" s="3" t="s">
        <v>1099</v>
      </c>
    </row>
    <row r="48" spans="1:7">
      <c r="A48" s="3" t="s">
        <v>1100</v>
      </c>
      <c r="B48" s="7">
        <v>3.3107218999999999</v>
      </c>
      <c r="C48" s="7">
        <v>3.7498927000000002</v>
      </c>
      <c r="D48" s="7">
        <v>3.1335044000000001</v>
      </c>
      <c r="E48" s="3" t="s">
        <v>1098</v>
      </c>
      <c r="F48" s="3" t="s">
        <v>873</v>
      </c>
      <c r="G48" s="3" t="s">
        <v>1099</v>
      </c>
    </row>
    <row r="49" spans="1:8">
      <c r="A49" s="3" t="s">
        <v>1101</v>
      </c>
      <c r="B49" s="7"/>
      <c r="C49" s="7">
        <v>2.4521494000000001</v>
      </c>
      <c r="D49" s="7"/>
      <c r="E49" s="3" t="s">
        <v>1098</v>
      </c>
      <c r="F49" s="3" t="s">
        <v>873</v>
      </c>
      <c r="G49" s="3" t="s">
        <v>1099</v>
      </c>
    </row>
    <row r="50" spans="1:8">
      <c r="A50" s="3" t="s">
        <v>1102</v>
      </c>
      <c r="B50" s="7"/>
      <c r="C50" s="7"/>
      <c r="D50" s="7">
        <v>2.130147</v>
      </c>
      <c r="E50" s="3" t="s">
        <v>1098</v>
      </c>
      <c r="F50" s="3" t="s">
        <v>873</v>
      </c>
      <c r="G50" s="3" t="s">
        <v>1099</v>
      </c>
    </row>
    <row r="51" spans="1:8" s="5" customFormat="1">
      <c r="A51" s="3" t="s">
        <v>1103</v>
      </c>
      <c r="B51" s="7"/>
      <c r="C51" s="7">
        <v>2.4258237</v>
      </c>
      <c r="D51" s="7"/>
      <c r="E51" s="3" t="s">
        <v>1098</v>
      </c>
      <c r="F51" s="3" t="s">
        <v>873</v>
      </c>
      <c r="G51" s="3" t="s">
        <v>1099</v>
      </c>
    </row>
    <row r="52" spans="1:8">
      <c r="A52" s="3" t="s">
        <v>1105</v>
      </c>
      <c r="B52" s="7">
        <v>2.2509383999999999</v>
      </c>
      <c r="C52" s="7">
        <v>3.3611163999999998</v>
      </c>
      <c r="D52" s="7">
        <v>3.2695656</v>
      </c>
      <c r="E52" s="3" t="s">
        <v>1098</v>
      </c>
      <c r="F52" s="3" t="s">
        <v>873</v>
      </c>
      <c r="G52" s="3" t="s">
        <v>1099</v>
      </c>
    </row>
    <row r="53" spans="1:8">
      <c r="A53" s="3" t="s">
        <v>1107</v>
      </c>
      <c r="B53" s="7"/>
      <c r="C53" s="7">
        <v>2.5653790999999999</v>
      </c>
      <c r="D53" s="7"/>
      <c r="E53" s="3" t="s">
        <v>1098</v>
      </c>
      <c r="F53" s="3" t="s">
        <v>873</v>
      </c>
      <c r="G53" s="3" t="s">
        <v>1099</v>
      </c>
    </row>
    <row r="54" spans="1:8">
      <c r="A54" s="3" t="s">
        <v>1108</v>
      </c>
      <c r="B54" s="7">
        <v>2.1884513000000001</v>
      </c>
      <c r="C54" s="7">
        <v>3.1054263</v>
      </c>
      <c r="D54" s="7">
        <v>3.1093183</v>
      </c>
      <c r="E54" s="3" t="s">
        <v>1098</v>
      </c>
      <c r="F54" s="3" t="s">
        <v>873</v>
      </c>
      <c r="G54" s="3" t="s">
        <v>1109</v>
      </c>
    </row>
    <row r="55" spans="1:8">
      <c r="A55" t="s">
        <v>1133</v>
      </c>
      <c r="B55" s="6">
        <v>2.5439156999999999</v>
      </c>
      <c r="C55" s="6">
        <v>2.9261436000000001</v>
      </c>
      <c r="D55" s="6">
        <v>2.6182690000000002</v>
      </c>
      <c r="E55" t="s">
        <v>1134</v>
      </c>
      <c r="G55" t="s">
        <v>1135</v>
      </c>
    </row>
    <row r="56" spans="1:8">
      <c r="A56" t="s">
        <v>1136</v>
      </c>
      <c r="B56" s="6">
        <v>4.0508303999999997</v>
      </c>
      <c r="C56" s="6">
        <v>5.1262879999999997</v>
      </c>
      <c r="D56" s="6">
        <v>5.6281724000000004</v>
      </c>
      <c r="E56" t="s">
        <v>1134</v>
      </c>
      <c r="G56" t="s">
        <v>1135</v>
      </c>
    </row>
    <row r="57" spans="1:8">
      <c r="A57" t="s">
        <v>1137</v>
      </c>
      <c r="B57" s="6"/>
      <c r="C57" s="6"/>
      <c r="D57" s="6">
        <v>2.0135632000000001</v>
      </c>
      <c r="E57" t="s">
        <v>1134</v>
      </c>
      <c r="G57" t="s">
        <v>1135</v>
      </c>
    </row>
    <row r="58" spans="1:8">
      <c r="A58" t="s">
        <v>1138</v>
      </c>
      <c r="B58" s="6"/>
      <c r="C58" s="6"/>
      <c r="D58" s="6">
        <v>2.5946913</v>
      </c>
      <c r="E58" t="s">
        <v>1134</v>
      </c>
      <c r="G58" t="s">
        <v>1135</v>
      </c>
    </row>
    <row r="59" spans="1:8">
      <c r="A59" t="s">
        <v>1141</v>
      </c>
      <c r="B59" s="6"/>
      <c r="C59" s="6">
        <v>2.0620055000000002</v>
      </c>
      <c r="D59" s="6"/>
      <c r="E59" t="s">
        <v>1142</v>
      </c>
    </row>
    <row r="60" spans="1:8">
      <c r="A60" t="s">
        <v>1143</v>
      </c>
      <c r="B60" s="6"/>
      <c r="C60" s="6">
        <v>2.0901198000000001</v>
      </c>
      <c r="D60" s="6"/>
      <c r="E60" t="s">
        <v>1142</v>
      </c>
    </row>
    <row r="61" spans="1:8">
      <c r="A61" t="s">
        <v>1144</v>
      </c>
      <c r="B61" s="6"/>
      <c r="C61" s="6">
        <v>2.1847625000000002</v>
      </c>
      <c r="D61" s="6"/>
      <c r="E61" t="s">
        <v>1145</v>
      </c>
    </row>
    <row r="62" spans="1:8">
      <c r="A62" t="s">
        <v>539</v>
      </c>
      <c r="B62" s="6">
        <v>2.7549104999999998</v>
      </c>
      <c r="C62" s="6">
        <v>2.8424140000000002</v>
      </c>
      <c r="D62" s="6">
        <v>3.28871</v>
      </c>
      <c r="E62" t="s">
        <v>147</v>
      </c>
      <c r="F62" t="s">
        <v>873</v>
      </c>
      <c r="G62" t="s">
        <v>891</v>
      </c>
    </row>
    <row r="63" spans="1:8">
      <c r="A63" t="s">
        <v>1160</v>
      </c>
      <c r="B63" s="6"/>
      <c r="C63" s="6">
        <v>2.679789</v>
      </c>
      <c r="D63" s="6">
        <v>2.2549747999999998</v>
      </c>
      <c r="E63" t="s">
        <v>1147</v>
      </c>
      <c r="F63" t="s">
        <v>873</v>
      </c>
      <c r="G63" t="s">
        <v>1161</v>
      </c>
    </row>
    <row r="64" spans="1:8">
      <c r="A64" t="s">
        <v>1172</v>
      </c>
      <c r="B64" s="6"/>
      <c r="C64" s="6">
        <v>2.3872675999999999</v>
      </c>
      <c r="D64" s="6">
        <v>2.4584741999999999</v>
      </c>
      <c r="E64" t="s">
        <v>1173</v>
      </c>
      <c r="F64" t="s">
        <v>655</v>
      </c>
      <c r="G64" t="s">
        <v>1174</v>
      </c>
      <c r="H64" t="s">
        <v>1175</v>
      </c>
    </row>
    <row r="65" spans="1:7">
      <c r="A65" t="s">
        <v>1180</v>
      </c>
      <c r="B65" s="6"/>
      <c r="C65" s="6"/>
      <c r="D65" s="6">
        <v>2.7816472000000001</v>
      </c>
      <c r="E65" t="s">
        <v>1181</v>
      </c>
      <c r="F65" t="s">
        <v>655</v>
      </c>
      <c r="G65" t="s">
        <v>1182</v>
      </c>
    </row>
    <row r="66" spans="1:7">
      <c r="A66" t="s">
        <v>1187</v>
      </c>
      <c r="B66" s="6"/>
      <c r="C66" s="6">
        <v>2.310505</v>
      </c>
      <c r="D66" s="6"/>
      <c r="E66" t="s">
        <v>1184</v>
      </c>
      <c r="F66" t="s">
        <v>1185</v>
      </c>
      <c r="G66" t="s">
        <v>1186</v>
      </c>
    </row>
    <row r="67" spans="1:7">
      <c r="A67" t="s">
        <v>1188</v>
      </c>
      <c r="B67" s="6"/>
      <c r="C67" s="6"/>
      <c r="D67" s="6">
        <v>2.3352450999999999</v>
      </c>
      <c r="E67" t="s">
        <v>1184</v>
      </c>
      <c r="F67" t="s">
        <v>1185</v>
      </c>
      <c r="G67" t="s">
        <v>1186</v>
      </c>
    </row>
    <row r="68" spans="1:7">
      <c r="A68" t="s">
        <v>1190</v>
      </c>
      <c r="B68" s="6"/>
      <c r="C68" s="6">
        <v>2.8623953000000002</v>
      </c>
      <c r="D68" s="6">
        <v>2.8446088</v>
      </c>
      <c r="E68" t="s">
        <v>1184</v>
      </c>
      <c r="F68" t="s">
        <v>1185</v>
      </c>
      <c r="G68" t="s">
        <v>1186</v>
      </c>
    </row>
    <row r="69" spans="1:7">
      <c r="A69" t="s">
        <v>1191</v>
      </c>
      <c r="B69" s="6"/>
      <c r="C69" s="6"/>
      <c r="D69" s="6">
        <v>2.4169436000000002</v>
      </c>
      <c r="E69" t="s">
        <v>1184</v>
      </c>
      <c r="F69" t="s">
        <v>1185</v>
      </c>
      <c r="G69" t="s">
        <v>1186</v>
      </c>
    </row>
    <row r="70" spans="1:7">
      <c r="A70" t="s">
        <v>1192</v>
      </c>
      <c r="B70" s="6"/>
      <c r="C70" s="6"/>
      <c r="D70" s="6">
        <v>2.0335903000000002</v>
      </c>
      <c r="E70" t="s">
        <v>1184</v>
      </c>
      <c r="F70" t="s">
        <v>1185</v>
      </c>
      <c r="G70" t="s">
        <v>1186</v>
      </c>
    </row>
    <row r="71" spans="1:7">
      <c r="A71" t="s">
        <v>1193</v>
      </c>
      <c r="B71" s="6"/>
      <c r="C71" s="6"/>
      <c r="D71" s="6">
        <v>2.5330940000000002</v>
      </c>
      <c r="E71" t="s">
        <v>1184</v>
      </c>
      <c r="F71" t="s">
        <v>1185</v>
      </c>
      <c r="G71" t="s">
        <v>1186</v>
      </c>
    </row>
    <row r="72" spans="1:7">
      <c r="A72" t="s">
        <v>1208</v>
      </c>
      <c r="B72" s="6"/>
      <c r="C72" s="6">
        <v>3.0369139000000001</v>
      </c>
      <c r="D72" s="6">
        <v>2.7118243999999998</v>
      </c>
      <c r="E72" t="s">
        <v>1209</v>
      </c>
    </row>
    <row r="73" spans="1:7">
      <c r="A73" t="s">
        <v>1210</v>
      </c>
      <c r="B73" s="6"/>
      <c r="C73" s="6"/>
      <c r="D73" s="6">
        <v>2.5722413</v>
      </c>
      <c r="E73" t="s">
        <v>1211</v>
      </c>
      <c r="F73" t="s">
        <v>1212</v>
      </c>
      <c r="G73" t="s">
        <v>1213</v>
      </c>
    </row>
    <row r="74" spans="1:7">
      <c r="A74" t="s">
        <v>1214</v>
      </c>
      <c r="B74" s="6"/>
      <c r="C74" s="6"/>
      <c r="D74" s="6">
        <v>2.6773505000000002</v>
      </c>
      <c r="E74" t="s">
        <v>1211</v>
      </c>
      <c r="F74" t="s">
        <v>1212</v>
      </c>
      <c r="G74" t="s">
        <v>1213</v>
      </c>
    </row>
    <row r="75" spans="1:7">
      <c r="A75" t="s">
        <v>1215</v>
      </c>
      <c r="B75" s="6"/>
      <c r="C75" s="6">
        <v>2.2297191999999999</v>
      </c>
      <c r="D75" s="6">
        <v>2.2474327000000001</v>
      </c>
      <c r="E75" t="s">
        <v>1211</v>
      </c>
      <c r="F75" t="s">
        <v>1212</v>
      </c>
      <c r="G75" t="s">
        <v>1213</v>
      </c>
    </row>
    <row r="76" spans="1:7">
      <c r="A76" t="s">
        <v>1216</v>
      </c>
      <c r="B76" s="6"/>
      <c r="C76" s="6"/>
      <c r="D76" s="6">
        <v>2.450078</v>
      </c>
      <c r="E76" t="s">
        <v>1211</v>
      </c>
      <c r="F76" t="s">
        <v>1212</v>
      </c>
      <c r="G76" t="s">
        <v>1213</v>
      </c>
    </row>
    <row r="77" spans="1:7">
      <c r="A77" t="s">
        <v>1259</v>
      </c>
      <c r="B77" s="6"/>
      <c r="C77" s="6">
        <v>2.605585</v>
      </c>
      <c r="D77" s="6">
        <v>2.2503128000000001</v>
      </c>
      <c r="E77" t="s">
        <v>1256</v>
      </c>
      <c r="F77" t="s">
        <v>1257</v>
      </c>
      <c r="G77" t="s">
        <v>1258</v>
      </c>
    </row>
    <row r="78" spans="1:7">
      <c r="A78" t="s">
        <v>1260</v>
      </c>
      <c r="B78" s="6"/>
      <c r="C78" s="6"/>
      <c r="D78" s="6">
        <v>2.6195908000000001</v>
      </c>
      <c r="E78" t="s">
        <v>1256</v>
      </c>
      <c r="F78" t="s">
        <v>1257</v>
      </c>
      <c r="G78" t="s">
        <v>1258</v>
      </c>
    </row>
    <row r="79" spans="1:7">
      <c r="A79" t="s">
        <v>1273</v>
      </c>
      <c r="B79" s="6"/>
      <c r="C79" s="6"/>
      <c r="D79" s="6">
        <v>2.3676772000000001</v>
      </c>
      <c r="E79" t="s">
        <v>1256</v>
      </c>
      <c r="F79" t="s">
        <v>1257</v>
      </c>
      <c r="G79" t="s">
        <v>1258</v>
      </c>
    </row>
    <row r="80" spans="1:7">
      <c r="A80" t="s">
        <v>1274</v>
      </c>
      <c r="B80" s="6"/>
      <c r="C80" s="6">
        <v>2.0306787000000002</v>
      </c>
      <c r="D80" s="6"/>
      <c r="E80" t="s">
        <v>1256</v>
      </c>
      <c r="F80" t="s">
        <v>1257</v>
      </c>
      <c r="G80" t="s">
        <v>1258</v>
      </c>
    </row>
    <row r="81" spans="1:7">
      <c r="A81" t="s">
        <v>1283</v>
      </c>
      <c r="B81" s="6"/>
      <c r="C81" s="6"/>
      <c r="D81" s="6">
        <v>2.3419712000000001</v>
      </c>
      <c r="E81" t="s">
        <v>1256</v>
      </c>
      <c r="F81" t="s">
        <v>1257</v>
      </c>
      <c r="G81" t="s">
        <v>1258</v>
      </c>
    </row>
    <row r="82" spans="1:7">
      <c r="A82" t="s">
        <v>1286</v>
      </c>
      <c r="B82" s="6"/>
      <c r="C82" s="6"/>
      <c r="D82" s="6">
        <v>2.1203865999999998</v>
      </c>
      <c r="E82" t="s">
        <v>1256</v>
      </c>
      <c r="F82" t="s">
        <v>1257</v>
      </c>
      <c r="G82" t="s">
        <v>1258</v>
      </c>
    </row>
    <row r="83" spans="1:7">
      <c r="A83" t="s">
        <v>1304</v>
      </c>
      <c r="B83" s="6"/>
      <c r="C83" s="6"/>
      <c r="D83" s="6">
        <v>2.1552978</v>
      </c>
      <c r="E83" t="s">
        <v>1305</v>
      </c>
      <c r="F83" t="s">
        <v>1306</v>
      </c>
      <c r="G83" t="s">
        <v>1307</v>
      </c>
    </row>
    <row r="84" spans="1:7">
      <c r="A84" t="s">
        <v>1308</v>
      </c>
      <c r="B84" s="6"/>
      <c r="C84" s="6"/>
      <c r="D84" s="6">
        <v>2.3876753000000002</v>
      </c>
      <c r="E84" t="s">
        <v>1309</v>
      </c>
      <c r="G84" t="s">
        <v>1310</v>
      </c>
    </row>
    <row r="85" spans="1:7">
      <c r="A85" t="s">
        <v>1319</v>
      </c>
      <c r="B85" s="6"/>
      <c r="C85" s="6"/>
      <c r="D85" s="6">
        <v>2.6655229999999999</v>
      </c>
      <c r="E85" t="s">
        <v>1320</v>
      </c>
      <c r="G85" t="s">
        <v>1321</v>
      </c>
    </row>
    <row r="86" spans="1:7">
      <c r="A86" t="s">
        <v>1333</v>
      </c>
      <c r="B86" s="6"/>
      <c r="C86" s="6"/>
      <c r="D86" s="6">
        <v>2.3528414</v>
      </c>
      <c r="E86" t="s">
        <v>1334</v>
      </c>
    </row>
    <row r="87" spans="1:7">
      <c r="A87" t="s">
        <v>1335</v>
      </c>
      <c r="B87" s="6"/>
      <c r="C87" s="6"/>
      <c r="D87" s="6">
        <v>2.2043675999999999</v>
      </c>
      <c r="E87" t="s">
        <v>1336</v>
      </c>
      <c r="F87" t="s">
        <v>1337</v>
      </c>
    </row>
    <row r="88" spans="1:7">
      <c r="A88" t="s">
        <v>1348</v>
      </c>
      <c r="B88" s="6"/>
      <c r="C88" s="6"/>
      <c r="D88" s="6">
        <v>2.0475178000000001</v>
      </c>
      <c r="E88" t="s">
        <v>1349</v>
      </c>
    </row>
    <row r="89" spans="1:7">
      <c r="A89" t="s">
        <v>1375</v>
      </c>
      <c r="B89" s="6"/>
      <c r="C89" s="6">
        <v>2.3687176999999999</v>
      </c>
      <c r="D89" s="6"/>
      <c r="E89" t="s">
        <v>1358</v>
      </c>
      <c r="F89" t="s">
        <v>1358</v>
      </c>
      <c r="G89" t="s">
        <v>1376</v>
      </c>
    </row>
    <row r="90" spans="1:7">
      <c r="A90" t="s">
        <v>1377</v>
      </c>
      <c r="B90" s="6"/>
      <c r="C90" s="6">
        <v>2.0246200000000001</v>
      </c>
      <c r="D90" s="6"/>
      <c r="E90" t="s">
        <v>1358</v>
      </c>
      <c r="F90" t="s">
        <v>815</v>
      </c>
      <c r="G90" t="s">
        <v>1361</v>
      </c>
    </row>
    <row r="91" spans="1:7">
      <c r="A91" t="s">
        <v>1386</v>
      </c>
      <c r="B91" s="6"/>
      <c r="C91" s="6">
        <v>2.1926793999999998</v>
      </c>
      <c r="D91" s="6"/>
      <c r="E91" t="s">
        <v>1387</v>
      </c>
      <c r="F91" t="s">
        <v>687</v>
      </c>
      <c r="G91" t="s">
        <v>1388</v>
      </c>
    </row>
    <row r="92" spans="1:7">
      <c r="A92" t="s">
        <v>1389</v>
      </c>
      <c r="B92" s="6"/>
      <c r="C92" s="6"/>
      <c r="D92" s="6">
        <v>2.0806985</v>
      </c>
      <c r="E92" t="s">
        <v>1387</v>
      </c>
      <c r="F92" t="s">
        <v>687</v>
      </c>
      <c r="G92" t="s">
        <v>1388</v>
      </c>
    </row>
    <row r="93" spans="1:7">
      <c r="A93" s="3" t="s">
        <v>1395</v>
      </c>
      <c r="B93" s="7"/>
      <c r="C93" s="7"/>
      <c r="D93" s="7">
        <v>2.2210516999999999</v>
      </c>
      <c r="E93" s="3" t="s">
        <v>1391</v>
      </c>
      <c r="F93" s="3" t="s">
        <v>627</v>
      </c>
      <c r="G93" s="3" t="s">
        <v>1392</v>
      </c>
    </row>
    <row r="94" spans="1:7">
      <c r="A94" t="s">
        <v>1418</v>
      </c>
      <c r="B94" s="6"/>
      <c r="C94" s="6">
        <v>2.0054249999999998</v>
      </c>
      <c r="D94" s="6">
        <v>2.3193902999999998</v>
      </c>
      <c r="E94" t="s">
        <v>1415</v>
      </c>
      <c r="F94" t="s">
        <v>604</v>
      </c>
      <c r="G94" t="s">
        <v>1419</v>
      </c>
    </row>
    <row r="95" spans="1:7">
      <c r="A95" t="s">
        <v>1420</v>
      </c>
      <c r="B95" s="6"/>
      <c r="C95" s="6">
        <v>2.0067553999999999</v>
      </c>
      <c r="D95" s="6">
        <v>2.4475513000000002</v>
      </c>
      <c r="E95" t="s">
        <v>1415</v>
      </c>
      <c r="F95" t="s">
        <v>604</v>
      </c>
      <c r="G95" t="s">
        <v>1419</v>
      </c>
    </row>
    <row r="96" spans="1:7">
      <c r="A96" t="s">
        <v>1428</v>
      </c>
      <c r="B96" s="6"/>
      <c r="C96" s="6">
        <v>2.1669068</v>
      </c>
      <c r="D96" s="6"/>
      <c r="E96" t="s">
        <v>1415</v>
      </c>
      <c r="F96" t="s">
        <v>604</v>
      </c>
      <c r="G96" t="s">
        <v>1429</v>
      </c>
    </row>
    <row r="97" spans="1:8">
      <c r="A97" t="s">
        <v>1430</v>
      </c>
      <c r="B97" s="6"/>
      <c r="C97" s="6">
        <v>2.4340787000000002</v>
      </c>
      <c r="D97" s="6"/>
      <c r="E97" t="s">
        <v>1415</v>
      </c>
      <c r="F97" t="s">
        <v>604</v>
      </c>
      <c r="G97" t="s">
        <v>1429</v>
      </c>
    </row>
    <row r="98" spans="1:8">
      <c r="A98" t="s">
        <v>1431</v>
      </c>
      <c r="B98" s="6"/>
      <c r="C98" s="6"/>
      <c r="D98" s="6">
        <v>2.3140429999999999</v>
      </c>
      <c r="E98" t="s">
        <v>1415</v>
      </c>
      <c r="F98" t="s">
        <v>1432</v>
      </c>
      <c r="G98" t="s">
        <v>1424</v>
      </c>
      <c r="H98" t="s">
        <v>1433</v>
      </c>
    </row>
    <row r="99" spans="1:8">
      <c r="A99" t="s">
        <v>1435</v>
      </c>
      <c r="B99" s="6"/>
      <c r="C99" s="6"/>
      <c r="D99" s="6">
        <v>2.2137389999999999</v>
      </c>
      <c r="E99" t="s">
        <v>1436</v>
      </c>
      <c r="F99" t="s">
        <v>1437</v>
      </c>
    </row>
    <row r="100" spans="1:8">
      <c r="A100" t="s">
        <v>2</v>
      </c>
      <c r="B100" s="6"/>
      <c r="C100" s="6">
        <v>2.0227365000000002</v>
      </c>
      <c r="D100" s="6"/>
      <c r="E100" t="s">
        <v>3</v>
      </c>
      <c r="F100" t="s">
        <v>4</v>
      </c>
    </row>
    <row r="101" spans="1:8">
      <c r="A101" t="s">
        <v>12</v>
      </c>
      <c r="B101" s="6"/>
      <c r="C101" s="6">
        <v>3.0654091999999999</v>
      </c>
      <c r="D101" s="6">
        <v>3.3637589999999999</v>
      </c>
      <c r="E101" t="s">
        <v>13</v>
      </c>
    </row>
    <row r="102" spans="1:8">
      <c r="A102" t="s">
        <v>521</v>
      </c>
      <c r="B102" s="6"/>
      <c r="C102" s="6">
        <v>2.6068381999999999</v>
      </c>
      <c r="D102" s="6">
        <v>2.6419009999999998</v>
      </c>
      <c r="E102" t="s">
        <v>519</v>
      </c>
    </row>
    <row r="103" spans="1:8">
      <c r="A103" t="s">
        <v>525</v>
      </c>
      <c r="B103" s="6"/>
      <c r="C103" s="6"/>
      <c r="D103" s="6">
        <v>2.0114497999999998</v>
      </c>
      <c r="E103" t="s">
        <v>519</v>
      </c>
    </row>
    <row r="104" spans="1:8">
      <c r="A104" t="s">
        <v>526</v>
      </c>
      <c r="B104" s="6"/>
      <c r="C104" s="6"/>
      <c r="D104" s="6">
        <v>2.3907056</v>
      </c>
      <c r="E104" t="s">
        <v>527</v>
      </c>
    </row>
    <row r="105" spans="1:8">
      <c r="A105" t="s">
        <v>528</v>
      </c>
      <c r="B105" s="6"/>
      <c r="C105" s="6"/>
      <c r="D105" s="6"/>
      <c r="E105" t="s">
        <v>529</v>
      </c>
    </row>
    <row r="107" spans="1:8">
      <c r="A107">
        <f>COUNTA(A2:A105)</f>
        <v>104</v>
      </c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8"/>
  <sheetViews>
    <sheetView workbookViewId="0">
      <selection activeCell="B14" sqref="B14"/>
    </sheetView>
  </sheetViews>
  <sheetFormatPr defaultRowHeight="12.75"/>
  <cols>
    <col min="1" max="1" width="23" style="5" bestFit="1" customWidth="1"/>
    <col min="2" max="2" width="15.42578125" style="5" bestFit="1" customWidth="1"/>
    <col min="3" max="4" width="17" style="5" bestFit="1" customWidth="1"/>
    <col min="5" max="5" width="15" style="5" bestFit="1" customWidth="1"/>
    <col min="6" max="7" width="16.5703125" style="5" bestFit="1" customWidth="1"/>
    <col min="8" max="8" width="41.28515625" style="5" customWidth="1"/>
    <col min="9" max="9" width="44.7109375" style="5" customWidth="1"/>
    <col min="10" max="10" width="33" style="5" customWidth="1"/>
    <col min="11" max="16384" width="9.140625" style="5"/>
  </cols>
  <sheetData>
    <row r="1" spans="1:10" ht="18">
      <c r="A1" s="8" t="s">
        <v>579</v>
      </c>
      <c r="B1" s="8" t="s">
        <v>151</v>
      </c>
      <c r="C1" s="8" t="s">
        <v>153</v>
      </c>
      <c r="D1" s="8" t="s">
        <v>155</v>
      </c>
      <c r="E1" s="8" t="s">
        <v>150</v>
      </c>
      <c r="F1" s="8" t="s">
        <v>152</v>
      </c>
      <c r="G1" s="8" t="s">
        <v>154</v>
      </c>
      <c r="H1" s="9" t="s">
        <v>580</v>
      </c>
      <c r="I1" s="9" t="s">
        <v>581</v>
      </c>
      <c r="J1" s="9" t="s">
        <v>582</v>
      </c>
    </row>
    <row r="2" spans="1:10">
      <c r="A2" s="5" t="s">
        <v>583</v>
      </c>
      <c r="B2" s="10"/>
      <c r="C2" s="10"/>
      <c r="D2" s="10">
        <v>2.118185</v>
      </c>
      <c r="E2" s="10"/>
      <c r="F2" s="10"/>
      <c r="G2" s="10"/>
      <c r="H2" s="5" t="s">
        <v>584</v>
      </c>
      <c r="I2" s="5" t="s">
        <v>585</v>
      </c>
      <c r="J2" s="5" t="s">
        <v>586</v>
      </c>
    </row>
    <row r="3" spans="1:10">
      <c r="A3" s="5" t="s">
        <v>587</v>
      </c>
      <c r="B3" s="10"/>
      <c r="C3" s="10"/>
      <c r="D3" s="10"/>
      <c r="E3" s="10">
        <v>-3.8402820000000002</v>
      </c>
      <c r="F3" s="10">
        <v>-3.4278940000000002</v>
      </c>
      <c r="G3" s="10">
        <v>-5.6594872000000001</v>
      </c>
      <c r="H3" s="5" t="s">
        <v>588</v>
      </c>
    </row>
    <row r="4" spans="1:10">
      <c r="A4" s="5" t="s">
        <v>589</v>
      </c>
      <c r="B4" s="10"/>
      <c r="C4" s="10"/>
      <c r="D4" s="10"/>
      <c r="E4" s="10">
        <v>-3.0331106000000001</v>
      </c>
      <c r="F4" s="10">
        <v>-3.059596</v>
      </c>
      <c r="G4" s="10">
        <v>-5.2993927000000003</v>
      </c>
      <c r="H4" s="5" t="s">
        <v>590</v>
      </c>
      <c r="I4" s="5" t="s">
        <v>591</v>
      </c>
      <c r="J4" s="5" t="s">
        <v>592</v>
      </c>
    </row>
    <row r="5" spans="1:10">
      <c r="A5" s="5" t="s">
        <v>593</v>
      </c>
      <c r="B5" s="10"/>
      <c r="C5" s="10"/>
      <c r="D5" s="10"/>
      <c r="E5" s="10">
        <v>-2.9202436999999999</v>
      </c>
      <c r="F5" s="10">
        <v>-3.3310876</v>
      </c>
      <c r="G5" s="10">
        <v>-5.7892060000000001</v>
      </c>
      <c r="H5" s="5" t="s">
        <v>590</v>
      </c>
      <c r="I5" s="5" t="s">
        <v>591</v>
      </c>
      <c r="J5" s="5" t="s">
        <v>592</v>
      </c>
    </row>
    <row r="6" spans="1:10">
      <c r="A6" s="5" t="s">
        <v>594</v>
      </c>
      <c r="B6" s="10"/>
      <c r="C6" s="10"/>
      <c r="D6" s="10"/>
      <c r="E6" s="10"/>
      <c r="F6" s="10"/>
      <c r="G6" s="10">
        <v>-2.0015917000000001</v>
      </c>
      <c r="H6" s="5" t="s">
        <v>595</v>
      </c>
      <c r="I6" s="5" t="s">
        <v>591</v>
      </c>
      <c r="J6" s="5" t="s">
        <v>596</v>
      </c>
    </row>
    <row r="7" spans="1:10">
      <c r="A7" s="5" t="s">
        <v>597</v>
      </c>
      <c r="B7" s="10"/>
      <c r="C7" s="10"/>
      <c r="D7" s="10">
        <v>2.1477903999999999</v>
      </c>
      <c r="E7" s="10"/>
      <c r="F7" s="10"/>
      <c r="H7" s="5" t="s">
        <v>598</v>
      </c>
    </row>
    <row r="8" spans="1:10">
      <c r="A8" s="5" t="s">
        <v>599</v>
      </c>
      <c r="B8" s="10"/>
      <c r="C8" s="10"/>
      <c r="D8" s="10">
        <v>2.6921952</v>
      </c>
      <c r="E8" s="10"/>
      <c r="F8" s="10"/>
      <c r="H8" s="5" t="s">
        <v>598</v>
      </c>
    </row>
    <row r="9" spans="1:10">
      <c r="A9" s="5" t="s">
        <v>600</v>
      </c>
      <c r="B9" s="10"/>
      <c r="C9" s="10"/>
      <c r="D9" s="10">
        <v>2.1416917</v>
      </c>
      <c r="E9" s="10"/>
      <c r="F9" s="10"/>
      <c r="G9" s="10"/>
      <c r="H9" s="5" t="s">
        <v>601</v>
      </c>
    </row>
    <row r="10" spans="1:10">
      <c r="A10" s="5" t="s">
        <v>602</v>
      </c>
      <c r="B10" s="10"/>
      <c r="C10" s="10"/>
      <c r="D10" s="10"/>
      <c r="E10" s="10"/>
      <c r="F10" s="10"/>
      <c r="G10" s="10">
        <v>-2.0338769999999999</v>
      </c>
      <c r="H10" s="5" t="s">
        <v>603</v>
      </c>
      <c r="I10" s="5" t="s">
        <v>604</v>
      </c>
      <c r="J10" s="5" t="s">
        <v>605</v>
      </c>
    </row>
    <row r="11" spans="1:10">
      <c r="A11" s="5" t="s">
        <v>606</v>
      </c>
      <c r="B11" s="10"/>
      <c r="C11" s="10"/>
      <c r="D11" s="10"/>
      <c r="E11" s="10"/>
      <c r="F11" s="10">
        <v>-2.3858252000000002</v>
      </c>
      <c r="G11" s="10"/>
      <c r="H11" s="5" t="s">
        <v>607</v>
      </c>
    </row>
    <row r="12" spans="1:10">
      <c r="A12" s="5" t="s">
        <v>608</v>
      </c>
      <c r="B12" s="10"/>
      <c r="C12" s="10"/>
      <c r="D12" s="10"/>
      <c r="E12" s="10">
        <v>-2.9375029000000001</v>
      </c>
      <c r="F12" s="10">
        <v>-3.0255774999999998</v>
      </c>
      <c r="G12" s="10">
        <v>-3.6618338000000001</v>
      </c>
      <c r="H12" s="5" t="s">
        <v>609</v>
      </c>
      <c r="I12" s="5" t="s">
        <v>610</v>
      </c>
      <c r="J12" s="5" t="s">
        <v>611</v>
      </c>
    </row>
    <row r="13" spans="1:10">
      <c r="A13" s="5" t="s">
        <v>612</v>
      </c>
      <c r="B13" s="10"/>
      <c r="C13" s="10"/>
      <c r="D13" s="10"/>
      <c r="E13" s="10">
        <v>-3.2912545</v>
      </c>
      <c r="F13" s="10">
        <v>-3.6411661999999998</v>
      </c>
      <c r="G13" s="10">
        <v>-4.3774246999999997</v>
      </c>
      <c r="H13" s="5" t="s">
        <v>609</v>
      </c>
      <c r="I13" s="5" t="s">
        <v>610</v>
      </c>
      <c r="J13" s="5" t="s">
        <v>611</v>
      </c>
    </row>
    <row r="14" spans="1:10">
      <c r="A14" s="5" t="s">
        <v>613</v>
      </c>
      <c r="B14" s="10"/>
      <c r="C14" s="10"/>
      <c r="D14" s="10"/>
      <c r="E14" s="10">
        <v>-3.2541465999999999</v>
      </c>
      <c r="F14" s="10">
        <v>-3.7440642999999998</v>
      </c>
      <c r="G14" s="10">
        <v>-4.5704184000000003</v>
      </c>
      <c r="H14" s="5" t="s">
        <v>609</v>
      </c>
      <c r="I14" s="5" t="s">
        <v>610</v>
      </c>
      <c r="J14" s="5" t="s">
        <v>611</v>
      </c>
    </row>
    <row r="15" spans="1:10">
      <c r="A15" s="5" t="s">
        <v>614</v>
      </c>
      <c r="B15" s="10"/>
      <c r="C15" s="10"/>
      <c r="D15" s="10"/>
      <c r="E15" s="10"/>
      <c r="F15" s="10">
        <v>-2.0148945</v>
      </c>
      <c r="G15" s="10">
        <v>-2.1888131999999998</v>
      </c>
      <c r="H15" s="5" t="s">
        <v>615</v>
      </c>
      <c r="I15" s="5" t="s">
        <v>616</v>
      </c>
      <c r="J15" s="5" t="s">
        <v>617</v>
      </c>
    </row>
    <row r="16" spans="1:10">
      <c r="A16" s="5" t="s">
        <v>618</v>
      </c>
      <c r="B16" s="10"/>
      <c r="C16" s="10"/>
      <c r="D16" s="10"/>
      <c r="E16" s="10">
        <v>-3.3542589999999999</v>
      </c>
      <c r="F16" s="10">
        <v>-3.1404405</v>
      </c>
      <c r="G16" s="10">
        <v>-5.0528407</v>
      </c>
      <c r="H16" s="5" t="s">
        <v>615</v>
      </c>
      <c r="I16" s="5" t="s">
        <v>616</v>
      </c>
      <c r="J16" s="5" t="s">
        <v>617</v>
      </c>
    </row>
    <row r="17" spans="1:10">
      <c r="A17" s="5" t="s">
        <v>619</v>
      </c>
      <c r="B17" s="10"/>
      <c r="C17" s="10"/>
      <c r="D17" s="10"/>
      <c r="E17" s="10"/>
      <c r="F17" s="10">
        <v>-2.4133624999999999</v>
      </c>
      <c r="G17" s="10"/>
      <c r="H17" s="5" t="s">
        <v>620</v>
      </c>
      <c r="I17" s="5" t="s">
        <v>621</v>
      </c>
      <c r="J17" s="5" t="s">
        <v>622</v>
      </c>
    </row>
    <row r="18" spans="1:10">
      <c r="A18" s="5" t="s">
        <v>623</v>
      </c>
      <c r="B18" s="10"/>
      <c r="C18" s="10"/>
      <c r="D18" s="10"/>
      <c r="E18" s="10"/>
      <c r="F18" s="10"/>
      <c r="G18" s="10"/>
      <c r="H18" s="5" t="s">
        <v>624</v>
      </c>
    </row>
    <row r="19" spans="1:10">
      <c r="A19" s="5" t="s">
        <v>625</v>
      </c>
      <c r="B19" s="10"/>
      <c r="C19" s="10"/>
      <c r="D19" s="10"/>
      <c r="E19" s="10">
        <v>-3.6298778</v>
      </c>
      <c r="F19" s="10">
        <v>-3.4737336999999999</v>
      </c>
      <c r="G19" s="10">
        <v>-6.2222776</v>
      </c>
      <c r="H19" s="5" t="s">
        <v>626</v>
      </c>
      <c r="I19" s="5" t="s">
        <v>627</v>
      </c>
      <c r="J19" s="5" t="s">
        <v>628</v>
      </c>
    </row>
    <row r="20" spans="1:10">
      <c r="A20" s="5" t="s">
        <v>629</v>
      </c>
      <c r="B20" s="10"/>
      <c r="C20" s="10"/>
      <c r="D20" s="10"/>
      <c r="E20" s="10"/>
      <c r="F20" s="10">
        <v>-2.5974819999999998</v>
      </c>
      <c r="G20" s="10"/>
      <c r="H20" s="5" t="s">
        <v>630</v>
      </c>
      <c r="I20" s="5" t="s">
        <v>631</v>
      </c>
      <c r="J20" s="5" t="s">
        <v>632</v>
      </c>
    </row>
    <row r="21" spans="1:10">
      <c r="A21" s="5" t="s">
        <v>633</v>
      </c>
      <c r="B21" s="10"/>
      <c r="C21" s="10">
        <v>2.2374578000000001</v>
      </c>
      <c r="D21" s="10">
        <v>4.0735383000000001</v>
      </c>
      <c r="E21" s="10"/>
      <c r="H21" s="5" t="s">
        <v>634</v>
      </c>
      <c r="I21" s="5" t="s">
        <v>635</v>
      </c>
      <c r="J21" s="5" t="s">
        <v>636</v>
      </c>
    </row>
    <row r="22" spans="1:10">
      <c r="A22" s="5" t="s">
        <v>637</v>
      </c>
      <c r="B22" s="10"/>
      <c r="C22" s="10"/>
      <c r="D22" s="10">
        <v>3.8772473000000001</v>
      </c>
      <c r="E22" s="10"/>
      <c r="H22" s="5" t="s">
        <v>634</v>
      </c>
      <c r="I22" s="5" t="s">
        <v>635</v>
      </c>
      <c r="J22" s="5" t="s">
        <v>636</v>
      </c>
    </row>
    <row r="23" spans="1:10">
      <c r="A23" s="5" t="s">
        <v>638</v>
      </c>
      <c r="B23" s="10"/>
      <c r="C23" s="10"/>
      <c r="D23" s="10">
        <v>2.580606</v>
      </c>
      <c r="E23" s="10"/>
      <c r="H23" s="5" t="s">
        <v>634</v>
      </c>
      <c r="I23" s="5" t="s">
        <v>639</v>
      </c>
      <c r="J23" s="5" t="s">
        <v>636</v>
      </c>
    </row>
    <row r="24" spans="1:10">
      <c r="A24" s="5" t="s">
        <v>640</v>
      </c>
      <c r="B24" s="10"/>
      <c r="C24" s="10"/>
      <c r="D24" s="10"/>
      <c r="E24" s="10"/>
      <c r="F24" s="10"/>
      <c r="G24" s="10"/>
      <c r="H24" s="5" t="s">
        <v>641</v>
      </c>
      <c r="I24" s="5" t="s">
        <v>642</v>
      </c>
      <c r="J24" s="5" t="s">
        <v>643</v>
      </c>
    </row>
    <row r="25" spans="1:10">
      <c r="A25" s="5" t="s">
        <v>644</v>
      </c>
      <c r="B25" s="10"/>
      <c r="C25" s="10"/>
      <c r="D25" s="10"/>
      <c r="E25" s="10"/>
      <c r="F25" s="10"/>
      <c r="G25" s="10">
        <v>-2.0661855</v>
      </c>
      <c r="H25" s="5" t="s">
        <v>645</v>
      </c>
      <c r="I25" s="5" t="s">
        <v>646</v>
      </c>
      <c r="J25" s="5" t="s">
        <v>647</v>
      </c>
    </row>
    <row r="26" spans="1:10">
      <c r="A26" s="5" t="s">
        <v>648</v>
      </c>
      <c r="B26" s="10"/>
      <c r="C26" s="10"/>
      <c r="D26" s="10"/>
      <c r="E26" s="10"/>
      <c r="F26" s="10"/>
      <c r="G26" s="10">
        <v>-2.8667574</v>
      </c>
      <c r="H26" s="5" t="s">
        <v>649</v>
      </c>
      <c r="I26" s="5" t="s">
        <v>650</v>
      </c>
      <c r="J26" s="5" t="s">
        <v>651</v>
      </c>
    </row>
    <row r="27" spans="1:10">
      <c r="A27" s="5" t="s">
        <v>652</v>
      </c>
      <c r="B27" s="10"/>
      <c r="C27" s="10"/>
      <c r="D27" s="10"/>
      <c r="E27" s="10"/>
      <c r="F27" s="10"/>
      <c r="G27" s="10">
        <v>-4.4597154000000003</v>
      </c>
      <c r="H27" s="5" t="s">
        <v>649</v>
      </c>
      <c r="I27" s="5" t="s">
        <v>650</v>
      </c>
      <c r="J27" s="5" t="s">
        <v>651</v>
      </c>
    </row>
    <row r="28" spans="1:10">
      <c r="A28" s="5" t="s">
        <v>653</v>
      </c>
      <c r="B28" s="10"/>
      <c r="C28" s="10"/>
      <c r="D28" s="10"/>
      <c r="E28" s="10">
        <v>-2.9762757</v>
      </c>
      <c r="F28" s="10">
        <v>-4.6078700000000001</v>
      </c>
      <c r="G28" s="10"/>
      <c r="H28" s="5" t="s">
        <v>654</v>
      </c>
      <c r="I28" s="5" t="s">
        <v>655</v>
      </c>
      <c r="J28" s="5" t="s">
        <v>656</v>
      </c>
    </row>
    <row r="29" spans="1:10">
      <c r="A29" s="5" t="s">
        <v>657</v>
      </c>
      <c r="B29" s="10"/>
      <c r="C29" s="10"/>
      <c r="D29" s="10"/>
      <c r="E29" s="10"/>
      <c r="F29" s="10"/>
      <c r="G29" s="10"/>
      <c r="H29" s="5" t="s">
        <v>658</v>
      </c>
      <c r="I29" s="5" t="s">
        <v>659</v>
      </c>
      <c r="J29" s="5" t="s">
        <v>660</v>
      </c>
    </row>
    <row r="30" spans="1:10">
      <c r="A30" s="5" t="s">
        <v>661</v>
      </c>
      <c r="B30" s="10"/>
      <c r="C30" s="10"/>
      <c r="D30" s="10">
        <v>2.2813810999999999</v>
      </c>
      <c r="E30" s="10"/>
      <c r="F30" s="10"/>
      <c r="H30" s="5" t="s">
        <v>658</v>
      </c>
      <c r="J30" s="5" t="s">
        <v>662</v>
      </c>
    </row>
    <row r="31" spans="1:10">
      <c r="A31" s="5" t="s">
        <v>663</v>
      </c>
      <c r="B31" s="10"/>
      <c r="C31" s="10">
        <v>2.4039712</v>
      </c>
      <c r="D31" s="10">
        <v>2.3869429000000002</v>
      </c>
      <c r="E31" s="10"/>
      <c r="H31" s="5" t="s">
        <v>658</v>
      </c>
      <c r="I31" s="5" t="s">
        <v>659</v>
      </c>
    </row>
    <row r="32" spans="1:10">
      <c r="A32" s="5" t="s">
        <v>664</v>
      </c>
      <c r="B32" s="10"/>
      <c r="C32" s="10"/>
      <c r="D32" s="10">
        <v>3.3714118000000002</v>
      </c>
      <c r="E32" s="10"/>
      <c r="F32" s="10"/>
      <c r="H32" s="5" t="s">
        <v>658</v>
      </c>
      <c r="I32" s="5" t="s">
        <v>665</v>
      </c>
      <c r="J32" s="5" t="s">
        <v>660</v>
      </c>
    </row>
    <row r="33" spans="1:10">
      <c r="A33" s="5" t="s">
        <v>666</v>
      </c>
      <c r="B33" s="10"/>
      <c r="C33" s="10"/>
      <c r="D33" s="10">
        <v>2.0066310000000001</v>
      </c>
      <c r="E33" s="10"/>
      <c r="F33" s="10"/>
      <c r="H33" s="5" t="s">
        <v>658</v>
      </c>
      <c r="I33" s="5" t="s">
        <v>665</v>
      </c>
      <c r="J33" s="5" t="s">
        <v>667</v>
      </c>
    </row>
    <row r="34" spans="1:10">
      <c r="A34" s="5" t="s">
        <v>668</v>
      </c>
      <c r="B34" s="10"/>
      <c r="C34" s="10"/>
      <c r="D34" s="10">
        <v>2.2656455000000002</v>
      </c>
      <c r="E34" s="10"/>
      <c r="F34" s="10"/>
      <c r="H34" s="5" t="s">
        <v>658</v>
      </c>
      <c r="I34" s="5" t="s">
        <v>665</v>
      </c>
      <c r="J34" s="5" t="s">
        <v>667</v>
      </c>
    </row>
    <row r="35" spans="1:10">
      <c r="A35" s="5" t="s">
        <v>669</v>
      </c>
      <c r="B35" s="10"/>
      <c r="C35" s="10">
        <v>2.5798644999999998</v>
      </c>
      <c r="D35" s="10"/>
      <c r="E35" s="10"/>
      <c r="F35" s="10"/>
      <c r="H35" s="5" t="s">
        <v>670</v>
      </c>
      <c r="I35" s="5" t="s">
        <v>627</v>
      </c>
      <c r="J35" s="5" t="s">
        <v>671</v>
      </c>
    </row>
    <row r="36" spans="1:10">
      <c r="A36" s="5" t="s">
        <v>672</v>
      </c>
      <c r="B36" s="10"/>
      <c r="C36" s="10"/>
      <c r="D36" s="10">
        <v>4.0991564</v>
      </c>
      <c r="E36" s="10"/>
      <c r="F36" s="10"/>
      <c r="H36" s="5" t="s">
        <v>673</v>
      </c>
      <c r="I36" s="5" t="s">
        <v>674</v>
      </c>
      <c r="J36" s="5" t="s">
        <v>675</v>
      </c>
    </row>
    <row r="37" spans="1:10">
      <c r="A37" s="5" t="s">
        <v>676</v>
      </c>
      <c r="B37" s="10"/>
      <c r="C37" s="10"/>
      <c r="D37" s="10">
        <v>2.5598920000000001</v>
      </c>
      <c r="E37" s="10"/>
      <c r="F37" s="10"/>
      <c r="H37" s="5" t="s">
        <v>673</v>
      </c>
      <c r="I37" s="5" t="s">
        <v>674</v>
      </c>
      <c r="J37" s="5" t="s">
        <v>675</v>
      </c>
    </row>
    <row r="38" spans="1:10">
      <c r="A38" s="5" t="s">
        <v>677</v>
      </c>
      <c r="B38" s="10"/>
      <c r="C38" s="10"/>
      <c r="D38" s="10">
        <v>3.8050527999999999</v>
      </c>
      <c r="E38" s="10"/>
      <c r="F38" s="10"/>
      <c r="H38" s="5" t="s">
        <v>673</v>
      </c>
      <c r="I38" s="5" t="s">
        <v>674</v>
      </c>
      <c r="J38" s="5" t="s">
        <v>675</v>
      </c>
    </row>
    <row r="39" spans="1:10">
      <c r="A39" s="5" t="s">
        <v>678</v>
      </c>
      <c r="B39" s="10"/>
      <c r="C39" s="10">
        <v>2.2229643000000001</v>
      </c>
      <c r="D39" s="10"/>
      <c r="E39" s="10"/>
      <c r="F39" s="10"/>
      <c r="H39" s="5" t="s">
        <v>673</v>
      </c>
      <c r="I39" s="5" t="s">
        <v>674</v>
      </c>
      <c r="J39" s="5" t="s">
        <v>675</v>
      </c>
    </row>
    <row r="40" spans="1:10">
      <c r="A40" s="5" t="s">
        <v>679</v>
      </c>
      <c r="B40" s="10"/>
      <c r="C40" s="10"/>
      <c r="D40" s="10"/>
      <c r="E40" s="10"/>
      <c r="F40" s="10"/>
      <c r="H40" s="5" t="s">
        <v>673</v>
      </c>
      <c r="I40" s="5" t="s">
        <v>674</v>
      </c>
      <c r="J40" s="5" t="s">
        <v>675</v>
      </c>
    </row>
    <row r="41" spans="1:10">
      <c r="A41" s="5" t="s">
        <v>680</v>
      </c>
      <c r="B41" s="10"/>
      <c r="C41" s="10"/>
      <c r="D41" s="10">
        <v>3.3911204000000001</v>
      </c>
      <c r="E41" s="10"/>
      <c r="F41" s="10"/>
      <c r="H41" s="5" t="s">
        <v>673</v>
      </c>
      <c r="I41" s="5" t="s">
        <v>674</v>
      </c>
      <c r="J41" s="5" t="s">
        <v>675</v>
      </c>
    </row>
    <row r="42" spans="1:10">
      <c r="A42" s="5" t="s">
        <v>681</v>
      </c>
      <c r="B42" s="10"/>
      <c r="C42" s="10"/>
      <c r="D42" s="10">
        <v>3.3455663000000002</v>
      </c>
      <c r="E42" s="10"/>
      <c r="F42" s="10"/>
      <c r="H42" s="5" t="s">
        <v>673</v>
      </c>
      <c r="I42" s="5" t="s">
        <v>674</v>
      </c>
      <c r="J42" s="5" t="s">
        <v>675</v>
      </c>
    </row>
    <row r="43" spans="1:10">
      <c r="A43" s="5" t="s">
        <v>682</v>
      </c>
      <c r="B43" s="10"/>
      <c r="C43" s="10"/>
      <c r="D43" s="10"/>
      <c r="E43" s="10"/>
      <c r="F43" s="10"/>
      <c r="H43" s="5" t="s">
        <v>673</v>
      </c>
      <c r="I43" s="5" t="s">
        <v>674</v>
      </c>
      <c r="J43" s="5" t="s">
        <v>675</v>
      </c>
    </row>
    <row r="44" spans="1:10">
      <c r="A44" s="5" t="s">
        <v>683</v>
      </c>
      <c r="B44" s="10"/>
      <c r="C44" s="10"/>
      <c r="D44" s="10">
        <v>4.2127140000000001</v>
      </c>
      <c r="E44" s="10"/>
      <c r="F44" s="10"/>
      <c r="H44" s="5" t="s">
        <v>673</v>
      </c>
      <c r="I44" s="5" t="s">
        <v>674</v>
      </c>
      <c r="J44" s="5" t="s">
        <v>675</v>
      </c>
    </row>
    <row r="45" spans="1:10">
      <c r="A45" s="5" t="s">
        <v>684</v>
      </c>
      <c r="B45" s="10"/>
      <c r="C45" s="10"/>
      <c r="D45" s="10">
        <v>3.0891852000000002</v>
      </c>
      <c r="E45" s="10"/>
      <c r="F45" s="10"/>
      <c r="H45" s="5" t="s">
        <v>673</v>
      </c>
      <c r="I45" s="5" t="s">
        <v>674</v>
      </c>
      <c r="J45" s="5" t="s">
        <v>675</v>
      </c>
    </row>
    <row r="46" spans="1:10">
      <c r="A46" s="5" t="s">
        <v>685</v>
      </c>
      <c r="B46" s="10"/>
      <c r="C46" s="10"/>
      <c r="D46" s="10">
        <v>2.9396334</v>
      </c>
      <c r="E46" s="10"/>
      <c r="F46" s="10"/>
      <c r="H46" s="5" t="s">
        <v>673</v>
      </c>
      <c r="I46" s="5" t="s">
        <v>674</v>
      </c>
      <c r="J46" s="5" t="s">
        <v>675</v>
      </c>
    </row>
    <row r="47" spans="1:10">
      <c r="A47" s="5" t="s">
        <v>542</v>
      </c>
      <c r="B47" s="10"/>
      <c r="C47" s="10"/>
      <c r="D47" s="10"/>
      <c r="E47" s="10"/>
      <c r="F47" s="10"/>
      <c r="G47" s="10">
        <v>-2.5617122999999999</v>
      </c>
      <c r="H47" s="5" t="s">
        <v>145</v>
      </c>
      <c r="I47" s="5" t="s">
        <v>642</v>
      </c>
      <c r="J47" s="5" t="s">
        <v>543</v>
      </c>
    </row>
    <row r="48" spans="1:10">
      <c r="A48" s="5" t="s">
        <v>561</v>
      </c>
      <c r="B48" s="10"/>
      <c r="C48" s="10"/>
      <c r="D48" s="10"/>
      <c r="E48" s="10"/>
      <c r="F48" s="10"/>
      <c r="G48" s="10"/>
      <c r="H48" s="5" t="s">
        <v>145</v>
      </c>
      <c r="I48" s="5" t="s">
        <v>642</v>
      </c>
      <c r="J48" s="5" t="s">
        <v>543</v>
      </c>
    </row>
    <row r="49" spans="1:10">
      <c r="A49" s="5" t="s">
        <v>686</v>
      </c>
      <c r="B49" s="10">
        <v>2.0547390000000001</v>
      </c>
      <c r="C49" s="10">
        <v>2.4695778000000002</v>
      </c>
      <c r="D49" s="10">
        <v>3.5900916999999999</v>
      </c>
      <c r="H49" s="5" t="s">
        <v>687</v>
      </c>
      <c r="I49" s="5" t="s">
        <v>688</v>
      </c>
      <c r="J49" s="5" t="s">
        <v>689</v>
      </c>
    </row>
    <row r="50" spans="1:10">
      <c r="A50" s="5" t="s">
        <v>690</v>
      </c>
      <c r="B50" s="10">
        <v>2.0153908999999999</v>
      </c>
      <c r="C50" s="10">
        <v>2.5564741999999998</v>
      </c>
      <c r="D50" s="10">
        <v>3.7440972000000001</v>
      </c>
      <c r="H50" s="5" t="s">
        <v>687</v>
      </c>
      <c r="I50" s="5" t="s">
        <v>688</v>
      </c>
      <c r="J50" s="5" t="s">
        <v>689</v>
      </c>
    </row>
    <row r="51" spans="1:10">
      <c r="A51" s="5" t="s">
        <v>691</v>
      </c>
      <c r="B51" s="10"/>
      <c r="C51" s="10"/>
      <c r="D51" s="10"/>
      <c r="E51" s="10"/>
      <c r="F51" s="10"/>
      <c r="G51" s="10">
        <v>-2.4750065999999999</v>
      </c>
      <c r="H51" s="5" t="s">
        <v>692</v>
      </c>
      <c r="J51" s="5" t="s">
        <v>693</v>
      </c>
    </row>
    <row r="52" spans="1:10">
      <c r="A52" s="5" t="s">
        <v>694</v>
      </c>
      <c r="B52" s="10"/>
      <c r="C52" s="10"/>
      <c r="D52" s="10"/>
      <c r="E52" s="10"/>
      <c r="F52" s="10"/>
      <c r="G52" s="10">
        <v>-2.7095007999999998</v>
      </c>
      <c r="H52" s="5" t="s">
        <v>692</v>
      </c>
      <c r="J52" s="5" t="s">
        <v>693</v>
      </c>
    </row>
    <row r="53" spans="1:10">
      <c r="A53" s="5" t="s">
        <v>695</v>
      </c>
      <c r="B53" s="10"/>
      <c r="C53" s="10"/>
      <c r="D53" s="10"/>
      <c r="E53" s="10"/>
      <c r="F53" s="10"/>
      <c r="G53" s="10">
        <v>-2.9039983999999999</v>
      </c>
      <c r="H53" s="5" t="s">
        <v>692</v>
      </c>
      <c r="J53" s="5" t="s">
        <v>693</v>
      </c>
    </row>
    <row r="54" spans="1:10">
      <c r="A54" s="5" t="s">
        <v>696</v>
      </c>
      <c r="E54" s="10">
        <v>-2.2350373000000001</v>
      </c>
      <c r="F54" s="10">
        <v>-3.9955753999999999</v>
      </c>
      <c r="G54" s="10">
        <v>-2.6519759999999999</v>
      </c>
      <c r="H54" s="5" t="s">
        <v>692</v>
      </c>
      <c r="J54" s="5" t="s">
        <v>693</v>
      </c>
    </row>
    <row r="55" spans="1:10">
      <c r="A55" s="5" t="s">
        <v>697</v>
      </c>
      <c r="E55" s="10"/>
      <c r="F55" s="10">
        <v>-3.7983427000000001</v>
      </c>
      <c r="G55" s="10">
        <v>-2.7496027999999999</v>
      </c>
      <c r="H55" s="5" t="s">
        <v>692</v>
      </c>
      <c r="J55" s="5" t="s">
        <v>693</v>
      </c>
    </row>
    <row r="56" spans="1:10">
      <c r="A56" s="5" t="s">
        <v>698</v>
      </c>
      <c r="B56" s="10"/>
      <c r="C56" s="10"/>
      <c r="D56" s="10"/>
      <c r="E56" s="10"/>
      <c r="F56" s="10"/>
      <c r="G56" s="10">
        <v>-2.4958086000000002</v>
      </c>
      <c r="H56" s="5" t="s">
        <v>692</v>
      </c>
      <c r="J56" s="5" t="s">
        <v>693</v>
      </c>
    </row>
    <row r="57" spans="1:10">
      <c r="A57" s="5" t="s">
        <v>699</v>
      </c>
      <c r="B57" s="10"/>
      <c r="C57" s="10"/>
      <c r="D57" s="10"/>
      <c r="E57" s="10"/>
      <c r="F57" s="10">
        <v>-2.0047855000000001</v>
      </c>
      <c r="G57" s="10">
        <v>-2.9584627000000001</v>
      </c>
      <c r="H57" s="5" t="s">
        <v>692</v>
      </c>
      <c r="J57" s="5" t="s">
        <v>693</v>
      </c>
    </row>
    <row r="58" spans="1:10">
      <c r="A58" s="5" t="s">
        <v>700</v>
      </c>
      <c r="B58" s="10"/>
      <c r="C58" s="10"/>
      <c r="D58" s="10"/>
      <c r="E58" s="10"/>
      <c r="F58" s="10"/>
      <c r="G58" s="10">
        <v>-2.5249562000000001</v>
      </c>
      <c r="H58" s="5" t="s">
        <v>692</v>
      </c>
      <c r="J58" s="5" t="s">
        <v>693</v>
      </c>
    </row>
    <row r="59" spans="1:10">
      <c r="A59" s="5" t="s">
        <v>701</v>
      </c>
      <c r="B59" s="10"/>
      <c r="C59" s="10"/>
      <c r="D59" s="10"/>
      <c r="E59" s="10"/>
      <c r="F59" s="10"/>
      <c r="G59" s="10">
        <v>-2.3186249999999999</v>
      </c>
      <c r="H59" s="5" t="s">
        <v>692</v>
      </c>
      <c r="J59" s="5" t="s">
        <v>693</v>
      </c>
    </row>
    <row r="60" spans="1:10">
      <c r="A60" s="5" t="s">
        <v>702</v>
      </c>
      <c r="E60" s="10"/>
      <c r="F60" s="10">
        <v>-2.2029342999999999</v>
      </c>
      <c r="G60" s="10"/>
      <c r="H60" s="5" t="s">
        <v>703</v>
      </c>
      <c r="I60" s="5" t="s">
        <v>604</v>
      </c>
      <c r="J60" s="5" t="s">
        <v>704</v>
      </c>
    </row>
    <row r="61" spans="1:10">
      <c r="A61" s="5" t="s">
        <v>705</v>
      </c>
      <c r="E61" s="10">
        <v>-2.0725574</v>
      </c>
      <c r="F61" s="10">
        <v>-2.6502180000000002</v>
      </c>
      <c r="G61" s="10">
        <v>-2.8456372999999999</v>
      </c>
      <c r="H61" s="5" t="s">
        <v>706</v>
      </c>
      <c r="I61" s="5" t="s">
        <v>707</v>
      </c>
      <c r="J61" s="5" t="s">
        <v>708</v>
      </c>
    </row>
    <row r="62" spans="1:10">
      <c r="A62" s="5" t="s">
        <v>709</v>
      </c>
      <c r="B62" s="10"/>
      <c r="C62" s="10"/>
      <c r="D62" s="10"/>
      <c r="E62" s="10"/>
      <c r="F62" s="10"/>
      <c r="G62" s="10"/>
      <c r="H62" s="5" t="s">
        <v>710</v>
      </c>
      <c r="I62" s="5" t="s">
        <v>655</v>
      </c>
      <c r="J62" s="5" t="s">
        <v>711</v>
      </c>
    </row>
    <row r="63" spans="1:10">
      <c r="A63" s="5" t="s">
        <v>712</v>
      </c>
      <c r="E63" s="10">
        <v>-2.0105976999999999</v>
      </c>
      <c r="F63" s="10">
        <v>-3.3419256000000002</v>
      </c>
      <c r="G63" s="10">
        <v>-3.6186289999999999</v>
      </c>
      <c r="H63" s="5" t="s">
        <v>713</v>
      </c>
      <c r="J63" s="5" t="s">
        <v>714</v>
      </c>
    </row>
    <row r="64" spans="1:10">
      <c r="A64" s="5" t="s">
        <v>715</v>
      </c>
      <c r="B64" s="10"/>
      <c r="C64" s="10"/>
      <c r="D64" s="10"/>
      <c r="E64" s="10"/>
      <c r="F64" s="10"/>
      <c r="G64" s="10">
        <v>-2.4287429999999999</v>
      </c>
      <c r="H64" s="5" t="s">
        <v>713</v>
      </c>
      <c r="J64" s="5" t="s">
        <v>716</v>
      </c>
    </row>
    <row r="65" spans="1:11">
      <c r="A65" s="5" t="s">
        <v>717</v>
      </c>
      <c r="B65" s="10"/>
      <c r="C65" s="10"/>
      <c r="D65" s="10"/>
      <c r="E65" s="10"/>
      <c r="F65" s="10"/>
      <c r="G65" s="10">
        <v>-2.0242871999999998</v>
      </c>
      <c r="H65" s="5" t="s">
        <v>713</v>
      </c>
      <c r="J65" s="5" t="s">
        <v>718</v>
      </c>
    </row>
    <row r="66" spans="1:11">
      <c r="A66" s="5" t="s">
        <v>719</v>
      </c>
      <c r="B66" s="10"/>
      <c r="C66" s="10"/>
      <c r="D66" s="10"/>
      <c r="E66" s="10"/>
      <c r="F66" s="10"/>
      <c r="G66" s="10"/>
      <c r="H66" s="5" t="s">
        <v>713</v>
      </c>
      <c r="I66" s="5" t="s">
        <v>627</v>
      </c>
      <c r="J66" s="5" t="s">
        <v>720</v>
      </c>
    </row>
    <row r="67" spans="1:11">
      <c r="A67" s="5" t="s">
        <v>721</v>
      </c>
      <c r="B67" s="10"/>
      <c r="C67" s="10"/>
      <c r="D67" s="10"/>
      <c r="E67" s="10"/>
      <c r="F67" s="10"/>
      <c r="G67" s="10"/>
      <c r="H67" s="5" t="s">
        <v>713</v>
      </c>
      <c r="J67" s="5" t="s">
        <v>722</v>
      </c>
    </row>
    <row r="68" spans="1:11">
      <c r="A68" s="5" t="s">
        <v>723</v>
      </c>
      <c r="B68" s="10"/>
      <c r="C68" s="10"/>
      <c r="D68" s="10"/>
      <c r="E68" s="10">
        <v>-2.9506115999999998</v>
      </c>
      <c r="F68" s="10">
        <v>-3.4669576000000002</v>
      </c>
      <c r="G68" s="10">
        <v>-3.9335789999999999</v>
      </c>
      <c r="H68" s="5" t="s">
        <v>724</v>
      </c>
      <c r="I68" s="5" t="s">
        <v>621</v>
      </c>
      <c r="J68" s="5" t="s">
        <v>725</v>
      </c>
    </row>
    <row r="69" spans="1:11">
      <c r="A69" s="5" t="s">
        <v>726</v>
      </c>
      <c r="B69" s="10"/>
      <c r="C69" s="10"/>
      <c r="D69" s="10"/>
      <c r="E69" s="10"/>
      <c r="F69" s="10"/>
      <c r="G69" s="10">
        <v>-4.0644216999999996</v>
      </c>
      <c r="H69" s="5" t="s">
        <v>727</v>
      </c>
      <c r="I69" s="5" t="s">
        <v>728</v>
      </c>
      <c r="J69" s="5" t="s">
        <v>729</v>
      </c>
    </row>
    <row r="70" spans="1:11">
      <c r="A70" s="5" t="s">
        <v>730</v>
      </c>
      <c r="B70" s="10"/>
      <c r="C70" s="10"/>
      <c r="D70" s="10"/>
      <c r="E70" s="10"/>
      <c r="F70" s="10"/>
      <c r="G70" s="10">
        <v>-2.1049275000000001</v>
      </c>
      <c r="H70" s="5" t="s">
        <v>731</v>
      </c>
      <c r="I70" s="5" t="s">
        <v>627</v>
      </c>
      <c r="J70" s="5" t="s">
        <v>732</v>
      </c>
    </row>
    <row r="71" spans="1:11">
      <c r="A71" s="5" t="s">
        <v>733</v>
      </c>
      <c r="B71" s="10"/>
      <c r="C71" s="10"/>
      <c r="D71" s="10"/>
      <c r="E71" s="10"/>
      <c r="F71" s="10"/>
      <c r="G71" s="10">
        <v>-2.1717577000000001</v>
      </c>
      <c r="H71" s="5" t="s">
        <v>734</v>
      </c>
      <c r="I71" s="5" t="s">
        <v>735</v>
      </c>
      <c r="J71" s="5" t="s">
        <v>736</v>
      </c>
      <c r="K71" s="5" t="s">
        <v>737</v>
      </c>
    </row>
    <row r="72" spans="1:11">
      <c r="A72" s="5" t="s">
        <v>738</v>
      </c>
      <c r="B72" s="10"/>
      <c r="C72" s="10"/>
      <c r="D72" s="10"/>
      <c r="E72" s="10"/>
      <c r="F72" s="10"/>
      <c r="G72" s="10">
        <v>-2.1405911</v>
      </c>
      <c r="H72" s="5" t="s">
        <v>739</v>
      </c>
      <c r="I72" s="5" t="s">
        <v>740</v>
      </c>
      <c r="J72" s="5" t="s">
        <v>741</v>
      </c>
    </row>
    <row r="73" spans="1:11">
      <c r="A73" s="5" t="s">
        <v>742</v>
      </c>
      <c r="B73" s="10"/>
      <c r="C73" s="10"/>
      <c r="D73" s="10"/>
      <c r="E73" s="10"/>
      <c r="F73" s="10"/>
      <c r="G73" s="10">
        <v>-2.1975546000000001</v>
      </c>
      <c r="H73" s="5" t="s">
        <v>743</v>
      </c>
      <c r="I73" s="5" t="s">
        <v>744</v>
      </c>
      <c r="J73" s="5" t="s">
        <v>745</v>
      </c>
    </row>
    <row r="74" spans="1:11">
      <c r="A74" s="5" t="s">
        <v>746</v>
      </c>
      <c r="B74" s="10"/>
      <c r="C74" s="10"/>
      <c r="D74" s="10"/>
      <c r="E74" s="10"/>
      <c r="F74" s="10">
        <v>-2.4813094000000002</v>
      </c>
      <c r="G74" s="10"/>
      <c r="H74" s="5" t="s">
        <v>747</v>
      </c>
      <c r="I74" s="5" t="s">
        <v>642</v>
      </c>
      <c r="J74" s="5" t="s">
        <v>748</v>
      </c>
    </row>
    <row r="75" spans="1:11">
      <c r="A75" s="5" t="s">
        <v>749</v>
      </c>
      <c r="B75" s="10"/>
      <c r="C75" s="10"/>
      <c r="D75" s="10"/>
      <c r="E75" s="10">
        <v>-2.8065349999999998</v>
      </c>
      <c r="F75" s="10">
        <v>-3.2967240000000002</v>
      </c>
      <c r="G75" s="10">
        <v>-2.1919072000000002</v>
      </c>
      <c r="H75" s="5" t="s">
        <v>747</v>
      </c>
      <c r="I75" s="5" t="s">
        <v>642</v>
      </c>
      <c r="J75" s="5" t="s">
        <v>748</v>
      </c>
    </row>
    <row r="76" spans="1:11">
      <c r="A76" s="5" t="s">
        <v>750</v>
      </c>
      <c r="B76" s="10"/>
      <c r="C76" s="10"/>
      <c r="D76" s="10"/>
      <c r="E76" s="10"/>
      <c r="F76" s="10"/>
      <c r="G76" s="10">
        <v>-2.0978823000000002</v>
      </c>
      <c r="H76" s="5" t="s">
        <v>751</v>
      </c>
      <c r="I76" s="5" t="s">
        <v>642</v>
      </c>
      <c r="J76" s="5" t="s">
        <v>752</v>
      </c>
    </row>
    <row r="77" spans="1:11">
      <c r="A77" s="5" t="s">
        <v>753</v>
      </c>
      <c r="B77" s="10"/>
      <c r="C77" s="10"/>
      <c r="D77" s="10"/>
      <c r="E77" s="10"/>
      <c r="F77" s="10"/>
      <c r="G77" s="10">
        <v>-2.033525</v>
      </c>
      <c r="H77" s="5" t="s">
        <v>754</v>
      </c>
      <c r="I77" s="5" t="s">
        <v>755</v>
      </c>
      <c r="J77" s="5" t="s">
        <v>756</v>
      </c>
    </row>
    <row r="78" spans="1:11">
      <c r="A78" s="5" t="s">
        <v>757</v>
      </c>
      <c r="B78" s="10"/>
      <c r="C78" s="10"/>
      <c r="D78" s="10"/>
      <c r="E78" s="10"/>
      <c r="F78" s="10"/>
      <c r="G78" s="10">
        <v>-4.1266803999999997</v>
      </c>
      <c r="H78" s="5" t="s">
        <v>754</v>
      </c>
      <c r="I78" s="5" t="s">
        <v>755</v>
      </c>
      <c r="J78" s="5" t="s">
        <v>756</v>
      </c>
    </row>
    <row r="79" spans="1:11">
      <c r="A79" s="5" t="s">
        <v>758</v>
      </c>
      <c r="B79" s="10"/>
      <c r="C79" s="10"/>
      <c r="D79" s="10"/>
      <c r="E79" s="10"/>
      <c r="F79" s="10"/>
      <c r="G79" s="10">
        <v>-2.1746454000000002</v>
      </c>
      <c r="H79" s="5" t="s">
        <v>754</v>
      </c>
      <c r="I79" s="5" t="s">
        <v>755</v>
      </c>
      <c r="J79" s="5" t="s">
        <v>759</v>
      </c>
    </row>
    <row r="80" spans="1:11">
      <c r="A80" s="5" t="s">
        <v>760</v>
      </c>
      <c r="B80" s="10"/>
      <c r="C80" s="10"/>
      <c r="D80" s="10"/>
      <c r="E80" s="10"/>
      <c r="F80" s="10"/>
      <c r="G80" s="10">
        <v>-3.8278989999999999</v>
      </c>
      <c r="H80" s="5" t="s">
        <v>761</v>
      </c>
      <c r="I80" s="5" t="s">
        <v>755</v>
      </c>
      <c r="J80" s="5" t="s">
        <v>762</v>
      </c>
    </row>
    <row r="81" spans="1:10">
      <c r="A81" s="5" t="s">
        <v>763</v>
      </c>
      <c r="B81" s="10"/>
      <c r="C81" s="10"/>
      <c r="D81" s="10"/>
      <c r="E81" s="10"/>
      <c r="F81" s="10"/>
      <c r="G81" s="10">
        <v>-3.9244967000000002</v>
      </c>
      <c r="H81" s="5" t="s">
        <v>761</v>
      </c>
      <c r="I81" s="5" t="s">
        <v>755</v>
      </c>
      <c r="J81" s="5" t="s">
        <v>762</v>
      </c>
    </row>
    <row r="82" spans="1:10">
      <c r="A82" s="5" t="s">
        <v>764</v>
      </c>
      <c r="B82" s="10"/>
      <c r="C82" s="10"/>
      <c r="D82" s="10"/>
      <c r="E82" s="10"/>
      <c r="F82" s="10"/>
      <c r="G82" s="10">
        <v>-2.5612750000000002</v>
      </c>
      <c r="H82" s="5" t="s">
        <v>761</v>
      </c>
      <c r="I82" s="5" t="s">
        <v>755</v>
      </c>
      <c r="J82" s="5" t="s">
        <v>762</v>
      </c>
    </row>
    <row r="83" spans="1:10">
      <c r="A83" s="5" t="s">
        <v>765</v>
      </c>
      <c r="B83" s="10">
        <v>4.0937960000000002</v>
      </c>
      <c r="C83" s="10">
        <v>4.6559524999999997</v>
      </c>
      <c r="D83" s="10">
        <v>2.638754</v>
      </c>
      <c r="H83" s="5" t="s">
        <v>1198</v>
      </c>
      <c r="I83" s="5" t="s">
        <v>621</v>
      </c>
    </row>
    <row r="84" spans="1:10">
      <c r="A84" s="5" t="s">
        <v>566</v>
      </c>
      <c r="B84" s="10"/>
      <c r="C84" s="10"/>
      <c r="D84" s="10"/>
      <c r="E84" s="10"/>
      <c r="F84" s="10"/>
      <c r="G84" s="10">
        <v>-2.4179176999999998</v>
      </c>
      <c r="H84" s="5" t="s">
        <v>139</v>
      </c>
      <c r="I84" s="5" t="s">
        <v>642</v>
      </c>
      <c r="J84" s="5" t="s">
        <v>140</v>
      </c>
    </row>
    <row r="85" spans="1:10">
      <c r="A85" s="5" t="s">
        <v>767</v>
      </c>
      <c r="B85" s="10"/>
      <c r="C85" s="10"/>
      <c r="D85" s="10">
        <v>2.5553498000000001</v>
      </c>
      <c r="E85" s="10"/>
      <c r="F85" s="10"/>
      <c r="G85" s="10"/>
      <c r="H85" s="5" t="s">
        <v>768</v>
      </c>
    </row>
    <row r="86" spans="1:10">
      <c r="A86" s="5" t="s">
        <v>769</v>
      </c>
      <c r="B86" s="10"/>
      <c r="C86" s="10"/>
      <c r="D86" s="10">
        <v>2.1183972</v>
      </c>
      <c r="E86" s="10"/>
      <c r="F86" s="10"/>
      <c r="G86" s="10"/>
      <c r="H86" s="5" t="s">
        <v>770</v>
      </c>
      <c r="J86" s="5" t="s">
        <v>771</v>
      </c>
    </row>
    <row r="87" spans="1:10">
      <c r="A87" s="5" t="s">
        <v>772</v>
      </c>
      <c r="B87" s="10"/>
      <c r="C87" s="10">
        <v>2.7156457999999999</v>
      </c>
      <c r="D87" s="10"/>
      <c r="E87" s="10"/>
      <c r="F87" s="10"/>
      <c r="G87" s="10"/>
      <c r="H87" s="5" t="s">
        <v>773</v>
      </c>
      <c r="I87" s="5" t="s">
        <v>774</v>
      </c>
      <c r="J87" s="5" t="s">
        <v>775</v>
      </c>
    </row>
    <row r="88" spans="1:10">
      <c r="A88" s="5" t="s">
        <v>776</v>
      </c>
      <c r="B88" s="10"/>
      <c r="C88" s="10"/>
      <c r="D88" s="10"/>
      <c r="E88" s="10"/>
      <c r="F88" s="10"/>
      <c r="G88" s="10"/>
      <c r="H88" s="5" t="s">
        <v>777</v>
      </c>
      <c r="I88" s="5" t="s">
        <v>778</v>
      </c>
    </row>
    <row r="89" spans="1:10">
      <c r="A89" s="5" t="s">
        <v>779</v>
      </c>
      <c r="B89" s="10"/>
      <c r="C89" s="10"/>
      <c r="D89" s="10"/>
      <c r="E89" s="10"/>
      <c r="F89" s="10"/>
      <c r="G89" s="10"/>
      <c r="H89" s="5" t="s">
        <v>777</v>
      </c>
      <c r="I89" s="5" t="s">
        <v>778</v>
      </c>
    </row>
    <row r="90" spans="1:10">
      <c r="A90" s="5" t="s">
        <v>780</v>
      </c>
      <c r="B90" s="10"/>
      <c r="C90" s="10"/>
      <c r="D90" s="10"/>
      <c r="E90" s="10"/>
      <c r="F90" s="10">
        <v>-2.4915338</v>
      </c>
      <c r="G90" s="10"/>
      <c r="H90" s="5" t="s">
        <v>781</v>
      </c>
      <c r="I90" s="5" t="s">
        <v>655</v>
      </c>
      <c r="J90" s="5" t="s">
        <v>782</v>
      </c>
    </row>
    <row r="91" spans="1:10">
      <c r="A91" s="5" t="s">
        <v>783</v>
      </c>
      <c r="B91" s="10"/>
      <c r="C91" s="10"/>
      <c r="D91" s="10"/>
      <c r="E91" s="10"/>
      <c r="F91" s="10"/>
      <c r="G91" s="10">
        <v>-2.0419770000000002</v>
      </c>
      <c r="H91" s="5" t="s">
        <v>781</v>
      </c>
      <c r="I91" s="5" t="s">
        <v>655</v>
      </c>
      <c r="J91" s="5" t="s">
        <v>782</v>
      </c>
    </row>
    <row r="92" spans="1:10">
      <c r="A92" s="5" t="s">
        <v>784</v>
      </c>
      <c r="B92" s="10"/>
      <c r="C92" s="10"/>
      <c r="D92" s="10"/>
      <c r="E92" s="10"/>
      <c r="F92" s="10"/>
      <c r="G92" s="10">
        <v>-3.2744384000000002</v>
      </c>
      <c r="H92" s="5" t="s">
        <v>785</v>
      </c>
      <c r="I92" s="5" t="s">
        <v>786</v>
      </c>
      <c r="J92" s="5" t="s">
        <v>787</v>
      </c>
    </row>
    <row r="93" spans="1:10">
      <c r="A93" s="5" t="s">
        <v>788</v>
      </c>
      <c r="B93" s="10"/>
      <c r="C93" s="10"/>
      <c r="D93" s="10"/>
      <c r="E93" s="10"/>
      <c r="F93" s="10"/>
      <c r="G93" s="10">
        <v>-2.2939571999999999</v>
      </c>
      <c r="H93" s="5" t="s">
        <v>789</v>
      </c>
      <c r="J93" s="5" t="s">
        <v>790</v>
      </c>
    </row>
    <row r="94" spans="1:10">
      <c r="A94" s="5" t="s">
        <v>791</v>
      </c>
      <c r="B94" s="10"/>
      <c r="C94" s="10"/>
      <c r="D94" s="10"/>
      <c r="E94" s="10"/>
      <c r="F94" s="10">
        <v>-2.5802502999999999</v>
      </c>
      <c r="G94" s="10"/>
      <c r="H94" s="5" t="s">
        <v>792</v>
      </c>
    </row>
    <row r="95" spans="1:10">
      <c r="A95" s="5" t="s">
        <v>793</v>
      </c>
      <c r="B95" s="10"/>
      <c r="C95" s="10"/>
      <c r="D95" s="10"/>
      <c r="E95" s="10"/>
      <c r="F95" s="10"/>
      <c r="G95" s="10">
        <v>-2.0031047000000002</v>
      </c>
      <c r="H95" s="5" t="s">
        <v>794</v>
      </c>
    </row>
    <row r="96" spans="1:10">
      <c r="A96" s="5" t="s">
        <v>795</v>
      </c>
      <c r="B96" s="10"/>
      <c r="C96" s="10"/>
      <c r="D96" s="10"/>
      <c r="E96" s="10"/>
      <c r="F96" s="10"/>
      <c r="G96" s="10"/>
      <c r="H96" s="5" t="s">
        <v>794</v>
      </c>
    </row>
    <row r="97" spans="1:10">
      <c r="A97" s="5" t="s">
        <v>796</v>
      </c>
      <c r="B97" s="10"/>
      <c r="C97" s="10"/>
      <c r="D97" s="10"/>
      <c r="E97" s="10">
        <v>-2.2975278000000001</v>
      </c>
      <c r="F97" s="10">
        <v>-2.6770520000000002</v>
      </c>
      <c r="G97" s="10"/>
      <c r="H97" s="5" t="s">
        <v>660</v>
      </c>
    </row>
    <row r="98" spans="1:10">
      <c r="A98" s="5" t="s">
        <v>797</v>
      </c>
      <c r="B98" s="10"/>
      <c r="C98" s="10"/>
      <c r="D98" s="10"/>
      <c r="E98" s="10">
        <v>-3.6621543999999999</v>
      </c>
      <c r="F98" s="10">
        <v>-4.1896962999999996</v>
      </c>
      <c r="G98" s="10">
        <v>-2.5971215000000001</v>
      </c>
      <c r="H98" s="5" t="s">
        <v>798</v>
      </c>
    </row>
    <row r="99" spans="1:10">
      <c r="A99" s="5" t="s">
        <v>799</v>
      </c>
      <c r="B99" s="10"/>
      <c r="C99" s="10"/>
      <c r="D99" s="10"/>
      <c r="E99" s="10"/>
      <c r="F99" s="10"/>
      <c r="G99" s="10">
        <v>-2.5297464999999999</v>
      </c>
      <c r="H99" s="5" t="s">
        <v>800</v>
      </c>
    </row>
    <row r="100" spans="1:10">
      <c r="A100" s="5" t="s">
        <v>801</v>
      </c>
      <c r="B100" s="10"/>
      <c r="C100" s="10"/>
      <c r="D100" s="10"/>
      <c r="E100" s="10"/>
      <c r="F100" s="10"/>
      <c r="G100" s="10">
        <v>-2.3599929999999998</v>
      </c>
      <c r="H100" s="5" t="s">
        <v>802</v>
      </c>
      <c r="J100" s="5" t="s">
        <v>803</v>
      </c>
    </row>
    <row r="101" spans="1:10">
      <c r="A101" s="5" t="s">
        <v>804</v>
      </c>
      <c r="B101" s="10"/>
      <c r="C101" s="10"/>
      <c r="D101" s="10"/>
      <c r="E101" s="10"/>
      <c r="F101" s="10"/>
      <c r="G101" s="10">
        <v>-2.0204629999999999</v>
      </c>
      <c r="H101" s="5" t="s">
        <v>802</v>
      </c>
      <c r="J101" s="5" t="s">
        <v>803</v>
      </c>
    </row>
    <row r="102" spans="1:10">
      <c r="A102" s="5" t="s">
        <v>805</v>
      </c>
      <c r="B102" s="10"/>
      <c r="C102" s="10"/>
      <c r="E102" s="10"/>
      <c r="F102" s="10"/>
      <c r="G102" s="10">
        <v>-2.1033254000000001</v>
      </c>
      <c r="H102" s="5" t="s">
        <v>802</v>
      </c>
    </row>
    <row r="103" spans="1:10">
      <c r="A103" s="5" t="s">
        <v>806</v>
      </c>
      <c r="B103" s="10"/>
      <c r="C103" s="10"/>
      <c r="D103" s="10"/>
      <c r="E103" s="10"/>
      <c r="F103" s="10"/>
      <c r="G103" s="10">
        <v>-2.4801392999999998</v>
      </c>
      <c r="H103" s="5" t="s">
        <v>802</v>
      </c>
      <c r="J103" s="5" t="s">
        <v>803</v>
      </c>
    </row>
    <row r="104" spans="1:10">
      <c r="A104" s="5" t="s">
        <v>807</v>
      </c>
      <c r="E104" s="10">
        <v>-2.5733961999999999</v>
      </c>
      <c r="F104" s="10">
        <v>-2.6139326000000001</v>
      </c>
      <c r="G104" s="10">
        <v>-2.5278</v>
      </c>
      <c r="H104" s="5" t="s">
        <v>802</v>
      </c>
      <c r="J104" s="5" t="s">
        <v>803</v>
      </c>
    </row>
    <row r="105" spans="1:10">
      <c r="A105" s="5" t="s">
        <v>808</v>
      </c>
      <c r="B105" s="10"/>
      <c r="C105" s="10"/>
      <c r="D105" s="10"/>
      <c r="E105" s="10"/>
      <c r="F105" s="10">
        <v>-2.3044311999999998</v>
      </c>
      <c r="G105" s="10"/>
      <c r="H105" s="5" t="s">
        <v>802</v>
      </c>
      <c r="J105" s="5" t="s">
        <v>803</v>
      </c>
    </row>
    <row r="106" spans="1:10">
      <c r="A106" s="5" t="s">
        <v>809</v>
      </c>
      <c r="B106" s="10"/>
      <c r="C106" s="10"/>
      <c r="D106" s="10"/>
      <c r="E106" s="10"/>
      <c r="F106" s="10"/>
      <c r="G106" s="10">
        <v>-2.2246717999999999</v>
      </c>
      <c r="H106" s="5" t="s">
        <v>802</v>
      </c>
      <c r="J106" s="5" t="s">
        <v>803</v>
      </c>
    </row>
    <row r="107" spans="1:10">
      <c r="A107" s="5" t="s">
        <v>810</v>
      </c>
      <c r="B107" s="10"/>
      <c r="C107" s="10"/>
      <c r="D107" s="10"/>
      <c r="E107" s="10"/>
      <c r="F107" s="10"/>
      <c r="G107" s="10">
        <v>-2.1982694</v>
      </c>
      <c r="H107" s="5" t="s">
        <v>802</v>
      </c>
      <c r="J107" s="5" t="s">
        <v>803</v>
      </c>
    </row>
    <row r="108" spans="1:10">
      <c r="A108" s="5" t="s">
        <v>811</v>
      </c>
      <c r="B108" s="10"/>
      <c r="C108" s="10"/>
      <c r="D108" s="10"/>
      <c r="E108" s="10"/>
      <c r="F108" s="10">
        <v>-2.0628555</v>
      </c>
      <c r="G108" s="10"/>
      <c r="H108" s="5" t="s">
        <v>802</v>
      </c>
      <c r="J108" s="5" t="s">
        <v>803</v>
      </c>
    </row>
    <row r="109" spans="1:10">
      <c r="A109" s="5" t="s">
        <v>812</v>
      </c>
      <c r="B109" s="10"/>
      <c r="C109" s="10"/>
      <c r="D109" s="10"/>
      <c r="E109" s="10"/>
      <c r="F109" s="10"/>
      <c r="G109" s="10">
        <v>-2.8936557999999999</v>
      </c>
      <c r="H109" s="5" t="s">
        <v>802</v>
      </c>
      <c r="J109" s="5" t="s">
        <v>803</v>
      </c>
    </row>
    <row r="110" spans="1:10">
      <c r="A110" s="5" t="s">
        <v>813</v>
      </c>
      <c r="B110" s="10"/>
      <c r="C110" s="10"/>
      <c r="D110" s="10"/>
      <c r="E110" s="10"/>
      <c r="F110" s="10"/>
      <c r="G110" s="10"/>
      <c r="H110" s="5" t="s">
        <v>802</v>
      </c>
      <c r="J110" s="5" t="s">
        <v>803</v>
      </c>
    </row>
    <row r="111" spans="1:10">
      <c r="A111" s="5" t="s">
        <v>814</v>
      </c>
      <c r="B111" s="10"/>
      <c r="C111" s="10"/>
      <c r="D111" s="10"/>
      <c r="E111" s="10"/>
      <c r="F111" s="10"/>
      <c r="G111" s="10">
        <v>-2.1856450000000001</v>
      </c>
      <c r="H111" s="5" t="s">
        <v>802</v>
      </c>
      <c r="I111" s="5" t="s">
        <v>815</v>
      </c>
      <c r="J111" s="5" t="s">
        <v>816</v>
      </c>
    </row>
    <row r="112" spans="1:10">
      <c r="A112" s="5" t="s">
        <v>817</v>
      </c>
      <c r="B112" s="10"/>
      <c r="C112" s="10"/>
      <c r="D112" s="10"/>
      <c r="E112" s="10"/>
      <c r="F112" s="10"/>
      <c r="G112" s="10"/>
      <c r="H112" s="5" t="s">
        <v>802</v>
      </c>
      <c r="J112" s="5" t="s">
        <v>803</v>
      </c>
    </row>
    <row r="113" spans="1:10">
      <c r="A113" s="5" t="s">
        <v>818</v>
      </c>
      <c r="B113" s="10"/>
      <c r="C113" s="10"/>
      <c r="D113" s="10"/>
      <c r="E113" s="10"/>
      <c r="F113" s="10">
        <v>-2.8280677999999999</v>
      </c>
      <c r="G113" s="10">
        <v>-3.6198977999999999</v>
      </c>
      <c r="H113" s="5" t="s">
        <v>802</v>
      </c>
      <c r="J113" s="5" t="s">
        <v>803</v>
      </c>
    </row>
    <row r="114" spans="1:10">
      <c r="A114" s="5" t="s">
        <v>819</v>
      </c>
      <c r="B114" s="10"/>
      <c r="C114" s="10"/>
      <c r="D114" s="10"/>
      <c r="E114" s="10"/>
      <c r="F114" s="10"/>
      <c r="G114" s="10">
        <v>-2.8447464</v>
      </c>
      <c r="H114" s="5" t="s">
        <v>802</v>
      </c>
      <c r="J114" s="5" t="s">
        <v>803</v>
      </c>
    </row>
    <row r="115" spans="1:10">
      <c r="A115" s="5" t="s">
        <v>820</v>
      </c>
      <c r="B115" s="10"/>
      <c r="C115" s="10"/>
      <c r="D115" s="10"/>
      <c r="E115" s="10"/>
      <c r="F115" s="10"/>
      <c r="G115" s="10">
        <v>-2.5789369999999998</v>
      </c>
      <c r="H115" s="5" t="s">
        <v>802</v>
      </c>
      <c r="J115" s="5" t="s">
        <v>803</v>
      </c>
    </row>
    <row r="116" spans="1:10">
      <c r="A116" s="5" t="s">
        <v>821</v>
      </c>
      <c r="B116" s="10"/>
      <c r="C116" s="10"/>
      <c r="D116" s="10"/>
      <c r="E116" s="10"/>
      <c r="F116" s="10"/>
      <c r="G116" s="10">
        <v>-2.484013</v>
      </c>
      <c r="H116" s="5" t="s">
        <v>802</v>
      </c>
      <c r="I116" s="5" t="s">
        <v>822</v>
      </c>
      <c r="J116" s="5" t="s">
        <v>823</v>
      </c>
    </row>
    <row r="117" spans="1:10">
      <c r="A117" s="5" t="s">
        <v>824</v>
      </c>
      <c r="B117" s="10"/>
      <c r="C117" s="10"/>
      <c r="D117" s="10"/>
      <c r="E117" s="10"/>
      <c r="F117" s="10"/>
      <c r="G117" s="10">
        <v>-2.1538309999999998</v>
      </c>
      <c r="H117" s="5" t="s">
        <v>802</v>
      </c>
      <c r="I117" s="5" t="s">
        <v>822</v>
      </c>
      <c r="J117" s="5" t="s">
        <v>823</v>
      </c>
    </row>
    <row r="118" spans="1:10">
      <c r="A118" s="5" t="s">
        <v>825</v>
      </c>
      <c r="B118" s="10"/>
      <c r="C118" s="10"/>
      <c r="D118" s="10"/>
      <c r="E118" s="10"/>
      <c r="F118" s="10"/>
      <c r="G118" s="10">
        <v>-2.1019801999999999</v>
      </c>
      <c r="H118" s="5" t="s">
        <v>802</v>
      </c>
      <c r="J118" s="5" t="s">
        <v>838</v>
      </c>
    </row>
    <row r="119" spans="1:10">
      <c r="A119" s="5" t="s">
        <v>839</v>
      </c>
      <c r="B119" s="10"/>
      <c r="C119" s="10"/>
      <c r="D119" s="10"/>
      <c r="E119" s="10"/>
      <c r="F119" s="10"/>
      <c r="G119" s="10">
        <v>-2.3835812000000001</v>
      </c>
      <c r="H119" s="5" t="s">
        <v>802</v>
      </c>
      <c r="I119" s="5" t="s">
        <v>840</v>
      </c>
    </row>
    <row r="120" spans="1:10">
      <c r="A120" s="5" t="s">
        <v>841</v>
      </c>
      <c r="B120" s="10"/>
      <c r="C120" s="10"/>
      <c r="D120" s="10"/>
      <c r="E120" s="10"/>
      <c r="F120" s="10"/>
      <c r="G120" s="10">
        <v>-2.895092</v>
      </c>
      <c r="H120" s="5" t="s">
        <v>802</v>
      </c>
      <c r="I120" s="5" t="s">
        <v>842</v>
      </c>
      <c r="J120" s="5" t="s">
        <v>843</v>
      </c>
    </row>
    <row r="121" spans="1:10">
      <c r="A121" s="5" t="s">
        <v>844</v>
      </c>
      <c r="B121" s="10"/>
      <c r="C121" s="10"/>
      <c r="D121" s="10"/>
      <c r="E121" s="10"/>
      <c r="F121" s="10"/>
      <c r="G121" s="10">
        <v>-2.1190476</v>
      </c>
      <c r="H121" s="5" t="s">
        <v>802</v>
      </c>
      <c r="I121" s="5" t="s">
        <v>815</v>
      </c>
      <c r="J121" s="5" t="s">
        <v>845</v>
      </c>
    </row>
    <row r="122" spans="1:10">
      <c r="A122" s="5" t="s">
        <v>846</v>
      </c>
      <c r="B122" s="10"/>
      <c r="C122" s="10"/>
      <c r="D122" s="10"/>
      <c r="E122" s="10"/>
      <c r="F122" s="10">
        <v>-2.4425210000000002</v>
      </c>
      <c r="G122" s="10">
        <v>-2.7323607999999999</v>
      </c>
      <c r="H122" s="5" t="s">
        <v>802</v>
      </c>
      <c r="I122" s="5" t="s">
        <v>815</v>
      </c>
      <c r="J122" s="5" t="s">
        <v>847</v>
      </c>
    </row>
    <row r="123" spans="1:10">
      <c r="A123" s="5" t="s">
        <v>848</v>
      </c>
      <c r="B123" s="10"/>
      <c r="C123" s="10"/>
      <c r="D123" s="10"/>
      <c r="E123" s="10"/>
      <c r="F123" s="10"/>
      <c r="G123" s="10">
        <v>-2.1260886000000001</v>
      </c>
      <c r="H123" s="5" t="s">
        <v>802</v>
      </c>
      <c r="J123" s="5" t="s">
        <v>803</v>
      </c>
    </row>
    <row r="124" spans="1:10">
      <c r="A124" s="5" t="s">
        <v>849</v>
      </c>
      <c r="B124" s="10"/>
      <c r="C124" s="10"/>
      <c r="D124" s="10"/>
      <c r="E124" s="10"/>
      <c r="F124" s="10">
        <v>-2.2862</v>
      </c>
      <c r="G124" s="10">
        <v>-2.3730745</v>
      </c>
      <c r="H124" s="5" t="s">
        <v>802</v>
      </c>
      <c r="I124" s="5" t="s">
        <v>815</v>
      </c>
      <c r="J124" s="5" t="s">
        <v>847</v>
      </c>
    </row>
    <row r="125" spans="1:10">
      <c r="A125" s="5" t="s">
        <v>850</v>
      </c>
      <c r="E125" s="10">
        <v>-2.5684513999999998</v>
      </c>
      <c r="F125" s="10">
        <v>-2.7728028</v>
      </c>
      <c r="G125" s="10">
        <v>-2.5567280000000001</v>
      </c>
      <c r="H125" s="5" t="s">
        <v>802</v>
      </c>
      <c r="J125" s="5" t="s">
        <v>803</v>
      </c>
    </row>
    <row r="126" spans="1:10">
      <c r="A126" s="5" t="s">
        <v>851</v>
      </c>
      <c r="B126" s="10"/>
      <c r="C126" s="10"/>
      <c r="D126" s="10"/>
      <c r="E126" s="10"/>
      <c r="F126" s="10"/>
      <c r="G126" s="10">
        <v>-2.0410146999999998</v>
      </c>
      <c r="H126" s="5" t="s">
        <v>802</v>
      </c>
      <c r="J126" s="5" t="s">
        <v>852</v>
      </c>
    </row>
    <row r="127" spans="1:10">
      <c r="A127" s="5" t="s">
        <v>853</v>
      </c>
      <c r="B127" s="10"/>
      <c r="C127" s="10"/>
      <c r="D127" s="10"/>
      <c r="E127" s="10"/>
      <c r="F127" s="10"/>
      <c r="G127" s="10">
        <v>-2.1235723000000002</v>
      </c>
      <c r="H127" s="5" t="s">
        <v>802</v>
      </c>
      <c r="J127" s="5" t="s">
        <v>803</v>
      </c>
    </row>
    <row r="128" spans="1:10">
      <c r="A128" s="5" t="s">
        <v>854</v>
      </c>
      <c r="B128" s="10"/>
      <c r="C128" s="10"/>
      <c r="D128" s="10"/>
      <c r="E128" s="10"/>
      <c r="F128" s="10"/>
      <c r="G128" s="10">
        <v>-2.1703166999999999</v>
      </c>
      <c r="H128" s="5" t="s">
        <v>802</v>
      </c>
      <c r="I128" s="5" t="s">
        <v>815</v>
      </c>
      <c r="J128" s="5" t="s">
        <v>847</v>
      </c>
    </row>
    <row r="129" spans="1:10">
      <c r="A129" s="5" t="s">
        <v>855</v>
      </c>
      <c r="B129" s="10"/>
      <c r="C129" s="10"/>
      <c r="D129" s="10"/>
      <c r="E129" s="10"/>
      <c r="F129" s="10"/>
      <c r="G129" s="10">
        <v>-2.1186752000000002</v>
      </c>
      <c r="H129" s="5" t="s">
        <v>856</v>
      </c>
    </row>
    <row r="130" spans="1:10">
      <c r="A130" s="5" t="s">
        <v>857</v>
      </c>
      <c r="B130" s="10"/>
      <c r="C130" s="10"/>
      <c r="D130" s="10"/>
      <c r="E130" s="10"/>
      <c r="F130" s="10"/>
      <c r="G130" s="10">
        <v>-2.1185174</v>
      </c>
      <c r="H130" s="5" t="s">
        <v>858</v>
      </c>
      <c r="I130" s="5" t="s">
        <v>815</v>
      </c>
      <c r="J130" s="5" t="s">
        <v>845</v>
      </c>
    </row>
    <row r="131" spans="1:10">
      <c r="A131" s="5" t="s">
        <v>859</v>
      </c>
      <c r="B131" s="10"/>
      <c r="C131" s="10"/>
      <c r="D131" s="10"/>
      <c r="E131" s="10"/>
      <c r="F131" s="10"/>
      <c r="G131" s="10">
        <v>-2.1252179999999998</v>
      </c>
      <c r="H131" s="5" t="s">
        <v>858</v>
      </c>
      <c r="I131" s="5" t="s">
        <v>860</v>
      </c>
    </row>
    <row r="132" spans="1:10">
      <c r="A132" s="5" t="s">
        <v>538</v>
      </c>
      <c r="B132" s="10"/>
      <c r="C132" s="10"/>
      <c r="D132" s="10"/>
      <c r="E132" s="10">
        <v>-5.5525336000000003</v>
      </c>
      <c r="F132" s="10">
        <v>-7.1708026</v>
      </c>
      <c r="G132" s="10">
        <v>-4.3243660000000004</v>
      </c>
      <c r="H132" s="5" t="s">
        <v>143</v>
      </c>
      <c r="I132" s="5" t="s">
        <v>822</v>
      </c>
      <c r="J132" s="5" t="s">
        <v>144</v>
      </c>
    </row>
    <row r="133" spans="1:10">
      <c r="A133" s="5" t="s">
        <v>577</v>
      </c>
      <c r="B133" s="10"/>
      <c r="C133" s="10"/>
      <c r="D133" s="10"/>
      <c r="E133" s="10">
        <v>-5.7130302999999998</v>
      </c>
      <c r="F133" s="10">
        <v>-7.0007520000000003</v>
      </c>
      <c r="G133" s="10">
        <v>-4.2652279999999996</v>
      </c>
      <c r="H133" s="5" t="s">
        <v>143</v>
      </c>
      <c r="I133" s="5" t="s">
        <v>822</v>
      </c>
      <c r="J133" s="5" t="s">
        <v>144</v>
      </c>
    </row>
    <row r="134" spans="1:10">
      <c r="A134" s="5" t="s">
        <v>861</v>
      </c>
      <c r="B134" s="10"/>
      <c r="C134" s="10"/>
      <c r="D134" s="10"/>
      <c r="E134" s="10"/>
      <c r="F134" s="10"/>
      <c r="G134" s="10"/>
      <c r="H134" s="5" t="s">
        <v>862</v>
      </c>
      <c r="I134" s="5" t="s">
        <v>815</v>
      </c>
      <c r="J134" s="5" t="s">
        <v>863</v>
      </c>
    </row>
    <row r="135" spans="1:10">
      <c r="A135" s="5" t="s">
        <v>864</v>
      </c>
      <c r="B135" s="10"/>
      <c r="C135" s="10"/>
      <c r="D135" s="10"/>
      <c r="E135" s="10"/>
      <c r="F135" s="10"/>
      <c r="G135" s="10">
        <v>-2.0181222000000001</v>
      </c>
      <c r="H135" s="5" t="s">
        <v>862</v>
      </c>
      <c r="I135" s="5" t="s">
        <v>815</v>
      </c>
      <c r="J135" s="5" t="s">
        <v>865</v>
      </c>
    </row>
    <row r="136" spans="1:10">
      <c r="A136" s="5" t="s">
        <v>866</v>
      </c>
      <c r="B136" s="10"/>
      <c r="C136" s="10"/>
      <c r="D136" s="10"/>
      <c r="E136" s="10"/>
      <c r="F136" s="10"/>
      <c r="G136" s="10">
        <v>-2.4773725999999998</v>
      </c>
      <c r="H136" s="5" t="s">
        <v>862</v>
      </c>
      <c r="I136" s="5" t="s">
        <v>815</v>
      </c>
      <c r="J136" s="5" t="s">
        <v>865</v>
      </c>
    </row>
    <row r="137" spans="1:10">
      <c r="A137" s="5" t="s">
        <v>867</v>
      </c>
      <c r="B137" s="10"/>
      <c r="C137" s="10"/>
      <c r="D137" s="10"/>
      <c r="E137" s="10"/>
      <c r="F137" s="10"/>
      <c r="G137" s="10">
        <v>-3.5417686000000002</v>
      </c>
      <c r="H137" s="5" t="s">
        <v>868</v>
      </c>
      <c r="I137" s="5" t="s">
        <v>869</v>
      </c>
      <c r="J137" s="5" t="s">
        <v>870</v>
      </c>
    </row>
    <row r="138" spans="1:10">
      <c r="A138" s="5" t="s">
        <v>871</v>
      </c>
      <c r="B138" s="10"/>
      <c r="C138" s="10"/>
      <c r="D138" s="10">
        <v>4.6209610000000003</v>
      </c>
      <c r="E138" s="10"/>
      <c r="H138" s="5" t="s">
        <v>872</v>
      </c>
      <c r="I138" s="5" t="s">
        <v>873</v>
      </c>
      <c r="J138" s="5" t="s">
        <v>874</v>
      </c>
    </row>
    <row r="139" spans="1:10">
      <c r="A139" s="5" t="s">
        <v>875</v>
      </c>
      <c r="B139" s="10"/>
      <c r="C139" s="10"/>
      <c r="D139" s="10">
        <v>2.0235853000000001</v>
      </c>
      <c r="E139" s="10"/>
      <c r="H139" s="5" t="s">
        <v>872</v>
      </c>
      <c r="J139" s="5" t="s">
        <v>876</v>
      </c>
    </row>
    <row r="140" spans="1:10">
      <c r="A140" s="5" t="s">
        <v>877</v>
      </c>
      <c r="B140" s="10"/>
      <c r="C140" s="10">
        <v>3.3473326999999999</v>
      </c>
      <c r="D140" s="10">
        <v>5.4696160000000003</v>
      </c>
      <c r="E140" s="10"/>
      <c r="H140" s="5" t="s">
        <v>878</v>
      </c>
      <c r="I140" s="5" t="s">
        <v>873</v>
      </c>
      <c r="J140" s="5" t="s">
        <v>879</v>
      </c>
    </row>
    <row r="141" spans="1:10">
      <c r="A141" s="5" t="s">
        <v>880</v>
      </c>
      <c r="B141" s="10"/>
      <c r="C141" s="10"/>
      <c r="D141" s="10">
        <v>2.052003</v>
      </c>
      <c r="E141" s="10"/>
      <c r="F141" s="10"/>
      <c r="G141" s="10"/>
      <c r="H141" s="5" t="s">
        <v>878</v>
      </c>
      <c r="I141" s="5" t="s">
        <v>873</v>
      </c>
      <c r="J141" s="5" t="s">
        <v>879</v>
      </c>
    </row>
    <row r="142" spans="1:10">
      <c r="A142" s="5" t="s">
        <v>881</v>
      </c>
      <c r="B142" s="10">
        <v>3.1407002999999998</v>
      </c>
      <c r="C142" s="10">
        <v>3.2185570000000001</v>
      </c>
      <c r="D142" s="10">
        <v>3.5042844</v>
      </c>
      <c r="E142" s="10"/>
      <c r="F142" s="10"/>
      <c r="G142" s="10"/>
      <c r="H142" s="5" t="s">
        <v>882</v>
      </c>
      <c r="I142" s="5" t="s">
        <v>873</v>
      </c>
      <c r="J142" s="5" t="s">
        <v>883</v>
      </c>
    </row>
    <row r="143" spans="1:10">
      <c r="A143" s="5" t="s">
        <v>884</v>
      </c>
      <c r="B143" s="10"/>
      <c r="E143" s="10"/>
      <c r="F143" s="10">
        <v>-3.3321079999999998</v>
      </c>
      <c r="G143" s="10">
        <v>-3.4611573</v>
      </c>
      <c r="H143" s="5" t="s">
        <v>885</v>
      </c>
      <c r="J143" s="5" t="s">
        <v>886</v>
      </c>
    </row>
    <row r="144" spans="1:10">
      <c r="A144" s="5" t="s">
        <v>887</v>
      </c>
      <c r="B144" s="10"/>
      <c r="C144" s="10"/>
      <c r="D144" s="10"/>
      <c r="E144" s="10"/>
      <c r="F144" s="10">
        <v>-2.0257645000000002</v>
      </c>
      <c r="G144" s="10">
        <v>-4.4967889999999997</v>
      </c>
      <c r="H144" s="5" t="s">
        <v>885</v>
      </c>
      <c r="J144" s="5" t="s">
        <v>886</v>
      </c>
    </row>
    <row r="145" spans="1:10">
      <c r="A145" s="5" t="s">
        <v>888</v>
      </c>
      <c r="B145" s="10"/>
      <c r="C145" s="10"/>
      <c r="D145" s="10"/>
      <c r="E145" s="10"/>
      <c r="F145" s="10"/>
      <c r="G145" s="10">
        <v>-2.4038094999999999</v>
      </c>
      <c r="H145" s="5" t="s">
        <v>889</v>
      </c>
    </row>
    <row r="146" spans="1:10">
      <c r="A146" s="5" t="s">
        <v>567</v>
      </c>
      <c r="B146" s="10"/>
      <c r="C146" s="10"/>
      <c r="D146" s="10">
        <v>2.7873774</v>
      </c>
      <c r="E146" s="10"/>
      <c r="F146" s="10"/>
      <c r="G146" s="10"/>
      <c r="H146" s="5" t="s">
        <v>149</v>
      </c>
      <c r="I146" s="5" t="s">
        <v>873</v>
      </c>
      <c r="J146" s="5" t="s">
        <v>891</v>
      </c>
    </row>
    <row r="147" spans="1:10">
      <c r="A147" s="5" t="s">
        <v>890</v>
      </c>
      <c r="B147" s="10"/>
      <c r="C147" s="10"/>
      <c r="D147" s="10">
        <v>2.6228400000000001</v>
      </c>
      <c r="E147" s="10"/>
      <c r="F147" s="10"/>
      <c r="G147" s="10"/>
      <c r="H147" s="5" t="s">
        <v>891</v>
      </c>
    </row>
    <row r="148" spans="1:10">
      <c r="A148" s="5" t="s">
        <v>892</v>
      </c>
      <c r="B148" s="10"/>
      <c r="C148" s="10"/>
      <c r="D148" s="10">
        <v>2.5363039999999999</v>
      </c>
      <c r="E148" s="10"/>
      <c r="F148" s="10"/>
      <c r="G148" s="10"/>
      <c r="H148" s="5" t="s">
        <v>891</v>
      </c>
      <c r="I148" s="5" t="s">
        <v>873</v>
      </c>
    </row>
    <row r="149" spans="1:10">
      <c r="A149" s="5" t="s">
        <v>893</v>
      </c>
      <c r="B149" s="10"/>
      <c r="C149" s="10"/>
      <c r="D149" s="10"/>
      <c r="E149" s="10">
        <v>-2.5025153000000002</v>
      </c>
      <c r="F149" s="10">
        <v>-2.2376103000000001</v>
      </c>
      <c r="G149" s="10"/>
      <c r="H149" s="5" t="s">
        <v>894</v>
      </c>
      <c r="I149" s="5" t="s">
        <v>895</v>
      </c>
      <c r="J149" s="5" t="s">
        <v>896</v>
      </c>
    </row>
    <row r="150" spans="1:10">
      <c r="A150" s="5" t="s">
        <v>897</v>
      </c>
      <c r="B150" s="10"/>
      <c r="C150" s="10"/>
      <c r="D150" s="10"/>
      <c r="E150" s="10"/>
      <c r="F150" s="10"/>
      <c r="G150" s="10">
        <v>-3.0188060000000001</v>
      </c>
      <c r="H150" s="5" t="s">
        <v>898</v>
      </c>
    </row>
    <row r="151" spans="1:10">
      <c r="A151" s="5" t="s">
        <v>548</v>
      </c>
      <c r="B151" s="10">
        <v>2.2621273999999998</v>
      </c>
      <c r="C151" s="10">
        <v>2.7849889000000001</v>
      </c>
      <c r="D151" s="10">
        <v>2.5491432999999999</v>
      </c>
      <c r="H151" s="5" t="s">
        <v>142</v>
      </c>
      <c r="J151" s="5" t="s">
        <v>549</v>
      </c>
    </row>
    <row r="152" spans="1:10">
      <c r="A152" s="5" t="s">
        <v>899</v>
      </c>
      <c r="B152" s="10"/>
      <c r="C152" s="10"/>
      <c r="D152" s="10">
        <v>3.8047013000000001</v>
      </c>
      <c r="E152" s="10"/>
      <c r="F152" s="10"/>
      <c r="H152" s="5" t="s">
        <v>900</v>
      </c>
      <c r="I152" s="5" t="s">
        <v>901</v>
      </c>
      <c r="J152" s="5" t="s">
        <v>902</v>
      </c>
    </row>
    <row r="153" spans="1:10">
      <c r="A153" s="5" t="s">
        <v>903</v>
      </c>
      <c r="B153" s="10"/>
      <c r="C153" s="10"/>
      <c r="D153" s="10">
        <v>2.7230492000000002</v>
      </c>
      <c r="E153" s="10"/>
      <c r="F153" s="10"/>
      <c r="G153" s="10"/>
      <c r="H153" s="5" t="s">
        <v>904</v>
      </c>
      <c r="I153" s="5" t="s">
        <v>905</v>
      </c>
      <c r="J153" s="5" t="s">
        <v>906</v>
      </c>
    </row>
    <row r="154" spans="1:10">
      <c r="A154" s="5" t="s">
        <v>907</v>
      </c>
      <c r="B154" s="10"/>
      <c r="C154" s="10"/>
      <c r="D154" s="10">
        <v>2.0366602</v>
      </c>
      <c r="E154" s="10"/>
      <c r="F154" s="10"/>
      <c r="H154" s="5" t="s">
        <v>908</v>
      </c>
    </row>
    <row r="155" spans="1:10">
      <c r="A155" s="5" t="s">
        <v>537</v>
      </c>
      <c r="B155" s="10">
        <v>2.0310907</v>
      </c>
      <c r="C155" s="10">
        <v>2.4290604999999998</v>
      </c>
      <c r="D155" s="10">
        <v>2.2818580000000002</v>
      </c>
      <c r="E155" s="10"/>
      <c r="F155" s="10"/>
      <c r="G155" s="10"/>
      <c r="H155" s="5" t="s">
        <v>910</v>
      </c>
    </row>
    <row r="156" spans="1:10">
      <c r="A156" s="5" t="s">
        <v>909</v>
      </c>
      <c r="B156" s="10">
        <v>2.0720972999999998</v>
      </c>
      <c r="C156" s="10"/>
      <c r="D156" s="10">
        <v>2.5533055999999998</v>
      </c>
      <c r="H156" s="5" t="s">
        <v>910</v>
      </c>
    </row>
    <row r="157" spans="1:10">
      <c r="A157" s="5" t="s">
        <v>911</v>
      </c>
      <c r="B157" s="10">
        <v>2.3783994000000002</v>
      </c>
      <c r="C157" s="10">
        <v>2.2582946000000002</v>
      </c>
      <c r="D157" s="10">
        <v>2.7821506999999999</v>
      </c>
      <c r="H157" s="5" t="s">
        <v>910</v>
      </c>
    </row>
    <row r="158" spans="1:10">
      <c r="A158" s="5" t="s">
        <v>912</v>
      </c>
      <c r="B158" s="10"/>
      <c r="C158" s="10"/>
      <c r="D158" s="10"/>
      <c r="H158" s="5" t="s">
        <v>910</v>
      </c>
    </row>
    <row r="159" spans="1:10">
      <c r="A159" s="5" t="s">
        <v>913</v>
      </c>
      <c r="B159" s="10">
        <v>3.384468</v>
      </c>
      <c r="C159" s="10">
        <v>3.4396868</v>
      </c>
      <c r="D159" s="10">
        <v>3.3448153</v>
      </c>
      <c r="H159" s="5" t="s">
        <v>910</v>
      </c>
    </row>
    <row r="160" spans="1:10">
      <c r="A160" s="5" t="s">
        <v>914</v>
      </c>
      <c r="B160" s="10">
        <v>3.2639326999999998</v>
      </c>
      <c r="C160" s="10">
        <v>3.2918677000000001</v>
      </c>
      <c r="D160" s="10">
        <v>3.6261315000000001</v>
      </c>
      <c r="H160" s="5" t="s">
        <v>910</v>
      </c>
    </row>
    <row r="161" spans="1:10">
      <c r="A161" s="5" t="s">
        <v>915</v>
      </c>
      <c r="B161" s="10">
        <v>2.9861960000000001</v>
      </c>
      <c r="C161" s="10">
        <v>3.2701983000000001</v>
      </c>
      <c r="D161" s="10"/>
      <c r="H161" s="5" t="s">
        <v>916</v>
      </c>
      <c r="I161" s="5" t="s">
        <v>627</v>
      </c>
      <c r="J161" s="5" t="s">
        <v>917</v>
      </c>
    </row>
    <row r="162" spans="1:10">
      <c r="A162" s="5" t="s">
        <v>918</v>
      </c>
      <c r="B162" s="10"/>
      <c r="C162" s="10"/>
      <c r="G162" s="10">
        <v>3.0524292000000002</v>
      </c>
      <c r="H162" s="5" t="s">
        <v>919</v>
      </c>
      <c r="I162" s="5" t="s">
        <v>920</v>
      </c>
      <c r="J162" s="5" t="s">
        <v>921</v>
      </c>
    </row>
    <row r="163" spans="1:10">
      <c r="A163" s="5" t="s">
        <v>922</v>
      </c>
      <c r="B163" s="10"/>
      <c r="C163" s="10"/>
      <c r="D163" s="10"/>
      <c r="E163" s="10"/>
      <c r="F163" s="10">
        <v>-2.4699149999999999</v>
      </c>
      <c r="G163" s="10">
        <v>-3.6620903</v>
      </c>
      <c r="H163" s="5" t="s">
        <v>923</v>
      </c>
      <c r="I163" s="5" t="s">
        <v>924</v>
      </c>
      <c r="J163" s="5" t="s">
        <v>925</v>
      </c>
    </row>
    <row r="164" spans="1:10">
      <c r="A164" s="5" t="s">
        <v>926</v>
      </c>
      <c r="B164" s="10"/>
      <c r="C164" s="10"/>
      <c r="D164" s="10">
        <v>2.0288591</v>
      </c>
      <c r="E164" s="10"/>
      <c r="F164" s="10"/>
      <c r="G164" s="10"/>
      <c r="H164" s="5" t="s">
        <v>927</v>
      </c>
      <c r="I164" s="5" t="s">
        <v>928</v>
      </c>
      <c r="J164" s="5" t="s">
        <v>929</v>
      </c>
    </row>
    <row r="165" spans="1:10">
      <c r="A165" s="5" t="s">
        <v>930</v>
      </c>
      <c r="B165" s="10"/>
      <c r="C165" s="10"/>
      <c r="D165" s="10">
        <v>2.0347195</v>
      </c>
      <c r="E165" s="10"/>
      <c r="F165" s="10"/>
      <c r="H165" s="5" t="s">
        <v>931</v>
      </c>
    </row>
    <row r="166" spans="1:10">
      <c r="A166" s="5" t="s">
        <v>932</v>
      </c>
      <c r="B166" s="10"/>
      <c r="C166" s="10"/>
      <c r="D166" s="10">
        <v>2.0315413000000002</v>
      </c>
      <c r="E166" s="10"/>
      <c r="F166" s="10"/>
      <c r="G166" s="10"/>
      <c r="H166" s="5" t="s">
        <v>933</v>
      </c>
    </row>
    <row r="167" spans="1:10">
      <c r="A167" s="5" t="s">
        <v>551</v>
      </c>
      <c r="B167" s="10"/>
      <c r="C167" s="10"/>
      <c r="D167" s="10">
        <v>2.4857844999999998</v>
      </c>
      <c r="E167" s="10"/>
      <c r="F167" s="10"/>
      <c r="H167" s="5" t="s">
        <v>141</v>
      </c>
      <c r="I167" s="5" t="s">
        <v>687</v>
      </c>
      <c r="J167" s="5" t="s">
        <v>689</v>
      </c>
    </row>
    <row r="168" spans="1:10">
      <c r="A168" s="5" t="s">
        <v>934</v>
      </c>
      <c r="B168" s="10"/>
      <c r="C168" s="10"/>
      <c r="D168" s="10"/>
      <c r="E168" s="10"/>
      <c r="F168" s="10"/>
      <c r="G168" s="10">
        <v>-2.0577407000000001</v>
      </c>
      <c r="H168" s="5" t="s">
        <v>935</v>
      </c>
      <c r="I168" s="5" t="s">
        <v>936</v>
      </c>
      <c r="J168" s="5" t="s">
        <v>937</v>
      </c>
    </row>
    <row r="169" spans="1:10">
      <c r="A169" s="5" t="s">
        <v>938</v>
      </c>
      <c r="B169" s="10"/>
      <c r="C169" s="10"/>
      <c r="D169" s="10"/>
      <c r="E169" s="10"/>
      <c r="F169" s="10"/>
      <c r="G169" s="10">
        <v>-2.7392167999999999</v>
      </c>
      <c r="H169" s="5" t="s">
        <v>939</v>
      </c>
      <c r="J169" s="5" t="s">
        <v>940</v>
      </c>
    </row>
    <row r="170" spans="1:10">
      <c r="A170" s="5" t="s">
        <v>941</v>
      </c>
      <c r="B170" s="10"/>
      <c r="C170" s="10"/>
      <c r="D170" s="10"/>
      <c r="E170" s="10"/>
      <c r="F170" s="10"/>
      <c r="G170" s="10">
        <v>-2.9072947999999998</v>
      </c>
      <c r="H170" s="5" t="s">
        <v>942</v>
      </c>
    </row>
    <row r="171" spans="1:10">
      <c r="A171" s="5" t="s">
        <v>943</v>
      </c>
      <c r="B171" s="10"/>
      <c r="C171" s="10"/>
      <c r="D171" s="10"/>
      <c r="E171" s="10"/>
      <c r="F171" s="10"/>
      <c r="G171" s="10">
        <v>-2.1806983999999998</v>
      </c>
      <c r="H171" s="5" t="s">
        <v>944</v>
      </c>
    </row>
    <row r="172" spans="1:10">
      <c r="A172" s="5" t="s">
        <v>945</v>
      </c>
      <c r="B172" s="10"/>
      <c r="C172" s="10"/>
      <c r="D172" s="10"/>
      <c r="E172" s="10"/>
      <c r="F172" s="10">
        <v>-2.0944943</v>
      </c>
      <c r="G172" s="10">
        <v>-4.5666412999999997</v>
      </c>
      <c r="H172" s="5" t="s">
        <v>946</v>
      </c>
    </row>
    <row r="173" spans="1:10">
      <c r="A173" s="5" t="s">
        <v>947</v>
      </c>
      <c r="B173" s="10"/>
      <c r="C173" s="10"/>
      <c r="D173" s="10"/>
      <c r="E173" s="10"/>
      <c r="F173" s="10"/>
      <c r="G173" s="10">
        <v>-3.9813404000000001</v>
      </c>
      <c r="H173" s="5" t="s">
        <v>946</v>
      </c>
    </row>
    <row r="174" spans="1:10">
      <c r="A174" s="5" t="s">
        <v>948</v>
      </c>
      <c r="B174" s="10"/>
      <c r="C174" s="10"/>
      <c r="D174" s="10"/>
      <c r="E174" s="10"/>
      <c r="F174" s="10"/>
      <c r="G174" s="10">
        <v>-2.2393265000000002</v>
      </c>
      <c r="H174" s="5" t="s">
        <v>946</v>
      </c>
    </row>
    <row r="175" spans="1:10">
      <c r="A175" s="5" t="s">
        <v>540</v>
      </c>
      <c r="B175" s="10"/>
      <c r="C175" s="10"/>
      <c r="D175" s="10"/>
      <c r="E175" s="10"/>
      <c r="F175" s="10">
        <v>-2.1178370000000002</v>
      </c>
      <c r="G175" s="10">
        <v>-3.2063264999999999</v>
      </c>
      <c r="H175" s="5" t="s">
        <v>946</v>
      </c>
    </row>
    <row r="176" spans="1:10">
      <c r="A176" s="5" t="s">
        <v>949</v>
      </c>
      <c r="B176" s="10"/>
      <c r="C176" s="10"/>
      <c r="E176" s="10"/>
      <c r="F176" s="10"/>
      <c r="G176" s="10">
        <v>-2.9353251</v>
      </c>
      <c r="H176" s="5" t="s">
        <v>946</v>
      </c>
    </row>
    <row r="177" spans="1:11">
      <c r="A177" s="5" t="s">
        <v>950</v>
      </c>
      <c r="B177" s="10"/>
      <c r="C177" s="10"/>
      <c r="D177" s="10"/>
      <c r="E177" s="10"/>
      <c r="F177" s="10"/>
      <c r="G177" s="10">
        <v>-4.8234877999999997</v>
      </c>
      <c r="H177" s="5" t="s">
        <v>946</v>
      </c>
    </row>
    <row r="178" spans="1:11">
      <c r="A178" s="5" t="s">
        <v>951</v>
      </c>
      <c r="B178" s="10"/>
      <c r="C178" s="10"/>
      <c r="D178" s="10"/>
      <c r="E178" s="10"/>
      <c r="F178" s="10"/>
      <c r="G178" s="10">
        <v>-2.6848893</v>
      </c>
      <c r="H178" s="5" t="s">
        <v>946</v>
      </c>
    </row>
    <row r="179" spans="1:11">
      <c r="A179" s="5" t="s">
        <v>952</v>
      </c>
      <c r="B179" s="10"/>
      <c r="C179" s="10"/>
      <c r="D179" s="10"/>
      <c r="E179" s="10"/>
      <c r="F179" s="10"/>
      <c r="G179" s="10">
        <v>-3.2787799999999998</v>
      </c>
      <c r="H179" s="5" t="s">
        <v>946</v>
      </c>
    </row>
    <row r="180" spans="1:11">
      <c r="A180" s="5" t="s">
        <v>953</v>
      </c>
      <c r="B180" s="10"/>
      <c r="C180" s="10"/>
      <c r="D180" s="10"/>
      <c r="E180" s="10"/>
      <c r="F180" s="10"/>
      <c r="G180" s="10">
        <v>-2.286108</v>
      </c>
      <c r="H180" s="5" t="s">
        <v>946</v>
      </c>
    </row>
    <row r="181" spans="1:11">
      <c r="A181" s="5" t="s">
        <v>954</v>
      </c>
      <c r="B181" s="10"/>
      <c r="C181" s="10"/>
      <c r="D181" s="10"/>
      <c r="E181" s="10"/>
      <c r="F181" s="10"/>
      <c r="G181" s="10">
        <v>-2.62432</v>
      </c>
      <c r="H181" s="5" t="s">
        <v>946</v>
      </c>
    </row>
    <row r="182" spans="1:11">
      <c r="A182" s="5" t="s">
        <v>571</v>
      </c>
      <c r="B182" s="10"/>
      <c r="C182" s="10"/>
      <c r="D182" s="10"/>
      <c r="E182" s="10"/>
      <c r="F182" s="10">
        <v>-2.0948806000000002</v>
      </c>
      <c r="G182" s="10">
        <v>-2.9989905000000001</v>
      </c>
      <c r="H182" s="5" t="s">
        <v>946</v>
      </c>
    </row>
    <row r="183" spans="1:11">
      <c r="A183" s="5" t="s">
        <v>955</v>
      </c>
      <c r="B183" s="10"/>
      <c r="C183" s="10"/>
      <c r="D183" s="10"/>
      <c r="E183" s="10"/>
      <c r="F183" s="10">
        <v>-2.7806896999999999</v>
      </c>
      <c r="G183" s="10">
        <v>-5.3540473000000004</v>
      </c>
      <c r="H183" s="5" t="s">
        <v>946</v>
      </c>
    </row>
    <row r="184" spans="1:11">
      <c r="A184" s="5" t="s">
        <v>956</v>
      </c>
      <c r="B184" s="10"/>
      <c r="C184" s="10"/>
      <c r="D184" s="10"/>
      <c r="E184" s="10"/>
      <c r="F184" s="10"/>
      <c r="G184" s="10">
        <v>-2.2995106999999999</v>
      </c>
      <c r="H184" s="5" t="s">
        <v>946</v>
      </c>
      <c r="I184" s="5" t="s">
        <v>957</v>
      </c>
      <c r="J184" s="5" t="s">
        <v>958</v>
      </c>
    </row>
    <row r="185" spans="1:11">
      <c r="A185" s="5" t="s">
        <v>959</v>
      </c>
      <c r="B185" s="10"/>
      <c r="C185" s="10"/>
      <c r="D185" s="10"/>
      <c r="E185" s="10"/>
      <c r="F185" s="10"/>
      <c r="G185" s="10">
        <v>-3.2445970000000002</v>
      </c>
      <c r="H185" s="5" t="s">
        <v>946</v>
      </c>
    </row>
    <row r="186" spans="1:11">
      <c r="A186" s="5" t="s">
        <v>960</v>
      </c>
      <c r="B186" s="10"/>
      <c r="C186" s="10"/>
      <c r="D186" s="10"/>
      <c r="E186" s="10"/>
      <c r="F186" s="10"/>
      <c r="G186" s="10">
        <v>-5.6393120000000003</v>
      </c>
      <c r="H186" s="5" t="s">
        <v>961</v>
      </c>
    </row>
    <row r="187" spans="1:11">
      <c r="A187" s="5" t="s">
        <v>962</v>
      </c>
      <c r="B187" s="10"/>
      <c r="C187" s="10"/>
      <c r="D187" s="10"/>
      <c r="E187" s="10"/>
      <c r="F187" s="10"/>
      <c r="G187" s="10">
        <v>-3.2427106000000001</v>
      </c>
      <c r="H187" s="5" t="s">
        <v>963</v>
      </c>
      <c r="I187" s="5" t="s">
        <v>964</v>
      </c>
      <c r="J187" s="5" t="s">
        <v>965</v>
      </c>
      <c r="K187" s="5" t="s">
        <v>966</v>
      </c>
    </row>
    <row r="188" spans="1:11">
      <c r="A188" s="5" t="s">
        <v>967</v>
      </c>
      <c r="B188" s="10"/>
      <c r="C188" s="10"/>
      <c r="D188" s="10"/>
      <c r="E188" s="10"/>
      <c r="F188" s="10"/>
      <c r="G188" s="10">
        <v>-2.0880923</v>
      </c>
      <c r="H188" s="5" t="s">
        <v>963</v>
      </c>
      <c r="I188" s="5" t="s">
        <v>964</v>
      </c>
      <c r="J188" s="5" t="s">
        <v>965</v>
      </c>
    </row>
    <row r="189" spans="1:11">
      <c r="A189" s="5" t="s">
        <v>968</v>
      </c>
      <c r="B189" s="10"/>
      <c r="C189" s="10"/>
      <c r="D189" s="10"/>
      <c r="E189" s="10"/>
      <c r="F189" s="10"/>
      <c r="G189" s="10">
        <v>-2.1364746000000001</v>
      </c>
      <c r="H189" s="5" t="s">
        <v>969</v>
      </c>
      <c r="I189" s="5" t="s">
        <v>872</v>
      </c>
      <c r="J189" s="5" t="s">
        <v>883</v>
      </c>
    </row>
    <row r="190" spans="1:11">
      <c r="A190" s="5" t="s">
        <v>970</v>
      </c>
      <c r="B190" s="10"/>
      <c r="C190" s="10"/>
      <c r="D190" s="10"/>
      <c r="E190" s="10"/>
      <c r="F190" s="10">
        <v>-2.2598834000000001</v>
      </c>
      <c r="G190" s="10">
        <v>-2.3883451999999998</v>
      </c>
      <c r="H190" s="5" t="s">
        <v>969</v>
      </c>
      <c r="I190" s="5" t="s">
        <v>872</v>
      </c>
      <c r="J190" s="5" t="s">
        <v>883</v>
      </c>
    </row>
    <row r="191" spans="1:11">
      <c r="A191" s="5" t="s">
        <v>971</v>
      </c>
      <c r="B191" s="10"/>
      <c r="C191" s="10"/>
      <c r="D191" s="10"/>
      <c r="E191" s="10"/>
      <c r="F191" s="10"/>
      <c r="G191" s="10">
        <v>-4.1553573999999998</v>
      </c>
      <c r="H191" s="5" t="s">
        <v>972</v>
      </c>
    </row>
    <row r="192" spans="1:11">
      <c r="A192" s="5" t="s">
        <v>973</v>
      </c>
      <c r="B192" s="10"/>
      <c r="C192" s="10"/>
      <c r="D192" s="10"/>
      <c r="E192" s="10"/>
      <c r="F192" s="10"/>
      <c r="G192" s="10">
        <v>-2.0824022000000002</v>
      </c>
      <c r="H192" s="5" t="s">
        <v>974</v>
      </c>
      <c r="I192" s="5" t="s">
        <v>591</v>
      </c>
      <c r="J192" s="5" t="s">
        <v>975</v>
      </c>
    </row>
    <row r="193" spans="1:11">
      <c r="A193" s="5" t="s">
        <v>976</v>
      </c>
      <c r="B193" s="10"/>
      <c r="C193" s="10"/>
      <c r="D193" s="10"/>
      <c r="E193" s="10"/>
      <c r="F193" s="10"/>
      <c r="G193" s="10">
        <v>-3.5698788000000001</v>
      </c>
      <c r="H193" s="5" t="s">
        <v>977</v>
      </c>
    </row>
    <row r="194" spans="1:11">
      <c r="A194" s="5" t="s">
        <v>978</v>
      </c>
      <c r="B194" s="10"/>
      <c r="C194" s="10"/>
      <c r="D194" s="10"/>
      <c r="E194" s="10"/>
      <c r="F194" s="10"/>
      <c r="G194" s="10">
        <v>-2.899149</v>
      </c>
      <c r="H194" s="5" t="s">
        <v>977</v>
      </c>
    </row>
    <row r="195" spans="1:11">
      <c r="A195" s="5" t="s">
        <v>979</v>
      </c>
      <c r="B195" s="10"/>
      <c r="C195" s="10"/>
      <c r="D195" s="10"/>
      <c r="E195" s="10"/>
      <c r="F195" s="10"/>
      <c r="G195" s="10">
        <v>-3.7983571999999999</v>
      </c>
      <c r="H195" s="5" t="s">
        <v>977</v>
      </c>
    </row>
    <row r="196" spans="1:11">
      <c r="A196" s="5" t="s">
        <v>980</v>
      </c>
      <c r="B196" s="10"/>
      <c r="C196" s="10">
        <v>2.1118964999999998</v>
      </c>
      <c r="D196" s="10">
        <v>2.2459006000000001</v>
      </c>
      <c r="E196" s="10"/>
      <c r="F196" s="10"/>
      <c r="G196" s="10"/>
      <c r="H196" s="5" t="s">
        <v>981</v>
      </c>
      <c r="J196" s="5" t="s">
        <v>982</v>
      </c>
    </row>
    <row r="197" spans="1:11">
      <c r="A197" s="5" t="s">
        <v>983</v>
      </c>
      <c r="B197" s="10"/>
      <c r="C197" s="10"/>
      <c r="D197" s="10"/>
      <c r="E197" s="10"/>
      <c r="F197" s="10"/>
      <c r="G197" s="10">
        <v>-2.789949</v>
      </c>
      <c r="H197" s="5" t="s">
        <v>984</v>
      </c>
      <c r="I197" s="5" t="s">
        <v>985</v>
      </c>
      <c r="J197" s="5" t="s">
        <v>986</v>
      </c>
    </row>
    <row r="198" spans="1:11">
      <c r="A198" s="5" t="s">
        <v>987</v>
      </c>
      <c r="B198" s="10"/>
      <c r="C198" s="10"/>
      <c r="D198" s="10"/>
      <c r="E198" s="10"/>
      <c r="F198" s="10">
        <v>-2.2576369999999999</v>
      </c>
      <c r="G198" s="10">
        <v>-3.2380800000000001</v>
      </c>
      <c r="H198" s="5" t="s">
        <v>984</v>
      </c>
      <c r="I198" s="5" t="s">
        <v>988</v>
      </c>
      <c r="J198" s="5" t="s">
        <v>986</v>
      </c>
    </row>
    <row r="199" spans="1:11">
      <c r="A199" s="5" t="s">
        <v>989</v>
      </c>
      <c r="B199" s="10"/>
      <c r="C199" s="10"/>
      <c r="D199" s="10"/>
      <c r="E199" s="10"/>
      <c r="F199" s="10"/>
      <c r="G199" s="10">
        <v>-3.239554</v>
      </c>
      <c r="H199" s="5" t="s">
        <v>984</v>
      </c>
      <c r="I199" s="5" t="s">
        <v>990</v>
      </c>
      <c r="J199" s="5" t="s">
        <v>986</v>
      </c>
    </row>
    <row r="200" spans="1:11">
      <c r="A200" s="5" t="s">
        <v>991</v>
      </c>
      <c r="B200" s="10"/>
      <c r="C200" s="10"/>
      <c r="D200" s="10">
        <v>2.294489</v>
      </c>
      <c r="E200" s="10"/>
      <c r="F200" s="10"/>
      <c r="H200" s="5" t="s">
        <v>992</v>
      </c>
      <c r="J200" s="5" t="s">
        <v>993</v>
      </c>
    </row>
    <row r="201" spans="1:11">
      <c r="A201" s="5" t="s">
        <v>994</v>
      </c>
      <c r="B201" s="10"/>
      <c r="C201" s="10">
        <v>3.8487515000000001</v>
      </c>
      <c r="D201" s="10">
        <v>3.6562638000000001</v>
      </c>
      <c r="E201" s="10"/>
      <c r="F201" s="10"/>
      <c r="G201" s="10"/>
      <c r="H201" s="5" t="s">
        <v>992</v>
      </c>
      <c r="J201" s="5" t="s">
        <v>995</v>
      </c>
    </row>
    <row r="202" spans="1:11">
      <c r="A202" s="5" t="s">
        <v>996</v>
      </c>
      <c r="B202" s="10"/>
      <c r="C202" s="10"/>
      <c r="D202" s="10">
        <v>2.1256680000000001</v>
      </c>
      <c r="E202" s="10"/>
      <c r="H202" s="5" t="s">
        <v>997</v>
      </c>
      <c r="I202" s="5" t="s">
        <v>998</v>
      </c>
      <c r="J202" s="5" t="s">
        <v>604</v>
      </c>
      <c r="K202" s="5" t="s">
        <v>999</v>
      </c>
    </row>
    <row r="203" spans="1:11">
      <c r="A203" s="5" t="s">
        <v>1000</v>
      </c>
      <c r="B203" s="10"/>
      <c r="C203" s="10"/>
      <c r="D203" s="10">
        <v>2.2196707999999998</v>
      </c>
      <c r="E203" s="10"/>
      <c r="H203" s="5" t="s">
        <v>997</v>
      </c>
      <c r="I203" s="5" t="s">
        <v>1001</v>
      </c>
      <c r="J203" s="5" t="s">
        <v>1002</v>
      </c>
    </row>
    <row r="204" spans="1:11">
      <c r="A204" s="5" t="s">
        <v>1003</v>
      </c>
      <c r="B204" s="10"/>
      <c r="C204" s="10"/>
      <c r="D204" s="10">
        <v>2.0575671</v>
      </c>
      <c r="E204" s="10"/>
      <c r="H204" s="5" t="s">
        <v>997</v>
      </c>
      <c r="I204" s="5" t="s">
        <v>998</v>
      </c>
      <c r="J204" s="5" t="s">
        <v>604</v>
      </c>
      <c r="K204" s="5" t="s">
        <v>999</v>
      </c>
    </row>
    <row r="205" spans="1:11">
      <c r="A205" s="5" t="s">
        <v>1004</v>
      </c>
      <c r="B205" s="10"/>
      <c r="C205" s="10"/>
      <c r="D205" s="10">
        <v>2.0006927999999999</v>
      </c>
      <c r="E205" s="10"/>
      <c r="H205" s="5" t="s">
        <v>1005</v>
      </c>
      <c r="I205" s="5" t="s">
        <v>621</v>
      </c>
      <c r="J205" s="5" t="s">
        <v>1006</v>
      </c>
    </row>
    <row r="206" spans="1:11">
      <c r="A206" s="5" t="s">
        <v>1007</v>
      </c>
      <c r="B206" s="10"/>
      <c r="C206" s="10">
        <v>2.4403095000000001</v>
      </c>
      <c r="D206" s="10"/>
      <c r="E206" s="10"/>
      <c r="H206" s="5" t="s">
        <v>1005</v>
      </c>
      <c r="I206" s="5" t="s">
        <v>621</v>
      </c>
      <c r="J206" s="5" t="s">
        <v>1008</v>
      </c>
    </row>
    <row r="207" spans="1:11">
      <c r="A207" s="5" t="s">
        <v>1009</v>
      </c>
      <c r="B207" s="10"/>
      <c r="C207" s="10"/>
      <c r="D207" s="10">
        <v>2.4009103999999999</v>
      </c>
      <c r="E207" s="10"/>
      <c r="H207" s="5" t="s">
        <v>1005</v>
      </c>
      <c r="I207" s="5" t="s">
        <v>621</v>
      </c>
      <c r="J207" s="5" t="s">
        <v>1010</v>
      </c>
    </row>
    <row r="208" spans="1:11">
      <c r="A208" s="5" t="s">
        <v>1011</v>
      </c>
      <c r="B208" s="10">
        <v>2.4714274000000001</v>
      </c>
      <c r="C208" s="10"/>
      <c r="D208" s="10">
        <v>3.6646070000000002</v>
      </c>
      <c r="E208" s="10"/>
      <c r="F208" s="10"/>
      <c r="G208" s="10"/>
      <c r="H208" s="5" t="s">
        <v>1005</v>
      </c>
      <c r="I208" s="5" t="s">
        <v>621</v>
      </c>
      <c r="J208" s="5" t="s">
        <v>1012</v>
      </c>
    </row>
    <row r="209" spans="1:10">
      <c r="A209" s="5" t="s">
        <v>1013</v>
      </c>
      <c r="B209" s="10"/>
      <c r="C209" s="10">
        <v>2.972394</v>
      </c>
      <c r="D209" s="10"/>
      <c r="E209" s="10"/>
      <c r="G209" s="10"/>
      <c r="H209" s="5" t="s">
        <v>1005</v>
      </c>
      <c r="I209" s="5" t="s">
        <v>621</v>
      </c>
      <c r="J209" s="5" t="s">
        <v>1008</v>
      </c>
    </row>
    <row r="210" spans="1:10">
      <c r="A210" s="5" t="s">
        <v>1014</v>
      </c>
      <c r="B210" s="10">
        <v>2.2652291999999998</v>
      </c>
      <c r="C210" s="10">
        <v>3.3127928</v>
      </c>
      <c r="D210" s="10"/>
      <c r="E210" s="10"/>
      <c r="F210" s="10"/>
      <c r="G210" s="10"/>
      <c r="H210" s="5" t="s">
        <v>1005</v>
      </c>
      <c r="I210" s="5" t="s">
        <v>621</v>
      </c>
      <c r="J210" s="5" t="s">
        <v>1012</v>
      </c>
    </row>
    <row r="211" spans="1:10">
      <c r="A211" s="5" t="s">
        <v>1015</v>
      </c>
      <c r="B211" s="10"/>
      <c r="C211" s="10"/>
      <c r="D211" s="10">
        <v>2.5785407999999999</v>
      </c>
      <c r="E211" s="10"/>
      <c r="F211" s="10"/>
      <c r="H211" s="5" t="s">
        <v>1005</v>
      </c>
      <c r="I211" s="5" t="s">
        <v>621</v>
      </c>
      <c r="J211" s="5" t="s">
        <v>1008</v>
      </c>
    </row>
    <row r="212" spans="1:10">
      <c r="A212" s="5" t="s">
        <v>1016</v>
      </c>
      <c r="B212" s="10">
        <v>2.2626428999999999</v>
      </c>
      <c r="C212" s="10">
        <v>2.5350199</v>
      </c>
      <c r="D212" s="10"/>
      <c r="G212" s="10"/>
      <c r="H212" s="5" t="s">
        <v>1005</v>
      </c>
      <c r="I212" s="5" t="s">
        <v>621</v>
      </c>
      <c r="J212" s="5" t="s">
        <v>1017</v>
      </c>
    </row>
    <row r="213" spans="1:10">
      <c r="A213" s="5" t="s">
        <v>1018</v>
      </c>
      <c r="B213" s="10"/>
      <c r="C213" s="10"/>
      <c r="D213" s="10">
        <v>2.5151935000000001</v>
      </c>
      <c r="E213" s="10"/>
      <c r="F213" s="10"/>
      <c r="G213" s="10"/>
      <c r="H213" s="5" t="s">
        <v>1005</v>
      </c>
      <c r="I213" s="5" t="s">
        <v>621</v>
      </c>
      <c r="J213" s="5" t="s">
        <v>1008</v>
      </c>
    </row>
    <row r="214" spans="1:10">
      <c r="A214" s="5" t="s">
        <v>1019</v>
      </c>
      <c r="B214" s="10">
        <v>4.4594072999999996</v>
      </c>
      <c r="C214" s="10">
        <v>3.8608221999999999</v>
      </c>
      <c r="D214" s="10"/>
      <c r="G214" s="10"/>
      <c r="H214" s="5" t="s">
        <v>1005</v>
      </c>
      <c r="I214" s="5" t="s">
        <v>621</v>
      </c>
      <c r="J214" s="5" t="s">
        <v>1017</v>
      </c>
    </row>
    <row r="215" spans="1:10">
      <c r="A215" s="5" t="s">
        <v>1020</v>
      </c>
      <c r="B215" s="10"/>
      <c r="C215" s="10"/>
      <c r="D215" s="10">
        <v>2.0497402999999998</v>
      </c>
      <c r="E215" s="10"/>
      <c r="F215" s="10"/>
      <c r="H215" s="5" t="s">
        <v>1005</v>
      </c>
      <c r="I215" s="5" t="s">
        <v>621</v>
      </c>
      <c r="J215" s="5" t="s">
        <v>1008</v>
      </c>
    </row>
    <row r="216" spans="1:10">
      <c r="A216" s="5" t="s">
        <v>1021</v>
      </c>
      <c r="B216" s="10"/>
      <c r="C216" s="10">
        <v>2.4181089999999998</v>
      </c>
      <c r="D216" s="10"/>
      <c r="H216" s="5" t="s">
        <v>1005</v>
      </c>
      <c r="I216" s="5" t="s">
        <v>621</v>
      </c>
      <c r="J216" s="5" t="s">
        <v>1022</v>
      </c>
    </row>
    <row r="217" spans="1:10">
      <c r="A217" s="5" t="s">
        <v>1023</v>
      </c>
      <c r="B217" s="10">
        <v>2.3411007000000001</v>
      </c>
      <c r="C217" s="10">
        <v>2.8032460000000001</v>
      </c>
      <c r="D217" s="10"/>
      <c r="H217" s="5" t="s">
        <v>1005</v>
      </c>
      <c r="I217" s="5" t="s">
        <v>621</v>
      </c>
      <c r="J217" s="5" t="s">
        <v>1008</v>
      </c>
    </row>
    <row r="218" spans="1:10">
      <c r="A218" s="5" t="s">
        <v>1024</v>
      </c>
      <c r="B218" s="10">
        <v>3.8327016999999999</v>
      </c>
      <c r="C218" s="10">
        <v>4.9457655000000003</v>
      </c>
      <c r="D218" s="10">
        <v>2.6404830000000001</v>
      </c>
      <c r="H218" s="5" t="s">
        <v>1005</v>
      </c>
      <c r="I218" s="5" t="s">
        <v>621</v>
      </c>
      <c r="J218" s="5" t="s">
        <v>1008</v>
      </c>
    </row>
    <row r="219" spans="1:10">
      <c r="A219" s="5" t="s">
        <v>1025</v>
      </c>
      <c r="B219" s="10">
        <v>3.07443</v>
      </c>
      <c r="C219" s="10">
        <v>3.6248583999999999</v>
      </c>
      <c r="D219" s="10"/>
      <c r="H219" s="5" t="s">
        <v>1005</v>
      </c>
      <c r="I219" s="5" t="s">
        <v>621</v>
      </c>
      <c r="J219" s="5" t="s">
        <v>1017</v>
      </c>
    </row>
    <row r="220" spans="1:10">
      <c r="A220" s="5" t="s">
        <v>1026</v>
      </c>
      <c r="B220" s="10"/>
      <c r="C220" s="10">
        <v>2.1271266999999998</v>
      </c>
      <c r="D220" s="10"/>
      <c r="H220" s="5" t="s">
        <v>1005</v>
      </c>
      <c r="I220" s="5" t="s">
        <v>621</v>
      </c>
      <c r="J220" s="5" t="s">
        <v>1008</v>
      </c>
    </row>
    <row r="221" spans="1:10">
      <c r="A221" s="5" t="s">
        <v>1027</v>
      </c>
      <c r="B221" s="10"/>
      <c r="C221" s="10"/>
      <c r="D221" s="10">
        <v>2.1724543999999999</v>
      </c>
      <c r="H221" s="5" t="s">
        <v>1005</v>
      </c>
      <c r="I221" s="5" t="s">
        <v>621</v>
      </c>
      <c r="J221" s="5" t="s">
        <v>1012</v>
      </c>
    </row>
    <row r="222" spans="1:10">
      <c r="A222" s="5" t="s">
        <v>1028</v>
      </c>
      <c r="B222" s="10"/>
      <c r="C222" s="10">
        <v>2.5586380000000002</v>
      </c>
      <c r="D222" s="10"/>
      <c r="E222" s="10"/>
      <c r="F222" s="10"/>
      <c r="G222" s="10"/>
      <c r="H222" s="5" t="s">
        <v>1029</v>
      </c>
    </row>
    <row r="223" spans="1:10">
      <c r="A223" s="5" t="s">
        <v>1030</v>
      </c>
      <c r="B223" s="10"/>
      <c r="C223" s="10"/>
      <c r="D223" s="10">
        <v>2.7426781999999998</v>
      </c>
      <c r="E223" s="10"/>
      <c r="H223" s="5" t="s">
        <v>1031</v>
      </c>
    </row>
    <row r="224" spans="1:10">
      <c r="A224" s="5" t="s">
        <v>1032</v>
      </c>
      <c r="B224" s="10"/>
      <c r="C224" s="10">
        <v>2.2553024000000002</v>
      </c>
      <c r="D224" s="10">
        <v>3.4573516999999998</v>
      </c>
      <c r="E224" s="10"/>
      <c r="H224" s="5" t="s">
        <v>1031</v>
      </c>
    </row>
    <row r="225" spans="1:10">
      <c r="A225" s="5" t="s">
        <v>1033</v>
      </c>
      <c r="B225" s="10"/>
      <c r="C225" s="10"/>
      <c r="D225" s="10">
        <v>3.606382</v>
      </c>
      <c r="E225" s="10"/>
      <c r="H225" s="5" t="s">
        <v>1034</v>
      </c>
    </row>
    <row r="226" spans="1:10">
      <c r="A226" s="5" t="s">
        <v>1035</v>
      </c>
      <c r="B226" s="10"/>
      <c r="C226" s="10">
        <v>2.2607803</v>
      </c>
      <c r="D226" s="10"/>
      <c r="E226" s="10"/>
      <c r="F226" s="10"/>
      <c r="G226" s="10"/>
      <c r="H226" s="5" t="s">
        <v>1036</v>
      </c>
      <c r="I226" s="5" t="s">
        <v>1037</v>
      </c>
      <c r="J226" s="5" t="s">
        <v>1038</v>
      </c>
    </row>
    <row r="227" spans="1:10">
      <c r="A227" s="5" t="s">
        <v>1039</v>
      </c>
      <c r="B227" s="10"/>
      <c r="C227" s="10"/>
      <c r="D227" s="10"/>
      <c r="E227" s="10"/>
      <c r="F227" s="10"/>
      <c r="G227" s="10"/>
      <c r="H227" s="5" t="s">
        <v>1040</v>
      </c>
      <c r="I227" s="5" t="s">
        <v>1041</v>
      </c>
      <c r="J227" s="5" t="s">
        <v>1042</v>
      </c>
    </row>
    <row r="228" spans="1:10">
      <c r="A228" s="5" t="s">
        <v>1043</v>
      </c>
      <c r="B228" s="10"/>
      <c r="C228" s="10"/>
      <c r="D228" s="10"/>
      <c r="E228" s="10"/>
      <c r="F228" s="10">
        <v>-5.8324975999999999</v>
      </c>
      <c r="G228" s="10"/>
      <c r="H228" s="5" t="s">
        <v>1040</v>
      </c>
      <c r="I228" s="5" t="s">
        <v>1041</v>
      </c>
      <c r="J228" s="5" t="s">
        <v>1042</v>
      </c>
    </row>
    <row r="229" spans="1:10">
      <c r="A229" s="5" t="s">
        <v>1044</v>
      </c>
      <c r="B229" s="10"/>
      <c r="C229" s="10"/>
      <c r="D229" s="10"/>
      <c r="E229" s="10"/>
      <c r="F229" s="10"/>
      <c r="G229" s="10"/>
      <c r="H229" s="5" t="s">
        <v>1045</v>
      </c>
      <c r="I229" s="5" t="s">
        <v>1046</v>
      </c>
    </row>
    <row r="230" spans="1:10">
      <c r="A230" s="5" t="s">
        <v>1047</v>
      </c>
      <c r="B230" s="10"/>
      <c r="C230" s="10"/>
      <c r="D230" s="10"/>
      <c r="E230" s="10"/>
      <c r="F230" s="10"/>
      <c r="G230" s="10">
        <v>-2.1081557000000002</v>
      </c>
      <c r="H230" s="5" t="s">
        <v>1048</v>
      </c>
      <c r="I230" s="5" t="s">
        <v>621</v>
      </c>
      <c r="J230" s="5" t="s">
        <v>1049</v>
      </c>
    </row>
    <row r="231" spans="1:10">
      <c r="A231" s="5" t="s">
        <v>1050</v>
      </c>
      <c r="B231" s="10"/>
      <c r="C231" s="10"/>
      <c r="D231" s="10"/>
      <c r="E231" s="10"/>
      <c r="F231" s="10"/>
      <c r="G231" s="10">
        <v>-2.4316087</v>
      </c>
      <c r="H231" s="5" t="s">
        <v>1048</v>
      </c>
      <c r="I231" s="5" t="s">
        <v>621</v>
      </c>
      <c r="J231" s="5" t="s">
        <v>1049</v>
      </c>
    </row>
    <row r="232" spans="1:10">
      <c r="A232" s="5" t="s">
        <v>1051</v>
      </c>
      <c r="B232" s="10"/>
      <c r="C232" s="10"/>
      <c r="D232" s="10">
        <v>2.4140595999999999</v>
      </c>
      <c r="E232" s="10"/>
      <c r="F232" s="10"/>
      <c r="G232" s="10"/>
      <c r="H232" s="5" t="s">
        <v>1052</v>
      </c>
      <c r="I232" s="11" t="s">
        <v>1053</v>
      </c>
    </row>
    <row r="233" spans="1:10">
      <c r="A233" s="5" t="s">
        <v>1054</v>
      </c>
      <c r="B233" s="10"/>
      <c r="C233" s="10"/>
      <c r="D233" s="10">
        <v>2.3037529999999999</v>
      </c>
      <c r="E233" s="10"/>
      <c r="F233" s="10"/>
      <c r="G233" s="10"/>
      <c r="H233" s="5" t="s">
        <v>1055</v>
      </c>
      <c r="I233" s="5" t="s">
        <v>713</v>
      </c>
      <c r="J233" s="5" t="s">
        <v>1056</v>
      </c>
    </row>
    <row r="234" spans="1:10">
      <c r="A234" s="5" t="s">
        <v>1057</v>
      </c>
      <c r="B234" s="10"/>
      <c r="C234" s="10"/>
      <c r="D234" s="10"/>
      <c r="E234" s="10"/>
      <c r="F234" s="10"/>
      <c r="G234" s="10"/>
      <c r="H234" s="5" t="s">
        <v>1058</v>
      </c>
    </row>
    <row r="235" spans="1:10">
      <c r="A235" s="5" t="s">
        <v>1059</v>
      </c>
      <c r="B235" s="10"/>
      <c r="C235" s="10"/>
      <c r="D235" s="10">
        <v>2.3046122000000002</v>
      </c>
      <c r="E235" s="10"/>
      <c r="F235" s="10"/>
      <c r="G235" s="10"/>
      <c r="H235" s="5" t="s">
        <v>1060</v>
      </c>
      <c r="I235" s="5" t="s">
        <v>1061</v>
      </c>
      <c r="J235" s="5" t="s">
        <v>1062</v>
      </c>
    </row>
    <row r="236" spans="1:10">
      <c r="A236" s="5" t="s">
        <v>1063</v>
      </c>
      <c r="B236" s="10"/>
      <c r="C236" s="10"/>
      <c r="D236" s="10">
        <v>2.8296036999999998</v>
      </c>
      <c r="E236" s="10"/>
      <c r="F236" s="10"/>
      <c r="G236" s="10"/>
      <c r="H236" s="5" t="s">
        <v>1060</v>
      </c>
      <c r="I236" s="5" t="s">
        <v>1061</v>
      </c>
      <c r="J236" s="5" t="s">
        <v>1062</v>
      </c>
    </row>
    <row r="237" spans="1:10">
      <c r="A237" s="5" t="s">
        <v>1064</v>
      </c>
      <c r="B237" s="10"/>
      <c r="C237" s="10"/>
      <c r="D237" s="10">
        <v>2.3389000000000002</v>
      </c>
      <c r="E237" s="10"/>
      <c r="F237" s="10"/>
      <c r="G237" s="10"/>
      <c r="H237" s="5" t="s">
        <v>1060</v>
      </c>
      <c r="I237" s="5" t="s">
        <v>1061</v>
      </c>
      <c r="J237" s="5" t="s">
        <v>1062</v>
      </c>
    </row>
    <row r="238" spans="1:10">
      <c r="A238" s="5" t="s">
        <v>1065</v>
      </c>
      <c r="B238" s="10"/>
      <c r="C238" s="10"/>
      <c r="D238" s="10">
        <v>2.425805</v>
      </c>
      <c r="E238" s="10"/>
      <c r="F238" s="10"/>
      <c r="G238" s="10"/>
      <c r="H238" s="5" t="s">
        <v>1060</v>
      </c>
      <c r="I238" s="5" t="s">
        <v>1061</v>
      </c>
      <c r="J238" s="5" t="s">
        <v>1062</v>
      </c>
    </row>
    <row r="239" spans="1:10">
      <c r="A239" s="5" t="s">
        <v>1066</v>
      </c>
      <c r="B239" s="10"/>
      <c r="C239" s="10"/>
      <c r="D239" s="10"/>
      <c r="E239" s="10"/>
      <c r="F239" s="10"/>
      <c r="G239" s="10">
        <v>-2.1824384000000001</v>
      </c>
      <c r="H239" s="5" t="s">
        <v>1067</v>
      </c>
    </row>
    <row r="240" spans="1:10">
      <c r="A240" s="5" t="s">
        <v>1068</v>
      </c>
      <c r="B240" s="10"/>
      <c r="C240" s="10"/>
      <c r="D240" s="10"/>
      <c r="E240" s="10"/>
      <c r="F240" s="10"/>
      <c r="G240" s="10">
        <v>-2.606697</v>
      </c>
      <c r="H240" s="5" t="s">
        <v>1069</v>
      </c>
    </row>
    <row r="241" spans="1:10">
      <c r="A241" s="5" t="s">
        <v>1070</v>
      </c>
      <c r="B241" s="10"/>
      <c r="C241" s="10"/>
      <c r="D241" s="10"/>
      <c r="E241" s="10"/>
      <c r="F241" s="10"/>
      <c r="G241" s="10"/>
      <c r="H241" s="5" t="s">
        <v>1071</v>
      </c>
    </row>
    <row r="242" spans="1:10">
      <c r="A242" s="5" t="s">
        <v>1072</v>
      </c>
      <c r="B242" s="10">
        <v>2.167592</v>
      </c>
      <c r="C242" s="10">
        <v>3.3128114000000002</v>
      </c>
      <c r="D242" s="10">
        <v>3.2781734</v>
      </c>
      <c r="E242" s="10"/>
      <c r="F242" s="10"/>
      <c r="G242" s="10"/>
      <c r="H242" s="5" t="s">
        <v>1073</v>
      </c>
      <c r="I242" s="5" t="s">
        <v>1074</v>
      </c>
    </row>
    <row r="243" spans="1:10">
      <c r="A243" s="5" t="s">
        <v>1075</v>
      </c>
      <c r="B243" s="10">
        <v>2.4421697</v>
      </c>
      <c r="C243" s="10">
        <v>2.9276352000000001</v>
      </c>
      <c r="D243" s="10"/>
      <c r="E243" s="10"/>
      <c r="F243" s="10"/>
      <c r="G243" s="10"/>
      <c r="H243" s="5" t="s">
        <v>1073</v>
      </c>
      <c r="I243" s="5" t="s">
        <v>1074</v>
      </c>
    </row>
    <row r="244" spans="1:10">
      <c r="A244" s="5" t="s">
        <v>532</v>
      </c>
      <c r="B244" s="10"/>
      <c r="C244" s="10">
        <v>2.2827829999999998</v>
      </c>
      <c r="D244" s="10">
        <v>2.3186417000000001</v>
      </c>
      <c r="E244" s="10"/>
      <c r="F244" s="10"/>
      <c r="G244" s="10"/>
      <c r="H244" s="5" t="s">
        <v>533</v>
      </c>
      <c r="J244" s="5" t="s">
        <v>534</v>
      </c>
    </row>
    <row r="245" spans="1:10">
      <c r="A245" s="5" t="s">
        <v>1076</v>
      </c>
      <c r="B245" s="10"/>
      <c r="C245" s="10"/>
      <c r="D245" s="10"/>
      <c r="E245" s="10"/>
      <c r="F245" s="10"/>
      <c r="G245" s="10">
        <v>-2.9924067999999999</v>
      </c>
      <c r="H245" s="5" t="s">
        <v>1077</v>
      </c>
    </row>
    <row r="246" spans="1:10">
      <c r="A246" s="5" t="s">
        <v>1078</v>
      </c>
      <c r="B246" s="10"/>
      <c r="C246" s="10"/>
      <c r="D246" s="10"/>
      <c r="E246" s="10"/>
      <c r="F246" s="10">
        <v>-2.2220249999999999</v>
      </c>
      <c r="G246" s="10"/>
      <c r="H246" s="5" t="s">
        <v>1079</v>
      </c>
      <c r="I246" s="5" t="s">
        <v>1080</v>
      </c>
    </row>
    <row r="247" spans="1:10">
      <c r="A247" s="5" t="s">
        <v>1081</v>
      </c>
      <c r="B247" s="10"/>
      <c r="C247" s="10"/>
      <c r="D247" s="10"/>
      <c r="E247" s="10">
        <v>-4.789072</v>
      </c>
      <c r="F247" s="10">
        <v>-4.8427220000000002</v>
      </c>
      <c r="G247" s="10"/>
      <c r="H247" s="5" t="s">
        <v>1082</v>
      </c>
      <c r="I247" s="5" t="s">
        <v>655</v>
      </c>
      <c r="J247" s="5" t="s">
        <v>1083</v>
      </c>
    </row>
    <row r="248" spans="1:10">
      <c r="A248" s="5" t="s">
        <v>1084</v>
      </c>
      <c r="B248" s="10"/>
      <c r="C248" s="10"/>
      <c r="D248" s="10"/>
      <c r="E248" s="10"/>
      <c r="F248" s="10">
        <v>-5.4334064</v>
      </c>
      <c r="G248" s="10"/>
      <c r="H248" s="5" t="s">
        <v>1082</v>
      </c>
      <c r="I248" s="5" t="s">
        <v>655</v>
      </c>
      <c r="J248" s="5" t="s">
        <v>1083</v>
      </c>
    </row>
    <row r="249" spans="1:10">
      <c r="A249" s="5" t="s">
        <v>1085</v>
      </c>
      <c r="B249" s="10"/>
      <c r="C249" s="10"/>
      <c r="D249" s="10"/>
      <c r="E249" s="10">
        <v>-5.4970309999999998</v>
      </c>
      <c r="F249" s="10">
        <v>-5.6932383</v>
      </c>
      <c r="G249" s="10"/>
      <c r="H249" s="5" t="s">
        <v>1082</v>
      </c>
      <c r="I249" s="5" t="s">
        <v>655</v>
      </c>
      <c r="J249" s="5" t="s">
        <v>1083</v>
      </c>
    </row>
    <row r="250" spans="1:10">
      <c r="A250" s="5" t="s">
        <v>1086</v>
      </c>
      <c r="B250" s="10"/>
      <c r="C250" s="10"/>
      <c r="D250" s="10">
        <v>2.2274045999999998</v>
      </c>
      <c r="E250" s="10"/>
      <c r="F250" s="10"/>
      <c r="G250" s="10"/>
      <c r="H250" s="5" t="s">
        <v>1082</v>
      </c>
      <c r="I250" s="5" t="s">
        <v>655</v>
      </c>
      <c r="J250" s="5" t="s">
        <v>1083</v>
      </c>
    </row>
    <row r="251" spans="1:10">
      <c r="A251" s="5" t="s">
        <v>1087</v>
      </c>
      <c r="B251" s="10"/>
      <c r="C251" s="10"/>
      <c r="D251" s="10"/>
      <c r="E251" s="10"/>
      <c r="F251" s="10"/>
      <c r="G251" s="10">
        <v>-2.0335264</v>
      </c>
      <c r="H251" s="5" t="s">
        <v>1088</v>
      </c>
      <c r="I251" s="5" t="s">
        <v>655</v>
      </c>
      <c r="J251" s="5" t="s">
        <v>1089</v>
      </c>
    </row>
    <row r="252" spans="1:10">
      <c r="A252" s="5" t="s">
        <v>1090</v>
      </c>
      <c r="B252" s="10"/>
      <c r="C252" s="10"/>
      <c r="D252" s="10"/>
      <c r="E252" s="10"/>
      <c r="F252" s="10"/>
      <c r="G252" s="10">
        <v>-2.2840284999999998</v>
      </c>
      <c r="H252" s="5" t="s">
        <v>1088</v>
      </c>
      <c r="I252" s="5" t="s">
        <v>655</v>
      </c>
      <c r="J252" s="5" t="s">
        <v>1089</v>
      </c>
    </row>
    <row r="253" spans="1:10">
      <c r="A253" s="5" t="s">
        <v>1091</v>
      </c>
      <c r="B253" s="10"/>
      <c r="C253" s="10"/>
      <c r="D253" s="10">
        <v>2.0094428</v>
      </c>
      <c r="E253" s="10"/>
      <c r="F253" s="10"/>
      <c r="G253" s="10"/>
      <c r="H253" s="5" t="s">
        <v>1092</v>
      </c>
    </row>
    <row r="254" spans="1:10">
      <c r="A254" s="5" t="s">
        <v>1093</v>
      </c>
      <c r="B254" s="10"/>
      <c r="C254" s="10"/>
      <c r="D254" s="10"/>
      <c r="E254" s="10"/>
      <c r="F254" s="10"/>
      <c r="G254" s="10">
        <v>-2.0213800000000002</v>
      </c>
      <c r="H254" s="5" t="s">
        <v>1094</v>
      </c>
      <c r="J254" s="5" t="s">
        <v>1095</v>
      </c>
    </row>
    <row r="255" spans="1:10">
      <c r="A255" s="5" t="s">
        <v>1096</v>
      </c>
      <c r="B255" s="10"/>
      <c r="C255" s="10"/>
      <c r="D255" s="10"/>
      <c r="E255" s="10"/>
      <c r="F255" s="10"/>
      <c r="G255" s="10">
        <v>-2.0093236000000001</v>
      </c>
      <c r="H255" s="5" t="s">
        <v>1094</v>
      </c>
      <c r="J255" s="5" t="s">
        <v>1095</v>
      </c>
    </row>
    <row r="256" spans="1:10">
      <c r="A256" s="5" t="s">
        <v>552</v>
      </c>
      <c r="B256" s="10"/>
      <c r="C256" s="10">
        <v>2.1594275999999999</v>
      </c>
      <c r="D256" s="10">
        <v>2.4132600000000002</v>
      </c>
      <c r="E256" s="10"/>
      <c r="F256" s="10"/>
      <c r="G256" s="10"/>
      <c r="H256" s="5" t="s">
        <v>148</v>
      </c>
      <c r="I256" s="5" t="s">
        <v>642</v>
      </c>
      <c r="J256" s="5" t="s">
        <v>553</v>
      </c>
    </row>
    <row r="257" spans="1:11">
      <c r="A257" s="5" t="s">
        <v>562</v>
      </c>
      <c r="B257" s="10"/>
      <c r="C257" s="10"/>
      <c r="D257" s="10"/>
      <c r="E257" s="10"/>
      <c r="F257" s="10">
        <v>-2.007358</v>
      </c>
      <c r="G257" s="10">
        <v>-3.2889175000000002</v>
      </c>
      <c r="H257" s="5" t="s">
        <v>148</v>
      </c>
      <c r="I257" s="5" t="s">
        <v>642</v>
      </c>
      <c r="J257" s="5" t="s">
        <v>553</v>
      </c>
    </row>
    <row r="258" spans="1:11">
      <c r="A258" s="5" t="s">
        <v>1097</v>
      </c>
      <c r="B258" s="10"/>
      <c r="C258" s="10">
        <v>3.1632519000000001</v>
      </c>
      <c r="D258" s="10">
        <v>2.5497822999999999</v>
      </c>
      <c r="E258" s="10"/>
      <c r="F258" s="10"/>
      <c r="G258" s="10"/>
      <c r="H258" s="5" t="s">
        <v>1098</v>
      </c>
      <c r="I258" s="5" t="s">
        <v>873</v>
      </c>
      <c r="J258" s="5" t="s">
        <v>1099</v>
      </c>
    </row>
    <row r="259" spans="1:11">
      <c r="A259" s="5" t="s">
        <v>1100</v>
      </c>
      <c r="B259" s="10">
        <v>3.3107218999999999</v>
      </c>
      <c r="C259" s="10">
        <v>3.7498927000000002</v>
      </c>
      <c r="D259" s="10">
        <v>3.1335044000000001</v>
      </c>
      <c r="E259" s="10"/>
      <c r="F259" s="10"/>
      <c r="G259" s="10"/>
      <c r="H259" s="5" t="s">
        <v>1098</v>
      </c>
      <c r="I259" s="5" t="s">
        <v>873</v>
      </c>
      <c r="J259" s="5" t="s">
        <v>1099</v>
      </c>
    </row>
    <row r="260" spans="1:11">
      <c r="A260" s="5" t="s">
        <v>1101</v>
      </c>
      <c r="B260" s="10"/>
      <c r="C260" s="10">
        <v>2.4521494000000001</v>
      </c>
      <c r="D260" s="10"/>
      <c r="E260" s="10"/>
      <c r="F260" s="10"/>
      <c r="G260" s="10"/>
      <c r="H260" s="5" t="s">
        <v>1098</v>
      </c>
      <c r="I260" s="5" t="s">
        <v>873</v>
      </c>
      <c r="J260" s="5" t="s">
        <v>1099</v>
      </c>
    </row>
    <row r="261" spans="1:11">
      <c r="A261" s="5" t="s">
        <v>1102</v>
      </c>
      <c r="B261" s="10"/>
      <c r="C261" s="10"/>
      <c r="D261" s="10">
        <v>2.130147</v>
      </c>
      <c r="E261" s="10"/>
      <c r="F261" s="10"/>
      <c r="G261" s="10"/>
      <c r="H261" s="5" t="s">
        <v>1098</v>
      </c>
      <c r="I261" s="5" t="s">
        <v>873</v>
      </c>
      <c r="J261" s="5" t="s">
        <v>1099</v>
      </c>
    </row>
    <row r="262" spans="1:11">
      <c r="A262" s="5" t="s">
        <v>1103</v>
      </c>
      <c r="B262" s="10"/>
      <c r="C262" s="10">
        <v>2.4258237</v>
      </c>
      <c r="D262" s="10"/>
      <c r="E262" s="10"/>
      <c r="F262" s="10"/>
      <c r="G262" s="10"/>
      <c r="H262" s="5" t="s">
        <v>1098</v>
      </c>
      <c r="I262" s="5" t="s">
        <v>873</v>
      </c>
      <c r="J262" s="5" t="s">
        <v>1099</v>
      </c>
    </row>
    <row r="263" spans="1:11">
      <c r="A263" s="5" t="s">
        <v>563</v>
      </c>
      <c r="B263" s="10"/>
      <c r="C263" s="10"/>
      <c r="D263" s="10">
        <v>3.2837909999999999</v>
      </c>
      <c r="E263" s="10"/>
      <c r="F263" s="10"/>
      <c r="H263" s="5" t="s">
        <v>1098</v>
      </c>
      <c r="I263" s="5" t="s">
        <v>873</v>
      </c>
      <c r="J263" s="5" t="s">
        <v>564</v>
      </c>
      <c r="K263" s="5" t="s">
        <v>565</v>
      </c>
    </row>
    <row r="264" spans="1:11">
      <c r="A264" s="5" t="s">
        <v>1104</v>
      </c>
      <c r="B264" s="10"/>
      <c r="C264" s="10"/>
      <c r="D264" s="10">
        <v>2.0513482000000001</v>
      </c>
      <c r="E264" s="10"/>
      <c r="F264" s="10"/>
      <c r="H264" s="5" t="s">
        <v>1098</v>
      </c>
      <c r="I264" s="5" t="s">
        <v>873</v>
      </c>
      <c r="J264" s="5" t="s">
        <v>1099</v>
      </c>
    </row>
    <row r="265" spans="1:11">
      <c r="A265" s="5" t="s">
        <v>1105</v>
      </c>
      <c r="B265" s="10">
        <v>2.2509383999999999</v>
      </c>
      <c r="C265" s="10">
        <v>3.3611163999999998</v>
      </c>
      <c r="D265" s="10">
        <v>3.2695656</v>
      </c>
      <c r="E265" s="10"/>
      <c r="F265" s="10"/>
      <c r="G265" s="10"/>
      <c r="H265" s="5" t="s">
        <v>1098</v>
      </c>
      <c r="I265" s="5" t="s">
        <v>873</v>
      </c>
      <c r="J265" s="5" t="s">
        <v>1099</v>
      </c>
    </row>
    <row r="266" spans="1:11">
      <c r="A266" s="5" t="s">
        <v>1106</v>
      </c>
      <c r="B266" s="10"/>
      <c r="C266" s="10"/>
      <c r="D266" s="10">
        <v>2.3721622999999998</v>
      </c>
      <c r="E266" s="10"/>
      <c r="F266" s="10"/>
      <c r="H266" s="5" t="s">
        <v>1098</v>
      </c>
      <c r="J266" s="5" t="s">
        <v>1099</v>
      </c>
    </row>
    <row r="267" spans="1:11">
      <c r="A267" s="5" t="s">
        <v>1107</v>
      </c>
      <c r="B267" s="10"/>
      <c r="C267" s="10">
        <v>2.5653790999999999</v>
      </c>
      <c r="D267" s="10"/>
      <c r="E267" s="10"/>
      <c r="F267" s="10"/>
      <c r="G267" s="10"/>
      <c r="H267" s="5" t="s">
        <v>1098</v>
      </c>
      <c r="I267" s="5" t="s">
        <v>873</v>
      </c>
      <c r="J267" s="5" t="s">
        <v>1099</v>
      </c>
    </row>
    <row r="268" spans="1:11">
      <c r="A268" s="5" t="s">
        <v>1108</v>
      </c>
      <c r="B268" s="10">
        <v>2.1884513000000001</v>
      </c>
      <c r="C268" s="10">
        <v>3.1054263</v>
      </c>
      <c r="D268" s="10">
        <v>3.1093183</v>
      </c>
      <c r="E268" s="10"/>
      <c r="F268" s="10"/>
      <c r="G268" s="10"/>
      <c r="H268" s="5" t="s">
        <v>1098</v>
      </c>
      <c r="I268" s="5" t="s">
        <v>873</v>
      </c>
      <c r="J268" s="5" t="s">
        <v>1109</v>
      </c>
    </row>
    <row r="269" spans="1:11">
      <c r="A269" s="5" t="s">
        <v>1110</v>
      </c>
      <c r="B269" s="10"/>
      <c r="C269" s="10"/>
      <c r="D269" s="10"/>
      <c r="E269" s="10"/>
      <c r="F269" s="10"/>
      <c r="G269" s="10">
        <v>-2.4063477999999998</v>
      </c>
      <c r="H269" s="5" t="s">
        <v>1111</v>
      </c>
    </row>
    <row r="270" spans="1:11">
      <c r="A270" s="5" t="s">
        <v>1112</v>
      </c>
      <c r="B270" s="10"/>
      <c r="C270" s="10"/>
      <c r="D270" s="10"/>
      <c r="E270" s="10"/>
      <c r="F270" s="10"/>
      <c r="G270" s="10">
        <v>-3.4199223999999999</v>
      </c>
      <c r="H270" s="5" t="s">
        <v>1113</v>
      </c>
    </row>
    <row r="271" spans="1:11">
      <c r="A271" s="5" t="s">
        <v>1114</v>
      </c>
      <c r="B271" s="10"/>
      <c r="C271" s="10"/>
      <c r="D271" s="10"/>
      <c r="E271" s="10"/>
      <c r="F271" s="10"/>
      <c r="G271" s="10">
        <v>-2.100965</v>
      </c>
      <c r="H271" s="5" t="s">
        <v>1115</v>
      </c>
      <c r="J271" s="5" t="s">
        <v>1116</v>
      </c>
    </row>
    <row r="272" spans="1:11">
      <c r="A272" s="5" t="s">
        <v>1117</v>
      </c>
      <c r="B272" s="10"/>
      <c r="C272" s="10"/>
      <c r="D272" s="10"/>
      <c r="E272" s="10"/>
      <c r="F272" s="10"/>
      <c r="G272" s="10">
        <v>-2.3865924000000001</v>
      </c>
      <c r="H272" s="5" t="s">
        <v>1118</v>
      </c>
    </row>
    <row r="273" spans="1:10">
      <c r="A273" s="5" t="s">
        <v>1119</v>
      </c>
      <c r="B273" s="10"/>
      <c r="C273" s="10"/>
      <c r="D273" s="10"/>
      <c r="E273" s="10">
        <v>-2.9325994999999998</v>
      </c>
      <c r="F273" s="10">
        <v>-2.7150626</v>
      </c>
      <c r="G273" s="10">
        <v>-3.0515208</v>
      </c>
      <c r="H273" s="5" t="s">
        <v>1120</v>
      </c>
      <c r="I273" s="5" t="s">
        <v>616</v>
      </c>
      <c r="J273" s="5" t="s">
        <v>1121</v>
      </c>
    </row>
    <row r="274" spans="1:10">
      <c r="A274" s="5" t="s">
        <v>1122</v>
      </c>
      <c r="B274" s="10"/>
      <c r="C274" s="10"/>
      <c r="D274" s="10"/>
      <c r="E274" s="10"/>
      <c r="F274" s="10"/>
      <c r="G274" s="10">
        <v>-5.7382964999999997</v>
      </c>
      <c r="H274" s="5" t="s">
        <v>1123</v>
      </c>
      <c r="I274" s="5" t="s">
        <v>658</v>
      </c>
      <c r="J274" s="5" t="s">
        <v>1124</v>
      </c>
    </row>
    <row r="275" spans="1:10">
      <c r="A275" s="5" t="s">
        <v>1125</v>
      </c>
      <c r="B275" s="10"/>
      <c r="C275" s="10"/>
      <c r="D275" s="10"/>
      <c r="E275" s="10">
        <v>-2.7541695000000002</v>
      </c>
      <c r="F275" s="10">
        <v>-3.0283232</v>
      </c>
      <c r="G275" s="10">
        <v>-2.097642</v>
      </c>
      <c r="H275" s="5" t="s">
        <v>1126</v>
      </c>
      <c r="J275" s="5" t="s">
        <v>1124</v>
      </c>
    </row>
    <row r="276" spans="1:10">
      <c r="A276" s="5" t="s">
        <v>1127</v>
      </c>
      <c r="B276" s="10"/>
      <c r="C276" s="10"/>
      <c r="D276" s="10">
        <v>2.6103844999999999</v>
      </c>
      <c r="E276" s="10"/>
      <c r="F276" s="10"/>
      <c r="H276" s="5" t="s">
        <v>1128</v>
      </c>
      <c r="I276" s="5" t="s">
        <v>627</v>
      </c>
      <c r="J276" s="5" t="s">
        <v>1129</v>
      </c>
    </row>
    <row r="277" spans="1:10">
      <c r="A277" s="5" t="s">
        <v>1130</v>
      </c>
      <c r="B277" s="10"/>
      <c r="C277" s="10"/>
      <c r="D277" s="10">
        <v>2.962853</v>
      </c>
      <c r="E277" s="10"/>
      <c r="F277" s="10"/>
      <c r="H277" s="5" t="s">
        <v>1128</v>
      </c>
      <c r="I277" s="5" t="s">
        <v>687</v>
      </c>
      <c r="J277" s="5" t="s">
        <v>1131</v>
      </c>
    </row>
    <row r="278" spans="1:10">
      <c r="A278" s="5" t="s">
        <v>1132</v>
      </c>
      <c r="B278" s="10"/>
      <c r="C278" s="10"/>
      <c r="D278" s="10">
        <v>2.6101637000000002</v>
      </c>
      <c r="E278" s="10"/>
      <c r="F278" s="10"/>
      <c r="H278" s="5" t="s">
        <v>1128</v>
      </c>
      <c r="I278" s="5" t="s">
        <v>687</v>
      </c>
      <c r="J278" s="5" t="s">
        <v>1131</v>
      </c>
    </row>
    <row r="279" spans="1:10">
      <c r="A279" s="5" t="s">
        <v>1133</v>
      </c>
      <c r="B279" s="10">
        <v>2.5439156999999999</v>
      </c>
      <c r="C279" s="10">
        <v>2.9261436000000001</v>
      </c>
      <c r="D279" s="10">
        <v>2.6182690000000002</v>
      </c>
      <c r="E279" s="10"/>
      <c r="F279" s="10"/>
      <c r="G279" s="10"/>
      <c r="H279" s="5" t="s">
        <v>1134</v>
      </c>
      <c r="I279" s="5" t="s">
        <v>1199</v>
      </c>
      <c r="J279" s="5" t="s">
        <v>1135</v>
      </c>
    </row>
    <row r="280" spans="1:10">
      <c r="A280" s="5" t="s">
        <v>1136</v>
      </c>
      <c r="B280" s="10">
        <v>4.0508303999999997</v>
      </c>
      <c r="C280" s="10">
        <v>5.1262879999999997</v>
      </c>
      <c r="D280" s="10">
        <v>5.6281724000000004</v>
      </c>
      <c r="E280" s="10"/>
      <c r="F280" s="10"/>
      <c r="G280" s="10"/>
      <c r="H280" s="5" t="s">
        <v>1134</v>
      </c>
      <c r="I280" s="5" t="s">
        <v>1199</v>
      </c>
      <c r="J280" s="5" t="s">
        <v>1135</v>
      </c>
    </row>
    <row r="281" spans="1:10">
      <c r="A281" s="5" t="s">
        <v>1137</v>
      </c>
      <c r="B281" s="10"/>
      <c r="C281" s="10"/>
      <c r="D281" s="10">
        <v>2.0135632000000001</v>
      </c>
      <c r="E281" s="10"/>
      <c r="F281" s="10"/>
      <c r="G281" s="10"/>
      <c r="H281" s="5" t="s">
        <v>1134</v>
      </c>
      <c r="I281" s="5" t="s">
        <v>1199</v>
      </c>
      <c r="J281" s="5" t="s">
        <v>1135</v>
      </c>
    </row>
    <row r="282" spans="1:10">
      <c r="A282" s="5" t="s">
        <v>1138</v>
      </c>
      <c r="B282" s="10"/>
      <c r="C282" s="10"/>
      <c r="D282" s="10">
        <v>2.5946913</v>
      </c>
      <c r="E282" s="10"/>
      <c r="F282" s="10"/>
      <c r="G282" s="10"/>
      <c r="H282" s="5" t="s">
        <v>1134</v>
      </c>
      <c r="I282" s="5" t="s">
        <v>1199</v>
      </c>
      <c r="J282" s="5" t="s">
        <v>1135</v>
      </c>
    </row>
    <row r="283" spans="1:10">
      <c r="A283" s="5" t="s">
        <v>1139</v>
      </c>
      <c r="B283" s="10"/>
      <c r="C283" s="10"/>
      <c r="D283" s="10">
        <v>3.6278736999999999</v>
      </c>
      <c r="E283" s="10"/>
      <c r="F283" s="10"/>
      <c r="H283" s="5" t="s">
        <v>1140</v>
      </c>
    </row>
    <row r="284" spans="1:10">
      <c r="A284" s="5" t="s">
        <v>1141</v>
      </c>
      <c r="B284" s="10"/>
      <c r="C284" s="10">
        <v>2.0620055000000002</v>
      </c>
      <c r="D284" s="10"/>
      <c r="E284" s="10"/>
      <c r="F284" s="10"/>
      <c r="G284" s="10"/>
      <c r="H284" s="5" t="s">
        <v>1142</v>
      </c>
    </row>
    <row r="285" spans="1:10">
      <c r="A285" s="5" t="s">
        <v>1143</v>
      </c>
      <c r="B285" s="10"/>
      <c r="C285" s="10">
        <v>2.0901198000000001</v>
      </c>
      <c r="D285" s="10"/>
      <c r="E285" s="10"/>
      <c r="F285" s="10"/>
      <c r="G285" s="10"/>
      <c r="H285" s="5" t="s">
        <v>1142</v>
      </c>
    </row>
    <row r="286" spans="1:10">
      <c r="A286" s="5" t="s">
        <v>1144</v>
      </c>
      <c r="B286" s="10"/>
      <c r="C286" s="10">
        <v>2.1847625000000002</v>
      </c>
      <c r="D286" s="10"/>
      <c r="E286" s="10"/>
      <c r="F286" s="10"/>
      <c r="G286" s="10"/>
      <c r="H286" s="5" t="s">
        <v>1145</v>
      </c>
    </row>
    <row r="287" spans="1:10">
      <c r="A287" s="5" t="s">
        <v>539</v>
      </c>
      <c r="B287" s="10">
        <v>2.7549104999999998</v>
      </c>
      <c r="C287" s="10">
        <v>2.8424140000000002</v>
      </c>
      <c r="D287" s="10">
        <v>3.28871</v>
      </c>
      <c r="E287" s="10"/>
      <c r="F287" s="10"/>
      <c r="G287" s="10"/>
      <c r="H287" s="5" t="s">
        <v>147</v>
      </c>
      <c r="I287" s="5" t="s">
        <v>873</v>
      </c>
      <c r="J287" s="5" t="s">
        <v>891</v>
      </c>
    </row>
    <row r="288" spans="1:10">
      <c r="A288" s="5" t="s">
        <v>1146</v>
      </c>
      <c r="B288" s="10"/>
      <c r="C288" s="10"/>
      <c r="D288" s="10"/>
      <c r="E288" s="10"/>
      <c r="F288" s="10"/>
      <c r="G288" s="10">
        <v>-2.0150212999999999</v>
      </c>
      <c r="H288" s="5" t="s">
        <v>1147</v>
      </c>
      <c r="I288" s="5" t="s">
        <v>873</v>
      </c>
      <c r="J288" s="5" t="s">
        <v>1148</v>
      </c>
    </row>
    <row r="289" spans="1:11">
      <c r="A289" s="5" t="s">
        <v>1149</v>
      </c>
      <c r="B289" s="10"/>
      <c r="C289" s="10"/>
      <c r="D289" s="10"/>
      <c r="E289" s="10"/>
      <c r="F289" s="10"/>
      <c r="G289" s="10">
        <v>-4.3764124000000004</v>
      </c>
      <c r="H289" s="5" t="s">
        <v>1147</v>
      </c>
      <c r="I289" s="5" t="s">
        <v>627</v>
      </c>
      <c r="J289" s="5" t="s">
        <v>1150</v>
      </c>
    </row>
    <row r="290" spans="1:11">
      <c r="A290" s="5" t="s">
        <v>1151</v>
      </c>
      <c r="B290" s="10"/>
      <c r="C290" s="10"/>
      <c r="D290" s="10"/>
      <c r="E290" s="10"/>
      <c r="F290" s="10"/>
      <c r="G290" s="10">
        <v>-2.8510737000000002</v>
      </c>
      <c r="H290" s="5" t="s">
        <v>1147</v>
      </c>
      <c r="I290" s="5" t="s">
        <v>873</v>
      </c>
      <c r="J290" s="5" t="s">
        <v>1152</v>
      </c>
    </row>
    <row r="291" spans="1:11">
      <c r="A291" s="5" t="s">
        <v>1153</v>
      </c>
      <c r="B291" s="10"/>
      <c r="C291" s="10"/>
      <c r="D291" s="10"/>
      <c r="E291" s="10">
        <v>-2.0346959999999998</v>
      </c>
      <c r="F291" s="10">
        <v>-3.1606855</v>
      </c>
      <c r="G291" s="10">
        <v>-3.8481507000000001</v>
      </c>
      <c r="H291" s="5" t="s">
        <v>1147</v>
      </c>
      <c r="I291" s="5" t="s">
        <v>873</v>
      </c>
      <c r="J291" s="5" t="s">
        <v>1154</v>
      </c>
    </row>
    <row r="292" spans="1:11">
      <c r="A292" s="5" t="s">
        <v>1155</v>
      </c>
      <c r="B292" s="10"/>
      <c r="C292" s="10"/>
      <c r="D292" s="10"/>
      <c r="E292" s="10"/>
      <c r="F292" s="10"/>
      <c r="G292" s="10">
        <v>-2.5942091999999999</v>
      </c>
      <c r="H292" s="5" t="s">
        <v>1147</v>
      </c>
      <c r="I292" s="5" t="s">
        <v>627</v>
      </c>
      <c r="J292" s="5" t="s">
        <v>1156</v>
      </c>
      <c r="K292" s="5" t="s">
        <v>1157</v>
      </c>
    </row>
    <row r="293" spans="1:11">
      <c r="A293" s="5" t="s">
        <v>1158</v>
      </c>
      <c r="B293" s="10"/>
      <c r="C293" s="10"/>
      <c r="D293" s="10"/>
      <c r="E293" s="10"/>
      <c r="F293" s="10"/>
      <c r="G293" s="10">
        <v>-3.4910874000000001</v>
      </c>
      <c r="H293" s="5" t="s">
        <v>1147</v>
      </c>
      <c r="I293" s="5" t="s">
        <v>873</v>
      </c>
      <c r="J293" s="5" t="s">
        <v>1159</v>
      </c>
    </row>
    <row r="294" spans="1:11">
      <c r="A294" s="5" t="s">
        <v>1160</v>
      </c>
      <c r="B294" s="10"/>
      <c r="E294" s="10"/>
      <c r="F294" s="10">
        <v>-2.679789</v>
      </c>
      <c r="G294" s="10">
        <v>-2.2549747999999998</v>
      </c>
      <c r="H294" s="5" t="s">
        <v>1147</v>
      </c>
      <c r="I294" s="5" t="s">
        <v>873</v>
      </c>
      <c r="J294" s="5" t="s">
        <v>1161</v>
      </c>
    </row>
    <row r="295" spans="1:11">
      <c r="A295" s="5" t="s">
        <v>1162</v>
      </c>
      <c r="B295" s="10"/>
      <c r="C295" s="10"/>
      <c r="D295" s="10"/>
      <c r="E295" s="10">
        <v>-4.9078350000000004</v>
      </c>
      <c r="F295" s="10">
        <v>-5.7239760000000004</v>
      </c>
      <c r="G295" s="10">
        <v>-6.1646609999999997</v>
      </c>
      <c r="H295" s="5" t="s">
        <v>1163</v>
      </c>
      <c r="I295" s="5" t="s">
        <v>1164</v>
      </c>
      <c r="J295" s="5" t="s">
        <v>1165</v>
      </c>
    </row>
    <row r="296" spans="1:11">
      <c r="A296" s="5" t="s">
        <v>1166</v>
      </c>
      <c r="B296" s="10"/>
      <c r="C296" s="10"/>
      <c r="D296" s="10"/>
      <c r="E296" s="10"/>
      <c r="F296" s="10"/>
      <c r="G296" s="10">
        <v>-2.0391154</v>
      </c>
      <c r="H296" s="5" t="s">
        <v>1167</v>
      </c>
    </row>
    <row r="297" spans="1:11">
      <c r="A297" s="5" t="s">
        <v>1168</v>
      </c>
      <c r="B297" s="10"/>
      <c r="C297" s="10"/>
      <c r="D297" s="10"/>
      <c r="E297" s="10">
        <v>-5.4354620000000002</v>
      </c>
      <c r="F297" s="10">
        <v>-6.5984850000000002</v>
      </c>
      <c r="G297" s="10">
        <v>-4.0098010000000004</v>
      </c>
      <c r="H297" s="5" t="s">
        <v>1169</v>
      </c>
      <c r="I297" s="5" t="s">
        <v>655</v>
      </c>
      <c r="J297" s="5" t="s">
        <v>1170</v>
      </c>
    </row>
    <row r="298" spans="1:11">
      <c r="A298" s="5" t="s">
        <v>1171</v>
      </c>
      <c r="B298" s="10"/>
      <c r="C298" s="10"/>
      <c r="D298" s="10"/>
      <c r="E298" s="10">
        <v>-4.1745042999999997</v>
      </c>
      <c r="F298" s="10">
        <v>-4.4939631999999996</v>
      </c>
      <c r="G298" s="10"/>
      <c r="H298" s="5" t="s">
        <v>1169</v>
      </c>
      <c r="I298" s="5" t="s">
        <v>655</v>
      </c>
      <c r="J298" s="5" t="s">
        <v>1170</v>
      </c>
    </row>
    <row r="299" spans="1:11">
      <c r="A299" s="5" t="s">
        <v>1172</v>
      </c>
      <c r="B299" s="10"/>
      <c r="E299" s="10"/>
      <c r="F299" s="10">
        <v>-2.3872675999999999</v>
      </c>
      <c r="G299" s="10">
        <v>-2.4584741999999999</v>
      </c>
      <c r="H299" s="5" t="s">
        <v>1173</v>
      </c>
      <c r="I299" s="5" t="s">
        <v>655</v>
      </c>
      <c r="J299" s="5" t="s">
        <v>1174</v>
      </c>
      <c r="K299" s="5" t="s">
        <v>1175</v>
      </c>
    </row>
    <row r="300" spans="1:11">
      <c r="A300" s="5" t="s">
        <v>1176</v>
      </c>
      <c r="B300" s="10"/>
      <c r="C300" s="10"/>
      <c r="D300" s="10"/>
      <c r="E300" s="10"/>
      <c r="F300" s="10"/>
      <c r="G300" s="10">
        <v>-3.2085957999999999</v>
      </c>
      <c r="H300" s="5" t="s">
        <v>1177</v>
      </c>
      <c r="I300" s="5" t="s">
        <v>1178</v>
      </c>
      <c r="J300" s="5" t="s">
        <v>1179</v>
      </c>
    </row>
    <row r="301" spans="1:11">
      <c r="A301" s="5" t="s">
        <v>1180</v>
      </c>
      <c r="B301" s="10"/>
      <c r="C301" s="10"/>
      <c r="E301" s="10"/>
      <c r="F301" s="10"/>
      <c r="G301" s="10">
        <v>-2.7816472000000001</v>
      </c>
      <c r="H301" s="5" t="s">
        <v>1181</v>
      </c>
      <c r="I301" s="5" t="s">
        <v>655</v>
      </c>
      <c r="J301" s="5" t="s">
        <v>1182</v>
      </c>
    </row>
    <row r="302" spans="1:11">
      <c r="A302" s="5" t="s">
        <v>1183</v>
      </c>
      <c r="B302" s="10"/>
      <c r="C302" s="10"/>
      <c r="D302" s="10"/>
      <c r="E302" s="10"/>
      <c r="F302" s="10"/>
      <c r="G302" s="10">
        <v>-2.1795464</v>
      </c>
      <c r="H302" s="5" t="s">
        <v>1184</v>
      </c>
      <c r="I302" s="5" t="s">
        <v>1185</v>
      </c>
      <c r="J302" s="5" t="s">
        <v>1186</v>
      </c>
    </row>
    <row r="303" spans="1:11">
      <c r="A303" s="5" t="s">
        <v>541</v>
      </c>
      <c r="B303" s="10"/>
      <c r="C303" s="10"/>
      <c r="D303" s="10"/>
      <c r="E303" s="10">
        <v>-4.4304456999999999</v>
      </c>
      <c r="F303" s="10">
        <v>-4.0965775999999998</v>
      </c>
      <c r="G303" s="10">
        <v>-5.2071877000000004</v>
      </c>
      <c r="H303" s="5" t="s">
        <v>1184</v>
      </c>
      <c r="I303" s="5" t="s">
        <v>1185</v>
      </c>
      <c r="J303" s="5" t="s">
        <v>1186</v>
      </c>
    </row>
    <row r="304" spans="1:11">
      <c r="A304" s="5" t="s">
        <v>1187</v>
      </c>
      <c r="B304" s="10"/>
      <c r="C304" s="10">
        <v>2.310505</v>
      </c>
      <c r="D304" s="10"/>
      <c r="E304" s="10"/>
      <c r="F304" s="10"/>
      <c r="G304" s="10"/>
      <c r="H304" s="5" t="s">
        <v>1184</v>
      </c>
      <c r="I304" s="5" t="s">
        <v>1185</v>
      </c>
      <c r="J304" s="5" t="s">
        <v>1186</v>
      </c>
    </row>
    <row r="305" spans="1:10">
      <c r="A305" s="5" t="s">
        <v>1188</v>
      </c>
      <c r="B305" s="10"/>
      <c r="C305" s="10"/>
      <c r="D305" s="10">
        <v>2.3352450999999999</v>
      </c>
      <c r="E305" s="10"/>
      <c r="F305" s="10"/>
      <c r="G305" s="10"/>
      <c r="H305" s="5" t="s">
        <v>1184</v>
      </c>
      <c r="I305" s="5" t="s">
        <v>1185</v>
      </c>
      <c r="J305" s="5" t="s">
        <v>1186</v>
      </c>
    </row>
    <row r="306" spans="1:10">
      <c r="A306" s="5" t="s">
        <v>1189</v>
      </c>
      <c r="B306" s="10"/>
      <c r="C306" s="10"/>
      <c r="D306" s="10"/>
      <c r="E306" s="10">
        <v>-2.5623716999999999</v>
      </c>
      <c r="F306" s="10">
        <v>-3.2943435000000001</v>
      </c>
      <c r="G306" s="10">
        <v>-3.3013682000000002</v>
      </c>
      <c r="H306" s="5" t="s">
        <v>1184</v>
      </c>
      <c r="I306" s="5" t="s">
        <v>1185</v>
      </c>
      <c r="J306" s="5" t="s">
        <v>1186</v>
      </c>
    </row>
    <row r="307" spans="1:10">
      <c r="A307" s="5" t="s">
        <v>1190</v>
      </c>
      <c r="B307" s="10"/>
      <c r="C307" s="10">
        <v>2.8623953000000002</v>
      </c>
      <c r="D307" s="10">
        <v>2.8446088</v>
      </c>
      <c r="E307" s="10"/>
      <c r="F307" s="10"/>
      <c r="G307" s="10"/>
      <c r="H307" s="5" t="s">
        <v>1184</v>
      </c>
      <c r="I307" s="5" t="s">
        <v>1185</v>
      </c>
      <c r="J307" s="5" t="s">
        <v>1186</v>
      </c>
    </row>
    <row r="308" spans="1:10">
      <c r="A308" s="5" t="s">
        <v>1191</v>
      </c>
      <c r="B308" s="10"/>
      <c r="C308" s="10"/>
      <c r="D308" s="10">
        <v>2.4169436000000002</v>
      </c>
      <c r="E308" s="10"/>
      <c r="F308" s="10"/>
      <c r="G308" s="10"/>
      <c r="H308" s="5" t="s">
        <v>1184</v>
      </c>
      <c r="I308" s="5" t="s">
        <v>1185</v>
      </c>
      <c r="J308" s="5" t="s">
        <v>1186</v>
      </c>
    </row>
    <row r="309" spans="1:10">
      <c r="A309" s="5" t="s">
        <v>1192</v>
      </c>
      <c r="B309" s="10"/>
      <c r="C309" s="10"/>
      <c r="D309" s="10">
        <v>2.0335903000000002</v>
      </c>
      <c r="E309" s="10"/>
      <c r="F309" s="10"/>
      <c r="G309" s="10"/>
      <c r="H309" s="5" t="s">
        <v>1184</v>
      </c>
      <c r="I309" s="5" t="s">
        <v>1185</v>
      </c>
      <c r="J309" s="5" t="s">
        <v>1186</v>
      </c>
    </row>
    <row r="310" spans="1:10">
      <c r="A310" s="5" t="s">
        <v>1193</v>
      </c>
      <c r="B310" s="10"/>
      <c r="C310" s="10"/>
      <c r="D310" s="10">
        <v>2.5330940000000002</v>
      </c>
      <c r="E310" s="10"/>
      <c r="F310" s="10"/>
      <c r="G310" s="10"/>
      <c r="H310" s="5" t="s">
        <v>1184</v>
      </c>
      <c r="I310" s="5" t="s">
        <v>1185</v>
      </c>
      <c r="J310" s="5" t="s">
        <v>1186</v>
      </c>
    </row>
    <row r="311" spans="1:10">
      <c r="A311" s="5" t="s">
        <v>1194</v>
      </c>
      <c r="B311" s="10"/>
      <c r="C311" s="10"/>
      <c r="D311" s="10"/>
      <c r="E311" s="10">
        <v>-2.5674486000000001</v>
      </c>
      <c r="F311" s="10">
        <v>-3.3197421999999999</v>
      </c>
      <c r="G311" s="10"/>
      <c r="H311" s="5" t="s">
        <v>1184</v>
      </c>
      <c r="I311" s="5" t="s">
        <v>1185</v>
      </c>
      <c r="J311" s="5" t="s">
        <v>1186</v>
      </c>
    </row>
    <row r="312" spans="1:10">
      <c r="A312" s="5" t="s">
        <v>1195</v>
      </c>
      <c r="B312" s="10"/>
      <c r="C312" s="10"/>
      <c r="D312" s="10"/>
      <c r="E312" s="10"/>
      <c r="F312" s="10">
        <v>-2.8553405000000001</v>
      </c>
      <c r="G312" s="10">
        <v>-2.1008306000000001</v>
      </c>
      <c r="H312" s="5" t="s">
        <v>1196</v>
      </c>
    </row>
    <row r="313" spans="1:10">
      <c r="A313" s="5" t="s">
        <v>1197</v>
      </c>
      <c r="B313" s="10"/>
      <c r="C313" s="10"/>
      <c r="D313" s="10"/>
      <c r="E313" s="10"/>
      <c r="F313" s="10"/>
      <c r="G313" s="10">
        <v>-2.0025271999999998</v>
      </c>
      <c r="H313" s="5" t="s">
        <v>1200</v>
      </c>
      <c r="I313" s="5" t="s">
        <v>591</v>
      </c>
      <c r="J313" s="5" t="s">
        <v>1201</v>
      </c>
    </row>
    <row r="314" spans="1:10">
      <c r="A314" s="5" t="s">
        <v>1202</v>
      </c>
      <c r="B314" s="10"/>
      <c r="C314" s="10"/>
      <c r="D314" s="10"/>
      <c r="E314" s="10"/>
      <c r="F314" s="10"/>
      <c r="G314" s="10">
        <v>-2.8311809999999999</v>
      </c>
      <c r="H314" s="5" t="s">
        <v>1203</v>
      </c>
      <c r="I314" s="5" t="s">
        <v>621</v>
      </c>
      <c r="J314" s="5" t="s">
        <v>1204</v>
      </c>
    </row>
    <row r="315" spans="1:10">
      <c r="A315" s="5" t="s">
        <v>1205</v>
      </c>
      <c r="B315" s="10"/>
      <c r="C315" s="10"/>
      <c r="D315" s="10"/>
      <c r="E315" s="10"/>
      <c r="F315" s="10"/>
      <c r="G315" s="10">
        <v>-2.0377377999999999</v>
      </c>
      <c r="H315" s="5" t="s">
        <v>1206</v>
      </c>
      <c r="I315" s="5" t="s">
        <v>869</v>
      </c>
      <c r="J315" s="5" t="s">
        <v>1207</v>
      </c>
    </row>
    <row r="316" spans="1:10">
      <c r="A316" s="5" t="s">
        <v>1208</v>
      </c>
      <c r="B316" s="10"/>
      <c r="C316" s="10">
        <v>3.0369139000000001</v>
      </c>
      <c r="D316" s="10">
        <v>2.7118243999999998</v>
      </c>
      <c r="E316" s="10"/>
      <c r="F316" s="10"/>
      <c r="G316" s="10"/>
      <c r="H316" s="5" t="s">
        <v>1209</v>
      </c>
    </row>
    <row r="317" spans="1:10">
      <c r="A317" s="5" t="s">
        <v>1210</v>
      </c>
      <c r="B317" s="10"/>
      <c r="C317" s="10"/>
      <c r="D317" s="10">
        <v>2.5722413</v>
      </c>
      <c r="E317" s="10"/>
      <c r="F317" s="10"/>
      <c r="G317" s="10"/>
      <c r="H317" s="5" t="s">
        <v>1211</v>
      </c>
      <c r="I317" s="5" t="s">
        <v>1212</v>
      </c>
      <c r="J317" s="5" t="s">
        <v>1213</v>
      </c>
    </row>
    <row r="318" spans="1:10">
      <c r="A318" s="5" t="s">
        <v>1214</v>
      </c>
      <c r="B318" s="10"/>
      <c r="C318" s="10"/>
      <c r="D318" s="10">
        <v>2.6773505000000002</v>
      </c>
      <c r="E318" s="10"/>
      <c r="F318" s="10"/>
      <c r="G318" s="10"/>
      <c r="H318" s="5" t="s">
        <v>1211</v>
      </c>
      <c r="I318" s="5" t="s">
        <v>1212</v>
      </c>
      <c r="J318" s="5" t="s">
        <v>1213</v>
      </c>
    </row>
    <row r="319" spans="1:10">
      <c r="A319" s="5" t="s">
        <v>1215</v>
      </c>
      <c r="B319" s="10"/>
      <c r="C319" s="10">
        <v>2.2297191999999999</v>
      </c>
      <c r="D319" s="10">
        <v>2.2474327000000001</v>
      </c>
      <c r="E319" s="10"/>
      <c r="F319" s="10"/>
      <c r="G319" s="10"/>
      <c r="H319" s="5" t="s">
        <v>1211</v>
      </c>
      <c r="I319" s="5" t="s">
        <v>1212</v>
      </c>
      <c r="J319" s="5" t="s">
        <v>1213</v>
      </c>
    </row>
    <row r="320" spans="1:10">
      <c r="A320" s="5" t="s">
        <v>1216</v>
      </c>
      <c r="B320" s="10"/>
      <c r="C320" s="10"/>
      <c r="D320" s="10">
        <v>2.450078</v>
      </c>
      <c r="E320" s="10"/>
      <c r="F320" s="10"/>
      <c r="G320" s="10"/>
      <c r="H320" s="5" t="s">
        <v>1211</v>
      </c>
      <c r="I320" s="5" t="s">
        <v>1212</v>
      </c>
      <c r="J320" s="5" t="s">
        <v>1213</v>
      </c>
    </row>
    <row r="321" spans="1:10">
      <c r="A321" s="5" t="s">
        <v>1217</v>
      </c>
      <c r="B321" s="10"/>
      <c r="C321" s="10"/>
      <c r="D321" s="10"/>
      <c r="E321" s="10"/>
      <c r="F321" s="10"/>
      <c r="G321" s="10">
        <v>-2.9746766</v>
      </c>
      <c r="H321" s="5" t="s">
        <v>1218</v>
      </c>
      <c r="I321" s="5" t="s">
        <v>1219</v>
      </c>
      <c r="J321" s="5" t="s">
        <v>1220</v>
      </c>
    </row>
    <row r="322" spans="1:10">
      <c r="A322" s="5" t="s">
        <v>1221</v>
      </c>
      <c r="B322" s="10"/>
      <c r="C322" s="10"/>
      <c r="D322" s="10"/>
      <c r="E322" s="10"/>
      <c r="F322" s="10"/>
      <c r="G322" s="10">
        <v>-2.3917250000000001</v>
      </c>
      <c r="H322" s="5" t="s">
        <v>1222</v>
      </c>
      <c r="I322" s="5" t="s">
        <v>751</v>
      </c>
      <c r="J322" s="5" t="s">
        <v>1223</v>
      </c>
    </row>
    <row r="323" spans="1:10">
      <c r="A323" s="5" t="s">
        <v>1224</v>
      </c>
      <c r="B323" s="10"/>
      <c r="C323" s="10"/>
      <c r="D323" s="10"/>
      <c r="E323" s="10"/>
      <c r="F323" s="10"/>
      <c r="G323" s="10">
        <v>-4.6515117000000004</v>
      </c>
      <c r="H323" s="5" t="s">
        <v>1222</v>
      </c>
      <c r="I323" s="5" t="s">
        <v>1225</v>
      </c>
      <c r="J323" s="5" t="s">
        <v>1226</v>
      </c>
    </row>
    <row r="324" spans="1:10">
      <c r="A324" s="5" t="s">
        <v>1227</v>
      </c>
      <c r="B324" s="10"/>
      <c r="C324" s="10"/>
      <c r="D324" s="10"/>
      <c r="E324" s="10"/>
      <c r="F324" s="10">
        <v>-2.6059855999999999</v>
      </c>
      <c r="G324" s="10">
        <v>-4.0988319999999998</v>
      </c>
      <c r="H324" s="5" t="s">
        <v>1222</v>
      </c>
      <c r="I324" s="5" t="s">
        <v>1225</v>
      </c>
      <c r="J324" s="5" t="s">
        <v>1228</v>
      </c>
    </row>
    <row r="325" spans="1:10">
      <c r="A325" s="5" t="s">
        <v>1229</v>
      </c>
      <c r="B325" s="10"/>
      <c r="C325" s="10"/>
      <c r="D325" s="10"/>
      <c r="E325" s="10"/>
      <c r="F325" s="10"/>
      <c r="G325" s="10">
        <v>-5.8523053999999997</v>
      </c>
      <c r="H325" s="5" t="s">
        <v>1222</v>
      </c>
      <c r="I325" s="5" t="s">
        <v>1225</v>
      </c>
      <c r="J325" s="5" t="s">
        <v>1226</v>
      </c>
    </row>
    <row r="326" spans="1:10">
      <c r="A326" s="5" t="s">
        <v>1230</v>
      </c>
      <c r="B326" s="10"/>
      <c r="C326" s="10"/>
      <c r="D326" s="10"/>
      <c r="E326" s="10"/>
      <c r="F326" s="10"/>
      <c r="G326" s="10">
        <v>-2.1292119999999999</v>
      </c>
      <c r="H326" s="5" t="s">
        <v>1222</v>
      </c>
      <c r="I326" s="5" t="s">
        <v>751</v>
      </c>
      <c r="J326" s="5" t="s">
        <v>1231</v>
      </c>
    </row>
    <row r="327" spans="1:10">
      <c r="A327" s="5" t="s">
        <v>1232</v>
      </c>
      <c r="B327" s="10"/>
      <c r="C327" s="10"/>
      <c r="D327" s="10"/>
      <c r="E327" s="10"/>
      <c r="F327" s="10"/>
      <c r="G327" s="10">
        <v>-2.3561580000000002</v>
      </c>
      <c r="H327" s="5" t="s">
        <v>1233</v>
      </c>
    </row>
    <row r="328" spans="1:10">
      <c r="A328" s="5" t="s">
        <v>1234</v>
      </c>
      <c r="B328" s="10"/>
      <c r="C328" s="10"/>
      <c r="D328" s="10"/>
      <c r="E328" s="10">
        <v>-3.2242991999999999</v>
      </c>
      <c r="F328" s="10">
        <v>-3.4591148</v>
      </c>
      <c r="G328" s="10">
        <v>-3.8600775999999999</v>
      </c>
      <c r="H328" s="5" t="s">
        <v>1233</v>
      </c>
    </row>
    <row r="329" spans="1:10">
      <c r="A329" s="5" t="s">
        <v>1235</v>
      </c>
      <c r="B329" s="10"/>
      <c r="C329" s="10"/>
      <c r="D329" s="10"/>
      <c r="E329" s="10"/>
      <c r="F329" s="10"/>
      <c r="G329" s="10"/>
      <c r="H329" s="5" t="s">
        <v>1236</v>
      </c>
    </row>
    <row r="330" spans="1:10">
      <c r="A330" s="5" t="s">
        <v>1237</v>
      </c>
      <c r="B330" s="10"/>
      <c r="C330" s="10"/>
      <c r="D330" s="10"/>
      <c r="E330" s="10"/>
      <c r="F330" s="10"/>
      <c r="G330" s="10">
        <v>-2.4493592</v>
      </c>
      <c r="H330" s="5" t="s">
        <v>1238</v>
      </c>
      <c r="I330" s="5" t="s">
        <v>1239</v>
      </c>
      <c r="J330" s="5" t="s">
        <v>1240</v>
      </c>
    </row>
    <row r="331" spans="1:10">
      <c r="A331" s="5" t="s">
        <v>1241</v>
      </c>
      <c r="B331" s="10"/>
      <c r="C331" s="10"/>
      <c r="D331" s="10"/>
      <c r="E331" s="10"/>
      <c r="F331" s="10"/>
      <c r="G331" s="10"/>
      <c r="H331" s="5" t="s">
        <v>1238</v>
      </c>
      <c r="I331" s="5" t="s">
        <v>1239</v>
      </c>
      <c r="J331" s="5" t="s">
        <v>1240</v>
      </c>
    </row>
    <row r="332" spans="1:10">
      <c r="A332" s="5" t="s">
        <v>1242</v>
      </c>
      <c r="B332" s="10"/>
      <c r="C332" s="10"/>
      <c r="D332" s="10"/>
      <c r="E332" s="10"/>
      <c r="F332" s="10">
        <v>-2.6446602000000001</v>
      </c>
      <c r="G332" s="10"/>
      <c r="H332" s="5" t="s">
        <v>1238</v>
      </c>
      <c r="I332" s="5" t="s">
        <v>1239</v>
      </c>
      <c r="J332" s="5" t="s">
        <v>1240</v>
      </c>
    </row>
    <row r="333" spans="1:10">
      <c r="A333" s="5" t="s">
        <v>1243</v>
      </c>
      <c r="B333" s="10"/>
      <c r="C333" s="10"/>
      <c r="D333" s="10"/>
      <c r="E333" s="10"/>
      <c r="F333" s="10"/>
      <c r="G333" s="10">
        <v>-2.4737803999999999</v>
      </c>
      <c r="H333" s="5" t="s">
        <v>1244</v>
      </c>
      <c r="I333" s="5" t="s">
        <v>1239</v>
      </c>
      <c r="J333" s="5" t="s">
        <v>1240</v>
      </c>
    </row>
    <row r="334" spans="1:10">
      <c r="A334" s="5" t="s">
        <v>1245</v>
      </c>
      <c r="B334" s="10"/>
      <c r="C334" s="10"/>
      <c r="D334" s="10"/>
      <c r="E334" s="10"/>
      <c r="F334" s="10"/>
      <c r="G334" s="10">
        <v>-2.5767622000000001</v>
      </c>
      <c r="H334" s="5" t="s">
        <v>1246</v>
      </c>
      <c r="J334" s="5" t="s">
        <v>1247</v>
      </c>
    </row>
    <row r="335" spans="1:10">
      <c r="A335" s="5" t="s">
        <v>1248</v>
      </c>
      <c r="B335" s="10"/>
      <c r="C335" s="10"/>
      <c r="D335" s="10"/>
      <c r="E335" s="10"/>
      <c r="F335" s="10">
        <v>-3.3353448000000001</v>
      </c>
      <c r="G335" s="10"/>
      <c r="H335" s="5" t="s">
        <v>1246</v>
      </c>
      <c r="J335" s="5" t="s">
        <v>1247</v>
      </c>
    </row>
    <row r="336" spans="1:10">
      <c r="A336" s="5" t="s">
        <v>1249</v>
      </c>
      <c r="B336" s="10"/>
      <c r="C336" s="10"/>
      <c r="D336" s="10"/>
      <c r="E336" s="10">
        <v>-3.0358567000000001</v>
      </c>
      <c r="F336" s="10">
        <v>-3.4994044</v>
      </c>
      <c r="G336" s="10"/>
      <c r="H336" s="5" t="s">
        <v>1246</v>
      </c>
      <c r="I336" s="5" t="s">
        <v>1239</v>
      </c>
      <c r="J336" s="5" t="s">
        <v>1247</v>
      </c>
    </row>
    <row r="337" spans="1:10">
      <c r="A337" s="5" t="s">
        <v>1250</v>
      </c>
      <c r="B337" s="10"/>
      <c r="C337" s="10"/>
      <c r="D337" s="10"/>
      <c r="E337" s="10">
        <v>-2.3265745999999998</v>
      </c>
      <c r="F337" s="10">
        <v>-2.6599075999999999</v>
      </c>
      <c r="G337" s="10"/>
      <c r="H337" s="5" t="s">
        <v>1251</v>
      </c>
      <c r="I337" s="5" t="s">
        <v>1239</v>
      </c>
      <c r="J337" s="5" t="s">
        <v>1252</v>
      </c>
    </row>
    <row r="338" spans="1:10">
      <c r="A338" s="5" t="s">
        <v>1253</v>
      </c>
      <c r="B338" s="10"/>
      <c r="C338" s="10"/>
      <c r="D338" s="10"/>
      <c r="E338" s="10"/>
      <c r="F338" s="10"/>
      <c r="G338" s="10">
        <v>-3.4285846000000002</v>
      </c>
      <c r="H338" s="5" t="s">
        <v>1251</v>
      </c>
      <c r="I338" s="5" t="s">
        <v>1239</v>
      </c>
      <c r="J338" s="5" t="s">
        <v>1252</v>
      </c>
    </row>
    <row r="339" spans="1:10">
      <c r="A339" s="5" t="s">
        <v>1254</v>
      </c>
      <c r="B339" s="10"/>
      <c r="C339" s="10"/>
      <c r="D339" s="10"/>
      <c r="E339" s="10"/>
      <c r="F339" s="10"/>
      <c r="G339" s="10">
        <v>-2.0951743</v>
      </c>
      <c r="H339" s="5" t="s">
        <v>1251</v>
      </c>
      <c r="I339" s="5" t="s">
        <v>1239</v>
      </c>
      <c r="J339" s="5" t="s">
        <v>1252</v>
      </c>
    </row>
    <row r="340" spans="1:10">
      <c r="A340" s="5" t="s">
        <v>1255</v>
      </c>
      <c r="B340" s="10"/>
      <c r="C340" s="10"/>
      <c r="D340" s="10"/>
      <c r="E340" s="10"/>
      <c r="F340" s="10"/>
      <c r="G340" s="10"/>
      <c r="H340" s="5" t="s">
        <v>1256</v>
      </c>
      <c r="I340" s="5" t="s">
        <v>1257</v>
      </c>
      <c r="J340" s="5" t="s">
        <v>1258</v>
      </c>
    </row>
    <row r="341" spans="1:10">
      <c r="A341" s="5" t="s">
        <v>1259</v>
      </c>
      <c r="B341" s="10"/>
      <c r="E341" s="10"/>
      <c r="F341" s="10">
        <v>-2.605585</v>
      </c>
      <c r="G341" s="10">
        <v>-2.2503128000000001</v>
      </c>
      <c r="H341" s="5" t="s">
        <v>1256</v>
      </c>
      <c r="I341" s="5" t="s">
        <v>1257</v>
      </c>
      <c r="J341" s="5" t="s">
        <v>1258</v>
      </c>
    </row>
    <row r="342" spans="1:10">
      <c r="A342" s="5" t="s">
        <v>1260</v>
      </c>
      <c r="B342" s="10"/>
      <c r="E342" s="10"/>
      <c r="F342" s="10"/>
      <c r="G342" s="10">
        <v>-2.6195908000000001</v>
      </c>
      <c r="H342" s="5" t="s">
        <v>1256</v>
      </c>
      <c r="I342" s="5" t="s">
        <v>1257</v>
      </c>
      <c r="J342" s="5" t="s">
        <v>1258</v>
      </c>
    </row>
    <row r="343" spans="1:10">
      <c r="A343" s="5" t="s">
        <v>1261</v>
      </c>
      <c r="B343" s="10"/>
      <c r="C343" s="10"/>
      <c r="D343" s="10"/>
      <c r="E343" s="10"/>
      <c r="F343" s="10"/>
      <c r="G343" s="10">
        <v>-2.1023692999999999</v>
      </c>
      <c r="H343" s="5" t="s">
        <v>1256</v>
      </c>
      <c r="I343" s="5" t="s">
        <v>1257</v>
      </c>
      <c r="J343" s="5" t="s">
        <v>1258</v>
      </c>
    </row>
    <row r="344" spans="1:10">
      <c r="A344" s="5" t="s">
        <v>1262</v>
      </c>
      <c r="B344" s="10"/>
      <c r="C344" s="10"/>
      <c r="D344" s="10"/>
      <c r="E344" s="10"/>
      <c r="F344" s="10"/>
      <c r="G344" s="10">
        <v>-2.0977926</v>
      </c>
      <c r="H344" s="5" t="s">
        <v>1256</v>
      </c>
      <c r="I344" s="5" t="s">
        <v>1257</v>
      </c>
      <c r="J344" s="5" t="s">
        <v>1258</v>
      </c>
    </row>
    <row r="345" spans="1:10">
      <c r="A345" s="5" t="s">
        <v>1263</v>
      </c>
      <c r="B345" s="10"/>
      <c r="C345" s="10"/>
      <c r="D345" s="10"/>
      <c r="E345" s="10"/>
      <c r="F345" s="10"/>
      <c r="G345" s="10">
        <v>-3.0363183</v>
      </c>
      <c r="H345" s="5" t="s">
        <v>1256</v>
      </c>
      <c r="I345" s="5" t="s">
        <v>1264</v>
      </c>
      <c r="J345" s="5" t="s">
        <v>1247</v>
      </c>
    </row>
    <row r="346" spans="1:10">
      <c r="A346" s="5" t="s">
        <v>1265</v>
      </c>
      <c r="B346" s="10"/>
      <c r="C346" s="10"/>
      <c r="D346" s="10"/>
      <c r="E346" s="10"/>
      <c r="F346" s="10"/>
      <c r="G346" s="10">
        <v>-3.0489739999999999</v>
      </c>
      <c r="H346" s="5" t="s">
        <v>1256</v>
      </c>
      <c r="I346" s="5" t="s">
        <v>1264</v>
      </c>
      <c r="J346" s="5" t="s">
        <v>1247</v>
      </c>
    </row>
    <row r="347" spans="1:10">
      <c r="A347" s="5" t="s">
        <v>1266</v>
      </c>
      <c r="B347" s="10"/>
      <c r="C347" s="10"/>
      <c r="D347" s="10"/>
      <c r="E347" s="10"/>
      <c r="F347" s="10"/>
      <c r="G347" s="10">
        <v>-2.4497867000000002</v>
      </c>
      <c r="H347" s="5" t="s">
        <v>1256</v>
      </c>
      <c r="I347" s="5" t="s">
        <v>1257</v>
      </c>
      <c r="J347" s="5" t="s">
        <v>1258</v>
      </c>
    </row>
    <row r="348" spans="1:10">
      <c r="A348" s="5" t="s">
        <v>1267</v>
      </c>
      <c r="B348" s="10"/>
      <c r="C348" s="10"/>
      <c r="D348" s="10"/>
      <c r="E348" s="10"/>
      <c r="F348" s="10"/>
      <c r="G348" s="10">
        <v>-2.2732382000000002</v>
      </c>
      <c r="H348" s="5" t="s">
        <v>1256</v>
      </c>
      <c r="I348" s="5" t="s">
        <v>1257</v>
      </c>
      <c r="J348" s="5" t="s">
        <v>1258</v>
      </c>
    </row>
    <row r="349" spans="1:10">
      <c r="A349" s="5" t="s">
        <v>1268</v>
      </c>
      <c r="B349" s="10"/>
      <c r="C349" s="10"/>
      <c r="D349" s="10"/>
      <c r="E349" s="10"/>
      <c r="F349" s="10"/>
      <c r="G349" s="10">
        <v>-2.689673</v>
      </c>
      <c r="H349" s="5" t="s">
        <v>1256</v>
      </c>
      <c r="I349" s="5" t="s">
        <v>1257</v>
      </c>
      <c r="J349" s="5" t="s">
        <v>1258</v>
      </c>
    </row>
    <row r="350" spans="1:10">
      <c r="A350" s="5" t="s">
        <v>1269</v>
      </c>
      <c r="B350" s="10"/>
      <c r="C350" s="10"/>
      <c r="D350" s="10"/>
      <c r="E350" s="10"/>
      <c r="F350" s="10"/>
      <c r="G350" s="10">
        <v>-2.8196734999999999</v>
      </c>
      <c r="H350" s="5" t="s">
        <v>1256</v>
      </c>
      <c r="I350" s="5" t="s">
        <v>1257</v>
      </c>
      <c r="J350" s="5" t="s">
        <v>1258</v>
      </c>
    </row>
    <row r="351" spans="1:10">
      <c r="A351" s="5" t="s">
        <v>1270</v>
      </c>
      <c r="B351" s="10"/>
      <c r="C351" s="10"/>
      <c r="D351" s="10"/>
      <c r="E351" s="10">
        <v>-2.3414378</v>
      </c>
      <c r="F351" s="10">
        <v>-2.8026233</v>
      </c>
      <c r="G351" s="10"/>
      <c r="H351" s="5" t="s">
        <v>1256</v>
      </c>
      <c r="I351" s="5" t="s">
        <v>1257</v>
      </c>
      <c r="J351" s="5" t="s">
        <v>1258</v>
      </c>
    </row>
    <row r="352" spans="1:10">
      <c r="A352" s="5" t="s">
        <v>1271</v>
      </c>
      <c r="B352" s="10"/>
      <c r="C352" s="10"/>
      <c r="D352" s="10"/>
      <c r="E352" s="10"/>
      <c r="F352" s="10"/>
      <c r="G352" s="10"/>
      <c r="H352" s="5" t="s">
        <v>1256</v>
      </c>
      <c r="I352" s="5" t="s">
        <v>1257</v>
      </c>
      <c r="J352" s="5" t="s">
        <v>1258</v>
      </c>
    </row>
    <row r="353" spans="1:10">
      <c r="A353" s="5" t="s">
        <v>1272</v>
      </c>
      <c r="B353" s="10"/>
      <c r="C353" s="10"/>
      <c r="D353" s="10"/>
      <c r="E353" s="10"/>
      <c r="F353" s="10"/>
      <c r="G353" s="10"/>
      <c r="H353" s="5" t="s">
        <v>1256</v>
      </c>
      <c r="I353" s="5" t="s">
        <v>1257</v>
      </c>
      <c r="J353" s="5" t="s">
        <v>1258</v>
      </c>
    </row>
    <row r="354" spans="1:10">
      <c r="A354" s="5" t="s">
        <v>1273</v>
      </c>
      <c r="B354" s="10"/>
      <c r="E354" s="10"/>
      <c r="F354" s="10"/>
      <c r="G354" s="10">
        <v>-2.3676772000000001</v>
      </c>
      <c r="H354" s="5" t="s">
        <v>1256</v>
      </c>
      <c r="I354" s="5" t="s">
        <v>1257</v>
      </c>
      <c r="J354" s="5" t="s">
        <v>1258</v>
      </c>
    </row>
    <row r="355" spans="1:10">
      <c r="A355" s="5" t="s">
        <v>1274</v>
      </c>
      <c r="B355" s="10"/>
      <c r="E355" s="10"/>
      <c r="F355" s="10">
        <v>-2.0306787000000002</v>
      </c>
      <c r="G355" s="10"/>
      <c r="H355" s="5" t="s">
        <v>1256</v>
      </c>
      <c r="I355" s="5" t="s">
        <v>1257</v>
      </c>
      <c r="J355" s="5" t="s">
        <v>1258</v>
      </c>
    </row>
    <row r="356" spans="1:10">
      <c r="A356" s="5" t="s">
        <v>1275</v>
      </c>
      <c r="B356" s="10"/>
      <c r="C356" s="10"/>
      <c r="D356" s="10"/>
      <c r="E356" s="10"/>
      <c r="F356" s="10"/>
      <c r="G356" s="10">
        <v>-2.134954</v>
      </c>
      <c r="H356" s="5" t="s">
        <v>1256</v>
      </c>
      <c r="I356" s="5" t="s">
        <v>1257</v>
      </c>
      <c r="J356" s="5" t="s">
        <v>1258</v>
      </c>
    </row>
    <row r="357" spans="1:10">
      <c r="A357" s="5" t="s">
        <v>1276</v>
      </c>
      <c r="B357" s="10"/>
      <c r="C357" s="10"/>
      <c r="D357" s="10"/>
      <c r="E357" s="10"/>
      <c r="F357" s="10"/>
      <c r="G357" s="10">
        <v>-4.4664859999999997</v>
      </c>
      <c r="H357" s="5" t="s">
        <v>1256</v>
      </c>
      <c r="I357" s="5" t="s">
        <v>1257</v>
      </c>
      <c r="J357" s="5" t="s">
        <v>1258</v>
      </c>
    </row>
    <row r="358" spans="1:10">
      <c r="A358" s="5" t="s">
        <v>1277</v>
      </c>
      <c r="B358" s="10"/>
      <c r="C358" s="10"/>
      <c r="D358" s="10"/>
      <c r="E358" s="10"/>
      <c r="F358" s="10"/>
      <c r="G358" s="10">
        <v>-2.1095586000000002</v>
      </c>
      <c r="H358" s="5" t="s">
        <v>1256</v>
      </c>
      <c r="I358" s="5" t="s">
        <v>1257</v>
      </c>
      <c r="J358" s="5" t="s">
        <v>1258</v>
      </c>
    </row>
    <row r="359" spans="1:10">
      <c r="A359" s="5" t="s">
        <v>1278</v>
      </c>
      <c r="B359" s="10"/>
      <c r="C359" s="10"/>
      <c r="D359" s="10"/>
      <c r="E359" s="10"/>
      <c r="F359" s="10"/>
      <c r="G359" s="10"/>
      <c r="H359" s="5" t="s">
        <v>1256</v>
      </c>
      <c r="I359" s="5" t="s">
        <v>1257</v>
      </c>
      <c r="J359" s="5" t="s">
        <v>1258</v>
      </c>
    </row>
    <row r="360" spans="1:10">
      <c r="A360" s="5" t="s">
        <v>1279</v>
      </c>
      <c r="B360" s="10"/>
      <c r="C360" s="10"/>
      <c r="D360" s="10"/>
      <c r="E360" s="10"/>
      <c r="F360" s="10"/>
      <c r="G360" s="10">
        <v>-2.4119459999999999</v>
      </c>
      <c r="H360" s="5" t="s">
        <v>1256</v>
      </c>
      <c r="I360" s="5" t="s">
        <v>1257</v>
      </c>
      <c r="J360" s="5" t="s">
        <v>1258</v>
      </c>
    </row>
    <row r="361" spans="1:10">
      <c r="A361" s="5" t="s">
        <v>1280</v>
      </c>
      <c r="B361" s="10"/>
      <c r="C361" s="10"/>
      <c r="D361" s="10"/>
      <c r="E361" s="10"/>
      <c r="F361" s="10"/>
      <c r="G361" s="10"/>
      <c r="H361" s="5" t="s">
        <v>1256</v>
      </c>
      <c r="I361" s="5" t="s">
        <v>1257</v>
      </c>
      <c r="J361" s="5" t="s">
        <v>1258</v>
      </c>
    </row>
    <row r="362" spans="1:10">
      <c r="A362" s="5" t="s">
        <v>1281</v>
      </c>
      <c r="B362" s="10"/>
      <c r="C362" s="10"/>
      <c r="D362" s="10"/>
      <c r="E362" s="10"/>
      <c r="F362" s="10"/>
      <c r="G362" s="10">
        <v>-2.1620898</v>
      </c>
      <c r="H362" s="5" t="s">
        <v>1256</v>
      </c>
      <c r="I362" s="5" t="s">
        <v>1264</v>
      </c>
    </row>
    <row r="363" spans="1:10">
      <c r="A363" s="5" t="s">
        <v>1282</v>
      </c>
      <c r="B363" s="10"/>
      <c r="C363" s="10"/>
      <c r="D363" s="10"/>
      <c r="E363" s="10"/>
      <c r="F363" s="10"/>
      <c r="G363" s="10">
        <v>-6.2922453999999997</v>
      </c>
      <c r="H363" s="5" t="s">
        <v>1256</v>
      </c>
      <c r="I363" s="5" t="s">
        <v>1257</v>
      </c>
      <c r="J363" s="5" t="s">
        <v>1258</v>
      </c>
    </row>
    <row r="364" spans="1:10">
      <c r="A364" s="5" t="s">
        <v>1283</v>
      </c>
      <c r="B364" s="10"/>
      <c r="C364" s="10"/>
      <c r="E364" s="10"/>
      <c r="F364" s="10"/>
      <c r="G364" s="10">
        <v>-2.3419712000000001</v>
      </c>
      <c r="H364" s="5" t="s">
        <v>1256</v>
      </c>
      <c r="I364" s="5" t="s">
        <v>1257</v>
      </c>
      <c r="J364" s="5" t="s">
        <v>1258</v>
      </c>
    </row>
    <row r="365" spans="1:10">
      <c r="A365" s="5" t="s">
        <v>1284</v>
      </c>
      <c r="B365" s="10"/>
      <c r="C365" s="10"/>
      <c r="D365" s="10"/>
      <c r="E365" s="10"/>
      <c r="F365" s="10"/>
      <c r="G365" s="10">
        <v>-2.0524209999999998</v>
      </c>
      <c r="H365" s="5" t="s">
        <v>1256</v>
      </c>
      <c r="I365" s="5" t="s">
        <v>1257</v>
      </c>
      <c r="J365" s="5" t="s">
        <v>1258</v>
      </c>
    </row>
    <row r="366" spans="1:10">
      <c r="A366" s="5" t="s">
        <v>1285</v>
      </c>
      <c r="B366" s="10"/>
      <c r="C366" s="10"/>
      <c r="D366" s="10"/>
      <c r="E366" s="10"/>
      <c r="F366" s="10">
        <v>-2.4330888000000002</v>
      </c>
      <c r="G366" s="10"/>
      <c r="H366" s="5" t="s">
        <v>1256</v>
      </c>
      <c r="I366" s="5" t="s">
        <v>1257</v>
      </c>
      <c r="J366" s="5" t="s">
        <v>1258</v>
      </c>
    </row>
    <row r="367" spans="1:10">
      <c r="A367" s="5" t="s">
        <v>1286</v>
      </c>
      <c r="B367" s="10"/>
      <c r="C367" s="10"/>
      <c r="E367" s="10"/>
      <c r="F367" s="10"/>
      <c r="G367" s="10">
        <v>-2.1203865999999998</v>
      </c>
      <c r="H367" s="5" t="s">
        <v>1256</v>
      </c>
      <c r="I367" s="5" t="s">
        <v>1257</v>
      </c>
      <c r="J367" s="5" t="s">
        <v>1258</v>
      </c>
    </row>
    <row r="368" spans="1:10">
      <c r="A368" s="5" t="s">
        <v>1287</v>
      </c>
      <c r="B368" s="10"/>
      <c r="C368" s="10"/>
      <c r="D368" s="10"/>
      <c r="E368" s="10"/>
      <c r="F368" s="10"/>
      <c r="G368" s="10">
        <v>-2.0002958999999998</v>
      </c>
      <c r="H368" s="5" t="s">
        <v>1288</v>
      </c>
    </row>
    <row r="369" spans="1:10">
      <c r="A369" s="5" t="s">
        <v>1289</v>
      </c>
      <c r="B369" s="10"/>
      <c r="C369" s="10"/>
      <c r="D369" s="10"/>
      <c r="E369" s="10">
        <v>-2.1253939000000002</v>
      </c>
      <c r="F369" s="10">
        <v>-2.1081333</v>
      </c>
      <c r="G369" s="10">
        <v>-2.9050015999999999</v>
      </c>
      <c r="H369" s="5" t="s">
        <v>1290</v>
      </c>
    </row>
    <row r="370" spans="1:10">
      <c r="A370" s="5" t="s">
        <v>1291</v>
      </c>
      <c r="B370" s="10"/>
      <c r="E370" s="10"/>
      <c r="F370" s="10"/>
      <c r="G370" s="10">
        <v>-2.41778</v>
      </c>
      <c r="H370" s="5" t="s">
        <v>1292</v>
      </c>
      <c r="I370" s="5" t="s">
        <v>591</v>
      </c>
      <c r="J370" s="5" t="s">
        <v>1293</v>
      </c>
    </row>
    <row r="371" spans="1:10">
      <c r="A371" s="5" t="s">
        <v>1294</v>
      </c>
      <c r="B371" s="10"/>
      <c r="E371" s="10"/>
      <c r="F371" s="10">
        <v>-2.0043855000000002</v>
      </c>
      <c r="G371" s="10">
        <v>-2.8835092000000002</v>
      </c>
      <c r="H371" s="5" t="s">
        <v>1292</v>
      </c>
      <c r="I371" s="5" t="s">
        <v>591</v>
      </c>
      <c r="J371" s="5" t="s">
        <v>1293</v>
      </c>
    </row>
    <row r="372" spans="1:10">
      <c r="A372" s="5" t="s">
        <v>1295</v>
      </c>
      <c r="B372" s="10"/>
      <c r="E372" s="10"/>
      <c r="F372" s="10"/>
      <c r="G372" s="10">
        <v>-2.5649294999999999</v>
      </c>
      <c r="H372" s="5" t="s">
        <v>1292</v>
      </c>
      <c r="I372" s="5" t="s">
        <v>591</v>
      </c>
      <c r="J372" s="5" t="s">
        <v>1293</v>
      </c>
    </row>
    <row r="373" spans="1:10">
      <c r="A373" s="5" t="s">
        <v>1296</v>
      </c>
      <c r="B373" s="10"/>
      <c r="C373" s="10"/>
      <c r="D373" s="10"/>
      <c r="E373" s="10"/>
      <c r="F373" s="10"/>
      <c r="G373" s="10">
        <v>-2.722763</v>
      </c>
      <c r="H373" s="5" t="s">
        <v>1297</v>
      </c>
      <c r="I373" s="5" t="s">
        <v>1298</v>
      </c>
      <c r="J373" s="5" t="s">
        <v>1299</v>
      </c>
    </row>
    <row r="374" spans="1:10">
      <c r="A374" s="5" t="s">
        <v>1300</v>
      </c>
      <c r="B374" s="10"/>
      <c r="C374" s="10"/>
      <c r="D374" s="10"/>
      <c r="E374" s="10"/>
      <c r="F374" s="10">
        <v>-2.3249496999999999</v>
      </c>
      <c r="G374" s="10">
        <v>-4.5839933999999998</v>
      </c>
      <c r="H374" s="5" t="s">
        <v>1301</v>
      </c>
      <c r="I374" s="5" t="s">
        <v>1302</v>
      </c>
      <c r="J374" s="5" t="s">
        <v>1303</v>
      </c>
    </row>
    <row r="375" spans="1:10">
      <c r="A375" s="5" t="s">
        <v>1304</v>
      </c>
      <c r="B375" s="10"/>
      <c r="C375" s="10"/>
      <c r="D375" s="10">
        <v>2.1552978</v>
      </c>
      <c r="E375" s="10"/>
      <c r="F375" s="10"/>
      <c r="G375" s="10"/>
      <c r="H375" s="5" t="s">
        <v>1305</v>
      </c>
      <c r="I375" s="5" t="s">
        <v>1306</v>
      </c>
      <c r="J375" s="5" t="s">
        <v>1307</v>
      </c>
    </row>
    <row r="376" spans="1:10">
      <c r="A376" s="5" t="s">
        <v>1308</v>
      </c>
      <c r="B376" s="10"/>
      <c r="C376" s="10"/>
      <c r="D376" s="10">
        <v>2.3876753000000002</v>
      </c>
      <c r="E376" s="10"/>
      <c r="F376" s="10"/>
      <c r="G376" s="10"/>
      <c r="H376" s="5" t="s">
        <v>1309</v>
      </c>
      <c r="J376" s="5" t="s">
        <v>1310</v>
      </c>
    </row>
    <row r="377" spans="1:10">
      <c r="A377" s="5" t="s">
        <v>1311</v>
      </c>
      <c r="B377" s="10"/>
      <c r="C377" s="10"/>
      <c r="D377" s="10"/>
      <c r="E377" s="10"/>
      <c r="F377" s="10"/>
      <c r="G377" s="10">
        <v>-2.3707246999999998</v>
      </c>
      <c r="H377" s="5" t="s">
        <v>1312</v>
      </c>
      <c r="I377" s="5" t="s">
        <v>1313</v>
      </c>
      <c r="J377" s="5" t="s">
        <v>1314</v>
      </c>
    </row>
    <row r="378" spans="1:10">
      <c r="A378" s="5" t="s">
        <v>1315</v>
      </c>
      <c r="B378" s="10"/>
      <c r="C378" s="10"/>
      <c r="D378" s="10"/>
      <c r="E378" s="10"/>
      <c r="F378" s="10"/>
      <c r="G378" s="10">
        <v>-2.67245</v>
      </c>
      <c r="H378" s="5" t="s">
        <v>1312</v>
      </c>
      <c r="I378" s="5" t="s">
        <v>1313</v>
      </c>
      <c r="J378" s="5" t="s">
        <v>1314</v>
      </c>
    </row>
    <row r="379" spans="1:10">
      <c r="A379" s="5" t="s">
        <v>1316</v>
      </c>
      <c r="B379" s="10"/>
      <c r="C379" s="10"/>
      <c r="D379" s="10"/>
      <c r="E379" s="10"/>
      <c r="F379" s="10"/>
      <c r="G379" s="10">
        <v>-4.5162106</v>
      </c>
      <c r="H379" s="5" t="s">
        <v>1317</v>
      </c>
      <c r="I379" s="5" t="s">
        <v>815</v>
      </c>
      <c r="J379" s="5" t="s">
        <v>1318</v>
      </c>
    </row>
    <row r="380" spans="1:10">
      <c r="A380" s="5" t="s">
        <v>544</v>
      </c>
      <c r="B380" s="10"/>
      <c r="C380" s="10"/>
      <c r="D380" s="10"/>
      <c r="E380" s="10">
        <v>-4.6391315000000004</v>
      </c>
      <c r="F380" s="10">
        <v>-4.5544976999999998</v>
      </c>
      <c r="G380" s="10">
        <v>-5.0727662999999996</v>
      </c>
      <c r="H380" s="5" t="s">
        <v>138</v>
      </c>
      <c r="I380" s="5" t="s">
        <v>545</v>
      </c>
      <c r="J380" s="5" t="s">
        <v>546</v>
      </c>
    </row>
    <row r="381" spans="1:10">
      <c r="A381" s="5" t="s">
        <v>1319</v>
      </c>
      <c r="B381" s="10"/>
      <c r="C381" s="10"/>
      <c r="D381" s="10">
        <v>2.6655229999999999</v>
      </c>
      <c r="E381" s="10"/>
      <c r="F381" s="10"/>
      <c r="G381" s="10"/>
      <c r="H381" s="5" t="s">
        <v>1320</v>
      </c>
      <c r="J381" s="5" t="s">
        <v>1321</v>
      </c>
    </row>
    <row r="382" spans="1:10">
      <c r="A382" s="5" t="s">
        <v>1322</v>
      </c>
      <c r="B382" s="10"/>
      <c r="C382" s="10"/>
      <c r="D382" s="10"/>
      <c r="E382" s="10"/>
      <c r="F382" s="10"/>
      <c r="G382" s="10">
        <v>-2.5181304999999998</v>
      </c>
      <c r="H382" s="5" t="s">
        <v>1323</v>
      </c>
      <c r="I382" s="5" t="s">
        <v>655</v>
      </c>
      <c r="J382" s="5" t="s">
        <v>1324</v>
      </c>
    </row>
    <row r="383" spans="1:10">
      <c r="A383" s="5" t="s">
        <v>1325</v>
      </c>
      <c r="B383" s="10"/>
      <c r="C383" s="10"/>
      <c r="D383" s="10"/>
      <c r="E383" s="10"/>
      <c r="F383" s="10"/>
      <c r="G383" s="10">
        <v>-3.9999410000000002</v>
      </c>
      <c r="H383" s="5" t="s">
        <v>1326</v>
      </c>
      <c r="I383" s="5" t="s">
        <v>1327</v>
      </c>
      <c r="J383" s="5" t="s">
        <v>1328</v>
      </c>
    </row>
    <row r="384" spans="1:10">
      <c r="A384" s="5" t="s">
        <v>1329</v>
      </c>
      <c r="B384" s="10"/>
      <c r="C384" s="10"/>
      <c r="D384" s="10"/>
      <c r="E384" s="10"/>
      <c r="F384" s="10"/>
      <c r="G384" s="10">
        <v>-4.2270174000000003</v>
      </c>
      <c r="H384" s="5" t="s">
        <v>1330</v>
      </c>
    </row>
    <row r="385" spans="1:10">
      <c r="A385" s="5" t="s">
        <v>1331</v>
      </c>
      <c r="B385" s="10"/>
      <c r="C385" s="10"/>
      <c r="D385" s="10"/>
      <c r="E385" s="10"/>
      <c r="F385" s="10"/>
      <c r="G385" s="10">
        <v>-3.3412761999999998</v>
      </c>
      <c r="H385" s="5" t="s">
        <v>1330</v>
      </c>
    </row>
    <row r="386" spans="1:10">
      <c r="A386" s="5" t="s">
        <v>1332</v>
      </c>
      <c r="B386" s="10"/>
      <c r="C386" s="10"/>
      <c r="D386" s="10"/>
      <c r="E386" s="10"/>
      <c r="F386" s="10"/>
      <c r="G386" s="10">
        <v>-3.1950721999999998</v>
      </c>
      <c r="H386" s="5" t="s">
        <v>1330</v>
      </c>
    </row>
    <row r="387" spans="1:10">
      <c r="A387" s="5" t="s">
        <v>1333</v>
      </c>
      <c r="B387" s="10"/>
      <c r="C387" s="10"/>
      <c r="D387" s="10">
        <v>2.3528414</v>
      </c>
      <c r="E387" s="10"/>
      <c r="F387" s="10"/>
      <c r="G387" s="10"/>
      <c r="H387" s="5" t="s">
        <v>1334</v>
      </c>
    </row>
    <row r="388" spans="1:10">
      <c r="A388" s="5" t="s">
        <v>554</v>
      </c>
      <c r="B388" s="10"/>
      <c r="C388" s="10"/>
      <c r="D388" s="10"/>
      <c r="E388" s="10"/>
      <c r="F388" s="10">
        <v>-2.7922482</v>
      </c>
      <c r="G388" s="10"/>
      <c r="H388" s="5" t="s">
        <v>146</v>
      </c>
      <c r="I388" s="5" t="s">
        <v>555</v>
      </c>
      <c r="J388" s="5" t="s">
        <v>556</v>
      </c>
    </row>
    <row r="389" spans="1:10">
      <c r="A389" s="5" t="s">
        <v>559</v>
      </c>
      <c r="B389" s="10"/>
      <c r="C389" s="10"/>
      <c r="D389" s="10"/>
      <c r="E389" s="10"/>
      <c r="F389" s="10"/>
      <c r="G389" s="10">
        <v>-2.1503363000000002</v>
      </c>
      <c r="H389" s="5" t="s">
        <v>146</v>
      </c>
      <c r="I389" s="5" t="s">
        <v>555</v>
      </c>
      <c r="J389" s="5" t="s">
        <v>560</v>
      </c>
    </row>
    <row r="390" spans="1:10">
      <c r="A390" s="5" t="s">
        <v>575</v>
      </c>
      <c r="B390" s="10"/>
      <c r="C390" s="10"/>
      <c r="D390" s="10"/>
      <c r="E390" s="10">
        <v>-2.5936149999999998</v>
      </c>
      <c r="F390" s="10">
        <v>-2.1378484000000002</v>
      </c>
      <c r="G390" s="10">
        <v>-3.3439945999999998</v>
      </c>
      <c r="H390" s="5" t="s">
        <v>146</v>
      </c>
      <c r="I390" s="5" t="s">
        <v>555</v>
      </c>
      <c r="J390" s="5" t="s">
        <v>556</v>
      </c>
    </row>
    <row r="391" spans="1:10">
      <c r="A391" s="5" t="s">
        <v>1335</v>
      </c>
      <c r="B391" s="10"/>
      <c r="C391" s="10"/>
      <c r="E391" s="10"/>
      <c r="F391" s="10"/>
      <c r="G391" s="10">
        <v>-2.2043675999999999</v>
      </c>
      <c r="H391" s="5" t="s">
        <v>1336</v>
      </c>
      <c r="I391" s="5" t="s">
        <v>1337</v>
      </c>
    </row>
    <row r="392" spans="1:10">
      <c r="A392" s="5" t="s">
        <v>1338</v>
      </c>
      <c r="B392" s="10"/>
      <c r="C392" s="10"/>
      <c r="D392" s="10"/>
      <c r="E392" s="10">
        <v>-3.1636142999999999</v>
      </c>
      <c r="F392" s="10">
        <v>-3.0810213000000002</v>
      </c>
      <c r="G392" s="10"/>
      <c r="H392" s="5" t="s">
        <v>1336</v>
      </c>
      <c r="I392" s="5" t="s">
        <v>1134</v>
      </c>
      <c r="J392" s="5" t="s">
        <v>1339</v>
      </c>
    </row>
    <row r="393" spans="1:10">
      <c r="A393" s="5" t="s">
        <v>1340</v>
      </c>
      <c r="B393" s="10"/>
      <c r="C393" s="10"/>
      <c r="D393" s="10"/>
      <c r="E393" s="10"/>
      <c r="F393" s="10"/>
      <c r="G393" s="10">
        <v>-3.2844709999999999</v>
      </c>
      <c r="H393" s="5" t="s">
        <v>1341</v>
      </c>
      <c r="I393" s="5" t="s">
        <v>1342</v>
      </c>
      <c r="J393" s="5" t="s">
        <v>1343</v>
      </c>
    </row>
    <row r="394" spans="1:10">
      <c r="A394" s="5" t="s">
        <v>1344</v>
      </c>
      <c r="B394" s="10"/>
      <c r="C394" s="10"/>
      <c r="D394" s="10"/>
      <c r="E394" s="10"/>
      <c r="F394" s="10">
        <v>-3.288036</v>
      </c>
      <c r="G394" s="10">
        <v>-4.6976212999999998</v>
      </c>
      <c r="H394" s="5" t="s">
        <v>1341</v>
      </c>
      <c r="I394" s="5" t="s">
        <v>1342</v>
      </c>
      <c r="J394" s="5" t="s">
        <v>1345</v>
      </c>
    </row>
    <row r="395" spans="1:10">
      <c r="A395" s="5" t="s">
        <v>1346</v>
      </c>
      <c r="B395" s="10"/>
      <c r="C395" s="10"/>
      <c r="D395" s="10"/>
      <c r="E395" s="10"/>
      <c r="F395" s="10"/>
      <c r="G395" s="10"/>
      <c r="H395" s="5" t="s">
        <v>1341</v>
      </c>
      <c r="I395" s="5" t="s">
        <v>1342</v>
      </c>
      <c r="J395" s="5" t="s">
        <v>1343</v>
      </c>
    </row>
    <row r="396" spans="1:10">
      <c r="A396" s="5" t="s">
        <v>1347</v>
      </c>
      <c r="B396" s="10"/>
      <c r="C396" s="10"/>
      <c r="D396" s="10"/>
      <c r="E396" s="10"/>
      <c r="F396" s="10"/>
      <c r="G396" s="10">
        <v>-2.1663103000000001</v>
      </c>
      <c r="H396" s="5" t="s">
        <v>778</v>
      </c>
      <c r="J396" s="5" t="s">
        <v>777</v>
      </c>
    </row>
    <row r="397" spans="1:10">
      <c r="A397" s="5" t="s">
        <v>1348</v>
      </c>
      <c r="B397" s="10"/>
      <c r="C397" s="10"/>
      <c r="D397" s="10">
        <v>2.0475178000000001</v>
      </c>
      <c r="E397" s="10"/>
      <c r="F397" s="10"/>
      <c r="G397" s="10"/>
      <c r="H397" s="5" t="s">
        <v>1349</v>
      </c>
    </row>
    <row r="398" spans="1:10">
      <c r="A398" s="5" t="s">
        <v>1350</v>
      </c>
      <c r="B398" s="10"/>
      <c r="C398" s="10"/>
      <c r="D398" s="10"/>
      <c r="E398" s="10"/>
      <c r="F398" s="10"/>
      <c r="G398" s="10"/>
      <c r="H398" s="5" t="s">
        <v>1351</v>
      </c>
      <c r="I398" s="5" t="s">
        <v>1352</v>
      </c>
      <c r="J398" s="5" t="s">
        <v>1353</v>
      </c>
    </row>
    <row r="399" spans="1:10">
      <c r="A399" s="5" t="s">
        <v>1354</v>
      </c>
      <c r="B399" s="10"/>
      <c r="C399" s="10"/>
      <c r="D399" s="10"/>
      <c r="E399" s="10"/>
      <c r="F399" s="10"/>
      <c r="G399" s="10">
        <v>-2.0100756</v>
      </c>
      <c r="H399" s="5" t="s">
        <v>1351</v>
      </c>
      <c r="I399" s="5" t="s">
        <v>1355</v>
      </c>
      <c r="J399" s="5" t="s">
        <v>1356</v>
      </c>
    </row>
    <row r="400" spans="1:10">
      <c r="A400" s="5" t="s">
        <v>1357</v>
      </c>
      <c r="B400" s="10"/>
      <c r="C400" s="10"/>
      <c r="D400" s="10"/>
      <c r="E400" s="10">
        <v>-2.9082623000000001</v>
      </c>
      <c r="F400" s="10">
        <v>-3.8720664999999999</v>
      </c>
      <c r="G400" s="10"/>
      <c r="H400" s="5" t="s">
        <v>1358</v>
      </c>
      <c r="I400" s="5" t="s">
        <v>815</v>
      </c>
      <c r="J400" s="5" t="s">
        <v>1359</v>
      </c>
    </row>
    <row r="401" spans="1:10">
      <c r="A401" s="5" t="s">
        <v>1360</v>
      </c>
      <c r="B401" s="10"/>
      <c r="C401" s="10"/>
      <c r="D401" s="10"/>
      <c r="E401" s="10"/>
      <c r="F401" s="10"/>
      <c r="G401" s="10">
        <v>-2.1751518000000001</v>
      </c>
      <c r="H401" s="5" t="s">
        <v>1358</v>
      </c>
      <c r="I401" s="5" t="s">
        <v>815</v>
      </c>
      <c r="J401" s="5" t="s">
        <v>1361</v>
      </c>
    </row>
    <row r="402" spans="1:10">
      <c r="A402" s="5" t="s">
        <v>1362</v>
      </c>
      <c r="B402" s="10"/>
      <c r="C402" s="10"/>
      <c r="D402" s="10"/>
      <c r="E402" s="10"/>
      <c r="F402" s="10">
        <v>-2.0742962</v>
      </c>
      <c r="G402" s="10">
        <v>-2.4508907999999998</v>
      </c>
      <c r="H402" s="5" t="s">
        <v>1358</v>
      </c>
      <c r="I402" s="5" t="s">
        <v>815</v>
      </c>
      <c r="J402" s="5" t="s">
        <v>1359</v>
      </c>
    </row>
    <row r="403" spans="1:10">
      <c r="A403" s="5" t="s">
        <v>1363</v>
      </c>
      <c r="B403" s="10"/>
      <c r="C403" s="10"/>
      <c r="D403" s="10"/>
      <c r="E403" s="10"/>
      <c r="F403" s="10"/>
      <c r="G403" s="10">
        <v>-2.6049829</v>
      </c>
      <c r="H403" s="5" t="s">
        <v>1358</v>
      </c>
      <c r="I403" s="5" t="s">
        <v>815</v>
      </c>
      <c r="J403" s="5" t="s">
        <v>1361</v>
      </c>
    </row>
    <row r="404" spans="1:10">
      <c r="A404" s="5" t="s">
        <v>1364</v>
      </c>
      <c r="B404" s="10"/>
      <c r="C404" s="10"/>
      <c r="D404" s="10"/>
      <c r="E404" s="10"/>
      <c r="F404" s="10"/>
      <c r="G404" s="10">
        <v>-3.8701498999999999</v>
      </c>
      <c r="H404" s="5" t="s">
        <v>1358</v>
      </c>
      <c r="I404" s="5" t="s">
        <v>815</v>
      </c>
      <c r="J404" s="5" t="s">
        <v>1361</v>
      </c>
    </row>
    <row r="405" spans="1:10">
      <c r="A405" s="5" t="s">
        <v>1365</v>
      </c>
      <c r="B405" s="10"/>
      <c r="C405" s="10"/>
      <c r="D405" s="10"/>
      <c r="E405" s="10"/>
      <c r="F405" s="10">
        <v>-2.2868876</v>
      </c>
      <c r="G405" s="10">
        <v>-2.7112259999999999</v>
      </c>
      <c r="H405" s="5" t="s">
        <v>1358</v>
      </c>
      <c r="I405" s="5" t="s">
        <v>815</v>
      </c>
      <c r="J405" s="5" t="s">
        <v>1366</v>
      </c>
    </row>
    <row r="406" spans="1:10">
      <c r="A406" s="5" t="s">
        <v>1367</v>
      </c>
      <c r="B406" s="10"/>
      <c r="C406" s="10"/>
      <c r="D406" s="10"/>
      <c r="E406" s="10"/>
      <c r="F406" s="10"/>
      <c r="G406" s="10">
        <v>-3.6635860999999998</v>
      </c>
      <c r="H406" s="5" t="s">
        <v>1358</v>
      </c>
      <c r="I406" s="5" t="s">
        <v>815</v>
      </c>
      <c r="J406" s="5" t="s">
        <v>1361</v>
      </c>
    </row>
    <row r="407" spans="1:10">
      <c r="A407" s="5" t="s">
        <v>1368</v>
      </c>
      <c r="B407" s="10"/>
      <c r="C407" s="10"/>
      <c r="D407" s="10"/>
      <c r="E407" s="10"/>
      <c r="F407" s="10"/>
      <c r="G407" s="10"/>
      <c r="H407" s="5" t="s">
        <v>1358</v>
      </c>
      <c r="I407" s="5" t="s">
        <v>815</v>
      </c>
      <c r="J407" s="5" t="s">
        <v>1369</v>
      </c>
    </row>
    <row r="408" spans="1:10">
      <c r="A408" s="5" t="s">
        <v>1370</v>
      </c>
      <c r="B408" s="10"/>
      <c r="C408" s="10"/>
      <c r="D408" s="10"/>
      <c r="E408" s="10"/>
      <c r="F408" s="10"/>
      <c r="G408" s="10">
        <v>-2.2721046999999999</v>
      </c>
      <c r="H408" s="5" t="s">
        <v>1358</v>
      </c>
      <c r="I408" s="5" t="s">
        <v>815</v>
      </c>
      <c r="J408" s="5" t="s">
        <v>1371</v>
      </c>
    </row>
    <row r="409" spans="1:10">
      <c r="A409" s="5" t="s">
        <v>1372</v>
      </c>
      <c r="B409" s="10"/>
      <c r="C409" s="10"/>
      <c r="D409" s="10"/>
      <c r="E409" s="10"/>
      <c r="F409" s="10">
        <v>-2.9266239999999999</v>
      </c>
      <c r="G409" s="10">
        <v>-3.9918119999999999</v>
      </c>
      <c r="H409" s="5" t="s">
        <v>1358</v>
      </c>
      <c r="I409" s="5" t="s">
        <v>815</v>
      </c>
      <c r="J409" s="5" t="s">
        <v>1373</v>
      </c>
    </row>
    <row r="410" spans="1:10">
      <c r="A410" s="5" t="s">
        <v>1374</v>
      </c>
      <c r="B410" s="10"/>
      <c r="C410" s="10"/>
      <c r="D410" s="10"/>
      <c r="E410" s="10"/>
      <c r="F410" s="10"/>
      <c r="G410" s="10">
        <v>-2.0081815999999999</v>
      </c>
      <c r="H410" s="5" t="s">
        <v>1358</v>
      </c>
      <c r="I410" s="5" t="s">
        <v>815</v>
      </c>
      <c r="J410" s="5" t="s">
        <v>1361</v>
      </c>
    </row>
    <row r="411" spans="1:10">
      <c r="A411" s="5" t="s">
        <v>1375</v>
      </c>
      <c r="B411" s="10"/>
      <c r="D411" s="10"/>
      <c r="E411" s="10"/>
      <c r="F411" s="10"/>
      <c r="G411" s="10">
        <v>-2.3687176999999999</v>
      </c>
      <c r="H411" s="5" t="s">
        <v>1358</v>
      </c>
      <c r="I411" s="5" t="s">
        <v>1358</v>
      </c>
      <c r="J411" s="5" t="s">
        <v>1376</v>
      </c>
    </row>
    <row r="412" spans="1:10">
      <c r="A412" s="5" t="s">
        <v>1377</v>
      </c>
      <c r="B412" s="10"/>
      <c r="D412" s="10"/>
      <c r="E412" s="10"/>
      <c r="F412" s="10"/>
      <c r="G412" s="10">
        <v>-2.0246200000000001</v>
      </c>
      <c r="H412" s="5" t="s">
        <v>1358</v>
      </c>
      <c r="I412" s="5" t="s">
        <v>815</v>
      </c>
      <c r="J412" s="5" t="s">
        <v>1361</v>
      </c>
    </row>
    <row r="413" spans="1:10">
      <c r="A413" s="5" t="s">
        <v>1378</v>
      </c>
      <c r="B413" s="10"/>
      <c r="C413" s="10"/>
      <c r="D413" s="10"/>
      <c r="E413" s="10"/>
      <c r="F413" s="10"/>
      <c r="G413" s="10">
        <v>-2.3712783000000002</v>
      </c>
      <c r="H413" s="5" t="s">
        <v>1379</v>
      </c>
    </row>
    <row r="414" spans="1:10">
      <c r="A414" s="5" t="s">
        <v>1380</v>
      </c>
      <c r="B414" s="10"/>
      <c r="C414" s="10"/>
      <c r="D414" s="10"/>
      <c r="E414" s="10"/>
      <c r="F414" s="10"/>
      <c r="G414" s="10"/>
      <c r="H414" s="5" t="s">
        <v>1381</v>
      </c>
      <c r="I414" s="5" t="s">
        <v>1382</v>
      </c>
      <c r="J414" s="5" t="s">
        <v>1383</v>
      </c>
    </row>
    <row r="415" spans="1:10">
      <c r="A415" s="5" t="s">
        <v>1384</v>
      </c>
      <c r="B415" s="10"/>
      <c r="C415" s="10"/>
      <c r="D415" s="10"/>
      <c r="E415" s="10"/>
      <c r="F415" s="10"/>
      <c r="G415" s="10">
        <v>-2.013245</v>
      </c>
      <c r="H415" s="5" t="s">
        <v>1385</v>
      </c>
    </row>
    <row r="416" spans="1:10">
      <c r="A416" s="5" t="s">
        <v>1386</v>
      </c>
      <c r="B416" s="10"/>
      <c r="C416" s="10">
        <v>2.1926793999999998</v>
      </c>
      <c r="D416" s="10"/>
      <c r="E416" s="10"/>
      <c r="F416" s="10"/>
      <c r="G416" s="10"/>
      <c r="H416" s="5" t="s">
        <v>1387</v>
      </c>
      <c r="I416" s="5" t="s">
        <v>687</v>
      </c>
      <c r="J416" s="5" t="s">
        <v>1388</v>
      </c>
    </row>
    <row r="417" spans="1:11">
      <c r="A417" s="5" t="s">
        <v>1389</v>
      </c>
      <c r="B417" s="10"/>
      <c r="C417" s="10"/>
      <c r="D417" s="10">
        <v>2.0806985</v>
      </c>
      <c r="E417" s="10"/>
      <c r="F417" s="10"/>
      <c r="G417" s="10"/>
      <c r="H417" s="5" t="s">
        <v>1387</v>
      </c>
      <c r="I417" s="5" t="s">
        <v>687</v>
      </c>
      <c r="J417" s="5" t="s">
        <v>1388</v>
      </c>
    </row>
    <row r="418" spans="1:11">
      <c r="A418" s="5" t="s">
        <v>1390</v>
      </c>
      <c r="B418" s="10"/>
      <c r="C418" s="10"/>
      <c r="D418" s="10">
        <v>2.050694</v>
      </c>
      <c r="E418" s="10"/>
      <c r="F418" s="10"/>
      <c r="H418" s="5" t="s">
        <v>1391</v>
      </c>
      <c r="I418" s="5" t="s">
        <v>627</v>
      </c>
      <c r="J418" s="5" t="s">
        <v>1392</v>
      </c>
    </row>
    <row r="419" spans="1:11">
      <c r="A419" s="5" t="s">
        <v>1393</v>
      </c>
      <c r="B419" s="10">
        <v>2.2868433000000001</v>
      </c>
      <c r="C419" s="10">
        <v>2.7557019999999999</v>
      </c>
      <c r="D419" s="10"/>
      <c r="H419" s="5" t="s">
        <v>1391</v>
      </c>
      <c r="I419" s="5" t="s">
        <v>627</v>
      </c>
      <c r="J419" s="5" t="s">
        <v>1392</v>
      </c>
    </row>
    <row r="420" spans="1:11">
      <c r="A420" s="5" t="s">
        <v>1394</v>
      </c>
      <c r="B420" s="10">
        <v>2.3990064000000002</v>
      </c>
      <c r="C420" s="10">
        <v>3.3213157999999998</v>
      </c>
      <c r="D420" s="10">
        <v>3.2685366</v>
      </c>
      <c r="H420" s="5" t="s">
        <v>1391</v>
      </c>
      <c r="I420" s="5" t="s">
        <v>627</v>
      </c>
      <c r="J420" s="5" t="s">
        <v>1392</v>
      </c>
    </row>
    <row r="421" spans="1:11">
      <c r="A421" s="5" t="s">
        <v>1395</v>
      </c>
      <c r="B421" s="10"/>
      <c r="C421" s="10"/>
      <c r="D421" s="10">
        <v>2.2210516999999999</v>
      </c>
      <c r="E421" s="10"/>
      <c r="F421" s="10"/>
      <c r="G421" s="10"/>
      <c r="H421" s="5" t="s">
        <v>1391</v>
      </c>
      <c r="I421" s="5" t="s">
        <v>627</v>
      </c>
      <c r="J421" s="5" t="s">
        <v>1392</v>
      </c>
    </row>
    <row r="422" spans="1:11">
      <c r="A422" s="5" t="s">
        <v>1396</v>
      </c>
      <c r="B422" s="10">
        <v>3.6439176</v>
      </c>
      <c r="C422" s="10">
        <v>4.4505486000000003</v>
      </c>
      <c r="D422" s="10">
        <v>4.3238797</v>
      </c>
      <c r="H422" s="5" t="s">
        <v>1391</v>
      </c>
      <c r="I422" s="5" t="s">
        <v>627</v>
      </c>
      <c r="J422" s="5" t="s">
        <v>1392</v>
      </c>
    </row>
    <row r="423" spans="1:11">
      <c r="A423" s="5" t="s">
        <v>1397</v>
      </c>
      <c r="B423" s="10">
        <v>2.4890219999999998</v>
      </c>
      <c r="C423" s="10">
        <v>3.9252937000000001</v>
      </c>
      <c r="D423" s="10">
        <v>4.8174533999999998</v>
      </c>
      <c r="H423" s="5" t="s">
        <v>1391</v>
      </c>
      <c r="I423" s="5" t="s">
        <v>627</v>
      </c>
      <c r="J423" s="5" t="s">
        <v>1392</v>
      </c>
    </row>
    <row r="424" spans="1:11">
      <c r="A424" s="5" t="s">
        <v>1398</v>
      </c>
      <c r="B424" s="10">
        <v>3.9955196000000002</v>
      </c>
      <c r="C424" s="10">
        <v>4.2567089999999999</v>
      </c>
      <c r="D424" s="10">
        <v>3.9959383000000002</v>
      </c>
      <c r="H424" s="5" t="s">
        <v>1391</v>
      </c>
      <c r="I424" s="5" t="s">
        <v>627</v>
      </c>
      <c r="J424" s="5" t="s">
        <v>1392</v>
      </c>
    </row>
    <row r="425" spans="1:11">
      <c r="A425" s="5" t="s">
        <v>1399</v>
      </c>
      <c r="B425" s="10"/>
      <c r="C425" s="10">
        <v>3.2951157000000002</v>
      </c>
      <c r="D425" s="10">
        <v>4.4070396000000001</v>
      </c>
      <c r="E425" s="10"/>
      <c r="F425" s="10"/>
      <c r="G425" s="10"/>
      <c r="H425" s="5" t="s">
        <v>1391</v>
      </c>
      <c r="I425" s="5" t="s">
        <v>627</v>
      </c>
      <c r="J425" s="5" t="s">
        <v>1392</v>
      </c>
      <c r="K425" s="5" t="s">
        <v>693</v>
      </c>
    </row>
    <row r="426" spans="1:11">
      <c r="A426" s="5" t="s">
        <v>1400</v>
      </c>
      <c r="B426" s="10"/>
      <c r="C426" s="10">
        <v>2.4953455999999998</v>
      </c>
      <c r="D426" s="10"/>
      <c r="E426" s="10"/>
      <c r="H426" s="5" t="s">
        <v>1391</v>
      </c>
      <c r="I426" s="5" t="s">
        <v>627</v>
      </c>
      <c r="J426" s="5" t="s">
        <v>1392</v>
      </c>
    </row>
    <row r="427" spans="1:11">
      <c r="A427" s="5" t="s">
        <v>1401</v>
      </c>
      <c r="B427" s="10"/>
      <c r="C427" s="10">
        <v>2.0399215000000002</v>
      </c>
      <c r="D427" s="10"/>
      <c r="E427" s="10"/>
      <c r="H427" s="5" t="s">
        <v>1391</v>
      </c>
      <c r="I427" s="5" t="s">
        <v>627</v>
      </c>
      <c r="J427" s="5" t="s">
        <v>1392</v>
      </c>
    </row>
    <row r="428" spans="1:11">
      <c r="A428" s="5" t="s">
        <v>1402</v>
      </c>
      <c r="B428" s="10"/>
      <c r="C428" s="10"/>
      <c r="D428" s="10">
        <v>2.1938447999999999</v>
      </c>
      <c r="E428" s="10"/>
      <c r="H428" s="5" t="s">
        <v>1391</v>
      </c>
      <c r="I428" s="5" t="s">
        <v>627</v>
      </c>
      <c r="J428" s="5" t="s">
        <v>1392</v>
      </c>
    </row>
    <row r="429" spans="1:11">
      <c r="A429" s="5" t="s">
        <v>1403</v>
      </c>
      <c r="B429" s="10"/>
      <c r="C429" s="10"/>
      <c r="D429" s="10"/>
      <c r="E429" s="10"/>
      <c r="H429" s="5" t="s">
        <v>1391</v>
      </c>
      <c r="I429" s="5" t="s">
        <v>1404</v>
      </c>
      <c r="J429" s="5" t="s">
        <v>1405</v>
      </c>
    </row>
    <row r="430" spans="1:11">
      <c r="A430" s="5" t="s">
        <v>1406</v>
      </c>
      <c r="B430" s="10"/>
      <c r="C430" s="10"/>
      <c r="D430" s="10"/>
      <c r="E430" s="10"/>
      <c r="F430" s="10"/>
      <c r="G430" s="10"/>
      <c r="H430" s="5" t="s">
        <v>1391</v>
      </c>
      <c r="I430" s="5" t="s">
        <v>642</v>
      </c>
      <c r="J430" s="5" t="s">
        <v>1407</v>
      </c>
    </row>
    <row r="431" spans="1:11">
      <c r="A431" s="5" t="s">
        <v>1408</v>
      </c>
      <c r="B431" s="10"/>
      <c r="C431" s="10"/>
      <c r="D431" s="10">
        <v>2.1996669999999998</v>
      </c>
      <c r="E431" s="10"/>
      <c r="H431" s="5" t="s">
        <v>1409</v>
      </c>
      <c r="I431" s="5" t="s">
        <v>1410</v>
      </c>
      <c r="J431" s="5" t="s">
        <v>1411</v>
      </c>
    </row>
    <row r="432" spans="1:11">
      <c r="A432" s="5" t="s">
        <v>1412</v>
      </c>
      <c r="B432" s="10"/>
      <c r="D432" s="10"/>
      <c r="E432" s="10"/>
      <c r="F432" s="10">
        <v>-2.3433446999999998</v>
      </c>
      <c r="H432" s="5" t="s">
        <v>1413</v>
      </c>
      <c r="I432" s="5" t="s">
        <v>604</v>
      </c>
    </row>
    <row r="433" spans="1:11">
      <c r="A433" s="5" t="s">
        <v>1414</v>
      </c>
      <c r="B433" s="10"/>
      <c r="C433" s="10"/>
      <c r="D433" s="10"/>
      <c r="E433" s="10"/>
      <c r="F433" s="10"/>
      <c r="G433" s="10"/>
      <c r="H433" s="5" t="s">
        <v>1415</v>
      </c>
      <c r="I433" s="5" t="s">
        <v>1416</v>
      </c>
      <c r="J433" s="5" t="s">
        <v>1417</v>
      </c>
    </row>
    <row r="434" spans="1:11">
      <c r="A434" s="5" t="s">
        <v>1418</v>
      </c>
      <c r="B434" s="10"/>
      <c r="C434" s="10">
        <v>2.0054249999999998</v>
      </c>
      <c r="D434" s="10">
        <v>2.3193902999999998</v>
      </c>
      <c r="E434" s="10"/>
      <c r="F434" s="10"/>
      <c r="G434" s="10"/>
      <c r="H434" s="5" t="s">
        <v>1415</v>
      </c>
      <c r="I434" s="5" t="s">
        <v>604</v>
      </c>
      <c r="J434" s="5" t="s">
        <v>1419</v>
      </c>
    </row>
    <row r="435" spans="1:11">
      <c r="A435" s="5" t="s">
        <v>1420</v>
      </c>
      <c r="B435" s="10"/>
      <c r="C435" s="10">
        <v>2.0067553999999999</v>
      </c>
      <c r="D435" s="10">
        <v>2.4475513000000002</v>
      </c>
      <c r="E435" s="10"/>
      <c r="F435" s="10"/>
      <c r="G435" s="10"/>
      <c r="H435" s="5" t="s">
        <v>1415</v>
      </c>
      <c r="I435" s="5" t="s">
        <v>604</v>
      </c>
      <c r="J435" s="5" t="s">
        <v>1419</v>
      </c>
    </row>
    <row r="436" spans="1:11">
      <c r="A436" s="5" t="s">
        <v>1421</v>
      </c>
      <c r="B436" s="10"/>
      <c r="C436" s="10"/>
      <c r="D436" s="10">
        <v>2.7642798000000002</v>
      </c>
      <c r="H436" s="5" t="s">
        <v>1415</v>
      </c>
      <c r="I436" s="5" t="s">
        <v>604</v>
      </c>
      <c r="J436" s="5" t="s">
        <v>1419</v>
      </c>
    </row>
    <row r="437" spans="1:11">
      <c r="A437" s="5" t="s">
        <v>1422</v>
      </c>
      <c r="B437" s="10"/>
      <c r="C437" s="10">
        <v>2.1976599999999999</v>
      </c>
      <c r="D437" s="10"/>
      <c r="H437" s="5" t="s">
        <v>1415</v>
      </c>
      <c r="I437" s="5" t="s">
        <v>1423</v>
      </c>
      <c r="J437" s="5" t="s">
        <v>1424</v>
      </c>
    </row>
    <row r="438" spans="1:11">
      <c r="A438" s="5" t="s">
        <v>1425</v>
      </c>
      <c r="B438" s="10"/>
      <c r="C438" s="10">
        <v>2.0332880000000002</v>
      </c>
      <c r="D438" s="10"/>
      <c r="H438" s="5" t="s">
        <v>1415</v>
      </c>
      <c r="I438" s="5" t="s">
        <v>1423</v>
      </c>
      <c r="J438" s="5" t="s">
        <v>1424</v>
      </c>
    </row>
    <row r="439" spans="1:11">
      <c r="A439" s="5" t="s">
        <v>1426</v>
      </c>
      <c r="B439" s="10">
        <v>2.2249498000000001</v>
      </c>
      <c r="C439" s="10">
        <v>3.2083529999999998</v>
      </c>
      <c r="D439" s="10">
        <v>3.9759893000000002</v>
      </c>
      <c r="H439" s="5" t="s">
        <v>1415</v>
      </c>
      <c r="I439" s="5" t="s">
        <v>1423</v>
      </c>
      <c r="J439" s="5" t="s">
        <v>1424</v>
      </c>
    </row>
    <row r="440" spans="1:11">
      <c r="A440" s="5" t="s">
        <v>1427</v>
      </c>
      <c r="B440" s="10">
        <v>2.2034812000000001</v>
      </c>
      <c r="C440" s="10">
        <v>3.1559978000000002</v>
      </c>
      <c r="D440" s="10">
        <v>3.9249643999999999</v>
      </c>
      <c r="H440" s="5" t="s">
        <v>1415</v>
      </c>
      <c r="I440" s="5" t="s">
        <v>1423</v>
      </c>
      <c r="J440" s="5" t="s">
        <v>1424</v>
      </c>
    </row>
    <row r="441" spans="1:11">
      <c r="A441" s="5" t="s">
        <v>1428</v>
      </c>
      <c r="B441" s="10"/>
      <c r="C441" s="10">
        <v>2.1669068</v>
      </c>
      <c r="D441" s="10"/>
      <c r="E441" s="10"/>
      <c r="F441" s="10"/>
      <c r="G441" s="10"/>
      <c r="H441" s="5" t="s">
        <v>1415</v>
      </c>
      <c r="I441" s="5" t="s">
        <v>604</v>
      </c>
      <c r="J441" s="5" t="s">
        <v>1429</v>
      </c>
    </row>
    <row r="442" spans="1:11">
      <c r="A442" s="5" t="s">
        <v>1430</v>
      </c>
      <c r="B442" s="10"/>
      <c r="C442" s="10">
        <v>2.4340787000000002</v>
      </c>
      <c r="D442" s="10"/>
      <c r="E442" s="10"/>
      <c r="F442" s="10"/>
      <c r="G442" s="10"/>
      <c r="H442" s="5" t="s">
        <v>1415</v>
      </c>
      <c r="I442" s="5" t="s">
        <v>604</v>
      </c>
      <c r="J442" s="5" t="s">
        <v>1429</v>
      </c>
    </row>
    <row r="443" spans="1:11">
      <c r="A443" s="5" t="s">
        <v>1431</v>
      </c>
      <c r="B443" s="10"/>
      <c r="C443" s="10"/>
      <c r="D443" s="10">
        <v>2.3140429999999999</v>
      </c>
      <c r="E443" s="10"/>
      <c r="F443" s="10"/>
      <c r="G443" s="10"/>
      <c r="H443" s="5" t="s">
        <v>1415</v>
      </c>
      <c r="I443" s="5" t="s">
        <v>1432</v>
      </c>
      <c r="J443" s="5" t="s">
        <v>1424</v>
      </c>
      <c r="K443" s="5" t="s">
        <v>1433</v>
      </c>
    </row>
    <row r="444" spans="1:11">
      <c r="A444" s="5" t="s">
        <v>1434</v>
      </c>
      <c r="B444" s="10"/>
      <c r="C444" s="10"/>
      <c r="D444" s="10">
        <v>2.9495719999999999</v>
      </c>
      <c r="E444" s="10"/>
      <c r="F444" s="10"/>
      <c r="H444" s="5" t="s">
        <v>1415</v>
      </c>
      <c r="I444" s="5" t="s">
        <v>604</v>
      </c>
      <c r="J444" s="5" t="s">
        <v>1419</v>
      </c>
    </row>
    <row r="445" spans="1:11">
      <c r="A445" s="5" t="s">
        <v>1435</v>
      </c>
      <c r="B445" s="10"/>
      <c r="C445" s="10"/>
      <c r="D445" s="10">
        <v>2.2137389999999999</v>
      </c>
      <c r="E445" s="10"/>
      <c r="F445" s="10"/>
      <c r="G445" s="10"/>
      <c r="H445" s="5" t="s">
        <v>1436</v>
      </c>
      <c r="I445" s="5" t="s">
        <v>1437</v>
      </c>
    </row>
    <row r="446" spans="1:11">
      <c r="A446" s="5" t="s">
        <v>1438</v>
      </c>
      <c r="B446" s="10"/>
      <c r="C446" s="10"/>
      <c r="D446" s="10">
        <v>2.2699851999999998</v>
      </c>
      <c r="E446" s="10"/>
      <c r="F446" s="10"/>
      <c r="H446" s="5" t="s">
        <v>1439</v>
      </c>
      <c r="I446" s="5" t="s">
        <v>0</v>
      </c>
      <c r="J446" s="5" t="s">
        <v>1</v>
      </c>
    </row>
    <row r="447" spans="1:11">
      <c r="A447" s="5" t="s">
        <v>2</v>
      </c>
      <c r="B447" s="10"/>
      <c r="C447" s="10">
        <v>2.0227365000000002</v>
      </c>
      <c r="D447" s="10"/>
      <c r="E447" s="10"/>
      <c r="F447" s="10"/>
      <c r="G447" s="10"/>
      <c r="H447" s="5" t="s">
        <v>3</v>
      </c>
      <c r="I447" s="5" t="s">
        <v>4</v>
      </c>
    </row>
    <row r="448" spans="1:11">
      <c r="A448" s="5" t="s">
        <v>5</v>
      </c>
      <c r="B448" s="10"/>
      <c r="C448" s="10"/>
      <c r="D448" s="10"/>
      <c r="E448" s="10"/>
      <c r="F448" s="10"/>
      <c r="G448" s="10">
        <v>-2.5083098000000001</v>
      </c>
      <c r="H448" s="5" t="s">
        <v>6</v>
      </c>
    </row>
    <row r="449" spans="1:10">
      <c r="A449" s="5" t="s">
        <v>7</v>
      </c>
      <c r="B449" s="10"/>
      <c r="C449" s="10"/>
      <c r="D449" s="10"/>
      <c r="E449" s="10"/>
      <c r="F449" s="10"/>
      <c r="G449" s="10">
        <v>-2.1371907999999999</v>
      </c>
      <c r="H449" s="5" t="s">
        <v>6</v>
      </c>
    </row>
    <row r="450" spans="1:10">
      <c r="A450" s="5" t="s">
        <v>8</v>
      </c>
      <c r="B450" s="10"/>
      <c r="C450" s="10"/>
      <c r="D450" s="10"/>
      <c r="E450" s="10"/>
      <c r="F450" s="10"/>
      <c r="G450" s="10">
        <v>-2.0443478000000002</v>
      </c>
      <c r="H450" s="5" t="s">
        <v>9</v>
      </c>
      <c r="I450" s="5" t="s">
        <v>10</v>
      </c>
      <c r="J450" s="5" t="s">
        <v>11</v>
      </c>
    </row>
    <row r="451" spans="1:10">
      <c r="A451" s="5" t="s">
        <v>12</v>
      </c>
      <c r="B451" s="10"/>
      <c r="C451" s="10">
        <v>3.0654091999999999</v>
      </c>
      <c r="D451" s="10">
        <v>3.3637589999999999</v>
      </c>
      <c r="E451" s="10"/>
      <c r="F451" s="10"/>
      <c r="G451" s="10"/>
      <c r="H451" s="5" t="s">
        <v>13</v>
      </c>
    </row>
    <row r="452" spans="1:10">
      <c r="A452" s="5" t="s">
        <v>14</v>
      </c>
      <c r="B452" s="10"/>
      <c r="C452" s="10"/>
      <c r="D452" s="10"/>
      <c r="E452" s="10"/>
      <c r="F452" s="10"/>
      <c r="G452" s="10">
        <v>-2.0960174</v>
      </c>
      <c r="H452" s="5" t="s">
        <v>15</v>
      </c>
    </row>
    <row r="453" spans="1:10">
      <c r="A453" s="5" t="s">
        <v>518</v>
      </c>
      <c r="B453" s="10"/>
      <c r="C453" s="10"/>
      <c r="D453" s="10"/>
      <c r="E453" s="10"/>
      <c r="F453" s="10"/>
      <c r="G453" s="10">
        <v>-2.1915808000000001</v>
      </c>
      <c r="H453" s="5" t="s">
        <v>519</v>
      </c>
    </row>
    <row r="454" spans="1:10">
      <c r="A454" s="5" t="s">
        <v>520</v>
      </c>
      <c r="B454" s="10"/>
      <c r="C454" s="10"/>
      <c r="D454" s="10"/>
      <c r="E454" s="10"/>
      <c r="F454" s="10"/>
      <c r="G454" s="10">
        <v>-2.0012235999999999</v>
      </c>
      <c r="H454" s="5" t="s">
        <v>519</v>
      </c>
    </row>
    <row r="455" spans="1:10">
      <c r="A455" s="5" t="s">
        <v>521</v>
      </c>
      <c r="B455" s="10"/>
      <c r="E455" s="10"/>
      <c r="F455" s="10">
        <v>-2.6068381999999999</v>
      </c>
      <c r="G455" s="10">
        <v>-2.6419009999999998</v>
      </c>
      <c r="H455" s="5" t="s">
        <v>519</v>
      </c>
    </row>
    <row r="456" spans="1:10">
      <c r="A456" s="5" t="s">
        <v>522</v>
      </c>
      <c r="B456" s="10"/>
      <c r="C456" s="10"/>
      <c r="D456" s="10"/>
      <c r="E456" s="10"/>
      <c r="F456" s="10"/>
      <c r="G456" s="10">
        <v>-2.0703014999999998</v>
      </c>
      <c r="H456" s="5" t="s">
        <v>519</v>
      </c>
    </row>
    <row r="457" spans="1:10">
      <c r="A457" s="5" t="s">
        <v>523</v>
      </c>
      <c r="B457" s="10"/>
      <c r="C457" s="10"/>
      <c r="D457" s="10"/>
      <c r="E457" s="10"/>
      <c r="F457" s="10"/>
      <c r="G457" s="10">
        <v>-4.1603764999999999</v>
      </c>
      <c r="H457" s="5" t="s">
        <v>519</v>
      </c>
    </row>
    <row r="458" spans="1:10">
      <c r="A458" s="5" t="s">
        <v>524</v>
      </c>
      <c r="B458" s="10"/>
      <c r="C458" s="10"/>
      <c r="D458" s="10"/>
      <c r="E458" s="10"/>
      <c r="F458" s="10"/>
      <c r="G458" s="10">
        <v>-2.1479368000000001</v>
      </c>
      <c r="H458" s="5" t="s">
        <v>519</v>
      </c>
    </row>
    <row r="459" spans="1:10">
      <c r="A459" s="5" t="s">
        <v>525</v>
      </c>
      <c r="B459" s="10"/>
      <c r="C459" s="10"/>
      <c r="E459" s="10"/>
      <c r="F459" s="10"/>
      <c r="G459" s="10">
        <v>-2.0114497999999998</v>
      </c>
      <c r="H459" s="5" t="s">
        <v>519</v>
      </c>
    </row>
    <row r="460" spans="1:10">
      <c r="A460" s="5" t="s">
        <v>526</v>
      </c>
      <c r="B460" s="10"/>
      <c r="C460" s="10"/>
      <c r="E460" s="10"/>
      <c r="F460" s="10"/>
      <c r="G460" s="10">
        <v>-2.3907056</v>
      </c>
      <c r="H460" s="5" t="s">
        <v>527</v>
      </c>
    </row>
    <row r="461" spans="1:10">
      <c r="A461" s="5" t="s">
        <v>528</v>
      </c>
      <c r="B461" s="10"/>
      <c r="C461" s="10"/>
      <c r="D461" s="10"/>
      <c r="E461" s="10">
        <v>-2.5531693</v>
      </c>
      <c r="F461" s="10">
        <v>-2.8869066000000001</v>
      </c>
      <c r="G461" s="10">
        <v>-3.7412833999999999</v>
      </c>
      <c r="H461" s="5" t="s">
        <v>529</v>
      </c>
    </row>
    <row r="462" spans="1:10" s="12" customFormat="1" ht="13.5" thickBot="1">
      <c r="B462" s="13"/>
      <c r="C462" s="13"/>
      <c r="D462" s="13"/>
      <c r="E462" s="13"/>
      <c r="F462" s="13"/>
      <c r="G462" s="13"/>
    </row>
    <row r="463" spans="1:10">
      <c r="B463" s="10"/>
      <c r="C463" s="10"/>
      <c r="D463" s="10"/>
      <c r="E463" s="10"/>
      <c r="F463" s="10"/>
      <c r="G463" s="10"/>
    </row>
    <row r="464" spans="1:10">
      <c r="A464" s="5" t="s">
        <v>16</v>
      </c>
      <c r="B464" s="10"/>
      <c r="C464" s="10"/>
      <c r="D464" s="10"/>
      <c r="E464" s="10"/>
      <c r="F464" s="10"/>
      <c r="G464" s="10">
        <v>-2.3062695999999998</v>
      </c>
      <c r="H464" s="5" t="s">
        <v>17</v>
      </c>
      <c r="I464" s="5" t="s">
        <v>17</v>
      </c>
    </row>
    <row r="465" spans="1:9">
      <c r="A465" s="5" t="s">
        <v>18</v>
      </c>
      <c r="B465" s="10"/>
      <c r="C465" s="10"/>
      <c r="D465" s="10"/>
      <c r="E465" s="10"/>
      <c r="F465" s="10"/>
      <c r="G465" s="10">
        <v>-2.3943927</v>
      </c>
      <c r="H465" s="5" t="s">
        <v>17</v>
      </c>
      <c r="I465" s="5" t="s">
        <v>17</v>
      </c>
    </row>
    <row r="466" spans="1:9">
      <c r="A466" s="5" t="s">
        <v>19</v>
      </c>
      <c r="B466" s="10"/>
      <c r="C466" s="10"/>
      <c r="D466" s="10"/>
      <c r="E466" s="10"/>
      <c r="F466" s="10"/>
      <c r="G466" s="10">
        <v>-2.8689909999999998</v>
      </c>
      <c r="H466" s="5" t="s">
        <v>17</v>
      </c>
      <c r="I466" s="5" t="s">
        <v>17</v>
      </c>
    </row>
    <row r="467" spans="1:9">
      <c r="A467" s="5" t="s">
        <v>20</v>
      </c>
      <c r="B467" s="10"/>
      <c r="C467" s="10"/>
      <c r="D467" s="10"/>
      <c r="E467" s="10"/>
      <c r="F467" s="10"/>
      <c r="G467" s="10">
        <v>-2.8950973000000002</v>
      </c>
      <c r="H467" s="5" t="s">
        <v>17</v>
      </c>
      <c r="I467" s="5" t="s">
        <v>17</v>
      </c>
    </row>
    <row r="468" spans="1:9">
      <c r="A468" s="5" t="s">
        <v>21</v>
      </c>
      <c r="B468" s="10"/>
      <c r="C468" s="10"/>
      <c r="D468" s="10">
        <v>2.6672340000000001</v>
      </c>
      <c r="E468" s="10"/>
      <c r="F468" s="10"/>
      <c r="G468" s="10"/>
      <c r="H468" s="5" t="s">
        <v>17</v>
      </c>
      <c r="I468" s="5" t="s">
        <v>17</v>
      </c>
    </row>
    <row r="469" spans="1:9">
      <c r="A469" s="5" t="s">
        <v>22</v>
      </c>
      <c r="B469" s="10"/>
      <c r="C469" s="10"/>
      <c r="D469" s="10">
        <v>2.0123023999999998</v>
      </c>
      <c r="E469" s="10"/>
      <c r="F469" s="10"/>
      <c r="G469" s="10"/>
      <c r="H469" s="5" t="s">
        <v>17</v>
      </c>
      <c r="I469" s="5" t="s">
        <v>17</v>
      </c>
    </row>
    <row r="470" spans="1:9">
      <c r="A470" s="5" t="s">
        <v>23</v>
      </c>
      <c r="B470" s="10"/>
      <c r="C470" s="10"/>
      <c r="D470" s="10"/>
      <c r="E470" s="10"/>
      <c r="F470" s="10"/>
      <c r="G470" s="10"/>
      <c r="H470" s="5" t="s">
        <v>17</v>
      </c>
      <c r="I470" s="5" t="s">
        <v>17</v>
      </c>
    </row>
    <row r="471" spans="1:9">
      <c r="A471" s="5" t="s">
        <v>24</v>
      </c>
      <c r="B471" s="10"/>
      <c r="C471" s="10"/>
      <c r="D471" s="10"/>
      <c r="E471" s="10"/>
      <c r="F471" s="10">
        <v>-2.1178170000000001</v>
      </c>
      <c r="G471" s="10">
        <v>-3.5963039999999999</v>
      </c>
      <c r="H471" s="5" t="s">
        <v>17</v>
      </c>
      <c r="I471" s="5" t="s">
        <v>17</v>
      </c>
    </row>
    <row r="472" spans="1:9">
      <c r="A472" s="5" t="s">
        <v>25</v>
      </c>
      <c r="B472" s="10"/>
      <c r="C472" s="10">
        <v>2.115415</v>
      </c>
      <c r="D472" s="10">
        <v>2.0541</v>
      </c>
      <c r="E472" s="10"/>
      <c r="F472" s="10"/>
      <c r="G472" s="10"/>
      <c r="H472" s="5" t="s">
        <v>17</v>
      </c>
      <c r="I472" s="5" t="s">
        <v>17</v>
      </c>
    </row>
    <row r="473" spans="1:9">
      <c r="A473" s="5" t="s">
        <v>26</v>
      </c>
      <c r="B473" s="10"/>
      <c r="C473" s="10"/>
      <c r="D473" s="10"/>
      <c r="E473" s="10">
        <v>-3.4659320999999998</v>
      </c>
      <c r="F473" s="10">
        <v>-3.6249783</v>
      </c>
      <c r="G473" s="10"/>
      <c r="H473" s="5" t="s">
        <v>17</v>
      </c>
      <c r="I473" s="5" t="s">
        <v>17</v>
      </c>
    </row>
    <row r="474" spans="1:9">
      <c r="A474" s="5" t="s">
        <v>27</v>
      </c>
      <c r="B474" s="10"/>
      <c r="C474" s="10"/>
      <c r="D474" s="10"/>
      <c r="E474" s="10"/>
      <c r="F474" s="10">
        <v>-2.1837882999999998</v>
      </c>
      <c r="G474" s="10">
        <v>-3.6452217</v>
      </c>
      <c r="H474" s="5" t="s">
        <v>17</v>
      </c>
      <c r="I474" s="5" t="s">
        <v>17</v>
      </c>
    </row>
    <row r="475" spans="1:9">
      <c r="A475" s="5" t="s">
        <v>531</v>
      </c>
      <c r="B475" s="10"/>
      <c r="C475" s="10"/>
      <c r="D475" s="10"/>
      <c r="E475" s="10">
        <v>-2.3566180000000001</v>
      </c>
      <c r="F475" s="10">
        <v>-2.2509375</v>
      </c>
      <c r="G475" s="10">
        <v>-3.6819905999999998</v>
      </c>
      <c r="H475" s="5" t="s">
        <v>17</v>
      </c>
      <c r="I475" s="5" t="s">
        <v>17</v>
      </c>
    </row>
    <row r="476" spans="1:9">
      <c r="A476" s="5" t="s">
        <v>28</v>
      </c>
      <c r="B476" s="10"/>
      <c r="C476" s="10"/>
      <c r="D476" s="10"/>
      <c r="E476" s="10"/>
      <c r="F476" s="10"/>
      <c r="G476" s="10"/>
      <c r="H476" s="5" t="s">
        <v>17</v>
      </c>
      <c r="I476" s="5" t="s">
        <v>17</v>
      </c>
    </row>
    <row r="477" spans="1:9">
      <c r="A477" s="5" t="s">
        <v>29</v>
      </c>
      <c r="B477" s="10"/>
      <c r="C477" s="10"/>
      <c r="D477" s="10">
        <v>2.3002658</v>
      </c>
      <c r="E477" s="10"/>
      <c r="F477" s="10"/>
      <c r="G477" s="10"/>
      <c r="H477" s="5" t="s">
        <v>17</v>
      </c>
      <c r="I477" s="5" t="s">
        <v>17</v>
      </c>
    </row>
    <row r="478" spans="1:9">
      <c r="A478" s="5" t="s">
        <v>30</v>
      </c>
      <c r="B478" s="10"/>
      <c r="C478" s="10"/>
      <c r="D478" s="10"/>
      <c r="E478" s="10"/>
      <c r="F478" s="10"/>
      <c r="G478" s="10">
        <v>-3.1939753999999998</v>
      </c>
      <c r="H478" s="5" t="s">
        <v>17</v>
      </c>
      <c r="I478" s="5" t="s">
        <v>17</v>
      </c>
    </row>
    <row r="479" spans="1:9">
      <c r="A479" s="5" t="s">
        <v>31</v>
      </c>
      <c r="B479" s="10"/>
      <c r="C479" s="10"/>
      <c r="D479" s="10"/>
      <c r="E479" s="10"/>
      <c r="F479" s="10"/>
      <c r="G479" s="10">
        <v>-2.9891361999999999</v>
      </c>
      <c r="H479" s="5" t="s">
        <v>17</v>
      </c>
      <c r="I479" s="5" t="s">
        <v>17</v>
      </c>
    </row>
    <row r="480" spans="1:9">
      <c r="A480" s="5" t="s">
        <v>32</v>
      </c>
      <c r="B480" s="10"/>
      <c r="C480" s="10"/>
      <c r="D480" s="10"/>
      <c r="E480" s="10"/>
      <c r="F480" s="10">
        <v>-2.1785648000000002</v>
      </c>
      <c r="G480" s="10">
        <v>-3.0329272999999999</v>
      </c>
      <c r="H480" s="5" t="s">
        <v>17</v>
      </c>
      <c r="I480" s="5" t="s">
        <v>17</v>
      </c>
    </row>
    <row r="481" spans="1:9">
      <c r="A481" s="5" t="s">
        <v>33</v>
      </c>
      <c r="B481" s="10"/>
      <c r="C481" s="10"/>
      <c r="D481" s="10"/>
      <c r="E481" s="10">
        <v>-3.5050013</v>
      </c>
      <c r="F481" s="10">
        <v>-4.9559040000000003</v>
      </c>
      <c r="G481" s="10">
        <v>-5.2011500000000002</v>
      </c>
      <c r="H481" s="5" t="s">
        <v>17</v>
      </c>
      <c r="I481" s="5" t="s">
        <v>17</v>
      </c>
    </row>
    <row r="482" spans="1:9">
      <c r="A482" s="5" t="s">
        <v>34</v>
      </c>
      <c r="B482" s="10"/>
      <c r="C482" s="10"/>
      <c r="D482" s="10">
        <v>2.0803737999999998</v>
      </c>
      <c r="E482" s="10"/>
      <c r="F482" s="10"/>
      <c r="G482" s="10"/>
      <c r="H482" s="5" t="s">
        <v>17</v>
      </c>
      <c r="I482" s="5" t="s">
        <v>17</v>
      </c>
    </row>
    <row r="483" spans="1:9">
      <c r="A483" s="5" t="s">
        <v>35</v>
      </c>
      <c r="B483" s="10"/>
      <c r="C483" s="10">
        <v>2.211265</v>
      </c>
      <c r="D483" s="10"/>
      <c r="E483" s="10"/>
      <c r="F483" s="10"/>
      <c r="G483" s="10"/>
      <c r="H483" s="5" t="s">
        <v>17</v>
      </c>
      <c r="I483" s="5" t="s">
        <v>17</v>
      </c>
    </row>
    <row r="484" spans="1:9">
      <c r="A484" s="5" t="s">
        <v>36</v>
      </c>
      <c r="B484" s="10"/>
      <c r="C484" s="10">
        <v>2.1371346</v>
      </c>
      <c r="D484" s="10"/>
      <c r="E484" s="10"/>
      <c r="F484" s="10"/>
      <c r="G484" s="10"/>
      <c r="H484" s="5" t="s">
        <v>17</v>
      </c>
      <c r="I484" s="5" t="s">
        <v>17</v>
      </c>
    </row>
    <row r="485" spans="1:9">
      <c r="A485" s="5" t="s">
        <v>37</v>
      </c>
      <c r="B485" s="10"/>
      <c r="C485" s="10"/>
      <c r="D485" s="10"/>
      <c r="E485" s="10"/>
      <c r="F485" s="10"/>
      <c r="G485" s="10"/>
      <c r="H485" s="5" t="s">
        <v>17</v>
      </c>
      <c r="I485" s="5" t="s">
        <v>17</v>
      </c>
    </row>
    <row r="486" spans="1:9">
      <c r="A486" s="5" t="s">
        <v>535</v>
      </c>
      <c r="B486" s="10">
        <v>2.6876167999999998</v>
      </c>
      <c r="C486" s="10">
        <v>3.6530231999999998</v>
      </c>
      <c r="D486" s="10">
        <v>3.0243316</v>
      </c>
      <c r="E486" s="10"/>
      <c r="F486" s="10"/>
      <c r="G486" s="10"/>
      <c r="H486" s="5" t="s">
        <v>17</v>
      </c>
      <c r="I486" s="5" t="s">
        <v>17</v>
      </c>
    </row>
    <row r="487" spans="1:9">
      <c r="A487" s="5" t="s">
        <v>38</v>
      </c>
      <c r="B487" s="10"/>
      <c r="C487" s="10"/>
      <c r="D487" s="10"/>
      <c r="E487" s="10"/>
      <c r="F487" s="10"/>
      <c r="G487" s="10"/>
      <c r="H487" s="5" t="s">
        <v>17</v>
      </c>
      <c r="I487" s="5" t="s">
        <v>17</v>
      </c>
    </row>
    <row r="488" spans="1:9">
      <c r="A488" s="5" t="s">
        <v>536</v>
      </c>
      <c r="B488" s="10">
        <v>2.1405829999999999</v>
      </c>
      <c r="C488" s="10">
        <v>2.2159767000000001</v>
      </c>
      <c r="D488" s="10">
        <v>3.3715600000000001</v>
      </c>
      <c r="E488" s="10"/>
      <c r="F488" s="10"/>
      <c r="G488" s="10"/>
      <c r="H488" s="5" t="s">
        <v>17</v>
      </c>
      <c r="I488" s="5" t="s">
        <v>17</v>
      </c>
    </row>
    <row r="489" spans="1:9">
      <c r="A489" s="5" t="s">
        <v>39</v>
      </c>
      <c r="B489" s="10"/>
      <c r="C489" s="10"/>
      <c r="D489" s="10"/>
      <c r="E489" s="10"/>
      <c r="F489" s="10"/>
      <c r="G489" s="10">
        <v>-2.2753296000000001</v>
      </c>
      <c r="H489" s="5" t="s">
        <v>17</v>
      </c>
      <c r="I489" s="5" t="s">
        <v>17</v>
      </c>
    </row>
    <row r="490" spans="1:9">
      <c r="A490" s="5" t="s">
        <v>40</v>
      </c>
      <c r="B490" s="10"/>
      <c r="C490" s="10"/>
      <c r="D490" s="10"/>
      <c r="E490" s="10"/>
      <c r="F490" s="10"/>
      <c r="G490" s="10">
        <v>-2.2449713</v>
      </c>
      <c r="H490" s="5" t="s">
        <v>17</v>
      </c>
      <c r="I490" s="5" t="s">
        <v>17</v>
      </c>
    </row>
    <row r="491" spans="1:9">
      <c r="A491" s="5" t="s">
        <v>41</v>
      </c>
      <c r="B491" s="10"/>
      <c r="C491" s="10"/>
      <c r="D491" s="10"/>
      <c r="E491" s="10"/>
      <c r="F491" s="10">
        <v>-2.3029145999999998</v>
      </c>
      <c r="G491" s="10"/>
      <c r="H491" s="5" t="s">
        <v>17</v>
      </c>
      <c r="I491" s="5" t="s">
        <v>17</v>
      </c>
    </row>
    <row r="492" spans="1:9">
      <c r="A492" s="5" t="s">
        <v>42</v>
      </c>
      <c r="B492" s="10"/>
      <c r="C492" s="10"/>
      <c r="D492" s="10"/>
      <c r="E492" s="10"/>
      <c r="F492" s="10"/>
      <c r="G492" s="10">
        <v>-2.9383707000000001</v>
      </c>
      <c r="H492" s="5" t="s">
        <v>17</v>
      </c>
      <c r="I492" s="5" t="s">
        <v>17</v>
      </c>
    </row>
    <row r="493" spans="1:9">
      <c r="A493" s="5" t="s">
        <v>43</v>
      </c>
      <c r="B493" s="10"/>
      <c r="C493" s="10"/>
      <c r="D493" s="10"/>
      <c r="E493" s="10"/>
      <c r="F493" s="10"/>
      <c r="G493" s="10">
        <v>-2.3392919999999999</v>
      </c>
      <c r="H493" s="5" t="s">
        <v>17</v>
      </c>
      <c r="I493" s="5" t="s">
        <v>17</v>
      </c>
    </row>
    <row r="494" spans="1:9">
      <c r="A494" s="5" t="s">
        <v>44</v>
      </c>
      <c r="B494" s="10"/>
      <c r="C494" s="10"/>
      <c r="D494" s="10">
        <v>2.2828965000000001</v>
      </c>
      <c r="E494" s="10"/>
      <c r="F494" s="10"/>
      <c r="G494" s="10"/>
      <c r="H494" s="5" t="s">
        <v>17</v>
      </c>
      <c r="I494" s="5" t="s">
        <v>17</v>
      </c>
    </row>
    <row r="495" spans="1:9">
      <c r="A495" s="5" t="s">
        <v>45</v>
      </c>
      <c r="B495" s="10"/>
      <c r="C495" s="10"/>
      <c r="D495" s="10"/>
      <c r="E495" s="10"/>
      <c r="F495" s="10"/>
      <c r="G495" s="10">
        <v>-2.0597699999999999</v>
      </c>
      <c r="H495" s="5" t="s">
        <v>17</v>
      </c>
      <c r="I495" s="5" t="s">
        <v>17</v>
      </c>
    </row>
    <row r="496" spans="1:9">
      <c r="A496" s="5" t="s">
        <v>46</v>
      </c>
      <c r="B496" s="10"/>
      <c r="C496" s="10"/>
      <c r="D496" s="10"/>
      <c r="E496" s="10"/>
      <c r="F496" s="10"/>
      <c r="G496" s="10">
        <v>-2.5295290000000001</v>
      </c>
      <c r="H496" s="5" t="s">
        <v>17</v>
      </c>
      <c r="I496" s="5" t="s">
        <v>17</v>
      </c>
    </row>
    <row r="497" spans="1:9">
      <c r="A497" s="5" t="s">
        <v>47</v>
      </c>
      <c r="B497" s="10"/>
      <c r="C497" s="10"/>
      <c r="D497" s="10"/>
      <c r="E497" s="10"/>
      <c r="F497" s="10"/>
      <c r="G497" s="10">
        <v>-2.8462138000000001</v>
      </c>
      <c r="H497" s="5" t="s">
        <v>17</v>
      </c>
      <c r="I497" s="5" t="s">
        <v>17</v>
      </c>
    </row>
    <row r="498" spans="1:9">
      <c r="A498" s="5" t="s">
        <v>48</v>
      </c>
      <c r="B498" s="10"/>
      <c r="C498" s="10"/>
      <c r="D498" s="10"/>
      <c r="E498" s="10"/>
      <c r="F498" s="10"/>
      <c r="G498" s="10"/>
      <c r="H498" s="5" t="s">
        <v>17</v>
      </c>
      <c r="I498" s="5" t="s">
        <v>17</v>
      </c>
    </row>
    <row r="499" spans="1:9">
      <c r="A499" s="5" t="s">
        <v>49</v>
      </c>
      <c r="B499" s="10"/>
      <c r="C499" s="10"/>
      <c r="D499" s="10"/>
      <c r="E499" s="10"/>
      <c r="F499" s="10"/>
      <c r="G499" s="10">
        <v>-2.1538954000000001</v>
      </c>
      <c r="H499" s="5" t="s">
        <v>17</v>
      </c>
      <c r="I499" s="5" t="s">
        <v>17</v>
      </c>
    </row>
    <row r="500" spans="1:9">
      <c r="A500" s="5" t="s">
        <v>50</v>
      </c>
      <c r="B500" s="10"/>
      <c r="C500" s="10"/>
      <c r="D500" s="10"/>
      <c r="E500" s="10"/>
      <c r="F500" s="10"/>
      <c r="G500" s="10">
        <v>-2.1695126999999998</v>
      </c>
      <c r="H500" s="5" t="s">
        <v>17</v>
      </c>
      <c r="I500" s="5" t="s">
        <v>17</v>
      </c>
    </row>
    <row r="501" spans="1:9">
      <c r="A501" s="5" t="s">
        <v>51</v>
      </c>
      <c r="B501" s="10"/>
      <c r="C501" s="10"/>
      <c r="D501" s="10"/>
      <c r="E501" s="10">
        <v>-3.0513224999999999</v>
      </c>
      <c r="F501" s="10">
        <v>-2.7482772</v>
      </c>
      <c r="G501" s="10">
        <v>-4.7684879999999996</v>
      </c>
      <c r="H501" s="5" t="s">
        <v>17</v>
      </c>
      <c r="I501" s="5" t="s">
        <v>17</v>
      </c>
    </row>
    <row r="502" spans="1:9">
      <c r="A502" s="5" t="s">
        <v>52</v>
      </c>
      <c r="B502" s="10"/>
      <c r="C502" s="10"/>
      <c r="D502" s="10"/>
      <c r="E502" s="10"/>
      <c r="F502" s="10"/>
      <c r="G502" s="10"/>
      <c r="H502" s="5" t="s">
        <v>17</v>
      </c>
      <c r="I502" s="5" t="s">
        <v>17</v>
      </c>
    </row>
    <row r="503" spans="1:9">
      <c r="A503" s="5" t="s">
        <v>53</v>
      </c>
      <c r="B503" s="10">
        <v>2.2191386</v>
      </c>
      <c r="C503" s="10">
        <v>3.2074322999999998</v>
      </c>
      <c r="D503" s="10"/>
      <c r="E503" s="10"/>
      <c r="F503" s="10"/>
      <c r="G503" s="10"/>
      <c r="H503" s="5" t="s">
        <v>17</v>
      </c>
      <c r="I503" s="5" t="s">
        <v>17</v>
      </c>
    </row>
    <row r="504" spans="1:9">
      <c r="A504" s="5" t="s">
        <v>54</v>
      </c>
      <c r="B504" s="10"/>
      <c r="C504" s="10">
        <v>2.4288158000000002</v>
      </c>
      <c r="D504" s="10"/>
      <c r="E504" s="10"/>
      <c r="F504" s="10"/>
      <c r="G504" s="10"/>
      <c r="H504" s="5" t="s">
        <v>17</v>
      </c>
      <c r="I504" s="5" t="s">
        <v>17</v>
      </c>
    </row>
    <row r="505" spans="1:9">
      <c r="A505" s="5" t="s">
        <v>55</v>
      </c>
      <c r="B505" s="10"/>
      <c r="C505" s="10"/>
      <c r="D505" s="10"/>
      <c r="E505" s="10"/>
      <c r="F505" s="10"/>
      <c r="G505" s="10"/>
      <c r="H505" s="5" t="s">
        <v>17</v>
      </c>
      <c r="I505" s="5" t="s">
        <v>17</v>
      </c>
    </row>
    <row r="506" spans="1:9">
      <c r="A506" s="5" t="s">
        <v>56</v>
      </c>
      <c r="B506" s="10"/>
      <c r="C506" s="10"/>
      <c r="D506" s="10"/>
      <c r="E506" s="10"/>
      <c r="F506" s="10"/>
      <c r="G506" s="10">
        <v>-2.0099216000000002</v>
      </c>
      <c r="H506" s="5" t="s">
        <v>17</v>
      </c>
      <c r="I506" s="5" t="s">
        <v>17</v>
      </c>
    </row>
    <row r="507" spans="1:9">
      <c r="A507" s="5" t="s">
        <v>57</v>
      </c>
      <c r="B507" s="10"/>
      <c r="C507" s="10"/>
      <c r="D507" s="10">
        <v>2.8257246</v>
      </c>
      <c r="E507" s="10"/>
      <c r="F507" s="10"/>
      <c r="G507" s="10"/>
      <c r="H507" s="5" t="s">
        <v>17</v>
      </c>
      <c r="I507" s="5" t="s">
        <v>17</v>
      </c>
    </row>
    <row r="508" spans="1:9">
      <c r="A508" s="5" t="s">
        <v>58</v>
      </c>
      <c r="B508" s="10"/>
      <c r="C508" s="10"/>
      <c r="D508" s="10"/>
      <c r="E508" s="10">
        <v>-4.4889510000000001</v>
      </c>
      <c r="F508" s="10">
        <v>-4.2390274999999997</v>
      </c>
      <c r="G508" s="10">
        <v>-3.6890263999999999</v>
      </c>
      <c r="H508" s="5" t="s">
        <v>17</v>
      </c>
      <c r="I508" s="5" t="s">
        <v>17</v>
      </c>
    </row>
    <row r="509" spans="1:9">
      <c r="A509" s="5" t="s">
        <v>59</v>
      </c>
      <c r="B509" s="10"/>
      <c r="C509" s="10"/>
      <c r="D509" s="10"/>
      <c r="E509" s="10"/>
      <c r="F509" s="10"/>
      <c r="G509" s="10"/>
      <c r="H509" s="5" t="s">
        <v>17</v>
      </c>
      <c r="I509" s="5" t="s">
        <v>17</v>
      </c>
    </row>
    <row r="510" spans="1:9">
      <c r="A510" s="5" t="s">
        <v>60</v>
      </c>
      <c r="B510" s="10"/>
      <c r="C510" s="10"/>
      <c r="D510" s="10"/>
      <c r="E510" s="10"/>
      <c r="F510" s="10"/>
      <c r="G510" s="10">
        <v>-2.0214496</v>
      </c>
      <c r="H510" s="5" t="s">
        <v>17</v>
      </c>
      <c r="I510" s="5" t="s">
        <v>17</v>
      </c>
    </row>
    <row r="511" spans="1:9">
      <c r="A511" s="5" t="s">
        <v>61</v>
      </c>
      <c r="B511" s="10"/>
      <c r="C511" s="10"/>
      <c r="D511" s="10"/>
      <c r="E511" s="10"/>
      <c r="F511" s="10"/>
      <c r="G511" s="10">
        <v>-3.0204477000000001</v>
      </c>
      <c r="H511" s="5" t="s">
        <v>17</v>
      </c>
      <c r="I511" s="5" t="s">
        <v>17</v>
      </c>
    </row>
    <row r="512" spans="1:9">
      <c r="A512" s="5" t="s">
        <v>62</v>
      </c>
      <c r="B512" s="10"/>
      <c r="C512" s="10"/>
      <c r="D512" s="10"/>
      <c r="E512" s="10"/>
      <c r="F512" s="10">
        <v>-2.2421079000000002</v>
      </c>
      <c r="G512" s="10">
        <v>-3.7958322</v>
      </c>
      <c r="H512" s="5" t="s">
        <v>17</v>
      </c>
      <c r="I512" s="5" t="s">
        <v>17</v>
      </c>
    </row>
    <row r="513" spans="1:9">
      <c r="A513" s="5" t="s">
        <v>63</v>
      </c>
      <c r="B513" s="10"/>
      <c r="C513" s="10"/>
      <c r="D513" s="10"/>
      <c r="E513" s="10">
        <v>-2.0078273000000002</v>
      </c>
      <c r="F513" s="10">
        <v>-2.3507294999999999</v>
      </c>
      <c r="G513" s="10">
        <v>-2.9476390000000001</v>
      </c>
      <c r="H513" s="5" t="s">
        <v>17</v>
      </c>
      <c r="I513" s="5" t="s">
        <v>17</v>
      </c>
    </row>
    <row r="514" spans="1:9">
      <c r="A514" s="5" t="s">
        <v>64</v>
      </c>
      <c r="B514" s="10"/>
      <c r="C514" s="10"/>
      <c r="D514" s="10"/>
      <c r="E514" s="10"/>
      <c r="F514" s="10"/>
      <c r="G514" s="10">
        <v>-2.7847160999999998</v>
      </c>
      <c r="H514" s="5" t="s">
        <v>17</v>
      </c>
      <c r="I514" s="5" t="s">
        <v>17</v>
      </c>
    </row>
    <row r="515" spans="1:9">
      <c r="A515" s="5" t="s">
        <v>65</v>
      </c>
      <c r="B515" s="10"/>
      <c r="C515" s="10"/>
      <c r="D515" s="10"/>
      <c r="E515" s="10"/>
      <c r="F515" s="10"/>
      <c r="G515" s="10">
        <v>-2.3550520000000001</v>
      </c>
      <c r="H515" s="5" t="s">
        <v>17</v>
      </c>
      <c r="I515" s="5" t="s">
        <v>17</v>
      </c>
    </row>
    <row r="516" spans="1:9">
      <c r="A516" s="5" t="s">
        <v>66</v>
      </c>
      <c r="B516" s="10"/>
      <c r="C516" s="10"/>
      <c r="D516" s="10">
        <v>2.6045356000000002</v>
      </c>
      <c r="E516" s="10"/>
      <c r="F516" s="10"/>
      <c r="G516" s="10"/>
      <c r="H516" s="5" t="s">
        <v>17</v>
      </c>
      <c r="I516" s="5" t="s">
        <v>17</v>
      </c>
    </row>
    <row r="517" spans="1:9">
      <c r="A517" s="5" t="s">
        <v>67</v>
      </c>
      <c r="B517" s="10"/>
      <c r="C517" s="10"/>
      <c r="D517" s="10"/>
      <c r="E517" s="10"/>
      <c r="F517" s="10"/>
      <c r="G517" s="10">
        <v>-2.4553479999999999</v>
      </c>
      <c r="H517" s="5" t="s">
        <v>17</v>
      </c>
      <c r="I517" s="5" t="s">
        <v>17</v>
      </c>
    </row>
    <row r="518" spans="1:9">
      <c r="A518" s="5" t="s">
        <v>68</v>
      </c>
      <c r="B518" s="10"/>
      <c r="C518" s="10"/>
      <c r="D518" s="10"/>
      <c r="E518" s="10"/>
      <c r="F518" s="10"/>
      <c r="G518" s="10">
        <v>-2.4408949999999998</v>
      </c>
      <c r="H518" s="5" t="s">
        <v>17</v>
      </c>
      <c r="I518" s="5" t="s">
        <v>17</v>
      </c>
    </row>
    <row r="519" spans="1:9">
      <c r="A519" s="5" t="s">
        <v>69</v>
      </c>
      <c r="B519" s="10"/>
      <c r="C519" s="10"/>
      <c r="D519" s="10">
        <v>3.177238</v>
      </c>
      <c r="E519" s="10"/>
      <c r="F519" s="10"/>
      <c r="G519" s="10"/>
      <c r="H519" s="5" t="s">
        <v>17</v>
      </c>
      <c r="I519" s="5" t="s">
        <v>17</v>
      </c>
    </row>
    <row r="520" spans="1:9">
      <c r="A520" s="5" t="s">
        <v>70</v>
      </c>
      <c r="B520" s="10"/>
      <c r="C520" s="10"/>
      <c r="D520" s="10"/>
      <c r="E520" s="10"/>
      <c r="F520" s="10"/>
      <c r="G520" s="10">
        <v>-2.3904640000000001</v>
      </c>
      <c r="H520" s="5" t="s">
        <v>17</v>
      </c>
      <c r="I520" s="5" t="s">
        <v>17</v>
      </c>
    </row>
    <row r="521" spans="1:9">
      <c r="A521" s="5" t="s">
        <v>71</v>
      </c>
      <c r="B521" s="10"/>
      <c r="C521" s="10"/>
      <c r="D521" s="10"/>
      <c r="E521" s="10">
        <v>-2.0879802999999999</v>
      </c>
      <c r="F521" s="10">
        <v>-2.2531853000000002</v>
      </c>
      <c r="G521" s="10">
        <v>-2.2331585999999999</v>
      </c>
      <c r="H521" s="5" t="s">
        <v>17</v>
      </c>
      <c r="I521" s="5" t="s">
        <v>17</v>
      </c>
    </row>
    <row r="522" spans="1:9">
      <c r="A522" s="5" t="s">
        <v>72</v>
      </c>
      <c r="B522" s="10"/>
      <c r="C522" s="10">
        <v>2.3520856000000001</v>
      </c>
      <c r="D522" s="10">
        <v>2.0698327999999999</v>
      </c>
      <c r="E522" s="10"/>
      <c r="F522" s="10"/>
      <c r="G522" s="10"/>
      <c r="H522" s="5" t="s">
        <v>17</v>
      </c>
      <c r="I522" s="5" t="s">
        <v>17</v>
      </c>
    </row>
    <row r="523" spans="1:9">
      <c r="A523" s="5" t="s">
        <v>73</v>
      </c>
      <c r="B523" s="10"/>
      <c r="C523" s="10"/>
      <c r="D523" s="10"/>
      <c r="E523" s="10"/>
      <c r="F523" s="10">
        <v>-2.7406093999999999</v>
      </c>
      <c r="G523" s="10">
        <v>-3.8026844999999998</v>
      </c>
      <c r="H523" s="5" t="s">
        <v>17</v>
      </c>
      <c r="I523" s="5" t="s">
        <v>17</v>
      </c>
    </row>
    <row r="524" spans="1:9">
      <c r="A524" s="5" t="s">
        <v>74</v>
      </c>
      <c r="B524" s="10"/>
      <c r="C524" s="10"/>
      <c r="D524" s="10"/>
      <c r="E524" s="10">
        <v>-3.7670908000000001</v>
      </c>
      <c r="F524" s="10">
        <v>-4.6010280000000003</v>
      </c>
      <c r="G524" s="10">
        <v>-5.7180439999999999</v>
      </c>
      <c r="H524" s="5" t="s">
        <v>17</v>
      </c>
      <c r="I524" s="5" t="s">
        <v>17</v>
      </c>
    </row>
    <row r="525" spans="1:9">
      <c r="A525" s="5" t="s">
        <v>75</v>
      </c>
      <c r="B525" s="10"/>
      <c r="C525" s="10"/>
      <c r="D525" s="10"/>
      <c r="E525" s="10"/>
      <c r="F525" s="10"/>
      <c r="G525" s="10">
        <v>-2.0431232000000001</v>
      </c>
      <c r="H525" s="5" t="s">
        <v>17</v>
      </c>
      <c r="I525" s="5" t="s">
        <v>17</v>
      </c>
    </row>
    <row r="526" spans="1:9">
      <c r="A526" s="5" t="s">
        <v>76</v>
      </c>
      <c r="B526" s="10"/>
      <c r="C526" s="10"/>
      <c r="D526" s="10"/>
      <c r="E526" s="10"/>
      <c r="F526" s="10"/>
      <c r="G526" s="10">
        <v>-2.8819346000000001</v>
      </c>
      <c r="H526" s="5" t="s">
        <v>17</v>
      </c>
      <c r="I526" s="5" t="s">
        <v>17</v>
      </c>
    </row>
    <row r="527" spans="1:9">
      <c r="A527" s="5" t="s">
        <v>77</v>
      </c>
      <c r="B527" s="10"/>
      <c r="C527" s="10"/>
      <c r="D527" s="10">
        <v>2.2634897</v>
      </c>
      <c r="E527" s="10"/>
      <c r="F527" s="10"/>
      <c r="G527" s="10"/>
      <c r="H527" s="5" t="s">
        <v>17</v>
      </c>
      <c r="I527" s="5" t="s">
        <v>17</v>
      </c>
    </row>
    <row r="528" spans="1:9">
      <c r="A528" s="5" t="s">
        <v>78</v>
      </c>
      <c r="B528" s="10"/>
      <c r="C528" s="10"/>
      <c r="D528" s="10"/>
      <c r="E528" s="10"/>
      <c r="F528" s="10"/>
      <c r="G528" s="10">
        <v>-2.0568135000000001</v>
      </c>
      <c r="H528" s="5" t="s">
        <v>17</v>
      </c>
      <c r="I528" s="5" t="s">
        <v>17</v>
      </c>
    </row>
    <row r="529" spans="1:9">
      <c r="A529" s="5" t="s">
        <v>79</v>
      </c>
      <c r="B529" s="10"/>
      <c r="C529" s="10"/>
      <c r="D529" s="10"/>
      <c r="E529" s="10"/>
      <c r="F529" s="10">
        <v>-2.0189328</v>
      </c>
      <c r="G529" s="10">
        <v>-2.8170524000000001</v>
      </c>
      <c r="H529" s="5" t="s">
        <v>17</v>
      </c>
      <c r="I529" s="5" t="s">
        <v>17</v>
      </c>
    </row>
    <row r="530" spans="1:9">
      <c r="A530" s="5" t="s">
        <v>80</v>
      </c>
      <c r="B530" s="10"/>
      <c r="C530" s="10"/>
      <c r="D530" s="10"/>
      <c r="E530" s="10"/>
      <c r="F530" s="10"/>
      <c r="G530" s="10">
        <v>-2.6517681999999998</v>
      </c>
      <c r="H530" s="5" t="s">
        <v>17</v>
      </c>
      <c r="I530" s="5" t="s">
        <v>17</v>
      </c>
    </row>
    <row r="531" spans="1:9">
      <c r="A531" s="5" t="s">
        <v>81</v>
      </c>
      <c r="B531" s="10"/>
      <c r="C531" s="10">
        <v>2.2655854</v>
      </c>
      <c r="D531" s="10"/>
      <c r="E531" s="10"/>
      <c r="F531" s="10"/>
      <c r="G531" s="10"/>
      <c r="H531" s="5" t="s">
        <v>17</v>
      </c>
      <c r="I531" s="5" t="s">
        <v>17</v>
      </c>
    </row>
    <row r="532" spans="1:9">
      <c r="A532" s="5" t="s">
        <v>82</v>
      </c>
      <c r="B532" s="10"/>
      <c r="C532" s="10"/>
      <c r="D532" s="10"/>
      <c r="E532" s="10">
        <v>-2.860671</v>
      </c>
      <c r="F532" s="10">
        <v>-2.6625565999999998</v>
      </c>
      <c r="G532" s="10">
        <v>-3.9506884000000002</v>
      </c>
      <c r="H532" s="5" t="s">
        <v>17</v>
      </c>
      <c r="I532" s="5" t="s">
        <v>17</v>
      </c>
    </row>
    <row r="533" spans="1:9">
      <c r="A533" s="5" t="s">
        <v>83</v>
      </c>
      <c r="B533" s="10"/>
      <c r="C533" s="10"/>
      <c r="D533" s="10"/>
      <c r="E533" s="10"/>
      <c r="F533" s="10"/>
      <c r="G533" s="10">
        <v>-2.8391232</v>
      </c>
      <c r="H533" s="5" t="s">
        <v>17</v>
      </c>
      <c r="I533" s="5" t="s">
        <v>17</v>
      </c>
    </row>
    <row r="534" spans="1:9">
      <c r="A534" s="5" t="s">
        <v>84</v>
      </c>
      <c r="B534" s="10"/>
      <c r="C534" s="10"/>
      <c r="D534" s="10">
        <v>2.1306539</v>
      </c>
      <c r="E534" s="10"/>
      <c r="F534" s="10"/>
      <c r="G534" s="10"/>
      <c r="H534" s="5" t="s">
        <v>17</v>
      </c>
      <c r="I534" s="5" t="s">
        <v>17</v>
      </c>
    </row>
    <row r="535" spans="1:9">
      <c r="A535" s="5" t="s">
        <v>85</v>
      </c>
      <c r="B535" s="10"/>
      <c r="C535" s="10"/>
      <c r="D535" s="10"/>
      <c r="E535" s="10"/>
      <c r="F535" s="10"/>
      <c r="G535" s="10">
        <v>-3.1091008000000002</v>
      </c>
      <c r="H535" s="5" t="s">
        <v>17</v>
      </c>
      <c r="I535" s="5" t="s">
        <v>17</v>
      </c>
    </row>
    <row r="536" spans="1:9">
      <c r="A536" s="5" t="s">
        <v>86</v>
      </c>
      <c r="B536" s="10"/>
      <c r="C536" s="10"/>
      <c r="D536" s="10"/>
      <c r="E536" s="10"/>
      <c r="F536" s="10"/>
      <c r="G536" s="10">
        <v>-2.7176300000000002</v>
      </c>
      <c r="H536" s="5" t="s">
        <v>17</v>
      </c>
      <c r="I536" s="5" t="s">
        <v>17</v>
      </c>
    </row>
    <row r="537" spans="1:9">
      <c r="A537" s="5" t="s">
        <v>87</v>
      </c>
      <c r="B537" s="10"/>
      <c r="C537" s="10"/>
      <c r="D537" s="10"/>
      <c r="E537" s="10"/>
      <c r="F537" s="10"/>
      <c r="G537" s="10">
        <v>-2.3256635999999999</v>
      </c>
      <c r="H537" s="5" t="s">
        <v>17</v>
      </c>
      <c r="I537" s="5" t="s">
        <v>17</v>
      </c>
    </row>
    <row r="538" spans="1:9">
      <c r="A538" s="5" t="s">
        <v>88</v>
      </c>
      <c r="B538" s="10"/>
      <c r="C538" s="10"/>
      <c r="D538" s="10"/>
      <c r="E538" s="10"/>
      <c r="F538" s="10"/>
      <c r="G538" s="10">
        <v>-2.1390780999999999</v>
      </c>
      <c r="H538" s="5" t="s">
        <v>17</v>
      </c>
      <c r="I538" s="5" t="s">
        <v>17</v>
      </c>
    </row>
    <row r="539" spans="1:9">
      <c r="A539" s="5" t="s">
        <v>89</v>
      </c>
      <c r="B539" s="10"/>
      <c r="C539" s="10"/>
      <c r="D539" s="10"/>
      <c r="E539" s="10">
        <v>-2.6467627999999999</v>
      </c>
      <c r="F539" s="10">
        <v>-2.6729383000000002</v>
      </c>
      <c r="G539" s="10"/>
      <c r="H539" s="5" t="s">
        <v>17</v>
      </c>
      <c r="I539" s="5" t="s">
        <v>17</v>
      </c>
    </row>
    <row r="540" spans="1:9">
      <c r="A540" s="5" t="s">
        <v>90</v>
      </c>
      <c r="B540" s="10"/>
      <c r="C540" s="10"/>
      <c r="D540" s="10"/>
      <c r="E540" s="10"/>
      <c r="F540" s="10"/>
      <c r="G540" s="10">
        <v>-2.3777952</v>
      </c>
      <c r="H540" s="5" t="s">
        <v>17</v>
      </c>
      <c r="I540" s="5" t="s">
        <v>17</v>
      </c>
    </row>
    <row r="541" spans="1:9">
      <c r="A541" s="5" t="s">
        <v>91</v>
      </c>
      <c r="B541" s="10"/>
      <c r="C541" s="10"/>
      <c r="D541" s="10"/>
      <c r="E541" s="10"/>
      <c r="F541" s="10"/>
      <c r="G541" s="10">
        <v>-2.0200629999999999</v>
      </c>
      <c r="H541" s="5" t="s">
        <v>17</v>
      </c>
      <c r="I541" s="5" t="s">
        <v>17</v>
      </c>
    </row>
    <row r="542" spans="1:9">
      <c r="A542" s="5" t="s">
        <v>92</v>
      </c>
      <c r="B542" s="10"/>
      <c r="C542" s="10"/>
      <c r="D542" s="10"/>
      <c r="E542" s="10"/>
      <c r="F542" s="10"/>
      <c r="G542" s="10"/>
      <c r="H542" s="5" t="s">
        <v>17</v>
      </c>
      <c r="I542" s="5" t="s">
        <v>17</v>
      </c>
    </row>
    <row r="543" spans="1:9">
      <c r="A543" s="5" t="s">
        <v>93</v>
      </c>
      <c r="B543" s="10"/>
      <c r="C543" s="10"/>
      <c r="D543" s="10">
        <v>2.0812460000000002</v>
      </c>
      <c r="E543" s="10"/>
      <c r="F543" s="10"/>
      <c r="G543" s="10"/>
      <c r="H543" s="5" t="s">
        <v>17</v>
      </c>
      <c r="I543" s="5" t="s">
        <v>17</v>
      </c>
    </row>
    <row r="544" spans="1:9">
      <c r="A544" s="5" t="s">
        <v>94</v>
      </c>
      <c r="B544" s="10"/>
      <c r="C544" s="10"/>
      <c r="D544" s="10"/>
      <c r="E544" s="10"/>
      <c r="F544" s="10"/>
      <c r="G544" s="10">
        <v>-2.0134764000000001</v>
      </c>
      <c r="H544" s="5" t="s">
        <v>17</v>
      </c>
      <c r="I544" s="5" t="s">
        <v>17</v>
      </c>
    </row>
    <row r="545" spans="1:9">
      <c r="A545" s="5" t="s">
        <v>95</v>
      </c>
      <c r="B545" s="10"/>
      <c r="C545" s="10"/>
      <c r="D545" s="10">
        <v>2.2507671999999999</v>
      </c>
      <c r="E545" s="10"/>
      <c r="F545" s="10"/>
      <c r="G545" s="10"/>
      <c r="H545" s="5" t="s">
        <v>17</v>
      </c>
      <c r="I545" s="5" t="s">
        <v>17</v>
      </c>
    </row>
    <row r="546" spans="1:9">
      <c r="A546" s="5" t="s">
        <v>96</v>
      </c>
      <c r="B546" s="10"/>
      <c r="C546" s="10"/>
      <c r="D546" s="10"/>
      <c r="E546" s="10"/>
      <c r="F546" s="10"/>
      <c r="G546" s="10">
        <v>-4.1808079999999999</v>
      </c>
      <c r="H546" s="5" t="s">
        <v>17</v>
      </c>
      <c r="I546" s="5" t="s">
        <v>97</v>
      </c>
    </row>
    <row r="547" spans="1:9">
      <c r="A547" s="5" t="s">
        <v>98</v>
      </c>
      <c r="B547" s="10"/>
      <c r="C547" s="10"/>
      <c r="D547" s="10"/>
      <c r="E547" s="10"/>
      <c r="F547" s="10"/>
      <c r="G547" s="10">
        <v>-2.6671404999999999</v>
      </c>
      <c r="H547" s="5" t="s">
        <v>17</v>
      </c>
      <c r="I547" s="5" t="s">
        <v>17</v>
      </c>
    </row>
    <row r="548" spans="1:9">
      <c r="A548" s="5" t="s">
        <v>99</v>
      </c>
      <c r="B548" s="10"/>
      <c r="C548" s="10"/>
      <c r="D548" s="10"/>
      <c r="E548" s="10"/>
      <c r="F548" s="10">
        <v>-2.4595243999999998</v>
      </c>
      <c r="G548" s="10">
        <v>-3.2015307000000002</v>
      </c>
      <c r="H548" s="5" t="s">
        <v>17</v>
      </c>
      <c r="I548" s="5" t="s">
        <v>17</v>
      </c>
    </row>
    <row r="549" spans="1:9">
      <c r="A549" s="5" t="s">
        <v>100</v>
      </c>
      <c r="B549" s="10"/>
      <c r="C549" s="10"/>
      <c r="D549" s="10"/>
      <c r="E549" s="10"/>
      <c r="F549" s="10"/>
      <c r="G549" s="10">
        <v>-3.2377967999999999</v>
      </c>
      <c r="H549" s="5" t="s">
        <v>17</v>
      </c>
      <c r="I549" s="5" t="s">
        <v>17</v>
      </c>
    </row>
    <row r="550" spans="1:9">
      <c r="A550" s="5" t="s">
        <v>101</v>
      </c>
      <c r="B550" s="10"/>
      <c r="C550" s="10"/>
      <c r="D550" s="10"/>
      <c r="E550" s="10">
        <v>-3.5951767000000001</v>
      </c>
      <c r="F550" s="10">
        <v>-3.9498289999999998</v>
      </c>
      <c r="G550" s="10"/>
      <c r="H550" s="5" t="s">
        <v>17</v>
      </c>
      <c r="I550" s="5" t="s">
        <v>17</v>
      </c>
    </row>
    <row r="551" spans="1:9">
      <c r="A551" s="5" t="s">
        <v>102</v>
      </c>
      <c r="B551" s="10"/>
      <c r="C551" s="10"/>
      <c r="D551" s="10"/>
      <c r="E551" s="10"/>
      <c r="F551" s="10"/>
      <c r="G551" s="10"/>
      <c r="H551" s="5" t="s">
        <v>17</v>
      </c>
      <c r="I551" s="5" t="s">
        <v>17</v>
      </c>
    </row>
    <row r="552" spans="1:9">
      <c r="A552" s="5" t="s">
        <v>103</v>
      </c>
      <c r="B552" s="10"/>
      <c r="C552" s="10"/>
      <c r="D552" s="10"/>
      <c r="E552" s="10">
        <v>-2.1886907</v>
      </c>
      <c r="F552" s="10">
        <v>-2.5833620000000002</v>
      </c>
      <c r="G552" s="10">
        <v>-2.178318</v>
      </c>
      <c r="H552" s="5" t="s">
        <v>17</v>
      </c>
      <c r="I552" s="5" t="s">
        <v>17</v>
      </c>
    </row>
    <row r="553" spans="1:9">
      <c r="A553" s="5" t="s">
        <v>104</v>
      </c>
      <c r="B553" s="10"/>
      <c r="C553" s="10"/>
      <c r="D553" s="10"/>
      <c r="E553" s="10"/>
      <c r="F553" s="10"/>
      <c r="G553" s="10">
        <v>-3.1539328000000002</v>
      </c>
      <c r="H553" s="5" t="s">
        <v>17</v>
      </c>
      <c r="I553" s="5" t="s">
        <v>17</v>
      </c>
    </row>
    <row r="554" spans="1:9">
      <c r="A554" s="5" t="s">
        <v>105</v>
      </c>
      <c r="B554" s="10"/>
      <c r="C554" s="10"/>
      <c r="D554" s="10"/>
      <c r="E554" s="10"/>
      <c r="F554" s="10"/>
      <c r="G554" s="10"/>
      <c r="H554" s="5" t="s">
        <v>17</v>
      </c>
      <c r="I554" s="5" t="s">
        <v>17</v>
      </c>
    </row>
    <row r="555" spans="1:9">
      <c r="A555" s="5" t="s">
        <v>106</v>
      </c>
      <c r="B555" s="10"/>
      <c r="C555" s="10"/>
      <c r="D555" s="10"/>
      <c r="E555" s="10"/>
      <c r="F555" s="10"/>
      <c r="G555" s="10">
        <v>-2.3418611999999999</v>
      </c>
      <c r="H555" s="5" t="s">
        <v>17</v>
      </c>
      <c r="I555" s="5" t="s">
        <v>17</v>
      </c>
    </row>
    <row r="556" spans="1:9">
      <c r="A556" s="5" t="s">
        <v>107</v>
      </c>
      <c r="B556" s="10"/>
      <c r="C556" s="10"/>
      <c r="D556" s="10"/>
      <c r="E556" s="10"/>
      <c r="F556" s="10">
        <v>-2.2542968000000001</v>
      </c>
      <c r="G556" s="10"/>
      <c r="H556" s="5" t="s">
        <v>17</v>
      </c>
      <c r="I556" s="5" t="s">
        <v>17</v>
      </c>
    </row>
    <row r="557" spans="1:9">
      <c r="A557" s="5" t="s">
        <v>108</v>
      </c>
      <c r="B557" s="10"/>
      <c r="C557" s="10"/>
      <c r="D557" s="10"/>
      <c r="E557" s="10"/>
      <c r="F557" s="10">
        <v>-2.1448849999999999</v>
      </c>
      <c r="G557" s="10">
        <v>-3.0864916</v>
      </c>
      <c r="H557" s="5" t="s">
        <v>17</v>
      </c>
      <c r="I557" s="5" t="s">
        <v>17</v>
      </c>
    </row>
    <row r="558" spans="1:9">
      <c r="A558" s="5" t="s">
        <v>517</v>
      </c>
      <c r="B558" s="10"/>
      <c r="C558" s="10"/>
      <c r="D558" s="10"/>
      <c r="E558" s="10"/>
      <c r="F558" s="10"/>
      <c r="G558" s="10">
        <v>-2.0054202000000001</v>
      </c>
      <c r="H558" s="5" t="s">
        <v>17</v>
      </c>
      <c r="I558" s="5" t="s">
        <v>17</v>
      </c>
    </row>
    <row r="559" spans="1:9">
      <c r="A559" s="5" t="s">
        <v>109</v>
      </c>
      <c r="B559" s="10"/>
      <c r="C559" s="10"/>
      <c r="D559" s="10"/>
      <c r="E559" s="10"/>
      <c r="F559" s="10"/>
      <c r="G559" s="10">
        <v>-2.1717900999999999</v>
      </c>
      <c r="H559" s="5" t="s">
        <v>17</v>
      </c>
      <c r="I559" s="5" t="s">
        <v>17</v>
      </c>
    </row>
    <row r="560" spans="1:9">
      <c r="A560" s="5" t="s">
        <v>110</v>
      </c>
      <c r="B560" s="10"/>
      <c r="C560" s="10">
        <v>2.3346733999999998</v>
      </c>
      <c r="D560" s="10"/>
      <c r="E560" s="10"/>
      <c r="F560" s="10"/>
      <c r="G560" s="10"/>
      <c r="H560" s="5" t="s">
        <v>17</v>
      </c>
      <c r="I560" s="5" t="s">
        <v>17</v>
      </c>
    </row>
    <row r="561" spans="1:9">
      <c r="A561" s="5" t="s">
        <v>111</v>
      </c>
      <c r="B561" s="10"/>
      <c r="C561" s="10"/>
      <c r="D561" s="10"/>
      <c r="E561" s="10"/>
      <c r="F561" s="10"/>
      <c r="G561" s="10">
        <v>-2.0046206</v>
      </c>
      <c r="H561" s="5" t="s">
        <v>17</v>
      </c>
      <c r="I561" s="5" t="s">
        <v>17</v>
      </c>
    </row>
    <row r="562" spans="1:9">
      <c r="A562" s="5" t="s">
        <v>112</v>
      </c>
      <c r="B562" s="10"/>
      <c r="C562" s="10"/>
      <c r="D562" s="10"/>
      <c r="E562" s="10"/>
      <c r="F562" s="10"/>
      <c r="G562" s="10">
        <v>-2.4747957999999999</v>
      </c>
      <c r="H562" s="5" t="s">
        <v>17</v>
      </c>
      <c r="I562" s="5" t="s">
        <v>17</v>
      </c>
    </row>
    <row r="563" spans="1:9">
      <c r="A563" s="5" t="s">
        <v>113</v>
      </c>
      <c r="B563" s="10"/>
      <c r="C563" s="10"/>
      <c r="D563" s="10"/>
      <c r="E563" s="10"/>
      <c r="F563" s="10"/>
      <c r="G563" s="10">
        <v>-2.4583560000000002</v>
      </c>
      <c r="H563" s="5" t="s">
        <v>17</v>
      </c>
      <c r="I563" s="5" t="s">
        <v>17</v>
      </c>
    </row>
    <row r="564" spans="1:9">
      <c r="A564" s="5" t="s">
        <v>114</v>
      </c>
      <c r="B564" s="10"/>
      <c r="C564" s="10"/>
      <c r="D564" s="10"/>
      <c r="E564" s="10"/>
      <c r="F564" s="10"/>
      <c r="G564" s="10">
        <v>-2.4174050999999999</v>
      </c>
      <c r="H564" s="5" t="s">
        <v>17</v>
      </c>
      <c r="I564" s="5" t="s">
        <v>17</v>
      </c>
    </row>
    <row r="565" spans="1:9">
      <c r="A565" s="5" t="s">
        <v>115</v>
      </c>
      <c r="B565" s="10"/>
      <c r="C565" s="10"/>
      <c r="D565" s="10"/>
      <c r="E565" s="10"/>
      <c r="F565" s="10"/>
      <c r="G565" s="10"/>
      <c r="H565" s="5" t="s">
        <v>17</v>
      </c>
      <c r="I565" s="5" t="s">
        <v>17</v>
      </c>
    </row>
    <row r="566" spans="1:9">
      <c r="A566" s="5" t="s">
        <v>116</v>
      </c>
      <c r="B566" s="10"/>
      <c r="C566" s="10"/>
      <c r="D566" s="10"/>
      <c r="E566" s="10"/>
      <c r="F566" s="10"/>
      <c r="G566" s="10">
        <v>-2.5263247</v>
      </c>
      <c r="H566" s="5" t="s">
        <v>17</v>
      </c>
      <c r="I566" s="5" t="s">
        <v>17</v>
      </c>
    </row>
    <row r="567" spans="1:9">
      <c r="A567" s="5" t="s">
        <v>117</v>
      </c>
      <c r="B567" s="10"/>
      <c r="C567" s="10"/>
      <c r="D567" s="10"/>
      <c r="E567" s="10"/>
      <c r="F567" s="10"/>
      <c r="G567" s="10">
        <v>-2.3589791999999998</v>
      </c>
      <c r="H567" s="5" t="s">
        <v>17</v>
      </c>
      <c r="I567" s="5" t="s">
        <v>17</v>
      </c>
    </row>
    <row r="568" spans="1:9">
      <c r="A568" s="5" t="s">
        <v>118</v>
      </c>
      <c r="B568" s="10"/>
      <c r="C568" s="10"/>
      <c r="D568" s="10"/>
      <c r="E568" s="10"/>
      <c r="F568" s="10"/>
      <c r="G568" s="10">
        <v>-2.5027780000000002</v>
      </c>
      <c r="H568" s="5" t="s">
        <v>17</v>
      </c>
      <c r="I568" s="5" t="s">
        <v>17</v>
      </c>
    </row>
    <row r="569" spans="1:9">
      <c r="A569" s="5" t="s">
        <v>119</v>
      </c>
      <c r="B569" s="10"/>
      <c r="C569" s="10">
        <v>2.2768435</v>
      </c>
      <c r="D569" s="10">
        <v>2.1594666999999999</v>
      </c>
      <c r="E569" s="10"/>
      <c r="F569" s="10"/>
      <c r="G569" s="10"/>
      <c r="H569" s="5" t="s">
        <v>17</v>
      </c>
      <c r="I569" s="5" t="s">
        <v>17</v>
      </c>
    </row>
    <row r="570" spans="1:9">
      <c r="A570" s="5" t="s">
        <v>120</v>
      </c>
      <c r="B570" s="10"/>
      <c r="C570" s="10"/>
      <c r="D570" s="10"/>
      <c r="E570" s="10"/>
      <c r="F570" s="10"/>
      <c r="G570" s="10">
        <v>-2.2072191000000001</v>
      </c>
      <c r="H570" s="5" t="s">
        <v>17</v>
      </c>
      <c r="I570" s="5" t="s">
        <v>17</v>
      </c>
    </row>
    <row r="571" spans="1:9">
      <c r="A571" s="5" t="s">
        <v>121</v>
      </c>
      <c r="B571" s="10">
        <v>2.040864</v>
      </c>
      <c r="C571" s="10">
        <v>2.3333463999999999</v>
      </c>
      <c r="D571" s="10">
        <v>2.2845550000000001</v>
      </c>
      <c r="E571" s="10"/>
      <c r="F571" s="10"/>
      <c r="G571" s="10"/>
      <c r="H571" s="5" t="s">
        <v>17</v>
      </c>
      <c r="I571" s="5" t="s">
        <v>17</v>
      </c>
    </row>
    <row r="572" spans="1:9">
      <c r="A572" s="5" t="s">
        <v>122</v>
      </c>
      <c r="B572" s="10"/>
      <c r="C572" s="10"/>
      <c r="D572" s="10"/>
      <c r="E572" s="10"/>
      <c r="F572" s="10"/>
      <c r="G572" s="10">
        <v>-2.0085677999999998</v>
      </c>
      <c r="H572" s="5" t="s">
        <v>17</v>
      </c>
      <c r="I572" s="5" t="s">
        <v>17</v>
      </c>
    </row>
    <row r="573" spans="1:9">
      <c r="A573" s="5" t="s">
        <v>123</v>
      </c>
      <c r="B573" s="10"/>
      <c r="C573" s="10"/>
      <c r="D573" s="10"/>
      <c r="E573" s="10"/>
      <c r="F573" s="10"/>
      <c r="G573" s="10">
        <v>-2.3626947</v>
      </c>
      <c r="H573" s="5" t="s">
        <v>17</v>
      </c>
      <c r="I573" s="5" t="s">
        <v>17</v>
      </c>
    </row>
    <row r="574" spans="1:9">
      <c r="A574" s="5" t="s">
        <v>124</v>
      </c>
      <c r="B574" s="10"/>
      <c r="C574" s="10"/>
      <c r="D574" s="10"/>
      <c r="E574" s="10">
        <v>-3.0617595</v>
      </c>
      <c r="F574" s="10">
        <v>-3.3852878</v>
      </c>
      <c r="G574" s="10">
        <v>-2.4751449000000001</v>
      </c>
      <c r="H574" s="5" t="s">
        <v>17</v>
      </c>
      <c r="I574" s="5" t="s">
        <v>17</v>
      </c>
    </row>
    <row r="575" spans="1:9">
      <c r="A575" s="5" t="s">
        <v>125</v>
      </c>
      <c r="B575" s="10"/>
      <c r="C575" s="10"/>
      <c r="D575" s="10"/>
      <c r="E575" s="10">
        <v>-3.2231193</v>
      </c>
      <c r="F575" s="10">
        <v>-3.4464049999999999</v>
      </c>
      <c r="G575" s="10">
        <v>-2.5286097999999999</v>
      </c>
      <c r="H575" s="5" t="s">
        <v>17</v>
      </c>
      <c r="I575" s="5" t="s">
        <v>17</v>
      </c>
    </row>
    <row r="576" spans="1:9">
      <c r="A576" s="5" t="s">
        <v>126</v>
      </c>
      <c r="B576" s="10"/>
      <c r="C576" s="10"/>
      <c r="D576" s="10"/>
      <c r="E576" s="10"/>
      <c r="F576" s="10"/>
      <c r="G576" s="10"/>
      <c r="H576" s="5" t="s">
        <v>17</v>
      </c>
      <c r="I576" s="5" t="s">
        <v>17</v>
      </c>
    </row>
    <row r="577" spans="1:9">
      <c r="A577" s="5" t="s">
        <v>127</v>
      </c>
      <c r="B577" s="10"/>
      <c r="C577" s="10"/>
      <c r="D577" s="10"/>
      <c r="E577" s="10"/>
      <c r="F577" s="10"/>
      <c r="G577" s="10">
        <v>-2.580368</v>
      </c>
      <c r="H577" s="5" t="s">
        <v>17</v>
      </c>
      <c r="I577" s="5" t="s">
        <v>17</v>
      </c>
    </row>
    <row r="578" spans="1:9">
      <c r="A578" s="5" t="s">
        <v>128</v>
      </c>
      <c r="B578" s="10"/>
      <c r="C578" s="10"/>
      <c r="D578" s="10">
        <v>2.1266889999999998</v>
      </c>
      <c r="E578" s="10"/>
      <c r="F578" s="10"/>
      <c r="G578" s="10"/>
      <c r="H578" s="5" t="s">
        <v>17</v>
      </c>
      <c r="I578" s="5" t="s">
        <v>17</v>
      </c>
    </row>
    <row r="579" spans="1:9">
      <c r="A579" s="5" t="s">
        <v>129</v>
      </c>
      <c r="B579" s="10"/>
      <c r="C579" s="10"/>
      <c r="D579" s="10"/>
      <c r="E579" s="10"/>
      <c r="F579" s="10"/>
      <c r="G579" s="10">
        <v>-2.2903663999999999</v>
      </c>
      <c r="H579" s="5" t="s">
        <v>17</v>
      </c>
      <c r="I579" s="5" t="s">
        <v>17</v>
      </c>
    </row>
    <row r="580" spans="1:9">
      <c r="A580" s="5" t="s">
        <v>130</v>
      </c>
      <c r="B580" s="10">
        <v>2.0722532</v>
      </c>
      <c r="C580" s="10">
        <v>2.6325821999999999</v>
      </c>
      <c r="D580" s="10"/>
      <c r="E580" s="10"/>
      <c r="F580" s="10"/>
      <c r="G580" s="10"/>
      <c r="H580" s="5" t="s">
        <v>17</v>
      </c>
      <c r="I580" s="5" t="s">
        <v>17</v>
      </c>
    </row>
    <row r="581" spans="1:9">
      <c r="A581" s="5" t="s">
        <v>131</v>
      </c>
      <c r="B581" s="10"/>
      <c r="C581" s="10"/>
      <c r="D581" s="10"/>
      <c r="E581" s="10">
        <v>-2.4414935</v>
      </c>
      <c r="F581" s="10">
        <v>-2.7725854000000001</v>
      </c>
      <c r="G581" s="10">
        <v>-4.5086073999999998</v>
      </c>
      <c r="H581" s="5" t="s">
        <v>17</v>
      </c>
      <c r="I581" s="5" t="s">
        <v>17</v>
      </c>
    </row>
    <row r="582" spans="1:9">
      <c r="A582" s="5" t="s">
        <v>132</v>
      </c>
      <c r="B582" s="10"/>
      <c r="C582" s="10"/>
      <c r="D582" s="10"/>
      <c r="E582" s="10"/>
      <c r="F582" s="10"/>
      <c r="G582" s="10">
        <v>-2.9556851000000002</v>
      </c>
      <c r="H582" s="5" t="s">
        <v>17</v>
      </c>
      <c r="I582" s="5" t="s">
        <v>17</v>
      </c>
    </row>
    <row r="583" spans="1:9">
      <c r="A583" s="5" t="s">
        <v>133</v>
      </c>
      <c r="B583" s="10"/>
      <c r="C583" s="10"/>
      <c r="D583" s="10"/>
      <c r="E583" s="10"/>
      <c r="F583" s="10"/>
      <c r="G583" s="10">
        <v>-3.3984141000000001</v>
      </c>
      <c r="H583" s="5" t="s">
        <v>17</v>
      </c>
      <c r="I583" s="5" t="s">
        <v>17</v>
      </c>
    </row>
    <row r="584" spans="1:9">
      <c r="A584" s="5" t="s">
        <v>134</v>
      </c>
      <c r="B584" s="10"/>
      <c r="C584" s="10"/>
      <c r="D584" s="10"/>
      <c r="E584" s="10"/>
      <c r="F584" s="10"/>
      <c r="G584" s="10">
        <v>-3.1695614000000001</v>
      </c>
      <c r="H584" s="5" t="s">
        <v>17</v>
      </c>
      <c r="I584" s="5" t="s">
        <v>17</v>
      </c>
    </row>
    <row r="585" spans="1:9">
      <c r="A585" s="5" t="s">
        <v>135</v>
      </c>
      <c r="B585" s="10"/>
      <c r="C585" s="10"/>
      <c r="D585" s="10"/>
      <c r="E585" s="10"/>
      <c r="F585" s="10"/>
      <c r="G585" s="10"/>
      <c r="H585" s="5" t="s">
        <v>17</v>
      </c>
      <c r="I585" s="5" t="s">
        <v>17</v>
      </c>
    </row>
    <row r="586" spans="1:9">
      <c r="A586" s="5" t="s">
        <v>136</v>
      </c>
      <c r="B586" s="10"/>
      <c r="C586" s="10"/>
      <c r="D586" s="10"/>
      <c r="E586" s="10"/>
      <c r="F586" s="10"/>
      <c r="G586" s="10">
        <v>-2.9041529000000001</v>
      </c>
      <c r="H586" s="5" t="s">
        <v>17</v>
      </c>
      <c r="I586" s="5" t="s">
        <v>17</v>
      </c>
    </row>
    <row r="587" spans="1:9">
      <c r="A587" s="5" t="s">
        <v>137</v>
      </c>
      <c r="B587" s="10"/>
      <c r="C587" s="10"/>
      <c r="D587" s="10"/>
      <c r="E587" s="10"/>
      <c r="F587" s="10"/>
      <c r="G587" s="10"/>
      <c r="H587" s="5" t="s">
        <v>17</v>
      </c>
      <c r="I587" s="5" t="s">
        <v>17</v>
      </c>
    </row>
    <row r="588" spans="1:9">
      <c r="A588" s="5" t="s">
        <v>156</v>
      </c>
      <c r="B588" s="10"/>
      <c r="C588" s="10"/>
      <c r="D588" s="10"/>
      <c r="E588" s="10"/>
      <c r="F588" s="10"/>
      <c r="G588" s="10">
        <v>-2.4271110999999999</v>
      </c>
      <c r="H588" s="5" t="s">
        <v>17</v>
      </c>
      <c r="I588" s="5" t="s">
        <v>17</v>
      </c>
    </row>
    <row r="589" spans="1:9">
      <c r="A589" s="5" t="s">
        <v>157</v>
      </c>
      <c r="B589" s="10"/>
      <c r="C589" s="10"/>
      <c r="D589" s="10"/>
      <c r="E589" s="10"/>
      <c r="F589" s="10"/>
      <c r="G589" s="10">
        <v>-2.8041700999999999</v>
      </c>
      <c r="H589" s="5" t="s">
        <v>17</v>
      </c>
      <c r="I589" s="5" t="s">
        <v>17</v>
      </c>
    </row>
    <row r="590" spans="1:9">
      <c r="A590" s="5" t="s">
        <v>158</v>
      </c>
      <c r="B590" s="10"/>
      <c r="C590" s="10"/>
      <c r="D590" s="10"/>
      <c r="E590" s="10"/>
      <c r="F590" s="10"/>
      <c r="G590" s="10">
        <v>-2.6803659999999998</v>
      </c>
      <c r="H590" s="5" t="s">
        <v>17</v>
      </c>
      <c r="I590" s="5" t="s">
        <v>17</v>
      </c>
    </row>
    <row r="591" spans="1:9">
      <c r="A591" s="5" t="s">
        <v>159</v>
      </c>
      <c r="B591" s="10"/>
      <c r="C591" s="10"/>
      <c r="D591" s="10"/>
      <c r="E591" s="10"/>
      <c r="F591" s="10">
        <v>-2.2719369999999999</v>
      </c>
      <c r="G591" s="10">
        <v>-5.3995199999999999</v>
      </c>
      <c r="H591" s="5" t="s">
        <v>17</v>
      </c>
      <c r="I591" s="5" t="s">
        <v>17</v>
      </c>
    </row>
    <row r="592" spans="1:9">
      <c r="A592" s="5" t="s">
        <v>160</v>
      </c>
      <c r="B592" s="10"/>
      <c r="C592" s="10"/>
      <c r="D592" s="10"/>
      <c r="E592" s="10"/>
      <c r="F592" s="10"/>
      <c r="G592" s="10">
        <v>-2.0782733000000002</v>
      </c>
      <c r="H592" s="5" t="s">
        <v>17</v>
      </c>
      <c r="I592" s="5" t="s">
        <v>17</v>
      </c>
    </row>
    <row r="593" spans="1:9">
      <c r="A593" s="5" t="s">
        <v>161</v>
      </c>
      <c r="B593" s="10"/>
      <c r="C593" s="10">
        <v>2.0712380000000001</v>
      </c>
      <c r="D593" s="10"/>
      <c r="E593" s="10"/>
      <c r="F593" s="10"/>
      <c r="G593" s="10"/>
      <c r="H593" s="5" t="s">
        <v>17</v>
      </c>
      <c r="I593" s="5" t="s">
        <v>17</v>
      </c>
    </row>
    <row r="594" spans="1:9">
      <c r="A594" s="5" t="s">
        <v>162</v>
      </c>
      <c r="B594" s="10"/>
      <c r="C594" s="10"/>
      <c r="D594" s="10"/>
      <c r="E594" s="10"/>
      <c r="F594" s="10"/>
      <c r="G594" s="10"/>
      <c r="H594" s="5" t="s">
        <v>17</v>
      </c>
      <c r="I594" s="5" t="s">
        <v>17</v>
      </c>
    </row>
    <row r="595" spans="1:9">
      <c r="A595" s="5" t="s">
        <v>163</v>
      </c>
      <c r="B595" s="10"/>
      <c r="C595" s="10"/>
      <c r="D595" s="10"/>
      <c r="E595" s="10"/>
      <c r="F595" s="10"/>
      <c r="G595" s="10">
        <v>-2.0751643</v>
      </c>
      <c r="H595" s="5" t="s">
        <v>17</v>
      </c>
      <c r="I595" s="5" t="s">
        <v>17</v>
      </c>
    </row>
    <row r="596" spans="1:9">
      <c r="A596" s="5" t="s">
        <v>547</v>
      </c>
      <c r="B596" s="10"/>
      <c r="C596" s="10"/>
      <c r="D596" s="10"/>
      <c r="E596" s="10"/>
      <c r="F596" s="10"/>
      <c r="G596" s="10">
        <v>-2.0080222999999999</v>
      </c>
      <c r="H596" s="5" t="s">
        <v>17</v>
      </c>
      <c r="I596" s="5" t="s">
        <v>17</v>
      </c>
    </row>
    <row r="597" spans="1:9">
      <c r="A597" s="5" t="s">
        <v>164</v>
      </c>
      <c r="B597" s="10"/>
      <c r="C597" s="10"/>
      <c r="D597" s="10"/>
      <c r="E597" s="10"/>
      <c r="F597" s="10"/>
      <c r="G597" s="10">
        <v>-2.7815675999999998</v>
      </c>
      <c r="H597" s="5" t="s">
        <v>17</v>
      </c>
      <c r="I597" s="5" t="s">
        <v>17</v>
      </c>
    </row>
    <row r="598" spans="1:9">
      <c r="A598" s="5" t="s">
        <v>165</v>
      </c>
      <c r="B598" s="10"/>
      <c r="C598" s="10"/>
      <c r="D598" s="10"/>
      <c r="E598" s="10">
        <v>-2.2239232000000002</v>
      </c>
      <c r="F598" s="10">
        <v>-2.5393910000000002</v>
      </c>
      <c r="G598" s="10">
        <v>-3.9963354999999998</v>
      </c>
      <c r="H598" s="5" t="s">
        <v>17</v>
      </c>
      <c r="I598" s="5" t="s">
        <v>17</v>
      </c>
    </row>
    <row r="599" spans="1:9">
      <c r="A599" s="5" t="s">
        <v>166</v>
      </c>
      <c r="B599" s="10"/>
      <c r="C599" s="10"/>
      <c r="D599" s="10"/>
      <c r="E599" s="10"/>
      <c r="F599" s="10"/>
      <c r="G599" s="10">
        <v>-2.4543252</v>
      </c>
      <c r="H599" s="5" t="s">
        <v>17</v>
      </c>
      <c r="I599" s="5" t="s">
        <v>17</v>
      </c>
    </row>
    <row r="600" spans="1:9">
      <c r="A600" s="5" t="s">
        <v>167</v>
      </c>
      <c r="B600" s="10">
        <v>2.5158458000000001</v>
      </c>
      <c r="C600" s="10">
        <v>2.6053232999999998</v>
      </c>
      <c r="D600" s="10">
        <v>2.7602859</v>
      </c>
      <c r="E600" s="10"/>
      <c r="F600" s="10"/>
      <c r="G600" s="10"/>
      <c r="H600" s="5" t="s">
        <v>17</v>
      </c>
      <c r="I600" s="5" t="s">
        <v>17</v>
      </c>
    </row>
    <row r="601" spans="1:9">
      <c r="A601" s="5" t="s">
        <v>168</v>
      </c>
      <c r="B601" s="10"/>
      <c r="C601" s="10">
        <v>2.3125930000000001</v>
      </c>
      <c r="D601" s="10">
        <v>2.2345738000000002</v>
      </c>
      <c r="E601" s="10"/>
      <c r="F601" s="10"/>
      <c r="G601" s="10"/>
      <c r="H601" s="5" t="s">
        <v>17</v>
      </c>
      <c r="I601" s="5" t="s">
        <v>17</v>
      </c>
    </row>
    <row r="602" spans="1:9">
      <c r="A602" s="5" t="s">
        <v>169</v>
      </c>
      <c r="B602" s="10"/>
      <c r="C602" s="10"/>
      <c r="D602" s="10"/>
      <c r="E602" s="10"/>
      <c r="F602" s="10"/>
      <c r="G602" s="10">
        <v>-2.3184257000000001</v>
      </c>
      <c r="H602" s="5" t="s">
        <v>17</v>
      </c>
      <c r="I602" s="5" t="s">
        <v>17</v>
      </c>
    </row>
    <row r="603" spans="1:9">
      <c r="A603" s="5" t="s">
        <v>170</v>
      </c>
      <c r="B603" s="10"/>
      <c r="C603" s="10"/>
      <c r="D603" s="10"/>
      <c r="E603" s="10"/>
      <c r="F603" s="10"/>
      <c r="G603" s="10">
        <v>-2.8803158</v>
      </c>
      <c r="H603" s="5" t="s">
        <v>17</v>
      </c>
      <c r="I603" s="5" t="s">
        <v>17</v>
      </c>
    </row>
    <row r="604" spans="1:9">
      <c r="A604" s="5" t="s">
        <v>171</v>
      </c>
      <c r="B604" s="10"/>
      <c r="C604" s="10"/>
      <c r="D604" s="10"/>
      <c r="E604" s="10"/>
      <c r="F604" s="10"/>
      <c r="G604" s="10">
        <v>-3.2409713</v>
      </c>
      <c r="H604" s="5" t="s">
        <v>17</v>
      </c>
      <c r="I604" s="5" t="s">
        <v>17</v>
      </c>
    </row>
    <row r="605" spans="1:9">
      <c r="A605" s="5" t="s">
        <v>172</v>
      </c>
      <c r="B605" s="10"/>
      <c r="C605" s="10"/>
      <c r="D605" s="10"/>
      <c r="E605" s="10"/>
      <c r="F605" s="10"/>
      <c r="G605" s="10">
        <v>-2.2558579999999999</v>
      </c>
      <c r="H605" s="5" t="s">
        <v>17</v>
      </c>
      <c r="I605" s="5" t="s">
        <v>17</v>
      </c>
    </row>
    <row r="606" spans="1:9">
      <c r="A606" s="5" t="s">
        <v>173</v>
      </c>
      <c r="B606" s="10"/>
      <c r="C606" s="10"/>
      <c r="D606" s="10"/>
      <c r="E606" s="10"/>
      <c r="F606" s="10">
        <v>-2.4512280999999998</v>
      </c>
      <c r="G606" s="10">
        <v>-2.812049</v>
      </c>
      <c r="H606" s="5" t="s">
        <v>17</v>
      </c>
      <c r="I606" s="5" t="s">
        <v>17</v>
      </c>
    </row>
    <row r="607" spans="1:9">
      <c r="A607" s="5" t="s">
        <v>174</v>
      </c>
      <c r="B607" s="10"/>
      <c r="C607" s="10"/>
      <c r="D607" s="10"/>
      <c r="E607" s="10"/>
      <c r="F607" s="10"/>
      <c r="G607" s="10">
        <v>-2.5038740000000002</v>
      </c>
      <c r="H607" s="5" t="s">
        <v>17</v>
      </c>
      <c r="I607" s="5" t="s">
        <v>17</v>
      </c>
    </row>
    <row r="608" spans="1:9">
      <c r="A608" s="5" t="s">
        <v>175</v>
      </c>
      <c r="B608" s="10"/>
      <c r="C608" s="10">
        <v>2.1373950000000002</v>
      </c>
      <c r="D608" s="10"/>
      <c r="E608" s="10"/>
      <c r="F608" s="10"/>
      <c r="G608" s="10"/>
      <c r="H608" s="5" t="s">
        <v>17</v>
      </c>
      <c r="I608" s="5" t="s">
        <v>17</v>
      </c>
    </row>
    <row r="609" spans="1:11">
      <c r="A609" s="5" t="s">
        <v>176</v>
      </c>
      <c r="B609" s="10"/>
      <c r="C609" s="10"/>
      <c r="D609" s="10"/>
      <c r="E609" s="10"/>
      <c r="F609" s="10"/>
      <c r="G609" s="10">
        <v>-3.0329408999999998</v>
      </c>
      <c r="H609" s="5" t="s">
        <v>17</v>
      </c>
      <c r="I609" s="5" t="s">
        <v>17</v>
      </c>
    </row>
    <row r="610" spans="1:11">
      <c r="A610" s="5" t="s">
        <v>177</v>
      </c>
      <c r="B610" s="10"/>
      <c r="C610" s="10"/>
      <c r="D610" s="10"/>
      <c r="E610" s="10"/>
      <c r="F610" s="10">
        <v>-2.2444061999999998</v>
      </c>
      <c r="G610" s="10"/>
      <c r="H610" s="5" t="s">
        <v>17</v>
      </c>
      <c r="I610" s="5" t="s">
        <v>17</v>
      </c>
    </row>
    <row r="611" spans="1:11">
      <c r="A611" s="5" t="s">
        <v>178</v>
      </c>
      <c r="B611" s="10"/>
      <c r="C611" s="10"/>
      <c r="D611" s="10"/>
      <c r="E611" s="10"/>
      <c r="F611" s="10">
        <v>-2.4255561999999999</v>
      </c>
      <c r="G611" s="10"/>
      <c r="H611" s="5" t="s">
        <v>17</v>
      </c>
      <c r="I611" s="5" t="s">
        <v>17</v>
      </c>
    </row>
    <row r="612" spans="1:11">
      <c r="A612" s="5" t="s">
        <v>179</v>
      </c>
      <c r="B612" s="10"/>
      <c r="C612" s="10"/>
      <c r="D612" s="10"/>
      <c r="E612" s="10"/>
      <c r="F612" s="10"/>
      <c r="G612" s="10">
        <v>-3.2814125999999999</v>
      </c>
      <c r="H612" s="5" t="s">
        <v>17</v>
      </c>
      <c r="I612" s="5" t="s">
        <v>17</v>
      </c>
    </row>
    <row r="613" spans="1:11">
      <c r="A613" s="5" t="s">
        <v>180</v>
      </c>
      <c r="B613" s="10"/>
      <c r="C613" s="10"/>
      <c r="D613" s="10">
        <v>2.3160086</v>
      </c>
      <c r="E613" s="10"/>
      <c r="F613" s="10"/>
      <c r="G613" s="10"/>
      <c r="H613" s="5" t="s">
        <v>17</v>
      </c>
      <c r="I613" s="5" t="s">
        <v>17</v>
      </c>
    </row>
    <row r="614" spans="1:11">
      <c r="A614" s="5" t="s">
        <v>181</v>
      </c>
      <c r="B614" s="10"/>
      <c r="C614" s="10"/>
      <c r="D614" s="10"/>
      <c r="E614" s="10"/>
      <c r="F614" s="10"/>
      <c r="G614" s="10">
        <v>-2.7909459999999999</v>
      </c>
      <c r="H614" s="5" t="s">
        <v>17</v>
      </c>
      <c r="I614" s="5" t="s">
        <v>17</v>
      </c>
    </row>
    <row r="615" spans="1:11">
      <c r="A615" s="5" t="s">
        <v>182</v>
      </c>
      <c r="B615" s="10"/>
      <c r="C615" s="10"/>
      <c r="D615" s="10"/>
      <c r="E615" s="10">
        <v>-3.5317816999999998</v>
      </c>
      <c r="F615" s="10">
        <v>-3.6203903999999998</v>
      </c>
      <c r="G615" s="10">
        <v>-4.9452759999999998</v>
      </c>
      <c r="H615" s="5" t="s">
        <v>17</v>
      </c>
      <c r="I615" s="5" t="s">
        <v>17</v>
      </c>
    </row>
    <row r="616" spans="1:11">
      <c r="A616" s="5" t="s">
        <v>183</v>
      </c>
      <c r="B616" s="10"/>
      <c r="C616" s="10"/>
      <c r="D616" s="10"/>
      <c r="E616" s="10"/>
      <c r="F616" s="10"/>
      <c r="G616" s="10"/>
      <c r="H616" s="5" t="s">
        <v>17</v>
      </c>
      <c r="I616" s="5" t="s">
        <v>17</v>
      </c>
    </row>
    <row r="617" spans="1:11">
      <c r="A617" s="5" t="s">
        <v>184</v>
      </c>
      <c r="B617" s="10"/>
      <c r="C617" s="10"/>
      <c r="D617" s="10"/>
      <c r="E617" s="10"/>
      <c r="F617" s="10"/>
      <c r="G617" s="10">
        <v>-2.0590649000000001</v>
      </c>
      <c r="H617" s="5" t="s">
        <v>17</v>
      </c>
      <c r="I617" s="5" t="s">
        <v>17</v>
      </c>
      <c r="K617" s="5" t="s">
        <v>185</v>
      </c>
    </row>
    <row r="618" spans="1:11">
      <c r="A618" s="5" t="s">
        <v>186</v>
      </c>
      <c r="B618" s="10"/>
      <c r="C618" s="10">
        <v>2.1412745000000002</v>
      </c>
      <c r="D618" s="10">
        <v>2.5581927000000002</v>
      </c>
      <c r="E618" s="10"/>
      <c r="F618" s="10"/>
      <c r="G618" s="10"/>
      <c r="H618" s="5" t="s">
        <v>17</v>
      </c>
      <c r="I618" s="5" t="s">
        <v>17</v>
      </c>
    </row>
    <row r="619" spans="1:11">
      <c r="A619" s="5" t="s">
        <v>550</v>
      </c>
      <c r="B619" s="10"/>
      <c r="C619" s="10"/>
      <c r="D619" s="10"/>
      <c r="E619" s="10">
        <v>-2.2564087000000002</v>
      </c>
      <c r="F619" s="10">
        <v>-2.2742882</v>
      </c>
      <c r="G619" s="10">
        <v>-2.8237220000000001</v>
      </c>
      <c r="H619" s="5" t="s">
        <v>17</v>
      </c>
      <c r="I619" s="5" t="s">
        <v>17</v>
      </c>
    </row>
    <row r="620" spans="1:11">
      <c r="A620" s="5" t="s">
        <v>187</v>
      </c>
      <c r="B620" s="10"/>
      <c r="C620" s="10"/>
      <c r="D620" s="10"/>
      <c r="E620" s="10"/>
      <c r="F620" s="10"/>
      <c r="G620" s="10"/>
      <c r="H620" s="5" t="s">
        <v>17</v>
      </c>
      <c r="I620" s="5" t="s">
        <v>17</v>
      </c>
    </row>
    <row r="621" spans="1:11">
      <c r="A621" s="5" t="s">
        <v>188</v>
      </c>
      <c r="B621" s="10"/>
      <c r="C621" s="10"/>
      <c r="D621" s="10"/>
      <c r="E621" s="10">
        <v>-2.0699179999999999</v>
      </c>
      <c r="F621" s="10"/>
      <c r="G621" s="10"/>
      <c r="H621" s="5" t="s">
        <v>17</v>
      </c>
      <c r="I621" s="5" t="s">
        <v>17</v>
      </c>
    </row>
    <row r="622" spans="1:11">
      <c r="A622" s="5" t="s">
        <v>189</v>
      </c>
      <c r="B622" s="10"/>
      <c r="C622" s="10">
        <v>2.0853505000000001</v>
      </c>
      <c r="D622" s="10"/>
      <c r="E622" s="10"/>
      <c r="F622" s="10"/>
      <c r="G622" s="10"/>
      <c r="H622" s="5" t="s">
        <v>17</v>
      </c>
      <c r="I622" s="5" t="s">
        <v>17</v>
      </c>
    </row>
    <row r="623" spans="1:11">
      <c r="A623" s="5" t="s">
        <v>190</v>
      </c>
      <c r="B623" s="10"/>
      <c r="C623" s="10"/>
      <c r="D623" s="10"/>
      <c r="E623" s="10"/>
      <c r="F623" s="10"/>
      <c r="G623" s="10">
        <v>-2.5424047000000001</v>
      </c>
      <c r="H623" s="5" t="s">
        <v>17</v>
      </c>
      <c r="I623" s="5" t="s">
        <v>17</v>
      </c>
    </row>
    <row r="624" spans="1:11">
      <c r="A624" s="5" t="s">
        <v>191</v>
      </c>
      <c r="B624" s="10"/>
      <c r="C624" s="10"/>
      <c r="D624" s="10"/>
      <c r="E624" s="10"/>
      <c r="F624" s="10"/>
      <c r="G624" s="10">
        <v>-2.7753057000000001</v>
      </c>
      <c r="H624" s="5" t="s">
        <v>17</v>
      </c>
      <c r="I624" s="5" t="s">
        <v>17</v>
      </c>
    </row>
    <row r="625" spans="1:9">
      <c r="A625" s="5" t="s">
        <v>192</v>
      </c>
      <c r="B625" s="10"/>
      <c r="C625" s="10"/>
      <c r="D625" s="10"/>
      <c r="E625" s="10"/>
      <c r="F625" s="10"/>
      <c r="G625" s="10">
        <v>-2.9133406000000002</v>
      </c>
      <c r="H625" s="5" t="s">
        <v>17</v>
      </c>
      <c r="I625" s="5" t="s">
        <v>17</v>
      </c>
    </row>
    <row r="626" spans="1:9">
      <c r="A626" s="5" t="s">
        <v>193</v>
      </c>
      <c r="B626" s="10"/>
      <c r="C626" s="10"/>
      <c r="D626" s="10"/>
      <c r="E626" s="10"/>
      <c r="F626" s="10"/>
      <c r="G626" s="10">
        <v>-2.1579394000000001</v>
      </c>
      <c r="H626" s="5" t="s">
        <v>17</v>
      </c>
      <c r="I626" s="5" t="s">
        <v>17</v>
      </c>
    </row>
    <row r="627" spans="1:9">
      <c r="A627" s="5" t="s">
        <v>194</v>
      </c>
      <c r="B627" s="10"/>
      <c r="C627" s="10"/>
      <c r="D627" s="10"/>
      <c r="E627" s="10"/>
      <c r="F627" s="10"/>
      <c r="G627" s="10">
        <v>-2.4149400000000001</v>
      </c>
      <c r="H627" s="5" t="s">
        <v>17</v>
      </c>
      <c r="I627" s="5" t="s">
        <v>17</v>
      </c>
    </row>
    <row r="628" spans="1:9">
      <c r="A628" s="5" t="s">
        <v>195</v>
      </c>
      <c r="B628" s="10"/>
      <c r="C628" s="10"/>
      <c r="D628" s="10">
        <v>3.1342954999999999</v>
      </c>
      <c r="E628" s="10"/>
      <c r="F628" s="10"/>
      <c r="G628" s="10"/>
      <c r="H628" s="5" t="s">
        <v>17</v>
      </c>
      <c r="I628" s="5" t="s">
        <v>17</v>
      </c>
    </row>
    <row r="629" spans="1:9">
      <c r="A629" s="5" t="s">
        <v>196</v>
      </c>
      <c r="B629" s="10"/>
      <c r="C629" s="10"/>
      <c r="D629" s="10"/>
      <c r="E629" s="10"/>
      <c r="F629" s="10"/>
      <c r="G629" s="10">
        <v>-2.2377071000000002</v>
      </c>
      <c r="H629" s="5" t="s">
        <v>17</v>
      </c>
      <c r="I629" s="5" t="s">
        <v>17</v>
      </c>
    </row>
    <row r="630" spans="1:9">
      <c r="A630" s="5" t="s">
        <v>197</v>
      </c>
      <c r="B630" s="10"/>
      <c r="C630" s="10"/>
      <c r="D630" s="10"/>
      <c r="E630" s="10"/>
      <c r="F630" s="10"/>
      <c r="G630" s="10">
        <v>-2.3981620000000001</v>
      </c>
      <c r="H630" s="5" t="s">
        <v>17</v>
      </c>
      <c r="I630" s="5" t="s">
        <v>17</v>
      </c>
    </row>
    <row r="631" spans="1:9">
      <c r="A631" s="5" t="s">
        <v>198</v>
      </c>
      <c r="B631" s="10"/>
      <c r="C631" s="10"/>
      <c r="D631" s="10"/>
      <c r="E631" s="10"/>
      <c r="F631" s="10"/>
      <c r="G631" s="10"/>
      <c r="H631" s="5" t="s">
        <v>17</v>
      </c>
      <c r="I631" s="5" t="s">
        <v>17</v>
      </c>
    </row>
    <row r="632" spans="1:9">
      <c r="A632" s="5" t="s">
        <v>199</v>
      </c>
      <c r="B632" s="10"/>
      <c r="C632" s="10"/>
      <c r="D632" s="10"/>
      <c r="E632" s="10"/>
      <c r="F632" s="10"/>
      <c r="G632" s="10">
        <v>-2.2583652000000001</v>
      </c>
      <c r="H632" s="5" t="s">
        <v>17</v>
      </c>
      <c r="I632" s="5" t="s">
        <v>17</v>
      </c>
    </row>
    <row r="633" spans="1:9">
      <c r="A633" s="5" t="s">
        <v>200</v>
      </c>
      <c r="B633" s="10"/>
      <c r="C633" s="10"/>
      <c r="D633" s="10"/>
      <c r="E633" s="10"/>
      <c r="F633" s="10"/>
      <c r="G633" s="10"/>
      <c r="H633" s="5" t="s">
        <v>17</v>
      </c>
      <c r="I633" s="5" t="s">
        <v>17</v>
      </c>
    </row>
    <row r="634" spans="1:9">
      <c r="A634" s="5" t="s">
        <v>201</v>
      </c>
      <c r="B634" s="10">
        <v>2.1125913000000001</v>
      </c>
      <c r="C634" s="10">
        <v>2.1245718</v>
      </c>
      <c r="D634" s="10">
        <v>3.3460822000000001</v>
      </c>
      <c r="E634" s="10"/>
      <c r="F634" s="10"/>
      <c r="G634" s="10"/>
      <c r="H634" s="5" t="s">
        <v>17</v>
      </c>
      <c r="I634" s="5" t="s">
        <v>17</v>
      </c>
    </row>
    <row r="635" spans="1:9">
      <c r="A635" s="5" t="s">
        <v>202</v>
      </c>
      <c r="B635" s="10"/>
      <c r="C635" s="10"/>
      <c r="D635" s="10"/>
      <c r="E635" s="10">
        <v>-2.7983956000000001</v>
      </c>
      <c r="F635" s="10">
        <v>-2.9103074000000002</v>
      </c>
      <c r="G635" s="10">
        <v>-4.0324270000000002</v>
      </c>
      <c r="H635" s="5" t="s">
        <v>17</v>
      </c>
      <c r="I635" s="5" t="s">
        <v>17</v>
      </c>
    </row>
    <row r="636" spans="1:9">
      <c r="A636" s="5" t="s">
        <v>203</v>
      </c>
      <c r="B636" s="10"/>
      <c r="C636" s="10"/>
      <c r="D636" s="10"/>
      <c r="E636" s="10"/>
      <c r="F636" s="10"/>
      <c r="G636" s="10"/>
      <c r="H636" s="5" t="s">
        <v>17</v>
      </c>
      <c r="I636" s="5" t="s">
        <v>17</v>
      </c>
    </row>
    <row r="637" spans="1:9">
      <c r="A637" s="5" t="s">
        <v>204</v>
      </c>
      <c r="B637" s="10"/>
      <c r="C637" s="10"/>
      <c r="D637" s="10"/>
      <c r="E637" s="10">
        <v>-2.5764703999999998</v>
      </c>
      <c r="F637" s="10">
        <v>-2.405427</v>
      </c>
      <c r="G637" s="10">
        <v>-4.5837950000000003</v>
      </c>
      <c r="H637" s="5" t="s">
        <v>17</v>
      </c>
      <c r="I637" s="5" t="s">
        <v>17</v>
      </c>
    </row>
    <row r="638" spans="1:9">
      <c r="A638" s="5" t="s">
        <v>205</v>
      </c>
      <c r="B638" s="10"/>
      <c r="C638" s="10"/>
      <c r="D638" s="10"/>
      <c r="E638" s="10"/>
      <c r="F638" s="10"/>
      <c r="G638" s="10">
        <v>-2.5296496999999998</v>
      </c>
      <c r="H638" s="5" t="s">
        <v>17</v>
      </c>
      <c r="I638" s="5" t="s">
        <v>17</v>
      </c>
    </row>
    <row r="639" spans="1:9">
      <c r="A639" s="5" t="s">
        <v>206</v>
      </c>
      <c r="B639" s="10"/>
      <c r="C639" s="10"/>
      <c r="D639" s="10"/>
      <c r="E639" s="10"/>
      <c r="F639" s="10"/>
      <c r="G639" s="10">
        <v>-2.049439</v>
      </c>
      <c r="H639" s="5" t="s">
        <v>17</v>
      </c>
      <c r="I639" s="5" t="s">
        <v>17</v>
      </c>
    </row>
    <row r="640" spans="1:9">
      <c r="A640" s="5" t="s">
        <v>207</v>
      </c>
      <c r="B640" s="10"/>
      <c r="C640" s="10"/>
      <c r="D640" s="10"/>
      <c r="E640" s="10"/>
      <c r="F640" s="10"/>
      <c r="G640" s="10">
        <v>-2.0060758999999999</v>
      </c>
      <c r="H640" s="5" t="s">
        <v>17</v>
      </c>
      <c r="I640" s="5" t="s">
        <v>17</v>
      </c>
    </row>
    <row r="641" spans="1:9">
      <c r="A641" s="5" t="s">
        <v>208</v>
      </c>
      <c r="B641" s="10"/>
      <c r="C641" s="10"/>
      <c r="D641" s="10"/>
      <c r="E641" s="10"/>
      <c r="F641" s="10"/>
      <c r="G641" s="10">
        <v>-2.2634306</v>
      </c>
      <c r="H641" s="5" t="s">
        <v>17</v>
      </c>
      <c r="I641" s="5" t="s">
        <v>17</v>
      </c>
    </row>
    <row r="642" spans="1:9">
      <c r="A642" s="5" t="s">
        <v>209</v>
      </c>
      <c r="B642" s="10"/>
      <c r="C642" s="10"/>
      <c r="D642" s="10"/>
      <c r="E642" s="10"/>
      <c r="F642" s="10"/>
      <c r="G642" s="10">
        <v>-2.1705804</v>
      </c>
      <c r="H642" s="5" t="s">
        <v>17</v>
      </c>
      <c r="I642" s="5" t="s">
        <v>17</v>
      </c>
    </row>
    <row r="643" spans="1:9">
      <c r="A643" s="5" t="s">
        <v>210</v>
      </c>
      <c r="B643" s="10"/>
      <c r="C643" s="10"/>
      <c r="D643" s="10"/>
      <c r="E643" s="10"/>
      <c r="F643" s="10"/>
      <c r="G643" s="10">
        <v>-2.5111856000000001</v>
      </c>
      <c r="H643" s="5" t="s">
        <v>17</v>
      </c>
      <c r="I643" s="5" t="s">
        <v>17</v>
      </c>
    </row>
    <row r="644" spans="1:9">
      <c r="A644" s="5" t="s">
        <v>211</v>
      </c>
      <c r="B644" s="10"/>
      <c r="C644" s="10"/>
      <c r="D644" s="10"/>
      <c r="E644" s="10"/>
      <c r="F644" s="10"/>
      <c r="G644" s="10">
        <v>-2.0139794000000002</v>
      </c>
      <c r="H644" s="5" t="s">
        <v>17</v>
      </c>
      <c r="I644" s="5" t="s">
        <v>17</v>
      </c>
    </row>
    <row r="645" spans="1:9">
      <c r="A645" s="5" t="s">
        <v>212</v>
      </c>
      <c r="B645" s="10"/>
      <c r="C645" s="10"/>
      <c r="D645" s="10"/>
      <c r="E645" s="10"/>
      <c r="F645" s="10"/>
      <c r="G645" s="10">
        <v>-2.9291676999999998</v>
      </c>
      <c r="H645" s="5" t="s">
        <v>17</v>
      </c>
      <c r="I645" s="5" t="s">
        <v>17</v>
      </c>
    </row>
    <row r="646" spans="1:9">
      <c r="A646" s="5" t="s">
        <v>213</v>
      </c>
      <c r="B646" s="10"/>
      <c r="C646" s="10"/>
      <c r="D646" s="10"/>
      <c r="E646" s="10"/>
      <c r="F646" s="10"/>
      <c r="G646" s="10">
        <v>-2.5355340000000002</v>
      </c>
      <c r="H646" s="5" t="s">
        <v>17</v>
      </c>
      <c r="I646" s="5" t="s">
        <v>17</v>
      </c>
    </row>
    <row r="647" spans="1:9">
      <c r="A647" s="5" t="s">
        <v>214</v>
      </c>
      <c r="B647" s="10"/>
      <c r="C647" s="10"/>
      <c r="D647" s="10"/>
      <c r="E647" s="10"/>
      <c r="F647" s="10">
        <v>-2.060978</v>
      </c>
      <c r="G647" s="10"/>
      <c r="H647" s="5" t="s">
        <v>17</v>
      </c>
      <c r="I647" s="5" t="s">
        <v>17</v>
      </c>
    </row>
    <row r="648" spans="1:9">
      <c r="A648" s="5" t="s">
        <v>215</v>
      </c>
      <c r="B648" s="10"/>
      <c r="C648" s="10"/>
      <c r="D648" s="10"/>
      <c r="E648" s="10"/>
      <c r="F648" s="10"/>
      <c r="G648" s="10">
        <v>-2.4805882000000001</v>
      </c>
      <c r="H648" s="5" t="s">
        <v>17</v>
      </c>
      <c r="I648" s="5" t="s">
        <v>17</v>
      </c>
    </row>
    <row r="649" spans="1:9">
      <c r="A649" s="5" t="s">
        <v>216</v>
      </c>
      <c r="B649" s="10"/>
      <c r="C649" s="10"/>
      <c r="D649" s="10"/>
      <c r="E649" s="10"/>
      <c r="F649" s="10"/>
      <c r="G649" s="10"/>
      <c r="H649" s="5" t="s">
        <v>17</v>
      </c>
      <c r="I649" s="5" t="s">
        <v>17</v>
      </c>
    </row>
    <row r="650" spans="1:9">
      <c r="A650" s="5" t="s">
        <v>217</v>
      </c>
      <c r="B650" s="10"/>
      <c r="C650" s="10"/>
      <c r="D650" s="10"/>
      <c r="E650" s="10"/>
      <c r="F650" s="10"/>
      <c r="G650" s="10">
        <v>-2.7552192</v>
      </c>
      <c r="H650" s="5" t="s">
        <v>17</v>
      </c>
      <c r="I650" s="5" t="s">
        <v>17</v>
      </c>
    </row>
    <row r="651" spans="1:9">
      <c r="A651" s="5" t="s">
        <v>218</v>
      </c>
      <c r="B651" s="10"/>
      <c r="C651" s="10"/>
      <c r="D651" s="10"/>
      <c r="E651" s="10"/>
      <c r="F651" s="10"/>
      <c r="G651" s="10"/>
      <c r="H651" s="5" t="s">
        <v>17</v>
      </c>
      <c r="I651" s="5" t="s">
        <v>17</v>
      </c>
    </row>
    <row r="652" spans="1:9">
      <c r="A652" s="5" t="s">
        <v>219</v>
      </c>
      <c r="B652" s="10"/>
      <c r="C652" s="10"/>
      <c r="D652" s="10"/>
      <c r="E652" s="10"/>
      <c r="F652" s="10">
        <v>-2.4337854000000001</v>
      </c>
      <c r="G652" s="10"/>
      <c r="H652" s="5" t="s">
        <v>17</v>
      </c>
      <c r="I652" s="5" t="s">
        <v>17</v>
      </c>
    </row>
    <row r="653" spans="1:9">
      <c r="A653" s="5" t="s">
        <v>220</v>
      </c>
      <c r="B653" s="10"/>
      <c r="C653" s="10"/>
      <c r="D653" s="10"/>
      <c r="E653" s="10"/>
      <c r="F653" s="10"/>
      <c r="G653" s="10"/>
      <c r="H653" s="5" t="s">
        <v>17</v>
      </c>
      <c r="I653" s="5" t="s">
        <v>17</v>
      </c>
    </row>
    <row r="654" spans="1:9">
      <c r="A654" s="5" t="s">
        <v>221</v>
      </c>
      <c r="B654" s="10"/>
      <c r="C654" s="10"/>
      <c r="D654" s="10"/>
      <c r="E654" s="10"/>
      <c r="F654" s="10"/>
      <c r="G654" s="10"/>
      <c r="H654" s="5" t="s">
        <v>17</v>
      </c>
      <c r="I654" s="5" t="s">
        <v>17</v>
      </c>
    </row>
    <row r="655" spans="1:9">
      <c r="A655" s="5" t="s">
        <v>222</v>
      </c>
      <c r="B655" s="10"/>
      <c r="C655" s="10">
        <v>3.1579160000000002</v>
      </c>
      <c r="D655" s="10">
        <v>2.3321314000000002</v>
      </c>
      <c r="E655" s="10"/>
      <c r="F655" s="10"/>
      <c r="G655" s="10"/>
      <c r="H655" s="5" t="s">
        <v>17</v>
      </c>
      <c r="I655" s="5" t="s">
        <v>17</v>
      </c>
    </row>
    <row r="656" spans="1:9">
      <c r="A656" s="5" t="s">
        <v>223</v>
      </c>
      <c r="B656" s="10"/>
      <c r="C656" s="10"/>
      <c r="D656" s="10"/>
      <c r="E656" s="10"/>
      <c r="F656" s="10"/>
      <c r="G656" s="10">
        <v>-2.8377104000000002</v>
      </c>
      <c r="H656" s="5" t="s">
        <v>17</v>
      </c>
      <c r="I656" s="5" t="s">
        <v>17</v>
      </c>
    </row>
    <row r="657" spans="1:9">
      <c r="A657" s="5" t="s">
        <v>224</v>
      </c>
      <c r="B657" s="10"/>
      <c r="C657" s="10"/>
      <c r="D657" s="10"/>
      <c r="E657" s="10"/>
      <c r="F657" s="10"/>
      <c r="G657" s="10">
        <v>-2.3946947999999999</v>
      </c>
      <c r="H657" s="5" t="s">
        <v>17</v>
      </c>
      <c r="I657" s="5" t="s">
        <v>17</v>
      </c>
    </row>
    <row r="658" spans="1:9">
      <c r="A658" s="5" t="s">
        <v>225</v>
      </c>
      <c r="B658" s="10"/>
      <c r="C658" s="10"/>
      <c r="D658" s="10"/>
      <c r="E658" s="10"/>
      <c r="F658" s="10"/>
      <c r="G658" s="10">
        <v>-2.9714646</v>
      </c>
      <c r="H658" s="5" t="s">
        <v>17</v>
      </c>
      <c r="I658" s="5" t="s">
        <v>17</v>
      </c>
    </row>
    <row r="659" spans="1:9">
      <c r="A659" s="5" t="s">
        <v>226</v>
      </c>
      <c r="B659" s="10"/>
      <c r="C659" s="10">
        <v>2.1863207999999998</v>
      </c>
      <c r="D659" s="10">
        <v>2.3340301999999999</v>
      </c>
      <c r="E659" s="10"/>
      <c r="F659" s="10"/>
      <c r="G659" s="10"/>
      <c r="H659" s="5" t="s">
        <v>17</v>
      </c>
      <c r="I659" s="5" t="s">
        <v>17</v>
      </c>
    </row>
    <row r="660" spans="1:9">
      <c r="A660" s="5" t="s">
        <v>227</v>
      </c>
      <c r="B660" s="10"/>
      <c r="C660" s="10"/>
      <c r="D660" s="10">
        <v>2.4882083000000002</v>
      </c>
      <c r="E660" s="10"/>
      <c r="F660" s="10"/>
      <c r="G660" s="10"/>
      <c r="H660" s="5" t="s">
        <v>17</v>
      </c>
      <c r="I660" s="5" t="s">
        <v>17</v>
      </c>
    </row>
    <row r="661" spans="1:9">
      <c r="A661" s="5" t="s">
        <v>228</v>
      </c>
      <c r="B661" s="10"/>
      <c r="C661" s="10"/>
      <c r="D661" s="10"/>
      <c r="E661" s="10">
        <v>-5.7594120000000002</v>
      </c>
      <c r="F661" s="10">
        <v>-5.1401643999999997</v>
      </c>
      <c r="G661" s="10">
        <v>-7.4613275999999997</v>
      </c>
      <c r="H661" s="5" t="s">
        <v>17</v>
      </c>
      <c r="I661" s="5" t="s">
        <v>17</v>
      </c>
    </row>
    <row r="662" spans="1:9">
      <c r="A662" s="5" t="s">
        <v>229</v>
      </c>
      <c r="B662" s="10"/>
      <c r="C662" s="10"/>
      <c r="D662" s="10"/>
      <c r="E662" s="10"/>
      <c r="F662" s="10"/>
      <c r="G662" s="10">
        <v>-2.6403349999999999</v>
      </c>
      <c r="H662" s="5" t="s">
        <v>17</v>
      </c>
      <c r="I662" s="5" t="s">
        <v>17</v>
      </c>
    </row>
    <row r="663" spans="1:9">
      <c r="A663" s="5" t="s">
        <v>230</v>
      </c>
      <c r="B663" s="10"/>
      <c r="C663" s="10"/>
      <c r="D663" s="10"/>
      <c r="E663" s="10"/>
      <c r="F663" s="10"/>
      <c r="G663" s="10">
        <v>-3.2886329000000001</v>
      </c>
      <c r="H663" s="5" t="s">
        <v>17</v>
      </c>
      <c r="I663" s="5" t="s">
        <v>17</v>
      </c>
    </row>
    <row r="664" spans="1:9">
      <c r="A664" s="5" t="s">
        <v>231</v>
      </c>
      <c r="B664" s="10"/>
      <c r="C664" s="10"/>
      <c r="D664" s="10"/>
      <c r="E664" s="10">
        <v>-3.4680447999999999</v>
      </c>
      <c r="F664" s="10">
        <v>-3.133988</v>
      </c>
      <c r="G664" s="10">
        <v>-4.3816170000000003</v>
      </c>
      <c r="H664" s="5" t="s">
        <v>17</v>
      </c>
      <c r="I664" s="5" t="s">
        <v>17</v>
      </c>
    </row>
    <row r="665" spans="1:9">
      <c r="A665" s="5" t="s">
        <v>232</v>
      </c>
      <c r="B665" s="10"/>
      <c r="C665" s="10"/>
      <c r="D665" s="10"/>
      <c r="E665" s="10"/>
      <c r="F665" s="10"/>
      <c r="G665" s="10">
        <v>-3.3262596000000002</v>
      </c>
      <c r="H665" s="5" t="s">
        <v>17</v>
      </c>
      <c r="I665" s="5" t="s">
        <v>17</v>
      </c>
    </row>
    <row r="666" spans="1:9">
      <c r="A666" s="5" t="s">
        <v>233</v>
      </c>
      <c r="B666" s="10">
        <v>2.1064843999999998</v>
      </c>
      <c r="C666" s="10">
        <v>2.909319</v>
      </c>
      <c r="D666" s="10">
        <v>2.4709053000000001</v>
      </c>
      <c r="E666" s="10"/>
      <c r="F666" s="10"/>
      <c r="G666" s="10"/>
      <c r="H666" s="5" t="s">
        <v>17</v>
      </c>
      <c r="I666" s="5" t="s">
        <v>17</v>
      </c>
    </row>
    <row r="667" spans="1:9">
      <c r="A667" s="5" t="s">
        <v>234</v>
      </c>
      <c r="B667" s="10"/>
      <c r="C667" s="10"/>
      <c r="D667" s="10"/>
      <c r="E667" s="10"/>
      <c r="F667" s="10"/>
      <c r="G667" s="10">
        <v>-3.1846801999999999</v>
      </c>
      <c r="H667" s="5" t="s">
        <v>17</v>
      </c>
      <c r="I667" s="5" t="s">
        <v>17</v>
      </c>
    </row>
    <row r="668" spans="1:9">
      <c r="A668" s="5" t="s">
        <v>235</v>
      </c>
      <c r="B668" s="10"/>
      <c r="C668" s="10"/>
      <c r="D668" s="10"/>
      <c r="E668" s="10"/>
      <c r="F668" s="10"/>
      <c r="G668" s="10"/>
      <c r="H668" s="5" t="s">
        <v>17</v>
      </c>
      <c r="I668" s="5" t="s">
        <v>17</v>
      </c>
    </row>
    <row r="669" spans="1:9">
      <c r="A669" s="5" t="s">
        <v>236</v>
      </c>
      <c r="B669" s="10"/>
      <c r="C669" s="10"/>
      <c r="D669" s="10"/>
      <c r="E669" s="10"/>
      <c r="F669" s="10"/>
      <c r="G669" s="10">
        <v>-2.5737356999999998</v>
      </c>
      <c r="H669" s="5" t="s">
        <v>17</v>
      </c>
      <c r="I669" s="5" t="s">
        <v>17</v>
      </c>
    </row>
    <row r="670" spans="1:9">
      <c r="A670" s="5" t="s">
        <v>237</v>
      </c>
      <c r="B670" s="10"/>
      <c r="C670" s="10">
        <v>2.9023241999999998</v>
      </c>
      <c r="D670" s="10"/>
      <c r="E670" s="10"/>
      <c r="F670" s="10"/>
      <c r="G670" s="10"/>
      <c r="H670" s="5" t="s">
        <v>17</v>
      </c>
      <c r="I670" s="5" t="s">
        <v>17</v>
      </c>
    </row>
    <row r="671" spans="1:9">
      <c r="A671" s="5" t="s">
        <v>238</v>
      </c>
      <c r="B671" s="10"/>
      <c r="C671" s="10"/>
      <c r="D671" s="10"/>
      <c r="E671" s="10"/>
      <c r="F671" s="10"/>
      <c r="G671" s="10">
        <v>-2.6364383999999998</v>
      </c>
      <c r="H671" s="5" t="s">
        <v>17</v>
      </c>
      <c r="I671" s="5" t="s">
        <v>17</v>
      </c>
    </row>
    <row r="672" spans="1:9">
      <c r="A672" s="5" t="s">
        <v>239</v>
      </c>
      <c r="B672" s="10"/>
      <c r="C672" s="10"/>
      <c r="D672" s="10"/>
      <c r="E672" s="10"/>
      <c r="F672" s="10"/>
      <c r="G672" s="10"/>
      <c r="H672" s="5" t="s">
        <v>17</v>
      </c>
      <c r="I672" s="5" t="s">
        <v>17</v>
      </c>
    </row>
    <row r="673" spans="1:9">
      <c r="A673" s="5" t="s">
        <v>240</v>
      </c>
      <c r="B673" s="10"/>
      <c r="C673" s="10">
        <v>3.4723267999999998</v>
      </c>
      <c r="D673" s="10">
        <v>2.3239665</v>
      </c>
      <c r="E673" s="10"/>
      <c r="F673" s="10"/>
      <c r="G673" s="10"/>
      <c r="H673" s="5" t="s">
        <v>17</v>
      </c>
      <c r="I673" s="5" t="s">
        <v>17</v>
      </c>
    </row>
    <row r="674" spans="1:9">
      <c r="A674" s="5" t="s">
        <v>241</v>
      </c>
      <c r="B674" s="10"/>
      <c r="C674" s="10">
        <v>2.2952713999999999</v>
      </c>
      <c r="D674" s="10"/>
      <c r="E674" s="10"/>
      <c r="F674" s="10"/>
      <c r="G674" s="10"/>
      <c r="H674" s="5" t="s">
        <v>17</v>
      </c>
      <c r="I674" s="5" t="s">
        <v>17</v>
      </c>
    </row>
    <row r="675" spans="1:9">
      <c r="A675" s="5" t="s">
        <v>242</v>
      </c>
      <c r="B675" s="10"/>
      <c r="C675" s="10"/>
      <c r="D675" s="10"/>
      <c r="E675" s="10"/>
      <c r="F675" s="10">
        <v>-2.0081229999999999</v>
      </c>
      <c r="G675" s="10">
        <v>-3.3535159999999999</v>
      </c>
      <c r="H675" s="5" t="s">
        <v>17</v>
      </c>
      <c r="I675" s="5" t="s">
        <v>17</v>
      </c>
    </row>
    <row r="676" spans="1:9">
      <c r="A676" s="5" t="s">
        <v>243</v>
      </c>
      <c r="B676" s="10"/>
      <c r="C676" s="10"/>
      <c r="D676" s="10"/>
      <c r="E676" s="10"/>
      <c r="F676" s="10">
        <v>-2.2348151000000001</v>
      </c>
      <c r="G676" s="10"/>
      <c r="H676" s="5" t="s">
        <v>17</v>
      </c>
      <c r="I676" s="5" t="s">
        <v>17</v>
      </c>
    </row>
    <row r="677" spans="1:9">
      <c r="A677" s="5" t="s">
        <v>244</v>
      </c>
      <c r="B677" s="10"/>
      <c r="C677" s="10"/>
      <c r="D677" s="10"/>
      <c r="E677" s="10"/>
      <c r="F677" s="10"/>
      <c r="G677" s="10">
        <v>-3.514192</v>
      </c>
      <c r="H677" s="5" t="s">
        <v>17</v>
      </c>
      <c r="I677" s="5" t="s">
        <v>17</v>
      </c>
    </row>
    <row r="678" spans="1:9">
      <c r="A678" s="5" t="s">
        <v>245</v>
      </c>
      <c r="B678" s="10"/>
      <c r="C678" s="10"/>
      <c r="D678" s="10"/>
      <c r="E678" s="10"/>
      <c r="F678" s="10">
        <v>-2.4317348000000001</v>
      </c>
      <c r="G678" s="10">
        <v>-3.4762366</v>
      </c>
      <c r="H678" s="5" t="s">
        <v>17</v>
      </c>
      <c r="I678" s="5" t="s">
        <v>17</v>
      </c>
    </row>
    <row r="679" spans="1:9">
      <c r="A679" s="5" t="s">
        <v>246</v>
      </c>
      <c r="B679" s="10"/>
      <c r="C679" s="10"/>
      <c r="D679" s="10"/>
      <c r="E679" s="10">
        <v>-3.6357387999999999</v>
      </c>
      <c r="F679" s="10">
        <v>-4.6301674999999998</v>
      </c>
      <c r="G679" s="10">
        <v>-5.6662907999999996</v>
      </c>
      <c r="H679" s="5" t="s">
        <v>17</v>
      </c>
      <c r="I679" s="5" t="s">
        <v>17</v>
      </c>
    </row>
    <row r="680" spans="1:9">
      <c r="A680" s="5" t="s">
        <v>247</v>
      </c>
      <c r="B680" s="10"/>
      <c r="C680" s="10"/>
      <c r="D680" s="10"/>
      <c r="E680" s="10"/>
      <c r="F680" s="10"/>
      <c r="G680" s="10">
        <v>-2.3829129999999998</v>
      </c>
      <c r="H680" s="5" t="s">
        <v>17</v>
      </c>
      <c r="I680" s="5" t="s">
        <v>17</v>
      </c>
    </row>
    <row r="681" spans="1:9">
      <c r="A681" s="5" t="s">
        <v>248</v>
      </c>
      <c r="B681" s="10"/>
      <c r="C681" s="10"/>
      <c r="D681" s="10"/>
      <c r="E681" s="10"/>
      <c r="F681" s="10"/>
      <c r="G681" s="10">
        <v>-2.9858956000000001</v>
      </c>
      <c r="H681" s="5" t="s">
        <v>17</v>
      </c>
      <c r="I681" s="5" t="s">
        <v>17</v>
      </c>
    </row>
    <row r="682" spans="1:9">
      <c r="A682" s="5" t="s">
        <v>249</v>
      </c>
      <c r="B682" s="10"/>
      <c r="C682" s="10"/>
      <c r="D682" s="10"/>
      <c r="E682" s="10"/>
      <c r="F682" s="10"/>
      <c r="G682" s="10">
        <v>-2.2357657</v>
      </c>
      <c r="H682" s="5" t="s">
        <v>17</v>
      </c>
      <c r="I682" s="5" t="s">
        <v>17</v>
      </c>
    </row>
    <row r="683" spans="1:9">
      <c r="A683" s="5" t="s">
        <v>250</v>
      </c>
      <c r="B683" s="10"/>
      <c r="C683" s="10"/>
      <c r="D683" s="10"/>
      <c r="E683" s="10"/>
      <c r="F683" s="10">
        <v>-2.1225442999999999</v>
      </c>
      <c r="G683" s="10">
        <v>-2.1981660000000001</v>
      </c>
      <c r="H683" s="5" t="s">
        <v>17</v>
      </c>
      <c r="I683" s="5" t="s">
        <v>17</v>
      </c>
    </row>
    <row r="684" spans="1:9">
      <c r="A684" s="5" t="s">
        <v>251</v>
      </c>
      <c r="B684" s="10"/>
      <c r="C684" s="10"/>
      <c r="D684" s="10"/>
      <c r="E684" s="10"/>
      <c r="F684" s="10"/>
      <c r="G684" s="10">
        <v>-2.7833714000000001</v>
      </c>
      <c r="H684" s="5" t="s">
        <v>17</v>
      </c>
      <c r="I684" s="5" t="s">
        <v>17</v>
      </c>
    </row>
    <row r="685" spans="1:9">
      <c r="A685" s="5" t="s">
        <v>252</v>
      </c>
      <c r="B685" s="10"/>
      <c r="C685" s="10"/>
      <c r="D685" s="10"/>
      <c r="E685" s="10">
        <v>-4.3165190000000004</v>
      </c>
      <c r="F685" s="10">
        <v>-4.9269857000000004</v>
      </c>
      <c r="G685" s="10">
        <v>-3.2189179999999999</v>
      </c>
      <c r="H685" s="5" t="s">
        <v>17</v>
      </c>
      <c r="I685" s="5" t="s">
        <v>17</v>
      </c>
    </row>
    <row r="686" spans="1:9">
      <c r="A686" s="5" t="s">
        <v>253</v>
      </c>
      <c r="B686" s="10"/>
      <c r="C686" s="10"/>
      <c r="D686" s="10"/>
      <c r="E686" s="10"/>
      <c r="F686" s="10"/>
      <c r="G686" s="10">
        <v>-2.1561903999999998</v>
      </c>
      <c r="H686" s="5" t="s">
        <v>17</v>
      </c>
      <c r="I686" s="5" t="s">
        <v>17</v>
      </c>
    </row>
    <row r="687" spans="1:9">
      <c r="A687" s="5" t="s">
        <v>254</v>
      </c>
      <c r="B687" s="10"/>
      <c r="C687" s="10"/>
      <c r="D687" s="10"/>
      <c r="E687" s="10"/>
      <c r="F687" s="10"/>
      <c r="G687" s="10">
        <v>-2.1736784</v>
      </c>
      <c r="H687" s="5" t="s">
        <v>17</v>
      </c>
      <c r="I687" s="5" t="s">
        <v>17</v>
      </c>
    </row>
    <row r="688" spans="1:9">
      <c r="A688" s="5" t="s">
        <v>255</v>
      </c>
      <c r="B688" s="10"/>
      <c r="C688" s="10"/>
      <c r="D688" s="10"/>
      <c r="E688" s="10"/>
      <c r="F688" s="10"/>
      <c r="G688" s="10">
        <v>-2.8787574999999999</v>
      </c>
      <c r="H688" s="5" t="s">
        <v>17</v>
      </c>
      <c r="I688" s="5" t="s">
        <v>17</v>
      </c>
    </row>
    <row r="689" spans="1:9">
      <c r="A689" s="5" t="s">
        <v>256</v>
      </c>
      <c r="B689" s="10"/>
      <c r="C689" s="10"/>
      <c r="D689" s="10"/>
      <c r="E689" s="10"/>
      <c r="F689" s="10"/>
      <c r="G689" s="10">
        <v>-2.1195507</v>
      </c>
      <c r="H689" s="5" t="s">
        <v>17</v>
      </c>
      <c r="I689" s="5" t="s">
        <v>17</v>
      </c>
    </row>
    <row r="690" spans="1:9">
      <c r="A690" s="5" t="s">
        <v>257</v>
      </c>
      <c r="B690" s="10"/>
      <c r="C690" s="10"/>
      <c r="D690" s="10"/>
      <c r="E690" s="10"/>
      <c r="F690" s="10"/>
      <c r="G690" s="10">
        <v>-2.5767555</v>
      </c>
      <c r="H690" s="5" t="s">
        <v>17</v>
      </c>
      <c r="I690" s="5" t="s">
        <v>17</v>
      </c>
    </row>
    <row r="691" spans="1:9">
      <c r="A691" s="5" t="s">
        <v>258</v>
      </c>
      <c r="B691" s="10"/>
      <c r="C691" s="10"/>
      <c r="D691" s="10"/>
      <c r="E691" s="10"/>
      <c r="F691" s="10"/>
      <c r="G691" s="10">
        <v>-2.0605392</v>
      </c>
      <c r="H691" s="5" t="s">
        <v>17</v>
      </c>
      <c r="I691" s="5" t="s">
        <v>17</v>
      </c>
    </row>
    <row r="692" spans="1:9">
      <c r="A692" s="5" t="s">
        <v>259</v>
      </c>
      <c r="B692" s="10"/>
      <c r="C692" s="10"/>
      <c r="D692" s="10"/>
      <c r="E692" s="10"/>
      <c r="F692" s="10"/>
      <c r="G692" s="10"/>
      <c r="H692" s="5" t="s">
        <v>17</v>
      </c>
      <c r="I692" s="5" t="s">
        <v>17</v>
      </c>
    </row>
    <row r="693" spans="1:9">
      <c r="A693" s="5" t="s">
        <v>260</v>
      </c>
      <c r="B693" s="10"/>
      <c r="C693" s="10"/>
      <c r="D693" s="10"/>
      <c r="E693" s="10"/>
      <c r="F693" s="10"/>
      <c r="G693" s="10"/>
      <c r="H693" s="5" t="s">
        <v>17</v>
      </c>
      <c r="I693" s="5" t="s">
        <v>17</v>
      </c>
    </row>
    <row r="694" spans="1:9">
      <c r="A694" s="5" t="s">
        <v>261</v>
      </c>
      <c r="B694" s="10"/>
      <c r="C694" s="10"/>
      <c r="D694" s="10"/>
      <c r="E694" s="10"/>
      <c r="F694" s="10"/>
      <c r="G694" s="10">
        <v>-2.1406611999999998</v>
      </c>
      <c r="H694" s="5" t="s">
        <v>17</v>
      </c>
      <c r="I694" s="5" t="s">
        <v>17</v>
      </c>
    </row>
    <row r="695" spans="1:9">
      <c r="A695" s="5" t="s">
        <v>262</v>
      </c>
      <c r="B695" s="10"/>
      <c r="C695" s="10"/>
      <c r="D695" s="10"/>
      <c r="E695" s="10"/>
      <c r="F695" s="10"/>
      <c r="G695" s="10"/>
      <c r="H695" s="5" t="s">
        <v>17</v>
      </c>
      <c r="I695" s="5" t="s">
        <v>17</v>
      </c>
    </row>
    <row r="696" spans="1:9">
      <c r="A696" s="5" t="s">
        <v>263</v>
      </c>
      <c r="B696" s="10"/>
      <c r="C696" s="10"/>
      <c r="D696" s="10"/>
      <c r="E696" s="10"/>
      <c r="F696" s="10"/>
      <c r="G696" s="10">
        <v>-2.0265884000000001</v>
      </c>
      <c r="H696" s="5" t="s">
        <v>17</v>
      </c>
      <c r="I696" s="5" t="s">
        <v>17</v>
      </c>
    </row>
    <row r="697" spans="1:9">
      <c r="A697" s="5" t="s">
        <v>264</v>
      </c>
      <c r="B697" s="10"/>
      <c r="C697" s="10"/>
      <c r="D697" s="10"/>
      <c r="E697" s="10"/>
      <c r="F697" s="10"/>
      <c r="G697" s="10">
        <v>-2.1001978000000001</v>
      </c>
      <c r="H697" s="5" t="s">
        <v>17</v>
      </c>
      <c r="I697" s="5" t="s">
        <v>17</v>
      </c>
    </row>
    <row r="698" spans="1:9">
      <c r="A698" s="5" t="s">
        <v>557</v>
      </c>
      <c r="B698" s="10"/>
      <c r="C698" s="10"/>
      <c r="D698" s="10"/>
      <c r="E698" s="10">
        <v>-4.9260979999999996</v>
      </c>
      <c r="F698" s="10">
        <v>-4.8218535999999999</v>
      </c>
      <c r="G698" s="10">
        <v>-8.6335519999999999</v>
      </c>
      <c r="H698" s="5" t="s">
        <v>17</v>
      </c>
      <c r="I698" s="5" t="s">
        <v>17</v>
      </c>
    </row>
    <row r="699" spans="1:9">
      <c r="A699" s="5" t="s">
        <v>265</v>
      </c>
      <c r="B699" s="10"/>
      <c r="C699" s="10"/>
      <c r="D699" s="10"/>
      <c r="E699" s="10"/>
      <c r="F699" s="10"/>
      <c r="G699" s="10">
        <v>-2.1409912000000002</v>
      </c>
      <c r="H699" s="5" t="s">
        <v>17</v>
      </c>
      <c r="I699" s="5" t="s">
        <v>17</v>
      </c>
    </row>
    <row r="700" spans="1:9">
      <c r="A700" s="5" t="s">
        <v>266</v>
      </c>
      <c r="B700" s="10"/>
      <c r="C700" s="10"/>
      <c r="D700" s="10"/>
      <c r="E700" s="10"/>
      <c r="F700" s="10"/>
      <c r="G700" s="10"/>
      <c r="H700" s="5" t="s">
        <v>17</v>
      </c>
      <c r="I700" s="5" t="s">
        <v>17</v>
      </c>
    </row>
    <row r="701" spans="1:9">
      <c r="A701" s="5" t="s">
        <v>267</v>
      </c>
      <c r="B701" s="10"/>
      <c r="C701" s="10"/>
      <c r="D701" s="10"/>
      <c r="E701" s="10">
        <v>-2.5489109000000001</v>
      </c>
      <c r="F701" s="10">
        <v>-4.5569553000000003</v>
      </c>
      <c r="G701" s="10">
        <v>-7.2848119999999996</v>
      </c>
      <c r="H701" s="5" t="s">
        <v>17</v>
      </c>
      <c r="I701" s="5" t="s">
        <v>17</v>
      </c>
    </row>
    <row r="702" spans="1:9">
      <c r="A702" s="5" t="s">
        <v>268</v>
      </c>
      <c r="B702" s="10"/>
      <c r="C702" s="10"/>
      <c r="D702" s="10"/>
      <c r="E702" s="10"/>
      <c r="F702" s="10"/>
      <c r="G702" s="10">
        <v>-2.1409981</v>
      </c>
      <c r="H702" s="5" t="s">
        <v>17</v>
      </c>
      <c r="I702" s="5" t="s">
        <v>17</v>
      </c>
    </row>
    <row r="703" spans="1:9">
      <c r="A703" s="5" t="s">
        <v>269</v>
      </c>
      <c r="B703" s="10"/>
      <c r="C703" s="10"/>
      <c r="D703" s="10"/>
      <c r="E703" s="10"/>
      <c r="F703" s="10"/>
      <c r="G703" s="10">
        <v>-5.2381260000000003</v>
      </c>
      <c r="H703" s="5" t="s">
        <v>17</v>
      </c>
      <c r="I703" s="5" t="s">
        <v>17</v>
      </c>
    </row>
    <row r="704" spans="1:9">
      <c r="A704" s="5" t="s">
        <v>270</v>
      </c>
      <c r="B704" s="10"/>
      <c r="C704" s="10"/>
      <c r="D704" s="10"/>
      <c r="E704" s="10"/>
      <c r="F704" s="10"/>
      <c r="G704" s="10">
        <v>-2.5059876000000001</v>
      </c>
      <c r="H704" s="5" t="s">
        <v>17</v>
      </c>
      <c r="I704" s="5" t="s">
        <v>17</v>
      </c>
    </row>
    <row r="705" spans="1:9">
      <c r="A705" s="5" t="s">
        <v>271</v>
      </c>
      <c r="B705" s="10"/>
      <c r="C705" s="10"/>
      <c r="D705" s="10"/>
      <c r="E705" s="10">
        <v>-2.0329207999999999</v>
      </c>
      <c r="F705" s="10"/>
      <c r="G705" s="10">
        <v>-2.7473960000000002</v>
      </c>
      <c r="H705" s="5" t="s">
        <v>17</v>
      </c>
      <c r="I705" s="5" t="s">
        <v>17</v>
      </c>
    </row>
    <row r="706" spans="1:9">
      <c r="A706" s="5" t="s">
        <v>272</v>
      </c>
      <c r="B706" s="10"/>
      <c r="C706" s="10"/>
      <c r="D706" s="10"/>
      <c r="E706" s="10">
        <v>-4.1650910000000003</v>
      </c>
      <c r="F706" s="10">
        <v>-3.9247860000000001</v>
      </c>
      <c r="G706" s="10">
        <v>-5.6502650000000001</v>
      </c>
      <c r="H706" s="5" t="s">
        <v>17</v>
      </c>
      <c r="I706" s="5" t="s">
        <v>17</v>
      </c>
    </row>
    <row r="707" spans="1:9">
      <c r="A707" s="5" t="s">
        <v>273</v>
      </c>
      <c r="B707" s="10"/>
      <c r="C707" s="10"/>
      <c r="D707" s="10"/>
      <c r="E707" s="10"/>
      <c r="F707" s="10"/>
      <c r="G707" s="10">
        <v>-2.8871216999999998</v>
      </c>
      <c r="H707" s="5" t="s">
        <v>17</v>
      </c>
      <c r="I707" s="5" t="s">
        <v>17</v>
      </c>
    </row>
    <row r="708" spans="1:9">
      <c r="A708" s="5" t="s">
        <v>274</v>
      </c>
      <c r="B708" s="10"/>
      <c r="C708" s="10"/>
      <c r="D708" s="10"/>
      <c r="E708" s="10"/>
      <c r="F708" s="10"/>
      <c r="G708" s="10">
        <v>-2.6092010000000001</v>
      </c>
      <c r="H708" s="5" t="s">
        <v>17</v>
      </c>
      <c r="I708" s="5" t="s">
        <v>17</v>
      </c>
    </row>
    <row r="709" spans="1:9">
      <c r="A709" s="5" t="s">
        <v>275</v>
      </c>
      <c r="B709" s="10"/>
      <c r="C709" s="10"/>
      <c r="D709" s="10"/>
      <c r="E709" s="10"/>
      <c r="F709" s="10"/>
      <c r="G709" s="10">
        <v>-2.3248506</v>
      </c>
      <c r="H709" s="5" t="s">
        <v>17</v>
      </c>
      <c r="I709" s="5" t="s">
        <v>17</v>
      </c>
    </row>
    <row r="710" spans="1:9">
      <c r="A710" s="5" t="s">
        <v>276</v>
      </c>
      <c r="B710" s="10"/>
      <c r="C710" s="10"/>
      <c r="D710" s="10"/>
      <c r="E710" s="10">
        <v>-2.2145261999999999</v>
      </c>
      <c r="F710" s="10">
        <v>-2.8561497</v>
      </c>
      <c r="G710" s="10">
        <v>-4.4043602999999996</v>
      </c>
      <c r="H710" s="5" t="s">
        <v>17</v>
      </c>
      <c r="I710" s="5" t="s">
        <v>17</v>
      </c>
    </row>
    <row r="711" spans="1:9">
      <c r="A711" s="5" t="s">
        <v>277</v>
      </c>
      <c r="B711" s="10"/>
      <c r="C711" s="10"/>
      <c r="D711" s="10"/>
      <c r="E711" s="10"/>
      <c r="F711" s="10"/>
      <c r="G711" s="10">
        <v>-2.3030430000000002</v>
      </c>
      <c r="H711" s="5" t="s">
        <v>17</v>
      </c>
      <c r="I711" s="5" t="s">
        <v>17</v>
      </c>
    </row>
    <row r="712" spans="1:9">
      <c r="A712" s="5" t="s">
        <v>278</v>
      </c>
      <c r="B712" s="10"/>
      <c r="C712" s="10"/>
      <c r="D712" s="10"/>
      <c r="E712" s="10"/>
      <c r="F712" s="10"/>
      <c r="G712" s="10"/>
      <c r="H712" s="5" t="s">
        <v>17</v>
      </c>
      <c r="I712" s="5" t="s">
        <v>17</v>
      </c>
    </row>
    <row r="713" spans="1:9">
      <c r="A713" s="5" t="s">
        <v>279</v>
      </c>
      <c r="B713" s="10"/>
      <c r="C713" s="10"/>
      <c r="D713" s="10"/>
      <c r="E713" s="10"/>
      <c r="F713" s="10"/>
      <c r="G713" s="10">
        <v>-3.3533691999999999</v>
      </c>
      <c r="H713" s="5" t="s">
        <v>17</v>
      </c>
      <c r="I713" s="5" t="s">
        <v>17</v>
      </c>
    </row>
    <row r="714" spans="1:9">
      <c r="A714" s="5" t="s">
        <v>280</v>
      </c>
      <c r="B714" s="10"/>
      <c r="C714" s="10">
        <v>2.0116643999999999</v>
      </c>
      <c r="D714" s="10"/>
      <c r="E714" s="10"/>
      <c r="F714" s="10"/>
      <c r="G714" s="10"/>
      <c r="H714" s="5" t="s">
        <v>17</v>
      </c>
      <c r="I714" s="5" t="s">
        <v>17</v>
      </c>
    </row>
    <row r="715" spans="1:9">
      <c r="A715" s="5" t="s">
        <v>281</v>
      </c>
      <c r="B715" s="10"/>
      <c r="C715" s="10"/>
      <c r="D715" s="10"/>
      <c r="E715" s="10"/>
      <c r="F715" s="10"/>
      <c r="G715" s="10"/>
      <c r="H715" s="5" t="s">
        <v>17</v>
      </c>
      <c r="I715" s="5" t="s">
        <v>17</v>
      </c>
    </row>
    <row r="716" spans="1:9">
      <c r="A716" s="5" t="s">
        <v>282</v>
      </c>
      <c r="B716" s="10"/>
      <c r="C716" s="10"/>
      <c r="D716" s="10"/>
      <c r="E716" s="10"/>
      <c r="F716" s="10"/>
      <c r="G716" s="10"/>
      <c r="H716" s="5" t="s">
        <v>17</v>
      </c>
      <c r="I716" s="5" t="s">
        <v>17</v>
      </c>
    </row>
    <row r="717" spans="1:9">
      <c r="A717" s="5" t="s">
        <v>283</v>
      </c>
      <c r="B717" s="10"/>
      <c r="C717" s="10"/>
      <c r="D717" s="10">
        <v>2.7045797999999999</v>
      </c>
      <c r="E717" s="10"/>
      <c r="F717" s="10"/>
      <c r="G717" s="10"/>
      <c r="H717" s="5" t="s">
        <v>17</v>
      </c>
      <c r="I717" s="5" t="s">
        <v>17</v>
      </c>
    </row>
    <row r="718" spans="1:9">
      <c r="A718" s="5" t="s">
        <v>284</v>
      </c>
      <c r="B718" s="10"/>
      <c r="C718" s="10"/>
      <c r="D718" s="10"/>
      <c r="E718" s="10"/>
      <c r="F718" s="10"/>
      <c r="G718" s="10"/>
      <c r="H718" s="5" t="s">
        <v>17</v>
      </c>
      <c r="I718" s="5" t="s">
        <v>17</v>
      </c>
    </row>
    <row r="719" spans="1:9">
      <c r="A719" s="5" t="s">
        <v>285</v>
      </c>
      <c r="B719" s="10"/>
      <c r="C719" s="10"/>
      <c r="D719" s="10"/>
      <c r="E719" s="10"/>
      <c r="F719" s="10">
        <v>-2.7140035999999998</v>
      </c>
      <c r="G719" s="10"/>
      <c r="H719" s="5" t="s">
        <v>17</v>
      </c>
      <c r="I719" s="5" t="s">
        <v>17</v>
      </c>
    </row>
    <row r="720" spans="1:9">
      <c r="A720" s="5" t="s">
        <v>286</v>
      </c>
      <c r="B720" s="10"/>
      <c r="C720" s="10"/>
      <c r="D720" s="10"/>
      <c r="E720" s="10"/>
      <c r="F720" s="10">
        <v>-2.2058817999999998</v>
      </c>
      <c r="G720" s="10"/>
      <c r="H720" s="5" t="s">
        <v>17</v>
      </c>
      <c r="I720" s="5" t="s">
        <v>17</v>
      </c>
    </row>
    <row r="721" spans="1:9">
      <c r="A721" s="5" t="s">
        <v>287</v>
      </c>
      <c r="B721" s="10"/>
      <c r="C721" s="10"/>
      <c r="D721" s="10"/>
      <c r="E721" s="10"/>
      <c r="F721" s="10"/>
      <c r="G721" s="10">
        <v>-2.4828477000000002</v>
      </c>
      <c r="H721" s="5" t="s">
        <v>17</v>
      </c>
      <c r="I721" s="5" t="s">
        <v>17</v>
      </c>
    </row>
    <row r="722" spans="1:9">
      <c r="A722" s="5" t="s">
        <v>558</v>
      </c>
      <c r="B722" s="10"/>
      <c r="C722" s="10">
        <v>2.4961042</v>
      </c>
      <c r="D722" s="10">
        <v>2.1387930000000002</v>
      </c>
      <c r="E722" s="10"/>
      <c r="F722" s="10"/>
      <c r="G722" s="10"/>
      <c r="H722" s="5" t="s">
        <v>17</v>
      </c>
      <c r="I722" s="5" t="s">
        <v>17</v>
      </c>
    </row>
    <row r="723" spans="1:9">
      <c r="A723" s="5" t="s">
        <v>288</v>
      </c>
      <c r="B723" s="10"/>
      <c r="C723" s="10"/>
      <c r="D723" s="10"/>
      <c r="E723" s="10"/>
      <c r="F723" s="10"/>
      <c r="G723" s="10">
        <v>-2.7707324</v>
      </c>
      <c r="H723" s="5" t="s">
        <v>17</v>
      </c>
      <c r="I723" s="5" t="s">
        <v>17</v>
      </c>
    </row>
    <row r="724" spans="1:9">
      <c r="A724" s="5" t="s">
        <v>289</v>
      </c>
      <c r="B724" s="10"/>
      <c r="C724" s="10">
        <v>2.1250586999999999</v>
      </c>
      <c r="D724" s="10"/>
      <c r="E724" s="10"/>
      <c r="F724" s="10"/>
      <c r="G724" s="10"/>
      <c r="H724" s="5" t="s">
        <v>17</v>
      </c>
      <c r="I724" s="5" t="s">
        <v>17</v>
      </c>
    </row>
    <row r="725" spans="1:9">
      <c r="A725" s="5" t="s">
        <v>290</v>
      </c>
      <c r="B725" s="10"/>
      <c r="C725" s="10"/>
      <c r="D725" s="10"/>
      <c r="E725" s="10"/>
      <c r="F725" s="10"/>
      <c r="G725" s="10">
        <v>-2.6589545999999999</v>
      </c>
      <c r="H725" s="5" t="s">
        <v>17</v>
      </c>
      <c r="I725" s="5" t="s">
        <v>17</v>
      </c>
    </row>
    <row r="726" spans="1:9">
      <c r="A726" s="5" t="s">
        <v>291</v>
      </c>
      <c r="B726" s="10"/>
      <c r="C726" s="10"/>
      <c r="D726" s="10"/>
      <c r="E726" s="10"/>
      <c r="F726" s="10"/>
      <c r="G726" s="10">
        <v>-2.4123049999999999</v>
      </c>
      <c r="H726" s="5" t="s">
        <v>17</v>
      </c>
      <c r="I726" s="5" t="s">
        <v>17</v>
      </c>
    </row>
    <row r="727" spans="1:9">
      <c r="A727" s="5" t="s">
        <v>292</v>
      </c>
      <c r="B727" s="10"/>
      <c r="C727" s="10"/>
      <c r="D727" s="10"/>
      <c r="E727" s="10"/>
      <c r="F727" s="10"/>
      <c r="G727" s="10">
        <v>-2.4412780000000001</v>
      </c>
      <c r="H727" s="5" t="s">
        <v>17</v>
      </c>
      <c r="I727" s="5" t="s">
        <v>17</v>
      </c>
    </row>
    <row r="728" spans="1:9">
      <c r="A728" s="5" t="s">
        <v>293</v>
      </c>
      <c r="B728" s="10"/>
      <c r="C728" s="10"/>
      <c r="D728" s="10"/>
      <c r="E728" s="10"/>
      <c r="F728" s="10">
        <v>-2.2384515</v>
      </c>
      <c r="G728" s="10"/>
      <c r="H728" s="5" t="s">
        <v>17</v>
      </c>
      <c r="I728" s="5" t="s">
        <v>17</v>
      </c>
    </row>
    <row r="729" spans="1:9">
      <c r="A729" s="5" t="s">
        <v>294</v>
      </c>
      <c r="B729" s="10"/>
      <c r="C729" s="10"/>
      <c r="D729" s="10"/>
      <c r="E729" s="10"/>
      <c r="F729" s="10"/>
      <c r="G729" s="10"/>
      <c r="H729" s="5" t="s">
        <v>17</v>
      </c>
      <c r="I729" s="5" t="s">
        <v>17</v>
      </c>
    </row>
    <row r="730" spans="1:9">
      <c r="A730" s="5" t="s">
        <v>295</v>
      </c>
      <c r="B730" s="10"/>
      <c r="C730" s="10"/>
      <c r="D730" s="10"/>
      <c r="E730" s="10">
        <v>-2.3834447999999999</v>
      </c>
      <c r="F730" s="10">
        <v>-2.64188</v>
      </c>
      <c r="G730" s="10">
        <v>-3.9558764000000002</v>
      </c>
      <c r="H730" s="5" t="s">
        <v>17</v>
      </c>
      <c r="I730" s="5" t="s">
        <v>17</v>
      </c>
    </row>
    <row r="731" spans="1:9">
      <c r="A731" s="5" t="s">
        <v>296</v>
      </c>
      <c r="B731" s="10"/>
      <c r="C731" s="10"/>
      <c r="D731" s="10"/>
      <c r="E731" s="10">
        <v>-2.4829721</v>
      </c>
      <c r="F731" s="10">
        <v>-2.2821999000000002</v>
      </c>
      <c r="G731" s="10">
        <v>-3.6573600000000002</v>
      </c>
      <c r="H731" s="5" t="s">
        <v>17</v>
      </c>
      <c r="I731" s="5" t="s">
        <v>17</v>
      </c>
    </row>
    <row r="732" spans="1:9">
      <c r="A732" s="5" t="s">
        <v>297</v>
      </c>
      <c r="B732" s="10"/>
      <c r="C732" s="10"/>
      <c r="D732" s="10"/>
      <c r="E732" s="10"/>
      <c r="F732" s="10"/>
      <c r="G732" s="10"/>
      <c r="H732" s="5" t="s">
        <v>17</v>
      </c>
      <c r="I732" s="5" t="s">
        <v>17</v>
      </c>
    </row>
    <row r="733" spans="1:9">
      <c r="A733" s="5" t="s">
        <v>298</v>
      </c>
      <c r="B733" s="10"/>
      <c r="C733" s="10"/>
      <c r="D733" s="10"/>
      <c r="E733" s="10">
        <v>-2.2065239999999999</v>
      </c>
      <c r="F733" s="10">
        <v>-2.9787712000000002</v>
      </c>
      <c r="G733" s="10">
        <v>-3.6121864000000001</v>
      </c>
      <c r="H733" s="5" t="s">
        <v>17</v>
      </c>
      <c r="I733" s="5" t="s">
        <v>17</v>
      </c>
    </row>
    <row r="734" spans="1:9">
      <c r="A734" s="5" t="s">
        <v>299</v>
      </c>
      <c r="B734" s="10"/>
      <c r="C734" s="10"/>
      <c r="D734" s="10"/>
      <c r="E734" s="10"/>
      <c r="F734" s="10"/>
      <c r="G734" s="10">
        <v>-2.4568720000000002</v>
      </c>
      <c r="H734" s="5" t="s">
        <v>17</v>
      </c>
      <c r="I734" s="5" t="s">
        <v>17</v>
      </c>
    </row>
    <row r="735" spans="1:9">
      <c r="A735" s="5" t="s">
        <v>300</v>
      </c>
      <c r="B735" s="10"/>
      <c r="C735" s="10"/>
      <c r="D735" s="10">
        <v>2.2992625000000002</v>
      </c>
      <c r="E735" s="10"/>
      <c r="F735" s="10"/>
      <c r="G735" s="10"/>
      <c r="H735" s="5" t="s">
        <v>17</v>
      </c>
      <c r="I735" s="5" t="s">
        <v>17</v>
      </c>
    </row>
    <row r="736" spans="1:9">
      <c r="A736" s="5" t="s">
        <v>301</v>
      </c>
      <c r="B736" s="10"/>
      <c r="C736" s="10"/>
      <c r="D736" s="10"/>
      <c r="E736" s="10">
        <v>-2.6704888000000002</v>
      </c>
      <c r="F736" s="10">
        <v>-3.5120939999999998</v>
      </c>
      <c r="G736" s="10"/>
      <c r="H736" s="5" t="s">
        <v>17</v>
      </c>
      <c r="I736" s="5" t="s">
        <v>17</v>
      </c>
    </row>
    <row r="737" spans="1:9">
      <c r="A737" s="5" t="s">
        <v>302</v>
      </c>
      <c r="B737" s="10"/>
      <c r="C737" s="10"/>
      <c r="D737" s="10"/>
      <c r="E737" s="10"/>
      <c r="F737" s="10"/>
      <c r="G737" s="10">
        <v>-2.4132853000000001</v>
      </c>
      <c r="H737" s="5" t="s">
        <v>17</v>
      </c>
      <c r="I737" s="5" t="s">
        <v>17</v>
      </c>
    </row>
    <row r="738" spans="1:9">
      <c r="A738" s="5" t="s">
        <v>303</v>
      </c>
      <c r="B738" s="10"/>
      <c r="C738" s="10"/>
      <c r="D738" s="10"/>
      <c r="E738" s="10"/>
      <c r="F738" s="10"/>
      <c r="G738" s="10">
        <v>-2.1299112</v>
      </c>
      <c r="H738" s="5" t="s">
        <v>17</v>
      </c>
      <c r="I738" s="5" t="s">
        <v>17</v>
      </c>
    </row>
    <row r="739" spans="1:9">
      <c r="A739" s="5" t="s">
        <v>304</v>
      </c>
      <c r="B739" s="10"/>
      <c r="C739" s="10"/>
      <c r="D739" s="10"/>
      <c r="E739" s="10"/>
      <c r="F739" s="10"/>
      <c r="G739" s="10">
        <v>-2.7477564999999999</v>
      </c>
      <c r="H739" s="5" t="s">
        <v>17</v>
      </c>
      <c r="I739" s="5" t="s">
        <v>17</v>
      </c>
    </row>
    <row r="740" spans="1:9">
      <c r="A740" s="5" t="s">
        <v>305</v>
      </c>
      <c r="B740" s="10"/>
      <c r="C740" s="10"/>
      <c r="D740" s="10"/>
      <c r="E740" s="10"/>
      <c r="F740" s="10"/>
      <c r="G740" s="10">
        <v>-2.6943636</v>
      </c>
      <c r="H740" s="5" t="s">
        <v>17</v>
      </c>
      <c r="I740" s="5" t="s">
        <v>17</v>
      </c>
    </row>
    <row r="741" spans="1:9">
      <c r="A741" s="5" t="s">
        <v>306</v>
      </c>
      <c r="B741" s="10"/>
      <c r="C741" s="10"/>
      <c r="D741" s="10"/>
      <c r="E741" s="10"/>
      <c r="F741" s="10"/>
      <c r="G741" s="10">
        <v>-2.3401360000000002</v>
      </c>
      <c r="H741" s="5" t="s">
        <v>17</v>
      </c>
      <c r="I741" s="5" t="s">
        <v>17</v>
      </c>
    </row>
    <row r="742" spans="1:9">
      <c r="A742" s="5" t="s">
        <v>307</v>
      </c>
      <c r="B742" s="10"/>
      <c r="C742" s="10"/>
      <c r="D742" s="10"/>
      <c r="E742" s="10"/>
      <c r="F742" s="10"/>
      <c r="G742" s="10">
        <v>-2.0247712</v>
      </c>
      <c r="H742" s="5" t="s">
        <v>17</v>
      </c>
      <c r="I742" s="5" t="s">
        <v>17</v>
      </c>
    </row>
    <row r="743" spans="1:9">
      <c r="A743" s="5" t="s">
        <v>308</v>
      </c>
      <c r="B743" s="10"/>
      <c r="C743" s="10">
        <v>2.3348365000000002</v>
      </c>
      <c r="D743" s="10"/>
      <c r="E743" s="10"/>
      <c r="F743" s="10"/>
      <c r="G743" s="10"/>
      <c r="H743" s="5" t="s">
        <v>17</v>
      </c>
      <c r="I743" s="5" t="s">
        <v>17</v>
      </c>
    </row>
    <row r="744" spans="1:9">
      <c r="A744" s="5" t="s">
        <v>309</v>
      </c>
      <c r="B744" s="10"/>
      <c r="C744" s="10"/>
      <c r="D744" s="10"/>
      <c r="E744" s="10"/>
      <c r="F744" s="10"/>
      <c r="G744" s="10"/>
      <c r="H744" s="5" t="s">
        <v>17</v>
      </c>
      <c r="I744" s="5" t="s">
        <v>17</v>
      </c>
    </row>
    <row r="745" spans="1:9">
      <c r="A745" s="5" t="s">
        <v>310</v>
      </c>
      <c r="B745" s="10"/>
      <c r="C745" s="10"/>
      <c r="D745" s="10"/>
      <c r="E745" s="10"/>
      <c r="F745" s="10"/>
      <c r="G745" s="10">
        <v>-2.1589480000000001</v>
      </c>
      <c r="H745" s="5" t="s">
        <v>17</v>
      </c>
      <c r="I745" s="5" t="s">
        <v>17</v>
      </c>
    </row>
    <row r="746" spans="1:9">
      <c r="A746" s="5" t="s">
        <v>311</v>
      </c>
      <c r="B746" s="10"/>
      <c r="C746" s="10"/>
      <c r="D746" s="10"/>
      <c r="E746" s="10"/>
      <c r="F746" s="10"/>
      <c r="G746" s="10"/>
      <c r="H746" s="5" t="s">
        <v>17</v>
      </c>
      <c r="I746" s="5" t="s">
        <v>17</v>
      </c>
    </row>
    <row r="747" spans="1:9">
      <c r="A747" s="5" t="s">
        <v>312</v>
      </c>
      <c r="B747" s="10"/>
      <c r="C747" s="10"/>
      <c r="D747" s="10"/>
      <c r="E747" s="10"/>
      <c r="F747" s="10"/>
      <c r="G747" s="10">
        <v>-2.7432737</v>
      </c>
      <c r="H747" s="5" t="s">
        <v>17</v>
      </c>
      <c r="I747" s="5" t="s">
        <v>17</v>
      </c>
    </row>
    <row r="748" spans="1:9">
      <c r="A748" s="5" t="s">
        <v>313</v>
      </c>
      <c r="B748" s="10"/>
      <c r="C748" s="10"/>
      <c r="D748" s="10"/>
      <c r="E748" s="10"/>
      <c r="F748" s="10">
        <v>-4.1030360000000003</v>
      </c>
      <c r="G748" s="10"/>
      <c r="H748" s="5" t="s">
        <v>17</v>
      </c>
      <c r="I748" s="5" t="s">
        <v>17</v>
      </c>
    </row>
    <row r="749" spans="1:9">
      <c r="A749" s="5" t="s">
        <v>314</v>
      </c>
      <c r="B749" s="10"/>
      <c r="C749" s="10"/>
      <c r="D749" s="10"/>
      <c r="E749" s="10"/>
      <c r="F749" s="10"/>
      <c r="G749" s="10">
        <v>-2.0009800000000002</v>
      </c>
      <c r="H749" s="5" t="s">
        <v>17</v>
      </c>
      <c r="I749" s="5" t="s">
        <v>17</v>
      </c>
    </row>
    <row r="750" spans="1:9">
      <c r="A750" s="5" t="s">
        <v>315</v>
      </c>
      <c r="B750" s="10"/>
      <c r="C750" s="10"/>
      <c r="D750" s="10"/>
      <c r="E750" s="10"/>
      <c r="F750" s="10"/>
      <c r="G750" s="10">
        <v>-5.2760983000000001</v>
      </c>
      <c r="H750" s="5" t="s">
        <v>17</v>
      </c>
      <c r="I750" s="5" t="s">
        <v>17</v>
      </c>
    </row>
    <row r="751" spans="1:9">
      <c r="A751" s="5" t="s">
        <v>316</v>
      </c>
      <c r="B751" s="10"/>
      <c r="C751" s="10"/>
      <c r="D751" s="10"/>
      <c r="E751" s="10"/>
      <c r="F751" s="10"/>
      <c r="G751" s="10">
        <v>-2.6156568999999998</v>
      </c>
      <c r="H751" s="5" t="s">
        <v>17</v>
      </c>
      <c r="I751" s="5" t="s">
        <v>17</v>
      </c>
    </row>
    <row r="752" spans="1:9">
      <c r="A752" s="5" t="s">
        <v>317</v>
      </c>
      <c r="B752" s="10"/>
      <c r="C752" s="10"/>
      <c r="D752" s="10"/>
      <c r="E752" s="10"/>
      <c r="F752" s="10"/>
      <c r="G752" s="10">
        <v>-3.7134985999999999</v>
      </c>
      <c r="H752" s="5" t="s">
        <v>17</v>
      </c>
      <c r="I752" s="5" t="s">
        <v>17</v>
      </c>
    </row>
    <row r="753" spans="1:9">
      <c r="A753" s="5" t="s">
        <v>318</v>
      </c>
      <c r="B753" s="10"/>
      <c r="C753" s="10"/>
      <c r="D753" s="10"/>
      <c r="E753" s="10"/>
      <c r="F753" s="10">
        <v>-2.5338916999999999</v>
      </c>
      <c r="G753" s="10">
        <v>-2.7940182999999998</v>
      </c>
      <c r="H753" s="5" t="s">
        <v>17</v>
      </c>
      <c r="I753" s="5" t="s">
        <v>17</v>
      </c>
    </row>
    <row r="754" spans="1:9">
      <c r="A754" s="5" t="s">
        <v>319</v>
      </c>
      <c r="B754" s="10"/>
      <c r="C754" s="10"/>
      <c r="D754" s="10"/>
      <c r="E754" s="10"/>
      <c r="F754" s="10">
        <v>-2.2303505000000001</v>
      </c>
      <c r="G754" s="10">
        <v>-2.6241460000000001</v>
      </c>
      <c r="H754" s="5" t="s">
        <v>17</v>
      </c>
      <c r="I754" s="5" t="s">
        <v>17</v>
      </c>
    </row>
    <row r="755" spans="1:9">
      <c r="A755" s="5" t="s">
        <v>320</v>
      </c>
      <c r="B755" s="10"/>
      <c r="C755" s="10"/>
      <c r="D755" s="10"/>
      <c r="E755" s="10"/>
      <c r="F755" s="10">
        <v>-2.7318726</v>
      </c>
      <c r="G755" s="10">
        <v>-3.0569448000000001</v>
      </c>
      <c r="H755" s="5" t="s">
        <v>17</v>
      </c>
      <c r="I755" s="5" t="s">
        <v>17</v>
      </c>
    </row>
    <row r="756" spans="1:9">
      <c r="A756" s="5" t="s">
        <v>321</v>
      </c>
      <c r="B756" s="10"/>
      <c r="C756" s="10"/>
      <c r="D756" s="10"/>
      <c r="E756" s="10"/>
      <c r="F756" s="10"/>
      <c r="G756" s="10"/>
      <c r="H756" s="5" t="s">
        <v>17</v>
      </c>
      <c r="I756" s="5" t="s">
        <v>17</v>
      </c>
    </row>
    <row r="757" spans="1:9">
      <c r="A757" s="5" t="s">
        <v>322</v>
      </c>
      <c r="B757" s="10"/>
      <c r="C757" s="10"/>
      <c r="D757" s="10"/>
      <c r="E757" s="10">
        <v>-3.5313563000000001</v>
      </c>
      <c r="F757" s="10">
        <v>-2.9198556</v>
      </c>
      <c r="G757" s="10">
        <v>-5.1180643999999997</v>
      </c>
      <c r="H757" s="5" t="s">
        <v>17</v>
      </c>
      <c r="I757" s="5" t="s">
        <v>17</v>
      </c>
    </row>
    <row r="758" spans="1:9">
      <c r="A758" s="5" t="s">
        <v>323</v>
      </c>
      <c r="B758" s="10"/>
      <c r="C758" s="10"/>
      <c r="D758" s="10"/>
      <c r="E758" s="10">
        <v>-4.9131450000000001</v>
      </c>
      <c r="F758" s="10">
        <v>-5.2209826000000001</v>
      </c>
      <c r="G758" s="10">
        <v>-4.1907990000000002</v>
      </c>
      <c r="H758" s="5" t="s">
        <v>17</v>
      </c>
      <c r="I758" s="5" t="s">
        <v>17</v>
      </c>
    </row>
    <row r="759" spans="1:9">
      <c r="A759" s="5" t="s">
        <v>324</v>
      </c>
      <c r="B759" s="10"/>
      <c r="C759" s="10"/>
      <c r="D759" s="10"/>
      <c r="E759" s="10"/>
      <c r="F759" s="10">
        <v>-3.4434529999999999</v>
      </c>
      <c r="G759" s="10"/>
      <c r="H759" s="5" t="s">
        <v>17</v>
      </c>
      <c r="I759" s="5" t="s">
        <v>17</v>
      </c>
    </row>
    <row r="760" spans="1:9">
      <c r="A760" s="5" t="s">
        <v>325</v>
      </c>
      <c r="B760" s="10"/>
      <c r="C760" s="10"/>
      <c r="D760" s="10"/>
      <c r="E760" s="10"/>
      <c r="F760" s="10">
        <v>-3.1229724999999999</v>
      </c>
      <c r="G760" s="10">
        <v>-3.9448376000000001</v>
      </c>
      <c r="H760" s="5" t="s">
        <v>17</v>
      </c>
      <c r="I760" s="5" t="s">
        <v>17</v>
      </c>
    </row>
    <row r="761" spans="1:9">
      <c r="A761" s="5" t="s">
        <v>326</v>
      </c>
      <c r="B761" s="10"/>
      <c r="C761" s="10"/>
      <c r="D761" s="10"/>
      <c r="E761" s="10"/>
      <c r="F761" s="10"/>
      <c r="G761" s="10">
        <v>-2.00204</v>
      </c>
      <c r="H761" s="5" t="s">
        <v>17</v>
      </c>
      <c r="I761" s="5" t="s">
        <v>17</v>
      </c>
    </row>
    <row r="762" spans="1:9">
      <c r="A762" s="5" t="s">
        <v>327</v>
      </c>
      <c r="B762" s="10"/>
      <c r="C762" s="10"/>
      <c r="D762" s="10"/>
      <c r="E762" s="10"/>
      <c r="F762" s="10"/>
      <c r="G762" s="10"/>
      <c r="H762" s="5" t="s">
        <v>17</v>
      </c>
      <c r="I762" s="5" t="s">
        <v>17</v>
      </c>
    </row>
    <row r="763" spans="1:9">
      <c r="A763" s="5" t="s">
        <v>328</v>
      </c>
      <c r="B763" s="10"/>
      <c r="C763" s="10"/>
      <c r="D763" s="10"/>
      <c r="E763" s="10"/>
      <c r="F763" s="10">
        <v>-2.783525</v>
      </c>
      <c r="G763" s="10"/>
      <c r="H763" s="5" t="s">
        <v>17</v>
      </c>
      <c r="I763" s="5" t="s">
        <v>17</v>
      </c>
    </row>
    <row r="764" spans="1:9">
      <c r="A764" s="5" t="s">
        <v>329</v>
      </c>
      <c r="B764" s="10"/>
      <c r="C764" s="10"/>
      <c r="D764" s="10"/>
      <c r="E764" s="10"/>
      <c r="F764" s="10"/>
      <c r="G764" s="10">
        <v>-2.2931982999999998</v>
      </c>
      <c r="H764" s="5" t="s">
        <v>17</v>
      </c>
      <c r="I764" s="5" t="s">
        <v>17</v>
      </c>
    </row>
    <row r="765" spans="1:9">
      <c r="A765" s="5" t="s">
        <v>330</v>
      </c>
      <c r="B765" s="10"/>
      <c r="C765" s="10"/>
      <c r="D765" s="10"/>
      <c r="E765" s="10"/>
      <c r="F765" s="10"/>
      <c r="G765" s="10">
        <v>-2.8078932999999999</v>
      </c>
      <c r="H765" s="5" t="s">
        <v>17</v>
      </c>
      <c r="I765" s="5" t="s">
        <v>17</v>
      </c>
    </row>
    <row r="766" spans="1:9">
      <c r="A766" s="5" t="s">
        <v>331</v>
      </c>
      <c r="B766" s="10"/>
      <c r="C766" s="10"/>
      <c r="D766" s="10"/>
      <c r="E766" s="10"/>
      <c r="F766" s="10"/>
      <c r="G766" s="10"/>
      <c r="H766" s="5" t="s">
        <v>17</v>
      </c>
      <c r="I766" s="5" t="s">
        <v>17</v>
      </c>
    </row>
    <row r="767" spans="1:9">
      <c r="A767" s="5" t="s">
        <v>332</v>
      </c>
      <c r="B767" s="10"/>
      <c r="C767" s="10"/>
      <c r="D767" s="10"/>
      <c r="E767" s="10"/>
      <c r="F767" s="10"/>
      <c r="G767" s="10"/>
      <c r="H767" s="5" t="s">
        <v>17</v>
      </c>
      <c r="I767" s="5" t="s">
        <v>17</v>
      </c>
    </row>
    <row r="768" spans="1:9">
      <c r="A768" s="5" t="s">
        <v>333</v>
      </c>
      <c r="B768" s="10"/>
      <c r="C768" s="10"/>
      <c r="D768" s="10"/>
      <c r="E768" s="10"/>
      <c r="F768" s="10"/>
      <c r="G768" s="10">
        <v>-2.2098908000000002</v>
      </c>
      <c r="H768" s="5" t="s">
        <v>17</v>
      </c>
      <c r="I768" s="5" t="s">
        <v>17</v>
      </c>
    </row>
    <row r="769" spans="1:9">
      <c r="A769" s="5" t="s">
        <v>334</v>
      </c>
      <c r="B769" s="10">
        <v>3.4994402</v>
      </c>
      <c r="C769" s="10">
        <v>4.7804929999999999</v>
      </c>
      <c r="D769" s="10">
        <v>4.9020194999999998</v>
      </c>
      <c r="E769" s="10"/>
      <c r="F769" s="10"/>
      <c r="G769" s="10"/>
      <c r="H769" s="5" t="s">
        <v>17</v>
      </c>
      <c r="I769" s="5" t="s">
        <v>17</v>
      </c>
    </row>
    <row r="770" spans="1:9">
      <c r="A770" s="5" t="s">
        <v>335</v>
      </c>
      <c r="B770" s="10"/>
      <c r="C770" s="10"/>
      <c r="D770" s="10"/>
      <c r="E770" s="10">
        <v>-3.7272177000000002</v>
      </c>
      <c r="F770" s="10">
        <v>-3.7091036000000002</v>
      </c>
      <c r="G770" s="10">
        <v>-4.4185895999999998</v>
      </c>
      <c r="H770" s="5" t="s">
        <v>17</v>
      </c>
      <c r="I770" s="5" t="s">
        <v>17</v>
      </c>
    </row>
    <row r="771" spans="1:9">
      <c r="A771" s="5" t="s">
        <v>336</v>
      </c>
      <c r="B771" s="10"/>
      <c r="C771" s="10"/>
      <c r="D771" s="10"/>
      <c r="E771" s="10"/>
      <c r="F771" s="10"/>
      <c r="G771" s="10"/>
      <c r="H771" s="5" t="s">
        <v>17</v>
      </c>
      <c r="I771" s="5" t="s">
        <v>17</v>
      </c>
    </row>
    <row r="772" spans="1:9">
      <c r="A772" s="5" t="s">
        <v>337</v>
      </c>
      <c r="B772" s="10"/>
      <c r="C772" s="10"/>
      <c r="D772" s="10"/>
      <c r="E772" s="10"/>
      <c r="F772" s="10"/>
      <c r="G772" s="10">
        <v>-3.0014207000000002</v>
      </c>
      <c r="H772" s="5" t="s">
        <v>17</v>
      </c>
      <c r="I772" s="5" t="s">
        <v>17</v>
      </c>
    </row>
    <row r="773" spans="1:9">
      <c r="A773" s="5" t="s">
        <v>338</v>
      </c>
      <c r="B773" s="10"/>
      <c r="C773" s="10">
        <v>2.1574019999999998</v>
      </c>
      <c r="D773" s="10">
        <v>2.2073874</v>
      </c>
      <c r="E773" s="10"/>
      <c r="F773" s="10"/>
      <c r="G773" s="10"/>
      <c r="H773" s="5" t="s">
        <v>17</v>
      </c>
      <c r="I773" s="5" t="s">
        <v>17</v>
      </c>
    </row>
    <row r="774" spans="1:9">
      <c r="A774" s="5" t="s">
        <v>339</v>
      </c>
      <c r="B774" s="10"/>
      <c r="C774" s="10"/>
      <c r="D774" s="10"/>
      <c r="E774" s="10"/>
      <c r="F774" s="10"/>
      <c r="G774" s="10">
        <v>-2.5251890000000001</v>
      </c>
      <c r="H774" s="5" t="s">
        <v>17</v>
      </c>
      <c r="I774" s="5" t="s">
        <v>17</v>
      </c>
    </row>
    <row r="775" spans="1:9">
      <c r="A775" s="5" t="s">
        <v>340</v>
      </c>
      <c r="B775" s="10"/>
      <c r="C775" s="10"/>
      <c r="D775" s="10"/>
      <c r="E775" s="10"/>
      <c r="F775" s="10"/>
      <c r="G775" s="10"/>
      <c r="H775" s="5" t="s">
        <v>17</v>
      </c>
      <c r="I775" s="5" t="s">
        <v>17</v>
      </c>
    </row>
    <row r="776" spans="1:9">
      <c r="A776" s="5" t="s">
        <v>341</v>
      </c>
      <c r="B776" s="10"/>
      <c r="C776" s="10"/>
      <c r="D776" s="10"/>
      <c r="E776" s="10">
        <v>-2.4020343</v>
      </c>
      <c r="F776" s="10">
        <v>-3.5209842</v>
      </c>
      <c r="G776" s="10"/>
      <c r="H776" s="5" t="s">
        <v>17</v>
      </c>
      <c r="I776" s="5" t="s">
        <v>17</v>
      </c>
    </row>
    <row r="777" spans="1:9">
      <c r="A777" s="5" t="s">
        <v>342</v>
      </c>
      <c r="B777" s="10"/>
      <c r="C777" s="10"/>
      <c r="D777" s="10"/>
      <c r="E777" s="10"/>
      <c r="F777" s="10"/>
      <c r="G777" s="10">
        <v>-2.5213684999999999</v>
      </c>
      <c r="H777" s="5" t="s">
        <v>17</v>
      </c>
      <c r="I777" s="5" t="s">
        <v>17</v>
      </c>
    </row>
    <row r="778" spans="1:9">
      <c r="A778" s="5" t="s">
        <v>343</v>
      </c>
      <c r="B778" s="10"/>
      <c r="C778" s="10"/>
      <c r="D778" s="10"/>
      <c r="E778" s="10"/>
      <c r="F778" s="10"/>
      <c r="G778" s="10"/>
      <c r="H778" s="5" t="s">
        <v>17</v>
      </c>
      <c r="I778" s="5" t="s">
        <v>17</v>
      </c>
    </row>
    <row r="779" spans="1:9">
      <c r="A779" s="5" t="s">
        <v>344</v>
      </c>
      <c r="B779" s="10"/>
      <c r="C779" s="10"/>
      <c r="D779" s="10"/>
      <c r="E779" s="10"/>
      <c r="F779" s="10">
        <v>-2.6278557999999999</v>
      </c>
      <c r="G779" s="10">
        <v>-2.6723962000000001</v>
      </c>
      <c r="H779" s="5" t="s">
        <v>17</v>
      </c>
      <c r="I779" s="5" t="s">
        <v>17</v>
      </c>
    </row>
    <row r="780" spans="1:9">
      <c r="A780" s="5" t="s">
        <v>345</v>
      </c>
      <c r="B780" s="10"/>
      <c r="C780" s="10"/>
      <c r="D780" s="10"/>
      <c r="E780" s="10">
        <v>-2.4329122999999999</v>
      </c>
      <c r="F780" s="10"/>
      <c r="G780" s="10"/>
      <c r="H780" s="5" t="s">
        <v>17</v>
      </c>
      <c r="I780" s="5" t="s">
        <v>17</v>
      </c>
    </row>
    <row r="781" spans="1:9">
      <c r="A781" s="5" t="s">
        <v>346</v>
      </c>
      <c r="B781" s="10"/>
      <c r="C781" s="10"/>
      <c r="D781" s="10"/>
      <c r="E781" s="10"/>
      <c r="F781" s="10"/>
      <c r="G781" s="10"/>
      <c r="H781" s="5" t="s">
        <v>17</v>
      </c>
      <c r="I781" s="5" t="s">
        <v>17</v>
      </c>
    </row>
    <row r="782" spans="1:9">
      <c r="A782" s="5" t="s">
        <v>347</v>
      </c>
      <c r="B782" s="10"/>
      <c r="C782" s="10"/>
      <c r="D782" s="10"/>
      <c r="E782" s="10"/>
      <c r="F782" s="10"/>
      <c r="G782" s="10">
        <v>-2.2173642999999998</v>
      </c>
      <c r="H782" s="5" t="s">
        <v>17</v>
      </c>
      <c r="I782" s="5" t="s">
        <v>17</v>
      </c>
    </row>
    <row r="783" spans="1:9">
      <c r="A783" s="5" t="s">
        <v>348</v>
      </c>
      <c r="B783" s="10"/>
      <c r="C783" s="10"/>
      <c r="D783" s="10"/>
      <c r="E783" s="10"/>
      <c r="F783" s="10"/>
      <c r="G783" s="10">
        <v>-2.3708105000000002</v>
      </c>
      <c r="H783" s="5" t="s">
        <v>17</v>
      </c>
      <c r="I783" s="5" t="s">
        <v>17</v>
      </c>
    </row>
    <row r="784" spans="1:9">
      <c r="A784" s="5" t="s">
        <v>349</v>
      </c>
      <c r="B784" s="10"/>
      <c r="C784" s="10"/>
      <c r="D784" s="10"/>
      <c r="E784" s="10"/>
      <c r="F784" s="10"/>
      <c r="G784" s="10">
        <v>-2.839772</v>
      </c>
      <c r="H784" s="5" t="s">
        <v>17</v>
      </c>
      <c r="I784" s="5" t="s">
        <v>17</v>
      </c>
    </row>
    <row r="785" spans="1:9">
      <c r="A785" s="5" t="s">
        <v>350</v>
      </c>
      <c r="B785" s="10"/>
      <c r="C785" s="10"/>
      <c r="D785" s="10"/>
      <c r="E785" s="10"/>
      <c r="F785" s="10"/>
      <c r="G785" s="10"/>
      <c r="H785" s="5" t="s">
        <v>17</v>
      </c>
      <c r="I785" s="5" t="s">
        <v>17</v>
      </c>
    </row>
    <row r="786" spans="1:9">
      <c r="A786" s="5" t="s">
        <v>351</v>
      </c>
      <c r="B786" s="10"/>
      <c r="C786" s="10"/>
      <c r="D786" s="10"/>
      <c r="E786" s="10"/>
      <c r="F786" s="10"/>
      <c r="G786" s="10"/>
      <c r="H786" s="5" t="s">
        <v>17</v>
      </c>
      <c r="I786" s="5" t="s">
        <v>17</v>
      </c>
    </row>
    <row r="787" spans="1:9">
      <c r="A787" s="5" t="s">
        <v>352</v>
      </c>
      <c r="B787" s="10"/>
      <c r="C787" s="10"/>
      <c r="D787" s="10"/>
      <c r="E787" s="10"/>
      <c r="F787" s="10"/>
      <c r="G787" s="10"/>
      <c r="H787" s="5" t="s">
        <v>17</v>
      </c>
      <c r="I787" s="5" t="s">
        <v>17</v>
      </c>
    </row>
    <row r="788" spans="1:9">
      <c r="A788" s="5" t="s">
        <v>353</v>
      </c>
      <c r="B788" s="10"/>
      <c r="C788" s="10"/>
      <c r="D788" s="10"/>
      <c r="E788" s="10"/>
      <c r="F788" s="10">
        <v>-2.300681</v>
      </c>
      <c r="G788" s="10">
        <v>-2.2068699999999999</v>
      </c>
      <c r="H788" s="5" t="s">
        <v>17</v>
      </c>
      <c r="I788" s="5" t="s">
        <v>17</v>
      </c>
    </row>
    <row r="789" spans="1:9">
      <c r="A789" s="5" t="s">
        <v>354</v>
      </c>
      <c r="B789" s="10"/>
      <c r="C789" s="10"/>
      <c r="D789" s="10"/>
      <c r="E789" s="10"/>
      <c r="F789" s="10">
        <v>-3.4143126000000001</v>
      </c>
      <c r="G789" s="10"/>
      <c r="H789" s="5" t="s">
        <v>17</v>
      </c>
      <c r="I789" s="5" t="s">
        <v>17</v>
      </c>
    </row>
    <row r="790" spans="1:9">
      <c r="A790" s="5" t="s">
        <v>355</v>
      </c>
      <c r="B790" s="10"/>
      <c r="C790" s="10"/>
      <c r="D790" s="10"/>
      <c r="E790" s="10"/>
      <c r="F790" s="10"/>
      <c r="G790" s="10">
        <v>-2.2853851000000001</v>
      </c>
      <c r="H790" s="5" t="s">
        <v>17</v>
      </c>
      <c r="I790" s="5" t="s">
        <v>17</v>
      </c>
    </row>
    <row r="791" spans="1:9">
      <c r="A791" s="5" t="s">
        <v>356</v>
      </c>
      <c r="B791" s="10"/>
      <c r="C791" s="10"/>
      <c r="D791" s="10"/>
      <c r="E791" s="10"/>
      <c r="F791" s="10"/>
      <c r="G791" s="10">
        <v>-3.2546859000000001</v>
      </c>
      <c r="H791" s="5" t="s">
        <v>17</v>
      </c>
      <c r="I791" s="5" t="s">
        <v>17</v>
      </c>
    </row>
    <row r="792" spans="1:9">
      <c r="A792" s="5" t="s">
        <v>357</v>
      </c>
      <c r="B792" s="10"/>
      <c r="C792" s="10"/>
      <c r="D792" s="10"/>
      <c r="E792" s="10"/>
      <c r="F792" s="10"/>
      <c r="G792" s="10">
        <v>-3.7330074</v>
      </c>
      <c r="H792" s="5" t="s">
        <v>17</v>
      </c>
      <c r="I792" s="5" t="s">
        <v>17</v>
      </c>
    </row>
    <row r="793" spans="1:9">
      <c r="A793" s="5" t="s">
        <v>358</v>
      </c>
      <c r="B793" s="10"/>
      <c r="C793" s="10"/>
      <c r="D793" s="10"/>
      <c r="E793" s="10">
        <v>-2.1883811999999998</v>
      </c>
      <c r="F793" s="10">
        <v>-2.6114525999999998</v>
      </c>
      <c r="G793" s="10">
        <v>-4.3270726000000002</v>
      </c>
      <c r="H793" s="5" t="s">
        <v>17</v>
      </c>
      <c r="I793" s="5" t="s">
        <v>17</v>
      </c>
    </row>
    <row r="794" spans="1:9">
      <c r="A794" s="5" t="s">
        <v>359</v>
      </c>
      <c r="B794" s="10"/>
      <c r="C794" s="10"/>
      <c r="D794" s="10"/>
      <c r="E794" s="10"/>
      <c r="F794" s="10"/>
      <c r="G794" s="10">
        <v>-2.2627416</v>
      </c>
      <c r="H794" s="5" t="s">
        <v>17</v>
      </c>
      <c r="I794" s="5" t="s">
        <v>17</v>
      </c>
    </row>
    <row r="795" spans="1:9">
      <c r="A795" s="5" t="s">
        <v>360</v>
      </c>
      <c r="B795" s="10"/>
      <c r="C795" s="10"/>
      <c r="D795" s="10"/>
      <c r="E795" s="10">
        <v>-2.2322912000000001</v>
      </c>
      <c r="F795" s="10">
        <v>-2.5334023999999999</v>
      </c>
      <c r="G795" s="10">
        <v>-2.4204264000000002</v>
      </c>
      <c r="H795" s="5" t="s">
        <v>17</v>
      </c>
      <c r="I795" s="5" t="s">
        <v>17</v>
      </c>
    </row>
    <row r="796" spans="1:9">
      <c r="A796" s="5" t="s">
        <v>361</v>
      </c>
      <c r="B796" s="10"/>
      <c r="C796" s="10"/>
      <c r="D796" s="10"/>
      <c r="E796" s="10"/>
      <c r="F796" s="10"/>
      <c r="G796" s="10"/>
      <c r="H796" s="5" t="s">
        <v>17</v>
      </c>
      <c r="I796" s="5" t="s">
        <v>17</v>
      </c>
    </row>
    <row r="797" spans="1:9">
      <c r="A797" s="5" t="s">
        <v>362</v>
      </c>
      <c r="B797" s="10"/>
      <c r="C797" s="10"/>
      <c r="D797" s="10"/>
      <c r="E797" s="10"/>
      <c r="F797" s="10"/>
      <c r="G797" s="10">
        <v>-2.434342</v>
      </c>
      <c r="H797" s="5" t="s">
        <v>17</v>
      </c>
      <c r="I797" s="5" t="s">
        <v>17</v>
      </c>
    </row>
    <row r="798" spans="1:9">
      <c r="A798" s="5" t="s">
        <v>363</v>
      </c>
      <c r="B798" s="10"/>
      <c r="C798" s="10"/>
      <c r="D798" s="10"/>
      <c r="E798" s="10"/>
      <c r="F798" s="10"/>
      <c r="G798" s="10">
        <v>-2.4855236999999999</v>
      </c>
      <c r="H798" s="5" t="s">
        <v>17</v>
      </c>
      <c r="I798" s="5" t="s">
        <v>17</v>
      </c>
    </row>
    <row r="799" spans="1:9">
      <c r="A799" s="5" t="s">
        <v>364</v>
      </c>
      <c r="B799" s="10"/>
      <c r="C799" s="10"/>
      <c r="D799" s="10"/>
      <c r="E799" s="10"/>
      <c r="F799" s="10"/>
      <c r="G799" s="10">
        <v>-2.3404326000000002</v>
      </c>
      <c r="H799" s="5" t="s">
        <v>17</v>
      </c>
      <c r="I799" s="5" t="s">
        <v>17</v>
      </c>
    </row>
    <row r="800" spans="1:9">
      <c r="A800" s="5" t="s">
        <v>365</v>
      </c>
      <c r="B800" s="10"/>
      <c r="C800" s="10"/>
      <c r="D800" s="10"/>
      <c r="E800" s="10"/>
      <c r="F800" s="10"/>
      <c r="G800" s="10">
        <v>-2.1704694999999998</v>
      </c>
      <c r="H800" s="5" t="s">
        <v>17</v>
      </c>
      <c r="I800" s="5" t="s">
        <v>17</v>
      </c>
    </row>
    <row r="801" spans="1:9">
      <c r="A801" s="5" t="s">
        <v>366</v>
      </c>
      <c r="B801" s="10"/>
      <c r="C801" s="10"/>
      <c r="D801" s="10"/>
      <c r="E801" s="10"/>
      <c r="F801" s="10"/>
      <c r="G801" s="10"/>
      <c r="H801" s="5" t="s">
        <v>17</v>
      </c>
      <c r="I801" s="5" t="s">
        <v>17</v>
      </c>
    </row>
    <row r="802" spans="1:9">
      <c r="A802" s="5" t="s">
        <v>367</v>
      </c>
      <c r="B802" s="10">
        <v>2.7241430000000002</v>
      </c>
      <c r="C802" s="10">
        <v>3.6071776999999998</v>
      </c>
      <c r="D802" s="10">
        <v>2.8680189999999999</v>
      </c>
      <c r="E802" s="10"/>
      <c r="F802" s="10"/>
      <c r="G802" s="10"/>
      <c r="H802" s="5" t="s">
        <v>17</v>
      </c>
      <c r="I802" s="5" t="s">
        <v>17</v>
      </c>
    </row>
    <row r="803" spans="1:9">
      <c r="A803" s="5" t="s">
        <v>368</v>
      </c>
      <c r="B803" s="10"/>
      <c r="C803" s="10"/>
      <c r="D803" s="10"/>
      <c r="E803" s="10"/>
      <c r="F803" s="10"/>
      <c r="G803" s="10">
        <v>-2.3951468</v>
      </c>
      <c r="H803" s="5" t="s">
        <v>17</v>
      </c>
      <c r="I803" s="5" t="s">
        <v>17</v>
      </c>
    </row>
    <row r="804" spans="1:9">
      <c r="A804" s="5" t="s">
        <v>369</v>
      </c>
      <c r="B804" s="10"/>
      <c r="C804" s="10"/>
      <c r="D804" s="10"/>
      <c r="E804" s="10">
        <v>-5.380503</v>
      </c>
      <c r="F804" s="10">
        <v>-6.919778</v>
      </c>
      <c r="G804" s="10">
        <v>-5.3312689999999998</v>
      </c>
      <c r="H804" s="5" t="s">
        <v>17</v>
      </c>
      <c r="I804" s="5" t="s">
        <v>17</v>
      </c>
    </row>
    <row r="805" spans="1:9">
      <c r="A805" s="5" t="s">
        <v>370</v>
      </c>
      <c r="B805" s="10"/>
      <c r="C805" s="10"/>
      <c r="D805" s="10">
        <v>3.0109086</v>
      </c>
      <c r="E805" s="10"/>
      <c r="F805" s="10"/>
      <c r="G805" s="10"/>
      <c r="H805" s="5" t="s">
        <v>17</v>
      </c>
      <c r="I805" s="5" t="s">
        <v>17</v>
      </c>
    </row>
    <row r="806" spans="1:9">
      <c r="A806" s="5" t="s">
        <v>371</v>
      </c>
      <c r="B806" s="10"/>
      <c r="C806" s="10"/>
      <c r="D806" s="10"/>
      <c r="E806" s="10"/>
      <c r="F806" s="10"/>
      <c r="G806" s="10">
        <v>-2.0422530000000001</v>
      </c>
      <c r="H806" s="5" t="s">
        <v>17</v>
      </c>
      <c r="I806" s="5" t="s">
        <v>17</v>
      </c>
    </row>
    <row r="807" spans="1:9">
      <c r="A807" s="5" t="s">
        <v>372</v>
      </c>
      <c r="B807" s="10"/>
      <c r="C807" s="10"/>
      <c r="D807" s="10"/>
      <c r="E807" s="10"/>
      <c r="F807" s="10"/>
      <c r="G807" s="10"/>
      <c r="H807" s="5" t="s">
        <v>17</v>
      </c>
      <c r="I807" s="5" t="s">
        <v>17</v>
      </c>
    </row>
    <row r="808" spans="1:9">
      <c r="A808" s="5" t="s">
        <v>373</v>
      </c>
      <c r="B808" s="10"/>
      <c r="C808" s="10"/>
      <c r="D808" s="10"/>
      <c r="E808" s="10"/>
      <c r="F808" s="10"/>
      <c r="G808" s="10">
        <v>-3.0279658</v>
      </c>
      <c r="H808" s="5" t="s">
        <v>17</v>
      </c>
      <c r="I808" s="5" t="s">
        <v>17</v>
      </c>
    </row>
    <row r="809" spans="1:9">
      <c r="A809" s="5" t="s">
        <v>374</v>
      </c>
      <c r="B809" s="10"/>
      <c r="C809" s="10"/>
      <c r="D809" s="10"/>
      <c r="E809" s="10"/>
      <c r="F809" s="10"/>
      <c r="G809" s="10"/>
      <c r="H809" s="5" t="s">
        <v>17</v>
      </c>
      <c r="I809" s="5" t="s">
        <v>17</v>
      </c>
    </row>
    <row r="810" spans="1:9">
      <c r="A810" s="5" t="s">
        <v>375</v>
      </c>
      <c r="B810" s="10"/>
      <c r="C810" s="10"/>
      <c r="D810" s="10"/>
      <c r="E810" s="10"/>
      <c r="F810" s="10"/>
      <c r="G810" s="10"/>
      <c r="H810" s="5" t="s">
        <v>17</v>
      </c>
      <c r="I810" s="5" t="s">
        <v>17</v>
      </c>
    </row>
    <row r="811" spans="1:9">
      <c r="A811" s="5" t="s">
        <v>376</v>
      </c>
      <c r="B811" s="10"/>
      <c r="C811" s="10"/>
      <c r="D811" s="10"/>
      <c r="E811" s="10"/>
      <c r="F811" s="10"/>
      <c r="G811" s="10"/>
      <c r="H811" s="5" t="s">
        <v>17</v>
      </c>
      <c r="I811" s="5" t="s">
        <v>17</v>
      </c>
    </row>
    <row r="812" spans="1:9">
      <c r="A812" s="5" t="s">
        <v>377</v>
      </c>
      <c r="B812" s="10"/>
      <c r="C812" s="10"/>
      <c r="D812" s="10"/>
      <c r="E812" s="10"/>
      <c r="F812" s="10"/>
      <c r="G812" s="10">
        <v>-3.6468777999999999</v>
      </c>
      <c r="H812" s="5" t="s">
        <v>17</v>
      </c>
      <c r="I812" s="5" t="s">
        <v>17</v>
      </c>
    </row>
    <row r="813" spans="1:9">
      <c r="A813" s="5" t="s">
        <v>378</v>
      </c>
      <c r="B813" s="10"/>
      <c r="C813" s="10"/>
      <c r="D813" s="10"/>
      <c r="E813" s="10"/>
      <c r="F813" s="10"/>
      <c r="G813" s="10"/>
      <c r="H813" s="5" t="s">
        <v>17</v>
      </c>
      <c r="I813" s="5" t="s">
        <v>17</v>
      </c>
    </row>
    <row r="814" spans="1:9">
      <c r="A814" s="5" t="s">
        <v>379</v>
      </c>
      <c r="B814" s="10"/>
      <c r="C814" s="10"/>
      <c r="D814" s="10"/>
      <c r="E814" s="10"/>
      <c r="F814" s="10"/>
      <c r="G814" s="10"/>
      <c r="H814" s="5" t="s">
        <v>17</v>
      </c>
      <c r="I814" s="5" t="s">
        <v>17</v>
      </c>
    </row>
    <row r="815" spans="1:9">
      <c r="A815" s="5" t="s">
        <v>380</v>
      </c>
      <c r="B815" s="10"/>
      <c r="C815" s="10"/>
      <c r="D815" s="10"/>
      <c r="E815" s="10"/>
      <c r="F815" s="10"/>
      <c r="G815" s="10"/>
      <c r="H815" s="5" t="s">
        <v>17</v>
      </c>
      <c r="I815" s="5" t="s">
        <v>17</v>
      </c>
    </row>
    <row r="816" spans="1:9">
      <c r="A816" s="5" t="s">
        <v>381</v>
      </c>
      <c r="B816" s="10"/>
      <c r="C816" s="10"/>
      <c r="D816" s="10"/>
      <c r="E816" s="10"/>
      <c r="F816" s="10"/>
      <c r="G816" s="10">
        <v>-3.4008881999999998</v>
      </c>
      <c r="H816" s="5" t="s">
        <v>17</v>
      </c>
      <c r="I816" s="5" t="s">
        <v>17</v>
      </c>
    </row>
    <row r="817" spans="1:10">
      <c r="A817" s="5" t="s">
        <v>382</v>
      </c>
      <c r="B817" s="10"/>
      <c r="C817" s="10"/>
      <c r="D817" s="10"/>
      <c r="E817" s="10"/>
      <c r="F817" s="10"/>
      <c r="G817" s="10"/>
      <c r="H817" s="5" t="s">
        <v>17</v>
      </c>
      <c r="I817" s="5" t="s">
        <v>17</v>
      </c>
    </row>
    <row r="818" spans="1:10">
      <c r="A818" s="5" t="s">
        <v>383</v>
      </c>
      <c r="B818" s="10"/>
      <c r="C818" s="10"/>
      <c r="D818" s="10"/>
      <c r="E818" s="10"/>
      <c r="F818" s="10"/>
      <c r="G818" s="10"/>
      <c r="H818" s="5" t="s">
        <v>17</v>
      </c>
      <c r="I818" s="5" t="s">
        <v>17</v>
      </c>
    </row>
    <row r="819" spans="1:10">
      <c r="A819" s="5" t="s">
        <v>384</v>
      </c>
      <c r="B819" s="10"/>
      <c r="C819" s="10"/>
      <c r="D819" s="10"/>
      <c r="E819" s="10"/>
      <c r="F819" s="10"/>
      <c r="G819" s="10"/>
      <c r="H819" s="5" t="s">
        <v>17</v>
      </c>
      <c r="I819" s="5" t="s">
        <v>17</v>
      </c>
    </row>
    <row r="820" spans="1:10">
      <c r="A820" s="5" t="s">
        <v>530</v>
      </c>
      <c r="B820" s="10"/>
      <c r="C820" s="10"/>
      <c r="D820" s="10"/>
      <c r="E820" s="10"/>
      <c r="F820" s="10"/>
      <c r="G820" s="10">
        <v>-2.2816477000000002</v>
      </c>
      <c r="H820" s="5" t="s">
        <v>17</v>
      </c>
      <c r="I820" s="5" t="s">
        <v>17</v>
      </c>
    </row>
    <row r="821" spans="1:10">
      <c r="A821" s="5" t="s">
        <v>385</v>
      </c>
      <c r="B821" s="10"/>
      <c r="C821" s="10"/>
      <c r="D821" s="10"/>
      <c r="E821" s="10"/>
      <c r="F821" s="10"/>
      <c r="G821" s="10">
        <v>-2.0214352999999998</v>
      </c>
      <c r="H821" s="5" t="s">
        <v>17</v>
      </c>
      <c r="I821" s="5" t="s">
        <v>17</v>
      </c>
    </row>
    <row r="822" spans="1:10">
      <c r="A822" s="5" t="s">
        <v>386</v>
      </c>
      <c r="B822" s="10"/>
      <c r="C822" s="10"/>
      <c r="D822" s="10"/>
      <c r="E822" s="10"/>
      <c r="F822" s="10">
        <v>-2.3520726999999999</v>
      </c>
      <c r="G822" s="10"/>
      <c r="H822" s="5" t="s">
        <v>17</v>
      </c>
      <c r="I822" s="5" t="s">
        <v>17</v>
      </c>
    </row>
    <row r="823" spans="1:10">
      <c r="A823" s="5" t="s">
        <v>387</v>
      </c>
      <c r="B823" s="10"/>
      <c r="C823" s="10"/>
      <c r="D823" s="10"/>
      <c r="E823" s="10"/>
      <c r="F823" s="10"/>
      <c r="G823" s="10">
        <v>-5.9452275999999999</v>
      </c>
      <c r="H823" s="5" t="s">
        <v>17</v>
      </c>
      <c r="I823" s="5" t="s">
        <v>17</v>
      </c>
    </row>
    <row r="824" spans="1:10">
      <c r="A824" s="5" t="s">
        <v>388</v>
      </c>
      <c r="B824" s="10"/>
      <c r="C824" s="10"/>
      <c r="D824" s="10"/>
      <c r="E824" s="10"/>
      <c r="F824" s="10"/>
      <c r="G824" s="10">
        <v>-4.6265893</v>
      </c>
      <c r="H824" s="5" t="s">
        <v>17</v>
      </c>
      <c r="I824" s="5" t="s">
        <v>17</v>
      </c>
    </row>
    <row r="825" spans="1:10">
      <c r="A825" s="5" t="s">
        <v>389</v>
      </c>
      <c r="B825" s="10"/>
      <c r="C825" s="10"/>
      <c r="D825" s="10"/>
      <c r="E825" s="10">
        <v>-2.5160007000000002</v>
      </c>
      <c r="F825" s="10">
        <v>-2.2058659</v>
      </c>
      <c r="G825" s="10">
        <v>-3.2951535999999999</v>
      </c>
      <c r="H825" s="5" t="s">
        <v>17</v>
      </c>
      <c r="I825" s="5" t="s">
        <v>17</v>
      </c>
    </row>
    <row r="826" spans="1:10">
      <c r="A826" s="5" t="s">
        <v>390</v>
      </c>
      <c r="B826" s="10"/>
      <c r="C826" s="10"/>
      <c r="D826" s="10"/>
      <c r="E826" s="10"/>
      <c r="F826" s="10">
        <v>-2.6612062000000001</v>
      </c>
      <c r="G826" s="10">
        <v>-2.3979911999999999</v>
      </c>
      <c r="H826" s="5" t="s">
        <v>17</v>
      </c>
      <c r="I826" s="5" t="s">
        <v>17</v>
      </c>
    </row>
    <row r="827" spans="1:10">
      <c r="A827" s="5" t="s">
        <v>568</v>
      </c>
      <c r="B827" s="10"/>
      <c r="C827" s="10"/>
      <c r="D827" s="10"/>
      <c r="E827" s="10">
        <v>-2.0594009999999998</v>
      </c>
      <c r="F827" s="10">
        <v>-3.9692501999999998</v>
      </c>
      <c r="G827" s="10">
        <v>-4.6345460000000003</v>
      </c>
      <c r="H827" s="5" t="s">
        <v>17</v>
      </c>
      <c r="I827" s="5" t="s">
        <v>17</v>
      </c>
    </row>
    <row r="828" spans="1:10">
      <c r="A828" s="5" t="s">
        <v>391</v>
      </c>
      <c r="B828" s="10"/>
      <c r="C828" s="10"/>
      <c r="D828" s="10"/>
      <c r="E828" s="10">
        <v>-2.0017499999999999</v>
      </c>
      <c r="F828" s="10">
        <v>-4.0041485000000003</v>
      </c>
      <c r="G828" s="10">
        <v>-4.7748156000000002</v>
      </c>
      <c r="H828" s="5" t="s">
        <v>17</v>
      </c>
      <c r="I828" s="5" t="s">
        <v>17</v>
      </c>
    </row>
    <row r="829" spans="1:10">
      <c r="A829" s="5" t="s">
        <v>392</v>
      </c>
      <c r="B829" s="10">
        <v>2.0826072999999998</v>
      </c>
      <c r="C829" s="10">
        <v>3.0056943999999999</v>
      </c>
      <c r="D829" s="10">
        <v>3.2596120000000002</v>
      </c>
      <c r="E829" s="10"/>
      <c r="F829" s="10"/>
      <c r="G829" s="10"/>
      <c r="H829" s="5" t="s">
        <v>17</v>
      </c>
      <c r="I829" s="5" t="s">
        <v>17</v>
      </c>
      <c r="J829" s="5" t="s">
        <v>17</v>
      </c>
    </row>
    <row r="830" spans="1:10">
      <c r="A830" s="5" t="s">
        <v>393</v>
      </c>
      <c r="B830" s="10"/>
      <c r="C830" s="10"/>
      <c r="D830" s="10"/>
      <c r="E830" s="10">
        <v>-2.1699079999999999</v>
      </c>
      <c r="F830" s="10">
        <v>-2.8292774999999999</v>
      </c>
      <c r="G830" s="10">
        <v>-4.5601880000000001</v>
      </c>
      <c r="H830" s="5" t="s">
        <v>17</v>
      </c>
      <c r="I830" s="5" t="s">
        <v>17</v>
      </c>
    </row>
    <row r="831" spans="1:10">
      <c r="A831" s="5" t="s">
        <v>394</v>
      </c>
      <c r="B831" s="10"/>
      <c r="C831" s="10"/>
      <c r="D831" s="10"/>
      <c r="E831" s="10"/>
      <c r="F831" s="10"/>
      <c r="G831" s="10">
        <v>-2.5086974999999998</v>
      </c>
      <c r="H831" s="5" t="s">
        <v>17</v>
      </c>
      <c r="I831" s="5" t="s">
        <v>17</v>
      </c>
    </row>
    <row r="832" spans="1:10">
      <c r="A832" s="5" t="s">
        <v>395</v>
      </c>
      <c r="B832" s="10"/>
      <c r="C832" s="10"/>
      <c r="D832" s="10"/>
      <c r="E832" s="10"/>
      <c r="F832" s="10"/>
      <c r="G832" s="10"/>
      <c r="H832" s="5" t="s">
        <v>17</v>
      </c>
      <c r="I832" s="5" t="s">
        <v>17</v>
      </c>
    </row>
    <row r="833" spans="1:9">
      <c r="A833" s="5" t="s">
        <v>396</v>
      </c>
      <c r="B833" s="10"/>
      <c r="C833" s="10"/>
      <c r="D833" s="10"/>
      <c r="E833" s="10"/>
      <c r="F833" s="10"/>
      <c r="G833" s="10">
        <v>-2.0796366000000002</v>
      </c>
      <c r="H833" s="5" t="s">
        <v>17</v>
      </c>
      <c r="I833" s="5" t="s">
        <v>17</v>
      </c>
    </row>
    <row r="834" spans="1:9">
      <c r="A834" s="5" t="s">
        <v>397</v>
      </c>
      <c r="B834" s="10"/>
      <c r="C834" s="10"/>
      <c r="D834" s="10"/>
      <c r="E834" s="10"/>
      <c r="F834" s="10">
        <v>-2.4464177999999999</v>
      </c>
      <c r="G834" s="10"/>
      <c r="H834" s="5" t="s">
        <v>17</v>
      </c>
      <c r="I834" s="5" t="s">
        <v>17</v>
      </c>
    </row>
    <row r="835" spans="1:9">
      <c r="A835" s="5" t="s">
        <v>398</v>
      </c>
      <c r="B835" s="10"/>
      <c r="C835" s="10"/>
      <c r="D835" s="10"/>
      <c r="E835" s="10">
        <v>-2.1948346999999999</v>
      </c>
      <c r="F835" s="10"/>
      <c r="G835" s="10">
        <v>-3.1350392999999999</v>
      </c>
      <c r="H835" s="5" t="s">
        <v>17</v>
      </c>
      <c r="I835" s="5" t="s">
        <v>17</v>
      </c>
    </row>
    <row r="836" spans="1:9">
      <c r="A836" s="5" t="s">
        <v>399</v>
      </c>
      <c r="B836" s="10"/>
      <c r="C836" s="10"/>
      <c r="D836" s="10"/>
      <c r="E836" s="10"/>
      <c r="F836" s="10"/>
      <c r="G836" s="10">
        <v>-3.0405269000000001</v>
      </c>
      <c r="H836" s="5" t="s">
        <v>17</v>
      </c>
      <c r="I836" s="5" t="s">
        <v>17</v>
      </c>
    </row>
    <row r="837" spans="1:9">
      <c r="A837" s="5" t="s">
        <v>400</v>
      </c>
      <c r="B837" s="10"/>
      <c r="C837" s="10"/>
      <c r="D837" s="10"/>
      <c r="E837" s="10"/>
      <c r="F837" s="10">
        <v>-3.1880389999999998</v>
      </c>
      <c r="G837" s="10">
        <v>-5.3434809999999997</v>
      </c>
      <c r="H837" s="5" t="s">
        <v>17</v>
      </c>
      <c r="I837" s="5" t="s">
        <v>17</v>
      </c>
    </row>
    <row r="838" spans="1:9">
      <c r="A838" s="5" t="s">
        <v>401</v>
      </c>
      <c r="B838" s="10"/>
      <c r="C838" s="10"/>
      <c r="D838" s="10"/>
      <c r="E838" s="10">
        <v>-2.303042</v>
      </c>
      <c r="F838" s="10">
        <v>-3.2499718999999998</v>
      </c>
      <c r="G838" s="10"/>
      <c r="H838" s="5" t="s">
        <v>17</v>
      </c>
      <c r="I838" s="5" t="s">
        <v>17</v>
      </c>
    </row>
    <row r="839" spans="1:9">
      <c r="A839" s="5" t="s">
        <v>402</v>
      </c>
      <c r="B839" s="10"/>
      <c r="C839" s="10"/>
      <c r="D839" s="10"/>
      <c r="E839" s="10"/>
      <c r="F839" s="10"/>
      <c r="G839" s="10">
        <v>-2.1406974999999999</v>
      </c>
      <c r="H839" s="5" t="s">
        <v>17</v>
      </c>
      <c r="I839" s="5" t="s">
        <v>17</v>
      </c>
    </row>
    <row r="840" spans="1:9">
      <c r="A840" s="5" t="s">
        <v>403</v>
      </c>
      <c r="B840" s="10"/>
      <c r="C840" s="10"/>
      <c r="D840" s="10"/>
      <c r="E840" s="10"/>
      <c r="F840" s="10"/>
      <c r="G840" s="10">
        <v>-2.1685661999999999</v>
      </c>
      <c r="H840" s="5" t="s">
        <v>17</v>
      </c>
      <c r="I840" s="5" t="s">
        <v>17</v>
      </c>
    </row>
    <row r="841" spans="1:9">
      <c r="A841" s="5" t="s">
        <v>404</v>
      </c>
      <c r="B841" s="10"/>
      <c r="C841" s="10"/>
      <c r="D841" s="10"/>
      <c r="E841" s="10"/>
      <c r="F841" s="10"/>
      <c r="G841" s="10">
        <v>-2.4968276</v>
      </c>
      <c r="H841" s="5" t="s">
        <v>17</v>
      </c>
      <c r="I841" s="5" t="s">
        <v>17</v>
      </c>
    </row>
    <row r="842" spans="1:9">
      <c r="A842" s="5" t="s">
        <v>405</v>
      </c>
      <c r="B842" s="10"/>
      <c r="C842" s="10"/>
      <c r="D842" s="10">
        <v>2.8960499999999998</v>
      </c>
      <c r="E842" s="10"/>
      <c r="F842" s="10"/>
      <c r="G842" s="10"/>
      <c r="H842" s="5" t="s">
        <v>17</v>
      </c>
      <c r="I842" s="5" t="s">
        <v>17</v>
      </c>
    </row>
    <row r="843" spans="1:9">
      <c r="A843" s="5" t="s">
        <v>406</v>
      </c>
      <c r="B843" s="10"/>
      <c r="C843" s="10"/>
      <c r="D843" s="10">
        <v>2.3130760000000001</v>
      </c>
      <c r="E843" s="10"/>
      <c r="F843" s="10"/>
      <c r="G843" s="10"/>
      <c r="H843" s="5" t="s">
        <v>17</v>
      </c>
      <c r="I843" s="5" t="s">
        <v>17</v>
      </c>
    </row>
    <row r="844" spans="1:9">
      <c r="A844" s="5" t="s">
        <v>407</v>
      </c>
      <c r="B844" s="10"/>
      <c r="C844" s="10"/>
      <c r="D844" s="10">
        <v>2.1275601000000002</v>
      </c>
      <c r="E844" s="10"/>
      <c r="F844" s="10"/>
      <c r="G844" s="10"/>
      <c r="H844" s="5" t="s">
        <v>17</v>
      </c>
      <c r="I844" s="5" t="s">
        <v>17</v>
      </c>
    </row>
    <row r="845" spans="1:9">
      <c r="A845" s="5" t="s">
        <v>408</v>
      </c>
      <c r="B845" s="10"/>
      <c r="C845" s="10"/>
      <c r="D845" s="10"/>
      <c r="E845" s="10">
        <v>-2.0980253000000002</v>
      </c>
      <c r="F845" s="10">
        <v>-3.7564535000000001</v>
      </c>
      <c r="G845" s="10">
        <v>-4.7958699999999999</v>
      </c>
      <c r="H845" s="5" t="s">
        <v>17</v>
      </c>
      <c r="I845" s="5" t="s">
        <v>17</v>
      </c>
    </row>
    <row r="846" spans="1:9">
      <c r="A846" s="5" t="s">
        <v>409</v>
      </c>
      <c r="B846" s="10"/>
      <c r="C846" s="10"/>
      <c r="D846" s="10"/>
      <c r="E846" s="10"/>
      <c r="F846" s="10"/>
      <c r="G846" s="10">
        <v>-2.1816010000000001</v>
      </c>
      <c r="H846" s="5" t="s">
        <v>17</v>
      </c>
      <c r="I846" s="5" t="s">
        <v>17</v>
      </c>
    </row>
    <row r="847" spans="1:9">
      <c r="A847" s="5" t="s">
        <v>410</v>
      </c>
      <c r="B847" s="10"/>
      <c r="C847" s="10"/>
      <c r="D847" s="10"/>
      <c r="E847" s="10"/>
      <c r="F847" s="10"/>
      <c r="G847" s="10">
        <v>-3.1163892999999998</v>
      </c>
      <c r="H847" s="5" t="s">
        <v>17</v>
      </c>
      <c r="I847" s="5" t="s">
        <v>411</v>
      </c>
    </row>
    <row r="848" spans="1:9">
      <c r="A848" s="5" t="s">
        <v>412</v>
      </c>
      <c r="B848" s="10"/>
      <c r="C848" s="10"/>
      <c r="D848" s="10"/>
      <c r="E848" s="10"/>
      <c r="F848" s="10">
        <v>-2.2005121999999999</v>
      </c>
      <c r="G848" s="10">
        <v>-3.7180927000000001</v>
      </c>
      <c r="H848" s="5" t="s">
        <v>17</v>
      </c>
      <c r="I848" s="5" t="s">
        <v>17</v>
      </c>
    </row>
    <row r="849" spans="1:9">
      <c r="A849" s="5" t="s">
        <v>413</v>
      </c>
      <c r="B849" s="10"/>
      <c r="C849" s="10"/>
      <c r="D849" s="10"/>
      <c r="E849" s="10">
        <v>-2.6457944000000002</v>
      </c>
      <c r="F849" s="10">
        <v>-2.4182267</v>
      </c>
      <c r="G849" s="10">
        <v>-4.4329980000000004</v>
      </c>
      <c r="H849" s="5" t="s">
        <v>17</v>
      </c>
      <c r="I849" s="5" t="s">
        <v>17</v>
      </c>
    </row>
    <row r="850" spans="1:9">
      <c r="A850" s="5" t="s">
        <v>414</v>
      </c>
      <c r="B850" s="10"/>
      <c r="C850" s="10"/>
      <c r="D850" s="10"/>
      <c r="E850" s="10"/>
      <c r="F850" s="10"/>
      <c r="G850" s="10">
        <v>-2.2990946999999999</v>
      </c>
      <c r="H850" s="5" t="s">
        <v>17</v>
      </c>
      <c r="I850" s="5" t="s">
        <v>17</v>
      </c>
    </row>
    <row r="851" spans="1:9">
      <c r="A851" s="5" t="s">
        <v>415</v>
      </c>
      <c r="B851" s="10"/>
      <c r="C851" s="10"/>
      <c r="D851" s="10"/>
      <c r="E851" s="10"/>
      <c r="F851" s="10"/>
      <c r="G851" s="10">
        <v>-3.1531475000000002</v>
      </c>
      <c r="H851" s="5" t="s">
        <v>17</v>
      </c>
      <c r="I851" s="5" t="s">
        <v>17</v>
      </c>
    </row>
    <row r="852" spans="1:9">
      <c r="A852" s="5" t="s">
        <v>416</v>
      </c>
      <c r="B852" s="10"/>
      <c r="C852" s="10"/>
      <c r="D852" s="10"/>
      <c r="E852" s="10"/>
      <c r="F852" s="10"/>
      <c r="G852" s="10"/>
      <c r="H852" s="5" t="s">
        <v>17</v>
      </c>
      <c r="I852" s="5" t="s">
        <v>17</v>
      </c>
    </row>
    <row r="853" spans="1:9">
      <c r="A853" s="5" t="s">
        <v>417</v>
      </c>
      <c r="B853" s="10"/>
      <c r="C853" s="10"/>
      <c r="D853" s="10"/>
      <c r="E853" s="10">
        <v>-4.8070107000000002</v>
      </c>
      <c r="F853" s="10">
        <v>-6.3578340000000004</v>
      </c>
      <c r="G853" s="10">
        <v>-6.4083985999999999</v>
      </c>
      <c r="H853" s="5" t="s">
        <v>17</v>
      </c>
      <c r="I853" s="5" t="s">
        <v>17</v>
      </c>
    </row>
    <row r="854" spans="1:9">
      <c r="A854" s="5" t="s">
        <v>418</v>
      </c>
      <c r="B854" s="10"/>
      <c r="C854" s="10"/>
      <c r="D854" s="10"/>
      <c r="E854" s="10">
        <v>-4.1163129999999999</v>
      </c>
      <c r="F854" s="10">
        <v>-5.461195</v>
      </c>
      <c r="G854" s="10">
        <v>-5.3889620000000003</v>
      </c>
      <c r="H854" s="5" t="s">
        <v>17</v>
      </c>
      <c r="I854" s="5" t="s">
        <v>17</v>
      </c>
    </row>
    <row r="855" spans="1:9">
      <c r="A855" s="5" t="s">
        <v>419</v>
      </c>
      <c r="B855" s="10"/>
      <c r="C855" s="10"/>
      <c r="D855" s="10"/>
      <c r="E855" s="10">
        <v>-5.0937023000000003</v>
      </c>
      <c r="F855" s="10">
        <v>-6.6829394999999998</v>
      </c>
      <c r="G855" s="10">
        <v>-6.7413235</v>
      </c>
      <c r="H855" s="5" t="s">
        <v>17</v>
      </c>
      <c r="I855" s="5" t="s">
        <v>17</v>
      </c>
    </row>
    <row r="856" spans="1:9">
      <c r="A856" s="5" t="s">
        <v>569</v>
      </c>
      <c r="B856" s="10"/>
      <c r="C856" s="10"/>
      <c r="D856" s="10"/>
      <c r="E856" s="10">
        <v>-2.0691671</v>
      </c>
      <c r="F856" s="10">
        <v>-2.3986149999999999</v>
      </c>
      <c r="G856" s="10">
        <v>-2.3788520000000002</v>
      </c>
      <c r="H856" s="5" t="s">
        <v>17</v>
      </c>
      <c r="I856" s="5" t="s">
        <v>17</v>
      </c>
    </row>
    <row r="857" spans="1:9">
      <c r="A857" s="5" t="s">
        <v>420</v>
      </c>
      <c r="B857" s="10"/>
      <c r="C857" s="10"/>
      <c r="D857" s="10">
        <v>2.0114516999999998</v>
      </c>
      <c r="E857" s="10"/>
      <c r="F857" s="10"/>
      <c r="G857" s="10"/>
      <c r="H857" s="5" t="s">
        <v>17</v>
      </c>
      <c r="I857" s="5" t="s">
        <v>17</v>
      </c>
    </row>
    <row r="858" spans="1:9">
      <c r="A858" s="5" t="s">
        <v>421</v>
      </c>
      <c r="B858" s="10"/>
      <c r="C858" s="10"/>
      <c r="D858" s="10"/>
      <c r="E858" s="10">
        <v>-2.2714940000000001</v>
      </c>
      <c r="F858" s="10">
        <v>-2.517744</v>
      </c>
      <c r="G858" s="10"/>
      <c r="H858" s="5" t="s">
        <v>17</v>
      </c>
      <c r="I858" s="5" t="s">
        <v>17</v>
      </c>
    </row>
    <row r="859" spans="1:9">
      <c r="A859" s="5" t="s">
        <v>422</v>
      </c>
      <c r="B859" s="10"/>
      <c r="C859" s="10"/>
      <c r="D859" s="10"/>
      <c r="E859" s="10"/>
      <c r="F859" s="10"/>
      <c r="G859" s="10"/>
      <c r="H859" s="5" t="s">
        <v>17</v>
      </c>
      <c r="I859" s="5" t="s">
        <v>17</v>
      </c>
    </row>
    <row r="860" spans="1:9">
      <c r="A860" s="5" t="s">
        <v>423</v>
      </c>
      <c r="B860" s="10"/>
      <c r="C860" s="10"/>
      <c r="D860" s="10"/>
      <c r="E860" s="10"/>
      <c r="F860" s="10">
        <v>-3.5899792000000001</v>
      </c>
      <c r="G860" s="10">
        <v>-5.3551345000000001</v>
      </c>
      <c r="H860" s="5" t="s">
        <v>17</v>
      </c>
      <c r="I860" s="5" t="s">
        <v>17</v>
      </c>
    </row>
    <row r="861" spans="1:9">
      <c r="A861" s="5" t="s">
        <v>570</v>
      </c>
      <c r="B861" s="10"/>
      <c r="C861" s="10"/>
      <c r="D861" s="10"/>
      <c r="E861" s="10"/>
      <c r="F861" s="10">
        <v>-5.4446973999999999</v>
      </c>
      <c r="G861" s="10">
        <v>-7.1817694000000003</v>
      </c>
      <c r="H861" s="5" t="s">
        <v>17</v>
      </c>
      <c r="I861" s="5" t="s">
        <v>17</v>
      </c>
    </row>
    <row r="862" spans="1:9">
      <c r="A862" s="5" t="s">
        <v>424</v>
      </c>
      <c r="B862" s="10"/>
      <c r="C862" s="10"/>
      <c r="D862" s="10"/>
      <c r="E862" s="10"/>
      <c r="F862" s="10"/>
      <c r="G862" s="10"/>
      <c r="H862" s="5" t="s">
        <v>17</v>
      </c>
      <c r="I862" s="5" t="s">
        <v>17</v>
      </c>
    </row>
    <row r="863" spans="1:9">
      <c r="A863" s="5" t="s">
        <v>425</v>
      </c>
      <c r="B863" s="10"/>
      <c r="C863" s="10"/>
      <c r="D863" s="10">
        <v>2.213705</v>
      </c>
      <c r="E863" s="10"/>
      <c r="F863" s="10"/>
      <c r="G863" s="10"/>
      <c r="H863" s="5" t="s">
        <v>17</v>
      </c>
      <c r="I863" s="5" t="s">
        <v>17</v>
      </c>
    </row>
    <row r="864" spans="1:9">
      <c r="A864" s="5" t="s">
        <v>426</v>
      </c>
      <c r="B864" s="10"/>
      <c r="C864" s="10"/>
      <c r="D864" s="10"/>
      <c r="E864" s="10"/>
      <c r="F864" s="10"/>
      <c r="G864" s="10">
        <v>-2.0115479999999999</v>
      </c>
      <c r="H864" s="5" t="s">
        <v>17</v>
      </c>
      <c r="I864" s="5" t="s">
        <v>17</v>
      </c>
    </row>
    <row r="865" spans="1:9">
      <c r="A865" s="5" t="s">
        <v>427</v>
      </c>
      <c r="B865" s="10"/>
      <c r="C865" s="10"/>
      <c r="D865" s="10"/>
      <c r="E865" s="10"/>
      <c r="F865" s="10"/>
      <c r="G865" s="10">
        <v>-3.7063552999999998</v>
      </c>
      <c r="H865" s="5" t="s">
        <v>17</v>
      </c>
      <c r="I865" s="5" t="s">
        <v>17</v>
      </c>
    </row>
    <row r="866" spans="1:9">
      <c r="A866" s="5" t="s">
        <v>428</v>
      </c>
      <c r="B866" s="10"/>
      <c r="C866" s="10"/>
      <c r="D866" s="10">
        <v>2.3368959999999999</v>
      </c>
      <c r="E866" s="10"/>
      <c r="F866" s="10"/>
      <c r="G866" s="10"/>
      <c r="H866" s="5" t="s">
        <v>17</v>
      </c>
      <c r="I866" s="5" t="s">
        <v>17</v>
      </c>
    </row>
    <row r="867" spans="1:9">
      <c r="A867" s="5" t="s">
        <v>429</v>
      </c>
      <c r="B867" s="10"/>
      <c r="C867" s="10"/>
      <c r="D867" s="10">
        <v>2.7212662999999999</v>
      </c>
      <c r="E867" s="10"/>
      <c r="F867" s="10"/>
      <c r="G867" s="10"/>
      <c r="H867" s="5" t="s">
        <v>17</v>
      </c>
      <c r="I867" s="5" t="s">
        <v>17</v>
      </c>
    </row>
    <row r="868" spans="1:9">
      <c r="A868" s="5" t="s">
        <v>430</v>
      </c>
      <c r="B868" s="10"/>
      <c r="C868" s="10">
        <v>2.0692267000000002</v>
      </c>
      <c r="D868" s="10"/>
      <c r="E868" s="10"/>
      <c r="F868" s="10"/>
      <c r="G868" s="10"/>
      <c r="H868" s="5" t="s">
        <v>17</v>
      </c>
      <c r="I868" s="5" t="s">
        <v>17</v>
      </c>
    </row>
    <row r="869" spans="1:9">
      <c r="A869" s="5" t="s">
        <v>431</v>
      </c>
      <c r="B869" s="10"/>
      <c r="C869" s="10"/>
      <c r="D869" s="10"/>
      <c r="E869" s="10"/>
      <c r="F869" s="10"/>
      <c r="G869" s="10">
        <v>-3.4548830000000001</v>
      </c>
      <c r="H869" s="5" t="s">
        <v>17</v>
      </c>
      <c r="I869" s="5" t="s">
        <v>17</v>
      </c>
    </row>
    <row r="870" spans="1:9">
      <c r="A870" s="5" t="s">
        <v>432</v>
      </c>
      <c r="B870" s="10"/>
      <c r="C870" s="10">
        <v>2.0807524000000002</v>
      </c>
      <c r="D870" s="10">
        <v>2.7453080000000001</v>
      </c>
      <c r="E870" s="10"/>
      <c r="F870" s="10"/>
      <c r="G870" s="10"/>
      <c r="H870" s="5" t="s">
        <v>17</v>
      </c>
      <c r="I870" s="5" t="s">
        <v>17</v>
      </c>
    </row>
    <row r="871" spans="1:9">
      <c r="A871" s="5" t="s">
        <v>433</v>
      </c>
      <c r="B871" s="10"/>
      <c r="C871" s="10"/>
      <c r="D871" s="10"/>
      <c r="E871" s="10"/>
      <c r="F871" s="10"/>
      <c r="G871" s="10">
        <v>-2.0603794999999998</v>
      </c>
      <c r="H871" s="5" t="s">
        <v>17</v>
      </c>
      <c r="I871" s="5" t="s">
        <v>17</v>
      </c>
    </row>
    <row r="872" spans="1:9">
      <c r="A872" s="5" t="s">
        <v>434</v>
      </c>
      <c r="B872" s="10"/>
      <c r="C872" s="10"/>
      <c r="D872" s="10"/>
      <c r="E872" s="10"/>
      <c r="F872" s="10">
        <v>-2.4194884000000001</v>
      </c>
      <c r="G872" s="10">
        <v>-2.2591643000000001</v>
      </c>
      <c r="H872" s="5" t="s">
        <v>17</v>
      </c>
      <c r="I872" s="5" t="s">
        <v>17</v>
      </c>
    </row>
    <row r="873" spans="1:9">
      <c r="A873" s="5" t="s">
        <v>435</v>
      </c>
      <c r="B873" s="10"/>
      <c r="C873" s="10"/>
      <c r="D873" s="10"/>
      <c r="E873" s="10"/>
      <c r="F873" s="10"/>
      <c r="G873" s="10">
        <v>-2.1431255</v>
      </c>
      <c r="H873" s="5" t="s">
        <v>17</v>
      </c>
      <c r="I873" s="5" t="s">
        <v>17</v>
      </c>
    </row>
    <row r="874" spans="1:9">
      <c r="A874" s="5" t="s">
        <v>436</v>
      </c>
      <c r="B874" s="10">
        <v>3.2254233000000001</v>
      </c>
      <c r="C874" s="10">
        <v>3.7511939999999999</v>
      </c>
      <c r="D874" s="10">
        <v>3.1109900000000001</v>
      </c>
      <c r="E874" s="10"/>
      <c r="F874" s="10"/>
      <c r="G874" s="10"/>
      <c r="H874" s="5" t="s">
        <v>17</v>
      </c>
      <c r="I874" s="5" t="s">
        <v>17</v>
      </c>
    </row>
    <row r="875" spans="1:9">
      <c r="A875" s="5" t="s">
        <v>437</v>
      </c>
      <c r="B875" s="10"/>
      <c r="C875" s="10"/>
      <c r="D875" s="10"/>
      <c r="E875" s="10"/>
      <c r="F875" s="10"/>
      <c r="G875" s="10">
        <v>-2.1086683000000002</v>
      </c>
      <c r="H875" s="5" t="s">
        <v>17</v>
      </c>
      <c r="I875" s="5" t="s">
        <v>17</v>
      </c>
    </row>
    <row r="876" spans="1:9">
      <c r="A876" s="5" t="s">
        <v>438</v>
      </c>
      <c r="B876" s="10"/>
      <c r="C876" s="10"/>
      <c r="D876" s="10"/>
      <c r="E876" s="10"/>
      <c r="F876" s="10"/>
      <c r="G876" s="10"/>
      <c r="H876" s="5" t="s">
        <v>17</v>
      </c>
      <c r="I876" s="5" t="s">
        <v>17</v>
      </c>
    </row>
    <row r="877" spans="1:9">
      <c r="A877" s="5" t="s">
        <v>439</v>
      </c>
      <c r="B877" s="10"/>
      <c r="C877" s="10">
        <v>2.3278007999999999</v>
      </c>
      <c r="D877" s="10">
        <v>2.7699208</v>
      </c>
      <c r="E877" s="10"/>
      <c r="F877" s="10"/>
      <c r="G877" s="10"/>
      <c r="H877" s="5" t="s">
        <v>17</v>
      </c>
      <c r="I877" s="5" t="s">
        <v>17</v>
      </c>
    </row>
    <row r="878" spans="1:9">
      <c r="A878" s="5" t="s">
        <v>440</v>
      </c>
      <c r="B878" s="10"/>
      <c r="C878" s="10"/>
      <c r="D878" s="10"/>
      <c r="E878" s="10"/>
      <c r="F878" s="10"/>
      <c r="G878" s="10">
        <v>-2.146439</v>
      </c>
      <c r="H878" s="5" t="s">
        <v>17</v>
      </c>
      <c r="I878" s="5" t="s">
        <v>17</v>
      </c>
    </row>
    <row r="879" spans="1:9">
      <c r="A879" s="5" t="s">
        <v>441</v>
      </c>
      <c r="B879" s="10"/>
      <c r="C879" s="10"/>
      <c r="D879" s="10"/>
      <c r="E879" s="10">
        <v>-2.6875171999999998</v>
      </c>
      <c r="F879" s="10">
        <v>-2.7202969000000001</v>
      </c>
      <c r="G879" s="10">
        <v>-3.5056276</v>
      </c>
      <c r="H879" s="5" t="s">
        <v>17</v>
      </c>
      <c r="I879" s="5" t="s">
        <v>17</v>
      </c>
    </row>
    <row r="880" spans="1:9">
      <c r="A880" s="5" t="s">
        <v>442</v>
      </c>
      <c r="B880" s="10"/>
      <c r="C880" s="10"/>
      <c r="D880" s="10">
        <v>2.1226869000000002</v>
      </c>
      <c r="E880" s="10"/>
      <c r="F880" s="10"/>
      <c r="G880" s="10"/>
      <c r="H880" s="5" t="s">
        <v>17</v>
      </c>
      <c r="I880" s="5" t="s">
        <v>17</v>
      </c>
    </row>
    <row r="881" spans="1:9">
      <c r="A881" s="5" t="s">
        <v>443</v>
      </c>
      <c r="B881" s="10"/>
      <c r="C881" s="10"/>
      <c r="D881" s="10"/>
      <c r="E881" s="10">
        <v>-2.5657740000000002</v>
      </c>
      <c r="F881" s="10">
        <v>-3.0436926</v>
      </c>
      <c r="G881" s="10"/>
      <c r="H881" s="5" t="s">
        <v>17</v>
      </c>
      <c r="I881" s="5" t="s">
        <v>17</v>
      </c>
    </row>
    <row r="882" spans="1:9">
      <c r="A882" s="5" t="s">
        <v>444</v>
      </c>
      <c r="B882" s="10"/>
      <c r="C882" s="10"/>
      <c r="D882" s="10"/>
      <c r="E882" s="10"/>
      <c r="F882" s="10">
        <v>-2.9497719999999998</v>
      </c>
      <c r="G882" s="10">
        <v>-4.8349359999999999</v>
      </c>
      <c r="H882" s="5" t="s">
        <v>17</v>
      </c>
      <c r="I882" s="5" t="s">
        <v>17</v>
      </c>
    </row>
    <row r="883" spans="1:9">
      <c r="A883" s="5" t="s">
        <v>445</v>
      </c>
      <c r="B883" s="10"/>
      <c r="C883" s="10"/>
      <c r="D883" s="10"/>
      <c r="E883" s="10"/>
      <c r="F883" s="10"/>
      <c r="G883" s="10">
        <v>-2.4340415000000002</v>
      </c>
      <c r="H883" s="5" t="s">
        <v>17</v>
      </c>
      <c r="I883" s="5" t="s">
        <v>17</v>
      </c>
    </row>
    <row r="884" spans="1:9">
      <c r="A884" s="5" t="s">
        <v>446</v>
      </c>
      <c r="B884" s="10"/>
      <c r="C884" s="10"/>
      <c r="D884" s="10"/>
      <c r="E884" s="10"/>
      <c r="F884" s="10"/>
      <c r="G884" s="10">
        <v>-2.1229252999999999</v>
      </c>
      <c r="H884" s="5" t="s">
        <v>17</v>
      </c>
      <c r="I884" s="5" t="s">
        <v>17</v>
      </c>
    </row>
    <row r="885" spans="1:9">
      <c r="A885" s="5" t="s">
        <v>447</v>
      </c>
      <c r="B885" s="10"/>
      <c r="C885" s="10"/>
      <c r="D885" s="10"/>
      <c r="E885" s="10"/>
      <c r="F885" s="10"/>
      <c r="G885" s="10">
        <v>-2.3275155999999999</v>
      </c>
      <c r="H885" s="5" t="s">
        <v>17</v>
      </c>
      <c r="I885" s="5" t="s">
        <v>17</v>
      </c>
    </row>
    <row r="886" spans="1:9">
      <c r="A886" s="5" t="s">
        <v>448</v>
      </c>
      <c r="B886" s="10"/>
      <c r="C886" s="10"/>
      <c r="D886" s="10">
        <v>2.2493400000000001</v>
      </c>
      <c r="E886" s="10"/>
      <c r="F886" s="10"/>
      <c r="G886" s="10"/>
      <c r="H886" s="5" t="s">
        <v>17</v>
      </c>
      <c r="I886" s="5" t="s">
        <v>17</v>
      </c>
    </row>
    <row r="887" spans="1:9">
      <c r="A887" s="5" t="s">
        <v>449</v>
      </c>
      <c r="B887" s="10"/>
      <c r="C887" s="10"/>
      <c r="D887" s="10"/>
      <c r="E887" s="10"/>
      <c r="F887" s="10"/>
      <c r="G887" s="10">
        <v>-2.1284318</v>
      </c>
      <c r="H887" s="5" t="s">
        <v>17</v>
      </c>
      <c r="I887" s="5" t="s">
        <v>17</v>
      </c>
    </row>
    <row r="888" spans="1:9">
      <c r="A888" s="5" t="s">
        <v>572</v>
      </c>
      <c r="B888" s="10"/>
      <c r="C888" s="10"/>
      <c r="D888" s="10"/>
      <c r="E888" s="10"/>
      <c r="F888" s="10"/>
      <c r="G888" s="10">
        <v>-3.5901589999999999</v>
      </c>
      <c r="H888" s="5" t="s">
        <v>17</v>
      </c>
      <c r="I888" s="5" t="s">
        <v>17</v>
      </c>
    </row>
    <row r="889" spans="1:9">
      <c r="A889" s="5" t="s">
        <v>450</v>
      </c>
      <c r="B889" s="10"/>
      <c r="C889" s="10"/>
      <c r="D889" s="10"/>
      <c r="E889" s="10"/>
      <c r="F889" s="10"/>
      <c r="G889" s="10">
        <v>-2.2340689</v>
      </c>
      <c r="H889" s="5" t="s">
        <v>17</v>
      </c>
      <c r="I889" s="5" t="s">
        <v>17</v>
      </c>
    </row>
    <row r="890" spans="1:9">
      <c r="A890" s="5" t="s">
        <v>451</v>
      </c>
      <c r="B890" s="10"/>
      <c r="C890" s="10"/>
      <c r="D890" s="10"/>
      <c r="E890" s="10"/>
      <c r="F890" s="10"/>
      <c r="G890" s="10">
        <v>-2.3907018</v>
      </c>
      <c r="H890" s="5" t="s">
        <v>17</v>
      </c>
      <c r="I890" s="5" t="s">
        <v>17</v>
      </c>
    </row>
    <row r="891" spans="1:9">
      <c r="A891" s="5" t="s">
        <v>452</v>
      </c>
      <c r="B891" s="10"/>
      <c r="C891" s="10"/>
      <c r="D891" s="10"/>
      <c r="E891" s="10"/>
      <c r="F891" s="10"/>
      <c r="G891" s="10">
        <v>-2.1183800000000002</v>
      </c>
      <c r="H891" s="5" t="s">
        <v>17</v>
      </c>
      <c r="I891" s="5" t="s">
        <v>17</v>
      </c>
    </row>
    <row r="892" spans="1:9">
      <c r="A892" s="5" t="s">
        <v>453</v>
      </c>
      <c r="B892" s="10"/>
      <c r="C892" s="10"/>
      <c r="D892" s="10"/>
      <c r="E892" s="10"/>
      <c r="F892" s="10"/>
      <c r="G892" s="10">
        <v>-2.0026956</v>
      </c>
      <c r="H892" s="5" t="s">
        <v>17</v>
      </c>
      <c r="I892" s="5" t="s">
        <v>17</v>
      </c>
    </row>
    <row r="893" spans="1:9">
      <c r="A893" s="5" t="s">
        <v>454</v>
      </c>
      <c r="B893" s="10"/>
      <c r="C893" s="10"/>
      <c r="D893" s="10"/>
      <c r="E893" s="10"/>
      <c r="F893" s="10"/>
      <c r="G893" s="10">
        <v>-3.2528676999999999</v>
      </c>
      <c r="H893" s="5" t="s">
        <v>17</v>
      </c>
      <c r="I893" s="5" t="s">
        <v>17</v>
      </c>
    </row>
    <row r="894" spans="1:9">
      <c r="A894" s="5" t="s">
        <v>455</v>
      </c>
      <c r="B894" s="10"/>
      <c r="C894" s="10"/>
      <c r="D894" s="10">
        <v>2.7959208000000002</v>
      </c>
      <c r="E894" s="10"/>
      <c r="F894" s="10"/>
      <c r="G894" s="10"/>
      <c r="H894" s="5" t="s">
        <v>17</v>
      </c>
      <c r="I894" s="5" t="s">
        <v>17</v>
      </c>
    </row>
    <row r="895" spans="1:9">
      <c r="A895" s="5" t="s">
        <v>456</v>
      </c>
      <c r="B895" s="10"/>
      <c r="C895" s="10"/>
      <c r="D895" s="10">
        <v>2.7003794000000001</v>
      </c>
      <c r="E895" s="10"/>
      <c r="F895" s="10"/>
      <c r="G895" s="10"/>
      <c r="H895" s="5" t="s">
        <v>17</v>
      </c>
      <c r="I895" s="5" t="s">
        <v>17</v>
      </c>
    </row>
    <row r="896" spans="1:9">
      <c r="A896" s="5" t="s">
        <v>457</v>
      </c>
      <c r="B896" s="10"/>
      <c r="C896" s="10"/>
      <c r="D896" s="10">
        <v>2.6128583000000001</v>
      </c>
      <c r="E896" s="10"/>
      <c r="F896" s="10"/>
      <c r="G896" s="10"/>
      <c r="H896" s="5" t="s">
        <v>17</v>
      </c>
      <c r="I896" s="5" t="s">
        <v>17</v>
      </c>
    </row>
    <row r="897" spans="1:10">
      <c r="A897" s="5" t="s">
        <v>458</v>
      </c>
      <c r="B897" s="10"/>
      <c r="C897" s="10"/>
      <c r="D897" s="10"/>
      <c r="E897" s="10">
        <v>-2.5646963</v>
      </c>
      <c r="F897" s="10">
        <v>-3.2749453000000002</v>
      </c>
      <c r="G897" s="10">
        <v>-4.4062356999999999</v>
      </c>
      <c r="H897" s="5" t="s">
        <v>17</v>
      </c>
      <c r="I897" s="5" t="s">
        <v>17</v>
      </c>
    </row>
    <row r="898" spans="1:10">
      <c r="A898" s="5" t="s">
        <v>459</v>
      </c>
      <c r="B898" s="10">
        <v>2.527183</v>
      </c>
      <c r="C898" s="10"/>
      <c r="D898" s="10"/>
      <c r="E898" s="10"/>
      <c r="F898" s="10"/>
      <c r="G898" s="10"/>
      <c r="H898" s="5" t="s">
        <v>17</v>
      </c>
      <c r="I898" s="5" t="s">
        <v>17</v>
      </c>
    </row>
    <row r="899" spans="1:10">
      <c r="A899" s="5" t="s">
        <v>460</v>
      </c>
      <c r="B899" s="10">
        <v>2.4150247999999999</v>
      </c>
      <c r="C899" s="10"/>
      <c r="D899" s="10">
        <v>3.7830796000000002</v>
      </c>
      <c r="E899" s="10"/>
      <c r="F899" s="10"/>
      <c r="G899" s="10"/>
      <c r="H899" s="5" t="s">
        <v>17</v>
      </c>
      <c r="I899" s="5" t="s">
        <v>17</v>
      </c>
    </row>
    <row r="900" spans="1:10">
      <c r="A900" s="5" t="s">
        <v>573</v>
      </c>
      <c r="B900" s="10"/>
      <c r="C900" s="10"/>
      <c r="D900" s="10"/>
      <c r="E900" s="10"/>
      <c r="F900" s="10"/>
      <c r="G900" s="10"/>
      <c r="H900" s="5" t="s">
        <v>17</v>
      </c>
      <c r="I900" s="5" t="s">
        <v>17</v>
      </c>
      <c r="J900" s="5" t="s">
        <v>574</v>
      </c>
    </row>
    <row r="901" spans="1:10">
      <c r="A901" s="5" t="s">
        <v>461</v>
      </c>
      <c r="B901" s="10"/>
      <c r="C901" s="10">
        <v>2.4079185000000001</v>
      </c>
      <c r="D901" s="10">
        <v>3.3023782000000002</v>
      </c>
      <c r="E901" s="10"/>
      <c r="F901" s="10"/>
      <c r="G901" s="10"/>
      <c r="H901" s="5" t="s">
        <v>17</v>
      </c>
      <c r="I901" s="5" t="s">
        <v>17</v>
      </c>
    </row>
    <row r="902" spans="1:10">
      <c r="A902" s="5" t="s">
        <v>462</v>
      </c>
      <c r="B902" s="10"/>
      <c r="C902" s="10">
        <v>2.2850427999999998</v>
      </c>
      <c r="D902" s="10">
        <v>2.7113562</v>
      </c>
      <c r="E902" s="10"/>
      <c r="F902" s="10"/>
      <c r="G902" s="10"/>
      <c r="H902" s="5" t="s">
        <v>17</v>
      </c>
      <c r="I902" s="5" t="s">
        <v>17</v>
      </c>
    </row>
    <row r="903" spans="1:10">
      <c r="A903" s="5" t="s">
        <v>463</v>
      </c>
      <c r="B903" s="10"/>
      <c r="C903" s="10">
        <v>2.0749420000000001</v>
      </c>
      <c r="D903" s="10">
        <v>2.6404103999999999</v>
      </c>
      <c r="E903" s="10"/>
      <c r="F903" s="10"/>
      <c r="G903" s="10"/>
      <c r="H903" s="5" t="s">
        <v>17</v>
      </c>
      <c r="I903" s="5" t="s">
        <v>17</v>
      </c>
    </row>
    <row r="904" spans="1:10">
      <c r="A904" s="5" t="s">
        <v>464</v>
      </c>
      <c r="B904" s="10"/>
      <c r="C904" s="10"/>
      <c r="D904" s="10"/>
      <c r="E904" s="10"/>
      <c r="F904" s="10"/>
      <c r="G904" s="10">
        <v>-2.0890580000000001</v>
      </c>
      <c r="H904" s="5" t="s">
        <v>17</v>
      </c>
      <c r="I904" s="5" t="s">
        <v>17</v>
      </c>
    </row>
    <row r="905" spans="1:10">
      <c r="A905" s="5" t="s">
        <v>465</v>
      </c>
      <c r="B905" s="10"/>
      <c r="C905" s="10"/>
      <c r="D905" s="10"/>
      <c r="E905" s="10">
        <v>-2.9397630000000001</v>
      </c>
      <c r="F905" s="10">
        <v>-3.4986752999999999</v>
      </c>
      <c r="G905" s="10">
        <v>-3.9714360000000002</v>
      </c>
      <c r="H905" s="5" t="s">
        <v>17</v>
      </c>
      <c r="I905" s="5" t="s">
        <v>17</v>
      </c>
    </row>
    <row r="906" spans="1:10">
      <c r="A906" s="5" t="s">
        <v>466</v>
      </c>
      <c r="B906" s="10"/>
      <c r="C906" s="10"/>
      <c r="D906" s="10"/>
      <c r="E906" s="10"/>
      <c r="F906" s="10"/>
      <c r="G906" s="10">
        <v>-2.53477</v>
      </c>
      <c r="H906" s="5" t="s">
        <v>17</v>
      </c>
      <c r="I906" s="5" t="s">
        <v>17</v>
      </c>
    </row>
    <row r="907" spans="1:10">
      <c r="A907" s="5" t="s">
        <v>467</v>
      </c>
      <c r="B907" s="10"/>
      <c r="C907" s="10">
        <v>2.4225636000000002</v>
      </c>
      <c r="D907" s="10">
        <v>2.1697912000000001</v>
      </c>
      <c r="E907" s="10"/>
      <c r="F907" s="10"/>
      <c r="G907" s="10"/>
      <c r="H907" s="5" t="s">
        <v>17</v>
      </c>
      <c r="I907" s="5" t="s">
        <v>17</v>
      </c>
    </row>
    <row r="908" spans="1:10">
      <c r="A908" s="5" t="s">
        <v>468</v>
      </c>
      <c r="B908" s="10"/>
      <c r="C908" s="10">
        <v>2.3709698000000001</v>
      </c>
      <c r="D908" s="10">
        <v>2.1299752999999999</v>
      </c>
      <c r="E908" s="10"/>
      <c r="F908" s="10"/>
      <c r="G908" s="10"/>
      <c r="H908" s="5" t="s">
        <v>17</v>
      </c>
      <c r="I908" s="5" t="s">
        <v>17</v>
      </c>
    </row>
    <row r="909" spans="1:10">
      <c r="A909" s="5" t="s">
        <v>469</v>
      </c>
      <c r="B909" s="10"/>
      <c r="C909" s="10">
        <v>2.0922822999999999</v>
      </c>
      <c r="D909" s="10"/>
      <c r="E909" s="10"/>
      <c r="F909" s="10"/>
      <c r="G909" s="10"/>
      <c r="H909" s="5" t="s">
        <v>17</v>
      </c>
      <c r="I909" s="5" t="s">
        <v>17</v>
      </c>
    </row>
    <row r="910" spans="1:10">
      <c r="A910" s="5" t="s">
        <v>470</v>
      </c>
      <c r="B910" s="10"/>
      <c r="C910" s="10"/>
      <c r="D910" s="10">
        <v>2.4545298</v>
      </c>
      <c r="E910" s="10"/>
      <c r="F910" s="10"/>
      <c r="G910" s="10"/>
      <c r="H910" s="5" t="s">
        <v>17</v>
      </c>
      <c r="I910" s="5" t="s">
        <v>17</v>
      </c>
    </row>
    <row r="911" spans="1:10">
      <c r="A911" s="5" t="s">
        <v>471</v>
      </c>
      <c r="B911" s="10"/>
      <c r="C911" s="10"/>
      <c r="D911" s="10">
        <v>2.7708077000000002</v>
      </c>
      <c r="E911" s="10"/>
      <c r="F911" s="10"/>
      <c r="G911" s="10"/>
      <c r="H911" s="5" t="s">
        <v>17</v>
      </c>
      <c r="I911" s="5" t="s">
        <v>17</v>
      </c>
    </row>
    <row r="912" spans="1:10">
      <c r="A912" s="5" t="s">
        <v>472</v>
      </c>
      <c r="B912" s="10"/>
      <c r="C912" s="10"/>
      <c r="D912" s="10"/>
      <c r="E912" s="10"/>
      <c r="F912" s="10"/>
      <c r="G912" s="10">
        <v>-2.3201195999999999</v>
      </c>
      <c r="H912" s="5" t="s">
        <v>17</v>
      </c>
      <c r="I912" s="5" t="s">
        <v>17</v>
      </c>
    </row>
    <row r="913" spans="1:9">
      <c r="A913" s="5" t="s">
        <v>473</v>
      </c>
      <c r="B913" s="10">
        <v>2.0124507</v>
      </c>
      <c r="C913" s="10">
        <v>2.756751</v>
      </c>
      <c r="D913" s="10"/>
      <c r="E913" s="10"/>
      <c r="F913" s="10"/>
      <c r="G913" s="10"/>
      <c r="H913" s="5" t="s">
        <v>17</v>
      </c>
      <c r="I913" s="5" t="s">
        <v>17</v>
      </c>
    </row>
    <row r="914" spans="1:9">
      <c r="A914" s="5" t="s">
        <v>474</v>
      </c>
      <c r="B914" s="10"/>
      <c r="C914" s="10"/>
      <c r="D914" s="10"/>
      <c r="E914" s="10"/>
      <c r="F914" s="10"/>
      <c r="G914" s="10">
        <v>-2.0257749999999999</v>
      </c>
      <c r="H914" s="5" t="s">
        <v>17</v>
      </c>
      <c r="I914" s="5" t="s">
        <v>17</v>
      </c>
    </row>
    <row r="915" spans="1:9">
      <c r="A915" s="5" t="s">
        <v>475</v>
      </c>
      <c r="B915" s="10"/>
      <c r="C915" s="10"/>
      <c r="D915" s="10"/>
      <c r="E915" s="10">
        <v>-2.4893364999999998</v>
      </c>
      <c r="F915" s="10">
        <v>-2.5720581999999999</v>
      </c>
      <c r="G915" s="10"/>
      <c r="H915" s="5" t="s">
        <v>17</v>
      </c>
      <c r="I915" s="5" t="s">
        <v>17</v>
      </c>
    </row>
    <row r="916" spans="1:9">
      <c r="A916" s="5" t="s">
        <v>476</v>
      </c>
      <c r="B916" s="10"/>
      <c r="C916" s="10"/>
      <c r="D916" s="10"/>
      <c r="E916" s="10"/>
      <c r="F916" s="10"/>
      <c r="G916" s="10">
        <v>-3.2147256999999998</v>
      </c>
      <c r="H916" s="5" t="s">
        <v>17</v>
      </c>
      <c r="I916" s="5" t="s">
        <v>17</v>
      </c>
    </row>
    <row r="917" spans="1:9">
      <c r="A917" s="5" t="s">
        <v>477</v>
      </c>
      <c r="B917" s="10"/>
      <c r="C917" s="10"/>
      <c r="D917" s="10"/>
      <c r="E917" s="10">
        <v>-4.3183939999999996</v>
      </c>
      <c r="F917" s="10">
        <v>-4.0224957000000003</v>
      </c>
      <c r="G917" s="10">
        <v>-4.7465339999999996</v>
      </c>
      <c r="H917" s="5" t="s">
        <v>17</v>
      </c>
      <c r="I917" s="5" t="s">
        <v>17</v>
      </c>
    </row>
    <row r="918" spans="1:9">
      <c r="A918" s="5" t="s">
        <v>478</v>
      </c>
      <c r="B918" s="10"/>
      <c r="C918" s="10"/>
      <c r="D918" s="10"/>
      <c r="E918" s="10"/>
      <c r="F918" s="10"/>
      <c r="G918" s="10">
        <v>-2.1704854999999998</v>
      </c>
      <c r="H918" s="5" t="s">
        <v>17</v>
      </c>
      <c r="I918" s="5" t="s">
        <v>17</v>
      </c>
    </row>
    <row r="919" spans="1:9">
      <c r="A919" s="5" t="s">
        <v>479</v>
      </c>
      <c r="B919" s="10"/>
      <c r="C919" s="10"/>
      <c r="D919" s="10"/>
      <c r="E919" s="10"/>
      <c r="F919" s="10"/>
      <c r="G919" s="10">
        <v>-2.2866688000000002</v>
      </c>
      <c r="H919" s="5" t="s">
        <v>17</v>
      </c>
      <c r="I919" s="5" t="s">
        <v>17</v>
      </c>
    </row>
    <row r="920" spans="1:9">
      <c r="A920" s="5" t="s">
        <v>480</v>
      </c>
      <c r="B920" s="10"/>
      <c r="C920" s="10"/>
      <c r="D920" s="10"/>
      <c r="E920" s="10">
        <v>-2.0689449999999998</v>
      </c>
      <c r="F920" s="10">
        <v>-2.209813</v>
      </c>
      <c r="G920" s="10">
        <v>-2.7492036999999998</v>
      </c>
      <c r="H920" s="5" t="s">
        <v>17</v>
      </c>
      <c r="I920" s="5" t="s">
        <v>17</v>
      </c>
    </row>
    <row r="921" spans="1:9">
      <c r="A921" s="5" t="s">
        <v>481</v>
      </c>
      <c r="B921" s="10"/>
      <c r="C921" s="10"/>
      <c r="D921" s="10"/>
      <c r="E921" s="10"/>
      <c r="F921" s="10">
        <v>-2.9260451999999999</v>
      </c>
      <c r="G921" s="10">
        <v>-5.4955689999999997</v>
      </c>
      <c r="H921" s="5" t="s">
        <v>17</v>
      </c>
      <c r="I921" s="5" t="s">
        <v>17</v>
      </c>
    </row>
    <row r="922" spans="1:9">
      <c r="A922" s="5" t="s">
        <v>482</v>
      </c>
      <c r="B922" s="10"/>
      <c r="C922" s="10"/>
      <c r="D922" s="10">
        <v>2.9522414000000001</v>
      </c>
      <c r="E922" s="10"/>
      <c r="F922" s="10"/>
      <c r="G922" s="10"/>
      <c r="H922" s="5" t="s">
        <v>17</v>
      </c>
      <c r="I922" s="5" t="s">
        <v>17</v>
      </c>
    </row>
    <row r="923" spans="1:9">
      <c r="A923" s="5" t="s">
        <v>483</v>
      </c>
      <c r="B923" s="10"/>
      <c r="C923" s="10"/>
      <c r="D923" s="10"/>
      <c r="E923" s="10"/>
      <c r="F923" s="10">
        <v>-2.8345037</v>
      </c>
      <c r="G923" s="10"/>
      <c r="H923" s="5" t="s">
        <v>17</v>
      </c>
      <c r="I923" s="5" t="s">
        <v>17</v>
      </c>
    </row>
    <row r="924" spans="1:9">
      <c r="A924" s="5" t="s">
        <v>484</v>
      </c>
      <c r="B924" s="10"/>
      <c r="C924" s="10"/>
      <c r="D924" s="10"/>
      <c r="E924" s="10"/>
      <c r="F924" s="10">
        <v>-2.2759390000000002</v>
      </c>
      <c r="G924" s="10">
        <v>-2.6379347000000002</v>
      </c>
      <c r="H924" s="5" t="s">
        <v>17</v>
      </c>
      <c r="I924" s="5" t="s">
        <v>17</v>
      </c>
    </row>
    <row r="925" spans="1:9">
      <c r="A925" s="5" t="s">
        <v>485</v>
      </c>
      <c r="B925" s="10"/>
      <c r="C925" s="10"/>
      <c r="D925" s="10"/>
      <c r="E925" s="10"/>
      <c r="F925" s="10"/>
      <c r="G925" s="10">
        <v>-2.7617096999999999</v>
      </c>
      <c r="H925" s="5" t="s">
        <v>17</v>
      </c>
      <c r="I925" s="5" t="s">
        <v>17</v>
      </c>
    </row>
    <row r="926" spans="1:9">
      <c r="A926" s="5" t="s">
        <v>576</v>
      </c>
      <c r="B926" s="10"/>
      <c r="C926" s="10"/>
      <c r="D926" s="10"/>
      <c r="E926" s="10"/>
      <c r="F926" s="10"/>
      <c r="G926" s="10">
        <v>-4.7539540000000002</v>
      </c>
      <c r="H926" s="5" t="s">
        <v>17</v>
      </c>
      <c r="I926" s="5" t="s">
        <v>17</v>
      </c>
    </row>
    <row r="927" spans="1:9">
      <c r="A927" s="5" t="s">
        <v>486</v>
      </c>
      <c r="B927" s="10"/>
      <c r="C927" s="10"/>
      <c r="D927" s="10"/>
      <c r="E927" s="10"/>
      <c r="F927" s="10"/>
      <c r="G927" s="10">
        <v>-2.3029404000000002</v>
      </c>
      <c r="H927" s="5" t="s">
        <v>17</v>
      </c>
      <c r="I927" s="5" t="s">
        <v>17</v>
      </c>
    </row>
    <row r="928" spans="1:9">
      <c r="A928" s="5" t="s">
        <v>487</v>
      </c>
      <c r="B928" s="10"/>
      <c r="C928" s="10"/>
      <c r="D928" s="10"/>
      <c r="E928" s="10"/>
      <c r="F928" s="10"/>
      <c r="G928" s="10">
        <v>-2.0750346</v>
      </c>
      <c r="H928" s="5" t="s">
        <v>17</v>
      </c>
      <c r="I928" s="5" t="s">
        <v>17</v>
      </c>
    </row>
    <row r="929" spans="1:9">
      <c r="A929" s="5" t="s">
        <v>488</v>
      </c>
      <c r="B929" s="10"/>
      <c r="C929" s="10"/>
      <c r="D929" s="10"/>
      <c r="E929" s="10"/>
      <c r="F929" s="10"/>
      <c r="G929" s="10">
        <v>-2.5764751000000001</v>
      </c>
      <c r="H929" s="5" t="s">
        <v>17</v>
      </c>
      <c r="I929" s="5" t="s">
        <v>17</v>
      </c>
    </row>
    <row r="930" spans="1:9">
      <c r="A930" s="5" t="s">
        <v>489</v>
      </c>
      <c r="B930" s="10"/>
      <c r="C930" s="10"/>
      <c r="D930" s="10"/>
      <c r="E930" s="10"/>
      <c r="F930" s="10"/>
      <c r="G930" s="10">
        <v>-3.2260298999999999</v>
      </c>
      <c r="H930" s="5" t="s">
        <v>17</v>
      </c>
      <c r="I930" s="5" t="s">
        <v>17</v>
      </c>
    </row>
    <row r="931" spans="1:9">
      <c r="A931" s="5" t="s">
        <v>490</v>
      </c>
      <c r="B931" s="10"/>
      <c r="C931" s="10"/>
      <c r="D931" s="10"/>
      <c r="E931" s="10"/>
      <c r="F931" s="10"/>
      <c r="G931" s="10"/>
      <c r="H931" s="5" t="s">
        <v>17</v>
      </c>
      <c r="I931" s="5" t="s">
        <v>17</v>
      </c>
    </row>
    <row r="932" spans="1:9">
      <c r="A932" s="5" t="s">
        <v>491</v>
      </c>
      <c r="B932" s="10">
        <v>2.6261796999999998</v>
      </c>
      <c r="C932" s="10">
        <v>3.5893063999999999</v>
      </c>
      <c r="D932" s="10">
        <v>3.3204117000000002</v>
      </c>
      <c r="E932" s="10"/>
      <c r="F932" s="10"/>
      <c r="G932" s="10"/>
      <c r="H932" s="5" t="s">
        <v>17</v>
      </c>
      <c r="I932" s="5" t="s">
        <v>17</v>
      </c>
    </row>
    <row r="933" spans="1:9">
      <c r="A933" s="5" t="s">
        <v>492</v>
      </c>
      <c r="B933" s="10"/>
      <c r="C933" s="10"/>
      <c r="D933" s="10"/>
      <c r="E933" s="10"/>
      <c r="F933" s="10"/>
      <c r="G933" s="10">
        <v>-3.2276715999999999</v>
      </c>
      <c r="H933" s="5" t="s">
        <v>17</v>
      </c>
      <c r="I933" s="5" t="s">
        <v>17</v>
      </c>
    </row>
    <row r="934" spans="1:9">
      <c r="A934" s="5" t="s">
        <v>493</v>
      </c>
      <c r="B934" s="10"/>
      <c r="C934" s="10"/>
      <c r="D934" s="10"/>
      <c r="E934" s="10"/>
      <c r="F934" s="10">
        <v>-4.1323910000000001</v>
      </c>
      <c r="G934" s="10"/>
      <c r="H934" s="5" t="s">
        <v>17</v>
      </c>
      <c r="I934" s="5" t="s">
        <v>17</v>
      </c>
    </row>
    <row r="935" spans="1:9">
      <c r="A935" s="5" t="s">
        <v>494</v>
      </c>
      <c r="B935" s="10"/>
      <c r="C935" s="10">
        <v>2.6895775999999998</v>
      </c>
      <c r="D935" s="10"/>
      <c r="E935" s="10"/>
      <c r="F935" s="10"/>
      <c r="G935" s="10"/>
      <c r="H935" s="5" t="s">
        <v>17</v>
      </c>
      <c r="I935" s="5" t="s">
        <v>17</v>
      </c>
    </row>
    <row r="936" spans="1:9">
      <c r="A936" s="5" t="s">
        <v>495</v>
      </c>
      <c r="B936" s="10"/>
      <c r="C936" s="10"/>
      <c r="D936" s="10">
        <v>2.0938430000000001</v>
      </c>
      <c r="E936" s="10"/>
      <c r="F936" s="10"/>
      <c r="G936" s="10"/>
      <c r="H936" s="5" t="s">
        <v>17</v>
      </c>
      <c r="I936" s="5" t="s">
        <v>17</v>
      </c>
    </row>
    <row r="937" spans="1:9">
      <c r="A937" s="5" t="s">
        <v>496</v>
      </c>
      <c r="B937" s="10"/>
      <c r="C937" s="10"/>
      <c r="D937" s="10"/>
      <c r="E937" s="10"/>
      <c r="F937" s="10"/>
      <c r="G937" s="10">
        <v>-2.4034490000000002</v>
      </c>
      <c r="H937" s="5" t="s">
        <v>17</v>
      </c>
      <c r="I937" s="5" t="s">
        <v>17</v>
      </c>
    </row>
    <row r="938" spans="1:9">
      <c r="A938" s="5" t="s">
        <v>497</v>
      </c>
      <c r="B938" s="10"/>
      <c r="C938" s="10"/>
      <c r="D938" s="10"/>
      <c r="E938" s="10"/>
      <c r="F938" s="10"/>
      <c r="G938" s="10"/>
      <c r="H938" s="5" t="s">
        <v>17</v>
      </c>
      <c r="I938" s="5" t="s">
        <v>17</v>
      </c>
    </row>
    <row r="939" spans="1:9">
      <c r="A939" s="5" t="s">
        <v>498</v>
      </c>
      <c r="B939" s="10"/>
      <c r="C939" s="10"/>
      <c r="D939" s="10"/>
      <c r="E939" s="10">
        <v>-2.8025384</v>
      </c>
      <c r="F939" s="10">
        <v>-3.1821275</v>
      </c>
      <c r="G939" s="10">
        <v>-4.3891587000000003</v>
      </c>
      <c r="H939" s="5" t="s">
        <v>17</v>
      </c>
      <c r="I939" s="5" t="s">
        <v>17</v>
      </c>
    </row>
    <row r="940" spans="1:9">
      <c r="A940" s="5" t="s">
        <v>499</v>
      </c>
      <c r="B940" s="10"/>
      <c r="C940" s="10"/>
      <c r="D940" s="10">
        <v>2.0602212</v>
      </c>
      <c r="E940" s="10"/>
      <c r="F940" s="10"/>
      <c r="G940" s="10"/>
      <c r="H940" s="5" t="s">
        <v>17</v>
      </c>
      <c r="I940" s="5" t="s">
        <v>17</v>
      </c>
    </row>
    <row r="941" spans="1:9">
      <c r="A941" s="5" t="s">
        <v>500</v>
      </c>
      <c r="B941" s="10"/>
      <c r="C941" s="10"/>
      <c r="D941" s="10"/>
      <c r="E941" s="10"/>
      <c r="F941" s="10"/>
      <c r="G941" s="10">
        <v>-2.0404034000000002</v>
      </c>
      <c r="H941" s="5" t="s">
        <v>17</v>
      </c>
      <c r="I941" s="5" t="s">
        <v>17</v>
      </c>
    </row>
    <row r="942" spans="1:9">
      <c r="A942" s="5" t="s">
        <v>501</v>
      </c>
      <c r="B942" s="10"/>
      <c r="C942" s="10"/>
      <c r="D942" s="10"/>
      <c r="E942" s="10"/>
      <c r="F942" s="10"/>
      <c r="G942" s="10">
        <v>-2.2036709999999999</v>
      </c>
      <c r="H942" s="5" t="s">
        <v>17</v>
      </c>
      <c r="I942" s="5" t="s">
        <v>17</v>
      </c>
    </row>
    <row r="943" spans="1:9">
      <c r="A943" s="5" t="s">
        <v>502</v>
      </c>
      <c r="B943" s="10"/>
      <c r="C943" s="10"/>
      <c r="D943" s="10"/>
      <c r="E943" s="10"/>
      <c r="F943" s="10"/>
      <c r="G943" s="10"/>
      <c r="H943" s="5" t="s">
        <v>17</v>
      </c>
      <c r="I943" s="5" t="s">
        <v>17</v>
      </c>
    </row>
    <row r="944" spans="1:9">
      <c r="A944" s="5" t="s">
        <v>503</v>
      </c>
      <c r="B944" s="10"/>
      <c r="C944" s="10"/>
      <c r="D944" s="10">
        <v>2.2859229999999999</v>
      </c>
      <c r="E944" s="10"/>
      <c r="F944" s="10"/>
      <c r="G944" s="10"/>
      <c r="H944" s="5" t="s">
        <v>17</v>
      </c>
      <c r="I944" s="5" t="s">
        <v>17</v>
      </c>
    </row>
    <row r="945" spans="1:9">
      <c r="A945" s="5" t="s">
        <v>504</v>
      </c>
      <c r="B945" s="10"/>
      <c r="C945" s="10"/>
      <c r="D945" s="10"/>
      <c r="E945" s="10"/>
      <c r="F945" s="10"/>
      <c r="G945" s="10">
        <v>-2.7283650000000002</v>
      </c>
      <c r="H945" s="5" t="s">
        <v>17</v>
      </c>
      <c r="I945" s="5" t="s">
        <v>17</v>
      </c>
    </row>
    <row r="946" spans="1:9">
      <c r="A946" s="5" t="s">
        <v>505</v>
      </c>
      <c r="B946" s="10"/>
      <c r="C946" s="10"/>
      <c r="D946" s="10"/>
      <c r="E946" s="10"/>
      <c r="F946" s="10"/>
      <c r="G946" s="10">
        <v>-2.7031304999999999</v>
      </c>
      <c r="H946" s="5" t="s">
        <v>17</v>
      </c>
      <c r="I946" s="5" t="s">
        <v>17</v>
      </c>
    </row>
    <row r="947" spans="1:9">
      <c r="A947" s="5" t="s">
        <v>506</v>
      </c>
      <c r="B947" s="10"/>
      <c r="C947" s="10"/>
      <c r="D947" s="10"/>
      <c r="E947" s="10"/>
      <c r="F947" s="10">
        <v>-2.1084242</v>
      </c>
      <c r="G947" s="10"/>
      <c r="H947" s="5" t="s">
        <v>17</v>
      </c>
      <c r="I947" s="5" t="s">
        <v>17</v>
      </c>
    </row>
    <row r="948" spans="1:9">
      <c r="A948" s="5" t="s">
        <v>507</v>
      </c>
      <c r="B948" s="10"/>
      <c r="C948" s="10"/>
      <c r="D948" s="10"/>
      <c r="E948" s="10"/>
      <c r="F948" s="10"/>
      <c r="G948" s="10">
        <v>-2.0731883</v>
      </c>
      <c r="H948" s="5" t="s">
        <v>17</v>
      </c>
      <c r="I948" s="5" t="s">
        <v>17</v>
      </c>
    </row>
    <row r="949" spans="1:9">
      <c r="A949" s="5" t="s">
        <v>508</v>
      </c>
      <c r="B949" s="10"/>
      <c r="C949" s="10"/>
      <c r="D949" s="10"/>
      <c r="E949" s="10"/>
      <c r="F949" s="10"/>
      <c r="G949" s="10"/>
      <c r="H949" s="5" t="s">
        <v>17</v>
      </c>
      <c r="I949" s="5" t="s">
        <v>17</v>
      </c>
    </row>
    <row r="950" spans="1:9">
      <c r="A950" s="5" t="s">
        <v>509</v>
      </c>
      <c r="B950" s="10"/>
      <c r="C950" s="10"/>
      <c r="D950" s="10"/>
      <c r="E950" s="10"/>
      <c r="F950" s="10"/>
      <c r="G950" s="10">
        <v>-2.0561189999999998</v>
      </c>
      <c r="H950" s="5" t="s">
        <v>17</v>
      </c>
      <c r="I950" s="5" t="s">
        <v>17</v>
      </c>
    </row>
    <row r="951" spans="1:9">
      <c r="A951" s="5" t="s">
        <v>510</v>
      </c>
      <c r="B951" s="10"/>
      <c r="C951" s="10"/>
      <c r="D951" s="10"/>
      <c r="E951" s="10"/>
      <c r="F951" s="10"/>
      <c r="G951" s="10">
        <v>-2.2205940000000002</v>
      </c>
      <c r="H951" s="5" t="s">
        <v>17</v>
      </c>
      <c r="I951" s="5" t="s">
        <v>17</v>
      </c>
    </row>
    <row r="952" spans="1:9">
      <c r="A952" s="5" t="s">
        <v>511</v>
      </c>
      <c r="B952" s="10"/>
      <c r="C952" s="10"/>
      <c r="D952" s="10"/>
      <c r="E952" s="10">
        <v>-2.5448027</v>
      </c>
      <c r="F952" s="10">
        <v>-2.2126665000000001</v>
      </c>
      <c r="G952" s="10">
        <v>-3.4742327</v>
      </c>
      <c r="H952" s="5" t="s">
        <v>17</v>
      </c>
      <c r="I952" s="5" t="s">
        <v>17</v>
      </c>
    </row>
    <row r="953" spans="1:9">
      <c r="A953" s="5" t="s">
        <v>512</v>
      </c>
      <c r="B953" s="10"/>
      <c r="C953" s="10"/>
      <c r="D953" s="10"/>
      <c r="E953" s="10"/>
      <c r="F953" s="10">
        <v>-2.2990952</v>
      </c>
      <c r="G953" s="10">
        <v>-2.5409535999999999</v>
      </c>
      <c r="H953" s="5" t="s">
        <v>17</v>
      </c>
      <c r="I953" s="5" t="s">
        <v>17</v>
      </c>
    </row>
    <row r="954" spans="1:9">
      <c r="A954" s="5" t="s">
        <v>513</v>
      </c>
      <c r="B954" s="10"/>
      <c r="C954" s="10"/>
      <c r="D954" s="10"/>
      <c r="E954" s="10"/>
      <c r="F954" s="10"/>
      <c r="G954" s="10"/>
      <c r="H954" s="5" t="s">
        <v>17</v>
      </c>
      <c r="I954" s="5" t="s">
        <v>17</v>
      </c>
    </row>
    <row r="955" spans="1:9">
      <c r="A955" s="5" t="s">
        <v>514</v>
      </c>
      <c r="B955" s="10"/>
      <c r="C955" s="10"/>
      <c r="D955" s="10"/>
      <c r="E955" s="10"/>
      <c r="F955" s="10"/>
      <c r="G955" s="10"/>
      <c r="H955" s="5" t="s">
        <v>17</v>
      </c>
      <c r="I955" s="5" t="s">
        <v>17</v>
      </c>
    </row>
    <row r="956" spans="1:9">
      <c r="A956" s="5" t="s">
        <v>515</v>
      </c>
      <c r="B956" s="10"/>
      <c r="C956" s="10"/>
      <c r="D956" s="10"/>
      <c r="E956" s="10"/>
      <c r="F956" s="10"/>
      <c r="G956" s="10">
        <v>-2.5677867000000001</v>
      </c>
      <c r="H956" s="5" t="s">
        <v>17</v>
      </c>
      <c r="I956" s="5" t="s">
        <v>17</v>
      </c>
    </row>
    <row r="957" spans="1:9">
      <c r="A957" s="5" t="s">
        <v>516</v>
      </c>
      <c r="B957" s="10"/>
      <c r="C957" s="10"/>
      <c r="D957" s="10"/>
      <c r="E957" s="10"/>
      <c r="F957" s="10">
        <v>-2.0889034</v>
      </c>
      <c r="G957" s="10">
        <v>-2.3663645</v>
      </c>
      <c r="H957" s="5" t="s">
        <v>17</v>
      </c>
      <c r="I957" s="5" t="s">
        <v>17</v>
      </c>
    </row>
    <row r="958" spans="1:9">
      <c r="A958" s="5" t="s">
        <v>578</v>
      </c>
      <c r="B958" s="10"/>
      <c r="C958" s="10"/>
      <c r="D958" s="10"/>
      <c r="E958" s="10"/>
      <c r="F958" s="10">
        <v>-2.1776175000000002</v>
      </c>
      <c r="G958" s="10">
        <v>-2.5073704999999999</v>
      </c>
      <c r="H958" s="5" t="s">
        <v>17</v>
      </c>
      <c r="I958" s="5" t="s">
        <v>17</v>
      </c>
    </row>
  </sheetData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8"/>
  <sheetViews>
    <sheetView workbookViewId="0">
      <selection activeCell="B3" sqref="B3"/>
    </sheetView>
  </sheetViews>
  <sheetFormatPr defaultRowHeight="12.75"/>
  <cols>
    <col min="1" max="1" width="23" style="5" bestFit="1" customWidth="1"/>
    <col min="2" max="2" width="15.42578125" style="5" bestFit="1" customWidth="1"/>
    <col min="3" max="4" width="17" style="5" bestFit="1" customWidth="1"/>
    <col min="5" max="5" width="41.28515625" style="5" customWidth="1"/>
    <col min="6" max="6" width="44.7109375" style="5" customWidth="1"/>
    <col min="7" max="7" width="33" style="5" customWidth="1"/>
    <col min="8" max="16384" width="9.140625" style="5"/>
  </cols>
  <sheetData>
    <row r="1" spans="1:7" ht="18">
      <c r="A1" s="8" t="s">
        <v>579</v>
      </c>
      <c r="B1" s="8" t="s">
        <v>151</v>
      </c>
      <c r="C1" s="8" t="s">
        <v>153</v>
      </c>
      <c r="D1" s="8" t="s">
        <v>155</v>
      </c>
      <c r="E1" s="9" t="s">
        <v>580</v>
      </c>
      <c r="F1" s="9" t="s">
        <v>581</v>
      </c>
      <c r="G1" s="9" t="s">
        <v>582</v>
      </c>
    </row>
    <row r="2" spans="1:7">
      <c r="A2" s="5" t="s">
        <v>583</v>
      </c>
      <c r="B2" s="10"/>
      <c r="C2" s="10"/>
      <c r="D2" s="10">
        <v>2.118185</v>
      </c>
      <c r="E2" s="5" t="s">
        <v>584</v>
      </c>
      <c r="F2" s="5" t="s">
        <v>585</v>
      </c>
      <c r="G2" s="5" t="s">
        <v>586</v>
      </c>
    </row>
    <row r="3" spans="1:7">
      <c r="A3" s="5" t="s">
        <v>597</v>
      </c>
      <c r="B3" s="10"/>
      <c r="C3" s="10"/>
      <c r="D3" s="10">
        <v>2.1477903999999999</v>
      </c>
      <c r="E3" s="5" t="s">
        <v>598</v>
      </c>
    </row>
    <row r="4" spans="1:7">
      <c r="A4" s="5" t="s">
        <v>599</v>
      </c>
      <c r="B4" s="10"/>
      <c r="C4" s="10"/>
      <c r="D4" s="10">
        <v>2.6921952</v>
      </c>
      <c r="E4" s="5" t="s">
        <v>598</v>
      </c>
    </row>
    <row r="5" spans="1:7">
      <c r="A5" s="5" t="s">
        <v>600</v>
      </c>
      <c r="B5" s="10"/>
      <c r="C5" s="10"/>
      <c r="D5" s="10">
        <v>2.1416917</v>
      </c>
      <c r="E5" s="5" t="s">
        <v>601</v>
      </c>
    </row>
    <row r="6" spans="1:7">
      <c r="A6" s="5" t="s">
        <v>633</v>
      </c>
      <c r="B6" s="10"/>
      <c r="C6" s="10">
        <v>2.2374578000000001</v>
      </c>
      <c r="D6" s="10">
        <v>4.0735383000000001</v>
      </c>
      <c r="E6" s="5" t="s">
        <v>634</v>
      </c>
      <c r="F6" s="5" t="s">
        <v>635</v>
      </c>
      <c r="G6" s="5" t="s">
        <v>636</v>
      </c>
    </row>
    <row r="7" spans="1:7">
      <c r="A7" s="5" t="s">
        <v>637</v>
      </c>
      <c r="B7" s="10"/>
      <c r="C7" s="10"/>
      <c r="D7" s="10">
        <v>3.8772473000000001</v>
      </c>
      <c r="E7" s="5" t="s">
        <v>634</v>
      </c>
      <c r="F7" s="5" t="s">
        <v>635</v>
      </c>
      <c r="G7" s="5" t="s">
        <v>636</v>
      </c>
    </row>
    <row r="8" spans="1:7">
      <c r="A8" s="5" t="s">
        <v>638</v>
      </c>
      <c r="B8" s="10"/>
      <c r="C8" s="10"/>
      <c r="D8" s="10">
        <v>2.580606</v>
      </c>
      <c r="E8" s="5" t="s">
        <v>634</v>
      </c>
      <c r="F8" s="5" t="s">
        <v>639</v>
      </c>
      <c r="G8" s="5" t="s">
        <v>636</v>
      </c>
    </row>
    <row r="9" spans="1:7">
      <c r="A9" s="5" t="s">
        <v>661</v>
      </c>
      <c r="B9" s="10"/>
      <c r="C9" s="10"/>
      <c r="D9" s="10">
        <v>2.2813810999999999</v>
      </c>
      <c r="E9" s="5" t="s">
        <v>658</v>
      </c>
      <c r="G9" s="5" t="s">
        <v>662</v>
      </c>
    </row>
    <row r="10" spans="1:7">
      <c r="A10" s="5" t="s">
        <v>663</v>
      </c>
      <c r="B10" s="10"/>
      <c r="C10" s="10">
        <v>2.4039712</v>
      </c>
      <c r="D10" s="10">
        <v>2.3869429000000002</v>
      </c>
      <c r="E10" s="5" t="s">
        <v>658</v>
      </c>
      <c r="F10" s="5" t="s">
        <v>659</v>
      </c>
    </row>
    <row r="11" spans="1:7">
      <c r="A11" s="5" t="s">
        <v>664</v>
      </c>
      <c r="B11" s="10"/>
      <c r="C11" s="10"/>
      <c r="D11" s="10">
        <v>3.3714118000000002</v>
      </c>
      <c r="E11" s="5" t="s">
        <v>658</v>
      </c>
      <c r="F11" s="5" t="s">
        <v>665</v>
      </c>
      <c r="G11" s="5" t="s">
        <v>660</v>
      </c>
    </row>
    <row r="12" spans="1:7">
      <c r="A12" s="5" t="s">
        <v>666</v>
      </c>
      <c r="B12" s="10"/>
      <c r="C12" s="10"/>
      <c r="D12" s="10">
        <v>2.0066310000000001</v>
      </c>
      <c r="E12" s="5" t="s">
        <v>658</v>
      </c>
      <c r="F12" s="5" t="s">
        <v>665</v>
      </c>
      <c r="G12" s="5" t="s">
        <v>667</v>
      </c>
    </row>
    <row r="13" spans="1:7">
      <c r="A13" s="5" t="s">
        <v>668</v>
      </c>
      <c r="B13" s="10"/>
      <c r="C13" s="10"/>
      <c r="D13" s="10">
        <v>2.2656455000000002</v>
      </c>
      <c r="E13" s="5" t="s">
        <v>658</v>
      </c>
      <c r="F13" s="5" t="s">
        <v>665</v>
      </c>
      <c r="G13" s="5" t="s">
        <v>667</v>
      </c>
    </row>
    <row r="14" spans="1:7">
      <c r="A14" s="5" t="s">
        <v>669</v>
      </c>
      <c r="B14" s="10"/>
      <c r="C14" s="10">
        <v>2.5798644999999998</v>
      </c>
      <c r="D14" s="10"/>
      <c r="E14" s="5" t="s">
        <v>670</v>
      </c>
      <c r="F14" s="5" t="s">
        <v>627</v>
      </c>
      <c r="G14" s="5" t="s">
        <v>671</v>
      </c>
    </row>
    <row r="15" spans="1:7">
      <c r="A15" s="5" t="s">
        <v>672</v>
      </c>
      <c r="B15" s="10"/>
      <c r="C15" s="10"/>
      <c r="D15" s="10">
        <v>4.0991564</v>
      </c>
      <c r="E15" s="5" t="s">
        <v>673</v>
      </c>
      <c r="F15" s="5" t="s">
        <v>674</v>
      </c>
      <c r="G15" s="5" t="s">
        <v>675</v>
      </c>
    </row>
    <row r="16" spans="1:7">
      <c r="A16" s="5" t="s">
        <v>676</v>
      </c>
      <c r="B16" s="10"/>
      <c r="C16" s="10"/>
      <c r="D16" s="10">
        <v>2.5598920000000001</v>
      </c>
      <c r="E16" s="5" t="s">
        <v>673</v>
      </c>
      <c r="F16" s="5" t="s">
        <v>674</v>
      </c>
      <c r="G16" s="5" t="s">
        <v>675</v>
      </c>
    </row>
    <row r="17" spans="1:7">
      <c r="A17" s="5" t="s">
        <v>677</v>
      </c>
      <c r="B17" s="10"/>
      <c r="C17" s="10"/>
      <c r="D17" s="10">
        <v>3.8050527999999999</v>
      </c>
      <c r="E17" s="5" t="s">
        <v>673</v>
      </c>
      <c r="F17" s="5" t="s">
        <v>674</v>
      </c>
      <c r="G17" s="5" t="s">
        <v>675</v>
      </c>
    </row>
    <row r="18" spans="1:7">
      <c r="A18" s="5" t="s">
        <v>678</v>
      </c>
      <c r="B18" s="10"/>
      <c r="C18" s="10">
        <v>2.2229643000000001</v>
      </c>
      <c r="D18" s="10"/>
      <c r="E18" s="5" t="s">
        <v>673</v>
      </c>
      <c r="F18" s="5" t="s">
        <v>674</v>
      </c>
      <c r="G18" s="5" t="s">
        <v>675</v>
      </c>
    </row>
    <row r="19" spans="1:7">
      <c r="A19" s="5" t="s">
        <v>680</v>
      </c>
      <c r="B19" s="10"/>
      <c r="C19" s="10"/>
      <c r="D19" s="10">
        <v>3.3911204000000001</v>
      </c>
      <c r="E19" s="5" t="s">
        <v>673</v>
      </c>
      <c r="F19" s="5" t="s">
        <v>674</v>
      </c>
      <c r="G19" s="5" t="s">
        <v>675</v>
      </c>
    </row>
    <row r="20" spans="1:7">
      <c r="A20" s="5" t="s">
        <v>681</v>
      </c>
      <c r="B20" s="10"/>
      <c r="C20" s="10"/>
      <c r="D20" s="10">
        <v>3.3455663000000002</v>
      </c>
      <c r="E20" s="5" t="s">
        <v>673</v>
      </c>
      <c r="F20" s="5" t="s">
        <v>674</v>
      </c>
      <c r="G20" s="5" t="s">
        <v>675</v>
      </c>
    </row>
    <row r="21" spans="1:7">
      <c r="A21" s="5" t="s">
        <v>683</v>
      </c>
      <c r="B21" s="10"/>
      <c r="C21" s="10"/>
      <c r="D21" s="10">
        <v>4.2127140000000001</v>
      </c>
      <c r="E21" s="5" t="s">
        <v>673</v>
      </c>
      <c r="F21" s="5" t="s">
        <v>674</v>
      </c>
      <c r="G21" s="5" t="s">
        <v>675</v>
      </c>
    </row>
    <row r="22" spans="1:7">
      <c r="A22" s="5" t="s">
        <v>684</v>
      </c>
      <c r="B22" s="10"/>
      <c r="C22" s="10"/>
      <c r="D22" s="10">
        <v>3.0891852000000002</v>
      </c>
      <c r="E22" s="5" t="s">
        <v>673</v>
      </c>
      <c r="F22" s="5" t="s">
        <v>674</v>
      </c>
      <c r="G22" s="5" t="s">
        <v>675</v>
      </c>
    </row>
    <row r="23" spans="1:7">
      <c r="A23" s="5" t="s">
        <v>685</v>
      </c>
      <c r="B23" s="10"/>
      <c r="C23" s="10"/>
      <c r="D23" s="10">
        <v>2.9396334</v>
      </c>
      <c r="E23" s="5" t="s">
        <v>673</v>
      </c>
      <c r="F23" s="5" t="s">
        <v>674</v>
      </c>
      <c r="G23" s="5" t="s">
        <v>675</v>
      </c>
    </row>
    <row r="24" spans="1:7">
      <c r="A24" s="5" t="s">
        <v>686</v>
      </c>
      <c r="B24" s="10">
        <v>2.0547390000000001</v>
      </c>
      <c r="C24" s="10">
        <v>2.4695778000000002</v>
      </c>
      <c r="D24" s="10">
        <v>3.5900916999999999</v>
      </c>
      <c r="E24" s="5" t="s">
        <v>687</v>
      </c>
      <c r="F24" s="5" t="s">
        <v>688</v>
      </c>
      <c r="G24" s="5" t="s">
        <v>689</v>
      </c>
    </row>
    <row r="25" spans="1:7">
      <c r="A25" s="5" t="s">
        <v>690</v>
      </c>
      <c r="B25" s="10">
        <v>2.0153908999999999</v>
      </c>
      <c r="C25" s="10">
        <v>2.5564741999999998</v>
      </c>
      <c r="D25" s="10">
        <v>3.7440972000000001</v>
      </c>
      <c r="E25" s="5" t="s">
        <v>687</v>
      </c>
      <c r="F25" s="5" t="s">
        <v>688</v>
      </c>
      <c r="G25" s="5" t="s">
        <v>689</v>
      </c>
    </row>
    <row r="26" spans="1:7">
      <c r="A26" s="5" t="s">
        <v>765</v>
      </c>
      <c r="B26" s="10">
        <v>4.0937960000000002</v>
      </c>
      <c r="C26" s="10">
        <v>4.6559524999999997</v>
      </c>
      <c r="D26" s="10">
        <v>2.638754</v>
      </c>
      <c r="E26" s="5" t="s">
        <v>1198</v>
      </c>
      <c r="F26" s="5" t="s">
        <v>621</v>
      </c>
    </row>
    <row r="27" spans="1:7">
      <c r="A27" s="5" t="s">
        <v>767</v>
      </c>
      <c r="B27" s="10"/>
      <c r="C27" s="10"/>
      <c r="D27" s="10">
        <v>2.5553498000000001</v>
      </c>
      <c r="E27" s="5" t="s">
        <v>768</v>
      </c>
    </row>
    <row r="28" spans="1:7">
      <c r="A28" s="5" t="s">
        <v>769</v>
      </c>
      <c r="B28" s="10"/>
      <c r="C28" s="10"/>
      <c r="D28" s="10">
        <v>2.1183972</v>
      </c>
      <c r="E28" s="5" t="s">
        <v>770</v>
      </c>
      <c r="G28" s="5" t="s">
        <v>771</v>
      </c>
    </row>
    <row r="29" spans="1:7">
      <c r="A29" s="5" t="s">
        <v>772</v>
      </c>
      <c r="B29" s="10"/>
      <c r="C29" s="10">
        <v>2.7156457999999999</v>
      </c>
      <c r="D29" s="10"/>
      <c r="E29" s="5" t="s">
        <v>773</v>
      </c>
      <c r="F29" s="5" t="s">
        <v>774</v>
      </c>
      <c r="G29" s="5" t="s">
        <v>775</v>
      </c>
    </row>
    <row r="30" spans="1:7">
      <c r="A30" s="5" t="s">
        <v>793</v>
      </c>
      <c r="B30" s="10"/>
      <c r="C30" s="10"/>
      <c r="D30" s="10">
        <v>-2.0031047000000002</v>
      </c>
      <c r="E30" s="5" t="s">
        <v>794</v>
      </c>
    </row>
    <row r="31" spans="1:7">
      <c r="A31" s="5" t="s">
        <v>796</v>
      </c>
      <c r="B31" s="10">
        <v>-2.2975278000000001</v>
      </c>
      <c r="C31" s="10">
        <v>-2.6770520000000002</v>
      </c>
      <c r="D31" s="10"/>
      <c r="E31" s="5" t="s">
        <v>660</v>
      </c>
    </row>
    <row r="32" spans="1:7">
      <c r="A32" s="5" t="s">
        <v>797</v>
      </c>
      <c r="B32" s="10">
        <v>-3.6621543999999999</v>
      </c>
      <c r="C32" s="10">
        <v>-4.1896962999999996</v>
      </c>
      <c r="D32" s="10">
        <v>-2.5971215000000001</v>
      </c>
      <c r="E32" s="5" t="s">
        <v>798</v>
      </c>
    </row>
    <row r="33" spans="1:7">
      <c r="A33" s="5" t="s">
        <v>799</v>
      </c>
      <c r="B33" s="10"/>
      <c r="C33" s="10"/>
      <c r="D33" s="10">
        <v>-2.5297464999999999</v>
      </c>
      <c r="E33" s="5" t="s">
        <v>800</v>
      </c>
    </row>
    <row r="34" spans="1:7">
      <c r="A34" s="5" t="s">
        <v>871</v>
      </c>
      <c r="B34" s="10"/>
      <c r="C34" s="10"/>
      <c r="D34" s="10">
        <v>4.6209610000000003</v>
      </c>
      <c r="E34" s="5" t="s">
        <v>872</v>
      </c>
      <c r="F34" s="5" t="s">
        <v>873</v>
      </c>
      <c r="G34" s="5" t="s">
        <v>874</v>
      </c>
    </row>
    <row r="35" spans="1:7">
      <c r="A35" s="5" t="s">
        <v>875</v>
      </c>
      <c r="B35" s="10"/>
      <c r="C35" s="10"/>
      <c r="D35" s="10">
        <v>2.0235853000000001</v>
      </c>
      <c r="E35" s="5" t="s">
        <v>872</v>
      </c>
      <c r="G35" s="5" t="s">
        <v>876</v>
      </c>
    </row>
    <row r="36" spans="1:7">
      <c r="A36" s="5" t="s">
        <v>877</v>
      </c>
      <c r="B36" s="10"/>
      <c r="C36" s="10">
        <v>3.3473326999999999</v>
      </c>
      <c r="D36" s="10">
        <v>5.4696160000000003</v>
      </c>
      <c r="E36" s="5" t="s">
        <v>878</v>
      </c>
      <c r="F36" s="5" t="s">
        <v>873</v>
      </c>
      <c r="G36" s="5" t="s">
        <v>879</v>
      </c>
    </row>
    <row r="37" spans="1:7">
      <c r="A37" s="5" t="s">
        <v>880</v>
      </c>
      <c r="B37" s="10"/>
      <c r="C37" s="10"/>
      <c r="D37" s="10">
        <v>2.052003</v>
      </c>
      <c r="E37" s="5" t="s">
        <v>878</v>
      </c>
      <c r="F37" s="5" t="s">
        <v>873</v>
      </c>
      <c r="G37" s="5" t="s">
        <v>879</v>
      </c>
    </row>
    <row r="38" spans="1:7">
      <c r="A38" s="5" t="s">
        <v>881</v>
      </c>
      <c r="B38" s="10">
        <v>3.1407002999999998</v>
      </c>
      <c r="C38" s="10">
        <v>3.2185570000000001</v>
      </c>
      <c r="D38" s="10">
        <v>3.5042844</v>
      </c>
      <c r="E38" s="5" t="s">
        <v>882</v>
      </c>
      <c r="F38" s="5" t="s">
        <v>873</v>
      </c>
      <c r="G38" s="5" t="s">
        <v>883</v>
      </c>
    </row>
    <row r="39" spans="1:7">
      <c r="A39" s="5" t="s">
        <v>567</v>
      </c>
      <c r="B39" s="10"/>
      <c r="C39" s="10"/>
      <c r="D39" s="10">
        <v>2.7873774</v>
      </c>
      <c r="E39" s="5" t="s">
        <v>149</v>
      </c>
      <c r="F39" s="5" t="s">
        <v>873</v>
      </c>
      <c r="G39" s="5" t="s">
        <v>891</v>
      </c>
    </row>
    <row r="40" spans="1:7">
      <c r="A40" s="5" t="s">
        <v>890</v>
      </c>
      <c r="B40" s="10"/>
      <c r="C40" s="10"/>
      <c r="D40" s="10">
        <v>2.6228400000000001</v>
      </c>
      <c r="E40" s="5" t="s">
        <v>891</v>
      </c>
    </row>
    <row r="41" spans="1:7">
      <c r="A41" s="5" t="s">
        <v>892</v>
      </c>
      <c r="B41" s="10"/>
      <c r="C41" s="10"/>
      <c r="D41" s="10">
        <v>2.5363039999999999</v>
      </c>
      <c r="E41" s="5" t="s">
        <v>891</v>
      </c>
      <c r="F41" s="5" t="s">
        <v>873</v>
      </c>
    </row>
    <row r="42" spans="1:7">
      <c r="A42" s="5" t="s">
        <v>548</v>
      </c>
      <c r="B42" s="10">
        <v>2.2621273999999998</v>
      </c>
      <c r="C42" s="10">
        <v>2.7849889000000001</v>
      </c>
      <c r="D42" s="10">
        <v>2.5491432999999999</v>
      </c>
      <c r="E42" s="5" t="s">
        <v>142</v>
      </c>
      <c r="G42" s="5" t="s">
        <v>549</v>
      </c>
    </row>
    <row r="43" spans="1:7">
      <c r="A43" s="5" t="s">
        <v>899</v>
      </c>
      <c r="B43" s="10"/>
      <c r="C43" s="10"/>
      <c r="D43" s="10">
        <v>3.8047013000000001</v>
      </c>
      <c r="E43" s="5" t="s">
        <v>900</v>
      </c>
      <c r="F43" s="5" t="s">
        <v>901</v>
      </c>
      <c r="G43" s="5" t="s">
        <v>902</v>
      </c>
    </row>
    <row r="44" spans="1:7">
      <c r="A44" s="5" t="s">
        <v>903</v>
      </c>
      <c r="B44" s="10"/>
      <c r="C44" s="10"/>
      <c r="D44" s="10">
        <v>2.7230492000000002</v>
      </c>
      <c r="E44" s="5" t="s">
        <v>904</v>
      </c>
      <c r="F44" s="5" t="s">
        <v>905</v>
      </c>
      <c r="G44" s="5" t="s">
        <v>906</v>
      </c>
    </row>
    <row r="45" spans="1:7">
      <c r="A45" s="5" t="s">
        <v>907</v>
      </c>
      <c r="B45" s="10"/>
      <c r="C45" s="10"/>
      <c r="D45" s="10">
        <v>2.0366602</v>
      </c>
      <c r="E45" s="5" t="s">
        <v>908</v>
      </c>
    </row>
    <row r="46" spans="1:7">
      <c r="A46" s="5" t="s">
        <v>537</v>
      </c>
      <c r="B46" s="10">
        <v>2.0310907</v>
      </c>
      <c r="C46" s="10">
        <v>2.4290604999999998</v>
      </c>
      <c r="D46" s="10">
        <v>2.2818580000000002</v>
      </c>
      <c r="E46" s="5" t="s">
        <v>910</v>
      </c>
    </row>
    <row r="47" spans="1:7">
      <c r="A47" s="5" t="s">
        <v>909</v>
      </c>
      <c r="B47" s="10">
        <v>2.0720972999999998</v>
      </c>
      <c r="C47" s="10"/>
      <c r="D47" s="10">
        <v>2.5533055999999998</v>
      </c>
      <c r="E47" s="5" t="s">
        <v>910</v>
      </c>
    </row>
    <row r="48" spans="1:7">
      <c r="A48" s="5" t="s">
        <v>911</v>
      </c>
      <c r="B48" s="10">
        <v>2.3783994000000002</v>
      </c>
      <c r="C48" s="10">
        <v>2.2582946000000002</v>
      </c>
      <c r="D48" s="10">
        <v>2.7821506999999999</v>
      </c>
      <c r="E48" s="5" t="s">
        <v>910</v>
      </c>
    </row>
    <row r="49" spans="1:8">
      <c r="A49" s="5" t="s">
        <v>912</v>
      </c>
      <c r="B49" s="10"/>
      <c r="C49" s="10"/>
      <c r="D49" s="10"/>
      <c r="E49" s="5" t="s">
        <v>910</v>
      </c>
    </row>
    <row r="50" spans="1:8">
      <c r="A50" s="5" t="s">
        <v>913</v>
      </c>
      <c r="B50" s="10">
        <v>3.384468</v>
      </c>
      <c r="C50" s="10">
        <v>3.4396868</v>
      </c>
      <c r="D50" s="10">
        <v>3.3448153</v>
      </c>
      <c r="E50" s="5" t="s">
        <v>910</v>
      </c>
    </row>
    <row r="51" spans="1:8">
      <c r="A51" s="5" t="s">
        <v>914</v>
      </c>
      <c r="B51" s="10">
        <v>3.2639326999999998</v>
      </c>
      <c r="C51" s="10">
        <v>3.2918677000000001</v>
      </c>
      <c r="D51" s="10">
        <v>3.6261315000000001</v>
      </c>
      <c r="E51" s="5" t="s">
        <v>910</v>
      </c>
    </row>
    <row r="52" spans="1:8">
      <c r="A52" s="5" t="s">
        <v>915</v>
      </c>
      <c r="B52" s="10">
        <v>2.9861960000000001</v>
      </c>
      <c r="C52" s="10">
        <v>3.2701983000000001</v>
      </c>
      <c r="D52" s="10"/>
      <c r="E52" s="5" t="s">
        <v>916</v>
      </c>
      <c r="F52" s="5" t="s">
        <v>627</v>
      </c>
      <c r="G52" s="5" t="s">
        <v>917</v>
      </c>
    </row>
    <row r="53" spans="1:8">
      <c r="A53" s="5" t="s">
        <v>926</v>
      </c>
      <c r="B53" s="10"/>
      <c r="C53" s="10"/>
      <c r="D53" s="10">
        <v>2.0288591</v>
      </c>
      <c r="E53" s="5" t="s">
        <v>927</v>
      </c>
      <c r="F53" s="5" t="s">
        <v>928</v>
      </c>
      <c r="G53" s="5" t="s">
        <v>929</v>
      </c>
    </row>
    <row r="54" spans="1:8">
      <c r="A54" s="5" t="s">
        <v>930</v>
      </c>
      <c r="B54" s="10"/>
      <c r="C54" s="10"/>
      <c r="D54" s="10">
        <v>2.0347195</v>
      </c>
      <c r="E54" s="5" t="s">
        <v>931</v>
      </c>
    </row>
    <row r="55" spans="1:8">
      <c r="A55" s="5" t="s">
        <v>932</v>
      </c>
      <c r="B55" s="10"/>
      <c r="C55" s="10"/>
      <c r="D55" s="10">
        <v>2.0315413000000002</v>
      </c>
      <c r="E55" s="5" t="s">
        <v>933</v>
      </c>
    </row>
    <row r="56" spans="1:8">
      <c r="A56" s="5" t="s">
        <v>551</v>
      </c>
      <c r="B56" s="10"/>
      <c r="C56" s="10"/>
      <c r="D56" s="10">
        <v>2.4857844999999998</v>
      </c>
      <c r="E56" s="5" t="s">
        <v>141</v>
      </c>
      <c r="F56" s="5" t="s">
        <v>687</v>
      </c>
      <c r="G56" s="5" t="s">
        <v>689</v>
      </c>
    </row>
    <row r="57" spans="1:8">
      <c r="A57" s="5" t="s">
        <v>980</v>
      </c>
      <c r="B57" s="10"/>
      <c r="C57" s="10">
        <v>2.1118964999999998</v>
      </c>
      <c r="D57" s="10">
        <v>2.2459006000000001</v>
      </c>
      <c r="E57" s="5" t="s">
        <v>981</v>
      </c>
      <c r="G57" s="5" t="s">
        <v>982</v>
      </c>
    </row>
    <row r="58" spans="1:8">
      <c r="A58" s="5" t="s">
        <v>991</v>
      </c>
      <c r="B58" s="10"/>
      <c r="C58" s="10"/>
      <c r="D58" s="10">
        <v>2.294489</v>
      </c>
      <c r="E58" s="5" t="s">
        <v>992</v>
      </c>
      <c r="G58" s="5" t="s">
        <v>993</v>
      </c>
    </row>
    <row r="59" spans="1:8">
      <c r="A59" s="5" t="s">
        <v>994</v>
      </c>
      <c r="B59" s="10"/>
      <c r="C59" s="10">
        <v>3.8487515000000001</v>
      </c>
      <c r="D59" s="10">
        <v>3.6562638000000001</v>
      </c>
      <c r="E59" s="5" t="s">
        <v>992</v>
      </c>
      <c r="G59" s="5" t="s">
        <v>995</v>
      </c>
    </row>
    <row r="60" spans="1:8">
      <c r="A60" s="5" t="s">
        <v>996</v>
      </c>
      <c r="B60" s="10"/>
      <c r="C60" s="10"/>
      <c r="D60" s="10">
        <v>2.1256680000000001</v>
      </c>
      <c r="E60" s="5" t="s">
        <v>997</v>
      </c>
      <c r="F60" s="5" t="s">
        <v>998</v>
      </c>
      <c r="G60" s="5" t="s">
        <v>604</v>
      </c>
      <c r="H60" s="5" t="s">
        <v>999</v>
      </c>
    </row>
    <row r="61" spans="1:8">
      <c r="A61" s="5" t="s">
        <v>1000</v>
      </c>
      <c r="B61" s="10"/>
      <c r="C61" s="10"/>
      <c r="D61" s="10">
        <v>2.2196707999999998</v>
      </c>
      <c r="E61" s="5" t="s">
        <v>997</v>
      </c>
      <c r="F61" s="5" t="s">
        <v>1001</v>
      </c>
      <c r="G61" s="5" t="s">
        <v>1002</v>
      </c>
    </row>
    <row r="62" spans="1:8">
      <c r="A62" s="5" t="s">
        <v>1003</v>
      </c>
      <c r="B62" s="10"/>
      <c r="C62" s="10"/>
      <c r="D62" s="10">
        <v>2.0575671</v>
      </c>
      <c r="E62" s="5" t="s">
        <v>997</v>
      </c>
      <c r="F62" s="5" t="s">
        <v>998</v>
      </c>
      <c r="G62" s="5" t="s">
        <v>604</v>
      </c>
      <c r="H62" s="5" t="s">
        <v>999</v>
      </c>
    </row>
    <row r="63" spans="1:8">
      <c r="A63" s="5" t="s">
        <v>1004</v>
      </c>
      <c r="B63" s="10"/>
      <c r="C63" s="10"/>
      <c r="D63" s="10">
        <v>2.0006927999999999</v>
      </c>
      <c r="E63" s="5" t="s">
        <v>1005</v>
      </c>
      <c r="F63" s="5" t="s">
        <v>621</v>
      </c>
      <c r="G63" s="5" t="s">
        <v>1006</v>
      </c>
    </row>
    <row r="64" spans="1:8">
      <c r="A64" s="5" t="s">
        <v>1007</v>
      </c>
      <c r="B64" s="10"/>
      <c r="C64" s="10">
        <v>2.4403095000000001</v>
      </c>
      <c r="D64" s="10"/>
      <c r="E64" s="5" t="s">
        <v>1005</v>
      </c>
      <c r="F64" s="5" t="s">
        <v>621</v>
      </c>
      <c r="G64" s="5" t="s">
        <v>1008</v>
      </c>
    </row>
    <row r="65" spans="1:7">
      <c r="A65" s="5" t="s">
        <v>1009</v>
      </c>
      <c r="B65" s="10"/>
      <c r="C65" s="10"/>
      <c r="D65" s="10">
        <v>2.4009103999999999</v>
      </c>
      <c r="E65" s="5" t="s">
        <v>1005</v>
      </c>
      <c r="F65" s="5" t="s">
        <v>621</v>
      </c>
      <c r="G65" s="5" t="s">
        <v>1010</v>
      </c>
    </row>
    <row r="66" spans="1:7">
      <c r="A66" s="5" t="s">
        <v>1011</v>
      </c>
      <c r="B66" s="10">
        <v>2.4714274000000001</v>
      </c>
      <c r="C66" s="10"/>
      <c r="D66" s="10">
        <v>3.6646070000000002</v>
      </c>
      <c r="E66" s="5" t="s">
        <v>1005</v>
      </c>
      <c r="F66" s="5" t="s">
        <v>621</v>
      </c>
      <c r="G66" s="5" t="s">
        <v>1012</v>
      </c>
    </row>
    <row r="67" spans="1:7">
      <c r="A67" s="5" t="s">
        <v>1013</v>
      </c>
      <c r="B67" s="10"/>
      <c r="C67" s="10">
        <v>2.972394</v>
      </c>
      <c r="D67" s="10"/>
      <c r="E67" s="5" t="s">
        <v>1005</v>
      </c>
      <c r="F67" s="5" t="s">
        <v>621</v>
      </c>
      <c r="G67" s="5" t="s">
        <v>1008</v>
      </c>
    </row>
    <row r="68" spans="1:7">
      <c r="A68" s="5" t="s">
        <v>1014</v>
      </c>
      <c r="B68" s="10">
        <v>2.2652291999999998</v>
      </c>
      <c r="C68" s="10">
        <v>3.3127928</v>
      </c>
      <c r="D68" s="10"/>
      <c r="E68" s="5" t="s">
        <v>1005</v>
      </c>
      <c r="F68" s="5" t="s">
        <v>621</v>
      </c>
      <c r="G68" s="5" t="s">
        <v>1012</v>
      </c>
    </row>
    <row r="69" spans="1:7">
      <c r="A69" s="5" t="s">
        <v>1015</v>
      </c>
      <c r="B69" s="10"/>
      <c r="C69" s="10"/>
      <c r="D69" s="10">
        <v>2.5785407999999999</v>
      </c>
      <c r="E69" s="5" t="s">
        <v>1005</v>
      </c>
      <c r="F69" s="5" t="s">
        <v>621</v>
      </c>
      <c r="G69" s="5" t="s">
        <v>1008</v>
      </c>
    </row>
    <row r="70" spans="1:7">
      <c r="A70" s="5" t="s">
        <v>1016</v>
      </c>
      <c r="B70" s="10">
        <v>2.2626428999999999</v>
      </c>
      <c r="C70" s="10">
        <v>2.5350199</v>
      </c>
      <c r="D70" s="10"/>
      <c r="E70" s="5" t="s">
        <v>1005</v>
      </c>
      <c r="F70" s="5" t="s">
        <v>621</v>
      </c>
      <c r="G70" s="5" t="s">
        <v>1017</v>
      </c>
    </row>
    <row r="71" spans="1:7">
      <c r="A71" s="5" t="s">
        <v>1018</v>
      </c>
      <c r="B71" s="10"/>
      <c r="C71" s="10"/>
      <c r="D71" s="10">
        <v>2.5151935000000001</v>
      </c>
      <c r="E71" s="5" t="s">
        <v>1005</v>
      </c>
      <c r="F71" s="5" t="s">
        <v>621</v>
      </c>
      <c r="G71" s="5" t="s">
        <v>1008</v>
      </c>
    </row>
    <row r="72" spans="1:7">
      <c r="A72" s="5" t="s">
        <v>1019</v>
      </c>
      <c r="B72" s="10">
        <v>4.4594072999999996</v>
      </c>
      <c r="C72" s="10">
        <v>3.8608221999999999</v>
      </c>
      <c r="D72" s="10"/>
      <c r="E72" s="5" t="s">
        <v>1005</v>
      </c>
      <c r="F72" s="5" t="s">
        <v>621</v>
      </c>
      <c r="G72" s="5" t="s">
        <v>1017</v>
      </c>
    </row>
    <row r="73" spans="1:7">
      <c r="A73" s="5" t="s">
        <v>1020</v>
      </c>
      <c r="B73" s="10"/>
      <c r="C73" s="10"/>
      <c r="D73" s="10">
        <v>2.0497402999999998</v>
      </c>
      <c r="E73" s="5" t="s">
        <v>1005</v>
      </c>
      <c r="F73" s="5" t="s">
        <v>621</v>
      </c>
      <c r="G73" s="5" t="s">
        <v>1008</v>
      </c>
    </row>
    <row r="74" spans="1:7">
      <c r="A74" s="5" t="s">
        <v>1021</v>
      </c>
      <c r="B74" s="10"/>
      <c r="C74" s="10">
        <v>2.4181089999999998</v>
      </c>
      <c r="D74" s="10"/>
      <c r="E74" s="5" t="s">
        <v>1005</v>
      </c>
      <c r="F74" s="5" t="s">
        <v>621</v>
      </c>
      <c r="G74" s="5" t="s">
        <v>1022</v>
      </c>
    </row>
    <row r="75" spans="1:7">
      <c r="A75" s="5" t="s">
        <v>1023</v>
      </c>
      <c r="B75" s="10">
        <v>2.3411007000000001</v>
      </c>
      <c r="C75" s="10">
        <v>2.8032460000000001</v>
      </c>
      <c r="D75" s="10"/>
      <c r="E75" s="5" t="s">
        <v>1005</v>
      </c>
      <c r="F75" s="5" t="s">
        <v>621</v>
      </c>
      <c r="G75" s="5" t="s">
        <v>1008</v>
      </c>
    </row>
    <row r="76" spans="1:7">
      <c r="A76" s="5" t="s">
        <v>1024</v>
      </c>
      <c r="B76" s="10">
        <v>3.8327016999999999</v>
      </c>
      <c r="C76" s="10">
        <v>4.9457655000000003</v>
      </c>
      <c r="D76" s="10">
        <v>2.6404830000000001</v>
      </c>
      <c r="E76" s="5" t="s">
        <v>1005</v>
      </c>
      <c r="F76" s="5" t="s">
        <v>621</v>
      </c>
      <c r="G76" s="5" t="s">
        <v>1008</v>
      </c>
    </row>
    <row r="77" spans="1:7">
      <c r="A77" s="5" t="s">
        <v>1025</v>
      </c>
      <c r="B77" s="10">
        <v>3.07443</v>
      </c>
      <c r="C77" s="10">
        <v>3.6248583999999999</v>
      </c>
      <c r="D77" s="10"/>
      <c r="E77" s="5" t="s">
        <v>1005</v>
      </c>
      <c r="F77" s="5" t="s">
        <v>621</v>
      </c>
      <c r="G77" s="5" t="s">
        <v>1017</v>
      </c>
    </row>
    <row r="78" spans="1:7">
      <c r="A78" s="5" t="s">
        <v>1026</v>
      </c>
      <c r="B78" s="10"/>
      <c r="C78" s="10">
        <v>2.1271266999999998</v>
      </c>
      <c r="D78" s="10"/>
      <c r="E78" s="5" t="s">
        <v>1005</v>
      </c>
      <c r="F78" s="5" t="s">
        <v>621</v>
      </c>
      <c r="G78" s="5" t="s">
        <v>1008</v>
      </c>
    </row>
    <row r="79" spans="1:7">
      <c r="A79" s="5" t="s">
        <v>1027</v>
      </c>
      <c r="B79" s="10"/>
      <c r="C79" s="10"/>
      <c r="D79" s="10">
        <v>2.1724543999999999</v>
      </c>
      <c r="E79" s="5" t="s">
        <v>1005</v>
      </c>
      <c r="F79" s="5" t="s">
        <v>621</v>
      </c>
      <c r="G79" s="5" t="s">
        <v>1012</v>
      </c>
    </row>
    <row r="80" spans="1:7">
      <c r="A80" s="5" t="s">
        <v>1028</v>
      </c>
      <c r="B80" s="10"/>
      <c r="C80" s="10">
        <v>2.5586380000000002</v>
      </c>
      <c r="D80" s="10"/>
      <c r="E80" s="5" t="s">
        <v>1029</v>
      </c>
    </row>
    <row r="81" spans="1:7">
      <c r="A81" s="5" t="s">
        <v>1030</v>
      </c>
      <c r="B81" s="10"/>
      <c r="C81" s="10"/>
      <c r="D81" s="10">
        <v>2.7426781999999998</v>
      </c>
      <c r="E81" s="5" t="s">
        <v>1031</v>
      </c>
    </row>
    <row r="82" spans="1:7">
      <c r="A82" s="5" t="s">
        <v>1032</v>
      </c>
      <c r="B82" s="10"/>
      <c r="C82" s="10">
        <v>2.2553024000000002</v>
      </c>
      <c r="D82" s="10">
        <v>3.4573516999999998</v>
      </c>
      <c r="E82" s="5" t="s">
        <v>1031</v>
      </c>
    </row>
    <row r="83" spans="1:7">
      <c r="A83" s="5" t="s">
        <v>1033</v>
      </c>
      <c r="B83" s="10"/>
      <c r="C83" s="10"/>
      <c r="D83" s="10">
        <v>3.606382</v>
      </c>
      <c r="E83" s="5" t="s">
        <v>1034</v>
      </c>
    </row>
    <row r="84" spans="1:7">
      <c r="A84" s="5" t="s">
        <v>1035</v>
      </c>
      <c r="B84" s="10"/>
      <c r="C84" s="10">
        <v>2.2607803</v>
      </c>
      <c r="D84" s="10"/>
      <c r="E84" s="5" t="s">
        <v>1036</v>
      </c>
      <c r="F84" s="5" t="s">
        <v>1037</v>
      </c>
      <c r="G84" s="5" t="s">
        <v>1038</v>
      </c>
    </row>
    <row r="85" spans="1:7">
      <c r="A85" s="5" t="s">
        <v>1051</v>
      </c>
      <c r="B85" s="10"/>
      <c r="C85" s="10"/>
      <c r="D85" s="10">
        <v>2.4140595999999999</v>
      </c>
      <c r="E85" s="5" t="s">
        <v>1052</v>
      </c>
      <c r="F85" s="11" t="s">
        <v>1053</v>
      </c>
    </row>
    <row r="86" spans="1:7">
      <c r="A86" s="5" t="s">
        <v>1054</v>
      </c>
      <c r="B86" s="10"/>
      <c r="C86" s="10"/>
      <c r="D86" s="10">
        <v>2.3037529999999999</v>
      </c>
      <c r="E86" s="5" t="s">
        <v>1055</v>
      </c>
      <c r="F86" s="5" t="s">
        <v>713</v>
      </c>
      <c r="G86" s="5" t="s">
        <v>1056</v>
      </c>
    </row>
    <row r="87" spans="1:7">
      <c r="A87" s="5" t="s">
        <v>1059</v>
      </c>
      <c r="B87" s="10"/>
      <c r="C87" s="10"/>
      <c r="D87" s="10">
        <v>2.3046122000000002</v>
      </c>
      <c r="E87" s="5" t="s">
        <v>1060</v>
      </c>
      <c r="F87" s="5" t="s">
        <v>1061</v>
      </c>
      <c r="G87" s="5" t="s">
        <v>1062</v>
      </c>
    </row>
    <row r="88" spans="1:7">
      <c r="A88" s="5" t="s">
        <v>1063</v>
      </c>
      <c r="B88" s="10"/>
      <c r="C88" s="10"/>
      <c r="D88" s="10">
        <v>2.8296036999999998</v>
      </c>
      <c r="E88" s="5" t="s">
        <v>1060</v>
      </c>
      <c r="F88" s="5" t="s">
        <v>1061</v>
      </c>
      <c r="G88" s="5" t="s">
        <v>1062</v>
      </c>
    </row>
    <row r="89" spans="1:7">
      <c r="A89" s="5" t="s">
        <v>1064</v>
      </c>
      <c r="B89" s="10"/>
      <c r="C89" s="10"/>
      <c r="D89" s="10">
        <v>2.3389000000000002</v>
      </c>
      <c r="E89" s="5" t="s">
        <v>1060</v>
      </c>
      <c r="F89" s="5" t="s">
        <v>1061</v>
      </c>
      <c r="G89" s="5" t="s">
        <v>1062</v>
      </c>
    </row>
    <row r="90" spans="1:7">
      <c r="A90" s="5" t="s">
        <v>1065</v>
      </c>
      <c r="B90" s="10"/>
      <c r="C90" s="10"/>
      <c r="D90" s="10">
        <v>2.425805</v>
      </c>
      <c r="E90" s="5" t="s">
        <v>1060</v>
      </c>
      <c r="F90" s="5" t="s">
        <v>1061</v>
      </c>
      <c r="G90" s="5" t="s">
        <v>1062</v>
      </c>
    </row>
    <row r="91" spans="1:7">
      <c r="A91" s="5" t="s">
        <v>1072</v>
      </c>
      <c r="B91" s="10">
        <v>2.167592</v>
      </c>
      <c r="C91" s="10">
        <v>3.3128114000000002</v>
      </c>
      <c r="D91" s="10">
        <v>3.2781734</v>
      </c>
      <c r="E91" s="5" t="s">
        <v>1073</v>
      </c>
      <c r="F91" s="5" t="s">
        <v>1074</v>
      </c>
    </row>
    <row r="92" spans="1:7">
      <c r="A92" s="5" t="s">
        <v>1075</v>
      </c>
      <c r="B92" s="10">
        <v>2.4421697</v>
      </c>
      <c r="C92" s="10">
        <v>2.9276352000000001</v>
      </c>
      <c r="D92" s="10"/>
      <c r="E92" s="5" t="s">
        <v>1073</v>
      </c>
      <c r="F92" s="5" t="s">
        <v>1074</v>
      </c>
    </row>
    <row r="93" spans="1:7">
      <c r="A93" s="5" t="s">
        <v>532</v>
      </c>
      <c r="B93" s="10"/>
      <c r="C93" s="10">
        <v>2.2827829999999998</v>
      </c>
      <c r="D93" s="10">
        <v>2.3186417000000001</v>
      </c>
      <c r="E93" s="5" t="s">
        <v>533</v>
      </c>
      <c r="G93" s="5" t="s">
        <v>534</v>
      </c>
    </row>
    <row r="94" spans="1:7">
      <c r="A94" s="5" t="s">
        <v>1086</v>
      </c>
      <c r="B94" s="10"/>
      <c r="C94" s="10"/>
      <c r="D94" s="10">
        <v>2.2274045999999998</v>
      </c>
      <c r="E94" s="5" t="s">
        <v>1082</v>
      </c>
      <c r="F94" s="5" t="s">
        <v>655</v>
      </c>
      <c r="G94" s="5" t="s">
        <v>1083</v>
      </c>
    </row>
    <row r="95" spans="1:7">
      <c r="A95" s="5" t="s">
        <v>1091</v>
      </c>
      <c r="B95" s="10"/>
      <c r="C95" s="10"/>
      <c r="D95" s="10">
        <v>2.0094428</v>
      </c>
      <c r="E95" s="5" t="s">
        <v>1092</v>
      </c>
    </row>
    <row r="96" spans="1:7">
      <c r="A96" s="5" t="s">
        <v>552</v>
      </c>
      <c r="B96" s="10"/>
      <c r="C96" s="10">
        <v>2.1594275999999999</v>
      </c>
      <c r="D96" s="10">
        <v>2.4132600000000002</v>
      </c>
      <c r="E96" s="5" t="s">
        <v>148</v>
      </c>
      <c r="F96" s="5" t="s">
        <v>642</v>
      </c>
      <c r="G96" s="5" t="s">
        <v>553</v>
      </c>
    </row>
    <row r="97" spans="1:8">
      <c r="A97" s="5" t="s">
        <v>1097</v>
      </c>
      <c r="B97" s="10"/>
      <c r="C97" s="10">
        <v>3.1632519000000001</v>
      </c>
      <c r="D97" s="10">
        <v>2.5497822999999999</v>
      </c>
      <c r="E97" s="5" t="s">
        <v>1098</v>
      </c>
      <c r="F97" s="5" t="s">
        <v>873</v>
      </c>
      <c r="G97" s="5" t="s">
        <v>1099</v>
      </c>
    </row>
    <row r="98" spans="1:8">
      <c r="A98" s="5" t="s">
        <v>1100</v>
      </c>
      <c r="B98" s="10">
        <v>3.3107218999999999</v>
      </c>
      <c r="C98" s="10">
        <v>3.7498927000000002</v>
      </c>
      <c r="D98" s="10">
        <v>3.1335044000000001</v>
      </c>
      <c r="E98" s="5" t="s">
        <v>1098</v>
      </c>
      <c r="F98" s="5" t="s">
        <v>873</v>
      </c>
      <c r="G98" s="5" t="s">
        <v>1099</v>
      </c>
    </row>
    <row r="99" spans="1:8">
      <c r="A99" s="5" t="s">
        <v>1101</v>
      </c>
      <c r="B99" s="10"/>
      <c r="C99" s="10">
        <v>2.4521494000000001</v>
      </c>
      <c r="D99" s="10"/>
      <c r="E99" s="5" t="s">
        <v>1098</v>
      </c>
      <c r="F99" s="5" t="s">
        <v>873</v>
      </c>
      <c r="G99" s="5" t="s">
        <v>1099</v>
      </c>
    </row>
    <row r="100" spans="1:8">
      <c r="A100" s="5" t="s">
        <v>1102</v>
      </c>
      <c r="B100" s="10"/>
      <c r="C100" s="10"/>
      <c r="D100" s="10">
        <v>2.130147</v>
      </c>
      <c r="E100" s="5" t="s">
        <v>1098</v>
      </c>
      <c r="F100" s="5" t="s">
        <v>873</v>
      </c>
      <c r="G100" s="5" t="s">
        <v>1099</v>
      </c>
    </row>
    <row r="101" spans="1:8">
      <c r="A101" s="5" t="s">
        <v>1103</v>
      </c>
      <c r="B101" s="10"/>
      <c r="C101" s="10">
        <v>2.4258237</v>
      </c>
      <c r="D101" s="10"/>
      <c r="E101" s="5" t="s">
        <v>1098</v>
      </c>
      <c r="F101" s="5" t="s">
        <v>873</v>
      </c>
      <c r="G101" s="5" t="s">
        <v>1099</v>
      </c>
    </row>
    <row r="102" spans="1:8">
      <c r="A102" s="5" t="s">
        <v>563</v>
      </c>
      <c r="B102" s="10"/>
      <c r="C102" s="10"/>
      <c r="D102" s="10">
        <v>3.2837909999999999</v>
      </c>
      <c r="E102" s="5" t="s">
        <v>1098</v>
      </c>
      <c r="F102" s="5" t="s">
        <v>873</v>
      </c>
      <c r="G102" s="5" t="s">
        <v>564</v>
      </c>
      <c r="H102" s="5" t="s">
        <v>565</v>
      </c>
    </row>
    <row r="103" spans="1:8">
      <c r="A103" s="5" t="s">
        <v>1104</v>
      </c>
      <c r="B103" s="10"/>
      <c r="C103" s="10"/>
      <c r="D103" s="10">
        <v>2.0513482000000001</v>
      </c>
      <c r="E103" s="5" t="s">
        <v>1098</v>
      </c>
      <c r="F103" s="5" t="s">
        <v>873</v>
      </c>
      <c r="G103" s="5" t="s">
        <v>1099</v>
      </c>
    </row>
    <row r="104" spans="1:8">
      <c r="A104" s="5" t="s">
        <v>1105</v>
      </c>
      <c r="B104" s="10">
        <v>2.2509383999999999</v>
      </c>
      <c r="C104" s="10">
        <v>3.3611163999999998</v>
      </c>
      <c r="D104" s="10">
        <v>3.2695656</v>
      </c>
      <c r="E104" s="5" t="s">
        <v>1098</v>
      </c>
      <c r="F104" s="5" t="s">
        <v>873</v>
      </c>
      <c r="G104" s="5" t="s">
        <v>1099</v>
      </c>
    </row>
    <row r="105" spans="1:8">
      <c r="A105" s="5" t="s">
        <v>1106</v>
      </c>
      <c r="B105" s="10"/>
      <c r="C105" s="10"/>
      <c r="D105" s="10">
        <v>2.3721622999999998</v>
      </c>
      <c r="E105" s="5" t="s">
        <v>1098</v>
      </c>
      <c r="G105" s="5" t="s">
        <v>1099</v>
      </c>
    </row>
    <row r="106" spans="1:8">
      <c r="A106" s="5" t="s">
        <v>1107</v>
      </c>
      <c r="B106" s="10"/>
      <c r="C106" s="10">
        <v>2.5653790999999999</v>
      </c>
      <c r="D106" s="10"/>
      <c r="E106" s="5" t="s">
        <v>1098</v>
      </c>
      <c r="F106" s="5" t="s">
        <v>873</v>
      </c>
      <c r="G106" s="5" t="s">
        <v>1099</v>
      </c>
    </row>
    <row r="107" spans="1:8">
      <c r="A107" s="5" t="s">
        <v>1108</v>
      </c>
      <c r="B107" s="10">
        <v>2.1884513000000001</v>
      </c>
      <c r="C107" s="10">
        <v>3.1054263</v>
      </c>
      <c r="D107" s="10">
        <v>3.1093183</v>
      </c>
      <c r="E107" s="5" t="s">
        <v>1098</v>
      </c>
      <c r="F107" s="5" t="s">
        <v>873</v>
      </c>
      <c r="G107" s="5" t="s">
        <v>1109</v>
      </c>
    </row>
    <row r="108" spans="1:8">
      <c r="A108" s="5" t="s">
        <v>1127</v>
      </c>
      <c r="B108" s="10"/>
      <c r="C108" s="10"/>
      <c r="D108" s="10">
        <v>2.6103844999999999</v>
      </c>
      <c r="E108" s="5" t="s">
        <v>1128</v>
      </c>
      <c r="F108" s="5" t="s">
        <v>627</v>
      </c>
      <c r="G108" s="5" t="s">
        <v>1129</v>
      </c>
    </row>
    <row r="109" spans="1:8">
      <c r="A109" s="5" t="s">
        <v>1130</v>
      </c>
      <c r="B109" s="10"/>
      <c r="C109" s="10"/>
      <c r="D109" s="10">
        <v>2.962853</v>
      </c>
      <c r="E109" s="5" t="s">
        <v>1128</v>
      </c>
      <c r="F109" s="5" t="s">
        <v>687</v>
      </c>
      <c r="G109" s="5" t="s">
        <v>1131</v>
      </c>
    </row>
    <row r="110" spans="1:8">
      <c r="A110" s="5" t="s">
        <v>1132</v>
      </c>
      <c r="B110" s="10"/>
      <c r="C110" s="10"/>
      <c r="D110" s="10">
        <v>2.6101637000000002</v>
      </c>
      <c r="E110" s="5" t="s">
        <v>1128</v>
      </c>
      <c r="F110" s="5" t="s">
        <v>687</v>
      </c>
      <c r="G110" s="5" t="s">
        <v>1131</v>
      </c>
    </row>
    <row r="111" spans="1:8">
      <c r="A111" s="5" t="s">
        <v>1133</v>
      </c>
      <c r="B111" s="10">
        <v>2.5439156999999999</v>
      </c>
      <c r="C111" s="10">
        <v>2.9261436000000001</v>
      </c>
      <c r="D111" s="10">
        <v>2.6182690000000002</v>
      </c>
      <c r="E111" s="5" t="s">
        <v>1134</v>
      </c>
      <c r="F111" s="5" t="s">
        <v>1199</v>
      </c>
      <c r="G111" s="5" t="s">
        <v>1135</v>
      </c>
    </row>
    <row r="112" spans="1:8">
      <c r="A112" s="5" t="s">
        <v>1136</v>
      </c>
      <c r="B112" s="10">
        <v>4.0508303999999997</v>
      </c>
      <c r="C112" s="10">
        <v>5.1262879999999997</v>
      </c>
      <c r="D112" s="10">
        <v>5.6281724000000004</v>
      </c>
      <c r="E112" s="5" t="s">
        <v>1134</v>
      </c>
      <c r="F112" s="5" t="s">
        <v>1199</v>
      </c>
      <c r="G112" s="5" t="s">
        <v>1135</v>
      </c>
    </row>
    <row r="113" spans="1:10">
      <c r="A113" s="5" t="s">
        <v>1137</v>
      </c>
      <c r="B113" s="10"/>
      <c r="C113" s="10"/>
      <c r="D113" s="10">
        <v>2.0135632000000001</v>
      </c>
      <c r="E113" s="5" t="s">
        <v>1134</v>
      </c>
      <c r="F113" s="5" t="s">
        <v>1199</v>
      </c>
      <c r="G113" s="5" t="s">
        <v>1135</v>
      </c>
    </row>
    <row r="114" spans="1:10">
      <c r="A114" s="5" t="s">
        <v>1138</v>
      </c>
      <c r="B114" s="10"/>
      <c r="C114" s="10"/>
      <c r="D114" s="10">
        <v>2.5946913</v>
      </c>
      <c r="E114" s="5" t="s">
        <v>1134</v>
      </c>
      <c r="F114" s="5" t="s">
        <v>1199</v>
      </c>
      <c r="G114" s="5" t="s">
        <v>1135</v>
      </c>
    </row>
    <row r="115" spans="1:10">
      <c r="A115" s="5" t="s">
        <v>1139</v>
      </c>
      <c r="B115" s="10"/>
      <c r="C115" s="10"/>
      <c r="D115" s="10">
        <v>3.6278736999999999</v>
      </c>
      <c r="E115" s="5" t="s">
        <v>1140</v>
      </c>
    </row>
    <row r="116" spans="1:10">
      <c r="A116" s="5" t="s">
        <v>1141</v>
      </c>
      <c r="B116" s="10"/>
      <c r="C116" s="10">
        <v>2.0620055000000002</v>
      </c>
      <c r="D116" s="10"/>
      <c r="E116" s="5" t="s">
        <v>1142</v>
      </c>
    </row>
    <row r="117" spans="1:10">
      <c r="A117" s="5" t="s">
        <v>1143</v>
      </c>
      <c r="B117" s="10"/>
      <c r="C117" s="10">
        <v>2.0901198000000001</v>
      </c>
      <c r="D117" s="10"/>
      <c r="E117" s="5" t="s">
        <v>1142</v>
      </c>
    </row>
    <row r="118" spans="1:10">
      <c r="A118" s="5" t="s">
        <v>1144</v>
      </c>
      <c r="B118" s="10"/>
      <c r="C118" s="10">
        <v>2.1847625000000002</v>
      </c>
      <c r="D118" s="10"/>
      <c r="E118" s="5" t="s">
        <v>1145</v>
      </c>
    </row>
    <row r="119" spans="1:10">
      <c r="A119" s="5" t="s">
        <v>539</v>
      </c>
      <c r="B119" s="10">
        <v>2.7549104999999998</v>
      </c>
      <c r="C119" s="10">
        <v>2.8424140000000002</v>
      </c>
      <c r="D119" s="10">
        <v>3.28871</v>
      </c>
      <c r="E119" s="5" t="s">
        <v>147</v>
      </c>
      <c r="F119" s="5" t="s">
        <v>873</v>
      </c>
      <c r="G119" s="5" t="s">
        <v>891</v>
      </c>
    </row>
    <row r="120" spans="1:10">
      <c r="A120" s="5" t="s">
        <v>1183</v>
      </c>
      <c r="B120" s="10"/>
      <c r="C120" s="10"/>
      <c r="D120" s="10">
        <v>-2.1795464</v>
      </c>
      <c r="E120" s="5" t="s">
        <v>1184</v>
      </c>
      <c r="F120" s="5" t="s">
        <v>1185</v>
      </c>
      <c r="G120" s="5" t="s">
        <v>1186</v>
      </c>
    </row>
    <row r="121" spans="1:10">
      <c r="A121" s="5" t="s">
        <v>541</v>
      </c>
      <c r="B121" s="10">
        <v>-4.4304456999999999</v>
      </c>
      <c r="C121" s="10">
        <v>-4.0965775999999998</v>
      </c>
      <c r="D121" s="10">
        <v>-5.2071877000000004</v>
      </c>
      <c r="E121" s="5" t="s">
        <v>1184</v>
      </c>
      <c r="F121" s="5" t="s">
        <v>1185</v>
      </c>
      <c r="G121" s="5" t="s">
        <v>1186</v>
      </c>
    </row>
    <row r="122" spans="1:10">
      <c r="A122" s="5" t="s">
        <v>1187</v>
      </c>
      <c r="B122" s="10"/>
      <c r="C122" s="10">
        <v>2.310505</v>
      </c>
      <c r="D122" s="10"/>
      <c r="E122" s="5" t="s">
        <v>1184</v>
      </c>
      <c r="F122" s="5" t="s">
        <v>1185</v>
      </c>
      <c r="G122" s="5" t="s">
        <v>1186</v>
      </c>
      <c r="H122" s="10"/>
      <c r="I122" s="10"/>
      <c r="J122" s="10"/>
    </row>
    <row r="123" spans="1:10">
      <c r="A123" s="5" t="s">
        <v>1188</v>
      </c>
      <c r="B123" s="10"/>
      <c r="C123" s="10"/>
      <c r="D123" s="10">
        <v>2.3352450999999999</v>
      </c>
      <c r="E123" s="5" t="s">
        <v>1184</v>
      </c>
      <c r="F123" s="5" t="s">
        <v>1185</v>
      </c>
      <c r="G123" s="5" t="s">
        <v>1186</v>
      </c>
      <c r="H123" s="10"/>
      <c r="I123" s="10"/>
      <c r="J123" s="10"/>
    </row>
    <row r="124" spans="1:10">
      <c r="A124" s="5" t="s">
        <v>1189</v>
      </c>
      <c r="B124" s="10">
        <v>-2.5623716999999999</v>
      </c>
      <c r="C124" s="10">
        <v>-3.2943435000000001</v>
      </c>
      <c r="D124" s="10">
        <v>-3.3013682000000002</v>
      </c>
      <c r="E124" s="5" t="s">
        <v>1184</v>
      </c>
      <c r="F124" s="5" t="s">
        <v>1185</v>
      </c>
      <c r="G124" s="5" t="s">
        <v>1186</v>
      </c>
    </row>
    <row r="125" spans="1:10">
      <c r="A125" s="5" t="s">
        <v>1190</v>
      </c>
      <c r="B125" s="10"/>
      <c r="C125" s="10">
        <v>2.8623953000000002</v>
      </c>
      <c r="D125" s="10">
        <v>2.8446088</v>
      </c>
      <c r="E125" s="5" t="s">
        <v>1184</v>
      </c>
      <c r="F125" s="5" t="s">
        <v>1185</v>
      </c>
      <c r="G125" s="5" t="s">
        <v>1186</v>
      </c>
      <c r="H125" s="10"/>
      <c r="I125" s="10"/>
      <c r="J125" s="10"/>
    </row>
    <row r="126" spans="1:10">
      <c r="A126" s="5" t="s">
        <v>1191</v>
      </c>
      <c r="B126" s="10"/>
      <c r="C126" s="10"/>
      <c r="D126" s="10">
        <v>2.4169436000000002</v>
      </c>
      <c r="E126" s="5" t="s">
        <v>1184</v>
      </c>
      <c r="F126" s="5" t="s">
        <v>1185</v>
      </c>
      <c r="G126" s="5" t="s">
        <v>1186</v>
      </c>
      <c r="H126" s="10"/>
      <c r="I126" s="10"/>
      <c r="J126" s="10"/>
    </row>
    <row r="127" spans="1:10">
      <c r="A127" s="5" t="s">
        <v>1192</v>
      </c>
      <c r="B127" s="10"/>
      <c r="C127" s="10"/>
      <c r="D127" s="10">
        <v>2.0335903000000002</v>
      </c>
      <c r="E127" s="5" t="s">
        <v>1184</v>
      </c>
      <c r="F127" s="5" t="s">
        <v>1185</v>
      </c>
      <c r="G127" s="5" t="s">
        <v>1186</v>
      </c>
      <c r="H127" s="10"/>
      <c r="I127" s="10"/>
      <c r="J127" s="10"/>
    </row>
    <row r="128" spans="1:10">
      <c r="A128" s="5" t="s">
        <v>1193</v>
      </c>
      <c r="B128" s="10"/>
      <c r="C128" s="10"/>
      <c r="D128" s="10">
        <v>2.5330940000000002</v>
      </c>
      <c r="E128" s="5" t="s">
        <v>1184</v>
      </c>
      <c r="F128" s="5" t="s">
        <v>1185</v>
      </c>
      <c r="G128" s="5" t="s">
        <v>1186</v>
      </c>
      <c r="H128" s="10"/>
      <c r="I128" s="10"/>
      <c r="J128" s="10"/>
    </row>
    <row r="129" spans="1:10">
      <c r="A129" s="5" t="s">
        <v>1194</v>
      </c>
      <c r="B129" s="10">
        <v>-2.5674486000000001</v>
      </c>
      <c r="C129" s="10">
        <v>-3.3197421999999999</v>
      </c>
      <c r="E129" s="5" t="s">
        <v>1184</v>
      </c>
      <c r="F129" s="5" t="s">
        <v>1185</v>
      </c>
      <c r="G129" s="5" t="s">
        <v>1186</v>
      </c>
      <c r="J129" s="10"/>
    </row>
    <row r="130" spans="1:10">
      <c r="A130" s="5" t="s">
        <v>1208</v>
      </c>
      <c r="B130" s="10"/>
      <c r="C130" s="10">
        <v>3.0369139000000001</v>
      </c>
      <c r="D130" s="10">
        <v>2.7118243999999998</v>
      </c>
      <c r="E130" s="5" t="s">
        <v>1209</v>
      </c>
    </row>
    <row r="131" spans="1:10">
      <c r="A131" s="5" t="s">
        <v>1210</v>
      </c>
      <c r="B131" s="10"/>
      <c r="C131" s="10"/>
      <c r="D131" s="10">
        <v>2.5722413</v>
      </c>
      <c r="E131" s="5" t="s">
        <v>1211</v>
      </c>
      <c r="F131" s="5" t="s">
        <v>1212</v>
      </c>
      <c r="G131" s="5" t="s">
        <v>1213</v>
      </c>
    </row>
    <row r="132" spans="1:10">
      <c r="A132" s="5" t="s">
        <v>1214</v>
      </c>
      <c r="B132" s="10"/>
      <c r="C132" s="10"/>
      <c r="D132" s="10">
        <v>2.6773505000000002</v>
      </c>
      <c r="E132" s="5" t="s">
        <v>1211</v>
      </c>
      <c r="F132" s="5" t="s">
        <v>1212</v>
      </c>
      <c r="G132" s="5" t="s">
        <v>1213</v>
      </c>
    </row>
    <row r="133" spans="1:10">
      <c r="A133" s="5" t="s">
        <v>1215</v>
      </c>
      <c r="B133" s="10"/>
      <c r="C133" s="10">
        <v>2.2297191999999999</v>
      </c>
      <c r="D133" s="10">
        <v>2.2474327000000001</v>
      </c>
      <c r="E133" s="5" t="s">
        <v>1211</v>
      </c>
      <c r="F133" s="5" t="s">
        <v>1212</v>
      </c>
      <c r="G133" s="5" t="s">
        <v>1213</v>
      </c>
    </row>
    <row r="134" spans="1:10">
      <c r="A134" s="5" t="s">
        <v>1216</v>
      </c>
      <c r="B134" s="10"/>
      <c r="C134" s="10"/>
      <c r="D134" s="10">
        <v>2.450078</v>
      </c>
      <c r="E134" s="5" t="s">
        <v>1211</v>
      </c>
      <c r="F134" s="5" t="s">
        <v>1212</v>
      </c>
      <c r="G134" s="5" t="s">
        <v>1213</v>
      </c>
    </row>
    <row r="135" spans="1:10">
      <c r="A135" s="5" t="s">
        <v>1304</v>
      </c>
      <c r="B135" s="10"/>
      <c r="C135" s="10"/>
      <c r="D135" s="10">
        <v>2.1552978</v>
      </c>
      <c r="E135" s="5" t="s">
        <v>1305</v>
      </c>
      <c r="F135" s="5" t="s">
        <v>1306</v>
      </c>
      <c r="G135" s="5" t="s">
        <v>1307</v>
      </c>
    </row>
    <row r="136" spans="1:10">
      <c r="A136" s="5" t="s">
        <v>1308</v>
      </c>
      <c r="B136" s="10"/>
      <c r="C136" s="10"/>
      <c r="D136" s="10">
        <v>2.3876753000000002</v>
      </c>
      <c r="E136" s="5" t="s">
        <v>1309</v>
      </c>
      <c r="G136" s="5" t="s">
        <v>1310</v>
      </c>
    </row>
    <row r="137" spans="1:10">
      <c r="A137" s="5" t="s">
        <v>1319</v>
      </c>
      <c r="B137" s="10"/>
      <c r="C137" s="10"/>
      <c r="D137" s="10">
        <v>2.6655229999999999</v>
      </c>
      <c r="E137" s="5" t="s">
        <v>1320</v>
      </c>
      <c r="G137" s="5" t="s">
        <v>1321</v>
      </c>
    </row>
    <row r="138" spans="1:10">
      <c r="A138" s="5" t="s">
        <v>1333</v>
      </c>
      <c r="B138" s="10"/>
      <c r="C138" s="10"/>
      <c r="D138" s="10">
        <v>2.3528414</v>
      </c>
      <c r="E138" s="5" t="s">
        <v>1334</v>
      </c>
    </row>
    <row r="139" spans="1:10">
      <c r="A139" s="5" t="s">
        <v>1348</v>
      </c>
      <c r="B139" s="10"/>
      <c r="C139" s="10"/>
      <c r="D139" s="10">
        <v>2.0475178000000001</v>
      </c>
      <c r="E139" s="5" t="s">
        <v>1349</v>
      </c>
    </row>
    <row r="140" spans="1:10">
      <c r="A140" s="5" t="s">
        <v>1386</v>
      </c>
      <c r="B140" s="10"/>
      <c r="C140" s="10">
        <v>2.1926793999999998</v>
      </c>
      <c r="D140" s="10"/>
      <c r="E140" s="5" t="s">
        <v>1387</v>
      </c>
      <c r="F140" s="5" t="s">
        <v>687</v>
      </c>
      <c r="G140" s="5" t="s">
        <v>1388</v>
      </c>
    </row>
    <row r="141" spans="1:10">
      <c r="A141" s="5" t="s">
        <v>1389</v>
      </c>
      <c r="B141" s="10"/>
      <c r="C141" s="10"/>
      <c r="D141" s="10">
        <v>2.0806985</v>
      </c>
      <c r="E141" s="5" t="s">
        <v>1387</v>
      </c>
      <c r="F141" s="5" t="s">
        <v>687</v>
      </c>
      <c r="G141" s="5" t="s">
        <v>1388</v>
      </c>
    </row>
    <row r="142" spans="1:10">
      <c r="A142" s="5" t="s">
        <v>1390</v>
      </c>
      <c r="B142" s="10"/>
      <c r="C142" s="10"/>
      <c r="D142" s="10">
        <v>2.050694</v>
      </c>
      <c r="E142" s="5" t="s">
        <v>1391</v>
      </c>
      <c r="F142" s="5" t="s">
        <v>627</v>
      </c>
      <c r="G142" s="5" t="s">
        <v>1392</v>
      </c>
    </row>
    <row r="143" spans="1:10">
      <c r="A143" s="5" t="s">
        <v>1393</v>
      </c>
      <c r="B143" s="10">
        <v>2.2868433000000001</v>
      </c>
      <c r="C143" s="10">
        <v>2.7557019999999999</v>
      </c>
      <c r="D143" s="10"/>
      <c r="E143" s="5" t="s">
        <v>1391</v>
      </c>
      <c r="F143" s="5" t="s">
        <v>627</v>
      </c>
      <c r="G143" s="5" t="s">
        <v>1392</v>
      </c>
    </row>
    <row r="144" spans="1:10">
      <c r="A144" s="5" t="s">
        <v>1394</v>
      </c>
      <c r="B144" s="10">
        <v>2.3990064000000002</v>
      </c>
      <c r="C144" s="10">
        <v>3.3213157999999998</v>
      </c>
      <c r="D144" s="10">
        <v>3.2685366</v>
      </c>
      <c r="E144" s="5" t="s">
        <v>1391</v>
      </c>
      <c r="F144" s="5" t="s">
        <v>627</v>
      </c>
      <c r="G144" s="5" t="s">
        <v>1392</v>
      </c>
    </row>
    <row r="145" spans="1:8">
      <c r="A145" s="5" t="s">
        <v>1395</v>
      </c>
      <c r="B145" s="10"/>
      <c r="C145" s="10"/>
      <c r="D145" s="10">
        <v>2.2210516999999999</v>
      </c>
      <c r="E145" s="5" t="s">
        <v>1391</v>
      </c>
      <c r="F145" s="5" t="s">
        <v>627</v>
      </c>
      <c r="G145" s="5" t="s">
        <v>1392</v>
      </c>
    </row>
    <row r="146" spans="1:8">
      <c r="A146" s="5" t="s">
        <v>1396</v>
      </c>
      <c r="B146" s="10">
        <v>3.6439176</v>
      </c>
      <c r="C146" s="10">
        <v>4.4505486000000003</v>
      </c>
      <c r="D146" s="10">
        <v>4.3238797</v>
      </c>
      <c r="E146" s="5" t="s">
        <v>1391</v>
      </c>
      <c r="F146" s="5" t="s">
        <v>627</v>
      </c>
      <c r="G146" s="5" t="s">
        <v>1392</v>
      </c>
    </row>
    <row r="147" spans="1:8">
      <c r="A147" s="5" t="s">
        <v>1397</v>
      </c>
      <c r="B147" s="10">
        <v>2.4890219999999998</v>
      </c>
      <c r="C147" s="10">
        <v>3.9252937000000001</v>
      </c>
      <c r="D147" s="10">
        <v>4.8174533999999998</v>
      </c>
      <c r="E147" s="5" t="s">
        <v>1391</v>
      </c>
      <c r="F147" s="5" t="s">
        <v>627</v>
      </c>
      <c r="G147" s="5" t="s">
        <v>1392</v>
      </c>
    </row>
    <row r="148" spans="1:8">
      <c r="A148" s="5" t="s">
        <v>1398</v>
      </c>
      <c r="B148" s="10">
        <v>3.9955196000000002</v>
      </c>
      <c r="C148" s="10">
        <v>4.2567089999999999</v>
      </c>
      <c r="D148" s="10">
        <v>3.9959383000000002</v>
      </c>
      <c r="E148" s="5" t="s">
        <v>1391</v>
      </c>
      <c r="F148" s="5" t="s">
        <v>627</v>
      </c>
      <c r="G148" s="5" t="s">
        <v>1392</v>
      </c>
    </row>
    <row r="149" spans="1:8">
      <c r="A149" s="5" t="s">
        <v>1399</v>
      </c>
      <c r="B149" s="10"/>
      <c r="C149" s="10">
        <v>3.2951157000000002</v>
      </c>
      <c r="D149" s="10">
        <v>4.4070396000000001</v>
      </c>
      <c r="E149" s="5" t="s">
        <v>1391</v>
      </c>
      <c r="F149" s="5" t="s">
        <v>627</v>
      </c>
      <c r="G149" s="5" t="s">
        <v>1392</v>
      </c>
      <c r="H149" s="5" t="s">
        <v>693</v>
      </c>
    </row>
    <row r="150" spans="1:8">
      <c r="A150" s="5" t="s">
        <v>1400</v>
      </c>
      <c r="B150" s="10"/>
      <c r="C150" s="10">
        <v>2.4953455999999998</v>
      </c>
      <c r="D150" s="10"/>
      <c r="E150" s="5" t="s">
        <v>1391</v>
      </c>
      <c r="F150" s="5" t="s">
        <v>627</v>
      </c>
      <c r="G150" s="5" t="s">
        <v>1392</v>
      </c>
    </row>
    <row r="151" spans="1:8">
      <c r="A151" s="5" t="s">
        <v>1401</v>
      </c>
      <c r="B151" s="10"/>
      <c r="C151" s="10">
        <v>2.0399215000000002</v>
      </c>
      <c r="D151" s="10"/>
      <c r="E151" s="5" t="s">
        <v>1391</v>
      </c>
      <c r="F151" s="5" t="s">
        <v>627</v>
      </c>
      <c r="G151" s="5" t="s">
        <v>1392</v>
      </c>
    </row>
    <row r="152" spans="1:8">
      <c r="A152" s="5" t="s">
        <v>1402</v>
      </c>
      <c r="B152" s="10"/>
      <c r="C152" s="10"/>
      <c r="D152" s="10">
        <v>2.1938447999999999</v>
      </c>
      <c r="E152" s="5" t="s">
        <v>1391</v>
      </c>
      <c r="F152" s="5" t="s">
        <v>627</v>
      </c>
      <c r="G152" s="5" t="s">
        <v>1392</v>
      </c>
    </row>
    <row r="153" spans="1:8">
      <c r="A153" s="5" t="s">
        <v>1408</v>
      </c>
      <c r="B153" s="10"/>
      <c r="C153" s="10"/>
      <c r="D153" s="10">
        <v>2.1996669999999998</v>
      </c>
      <c r="E153" s="5" t="s">
        <v>1409</v>
      </c>
      <c r="F153" s="5" t="s">
        <v>1410</v>
      </c>
      <c r="G153" s="5" t="s">
        <v>1411</v>
      </c>
    </row>
    <row r="154" spans="1:8">
      <c r="A154" s="5" t="s">
        <v>1418</v>
      </c>
      <c r="B154" s="10"/>
      <c r="C154" s="10">
        <v>2.0054249999999998</v>
      </c>
      <c r="D154" s="10">
        <v>2.3193902999999998</v>
      </c>
      <c r="E154" s="5" t="s">
        <v>1415</v>
      </c>
      <c r="F154" s="5" t="s">
        <v>604</v>
      </c>
      <c r="G154" s="5" t="s">
        <v>1419</v>
      </c>
    </row>
    <row r="155" spans="1:8">
      <c r="A155" s="5" t="s">
        <v>1420</v>
      </c>
      <c r="B155" s="10"/>
      <c r="C155" s="10">
        <v>2.0067553999999999</v>
      </c>
      <c r="D155" s="10">
        <v>2.4475513000000002</v>
      </c>
      <c r="E155" s="5" t="s">
        <v>1415</v>
      </c>
      <c r="F155" s="5" t="s">
        <v>604</v>
      </c>
      <c r="G155" s="5" t="s">
        <v>1419</v>
      </c>
    </row>
    <row r="156" spans="1:8">
      <c r="A156" s="5" t="s">
        <v>1421</v>
      </c>
      <c r="B156" s="10"/>
      <c r="C156" s="10"/>
      <c r="D156" s="10">
        <v>2.7642798000000002</v>
      </c>
      <c r="E156" s="5" t="s">
        <v>1415</v>
      </c>
      <c r="F156" s="5" t="s">
        <v>604</v>
      </c>
      <c r="G156" s="5" t="s">
        <v>1419</v>
      </c>
    </row>
    <row r="157" spans="1:8">
      <c r="A157" s="5" t="s">
        <v>1422</v>
      </c>
      <c r="B157" s="10"/>
      <c r="C157" s="10">
        <v>2.1976599999999999</v>
      </c>
      <c r="D157" s="10"/>
      <c r="E157" s="5" t="s">
        <v>1415</v>
      </c>
      <c r="F157" s="5" t="s">
        <v>1423</v>
      </c>
      <c r="G157" s="5" t="s">
        <v>1424</v>
      </c>
    </row>
    <row r="158" spans="1:8">
      <c r="A158" s="5" t="s">
        <v>1425</v>
      </c>
      <c r="B158" s="10"/>
      <c r="C158" s="10">
        <v>2.0332880000000002</v>
      </c>
      <c r="D158" s="10"/>
      <c r="E158" s="5" t="s">
        <v>1415</v>
      </c>
      <c r="F158" s="5" t="s">
        <v>1423</v>
      </c>
      <c r="G158" s="5" t="s">
        <v>1424</v>
      </c>
    </row>
    <row r="159" spans="1:8">
      <c r="A159" s="5" t="s">
        <v>1426</v>
      </c>
      <c r="B159" s="10">
        <v>2.2249498000000001</v>
      </c>
      <c r="C159" s="10">
        <v>3.2083529999999998</v>
      </c>
      <c r="D159" s="10">
        <v>3.9759893000000002</v>
      </c>
      <c r="E159" s="5" t="s">
        <v>1415</v>
      </c>
      <c r="F159" s="5" t="s">
        <v>1423</v>
      </c>
      <c r="G159" s="5" t="s">
        <v>1424</v>
      </c>
    </row>
    <row r="160" spans="1:8">
      <c r="A160" s="5" t="s">
        <v>1427</v>
      </c>
      <c r="B160" s="10">
        <v>2.2034812000000001</v>
      </c>
      <c r="C160" s="10">
        <v>3.1559978000000002</v>
      </c>
      <c r="D160" s="10">
        <v>3.9249643999999999</v>
      </c>
      <c r="E160" s="5" t="s">
        <v>1415</v>
      </c>
      <c r="F160" s="5" t="s">
        <v>1423</v>
      </c>
      <c r="G160" s="5" t="s">
        <v>1424</v>
      </c>
    </row>
    <row r="161" spans="1:8">
      <c r="A161" s="5" t="s">
        <v>1428</v>
      </c>
      <c r="B161" s="10"/>
      <c r="C161" s="10">
        <v>2.1669068</v>
      </c>
      <c r="D161" s="10"/>
      <c r="E161" s="5" t="s">
        <v>1415</v>
      </c>
      <c r="F161" s="5" t="s">
        <v>604</v>
      </c>
      <c r="G161" s="5" t="s">
        <v>1429</v>
      </c>
    </row>
    <row r="162" spans="1:8">
      <c r="A162" s="5" t="s">
        <v>1430</v>
      </c>
      <c r="B162" s="10"/>
      <c r="C162" s="10">
        <v>2.4340787000000002</v>
      </c>
      <c r="D162" s="10"/>
      <c r="E162" s="5" t="s">
        <v>1415</v>
      </c>
      <c r="F162" s="5" t="s">
        <v>604</v>
      </c>
      <c r="G162" s="5" t="s">
        <v>1429</v>
      </c>
    </row>
    <row r="163" spans="1:8">
      <c r="A163" s="5" t="s">
        <v>1431</v>
      </c>
      <c r="B163" s="10"/>
      <c r="C163" s="10"/>
      <c r="D163" s="10">
        <v>2.3140429999999999</v>
      </c>
      <c r="E163" s="5" t="s">
        <v>1415</v>
      </c>
      <c r="F163" s="5" t="s">
        <v>1432</v>
      </c>
      <c r="G163" s="5" t="s">
        <v>1424</v>
      </c>
      <c r="H163" s="5" t="s">
        <v>1433</v>
      </c>
    </row>
    <row r="164" spans="1:8">
      <c r="A164" s="5" t="s">
        <v>1434</v>
      </c>
      <c r="B164" s="10"/>
      <c r="C164" s="10"/>
      <c r="D164" s="10">
        <v>2.9495719999999999</v>
      </c>
      <c r="E164" s="5" t="s">
        <v>1415</v>
      </c>
      <c r="F164" s="5" t="s">
        <v>604</v>
      </c>
      <c r="G164" s="5" t="s">
        <v>1419</v>
      </c>
    </row>
    <row r="165" spans="1:8">
      <c r="A165" s="5" t="s">
        <v>1435</v>
      </c>
      <c r="B165" s="10"/>
      <c r="C165" s="10"/>
      <c r="D165" s="10">
        <v>2.2137389999999999</v>
      </c>
      <c r="E165" s="5" t="s">
        <v>1436</v>
      </c>
      <c r="F165" s="5" t="s">
        <v>1437</v>
      </c>
    </row>
    <row r="166" spans="1:8">
      <c r="A166" s="5" t="s">
        <v>1438</v>
      </c>
      <c r="B166" s="10"/>
      <c r="C166" s="10"/>
      <c r="D166" s="10">
        <v>2.2699851999999998</v>
      </c>
      <c r="E166" s="5" t="s">
        <v>1439</v>
      </c>
      <c r="F166" s="5" t="s">
        <v>0</v>
      </c>
      <c r="G166" s="5" t="s">
        <v>1</v>
      </c>
    </row>
    <row r="167" spans="1:8">
      <c r="A167" s="5" t="s">
        <v>2</v>
      </c>
      <c r="B167" s="10"/>
      <c r="C167" s="10">
        <v>2.0227365000000002</v>
      </c>
      <c r="D167" s="10"/>
      <c r="E167" s="5" t="s">
        <v>3</v>
      </c>
      <c r="F167" s="5" t="s">
        <v>4</v>
      </c>
    </row>
    <row r="168" spans="1:8">
      <c r="A168" s="5" t="s">
        <v>12</v>
      </c>
      <c r="B168" s="10"/>
      <c r="C168" s="10">
        <v>3.0654091999999999</v>
      </c>
      <c r="D168" s="10">
        <v>3.3637589999999999</v>
      </c>
      <c r="E168" s="5" t="s">
        <v>13</v>
      </c>
    </row>
  </sheetData>
  <phoneticPr fontId="3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00"/>
  <sheetViews>
    <sheetView workbookViewId="0">
      <selection activeCell="C9" sqref="C9"/>
    </sheetView>
  </sheetViews>
  <sheetFormatPr defaultRowHeight="12.75"/>
  <cols>
    <col min="1" max="1" width="23" style="5" bestFit="1" customWidth="1"/>
    <col min="2" max="2" width="15" style="5" bestFit="1" customWidth="1"/>
    <col min="3" max="4" width="16.5703125" style="5" bestFit="1" customWidth="1"/>
    <col min="5" max="5" width="41.28515625" style="5" customWidth="1"/>
    <col min="6" max="6" width="44.7109375" style="5" customWidth="1"/>
    <col min="7" max="7" width="33" style="5" customWidth="1"/>
    <col min="8" max="16384" width="9.140625" style="5"/>
  </cols>
  <sheetData>
    <row r="1" spans="1:7" ht="18">
      <c r="A1" s="8" t="s">
        <v>579</v>
      </c>
      <c r="B1" s="8" t="s">
        <v>150</v>
      </c>
      <c r="C1" s="8" t="s">
        <v>152</v>
      </c>
      <c r="D1" s="8" t="s">
        <v>154</v>
      </c>
      <c r="E1" s="9" t="s">
        <v>580</v>
      </c>
      <c r="F1" s="9" t="s">
        <v>581</v>
      </c>
      <c r="G1" s="9" t="s">
        <v>582</v>
      </c>
    </row>
    <row r="2" spans="1:7">
      <c r="A2" s="5" t="s">
        <v>587</v>
      </c>
      <c r="B2" s="10">
        <v>-3.8402820000000002</v>
      </c>
      <c r="C2" s="10">
        <v>-3.4278940000000002</v>
      </c>
      <c r="D2" s="36">
        <v>-5.6594872000000001</v>
      </c>
      <c r="E2" s="5" t="s">
        <v>588</v>
      </c>
    </row>
    <row r="3" spans="1:7">
      <c r="A3" s="5" t="s">
        <v>589</v>
      </c>
      <c r="B3" s="10">
        <v>-3.0331106000000001</v>
      </c>
      <c r="C3" s="10">
        <v>-3.059596</v>
      </c>
      <c r="D3" s="36">
        <v>-5.2993927000000003</v>
      </c>
      <c r="E3" s="5" t="s">
        <v>590</v>
      </c>
      <c r="F3" s="5" t="s">
        <v>591</v>
      </c>
      <c r="G3" s="5" t="s">
        <v>592</v>
      </c>
    </row>
    <row r="4" spans="1:7">
      <c r="A4" s="5" t="s">
        <v>593</v>
      </c>
      <c r="B4" s="10">
        <v>-2.9202436999999999</v>
      </c>
      <c r="C4" s="10">
        <v>-3.3310876</v>
      </c>
      <c r="D4" s="36">
        <v>-5.7892060000000001</v>
      </c>
      <c r="E4" s="5" t="s">
        <v>590</v>
      </c>
      <c r="F4" s="5" t="s">
        <v>591</v>
      </c>
      <c r="G4" s="5" t="s">
        <v>592</v>
      </c>
    </row>
    <row r="5" spans="1:7">
      <c r="A5" s="5" t="s">
        <v>594</v>
      </c>
      <c r="B5" s="10"/>
      <c r="C5" s="10"/>
      <c r="D5" s="10">
        <v>-2.0015917000000001</v>
      </c>
      <c r="E5" s="5" t="s">
        <v>595</v>
      </c>
      <c r="F5" s="5" t="s">
        <v>591</v>
      </c>
      <c r="G5" s="5" t="s">
        <v>596</v>
      </c>
    </row>
    <row r="6" spans="1:7">
      <c r="A6" s="5" t="s">
        <v>602</v>
      </c>
      <c r="B6" s="10"/>
      <c r="C6" s="10"/>
      <c r="D6" s="10">
        <v>-2.0338769999999999</v>
      </c>
      <c r="E6" s="5" t="s">
        <v>603</v>
      </c>
      <c r="F6" s="5" t="s">
        <v>604</v>
      </c>
      <c r="G6" s="5" t="s">
        <v>605</v>
      </c>
    </row>
    <row r="7" spans="1:7">
      <c r="A7" s="5" t="s">
        <v>608</v>
      </c>
      <c r="B7" s="10">
        <v>-2.9375029000000001</v>
      </c>
      <c r="C7" s="10">
        <v>-3.0255774999999998</v>
      </c>
      <c r="D7" s="10">
        <v>-3.6618338000000001</v>
      </c>
      <c r="E7" s="5" t="s">
        <v>609</v>
      </c>
      <c r="F7" s="5" t="s">
        <v>610</v>
      </c>
      <c r="G7" s="5" t="s">
        <v>611</v>
      </c>
    </row>
    <row r="8" spans="1:7">
      <c r="A8" s="5" t="s">
        <v>612</v>
      </c>
      <c r="B8" s="10">
        <v>-3.2912545</v>
      </c>
      <c r="C8" s="10">
        <v>-3.6411661999999998</v>
      </c>
      <c r="D8" s="35">
        <v>-4.3774246999999997</v>
      </c>
      <c r="E8" s="5" t="s">
        <v>609</v>
      </c>
      <c r="F8" s="5" t="s">
        <v>610</v>
      </c>
      <c r="G8" s="5" t="s">
        <v>611</v>
      </c>
    </row>
    <row r="9" spans="1:7">
      <c r="A9" s="5" t="s">
        <v>613</v>
      </c>
      <c r="B9" s="10">
        <v>-3.2541465999999999</v>
      </c>
      <c r="C9" s="10">
        <v>-3.7440642999999998</v>
      </c>
      <c r="D9" s="35">
        <v>-4.5704184000000003</v>
      </c>
      <c r="E9" s="5" t="s">
        <v>609</v>
      </c>
      <c r="F9" s="5" t="s">
        <v>610</v>
      </c>
      <c r="G9" s="5" t="s">
        <v>611</v>
      </c>
    </row>
    <row r="10" spans="1:7">
      <c r="A10" s="5" t="s">
        <v>614</v>
      </c>
      <c r="B10" s="10"/>
      <c r="C10" s="10">
        <v>-2.0148945</v>
      </c>
      <c r="D10" s="10">
        <v>-2.1888131999999998</v>
      </c>
      <c r="E10" s="5" t="s">
        <v>615</v>
      </c>
      <c r="F10" s="5" t="s">
        <v>616</v>
      </c>
      <c r="G10" s="5" t="s">
        <v>617</v>
      </c>
    </row>
    <row r="11" spans="1:7">
      <c r="A11" s="5" t="s">
        <v>618</v>
      </c>
      <c r="B11" s="10">
        <v>-3.3542589999999999</v>
      </c>
      <c r="C11" s="10">
        <v>-3.1404405</v>
      </c>
      <c r="D11" s="36">
        <v>-5.0528407</v>
      </c>
      <c r="E11" s="5" t="s">
        <v>615</v>
      </c>
      <c r="F11" s="5" t="s">
        <v>616</v>
      </c>
      <c r="G11" s="5" t="s">
        <v>617</v>
      </c>
    </row>
    <row r="12" spans="1:7">
      <c r="A12" s="5" t="s">
        <v>619</v>
      </c>
      <c r="B12" s="10"/>
      <c r="C12" s="10">
        <v>-2.4133624999999999</v>
      </c>
      <c r="D12" s="10"/>
      <c r="E12" s="5" t="s">
        <v>620</v>
      </c>
      <c r="F12" s="5" t="s">
        <v>621</v>
      </c>
      <c r="G12" s="5" t="s">
        <v>622</v>
      </c>
    </row>
    <row r="13" spans="1:7">
      <c r="A13" s="5" t="s">
        <v>625</v>
      </c>
      <c r="B13" s="10">
        <v>-3.6298778</v>
      </c>
      <c r="C13" s="10">
        <v>-3.4737336999999999</v>
      </c>
      <c r="D13" s="38">
        <v>-6.2222776</v>
      </c>
      <c r="E13" s="5" t="s">
        <v>626</v>
      </c>
      <c r="F13" s="5" t="s">
        <v>627</v>
      </c>
      <c r="G13" s="5" t="s">
        <v>628</v>
      </c>
    </row>
    <row r="14" spans="1:7">
      <c r="A14" s="5" t="s">
        <v>629</v>
      </c>
      <c r="B14" s="10"/>
      <c r="C14" s="10">
        <v>-2.5974819999999998</v>
      </c>
      <c r="D14" s="10"/>
      <c r="E14" s="5" t="s">
        <v>630</v>
      </c>
      <c r="F14" s="5" t="s">
        <v>631</v>
      </c>
      <c r="G14" s="5" t="s">
        <v>632</v>
      </c>
    </row>
    <row r="15" spans="1:7">
      <c r="A15" s="5" t="s">
        <v>644</v>
      </c>
      <c r="B15" s="10"/>
      <c r="C15" s="10"/>
      <c r="D15" s="10">
        <v>-2.0661855</v>
      </c>
      <c r="E15" s="5" t="s">
        <v>645</v>
      </c>
      <c r="F15" s="5" t="s">
        <v>646</v>
      </c>
      <c r="G15" s="5" t="s">
        <v>647</v>
      </c>
    </row>
    <row r="16" spans="1:7">
      <c r="A16" s="5" t="s">
        <v>648</v>
      </c>
      <c r="B16" s="10"/>
      <c r="C16" s="10"/>
      <c r="D16" s="10">
        <v>-2.8667574</v>
      </c>
      <c r="E16" s="5" t="s">
        <v>649</v>
      </c>
      <c r="F16" s="5" t="s">
        <v>650</v>
      </c>
      <c r="G16" s="5" t="s">
        <v>651</v>
      </c>
    </row>
    <row r="17" spans="1:7">
      <c r="A17" s="5" t="s">
        <v>652</v>
      </c>
      <c r="B17" s="10"/>
      <c r="C17" s="10"/>
      <c r="D17" s="35">
        <v>-4.4597154000000003</v>
      </c>
      <c r="E17" s="5" t="s">
        <v>649</v>
      </c>
      <c r="F17" s="5" t="s">
        <v>650</v>
      </c>
      <c r="G17" s="5" t="s">
        <v>651</v>
      </c>
    </row>
    <row r="18" spans="1:7">
      <c r="A18" s="5" t="s">
        <v>653</v>
      </c>
      <c r="B18" s="10">
        <v>-2.9762757</v>
      </c>
      <c r="C18" s="35">
        <v>-4.6078700000000001</v>
      </c>
      <c r="D18" s="10"/>
      <c r="E18" s="5" t="s">
        <v>654</v>
      </c>
      <c r="F18" s="5" t="s">
        <v>655</v>
      </c>
      <c r="G18" s="5" t="s">
        <v>656</v>
      </c>
    </row>
    <row r="19" spans="1:7">
      <c r="A19" s="5" t="s">
        <v>542</v>
      </c>
      <c r="B19" s="10"/>
      <c r="C19" s="10"/>
      <c r="D19" s="10">
        <v>-2.5617122999999999</v>
      </c>
      <c r="E19" s="5" t="s">
        <v>145</v>
      </c>
      <c r="F19" s="5" t="s">
        <v>642</v>
      </c>
      <c r="G19" s="5" t="s">
        <v>543</v>
      </c>
    </row>
    <row r="20" spans="1:7">
      <c r="A20" s="5" t="s">
        <v>691</v>
      </c>
      <c r="B20" s="10"/>
      <c r="C20" s="10"/>
      <c r="D20" s="10">
        <v>-2.4750065999999999</v>
      </c>
      <c r="E20" s="5" t="s">
        <v>692</v>
      </c>
      <c r="G20" s="5" t="s">
        <v>693</v>
      </c>
    </row>
    <row r="21" spans="1:7">
      <c r="A21" s="5" t="s">
        <v>694</v>
      </c>
      <c r="B21" s="10"/>
      <c r="C21" s="10"/>
      <c r="D21" s="10">
        <v>-2.7095007999999998</v>
      </c>
      <c r="E21" s="5" t="s">
        <v>692</v>
      </c>
      <c r="G21" s="5" t="s">
        <v>693</v>
      </c>
    </row>
    <row r="22" spans="1:7">
      <c r="A22" s="5" t="s">
        <v>695</v>
      </c>
      <c r="B22" s="10"/>
      <c r="C22" s="10"/>
      <c r="D22" s="10">
        <v>-2.9039983999999999</v>
      </c>
      <c r="E22" s="5" t="s">
        <v>692</v>
      </c>
      <c r="G22" s="5" t="s">
        <v>693</v>
      </c>
    </row>
    <row r="23" spans="1:7">
      <c r="A23" s="5" t="s">
        <v>696</v>
      </c>
      <c r="B23" s="10">
        <v>-2.2350373000000001</v>
      </c>
      <c r="C23" s="10">
        <v>-3.9955753999999999</v>
      </c>
      <c r="D23" s="10">
        <v>-2.6519759999999999</v>
      </c>
      <c r="E23" s="5" t="s">
        <v>692</v>
      </c>
      <c r="G23" s="5" t="s">
        <v>693</v>
      </c>
    </row>
    <row r="24" spans="1:7">
      <c r="A24" s="5" t="s">
        <v>697</v>
      </c>
      <c r="B24" s="10"/>
      <c r="C24" s="10">
        <v>-3.7983427000000001</v>
      </c>
      <c r="D24" s="10">
        <v>-2.7496027999999999</v>
      </c>
      <c r="E24" s="5" t="s">
        <v>692</v>
      </c>
      <c r="G24" s="5" t="s">
        <v>693</v>
      </c>
    </row>
    <row r="25" spans="1:7">
      <c r="A25" s="5" t="s">
        <v>698</v>
      </c>
      <c r="B25" s="10"/>
      <c r="C25" s="10"/>
      <c r="D25" s="10">
        <v>-2.4958086000000002</v>
      </c>
      <c r="E25" s="5" t="s">
        <v>692</v>
      </c>
      <c r="G25" s="5" t="s">
        <v>693</v>
      </c>
    </row>
    <row r="26" spans="1:7">
      <c r="A26" s="5" t="s">
        <v>699</v>
      </c>
      <c r="B26" s="10"/>
      <c r="C26" s="10">
        <v>-2.0047855000000001</v>
      </c>
      <c r="D26" s="10">
        <v>-2.9584627000000001</v>
      </c>
      <c r="E26" s="5" t="s">
        <v>692</v>
      </c>
      <c r="G26" s="5" t="s">
        <v>693</v>
      </c>
    </row>
    <row r="27" spans="1:7">
      <c r="A27" s="5" t="s">
        <v>700</v>
      </c>
      <c r="B27" s="10"/>
      <c r="C27" s="10"/>
      <c r="D27" s="10">
        <v>-2.5249562000000001</v>
      </c>
      <c r="E27" s="5" t="s">
        <v>692</v>
      </c>
      <c r="G27" s="5" t="s">
        <v>693</v>
      </c>
    </row>
    <row r="28" spans="1:7">
      <c r="A28" s="5" t="s">
        <v>701</v>
      </c>
      <c r="B28" s="10"/>
      <c r="C28" s="10"/>
      <c r="D28" s="10">
        <v>-2.3186249999999999</v>
      </c>
      <c r="E28" s="5" t="s">
        <v>692</v>
      </c>
      <c r="G28" s="5" t="s">
        <v>693</v>
      </c>
    </row>
    <row r="29" spans="1:7">
      <c r="A29" s="5" t="s">
        <v>702</v>
      </c>
      <c r="B29" s="10"/>
      <c r="C29" s="10">
        <v>-2.2029342999999999</v>
      </c>
      <c r="D29" s="10"/>
      <c r="E29" s="5" t="s">
        <v>703</v>
      </c>
      <c r="F29" s="5" t="s">
        <v>604</v>
      </c>
      <c r="G29" s="5" t="s">
        <v>704</v>
      </c>
    </row>
    <row r="30" spans="1:7">
      <c r="A30" s="5" t="s">
        <v>705</v>
      </c>
      <c r="B30" s="10">
        <v>-2.0725574</v>
      </c>
      <c r="C30" s="10">
        <v>-2.6502180000000002</v>
      </c>
      <c r="D30" s="10">
        <v>-2.8456372999999999</v>
      </c>
      <c r="E30" s="5" t="s">
        <v>706</v>
      </c>
      <c r="F30" s="5" t="s">
        <v>707</v>
      </c>
      <c r="G30" s="5" t="s">
        <v>708</v>
      </c>
    </row>
    <row r="31" spans="1:7">
      <c r="A31" s="5" t="s">
        <v>709</v>
      </c>
      <c r="B31" s="10"/>
      <c r="C31" s="10"/>
      <c r="D31" s="10"/>
      <c r="E31" s="5" t="s">
        <v>710</v>
      </c>
      <c r="F31" s="5" t="s">
        <v>655</v>
      </c>
      <c r="G31" s="5" t="s">
        <v>711</v>
      </c>
    </row>
    <row r="32" spans="1:7">
      <c r="A32" s="5" t="s">
        <v>712</v>
      </c>
      <c r="B32" s="10">
        <v>-2.0105976999999999</v>
      </c>
      <c r="C32" s="10">
        <v>-3.3419256000000002</v>
      </c>
      <c r="D32" s="10">
        <v>-3.6186289999999999</v>
      </c>
      <c r="E32" s="5" t="s">
        <v>713</v>
      </c>
      <c r="G32" s="5" t="s">
        <v>714</v>
      </c>
    </row>
    <row r="33" spans="1:8">
      <c r="A33" s="5" t="s">
        <v>715</v>
      </c>
      <c r="B33" s="10"/>
      <c r="C33" s="10"/>
      <c r="D33" s="10">
        <v>-2.4287429999999999</v>
      </c>
      <c r="E33" s="5" t="s">
        <v>713</v>
      </c>
      <c r="G33" s="5" t="s">
        <v>716</v>
      </c>
    </row>
    <row r="34" spans="1:8">
      <c r="A34" s="5" t="s">
        <v>717</v>
      </c>
      <c r="B34" s="10"/>
      <c r="C34" s="10"/>
      <c r="D34" s="10">
        <v>-2.0242871999999998</v>
      </c>
      <c r="E34" s="5" t="s">
        <v>713</v>
      </c>
      <c r="G34" s="5" t="s">
        <v>718</v>
      </c>
    </row>
    <row r="35" spans="1:8">
      <c r="A35" s="5" t="s">
        <v>723</v>
      </c>
      <c r="B35" s="10">
        <v>-2.9506115999999998</v>
      </c>
      <c r="C35" s="10">
        <v>-3.4669576000000002</v>
      </c>
      <c r="D35" s="10">
        <v>-3.9335789999999999</v>
      </c>
      <c r="E35" s="5" t="s">
        <v>724</v>
      </c>
      <c r="F35" s="5" t="s">
        <v>621</v>
      </c>
      <c r="G35" s="5" t="s">
        <v>725</v>
      </c>
    </row>
    <row r="36" spans="1:8">
      <c r="A36" s="5" t="s">
        <v>726</v>
      </c>
      <c r="B36" s="10"/>
      <c r="C36" s="10"/>
      <c r="D36" s="35">
        <v>-4.0644216999999996</v>
      </c>
      <c r="E36" s="5" t="s">
        <v>727</v>
      </c>
      <c r="F36" s="5" t="s">
        <v>728</v>
      </c>
      <c r="G36" s="5" t="s">
        <v>729</v>
      </c>
    </row>
    <row r="37" spans="1:8">
      <c r="A37" s="5" t="s">
        <v>730</v>
      </c>
      <c r="B37" s="10"/>
      <c r="C37" s="10"/>
      <c r="D37" s="10">
        <v>-2.1049275000000001</v>
      </c>
      <c r="E37" s="5" t="s">
        <v>731</v>
      </c>
      <c r="F37" s="5" t="s">
        <v>627</v>
      </c>
      <c r="G37" s="5" t="s">
        <v>732</v>
      </c>
    </row>
    <row r="38" spans="1:8">
      <c r="A38" s="5" t="s">
        <v>733</v>
      </c>
      <c r="B38" s="10"/>
      <c r="C38" s="10"/>
      <c r="D38" s="10">
        <v>-2.1717577000000001</v>
      </c>
      <c r="E38" s="5" t="s">
        <v>734</v>
      </c>
      <c r="F38" s="5" t="s">
        <v>735</v>
      </c>
      <c r="G38" s="5" t="s">
        <v>736</v>
      </c>
      <c r="H38" s="5" t="s">
        <v>737</v>
      </c>
    </row>
    <row r="39" spans="1:8">
      <c r="A39" s="5" t="s">
        <v>738</v>
      </c>
      <c r="B39" s="10"/>
      <c r="C39" s="10"/>
      <c r="D39" s="10">
        <v>-2.1405911</v>
      </c>
      <c r="E39" s="5" t="s">
        <v>739</v>
      </c>
      <c r="F39" s="5" t="s">
        <v>740</v>
      </c>
      <c r="G39" s="5" t="s">
        <v>741</v>
      </c>
    </row>
    <row r="40" spans="1:8">
      <c r="A40" s="5" t="s">
        <v>742</v>
      </c>
      <c r="B40" s="10"/>
      <c r="C40" s="10"/>
      <c r="D40" s="10">
        <v>-2.1975546000000001</v>
      </c>
      <c r="E40" s="5" t="s">
        <v>743</v>
      </c>
      <c r="F40" s="5" t="s">
        <v>744</v>
      </c>
      <c r="G40" s="5" t="s">
        <v>745</v>
      </c>
    </row>
    <row r="41" spans="1:8">
      <c r="A41" s="5" t="s">
        <v>746</v>
      </c>
      <c r="B41" s="10"/>
      <c r="C41" s="10">
        <v>-2.4813094000000002</v>
      </c>
      <c r="D41" s="10"/>
      <c r="E41" s="5" t="s">
        <v>747</v>
      </c>
      <c r="F41" s="5" t="s">
        <v>642</v>
      </c>
      <c r="G41" s="5" t="s">
        <v>748</v>
      </c>
    </row>
    <row r="42" spans="1:8">
      <c r="A42" s="5" t="s">
        <v>749</v>
      </c>
      <c r="B42" s="10">
        <v>-2.8065349999999998</v>
      </c>
      <c r="C42" s="10">
        <v>-3.2967240000000002</v>
      </c>
      <c r="D42" s="10">
        <v>-2.1919072000000002</v>
      </c>
      <c r="E42" s="5" t="s">
        <v>747</v>
      </c>
      <c r="F42" s="5" t="s">
        <v>642</v>
      </c>
      <c r="G42" s="5" t="s">
        <v>748</v>
      </c>
    </row>
    <row r="43" spans="1:8">
      <c r="A43" s="5" t="s">
        <v>750</v>
      </c>
      <c r="B43" s="10"/>
      <c r="C43" s="10"/>
      <c r="D43" s="10">
        <v>-2.0978823000000002</v>
      </c>
      <c r="E43" s="5" t="s">
        <v>751</v>
      </c>
      <c r="F43" s="5" t="s">
        <v>642</v>
      </c>
      <c r="G43" s="5" t="s">
        <v>752</v>
      </c>
    </row>
    <row r="44" spans="1:8">
      <c r="A44" s="5" t="s">
        <v>753</v>
      </c>
      <c r="B44" s="10"/>
      <c r="C44" s="10"/>
      <c r="D44" s="10">
        <v>-2.033525</v>
      </c>
      <c r="E44" s="5" t="s">
        <v>754</v>
      </c>
      <c r="F44" s="5" t="s">
        <v>755</v>
      </c>
      <c r="G44" s="5" t="s">
        <v>756</v>
      </c>
    </row>
    <row r="45" spans="1:8">
      <c r="A45" s="5" t="s">
        <v>757</v>
      </c>
      <c r="B45" s="10"/>
      <c r="C45" s="10"/>
      <c r="D45" s="35">
        <v>-4.1266803999999997</v>
      </c>
      <c r="E45" s="5" t="s">
        <v>754</v>
      </c>
      <c r="F45" s="5" t="s">
        <v>755</v>
      </c>
      <c r="G45" s="5" t="s">
        <v>756</v>
      </c>
    </row>
    <row r="46" spans="1:8">
      <c r="A46" s="5" t="s">
        <v>758</v>
      </c>
      <c r="B46" s="10"/>
      <c r="C46" s="10"/>
      <c r="D46" s="10">
        <v>-2.1746454000000002</v>
      </c>
      <c r="E46" s="5" t="s">
        <v>754</v>
      </c>
      <c r="F46" s="5" t="s">
        <v>755</v>
      </c>
      <c r="G46" s="5" t="s">
        <v>759</v>
      </c>
    </row>
    <row r="47" spans="1:8">
      <c r="A47" s="5" t="s">
        <v>760</v>
      </c>
      <c r="B47" s="10"/>
      <c r="C47" s="10"/>
      <c r="D47" s="10">
        <v>-3.8278989999999999</v>
      </c>
      <c r="E47" s="5" t="s">
        <v>761</v>
      </c>
      <c r="F47" s="5" t="s">
        <v>755</v>
      </c>
      <c r="G47" s="5" t="s">
        <v>762</v>
      </c>
    </row>
    <row r="48" spans="1:8">
      <c r="A48" s="5" t="s">
        <v>763</v>
      </c>
      <c r="B48" s="10"/>
      <c r="C48" s="10"/>
      <c r="D48" s="10">
        <v>-3.9244967000000002</v>
      </c>
      <c r="E48" s="5" t="s">
        <v>761</v>
      </c>
      <c r="F48" s="5" t="s">
        <v>755</v>
      </c>
      <c r="G48" s="5" t="s">
        <v>762</v>
      </c>
    </row>
    <row r="49" spans="1:7">
      <c r="A49" s="5" t="s">
        <v>764</v>
      </c>
      <c r="B49" s="10"/>
      <c r="C49" s="10"/>
      <c r="D49" s="10">
        <v>-2.5612750000000002</v>
      </c>
      <c r="E49" s="5" t="s">
        <v>761</v>
      </c>
      <c r="F49" s="5" t="s">
        <v>755</v>
      </c>
      <c r="G49" s="5" t="s">
        <v>762</v>
      </c>
    </row>
    <row r="50" spans="1:7">
      <c r="A50" s="5" t="s">
        <v>566</v>
      </c>
      <c r="B50" s="10"/>
      <c r="C50" s="10"/>
      <c r="D50" s="10">
        <v>-2.4179176999999998</v>
      </c>
      <c r="E50" s="5" t="s">
        <v>139</v>
      </c>
      <c r="F50" s="5" t="s">
        <v>642</v>
      </c>
      <c r="G50" s="5" t="s">
        <v>140</v>
      </c>
    </row>
    <row r="51" spans="1:7">
      <c r="A51" s="5" t="s">
        <v>780</v>
      </c>
      <c r="B51" s="10"/>
      <c r="C51" s="10">
        <v>-2.4915338</v>
      </c>
      <c r="D51" s="10"/>
      <c r="E51" s="5" t="s">
        <v>781</v>
      </c>
      <c r="F51" s="5" t="s">
        <v>655</v>
      </c>
      <c r="G51" s="5" t="s">
        <v>782</v>
      </c>
    </row>
    <row r="52" spans="1:7">
      <c r="A52" s="5" t="s">
        <v>783</v>
      </c>
      <c r="B52" s="10"/>
      <c r="C52" s="10"/>
      <c r="D52" s="10">
        <v>-2.0419770000000002</v>
      </c>
      <c r="E52" s="5" t="s">
        <v>781</v>
      </c>
      <c r="F52" s="5" t="s">
        <v>655</v>
      </c>
      <c r="G52" s="5" t="s">
        <v>782</v>
      </c>
    </row>
    <row r="53" spans="1:7">
      <c r="A53" s="5" t="s">
        <v>784</v>
      </c>
      <c r="B53" s="10"/>
      <c r="C53" s="10"/>
      <c r="D53" s="10">
        <v>-3.2744384000000002</v>
      </c>
      <c r="E53" s="5" t="s">
        <v>785</v>
      </c>
      <c r="F53" s="5" t="s">
        <v>786</v>
      </c>
      <c r="G53" s="5" t="s">
        <v>787</v>
      </c>
    </row>
    <row r="54" spans="1:7">
      <c r="A54" s="5" t="s">
        <v>788</v>
      </c>
      <c r="B54" s="10"/>
      <c r="C54" s="10"/>
      <c r="D54" s="10">
        <v>-2.2939571999999999</v>
      </c>
      <c r="E54" s="5" t="s">
        <v>789</v>
      </c>
      <c r="G54" s="5" t="s">
        <v>790</v>
      </c>
    </row>
    <row r="55" spans="1:7">
      <c r="A55" s="5" t="s">
        <v>791</v>
      </c>
      <c r="B55" s="10"/>
      <c r="C55" s="10">
        <v>-2.5802502999999999</v>
      </c>
      <c r="D55" s="10"/>
      <c r="E55" s="5" t="s">
        <v>792</v>
      </c>
    </row>
    <row r="56" spans="1:7">
      <c r="A56" s="5" t="s">
        <v>801</v>
      </c>
      <c r="B56" s="10"/>
      <c r="C56" s="10"/>
      <c r="D56" s="10">
        <v>-2.3599929999999998</v>
      </c>
      <c r="E56" s="5" t="s">
        <v>802</v>
      </c>
      <c r="G56" s="5" t="s">
        <v>803</v>
      </c>
    </row>
    <row r="57" spans="1:7">
      <c r="A57" s="5" t="s">
        <v>804</v>
      </c>
      <c r="B57" s="10"/>
      <c r="C57" s="10"/>
      <c r="D57" s="10">
        <v>-2.0204629999999999</v>
      </c>
      <c r="E57" s="5" t="s">
        <v>802</v>
      </c>
      <c r="G57" s="5" t="s">
        <v>803</v>
      </c>
    </row>
    <row r="58" spans="1:7">
      <c r="A58" s="5" t="s">
        <v>805</v>
      </c>
      <c r="B58" s="10"/>
      <c r="C58" s="10"/>
      <c r="D58" s="10">
        <v>-2.1033254000000001</v>
      </c>
      <c r="E58" s="5" t="s">
        <v>802</v>
      </c>
    </row>
    <row r="59" spans="1:7">
      <c r="A59" s="5" t="s">
        <v>806</v>
      </c>
      <c r="B59" s="10"/>
      <c r="C59" s="10"/>
      <c r="D59" s="10">
        <v>-2.4801392999999998</v>
      </c>
      <c r="E59" s="5" t="s">
        <v>802</v>
      </c>
      <c r="G59" s="5" t="s">
        <v>803</v>
      </c>
    </row>
    <row r="60" spans="1:7">
      <c r="A60" s="5" t="s">
        <v>807</v>
      </c>
      <c r="B60" s="10">
        <v>-2.5733961999999999</v>
      </c>
      <c r="C60" s="10">
        <v>-2.6139326000000001</v>
      </c>
      <c r="D60" s="10">
        <v>-2.5278</v>
      </c>
      <c r="E60" s="5" t="s">
        <v>802</v>
      </c>
      <c r="G60" s="5" t="s">
        <v>803</v>
      </c>
    </row>
    <row r="61" spans="1:7">
      <c r="A61" s="5" t="s">
        <v>808</v>
      </c>
      <c r="B61" s="10"/>
      <c r="C61" s="10">
        <v>-2.3044311999999998</v>
      </c>
      <c r="D61" s="10"/>
      <c r="E61" s="5" t="s">
        <v>802</v>
      </c>
      <c r="G61" s="5" t="s">
        <v>803</v>
      </c>
    </row>
    <row r="62" spans="1:7">
      <c r="A62" s="5" t="s">
        <v>809</v>
      </c>
      <c r="B62" s="10"/>
      <c r="C62" s="10"/>
      <c r="D62" s="10">
        <v>-2.2246717999999999</v>
      </c>
      <c r="E62" s="5" t="s">
        <v>802</v>
      </c>
      <c r="G62" s="5" t="s">
        <v>803</v>
      </c>
    </row>
    <row r="63" spans="1:7">
      <c r="A63" s="5" t="s">
        <v>810</v>
      </c>
      <c r="B63" s="10"/>
      <c r="C63" s="10"/>
      <c r="D63" s="10">
        <v>-2.1982694</v>
      </c>
      <c r="E63" s="5" t="s">
        <v>802</v>
      </c>
      <c r="G63" s="5" t="s">
        <v>803</v>
      </c>
    </row>
    <row r="64" spans="1:7">
      <c r="A64" s="5" t="s">
        <v>811</v>
      </c>
      <c r="B64" s="10"/>
      <c r="C64" s="10">
        <v>-2.0628555</v>
      </c>
      <c r="D64" s="10"/>
      <c r="E64" s="5" t="s">
        <v>802</v>
      </c>
      <c r="G64" s="5" t="s">
        <v>803</v>
      </c>
    </row>
    <row r="65" spans="1:7">
      <c r="A65" s="5" t="s">
        <v>812</v>
      </c>
      <c r="B65" s="10"/>
      <c r="C65" s="10"/>
      <c r="D65" s="10">
        <v>-2.8936557999999999</v>
      </c>
      <c r="E65" s="5" t="s">
        <v>802</v>
      </c>
      <c r="G65" s="5" t="s">
        <v>803</v>
      </c>
    </row>
    <row r="66" spans="1:7">
      <c r="A66" s="5" t="s">
        <v>813</v>
      </c>
      <c r="B66" s="10"/>
      <c r="C66" s="10"/>
      <c r="D66" s="10"/>
      <c r="E66" s="5" t="s">
        <v>802</v>
      </c>
      <c r="G66" s="5" t="s">
        <v>803</v>
      </c>
    </row>
    <row r="67" spans="1:7">
      <c r="A67" s="5" t="s">
        <v>814</v>
      </c>
      <c r="B67" s="10"/>
      <c r="C67" s="10"/>
      <c r="D67" s="10">
        <v>-2.1856450000000001</v>
      </c>
      <c r="E67" s="5" t="s">
        <v>802</v>
      </c>
      <c r="F67" s="5" t="s">
        <v>815</v>
      </c>
      <c r="G67" s="5" t="s">
        <v>816</v>
      </c>
    </row>
    <row r="68" spans="1:7">
      <c r="A68" s="5" t="s">
        <v>817</v>
      </c>
      <c r="B68" s="10"/>
      <c r="C68" s="10"/>
      <c r="D68" s="10"/>
      <c r="E68" s="5" t="s">
        <v>802</v>
      </c>
      <c r="G68" s="5" t="s">
        <v>803</v>
      </c>
    </row>
    <row r="69" spans="1:7">
      <c r="A69" s="5" t="s">
        <v>818</v>
      </c>
      <c r="B69" s="10"/>
      <c r="C69" s="10">
        <v>-2.8280677999999999</v>
      </c>
      <c r="D69" s="10">
        <v>-3.6198977999999999</v>
      </c>
      <c r="E69" s="5" t="s">
        <v>802</v>
      </c>
      <c r="G69" s="5" t="s">
        <v>803</v>
      </c>
    </row>
    <row r="70" spans="1:7">
      <c r="A70" s="5" t="s">
        <v>819</v>
      </c>
      <c r="B70" s="10"/>
      <c r="C70" s="10"/>
      <c r="D70" s="10">
        <v>-2.8447464</v>
      </c>
      <c r="E70" s="5" t="s">
        <v>802</v>
      </c>
      <c r="G70" s="5" t="s">
        <v>803</v>
      </c>
    </row>
    <row r="71" spans="1:7">
      <c r="A71" s="5" t="s">
        <v>820</v>
      </c>
      <c r="B71" s="10"/>
      <c r="C71" s="10"/>
      <c r="D71" s="10">
        <v>-2.5789369999999998</v>
      </c>
      <c r="E71" s="5" t="s">
        <v>802</v>
      </c>
      <c r="G71" s="5" t="s">
        <v>803</v>
      </c>
    </row>
    <row r="72" spans="1:7">
      <c r="A72" s="5" t="s">
        <v>821</v>
      </c>
      <c r="B72" s="10"/>
      <c r="C72" s="10"/>
      <c r="D72" s="10">
        <v>-2.484013</v>
      </c>
      <c r="E72" s="5" t="s">
        <v>802</v>
      </c>
      <c r="F72" s="5" t="s">
        <v>822</v>
      </c>
      <c r="G72" s="5" t="s">
        <v>823</v>
      </c>
    </row>
    <row r="73" spans="1:7">
      <c r="A73" s="5" t="s">
        <v>824</v>
      </c>
      <c r="B73" s="10"/>
      <c r="C73" s="10"/>
      <c r="D73" s="10">
        <v>-2.1538309999999998</v>
      </c>
      <c r="E73" s="5" t="s">
        <v>802</v>
      </c>
      <c r="F73" s="5" t="s">
        <v>822</v>
      </c>
      <c r="G73" s="5" t="s">
        <v>823</v>
      </c>
    </row>
    <row r="74" spans="1:7">
      <c r="A74" s="5" t="s">
        <v>825</v>
      </c>
      <c r="B74" s="10"/>
      <c r="C74" s="10"/>
      <c r="D74" s="10">
        <v>-2.1019801999999999</v>
      </c>
      <c r="E74" s="5" t="s">
        <v>802</v>
      </c>
      <c r="G74" s="5" t="s">
        <v>838</v>
      </c>
    </row>
    <row r="75" spans="1:7">
      <c r="A75" s="5" t="s">
        <v>839</v>
      </c>
      <c r="B75" s="10"/>
      <c r="C75" s="10"/>
      <c r="D75" s="10">
        <v>-2.3835812000000001</v>
      </c>
      <c r="E75" s="5" t="s">
        <v>802</v>
      </c>
      <c r="F75" s="5" t="s">
        <v>840</v>
      </c>
    </row>
    <row r="76" spans="1:7">
      <c r="A76" s="5" t="s">
        <v>841</v>
      </c>
      <c r="B76" s="10"/>
      <c r="C76" s="10"/>
      <c r="D76" s="10">
        <v>-2.895092</v>
      </c>
      <c r="E76" s="5" t="s">
        <v>802</v>
      </c>
      <c r="F76" s="5" t="s">
        <v>842</v>
      </c>
      <c r="G76" s="5" t="s">
        <v>843</v>
      </c>
    </row>
    <row r="77" spans="1:7">
      <c r="A77" s="5" t="s">
        <v>844</v>
      </c>
      <c r="B77" s="10"/>
      <c r="C77" s="10"/>
      <c r="D77" s="10">
        <v>-2.1190476</v>
      </c>
      <c r="E77" s="5" t="s">
        <v>802</v>
      </c>
      <c r="F77" s="5" t="s">
        <v>815</v>
      </c>
      <c r="G77" s="5" t="s">
        <v>845</v>
      </c>
    </row>
    <row r="78" spans="1:7">
      <c r="A78" s="5" t="s">
        <v>846</v>
      </c>
      <c r="B78" s="10"/>
      <c r="C78" s="10">
        <v>-2.4425210000000002</v>
      </c>
      <c r="D78" s="10">
        <v>-2.7323607999999999</v>
      </c>
      <c r="E78" s="5" t="s">
        <v>802</v>
      </c>
      <c r="F78" s="5" t="s">
        <v>815</v>
      </c>
      <c r="G78" s="5" t="s">
        <v>847</v>
      </c>
    </row>
    <row r="79" spans="1:7">
      <c r="A79" s="5" t="s">
        <v>848</v>
      </c>
      <c r="B79" s="10"/>
      <c r="C79" s="10"/>
      <c r="D79" s="10">
        <v>-2.1260886000000001</v>
      </c>
      <c r="E79" s="5" t="s">
        <v>802</v>
      </c>
      <c r="G79" s="5" t="s">
        <v>803</v>
      </c>
    </row>
    <row r="80" spans="1:7">
      <c r="A80" s="5" t="s">
        <v>849</v>
      </c>
      <c r="B80" s="10"/>
      <c r="C80" s="10">
        <v>-2.2862</v>
      </c>
      <c r="D80" s="10">
        <v>-2.3730745</v>
      </c>
      <c r="E80" s="5" t="s">
        <v>802</v>
      </c>
      <c r="F80" s="5" t="s">
        <v>815</v>
      </c>
      <c r="G80" s="5" t="s">
        <v>847</v>
      </c>
    </row>
    <row r="81" spans="1:7">
      <c r="A81" s="5" t="s">
        <v>850</v>
      </c>
      <c r="B81" s="10">
        <v>-2.5684513999999998</v>
      </c>
      <c r="C81" s="10">
        <v>-2.7728028</v>
      </c>
      <c r="D81" s="10">
        <v>-2.5567280000000001</v>
      </c>
      <c r="E81" s="5" t="s">
        <v>802</v>
      </c>
      <c r="G81" s="5" t="s">
        <v>803</v>
      </c>
    </row>
    <row r="82" spans="1:7">
      <c r="A82" s="5" t="s">
        <v>851</v>
      </c>
      <c r="B82" s="10"/>
      <c r="C82" s="10"/>
      <c r="D82" s="10">
        <v>-2.0410146999999998</v>
      </c>
      <c r="E82" s="5" t="s">
        <v>802</v>
      </c>
      <c r="G82" s="5" t="s">
        <v>852</v>
      </c>
    </row>
    <row r="83" spans="1:7">
      <c r="A83" s="5" t="s">
        <v>853</v>
      </c>
      <c r="B83" s="10"/>
      <c r="C83" s="10"/>
      <c r="D83" s="10">
        <v>-2.1235723000000002</v>
      </c>
      <c r="E83" s="5" t="s">
        <v>802</v>
      </c>
      <c r="G83" s="5" t="s">
        <v>803</v>
      </c>
    </row>
    <row r="84" spans="1:7">
      <c r="A84" s="5" t="s">
        <v>854</v>
      </c>
      <c r="B84" s="10"/>
      <c r="C84" s="10"/>
      <c r="D84" s="10">
        <v>-2.1703166999999999</v>
      </c>
      <c r="E84" s="5" t="s">
        <v>802</v>
      </c>
      <c r="F84" s="5" t="s">
        <v>815</v>
      </c>
      <c r="G84" s="5" t="s">
        <v>847</v>
      </c>
    </row>
    <row r="85" spans="1:7">
      <c r="A85" s="5" t="s">
        <v>855</v>
      </c>
      <c r="B85" s="10"/>
      <c r="C85" s="10"/>
      <c r="D85" s="10">
        <v>-2.1186752000000002</v>
      </c>
      <c r="E85" s="5" t="s">
        <v>856</v>
      </c>
    </row>
    <row r="86" spans="1:7">
      <c r="A86" s="5" t="s">
        <v>857</v>
      </c>
      <c r="B86" s="10"/>
      <c r="C86" s="10"/>
      <c r="D86" s="10">
        <v>-2.1185174</v>
      </c>
      <c r="E86" s="5" t="s">
        <v>858</v>
      </c>
      <c r="F86" s="5" t="s">
        <v>815</v>
      </c>
      <c r="G86" s="5" t="s">
        <v>845</v>
      </c>
    </row>
    <row r="87" spans="1:7">
      <c r="A87" s="5" t="s">
        <v>859</v>
      </c>
      <c r="B87" s="10"/>
      <c r="C87" s="10"/>
      <c r="D87" s="10">
        <v>-2.1252179999999998</v>
      </c>
      <c r="E87" s="5" t="s">
        <v>858</v>
      </c>
      <c r="F87" s="5" t="s">
        <v>860</v>
      </c>
    </row>
    <row r="88" spans="1:7">
      <c r="A88" s="5" t="s">
        <v>538</v>
      </c>
      <c r="B88" s="36">
        <v>-5.5525336000000003</v>
      </c>
      <c r="C88" s="37">
        <v>-7.1708026</v>
      </c>
      <c r="D88" s="35">
        <v>-4.3243660000000004</v>
      </c>
      <c r="E88" s="5" t="s">
        <v>143</v>
      </c>
      <c r="F88" s="5" t="s">
        <v>822</v>
      </c>
      <c r="G88" s="5" t="s">
        <v>144</v>
      </c>
    </row>
    <row r="89" spans="1:7">
      <c r="A89" s="5" t="s">
        <v>577</v>
      </c>
      <c r="B89" s="36">
        <v>-5.7130302999999998</v>
      </c>
      <c r="C89" s="37">
        <v>-7.0007520000000003</v>
      </c>
      <c r="D89" s="35">
        <v>-4.2652279999999996</v>
      </c>
      <c r="E89" s="5" t="s">
        <v>143</v>
      </c>
      <c r="F89" s="5" t="s">
        <v>822</v>
      </c>
      <c r="G89" s="5" t="s">
        <v>144</v>
      </c>
    </row>
    <row r="90" spans="1:7">
      <c r="A90" s="5" t="s">
        <v>864</v>
      </c>
      <c r="B90" s="10"/>
      <c r="C90" s="10"/>
      <c r="D90" s="10">
        <v>-2.0181222000000001</v>
      </c>
      <c r="E90" s="5" t="s">
        <v>862</v>
      </c>
      <c r="F90" s="5" t="s">
        <v>815</v>
      </c>
      <c r="G90" s="5" t="s">
        <v>865</v>
      </c>
    </row>
    <row r="91" spans="1:7">
      <c r="A91" s="5" t="s">
        <v>866</v>
      </c>
      <c r="B91" s="10"/>
      <c r="C91" s="10"/>
      <c r="D91" s="10">
        <v>-2.4773725999999998</v>
      </c>
      <c r="E91" s="5" t="s">
        <v>862</v>
      </c>
      <c r="F91" s="5" t="s">
        <v>815</v>
      </c>
      <c r="G91" s="5" t="s">
        <v>865</v>
      </c>
    </row>
    <row r="92" spans="1:7">
      <c r="A92" s="5" t="s">
        <v>867</v>
      </c>
      <c r="B92" s="10"/>
      <c r="C92" s="10"/>
      <c r="D92" s="10">
        <v>-3.5417686000000002</v>
      </c>
      <c r="E92" s="5" t="s">
        <v>868</v>
      </c>
      <c r="F92" s="5" t="s">
        <v>869</v>
      </c>
      <c r="G92" s="5" t="s">
        <v>870</v>
      </c>
    </row>
    <row r="93" spans="1:7">
      <c r="A93" s="5" t="s">
        <v>884</v>
      </c>
      <c r="B93" s="10"/>
      <c r="C93" s="10">
        <v>-3.3321079999999998</v>
      </c>
      <c r="D93" s="10">
        <v>-3.4611573</v>
      </c>
      <c r="E93" s="5" t="s">
        <v>885</v>
      </c>
      <c r="G93" s="5" t="s">
        <v>886</v>
      </c>
    </row>
    <row r="94" spans="1:7">
      <c r="A94" s="5" t="s">
        <v>887</v>
      </c>
      <c r="B94" s="10"/>
      <c r="C94" s="10">
        <v>-2.0257645000000002</v>
      </c>
      <c r="D94" s="10">
        <v>-4.4967889999999997</v>
      </c>
      <c r="E94" s="5" t="s">
        <v>885</v>
      </c>
      <c r="G94" s="5" t="s">
        <v>886</v>
      </c>
    </row>
    <row r="95" spans="1:7">
      <c r="A95" s="5" t="s">
        <v>888</v>
      </c>
      <c r="B95" s="10"/>
      <c r="C95" s="10"/>
      <c r="D95" s="10">
        <v>-2.4038094999999999</v>
      </c>
      <c r="E95" s="5" t="s">
        <v>889</v>
      </c>
    </row>
    <row r="96" spans="1:7">
      <c r="A96" s="5" t="s">
        <v>893</v>
      </c>
      <c r="B96" s="10">
        <v>-2.5025153000000002</v>
      </c>
      <c r="C96" s="10">
        <v>-2.2376103000000001</v>
      </c>
      <c r="D96" s="10"/>
      <c r="E96" s="5" t="s">
        <v>894</v>
      </c>
      <c r="F96" s="5" t="s">
        <v>895</v>
      </c>
      <c r="G96" s="5" t="s">
        <v>896</v>
      </c>
    </row>
    <row r="97" spans="1:7">
      <c r="A97" s="5" t="s">
        <v>897</v>
      </c>
      <c r="B97" s="10"/>
      <c r="C97" s="10"/>
      <c r="D97" s="10">
        <v>-3.0188060000000001</v>
      </c>
      <c r="E97" s="5" t="s">
        <v>898</v>
      </c>
    </row>
    <row r="98" spans="1:7">
      <c r="A98" s="5" t="s">
        <v>918</v>
      </c>
      <c r="D98" s="10">
        <v>3.0524292000000002</v>
      </c>
      <c r="E98" s="5" t="s">
        <v>919</v>
      </c>
      <c r="F98" s="5" t="s">
        <v>920</v>
      </c>
      <c r="G98" s="5" t="s">
        <v>921</v>
      </c>
    </row>
    <row r="99" spans="1:7">
      <c r="A99" s="5" t="s">
        <v>922</v>
      </c>
      <c r="B99" s="10"/>
      <c r="C99" s="10">
        <v>-2.4699149999999999</v>
      </c>
      <c r="D99" s="10">
        <v>-3.6620903</v>
      </c>
      <c r="E99" s="5" t="s">
        <v>923</v>
      </c>
      <c r="F99" s="5" t="s">
        <v>924</v>
      </c>
      <c r="G99" s="5" t="s">
        <v>925</v>
      </c>
    </row>
    <row r="100" spans="1:7">
      <c r="A100" s="5" t="s">
        <v>934</v>
      </c>
      <c r="B100" s="10"/>
      <c r="C100" s="10"/>
      <c r="D100" s="10">
        <v>-2.0577407000000001</v>
      </c>
      <c r="E100" s="5" t="s">
        <v>935</v>
      </c>
      <c r="F100" s="5" t="s">
        <v>936</v>
      </c>
      <c r="G100" s="5" t="s">
        <v>937</v>
      </c>
    </row>
    <row r="101" spans="1:7">
      <c r="A101" s="5" t="s">
        <v>938</v>
      </c>
      <c r="B101" s="10"/>
      <c r="C101" s="10"/>
      <c r="D101" s="10">
        <v>-2.7392167999999999</v>
      </c>
      <c r="E101" s="5" t="s">
        <v>939</v>
      </c>
      <c r="G101" s="5" t="s">
        <v>940</v>
      </c>
    </row>
    <row r="102" spans="1:7">
      <c r="A102" s="5" t="s">
        <v>941</v>
      </c>
      <c r="B102" s="10"/>
      <c r="C102" s="10"/>
      <c r="D102" s="10">
        <v>-2.9072947999999998</v>
      </c>
      <c r="E102" s="5" t="s">
        <v>942</v>
      </c>
    </row>
    <row r="103" spans="1:7">
      <c r="A103" s="5" t="s">
        <v>943</v>
      </c>
      <c r="B103" s="10"/>
      <c r="C103" s="10"/>
      <c r="D103" s="10">
        <v>-2.1806983999999998</v>
      </c>
      <c r="E103" s="5" t="s">
        <v>944</v>
      </c>
    </row>
    <row r="104" spans="1:7">
      <c r="A104" s="5" t="s">
        <v>945</v>
      </c>
      <c r="B104" s="10"/>
      <c r="C104" s="10">
        <v>-2.0944943</v>
      </c>
      <c r="D104" s="35">
        <v>-4.5666412999999997</v>
      </c>
      <c r="E104" s="5" t="s">
        <v>946</v>
      </c>
    </row>
    <row r="105" spans="1:7">
      <c r="A105" s="5" t="s">
        <v>947</v>
      </c>
      <c r="B105" s="10"/>
      <c r="C105" s="10"/>
      <c r="D105" s="10">
        <v>-3.9813404000000001</v>
      </c>
      <c r="E105" s="5" t="s">
        <v>946</v>
      </c>
    </row>
    <row r="106" spans="1:7">
      <c r="A106" s="5" t="s">
        <v>948</v>
      </c>
      <c r="B106" s="10"/>
      <c r="C106" s="10"/>
      <c r="D106" s="10">
        <v>-2.2393265000000002</v>
      </c>
      <c r="E106" s="5" t="s">
        <v>946</v>
      </c>
    </row>
    <row r="107" spans="1:7">
      <c r="A107" s="5" t="s">
        <v>540</v>
      </c>
      <c r="B107" s="10"/>
      <c r="C107" s="10">
        <v>-2.1178370000000002</v>
      </c>
      <c r="D107" s="10">
        <v>-3.2063264999999999</v>
      </c>
      <c r="E107" s="5" t="s">
        <v>946</v>
      </c>
    </row>
    <row r="108" spans="1:7">
      <c r="A108" s="5" t="s">
        <v>949</v>
      </c>
      <c r="B108" s="10"/>
      <c r="C108" s="10"/>
      <c r="D108" s="10">
        <v>-2.9353251</v>
      </c>
      <c r="E108" s="5" t="s">
        <v>946</v>
      </c>
    </row>
    <row r="109" spans="1:7">
      <c r="A109" s="5" t="s">
        <v>950</v>
      </c>
      <c r="B109" s="10"/>
      <c r="C109" s="10"/>
      <c r="D109" s="35">
        <v>-4.8234877999999997</v>
      </c>
      <c r="E109" s="5" t="s">
        <v>946</v>
      </c>
    </row>
    <row r="110" spans="1:7">
      <c r="A110" s="5" t="s">
        <v>951</v>
      </c>
      <c r="B110" s="10"/>
      <c r="C110" s="10"/>
      <c r="D110" s="10">
        <v>-2.6848893</v>
      </c>
      <c r="E110" s="5" t="s">
        <v>946</v>
      </c>
    </row>
    <row r="111" spans="1:7">
      <c r="A111" s="5" t="s">
        <v>952</v>
      </c>
      <c r="B111" s="10"/>
      <c r="C111" s="10"/>
      <c r="D111" s="10">
        <v>-3.2787799999999998</v>
      </c>
      <c r="E111" s="5" t="s">
        <v>946</v>
      </c>
    </row>
    <row r="112" spans="1:7">
      <c r="A112" s="5" t="s">
        <v>953</v>
      </c>
      <c r="B112" s="10"/>
      <c r="C112" s="10"/>
      <c r="D112" s="10">
        <v>-2.286108</v>
      </c>
      <c r="E112" s="5" t="s">
        <v>946</v>
      </c>
    </row>
    <row r="113" spans="1:8">
      <c r="A113" s="5" t="s">
        <v>954</v>
      </c>
      <c r="B113" s="10"/>
      <c r="C113" s="10"/>
      <c r="D113" s="10">
        <v>-2.62432</v>
      </c>
      <c r="E113" s="5" t="s">
        <v>946</v>
      </c>
    </row>
    <row r="114" spans="1:8">
      <c r="A114" s="5" t="s">
        <v>571</v>
      </c>
      <c r="B114" s="10"/>
      <c r="C114" s="10">
        <v>-2.0948806000000002</v>
      </c>
      <c r="D114" s="10">
        <v>-2.9989905000000001</v>
      </c>
      <c r="E114" s="5" t="s">
        <v>946</v>
      </c>
    </row>
    <row r="115" spans="1:8">
      <c r="A115" s="5" t="s">
        <v>955</v>
      </c>
      <c r="B115" s="10"/>
      <c r="C115" s="10">
        <v>-2.7806896999999999</v>
      </c>
      <c r="D115" s="36">
        <v>-5.3540473000000004</v>
      </c>
      <c r="E115" s="5" t="s">
        <v>946</v>
      </c>
    </row>
    <row r="116" spans="1:8">
      <c r="A116" s="5" t="s">
        <v>956</v>
      </c>
      <c r="B116" s="10"/>
      <c r="C116" s="10"/>
      <c r="D116" s="10">
        <v>-2.2995106999999999</v>
      </c>
      <c r="E116" s="5" t="s">
        <v>946</v>
      </c>
      <c r="F116" s="5" t="s">
        <v>957</v>
      </c>
      <c r="G116" s="5" t="s">
        <v>958</v>
      </c>
    </row>
    <row r="117" spans="1:8">
      <c r="A117" s="5" t="s">
        <v>959</v>
      </c>
      <c r="B117" s="10"/>
      <c r="C117" s="10"/>
      <c r="D117" s="10">
        <v>-3.2445970000000002</v>
      </c>
      <c r="E117" s="5" t="s">
        <v>946</v>
      </c>
    </row>
    <row r="118" spans="1:8">
      <c r="A118" s="5" t="s">
        <v>960</v>
      </c>
      <c r="B118" s="10"/>
      <c r="C118" s="10"/>
      <c r="D118" s="10">
        <v>-5.6393120000000003</v>
      </c>
      <c r="E118" s="5" t="s">
        <v>961</v>
      </c>
    </row>
    <row r="119" spans="1:8">
      <c r="A119" s="5" t="s">
        <v>962</v>
      </c>
      <c r="B119" s="10"/>
      <c r="C119" s="10"/>
      <c r="D119" s="10">
        <v>-3.2427106000000001</v>
      </c>
      <c r="E119" s="5" t="s">
        <v>963</v>
      </c>
      <c r="F119" s="5" t="s">
        <v>964</v>
      </c>
      <c r="G119" s="5" t="s">
        <v>965</v>
      </c>
      <c r="H119" s="5" t="s">
        <v>966</v>
      </c>
    </row>
    <row r="120" spans="1:8">
      <c r="A120" s="5" t="s">
        <v>967</v>
      </c>
      <c r="B120" s="10"/>
      <c r="C120" s="10"/>
      <c r="D120" s="10">
        <v>-2.0880923</v>
      </c>
      <c r="E120" s="5" t="s">
        <v>963</v>
      </c>
      <c r="F120" s="5" t="s">
        <v>964</v>
      </c>
      <c r="G120" s="5" t="s">
        <v>965</v>
      </c>
    </row>
    <row r="121" spans="1:8">
      <c r="A121" s="5" t="s">
        <v>968</v>
      </c>
      <c r="B121" s="10"/>
      <c r="C121" s="10"/>
      <c r="D121" s="10">
        <v>-2.1364746000000001</v>
      </c>
      <c r="E121" s="5" t="s">
        <v>969</v>
      </c>
      <c r="F121" s="5" t="s">
        <v>872</v>
      </c>
      <c r="G121" s="5" t="s">
        <v>883</v>
      </c>
    </row>
    <row r="122" spans="1:8">
      <c r="A122" s="5" t="s">
        <v>970</v>
      </c>
      <c r="B122" s="10"/>
      <c r="C122" s="10">
        <v>-2.2598834000000001</v>
      </c>
      <c r="D122" s="10">
        <v>-2.3883451999999998</v>
      </c>
      <c r="E122" s="5" t="s">
        <v>969</v>
      </c>
      <c r="F122" s="5" t="s">
        <v>872</v>
      </c>
      <c r="G122" s="5" t="s">
        <v>883</v>
      </c>
    </row>
    <row r="123" spans="1:8">
      <c r="A123" s="5" t="s">
        <v>971</v>
      </c>
      <c r="B123" s="10"/>
      <c r="C123" s="10"/>
      <c r="D123" s="35">
        <v>-4.1553573999999998</v>
      </c>
      <c r="E123" s="5" t="s">
        <v>972</v>
      </c>
    </row>
    <row r="124" spans="1:8">
      <c r="A124" s="5" t="s">
        <v>973</v>
      </c>
      <c r="B124" s="10"/>
      <c r="C124" s="10"/>
      <c r="D124" s="10">
        <v>-2.0824022000000002</v>
      </c>
      <c r="E124" s="5" t="s">
        <v>974</v>
      </c>
      <c r="F124" s="5" t="s">
        <v>591</v>
      </c>
      <c r="G124" s="5" t="s">
        <v>975</v>
      </c>
    </row>
    <row r="125" spans="1:8">
      <c r="A125" s="5" t="s">
        <v>976</v>
      </c>
      <c r="B125" s="10"/>
      <c r="C125" s="10"/>
      <c r="D125" s="10">
        <v>-3.5698788000000001</v>
      </c>
      <c r="E125" s="5" t="s">
        <v>977</v>
      </c>
    </row>
    <row r="126" spans="1:8">
      <c r="A126" s="5" t="s">
        <v>978</v>
      </c>
      <c r="B126" s="10"/>
      <c r="C126" s="10"/>
      <c r="D126" s="10">
        <v>-2.899149</v>
      </c>
      <c r="E126" s="5" t="s">
        <v>977</v>
      </c>
    </row>
    <row r="127" spans="1:8">
      <c r="A127" s="5" t="s">
        <v>979</v>
      </c>
      <c r="B127" s="10"/>
      <c r="C127" s="10"/>
      <c r="D127" s="10">
        <v>-3.7983571999999999</v>
      </c>
      <c r="E127" s="5" t="s">
        <v>977</v>
      </c>
    </row>
    <row r="128" spans="1:8">
      <c r="A128" s="5" t="s">
        <v>983</v>
      </c>
      <c r="B128" s="10"/>
      <c r="C128" s="10"/>
      <c r="D128" s="10">
        <v>-2.789949</v>
      </c>
      <c r="E128" s="5" t="s">
        <v>984</v>
      </c>
      <c r="F128" s="5" t="s">
        <v>985</v>
      </c>
      <c r="G128" s="5" t="s">
        <v>986</v>
      </c>
    </row>
    <row r="129" spans="1:7">
      <c r="A129" s="5" t="s">
        <v>987</v>
      </c>
      <c r="B129" s="10"/>
      <c r="C129" s="10">
        <v>-2.2576369999999999</v>
      </c>
      <c r="D129" s="10">
        <v>-3.2380800000000001</v>
      </c>
      <c r="E129" s="5" t="s">
        <v>984</v>
      </c>
      <c r="F129" s="5" t="s">
        <v>988</v>
      </c>
      <c r="G129" s="5" t="s">
        <v>986</v>
      </c>
    </row>
    <row r="130" spans="1:7">
      <c r="A130" s="5" t="s">
        <v>989</v>
      </c>
      <c r="B130" s="10"/>
      <c r="C130" s="10"/>
      <c r="D130" s="10">
        <v>-3.239554</v>
      </c>
      <c r="E130" s="5" t="s">
        <v>984</v>
      </c>
      <c r="F130" s="5" t="s">
        <v>990</v>
      </c>
      <c r="G130" s="5" t="s">
        <v>986</v>
      </c>
    </row>
    <row r="131" spans="1:7">
      <c r="A131" s="5" t="s">
        <v>1043</v>
      </c>
      <c r="B131" s="10"/>
      <c r="C131" s="36">
        <v>-5.8324975999999999</v>
      </c>
      <c r="D131" s="10"/>
      <c r="E131" s="5" t="s">
        <v>1040</v>
      </c>
      <c r="F131" s="5" t="s">
        <v>1041</v>
      </c>
      <c r="G131" s="5" t="s">
        <v>1042</v>
      </c>
    </row>
    <row r="132" spans="1:7">
      <c r="A132" s="5" t="s">
        <v>1044</v>
      </c>
      <c r="B132" s="10"/>
      <c r="C132" s="10"/>
      <c r="D132" s="10"/>
      <c r="E132" s="5" t="s">
        <v>1045</v>
      </c>
      <c r="F132" s="5" t="s">
        <v>1046</v>
      </c>
    </row>
    <row r="133" spans="1:7">
      <c r="A133" s="5" t="s">
        <v>1047</v>
      </c>
      <c r="B133" s="10"/>
      <c r="C133" s="10"/>
      <c r="D133" s="10">
        <v>-2.1081557000000002</v>
      </c>
      <c r="E133" s="5" t="s">
        <v>1048</v>
      </c>
      <c r="F133" s="5" t="s">
        <v>621</v>
      </c>
      <c r="G133" s="5" t="s">
        <v>1049</v>
      </c>
    </row>
    <row r="134" spans="1:7">
      <c r="A134" s="5" t="s">
        <v>1050</v>
      </c>
      <c r="B134" s="10"/>
      <c r="C134" s="10"/>
      <c r="D134" s="10">
        <v>-2.4316087</v>
      </c>
      <c r="E134" s="5" t="s">
        <v>1048</v>
      </c>
      <c r="F134" s="5" t="s">
        <v>621</v>
      </c>
      <c r="G134" s="5" t="s">
        <v>1049</v>
      </c>
    </row>
    <row r="135" spans="1:7">
      <c r="A135" s="5" t="s">
        <v>1051</v>
      </c>
      <c r="B135" s="10"/>
      <c r="C135" s="10"/>
      <c r="D135" s="10"/>
      <c r="E135" s="5" t="s">
        <v>1052</v>
      </c>
      <c r="F135" s="11" t="s">
        <v>1053</v>
      </c>
    </row>
    <row r="136" spans="1:7">
      <c r="A136" s="5" t="s">
        <v>1054</v>
      </c>
      <c r="B136" s="10"/>
      <c r="C136" s="10"/>
      <c r="D136" s="10"/>
      <c r="E136" s="5" t="s">
        <v>1055</v>
      </c>
      <c r="F136" s="5" t="s">
        <v>713</v>
      </c>
      <c r="G136" s="5" t="s">
        <v>1056</v>
      </c>
    </row>
    <row r="137" spans="1:7">
      <c r="A137" s="5" t="s">
        <v>1057</v>
      </c>
      <c r="B137" s="10"/>
      <c r="C137" s="10"/>
      <c r="D137" s="10"/>
      <c r="E137" s="5" t="s">
        <v>1058</v>
      </c>
    </row>
    <row r="138" spans="1:7">
      <c r="A138" s="5" t="s">
        <v>1059</v>
      </c>
      <c r="B138" s="10"/>
      <c r="C138" s="10"/>
      <c r="D138" s="10"/>
      <c r="E138" s="5" t="s">
        <v>1060</v>
      </c>
      <c r="F138" s="5" t="s">
        <v>1061</v>
      </c>
      <c r="G138" s="5" t="s">
        <v>1062</v>
      </c>
    </row>
    <row r="139" spans="1:7">
      <c r="A139" s="5" t="s">
        <v>1063</v>
      </c>
      <c r="B139" s="10"/>
      <c r="C139" s="10"/>
      <c r="D139" s="10"/>
      <c r="E139" s="5" t="s">
        <v>1060</v>
      </c>
      <c r="F139" s="5" t="s">
        <v>1061</v>
      </c>
      <c r="G139" s="5" t="s">
        <v>1062</v>
      </c>
    </row>
    <row r="140" spans="1:7">
      <c r="A140" s="5" t="s">
        <v>1064</v>
      </c>
      <c r="B140" s="10"/>
      <c r="C140" s="10"/>
      <c r="D140" s="10"/>
      <c r="E140" s="5" t="s">
        <v>1060</v>
      </c>
      <c r="F140" s="5" t="s">
        <v>1061</v>
      </c>
      <c r="G140" s="5" t="s">
        <v>1062</v>
      </c>
    </row>
    <row r="141" spans="1:7">
      <c r="A141" s="5" t="s">
        <v>1065</v>
      </c>
      <c r="B141" s="10"/>
      <c r="C141" s="10"/>
      <c r="D141" s="10"/>
      <c r="E141" s="5" t="s">
        <v>1060</v>
      </c>
      <c r="F141" s="5" t="s">
        <v>1061</v>
      </c>
      <c r="G141" s="5" t="s">
        <v>1062</v>
      </c>
    </row>
    <row r="142" spans="1:7">
      <c r="A142" s="5" t="s">
        <v>1066</v>
      </c>
      <c r="B142" s="10"/>
      <c r="C142" s="10"/>
      <c r="D142" s="10">
        <v>-2.1824384000000001</v>
      </c>
      <c r="E142" s="5" t="s">
        <v>1067</v>
      </c>
    </row>
    <row r="143" spans="1:7">
      <c r="A143" s="5" t="s">
        <v>1068</v>
      </c>
      <c r="B143" s="10"/>
      <c r="C143" s="10"/>
      <c r="D143" s="10">
        <v>-2.606697</v>
      </c>
      <c r="E143" s="5" t="s">
        <v>1069</v>
      </c>
    </row>
    <row r="144" spans="1:7">
      <c r="A144" s="5" t="s">
        <v>1070</v>
      </c>
      <c r="B144" s="10"/>
      <c r="C144" s="10"/>
      <c r="D144" s="10"/>
      <c r="E144" s="5" t="s">
        <v>1071</v>
      </c>
    </row>
    <row r="145" spans="1:7">
      <c r="A145" s="5" t="s">
        <v>1072</v>
      </c>
      <c r="B145" s="10"/>
      <c r="C145" s="10"/>
      <c r="D145" s="10"/>
      <c r="E145" s="5" t="s">
        <v>1073</v>
      </c>
      <c r="F145" s="5" t="s">
        <v>1074</v>
      </c>
    </row>
    <row r="146" spans="1:7">
      <c r="A146" s="5" t="s">
        <v>1075</v>
      </c>
      <c r="B146" s="10"/>
      <c r="C146" s="10"/>
      <c r="D146" s="10"/>
      <c r="E146" s="5" t="s">
        <v>1073</v>
      </c>
      <c r="F146" s="5" t="s">
        <v>1074</v>
      </c>
    </row>
    <row r="147" spans="1:7">
      <c r="A147" s="5" t="s">
        <v>532</v>
      </c>
      <c r="B147" s="10"/>
      <c r="C147" s="10"/>
      <c r="D147" s="10"/>
      <c r="E147" s="5" t="s">
        <v>533</v>
      </c>
      <c r="G147" s="5" t="s">
        <v>534</v>
      </c>
    </row>
    <row r="148" spans="1:7">
      <c r="A148" s="5" t="s">
        <v>1076</v>
      </c>
      <c r="B148" s="10"/>
      <c r="C148" s="10"/>
      <c r="D148" s="10">
        <v>-2.9924067999999999</v>
      </c>
      <c r="E148" s="5" t="s">
        <v>1077</v>
      </c>
    </row>
    <row r="149" spans="1:7">
      <c r="A149" s="5" t="s">
        <v>1078</v>
      </c>
      <c r="B149" s="10"/>
      <c r="C149" s="10">
        <v>-2.2220249999999999</v>
      </c>
      <c r="D149" s="10"/>
      <c r="E149" s="5" t="s">
        <v>1079</v>
      </c>
      <c r="F149" s="5" t="s">
        <v>1080</v>
      </c>
    </row>
    <row r="150" spans="1:7">
      <c r="A150" s="5" t="s">
        <v>1081</v>
      </c>
      <c r="B150" s="35">
        <v>-4.789072</v>
      </c>
      <c r="C150" s="35">
        <v>-4.8427220000000002</v>
      </c>
      <c r="D150" s="10"/>
      <c r="E150" s="5" t="s">
        <v>1082</v>
      </c>
      <c r="F150" s="5" t="s">
        <v>655</v>
      </c>
      <c r="G150" s="5" t="s">
        <v>1083</v>
      </c>
    </row>
    <row r="151" spans="1:7">
      <c r="A151" s="5" t="s">
        <v>1084</v>
      </c>
      <c r="B151" s="10"/>
      <c r="C151" s="36">
        <v>-5.4334064</v>
      </c>
      <c r="D151" s="10"/>
      <c r="E151" s="5" t="s">
        <v>1082</v>
      </c>
      <c r="F151" s="5" t="s">
        <v>655</v>
      </c>
      <c r="G151" s="5" t="s">
        <v>1083</v>
      </c>
    </row>
    <row r="152" spans="1:7">
      <c r="A152" s="5" t="s">
        <v>1085</v>
      </c>
      <c r="B152" s="36">
        <v>-5.4970309999999998</v>
      </c>
      <c r="C152" s="36">
        <v>-5.6932383</v>
      </c>
      <c r="D152" s="10"/>
      <c r="E152" s="5" t="s">
        <v>1082</v>
      </c>
      <c r="F152" s="5" t="s">
        <v>655</v>
      </c>
      <c r="G152" s="5" t="s">
        <v>1083</v>
      </c>
    </row>
    <row r="153" spans="1:7">
      <c r="A153" s="5" t="s">
        <v>1086</v>
      </c>
      <c r="B153" s="10"/>
      <c r="C153" s="10"/>
      <c r="D153" s="10"/>
      <c r="E153" s="5" t="s">
        <v>1082</v>
      </c>
      <c r="F153" s="5" t="s">
        <v>655</v>
      </c>
      <c r="G153" s="5" t="s">
        <v>1083</v>
      </c>
    </row>
    <row r="154" spans="1:7">
      <c r="A154" s="5" t="s">
        <v>1087</v>
      </c>
      <c r="B154" s="10"/>
      <c r="C154" s="10"/>
      <c r="D154" s="10">
        <v>-2.0335264</v>
      </c>
      <c r="E154" s="5" t="s">
        <v>1088</v>
      </c>
      <c r="F154" s="5" t="s">
        <v>655</v>
      </c>
      <c r="G154" s="5" t="s">
        <v>1089</v>
      </c>
    </row>
    <row r="155" spans="1:7">
      <c r="A155" s="5" t="s">
        <v>1090</v>
      </c>
      <c r="B155" s="10"/>
      <c r="C155" s="10"/>
      <c r="D155" s="10">
        <v>-2.2840284999999998</v>
      </c>
      <c r="E155" s="5" t="s">
        <v>1088</v>
      </c>
      <c r="F155" s="5" t="s">
        <v>655</v>
      </c>
      <c r="G155" s="5" t="s">
        <v>1089</v>
      </c>
    </row>
    <row r="156" spans="1:7">
      <c r="A156" s="5" t="s">
        <v>1091</v>
      </c>
      <c r="B156" s="10"/>
      <c r="C156" s="10"/>
      <c r="D156" s="10"/>
      <c r="E156" s="5" t="s">
        <v>1092</v>
      </c>
    </row>
    <row r="157" spans="1:7">
      <c r="A157" s="5" t="s">
        <v>1093</v>
      </c>
      <c r="B157" s="10"/>
      <c r="C157" s="10"/>
      <c r="D157" s="10">
        <v>-2.0213800000000002</v>
      </c>
      <c r="E157" s="5" t="s">
        <v>1094</v>
      </c>
      <c r="G157" s="5" t="s">
        <v>1095</v>
      </c>
    </row>
    <row r="158" spans="1:7">
      <c r="A158" s="5" t="s">
        <v>1096</v>
      </c>
      <c r="B158" s="10"/>
      <c r="C158" s="10"/>
      <c r="D158" s="10">
        <v>-2.0093236000000001</v>
      </c>
      <c r="E158" s="5" t="s">
        <v>1094</v>
      </c>
      <c r="G158" s="5" t="s">
        <v>1095</v>
      </c>
    </row>
    <row r="159" spans="1:7">
      <c r="A159" s="5" t="s">
        <v>562</v>
      </c>
      <c r="B159" s="10"/>
      <c r="C159" s="10">
        <v>-2.007358</v>
      </c>
      <c r="D159" s="10">
        <v>-3.2889175000000002</v>
      </c>
      <c r="E159" s="5" t="s">
        <v>148</v>
      </c>
      <c r="F159" s="5" t="s">
        <v>642</v>
      </c>
      <c r="G159" s="5" t="s">
        <v>553</v>
      </c>
    </row>
    <row r="160" spans="1:7">
      <c r="A160" s="5" t="s">
        <v>1110</v>
      </c>
      <c r="B160" s="10"/>
      <c r="C160" s="10"/>
      <c r="D160" s="10">
        <v>-2.4063477999999998</v>
      </c>
      <c r="E160" s="5" t="s">
        <v>1111</v>
      </c>
    </row>
    <row r="161" spans="1:8">
      <c r="A161" s="5" t="s">
        <v>1112</v>
      </c>
      <c r="B161" s="10"/>
      <c r="C161" s="10"/>
      <c r="D161" s="10">
        <v>-3.4199223999999999</v>
      </c>
      <c r="E161" s="5" t="s">
        <v>1113</v>
      </c>
    </row>
    <row r="162" spans="1:8">
      <c r="A162" s="5" t="s">
        <v>1114</v>
      </c>
      <c r="B162" s="10"/>
      <c r="C162" s="10"/>
      <c r="D162" s="10">
        <v>-2.100965</v>
      </c>
      <c r="E162" s="5" t="s">
        <v>1115</v>
      </c>
      <c r="G162" s="5" t="s">
        <v>1116</v>
      </c>
    </row>
    <row r="163" spans="1:8">
      <c r="A163" s="5" t="s">
        <v>1117</v>
      </c>
      <c r="B163" s="10"/>
      <c r="C163" s="10"/>
      <c r="D163" s="10">
        <v>-2.3865924000000001</v>
      </c>
      <c r="E163" s="5" t="s">
        <v>1118</v>
      </c>
    </row>
    <row r="164" spans="1:8">
      <c r="A164" s="5" t="s">
        <v>1119</v>
      </c>
      <c r="B164" s="10">
        <v>-2.9325994999999998</v>
      </c>
      <c r="C164" s="10">
        <v>-2.7150626</v>
      </c>
      <c r="D164" s="10">
        <v>-3.0515208</v>
      </c>
      <c r="E164" s="5" t="s">
        <v>1120</v>
      </c>
      <c r="F164" s="5" t="s">
        <v>616</v>
      </c>
      <c r="G164" s="5" t="s">
        <v>1121</v>
      </c>
    </row>
    <row r="165" spans="1:8">
      <c r="A165" s="5" t="s">
        <v>1122</v>
      </c>
      <c r="B165" s="10"/>
      <c r="C165" s="10"/>
      <c r="D165" s="36">
        <v>-5.7382964999999997</v>
      </c>
      <c r="E165" s="5" t="s">
        <v>1123</v>
      </c>
      <c r="F165" s="5" t="s">
        <v>658</v>
      </c>
      <c r="G165" s="5" t="s">
        <v>1124</v>
      </c>
    </row>
    <row r="166" spans="1:8">
      <c r="A166" s="5" t="s">
        <v>1125</v>
      </c>
      <c r="B166" s="10">
        <v>-2.7541695000000002</v>
      </c>
      <c r="C166" s="10">
        <v>-3.0283232</v>
      </c>
      <c r="D166" s="10">
        <v>-2.097642</v>
      </c>
      <c r="E166" s="5" t="s">
        <v>1126</v>
      </c>
      <c r="G166" s="5" t="s">
        <v>1124</v>
      </c>
    </row>
    <row r="167" spans="1:8">
      <c r="A167" s="5" t="s">
        <v>1146</v>
      </c>
      <c r="B167" s="10"/>
      <c r="C167" s="10"/>
      <c r="D167" s="10">
        <v>-2.0150212999999999</v>
      </c>
      <c r="E167" s="5" t="s">
        <v>1147</v>
      </c>
      <c r="F167" s="5" t="s">
        <v>873</v>
      </c>
      <c r="G167" s="5" t="s">
        <v>1148</v>
      </c>
    </row>
    <row r="168" spans="1:8">
      <c r="A168" s="5" t="s">
        <v>1149</v>
      </c>
      <c r="B168" s="10"/>
      <c r="C168" s="10"/>
      <c r="D168" s="35">
        <v>-4.3764124000000004</v>
      </c>
      <c r="E168" s="5" t="s">
        <v>1147</v>
      </c>
      <c r="F168" s="5" t="s">
        <v>627</v>
      </c>
      <c r="G168" s="5" t="s">
        <v>1150</v>
      </c>
    </row>
    <row r="169" spans="1:8">
      <c r="A169" s="5" t="s">
        <v>1151</v>
      </c>
      <c r="B169" s="10"/>
      <c r="C169" s="10"/>
      <c r="D169" s="10">
        <v>-2.8510737000000002</v>
      </c>
      <c r="E169" s="5" t="s">
        <v>1147</v>
      </c>
      <c r="F169" s="5" t="s">
        <v>873</v>
      </c>
      <c r="G169" s="5" t="s">
        <v>1152</v>
      </c>
    </row>
    <row r="170" spans="1:8">
      <c r="A170" s="5" t="s">
        <v>1153</v>
      </c>
      <c r="B170" s="10">
        <v>-2.0346959999999998</v>
      </c>
      <c r="C170" s="10">
        <v>-3.1606855</v>
      </c>
      <c r="D170" s="10">
        <v>-3.8481507000000001</v>
      </c>
      <c r="E170" s="5" t="s">
        <v>1147</v>
      </c>
      <c r="F170" s="5" t="s">
        <v>873</v>
      </c>
      <c r="G170" s="5" t="s">
        <v>1154</v>
      </c>
    </row>
    <row r="171" spans="1:8">
      <c r="A171" s="5" t="s">
        <v>1155</v>
      </c>
      <c r="B171" s="10"/>
      <c r="C171" s="10"/>
      <c r="D171" s="10">
        <v>-2.5942091999999999</v>
      </c>
      <c r="E171" s="5" t="s">
        <v>1147</v>
      </c>
      <c r="F171" s="5" t="s">
        <v>627</v>
      </c>
      <c r="G171" s="5" t="s">
        <v>1156</v>
      </c>
      <c r="H171" s="5" t="s">
        <v>1157</v>
      </c>
    </row>
    <row r="172" spans="1:8">
      <c r="A172" s="5" t="s">
        <v>1158</v>
      </c>
      <c r="B172" s="10"/>
      <c r="C172" s="10"/>
      <c r="D172" s="10">
        <v>-3.4910874000000001</v>
      </c>
      <c r="E172" s="5" t="s">
        <v>1147</v>
      </c>
      <c r="F172" s="5" t="s">
        <v>873</v>
      </c>
      <c r="G172" s="5" t="s">
        <v>1159</v>
      </c>
    </row>
    <row r="173" spans="1:8">
      <c r="A173" s="5" t="s">
        <v>1160</v>
      </c>
      <c r="B173" s="10"/>
      <c r="C173" s="10">
        <v>-2.679789</v>
      </c>
      <c r="D173" s="10">
        <v>-2.2549747999999998</v>
      </c>
      <c r="E173" s="5" t="s">
        <v>1147</v>
      </c>
      <c r="F173" s="5" t="s">
        <v>873</v>
      </c>
      <c r="G173" s="5" t="s">
        <v>1161</v>
      </c>
    </row>
    <row r="174" spans="1:8">
      <c r="A174" s="5" t="s">
        <v>1162</v>
      </c>
      <c r="B174" s="35">
        <v>-4.9078350000000004</v>
      </c>
      <c r="C174" s="36">
        <v>-5.7239760000000004</v>
      </c>
      <c r="D174" s="10">
        <v>-6.1646609999999997</v>
      </c>
      <c r="E174" s="5" t="s">
        <v>1163</v>
      </c>
      <c r="F174" s="5" t="s">
        <v>1164</v>
      </c>
      <c r="G174" s="5" t="s">
        <v>1165</v>
      </c>
    </row>
    <row r="175" spans="1:8">
      <c r="A175" s="5" t="s">
        <v>1166</v>
      </c>
      <c r="B175" s="10"/>
      <c r="C175" s="10"/>
      <c r="D175" s="10">
        <v>-2.0391154</v>
      </c>
      <c r="E175" s="5" t="s">
        <v>1167</v>
      </c>
    </row>
    <row r="176" spans="1:8">
      <c r="A176" s="5" t="s">
        <v>1168</v>
      </c>
      <c r="B176" s="36">
        <v>-5.4354620000000002</v>
      </c>
      <c r="C176" s="38">
        <v>-6.5984850000000002</v>
      </c>
      <c r="D176" s="35">
        <v>-4.0098010000000004</v>
      </c>
      <c r="E176" s="5" t="s">
        <v>1169</v>
      </c>
      <c r="F176" s="5" t="s">
        <v>655</v>
      </c>
      <c r="G176" s="5" t="s">
        <v>1170</v>
      </c>
    </row>
    <row r="177" spans="1:8">
      <c r="A177" s="5" t="s">
        <v>1171</v>
      </c>
      <c r="B177" s="35">
        <v>-4.1745042999999997</v>
      </c>
      <c r="C177" s="35">
        <v>-4.4939631999999996</v>
      </c>
      <c r="D177" s="10"/>
      <c r="E177" s="5" t="s">
        <v>1169</v>
      </c>
      <c r="F177" s="5" t="s">
        <v>655</v>
      </c>
      <c r="G177" s="5" t="s">
        <v>1170</v>
      </c>
    </row>
    <row r="178" spans="1:8">
      <c r="A178" s="5" t="s">
        <v>1172</v>
      </c>
      <c r="B178" s="10"/>
      <c r="C178" s="10">
        <v>-2.3872675999999999</v>
      </c>
      <c r="D178" s="10">
        <v>-2.4584741999999999</v>
      </c>
      <c r="E178" s="5" t="s">
        <v>1173</v>
      </c>
      <c r="F178" s="5" t="s">
        <v>655</v>
      </c>
      <c r="G178" s="5" t="s">
        <v>1174</v>
      </c>
      <c r="H178" s="5" t="s">
        <v>1175</v>
      </c>
    </row>
    <row r="179" spans="1:8">
      <c r="A179" s="5" t="s">
        <v>1176</v>
      </c>
      <c r="B179" s="10"/>
      <c r="C179" s="10"/>
      <c r="D179" s="10">
        <v>-3.2085957999999999</v>
      </c>
      <c r="E179" s="5" t="s">
        <v>1177</v>
      </c>
      <c r="F179" s="5" t="s">
        <v>1178</v>
      </c>
      <c r="G179" s="5" t="s">
        <v>1179</v>
      </c>
    </row>
    <row r="180" spans="1:8">
      <c r="A180" s="5" t="s">
        <v>1180</v>
      </c>
      <c r="B180" s="10"/>
      <c r="C180" s="10"/>
      <c r="D180" s="10">
        <v>-2.7816472000000001</v>
      </c>
      <c r="E180" s="5" t="s">
        <v>1181</v>
      </c>
      <c r="F180" s="5" t="s">
        <v>655</v>
      </c>
      <c r="G180" s="5" t="s">
        <v>1182</v>
      </c>
    </row>
    <row r="181" spans="1:8">
      <c r="A181" s="5" t="s">
        <v>1183</v>
      </c>
      <c r="B181" s="10"/>
      <c r="C181" s="10"/>
      <c r="D181" s="10">
        <v>-2.1795464</v>
      </c>
      <c r="E181" s="5" t="s">
        <v>1184</v>
      </c>
      <c r="F181" s="5" t="s">
        <v>1185</v>
      </c>
      <c r="G181" s="5" t="s">
        <v>1186</v>
      </c>
    </row>
    <row r="182" spans="1:8">
      <c r="A182" s="5" t="s">
        <v>541</v>
      </c>
      <c r="B182" s="35">
        <v>-4.4304456999999999</v>
      </c>
      <c r="C182" s="35">
        <v>-4.0965775999999998</v>
      </c>
      <c r="D182" s="36">
        <v>-5.2071877000000004</v>
      </c>
      <c r="E182" s="5" t="s">
        <v>1184</v>
      </c>
      <c r="F182" s="5" t="s">
        <v>1185</v>
      </c>
      <c r="G182" s="5" t="s">
        <v>1186</v>
      </c>
    </row>
    <row r="183" spans="1:8">
      <c r="A183" s="5" t="s">
        <v>1187</v>
      </c>
      <c r="B183" s="10"/>
      <c r="C183" s="10"/>
      <c r="D183" s="10"/>
      <c r="E183" s="5" t="s">
        <v>1184</v>
      </c>
      <c r="F183" s="5" t="s">
        <v>1185</v>
      </c>
      <c r="G183" s="5" t="s">
        <v>1186</v>
      </c>
    </row>
    <row r="184" spans="1:8">
      <c r="A184" s="5" t="s">
        <v>1188</v>
      </c>
      <c r="B184" s="10"/>
      <c r="C184" s="10"/>
      <c r="D184" s="10"/>
      <c r="E184" s="5" t="s">
        <v>1184</v>
      </c>
      <c r="F184" s="5" t="s">
        <v>1185</v>
      </c>
      <c r="G184" s="5" t="s">
        <v>1186</v>
      </c>
    </row>
    <row r="185" spans="1:8">
      <c r="A185" s="5" t="s">
        <v>1189</v>
      </c>
      <c r="B185" s="10">
        <v>-2.5623716999999999</v>
      </c>
      <c r="C185" s="10">
        <v>-3.2943435000000001</v>
      </c>
      <c r="D185" s="10">
        <v>-3.3013682000000002</v>
      </c>
      <c r="E185" s="5" t="s">
        <v>1184</v>
      </c>
      <c r="F185" s="5" t="s">
        <v>1185</v>
      </c>
      <c r="G185" s="5" t="s">
        <v>1186</v>
      </c>
    </row>
    <row r="186" spans="1:8">
      <c r="A186" s="5" t="s">
        <v>1190</v>
      </c>
      <c r="B186" s="10"/>
      <c r="C186" s="10"/>
      <c r="D186" s="10"/>
      <c r="E186" s="5" t="s">
        <v>1184</v>
      </c>
      <c r="F186" s="5" t="s">
        <v>1185</v>
      </c>
      <c r="G186" s="5" t="s">
        <v>1186</v>
      </c>
    </row>
    <row r="187" spans="1:8">
      <c r="A187" s="5" t="s">
        <v>1191</v>
      </c>
      <c r="B187" s="10"/>
      <c r="C187" s="10"/>
      <c r="D187" s="10"/>
      <c r="E187" s="5" t="s">
        <v>1184</v>
      </c>
      <c r="F187" s="5" t="s">
        <v>1185</v>
      </c>
      <c r="G187" s="5" t="s">
        <v>1186</v>
      </c>
    </row>
    <row r="188" spans="1:8">
      <c r="A188" s="5" t="s">
        <v>1192</v>
      </c>
      <c r="B188" s="10"/>
      <c r="C188" s="10"/>
      <c r="D188" s="10"/>
      <c r="E188" s="5" t="s">
        <v>1184</v>
      </c>
      <c r="F188" s="5" t="s">
        <v>1185</v>
      </c>
      <c r="G188" s="5" t="s">
        <v>1186</v>
      </c>
    </row>
    <row r="189" spans="1:8">
      <c r="A189" s="5" t="s">
        <v>1193</v>
      </c>
      <c r="B189" s="10"/>
      <c r="C189" s="10"/>
      <c r="D189" s="10"/>
      <c r="E189" s="5" t="s">
        <v>1184</v>
      </c>
      <c r="F189" s="5" t="s">
        <v>1185</v>
      </c>
      <c r="G189" s="5" t="s">
        <v>1186</v>
      </c>
    </row>
    <row r="190" spans="1:8">
      <c r="A190" s="5" t="s">
        <v>1194</v>
      </c>
      <c r="B190" s="10">
        <v>-2.5674486000000001</v>
      </c>
      <c r="C190" s="10">
        <v>-3.3197421999999999</v>
      </c>
      <c r="D190" s="10"/>
      <c r="E190" s="5" t="s">
        <v>1184</v>
      </c>
      <c r="F190" s="5" t="s">
        <v>1185</v>
      </c>
      <c r="G190" s="5" t="s">
        <v>1186</v>
      </c>
    </row>
    <row r="191" spans="1:8">
      <c r="A191" s="5" t="s">
        <v>1195</v>
      </c>
      <c r="B191" s="10"/>
      <c r="C191" s="10">
        <v>-2.8553405000000001</v>
      </c>
      <c r="D191" s="10">
        <v>-2.1008306000000001</v>
      </c>
      <c r="E191" s="5" t="s">
        <v>1196</v>
      </c>
    </row>
    <row r="192" spans="1:8">
      <c r="A192" s="5" t="s">
        <v>1197</v>
      </c>
      <c r="B192" s="10"/>
      <c r="C192" s="10"/>
      <c r="D192" s="10">
        <v>-2.0025271999999998</v>
      </c>
      <c r="E192" s="5" t="s">
        <v>1200</v>
      </c>
      <c r="F192" s="5" t="s">
        <v>591</v>
      </c>
      <c r="G192" s="5" t="s">
        <v>1201</v>
      </c>
    </row>
    <row r="193" spans="1:7">
      <c r="A193" s="5" t="s">
        <v>1202</v>
      </c>
      <c r="B193" s="10"/>
      <c r="C193" s="10"/>
      <c r="D193" s="10">
        <v>-2.8311809999999999</v>
      </c>
      <c r="E193" s="5" t="s">
        <v>1203</v>
      </c>
      <c r="F193" s="5" t="s">
        <v>621</v>
      </c>
      <c r="G193" s="5" t="s">
        <v>1204</v>
      </c>
    </row>
    <row r="194" spans="1:7">
      <c r="A194" s="5" t="s">
        <v>1205</v>
      </c>
      <c r="B194" s="10"/>
      <c r="C194" s="10"/>
      <c r="D194" s="10">
        <v>-2.0377377999999999</v>
      </c>
      <c r="E194" s="5" t="s">
        <v>1206</v>
      </c>
      <c r="F194" s="5" t="s">
        <v>869</v>
      </c>
      <c r="G194" s="5" t="s">
        <v>1207</v>
      </c>
    </row>
    <row r="195" spans="1:7">
      <c r="A195" s="5" t="s">
        <v>1217</v>
      </c>
      <c r="B195" s="10"/>
      <c r="C195" s="10"/>
      <c r="D195" s="10">
        <v>-2.9746766</v>
      </c>
      <c r="E195" s="5" t="s">
        <v>1218</v>
      </c>
      <c r="F195" s="5" t="s">
        <v>1219</v>
      </c>
      <c r="G195" s="5" t="s">
        <v>1220</v>
      </c>
    </row>
    <row r="196" spans="1:7" s="24" customFormat="1">
      <c r="A196" s="24" t="s">
        <v>1221</v>
      </c>
      <c r="B196" s="33"/>
      <c r="C196" s="33"/>
      <c r="D196" s="33">
        <v>-2.3917250000000001</v>
      </c>
      <c r="E196" s="24" t="s">
        <v>1222</v>
      </c>
      <c r="F196" s="24" t="s">
        <v>751</v>
      </c>
      <c r="G196" s="24" t="s">
        <v>1223</v>
      </c>
    </row>
    <row r="197" spans="1:7" s="24" customFormat="1">
      <c r="A197" s="24" t="s">
        <v>1224</v>
      </c>
      <c r="B197" s="33"/>
      <c r="C197" s="33"/>
      <c r="D197" s="35">
        <v>-4.6515117000000004</v>
      </c>
      <c r="E197" s="24" t="s">
        <v>1222</v>
      </c>
      <c r="F197" s="24" t="s">
        <v>1225</v>
      </c>
      <c r="G197" s="24" t="s">
        <v>1226</v>
      </c>
    </row>
    <row r="198" spans="1:7" s="24" customFormat="1">
      <c r="A198" s="24" t="s">
        <v>1227</v>
      </c>
      <c r="B198" s="33"/>
      <c r="C198" s="33">
        <v>-2.6059855999999999</v>
      </c>
      <c r="D198" s="35">
        <v>-4.0988319999999998</v>
      </c>
      <c r="E198" s="24" t="s">
        <v>1222</v>
      </c>
      <c r="F198" s="24" t="s">
        <v>1225</v>
      </c>
      <c r="G198" s="24" t="s">
        <v>1228</v>
      </c>
    </row>
    <row r="199" spans="1:7" s="24" customFormat="1">
      <c r="A199" s="24" t="s">
        <v>1229</v>
      </c>
      <c r="B199" s="33"/>
      <c r="C199" s="33"/>
      <c r="D199" s="36">
        <v>-5.8523053999999997</v>
      </c>
      <c r="E199" s="24" t="s">
        <v>1222</v>
      </c>
      <c r="F199" s="24" t="s">
        <v>1225</v>
      </c>
      <c r="G199" s="24" t="s">
        <v>1226</v>
      </c>
    </row>
    <row r="200" spans="1:7" s="24" customFormat="1">
      <c r="A200" s="24" t="s">
        <v>1230</v>
      </c>
      <c r="B200" s="33"/>
      <c r="C200" s="33"/>
      <c r="D200" s="33">
        <v>-2.1292119999999999</v>
      </c>
      <c r="E200" s="24" t="s">
        <v>1222</v>
      </c>
      <c r="F200" s="24" t="s">
        <v>751</v>
      </c>
      <c r="G200" s="24" t="s">
        <v>1231</v>
      </c>
    </row>
    <row r="201" spans="1:7" s="24" customFormat="1">
      <c r="A201" s="24" t="s">
        <v>1232</v>
      </c>
      <c r="B201" s="33"/>
      <c r="C201" s="33"/>
      <c r="D201" s="33">
        <v>-2.3561580000000002</v>
      </c>
      <c r="E201" s="24" t="s">
        <v>1233</v>
      </c>
    </row>
    <row r="202" spans="1:7" s="24" customFormat="1">
      <c r="A202" s="24" t="s">
        <v>1234</v>
      </c>
      <c r="B202" s="33">
        <v>-3.2242991999999999</v>
      </c>
      <c r="C202" s="33">
        <v>-3.4591148</v>
      </c>
      <c r="D202" s="33">
        <v>-3.8600775999999999</v>
      </c>
      <c r="E202" s="24" t="s">
        <v>1233</v>
      </c>
    </row>
    <row r="203" spans="1:7" s="24" customFormat="1">
      <c r="A203" s="24" t="s">
        <v>1237</v>
      </c>
      <c r="B203" s="33"/>
      <c r="C203" s="33"/>
      <c r="D203" s="33">
        <v>-2.4493592</v>
      </c>
      <c r="E203" s="24" t="s">
        <v>1238</v>
      </c>
      <c r="F203" s="24" t="s">
        <v>1239</v>
      </c>
      <c r="G203" s="24" t="s">
        <v>1240</v>
      </c>
    </row>
    <row r="204" spans="1:7" s="24" customFormat="1">
      <c r="A204" s="24" t="s">
        <v>1242</v>
      </c>
      <c r="B204" s="33"/>
      <c r="C204" s="33">
        <v>-2.6446602000000001</v>
      </c>
      <c r="D204" s="33"/>
      <c r="E204" s="24" t="s">
        <v>1238</v>
      </c>
      <c r="F204" s="24" t="s">
        <v>1239</v>
      </c>
      <c r="G204" s="24" t="s">
        <v>1240</v>
      </c>
    </row>
    <row r="205" spans="1:7" s="24" customFormat="1">
      <c r="A205" s="24" t="s">
        <v>1243</v>
      </c>
      <c r="B205" s="33"/>
      <c r="C205" s="33"/>
      <c r="D205" s="33">
        <v>-2.4737803999999999</v>
      </c>
      <c r="E205" s="24" t="s">
        <v>1244</v>
      </c>
      <c r="F205" s="24" t="s">
        <v>1239</v>
      </c>
      <c r="G205" s="24" t="s">
        <v>1240</v>
      </c>
    </row>
    <row r="206" spans="1:7" s="24" customFormat="1">
      <c r="A206" s="24" t="s">
        <v>1245</v>
      </c>
      <c r="B206" s="33"/>
      <c r="C206" s="33"/>
      <c r="D206" s="33">
        <v>-2.5767622000000001</v>
      </c>
      <c r="E206" s="24" t="s">
        <v>1246</v>
      </c>
      <c r="G206" s="24" t="s">
        <v>1247</v>
      </c>
    </row>
    <row r="207" spans="1:7" s="24" customFormat="1">
      <c r="A207" s="24" t="s">
        <v>1248</v>
      </c>
      <c r="B207" s="33"/>
      <c r="C207" s="33">
        <v>-3.3353448000000001</v>
      </c>
      <c r="D207" s="33"/>
      <c r="E207" s="24" t="s">
        <v>1246</v>
      </c>
      <c r="G207" s="24" t="s">
        <v>1247</v>
      </c>
    </row>
    <row r="208" spans="1:7" s="24" customFormat="1">
      <c r="A208" s="24" t="s">
        <v>1249</v>
      </c>
      <c r="B208" s="33">
        <v>-3.0358567000000001</v>
      </c>
      <c r="C208" s="33">
        <v>-3.4994044</v>
      </c>
      <c r="D208" s="33"/>
      <c r="E208" s="24" t="s">
        <v>1246</v>
      </c>
      <c r="F208" s="24" t="s">
        <v>1239</v>
      </c>
      <c r="G208" s="24" t="s">
        <v>1247</v>
      </c>
    </row>
    <row r="209" spans="1:7" s="24" customFormat="1">
      <c r="A209" s="24" t="s">
        <v>1250</v>
      </c>
      <c r="B209" s="33">
        <v>-2.3265745999999998</v>
      </c>
      <c r="C209" s="33">
        <v>-2.6599075999999999</v>
      </c>
      <c r="D209" s="33"/>
      <c r="E209" s="24" t="s">
        <v>1251</v>
      </c>
      <c r="F209" s="24" t="s">
        <v>1239</v>
      </c>
      <c r="G209" s="24" t="s">
        <v>1252</v>
      </c>
    </row>
    <row r="210" spans="1:7" s="24" customFormat="1">
      <c r="A210" s="24" t="s">
        <v>1253</v>
      </c>
      <c r="B210" s="33"/>
      <c r="C210" s="33"/>
      <c r="D210" s="33">
        <v>-3.4285846000000002</v>
      </c>
      <c r="E210" s="24" t="s">
        <v>1251</v>
      </c>
      <c r="F210" s="24" t="s">
        <v>1239</v>
      </c>
      <c r="G210" s="24" t="s">
        <v>1252</v>
      </c>
    </row>
    <row r="211" spans="1:7" s="24" customFormat="1">
      <c r="A211" s="24" t="s">
        <v>1254</v>
      </c>
      <c r="B211" s="33"/>
      <c r="C211" s="33"/>
      <c r="D211" s="33">
        <v>-2.0951743</v>
      </c>
      <c r="E211" s="24" t="s">
        <v>1251</v>
      </c>
      <c r="F211" s="24" t="s">
        <v>1239</v>
      </c>
      <c r="G211" s="24" t="s">
        <v>1252</v>
      </c>
    </row>
    <row r="212" spans="1:7" s="24" customFormat="1">
      <c r="A212" s="24" t="s">
        <v>1259</v>
      </c>
      <c r="B212" s="33"/>
      <c r="C212" s="33">
        <v>-2.605585</v>
      </c>
      <c r="D212" s="33">
        <v>-2.2503128000000001</v>
      </c>
      <c r="E212" s="24" t="s">
        <v>1256</v>
      </c>
      <c r="F212" s="24" t="s">
        <v>1257</v>
      </c>
      <c r="G212" s="24" t="s">
        <v>1258</v>
      </c>
    </row>
    <row r="213" spans="1:7" s="24" customFormat="1">
      <c r="A213" s="24" t="s">
        <v>1260</v>
      </c>
      <c r="B213" s="33"/>
      <c r="C213" s="33"/>
      <c r="D213" s="33">
        <v>-2.6195908000000001</v>
      </c>
      <c r="E213" s="24" t="s">
        <v>1256</v>
      </c>
      <c r="F213" s="24" t="s">
        <v>1257</v>
      </c>
      <c r="G213" s="24" t="s">
        <v>1258</v>
      </c>
    </row>
    <row r="214" spans="1:7" s="24" customFormat="1">
      <c r="A214" s="24" t="s">
        <v>1261</v>
      </c>
      <c r="B214" s="33"/>
      <c r="C214" s="33"/>
      <c r="D214" s="33">
        <v>-2.1023692999999999</v>
      </c>
      <c r="E214" s="24" t="s">
        <v>1256</v>
      </c>
      <c r="F214" s="24" t="s">
        <v>1257</v>
      </c>
      <c r="G214" s="24" t="s">
        <v>1258</v>
      </c>
    </row>
    <row r="215" spans="1:7" s="24" customFormat="1">
      <c r="A215" s="24" t="s">
        <v>1262</v>
      </c>
      <c r="B215" s="33"/>
      <c r="C215" s="33"/>
      <c r="D215" s="33">
        <v>-2.0977926</v>
      </c>
      <c r="E215" s="24" t="s">
        <v>1256</v>
      </c>
      <c r="F215" s="24" t="s">
        <v>1257</v>
      </c>
      <c r="G215" s="24" t="s">
        <v>1258</v>
      </c>
    </row>
    <row r="216" spans="1:7" s="24" customFormat="1">
      <c r="A216" s="24" t="s">
        <v>1263</v>
      </c>
      <c r="B216" s="33"/>
      <c r="C216" s="33"/>
      <c r="D216" s="33">
        <v>-3.0363183</v>
      </c>
      <c r="E216" s="24" t="s">
        <v>1256</v>
      </c>
      <c r="F216" s="24" t="s">
        <v>1264</v>
      </c>
      <c r="G216" s="24" t="s">
        <v>1247</v>
      </c>
    </row>
    <row r="217" spans="1:7" s="24" customFormat="1">
      <c r="A217" s="24" t="s">
        <v>1265</v>
      </c>
      <c r="B217" s="33"/>
      <c r="C217" s="33"/>
      <c r="D217" s="33">
        <v>-3.0489739999999999</v>
      </c>
      <c r="E217" s="24" t="s">
        <v>1256</v>
      </c>
      <c r="F217" s="24" t="s">
        <v>1264</v>
      </c>
      <c r="G217" s="24" t="s">
        <v>1247</v>
      </c>
    </row>
    <row r="218" spans="1:7" s="24" customFormat="1">
      <c r="A218" s="24" t="s">
        <v>1266</v>
      </c>
      <c r="B218" s="33"/>
      <c r="C218" s="33"/>
      <c r="D218" s="33">
        <v>-2.4497867000000002</v>
      </c>
      <c r="E218" s="24" t="s">
        <v>1256</v>
      </c>
      <c r="F218" s="24" t="s">
        <v>1257</v>
      </c>
      <c r="G218" s="24" t="s">
        <v>1258</v>
      </c>
    </row>
    <row r="219" spans="1:7" s="24" customFormat="1">
      <c r="A219" s="24" t="s">
        <v>1267</v>
      </c>
      <c r="B219" s="33"/>
      <c r="C219" s="33"/>
      <c r="D219" s="33">
        <v>-2.2732382000000002</v>
      </c>
      <c r="E219" s="24" t="s">
        <v>1256</v>
      </c>
      <c r="F219" s="24" t="s">
        <v>1257</v>
      </c>
      <c r="G219" s="24" t="s">
        <v>1258</v>
      </c>
    </row>
    <row r="220" spans="1:7" s="24" customFormat="1">
      <c r="A220" s="24" t="s">
        <v>1268</v>
      </c>
      <c r="B220" s="33"/>
      <c r="C220" s="33"/>
      <c r="D220" s="33">
        <v>-2.689673</v>
      </c>
      <c r="E220" s="24" t="s">
        <v>1256</v>
      </c>
      <c r="F220" s="24" t="s">
        <v>1257</v>
      </c>
      <c r="G220" s="24" t="s">
        <v>1258</v>
      </c>
    </row>
    <row r="221" spans="1:7" s="24" customFormat="1">
      <c r="A221" s="24" t="s">
        <v>1269</v>
      </c>
      <c r="B221" s="33"/>
      <c r="C221" s="33"/>
      <c r="D221" s="33">
        <v>-2.8196734999999999</v>
      </c>
      <c r="E221" s="24" t="s">
        <v>1256</v>
      </c>
      <c r="F221" s="24" t="s">
        <v>1257</v>
      </c>
      <c r="G221" s="24" t="s">
        <v>1258</v>
      </c>
    </row>
    <row r="222" spans="1:7" s="24" customFormat="1">
      <c r="A222" s="24" t="s">
        <v>1270</v>
      </c>
      <c r="B222" s="33">
        <v>-2.3414378</v>
      </c>
      <c r="C222" s="33">
        <v>-2.8026233</v>
      </c>
      <c r="D222" s="33"/>
      <c r="E222" s="24" t="s">
        <v>1256</v>
      </c>
      <c r="F222" s="24" t="s">
        <v>1257</v>
      </c>
      <c r="G222" s="24" t="s">
        <v>1258</v>
      </c>
    </row>
    <row r="223" spans="1:7" s="24" customFormat="1">
      <c r="A223" s="24" t="s">
        <v>1273</v>
      </c>
      <c r="B223" s="33"/>
      <c r="C223" s="33"/>
      <c r="D223" s="33">
        <v>-2.3676772000000001</v>
      </c>
      <c r="E223" s="24" t="s">
        <v>1256</v>
      </c>
      <c r="F223" s="24" t="s">
        <v>1257</v>
      </c>
      <c r="G223" s="24" t="s">
        <v>1258</v>
      </c>
    </row>
    <row r="224" spans="1:7" s="24" customFormat="1">
      <c r="A224" s="24" t="s">
        <v>1274</v>
      </c>
      <c r="B224" s="33"/>
      <c r="C224" s="33">
        <v>-2.0306787000000002</v>
      </c>
      <c r="D224" s="33"/>
      <c r="E224" s="24" t="s">
        <v>1256</v>
      </c>
      <c r="F224" s="24" t="s">
        <v>1257</v>
      </c>
      <c r="G224" s="24" t="s">
        <v>1258</v>
      </c>
    </row>
    <row r="225" spans="1:7" s="24" customFormat="1">
      <c r="A225" s="24" t="s">
        <v>1275</v>
      </c>
      <c r="B225" s="33"/>
      <c r="C225" s="33"/>
      <c r="D225" s="33">
        <v>-2.134954</v>
      </c>
      <c r="E225" s="24" t="s">
        <v>1256</v>
      </c>
      <c r="F225" s="24" t="s">
        <v>1257</v>
      </c>
      <c r="G225" s="24" t="s">
        <v>1258</v>
      </c>
    </row>
    <row r="226" spans="1:7" s="24" customFormat="1">
      <c r="A226" s="24" t="s">
        <v>1276</v>
      </c>
      <c r="B226" s="33"/>
      <c r="C226" s="33"/>
      <c r="D226" s="33">
        <v>-4.4664859999999997</v>
      </c>
      <c r="E226" s="24" t="s">
        <v>1256</v>
      </c>
      <c r="F226" s="24" t="s">
        <v>1257</v>
      </c>
      <c r="G226" s="24" t="s">
        <v>1258</v>
      </c>
    </row>
    <row r="227" spans="1:7" s="24" customFormat="1">
      <c r="A227" s="24" t="s">
        <v>1277</v>
      </c>
      <c r="B227" s="33"/>
      <c r="C227" s="33"/>
      <c r="D227" s="33">
        <v>-2.1095586000000002</v>
      </c>
      <c r="E227" s="24" t="s">
        <v>1256</v>
      </c>
      <c r="F227" s="24" t="s">
        <v>1257</v>
      </c>
      <c r="G227" s="24" t="s">
        <v>1258</v>
      </c>
    </row>
    <row r="228" spans="1:7" s="24" customFormat="1">
      <c r="A228" s="24" t="s">
        <v>1279</v>
      </c>
      <c r="B228" s="33"/>
      <c r="C228" s="33"/>
      <c r="D228" s="33">
        <v>-2.4119459999999999</v>
      </c>
      <c r="E228" s="24" t="s">
        <v>1256</v>
      </c>
      <c r="F228" s="24" t="s">
        <v>1257</v>
      </c>
      <c r="G228" s="24" t="s">
        <v>1258</v>
      </c>
    </row>
    <row r="229" spans="1:7" s="24" customFormat="1">
      <c r="A229" s="24" t="s">
        <v>1281</v>
      </c>
      <c r="B229" s="33"/>
      <c r="C229" s="33"/>
      <c r="D229" s="33">
        <v>-2.1620898</v>
      </c>
      <c r="E229" s="24" t="s">
        <v>1256</v>
      </c>
      <c r="F229" s="24" t="s">
        <v>1264</v>
      </c>
    </row>
    <row r="230" spans="1:7" s="24" customFormat="1">
      <c r="A230" s="24" t="s">
        <v>1282</v>
      </c>
      <c r="B230" s="33"/>
      <c r="C230" s="33"/>
      <c r="D230" s="38">
        <v>-6.2922453999999997</v>
      </c>
      <c r="E230" s="24" t="s">
        <v>1256</v>
      </c>
      <c r="F230" s="24" t="s">
        <v>1257</v>
      </c>
      <c r="G230" s="24" t="s">
        <v>1258</v>
      </c>
    </row>
    <row r="231" spans="1:7" s="24" customFormat="1">
      <c r="A231" s="24" t="s">
        <v>1283</v>
      </c>
      <c r="B231" s="33"/>
      <c r="C231" s="33"/>
      <c r="D231" s="33">
        <v>-2.3419712000000001</v>
      </c>
      <c r="E231" s="24" t="s">
        <v>1256</v>
      </c>
      <c r="F231" s="24" t="s">
        <v>1257</v>
      </c>
      <c r="G231" s="24" t="s">
        <v>1258</v>
      </c>
    </row>
    <row r="232" spans="1:7" s="24" customFormat="1">
      <c r="A232" s="24" t="s">
        <v>1284</v>
      </c>
      <c r="B232" s="33"/>
      <c r="C232" s="33"/>
      <c r="D232" s="33">
        <v>-2.0524209999999998</v>
      </c>
      <c r="E232" s="24" t="s">
        <v>1256</v>
      </c>
      <c r="F232" s="24" t="s">
        <v>1257</v>
      </c>
      <c r="G232" s="24" t="s">
        <v>1258</v>
      </c>
    </row>
    <row r="233" spans="1:7" s="24" customFormat="1">
      <c r="A233" s="24" t="s">
        <v>1285</v>
      </c>
      <c r="B233" s="33"/>
      <c r="C233" s="33">
        <v>-2.4330888000000002</v>
      </c>
      <c r="D233" s="33"/>
      <c r="E233" s="24" t="s">
        <v>1256</v>
      </c>
      <c r="F233" s="24" t="s">
        <v>1257</v>
      </c>
      <c r="G233" s="24" t="s">
        <v>1258</v>
      </c>
    </row>
    <row r="234" spans="1:7" s="24" customFormat="1">
      <c r="A234" s="24" t="s">
        <v>1286</v>
      </c>
      <c r="B234" s="33"/>
      <c r="C234" s="33"/>
      <c r="D234" s="33">
        <v>-2.1203865999999998</v>
      </c>
      <c r="E234" s="24" t="s">
        <v>1256</v>
      </c>
      <c r="F234" s="24" t="s">
        <v>1257</v>
      </c>
      <c r="G234" s="24" t="s">
        <v>1258</v>
      </c>
    </row>
    <row r="235" spans="1:7">
      <c r="A235" s="5" t="s">
        <v>1287</v>
      </c>
      <c r="B235" s="10"/>
      <c r="C235" s="10"/>
      <c r="D235" s="10">
        <v>-2.0002958999999998</v>
      </c>
      <c r="E235" s="5" t="s">
        <v>1288</v>
      </c>
    </row>
    <row r="236" spans="1:7">
      <c r="A236" s="5" t="s">
        <v>1289</v>
      </c>
      <c r="B236" s="10">
        <v>-2.1253939000000002</v>
      </c>
      <c r="C236" s="10">
        <v>-2.1081333</v>
      </c>
      <c r="D236" s="10">
        <v>-2.9050015999999999</v>
      </c>
      <c r="E236" s="5" t="s">
        <v>1290</v>
      </c>
    </row>
    <row r="237" spans="1:7">
      <c r="A237" s="5" t="s">
        <v>1291</v>
      </c>
      <c r="B237" s="10"/>
      <c r="C237" s="10"/>
      <c r="D237" s="10">
        <v>-2.41778</v>
      </c>
      <c r="E237" s="5" t="s">
        <v>1292</v>
      </c>
      <c r="F237" s="5" t="s">
        <v>591</v>
      </c>
      <c r="G237" s="5" t="s">
        <v>1293</v>
      </c>
    </row>
    <row r="238" spans="1:7">
      <c r="A238" s="5" t="s">
        <v>1294</v>
      </c>
      <c r="B238" s="10"/>
      <c r="C238" s="10">
        <v>-2.0043855000000002</v>
      </c>
      <c r="D238" s="10">
        <v>-2.8835092000000002</v>
      </c>
      <c r="E238" s="5" t="s">
        <v>1292</v>
      </c>
      <c r="F238" s="5" t="s">
        <v>591</v>
      </c>
      <c r="G238" s="5" t="s">
        <v>1293</v>
      </c>
    </row>
    <row r="239" spans="1:7">
      <c r="A239" s="5" t="s">
        <v>1295</v>
      </c>
      <c r="B239" s="10"/>
      <c r="C239" s="10"/>
      <c r="D239" s="10">
        <v>-2.5649294999999999</v>
      </c>
      <c r="E239" s="5" t="s">
        <v>1292</v>
      </c>
      <c r="F239" s="5" t="s">
        <v>591</v>
      </c>
      <c r="G239" s="5" t="s">
        <v>1293</v>
      </c>
    </row>
    <row r="240" spans="1:7">
      <c r="A240" s="5" t="s">
        <v>1296</v>
      </c>
      <c r="B240" s="10"/>
      <c r="C240" s="10"/>
      <c r="D240" s="10">
        <v>-2.722763</v>
      </c>
      <c r="E240" s="5" t="s">
        <v>1297</v>
      </c>
      <c r="F240" s="5" t="s">
        <v>1298</v>
      </c>
      <c r="G240" s="5" t="s">
        <v>1299</v>
      </c>
    </row>
    <row r="241" spans="1:7">
      <c r="A241" s="5" t="s">
        <v>1300</v>
      </c>
      <c r="B241" s="10"/>
      <c r="C241" s="10">
        <v>-2.3249496999999999</v>
      </c>
      <c r="D241" s="35">
        <v>-4.5839933999999998</v>
      </c>
      <c r="E241" s="5" t="s">
        <v>1301</v>
      </c>
      <c r="F241" s="5" t="s">
        <v>1302</v>
      </c>
      <c r="G241" s="5" t="s">
        <v>1303</v>
      </c>
    </row>
    <row r="242" spans="1:7">
      <c r="A242" s="5" t="s">
        <v>1311</v>
      </c>
      <c r="B242" s="10"/>
      <c r="C242" s="10"/>
      <c r="D242" s="10">
        <v>-2.3707246999999998</v>
      </c>
      <c r="E242" s="5" t="s">
        <v>1312</v>
      </c>
      <c r="F242" s="5" t="s">
        <v>1313</v>
      </c>
      <c r="G242" s="5" t="s">
        <v>1314</v>
      </c>
    </row>
    <row r="243" spans="1:7">
      <c r="A243" s="5" t="s">
        <v>1315</v>
      </c>
      <c r="B243" s="10"/>
      <c r="C243" s="10"/>
      <c r="D243" s="10">
        <v>-2.67245</v>
      </c>
      <c r="E243" s="5" t="s">
        <v>1312</v>
      </c>
      <c r="F243" s="5" t="s">
        <v>1313</v>
      </c>
      <c r="G243" s="5" t="s">
        <v>1314</v>
      </c>
    </row>
    <row r="244" spans="1:7">
      <c r="A244" s="5" t="s">
        <v>1316</v>
      </c>
      <c r="B244" s="10"/>
      <c r="C244" s="10"/>
      <c r="D244" s="35">
        <v>-4.5162106</v>
      </c>
      <c r="E244" s="5" t="s">
        <v>1317</v>
      </c>
      <c r="F244" s="5" t="s">
        <v>815</v>
      </c>
      <c r="G244" s="5" t="s">
        <v>1318</v>
      </c>
    </row>
    <row r="245" spans="1:7">
      <c r="A245" s="5" t="s">
        <v>544</v>
      </c>
      <c r="B245" s="35">
        <v>-4.6391315000000004</v>
      </c>
      <c r="C245" s="35">
        <v>-4.5544976999999998</v>
      </c>
      <c r="D245" s="36">
        <v>-5.0727662999999996</v>
      </c>
      <c r="E245" s="5" t="s">
        <v>138</v>
      </c>
      <c r="F245" s="5" t="s">
        <v>545</v>
      </c>
      <c r="G245" s="5" t="s">
        <v>546</v>
      </c>
    </row>
    <row r="246" spans="1:7">
      <c r="A246" s="5" t="s">
        <v>1322</v>
      </c>
      <c r="B246" s="10"/>
      <c r="C246" s="10"/>
      <c r="D246" s="10">
        <v>-2.5181304999999998</v>
      </c>
      <c r="E246" s="5" t="s">
        <v>1323</v>
      </c>
      <c r="F246" s="5" t="s">
        <v>655</v>
      </c>
      <c r="G246" s="5" t="s">
        <v>1324</v>
      </c>
    </row>
    <row r="247" spans="1:7">
      <c r="A247" s="5" t="s">
        <v>1325</v>
      </c>
      <c r="B247" s="10"/>
      <c r="C247" s="10"/>
      <c r="D247" s="10">
        <v>-3.9999410000000002</v>
      </c>
      <c r="E247" s="5" t="s">
        <v>1326</v>
      </c>
      <c r="F247" s="5" t="s">
        <v>1327</v>
      </c>
      <c r="G247" s="5" t="s">
        <v>1328</v>
      </c>
    </row>
    <row r="248" spans="1:7">
      <c r="A248" s="5" t="s">
        <v>1329</v>
      </c>
      <c r="B248" s="10"/>
      <c r="C248" s="10"/>
      <c r="D248" s="35">
        <v>-4.2270174000000003</v>
      </c>
      <c r="E248" s="5" t="s">
        <v>1330</v>
      </c>
    </row>
    <row r="249" spans="1:7">
      <c r="A249" s="5" t="s">
        <v>1331</v>
      </c>
      <c r="B249" s="10"/>
      <c r="C249" s="10"/>
      <c r="D249" s="10">
        <v>-3.3412761999999998</v>
      </c>
      <c r="E249" s="5" t="s">
        <v>1330</v>
      </c>
    </row>
    <row r="250" spans="1:7">
      <c r="A250" s="5" t="s">
        <v>1332</v>
      </c>
      <c r="B250" s="10"/>
      <c r="C250" s="10"/>
      <c r="D250" s="10">
        <v>-3.1950721999999998</v>
      </c>
      <c r="E250" s="5" t="s">
        <v>1330</v>
      </c>
    </row>
    <row r="251" spans="1:7">
      <c r="A251" s="5" t="s">
        <v>554</v>
      </c>
      <c r="B251" s="10"/>
      <c r="C251" s="10">
        <v>-2.7922482</v>
      </c>
      <c r="D251" s="10"/>
      <c r="E251" s="5" t="s">
        <v>146</v>
      </c>
      <c r="F251" s="5" t="s">
        <v>555</v>
      </c>
      <c r="G251" s="5" t="s">
        <v>556</v>
      </c>
    </row>
    <row r="252" spans="1:7">
      <c r="A252" s="5" t="s">
        <v>559</v>
      </c>
      <c r="B252" s="10"/>
      <c r="C252" s="10"/>
      <c r="D252" s="10">
        <v>-2.1503363000000002</v>
      </c>
      <c r="E252" s="5" t="s">
        <v>146</v>
      </c>
      <c r="F252" s="5" t="s">
        <v>555</v>
      </c>
      <c r="G252" s="5" t="s">
        <v>560</v>
      </c>
    </row>
    <row r="253" spans="1:7">
      <c r="A253" s="5" t="s">
        <v>575</v>
      </c>
      <c r="B253" s="10">
        <v>-2.5936149999999998</v>
      </c>
      <c r="C253" s="10">
        <v>-2.1378484000000002</v>
      </c>
      <c r="D253" s="10">
        <v>-3.3439945999999998</v>
      </c>
      <c r="E253" s="5" t="s">
        <v>146</v>
      </c>
      <c r="F253" s="5" t="s">
        <v>555</v>
      </c>
      <c r="G253" s="5" t="s">
        <v>556</v>
      </c>
    </row>
    <row r="254" spans="1:7">
      <c r="A254" s="5" t="s">
        <v>1335</v>
      </c>
      <c r="B254" s="10"/>
      <c r="C254" s="10"/>
      <c r="D254" s="10">
        <v>-2.2043675999999999</v>
      </c>
      <c r="E254" s="5" t="s">
        <v>1336</v>
      </c>
      <c r="F254" s="5" t="s">
        <v>1337</v>
      </c>
    </row>
    <row r="255" spans="1:7">
      <c r="A255" s="5" t="s">
        <v>1338</v>
      </c>
      <c r="B255" s="10">
        <v>-3.1636142999999999</v>
      </c>
      <c r="C255" s="10">
        <v>-3.0810213000000002</v>
      </c>
      <c r="D255" s="10"/>
      <c r="E255" s="5" t="s">
        <v>1336</v>
      </c>
      <c r="F255" s="5" t="s">
        <v>1134</v>
      </c>
      <c r="G255" s="5" t="s">
        <v>1339</v>
      </c>
    </row>
    <row r="256" spans="1:7">
      <c r="A256" s="5" t="s">
        <v>1340</v>
      </c>
      <c r="B256" s="10"/>
      <c r="C256" s="10"/>
      <c r="D256" s="10">
        <v>-3.2844709999999999</v>
      </c>
      <c r="E256" s="5" t="s">
        <v>1341</v>
      </c>
      <c r="F256" s="5" t="s">
        <v>1342</v>
      </c>
      <c r="G256" s="5" t="s">
        <v>1343</v>
      </c>
    </row>
    <row r="257" spans="1:7">
      <c r="A257" s="5" t="s">
        <v>1344</v>
      </c>
      <c r="B257" s="10"/>
      <c r="C257" s="10">
        <v>-3.288036</v>
      </c>
      <c r="D257" s="35">
        <v>-4.6976212999999998</v>
      </c>
      <c r="E257" s="5" t="s">
        <v>1341</v>
      </c>
      <c r="F257" s="5" t="s">
        <v>1342</v>
      </c>
      <c r="G257" s="5" t="s">
        <v>1345</v>
      </c>
    </row>
    <row r="258" spans="1:7">
      <c r="A258" s="5" t="s">
        <v>1347</v>
      </c>
      <c r="B258" s="10"/>
      <c r="C258" s="10"/>
      <c r="D258" s="10">
        <v>-2.1663103000000001</v>
      </c>
      <c r="E258" s="5" t="s">
        <v>778</v>
      </c>
      <c r="G258" s="5" t="s">
        <v>777</v>
      </c>
    </row>
    <row r="259" spans="1:7">
      <c r="A259" s="5" t="s">
        <v>1354</v>
      </c>
      <c r="B259" s="10"/>
      <c r="C259" s="10"/>
      <c r="D259" s="10">
        <v>-2.0100756</v>
      </c>
      <c r="E259" s="5" t="s">
        <v>1351</v>
      </c>
      <c r="F259" s="5" t="s">
        <v>1355</v>
      </c>
      <c r="G259" s="5" t="s">
        <v>1356</v>
      </c>
    </row>
    <row r="260" spans="1:7">
      <c r="A260" s="5" t="s">
        <v>1357</v>
      </c>
      <c r="B260" s="10">
        <v>-2.9082623000000001</v>
      </c>
      <c r="C260" s="10">
        <v>-3.8720664999999999</v>
      </c>
      <c r="D260" s="10"/>
      <c r="E260" s="5" t="s">
        <v>1358</v>
      </c>
      <c r="F260" s="5" t="s">
        <v>815</v>
      </c>
      <c r="G260" s="5" t="s">
        <v>1359</v>
      </c>
    </row>
    <row r="261" spans="1:7">
      <c r="A261" s="5" t="s">
        <v>1360</v>
      </c>
      <c r="B261" s="10"/>
      <c r="C261" s="10"/>
      <c r="D261" s="10">
        <v>-2.1751518000000001</v>
      </c>
      <c r="E261" s="5" t="s">
        <v>1358</v>
      </c>
      <c r="F261" s="5" t="s">
        <v>815</v>
      </c>
      <c r="G261" s="5" t="s">
        <v>1361</v>
      </c>
    </row>
    <row r="262" spans="1:7">
      <c r="A262" s="5" t="s">
        <v>1362</v>
      </c>
      <c r="B262" s="10"/>
      <c r="C262" s="10">
        <v>-2.0742962</v>
      </c>
      <c r="D262" s="10">
        <v>-2.4508907999999998</v>
      </c>
      <c r="E262" s="5" t="s">
        <v>1358</v>
      </c>
      <c r="F262" s="5" t="s">
        <v>815</v>
      </c>
      <c r="G262" s="5" t="s">
        <v>1359</v>
      </c>
    </row>
    <row r="263" spans="1:7">
      <c r="A263" s="5" t="s">
        <v>1363</v>
      </c>
      <c r="B263" s="10"/>
      <c r="C263" s="10"/>
      <c r="D263" s="10">
        <v>-2.6049829</v>
      </c>
      <c r="E263" s="5" t="s">
        <v>1358</v>
      </c>
      <c r="F263" s="5" t="s">
        <v>815</v>
      </c>
      <c r="G263" s="5" t="s">
        <v>1361</v>
      </c>
    </row>
    <row r="264" spans="1:7">
      <c r="A264" s="5" t="s">
        <v>1364</v>
      </c>
      <c r="B264" s="10"/>
      <c r="C264" s="10"/>
      <c r="D264" s="10">
        <v>-3.8701498999999999</v>
      </c>
      <c r="E264" s="5" t="s">
        <v>1358</v>
      </c>
      <c r="F264" s="5" t="s">
        <v>815</v>
      </c>
      <c r="G264" s="5" t="s">
        <v>1361</v>
      </c>
    </row>
    <row r="265" spans="1:7">
      <c r="A265" s="5" t="s">
        <v>1365</v>
      </c>
      <c r="B265" s="10"/>
      <c r="C265" s="10">
        <v>-2.2868876</v>
      </c>
      <c r="D265" s="10">
        <v>-2.7112259999999999</v>
      </c>
      <c r="E265" s="5" t="s">
        <v>1358</v>
      </c>
      <c r="F265" s="5" t="s">
        <v>815</v>
      </c>
      <c r="G265" s="5" t="s">
        <v>1366</v>
      </c>
    </row>
    <row r="266" spans="1:7">
      <c r="A266" s="5" t="s">
        <v>1367</v>
      </c>
      <c r="B266" s="10"/>
      <c r="C266" s="10"/>
      <c r="D266" s="10">
        <v>-3.6635860999999998</v>
      </c>
      <c r="E266" s="5" t="s">
        <v>1358</v>
      </c>
      <c r="F266" s="5" t="s">
        <v>815</v>
      </c>
      <c r="G266" s="5" t="s">
        <v>1361</v>
      </c>
    </row>
    <row r="267" spans="1:7">
      <c r="A267" s="5" t="s">
        <v>1370</v>
      </c>
      <c r="B267" s="10"/>
      <c r="C267" s="10"/>
      <c r="D267" s="10">
        <v>-2.2721046999999999</v>
      </c>
      <c r="E267" s="5" t="s">
        <v>1358</v>
      </c>
      <c r="F267" s="5" t="s">
        <v>815</v>
      </c>
      <c r="G267" s="5" t="s">
        <v>1371</v>
      </c>
    </row>
    <row r="268" spans="1:7">
      <c r="A268" s="5" t="s">
        <v>1372</v>
      </c>
      <c r="B268" s="10"/>
      <c r="C268" s="10">
        <v>-2.9266239999999999</v>
      </c>
      <c r="D268" s="10">
        <v>-3.9918119999999999</v>
      </c>
      <c r="E268" s="5" t="s">
        <v>1358</v>
      </c>
      <c r="F268" s="5" t="s">
        <v>815</v>
      </c>
      <c r="G268" s="5" t="s">
        <v>1373</v>
      </c>
    </row>
    <row r="269" spans="1:7">
      <c r="A269" s="5" t="s">
        <v>1374</v>
      </c>
      <c r="B269" s="10"/>
      <c r="C269" s="10"/>
      <c r="D269" s="10">
        <v>-2.0081815999999999</v>
      </c>
      <c r="E269" s="5" t="s">
        <v>1358</v>
      </c>
      <c r="F269" s="5" t="s">
        <v>815</v>
      </c>
      <c r="G269" s="5" t="s">
        <v>1361</v>
      </c>
    </row>
    <row r="270" spans="1:7">
      <c r="A270" s="5" t="s">
        <v>1375</v>
      </c>
      <c r="B270" s="10"/>
      <c r="C270" s="10"/>
      <c r="D270" s="10">
        <v>-2.3687176999999999</v>
      </c>
      <c r="E270" s="5" t="s">
        <v>1358</v>
      </c>
      <c r="F270" s="5" t="s">
        <v>1358</v>
      </c>
      <c r="G270" s="5" t="s">
        <v>1376</v>
      </c>
    </row>
    <row r="271" spans="1:7">
      <c r="A271" s="5" t="s">
        <v>1377</v>
      </c>
      <c r="B271" s="10"/>
      <c r="C271" s="10"/>
      <c r="D271" s="10">
        <v>-2.0246200000000001</v>
      </c>
      <c r="E271" s="5" t="s">
        <v>1358</v>
      </c>
      <c r="F271" s="5" t="s">
        <v>815</v>
      </c>
      <c r="G271" s="5" t="s">
        <v>1361</v>
      </c>
    </row>
    <row r="272" spans="1:7">
      <c r="A272" s="5" t="s">
        <v>1378</v>
      </c>
      <c r="B272" s="10"/>
      <c r="C272" s="10"/>
      <c r="D272" s="10">
        <v>-2.3712783000000002</v>
      </c>
      <c r="E272" s="5" t="s">
        <v>1379</v>
      </c>
    </row>
    <row r="273" spans="1:7">
      <c r="A273" s="5" t="s">
        <v>1384</v>
      </c>
      <c r="B273" s="10"/>
      <c r="C273" s="10"/>
      <c r="D273" s="10">
        <v>-2.013245</v>
      </c>
      <c r="E273" s="5" t="s">
        <v>1385</v>
      </c>
    </row>
    <row r="274" spans="1:7">
      <c r="A274" s="5" t="s">
        <v>1412</v>
      </c>
      <c r="B274" s="10"/>
      <c r="C274" s="10">
        <v>-2.3433446999999998</v>
      </c>
      <c r="E274" s="5" t="s">
        <v>1413</v>
      </c>
      <c r="F274" s="5" t="s">
        <v>604</v>
      </c>
    </row>
    <row r="275" spans="1:7">
      <c r="A275" s="5" t="s">
        <v>5</v>
      </c>
      <c r="B275" s="10"/>
      <c r="C275" s="10"/>
      <c r="D275" s="10">
        <v>-2.5083098000000001</v>
      </c>
      <c r="E275" s="5" t="s">
        <v>6</v>
      </c>
    </row>
    <row r="276" spans="1:7">
      <c r="A276" s="5" t="s">
        <v>7</v>
      </c>
      <c r="B276" s="10"/>
      <c r="C276" s="10"/>
      <c r="D276" s="10">
        <v>-2.1371907999999999</v>
      </c>
      <c r="E276" s="5" t="s">
        <v>6</v>
      </c>
    </row>
    <row r="277" spans="1:7">
      <c r="A277" s="5" t="s">
        <v>8</v>
      </c>
      <c r="B277" s="10"/>
      <c r="C277" s="10"/>
      <c r="D277" s="10">
        <v>-2.0443478000000002</v>
      </c>
      <c r="E277" s="5" t="s">
        <v>9</v>
      </c>
      <c r="F277" s="5" t="s">
        <v>10</v>
      </c>
      <c r="G277" s="5" t="s">
        <v>11</v>
      </c>
    </row>
    <row r="278" spans="1:7">
      <c r="A278" s="5" t="s">
        <v>14</v>
      </c>
      <c r="B278" s="10"/>
      <c r="C278" s="10"/>
      <c r="D278" s="10">
        <v>-2.0960174</v>
      </c>
      <c r="E278" s="5" t="s">
        <v>15</v>
      </c>
    </row>
    <row r="279" spans="1:7">
      <c r="A279" s="5" t="s">
        <v>518</v>
      </c>
      <c r="B279" s="10"/>
      <c r="C279" s="10"/>
      <c r="D279" s="10">
        <v>-2.1915808000000001</v>
      </c>
      <c r="E279" s="5" t="s">
        <v>519</v>
      </c>
    </row>
    <row r="280" spans="1:7">
      <c r="A280" s="5" t="s">
        <v>520</v>
      </c>
      <c r="B280" s="10"/>
      <c r="C280" s="10"/>
      <c r="D280" s="10">
        <v>-2.0012235999999999</v>
      </c>
      <c r="E280" s="5" t="s">
        <v>519</v>
      </c>
    </row>
    <row r="281" spans="1:7">
      <c r="A281" s="5" t="s">
        <v>521</v>
      </c>
      <c r="B281" s="10"/>
      <c r="C281" s="10">
        <v>-2.6068381999999999</v>
      </c>
      <c r="D281" s="10">
        <v>-2.6419009999999998</v>
      </c>
      <c r="E281" s="5" t="s">
        <v>519</v>
      </c>
    </row>
    <row r="282" spans="1:7">
      <c r="A282" s="5" t="s">
        <v>522</v>
      </c>
      <c r="B282" s="10"/>
      <c r="C282" s="10"/>
      <c r="D282" s="10">
        <v>-2.0703014999999998</v>
      </c>
      <c r="E282" s="5" t="s">
        <v>519</v>
      </c>
    </row>
    <row r="283" spans="1:7">
      <c r="A283" s="5" t="s">
        <v>523</v>
      </c>
      <c r="B283" s="10"/>
      <c r="C283" s="10"/>
      <c r="D283" s="35">
        <v>-4.1603764999999999</v>
      </c>
      <c r="E283" s="5" t="s">
        <v>519</v>
      </c>
    </row>
    <row r="284" spans="1:7">
      <c r="A284" s="5" t="s">
        <v>524</v>
      </c>
      <c r="B284" s="10"/>
      <c r="C284" s="10"/>
      <c r="D284" s="10">
        <v>-2.1479368000000001</v>
      </c>
      <c r="E284" s="5" t="s">
        <v>519</v>
      </c>
    </row>
    <row r="285" spans="1:7">
      <c r="A285" s="5" t="s">
        <v>525</v>
      </c>
      <c r="B285" s="10"/>
      <c r="C285" s="10"/>
      <c r="D285" s="10">
        <v>-2.0114497999999998</v>
      </c>
      <c r="E285" s="5" t="s">
        <v>519</v>
      </c>
    </row>
    <row r="286" spans="1:7">
      <c r="A286" s="5" t="s">
        <v>526</v>
      </c>
      <c r="B286" s="10"/>
      <c r="C286" s="10"/>
      <c r="D286" s="10">
        <v>-2.3907056</v>
      </c>
      <c r="E286" s="5" t="s">
        <v>527</v>
      </c>
    </row>
    <row r="287" spans="1:7">
      <c r="A287" s="5" t="s">
        <v>528</v>
      </c>
      <c r="B287" s="10">
        <v>-2.5531693</v>
      </c>
      <c r="C287" s="10">
        <v>-2.8869066000000001</v>
      </c>
      <c r="D287" s="10">
        <v>-3.7412833999999999</v>
      </c>
      <c r="E287" s="5" t="s">
        <v>529</v>
      </c>
    </row>
    <row r="288" spans="1:7" s="12" customFormat="1" ht="13.5" thickBot="1">
      <c r="B288" s="13"/>
      <c r="C288" s="13"/>
      <c r="D288" s="13"/>
    </row>
    <row r="290" spans="1:4">
      <c r="A290" s="5">
        <f>COUNTA(A2:A287)</f>
        <v>286</v>
      </c>
      <c r="B290" s="5">
        <f t="shared" ref="B290:D290" si="0">COUNTA(B2:B287)</f>
        <v>40</v>
      </c>
      <c r="C290" s="5">
        <f t="shared" si="0"/>
        <v>85</v>
      </c>
      <c r="D290" s="5">
        <f t="shared" si="0"/>
        <v>235</v>
      </c>
    </row>
    <row r="291" spans="1:4">
      <c r="B291" s="5">
        <f>40/286*100</f>
        <v>13.986013986013987</v>
      </c>
      <c r="C291" s="5">
        <f>85/286*100</f>
        <v>29.72027972027972</v>
      </c>
      <c r="D291" s="5">
        <f>235/286*100</f>
        <v>82.167832167832159</v>
      </c>
    </row>
    <row r="292" spans="1:4">
      <c r="A292" s="5">
        <f>B290+C290+D290</f>
        <v>360</v>
      </c>
      <c r="B292" s="34">
        <f>40/360*100</f>
        <v>11.111111111111111</v>
      </c>
      <c r="C292" s="34">
        <f>85/360*100</f>
        <v>23.611111111111111</v>
      </c>
      <c r="D292" s="34">
        <f>235/360*100</f>
        <v>65.277777777777786</v>
      </c>
    </row>
    <row r="295" spans="1:4">
      <c r="A295" s="34">
        <f>29/360*100</f>
        <v>8.0555555555555554</v>
      </c>
      <c r="B295" s="5">
        <v>29</v>
      </c>
      <c r="C295" s="5" t="s">
        <v>1463</v>
      </c>
      <c r="D295" s="34">
        <f>29/51*100</f>
        <v>56.862745098039213</v>
      </c>
    </row>
    <row r="296" spans="1:4">
      <c r="A296" s="34">
        <f>17/360*100</f>
        <v>4.7222222222222223</v>
      </c>
      <c r="B296" s="5">
        <v>17</v>
      </c>
      <c r="C296" s="5" t="s">
        <v>1464</v>
      </c>
      <c r="D296" s="34">
        <f>17/51*100</f>
        <v>33.333333333333329</v>
      </c>
    </row>
    <row r="297" spans="1:4">
      <c r="A297" s="34">
        <f>3/360*100</f>
        <v>0.83333333333333337</v>
      </c>
      <c r="B297" s="5">
        <v>3</v>
      </c>
      <c r="C297" s="5" t="s">
        <v>1465</v>
      </c>
      <c r="D297" s="34">
        <f>3/51*100</f>
        <v>5.8823529411764701</v>
      </c>
    </row>
    <row r="298" spans="1:4">
      <c r="A298" s="34">
        <f>2/360*100</f>
        <v>0.55555555555555558</v>
      </c>
      <c r="B298" s="5">
        <v>2</v>
      </c>
      <c r="C298" s="5" t="s">
        <v>1466</v>
      </c>
      <c r="D298" s="34">
        <f>2/51*100</f>
        <v>3.9215686274509802</v>
      </c>
    </row>
    <row r="300" spans="1:4">
      <c r="B300" s="5">
        <f>B295+B296+B297+B298</f>
        <v>51</v>
      </c>
    </row>
  </sheetData>
  <phoneticPr fontId="3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3"/>
  <sheetViews>
    <sheetView workbookViewId="0">
      <selection activeCell="C4" sqref="C4"/>
    </sheetView>
  </sheetViews>
  <sheetFormatPr defaultRowHeight="12.75"/>
  <cols>
    <col min="1" max="1" width="23" style="5" bestFit="1" customWidth="1"/>
    <col min="2" max="2" width="15.42578125" style="5" bestFit="1" customWidth="1"/>
    <col min="3" max="4" width="17" style="5" bestFit="1" customWidth="1"/>
    <col min="5" max="5" width="41.28515625" style="5" customWidth="1"/>
    <col min="6" max="6" width="44.7109375" style="5" customWidth="1"/>
    <col min="7" max="7" width="33" style="5" customWidth="1"/>
    <col min="8" max="16384" width="9.140625" style="5"/>
  </cols>
  <sheetData>
    <row r="1" spans="1:7" ht="18">
      <c r="A1" s="8" t="s">
        <v>579</v>
      </c>
      <c r="B1" s="8" t="s">
        <v>151</v>
      </c>
      <c r="C1" s="8" t="s">
        <v>153</v>
      </c>
      <c r="D1" s="8" t="s">
        <v>155</v>
      </c>
      <c r="E1" s="9" t="s">
        <v>580</v>
      </c>
      <c r="F1" s="9" t="s">
        <v>581</v>
      </c>
      <c r="G1" s="9" t="s">
        <v>582</v>
      </c>
    </row>
    <row r="2" spans="1:7">
      <c r="A2" s="5" t="s">
        <v>877</v>
      </c>
      <c r="B2" s="10"/>
      <c r="C2" s="10">
        <v>3.3473326999999999</v>
      </c>
      <c r="D2" s="10">
        <v>5.4696160000000003</v>
      </c>
      <c r="E2" s="5" t="s">
        <v>878</v>
      </c>
      <c r="F2" s="5" t="s">
        <v>873</v>
      </c>
      <c r="G2" s="5" t="s">
        <v>879</v>
      </c>
    </row>
    <row r="3" spans="1:7">
      <c r="A3" s="5" t="s">
        <v>880</v>
      </c>
      <c r="B3" s="10"/>
      <c r="C3" s="10"/>
      <c r="D3" s="10">
        <v>2.052003</v>
      </c>
      <c r="E3" s="5" t="s">
        <v>878</v>
      </c>
      <c r="F3" s="5" t="s">
        <v>873</v>
      </c>
      <c r="G3" s="5" t="s">
        <v>879</v>
      </c>
    </row>
    <row r="4" spans="1:7">
      <c r="A4" s="5" t="s">
        <v>881</v>
      </c>
      <c r="B4" s="10">
        <v>3.1407002999999998</v>
      </c>
      <c r="C4" s="10">
        <v>3.2185570000000001</v>
      </c>
      <c r="D4" s="10">
        <v>3.5042844</v>
      </c>
      <c r="E4" s="5" t="s">
        <v>882</v>
      </c>
      <c r="F4" s="5" t="s">
        <v>873</v>
      </c>
      <c r="G4" s="5" t="s">
        <v>883</v>
      </c>
    </row>
    <row r="5" spans="1:7">
      <c r="A5" s="5" t="s">
        <v>1097</v>
      </c>
      <c r="B5" s="10"/>
      <c r="C5" s="10">
        <v>3.1632519000000001</v>
      </c>
      <c r="D5" s="10">
        <v>2.5497822999999999</v>
      </c>
      <c r="E5" s="5" t="s">
        <v>1098</v>
      </c>
      <c r="F5" s="5" t="s">
        <v>873</v>
      </c>
      <c r="G5" s="5" t="s">
        <v>1099</v>
      </c>
    </row>
    <row r="6" spans="1:7">
      <c r="A6" s="5" t="s">
        <v>1100</v>
      </c>
      <c r="B6" s="10">
        <v>3.3107218999999999</v>
      </c>
      <c r="C6" s="10">
        <v>3.7498927000000002</v>
      </c>
      <c r="D6" s="10">
        <v>3.1335044000000001</v>
      </c>
      <c r="E6" s="5" t="s">
        <v>1098</v>
      </c>
      <c r="F6" s="5" t="s">
        <v>873</v>
      </c>
      <c r="G6" s="5" t="s">
        <v>1099</v>
      </c>
    </row>
    <row r="7" spans="1:7">
      <c r="A7" s="5" t="s">
        <v>1101</v>
      </c>
      <c r="B7" s="10"/>
      <c r="C7" s="10">
        <v>2.4521494000000001</v>
      </c>
      <c r="D7" s="10">
        <v>2.130147</v>
      </c>
      <c r="E7" s="5" t="s">
        <v>1098</v>
      </c>
      <c r="F7" s="5" t="s">
        <v>873</v>
      </c>
      <c r="G7" s="5" t="s">
        <v>1099</v>
      </c>
    </row>
    <row r="8" spans="1:7">
      <c r="A8" s="5" t="s">
        <v>563</v>
      </c>
      <c r="B8" s="10"/>
      <c r="C8" s="10">
        <v>2.4258237</v>
      </c>
      <c r="D8" s="10">
        <v>3.2837909999999999</v>
      </c>
      <c r="E8" s="5" t="s">
        <v>1098</v>
      </c>
      <c r="F8" s="5" t="s">
        <v>873</v>
      </c>
      <c r="G8" s="5" t="s">
        <v>564</v>
      </c>
    </row>
    <row r="9" spans="1:7">
      <c r="A9" s="5" t="s">
        <v>1104</v>
      </c>
      <c r="B9" s="10"/>
      <c r="C9" s="10"/>
      <c r="D9" s="10">
        <v>2.0513482000000001</v>
      </c>
      <c r="E9" s="5" t="s">
        <v>1098</v>
      </c>
      <c r="F9" s="5" t="s">
        <v>873</v>
      </c>
      <c r="G9" s="5" t="s">
        <v>1099</v>
      </c>
    </row>
    <row r="10" spans="1:7">
      <c r="A10" s="5" t="s">
        <v>1105</v>
      </c>
      <c r="B10" s="10">
        <v>2.2509383999999999</v>
      </c>
      <c r="C10" s="10">
        <v>3.3611163999999998</v>
      </c>
      <c r="D10" s="10">
        <v>3.2695656</v>
      </c>
      <c r="E10" s="5" t="s">
        <v>1098</v>
      </c>
      <c r="F10" s="5" t="s">
        <v>873</v>
      </c>
      <c r="G10" s="5" t="s">
        <v>1099</v>
      </c>
    </row>
    <row r="11" spans="1:7">
      <c r="A11" s="5" t="s">
        <v>1106</v>
      </c>
      <c r="B11" s="10"/>
      <c r="C11" s="10">
        <v>2.5653790999999999</v>
      </c>
      <c r="D11" s="10">
        <v>2.3721622999999998</v>
      </c>
      <c r="E11" s="5" t="s">
        <v>1098</v>
      </c>
      <c r="F11" s="5" t="s">
        <v>873</v>
      </c>
      <c r="G11" s="5" t="s">
        <v>1099</v>
      </c>
    </row>
    <row r="12" spans="1:7">
      <c r="A12" s="5" t="s">
        <v>1108</v>
      </c>
      <c r="B12" s="10">
        <v>2.1884513000000001</v>
      </c>
      <c r="C12" s="10">
        <v>3.1054263</v>
      </c>
      <c r="D12" s="10">
        <v>3.1093183</v>
      </c>
      <c r="E12" s="5" t="s">
        <v>1098</v>
      </c>
      <c r="F12" s="5" t="s">
        <v>873</v>
      </c>
      <c r="G12" s="5" t="s">
        <v>1099</v>
      </c>
    </row>
    <row r="13" spans="1:7">
      <c r="B13" s="10"/>
      <c r="C13" s="10"/>
      <c r="D13" s="10"/>
    </row>
    <row r="14" spans="1:7">
      <c r="B14" s="10"/>
      <c r="C14" s="10"/>
      <c r="D14" s="10"/>
    </row>
    <row r="15" spans="1:7">
      <c r="A15" s="5" t="s">
        <v>1183</v>
      </c>
      <c r="B15" s="10"/>
      <c r="C15" s="10"/>
      <c r="D15" s="10">
        <v>-2.1795464</v>
      </c>
      <c r="E15" s="5" t="s">
        <v>1184</v>
      </c>
      <c r="F15" s="5" t="s">
        <v>1185</v>
      </c>
      <c r="G15" s="5" t="s">
        <v>1186</v>
      </c>
    </row>
    <row r="16" spans="1:7">
      <c r="A16" s="5" t="s">
        <v>541</v>
      </c>
      <c r="B16" s="10">
        <v>-4.4304456999999999</v>
      </c>
      <c r="C16" s="10">
        <v>-4.0965775999999998</v>
      </c>
      <c r="D16" s="10">
        <v>-5.2071877000000004</v>
      </c>
      <c r="E16" s="5" t="s">
        <v>1184</v>
      </c>
      <c r="F16" s="5" t="s">
        <v>1185</v>
      </c>
      <c r="G16" s="5" t="s">
        <v>1186</v>
      </c>
    </row>
    <row r="17" spans="1:10">
      <c r="A17" s="5" t="s">
        <v>1187</v>
      </c>
      <c r="B17" s="10"/>
      <c r="C17" s="10">
        <v>2.310505</v>
      </c>
      <c r="D17" s="10"/>
      <c r="E17" s="5" t="s">
        <v>1184</v>
      </c>
      <c r="F17" s="5" t="s">
        <v>1185</v>
      </c>
      <c r="G17" s="5" t="s">
        <v>1186</v>
      </c>
      <c r="H17" s="10"/>
      <c r="I17" s="10"/>
      <c r="J17" s="10"/>
    </row>
    <row r="18" spans="1:10">
      <c r="A18" s="5" t="s">
        <v>1188</v>
      </c>
      <c r="B18" s="10"/>
      <c r="C18" s="10"/>
      <c r="D18" s="10">
        <v>2.3352450999999999</v>
      </c>
      <c r="E18" s="5" t="s">
        <v>1184</v>
      </c>
      <c r="F18" s="5" t="s">
        <v>1185</v>
      </c>
      <c r="G18" s="5" t="s">
        <v>1186</v>
      </c>
      <c r="H18" s="10"/>
      <c r="I18" s="10"/>
      <c r="J18" s="10"/>
    </row>
    <row r="19" spans="1:10">
      <c r="A19" s="5" t="s">
        <v>1189</v>
      </c>
      <c r="B19" s="10">
        <v>-2.5623716999999999</v>
      </c>
      <c r="C19" s="10">
        <v>-3.2943435000000001</v>
      </c>
      <c r="D19" s="10">
        <v>-3.3013682000000002</v>
      </c>
      <c r="E19" s="5" t="s">
        <v>1184</v>
      </c>
      <c r="F19" s="5" t="s">
        <v>1185</v>
      </c>
      <c r="G19" s="5" t="s">
        <v>1186</v>
      </c>
    </row>
    <row r="20" spans="1:10">
      <c r="A20" s="5" t="s">
        <v>1190</v>
      </c>
      <c r="B20" s="10"/>
      <c r="C20" s="10">
        <v>2.8623953000000002</v>
      </c>
      <c r="D20" s="10">
        <v>2.8446088</v>
      </c>
      <c r="E20" s="5" t="s">
        <v>1184</v>
      </c>
      <c r="F20" s="5" t="s">
        <v>1185</v>
      </c>
      <c r="G20" s="5" t="s">
        <v>1186</v>
      </c>
      <c r="H20" s="10"/>
      <c r="I20" s="10"/>
      <c r="J20" s="10"/>
    </row>
    <row r="21" spans="1:10">
      <c r="A21" s="5" t="s">
        <v>1191</v>
      </c>
      <c r="B21" s="10"/>
      <c r="C21" s="10"/>
      <c r="D21" s="10">
        <v>2.4169436000000002</v>
      </c>
      <c r="E21" s="5" t="s">
        <v>1184</v>
      </c>
      <c r="F21" s="5" t="s">
        <v>1185</v>
      </c>
      <c r="G21" s="5" t="s">
        <v>1186</v>
      </c>
      <c r="H21" s="10"/>
      <c r="I21" s="10"/>
      <c r="J21" s="10"/>
    </row>
    <row r="22" spans="1:10">
      <c r="A22" s="5" t="s">
        <v>1192</v>
      </c>
      <c r="B22" s="10"/>
      <c r="C22" s="10"/>
      <c r="D22" s="10">
        <v>2.0335903000000002</v>
      </c>
      <c r="E22" s="5" t="s">
        <v>1184</v>
      </c>
      <c r="F22" s="5" t="s">
        <v>1185</v>
      </c>
      <c r="G22" s="5" t="s">
        <v>1186</v>
      </c>
      <c r="H22" s="10"/>
      <c r="I22" s="10"/>
      <c r="J22" s="10"/>
    </row>
    <row r="23" spans="1:10">
      <c r="A23" s="5" t="s">
        <v>1193</v>
      </c>
      <c r="B23" s="10"/>
      <c r="C23" s="10"/>
      <c r="D23" s="10">
        <v>2.5330940000000002</v>
      </c>
      <c r="E23" s="5" t="s">
        <v>1184</v>
      </c>
      <c r="F23" s="5" t="s">
        <v>1185</v>
      </c>
      <c r="G23" s="5" t="s">
        <v>1186</v>
      </c>
      <c r="H23" s="10"/>
      <c r="I23" s="10"/>
      <c r="J23" s="10"/>
    </row>
    <row r="24" spans="1:10">
      <c r="A24" s="5" t="s">
        <v>1194</v>
      </c>
      <c r="B24" s="10">
        <v>-2.5674486000000001</v>
      </c>
      <c r="C24" s="10">
        <v>-3.3197421999999999</v>
      </c>
      <c r="E24" s="5" t="s">
        <v>1184</v>
      </c>
      <c r="F24" s="5" t="s">
        <v>1185</v>
      </c>
      <c r="G24" s="5" t="s">
        <v>1186</v>
      </c>
      <c r="J24" s="10"/>
    </row>
    <row r="38" spans="1:6" ht="15.75">
      <c r="A38" s="16" t="s">
        <v>832</v>
      </c>
      <c r="B38" s="16" t="s">
        <v>827</v>
      </c>
      <c r="C38" s="16" t="s">
        <v>828</v>
      </c>
      <c r="D38" s="16" t="s">
        <v>829</v>
      </c>
      <c r="E38" s="16" t="s">
        <v>830</v>
      </c>
      <c r="F38" s="16" t="s">
        <v>831</v>
      </c>
    </row>
    <row r="39" spans="1:6">
      <c r="A39" s="14" t="s">
        <v>1097</v>
      </c>
      <c r="B39" s="15"/>
      <c r="C39" s="15">
        <v>3.1632519000000001</v>
      </c>
      <c r="D39" s="15">
        <v>2.5497822999999999</v>
      </c>
      <c r="E39" s="14" t="s">
        <v>826</v>
      </c>
      <c r="F39" s="14" t="s">
        <v>1099</v>
      </c>
    </row>
    <row r="40" spans="1:6">
      <c r="A40" s="14" t="s">
        <v>1100</v>
      </c>
      <c r="B40" s="15">
        <v>3.3107218999999999</v>
      </c>
      <c r="C40" s="15">
        <v>3.7498927000000002</v>
      </c>
      <c r="D40" s="15">
        <v>3.1335044000000001</v>
      </c>
      <c r="E40" s="14" t="s">
        <v>826</v>
      </c>
      <c r="F40" s="14" t="s">
        <v>1099</v>
      </c>
    </row>
    <row r="41" spans="1:6">
      <c r="A41" s="14" t="s">
        <v>1101</v>
      </c>
      <c r="B41" s="15"/>
      <c r="C41" s="15">
        <v>2.4521494000000001</v>
      </c>
      <c r="D41" s="15">
        <v>2.130147</v>
      </c>
      <c r="E41" s="14" t="s">
        <v>826</v>
      </c>
      <c r="F41" s="14" t="s">
        <v>1099</v>
      </c>
    </row>
    <row r="42" spans="1:6">
      <c r="A42" s="14" t="s">
        <v>563</v>
      </c>
      <c r="B42" s="15"/>
      <c r="C42" s="15">
        <v>2.4258237</v>
      </c>
      <c r="D42" s="15">
        <v>3.2837909999999999</v>
      </c>
      <c r="E42" s="14" t="s">
        <v>826</v>
      </c>
      <c r="F42" s="14" t="s">
        <v>564</v>
      </c>
    </row>
    <row r="43" spans="1:6">
      <c r="A43" s="14" t="s">
        <v>1104</v>
      </c>
      <c r="B43" s="15"/>
      <c r="C43" s="15"/>
      <c r="D43" s="15">
        <v>2.0513482000000001</v>
      </c>
      <c r="E43" s="14" t="s">
        <v>826</v>
      </c>
      <c r="F43" s="14" t="s">
        <v>1099</v>
      </c>
    </row>
    <row r="44" spans="1:6">
      <c r="A44" s="14" t="s">
        <v>1105</v>
      </c>
      <c r="B44" s="15">
        <v>2.2509383999999999</v>
      </c>
      <c r="C44" s="15">
        <v>3.3611163999999998</v>
      </c>
      <c r="D44" s="15">
        <v>3.2695656</v>
      </c>
      <c r="E44" s="14" t="s">
        <v>826</v>
      </c>
      <c r="F44" s="14" t="s">
        <v>1099</v>
      </c>
    </row>
    <row r="45" spans="1:6">
      <c r="A45" s="14" t="s">
        <v>1106</v>
      </c>
      <c r="B45" s="15"/>
      <c r="C45" s="15">
        <v>2.5653790999999999</v>
      </c>
      <c r="D45" s="15">
        <v>2.3721622999999998</v>
      </c>
      <c r="E45" s="14" t="s">
        <v>826</v>
      </c>
      <c r="F45" s="14" t="s">
        <v>1099</v>
      </c>
    </row>
    <row r="46" spans="1:6">
      <c r="A46" s="14" t="s">
        <v>1108</v>
      </c>
      <c r="B46" s="15">
        <v>2.1884513000000001</v>
      </c>
      <c r="C46" s="15">
        <v>3.1054263</v>
      </c>
      <c r="D46" s="15">
        <v>3.1093183</v>
      </c>
      <c r="E46" s="14" t="s">
        <v>826</v>
      </c>
      <c r="F46" s="14" t="s">
        <v>1099</v>
      </c>
    </row>
    <row r="52" spans="2:7">
      <c r="B52" s="5">
        <v>8</v>
      </c>
      <c r="C52" s="5">
        <v>24</v>
      </c>
      <c r="D52" s="5">
        <v>48</v>
      </c>
      <c r="E52" s="11"/>
      <c r="G52" s="11"/>
    </row>
    <row r="53" spans="2:7">
      <c r="B53" s="10">
        <v>3.3107218999999999</v>
      </c>
      <c r="C53" s="10">
        <v>3.7498927000000002</v>
      </c>
      <c r="D53" s="10">
        <v>3.1335044000000001</v>
      </c>
    </row>
    <row r="54" spans="2:7">
      <c r="B54" s="10">
        <v>2.2509383999999999</v>
      </c>
      <c r="C54" s="10">
        <v>3.3611163999999998</v>
      </c>
      <c r="D54" s="10">
        <v>3.2695656</v>
      </c>
    </row>
    <row r="55" spans="2:7">
      <c r="B55" s="10">
        <v>2.1884513000000001</v>
      </c>
      <c r="C55" s="10">
        <v>3.1054263</v>
      </c>
      <c r="D55" s="10">
        <v>3.1093183</v>
      </c>
    </row>
    <row r="56" spans="2:7">
      <c r="C56" s="10">
        <v>3.1632519000000001</v>
      </c>
      <c r="D56" s="10">
        <v>2.5497822999999999</v>
      </c>
    </row>
    <row r="57" spans="2:7">
      <c r="C57" s="10">
        <v>2.4521494000000001</v>
      </c>
      <c r="D57" s="10">
        <v>2.130147</v>
      </c>
    </row>
    <row r="58" spans="2:7">
      <c r="C58" s="10">
        <v>2.4258237</v>
      </c>
      <c r="D58" s="10">
        <v>3.2837909999999999</v>
      </c>
    </row>
    <row r="59" spans="2:7">
      <c r="C59" s="10">
        <v>2.5653790999999999</v>
      </c>
      <c r="D59" s="10">
        <v>2.3721622999999998</v>
      </c>
    </row>
    <row r="60" spans="2:7">
      <c r="D60" s="10">
        <v>2.0513482000000001</v>
      </c>
    </row>
    <row r="61" spans="2:7">
      <c r="B61" s="5">
        <f>AVERAGE(B53:B55)</f>
        <v>2.5833705333333334</v>
      </c>
      <c r="C61" s="5">
        <f>AVERAGE(C53:C55)</f>
        <v>3.4054784666666666</v>
      </c>
      <c r="D61" s="5">
        <f>AVERAGE(D53:D55)</f>
        <v>3.1707961</v>
      </c>
    </row>
    <row r="63" spans="2:7">
      <c r="B63" s="5">
        <f>0.080469</f>
        <v>8.0468999999999999E-2</v>
      </c>
      <c r="C63" s="5">
        <f>0.09703</f>
        <v>9.7030000000000005E-2</v>
      </c>
      <c r="D63" s="5">
        <v>8.9539999999999995E-2</v>
      </c>
      <c r="E63" s="5">
        <f>AVERAGE(B63:D63)</f>
        <v>8.9013000000000009E-2</v>
      </c>
    </row>
    <row r="64" spans="2:7">
      <c r="B64" s="5">
        <v>6.2080000000000003E-2</v>
      </c>
      <c r="C64" s="5">
        <v>3.9620000000000002E-2</v>
      </c>
      <c r="D64" s="10">
        <v>7.8759999999999997E-2</v>
      </c>
      <c r="E64" s="5">
        <f t="shared" ref="E64:E70" si="0">AVERAGE(B64:D64)</f>
        <v>6.0153333333333336E-2</v>
      </c>
    </row>
    <row r="65" spans="1:6">
      <c r="B65" s="5">
        <v>6.4299999999999996E-2</v>
      </c>
      <c r="C65" s="10">
        <v>0.2021</v>
      </c>
      <c r="D65" s="10">
        <v>0.1368</v>
      </c>
      <c r="E65" s="5">
        <f t="shared" si="0"/>
        <v>0.13439999999999999</v>
      </c>
    </row>
    <row r="66" spans="1:6">
      <c r="C66" s="5">
        <v>8.405E-2</v>
      </c>
      <c r="D66" s="10">
        <v>9.3439999999999995E-2</v>
      </c>
      <c r="E66" s="5">
        <f t="shared" si="0"/>
        <v>8.8744999999999991E-2</v>
      </c>
    </row>
    <row r="67" spans="1:6">
      <c r="C67" s="5">
        <v>0.15067</v>
      </c>
      <c r="D67" s="10">
        <v>0.12870000000000001</v>
      </c>
      <c r="E67" s="5">
        <f t="shared" si="0"/>
        <v>0.139685</v>
      </c>
    </row>
    <row r="68" spans="1:6">
      <c r="C68" s="10">
        <v>0.10237</v>
      </c>
      <c r="D68" s="10">
        <v>0.1108</v>
      </c>
      <c r="E68" s="5">
        <f t="shared" si="0"/>
        <v>0.106585</v>
      </c>
    </row>
    <row r="69" spans="1:6">
      <c r="C69" s="10">
        <v>0.21379000000000001</v>
      </c>
      <c r="D69" s="10">
        <v>0.1045</v>
      </c>
      <c r="E69" s="5">
        <f t="shared" si="0"/>
        <v>0.15914500000000001</v>
      </c>
    </row>
    <row r="70" spans="1:6">
      <c r="D70" s="10">
        <v>8.9300000000000004E-2</v>
      </c>
      <c r="E70" s="5">
        <f t="shared" si="0"/>
        <v>8.9300000000000004E-2</v>
      </c>
    </row>
    <row r="73" spans="1:6" ht="15.75">
      <c r="A73" s="16" t="s">
        <v>832</v>
      </c>
      <c r="B73" s="16" t="s">
        <v>827</v>
      </c>
      <c r="C73" s="16" t="s">
        <v>828</v>
      </c>
      <c r="D73" s="16" t="s">
        <v>829</v>
      </c>
      <c r="E73" s="16" t="s">
        <v>830</v>
      </c>
      <c r="F73" s="16" t="s">
        <v>831</v>
      </c>
    </row>
    <row r="74" spans="1:6">
      <c r="A74" s="14" t="s">
        <v>1183</v>
      </c>
      <c r="B74" s="15"/>
      <c r="C74" s="15"/>
      <c r="D74" s="15">
        <v>-2.1795464</v>
      </c>
      <c r="E74" s="41" t="s">
        <v>1184</v>
      </c>
      <c r="F74" s="41" t="s">
        <v>1185</v>
      </c>
    </row>
    <row r="75" spans="1:6">
      <c r="A75" s="14" t="s">
        <v>541</v>
      </c>
      <c r="B75" s="15">
        <v>-4.4304456999999999</v>
      </c>
      <c r="C75" s="15">
        <v>-4.0965775999999998</v>
      </c>
      <c r="D75" s="15">
        <v>-5.2071877000000004</v>
      </c>
      <c r="E75" s="42"/>
      <c r="F75" s="42"/>
    </row>
    <row r="76" spans="1:6">
      <c r="A76" s="14" t="s">
        <v>1187</v>
      </c>
      <c r="B76" s="15"/>
      <c r="C76" s="15">
        <v>-2.310505</v>
      </c>
      <c r="D76" s="15"/>
      <c r="E76" s="42"/>
      <c r="F76" s="42"/>
    </row>
    <row r="77" spans="1:6">
      <c r="A77" s="14" t="s">
        <v>1188</v>
      </c>
      <c r="B77" s="15"/>
      <c r="C77" s="15"/>
      <c r="D77" s="15">
        <v>-2.3352450999999999</v>
      </c>
      <c r="E77" s="42"/>
      <c r="F77" s="42"/>
    </row>
    <row r="78" spans="1:6">
      <c r="A78" s="14" t="s">
        <v>1189</v>
      </c>
      <c r="B78" s="15">
        <v>-2.5623716999999999</v>
      </c>
      <c r="C78" s="15">
        <v>-3.2943435000000001</v>
      </c>
      <c r="D78" s="15">
        <v>-3.3013682000000002</v>
      </c>
      <c r="E78" s="42"/>
      <c r="F78" s="42"/>
    </row>
    <row r="79" spans="1:6">
      <c r="A79" s="14" t="s">
        <v>1190</v>
      </c>
      <c r="B79" s="15"/>
      <c r="C79" s="15">
        <v>-2.8623953000000002</v>
      </c>
      <c r="D79" s="15">
        <v>-2.8446088</v>
      </c>
      <c r="E79" s="42"/>
      <c r="F79" s="42"/>
    </row>
    <row r="80" spans="1:6">
      <c r="A80" s="14" t="s">
        <v>1191</v>
      </c>
      <c r="B80" s="15"/>
      <c r="C80" s="15"/>
      <c r="D80" s="15">
        <v>-2.4169436000000002</v>
      </c>
      <c r="E80" s="42"/>
      <c r="F80" s="42"/>
    </row>
    <row r="81" spans="1:6">
      <c r="A81" s="14" t="s">
        <v>1192</v>
      </c>
      <c r="B81" s="15"/>
      <c r="C81" s="15"/>
      <c r="D81" s="15">
        <v>-2.0335903000000002</v>
      </c>
      <c r="E81" s="42"/>
      <c r="F81" s="42"/>
    </row>
    <row r="82" spans="1:6">
      <c r="A82" s="14" t="s">
        <v>1193</v>
      </c>
      <c r="B82" s="15"/>
      <c r="C82" s="15"/>
      <c r="D82" s="15">
        <v>-2.5330940000000002</v>
      </c>
      <c r="E82" s="42"/>
      <c r="F82" s="42"/>
    </row>
    <row r="83" spans="1:6">
      <c r="A83" s="14" t="s">
        <v>1194</v>
      </c>
      <c r="B83" s="15">
        <v>-2.5674486000000001</v>
      </c>
      <c r="C83" s="15">
        <v>-3.3197421999999999</v>
      </c>
      <c r="D83" s="14"/>
      <c r="E83" s="43"/>
      <c r="F83" s="43"/>
    </row>
  </sheetData>
  <mergeCells count="2">
    <mergeCell ref="E74:E83"/>
    <mergeCell ref="F74:F83"/>
  </mergeCells>
  <phoneticPr fontId="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3"/>
  <sheetViews>
    <sheetView workbookViewId="0">
      <selection activeCell="C161" sqref="C161"/>
    </sheetView>
  </sheetViews>
  <sheetFormatPr defaultRowHeight="12.75"/>
  <cols>
    <col min="1" max="1" width="23" style="5" bestFit="1" customWidth="1"/>
    <col min="2" max="2" width="15.42578125" style="5" bestFit="1" customWidth="1"/>
    <col min="3" max="4" width="17" style="5" bestFit="1" customWidth="1"/>
    <col min="5" max="5" width="41.28515625" style="5" customWidth="1"/>
    <col min="6" max="6" width="44.7109375" style="5" customWidth="1"/>
    <col min="7" max="7" width="33" style="5" customWidth="1"/>
    <col min="8" max="16384" width="9.140625" style="5"/>
  </cols>
  <sheetData>
    <row r="1" spans="1:7" ht="18">
      <c r="A1" s="8" t="s">
        <v>579</v>
      </c>
      <c r="B1" s="8" t="s">
        <v>151</v>
      </c>
      <c r="C1" s="8" t="s">
        <v>153</v>
      </c>
      <c r="D1" s="8" t="s">
        <v>155</v>
      </c>
      <c r="E1" s="9" t="s">
        <v>580</v>
      </c>
      <c r="F1" s="9" t="s">
        <v>581</v>
      </c>
      <c r="G1" s="9" t="s">
        <v>582</v>
      </c>
    </row>
    <row r="2" spans="1:7">
      <c r="A2" s="5" t="s">
        <v>686</v>
      </c>
      <c r="B2" s="10">
        <v>2.0547390000000001</v>
      </c>
      <c r="C2" s="10">
        <v>2.4695778000000002</v>
      </c>
      <c r="D2" s="10">
        <v>3.5900916999999999</v>
      </c>
      <c r="E2" s="5" t="s">
        <v>687</v>
      </c>
      <c r="F2" s="5" t="s">
        <v>688</v>
      </c>
      <c r="G2" s="5" t="s">
        <v>689</v>
      </c>
    </row>
    <row r="3" spans="1:7">
      <c r="A3" s="5" t="s">
        <v>690</v>
      </c>
      <c r="B3" s="10">
        <v>2.0153908999999999</v>
      </c>
      <c r="C3" s="10">
        <v>2.5564741999999998</v>
      </c>
      <c r="D3" s="10">
        <v>3.7440972000000001</v>
      </c>
      <c r="E3" s="5" t="s">
        <v>687</v>
      </c>
      <c r="F3" s="5" t="s">
        <v>688</v>
      </c>
      <c r="G3" s="5" t="s">
        <v>689</v>
      </c>
    </row>
    <row r="4" spans="1:7">
      <c r="A4" s="5" t="s">
        <v>548</v>
      </c>
      <c r="B4" s="10">
        <v>2.2621273999999998</v>
      </c>
      <c r="C4" s="10">
        <v>2.7849889000000001</v>
      </c>
      <c r="D4" s="10">
        <v>2.5491432999999999</v>
      </c>
      <c r="E4" s="5" t="s">
        <v>142</v>
      </c>
      <c r="G4" s="5" t="s">
        <v>549</v>
      </c>
    </row>
    <row r="5" spans="1:7">
      <c r="A5" s="5" t="s">
        <v>537</v>
      </c>
      <c r="B5" s="10">
        <v>2.0310907</v>
      </c>
      <c r="C5" s="10">
        <v>2.4290604999999998</v>
      </c>
      <c r="D5" s="10">
        <v>2.2818580000000002</v>
      </c>
      <c r="E5" s="5" t="s">
        <v>910</v>
      </c>
    </row>
    <row r="6" spans="1:7">
      <c r="A6" s="5" t="s">
        <v>909</v>
      </c>
      <c r="B6" s="10">
        <v>2.0720972999999998</v>
      </c>
      <c r="C6" s="10">
        <v>3.8047013000000001</v>
      </c>
      <c r="D6" s="10">
        <v>2.0575671</v>
      </c>
      <c r="E6" s="5" t="s">
        <v>910</v>
      </c>
    </row>
    <row r="7" spans="1:7">
      <c r="A7" s="5" t="s">
        <v>911</v>
      </c>
      <c r="B7" s="10">
        <v>2.3783994000000002</v>
      </c>
      <c r="C7" s="10">
        <v>2.2582946000000002</v>
      </c>
      <c r="D7" s="10">
        <v>2.7821506999999999</v>
      </c>
      <c r="E7" s="5" t="s">
        <v>910</v>
      </c>
    </row>
    <row r="8" spans="1:7">
      <c r="A8" s="5" t="s">
        <v>913</v>
      </c>
      <c r="B8" s="10">
        <v>3.384468</v>
      </c>
      <c r="C8" s="10">
        <v>3.4396868</v>
      </c>
      <c r="D8" s="10">
        <v>3.3448153</v>
      </c>
      <c r="E8" s="5" t="s">
        <v>910</v>
      </c>
    </row>
    <row r="9" spans="1:7">
      <c r="A9" s="5" t="s">
        <v>914</v>
      </c>
      <c r="B9" s="10">
        <v>3.2639326999999998</v>
      </c>
      <c r="C9" s="10">
        <v>3.2918677000000001</v>
      </c>
      <c r="D9" s="10">
        <v>3.6261315000000001</v>
      </c>
      <c r="E9" s="5" t="s">
        <v>910</v>
      </c>
    </row>
    <row r="10" spans="1:7">
      <c r="A10" s="5" t="s">
        <v>915</v>
      </c>
      <c r="B10" s="10">
        <v>2.9861960000000001</v>
      </c>
      <c r="C10" s="10">
        <v>3.2701983000000001</v>
      </c>
      <c r="D10" s="10">
        <v>2.5533055999999998</v>
      </c>
      <c r="E10" s="5" t="s">
        <v>916</v>
      </c>
      <c r="F10" s="5" t="s">
        <v>627</v>
      </c>
      <c r="G10" s="5" t="s">
        <v>917</v>
      </c>
    </row>
    <row r="11" spans="1:7">
      <c r="A11" s="5" t="s">
        <v>926</v>
      </c>
      <c r="B11" s="10"/>
      <c r="C11" s="10"/>
      <c r="D11" s="10">
        <v>2.0288591</v>
      </c>
      <c r="E11" s="5" t="s">
        <v>927</v>
      </c>
      <c r="F11" s="5" t="s">
        <v>928</v>
      </c>
      <c r="G11" s="5" t="s">
        <v>929</v>
      </c>
    </row>
    <row r="12" spans="1:7">
      <c r="A12" s="5" t="s">
        <v>932</v>
      </c>
      <c r="B12" s="10"/>
      <c r="C12" s="10"/>
      <c r="D12" s="10">
        <v>2.0315413000000002</v>
      </c>
      <c r="E12" s="5" t="s">
        <v>933</v>
      </c>
    </row>
    <row r="13" spans="1:7">
      <c r="A13" s="5" t="s">
        <v>551</v>
      </c>
      <c r="B13" s="10"/>
      <c r="C13" s="10"/>
      <c r="D13" s="10">
        <v>2.4857844999999998</v>
      </c>
      <c r="E13" s="5" t="s">
        <v>141</v>
      </c>
      <c r="F13" s="5" t="s">
        <v>687</v>
      </c>
      <c r="G13" s="5" t="s">
        <v>689</v>
      </c>
    </row>
    <row r="14" spans="1:7">
      <c r="A14" s="5" t="s">
        <v>1004</v>
      </c>
      <c r="B14" s="10"/>
      <c r="C14" s="10"/>
      <c r="D14" s="10">
        <v>2.0006927999999999</v>
      </c>
      <c r="E14" s="5" t="s">
        <v>1005</v>
      </c>
      <c r="F14" s="5" t="s">
        <v>621</v>
      </c>
      <c r="G14" s="5" t="s">
        <v>1006</v>
      </c>
    </row>
    <row r="15" spans="1:7">
      <c r="A15" s="5" t="s">
        <v>1009</v>
      </c>
      <c r="B15" s="10"/>
      <c r="C15" s="10">
        <v>2.4403095000000001</v>
      </c>
      <c r="D15" s="10">
        <v>2.4009103999999999</v>
      </c>
      <c r="E15" s="5" t="s">
        <v>1005</v>
      </c>
      <c r="F15" s="5" t="s">
        <v>621</v>
      </c>
      <c r="G15" s="5" t="s">
        <v>1010</v>
      </c>
    </row>
    <row r="16" spans="1:7">
      <c r="A16" s="5" t="s">
        <v>1011</v>
      </c>
      <c r="B16" s="10">
        <v>2.4714274000000001</v>
      </c>
      <c r="C16" s="10">
        <v>2.972394</v>
      </c>
      <c r="D16" s="10">
        <v>3.6646070000000002</v>
      </c>
      <c r="E16" s="5" t="s">
        <v>1005</v>
      </c>
      <c r="F16" s="5" t="s">
        <v>621</v>
      </c>
      <c r="G16" s="5" t="s">
        <v>1012</v>
      </c>
    </row>
    <row r="17" spans="1:8">
      <c r="A17" s="5" t="s">
        <v>1014</v>
      </c>
      <c r="B17" s="10">
        <v>2.2652291999999998</v>
      </c>
      <c r="C17" s="10">
        <v>3.3127928</v>
      </c>
      <c r="D17" s="10">
        <v>2.5785407999999999</v>
      </c>
      <c r="E17" s="5" t="s">
        <v>1005</v>
      </c>
      <c r="F17" s="5" t="s">
        <v>621</v>
      </c>
      <c r="G17" s="5" t="s">
        <v>1012</v>
      </c>
    </row>
    <row r="18" spans="1:8">
      <c r="A18" s="5" t="s">
        <v>1016</v>
      </c>
      <c r="B18" s="10">
        <v>2.2626428999999999</v>
      </c>
      <c r="C18" s="10">
        <v>2.5350199</v>
      </c>
      <c r="D18" s="10">
        <v>2.5151935000000001</v>
      </c>
      <c r="E18" s="5" t="s">
        <v>1005</v>
      </c>
      <c r="F18" s="5" t="s">
        <v>621</v>
      </c>
      <c r="G18" s="5" t="s">
        <v>1017</v>
      </c>
    </row>
    <row r="19" spans="1:8">
      <c r="A19" s="5" t="s">
        <v>1019</v>
      </c>
      <c r="B19" s="10">
        <v>4.4594072999999996</v>
      </c>
      <c r="C19" s="10">
        <v>3.8608221999999999</v>
      </c>
      <c r="D19" s="10">
        <v>2.1724543999999999</v>
      </c>
      <c r="E19" s="5" t="s">
        <v>1005</v>
      </c>
      <c r="F19" s="5" t="s">
        <v>621</v>
      </c>
      <c r="G19" s="5" t="s">
        <v>1017</v>
      </c>
    </row>
    <row r="20" spans="1:8">
      <c r="A20" s="5" t="s">
        <v>1021</v>
      </c>
      <c r="B20" s="10"/>
      <c r="C20" s="10">
        <v>2.4181089999999998</v>
      </c>
      <c r="D20" s="10">
        <v>2.0497402999999998</v>
      </c>
      <c r="E20" s="5" t="s">
        <v>1005</v>
      </c>
      <c r="F20" s="5" t="s">
        <v>621</v>
      </c>
      <c r="G20" s="5" t="s">
        <v>1022</v>
      </c>
    </row>
    <row r="21" spans="1:8">
      <c r="A21" s="5" t="s">
        <v>1023</v>
      </c>
      <c r="B21" s="10">
        <v>2.3411007000000001</v>
      </c>
      <c r="C21" s="10">
        <v>2.8032460000000001</v>
      </c>
      <c r="D21" s="10">
        <v>2.1271266999999998</v>
      </c>
      <c r="E21" s="5" t="s">
        <v>1005</v>
      </c>
      <c r="F21" s="5" t="s">
        <v>621</v>
      </c>
      <c r="G21" s="5" t="s">
        <v>1008</v>
      </c>
    </row>
    <row r="22" spans="1:8">
      <c r="A22" s="5" t="s">
        <v>1024</v>
      </c>
      <c r="B22" s="10">
        <v>3.8327016999999999</v>
      </c>
      <c r="C22" s="10">
        <v>4.9457655000000003</v>
      </c>
      <c r="D22" s="10">
        <v>2.6404830000000001</v>
      </c>
      <c r="E22" s="5" t="s">
        <v>1005</v>
      </c>
      <c r="F22" s="5" t="s">
        <v>621</v>
      </c>
      <c r="G22" s="5" t="s">
        <v>1008</v>
      </c>
    </row>
    <row r="23" spans="1:8">
      <c r="A23" s="5" t="s">
        <v>1025</v>
      </c>
      <c r="B23" s="10">
        <v>3.07443</v>
      </c>
      <c r="C23" s="10">
        <v>3.6248583999999999</v>
      </c>
      <c r="D23" s="10">
        <v>2.5586380000000002</v>
      </c>
      <c r="E23" s="5" t="s">
        <v>1005</v>
      </c>
      <c r="F23" s="5" t="s">
        <v>621</v>
      </c>
      <c r="G23" s="5" t="s">
        <v>1017</v>
      </c>
    </row>
    <row r="24" spans="1:8">
      <c r="A24" s="5" t="s">
        <v>1139</v>
      </c>
      <c r="B24" s="10"/>
      <c r="E24" s="5" t="s">
        <v>1140</v>
      </c>
    </row>
    <row r="25" spans="1:8">
      <c r="A25" s="5" t="s">
        <v>1393</v>
      </c>
      <c r="B25" s="10">
        <v>2.2868433000000001</v>
      </c>
      <c r="C25" s="10">
        <v>2.7557019999999999</v>
      </c>
      <c r="D25" s="10">
        <v>2.050694</v>
      </c>
      <c r="E25" s="5" t="s">
        <v>1391</v>
      </c>
      <c r="F25" s="5" t="s">
        <v>627</v>
      </c>
      <c r="G25" s="5" t="s">
        <v>1392</v>
      </c>
    </row>
    <row r="26" spans="1:8">
      <c r="A26" s="5" t="s">
        <v>1394</v>
      </c>
      <c r="B26" s="10">
        <v>2.3990064000000002</v>
      </c>
      <c r="C26" s="10">
        <v>3.3213157999999998</v>
      </c>
      <c r="D26" s="10">
        <v>3.2685366</v>
      </c>
      <c r="E26" s="5" t="s">
        <v>1391</v>
      </c>
      <c r="F26" s="5" t="s">
        <v>627</v>
      </c>
      <c r="G26" s="5" t="s">
        <v>1392</v>
      </c>
    </row>
    <row r="27" spans="1:8">
      <c r="A27" s="5" t="s">
        <v>1396</v>
      </c>
      <c r="B27" s="10">
        <v>3.6439176</v>
      </c>
      <c r="C27" s="10">
        <v>4.4505486000000003</v>
      </c>
      <c r="D27" s="10">
        <v>4.3238797</v>
      </c>
      <c r="E27" s="5" t="s">
        <v>1391</v>
      </c>
      <c r="F27" s="5" t="s">
        <v>627</v>
      </c>
      <c r="G27" s="5" t="s">
        <v>1392</v>
      </c>
    </row>
    <row r="28" spans="1:8">
      <c r="A28" s="5" t="s">
        <v>1397</v>
      </c>
      <c r="B28" s="10">
        <v>2.4890219999999998</v>
      </c>
      <c r="C28" s="10">
        <v>3.9252937000000001</v>
      </c>
      <c r="D28" s="10">
        <v>4.8174533999999998</v>
      </c>
      <c r="E28" s="5" t="s">
        <v>1391</v>
      </c>
      <c r="F28" s="5" t="s">
        <v>627</v>
      </c>
      <c r="G28" s="5" t="s">
        <v>1392</v>
      </c>
    </row>
    <row r="29" spans="1:8">
      <c r="A29" s="5" t="s">
        <v>1398</v>
      </c>
      <c r="B29" s="10">
        <v>3.9955196000000002</v>
      </c>
      <c r="C29" s="10">
        <v>4.2567089999999999</v>
      </c>
      <c r="D29" s="10">
        <v>3.9959383000000002</v>
      </c>
      <c r="E29" s="5" t="s">
        <v>1391</v>
      </c>
      <c r="F29" s="5" t="s">
        <v>627</v>
      </c>
      <c r="G29" s="5" t="s">
        <v>1392</v>
      </c>
    </row>
    <row r="30" spans="1:8">
      <c r="A30" s="5" t="s">
        <v>1399</v>
      </c>
      <c r="B30" s="10"/>
      <c r="C30" s="10">
        <v>3.2951157000000002</v>
      </c>
      <c r="D30" s="10">
        <v>4.4070396000000001</v>
      </c>
      <c r="E30" s="5" t="s">
        <v>1391</v>
      </c>
      <c r="F30" s="5" t="s">
        <v>627</v>
      </c>
      <c r="G30" s="5" t="s">
        <v>1392</v>
      </c>
      <c r="H30" s="5" t="s">
        <v>693</v>
      </c>
    </row>
    <row r="31" spans="1:8">
      <c r="A31" s="5" t="s">
        <v>1400</v>
      </c>
      <c r="B31" s="10"/>
      <c r="C31" s="10">
        <v>2.4953455999999998</v>
      </c>
      <c r="D31" s="10">
        <v>2.1938447999999999</v>
      </c>
      <c r="E31" s="5" t="s">
        <v>1391</v>
      </c>
      <c r="F31" s="5" t="s">
        <v>627</v>
      </c>
      <c r="G31" s="5" t="s">
        <v>1392</v>
      </c>
    </row>
    <row r="32" spans="1:8">
      <c r="A32" s="5" t="s">
        <v>1401</v>
      </c>
      <c r="B32" s="10"/>
      <c r="C32" s="10">
        <v>2.0399215000000002</v>
      </c>
      <c r="D32" s="10">
        <v>2.2210516999999999</v>
      </c>
      <c r="E32" s="5" t="s">
        <v>1391</v>
      </c>
      <c r="F32" s="5" t="s">
        <v>627</v>
      </c>
      <c r="G32" s="5" t="s">
        <v>1392</v>
      </c>
    </row>
    <row r="45" spans="1:8">
      <c r="A45" s="5" t="s">
        <v>833</v>
      </c>
    </row>
    <row r="46" spans="1:8">
      <c r="A46" s="5">
        <v>8</v>
      </c>
      <c r="B46" s="10">
        <v>2.0310907</v>
      </c>
      <c r="C46" s="10">
        <v>2.0720972999999998</v>
      </c>
      <c r="D46" s="10">
        <v>2.3783994000000002</v>
      </c>
      <c r="E46" s="10">
        <v>3.384468</v>
      </c>
      <c r="F46" s="10">
        <v>3.2639326999999998</v>
      </c>
      <c r="G46" s="10">
        <v>2.9861960000000001</v>
      </c>
      <c r="H46" s="5">
        <f>AVERAGE(B46:G46)</f>
        <v>2.6860306833333336</v>
      </c>
    </row>
    <row r="47" spans="1:8">
      <c r="A47" s="5">
        <v>24</v>
      </c>
      <c r="B47" s="10">
        <v>2.4290604999999998</v>
      </c>
      <c r="C47" s="10">
        <v>3.8047013000000001</v>
      </c>
      <c r="D47" s="10">
        <v>2.2582946000000002</v>
      </c>
      <c r="E47" s="10">
        <v>3.4396868</v>
      </c>
      <c r="F47" s="10">
        <v>3.2918677000000001</v>
      </c>
      <c r="G47" s="10">
        <v>3.2701983000000001</v>
      </c>
      <c r="H47" s="5">
        <f>AVERAGE(B47:G47)</f>
        <v>3.0823015333333337</v>
      </c>
    </row>
    <row r="48" spans="1:8">
      <c r="A48" s="5">
        <v>48</v>
      </c>
      <c r="B48" s="10">
        <v>2.2818580000000002</v>
      </c>
      <c r="C48" s="10">
        <v>2.0575671</v>
      </c>
      <c r="D48" s="10">
        <v>2.7821506999999999</v>
      </c>
      <c r="E48" s="10">
        <v>3.3448153</v>
      </c>
      <c r="F48" s="10">
        <v>3.6261315000000001</v>
      </c>
      <c r="G48" s="10">
        <v>2.5533055999999998</v>
      </c>
      <c r="H48" s="5">
        <f>AVERAGE(B48:G48)</f>
        <v>2.7743046999999996</v>
      </c>
    </row>
    <row r="50" spans="1:6">
      <c r="A50" s="5" t="s">
        <v>834</v>
      </c>
      <c r="B50" s="5">
        <v>8</v>
      </c>
      <c r="C50" s="5">
        <v>24</v>
      </c>
      <c r="D50" s="5">
        <v>48</v>
      </c>
    </row>
    <row r="51" spans="1:6">
      <c r="A51" s="5">
        <v>1</v>
      </c>
      <c r="B51" s="17"/>
      <c r="C51" s="10"/>
      <c r="D51" s="10">
        <v>2.4857844999999998</v>
      </c>
      <c r="F51" s="5">
        <f>0.080469</f>
        <v>8.0468999999999999E-2</v>
      </c>
    </row>
    <row r="52" spans="1:6">
      <c r="A52" s="5">
        <v>2</v>
      </c>
      <c r="B52" s="17"/>
      <c r="C52" s="10"/>
      <c r="D52" s="10">
        <v>2.0315413000000002</v>
      </c>
      <c r="F52" s="5">
        <v>6.2080000000000003E-2</v>
      </c>
    </row>
    <row r="53" spans="1:6">
      <c r="A53" s="5">
        <v>3</v>
      </c>
      <c r="B53" s="17"/>
      <c r="C53" s="10"/>
      <c r="D53" s="10">
        <v>2.0006927999999999</v>
      </c>
      <c r="F53" s="5">
        <v>6.4299999999999996E-2</v>
      </c>
    </row>
    <row r="54" spans="1:6">
      <c r="A54" s="5">
        <v>4</v>
      </c>
      <c r="B54" s="17"/>
      <c r="C54" s="10">
        <v>2.4403095000000001</v>
      </c>
      <c r="D54" s="10">
        <v>2.4009103999999999</v>
      </c>
      <c r="F54" s="5">
        <f>0.09703</f>
        <v>9.7030000000000005E-2</v>
      </c>
    </row>
    <row r="55" spans="1:6">
      <c r="A55" s="5">
        <v>5</v>
      </c>
      <c r="B55" s="17">
        <v>2.4714274000000001</v>
      </c>
      <c r="C55" s="10">
        <v>2.972394</v>
      </c>
      <c r="D55" s="10">
        <v>3.6646070000000002</v>
      </c>
      <c r="F55" s="5">
        <v>3.9620000000000002E-2</v>
      </c>
    </row>
    <row r="56" spans="1:6">
      <c r="A56" s="5">
        <v>6</v>
      </c>
      <c r="B56" s="17">
        <v>2.2652291999999998</v>
      </c>
      <c r="C56" s="10">
        <v>3.3127928</v>
      </c>
      <c r="D56" s="10">
        <v>2.5785407999999999</v>
      </c>
      <c r="F56" s="10">
        <v>0.2021</v>
      </c>
    </row>
    <row r="57" spans="1:6">
      <c r="A57" s="5">
        <v>7</v>
      </c>
      <c r="B57" s="17">
        <v>2.2626428999999999</v>
      </c>
      <c r="C57" s="10">
        <v>2.5350199</v>
      </c>
      <c r="D57" s="10">
        <v>2.5151935000000001</v>
      </c>
      <c r="F57" s="5">
        <v>8.405E-2</v>
      </c>
    </row>
    <row r="58" spans="1:6">
      <c r="A58" s="5">
        <v>8</v>
      </c>
      <c r="B58" s="17">
        <v>4.4594072999999996</v>
      </c>
      <c r="C58" s="10">
        <v>3.8608221999999999</v>
      </c>
      <c r="D58" s="10">
        <v>2.1724543999999999</v>
      </c>
      <c r="F58" s="5">
        <v>0.15067</v>
      </c>
    </row>
    <row r="59" spans="1:6">
      <c r="A59" s="5">
        <v>9</v>
      </c>
      <c r="B59" s="17"/>
      <c r="C59" s="10">
        <v>2.4181089999999998</v>
      </c>
      <c r="D59" s="10">
        <v>2.0497402999999998</v>
      </c>
      <c r="F59" s="10">
        <v>0.10237</v>
      </c>
    </row>
    <row r="60" spans="1:6">
      <c r="A60" s="5">
        <v>10</v>
      </c>
      <c r="B60" s="17">
        <v>2.3411007000000001</v>
      </c>
      <c r="C60" s="10">
        <v>2.8032460000000001</v>
      </c>
      <c r="D60" s="10">
        <v>2.1271266999999998</v>
      </c>
      <c r="F60" s="10">
        <v>0.21379000000000001</v>
      </c>
    </row>
    <row r="61" spans="1:6">
      <c r="A61" s="5">
        <v>11</v>
      </c>
      <c r="B61" s="10">
        <v>4.0937960000000002</v>
      </c>
      <c r="C61" s="10">
        <v>4.6559524999999997</v>
      </c>
      <c r="D61" s="10">
        <v>2.638754</v>
      </c>
      <c r="F61" s="5">
        <v>8.9539999999999995E-2</v>
      </c>
    </row>
    <row r="62" spans="1:6">
      <c r="A62" s="5">
        <v>12</v>
      </c>
      <c r="B62" s="17">
        <v>3.8327016999999999</v>
      </c>
      <c r="C62" s="10">
        <v>4.9457655000000003</v>
      </c>
      <c r="D62" s="10">
        <v>2.6404830000000001</v>
      </c>
      <c r="F62" s="10">
        <v>7.8759999999999997E-2</v>
      </c>
    </row>
    <row r="63" spans="1:6">
      <c r="A63" s="5">
        <v>13</v>
      </c>
      <c r="B63" s="18">
        <v>3.07443</v>
      </c>
      <c r="C63" s="19">
        <v>3.6248583999999999</v>
      </c>
      <c r="D63" s="19">
        <v>2.5586380000000002</v>
      </c>
      <c r="F63" s="10">
        <v>0.1368</v>
      </c>
    </row>
    <row r="64" spans="1:6">
      <c r="A64" s="20">
        <v>14</v>
      </c>
      <c r="B64" s="5">
        <f>AVERAGE(B51:B63)</f>
        <v>3.1000918999999998</v>
      </c>
      <c r="C64" s="5">
        <f>AVERAGE(C51:C63)</f>
        <v>3.3569269799999999</v>
      </c>
      <c r="D64" s="5">
        <f>AVERAGE(D51:D63)</f>
        <v>2.4511128230769228</v>
      </c>
      <c r="F64" s="10">
        <v>9.3439999999999995E-2</v>
      </c>
    </row>
    <row r="65" spans="1:6">
      <c r="F65" s="10">
        <v>0.12870000000000001</v>
      </c>
    </row>
    <row r="66" spans="1:6">
      <c r="F66" s="10">
        <v>0.1108</v>
      </c>
    </row>
    <row r="67" spans="1:6">
      <c r="F67" s="10">
        <v>0.1045</v>
      </c>
    </row>
    <row r="68" spans="1:6">
      <c r="A68" s="5" t="s">
        <v>835</v>
      </c>
      <c r="B68" s="5">
        <v>8</v>
      </c>
      <c r="C68" s="5">
        <v>24</v>
      </c>
      <c r="D68" s="5">
        <v>48</v>
      </c>
      <c r="F68" s="10">
        <v>8.9300000000000004E-2</v>
      </c>
    </row>
    <row r="69" spans="1:6">
      <c r="A69" s="5">
        <v>1</v>
      </c>
      <c r="B69" s="10">
        <v>2.2868433000000001</v>
      </c>
      <c r="C69" s="10">
        <v>2.7557019999999999</v>
      </c>
      <c r="D69" s="10">
        <v>2.050694</v>
      </c>
    </row>
    <row r="70" spans="1:6">
      <c r="A70" s="5">
        <v>2</v>
      </c>
      <c r="B70" s="10">
        <v>2.3990064000000002</v>
      </c>
      <c r="C70" s="10">
        <v>3.3213157999999998</v>
      </c>
      <c r="D70" s="10">
        <v>3.2685366</v>
      </c>
    </row>
    <row r="71" spans="1:6">
      <c r="A71" s="5">
        <v>3</v>
      </c>
      <c r="B71" s="10">
        <v>3.6439176</v>
      </c>
      <c r="C71" s="10">
        <v>4.4505486000000003</v>
      </c>
      <c r="D71" s="10">
        <v>4.3238797</v>
      </c>
    </row>
    <row r="72" spans="1:6">
      <c r="A72" s="5">
        <v>4</v>
      </c>
      <c r="B72" s="10">
        <v>2.4890219999999998</v>
      </c>
      <c r="C72" s="10">
        <v>3.9252937000000001</v>
      </c>
      <c r="D72" s="10">
        <v>4.8174533999999998</v>
      </c>
    </row>
    <row r="73" spans="1:6">
      <c r="A73" s="5">
        <v>5</v>
      </c>
      <c r="B73" s="10">
        <v>3.9955196000000002</v>
      </c>
      <c r="C73" s="10">
        <v>4.2567089999999999</v>
      </c>
      <c r="D73" s="10">
        <v>3.9959383000000002</v>
      </c>
    </row>
    <row r="74" spans="1:6">
      <c r="A74" s="5">
        <v>6</v>
      </c>
      <c r="B74" s="10"/>
      <c r="C74" s="10">
        <v>3.2951157000000002</v>
      </c>
      <c r="D74" s="10">
        <v>4.4070396000000001</v>
      </c>
    </row>
    <row r="75" spans="1:6">
      <c r="A75" s="5">
        <v>7</v>
      </c>
      <c r="B75" s="10"/>
      <c r="C75" s="10">
        <v>2.4953455999999998</v>
      </c>
      <c r="D75" s="10">
        <v>2.1938447999999999</v>
      </c>
    </row>
    <row r="76" spans="1:6">
      <c r="A76" s="5">
        <v>8</v>
      </c>
      <c r="B76" s="10"/>
      <c r="C76" s="10">
        <v>2.0399215000000002</v>
      </c>
      <c r="D76" s="10">
        <v>2.2210516999999999</v>
      </c>
    </row>
    <row r="77" spans="1:6">
      <c r="A77" s="5">
        <v>9</v>
      </c>
      <c r="C77" s="10">
        <v>2.6103844999999999</v>
      </c>
      <c r="D77" s="10">
        <v>3.6278736999999999</v>
      </c>
    </row>
    <row r="78" spans="1:6">
      <c r="A78" s="5">
        <v>10</v>
      </c>
      <c r="B78" s="5">
        <f>AVERAGE(B69:B77)</f>
        <v>2.9628617799999999</v>
      </c>
      <c r="C78" s="5">
        <f>AVERAGE(C69:C77)</f>
        <v>3.2389262666666672</v>
      </c>
      <c r="D78" s="5">
        <f>AVERAGE(D69:D77)</f>
        <v>3.4340346444444445</v>
      </c>
    </row>
    <row r="88" spans="1:7">
      <c r="A88" s="5" t="s">
        <v>1197</v>
      </c>
      <c r="B88" s="10"/>
      <c r="C88" s="10"/>
      <c r="D88" s="10">
        <v>-2.0025271999999998</v>
      </c>
      <c r="E88" s="5" t="s">
        <v>1200</v>
      </c>
      <c r="F88" s="5" t="s">
        <v>591</v>
      </c>
      <c r="G88" s="5" t="s">
        <v>1201</v>
      </c>
    </row>
    <row r="89" spans="1:7">
      <c r="A89" s="5" t="s">
        <v>1291</v>
      </c>
      <c r="B89" s="10"/>
      <c r="C89" s="10"/>
      <c r="D89" s="10">
        <v>-2.41778</v>
      </c>
      <c r="E89" s="5" t="s">
        <v>1292</v>
      </c>
      <c r="F89" s="5" t="s">
        <v>591</v>
      </c>
      <c r="G89" s="5" t="s">
        <v>1293</v>
      </c>
    </row>
    <row r="90" spans="1:7">
      <c r="A90" s="5" t="s">
        <v>1294</v>
      </c>
      <c r="B90" s="10"/>
      <c r="C90" s="10">
        <v>-2.0043855000000002</v>
      </c>
      <c r="D90" s="10">
        <v>-2.8835092000000002</v>
      </c>
      <c r="E90" s="5" t="s">
        <v>1292</v>
      </c>
      <c r="F90" s="5" t="s">
        <v>591</v>
      </c>
      <c r="G90" s="5" t="s">
        <v>1293</v>
      </c>
    </row>
    <row r="91" spans="1:7">
      <c r="A91" s="5" t="s">
        <v>1295</v>
      </c>
      <c r="B91" s="10"/>
      <c r="C91" s="10"/>
      <c r="D91" s="10">
        <v>-2.5649294999999999</v>
      </c>
      <c r="E91" s="5" t="s">
        <v>1292</v>
      </c>
      <c r="F91" s="5" t="s">
        <v>591</v>
      </c>
      <c r="G91" s="5" t="s">
        <v>1293</v>
      </c>
    </row>
    <row r="92" spans="1:7">
      <c r="A92" s="5" t="s">
        <v>608</v>
      </c>
      <c r="B92" s="10">
        <v>-2.9375029000000001</v>
      </c>
      <c r="C92" s="10">
        <v>-3.0255774999999998</v>
      </c>
      <c r="D92" s="10">
        <v>-3.6618338000000001</v>
      </c>
      <c r="E92" s="5" t="s">
        <v>609</v>
      </c>
      <c r="F92" s="5" t="s">
        <v>610</v>
      </c>
      <c r="G92" s="5" t="s">
        <v>611</v>
      </c>
    </row>
    <row r="93" spans="1:7">
      <c r="A93" s="5" t="s">
        <v>612</v>
      </c>
      <c r="B93" s="10">
        <v>-3.2912545</v>
      </c>
      <c r="C93" s="10">
        <v>-3.6411661999999998</v>
      </c>
      <c r="D93" s="10">
        <v>-4.3774246999999997</v>
      </c>
      <c r="E93" s="5" t="s">
        <v>609</v>
      </c>
      <c r="F93" s="5" t="s">
        <v>610</v>
      </c>
      <c r="G93" s="5" t="s">
        <v>611</v>
      </c>
    </row>
    <row r="94" spans="1:7">
      <c r="A94" s="5" t="s">
        <v>613</v>
      </c>
      <c r="B94" s="10">
        <v>-3.2541465999999999</v>
      </c>
      <c r="C94" s="10">
        <v>-3.7440642999999998</v>
      </c>
      <c r="D94" s="10">
        <v>-4.5704184000000003</v>
      </c>
      <c r="E94" s="5" t="s">
        <v>609</v>
      </c>
      <c r="F94" s="5" t="s">
        <v>610</v>
      </c>
      <c r="G94" s="5" t="s">
        <v>611</v>
      </c>
    </row>
    <row r="95" spans="1:7">
      <c r="A95" s="5" t="s">
        <v>644</v>
      </c>
      <c r="B95" s="10"/>
      <c r="C95" s="10"/>
      <c r="D95" s="10">
        <v>-2.0661855</v>
      </c>
      <c r="E95" s="5" t="s">
        <v>645</v>
      </c>
      <c r="F95" s="5" t="s">
        <v>646</v>
      </c>
      <c r="G95" s="5" t="s">
        <v>647</v>
      </c>
    </row>
    <row r="96" spans="1:7">
      <c r="A96" s="5" t="s">
        <v>648</v>
      </c>
      <c r="B96" s="10"/>
      <c r="C96" s="10"/>
      <c r="D96" s="10">
        <v>-2.8667574</v>
      </c>
      <c r="E96" s="5" t="s">
        <v>649</v>
      </c>
      <c r="F96" s="5" t="s">
        <v>650</v>
      </c>
      <c r="G96" s="5" t="s">
        <v>651</v>
      </c>
    </row>
    <row r="97" spans="1:8">
      <c r="A97" s="5" t="s">
        <v>652</v>
      </c>
      <c r="B97" s="10"/>
      <c r="C97" s="10"/>
      <c r="D97" s="10">
        <v>-4.4597154000000003</v>
      </c>
      <c r="E97" s="5" t="s">
        <v>649</v>
      </c>
      <c r="F97" s="5" t="s">
        <v>650</v>
      </c>
      <c r="G97" s="5" t="s">
        <v>651</v>
      </c>
    </row>
    <row r="98" spans="1:8">
      <c r="A98" s="5" t="s">
        <v>653</v>
      </c>
      <c r="B98" s="10">
        <v>-2.9762757</v>
      </c>
      <c r="C98" s="10">
        <v>-4.6078700000000001</v>
      </c>
      <c r="D98" s="10"/>
      <c r="E98" s="5" t="s">
        <v>654</v>
      </c>
      <c r="F98" s="5" t="s">
        <v>655</v>
      </c>
      <c r="G98" s="5" t="s">
        <v>656</v>
      </c>
    </row>
    <row r="99" spans="1:8">
      <c r="A99" s="5" t="s">
        <v>589</v>
      </c>
      <c r="B99" s="10">
        <v>-3.0331106000000001</v>
      </c>
      <c r="C99" s="10">
        <v>-3.059596</v>
      </c>
      <c r="D99" s="10">
        <v>-5.2993927000000003</v>
      </c>
      <c r="E99" s="5" t="s">
        <v>590</v>
      </c>
      <c r="F99" s="5" t="s">
        <v>591</v>
      </c>
      <c r="G99" s="5" t="s">
        <v>592</v>
      </c>
    </row>
    <row r="100" spans="1:8">
      <c r="A100" s="5" t="s">
        <v>593</v>
      </c>
      <c r="B100" s="10">
        <v>-2.9202436999999999</v>
      </c>
      <c r="C100" s="10">
        <v>-3.3310876</v>
      </c>
      <c r="D100" s="10">
        <v>-5.7892060000000001</v>
      </c>
      <c r="E100" s="5" t="s">
        <v>590</v>
      </c>
      <c r="F100" s="5" t="s">
        <v>591</v>
      </c>
      <c r="G100" s="5" t="s">
        <v>592</v>
      </c>
    </row>
    <row r="101" spans="1:8">
      <c r="A101" s="5" t="s">
        <v>594</v>
      </c>
      <c r="B101" s="10"/>
      <c r="C101" s="10"/>
      <c r="D101" s="10">
        <v>-2.0015917000000001</v>
      </c>
      <c r="E101" s="5" t="s">
        <v>595</v>
      </c>
      <c r="F101" s="5" t="s">
        <v>591</v>
      </c>
      <c r="G101" s="5" t="s">
        <v>596</v>
      </c>
    </row>
    <row r="102" spans="1:8">
      <c r="A102" s="5" t="s">
        <v>712</v>
      </c>
      <c r="B102" s="10">
        <v>-2.0105976999999999</v>
      </c>
      <c r="C102" s="10">
        <v>-3.3419256000000002</v>
      </c>
      <c r="D102" s="10">
        <v>-3.6186289999999999</v>
      </c>
      <c r="E102" s="5" t="s">
        <v>713</v>
      </c>
      <c r="G102" s="5" t="s">
        <v>714</v>
      </c>
    </row>
    <row r="103" spans="1:8">
      <c r="A103" s="5" t="s">
        <v>715</v>
      </c>
      <c r="B103" s="10"/>
      <c r="C103" s="10"/>
      <c r="D103" s="10">
        <v>-2.4287429999999999</v>
      </c>
      <c r="E103" s="5" t="s">
        <v>713</v>
      </c>
      <c r="G103" s="5" t="s">
        <v>716</v>
      </c>
    </row>
    <row r="104" spans="1:8">
      <c r="A104" s="5" t="s">
        <v>717</v>
      </c>
      <c r="B104" s="10"/>
      <c r="C104" s="10"/>
      <c r="D104" s="10">
        <v>-2.0242871999999998</v>
      </c>
      <c r="E104" s="5" t="s">
        <v>713</v>
      </c>
      <c r="G104" s="5" t="s">
        <v>718</v>
      </c>
    </row>
    <row r="105" spans="1:8">
      <c r="A105" s="5" t="s">
        <v>723</v>
      </c>
      <c r="B105" s="10">
        <v>-2.9506115999999998</v>
      </c>
      <c r="C105" s="10">
        <v>-3.4669576000000002</v>
      </c>
      <c r="D105" s="10">
        <v>-3.9335789999999999</v>
      </c>
      <c r="E105" s="5" t="s">
        <v>724</v>
      </c>
      <c r="F105" s="5" t="s">
        <v>621</v>
      </c>
      <c r="G105" s="5" t="s">
        <v>725</v>
      </c>
    </row>
    <row r="106" spans="1:8">
      <c r="A106" s="5" t="s">
        <v>726</v>
      </c>
      <c r="B106" s="10"/>
      <c r="C106" s="10"/>
      <c r="D106" s="10">
        <v>-4.0644216999999996</v>
      </c>
      <c r="E106" s="5" t="s">
        <v>727</v>
      </c>
      <c r="F106" s="5" t="s">
        <v>728</v>
      </c>
      <c r="G106" s="5" t="s">
        <v>729</v>
      </c>
    </row>
    <row r="107" spans="1:8">
      <c r="A107" s="5" t="s">
        <v>730</v>
      </c>
      <c r="B107" s="10"/>
      <c r="C107" s="10"/>
      <c r="D107" s="10">
        <v>-2.1049275000000001</v>
      </c>
      <c r="E107" s="5" t="s">
        <v>731</v>
      </c>
      <c r="F107" s="5" t="s">
        <v>627</v>
      </c>
      <c r="G107" s="5" t="s">
        <v>732</v>
      </c>
    </row>
    <row r="108" spans="1:8">
      <c r="A108" s="5" t="s">
        <v>733</v>
      </c>
      <c r="B108" s="10"/>
      <c r="C108" s="10"/>
      <c r="D108" s="10">
        <v>-2.1717577000000001</v>
      </c>
      <c r="E108" s="5" t="s">
        <v>734</v>
      </c>
      <c r="F108" s="5" t="s">
        <v>735</v>
      </c>
      <c r="G108" s="5" t="s">
        <v>736</v>
      </c>
      <c r="H108" s="5" t="s">
        <v>737</v>
      </c>
    </row>
    <row r="109" spans="1:8">
      <c r="A109" s="5" t="s">
        <v>738</v>
      </c>
      <c r="B109" s="10"/>
      <c r="C109" s="10"/>
      <c r="D109" s="10">
        <v>-2.1405911</v>
      </c>
      <c r="E109" s="5" t="s">
        <v>739</v>
      </c>
      <c r="F109" s="5" t="s">
        <v>740</v>
      </c>
      <c r="G109" s="5" t="s">
        <v>741</v>
      </c>
    </row>
    <row r="110" spans="1:8">
      <c r="A110" s="5" t="s">
        <v>742</v>
      </c>
      <c r="B110" s="10"/>
      <c r="C110" s="10"/>
      <c r="D110" s="10">
        <v>-2.1975546000000001</v>
      </c>
      <c r="E110" s="5" t="s">
        <v>743</v>
      </c>
      <c r="F110" s="5" t="s">
        <v>744</v>
      </c>
      <c r="G110" s="5" t="s">
        <v>745</v>
      </c>
    </row>
    <row r="111" spans="1:8">
      <c r="A111" s="5" t="s">
        <v>1081</v>
      </c>
      <c r="B111" s="10">
        <v>-4.789072</v>
      </c>
      <c r="C111" s="10">
        <v>-4.8427220000000002</v>
      </c>
      <c r="D111" s="10"/>
      <c r="E111" s="5" t="s">
        <v>1082</v>
      </c>
      <c r="F111" s="5" t="s">
        <v>655</v>
      </c>
      <c r="G111" s="5" t="s">
        <v>1083</v>
      </c>
    </row>
    <row r="112" spans="1:8">
      <c r="A112" s="5" t="s">
        <v>1084</v>
      </c>
      <c r="B112" s="10"/>
      <c r="C112" s="10">
        <v>-5.4334064</v>
      </c>
      <c r="D112" s="10"/>
      <c r="E112" s="5" t="s">
        <v>1082</v>
      </c>
      <c r="F112" s="5" t="s">
        <v>655</v>
      </c>
      <c r="G112" s="5" t="s">
        <v>1083</v>
      </c>
    </row>
    <row r="113" spans="1:8">
      <c r="A113" s="5" t="s">
        <v>1085</v>
      </c>
      <c r="B113" s="10">
        <v>-5.4970309999999998</v>
      </c>
      <c r="C113" s="10">
        <v>-5.6932383</v>
      </c>
      <c r="D113" s="10"/>
      <c r="E113" s="5" t="s">
        <v>1082</v>
      </c>
      <c r="F113" s="5" t="s">
        <v>655</v>
      </c>
      <c r="G113" s="5" t="s">
        <v>1083</v>
      </c>
    </row>
    <row r="114" spans="1:8">
      <c r="A114" s="5" t="s">
        <v>1086</v>
      </c>
      <c r="B114" s="10"/>
      <c r="C114" s="10"/>
      <c r="D114" s="10"/>
      <c r="E114" s="5" t="s">
        <v>1082</v>
      </c>
      <c r="F114" s="5" t="s">
        <v>655</v>
      </c>
      <c r="G114" s="5" t="s">
        <v>1083</v>
      </c>
    </row>
    <row r="115" spans="1:8">
      <c r="A115" s="5" t="s">
        <v>1087</v>
      </c>
      <c r="B115" s="10"/>
      <c r="C115" s="10"/>
      <c r="D115" s="10">
        <v>-2.0335264</v>
      </c>
      <c r="E115" s="5" t="s">
        <v>1088</v>
      </c>
      <c r="F115" s="5" t="s">
        <v>655</v>
      </c>
      <c r="G115" s="5" t="s">
        <v>1089</v>
      </c>
    </row>
    <row r="116" spans="1:8">
      <c r="A116" s="5" t="s">
        <v>1090</v>
      </c>
      <c r="B116" s="10"/>
      <c r="C116" s="10"/>
      <c r="D116" s="10">
        <v>-2.2840284999999998</v>
      </c>
      <c r="E116" s="5" t="s">
        <v>1088</v>
      </c>
      <c r="F116" s="5" t="s">
        <v>655</v>
      </c>
      <c r="G116" s="5" t="s">
        <v>1089</v>
      </c>
    </row>
    <row r="117" spans="1:8">
      <c r="A117" s="5" t="s">
        <v>1168</v>
      </c>
      <c r="B117" s="10">
        <v>-5.4354620000000002</v>
      </c>
      <c r="C117" s="10">
        <v>-6.5984850000000002</v>
      </c>
      <c r="D117" s="10">
        <v>-4.0098010000000004</v>
      </c>
      <c r="E117" s="5" t="s">
        <v>1169</v>
      </c>
      <c r="F117" s="5" t="s">
        <v>655</v>
      </c>
      <c r="G117" s="5" t="s">
        <v>1170</v>
      </c>
    </row>
    <row r="118" spans="1:8">
      <c r="A118" s="5" t="s">
        <v>1171</v>
      </c>
      <c r="B118" s="10">
        <v>-4.1745042999999997</v>
      </c>
      <c r="C118" s="10">
        <v>-4.4939631999999996</v>
      </c>
      <c r="D118" s="10"/>
      <c r="E118" s="5" t="s">
        <v>1169</v>
      </c>
      <c r="F118" s="5" t="s">
        <v>655</v>
      </c>
      <c r="G118" s="5" t="s">
        <v>1170</v>
      </c>
    </row>
    <row r="119" spans="1:8">
      <c r="A119" s="5" t="s">
        <v>1172</v>
      </c>
      <c r="B119" s="10"/>
      <c r="C119" s="10">
        <v>-2.3872675999999999</v>
      </c>
      <c r="D119" s="10">
        <v>-2.4584741999999999</v>
      </c>
      <c r="E119" s="5" t="s">
        <v>1173</v>
      </c>
      <c r="F119" s="5" t="s">
        <v>655</v>
      </c>
      <c r="G119" s="5" t="s">
        <v>1174</v>
      </c>
      <c r="H119" s="5" t="s">
        <v>1175</v>
      </c>
    </row>
    <row r="120" spans="1:8">
      <c r="A120" s="5" t="s">
        <v>1176</v>
      </c>
      <c r="B120" s="10"/>
      <c r="C120" s="10"/>
      <c r="D120" s="10">
        <v>-3.2085957999999999</v>
      </c>
      <c r="E120" s="5" t="s">
        <v>1177</v>
      </c>
      <c r="F120" s="5" t="s">
        <v>1178</v>
      </c>
      <c r="G120" s="5" t="s">
        <v>1179</v>
      </c>
    </row>
    <row r="121" spans="1:8">
      <c r="A121" s="5" t="s">
        <v>1180</v>
      </c>
      <c r="B121" s="10"/>
      <c r="C121" s="10"/>
      <c r="D121" s="10">
        <v>-2.7816472000000001</v>
      </c>
      <c r="E121" s="5" t="s">
        <v>1181</v>
      </c>
      <c r="F121" s="5" t="s">
        <v>655</v>
      </c>
      <c r="G121" s="5" t="s">
        <v>1182</v>
      </c>
    </row>
    <row r="124" spans="1:8">
      <c r="C124" s="5" t="s">
        <v>1457</v>
      </c>
    </row>
    <row r="125" spans="1:8">
      <c r="B125" s="5">
        <v>7</v>
      </c>
      <c r="C125" s="5" t="s">
        <v>1453</v>
      </c>
      <c r="D125" s="34">
        <f>B125/73*100</f>
        <v>9.5890410958904102</v>
      </c>
    </row>
    <row r="126" spans="1:8">
      <c r="B126" s="5">
        <v>3</v>
      </c>
      <c r="C126" s="5" t="s">
        <v>1452</v>
      </c>
      <c r="D126" s="34">
        <f>3/73*100</f>
        <v>4.10958904109589</v>
      </c>
    </row>
    <row r="127" spans="1:8">
      <c r="B127" s="5">
        <v>4</v>
      </c>
      <c r="C127" s="5" t="s">
        <v>1454</v>
      </c>
      <c r="D127" s="34">
        <f>4/73*100</f>
        <v>5.4794520547945202</v>
      </c>
    </row>
    <row r="128" spans="1:8">
      <c r="B128" s="5">
        <v>9</v>
      </c>
      <c r="C128" s="5" t="s">
        <v>1455</v>
      </c>
      <c r="D128" s="34">
        <f>9/73*100</f>
        <v>12.328767123287671</v>
      </c>
    </row>
    <row r="129" spans="1:7">
      <c r="B129" s="5">
        <v>11</v>
      </c>
      <c r="C129" s="5" t="s">
        <v>1456</v>
      </c>
      <c r="D129" s="34">
        <f>11/73*100</f>
        <v>15.068493150684931</v>
      </c>
    </row>
    <row r="130" spans="1:7">
      <c r="B130" s="5">
        <v>39</v>
      </c>
      <c r="C130" s="5" t="s">
        <v>1467</v>
      </c>
      <c r="D130" s="34">
        <f>39/73*100</f>
        <v>53.424657534246577</v>
      </c>
    </row>
    <row r="131" spans="1:7">
      <c r="B131" s="5">
        <f>34+39</f>
        <v>73</v>
      </c>
    </row>
    <row r="133" spans="1:7" s="24" customFormat="1">
      <c r="A133" s="24" t="s">
        <v>1221</v>
      </c>
      <c r="B133" s="33"/>
      <c r="C133" s="33"/>
      <c r="D133" s="33">
        <v>-2.3917250000000001</v>
      </c>
      <c r="E133" s="24" t="s">
        <v>1222</v>
      </c>
      <c r="F133" s="24" t="s">
        <v>751</v>
      </c>
      <c r="G133" s="24" t="s">
        <v>1223</v>
      </c>
    </row>
    <row r="134" spans="1:7" s="24" customFormat="1">
      <c r="A134" s="24" t="s">
        <v>1224</v>
      </c>
      <c r="B134" s="33"/>
      <c r="C134" s="33"/>
      <c r="D134" s="33">
        <v>-4.6515117000000004</v>
      </c>
      <c r="E134" s="24" t="s">
        <v>1222</v>
      </c>
      <c r="F134" s="24" t="s">
        <v>1225</v>
      </c>
      <c r="G134" s="24" t="s">
        <v>1226</v>
      </c>
    </row>
    <row r="135" spans="1:7" s="24" customFormat="1">
      <c r="A135" s="24" t="s">
        <v>1227</v>
      </c>
      <c r="B135" s="33"/>
      <c r="C135" s="33">
        <v>-2.6059855999999999</v>
      </c>
      <c r="D135" s="33">
        <v>-4.0988319999999998</v>
      </c>
      <c r="E135" s="24" t="s">
        <v>1222</v>
      </c>
      <c r="F135" s="24" t="s">
        <v>1225</v>
      </c>
      <c r="G135" s="24" t="s">
        <v>1228</v>
      </c>
    </row>
    <row r="136" spans="1:7" s="24" customFormat="1">
      <c r="A136" s="24" t="s">
        <v>1229</v>
      </c>
      <c r="B136" s="33"/>
      <c r="C136" s="33"/>
      <c r="D136" s="33">
        <v>-5.8523053999999997</v>
      </c>
      <c r="E136" s="24" t="s">
        <v>1222</v>
      </c>
      <c r="F136" s="24" t="s">
        <v>1225</v>
      </c>
      <c r="G136" s="24" t="s">
        <v>1226</v>
      </c>
    </row>
    <row r="137" spans="1:7" s="24" customFormat="1">
      <c r="A137" s="24" t="s">
        <v>1230</v>
      </c>
      <c r="B137" s="33"/>
      <c r="C137" s="33"/>
      <c r="D137" s="33">
        <v>-2.1292119999999999</v>
      </c>
      <c r="E137" s="24" t="s">
        <v>1222</v>
      </c>
      <c r="F137" s="24" t="s">
        <v>751</v>
      </c>
      <c r="G137" s="24" t="s">
        <v>1231</v>
      </c>
    </row>
    <row r="138" spans="1:7" s="24" customFormat="1">
      <c r="A138" s="24" t="s">
        <v>1232</v>
      </c>
      <c r="B138" s="33"/>
      <c r="C138" s="33"/>
      <c r="D138" s="33">
        <v>-2.3561580000000002</v>
      </c>
      <c r="E138" s="24" t="s">
        <v>1233</v>
      </c>
    </row>
    <row r="139" spans="1:7" s="24" customFormat="1">
      <c r="A139" s="24" t="s">
        <v>1234</v>
      </c>
      <c r="B139" s="33">
        <v>-3.2242991999999999</v>
      </c>
      <c r="C139" s="33">
        <v>-3.4591148</v>
      </c>
      <c r="D139" s="33">
        <v>-3.8600775999999999</v>
      </c>
      <c r="E139" s="24" t="s">
        <v>1233</v>
      </c>
    </row>
    <row r="140" spans="1:7" s="24" customFormat="1">
      <c r="A140" s="24" t="s">
        <v>1237</v>
      </c>
      <c r="B140" s="33"/>
      <c r="C140" s="33"/>
      <c r="D140" s="33">
        <v>-2.4493592</v>
      </c>
      <c r="E140" s="24" t="s">
        <v>1238</v>
      </c>
      <c r="F140" s="24" t="s">
        <v>1239</v>
      </c>
      <c r="G140" s="24" t="s">
        <v>1240</v>
      </c>
    </row>
    <row r="141" spans="1:7" s="24" customFormat="1">
      <c r="A141" s="24" t="s">
        <v>1242</v>
      </c>
      <c r="B141" s="33"/>
      <c r="C141" s="33">
        <v>-2.6446602000000001</v>
      </c>
      <c r="D141" s="33"/>
      <c r="E141" s="24" t="s">
        <v>1238</v>
      </c>
      <c r="F141" s="24" t="s">
        <v>1239</v>
      </c>
      <c r="G141" s="24" t="s">
        <v>1240</v>
      </c>
    </row>
    <row r="142" spans="1:7" s="24" customFormat="1">
      <c r="A142" s="24" t="s">
        <v>1243</v>
      </c>
      <c r="B142" s="33"/>
      <c r="C142" s="33"/>
      <c r="D142" s="33">
        <v>-2.4737803999999999</v>
      </c>
      <c r="E142" s="24" t="s">
        <v>1244</v>
      </c>
      <c r="F142" s="24" t="s">
        <v>1239</v>
      </c>
      <c r="G142" s="24" t="s">
        <v>1240</v>
      </c>
    </row>
    <row r="143" spans="1:7" s="24" customFormat="1">
      <c r="A143" s="24" t="s">
        <v>1245</v>
      </c>
      <c r="B143" s="33"/>
      <c r="C143" s="33"/>
      <c r="D143" s="33">
        <v>-2.5767622000000001</v>
      </c>
      <c r="E143" s="24" t="s">
        <v>1246</v>
      </c>
      <c r="G143" s="24" t="s">
        <v>1247</v>
      </c>
    </row>
    <row r="144" spans="1:7" s="24" customFormat="1">
      <c r="A144" s="24" t="s">
        <v>1248</v>
      </c>
      <c r="B144" s="33"/>
      <c r="C144" s="33">
        <v>-3.3353448000000001</v>
      </c>
      <c r="D144" s="33"/>
      <c r="E144" s="24" t="s">
        <v>1246</v>
      </c>
      <c r="G144" s="24" t="s">
        <v>1247</v>
      </c>
    </row>
    <row r="145" spans="1:7" s="24" customFormat="1">
      <c r="A145" s="24" t="s">
        <v>1249</v>
      </c>
      <c r="B145" s="33">
        <v>-3.0358567000000001</v>
      </c>
      <c r="C145" s="33">
        <v>-3.4994044</v>
      </c>
      <c r="D145" s="33"/>
      <c r="E145" s="24" t="s">
        <v>1246</v>
      </c>
      <c r="F145" s="24" t="s">
        <v>1239</v>
      </c>
      <c r="G145" s="24" t="s">
        <v>1247</v>
      </c>
    </row>
    <row r="146" spans="1:7" s="24" customFormat="1">
      <c r="A146" s="24" t="s">
        <v>1250</v>
      </c>
      <c r="B146" s="33">
        <v>-2.3265745999999998</v>
      </c>
      <c r="C146" s="33">
        <v>-2.6599075999999999</v>
      </c>
      <c r="D146" s="33"/>
      <c r="E146" s="24" t="s">
        <v>1251</v>
      </c>
      <c r="F146" s="24" t="s">
        <v>1239</v>
      </c>
      <c r="G146" s="24" t="s">
        <v>1252</v>
      </c>
    </row>
    <row r="147" spans="1:7" s="24" customFormat="1">
      <c r="A147" s="24" t="s">
        <v>1253</v>
      </c>
      <c r="B147" s="33"/>
      <c r="C147" s="33"/>
      <c r="D147" s="33">
        <v>-3.4285846000000002</v>
      </c>
      <c r="E147" s="24" t="s">
        <v>1251</v>
      </c>
      <c r="F147" s="24" t="s">
        <v>1239</v>
      </c>
      <c r="G147" s="24" t="s">
        <v>1252</v>
      </c>
    </row>
    <row r="148" spans="1:7" s="24" customFormat="1">
      <c r="A148" s="24" t="s">
        <v>1254</v>
      </c>
      <c r="B148" s="33"/>
      <c r="C148" s="33"/>
      <c r="D148" s="33">
        <v>-2.0951743</v>
      </c>
      <c r="E148" s="24" t="s">
        <v>1251</v>
      </c>
      <c r="F148" s="24" t="s">
        <v>1239</v>
      </c>
      <c r="G148" s="24" t="s">
        <v>1252</v>
      </c>
    </row>
    <row r="149" spans="1:7" s="24" customFormat="1">
      <c r="A149" s="24" t="s">
        <v>1259</v>
      </c>
      <c r="B149" s="33"/>
      <c r="C149" s="33">
        <v>-2.605585</v>
      </c>
      <c r="D149" s="33">
        <v>-2.2503128000000001</v>
      </c>
      <c r="E149" s="24" t="s">
        <v>1256</v>
      </c>
      <c r="F149" s="24" t="s">
        <v>1257</v>
      </c>
      <c r="G149" s="24" t="s">
        <v>1258</v>
      </c>
    </row>
    <row r="150" spans="1:7" s="24" customFormat="1">
      <c r="A150" s="24" t="s">
        <v>1260</v>
      </c>
      <c r="B150" s="33"/>
      <c r="C150" s="33"/>
      <c r="D150" s="33">
        <v>-2.6195908000000001</v>
      </c>
      <c r="E150" s="24" t="s">
        <v>1256</v>
      </c>
      <c r="F150" s="24" t="s">
        <v>1257</v>
      </c>
      <c r="G150" s="24" t="s">
        <v>1258</v>
      </c>
    </row>
    <row r="151" spans="1:7" s="24" customFormat="1">
      <c r="A151" s="24" t="s">
        <v>1261</v>
      </c>
      <c r="B151" s="33"/>
      <c r="C151" s="33"/>
      <c r="D151" s="33">
        <v>-2.1023692999999999</v>
      </c>
      <c r="E151" s="24" t="s">
        <v>1256</v>
      </c>
      <c r="F151" s="24" t="s">
        <v>1257</v>
      </c>
      <c r="G151" s="24" t="s">
        <v>1258</v>
      </c>
    </row>
    <row r="152" spans="1:7" s="24" customFormat="1">
      <c r="A152" s="24" t="s">
        <v>1262</v>
      </c>
      <c r="B152" s="33"/>
      <c r="C152" s="33"/>
      <c r="D152" s="33">
        <v>-2.0977926</v>
      </c>
      <c r="E152" s="24" t="s">
        <v>1256</v>
      </c>
      <c r="F152" s="24" t="s">
        <v>1257</v>
      </c>
      <c r="G152" s="24" t="s">
        <v>1258</v>
      </c>
    </row>
    <row r="153" spans="1:7" s="24" customFormat="1">
      <c r="A153" s="24" t="s">
        <v>1263</v>
      </c>
      <c r="B153" s="33"/>
      <c r="C153" s="33"/>
      <c r="D153" s="33">
        <v>-3.0363183</v>
      </c>
      <c r="E153" s="24" t="s">
        <v>1256</v>
      </c>
      <c r="F153" s="24" t="s">
        <v>1264</v>
      </c>
      <c r="G153" s="24" t="s">
        <v>1247</v>
      </c>
    </row>
    <row r="154" spans="1:7" s="24" customFormat="1">
      <c r="A154" s="24" t="s">
        <v>1265</v>
      </c>
      <c r="B154" s="33"/>
      <c r="C154" s="33"/>
      <c r="D154" s="33">
        <v>-3.0489739999999999</v>
      </c>
      <c r="E154" s="24" t="s">
        <v>1256</v>
      </c>
      <c r="F154" s="24" t="s">
        <v>1264</v>
      </c>
      <c r="G154" s="24" t="s">
        <v>1247</v>
      </c>
    </row>
    <row r="155" spans="1:7" s="24" customFormat="1">
      <c r="A155" s="24" t="s">
        <v>1266</v>
      </c>
      <c r="B155" s="33"/>
      <c r="C155" s="33"/>
      <c r="D155" s="33">
        <v>-2.4497867000000002</v>
      </c>
      <c r="E155" s="24" t="s">
        <v>1256</v>
      </c>
      <c r="F155" s="24" t="s">
        <v>1257</v>
      </c>
      <c r="G155" s="24" t="s">
        <v>1258</v>
      </c>
    </row>
    <row r="156" spans="1:7" s="24" customFormat="1">
      <c r="A156" s="24" t="s">
        <v>1267</v>
      </c>
      <c r="B156" s="33"/>
      <c r="C156" s="33"/>
      <c r="D156" s="33">
        <v>-2.2732382000000002</v>
      </c>
      <c r="E156" s="24" t="s">
        <v>1256</v>
      </c>
      <c r="F156" s="24" t="s">
        <v>1257</v>
      </c>
      <c r="G156" s="24" t="s">
        <v>1258</v>
      </c>
    </row>
    <row r="157" spans="1:7" s="24" customFormat="1">
      <c r="A157" s="24" t="s">
        <v>1268</v>
      </c>
      <c r="B157" s="33"/>
      <c r="C157" s="33"/>
      <c r="D157" s="33">
        <v>-2.689673</v>
      </c>
      <c r="E157" s="24" t="s">
        <v>1256</v>
      </c>
      <c r="F157" s="24" t="s">
        <v>1257</v>
      </c>
      <c r="G157" s="24" t="s">
        <v>1258</v>
      </c>
    </row>
    <row r="158" spans="1:7" s="24" customFormat="1">
      <c r="A158" s="24" t="s">
        <v>1269</v>
      </c>
      <c r="B158" s="33"/>
      <c r="C158" s="33"/>
      <c r="D158" s="33">
        <v>-2.8196734999999999</v>
      </c>
      <c r="E158" s="24" t="s">
        <v>1256</v>
      </c>
      <c r="F158" s="24" t="s">
        <v>1257</v>
      </c>
      <c r="G158" s="24" t="s">
        <v>1258</v>
      </c>
    </row>
    <row r="159" spans="1:7" s="24" customFormat="1">
      <c r="A159" s="24" t="s">
        <v>1270</v>
      </c>
      <c r="B159" s="33">
        <v>-2.3414378</v>
      </c>
      <c r="C159" s="33">
        <v>-2.8026233</v>
      </c>
      <c r="D159" s="33"/>
      <c r="E159" s="24" t="s">
        <v>1256</v>
      </c>
      <c r="F159" s="24" t="s">
        <v>1257</v>
      </c>
      <c r="G159" s="24" t="s">
        <v>1258</v>
      </c>
    </row>
    <row r="160" spans="1:7" s="24" customFormat="1">
      <c r="A160" s="24" t="s">
        <v>1273</v>
      </c>
      <c r="B160" s="33"/>
      <c r="C160" s="33"/>
      <c r="D160" s="33">
        <v>-2.3676772000000001</v>
      </c>
      <c r="E160" s="24" t="s">
        <v>1256</v>
      </c>
      <c r="F160" s="24" t="s">
        <v>1257</v>
      </c>
      <c r="G160" s="24" t="s">
        <v>1258</v>
      </c>
    </row>
    <row r="161" spans="1:7" s="24" customFormat="1">
      <c r="A161" s="24" t="s">
        <v>1274</v>
      </c>
      <c r="B161" s="33"/>
      <c r="C161" s="33">
        <v>-2.0306787000000002</v>
      </c>
      <c r="D161" s="33"/>
      <c r="E161" s="24" t="s">
        <v>1256</v>
      </c>
      <c r="F161" s="24" t="s">
        <v>1257</v>
      </c>
      <c r="G161" s="24" t="s">
        <v>1258</v>
      </c>
    </row>
    <row r="162" spans="1:7" s="24" customFormat="1">
      <c r="A162" s="24" t="s">
        <v>1275</v>
      </c>
      <c r="B162" s="33"/>
      <c r="C162" s="33"/>
      <c r="D162" s="33">
        <v>-2.134954</v>
      </c>
      <c r="E162" s="24" t="s">
        <v>1256</v>
      </c>
      <c r="F162" s="24" t="s">
        <v>1257</v>
      </c>
      <c r="G162" s="24" t="s">
        <v>1258</v>
      </c>
    </row>
    <row r="163" spans="1:7" s="24" customFormat="1">
      <c r="A163" s="24" t="s">
        <v>1276</v>
      </c>
      <c r="B163" s="33"/>
      <c r="C163" s="33"/>
      <c r="D163" s="33">
        <v>-4.4664859999999997</v>
      </c>
      <c r="E163" s="24" t="s">
        <v>1256</v>
      </c>
      <c r="F163" s="24" t="s">
        <v>1257</v>
      </c>
      <c r="G163" s="24" t="s">
        <v>1258</v>
      </c>
    </row>
    <row r="164" spans="1:7" s="24" customFormat="1">
      <c r="A164" s="24" t="s">
        <v>1277</v>
      </c>
      <c r="B164" s="33"/>
      <c r="C164" s="33"/>
      <c r="D164" s="33">
        <v>-2.1095586000000002</v>
      </c>
      <c r="E164" s="24" t="s">
        <v>1256</v>
      </c>
      <c r="F164" s="24" t="s">
        <v>1257</v>
      </c>
      <c r="G164" s="24" t="s">
        <v>1258</v>
      </c>
    </row>
    <row r="165" spans="1:7" s="24" customFormat="1">
      <c r="A165" s="24" t="s">
        <v>1279</v>
      </c>
      <c r="B165" s="33"/>
      <c r="C165" s="33"/>
      <c r="D165" s="33">
        <v>-2.4119459999999999</v>
      </c>
      <c r="E165" s="24" t="s">
        <v>1256</v>
      </c>
      <c r="F165" s="24" t="s">
        <v>1257</v>
      </c>
      <c r="G165" s="24" t="s">
        <v>1258</v>
      </c>
    </row>
    <row r="166" spans="1:7" s="24" customFormat="1">
      <c r="A166" s="24" t="s">
        <v>1281</v>
      </c>
      <c r="B166" s="33"/>
      <c r="C166" s="33"/>
      <c r="D166" s="33">
        <v>-2.1620898</v>
      </c>
      <c r="E166" s="24" t="s">
        <v>1256</v>
      </c>
      <c r="F166" s="24" t="s">
        <v>1264</v>
      </c>
    </row>
    <row r="167" spans="1:7" s="24" customFormat="1">
      <c r="A167" s="24" t="s">
        <v>1282</v>
      </c>
      <c r="B167" s="33"/>
      <c r="C167" s="33"/>
      <c r="D167" s="33">
        <v>-6.2922453999999997</v>
      </c>
      <c r="E167" s="24" t="s">
        <v>1256</v>
      </c>
      <c r="F167" s="24" t="s">
        <v>1257</v>
      </c>
      <c r="G167" s="24" t="s">
        <v>1258</v>
      </c>
    </row>
    <row r="168" spans="1:7" s="24" customFormat="1">
      <c r="A168" s="24" t="s">
        <v>1283</v>
      </c>
      <c r="B168" s="33"/>
      <c r="C168" s="33"/>
      <c r="D168" s="33">
        <v>-2.3419712000000001</v>
      </c>
      <c r="E168" s="24" t="s">
        <v>1256</v>
      </c>
      <c r="F168" s="24" t="s">
        <v>1257</v>
      </c>
      <c r="G168" s="24" t="s">
        <v>1258</v>
      </c>
    </row>
    <row r="169" spans="1:7" s="24" customFormat="1">
      <c r="A169" s="24" t="s">
        <v>1284</v>
      </c>
      <c r="B169" s="33"/>
      <c r="C169" s="33"/>
      <c r="D169" s="33">
        <v>-2.0524209999999998</v>
      </c>
      <c r="E169" s="24" t="s">
        <v>1256</v>
      </c>
      <c r="F169" s="24" t="s">
        <v>1257</v>
      </c>
      <c r="G169" s="24" t="s">
        <v>1258</v>
      </c>
    </row>
    <row r="170" spans="1:7" s="24" customFormat="1">
      <c r="A170" s="24" t="s">
        <v>1285</v>
      </c>
      <c r="B170" s="33"/>
      <c r="C170" s="33">
        <v>-2.4330888000000002</v>
      </c>
      <c r="D170" s="33"/>
      <c r="E170" s="24" t="s">
        <v>1256</v>
      </c>
      <c r="F170" s="24" t="s">
        <v>1257</v>
      </c>
      <c r="G170" s="24" t="s">
        <v>1258</v>
      </c>
    </row>
    <row r="171" spans="1:7" s="24" customFormat="1">
      <c r="A171" s="24" t="s">
        <v>1286</v>
      </c>
      <c r="B171" s="33"/>
      <c r="C171" s="33"/>
      <c r="D171" s="33">
        <v>-2.1203865999999998</v>
      </c>
      <c r="E171" s="24" t="s">
        <v>1256</v>
      </c>
      <c r="F171" s="24" t="s">
        <v>1257</v>
      </c>
      <c r="G171" s="24" t="s">
        <v>1258</v>
      </c>
    </row>
    <row r="173" spans="1:7">
      <c r="A173" s="5">
        <f>COUNTA(A133:A171)</f>
        <v>39</v>
      </c>
    </row>
  </sheetData>
  <phoneticPr fontId="3" type="noConversion"/>
  <pageMargins left="0.75" right="0.75" top="1" bottom="1" header="0.5" footer="0.5"/>
  <headerFooter alignWithMargins="0"/>
  <ignoredErrors>
    <ignoredError sqref="B78:D78 B64:D64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7"/>
  <sheetViews>
    <sheetView workbookViewId="0">
      <selection activeCell="B4" sqref="B4"/>
    </sheetView>
  </sheetViews>
  <sheetFormatPr defaultRowHeight="12.75"/>
  <cols>
    <col min="1" max="1" width="23" style="5" bestFit="1" customWidth="1"/>
    <col min="2" max="2" width="15.42578125" style="5" bestFit="1" customWidth="1"/>
    <col min="3" max="4" width="17" style="5" bestFit="1" customWidth="1"/>
    <col min="5" max="5" width="41.28515625" style="5" customWidth="1"/>
    <col min="6" max="6" width="44.7109375" style="5" customWidth="1"/>
    <col min="7" max="7" width="33" style="5" customWidth="1"/>
    <col min="8" max="16384" width="9.140625" style="5"/>
  </cols>
  <sheetData>
    <row r="1" spans="1:7" ht="18">
      <c r="A1" s="8" t="s">
        <v>579</v>
      </c>
      <c r="B1" s="8" t="s">
        <v>151</v>
      </c>
      <c r="C1" s="8" t="s">
        <v>153</v>
      </c>
      <c r="D1" s="8" t="s">
        <v>155</v>
      </c>
      <c r="E1" s="9" t="s">
        <v>580</v>
      </c>
      <c r="F1" s="9" t="s">
        <v>581</v>
      </c>
      <c r="G1" s="9" t="s">
        <v>582</v>
      </c>
    </row>
    <row r="2" spans="1:7">
      <c r="A2" s="5" t="s">
        <v>633</v>
      </c>
      <c r="B2" s="10"/>
      <c r="C2" s="10">
        <v>2.2374578000000001</v>
      </c>
      <c r="D2" s="10">
        <v>4.0735383000000001</v>
      </c>
      <c r="E2" s="5" t="s">
        <v>634</v>
      </c>
      <c r="F2" s="5" t="s">
        <v>635</v>
      </c>
      <c r="G2" s="5" t="s">
        <v>636</v>
      </c>
    </row>
    <row r="3" spans="1:7">
      <c r="A3" s="5" t="s">
        <v>637</v>
      </c>
      <c r="B3" s="10"/>
      <c r="C3" s="10"/>
      <c r="D3" s="10">
        <v>3.8772473000000001</v>
      </c>
      <c r="E3" s="5" t="s">
        <v>634</v>
      </c>
      <c r="F3" s="5" t="s">
        <v>635</v>
      </c>
      <c r="G3" s="5" t="s">
        <v>636</v>
      </c>
    </row>
    <row r="4" spans="1:7">
      <c r="A4" s="5" t="s">
        <v>638</v>
      </c>
      <c r="B4" s="10"/>
      <c r="C4" s="10"/>
      <c r="D4" s="10">
        <v>2.580606</v>
      </c>
      <c r="E4" s="5" t="s">
        <v>634</v>
      </c>
      <c r="F4" s="5" t="s">
        <v>639</v>
      </c>
      <c r="G4" s="5" t="s">
        <v>636</v>
      </c>
    </row>
    <row r="5" spans="1:7">
      <c r="A5" s="5" t="s">
        <v>661</v>
      </c>
      <c r="B5" s="10"/>
      <c r="C5" s="10"/>
      <c r="D5" s="10">
        <v>2.2813810999999999</v>
      </c>
      <c r="E5" s="23" t="s">
        <v>658</v>
      </c>
      <c r="F5" s="23"/>
      <c r="G5" s="23" t="s">
        <v>662</v>
      </c>
    </row>
    <row r="6" spans="1:7">
      <c r="A6" s="5" t="s">
        <v>663</v>
      </c>
      <c r="B6" s="10"/>
      <c r="C6" s="10">
        <v>2.4039712</v>
      </c>
      <c r="D6" s="10">
        <v>2.3869429000000002</v>
      </c>
      <c r="E6" s="23" t="s">
        <v>658</v>
      </c>
      <c r="F6" s="23" t="s">
        <v>659</v>
      </c>
      <c r="G6" s="23"/>
    </row>
    <row r="7" spans="1:7">
      <c r="A7" s="5" t="s">
        <v>664</v>
      </c>
      <c r="B7" s="10"/>
      <c r="C7" s="10"/>
      <c r="D7" s="10">
        <v>3.3714118000000002</v>
      </c>
      <c r="E7" s="23" t="s">
        <v>658</v>
      </c>
      <c r="F7" s="23" t="s">
        <v>665</v>
      </c>
      <c r="G7" s="23" t="s">
        <v>660</v>
      </c>
    </row>
    <row r="8" spans="1:7">
      <c r="A8" s="5" t="s">
        <v>666</v>
      </c>
      <c r="B8" s="10"/>
      <c r="C8" s="10"/>
      <c r="D8" s="10">
        <v>2.0066310000000001</v>
      </c>
      <c r="E8" s="23" t="s">
        <v>658</v>
      </c>
      <c r="F8" s="23" t="s">
        <v>665</v>
      </c>
      <c r="G8" s="23" t="s">
        <v>667</v>
      </c>
    </row>
    <row r="9" spans="1:7">
      <c r="A9" s="5" t="s">
        <v>668</v>
      </c>
      <c r="B9" s="10"/>
      <c r="C9" s="10"/>
      <c r="D9" s="10">
        <v>2.2656455000000002</v>
      </c>
      <c r="E9" s="23" t="s">
        <v>658</v>
      </c>
      <c r="F9" s="23" t="s">
        <v>665</v>
      </c>
      <c r="G9" s="23" t="s">
        <v>667</v>
      </c>
    </row>
    <row r="10" spans="1:7">
      <c r="A10" s="5" t="s">
        <v>672</v>
      </c>
      <c r="B10" s="10"/>
      <c r="C10" s="10"/>
      <c r="D10" s="10">
        <v>4.0991564</v>
      </c>
      <c r="E10" s="23" t="s">
        <v>673</v>
      </c>
      <c r="F10" s="23" t="s">
        <v>674</v>
      </c>
      <c r="G10" s="23" t="s">
        <v>675</v>
      </c>
    </row>
    <row r="11" spans="1:7">
      <c r="A11" s="5" t="s">
        <v>676</v>
      </c>
      <c r="B11" s="10"/>
      <c r="C11" s="10"/>
      <c r="D11" s="10">
        <v>2.5598920000000001</v>
      </c>
      <c r="E11" s="23" t="s">
        <v>673</v>
      </c>
      <c r="F11" s="23" t="s">
        <v>674</v>
      </c>
      <c r="G11" s="23" t="s">
        <v>675</v>
      </c>
    </row>
    <row r="12" spans="1:7">
      <c r="A12" s="5" t="s">
        <v>677</v>
      </c>
      <c r="B12" s="10"/>
      <c r="C12" s="10"/>
      <c r="D12" s="10">
        <v>3.8050527999999999</v>
      </c>
      <c r="E12" s="23" t="s">
        <v>673</v>
      </c>
      <c r="F12" s="23" t="s">
        <v>674</v>
      </c>
      <c r="G12" s="23" t="s">
        <v>675</v>
      </c>
    </row>
    <row r="13" spans="1:7">
      <c r="A13" s="5" t="s">
        <v>678</v>
      </c>
      <c r="B13" s="10"/>
      <c r="C13" s="10">
        <v>2.2229643000000001</v>
      </c>
      <c r="D13" s="10">
        <v>2.6921952</v>
      </c>
      <c r="E13" s="23" t="s">
        <v>673</v>
      </c>
      <c r="F13" s="23" t="s">
        <v>674</v>
      </c>
      <c r="G13" s="23" t="s">
        <v>675</v>
      </c>
    </row>
    <row r="14" spans="1:7">
      <c r="A14" s="5" t="s">
        <v>680</v>
      </c>
      <c r="B14" s="10"/>
      <c r="C14" s="10"/>
      <c r="D14" s="10">
        <v>3.3911204000000001</v>
      </c>
      <c r="E14" s="23" t="s">
        <v>673</v>
      </c>
      <c r="F14" s="23" t="s">
        <v>674</v>
      </c>
      <c r="G14" s="23" t="s">
        <v>675</v>
      </c>
    </row>
    <row r="15" spans="1:7">
      <c r="A15" s="5" t="s">
        <v>681</v>
      </c>
      <c r="B15" s="10"/>
      <c r="C15" s="10"/>
      <c r="D15" s="10">
        <v>3.3455663000000002</v>
      </c>
      <c r="E15" s="23" t="s">
        <v>673</v>
      </c>
      <c r="F15" s="23" t="s">
        <v>674</v>
      </c>
      <c r="G15" s="23" t="s">
        <v>675</v>
      </c>
    </row>
    <row r="16" spans="1:7">
      <c r="A16" s="5" t="s">
        <v>683</v>
      </c>
      <c r="B16" s="10"/>
      <c r="C16" s="10"/>
      <c r="D16" s="10">
        <v>4.2127140000000001</v>
      </c>
      <c r="E16" s="23" t="s">
        <v>673</v>
      </c>
      <c r="F16" s="23" t="s">
        <v>674</v>
      </c>
      <c r="G16" s="23" t="s">
        <v>675</v>
      </c>
    </row>
    <row r="17" spans="1:8">
      <c r="A17" s="5" t="s">
        <v>684</v>
      </c>
      <c r="B17" s="10"/>
      <c r="C17" s="10"/>
      <c r="D17" s="10">
        <v>3.0891852000000002</v>
      </c>
      <c r="E17" s="23" t="s">
        <v>673</v>
      </c>
      <c r="F17" s="23" t="s">
        <v>674</v>
      </c>
      <c r="G17" s="23" t="s">
        <v>675</v>
      </c>
    </row>
    <row r="18" spans="1:8">
      <c r="A18" s="5" t="s">
        <v>685</v>
      </c>
      <c r="B18" s="10"/>
      <c r="C18" s="10"/>
      <c r="D18" s="10">
        <v>2.9396334</v>
      </c>
      <c r="E18" s="23" t="s">
        <v>673</v>
      </c>
      <c r="F18" s="23" t="s">
        <v>674</v>
      </c>
      <c r="G18" s="23" t="s">
        <v>675</v>
      </c>
    </row>
    <row r="19" spans="1:8">
      <c r="A19" s="5" t="s">
        <v>1418</v>
      </c>
      <c r="B19" s="10"/>
      <c r="C19" s="10">
        <v>2.0054249999999998</v>
      </c>
      <c r="D19" s="10">
        <v>2.3193902999999998</v>
      </c>
      <c r="E19" s="29" t="s">
        <v>1415</v>
      </c>
      <c r="F19" s="29" t="s">
        <v>604</v>
      </c>
      <c r="G19" s="29" t="s">
        <v>1419</v>
      </c>
    </row>
    <row r="20" spans="1:8">
      <c r="A20" s="5" t="s">
        <v>1420</v>
      </c>
      <c r="B20" s="10"/>
      <c r="C20" s="10">
        <v>2.0067553999999999</v>
      </c>
      <c r="D20" s="10">
        <v>2.4475513000000002</v>
      </c>
      <c r="E20" s="29" t="s">
        <v>1415</v>
      </c>
      <c r="F20" s="29" t="s">
        <v>604</v>
      </c>
      <c r="G20" s="29" t="s">
        <v>1419</v>
      </c>
    </row>
    <row r="21" spans="1:8">
      <c r="A21" s="5" t="s">
        <v>1421</v>
      </c>
      <c r="B21" s="10"/>
      <c r="C21" s="10"/>
      <c r="D21" s="10">
        <v>2.7642798000000002</v>
      </c>
      <c r="E21" s="29" t="s">
        <v>1415</v>
      </c>
      <c r="F21" s="29" t="s">
        <v>604</v>
      </c>
      <c r="G21" s="29" t="s">
        <v>1419</v>
      </c>
    </row>
    <row r="22" spans="1:8">
      <c r="A22" s="5" t="s">
        <v>1422</v>
      </c>
      <c r="B22" s="10"/>
      <c r="D22" s="10">
        <v>2.1976599999999999</v>
      </c>
      <c r="E22" s="29" t="s">
        <v>1415</v>
      </c>
      <c r="F22" s="29" t="s">
        <v>1423</v>
      </c>
      <c r="G22" s="29" t="s">
        <v>1424</v>
      </c>
    </row>
    <row r="23" spans="1:8">
      <c r="A23" s="5" t="s">
        <v>1425</v>
      </c>
      <c r="B23" s="10"/>
      <c r="D23" s="10">
        <v>2.0332880000000002</v>
      </c>
      <c r="E23" s="29" t="s">
        <v>1415</v>
      </c>
      <c r="F23" s="29" t="s">
        <v>1423</v>
      </c>
      <c r="G23" s="29" t="s">
        <v>1424</v>
      </c>
    </row>
    <row r="24" spans="1:8">
      <c r="A24" s="5" t="s">
        <v>1426</v>
      </c>
      <c r="B24" s="10">
        <v>2.2249498000000001</v>
      </c>
      <c r="C24" s="10">
        <v>3.2083529999999998</v>
      </c>
      <c r="D24" s="10">
        <v>3.9759893000000002</v>
      </c>
      <c r="E24" s="29" t="s">
        <v>1415</v>
      </c>
      <c r="F24" s="29" t="s">
        <v>1423</v>
      </c>
      <c r="G24" s="29" t="s">
        <v>1424</v>
      </c>
    </row>
    <row r="25" spans="1:8">
      <c r="A25" s="5" t="s">
        <v>1427</v>
      </c>
      <c r="B25" s="10">
        <v>2.2034812000000001</v>
      </c>
      <c r="C25" s="10">
        <v>3.1559978000000002</v>
      </c>
      <c r="D25" s="10">
        <v>3.9249643999999999</v>
      </c>
      <c r="E25" s="29" t="s">
        <v>1415</v>
      </c>
      <c r="F25" s="29" t="s">
        <v>1423</v>
      </c>
      <c r="G25" s="29" t="s">
        <v>1424</v>
      </c>
    </row>
    <row r="26" spans="1:8">
      <c r="A26" s="5" t="s">
        <v>1428</v>
      </c>
      <c r="B26" s="10"/>
      <c r="D26" s="10">
        <v>2.1669068</v>
      </c>
      <c r="E26" s="29" t="s">
        <v>1415</v>
      </c>
      <c r="F26" s="29" t="s">
        <v>604</v>
      </c>
      <c r="G26" s="29" t="s">
        <v>1429</v>
      </c>
    </row>
    <row r="27" spans="1:8">
      <c r="A27" s="5" t="s">
        <v>1430</v>
      </c>
      <c r="B27" s="10"/>
      <c r="D27" s="10">
        <v>2.4340787000000002</v>
      </c>
      <c r="E27" s="29" t="s">
        <v>1415</v>
      </c>
      <c r="F27" s="29" t="s">
        <v>604</v>
      </c>
      <c r="G27" s="29" t="s">
        <v>1429</v>
      </c>
    </row>
    <row r="28" spans="1:8">
      <c r="A28" s="5" t="s">
        <v>1431</v>
      </c>
      <c r="B28" s="10"/>
      <c r="C28" s="10"/>
      <c r="D28" s="10">
        <v>2.3140429999999999</v>
      </c>
      <c r="E28" s="29" t="s">
        <v>1415</v>
      </c>
      <c r="F28" s="29" t="s">
        <v>1432</v>
      </c>
      <c r="G28" s="29" t="s">
        <v>1424</v>
      </c>
      <c r="H28" s="5" t="s">
        <v>1433</v>
      </c>
    </row>
    <row r="29" spans="1:8">
      <c r="A29" s="5" t="s">
        <v>1434</v>
      </c>
      <c r="B29" s="10"/>
      <c r="C29" s="10"/>
      <c r="D29" s="10">
        <v>2.9495719999999999</v>
      </c>
      <c r="E29" s="29" t="s">
        <v>1415</v>
      </c>
      <c r="F29" s="29" t="s">
        <v>604</v>
      </c>
      <c r="G29" s="29" t="s">
        <v>1419</v>
      </c>
    </row>
    <row r="30" spans="1:8">
      <c r="A30" s="5" t="s">
        <v>1435</v>
      </c>
      <c r="B30" s="10"/>
      <c r="C30" s="10"/>
      <c r="D30" s="10">
        <v>2.2137389999999999</v>
      </c>
      <c r="E30" s="29" t="s">
        <v>1436</v>
      </c>
      <c r="F30" s="29" t="s">
        <v>1437</v>
      </c>
      <c r="G30" s="29"/>
    </row>
    <row r="31" spans="1:8">
      <c r="A31" s="5" t="s">
        <v>1438</v>
      </c>
      <c r="B31" s="10"/>
      <c r="C31" s="10"/>
      <c r="D31" s="10">
        <v>2.2699851999999998</v>
      </c>
      <c r="E31" s="29" t="s">
        <v>1439</v>
      </c>
      <c r="F31" s="29" t="s">
        <v>0</v>
      </c>
      <c r="G31" s="29" t="s">
        <v>1</v>
      </c>
    </row>
    <row r="35" spans="1:4">
      <c r="A35" s="5" t="s">
        <v>836</v>
      </c>
      <c r="C35" s="5">
        <v>24</v>
      </c>
      <c r="D35" s="5">
        <v>48</v>
      </c>
    </row>
    <row r="36" spans="1:4">
      <c r="B36" s="10">
        <v>1</v>
      </c>
      <c r="C36" s="10">
        <v>2.4039712</v>
      </c>
      <c r="D36" s="10">
        <v>2.3869429000000002</v>
      </c>
    </row>
    <row r="37" spans="1:4">
      <c r="B37" s="10">
        <v>2</v>
      </c>
      <c r="C37" s="10">
        <v>2.2229643000000001</v>
      </c>
      <c r="D37" s="10">
        <v>2.6921952</v>
      </c>
    </row>
    <row r="38" spans="1:4">
      <c r="B38" s="10">
        <v>3</v>
      </c>
      <c r="D38" s="10">
        <v>2.0066310000000001</v>
      </c>
    </row>
    <row r="39" spans="1:4">
      <c r="B39" s="10">
        <v>4</v>
      </c>
      <c r="C39" s="10"/>
      <c r="D39" s="10">
        <v>2.2656455000000002</v>
      </c>
    </row>
    <row r="40" spans="1:4">
      <c r="B40" s="10">
        <v>5</v>
      </c>
      <c r="C40" s="10"/>
      <c r="D40" s="10">
        <v>2.2813810999999999</v>
      </c>
    </row>
    <row r="41" spans="1:4">
      <c r="B41" s="10">
        <v>6</v>
      </c>
      <c r="D41" s="10">
        <v>2.5598920000000001</v>
      </c>
    </row>
    <row r="42" spans="1:4">
      <c r="B42" s="10">
        <v>7</v>
      </c>
      <c r="C42" s="10"/>
      <c r="D42" s="10">
        <v>2.9396334</v>
      </c>
    </row>
    <row r="43" spans="1:4">
      <c r="B43" s="10">
        <v>8</v>
      </c>
      <c r="D43" s="10">
        <v>3.0891852000000002</v>
      </c>
    </row>
    <row r="44" spans="1:4">
      <c r="B44" s="10">
        <v>9</v>
      </c>
      <c r="D44" s="10">
        <v>3.3455663000000002</v>
      </c>
    </row>
    <row r="45" spans="1:4">
      <c r="B45" s="10">
        <v>10</v>
      </c>
      <c r="D45" s="10">
        <v>3.3714118000000002</v>
      </c>
    </row>
    <row r="46" spans="1:4">
      <c r="B46" s="10">
        <v>11</v>
      </c>
      <c r="C46" s="10"/>
      <c r="D46" s="10">
        <v>3.3911204000000001</v>
      </c>
    </row>
    <row r="47" spans="1:4">
      <c r="B47" s="10">
        <v>12</v>
      </c>
      <c r="C47" s="10"/>
      <c r="D47" s="10">
        <v>3.8050527999999999</v>
      </c>
    </row>
    <row r="48" spans="1:4">
      <c r="B48" s="10">
        <v>13</v>
      </c>
      <c r="C48" s="10"/>
      <c r="D48" s="10">
        <v>4.0991564</v>
      </c>
    </row>
    <row r="49" spans="1:4">
      <c r="B49" s="10">
        <v>14</v>
      </c>
      <c r="C49" s="10"/>
      <c r="D49" s="10">
        <v>4.2127140000000001</v>
      </c>
    </row>
    <row r="50" spans="1:4">
      <c r="B50" s="10">
        <v>15</v>
      </c>
      <c r="C50" s="10"/>
    </row>
    <row r="53" spans="1:4">
      <c r="A53" s="5" t="s">
        <v>837</v>
      </c>
      <c r="C53" s="5">
        <v>24</v>
      </c>
      <c r="D53" s="5">
        <v>48</v>
      </c>
    </row>
    <row r="54" spans="1:4">
      <c r="B54" s="5">
        <v>1</v>
      </c>
      <c r="C54" s="10">
        <v>2.2374578000000001</v>
      </c>
      <c r="D54" s="10">
        <v>4.0735383000000001</v>
      </c>
    </row>
    <row r="55" spans="1:4">
      <c r="B55" s="5">
        <v>2</v>
      </c>
      <c r="C55" s="10"/>
      <c r="D55" s="10">
        <v>3.8772473000000001</v>
      </c>
    </row>
    <row r="56" spans="1:4">
      <c r="B56" s="5">
        <v>3</v>
      </c>
      <c r="C56" s="10"/>
      <c r="D56" s="10">
        <v>2.580606</v>
      </c>
    </row>
    <row r="57" spans="1:4">
      <c r="B57" s="5">
        <v>4</v>
      </c>
    </row>
    <row r="59" spans="1:4">
      <c r="A59" s="11" t="s">
        <v>1451</v>
      </c>
      <c r="B59" s="5">
        <v>8</v>
      </c>
      <c r="C59" s="5">
        <v>24</v>
      </c>
      <c r="D59" s="5">
        <v>48</v>
      </c>
    </row>
    <row r="60" spans="1:4">
      <c r="B60" s="10"/>
      <c r="C60" s="10">
        <v>2.0054249999999998</v>
      </c>
      <c r="D60" s="10">
        <v>2.3193902999999998</v>
      </c>
    </row>
    <row r="61" spans="1:4">
      <c r="A61" s="5">
        <f>0.080469</f>
        <v>8.0468999999999999E-2</v>
      </c>
      <c r="B61" s="10"/>
      <c r="C61" s="10">
        <v>2.0067553999999999</v>
      </c>
      <c r="D61" s="10">
        <v>2.4475513000000002</v>
      </c>
    </row>
    <row r="62" spans="1:4">
      <c r="A62" s="5">
        <v>6.2080000000000003E-2</v>
      </c>
      <c r="B62" s="10"/>
      <c r="C62" s="10"/>
      <c r="D62" s="10">
        <v>2.7642798000000002</v>
      </c>
    </row>
    <row r="63" spans="1:4">
      <c r="A63" s="5">
        <v>6.4299999999999996E-2</v>
      </c>
      <c r="B63" s="10"/>
      <c r="D63" s="10">
        <v>2.1976599999999999</v>
      </c>
    </row>
    <row r="64" spans="1:4">
      <c r="A64" s="5">
        <f>0.09703</f>
        <v>9.7030000000000005E-2</v>
      </c>
      <c r="B64" s="10"/>
      <c r="D64" s="10">
        <v>2.0332880000000002</v>
      </c>
    </row>
    <row r="65" spans="1:4">
      <c r="A65" s="5">
        <v>3.9620000000000002E-2</v>
      </c>
      <c r="B65" s="10">
        <v>2.2249498000000001</v>
      </c>
      <c r="C65" s="10">
        <v>3.2083529999999998</v>
      </c>
      <c r="D65" s="10">
        <v>3.9759893000000002</v>
      </c>
    </row>
    <row r="66" spans="1:4">
      <c r="A66" s="10">
        <v>0.2021</v>
      </c>
      <c r="B66" s="10">
        <v>2.2034812000000001</v>
      </c>
      <c r="C66" s="10">
        <v>3.1559978000000002</v>
      </c>
      <c r="D66" s="10">
        <v>3.9249643999999999</v>
      </c>
    </row>
    <row r="67" spans="1:4">
      <c r="A67" s="5">
        <v>8.405E-2</v>
      </c>
      <c r="B67" s="10"/>
      <c r="D67" s="10">
        <v>2.1669068</v>
      </c>
    </row>
    <row r="68" spans="1:4">
      <c r="A68" s="5">
        <v>0.15067</v>
      </c>
      <c r="B68" s="10"/>
      <c r="D68" s="10">
        <v>2.4340787000000002</v>
      </c>
    </row>
    <row r="69" spans="1:4">
      <c r="A69" s="10">
        <v>0.10237</v>
      </c>
      <c r="B69" s="10"/>
      <c r="C69" s="10"/>
      <c r="D69" s="10">
        <v>2.3140429999999999</v>
      </c>
    </row>
    <row r="70" spans="1:4">
      <c r="A70" s="10">
        <v>0.21379000000000001</v>
      </c>
      <c r="B70" s="10"/>
      <c r="C70" s="10"/>
      <c r="D70" s="10">
        <v>2.9495719999999999</v>
      </c>
    </row>
    <row r="71" spans="1:4">
      <c r="A71" s="5">
        <v>8.9539999999999995E-2</v>
      </c>
      <c r="B71" s="10"/>
      <c r="C71" s="10"/>
      <c r="D71" s="10">
        <v>2.2137389999999999</v>
      </c>
    </row>
    <row r="72" spans="1:4">
      <c r="A72" s="10">
        <v>7.8759999999999997E-2</v>
      </c>
      <c r="B72" s="10"/>
      <c r="C72" s="10"/>
      <c r="D72" s="10">
        <v>2.2699851999999998</v>
      </c>
    </row>
    <row r="73" spans="1:4">
      <c r="A73" s="10">
        <v>0.1368</v>
      </c>
    </row>
    <row r="74" spans="1:4">
      <c r="A74" s="10">
        <v>9.3439999999999995E-2</v>
      </c>
    </row>
    <row r="75" spans="1:4">
      <c r="A75" s="10">
        <v>0.12870000000000001</v>
      </c>
    </row>
    <row r="76" spans="1:4">
      <c r="A76" s="10">
        <v>0.1108</v>
      </c>
    </row>
    <row r="77" spans="1:4">
      <c r="A77" s="10">
        <v>0.1045</v>
      </c>
    </row>
    <row r="78" spans="1:4">
      <c r="A78" s="10">
        <v>8.9300000000000004E-2</v>
      </c>
    </row>
    <row r="83" spans="1:7">
      <c r="A83" s="5" t="s">
        <v>691</v>
      </c>
      <c r="B83" s="10"/>
      <c r="C83" s="10"/>
      <c r="D83" s="10">
        <v>-2.4750065999999999</v>
      </c>
      <c r="E83" s="5" t="s">
        <v>692</v>
      </c>
      <c r="G83" s="5" t="s">
        <v>693</v>
      </c>
    </row>
    <row r="84" spans="1:7">
      <c r="A84" s="5" t="s">
        <v>694</v>
      </c>
      <c r="B84" s="10"/>
      <c r="C84" s="10"/>
      <c r="D84" s="10">
        <v>-2.7095007999999998</v>
      </c>
      <c r="E84" s="5" t="s">
        <v>692</v>
      </c>
      <c r="G84" s="5" t="s">
        <v>693</v>
      </c>
    </row>
    <row r="85" spans="1:7">
      <c r="A85" s="5" t="s">
        <v>695</v>
      </c>
      <c r="B85" s="10"/>
      <c r="C85" s="10"/>
      <c r="D85" s="10">
        <v>-2.9039983999999999</v>
      </c>
      <c r="E85" s="5" t="s">
        <v>692</v>
      </c>
      <c r="G85" s="5" t="s">
        <v>693</v>
      </c>
    </row>
    <row r="86" spans="1:7">
      <c r="A86" s="5" t="s">
        <v>696</v>
      </c>
      <c r="B86" s="10">
        <v>-2.2350373000000001</v>
      </c>
      <c r="C86" s="10">
        <v>-3.9955753999999999</v>
      </c>
      <c r="D86" s="10">
        <v>-2.6519759999999999</v>
      </c>
      <c r="E86" s="5" t="s">
        <v>692</v>
      </c>
      <c r="G86" s="5" t="s">
        <v>693</v>
      </c>
    </row>
    <row r="87" spans="1:7">
      <c r="A87" s="5" t="s">
        <v>697</v>
      </c>
      <c r="B87" s="10"/>
      <c r="C87" s="10">
        <v>-3.7983427000000001</v>
      </c>
      <c r="D87" s="10">
        <v>-2.7496027999999999</v>
      </c>
      <c r="E87" s="5" t="s">
        <v>692</v>
      </c>
      <c r="G87" s="5" t="s">
        <v>693</v>
      </c>
    </row>
    <row r="88" spans="1:7">
      <c r="A88" s="5" t="s">
        <v>698</v>
      </c>
      <c r="B88" s="10"/>
      <c r="C88" s="10"/>
      <c r="D88" s="10">
        <v>-2.4958086000000002</v>
      </c>
      <c r="E88" s="5" t="s">
        <v>692</v>
      </c>
      <c r="G88" s="5" t="s">
        <v>693</v>
      </c>
    </row>
    <row r="89" spans="1:7">
      <c r="A89" s="5" t="s">
        <v>699</v>
      </c>
      <c r="B89" s="10"/>
      <c r="C89" s="10">
        <v>-2.0047855000000001</v>
      </c>
      <c r="D89" s="10">
        <v>-2.9584627000000001</v>
      </c>
      <c r="E89" s="5" t="s">
        <v>692</v>
      </c>
      <c r="G89" s="5" t="s">
        <v>693</v>
      </c>
    </row>
    <row r="90" spans="1:7">
      <c r="A90" s="5" t="s">
        <v>700</v>
      </c>
      <c r="B90" s="10"/>
      <c r="C90" s="10"/>
      <c r="D90" s="10">
        <v>-2.5249562000000001</v>
      </c>
      <c r="E90" s="5" t="s">
        <v>692</v>
      </c>
      <c r="G90" s="5" t="s">
        <v>693</v>
      </c>
    </row>
    <row r="91" spans="1:7">
      <c r="A91" s="5" t="s">
        <v>701</v>
      </c>
      <c r="B91" s="10"/>
      <c r="C91" s="10"/>
      <c r="D91" s="10">
        <v>-2.3186249999999999</v>
      </c>
      <c r="E91" s="5" t="s">
        <v>692</v>
      </c>
      <c r="G91" s="5" t="s">
        <v>693</v>
      </c>
    </row>
    <row r="92" spans="1:7">
      <c r="A92" s="5" t="s">
        <v>702</v>
      </c>
      <c r="B92" s="10"/>
      <c r="C92" s="10">
        <v>-2.2029342999999999</v>
      </c>
      <c r="D92" s="10"/>
      <c r="E92" s="5" t="s">
        <v>703</v>
      </c>
      <c r="F92" s="5" t="s">
        <v>604</v>
      </c>
      <c r="G92" s="5" t="s">
        <v>704</v>
      </c>
    </row>
    <row r="93" spans="1:7">
      <c r="A93" s="5" t="s">
        <v>705</v>
      </c>
      <c r="B93" s="10">
        <v>-2.0725574</v>
      </c>
      <c r="C93" s="10">
        <v>-2.6502180000000002</v>
      </c>
      <c r="D93" s="10">
        <v>-2.8456372999999999</v>
      </c>
      <c r="E93" s="5" t="s">
        <v>706</v>
      </c>
      <c r="F93" s="5" t="s">
        <v>707</v>
      </c>
      <c r="G93" s="5" t="s">
        <v>708</v>
      </c>
    </row>
    <row r="95" spans="1:7">
      <c r="A95" s="5" t="s">
        <v>746</v>
      </c>
      <c r="B95" s="10"/>
      <c r="C95" s="10">
        <v>-2.4813094000000002</v>
      </c>
      <c r="D95" s="10"/>
      <c r="E95" s="5" t="s">
        <v>747</v>
      </c>
      <c r="F95" s="5" t="s">
        <v>642</v>
      </c>
      <c r="G95" s="5" t="s">
        <v>748</v>
      </c>
    </row>
    <row r="96" spans="1:7">
      <c r="A96" s="5" t="s">
        <v>749</v>
      </c>
      <c r="B96" s="10">
        <v>-2.8065349999999998</v>
      </c>
      <c r="C96" s="10">
        <v>-3.2967240000000002</v>
      </c>
      <c r="D96" s="10">
        <v>-2.1919072000000002</v>
      </c>
      <c r="E96" s="5" t="s">
        <v>747</v>
      </c>
      <c r="F96" s="5" t="s">
        <v>642</v>
      </c>
      <c r="G96" s="5" t="s">
        <v>748</v>
      </c>
    </row>
    <row r="98" spans="1:7">
      <c r="A98" s="5" t="s">
        <v>753</v>
      </c>
      <c r="B98" s="10"/>
      <c r="C98" s="10"/>
      <c r="D98" s="10">
        <v>-2.033525</v>
      </c>
      <c r="E98" s="5" t="s">
        <v>754</v>
      </c>
      <c r="F98" s="5" t="s">
        <v>755</v>
      </c>
      <c r="G98" s="5" t="s">
        <v>756</v>
      </c>
    </row>
    <row r="99" spans="1:7">
      <c r="A99" s="5" t="s">
        <v>757</v>
      </c>
      <c r="B99" s="10"/>
      <c r="C99" s="10"/>
      <c r="D99" s="10">
        <v>-4.1266803999999997</v>
      </c>
      <c r="E99" s="5" t="s">
        <v>754</v>
      </c>
      <c r="F99" s="5" t="s">
        <v>755</v>
      </c>
      <c r="G99" s="5" t="s">
        <v>756</v>
      </c>
    </row>
    <row r="100" spans="1:7">
      <c r="A100" s="5" t="s">
        <v>758</v>
      </c>
      <c r="B100" s="10"/>
      <c r="C100" s="10"/>
      <c r="D100" s="10">
        <v>-2.1746454000000002</v>
      </c>
      <c r="E100" s="5" t="s">
        <v>754</v>
      </c>
      <c r="F100" s="5" t="s">
        <v>755</v>
      </c>
      <c r="G100" s="5" t="s">
        <v>759</v>
      </c>
    </row>
    <row r="101" spans="1:7">
      <c r="A101" s="5" t="s">
        <v>760</v>
      </c>
      <c r="B101" s="10"/>
      <c r="C101" s="10"/>
      <c r="D101" s="10">
        <v>-3.8278989999999999</v>
      </c>
      <c r="E101" s="5" t="s">
        <v>761</v>
      </c>
      <c r="F101" s="5" t="s">
        <v>755</v>
      </c>
      <c r="G101" s="5" t="s">
        <v>762</v>
      </c>
    </row>
    <row r="102" spans="1:7">
      <c r="A102" s="5" t="s">
        <v>763</v>
      </c>
      <c r="B102" s="10"/>
      <c r="C102" s="10"/>
      <c r="D102" s="10">
        <v>-3.9244967000000002</v>
      </c>
      <c r="E102" s="5" t="s">
        <v>761</v>
      </c>
      <c r="F102" s="5" t="s">
        <v>755</v>
      </c>
      <c r="G102" s="5" t="s">
        <v>762</v>
      </c>
    </row>
    <row r="103" spans="1:7">
      <c r="A103" s="5" t="s">
        <v>764</v>
      </c>
      <c r="B103" s="10"/>
      <c r="C103" s="10"/>
      <c r="D103" s="10">
        <v>-2.5612750000000002</v>
      </c>
      <c r="E103" s="5" t="s">
        <v>761</v>
      </c>
      <c r="F103" s="5" t="s">
        <v>755</v>
      </c>
      <c r="G103" s="5" t="s">
        <v>762</v>
      </c>
    </row>
    <row r="104" spans="1:7">
      <c r="A104" s="5" t="s">
        <v>945</v>
      </c>
      <c r="B104" s="10"/>
      <c r="C104" s="10">
        <v>-2.0944943</v>
      </c>
      <c r="D104" s="10">
        <v>-4.5666412999999997</v>
      </c>
      <c r="E104" s="5" t="s">
        <v>946</v>
      </c>
    </row>
    <row r="105" spans="1:7">
      <c r="A105" s="5" t="s">
        <v>947</v>
      </c>
      <c r="B105" s="10"/>
      <c r="C105" s="10"/>
      <c r="D105" s="10">
        <v>-3.9813404000000001</v>
      </c>
      <c r="E105" s="5" t="s">
        <v>946</v>
      </c>
    </row>
    <row r="106" spans="1:7">
      <c r="A106" s="5" t="s">
        <v>948</v>
      </c>
      <c r="B106" s="10"/>
      <c r="C106" s="10"/>
      <c r="D106" s="10">
        <v>-2.2393265000000002</v>
      </c>
      <c r="E106" s="5" t="s">
        <v>946</v>
      </c>
    </row>
    <row r="107" spans="1:7">
      <c r="A107" s="5" t="s">
        <v>540</v>
      </c>
      <c r="B107" s="10"/>
      <c r="C107" s="10">
        <v>-2.1178370000000002</v>
      </c>
      <c r="D107" s="10">
        <v>-3.2063264999999999</v>
      </c>
      <c r="E107" s="5" t="s">
        <v>946</v>
      </c>
    </row>
    <row r="108" spans="1:7">
      <c r="A108" s="5" t="s">
        <v>949</v>
      </c>
      <c r="B108" s="10"/>
      <c r="C108" s="10"/>
      <c r="D108" s="10">
        <v>-2.9353251</v>
      </c>
      <c r="E108" s="5" t="s">
        <v>946</v>
      </c>
    </row>
    <row r="109" spans="1:7">
      <c r="A109" s="5" t="s">
        <v>950</v>
      </c>
      <c r="B109" s="10"/>
      <c r="C109" s="10"/>
      <c r="D109" s="10">
        <v>-4.8234877999999997</v>
      </c>
      <c r="E109" s="5" t="s">
        <v>946</v>
      </c>
    </row>
    <row r="110" spans="1:7">
      <c r="A110" s="5" t="s">
        <v>951</v>
      </c>
      <c r="B110" s="10"/>
      <c r="C110" s="10"/>
      <c r="D110" s="10">
        <v>-2.6848893</v>
      </c>
      <c r="E110" s="5" t="s">
        <v>946</v>
      </c>
    </row>
    <row r="111" spans="1:7">
      <c r="A111" s="5" t="s">
        <v>952</v>
      </c>
      <c r="B111" s="10"/>
      <c r="C111" s="10"/>
      <c r="D111" s="10">
        <v>-3.2787799999999998</v>
      </c>
      <c r="E111" s="5" t="s">
        <v>946</v>
      </c>
    </row>
    <row r="112" spans="1:7">
      <c r="A112" s="5" t="s">
        <v>953</v>
      </c>
      <c r="B112" s="10"/>
      <c r="C112" s="10"/>
      <c r="D112" s="10">
        <v>-2.286108</v>
      </c>
      <c r="E112" s="5" t="s">
        <v>946</v>
      </c>
    </row>
    <row r="113" spans="1:7">
      <c r="A113" s="5" t="s">
        <v>954</v>
      </c>
      <c r="B113" s="10"/>
      <c r="C113" s="10"/>
      <c r="D113" s="10">
        <v>-2.62432</v>
      </c>
      <c r="E113" s="5" t="s">
        <v>946</v>
      </c>
    </row>
    <row r="114" spans="1:7">
      <c r="A114" s="5" t="s">
        <v>571</v>
      </c>
      <c r="B114" s="10"/>
      <c r="C114" s="10">
        <v>-2.0948806000000002</v>
      </c>
      <c r="D114" s="10">
        <v>-2.9989905000000001</v>
      </c>
      <c r="E114" s="5" t="s">
        <v>946</v>
      </c>
    </row>
    <row r="115" spans="1:7">
      <c r="A115" s="5" t="s">
        <v>955</v>
      </c>
      <c r="B115" s="10"/>
      <c r="C115" s="10">
        <v>-2.7806896999999999</v>
      </c>
      <c r="D115" s="10">
        <v>-5.3540473000000004</v>
      </c>
      <c r="E115" s="5" t="s">
        <v>946</v>
      </c>
    </row>
    <row r="116" spans="1:7">
      <c r="A116" s="5" t="s">
        <v>956</v>
      </c>
      <c r="B116" s="10"/>
      <c r="C116" s="10"/>
      <c r="D116" s="10">
        <v>-2.2995106999999999</v>
      </c>
      <c r="E116" s="5" t="s">
        <v>946</v>
      </c>
      <c r="F116" s="5" t="s">
        <v>957</v>
      </c>
      <c r="G116" s="5" t="s">
        <v>958</v>
      </c>
    </row>
    <row r="117" spans="1:7">
      <c r="A117" s="5" t="s">
        <v>959</v>
      </c>
      <c r="B117" s="10"/>
      <c r="C117" s="10"/>
      <c r="D117" s="10">
        <v>-3.2445970000000002</v>
      </c>
      <c r="E117" s="5" t="s">
        <v>946</v>
      </c>
    </row>
    <row r="118" spans="1:7">
      <c r="A118" s="5" t="s">
        <v>960</v>
      </c>
      <c r="B118" s="10"/>
      <c r="C118" s="10"/>
      <c r="D118" s="10">
        <v>-5.6393120000000003</v>
      </c>
      <c r="E118" s="5" t="s">
        <v>961</v>
      </c>
    </row>
    <row r="119" spans="1:7">
      <c r="A119" s="5" t="s">
        <v>976</v>
      </c>
      <c r="B119" s="10"/>
      <c r="C119" s="10"/>
      <c r="D119" s="10">
        <v>-3.5698788000000001</v>
      </c>
      <c r="E119" s="5" t="s">
        <v>977</v>
      </c>
    </row>
    <row r="120" spans="1:7">
      <c r="A120" s="5" t="s">
        <v>978</v>
      </c>
      <c r="B120" s="10"/>
      <c r="C120" s="10"/>
      <c r="D120" s="10">
        <v>-2.899149</v>
      </c>
      <c r="E120" s="5" t="s">
        <v>977</v>
      </c>
    </row>
    <row r="121" spans="1:7">
      <c r="A121" s="5" t="s">
        <v>979</v>
      </c>
      <c r="B121" s="10"/>
      <c r="C121" s="10"/>
      <c r="D121" s="10">
        <v>-3.7983571999999999</v>
      </c>
      <c r="E121" s="5" t="s">
        <v>977</v>
      </c>
    </row>
    <row r="124" spans="1:7">
      <c r="A124" s="5" t="s">
        <v>983</v>
      </c>
      <c r="B124" s="10"/>
      <c r="C124" s="10"/>
      <c r="D124" s="10">
        <v>-2.789949</v>
      </c>
      <c r="E124" s="5" t="s">
        <v>984</v>
      </c>
      <c r="F124" s="5" t="s">
        <v>985</v>
      </c>
      <c r="G124" s="5" t="s">
        <v>986</v>
      </c>
    </row>
    <row r="125" spans="1:7">
      <c r="A125" s="5" t="s">
        <v>987</v>
      </c>
      <c r="B125" s="10"/>
      <c r="C125" s="10">
        <v>-2.2576369999999999</v>
      </c>
      <c r="D125" s="10">
        <v>-3.2380800000000001</v>
      </c>
      <c r="E125" s="5" t="s">
        <v>984</v>
      </c>
      <c r="F125" s="5" t="s">
        <v>988</v>
      </c>
      <c r="G125" s="5" t="s">
        <v>986</v>
      </c>
    </row>
    <row r="126" spans="1:7">
      <c r="A126" s="5" t="s">
        <v>989</v>
      </c>
      <c r="B126" s="10"/>
      <c r="C126" s="10"/>
      <c r="D126" s="10">
        <v>-3.239554</v>
      </c>
      <c r="E126" s="5" t="s">
        <v>984</v>
      </c>
      <c r="F126" s="5" t="s">
        <v>990</v>
      </c>
      <c r="G126" s="5" t="s">
        <v>986</v>
      </c>
    </row>
    <row r="127" spans="1:7">
      <c r="A127" s="5" t="s">
        <v>1043</v>
      </c>
      <c r="B127" s="10"/>
      <c r="C127" s="10">
        <v>-5.8324975999999999</v>
      </c>
      <c r="D127" s="10"/>
      <c r="E127" s="5" t="s">
        <v>1040</v>
      </c>
      <c r="F127" s="5" t="s">
        <v>1041</v>
      </c>
      <c r="G127" s="5" t="s">
        <v>1042</v>
      </c>
    </row>
    <row r="129" spans="1:8">
      <c r="A129" s="5" t="s">
        <v>1146</v>
      </c>
      <c r="B129" s="10"/>
      <c r="C129" s="10"/>
      <c r="D129" s="10">
        <v>-2.0150212999999999</v>
      </c>
      <c r="E129" s="5" t="s">
        <v>1147</v>
      </c>
      <c r="F129" s="5" t="s">
        <v>873</v>
      </c>
      <c r="G129" s="5" t="s">
        <v>1148</v>
      </c>
    </row>
    <row r="130" spans="1:8">
      <c r="A130" s="5" t="s">
        <v>1149</v>
      </c>
      <c r="B130" s="10"/>
      <c r="C130" s="10"/>
      <c r="D130" s="10">
        <v>-4.3764124000000004</v>
      </c>
      <c r="E130" s="5" t="s">
        <v>1147</v>
      </c>
      <c r="F130" s="5" t="s">
        <v>627</v>
      </c>
      <c r="G130" s="5" t="s">
        <v>1150</v>
      </c>
    </row>
    <row r="131" spans="1:8">
      <c r="A131" s="5" t="s">
        <v>1151</v>
      </c>
      <c r="B131" s="10"/>
      <c r="C131" s="10"/>
      <c r="D131" s="10">
        <v>-2.8510737000000002</v>
      </c>
      <c r="E131" s="5" t="s">
        <v>1147</v>
      </c>
      <c r="F131" s="5" t="s">
        <v>873</v>
      </c>
      <c r="G131" s="5" t="s">
        <v>1152</v>
      </c>
    </row>
    <row r="132" spans="1:8">
      <c r="A132" s="5" t="s">
        <v>1153</v>
      </c>
      <c r="B132" s="10">
        <v>-2.0346959999999998</v>
      </c>
      <c r="C132" s="10">
        <v>-3.1606855</v>
      </c>
      <c r="D132" s="10">
        <v>-3.8481507000000001</v>
      </c>
      <c r="E132" s="5" t="s">
        <v>1147</v>
      </c>
      <c r="F132" s="5" t="s">
        <v>873</v>
      </c>
      <c r="G132" s="5" t="s">
        <v>1154</v>
      </c>
    </row>
    <row r="133" spans="1:8">
      <c r="A133" s="5" t="s">
        <v>1155</v>
      </c>
      <c r="B133" s="10"/>
      <c r="C133" s="10"/>
      <c r="D133" s="10">
        <v>-2.5942091999999999</v>
      </c>
      <c r="E133" s="5" t="s">
        <v>1147</v>
      </c>
      <c r="F133" s="5" t="s">
        <v>627</v>
      </c>
      <c r="G133" s="5" t="s">
        <v>1156</v>
      </c>
      <c r="H133" s="5" t="s">
        <v>1157</v>
      </c>
    </row>
    <row r="134" spans="1:8">
      <c r="A134" s="5" t="s">
        <v>1158</v>
      </c>
      <c r="B134" s="10"/>
      <c r="C134" s="10"/>
      <c r="D134" s="10">
        <v>-3.4910874000000001</v>
      </c>
      <c r="E134" s="5" t="s">
        <v>1147</v>
      </c>
      <c r="F134" s="5" t="s">
        <v>873</v>
      </c>
      <c r="G134" s="5" t="s">
        <v>1159</v>
      </c>
    </row>
    <row r="135" spans="1:8">
      <c r="A135" s="5" t="s">
        <v>1160</v>
      </c>
      <c r="B135" s="10"/>
      <c r="C135" s="10">
        <v>-2.679789</v>
      </c>
      <c r="D135" s="10">
        <v>-2.2549747999999998</v>
      </c>
      <c r="E135" s="5" t="s">
        <v>1147</v>
      </c>
      <c r="F135" s="5" t="s">
        <v>873</v>
      </c>
      <c r="G135" s="5" t="s">
        <v>1161</v>
      </c>
    </row>
    <row r="136" spans="1:8">
      <c r="A136" s="5" t="s">
        <v>1162</v>
      </c>
      <c r="B136" s="10">
        <v>-4.9078350000000004</v>
      </c>
      <c r="C136" s="10">
        <v>-5.7239760000000004</v>
      </c>
      <c r="D136" s="10">
        <v>-6.1646609999999997</v>
      </c>
      <c r="E136" s="5" t="s">
        <v>1163</v>
      </c>
      <c r="F136" s="5" t="s">
        <v>1164</v>
      </c>
      <c r="G136" s="5" t="s">
        <v>1165</v>
      </c>
    </row>
    <row r="140" spans="1:8">
      <c r="A140" s="5" t="s">
        <v>801</v>
      </c>
      <c r="B140" s="10"/>
      <c r="C140" s="10"/>
      <c r="D140" s="10">
        <v>-2.3599929999999998</v>
      </c>
      <c r="E140" s="5" t="s">
        <v>802</v>
      </c>
      <c r="G140" s="5" t="s">
        <v>803</v>
      </c>
    </row>
    <row r="141" spans="1:8">
      <c r="A141" s="5" t="s">
        <v>804</v>
      </c>
      <c r="B141" s="10"/>
      <c r="C141" s="10"/>
      <c r="D141" s="10">
        <v>-2.0204629999999999</v>
      </c>
      <c r="E141" s="5" t="s">
        <v>802</v>
      </c>
      <c r="G141" s="5" t="s">
        <v>803</v>
      </c>
    </row>
    <row r="142" spans="1:8">
      <c r="A142" s="5" t="s">
        <v>805</v>
      </c>
      <c r="B142" s="10"/>
      <c r="C142" s="10"/>
      <c r="D142" s="10">
        <v>-2.1033254000000001</v>
      </c>
      <c r="E142" s="5" t="s">
        <v>802</v>
      </c>
    </row>
    <row r="143" spans="1:8">
      <c r="A143" s="5" t="s">
        <v>806</v>
      </c>
      <c r="B143" s="10"/>
      <c r="C143" s="10"/>
      <c r="D143" s="10">
        <v>-2.4801392999999998</v>
      </c>
      <c r="E143" s="5" t="s">
        <v>802</v>
      </c>
      <c r="G143" s="5" t="s">
        <v>803</v>
      </c>
    </row>
    <row r="144" spans="1:8">
      <c r="A144" s="5" t="s">
        <v>807</v>
      </c>
      <c r="B144" s="10">
        <v>-2.5733961999999999</v>
      </c>
      <c r="C144" s="10">
        <v>-2.6139326000000001</v>
      </c>
      <c r="D144" s="10">
        <v>-2.5278</v>
      </c>
      <c r="E144" s="5" t="s">
        <v>802</v>
      </c>
      <c r="G144" s="5" t="s">
        <v>803</v>
      </c>
    </row>
    <row r="145" spans="1:7">
      <c r="A145" s="5" t="s">
        <v>808</v>
      </c>
      <c r="B145" s="10"/>
      <c r="C145" s="10">
        <v>-2.3044311999999998</v>
      </c>
      <c r="D145" s="10"/>
      <c r="E145" s="5" t="s">
        <v>802</v>
      </c>
      <c r="G145" s="5" t="s">
        <v>803</v>
      </c>
    </row>
    <row r="146" spans="1:7">
      <c r="A146" s="5" t="s">
        <v>809</v>
      </c>
      <c r="B146" s="10"/>
      <c r="C146" s="10"/>
      <c r="D146" s="10">
        <v>-2.2246717999999999</v>
      </c>
      <c r="E146" s="5" t="s">
        <v>802</v>
      </c>
      <c r="G146" s="5" t="s">
        <v>803</v>
      </c>
    </row>
    <row r="147" spans="1:7">
      <c r="A147" s="5" t="s">
        <v>810</v>
      </c>
      <c r="B147" s="10"/>
      <c r="C147" s="10"/>
      <c r="D147" s="10">
        <v>-2.1982694</v>
      </c>
      <c r="E147" s="5" t="s">
        <v>802</v>
      </c>
      <c r="G147" s="5" t="s">
        <v>803</v>
      </c>
    </row>
    <row r="148" spans="1:7">
      <c r="A148" s="5" t="s">
        <v>811</v>
      </c>
      <c r="B148" s="10"/>
      <c r="C148" s="10">
        <v>-2.0628555</v>
      </c>
      <c r="D148" s="10"/>
      <c r="E148" s="5" t="s">
        <v>802</v>
      </c>
      <c r="G148" s="5" t="s">
        <v>803</v>
      </c>
    </row>
    <row r="149" spans="1:7">
      <c r="A149" s="5" t="s">
        <v>812</v>
      </c>
      <c r="B149" s="10"/>
      <c r="C149" s="10"/>
      <c r="D149" s="10">
        <v>-2.8936557999999999</v>
      </c>
      <c r="E149" s="5" t="s">
        <v>802</v>
      </c>
      <c r="G149" s="5" t="s">
        <v>803</v>
      </c>
    </row>
    <row r="150" spans="1:7">
      <c r="A150" s="5" t="s">
        <v>813</v>
      </c>
      <c r="B150" s="10"/>
      <c r="C150" s="10"/>
      <c r="D150" s="10"/>
      <c r="E150" s="5" t="s">
        <v>802</v>
      </c>
      <c r="G150" s="5" t="s">
        <v>803</v>
      </c>
    </row>
    <row r="151" spans="1:7">
      <c r="A151" s="5" t="s">
        <v>814</v>
      </c>
      <c r="B151" s="10"/>
      <c r="C151" s="10"/>
      <c r="D151" s="10">
        <v>-2.1856450000000001</v>
      </c>
      <c r="E151" s="5" t="s">
        <v>802</v>
      </c>
      <c r="F151" s="5" t="s">
        <v>815</v>
      </c>
      <c r="G151" s="5" t="s">
        <v>816</v>
      </c>
    </row>
    <row r="152" spans="1:7">
      <c r="A152" s="5" t="s">
        <v>817</v>
      </c>
      <c r="B152" s="10"/>
      <c r="C152" s="10"/>
      <c r="D152" s="10"/>
      <c r="E152" s="5" t="s">
        <v>802</v>
      </c>
      <c r="G152" s="5" t="s">
        <v>803</v>
      </c>
    </row>
    <row r="153" spans="1:7">
      <c r="A153" s="5" t="s">
        <v>818</v>
      </c>
      <c r="B153" s="10"/>
      <c r="C153" s="10">
        <v>-2.8280677999999999</v>
      </c>
      <c r="D153" s="10">
        <v>-3.6198977999999999</v>
      </c>
      <c r="E153" s="5" t="s">
        <v>802</v>
      </c>
      <c r="G153" s="5" t="s">
        <v>803</v>
      </c>
    </row>
    <row r="154" spans="1:7">
      <c r="A154" s="5" t="s">
        <v>819</v>
      </c>
      <c r="B154" s="10"/>
      <c r="C154" s="10"/>
      <c r="D154" s="10">
        <v>-2.8447464</v>
      </c>
      <c r="E154" s="5" t="s">
        <v>802</v>
      </c>
      <c r="G154" s="5" t="s">
        <v>803</v>
      </c>
    </row>
    <row r="155" spans="1:7">
      <c r="A155" s="5" t="s">
        <v>820</v>
      </c>
      <c r="B155" s="10"/>
      <c r="C155" s="10"/>
      <c r="D155" s="10">
        <v>-2.5789369999999998</v>
      </c>
      <c r="E155" s="5" t="s">
        <v>802</v>
      </c>
      <c r="G155" s="5" t="s">
        <v>803</v>
      </c>
    </row>
    <row r="156" spans="1:7">
      <c r="A156" s="5" t="s">
        <v>821</v>
      </c>
      <c r="B156" s="10"/>
      <c r="C156" s="10"/>
      <c r="D156" s="10">
        <v>-2.484013</v>
      </c>
      <c r="E156" s="5" t="s">
        <v>802</v>
      </c>
      <c r="F156" s="5" t="s">
        <v>822</v>
      </c>
      <c r="G156" s="5" t="s">
        <v>823</v>
      </c>
    </row>
    <row r="157" spans="1:7">
      <c r="A157" s="5" t="s">
        <v>824</v>
      </c>
      <c r="B157" s="10"/>
      <c r="C157" s="10"/>
      <c r="D157" s="10">
        <v>-2.1538309999999998</v>
      </c>
      <c r="E157" s="5" t="s">
        <v>802</v>
      </c>
      <c r="F157" s="5" t="s">
        <v>822</v>
      </c>
      <c r="G157" s="5" t="s">
        <v>823</v>
      </c>
    </row>
    <row r="158" spans="1:7">
      <c r="A158" s="5" t="s">
        <v>825</v>
      </c>
      <c r="B158" s="10"/>
      <c r="C158" s="10"/>
      <c r="D158" s="10">
        <v>-2.1019801999999999</v>
      </c>
      <c r="E158" s="5" t="s">
        <v>802</v>
      </c>
      <c r="G158" s="5" t="s">
        <v>838</v>
      </c>
    </row>
    <row r="159" spans="1:7">
      <c r="A159" s="5" t="s">
        <v>839</v>
      </c>
      <c r="B159" s="10"/>
      <c r="C159" s="10"/>
      <c r="D159" s="10">
        <v>-2.3835812000000001</v>
      </c>
      <c r="E159" s="5" t="s">
        <v>802</v>
      </c>
      <c r="F159" s="5" t="s">
        <v>840</v>
      </c>
    </row>
    <row r="160" spans="1:7">
      <c r="A160" s="5" t="s">
        <v>841</v>
      </c>
      <c r="B160" s="10"/>
      <c r="C160" s="10"/>
      <c r="D160" s="10">
        <v>-2.895092</v>
      </c>
      <c r="E160" s="5" t="s">
        <v>802</v>
      </c>
      <c r="F160" s="5" t="s">
        <v>842</v>
      </c>
      <c r="G160" s="5" t="s">
        <v>843</v>
      </c>
    </row>
    <row r="161" spans="1:7">
      <c r="A161" s="5" t="s">
        <v>844</v>
      </c>
      <c r="B161" s="10"/>
      <c r="C161" s="10"/>
      <c r="D161" s="10">
        <v>-2.1190476</v>
      </c>
      <c r="E161" s="5" t="s">
        <v>802</v>
      </c>
      <c r="F161" s="5" t="s">
        <v>815</v>
      </c>
      <c r="G161" s="5" t="s">
        <v>845</v>
      </c>
    </row>
    <row r="162" spans="1:7">
      <c r="A162" s="5" t="s">
        <v>846</v>
      </c>
      <c r="B162" s="10"/>
      <c r="C162" s="10">
        <v>-2.4425210000000002</v>
      </c>
      <c r="D162" s="10">
        <v>-2.7323607999999999</v>
      </c>
      <c r="E162" s="5" t="s">
        <v>802</v>
      </c>
      <c r="F162" s="5" t="s">
        <v>815</v>
      </c>
      <c r="G162" s="5" t="s">
        <v>847</v>
      </c>
    </row>
    <row r="163" spans="1:7">
      <c r="A163" s="5" t="s">
        <v>848</v>
      </c>
      <c r="B163" s="10"/>
      <c r="C163" s="10"/>
      <c r="D163" s="10">
        <v>-2.1260886000000001</v>
      </c>
      <c r="E163" s="5" t="s">
        <v>802</v>
      </c>
      <c r="G163" s="5" t="s">
        <v>803</v>
      </c>
    </row>
    <row r="164" spans="1:7">
      <c r="A164" s="5" t="s">
        <v>849</v>
      </c>
      <c r="B164" s="10"/>
      <c r="C164" s="10">
        <v>-2.2862</v>
      </c>
      <c r="D164" s="10">
        <v>-2.3730745</v>
      </c>
      <c r="E164" s="5" t="s">
        <v>802</v>
      </c>
      <c r="F164" s="5" t="s">
        <v>815</v>
      </c>
      <c r="G164" s="5" t="s">
        <v>847</v>
      </c>
    </row>
    <row r="165" spans="1:7">
      <c r="A165" s="5" t="s">
        <v>850</v>
      </c>
      <c r="B165" s="10">
        <v>-2.5684513999999998</v>
      </c>
      <c r="C165" s="10">
        <v>-2.7728028</v>
      </c>
      <c r="D165" s="10">
        <v>-2.5567280000000001</v>
      </c>
      <c r="E165" s="5" t="s">
        <v>802</v>
      </c>
      <c r="G165" s="5" t="s">
        <v>803</v>
      </c>
    </row>
    <row r="166" spans="1:7">
      <c r="A166" s="5" t="s">
        <v>851</v>
      </c>
      <c r="B166" s="10"/>
      <c r="C166" s="10"/>
      <c r="D166" s="10">
        <v>-2.0410146999999998</v>
      </c>
      <c r="E166" s="5" t="s">
        <v>802</v>
      </c>
      <c r="G166" s="5" t="s">
        <v>852</v>
      </c>
    </row>
    <row r="167" spans="1:7">
      <c r="A167" s="5" t="s">
        <v>853</v>
      </c>
      <c r="B167" s="10"/>
      <c r="C167" s="10"/>
      <c r="D167" s="10">
        <v>-2.1235723000000002</v>
      </c>
      <c r="E167" s="5" t="s">
        <v>802</v>
      </c>
      <c r="G167" s="5" t="s">
        <v>803</v>
      </c>
    </row>
    <row r="168" spans="1:7">
      <c r="A168" s="5" t="s">
        <v>854</v>
      </c>
      <c r="B168" s="10"/>
      <c r="C168" s="10"/>
      <c r="D168" s="10">
        <v>-2.1703166999999999</v>
      </c>
      <c r="E168" s="5" t="s">
        <v>802</v>
      </c>
      <c r="F168" s="5" t="s">
        <v>815</v>
      </c>
      <c r="G168" s="5" t="s">
        <v>847</v>
      </c>
    </row>
    <row r="169" spans="1:7">
      <c r="A169" s="5" t="s">
        <v>855</v>
      </c>
      <c r="B169" s="10"/>
      <c r="C169" s="10"/>
      <c r="D169" s="10">
        <v>-2.1186752000000002</v>
      </c>
      <c r="E169" s="5" t="s">
        <v>856</v>
      </c>
    </row>
    <row r="170" spans="1:7">
      <c r="A170" s="5" t="s">
        <v>857</v>
      </c>
      <c r="B170" s="10"/>
      <c r="C170" s="10"/>
      <c r="D170" s="10">
        <v>-2.1185174</v>
      </c>
      <c r="E170" s="5" t="s">
        <v>858</v>
      </c>
      <c r="F170" s="5" t="s">
        <v>815</v>
      </c>
      <c r="G170" s="5" t="s">
        <v>845</v>
      </c>
    </row>
    <row r="171" spans="1:7">
      <c r="A171" s="5" t="s">
        <v>859</v>
      </c>
      <c r="B171" s="10"/>
      <c r="C171" s="10"/>
      <c r="D171" s="10">
        <v>-2.1252179999999998</v>
      </c>
      <c r="E171" s="5" t="s">
        <v>858</v>
      </c>
      <c r="F171" s="5" t="s">
        <v>860</v>
      </c>
    </row>
    <row r="172" spans="1:7">
      <c r="A172" s="5" t="s">
        <v>538</v>
      </c>
      <c r="B172" s="10">
        <v>-5.5525336000000003</v>
      </c>
      <c r="C172" s="10">
        <v>-7.1708026</v>
      </c>
      <c r="D172" s="10">
        <v>-4.3243660000000004</v>
      </c>
      <c r="E172" s="5" t="s">
        <v>143</v>
      </c>
      <c r="F172" s="5" t="s">
        <v>822</v>
      </c>
      <c r="G172" s="5" t="s">
        <v>144</v>
      </c>
    </row>
    <row r="173" spans="1:7">
      <c r="A173" s="5" t="s">
        <v>577</v>
      </c>
      <c r="B173" s="10">
        <v>-5.7130302999999998</v>
      </c>
      <c r="C173" s="10">
        <v>-7.0007520000000003</v>
      </c>
      <c r="D173" s="10">
        <v>-4.2652279999999996</v>
      </c>
      <c r="E173" s="5" t="s">
        <v>143</v>
      </c>
      <c r="F173" s="5" t="s">
        <v>822</v>
      </c>
      <c r="G173" s="5" t="s">
        <v>144</v>
      </c>
    </row>
    <row r="174" spans="1:7">
      <c r="A174" s="5" t="s">
        <v>864</v>
      </c>
      <c r="B174" s="10"/>
      <c r="C174" s="10"/>
      <c r="D174" s="10">
        <v>-2.0181222000000001</v>
      </c>
      <c r="E174" s="5" t="s">
        <v>862</v>
      </c>
      <c r="F174" s="5" t="s">
        <v>815</v>
      </c>
      <c r="G174" s="5" t="s">
        <v>865</v>
      </c>
    </row>
    <row r="175" spans="1:7">
      <c r="A175" s="5" t="s">
        <v>866</v>
      </c>
      <c r="B175" s="10"/>
      <c r="C175" s="10"/>
      <c r="D175" s="10">
        <v>-2.4773725999999998</v>
      </c>
      <c r="E175" s="5" t="s">
        <v>862</v>
      </c>
      <c r="F175" s="5" t="s">
        <v>815</v>
      </c>
      <c r="G175" s="5" t="s">
        <v>865</v>
      </c>
    </row>
    <row r="176" spans="1:7">
      <c r="A176" s="5" t="s">
        <v>867</v>
      </c>
      <c r="B176" s="10"/>
      <c r="C176" s="10"/>
      <c r="D176" s="10">
        <v>-3.5417686000000002</v>
      </c>
      <c r="E176" s="5" t="s">
        <v>868</v>
      </c>
      <c r="F176" s="5" t="s">
        <v>869</v>
      </c>
      <c r="G176" s="5" t="s">
        <v>870</v>
      </c>
    </row>
    <row r="178" spans="2:4">
      <c r="C178" s="5" t="s">
        <v>1458</v>
      </c>
    </row>
    <row r="179" spans="2:4">
      <c r="B179" s="5">
        <v>20</v>
      </c>
      <c r="C179" s="5" t="s">
        <v>1459</v>
      </c>
      <c r="D179" s="34">
        <f>20/37*100</f>
        <v>54.054054054054056</v>
      </c>
    </row>
    <row r="180" spans="2:4">
      <c r="B180" s="5">
        <v>5</v>
      </c>
      <c r="C180" s="5" t="s">
        <v>1460</v>
      </c>
      <c r="D180" s="34">
        <f>5/37*100</f>
        <v>13.513513513513514</v>
      </c>
    </row>
    <row r="181" spans="2:4">
      <c r="B181" s="5">
        <v>5</v>
      </c>
      <c r="C181" s="5" t="s">
        <v>1461</v>
      </c>
      <c r="D181" s="34">
        <f>5/37*100</f>
        <v>13.513513513513514</v>
      </c>
    </row>
    <row r="182" spans="2:4">
      <c r="B182" s="5">
        <v>3</v>
      </c>
      <c r="C182" s="5" t="s">
        <v>1462</v>
      </c>
      <c r="D182" s="34">
        <f>3/37*100</f>
        <v>8.1081081081081088</v>
      </c>
    </row>
    <row r="183" spans="2:4">
      <c r="B183" s="5">
        <v>4</v>
      </c>
      <c r="C183" s="5" t="s">
        <v>822</v>
      </c>
      <c r="D183" s="34">
        <f>4/37*100</f>
        <v>10.810810810810811</v>
      </c>
    </row>
    <row r="184" spans="2:4">
      <c r="B184" s="5">
        <v>37</v>
      </c>
    </row>
    <row r="187" spans="2:4">
      <c r="B187" s="5">
        <f>B179+B180+B181+B182+B183</f>
        <v>37</v>
      </c>
    </row>
  </sheetData>
  <phoneticPr fontId="3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7"/>
  <sheetViews>
    <sheetView workbookViewId="0">
      <selection activeCell="F76" sqref="F76"/>
    </sheetView>
  </sheetViews>
  <sheetFormatPr defaultRowHeight="12.75"/>
  <cols>
    <col min="1" max="1" width="23" style="5" bestFit="1" customWidth="1"/>
    <col min="2" max="2" width="15.42578125" style="5" bestFit="1" customWidth="1"/>
    <col min="3" max="4" width="17" style="5" bestFit="1" customWidth="1"/>
    <col min="5" max="5" width="41.28515625" style="5" customWidth="1"/>
    <col min="6" max="6" width="44.7109375" style="5" customWidth="1"/>
    <col min="7" max="7" width="33" style="5" customWidth="1"/>
    <col min="8" max="16384" width="9.140625" style="5"/>
  </cols>
  <sheetData>
    <row r="1" spans="1:7" ht="18">
      <c r="A1" s="8" t="s">
        <v>579</v>
      </c>
      <c r="B1" s="8" t="s">
        <v>151</v>
      </c>
      <c r="C1" s="8" t="s">
        <v>153</v>
      </c>
      <c r="D1" s="8" t="s">
        <v>155</v>
      </c>
      <c r="E1" s="9" t="s">
        <v>580</v>
      </c>
      <c r="F1" s="9" t="s">
        <v>581</v>
      </c>
      <c r="G1" s="9" t="s">
        <v>582</v>
      </c>
    </row>
    <row r="2" spans="1:7">
      <c r="A2" s="5" t="s">
        <v>583</v>
      </c>
      <c r="B2" s="10"/>
      <c r="C2" s="10"/>
      <c r="D2" s="10">
        <v>2.118185</v>
      </c>
      <c r="E2" s="27" t="s">
        <v>584</v>
      </c>
      <c r="F2" s="5" t="s">
        <v>585</v>
      </c>
      <c r="G2" s="5" t="s">
        <v>586</v>
      </c>
    </row>
    <row r="3" spans="1:7">
      <c r="A3" s="5" t="s">
        <v>600</v>
      </c>
      <c r="B3" s="10"/>
      <c r="C3" s="10"/>
      <c r="D3" s="10">
        <v>2.1416917</v>
      </c>
      <c r="E3" s="28" t="s">
        <v>601</v>
      </c>
    </row>
    <row r="4" spans="1:7">
      <c r="A4" s="5" t="s">
        <v>765</v>
      </c>
      <c r="B4" s="10">
        <v>4.0937960000000002</v>
      </c>
      <c r="C4" s="10">
        <v>4.6559524999999997</v>
      </c>
      <c r="D4" s="10">
        <v>2.638754</v>
      </c>
      <c r="E4" s="21" t="s">
        <v>1198</v>
      </c>
      <c r="F4" s="5" t="s">
        <v>621</v>
      </c>
    </row>
    <row r="5" spans="1:7">
      <c r="A5" s="5" t="s">
        <v>767</v>
      </c>
      <c r="B5" s="10"/>
      <c r="C5" s="10"/>
      <c r="D5" s="10">
        <v>2.5553498000000001</v>
      </c>
      <c r="E5" s="28" t="s">
        <v>768</v>
      </c>
    </row>
    <row r="6" spans="1:7">
      <c r="A6" s="5" t="s">
        <v>769</v>
      </c>
      <c r="B6" s="10"/>
      <c r="C6" s="10"/>
      <c r="D6" s="10">
        <v>2.1183972</v>
      </c>
      <c r="E6" s="23" t="s">
        <v>770</v>
      </c>
      <c r="G6" s="5" t="s">
        <v>771</v>
      </c>
    </row>
    <row r="7" spans="1:7">
      <c r="A7" s="5" t="s">
        <v>772</v>
      </c>
      <c r="B7" s="10"/>
      <c r="C7" s="10">
        <v>2.7156457999999999</v>
      </c>
      <c r="D7" s="10"/>
      <c r="E7" s="21" t="s">
        <v>773</v>
      </c>
      <c r="F7" s="5" t="s">
        <v>774</v>
      </c>
      <c r="G7" s="5" t="s">
        <v>775</v>
      </c>
    </row>
    <row r="8" spans="1:7">
      <c r="A8" s="5" t="s">
        <v>871</v>
      </c>
      <c r="B8" s="10"/>
      <c r="C8" s="10"/>
      <c r="D8" s="10">
        <v>4.6209610000000003</v>
      </c>
      <c r="E8" s="22" t="s">
        <v>872</v>
      </c>
      <c r="F8" s="5" t="s">
        <v>873</v>
      </c>
      <c r="G8" s="5" t="s">
        <v>874</v>
      </c>
    </row>
    <row r="9" spans="1:7">
      <c r="A9" s="5" t="s">
        <v>875</v>
      </c>
      <c r="B9" s="10"/>
      <c r="C9" s="10"/>
      <c r="D9" s="10">
        <v>2.0235853000000001</v>
      </c>
      <c r="E9" s="22" t="s">
        <v>872</v>
      </c>
      <c r="G9" s="5" t="s">
        <v>876</v>
      </c>
    </row>
    <row r="10" spans="1:7">
      <c r="A10" s="5" t="s">
        <v>877</v>
      </c>
      <c r="B10" s="10"/>
      <c r="C10" s="10">
        <v>3.3473326999999999</v>
      </c>
      <c r="D10" s="10">
        <v>5.4696160000000003</v>
      </c>
      <c r="E10" s="22" t="s">
        <v>878</v>
      </c>
      <c r="F10" s="5" t="s">
        <v>873</v>
      </c>
      <c r="G10" s="5" t="s">
        <v>879</v>
      </c>
    </row>
    <row r="11" spans="1:7">
      <c r="A11" s="5" t="s">
        <v>880</v>
      </c>
      <c r="B11" s="10"/>
      <c r="C11" s="10"/>
      <c r="D11" s="10">
        <v>2.052003</v>
      </c>
      <c r="E11" s="22" t="s">
        <v>878</v>
      </c>
      <c r="F11" s="5" t="s">
        <v>873</v>
      </c>
      <c r="G11" s="5" t="s">
        <v>879</v>
      </c>
    </row>
    <row r="12" spans="1:7">
      <c r="A12" s="5" t="s">
        <v>881</v>
      </c>
      <c r="B12" s="10">
        <v>3.1407002999999998</v>
      </c>
      <c r="C12" s="10">
        <v>3.2185570000000001</v>
      </c>
      <c r="D12" s="10">
        <v>3.5042844</v>
      </c>
      <c r="E12" s="22" t="s">
        <v>882</v>
      </c>
      <c r="F12" s="5" t="s">
        <v>873</v>
      </c>
      <c r="G12" s="5" t="s">
        <v>883</v>
      </c>
    </row>
    <row r="13" spans="1:7">
      <c r="A13" s="5" t="s">
        <v>567</v>
      </c>
      <c r="B13" s="10"/>
      <c r="C13" s="10"/>
      <c r="D13" s="10">
        <v>2.7873774</v>
      </c>
      <c r="E13" s="22" t="s">
        <v>149</v>
      </c>
      <c r="F13" s="5" t="s">
        <v>873</v>
      </c>
      <c r="G13" s="5" t="s">
        <v>891</v>
      </c>
    </row>
    <row r="14" spans="1:7">
      <c r="A14" s="5" t="s">
        <v>890</v>
      </c>
      <c r="B14" s="10"/>
      <c r="C14" s="10"/>
      <c r="D14" s="10">
        <v>2.6228400000000001</v>
      </c>
      <c r="E14" s="22" t="s">
        <v>891</v>
      </c>
    </row>
    <row r="15" spans="1:7">
      <c r="A15" s="5" t="s">
        <v>892</v>
      </c>
      <c r="B15" s="10"/>
      <c r="C15" s="10"/>
      <c r="D15" s="10">
        <v>2.5363039999999999</v>
      </c>
      <c r="E15" s="22" t="s">
        <v>891</v>
      </c>
      <c r="F15" s="5" t="s">
        <v>873</v>
      </c>
    </row>
    <row r="16" spans="1:7">
      <c r="A16" s="5" t="s">
        <v>899</v>
      </c>
      <c r="B16" s="10"/>
      <c r="C16" s="10"/>
      <c r="D16" s="10">
        <v>3.8047013000000001</v>
      </c>
      <c r="E16" s="24" t="s">
        <v>900</v>
      </c>
      <c r="F16" s="5" t="s">
        <v>901</v>
      </c>
      <c r="G16" s="5" t="s">
        <v>902</v>
      </c>
    </row>
    <row r="17" spans="1:8">
      <c r="A17" s="5" t="s">
        <v>903</v>
      </c>
      <c r="B17" s="10"/>
      <c r="C17" s="10"/>
      <c r="D17" s="10">
        <v>2.7230492000000002</v>
      </c>
      <c r="E17" s="24" t="s">
        <v>904</v>
      </c>
      <c r="F17" s="5" t="s">
        <v>905</v>
      </c>
      <c r="G17" s="5" t="s">
        <v>906</v>
      </c>
    </row>
    <row r="18" spans="1:8">
      <c r="A18" s="5" t="s">
        <v>907</v>
      </c>
      <c r="B18" s="10"/>
      <c r="C18" s="10"/>
      <c r="D18" s="10">
        <v>2.0366602</v>
      </c>
      <c r="E18" s="24" t="s">
        <v>908</v>
      </c>
    </row>
    <row r="19" spans="1:8">
      <c r="A19" s="5" t="s">
        <v>926</v>
      </c>
      <c r="B19" s="10"/>
      <c r="C19" s="10"/>
      <c r="D19" s="10">
        <v>2.0288591</v>
      </c>
      <c r="E19" s="21" t="s">
        <v>927</v>
      </c>
      <c r="F19" s="5" t="s">
        <v>928</v>
      </c>
      <c r="G19" s="5" t="s">
        <v>929</v>
      </c>
    </row>
    <row r="20" spans="1:8">
      <c r="A20" s="5" t="s">
        <v>930</v>
      </c>
      <c r="B20" s="10"/>
      <c r="C20" s="10"/>
      <c r="D20" s="10">
        <v>2.0347195</v>
      </c>
      <c r="E20" s="21" t="s">
        <v>931</v>
      </c>
    </row>
    <row r="21" spans="1:8">
      <c r="A21" s="5" t="s">
        <v>980</v>
      </c>
      <c r="B21" s="10"/>
      <c r="C21" s="10">
        <v>2.1118964999999998</v>
      </c>
      <c r="D21" s="10">
        <v>2.2459006000000001</v>
      </c>
      <c r="E21" s="21" t="s">
        <v>981</v>
      </c>
      <c r="G21" s="5" t="s">
        <v>982</v>
      </c>
    </row>
    <row r="22" spans="1:8">
      <c r="A22" s="5" t="s">
        <v>991</v>
      </c>
      <c r="B22" s="10"/>
      <c r="C22" s="10"/>
      <c r="D22" s="10">
        <v>2.294489</v>
      </c>
      <c r="E22" s="21" t="s">
        <v>992</v>
      </c>
      <c r="G22" s="5" t="s">
        <v>993</v>
      </c>
    </row>
    <row r="23" spans="1:8">
      <c r="A23" s="5" t="s">
        <v>994</v>
      </c>
      <c r="B23" s="10"/>
      <c r="C23" s="10">
        <v>3.8487515000000001</v>
      </c>
      <c r="D23" s="10">
        <v>3.6562638000000001</v>
      </c>
      <c r="E23" s="21" t="s">
        <v>992</v>
      </c>
      <c r="G23" s="5" t="s">
        <v>995</v>
      </c>
    </row>
    <row r="24" spans="1:8">
      <c r="A24" s="5" t="s">
        <v>996</v>
      </c>
      <c r="B24" s="10"/>
      <c r="C24" s="10"/>
      <c r="D24" s="10">
        <v>2.1256680000000001</v>
      </c>
      <c r="E24" s="21" t="s">
        <v>997</v>
      </c>
      <c r="F24" s="5" t="s">
        <v>998</v>
      </c>
      <c r="G24" s="5" t="s">
        <v>604</v>
      </c>
      <c r="H24" s="5" t="s">
        <v>999</v>
      </c>
    </row>
    <row r="25" spans="1:8">
      <c r="A25" s="5" t="s">
        <v>1000</v>
      </c>
      <c r="B25" s="10"/>
      <c r="C25" s="10"/>
      <c r="D25" s="10">
        <v>2.2196707999999998</v>
      </c>
      <c r="E25" s="21" t="s">
        <v>997</v>
      </c>
      <c r="F25" s="5" t="s">
        <v>1001</v>
      </c>
      <c r="G25" s="5" t="s">
        <v>1002</v>
      </c>
    </row>
    <row r="26" spans="1:8">
      <c r="A26" s="5" t="s">
        <v>1003</v>
      </c>
      <c r="B26" s="10"/>
      <c r="C26" s="10"/>
      <c r="D26" s="10">
        <v>2.0575671</v>
      </c>
      <c r="E26" s="21" t="s">
        <v>997</v>
      </c>
      <c r="F26" s="5" t="s">
        <v>998</v>
      </c>
      <c r="G26" s="5" t="s">
        <v>604</v>
      </c>
      <c r="H26" s="5" t="s">
        <v>999</v>
      </c>
    </row>
    <row r="27" spans="1:8">
      <c r="A27" s="5" t="s">
        <v>1030</v>
      </c>
      <c r="B27" s="10"/>
      <c r="C27" s="10"/>
      <c r="D27" s="10">
        <v>2.7426781999999998</v>
      </c>
      <c r="E27" s="21" t="s">
        <v>1031</v>
      </c>
    </row>
    <row r="28" spans="1:8">
      <c r="A28" s="5" t="s">
        <v>1032</v>
      </c>
      <c r="B28" s="10"/>
      <c r="C28" s="10">
        <v>2.2553024000000002</v>
      </c>
      <c r="D28" s="10">
        <v>3.4573516999999998</v>
      </c>
      <c r="E28" s="21" t="s">
        <v>1031</v>
      </c>
    </row>
    <row r="29" spans="1:8">
      <c r="A29" s="5" t="s">
        <v>1033</v>
      </c>
      <c r="B29" s="10"/>
      <c r="C29" s="10"/>
      <c r="D29" s="10">
        <v>3.606382</v>
      </c>
      <c r="E29" s="21" t="s">
        <v>1034</v>
      </c>
    </row>
    <row r="30" spans="1:8">
      <c r="A30" s="5" t="s">
        <v>1035</v>
      </c>
      <c r="B30" s="10"/>
      <c r="C30" s="10">
        <v>2.2607803</v>
      </c>
      <c r="D30" s="10"/>
      <c r="E30" s="21" t="s">
        <v>1036</v>
      </c>
      <c r="F30" s="5" t="s">
        <v>1037</v>
      </c>
      <c r="G30" s="5" t="s">
        <v>1038</v>
      </c>
    </row>
    <row r="31" spans="1:8">
      <c r="A31" s="5" t="s">
        <v>1051</v>
      </c>
      <c r="B31" s="10"/>
      <c r="C31" s="10"/>
      <c r="D31" s="10">
        <v>2.4140595999999999</v>
      </c>
      <c r="E31" s="28" t="s">
        <v>1052</v>
      </c>
      <c r="F31" s="11" t="s">
        <v>1053</v>
      </c>
    </row>
    <row r="32" spans="1:8">
      <c r="A32" s="5" t="s">
        <v>1054</v>
      </c>
      <c r="B32" s="10"/>
      <c r="C32" s="10"/>
      <c r="D32" s="10">
        <v>2.3037529999999999</v>
      </c>
      <c r="E32" s="28" t="s">
        <v>1055</v>
      </c>
      <c r="F32" s="5" t="s">
        <v>713</v>
      </c>
      <c r="G32" s="5" t="s">
        <v>1056</v>
      </c>
    </row>
    <row r="33" spans="1:7">
      <c r="A33" s="5" t="s">
        <v>1059</v>
      </c>
      <c r="B33" s="10"/>
      <c r="C33" s="10"/>
      <c r="D33" s="10">
        <v>2.3046122000000002</v>
      </c>
      <c r="E33" s="25" t="s">
        <v>1060</v>
      </c>
      <c r="F33" s="25" t="s">
        <v>1061</v>
      </c>
      <c r="G33" s="5" t="s">
        <v>1062</v>
      </c>
    </row>
    <row r="34" spans="1:7">
      <c r="A34" s="5" t="s">
        <v>1063</v>
      </c>
      <c r="B34" s="10"/>
      <c r="C34" s="10"/>
      <c r="D34" s="10">
        <v>2.8296036999999998</v>
      </c>
      <c r="E34" s="25" t="s">
        <v>1060</v>
      </c>
      <c r="F34" s="25" t="s">
        <v>1061</v>
      </c>
      <c r="G34" s="5" t="s">
        <v>1062</v>
      </c>
    </row>
    <row r="35" spans="1:7">
      <c r="A35" s="5" t="s">
        <v>1064</v>
      </c>
      <c r="B35" s="10"/>
      <c r="C35" s="10"/>
      <c r="D35" s="10">
        <v>2.3389000000000002</v>
      </c>
      <c r="E35" s="25" t="s">
        <v>1060</v>
      </c>
      <c r="F35" s="25" t="s">
        <v>1061</v>
      </c>
      <c r="G35" s="5" t="s">
        <v>1062</v>
      </c>
    </row>
    <row r="36" spans="1:7">
      <c r="A36" s="5" t="s">
        <v>1065</v>
      </c>
      <c r="B36" s="10"/>
      <c r="C36" s="10"/>
      <c r="D36" s="10">
        <v>2.425805</v>
      </c>
      <c r="E36" s="25" t="s">
        <v>1060</v>
      </c>
      <c r="F36" s="25" t="s">
        <v>1061</v>
      </c>
      <c r="G36" s="5" t="s">
        <v>1062</v>
      </c>
    </row>
    <row r="37" spans="1:7">
      <c r="A37" s="5" t="s">
        <v>1072</v>
      </c>
      <c r="B37" s="10">
        <v>2.167592</v>
      </c>
      <c r="C37" s="10">
        <v>3.3128114000000002</v>
      </c>
      <c r="D37" s="10">
        <v>3.2781734</v>
      </c>
      <c r="E37" s="21" t="s">
        <v>1073</v>
      </c>
      <c r="F37" s="5" t="s">
        <v>1074</v>
      </c>
    </row>
    <row r="38" spans="1:7">
      <c r="A38" s="5" t="s">
        <v>1075</v>
      </c>
      <c r="B38" s="10">
        <v>2.4421697</v>
      </c>
      <c r="C38" s="10">
        <v>2.9276352000000001</v>
      </c>
      <c r="D38" s="10"/>
      <c r="E38" s="21" t="s">
        <v>1073</v>
      </c>
      <c r="F38" s="5" t="s">
        <v>1074</v>
      </c>
    </row>
    <row r="39" spans="1:7">
      <c r="A39" s="5" t="s">
        <v>532</v>
      </c>
      <c r="B39" s="10"/>
      <c r="C39" s="10">
        <v>2.2827829999999998</v>
      </c>
      <c r="D39" s="10">
        <v>2.3186417000000001</v>
      </c>
      <c r="E39" s="23" t="s">
        <v>533</v>
      </c>
      <c r="G39" s="5" t="s">
        <v>534</v>
      </c>
    </row>
    <row r="40" spans="1:7">
      <c r="A40" s="5" t="s">
        <v>1086</v>
      </c>
      <c r="B40" s="10"/>
      <c r="C40" s="10"/>
      <c r="D40" s="10">
        <v>2.2274045999999998</v>
      </c>
      <c r="E40" s="23" t="s">
        <v>1082</v>
      </c>
      <c r="F40" s="5" t="s">
        <v>655</v>
      </c>
      <c r="G40" s="5" t="s">
        <v>1083</v>
      </c>
    </row>
    <row r="41" spans="1:7">
      <c r="A41" s="5" t="s">
        <v>1091</v>
      </c>
      <c r="B41" s="10"/>
      <c r="C41" s="10"/>
      <c r="D41" s="10">
        <v>2.0094428</v>
      </c>
      <c r="E41" s="28" t="s">
        <v>1092</v>
      </c>
    </row>
    <row r="42" spans="1:7">
      <c r="A42" s="5" t="s">
        <v>552</v>
      </c>
      <c r="B42" s="10"/>
      <c r="C42" s="10">
        <v>2.1594275999999999</v>
      </c>
      <c r="D42" s="10">
        <v>2.4132600000000002</v>
      </c>
      <c r="E42" s="28" t="s">
        <v>148</v>
      </c>
      <c r="F42" s="5" t="s">
        <v>642</v>
      </c>
      <c r="G42" s="5" t="s">
        <v>553</v>
      </c>
    </row>
    <row r="43" spans="1:7">
      <c r="A43" s="5" t="s">
        <v>1127</v>
      </c>
      <c r="B43" s="10"/>
      <c r="C43" s="10"/>
      <c r="D43" s="10">
        <v>2.6103844999999999</v>
      </c>
      <c r="E43" s="21" t="s">
        <v>1128</v>
      </c>
      <c r="F43" s="21" t="s">
        <v>627</v>
      </c>
      <c r="G43" s="5" t="s">
        <v>1129</v>
      </c>
    </row>
    <row r="44" spans="1:7">
      <c r="A44" s="5" t="s">
        <v>1130</v>
      </c>
      <c r="B44" s="10"/>
      <c r="C44" s="10"/>
      <c r="D44" s="10">
        <v>2.962853</v>
      </c>
      <c r="E44" s="21" t="s">
        <v>1128</v>
      </c>
      <c r="F44" s="21" t="s">
        <v>687</v>
      </c>
      <c r="G44" s="5" t="s">
        <v>1131</v>
      </c>
    </row>
    <row r="45" spans="1:7">
      <c r="A45" s="5" t="s">
        <v>1132</v>
      </c>
      <c r="B45" s="10"/>
      <c r="C45" s="10"/>
      <c r="D45" s="10">
        <v>2.6101637000000002</v>
      </c>
      <c r="E45" s="21" t="s">
        <v>1128</v>
      </c>
      <c r="F45" s="21" t="s">
        <v>687</v>
      </c>
      <c r="G45" s="5" t="s">
        <v>1131</v>
      </c>
    </row>
    <row r="46" spans="1:7">
      <c r="A46" s="5" t="s">
        <v>1133</v>
      </c>
      <c r="B46" s="10">
        <v>2.5439156999999999</v>
      </c>
      <c r="C46" s="10">
        <v>2.9261436000000001</v>
      </c>
      <c r="D46" s="10">
        <v>2.6182690000000002</v>
      </c>
      <c r="E46" s="26" t="s">
        <v>1134</v>
      </c>
      <c r="F46" s="26" t="s">
        <v>1199</v>
      </c>
      <c r="G46" s="5" t="s">
        <v>1135</v>
      </c>
    </row>
    <row r="47" spans="1:7">
      <c r="A47" s="5" t="s">
        <v>1136</v>
      </c>
      <c r="B47" s="10">
        <v>4.0508303999999997</v>
      </c>
      <c r="C47" s="10">
        <v>5.1262879999999997</v>
      </c>
      <c r="D47" s="10">
        <v>5.6281724000000004</v>
      </c>
      <c r="E47" s="26" t="s">
        <v>1134</v>
      </c>
      <c r="F47" s="26" t="s">
        <v>1199</v>
      </c>
      <c r="G47" s="5" t="s">
        <v>1135</v>
      </c>
    </row>
    <row r="48" spans="1:7">
      <c r="A48" s="5" t="s">
        <v>1137</v>
      </c>
      <c r="B48" s="10"/>
      <c r="C48" s="10"/>
      <c r="D48" s="10">
        <v>2.0135632000000001</v>
      </c>
      <c r="E48" s="26" t="s">
        <v>1134</v>
      </c>
      <c r="F48" s="26" t="s">
        <v>1199</v>
      </c>
      <c r="G48" s="5" t="s">
        <v>1135</v>
      </c>
    </row>
    <row r="49" spans="1:7">
      <c r="A49" s="5" t="s">
        <v>1138</v>
      </c>
      <c r="B49" s="10"/>
      <c r="C49" s="10"/>
      <c r="D49" s="10">
        <v>2.5946913</v>
      </c>
      <c r="E49" s="26" t="s">
        <v>1134</v>
      </c>
      <c r="F49" s="26" t="s">
        <v>1199</v>
      </c>
      <c r="G49" s="5" t="s">
        <v>1135</v>
      </c>
    </row>
    <row r="50" spans="1:7">
      <c r="A50" s="5" t="s">
        <v>1141</v>
      </c>
      <c r="B50" s="10"/>
      <c r="C50" s="10">
        <v>2.0620055000000002</v>
      </c>
      <c r="D50" s="10"/>
      <c r="E50" s="28" t="s">
        <v>1142</v>
      </c>
    </row>
    <row r="51" spans="1:7">
      <c r="A51" s="5" t="s">
        <v>1143</v>
      </c>
      <c r="B51" s="10"/>
      <c r="C51" s="10">
        <v>2.0901198000000001</v>
      </c>
      <c r="D51" s="10"/>
      <c r="E51" s="28" t="s">
        <v>1142</v>
      </c>
    </row>
    <row r="52" spans="1:7">
      <c r="A52" s="5" t="s">
        <v>1144</v>
      </c>
      <c r="B52" s="10"/>
      <c r="C52" s="10">
        <v>2.1847625000000002</v>
      </c>
      <c r="D52" s="10"/>
      <c r="E52" s="28" t="s">
        <v>1145</v>
      </c>
    </row>
    <row r="53" spans="1:7" ht="12" customHeight="1">
      <c r="A53" s="5" t="s">
        <v>539</v>
      </c>
      <c r="B53" s="10">
        <v>2.7549104999999998</v>
      </c>
      <c r="C53" s="10">
        <v>2.8424140000000002</v>
      </c>
      <c r="D53" s="10">
        <v>3.28871</v>
      </c>
      <c r="E53" s="22" t="s">
        <v>147</v>
      </c>
      <c r="F53" s="5" t="s">
        <v>873</v>
      </c>
      <c r="G53" s="5" t="s">
        <v>891</v>
      </c>
    </row>
    <row r="54" spans="1:7">
      <c r="A54" s="5" t="s">
        <v>1208</v>
      </c>
      <c r="B54" s="10"/>
      <c r="C54" s="10">
        <v>3.0369139000000001</v>
      </c>
      <c r="D54" s="10">
        <v>2.7118243999999998</v>
      </c>
      <c r="E54" s="28" t="s">
        <v>1209</v>
      </c>
    </row>
    <row r="55" spans="1:7">
      <c r="A55" s="5" t="s">
        <v>1210</v>
      </c>
      <c r="B55" s="10"/>
      <c r="C55" s="10"/>
      <c r="D55" s="10">
        <v>2.5722413</v>
      </c>
      <c r="E55" s="27" t="s">
        <v>1211</v>
      </c>
      <c r="F55" s="27" t="s">
        <v>1212</v>
      </c>
      <c r="G55" s="5" t="s">
        <v>1213</v>
      </c>
    </row>
    <row r="56" spans="1:7">
      <c r="A56" s="5" t="s">
        <v>1214</v>
      </c>
      <c r="B56" s="10"/>
      <c r="C56" s="10"/>
      <c r="D56" s="10">
        <v>2.6773505000000002</v>
      </c>
      <c r="E56" s="27" t="s">
        <v>1211</v>
      </c>
      <c r="F56" s="27" t="s">
        <v>1212</v>
      </c>
      <c r="G56" s="5" t="s">
        <v>1213</v>
      </c>
    </row>
    <row r="57" spans="1:7">
      <c r="A57" s="5" t="s">
        <v>1215</v>
      </c>
      <c r="B57" s="10"/>
      <c r="C57" s="10">
        <v>2.2297191999999999</v>
      </c>
      <c r="D57" s="10">
        <v>2.2474327000000001</v>
      </c>
      <c r="E57" s="27" t="s">
        <v>1211</v>
      </c>
      <c r="F57" s="27" t="s">
        <v>1212</v>
      </c>
      <c r="G57" s="5" t="s">
        <v>1213</v>
      </c>
    </row>
    <row r="58" spans="1:7">
      <c r="A58" s="5" t="s">
        <v>1216</v>
      </c>
      <c r="B58" s="10"/>
      <c r="C58" s="10"/>
      <c r="D58" s="10">
        <v>2.450078</v>
      </c>
      <c r="E58" s="27" t="s">
        <v>1211</v>
      </c>
      <c r="F58" s="27" t="s">
        <v>1212</v>
      </c>
      <c r="G58" s="5" t="s">
        <v>1213</v>
      </c>
    </row>
    <row r="59" spans="1:7">
      <c r="A59" s="5" t="s">
        <v>1304</v>
      </c>
      <c r="B59" s="10"/>
      <c r="C59" s="10"/>
      <c r="D59" s="10">
        <v>2.1552978</v>
      </c>
      <c r="E59" s="28" t="s">
        <v>1305</v>
      </c>
      <c r="F59" s="5" t="s">
        <v>1306</v>
      </c>
      <c r="G59" s="5" t="s">
        <v>1307</v>
      </c>
    </row>
    <row r="60" spans="1:7">
      <c r="A60" s="5" t="s">
        <v>1308</v>
      </c>
      <c r="B60" s="10"/>
      <c r="C60" s="10"/>
      <c r="D60" s="10">
        <v>2.3876753000000002</v>
      </c>
      <c r="E60" s="28" t="s">
        <v>1309</v>
      </c>
      <c r="G60" s="5" t="s">
        <v>1310</v>
      </c>
    </row>
    <row r="61" spans="1:7">
      <c r="A61" s="5" t="s">
        <v>1319</v>
      </c>
      <c r="B61" s="10"/>
      <c r="C61" s="10"/>
      <c r="D61" s="10">
        <v>2.6655229999999999</v>
      </c>
      <c r="E61" s="28" t="s">
        <v>1320</v>
      </c>
      <c r="G61" s="5" t="s">
        <v>1321</v>
      </c>
    </row>
    <row r="62" spans="1:7">
      <c r="A62" s="5" t="s">
        <v>1333</v>
      </c>
      <c r="B62" s="10"/>
      <c r="C62" s="10"/>
      <c r="D62" s="10">
        <v>2.3528414</v>
      </c>
      <c r="E62" s="28" t="s">
        <v>1334</v>
      </c>
    </row>
    <row r="63" spans="1:7">
      <c r="A63" s="5" t="s">
        <v>1348</v>
      </c>
      <c r="B63" s="10"/>
      <c r="C63" s="10"/>
      <c r="D63" s="10">
        <v>2.0475178000000001</v>
      </c>
      <c r="E63" s="28" t="s">
        <v>1349</v>
      </c>
    </row>
    <row r="64" spans="1:7">
      <c r="A64" s="5" t="s">
        <v>1386</v>
      </c>
      <c r="B64" s="10"/>
      <c r="C64" s="10">
        <v>2.1926793999999998</v>
      </c>
      <c r="D64" s="10"/>
      <c r="E64" s="27" t="s">
        <v>1387</v>
      </c>
      <c r="F64" s="5" t="s">
        <v>687</v>
      </c>
      <c r="G64" s="5" t="s">
        <v>1388</v>
      </c>
    </row>
    <row r="65" spans="1:7">
      <c r="A65" s="5" t="s">
        <v>1389</v>
      </c>
      <c r="B65" s="10"/>
      <c r="C65" s="10"/>
      <c r="D65" s="10">
        <v>2.0806985</v>
      </c>
      <c r="E65" s="27" t="s">
        <v>1387</v>
      </c>
      <c r="F65" s="5" t="s">
        <v>687</v>
      </c>
      <c r="G65" s="5" t="s">
        <v>1388</v>
      </c>
    </row>
    <row r="66" spans="1:7">
      <c r="A66" s="5" t="s">
        <v>2</v>
      </c>
      <c r="B66" s="10"/>
      <c r="C66" s="10">
        <v>2.0227365000000002</v>
      </c>
      <c r="D66" s="10"/>
      <c r="E66" s="21" t="s">
        <v>3</v>
      </c>
      <c r="F66" s="5" t="s">
        <v>4</v>
      </c>
    </row>
    <row r="67" spans="1:7">
      <c r="A67" s="5" t="s">
        <v>12</v>
      </c>
      <c r="B67" s="10"/>
      <c r="C67" s="10">
        <v>3.0654091999999999</v>
      </c>
      <c r="D67" s="10">
        <v>3.3637589999999999</v>
      </c>
      <c r="E67" s="28" t="s">
        <v>13</v>
      </c>
    </row>
    <row r="68" spans="1:7">
      <c r="F68" s="30" t="s">
        <v>1448</v>
      </c>
    </row>
    <row r="69" spans="1:7">
      <c r="A69" s="5">
        <f>COUNTA(A2:A67)</f>
        <v>66</v>
      </c>
      <c r="D69" s="5">
        <v>16</v>
      </c>
      <c r="E69" s="28" t="s">
        <v>1440</v>
      </c>
      <c r="F69" s="31" t="s">
        <v>1444</v>
      </c>
      <c r="G69" s="32">
        <f>20/66*100</f>
        <v>30.303030303030305</v>
      </c>
    </row>
    <row r="70" spans="1:7">
      <c r="D70" s="5">
        <v>9</v>
      </c>
      <c r="E70" s="22" t="s">
        <v>873</v>
      </c>
      <c r="F70" s="31" t="s">
        <v>1442</v>
      </c>
      <c r="G70" s="32">
        <f>16/66*100</f>
        <v>24.242424242424242</v>
      </c>
    </row>
    <row r="71" spans="1:7">
      <c r="D71" s="5">
        <v>20</v>
      </c>
      <c r="E71" s="21" t="s">
        <v>627</v>
      </c>
      <c r="F71" s="31" t="s">
        <v>1447</v>
      </c>
      <c r="G71" s="32">
        <f>9/66*100</f>
        <v>13.636363636363635</v>
      </c>
    </row>
    <row r="72" spans="1:7">
      <c r="D72" s="5">
        <v>4</v>
      </c>
      <c r="E72" s="25" t="s">
        <v>1060</v>
      </c>
      <c r="F72" s="31" t="s">
        <v>1445</v>
      </c>
      <c r="G72" s="32">
        <f>7/66*100</f>
        <v>10.606060606060606</v>
      </c>
    </row>
    <row r="73" spans="1:7">
      <c r="D73" s="5">
        <v>7</v>
      </c>
      <c r="E73" s="26" t="s">
        <v>1443</v>
      </c>
      <c r="F73" s="31" t="s">
        <v>1446</v>
      </c>
      <c r="G73" s="32">
        <f>7/66*100</f>
        <v>10.606060606060606</v>
      </c>
    </row>
    <row r="74" spans="1:7">
      <c r="D74" s="5">
        <v>7</v>
      </c>
      <c r="E74" s="27" t="s">
        <v>687</v>
      </c>
      <c r="F74" s="31" t="s">
        <v>1449</v>
      </c>
      <c r="G74" s="32">
        <f>4/66*100</f>
        <v>6.0606060606060606</v>
      </c>
    </row>
    <row r="75" spans="1:7">
      <c r="D75" s="5">
        <v>3</v>
      </c>
      <c r="E75" s="23" t="s">
        <v>1441</v>
      </c>
      <c r="F75" s="31" t="s">
        <v>1450</v>
      </c>
      <c r="G75" s="32">
        <f>3/66*100</f>
        <v>4.5454545454545459</v>
      </c>
    </row>
    <row r="77" spans="1:7">
      <c r="D77" s="5">
        <f>SUM(D69:D75)</f>
        <v>66</v>
      </c>
    </row>
  </sheetData>
  <phoneticPr fontId="3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9</vt:i4>
      </vt:variant>
    </vt:vector>
  </HeadingPairs>
  <TitlesOfParts>
    <vt:vector size="20" baseType="lpstr">
      <vt:lpstr>Complete</vt:lpstr>
      <vt:lpstr>Downregulated</vt:lpstr>
      <vt:lpstr>Upregulated</vt:lpstr>
      <vt:lpstr>AlphaComplete</vt:lpstr>
      <vt:lpstr>Organized Upreg</vt:lpstr>
      <vt:lpstr>Organized Downreg</vt:lpstr>
      <vt:lpstr>Phase1</vt:lpstr>
      <vt:lpstr>Phase2</vt:lpstr>
      <vt:lpstr>Phase3</vt:lpstr>
      <vt:lpstr>OtherInduced</vt:lpstr>
      <vt:lpstr>Sheet4</vt:lpstr>
      <vt:lpstr>CytP450</vt:lpstr>
      <vt:lpstr>CytP450Bar</vt:lpstr>
      <vt:lpstr>RespirationDR</vt:lpstr>
      <vt:lpstr>GST</vt:lpstr>
      <vt:lpstr>glycosyl-</vt:lpstr>
      <vt:lpstr>Glucosyl-</vt:lpstr>
      <vt:lpstr>DNADR</vt:lpstr>
      <vt:lpstr>ATP&amp;ABC</vt:lpstr>
      <vt:lpstr>PieofOtherInduced</vt:lpstr>
    </vt:vector>
  </TitlesOfParts>
  <Company>University of Iowa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R. Flokstra</dc:creator>
  <cp:lastModifiedBy>Main</cp:lastModifiedBy>
  <dcterms:created xsi:type="dcterms:W3CDTF">2008-03-23T15:17:48Z</dcterms:created>
  <dcterms:modified xsi:type="dcterms:W3CDTF">2010-05-04T15:32:42Z</dcterms:modified>
</cp:coreProperties>
</file>