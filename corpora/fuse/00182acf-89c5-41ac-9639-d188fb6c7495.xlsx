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12120" windowHeight="9120" activeTab="1"/>
  </bookViews>
  <sheets>
    <sheet name="Teacher Salary - District" sheetId="1" r:id="rId1"/>
    <sheet name="Teacher Salary - Charter" sheetId="4" r:id="rId2"/>
  </sheets>
  <definedNames>
    <definedName name="_xlnm.Print_Area" localSheetId="1">'Teacher Salary - Charter'!$B$2:$N$85</definedName>
    <definedName name="_xlnm.Print_Area" localSheetId="0">'Teacher Salary - District'!$B$2:$N$49</definedName>
  </definedNames>
  <calcPr calcId="145621" concurrentCalc="0"/>
</workbook>
</file>

<file path=xl/calcChain.xml><?xml version="1.0" encoding="utf-8"?>
<calcChain xmlns="http://schemas.openxmlformats.org/spreadsheetml/2006/main">
  <c r="N48" i="1" l="1"/>
  <c r="M48" i="1"/>
  <c r="L48" i="1"/>
  <c r="K48" i="1"/>
  <c r="J48" i="1"/>
  <c r="I48" i="1"/>
  <c r="H48" i="1"/>
  <c r="G48" i="1"/>
  <c r="F48" i="1"/>
  <c r="E48" i="1"/>
  <c r="N47" i="1"/>
  <c r="M47" i="1"/>
  <c r="L47" i="1"/>
  <c r="K47" i="1"/>
  <c r="J47" i="1"/>
  <c r="I47" i="1"/>
  <c r="H47" i="1"/>
  <c r="G47" i="1"/>
  <c r="F47" i="1"/>
  <c r="E47" i="1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2" i="4"/>
  <c r="N53" i="4"/>
  <c r="N54" i="4"/>
  <c r="N55" i="4"/>
  <c r="N56" i="4"/>
  <c r="N57" i="4"/>
  <c r="N58" i="4"/>
  <c r="N59" i="4"/>
  <c r="N60" i="4"/>
  <c r="N61" i="4"/>
  <c r="N62" i="4"/>
  <c r="N63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46" i="1"/>
  <c r="M84" i="4"/>
  <c r="M46" i="1"/>
  <c r="L84" i="4"/>
  <c r="L46" i="1"/>
  <c r="K84" i="4"/>
  <c r="K46" i="1"/>
  <c r="J84" i="4"/>
  <c r="J46" i="1"/>
  <c r="I84" i="4"/>
  <c r="I46" i="1"/>
  <c r="H84" i="4"/>
  <c r="H46" i="1"/>
  <c r="G84" i="4"/>
  <c r="G46" i="1"/>
  <c r="F84" i="4"/>
  <c r="F46" i="1"/>
  <c r="E84" i="4"/>
  <c r="E46" i="1"/>
  <c r="M45" i="1"/>
  <c r="L45" i="1"/>
  <c r="K45" i="1"/>
  <c r="J45" i="1"/>
  <c r="I45" i="1"/>
  <c r="H45" i="1"/>
  <c r="G45" i="1"/>
  <c r="F45" i="1"/>
  <c r="E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/>
</calcChain>
</file>

<file path=xl/sharedStrings.xml><?xml version="1.0" encoding="utf-8"?>
<sst xmlns="http://schemas.openxmlformats.org/spreadsheetml/2006/main" count="156" uniqueCount="140">
  <si>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</si>
  <si>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</si>
  <si>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</si>
  <si>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</si>
  <si>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</si>
  <si>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</si>
  <si>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</si>
  <si>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</si>
  <si>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</si>
  <si>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</si>
  <si>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</si>
  <si>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</si>
  <si>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</si>
  <si>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</si>
  <si>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</si>
  <si>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</si>
  <si>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</si>
  <si>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</si>
  <si>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</si>
  <si>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</si>
  <si>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</si>
  <si>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</si>
  <si>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</si>
  <si>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</si>
  <si>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</si>
  <si>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</si>
  <si>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</si>
  <si>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</si>
  <si>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</si>
  <si>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</si>
  <si>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</si>
  <si>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</si>
  <si>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</si>
  <si>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</si>
  <si>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</si>
  <si>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</si>
  <si>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</si>
  <si>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</si>
  <si>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</si>
  <si>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</si>
  <si>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</si>
  <si>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ALIANZA ACADEMY</t>
  </si>
  <si>
    <t>AMERICAN LEADERSHIP ACADEMY</t>
  </si>
  <si>
    <t>AMERICAN PREPARATORY ACADEMY</t>
  </si>
  <si>
    <t>BEAR RIVER CHARTER SCHOOL</t>
  </si>
  <si>
    <t>CANYON RIM ACADEMY</t>
  </si>
  <si>
    <t>CHANNING HALL</t>
  </si>
  <si>
    <t>CITY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</si>
  <si>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</si>
  <si>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</si>
  <si>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</si>
  <si>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</si>
  <si>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</si>
  <si>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</si>
  <si>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</si>
  <si>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</si>
  <si>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</si>
  <si>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</si>
  <si>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</si>
  <si>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</si>
  <si>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</si>
  <si>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</si>
  <si>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</si>
  <si>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</si>
  <si>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</si>
  <si>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</si>
  <si>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</si>
  <si>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</si>
  <si>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</si>
  <si>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</si>
  <si>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</si>
  <si>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</si>
  <si>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CHARTER SCHOOL</t>
  </si>
  <si>
    <t>MONTICELLO ACADEMY</t>
  </si>
  <si>
    <t>MOUNTAINVILLE ACADEMY</t>
  </si>
  <si>
    <t>NAVIGATOR POINTE ACADEMY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</si>
  <si>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</si>
  <si>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</si>
  <si>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</si>
  <si>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</si>
  <si>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</si>
  <si>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</si>
  <si>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</si>
  <si>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</si>
  <si>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</si>
  <si>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</si>
  <si>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</si>
  <si>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</si>
  <si>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</si>
  <si>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</si>
  <si>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</si>
  <si>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</si>
  <si>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</si>
  <si>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</si>
  <si>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</si>
  <si>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</si>
  <si>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</si>
  <si>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</si>
  <si>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</si>
  <si>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</si>
  <si>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</si>
  <si>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</si>
  <si>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TIMPANOGOS ACADEMY</t>
  </si>
  <si>
    <t>TUACAHN HIGH SCHOOL FOR THE PERFORMING ARTS</t>
  </si>
  <si>
    <t>UINTAH RIVER HIGH</t>
  </si>
  <si>
    <t>UTAH CONNECTIONS ACADEMY</t>
  </si>
  <si>
    <t>UTAH COUNTY ACADEMY OF SCIENCE (UCAS)</t>
  </si>
  <si>
    <t>UTAH VIRTUAL ACADEMY</t>
  </si>
  <si>
    <t>VENTURE ACADEMY</t>
  </si>
  <si>
    <t>WALDEN SCHOOL OF LIBERAL ARTS</t>
  </si>
  <si>
    <t>WASATCH PEAK ACADEMY</t>
  </si>
  <si>
    <t>WEILENMANN SCHOOL OF DISCOVERY</t>
  </si>
  <si>
    <t>Charter Median</t>
  </si>
  <si>
    <t>District Median</t>
  </si>
  <si>
    <t>Grand Median</t>
  </si>
  <si>
    <t>Social Security</t>
  </si>
  <si>
    <t>Retirement</t>
  </si>
  <si>
    <t>Utah Schools for the Deaf and Blind</t>
  </si>
  <si>
    <t>BAER CANYON HS FOR SPORTS &amp; MEDICAL SCIENCES</t>
  </si>
  <si>
    <t>HIGHMARK CHARTER SCHOOL</t>
  </si>
  <si>
    <t>THOMAS EDISON</t>
  </si>
  <si>
    <t>BEEHIVE SCIENCE &amp; TECHNOLOGY ACADEMY</t>
  </si>
  <si>
    <t>Median School Administrator Salary</t>
  </si>
  <si>
    <t>Health Insurance</t>
  </si>
  <si>
    <t>Dental Insurance</t>
  </si>
  <si>
    <t>Life Insurance</t>
  </si>
  <si>
    <t>Industrial Insurance</t>
  </si>
  <si>
    <t>Median Classroom Teacher Salary</t>
  </si>
  <si>
    <t>CACTUS Database</t>
  </si>
  <si>
    <t>Total Teacher Benefits</t>
  </si>
  <si>
    <t>Total Teacher Compensation</t>
  </si>
  <si>
    <t>Teacher Benefits Survey (as Reported by LEA)</t>
  </si>
  <si>
    <t>Note: Benefits are based on the portion of the premium paid by the LEA for family coverage for an employee.</t>
  </si>
  <si>
    <t>VISTA AT ENTRADA SCHOOL OF PERFORMING ARTS</t>
  </si>
  <si>
    <t>Long-Term Disability Insurance</t>
  </si>
  <si>
    <t>Unemploy-ment Insurance</t>
  </si>
  <si>
    <t>C.S. LEWIS ACADEMY</t>
  </si>
  <si>
    <t>ACADEMY FOR MATH, ENGINEERING &amp; SCIENCE</t>
  </si>
  <si>
    <t>KARL G. MAESER PREPARATORY ACADEMY</t>
  </si>
  <si>
    <t>NO. UT ACAD. FOR MATH, ENGINEERING &amp;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</si>
</sst>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$&quot;* #,##0_);_(&quot;$&quot;* \(#,##0\);_(&quot;$&quot;* &quot;-&quot;_);_(@_)"/>
    <numFmt numFmtId="164" formatCode="###0"/>
    <numFmt numFmtId="165" formatCode="####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indexed="8"/>
      <name val="Calibri"/>
      <family val="2"/>
    </font>
    <font>
      <sz val="9"/>
      <color theme="1"/>
      <name val="Calibri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0">
    <xf numFmtId="0" fontId="0" fillId="0" borderId="0" xfId="0"/>
    <xf numFmtId="0" fontId="5" fillId="0" borderId="0" xfId="1" applyFont="1" applyBorder="1" applyAlignment="1">
      <alignment horizontal="left" vertical="top" wrapText="1"/>
    </xf>
    <xf numFmtId="3" fontId="5" fillId="0" borderId="0" xfId="1" applyNumberFormat="1" applyFont="1" applyBorder="1" applyAlignment="1">
      <alignment horizontal="center" wrapText="1"/>
    </xf>
    <xf numFmtId="3" fontId="5" fillId="0" borderId="0" xfId="1" applyNumberFormat="1" applyFont="1" applyBorder="1" applyAlignment="1">
      <alignment horizontal="right" vertical="top"/>
    </xf>
    <xf numFmtId="0" fontId="4" fillId="0" borderId="0" xfId="0" applyFont="1" applyBorder="1" applyAlignment="1"/>
    <xf numFmtId="3" fontId="4" fillId="0" borderId="0" xfId="0" applyNumberFormat="1" applyFont="1" applyBorder="1" applyAlignment="1"/>
    <xf numFmtId="1" fontId="4" fillId="0" borderId="0" xfId="0" applyNumberFormat="1" applyFont="1" applyBorder="1" applyAlignment="1"/>
    <xf numFmtId="0" fontId="4" fillId="0" borderId="0" xfId="0" applyFont="1" applyBorder="1" applyAlignment="1">
      <alignment wrapText="1"/>
    </xf>
    <xf numFmtId="0" fontId="3" fillId="0" borderId="0" xfId="1" applyFont="1" applyBorder="1" applyAlignment="1">
      <alignment horizontal="left" vertical="top" wrapText="1"/>
    </xf>
    <xf numFmtId="3" fontId="3" fillId="0" borderId="0" xfId="1" applyNumberFormat="1" applyFont="1" applyBorder="1" applyAlignment="1">
      <alignment horizontal="right" vertical="top"/>
    </xf>
    <xf numFmtId="0" fontId="5" fillId="0" borderId="0" xfId="2" applyFont="1" applyBorder="1" applyAlignment="1">
      <alignment horizontal="left" vertical="top" wrapText="1"/>
    </xf>
    <xf numFmtId="164" fontId="5" fillId="0" borderId="0" xfId="2" applyNumberFormat="1" applyFont="1" applyBorder="1" applyAlignment="1">
      <alignment horizontal="right" vertical="top"/>
    </xf>
    <xf numFmtId="165" fontId="5" fillId="0" borderId="0" xfId="2" applyNumberFormat="1" applyFont="1" applyBorder="1" applyAlignment="1">
      <alignment horizontal="right" vertical="top"/>
    </xf>
    <xf numFmtId="3" fontId="8" fillId="0" borderId="0" xfId="1" applyNumberFormat="1" applyFont="1" applyBorder="1" applyAlignment="1">
      <alignment horizontal="right" vertical="top"/>
    </xf>
    <xf numFmtId="3" fontId="3" fillId="0" borderId="0" xfId="1" applyNumberFormat="1" applyFont="1" applyBorder="1" applyAlignment="1">
      <alignment horizontal="right" vertical="top" wrapText="1"/>
    </xf>
    <xf numFmtId="0" fontId="6" fillId="0" borderId="3" xfId="0" applyFont="1" applyBorder="1" applyAlignment="1">
      <alignment horizontal="centerContinuous"/>
    </xf>
    <xf numFmtId="0" fontId="6" fillId="0" borderId="2" xfId="0" applyFont="1" applyBorder="1" applyAlignment="1">
      <alignment horizontal="centerContinuous"/>
    </xf>
    <xf numFmtId="0" fontId="5" fillId="0" borderId="3" xfId="1" applyFont="1" applyBorder="1" applyAlignment="1">
      <alignment horizontal="left" wrapText="1"/>
    </xf>
    <xf numFmtId="1" fontId="3" fillId="0" borderId="3" xfId="1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2" fillId="0" borderId="0" xfId="2" applyBorder="1"/>
    <xf numFmtId="0" fontId="5" fillId="0" borderId="3" xfId="1" applyFont="1" applyBorder="1" applyAlignment="1">
      <alignment horizontal="left" vertical="top" wrapText="1"/>
    </xf>
    <xf numFmtId="3" fontId="6" fillId="0" borderId="0" xfId="0" applyNumberFormat="1" applyFont="1" applyBorder="1" applyAlignment="1">
      <alignment horizontal="right" vertical="top"/>
    </xf>
    <xf numFmtId="0" fontId="7" fillId="0" borderId="5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left" vertical="top" wrapText="1"/>
    </xf>
    <xf numFmtId="0" fontId="6" fillId="0" borderId="5" xfId="0" applyFont="1" applyBorder="1" applyAlignment="1"/>
    <xf numFmtId="0" fontId="11" fillId="0" borderId="0" xfId="0" applyFont="1" applyBorder="1" applyAlignment="1">
      <alignment vertical="top"/>
    </xf>
    <xf numFmtId="42" fontId="5" fillId="0" borderId="0" xfId="2" applyNumberFormat="1" applyFont="1" applyBorder="1" applyAlignment="1">
      <alignment horizontal="right" vertical="top"/>
    </xf>
    <xf numFmtId="42" fontId="5" fillId="0" borderId="0" xfId="1" applyNumberFormat="1" applyFont="1" applyBorder="1" applyAlignment="1">
      <alignment horizontal="right" vertical="top"/>
    </xf>
    <xf numFmtId="42" fontId="4" fillId="0" borderId="1" xfId="0" applyNumberFormat="1" applyFont="1" applyBorder="1" applyAlignment="1">
      <alignment vertical="top"/>
    </xf>
    <xf numFmtId="42" fontId="4" fillId="0" borderId="0" xfId="0" applyNumberFormat="1" applyFont="1" applyBorder="1" applyAlignment="1">
      <alignment vertical="top"/>
    </xf>
    <xf numFmtId="42" fontId="6" fillId="0" borderId="1" xfId="0" applyNumberFormat="1" applyFont="1" applyBorder="1" applyAlignment="1">
      <alignment vertical="top"/>
    </xf>
    <xf numFmtId="42" fontId="5" fillId="0" borderId="3" xfId="2" applyNumberFormat="1" applyFont="1" applyBorder="1" applyAlignment="1">
      <alignment horizontal="right" vertical="top"/>
    </xf>
    <xf numFmtId="42" fontId="5" fillId="0" borderId="3" xfId="1" applyNumberFormat="1" applyFont="1" applyBorder="1" applyAlignment="1">
      <alignment horizontal="right" vertical="top"/>
    </xf>
    <xf numFmtId="42" fontId="4" fillId="0" borderId="5" xfId="0" applyNumberFormat="1" applyFont="1" applyBorder="1" applyAlignment="1">
      <alignment vertical="top"/>
    </xf>
    <xf numFmtId="42" fontId="4" fillId="0" borderId="3" xfId="0" applyNumberFormat="1" applyFont="1" applyBorder="1" applyAlignment="1">
      <alignment vertical="top"/>
    </xf>
    <xf numFmtId="42" fontId="6" fillId="0" borderId="5" xfId="0" applyNumberFormat="1" applyFont="1" applyBorder="1" applyAlignment="1">
      <alignment vertical="top"/>
    </xf>
    <xf numFmtId="42" fontId="3" fillId="0" borderId="0" xfId="2" applyNumberFormat="1" applyFont="1" applyBorder="1" applyAlignment="1">
      <alignment horizontal="right" vertical="top"/>
    </xf>
    <xf numFmtId="42" fontId="3" fillId="0" borderId="0" xfId="1" applyNumberFormat="1" applyFont="1" applyBorder="1" applyAlignment="1">
      <alignment horizontal="right" vertical="top"/>
    </xf>
    <xf numFmtId="42" fontId="6" fillId="0" borderId="0" xfId="0" applyNumberFormat="1" applyFont="1" applyBorder="1" applyAlignment="1">
      <alignment vertical="top"/>
    </xf>
    <xf numFmtId="42" fontId="3" fillId="0" borderId="1" xfId="2" applyNumberFormat="1" applyFont="1" applyBorder="1" applyAlignment="1">
      <alignment horizontal="right" vertical="top"/>
    </xf>
    <xf numFmtId="42" fontId="4" fillId="0" borderId="0" xfId="0" applyNumberFormat="1" applyFont="1" applyBorder="1" applyAlignment="1">
      <alignment horizontal="right" vertical="top"/>
    </xf>
    <xf numFmtId="42" fontId="9" fillId="0" borderId="0" xfId="0" applyNumberFormat="1" applyFont="1" applyBorder="1" applyAlignment="1">
      <alignment horizontal="right" vertical="top"/>
    </xf>
    <xf numFmtId="42" fontId="4" fillId="0" borderId="1" xfId="0" applyNumberFormat="1" applyFont="1" applyBorder="1" applyAlignment="1">
      <alignment horizontal="right" vertical="top"/>
    </xf>
    <xf numFmtId="42" fontId="9" fillId="0" borderId="1" xfId="0" applyNumberFormat="1" applyFont="1" applyBorder="1" applyAlignment="1">
      <alignment horizontal="right" vertical="top"/>
    </xf>
    <xf numFmtId="0" fontId="6" fillId="0" borderId="9" xfId="0" applyFont="1" applyBorder="1" applyAlignment="1">
      <alignment horizontal="center" wrapText="1"/>
    </xf>
    <xf numFmtId="42" fontId="4" fillId="0" borderId="8" xfId="0" applyNumberFormat="1" applyFont="1" applyBorder="1" applyAlignment="1">
      <alignment horizontal="right" vertical="top"/>
    </xf>
    <xf numFmtId="42" fontId="9" fillId="0" borderId="8" xfId="0" applyNumberFormat="1" applyFont="1" applyBorder="1" applyAlignment="1">
      <alignment horizontal="right" vertical="top"/>
    </xf>
    <xf numFmtId="42" fontId="3" fillId="0" borderId="8" xfId="2" applyNumberFormat="1" applyFont="1" applyBorder="1" applyAlignment="1">
      <alignment horizontal="right" vertical="top"/>
    </xf>
    <xf numFmtId="0" fontId="10" fillId="0" borderId="0" xfId="1" applyFont="1" applyBorder="1" applyAlignment="1">
      <alignment horizontal="left" vertical="top"/>
    </xf>
    <xf numFmtId="42" fontId="4" fillId="0" borderId="3" xfId="0" applyNumberFormat="1" applyFont="1" applyBorder="1" applyAlignment="1">
      <alignment horizontal="right" vertical="top"/>
    </xf>
    <xf numFmtId="42" fontId="4" fillId="0" borderId="7" xfId="0" applyNumberFormat="1" applyFont="1" applyBorder="1" applyAlignment="1">
      <alignment horizontal="right" vertical="top"/>
    </xf>
    <xf numFmtId="42" fontId="4" fillId="0" borderId="6" xfId="0" applyNumberFormat="1" applyFont="1" applyBorder="1" applyAlignment="1">
      <alignment horizontal="right" vertical="top"/>
    </xf>
    <xf numFmtId="42" fontId="4" fillId="0" borderId="5" xfId="0" applyNumberFormat="1" applyFont="1" applyBorder="1" applyAlignment="1">
      <alignment horizontal="right" vertical="top"/>
    </xf>
    <xf numFmtId="0" fontId="5" fillId="0" borderId="3" xfId="2" applyFont="1" applyBorder="1" applyAlignment="1">
      <alignment horizontal="left" vertical="top" wrapText="1"/>
    </xf>
    <xf numFmtId="42" fontId="9" fillId="0" borderId="3" xfId="0" applyNumberFormat="1" applyFont="1" applyBorder="1" applyAlignment="1">
      <alignment horizontal="right" vertical="top"/>
    </xf>
    <xf numFmtId="42" fontId="9" fillId="0" borderId="5" xfId="0" applyNumberFormat="1" applyFont="1" applyBorder="1" applyAlignment="1">
      <alignment horizontal="right" vertical="top"/>
    </xf>
    <xf numFmtId="42" fontId="9" fillId="0" borderId="7" xfId="0" applyNumberFormat="1" applyFont="1" applyBorder="1" applyAlignment="1">
      <alignment horizontal="right" vertical="top"/>
    </xf>
    <xf numFmtId="0" fontId="5" fillId="0" borderId="4" xfId="1" applyFont="1" applyBorder="1" applyAlignment="1">
      <alignment horizontal="left" vertical="top" wrapText="1"/>
    </xf>
  </cellXfs>
  <cellStyles count="3">
    <cellStyle name="Normal" xfId="0" builtinId="0"/>
    <cellStyle name="Normal_Sheet1" xfId="1"/>
    <cellStyle name="Normal_Teacher Salary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36"/>
  <sheetViews>
    <sheetView zoomScaleNormal="100" workbookViewId="0">
      <selection activeCell="P1" sqref="P1:R1048576"/>
    </sheetView>
  </sheetViews>
  <sheetFormatPr defaultColWidth="21.88671875" defaultRowHeight="12.6" customHeight="1" x14ac:dyDescent="0.2"/>
  <cols>
    <col min="1" max="1" width="3" style="4" customWidth="1"/>
    <col min="2" max="2" width="29.5546875" style="4" customWidth="1"/>
    <col min="3" max="3" width="12.44140625" style="4" customWidth="1"/>
    <col min="4" max="4" width="12.44140625" style="6" customWidth="1"/>
    <col min="5" max="14" width="12.44140625" style="4" customWidth="1"/>
    <col min="15" max="15" width="21.88671875" style="4" customWidth="1"/>
    <col min="16" max="16384" width="21.88671875" style="4"/>
  </cols>
  <sheetData>
    <row r="2" spans="2:16" ht="12.6" customHeight="1" x14ac:dyDescent="0.25">
      <c r="C2" s="15" t="s">
        <v>128</v>
      </c>
      <c r="D2" s="16"/>
      <c r="E2" s="24" t="s">
        <v>131</v>
      </c>
      <c r="F2" s="15"/>
      <c r="G2" s="15"/>
      <c r="H2" s="15"/>
      <c r="I2" s="15"/>
      <c r="J2" s="15"/>
      <c r="K2" s="15"/>
      <c r="L2" s="15"/>
      <c r="M2" s="15"/>
      <c r="N2" s="26"/>
      <c r="P2" s="21"/>
    </row>
    <row r="3" spans="2:16" s="7" customFormat="1" ht="37.950000000000003" customHeight="1" x14ac:dyDescent="0.25">
      <c r="B3" s="17"/>
      <c r="C3" s="18" t="s">
        <v>122</v>
      </c>
      <c r="D3" s="18" t="s">
        <v>127</v>
      </c>
      <c r="E3" s="19" t="s">
        <v>115</v>
      </c>
      <c r="F3" s="20" t="s">
        <v>116</v>
      </c>
      <c r="G3" s="20" t="s">
        <v>123</v>
      </c>
      <c r="H3" s="20" t="s">
        <v>124</v>
      </c>
      <c r="I3" s="20" t="s">
        <v>125</v>
      </c>
      <c r="J3" s="20" t="s">
        <v>126</v>
      </c>
      <c r="K3" s="20" t="s">
        <v>135</v>
      </c>
      <c r="L3" s="20" t="s">
        <v>134</v>
      </c>
      <c r="M3" s="19" t="s">
        <v>129</v>
      </c>
      <c r="N3" s="19" t="s">
        <v>130</v>
      </c>
      <c r="P3" s="21"/>
    </row>
    <row r="4" spans="2:16" ht="15.6" customHeight="1" x14ac:dyDescent="0.25">
      <c r="B4" s="1" t="s">
        <v>0</v>
      </c>
      <c r="C4" s="28">
        <v>84442.11</v>
      </c>
      <c r="D4" s="29">
        <v>43568.639999999999</v>
      </c>
      <c r="E4" s="30">
        <v>3538</v>
      </c>
      <c r="F4" s="31">
        <v>8490</v>
      </c>
      <c r="G4" s="31">
        <v>13146</v>
      </c>
      <c r="H4" s="31">
        <v>0</v>
      </c>
      <c r="I4" s="31">
        <v>36</v>
      </c>
      <c r="J4" s="31">
        <v>162</v>
      </c>
      <c r="K4" s="31">
        <v>27</v>
      </c>
      <c r="L4" s="31">
        <v>132</v>
      </c>
      <c r="M4" s="30">
        <v>25531</v>
      </c>
      <c r="N4" s="32">
        <f>D4+M4</f>
        <v>69099.64</v>
      </c>
      <c r="P4" s="21"/>
    </row>
    <row r="5" spans="2:16" ht="15.6" customHeight="1" x14ac:dyDescent="0.25">
      <c r="B5" s="1" t="s">
        <v>1</v>
      </c>
      <c r="C5" s="28">
        <v>72830</v>
      </c>
      <c r="D5" s="29">
        <v>50511</v>
      </c>
      <c r="E5" s="30">
        <v>3864</v>
      </c>
      <c r="F5" s="31">
        <v>9173</v>
      </c>
      <c r="G5" s="31">
        <v>13562</v>
      </c>
      <c r="H5" s="31">
        <v>918</v>
      </c>
      <c r="I5" s="31">
        <v>50</v>
      </c>
      <c r="J5" s="31">
        <v>303</v>
      </c>
      <c r="K5" s="31">
        <v>0</v>
      </c>
      <c r="L5" s="31">
        <v>109</v>
      </c>
      <c r="M5" s="30">
        <v>27979</v>
      </c>
      <c r="N5" s="32">
        <f t="shared" ref="N5:N44" si="0">D5+M5</f>
        <v>78490</v>
      </c>
      <c r="P5" s="21"/>
    </row>
    <row r="6" spans="2:16" ht="15.6" customHeight="1" x14ac:dyDescent="0.25">
      <c r="B6" s="1" t="s">
        <v>2</v>
      </c>
      <c r="C6" s="28">
        <v>75087</v>
      </c>
      <c r="D6" s="29">
        <v>45503</v>
      </c>
      <c r="E6" s="30">
        <v>3488</v>
      </c>
      <c r="F6" s="31">
        <v>7167</v>
      </c>
      <c r="G6" s="31">
        <v>10136</v>
      </c>
      <c r="H6" s="31">
        <v>0</v>
      </c>
      <c r="I6" s="31">
        <v>101</v>
      </c>
      <c r="J6" s="31">
        <v>145</v>
      </c>
      <c r="K6" s="31">
        <v>46</v>
      </c>
      <c r="L6" s="31">
        <v>0</v>
      </c>
      <c r="M6" s="30">
        <v>21083</v>
      </c>
      <c r="N6" s="32">
        <f t="shared" si="0"/>
        <v>66586</v>
      </c>
      <c r="P6" s="21"/>
    </row>
    <row r="7" spans="2:16" ht="15.6" customHeight="1" x14ac:dyDescent="0.25">
      <c r="B7" s="1" t="s">
        <v>3</v>
      </c>
      <c r="C7" s="28">
        <v>83658</v>
      </c>
      <c r="D7" s="29">
        <v>48551</v>
      </c>
      <c r="E7" s="30">
        <v>3678</v>
      </c>
      <c r="F7" s="31">
        <v>8827</v>
      </c>
      <c r="G7" s="31">
        <v>10145</v>
      </c>
      <c r="H7" s="31">
        <v>0</v>
      </c>
      <c r="I7" s="31">
        <v>26</v>
      </c>
      <c r="J7" s="31">
        <v>139</v>
      </c>
      <c r="K7" s="31">
        <v>48</v>
      </c>
      <c r="L7" s="31">
        <v>121</v>
      </c>
      <c r="M7" s="30">
        <v>22984</v>
      </c>
      <c r="N7" s="32">
        <f t="shared" si="0"/>
        <v>71535</v>
      </c>
      <c r="P7" s="21"/>
    </row>
    <row r="8" spans="2:16" ht="15.6" customHeight="1" x14ac:dyDescent="0.25">
      <c r="B8" s="22" t="s">
        <v>4</v>
      </c>
      <c r="C8" s="33">
        <v>84547</v>
      </c>
      <c r="D8" s="34">
        <v>45164.7</v>
      </c>
      <c r="E8" s="35">
        <v>3513</v>
      </c>
      <c r="F8" s="36">
        <v>8431</v>
      </c>
      <c r="G8" s="36">
        <v>7012</v>
      </c>
      <c r="H8" s="36">
        <v>0</v>
      </c>
      <c r="I8" s="36">
        <v>54</v>
      </c>
      <c r="J8" s="36">
        <v>367</v>
      </c>
      <c r="K8" s="36">
        <v>46</v>
      </c>
      <c r="L8" s="36">
        <v>157</v>
      </c>
      <c r="M8" s="35">
        <v>19580</v>
      </c>
      <c r="N8" s="37">
        <f t="shared" si="0"/>
        <v>64744.7</v>
      </c>
      <c r="P8" s="21"/>
    </row>
    <row r="9" spans="2:16" ht="15.6" customHeight="1" x14ac:dyDescent="0.25">
      <c r="B9" s="1" t="s">
        <v>5</v>
      </c>
      <c r="C9" s="28">
        <v>67229.695000000007</v>
      </c>
      <c r="D9" s="29">
        <v>47269</v>
      </c>
      <c r="E9" s="30">
        <v>3530</v>
      </c>
      <c r="F9" s="31">
        <v>8473</v>
      </c>
      <c r="G9" s="31">
        <v>17376</v>
      </c>
      <c r="H9" s="31">
        <v>0</v>
      </c>
      <c r="I9" s="31">
        <v>65</v>
      </c>
      <c r="J9" s="31">
        <v>370</v>
      </c>
      <c r="K9" s="31">
        <v>46</v>
      </c>
      <c r="L9" s="31">
        <v>0</v>
      </c>
      <c r="M9" s="30">
        <v>29861</v>
      </c>
      <c r="N9" s="32">
        <f t="shared" si="0"/>
        <v>77130</v>
      </c>
      <c r="P9" s="21"/>
    </row>
    <row r="10" spans="2:16" ht="15.6" customHeight="1" x14ac:dyDescent="0.25">
      <c r="B10" s="1" t="s">
        <v>6</v>
      </c>
      <c r="C10" s="28">
        <v>72249</v>
      </c>
      <c r="D10" s="29">
        <v>40570</v>
      </c>
      <c r="E10" s="30">
        <v>3318</v>
      </c>
      <c r="F10" s="31">
        <v>6817</v>
      </c>
      <c r="G10" s="31">
        <v>14760</v>
      </c>
      <c r="H10" s="31">
        <v>0</v>
      </c>
      <c r="I10" s="31">
        <v>59</v>
      </c>
      <c r="J10" s="31">
        <v>332</v>
      </c>
      <c r="K10" s="31">
        <v>43</v>
      </c>
      <c r="L10" s="31">
        <v>152</v>
      </c>
      <c r="M10" s="30">
        <v>25482</v>
      </c>
      <c r="N10" s="32">
        <f t="shared" si="0"/>
        <v>66052</v>
      </c>
      <c r="P10" s="21"/>
    </row>
    <row r="11" spans="2:16" ht="15.6" customHeight="1" x14ac:dyDescent="0.25">
      <c r="B11" s="1" t="s">
        <v>7</v>
      </c>
      <c r="C11" s="28">
        <v>77700</v>
      </c>
      <c r="D11" s="29">
        <v>49051</v>
      </c>
      <c r="E11" s="30">
        <v>3731</v>
      </c>
      <c r="F11" s="31">
        <v>8955</v>
      </c>
      <c r="G11" s="31">
        <v>12595</v>
      </c>
      <c r="H11" s="31">
        <v>909</v>
      </c>
      <c r="I11" s="31">
        <v>59</v>
      </c>
      <c r="J11" s="31">
        <v>74</v>
      </c>
      <c r="K11" s="31">
        <v>51</v>
      </c>
      <c r="L11" s="31">
        <v>94</v>
      </c>
      <c r="M11" s="30">
        <v>26468</v>
      </c>
      <c r="N11" s="32">
        <f t="shared" si="0"/>
        <v>75519</v>
      </c>
      <c r="P11" s="21"/>
    </row>
    <row r="12" spans="2:16" ht="15.6" customHeight="1" x14ac:dyDescent="0.25">
      <c r="B12" s="1" t="s">
        <v>8</v>
      </c>
      <c r="C12" s="28">
        <v>71474.22</v>
      </c>
      <c r="D12" s="29">
        <v>45521.14</v>
      </c>
      <c r="E12" s="30">
        <v>3390</v>
      </c>
      <c r="F12" s="31">
        <v>8136</v>
      </c>
      <c r="G12" s="31">
        <v>10056</v>
      </c>
      <c r="H12" s="31">
        <v>0</v>
      </c>
      <c r="I12" s="31">
        <v>69</v>
      </c>
      <c r="J12" s="31">
        <v>146</v>
      </c>
      <c r="K12" s="31">
        <v>27</v>
      </c>
      <c r="L12" s="31">
        <v>122</v>
      </c>
      <c r="M12" s="30">
        <v>21946</v>
      </c>
      <c r="N12" s="32">
        <f t="shared" si="0"/>
        <v>67467.14</v>
      </c>
      <c r="P12" s="21"/>
    </row>
    <row r="13" spans="2:16" ht="15.6" customHeight="1" x14ac:dyDescent="0.25">
      <c r="B13" s="22" t="s">
        <v>9</v>
      </c>
      <c r="C13" s="33">
        <v>82402</v>
      </c>
      <c r="D13" s="34">
        <v>51950</v>
      </c>
      <c r="E13" s="35">
        <v>3762</v>
      </c>
      <c r="F13" s="36">
        <v>7731</v>
      </c>
      <c r="G13" s="36">
        <v>16402</v>
      </c>
      <c r="H13" s="36">
        <v>756</v>
      </c>
      <c r="I13" s="36">
        <v>56</v>
      </c>
      <c r="J13" s="36">
        <v>340</v>
      </c>
      <c r="K13" s="36">
        <v>49</v>
      </c>
      <c r="L13" s="36">
        <v>94</v>
      </c>
      <c r="M13" s="35">
        <v>29190</v>
      </c>
      <c r="N13" s="37">
        <f t="shared" si="0"/>
        <v>81140</v>
      </c>
      <c r="P13" s="21"/>
    </row>
    <row r="14" spans="2:16" ht="15.6" customHeight="1" x14ac:dyDescent="0.25">
      <c r="B14" s="1" t="s">
        <v>10</v>
      </c>
      <c r="C14" s="28">
        <v>51537.5</v>
      </c>
      <c r="D14" s="29">
        <v>48429.005000000005</v>
      </c>
      <c r="E14" s="30">
        <v>3672</v>
      </c>
      <c r="F14" s="31">
        <v>7545</v>
      </c>
      <c r="G14" s="31">
        <v>11675</v>
      </c>
      <c r="H14" s="31">
        <v>0</v>
      </c>
      <c r="I14" s="31">
        <v>121</v>
      </c>
      <c r="J14" s="31">
        <v>284</v>
      </c>
      <c r="K14" s="31">
        <v>48</v>
      </c>
      <c r="L14" s="31">
        <v>168</v>
      </c>
      <c r="M14" s="30">
        <v>23513</v>
      </c>
      <c r="N14" s="32">
        <f t="shared" si="0"/>
        <v>71942.005000000005</v>
      </c>
      <c r="P14" s="21"/>
    </row>
    <row r="15" spans="2:16" ht="15.6" customHeight="1" x14ac:dyDescent="0.25">
      <c r="B15" s="1" t="s">
        <v>11</v>
      </c>
      <c r="C15" s="28">
        <v>76272</v>
      </c>
      <c r="D15" s="29">
        <v>45255</v>
      </c>
      <c r="E15" s="30">
        <v>3513</v>
      </c>
      <c r="F15" s="31">
        <v>7220</v>
      </c>
      <c r="G15" s="31">
        <v>6192</v>
      </c>
      <c r="H15" s="31">
        <v>0</v>
      </c>
      <c r="I15" s="31">
        <v>61</v>
      </c>
      <c r="J15" s="31">
        <v>271</v>
      </c>
      <c r="K15" s="31">
        <v>46</v>
      </c>
      <c r="L15" s="31">
        <v>221</v>
      </c>
      <c r="M15" s="30">
        <v>17525</v>
      </c>
      <c r="N15" s="32">
        <f t="shared" si="0"/>
        <v>62780</v>
      </c>
      <c r="P15" s="21"/>
    </row>
    <row r="16" spans="2:16" ht="15.6" customHeight="1" x14ac:dyDescent="0.25">
      <c r="B16" s="1" t="s">
        <v>12</v>
      </c>
      <c r="C16" s="28">
        <v>80257</v>
      </c>
      <c r="D16" s="29">
        <v>47338</v>
      </c>
      <c r="E16" s="30">
        <v>3546</v>
      </c>
      <c r="F16" s="31">
        <v>8511</v>
      </c>
      <c r="G16" s="31">
        <v>9032</v>
      </c>
      <c r="H16" s="31">
        <v>0</v>
      </c>
      <c r="I16" s="31">
        <v>50</v>
      </c>
      <c r="J16" s="31">
        <v>263</v>
      </c>
      <c r="K16" s="31">
        <v>55</v>
      </c>
      <c r="L16" s="31">
        <v>0</v>
      </c>
      <c r="M16" s="30">
        <v>21457</v>
      </c>
      <c r="N16" s="32">
        <f t="shared" si="0"/>
        <v>68795</v>
      </c>
      <c r="P16" s="21"/>
    </row>
    <row r="17" spans="2:16" ht="15.6" customHeight="1" x14ac:dyDescent="0.25">
      <c r="B17" s="1" t="s">
        <v>13</v>
      </c>
      <c r="C17" s="28">
        <v>69355</v>
      </c>
      <c r="D17" s="29">
        <v>41718</v>
      </c>
      <c r="E17" s="30">
        <v>3150</v>
      </c>
      <c r="F17" s="31">
        <v>7560</v>
      </c>
      <c r="G17" s="31">
        <v>13555</v>
      </c>
      <c r="H17" s="31">
        <v>988</v>
      </c>
      <c r="I17" s="31">
        <v>83</v>
      </c>
      <c r="J17" s="31">
        <v>160</v>
      </c>
      <c r="K17" s="31">
        <v>0</v>
      </c>
      <c r="L17" s="31">
        <v>113</v>
      </c>
      <c r="M17" s="30">
        <v>25609</v>
      </c>
      <c r="N17" s="32">
        <f t="shared" si="0"/>
        <v>67327</v>
      </c>
      <c r="P17" s="21"/>
    </row>
    <row r="18" spans="2:16" ht="15.6" customHeight="1" x14ac:dyDescent="0.25">
      <c r="B18" s="22" t="s">
        <v>14</v>
      </c>
      <c r="C18" s="33">
        <v>85094</v>
      </c>
      <c r="D18" s="34">
        <v>43834</v>
      </c>
      <c r="E18" s="35">
        <v>3462</v>
      </c>
      <c r="F18" s="36">
        <v>7114</v>
      </c>
      <c r="G18" s="36">
        <v>10967</v>
      </c>
      <c r="H18" s="36">
        <v>0</v>
      </c>
      <c r="I18" s="36">
        <v>92</v>
      </c>
      <c r="J18" s="36">
        <v>362</v>
      </c>
      <c r="K18" s="36">
        <v>45</v>
      </c>
      <c r="L18" s="36">
        <v>157</v>
      </c>
      <c r="M18" s="35">
        <v>22199</v>
      </c>
      <c r="N18" s="37">
        <f t="shared" si="0"/>
        <v>66033</v>
      </c>
      <c r="P18" s="21"/>
    </row>
    <row r="19" spans="2:16" ht="15.6" customHeight="1" x14ac:dyDescent="0.25">
      <c r="B19" s="1" t="s">
        <v>15</v>
      </c>
      <c r="C19" s="28">
        <v>73563</v>
      </c>
      <c r="D19" s="29">
        <v>45226</v>
      </c>
      <c r="E19" s="30">
        <v>3566</v>
      </c>
      <c r="F19" s="31">
        <v>7327</v>
      </c>
      <c r="G19" s="31">
        <v>7202</v>
      </c>
      <c r="H19" s="31">
        <v>0</v>
      </c>
      <c r="I19" s="31">
        <v>88</v>
      </c>
      <c r="J19" s="31">
        <v>194</v>
      </c>
      <c r="K19" s="31">
        <v>47</v>
      </c>
      <c r="L19" s="31">
        <v>266</v>
      </c>
      <c r="M19" s="30">
        <v>18691</v>
      </c>
      <c r="N19" s="32">
        <f t="shared" si="0"/>
        <v>63917</v>
      </c>
      <c r="P19" s="21"/>
    </row>
    <row r="20" spans="2:16" ht="15.6" customHeight="1" x14ac:dyDescent="0.25">
      <c r="B20" s="1" t="s">
        <v>16</v>
      </c>
      <c r="C20" s="28">
        <v>60739</v>
      </c>
      <c r="D20" s="29">
        <v>46057</v>
      </c>
      <c r="E20" s="30">
        <v>3563</v>
      </c>
      <c r="F20" s="31">
        <v>9600</v>
      </c>
      <c r="G20" s="31">
        <v>17268</v>
      </c>
      <c r="H20" s="31">
        <v>1140</v>
      </c>
      <c r="I20" s="31">
        <v>56</v>
      </c>
      <c r="J20" s="31">
        <v>170</v>
      </c>
      <c r="K20" s="31">
        <v>46</v>
      </c>
      <c r="L20" s="31">
        <v>232</v>
      </c>
      <c r="M20" s="30">
        <v>32075</v>
      </c>
      <c r="N20" s="32">
        <f t="shared" si="0"/>
        <v>78132</v>
      </c>
      <c r="P20" s="21"/>
    </row>
    <row r="21" spans="2:16" ht="15.6" customHeight="1" x14ac:dyDescent="0.25">
      <c r="B21" s="1" t="s">
        <v>17</v>
      </c>
      <c r="C21" s="28">
        <v>78330</v>
      </c>
      <c r="D21" s="29">
        <v>47411</v>
      </c>
      <c r="E21" s="30">
        <v>3733</v>
      </c>
      <c r="F21" s="31">
        <v>8959</v>
      </c>
      <c r="G21" s="31">
        <v>12552</v>
      </c>
      <c r="H21" s="31">
        <v>0</v>
      </c>
      <c r="I21" s="31">
        <v>106</v>
      </c>
      <c r="J21" s="31">
        <v>245</v>
      </c>
      <c r="K21" s="31">
        <v>25</v>
      </c>
      <c r="L21" s="31">
        <v>99</v>
      </c>
      <c r="M21" s="30">
        <v>25719</v>
      </c>
      <c r="N21" s="32">
        <f t="shared" si="0"/>
        <v>73130</v>
      </c>
      <c r="P21" s="21"/>
    </row>
    <row r="22" spans="2:16" ht="15.6" customHeight="1" x14ac:dyDescent="0.25">
      <c r="B22" s="1" t="s">
        <v>18</v>
      </c>
      <c r="C22" s="28">
        <v>69877</v>
      </c>
      <c r="D22" s="29">
        <v>54546</v>
      </c>
      <c r="E22" s="30">
        <v>3945</v>
      </c>
      <c r="F22" s="31">
        <v>9468</v>
      </c>
      <c r="G22" s="31">
        <v>14916</v>
      </c>
      <c r="H22" s="31">
        <v>1369</v>
      </c>
      <c r="I22" s="31">
        <v>48</v>
      </c>
      <c r="J22" s="31">
        <v>391</v>
      </c>
      <c r="K22" s="31">
        <v>0</v>
      </c>
      <c r="L22" s="31">
        <v>145</v>
      </c>
      <c r="M22" s="30">
        <v>30282</v>
      </c>
      <c r="N22" s="32">
        <f t="shared" si="0"/>
        <v>84828</v>
      </c>
      <c r="P22" s="21"/>
    </row>
    <row r="23" spans="2:16" ht="15.6" customHeight="1" x14ac:dyDescent="0.25">
      <c r="B23" s="22" t="s">
        <v>19</v>
      </c>
      <c r="C23" s="33">
        <v>74068</v>
      </c>
      <c r="D23" s="34">
        <v>42250</v>
      </c>
      <c r="E23" s="35">
        <v>3333</v>
      </c>
      <c r="F23" s="36">
        <v>6849</v>
      </c>
      <c r="G23" s="36">
        <v>16890</v>
      </c>
      <c r="H23" s="36">
        <v>0</v>
      </c>
      <c r="I23" s="36">
        <v>99</v>
      </c>
      <c r="J23" s="36">
        <v>224</v>
      </c>
      <c r="K23" s="36">
        <v>44</v>
      </c>
      <c r="L23" s="36">
        <v>78</v>
      </c>
      <c r="M23" s="35">
        <v>27517</v>
      </c>
      <c r="N23" s="37">
        <f t="shared" si="0"/>
        <v>69767</v>
      </c>
      <c r="P23" s="21"/>
    </row>
    <row r="24" spans="2:16" ht="15.6" customHeight="1" x14ac:dyDescent="0.25">
      <c r="B24" s="1" t="s">
        <v>20</v>
      </c>
      <c r="C24" s="28">
        <v>82830</v>
      </c>
      <c r="D24" s="29">
        <v>52248.480000000003</v>
      </c>
      <c r="E24" s="30">
        <v>3975</v>
      </c>
      <c r="F24" s="31">
        <v>8688</v>
      </c>
      <c r="G24" s="31">
        <v>11530</v>
      </c>
      <c r="H24" s="31">
        <v>0</v>
      </c>
      <c r="I24" s="31">
        <v>90</v>
      </c>
      <c r="J24" s="31">
        <v>237</v>
      </c>
      <c r="K24" s="31">
        <v>52</v>
      </c>
      <c r="L24" s="31">
        <v>142</v>
      </c>
      <c r="M24" s="30">
        <v>24714</v>
      </c>
      <c r="N24" s="32">
        <f t="shared" si="0"/>
        <v>76962.48000000001</v>
      </c>
      <c r="P24" s="21"/>
    </row>
    <row r="25" spans="2:16" ht="15.6" customHeight="1" x14ac:dyDescent="0.25">
      <c r="B25" s="1" t="s">
        <v>21</v>
      </c>
      <c r="C25" s="28">
        <v>78043.5</v>
      </c>
      <c r="D25" s="29">
        <v>41006</v>
      </c>
      <c r="E25" s="30">
        <v>3120</v>
      </c>
      <c r="F25" s="31">
        <v>6412</v>
      </c>
      <c r="G25" s="31">
        <v>11276</v>
      </c>
      <c r="H25" s="31">
        <v>0</v>
      </c>
      <c r="I25" s="31">
        <v>62</v>
      </c>
      <c r="J25" s="31">
        <v>182</v>
      </c>
      <c r="K25" s="31">
        <v>41</v>
      </c>
      <c r="L25" s="31">
        <v>56</v>
      </c>
      <c r="M25" s="30">
        <v>21149</v>
      </c>
      <c r="N25" s="32">
        <f t="shared" si="0"/>
        <v>62155</v>
      </c>
      <c r="P25" s="21"/>
    </row>
    <row r="26" spans="2:16" ht="15.6" customHeight="1" x14ac:dyDescent="0.25">
      <c r="B26" s="1" t="s">
        <v>22</v>
      </c>
      <c r="C26" s="28">
        <v>66093.5</v>
      </c>
      <c r="D26" s="29">
        <v>45421</v>
      </c>
      <c r="E26" s="30">
        <v>3466</v>
      </c>
      <c r="F26" s="31">
        <v>8318</v>
      </c>
      <c r="G26" s="31">
        <v>17820</v>
      </c>
      <c r="H26" s="31">
        <v>0</v>
      </c>
      <c r="I26" s="31">
        <v>58</v>
      </c>
      <c r="J26" s="31">
        <v>270</v>
      </c>
      <c r="K26" s="31">
        <v>6</v>
      </c>
      <c r="L26" s="31">
        <v>95</v>
      </c>
      <c r="M26" s="30">
        <v>30033</v>
      </c>
      <c r="N26" s="32">
        <f t="shared" si="0"/>
        <v>75454</v>
      </c>
      <c r="P26" s="21"/>
    </row>
    <row r="27" spans="2:16" ht="15.6" customHeight="1" x14ac:dyDescent="0.25">
      <c r="B27" s="1" t="s">
        <v>23</v>
      </c>
      <c r="C27" s="28">
        <v>69971.5</v>
      </c>
      <c r="D27" s="29">
        <v>47711</v>
      </c>
      <c r="E27" s="30">
        <v>3650</v>
      </c>
      <c r="F27" s="31">
        <v>7500</v>
      </c>
      <c r="G27" s="31">
        <v>0</v>
      </c>
      <c r="H27" s="31">
        <v>0</v>
      </c>
      <c r="I27" s="31">
        <v>0</v>
      </c>
      <c r="J27" s="31">
        <v>0</v>
      </c>
      <c r="K27" s="31">
        <v>48</v>
      </c>
      <c r="L27" s="31">
        <v>0</v>
      </c>
      <c r="M27" s="30">
        <v>11198</v>
      </c>
      <c r="N27" s="32">
        <f t="shared" si="0"/>
        <v>58909</v>
      </c>
      <c r="P27" s="21"/>
    </row>
    <row r="28" spans="2:16" ht="15.6" customHeight="1" x14ac:dyDescent="0.25">
      <c r="B28" s="22" t="s">
        <v>24</v>
      </c>
      <c r="C28" s="33">
        <v>77684.209999999992</v>
      </c>
      <c r="D28" s="34">
        <v>43942</v>
      </c>
      <c r="E28" s="35">
        <v>3401</v>
      </c>
      <c r="F28" s="36">
        <v>6988</v>
      </c>
      <c r="G28" s="36">
        <v>8286</v>
      </c>
      <c r="H28" s="36">
        <v>535</v>
      </c>
      <c r="I28" s="36">
        <v>28</v>
      </c>
      <c r="J28" s="36">
        <v>111</v>
      </c>
      <c r="K28" s="36">
        <v>111</v>
      </c>
      <c r="L28" s="36">
        <v>267</v>
      </c>
      <c r="M28" s="35">
        <v>19727</v>
      </c>
      <c r="N28" s="37">
        <f t="shared" si="0"/>
        <v>63669</v>
      </c>
      <c r="P28" s="21"/>
    </row>
    <row r="29" spans="2:16" ht="15.6" customHeight="1" x14ac:dyDescent="0.25">
      <c r="B29" s="1" t="s">
        <v>25</v>
      </c>
      <c r="C29" s="28">
        <v>101119</v>
      </c>
      <c r="D29" s="29">
        <v>58852</v>
      </c>
      <c r="E29" s="30">
        <v>4634</v>
      </c>
      <c r="F29" s="31">
        <v>9521</v>
      </c>
      <c r="G29" s="31">
        <v>0</v>
      </c>
      <c r="H29" s="31">
        <v>0</v>
      </c>
      <c r="I29" s="31">
        <v>0</v>
      </c>
      <c r="J29" s="31">
        <v>0</v>
      </c>
      <c r="K29" s="31">
        <v>61</v>
      </c>
      <c r="L29" s="31">
        <v>0</v>
      </c>
      <c r="M29" s="30">
        <v>14216</v>
      </c>
      <c r="N29" s="32">
        <f t="shared" si="0"/>
        <v>73068</v>
      </c>
      <c r="P29" s="21"/>
    </row>
    <row r="30" spans="2:16" ht="15.6" customHeight="1" x14ac:dyDescent="0.25">
      <c r="B30" s="1" t="s">
        <v>26</v>
      </c>
      <c r="C30" s="28">
        <v>49101</v>
      </c>
      <c r="D30" s="29">
        <v>46013</v>
      </c>
      <c r="E30" s="30">
        <v>3568</v>
      </c>
      <c r="F30" s="31">
        <v>7332</v>
      </c>
      <c r="G30" s="31">
        <v>14700</v>
      </c>
      <c r="H30" s="31">
        <v>0</v>
      </c>
      <c r="I30" s="31">
        <v>61</v>
      </c>
      <c r="J30" s="31">
        <v>190</v>
      </c>
      <c r="K30" s="31">
        <v>47</v>
      </c>
      <c r="L30" s="31">
        <v>39</v>
      </c>
      <c r="M30" s="30">
        <v>25936</v>
      </c>
      <c r="N30" s="32">
        <f t="shared" si="0"/>
        <v>71949</v>
      </c>
      <c r="P30" s="21"/>
    </row>
    <row r="31" spans="2:16" ht="15.6" customHeight="1" x14ac:dyDescent="0.25">
      <c r="B31" s="1" t="s">
        <v>27</v>
      </c>
      <c r="C31" s="28">
        <v>81129</v>
      </c>
      <c r="D31" s="29">
        <v>44556</v>
      </c>
      <c r="E31" s="30">
        <v>3525</v>
      </c>
      <c r="F31" s="31">
        <v>7243</v>
      </c>
      <c r="G31" s="31">
        <v>10572</v>
      </c>
      <c r="H31" s="31">
        <v>0</v>
      </c>
      <c r="I31" s="31">
        <v>38</v>
      </c>
      <c r="J31" s="31">
        <v>461</v>
      </c>
      <c r="K31" s="31">
        <v>46</v>
      </c>
      <c r="L31" s="31">
        <v>175</v>
      </c>
      <c r="M31" s="30">
        <v>22060</v>
      </c>
      <c r="N31" s="32">
        <f t="shared" si="0"/>
        <v>66616</v>
      </c>
      <c r="P31" s="21"/>
    </row>
    <row r="32" spans="2:16" ht="15.6" customHeight="1" x14ac:dyDescent="0.25">
      <c r="B32" s="1" t="s">
        <v>28</v>
      </c>
      <c r="C32" s="28">
        <v>80480</v>
      </c>
      <c r="D32" s="29">
        <v>55850</v>
      </c>
      <c r="E32" s="30">
        <v>4273</v>
      </c>
      <c r="F32" s="31">
        <v>8780</v>
      </c>
      <c r="G32" s="31">
        <v>15720</v>
      </c>
      <c r="H32" s="31">
        <v>941</v>
      </c>
      <c r="I32" s="31">
        <v>4</v>
      </c>
      <c r="J32" s="31">
        <v>127</v>
      </c>
      <c r="K32" s="31">
        <v>56</v>
      </c>
      <c r="L32" s="31">
        <v>18</v>
      </c>
      <c r="M32" s="30">
        <v>29917</v>
      </c>
      <c r="N32" s="32">
        <f t="shared" si="0"/>
        <v>85767</v>
      </c>
      <c r="P32" s="21"/>
    </row>
    <row r="33" spans="2:16" ht="15.6" customHeight="1" x14ac:dyDescent="0.25">
      <c r="B33" s="22" t="s">
        <v>29</v>
      </c>
      <c r="C33" s="33">
        <v>66961</v>
      </c>
      <c r="D33" s="34">
        <v>54942.5</v>
      </c>
      <c r="E33" s="35">
        <v>4160</v>
      </c>
      <c r="F33" s="36">
        <v>8820</v>
      </c>
      <c r="G33" s="36">
        <v>8573</v>
      </c>
      <c r="H33" s="36">
        <v>585</v>
      </c>
      <c r="I33" s="36">
        <v>123</v>
      </c>
      <c r="J33" s="36">
        <v>155</v>
      </c>
      <c r="K33" s="36">
        <v>54</v>
      </c>
      <c r="L33" s="36">
        <v>332</v>
      </c>
      <c r="M33" s="35">
        <v>22803</v>
      </c>
      <c r="N33" s="37">
        <f t="shared" si="0"/>
        <v>77745.5</v>
      </c>
      <c r="P33" s="21"/>
    </row>
    <row r="34" spans="2:16" ht="15.6" customHeight="1" x14ac:dyDescent="0.25">
      <c r="B34" s="1" t="s">
        <v>30</v>
      </c>
      <c r="C34" s="28">
        <v>69096</v>
      </c>
      <c r="D34" s="29">
        <v>53128</v>
      </c>
      <c r="E34" s="30">
        <v>4106</v>
      </c>
      <c r="F34" s="31">
        <v>8438</v>
      </c>
      <c r="G34" s="31">
        <v>10140</v>
      </c>
      <c r="H34" s="31">
        <v>0</v>
      </c>
      <c r="I34" s="31">
        <v>116</v>
      </c>
      <c r="J34" s="31">
        <v>0</v>
      </c>
      <c r="K34" s="31">
        <v>54</v>
      </c>
      <c r="L34" s="31">
        <v>152</v>
      </c>
      <c r="M34" s="30">
        <v>23007</v>
      </c>
      <c r="N34" s="32">
        <f t="shared" si="0"/>
        <v>76135</v>
      </c>
      <c r="P34" s="21"/>
    </row>
    <row r="35" spans="2:16" ht="15.6" customHeight="1" x14ac:dyDescent="0.25">
      <c r="B35" s="1" t="s">
        <v>31</v>
      </c>
      <c r="C35" s="28">
        <v>71412</v>
      </c>
      <c r="D35" s="29">
        <v>43656</v>
      </c>
      <c r="E35" s="30">
        <v>3340</v>
      </c>
      <c r="F35" s="31">
        <v>8015</v>
      </c>
      <c r="G35" s="31">
        <v>8888</v>
      </c>
      <c r="H35" s="31">
        <v>0</v>
      </c>
      <c r="I35" s="31">
        <v>50</v>
      </c>
      <c r="J35" s="31">
        <v>279</v>
      </c>
      <c r="K35" s="31">
        <v>0</v>
      </c>
      <c r="L35" s="31">
        <v>128</v>
      </c>
      <c r="M35" s="30">
        <v>20701</v>
      </c>
      <c r="N35" s="32">
        <f t="shared" si="0"/>
        <v>64357</v>
      </c>
      <c r="P35" s="21"/>
    </row>
    <row r="36" spans="2:16" ht="15.6" customHeight="1" x14ac:dyDescent="0.25">
      <c r="B36" s="1" t="s">
        <v>32</v>
      </c>
      <c r="C36" s="28">
        <v>73494</v>
      </c>
      <c r="D36" s="29">
        <v>49908</v>
      </c>
      <c r="E36" s="30">
        <v>3520</v>
      </c>
      <c r="F36" s="31">
        <v>7233</v>
      </c>
      <c r="G36" s="31">
        <v>13380</v>
      </c>
      <c r="H36" s="31">
        <v>0</v>
      </c>
      <c r="I36" s="31">
        <v>124</v>
      </c>
      <c r="J36" s="31">
        <v>340</v>
      </c>
      <c r="K36" s="31">
        <v>46</v>
      </c>
      <c r="L36" s="31">
        <v>164</v>
      </c>
      <c r="M36" s="30">
        <v>24806</v>
      </c>
      <c r="N36" s="32">
        <f t="shared" si="0"/>
        <v>74714</v>
      </c>
      <c r="P36" s="21"/>
    </row>
    <row r="37" spans="2:16" ht="15.6" customHeight="1" x14ac:dyDescent="0.25">
      <c r="B37" s="1" t="s">
        <v>33</v>
      </c>
      <c r="C37" s="28">
        <v>78704</v>
      </c>
      <c r="D37" s="29">
        <v>50180</v>
      </c>
      <c r="E37" s="30">
        <v>3860</v>
      </c>
      <c r="F37" s="31">
        <v>9263</v>
      </c>
      <c r="G37" s="31">
        <v>13932</v>
      </c>
      <c r="H37" s="31">
        <v>600</v>
      </c>
      <c r="I37" s="31">
        <v>90</v>
      </c>
      <c r="J37" s="31">
        <v>290</v>
      </c>
      <c r="K37" s="31">
        <v>2</v>
      </c>
      <c r="L37" s="31">
        <v>117</v>
      </c>
      <c r="M37" s="30">
        <v>28155</v>
      </c>
      <c r="N37" s="32">
        <f t="shared" si="0"/>
        <v>78335</v>
      </c>
      <c r="P37" s="21"/>
    </row>
    <row r="38" spans="2:16" ht="15.6" customHeight="1" x14ac:dyDescent="0.25">
      <c r="B38" s="22" t="s">
        <v>34</v>
      </c>
      <c r="C38" s="33">
        <v>64581</v>
      </c>
      <c r="D38" s="34">
        <v>46331</v>
      </c>
      <c r="E38" s="35">
        <v>4057</v>
      </c>
      <c r="F38" s="36">
        <v>8336</v>
      </c>
      <c r="G38" s="36">
        <v>10368</v>
      </c>
      <c r="H38" s="36">
        <v>1152</v>
      </c>
      <c r="I38" s="36">
        <v>73</v>
      </c>
      <c r="J38" s="36">
        <v>3</v>
      </c>
      <c r="K38" s="36">
        <v>53</v>
      </c>
      <c r="L38" s="36">
        <v>233</v>
      </c>
      <c r="M38" s="35">
        <v>24274</v>
      </c>
      <c r="N38" s="37">
        <f t="shared" si="0"/>
        <v>70605</v>
      </c>
      <c r="P38" s="21"/>
    </row>
    <row r="39" spans="2:16" ht="15.6" customHeight="1" x14ac:dyDescent="0.25">
      <c r="B39" s="1" t="s">
        <v>35</v>
      </c>
      <c r="C39" s="28">
        <v>80042.5</v>
      </c>
      <c r="D39" s="29">
        <v>43126</v>
      </c>
      <c r="E39" s="30">
        <v>3391</v>
      </c>
      <c r="F39" s="31">
        <v>6969</v>
      </c>
      <c r="G39" s="31">
        <v>10360</v>
      </c>
      <c r="H39" s="31">
        <v>390</v>
      </c>
      <c r="I39" s="31">
        <v>41</v>
      </c>
      <c r="J39" s="31">
        <v>195</v>
      </c>
      <c r="K39" s="31">
        <v>44</v>
      </c>
      <c r="L39" s="31">
        <v>64</v>
      </c>
      <c r="M39" s="30">
        <v>21455</v>
      </c>
      <c r="N39" s="32">
        <f t="shared" si="0"/>
        <v>64581</v>
      </c>
      <c r="P39" s="21"/>
    </row>
    <row r="40" spans="2:16" ht="15.6" customHeight="1" x14ac:dyDescent="0.25">
      <c r="B40" s="1" t="s">
        <v>36</v>
      </c>
      <c r="C40" s="28">
        <v>71042.5</v>
      </c>
      <c r="D40" s="29">
        <v>46447</v>
      </c>
      <c r="E40" s="30">
        <v>3553</v>
      </c>
      <c r="F40" s="31">
        <v>7301</v>
      </c>
      <c r="G40" s="31">
        <v>13212</v>
      </c>
      <c r="H40" s="31">
        <v>0</v>
      </c>
      <c r="I40" s="31">
        <v>125</v>
      </c>
      <c r="J40" s="31">
        <v>395</v>
      </c>
      <c r="K40" s="31">
        <v>46</v>
      </c>
      <c r="L40" s="31">
        <v>209</v>
      </c>
      <c r="M40" s="30">
        <v>24842</v>
      </c>
      <c r="N40" s="32">
        <f t="shared" si="0"/>
        <v>71289</v>
      </c>
      <c r="P40" s="21"/>
    </row>
    <row r="41" spans="2:16" ht="15.6" customHeight="1" x14ac:dyDescent="0.25">
      <c r="B41" s="1" t="s">
        <v>37</v>
      </c>
      <c r="C41" s="28">
        <v>82000</v>
      </c>
      <c r="D41" s="29">
        <v>49969</v>
      </c>
      <c r="E41" s="30">
        <v>3752</v>
      </c>
      <c r="F41" s="31">
        <v>9004</v>
      </c>
      <c r="G41" s="31">
        <v>14796</v>
      </c>
      <c r="H41" s="31">
        <v>1332</v>
      </c>
      <c r="I41" s="31">
        <v>56</v>
      </c>
      <c r="J41" s="31">
        <v>147</v>
      </c>
      <c r="K41" s="31">
        <v>49</v>
      </c>
      <c r="L41" s="31">
        <v>146</v>
      </c>
      <c r="M41" s="30">
        <v>29281</v>
      </c>
      <c r="N41" s="32">
        <f t="shared" si="0"/>
        <v>79250</v>
      </c>
      <c r="P41" s="21"/>
    </row>
    <row r="42" spans="2:16" ht="15.6" customHeight="1" x14ac:dyDescent="0.25">
      <c r="B42" s="1" t="s">
        <v>38</v>
      </c>
      <c r="C42" s="28">
        <v>85704</v>
      </c>
      <c r="D42" s="29">
        <v>46896</v>
      </c>
      <c r="E42" s="30">
        <v>3588</v>
      </c>
      <c r="F42" s="31">
        <v>7372</v>
      </c>
      <c r="G42" s="31">
        <v>10922</v>
      </c>
      <c r="H42" s="31">
        <v>835</v>
      </c>
      <c r="I42" s="31">
        <v>29</v>
      </c>
      <c r="J42" s="31">
        <v>251</v>
      </c>
      <c r="K42" s="31">
        <v>47</v>
      </c>
      <c r="L42" s="31">
        <v>187</v>
      </c>
      <c r="M42" s="30">
        <v>23230</v>
      </c>
      <c r="N42" s="32">
        <f t="shared" si="0"/>
        <v>70126</v>
      </c>
      <c r="P42" s="21"/>
    </row>
    <row r="43" spans="2:16" ht="15.6" customHeight="1" x14ac:dyDescent="0.25">
      <c r="B43" s="1" t="s">
        <v>39</v>
      </c>
      <c r="C43" s="28">
        <v>47577</v>
      </c>
      <c r="D43" s="29">
        <v>45392.5</v>
      </c>
      <c r="E43" s="30">
        <v>3489</v>
      </c>
      <c r="F43" s="31">
        <v>7169</v>
      </c>
      <c r="G43" s="31">
        <v>13190</v>
      </c>
      <c r="H43" s="31">
        <v>1152</v>
      </c>
      <c r="I43" s="31">
        <v>85</v>
      </c>
      <c r="J43" s="31">
        <v>140</v>
      </c>
      <c r="K43" s="31">
        <v>46</v>
      </c>
      <c r="L43" s="31">
        <v>220</v>
      </c>
      <c r="M43" s="30">
        <v>25490</v>
      </c>
      <c r="N43" s="32">
        <f t="shared" si="0"/>
        <v>70882.5</v>
      </c>
      <c r="P43" s="21"/>
    </row>
    <row r="44" spans="2:16" ht="15.6" customHeight="1" x14ac:dyDescent="0.25">
      <c r="B44" s="22" t="s">
        <v>40</v>
      </c>
      <c r="C44" s="33">
        <v>75163</v>
      </c>
      <c r="D44" s="34">
        <v>44056</v>
      </c>
      <c r="E44" s="35">
        <v>3370</v>
      </c>
      <c r="F44" s="36">
        <v>6926</v>
      </c>
      <c r="G44" s="36">
        <v>10253</v>
      </c>
      <c r="H44" s="36">
        <v>0</v>
      </c>
      <c r="I44" s="36">
        <v>49</v>
      </c>
      <c r="J44" s="36">
        <v>127</v>
      </c>
      <c r="K44" s="36">
        <v>19</v>
      </c>
      <c r="L44" s="36">
        <v>74</v>
      </c>
      <c r="M44" s="35">
        <v>20818</v>
      </c>
      <c r="N44" s="37">
        <f t="shared" si="0"/>
        <v>64874</v>
      </c>
      <c r="P44" s="21"/>
    </row>
    <row r="45" spans="2:16" ht="15.6" customHeight="1" x14ac:dyDescent="0.25">
      <c r="B45" s="8" t="s">
        <v>113</v>
      </c>
      <c r="C45" s="38">
        <v>79240</v>
      </c>
      <c r="D45" s="39">
        <v>46623</v>
      </c>
      <c r="E45" s="32">
        <f>MEDIAN(E4:E44)</f>
        <v>3553</v>
      </c>
      <c r="F45" s="40">
        <f t="shared" ref="F45:N45" si="1">MEDIAN(F4:F44)</f>
        <v>8015</v>
      </c>
      <c r="G45" s="40">
        <f t="shared" si="1"/>
        <v>11530</v>
      </c>
      <c r="H45" s="40">
        <f t="shared" si="1"/>
        <v>0</v>
      </c>
      <c r="I45" s="40">
        <f t="shared" si="1"/>
        <v>59</v>
      </c>
      <c r="J45" s="40">
        <f t="shared" si="1"/>
        <v>195</v>
      </c>
      <c r="K45" s="40">
        <f t="shared" si="1"/>
        <v>46</v>
      </c>
      <c r="L45" s="40">
        <f t="shared" si="1"/>
        <v>128</v>
      </c>
      <c r="M45" s="32">
        <f t="shared" si="1"/>
        <v>24274</v>
      </c>
      <c r="N45" s="32">
        <f t="shared" si="1"/>
        <v>70882.5</v>
      </c>
      <c r="P45" s="21"/>
    </row>
    <row r="46" spans="2:16" ht="15.6" customHeight="1" x14ac:dyDescent="0.25">
      <c r="B46" s="8" t="s">
        <v>112</v>
      </c>
      <c r="C46" s="38">
        <v>66658</v>
      </c>
      <c r="D46" s="38">
        <v>35500</v>
      </c>
      <c r="E46" s="41">
        <f>'Teacher Salary - Charter'!E84</f>
        <v>2718</v>
      </c>
      <c r="F46" s="38">
        <f>'Teacher Salary - Charter'!F84</f>
        <v>2082</v>
      </c>
      <c r="G46" s="38">
        <f>'Teacher Salary - Charter'!G84</f>
        <v>6454.5</v>
      </c>
      <c r="H46" s="38">
        <f>'Teacher Salary - Charter'!H84</f>
        <v>0</v>
      </c>
      <c r="I46" s="38">
        <f>'Teacher Salary - Charter'!I84</f>
        <v>0</v>
      </c>
      <c r="J46" s="38">
        <f>'Teacher Salary - Charter'!J84</f>
        <v>97</v>
      </c>
      <c r="K46" s="38">
        <f>'Teacher Salary - Charter'!K84</f>
        <v>134</v>
      </c>
      <c r="L46" s="38">
        <f>'Teacher Salary - Charter'!L84</f>
        <v>0</v>
      </c>
      <c r="M46" s="41">
        <f>'Teacher Salary - Charter'!M84</f>
        <v>11861</v>
      </c>
      <c r="N46" s="41">
        <f>'Teacher Salary - Charter'!N84</f>
        <v>48226.5</v>
      </c>
      <c r="P46" s="21"/>
    </row>
    <row r="47" spans="2:16" ht="15.6" customHeight="1" x14ac:dyDescent="0.25">
      <c r="B47" s="8" t="s">
        <v>117</v>
      </c>
      <c r="C47" s="39">
        <v>0</v>
      </c>
      <c r="D47" s="39">
        <v>55834</v>
      </c>
      <c r="E47" s="38">
        <f>'Teacher Salary - Charter'!E85</f>
        <v>0</v>
      </c>
      <c r="F47" s="38">
        <f>'Teacher Salary - Charter'!F85</f>
        <v>0</v>
      </c>
      <c r="G47" s="38">
        <f>'Teacher Salary - Charter'!G85</f>
        <v>0</v>
      </c>
      <c r="H47" s="38">
        <f>'Teacher Salary - Charter'!H85</f>
        <v>0</v>
      </c>
      <c r="I47" s="38">
        <f>'Teacher Salary - Charter'!I85</f>
        <v>0</v>
      </c>
      <c r="J47" s="38">
        <f>'Teacher Salary - Charter'!J85</f>
        <v>0</v>
      </c>
      <c r="K47" s="38">
        <f>'Teacher Salary - Charter'!K85</f>
        <v>0</v>
      </c>
      <c r="L47" s="38">
        <f>'Teacher Salary - Charter'!L85</f>
        <v>0</v>
      </c>
      <c r="M47" s="38">
        <f>'Teacher Salary - Charter'!M85</f>
        <v>0</v>
      </c>
      <c r="N47" s="38">
        <f>'Teacher Salary - Charter'!N85</f>
        <v>0</v>
      </c>
      <c r="P47" s="21"/>
    </row>
    <row r="48" spans="2:16" ht="15.6" customHeight="1" x14ac:dyDescent="0.25">
      <c r="B48" s="25" t="s">
        <v>114</v>
      </c>
      <c r="C48" s="39">
        <v>78656</v>
      </c>
      <c r="D48" s="39">
        <v>45432</v>
      </c>
      <c r="E48" s="38">
        <f>'Teacher Salary - Charter'!E86</f>
        <v>0</v>
      </c>
      <c r="F48" s="38">
        <f>'Teacher Salary - Charter'!F86</f>
        <v>0</v>
      </c>
      <c r="G48" s="38">
        <f>'Teacher Salary - Charter'!G86</f>
        <v>0</v>
      </c>
      <c r="H48" s="38">
        <f>'Teacher Salary - Charter'!H86</f>
        <v>0</v>
      </c>
      <c r="I48" s="38">
        <f>'Teacher Salary - Charter'!I86</f>
        <v>0</v>
      </c>
      <c r="J48" s="38">
        <f>'Teacher Salary - Charter'!J86</f>
        <v>0</v>
      </c>
      <c r="K48" s="38">
        <f>'Teacher Salary - Charter'!K86</f>
        <v>0</v>
      </c>
      <c r="L48" s="38">
        <f>'Teacher Salary - Charter'!L86</f>
        <v>0</v>
      </c>
      <c r="M48" s="38">
        <f>'Teacher Salary - Charter'!M86</f>
        <v>0</v>
      </c>
      <c r="N48" s="38">
        <f>'Teacher Salary - Charter'!N86</f>
        <v>0</v>
      </c>
      <c r="P48" s="21"/>
    </row>
    <row r="49" spans="2:16" ht="10.95" customHeight="1" x14ac:dyDescent="0.25">
      <c r="B49" s="50" t="s">
        <v>132</v>
      </c>
      <c r="C49" s="14"/>
      <c r="D49" s="9"/>
      <c r="E49" s="23"/>
      <c r="F49" s="23"/>
      <c r="G49" s="23"/>
      <c r="H49" s="23"/>
      <c r="I49" s="23"/>
      <c r="J49" s="23"/>
      <c r="K49" s="23"/>
      <c r="L49" s="23"/>
      <c r="M49" s="23"/>
      <c r="N49" s="23"/>
      <c r="P49" s="21"/>
    </row>
    <row r="50" spans="2:16" ht="10.95" customHeight="1" x14ac:dyDescent="0.25">
      <c r="B50" s="27"/>
      <c r="P50" s="21"/>
    </row>
    <row r="51" spans="2:16" ht="12.6" customHeight="1" x14ac:dyDescent="0.25">
      <c r="P51" s="21"/>
    </row>
    <row r="52" spans="2:16" ht="12.6" customHeight="1" x14ac:dyDescent="0.25">
      <c r="P52" s="21"/>
    </row>
    <row r="53" spans="2:16" ht="12.6" customHeight="1" x14ac:dyDescent="0.25">
      <c r="P53" s="21"/>
    </row>
    <row r="54" spans="2:16" ht="12.6" customHeight="1" x14ac:dyDescent="0.25">
      <c r="P54" s="21"/>
    </row>
    <row r="55" spans="2:16" ht="12.6" customHeight="1" x14ac:dyDescent="0.25">
      <c r="P55" s="21"/>
    </row>
    <row r="56" spans="2:16" ht="12.6" customHeight="1" x14ac:dyDescent="0.25">
      <c r="P56" s="21"/>
    </row>
    <row r="57" spans="2:16" ht="12.6" customHeight="1" x14ac:dyDescent="0.25">
      <c r="P57" s="21"/>
    </row>
    <row r="58" spans="2:16" ht="12.6" customHeight="1" x14ac:dyDescent="0.25">
      <c r="P58" s="21"/>
    </row>
    <row r="59" spans="2:16" ht="12.6" customHeight="1" x14ac:dyDescent="0.25">
      <c r="P59" s="21"/>
    </row>
    <row r="60" spans="2:16" ht="12.6" customHeight="1" x14ac:dyDescent="0.25">
      <c r="P60" s="21"/>
    </row>
    <row r="61" spans="2:16" ht="12.6" customHeight="1" x14ac:dyDescent="0.25">
      <c r="P61" s="21"/>
    </row>
    <row r="62" spans="2:16" ht="12.6" customHeight="1" x14ac:dyDescent="0.25">
      <c r="P62" s="21"/>
    </row>
    <row r="63" spans="2:16" ht="12.6" customHeight="1" x14ac:dyDescent="0.25">
      <c r="P63" s="21"/>
    </row>
    <row r="64" spans="2:16" ht="12.6" customHeight="1" x14ac:dyDescent="0.25">
      <c r="P64" s="21"/>
    </row>
    <row r="65" spans="16:16" ht="12.6" customHeight="1" x14ac:dyDescent="0.25">
      <c r="P65" s="21"/>
    </row>
    <row r="66" spans="16:16" ht="12.6" customHeight="1" x14ac:dyDescent="0.25">
      <c r="P66" s="21"/>
    </row>
    <row r="67" spans="16:16" ht="12.6" customHeight="1" x14ac:dyDescent="0.25">
      <c r="P67" s="21"/>
    </row>
    <row r="68" spans="16:16" ht="12.6" customHeight="1" x14ac:dyDescent="0.25">
      <c r="P68" s="21"/>
    </row>
    <row r="69" spans="16:16" ht="12.6" customHeight="1" x14ac:dyDescent="0.25">
      <c r="P69" s="21"/>
    </row>
    <row r="70" spans="16:16" ht="12.6" customHeight="1" x14ac:dyDescent="0.25">
      <c r="P70" s="21"/>
    </row>
    <row r="71" spans="16:16" ht="12.6" customHeight="1" x14ac:dyDescent="0.25">
      <c r="P71" s="21"/>
    </row>
    <row r="72" spans="16:16" ht="12.6" customHeight="1" x14ac:dyDescent="0.25">
      <c r="P72" s="21"/>
    </row>
    <row r="73" spans="16:16" ht="12.6" customHeight="1" x14ac:dyDescent="0.25">
      <c r="P73" s="21"/>
    </row>
    <row r="74" spans="16:16" ht="12.6" customHeight="1" x14ac:dyDescent="0.25">
      <c r="P74" s="21"/>
    </row>
    <row r="75" spans="16:16" ht="12.6" customHeight="1" x14ac:dyDescent="0.25">
      <c r="P75" s="21"/>
    </row>
    <row r="76" spans="16:16" ht="12.6" customHeight="1" x14ac:dyDescent="0.25">
      <c r="P76" s="21"/>
    </row>
    <row r="77" spans="16:16" ht="12.6" customHeight="1" x14ac:dyDescent="0.25">
      <c r="P77" s="21"/>
    </row>
    <row r="78" spans="16:16" ht="12.6" customHeight="1" x14ac:dyDescent="0.25">
      <c r="P78" s="21"/>
    </row>
    <row r="79" spans="16:16" ht="12.6" customHeight="1" x14ac:dyDescent="0.25">
      <c r="P79" s="21"/>
    </row>
    <row r="80" spans="16:16" ht="12.6" customHeight="1" x14ac:dyDescent="0.25">
      <c r="P80" s="21"/>
    </row>
    <row r="81" spans="16:16" ht="12.6" customHeight="1" x14ac:dyDescent="0.25">
      <c r="P81" s="21"/>
    </row>
    <row r="82" spans="16:16" ht="12.6" customHeight="1" x14ac:dyDescent="0.25">
      <c r="P82" s="21"/>
    </row>
    <row r="83" spans="16:16" ht="12.6" customHeight="1" x14ac:dyDescent="0.25">
      <c r="P83" s="21"/>
    </row>
    <row r="84" spans="16:16" ht="12.6" customHeight="1" x14ac:dyDescent="0.25">
      <c r="P84" s="21"/>
    </row>
    <row r="85" spans="16:16" ht="12.6" customHeight="1" x14ac:dyDescent="0.25">
      <c r="P85" s="21"/>
    </row>
    <row r="86" spans="16:16" ht="12.6" customHeight="1" x14ac:dyDescent="0.25">
      <c r="P86" s="21"/>
    </row>
    <row r="87" spans="16:16" ht="12.6" customHeight="1" x14ac:dyDescent="0.25">
      <c r="P87" s="21"/>
    </row>
    <row r="88" spans="16:16" ht="12.6" customHeight="1" x14ac:dyDescent="0.25">
      <c r="P88" s="21"/>
    </row>
    <row r="89" spans="16:16" ht="12.6" customHeight="1" x14ac:dyDescent="0.25">
      <c r="P89" s="21"/>
    </row>
    <row r="90" spans="16:16" ht="12.6" customHeight="1" x14ac:dyDescent="0.25">
      <c r="P90" s="21"/>
    </row>
    <row r="91" spans="16:16" ht="12.6" customHeight="1" x14ac:dyDescent="0.25">
      <c r="P91" s="21"/>
    </row>
    <row r="92" spans="16:16" ht="12.6" customHeight="1" x14ac:dyDescent="0.25">
      <c r="P92" s="21"/>
    </row>
    <row r="93" spans="16:16" ht="12.6" customHeight="1" x14ac:dyDescent="0.25">
      <c r="P93" s="21"/>
    </row>
    <row r="94" spans="16:16" ht="12.6" customHeight="1" x14ac:dyDescent="0.25">
      <c r="P94" s="21"/>
    </row>
    <row r="95" spans="16:16" ht="12.6" customHeight="1" x14ac:dyDescent="0.25">
      <c r="P95" s="21"/>
    </row>
    <row r="96" spans="16:16" ht="12.6" customHeight="1" x14ac:dyDescent="0.25">
      <c r="P96" s="21"/>
    </row>
    <row r="97" spans="16:16" ht="12.6" customHeight="1" x14ac:dyDescent="0.25">
      <c r="P97" s="21"/>
    </row>
    <row r="98" spans="16:16" ht="12.6" customHeight="1" x14ac:dyDescent="0.25">
      <c r="P98" s="21"/>
    </row>
    <row r="99" spans="16:16" ht="12.6" customHeight="1" x14ac:dyDescent="0.25">
      <c r="P99" s="21"/>
    </row>
    <row r="100" spans="16:16" ht="12.6" customHeight="1" x14ac:dyDescent="0.25">
      <c r="P100" s="21"/>
    </row>
    <row r="101" spans="16:16" ht="12.6" customHeight="1" x14ac:dyDescent="0.25">
      <c r="P101" s="21"/>
    </row>
    <row r="102" spans="16:16" ht="12.6" customHeight="1" x14ac:dyDescent="0.25">
      <c r="P102" s="21"/>
    </row>
    <row r="103" spans="16:16" ht="12.6" customHeight="1" x14ac:dyDescent="0.25">
      <c r="P103" s="21"/>
    </row>
    <row r="104" spans="16:16" ht="12.6" customHeight="1" x14ac:dyDescent="0.25">
      <c r="P104" s="21"/>
    </row>
    <row r="105" spans="16:16" ht="12.6" customHeight="1" x14ac:dyDescent="0.25">
      <c r="P105" s="21"/>
    </row>
    <row r="106" spans="16:16" ht="12.6" customHeight="1" x14ac:dyDescent="0.25">
      <c r="P106" s="21"/>
    </row>
    <row r="107" spans="16:16" ht="12.6" customHeight="1" x14ac:dyDescent="0.25">
      <c r="P107" s="21"/>
    </row>
    <row r="108" spans="16:16" ht="12.6" customHeight="1" x14ac:dyDescent="0.25">
      <c r="P108" s="21"/>
    </row>
    <row r="109" spans="16:16" ht="12.6" customHeight="1" x14ac:dyDescent="0.25">
      <c r="P109" s="21"/>
    </row>
    <row r="110" spans="16:16" ht="12.6" customHeight="1" x14ac:dyDescent="0.25">
      <c r="P110" s="21"/>
    </row>
    <row r="111" spans="16:16" ht="12.6" customHeight="1" x14ac:dyDescent="0.25">
      <c r="P111" s="21"/>
    </row>
    <row r="112" spans="16:16" ht="12.6" customHeight="1" x14ac:dyDescent="0.25">
      <c r="P112" s="21"/>
    </row>
    <row r="113" spans="16:16" ht="12.6" customHeight="1" x14ac:dyDescent="0.25">
      <c r="P113" s="21"/>
    </row>
    <row r="114" spans="16:16" ht="12.6" customHeight="1" x14ac:dyDescent="0.25">
      <c r="P114" s="21"/>
    </row>
    <row r="115" spans="16:16" ht="12.6" customHeight="1" x14ac:dyDescent="0.25">
      <c r="P115" s="21"/>
    </row>
    <row r="116" spans="16:16" ht="12.6" customHeight="1" x14ac:dyDescent="0.25">
      <c r="P116" s="21"/>
    </row>
    <row r="117" spans="16:16" ht="12.6" customHeight="1" x14ac:dyDescent="0.25">
      <c r="P117" s="21"/>
    </row>
    <row r="118" spans="16:16" ht="12.6" customHeight="1" x14ac:dyDescent="0.25">
      <c r="P118" s="21"/>
    </row>
    <row r="119" spans="16:16" ht="12.6" customHeight="1" x14ac:dyDescent="0.25">
      <c r="P119" s="21"/>
    </row>
    <row r="120" spans="16:16" ht="12.6" customHeight="1" x14ac:dyDescent="0.25">
      <c r="P120" s="21"/>
    </row>
    <row r="121" spans="16:16" ht="12.6" customHeight="1" x14ac:dyDescent="0.25">
      <c r="P121" s="21"/>
    </row>
    <row r="122" spans="16:16" ht="12.6" customHeight="1" x14ac:dyDescent="0.25">
      <c r="P122" s="21"/>
    </row>
    <row r="123" spans="16:16" ht="12.6" customHeight="1" x14ac:dyDescent="0.25">
      <c r="P123" s="21"/>
    </row>
    <row r="124" spans="16:16" ht="12.6" customHeight="1" x14ac:dyDescent="0.25">
      <c r="P124" s="21"/>
    </row>
    <row r="125" spans="16:16" ht="12.6" customHeight="1" x14ac:dyDescent="0.25">
      <c r="P125" s="21"/>
    </row>
    <row r="126" spans="16:16" ht="12.6" customHeight="1" x14ac:dyDescent="0.25">
      <c r="P126" s="21"/>
    </row>
    <row r="127" spans="16:16" ht="12.6" customHeight="1" x14ac:dyDescent="0.25">
      <c r="P127" s="21"/>
    </row>
    <row r="128" spans="16:16" ht="12.6" customHeight="1" x14ac:dyDescent="0.25">
      <c r="P128" s="21"/>
    </row>
    <row r="129" spans="1:16" ht="12.6" customHeight="1" x14ac:dyDescent="0.25">
      <c r="P129" s="21"/>
    </row>
    <row r="130" spans="1:16" ht="12.6" customHeight="1" x14ac:dyDescent="0.25">
      <c r="P130" s="21"/>
    </row>
    <row r="131" spans="1:16" ht="12.6" customHeight="1" x14ac:dyDescent="0.25">
      <c r="P131" s="21"/>
    </row>
    <row r="132" spans="1:16" ht="12.6" customHeight="1" x14ac:dyDescent="0.25">
      <c r="P132" s="21"/>
    </row>
    <row r="133" spans="1:16" ht="12.6" customHeight="1" x14ac:dyDescent="0.25">
      <c r="P133" s="21"/>
    </row>
    <row r="134" spans="1:16" ht="12.6" customHeight="1" x14ac:dyDescent="0.25">
      <c r="P134" s="21"/>
    </row>
    <row r="135" spans="1:16" ht="12.6" customHeight="1" x14ac:dyDescent="0.25">
      <c r="A135" s="11"/>
      <c r="B135" s="12"/>
      <c r="P135" s="21"/>
    </row>
    <row r="136" spans="1:16" ht="12.6" customHeight="1" x14ac:dyDescent="0.25">
      <c r="P136" s="21"/>
    </row>
  </sheetData>
  <printOptions horizontalCentered="1"/>
  <pageMargins left="0.7" right="0.7" top="0.75" bottom="0.75" header="0.3" footer="0.3"/>
  <pageSetup scale="60" orientation="landscape" r:id="rId1"/>
  <headerFooter>
    <oddHeader>&amp;C&amp;"-,Bold"&amp;12Educator Salary and Classroom Teacher Benefits 
School Districts and State Totals, FY 2012</oddHeader>
    <oddFooter xml:space="preserve">&amp;L&amp;7DATA SOURCES: CACTUS Database (Average Contract Salary Report); Year End Web Survey (Teacher Benefits Report).
PREPARED BY: Data and Statistics (R. Raphael).
&amp;11
</oddFooter>
  </headerFooter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2"/>
  <sheetViews>
    <sheetView tabSelected="1" zoomScaleNormal="100" workbookViewId="0">
      <selection activeCell="P1" sqref="P1:AC1048576"/>
    </sheetView>
  </sheetViews>
  <sheetFormatPr defaultColWidth="21.88671875" defaultRowHeight="12.6" customHeight="1" x14ac:dyDescent="0.2"/>
  <cols>
    <col min="1" max="1" width="4.6640625" style="5" customWidth="1"/>
    <col min="2" max="2" width="41.44140625" style="4" customWidth="1"/>
    <col min="3" max="3" width="12.44140625" style="4" customWidth="1"/>
    <col min="4" max="4" width="12.44140625" style="6" customWidth="1"/>
    <col min="5" max="14" width="12.44140625" style="4" customWidth="1"/>
    <col min="15" max="15" width="21.88671875" style="4" customWidth="1"/>
    <col min="16" max="16384" width="21.88671875" style="4"/>
  </cols>
  <sheetData>
    <row r="2" spans="1:14" ht="12.6" customHeight="1" x14ac:dyDescent="0.25">
      <c r="A2" s="3"/>
      <c r="B2" s="1"/>
      <c r="C2" s="15" t="s">
        <v>128</v>
      </c>
      <c r="D2" s="16"/>
      <c r="E2" s="24" t="s">
        <v>131</v>
      </c>
      <c r="F2" s="15"/>
      <c r="G2" s="15"/>
      <c r="H2" s="15"/>
      <c r="I2" s="15"/>
      <c r="J2" s="15"/>
      <c r="K2" s="15"/>
      <c r="L2" s="15"/>
      <c r="M2" s="15"/>
      <c r="N2" s="26"/>
    </row>
    <row r="3" spans="1:14" ht="37.950000000000003" customHeight="1" x14ac:dyDescent="0.25">
      <c r="A3" s="2"/>
      <c r="B3" s="1"/>
      <c r="C3" s="18" t="s">
        <v>122</v>
      </c>
      <c r="D3" s="18" t="s">
        <v>127</v>
      </c>
      <c r="E3" s="19" t="s">
        <v>115</v>
      </c>
      <c r="F3" s="20" t="s">
        <v>116</v>
      </c>
      <c r="G3" s="20" t="s">
        <v>123</v>
      </c>
      <c r="H3" s="20" t="s">
        <v>124</v>
      </c>
      <c r="I3" s="20" t="s">
        <v>125</v>
      </c>
      <c r="J3" s="20" t="s">
        <v>126</v>
      </c>
      <c r="K3" s="20" t="s">
        <v>135</v>
      </c>
      <c r="L3" s="20" t="s">
        <v>134</v>
      </c>
      <c r="M3" s="46" t="s">
        <v>129</v>
      </c>
      <c r="N3" s="20" t="s">
        <v>130</v>
      </c>
    </row>
    <row r="4" spans="1:14" ht="12" customHeight="1" x14ac:dyDescent="0.2">
      <c r="A4" s="3"/>
      <c r="B4" s="59" t="s">
        <v>137</v>
      </c>
      <c r="C4" s="28">
        <v>90000</v>
      </c>
      <c r="D4" s="29">
        <v>46272.49</v>
      </c>
      <c r="E4" s="53">
        <v>3540</v>
      </c>
      <c r="F4" s="42">
        <v>8496</v>
      </c>
      <c r="G4" s="42">
        <v>12030</v>
      </c>
      <c r="H4" s="42">
        <v>480</v>
      </c>
      <c r="I4" s="42">
        <v>119</v>
      </c>
      <c r="J4" s="42">
        <v>185</v>
      </c>
      <c r="K4" s="42">
        <v>185</v>
      </c>
      <c r="L4" s="42">
        <v>278</v>
      </c>
      <c r="M4" s="47">
        <v>25312</v>
      </c>
      <c r="N4" s="42">
        <f>D4+M4</f>
        <v>71584.489999999991</v>
      </c>
    </row>
    <row r="5" spans="1:14" ht="12" customHeight="1" x14ac:dyDescent="0.2">
      <c r="A5" s="3"/>
      <c r="B5" s="1" t="s">
        <v>41</v>
      </c>
      <c r="C5" s="42">
        <v>0</v>
      </c>
      <c r="D5" s="29">
        <v>32000</v>
      </c>
      <c r="E5" s="44">
        <v>2601</v>
      </c>
      <c r="F5" s="42">
        <v>5345</v>
      </c>
      <c r="G5" s="42">
        <v>6851</v>
      </c>
      <c r="H5" s="42">
        <v>703</v>
      </c>
      <c r="I5" s="42">
        <v>45</v>
      </c>
      <c r="J5" s="42">
        <v>0</v>
      </c>
      <c r="K5" s="42">
        <v>34</v>
      </c>
      <c r="L5" s="42">
        <v>45</v>
      </c>
      <c r="M5" s="47">
        <v>15625</v>
      </c>
      <c r="N5" s="42">
        <f t="shared" ref="N5:N68" si="0">D5+M5</f>
        <v>47625</v>
      </c>
    </row>
    <row r="6" spans="1:14" ht="12" customHeight="1" x14ac:dyDescent="0.2">
      <c r="A6" s="3"/>
      <c r="B6" s="1" t="s">
        <v>42</v>
      </c>
      <c r="C6" s="28">
        <v>51665</v>
      </c>
      <c r="D6" s="29">
        <v>37903.42</v>
      </c>
      <c r="E6" s="44">
        <v>2907</v>
      </c>
      <c r="F6" s="42">
        <v>5973</v>
      </c>
      <c r="G6" s="42">
        <v>10971</v>
      </c>
      <c r="H6" s="42">
        <v>894</v>
      </c>
      <c r="I6" s="42">
        <v>0</v>
      </c>
      <c r="J6" s="42">
        <v>176</v>
      </c>
      <c r="K6" s="42">
        <v>38</v>
      </c>
      <c r="L6" s="42">
        <v>0</v>
      </c>
      <c r="M6" s="47">
        <v>20959</v>
      </c>
      <c r="N6" s="42">
        <f t="shared" si="0"/>
        <v>58862.42</v>
      </c>
    </row>
    <row r="7" spans="1:14" ht="12" customHeight="1" x14ac:dyDescent="0.2">
      <c r="A7" s="3"/>
      <c r="B7" s="1" t="s">
        <v>43</v>
      </c>
      <c r="C7" s="28">
        <v>45000</v>
      </c>
      <c r="D7" s="29">
        <v>33055</v>
      </c>
      <c r="E7" s="44">
        <v>2529</v>
      </c>
      <c r="F7" s="42">
        <v>1027</v>
      </c>
      <c r="G7" s="42">
        <v>2424</v>
      </c>
      <c r="H7" s="42">
        <v>65</v>
      </c>
      <c r="I7" s="42">
        <v>26</v>
      </c>
      <c r="J7" s="42">
        <v>75</v>
      </c>
      <c r="K7" s="42">
        <v>581</v>
      </c>
      <c r="L7" s="42">
        <v>395</v>
      </c>
      <c r="M7" s="47">
        <v>7121</v>
      </c>
      <c r="N7" s="42">
        <f t="shared" si="0"/>
        <v>40176</v>
      </c>
    </row>
    <row r="8" spans="1:14" ht="12" customHeight="1" x14ac:dyDescent="0.2">
      <c r="A8" s="13"/>
      <c r="B8" s="55" t="s">
        <v>118</v>
      </c>
      <c r="C8" s="33">
        <v>60000</v>
      </c>
      <c r="D8" s="56">
        <v>0</v>
      </c>
      <c r="E8" s="57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8">
        <v>0</v>
      </c>
      <c r="N8" s="56">
        <v>0</v>
      </c>
    </row>
    <row r="9" spans="1:14" ht="12" customHeight="1" x14ac:dyDescent="0.2">
      <c r="A9" s="3"/>
      <c r="B9" s="1" t="s">
        <v>44</v>
      </c>
      <c r="C9" s="42">
        <v>0</v>
      </c>
      <c r="D9" s="29">
        <v>35713.125</v>
      </c>
      <c r="E9" s="44">
        <v>2615</v>
      </c>
      <c r="F9" s="42">
        <v>5374</v>
      </c>
      <c r="G9" s="42">
        <v>6803</v>
      </c>
      <c r="H9" s="42">
        <v>926</v>
      </c>
      <c r="I9" s="42">
        <v>0</v>
      </c>
      <c r="J9" s="42">
        <v>144</v>
      </c>
      <c r="K9" s="42">
        <v>398</v>
      </c>
      <c r="L9" s="42">
        <v>0</v>
      </c>
      <c r="M9" s="47">
        <v>16260</v>
      </c>
      <c r="N9" s="42">
        <f t="shared" si="0"/>
        <v>51973.125</v>
      </c>
    </row>
    <row r="10" spans="1:14" ht="12" customHeight="1" x14ac:dyDescent="0.2">
      <c r="A10" s="3"/>
      <c r="B10" s="1" t="s">
        <v>121</v>
      </c>
      <c r="C10" s="42">
        <v>0</v>
      </c>
      <c r="D10" s="29">
        <v>33102.494999999995</v>
      </c>
      <c r="E10" s="44">
        <v>2532</v>
      </c>
      <c r="F10" s="42">
        <v>0</v>
      </c>
      <c r="G10" s="42">
        <v>3410</v>
      </c>
      <c r="H10" s="42">
        <v>0</v>
      </c>
      <c r="I10" s="42">
        <v>0</v>
      </c>
      <c r="J10" s="42">
        <v>109</v>
      </c>
      <c r="K10" s="42">
        <v>430</v>
      </c>
      <c r="L10" s="42">
        <v>0</v>
      </c>
      <c r="M10" s="47">
        <v>6482</v>
      </c>
      <c r="N10" s="42">
        <f t="shared" si="0"/>
        <v>39584.494999999995</v>
      </c>
    </row>
    <row r="11" spans="1:14" ht="12" customHeight="1" x14ac:dyDescent="0.2">
      <c r="A11" s="3"/>
      <c r="B11" s="1" t="s">
        <v>45</v>
      </c>
      <c r="C11" s="28">
        <v>85000</v>
      </c>
      <c r="D11" s="29">
        <v>38205</v>
      </c>
      <c r="E11" s="44">
        <v>2878</v>
      </c>
      <c r="F11" s="42">
        <v>739</v>
      </c>
      <c r="G11" s="42">
        <v>489</v>
      </c>
      <c r="H11" s="42">
        <v>50</v>
      </c>
      <c r="I11" s="42">
        <v>0</v>
      </c>
      <c r="J11" s="42">
        <v>558</v>
      </c>
      <c r="K11" s="42">
        <v>38</v>
      </c>
      <c r="L11" s="42">
        <v>0</v>
      </c>
      <c r="M11" s="47">
        <v>4752</v>
      </c>
      <c r="N11" s="42">
        <f t="shared" si="0"/>
        <v>42957</v>
      </c>
    </row>
    <row r="12" spans="1:14" ht="12" customHeight="1" x14ac:dyDescent="0.2">
      <c r="A12" s="3"/>
      <c r="B12" s="1" t="s">
        <v>46</v>
      </c>
      <c r="C12" s="28">
        <v>69720</v>
      </c>
      <c r="D12" s="29">
        <v>37104</v>
      </c>
      <c r="E12" s="44">
        <v>2838</v>
      </c>
      <c r="F12" s="42">
        <v>2559</v>
      </c>
      <c r="G12" s="42">
        <v>4218</v>
      </c>
      <c r="H12" s="42">
        <v>388</v>
      </c>
      <c r="I12" s="42">
        <v>60</v>
      </c>
      <c r="J12" s="42">
        <v>110</v>
      </c>
      <c r="K12" s="42">
        <v>125</v>
      </c>
      <c r="L12" s="42">
        <v>0</v>
      </c>
      <c r="M12" s="47">
        <v>10298</v>
      </c>
      <c r="N12" s="42">
        <f t="shared" si="0"/>
        <v>47402</v>
      </c>
    </row>
    <row r="13" spans="1:14" ht="12" customHeight="1" x14ac:dyDescent="0.2">
      <c r="A13" s="3"/>
      <c r="B13" s="22" t="s">
        <v>47</v>
      </c>
      <c r="C13" s="33">
        <v>53298.89</v>
      </c>
      <c r="D13" s="34">
        <v>34634</v>
      </c>
      <c r="E13" s="54">
        <v>2650</v>
      </c>
      <c r="F13" s="51">
        <v>1559</v>
      </c>
      <c r="G13" s="51">
        <v>5195</v>
      </c>
      <c r="H13" s="51">
        <v>0</v>
      </c>
      <c r="I13" s="51">
        <v>0</v>
      </c>
      <c r="J13" s="51">
        <v>114</v>
      </c>
      <c r="K13" s="51">
        <v>35</v>
      </c>
      <c r="L13" s="51">
        <v>0</v>
      </c>
      <c r="M13" s="52">
        <v>9552</v>
      </c>
      <c r="N13" s="51">
        <f t="shared" si="0"/>
        <v>44186</v>
      </c>
    </row>
    <row r="14" spans="1:14" ht="12" customHeight="1" x14ac:dyDescent="0.2">
      <c r="A14" s="3"/>
      <c r="B14" s="1" t="s">
        <v>136</v>
      </c>
      <c r="C14" s="42">
        <v>0</v>
      </c>
      <c r="D14" s="29">
        <v>31200</v>
      </c>
      <c r="E14" s="44">
        <v>2427</v>
      </c>
      <c r="F14" s="42">
        <v>0</v>
      </c>
      <c r="G14" s="42">
        <v>5612</v>
      </c>
      <c r="H14" s="42">
        <v>0</v>
      </c>
      <c r="I14" s="42">
        <v>0</v>
      </c>
      <c r="J14" s="42">
        <v>0</v>
      </c>
      <c r="K14" s="42">
        <v>412</v>
      </c>
      <c r="L14" s="42">
        <v>0</v>
      </c>
      <c r="M14" s="47">
        <v>8451</v>
      </c>
      <c r="N14" s="42">
        <f t="shared" si="0"/>
        <v>39651</v>
      </c>
    </row>
    <row r="15" spans="1:14" ht="12" customHeight="1" x14ac:dyDescent="0.2">
      <c r="A15" s="3"/>
      <c r="B15" s="1" t="s">
        <v>48</v>
      </c>
      <c r="C15" s="28">
        <v>82500</v>
      </c>
      <c r="D15" s="29">
        <v>40000</v>
      </c>
      <c r="E15" s="44">
        <v>3060</v>
      </c>
      <c r="F15" s="42">
        <v>2000</v>
      </c>
      <c r="G15" s="42">
        <v>6709</v>
      </c>
      <c r="H15" s="42">
        <v>857</v>
      </c>
      <c r="I15" s="42">
        <v>78</v>
      </c>
      <c r="J15" s="42">
        <v>242</v>
      </c>
      <c r="K15" s="42">
        <v>723</v>
      </c>
      <c r="L15" s="42">
        <v>0</v>
      </c>
      <c r="M15" s="47">
        <v>13669</v>
      </c>
      <c r="N15" s="42">
        <f t="shared" si="0"/>
        <v>53669</v>
      </c>
    </row>
    <row r="16" spans="1:14" ht="12" customHeight="1" x14ac:dyDescent="0.2">
      <c r="A16" s="3"/>
      <c r="B16" s="1" t="s">
        <v>49</v>
      </c>
      <c r="C16" s="28">
        <v>55000</v>
      </c>
      <c r="D16" s="29">
        <v>39750</v>
      </c>
      <c r="E16" s="44">
        <v>3041</v>
      </c>
      <c r="F16" s="42">
        <v>795</v>
      </c>
      <c r="G16" s="42">
        <v>4358</v>
      </c>
      <c r="H16" s="42">
        <v>103</v>
      </c>
      <c r="I16" s="42">
        <v>0</v>
      </c>
      <c r="J16" s="42">
        <v>182</v>
      </c>
      <c r="K16" s="42">
        <v>532</v>
      </c>
      <c r="L16" s="42">
        <v>0</v>
      </c>
      <c r="M16" s="47">
        <v>9011</v>
      </c>
      <c r="N16" s="42">
        <f t="shared" si="0"/>
        <v>48761</v>
      </c>
    </row>
    <row r="17" spans="1:14" ht="12" customHeight="1" x14ac:dyDescent="0.2">
      <c r="A17" s="3"/>
      <c r="B17" s="1" t="s">
        <v>50</v>
      </c>
      <c r="C17" s="28">
        <v>75000</v>
      </c>
      <c r="D17" s="29">
        <v>34955</v>
      </c>
      <c r="E17" s="44">
        <v>2749</v>
      </c>
      <c r="F17" s="42">
        <v>0</v>
      </c>
      <c r="G17" s="42">
        <v>7500</v>
      </c>
      <c r="H17" s="42">
        <v>0</v>
      </c>
      <c r="I17" s="42">
        <v>0</v>
      </c>
      <c r="J17" s="42">
        <v>93</v>
      </c>
      <c r="K17" s="42">
        <v>824</v>
      </c>
      <c r="L17" s="42">
        <v>0</v>
      </c>
      <c r="M17" s="47">
        <v>11167</v>
      </c>
      <c r="N17" s="42">
        <f t="shared" si="0"/>
        <v>46122</v>
      </c>
    </row>
    <row r="18" spans="1:14" ht="12" customHeight="1" x14ac:dyDescent="0.2">
      <c r="A18" s="3"/>
      <c r="B18" s="22" t="s">
        <v>51</v>
      </c>
      <c r="C18" s="51">
        <v>0</v>
      </c>
      <c r="D18" s="34">
        <v>32750</v>
      </c>
      <c r="E18" s="54">
        <v>2525</v>
      </c>
      <c r="F18" s="51">
        <v>5188</v>
      </c>
      <c r="G18" s="51">
        <v>4320</v>
      </c>
      <c r="H18" s="51">
        <v>242</v>
      </c>
      <c r="I18" s="51">
        <v>0</v>
      </c>
      <c r="J18" s="51">
        <v>225</v>
      </c>
      <c r="K18" s="51">
        <v>33</v>
      </c>
      <c r="L18" s="51">
        <v>0</v>
      </c>
      <c r="M18" s="52">
        <v>12533</v>
      </c>
      <c r="N18" s="51">
        <f t="shared" si="0"/>
        <v>45283</v>
      </c>
    </row>
    <row r="19" spans="1:14" ht="12" customHeight="1" x14ac:dyDescent="0.2">
      <c r="A19" s="3"/>
      <c r="B19" s="1" t="s">
        <v>52</v>
      </c>
      <c r="C19" s="28">
        <v>73076.92</v>
      </c>
      <c r="D19" s="29">
        <v>47803.5</v>
      </c>
      <c r="E19" s="44">
        <v>3657</v>
      </c>
      <c r="F19" s="42">
        <v>7515</v>
      </c>
      <c r="G19" s="42">
        <v>6604</v>
      </c>
      <c r="H19" s="42">
        <v>761</v>
      </c>
      <c r="I19" s="42">
        <v>122</v>
      </c>
      <c r="J19" s="42">
        <v>288</v>
      </c>
      <c r="K19" s="42">
        <v>48</v>
      </c>
      <c r="L19" s="42">
        <v>131</v>
      </c>
      <c r="M19" s="47">
        <v>19126</v>
      </c>
      <c r="N19" s="42">
        <f t="shared" si="0"/>
        <v>66929.5</v>
      </c>
    </row>
    <row r="20" spans="1:14" ht="12" customHeight="1" x14ac:dyDescent="0.2">
      <c r="A20" s="3"/>
      <c r="B20" s="1" t="s">
        <v>53</v>
      </c>
      <c r="C20" s="28">
        <v>56000</v>
      </c>
      <c r="D20" s="29">
        <v>34500</v>
      </c>
      <c r="E20" s="44">
        <v>2639</v>
      </c>
      <c r="F20" s="42">
        <v>3105</v>
      </c>
      <c r="G20" s="42">
        <v>4000</v>
      </c>
      <c r="H20" s="42">
        <v>240</v>
      </c>
      <c r="I20" s="42">
        <v>27</v>
      </c>
      <c r="J20" s="42">
        <v>38</v>
      </c>
      <c r="K20" s="42">
        <v>35</v>
      </c>
      <c r="L20" s="42">
        <v>58</v>
      </c>
      <c r="M20" s="47">
        <v>10142</v>
      </c>
      <c r="N20" s="42">
        <f t="shared" si="0"/>
        <v>44642</v>
      </c>
    </row>
    <row r="21" spans="1:14" ht="12" customHeight="1" x14ac:dyDescent="0.2">
      <c r="A21" s="3"/>
      <c r="B21" s="1" t="s">
        <v>54</v>
      </c>
      <c r="C21" s="42">
        <v>0</v>
      </c>
      <c r="D21" s="29">
        <v>36241.919999999998</v>
      </c>
      <c r="E21" s="44">
        <v>2773</v>
      </c>
      <c r="F21" s="42">
        <v>2537</v>
      </c>
      <c r="G21" s="42">
        <v>6309</v>
      </c>
      <c r="H21" s="42">
        <v>553</v>
      </c>
      <c r="I21" s="42">
        <v>33</v>
      </c>
      <c r="J21" s="42">
        <v>172</v>
      </c>
      <c r="K21" s="42">
        <v>146</v>
      </c>
      <c r="L21" s="42">
        <v>0</v>
      </c>
      <c r="M21" s="47">
        <v>12522</v>
      </c>
      <c r="N21" s="42">
        <f t="shared" si="0"/>
        <v>48763.92</v>
      </c>
    </row>
    <row r="22" spans="1:14" ht="12" customHeight="1" x14ac:dyDescent="0.2">
      <c r="A22" s="3"/>
      <c r="B22" s="1" t="s">
        <v>55</v>
      </c>
      <c r="C22" s="28">
        <v>44150</v>
      </c>
      <c r="D22" s="29">
        <v>33000</v>
      </c>
      <c r="E22" s="44">
        <v>2544</v>
      </c>
      <c r="F22" s="42">
        <v>2164</v>
      </c>
      <c r="G22" s="42">
        <v>6000</v>
      </c>
      <c r="H22" s="42">
        <v>0</v>
      </c>
      <c r="I22" s="42">
        <v>36</v>
      </c>
      <c r="J22" s="42">
        <v>150</v>
      </c>
      <c r="K22" s="42">
        <v>230</v>
      </c>
      <c r="L22" s="42">
        <v>0</v>
      </c>
      <c r="M22" s="47">
        <v>11124</v>
      </c>
      <c r="N22" s="42">
        <f t="shared" si="0"/>
        <v>44124</v>
      </c>
    </row>
    <row r="23" spans="1:14" ht="12" customHeight="1" x14ac:dyDescent="0.2">
      <c r="A23" s="3"/>
      <c r="B23" s="22" t="s">
        <v>56</v>
      </c>
      <c r="C23" s="33">
        <v>53846.15</v>
      </c>
      <c r="D23" s="34">
        <v>33533.33</v>
      </c>
      <c r="E23" s="54">
        <v>2565</v>
      </c>
      <c r="F23" s="51">
        <v>5271</v>
      </c>
      <c r="G23" s="51">
        <v>6600</v>
      </c>
      <c r="H23" s="51">
        <v>240</v>
      </c>
      <c r="I23" s="51">
        <v>0</v>
      </c>
      <c r="J23" s="51">
        <v>92</v>
      </c>
      <c r="K23" s="51">
        <v>34</v>
      </c>
      <c r="L23" s="51">
        <v>0</v>
      </c>
      <c r="M23" s="52">
        <v>14802</v>
      </c>
      <c r="N23" s="51">
        <f t="shared" si="0"/>
        <v>48335.33</v>
      </c>
    </row>
    <row r="24" spans="1:14" ht="12" customHeight="1" x14ac:dyDescent="0.2">
      <c r="A24" s="3"/>
      <c r="B24" s="1" t="s">
        <v>57</v>
      </c>
      <c r="C24" s="28">
        <v>94999.92</v>
      </c>
      <c r="D24" s="29">
        <v>35000.160000000003</v>
      </c>
      <c r="E24" s="44">
        <v>2703</v>
      </c>
      <c r="F24" s="42">
        <v>5554</v>
      </c>
      <c r="G24" s="42">
        <v>0</v>
      </c>
      <c r="H24" s="42">
        <v>0</v>
      </c>
      <c r="I24" s="42">
        <v>0</v>
      </c>
      <c r="J24" s="42">
        <v>0</v>
      </c>
      <c r="K24" s="42">
        <v>35</v>
      </c>
      <c r="L24" s="42">
        <v>0</v>
      </c>
      <c r="M24" s="47">
        <v>8292</v>
      </c>
      <c r="N24" s="42">
        <f t="shared" si="0"/>
        <v>43292.160000000003</v>
      </c>
    </row>
    <row r="25" spans="1:14" ht="12" customHeight="1" x14ac:dyDescent="0.2">
      <c r="A25" s="3"/>
      <c r="B25" s="1" t="s">
        <v>58</v>
      </c>
      <c r="C25" s="28">
        <v>55000</v>
      </c>
      <c r="D25" s="29">
        <v>31581.439999999999</v>
      </c>
      <c r="E25" s="44">
        <v>2421</v>
      </c>
      <c r="F25" s="42">
        <v>1582</v>
      </c>
      <c r="G25" s="42">
        <v>4800</v>
      </c>
      <c r="H25" s="42">
        <v>0</v>
      </c>
      <c r="I25" s="42">
        <v>0</v>
      </c>
      <c r="J25" s="42">
        <v>114</v>
      </c>
      <c r="K25" s="42">
        <v>380</v>
      </c>
      <c r="L25" s="42">
        <v>0</v>
      </c>
      <c r="M25" s="47">
        <v>9297</v>
      </c>
      <c r="N25" s="42">
        <f t="shared" si="0"/>
        <v>40878.44</v>
      </c>
    </row>
    <row r="26" spans="1:14" ht="12" customHeight="1" x14ac:dyDescent="0.2">
      <c r="A26" s="3"/>
      <c r="B26" s="1" t="s">
        <v>59</v>
      </c>
      <c r="C26" s="28">
        <v>58592</v>
      </c>
      <c r="D26" s="29">
        <v>31930</v>
      </c>
      <c r="E26" s="44">
        <v>2655</v>
      </c>
      <c r="F26" s="42">
        <v>1961</v>
      </c>
      <c r="G26" s="42">
        <v>5496</v>
      </c>
      <c r="H26" s="42">
        <v>0</v>
      </c>
      <c r="I26" s="42">
        <v>0</v>
      </c>
      <c r="J26" s="42">
        <v>122</v>
      </c>
      <c r="K26" s="42">
        <v>138</v>
      </c>
      <c r="L26" s="42">
        <v>0</v>
      </c>
      <c r="M26" s="47">
        <v>10372</v>
      </c>
      <c r="N26" s="42">
        <f t="shared" si="0"/>
        <v>42302</v>
      </c>
    </row>
    <row r="27" spans="1:14" ht="12" customHeight="1" x14ac:dyDescent="0.2">
      <c r="A27" s="3"/>
      <c r="B27" s="1" t="s">
        <v>60</v>
      </c>
      <c r="C27" s="28">
        <v>60000</v>
      </c>
      <c r="D27" s="29">
        <v>34602</v>
      </c>
      <c r="E27" s="44">
        <v>2655</v>
      </c>
      <c r="F27" s="42">
        <v>2429</v>
      </c>
      <c r="G27" s="42">
        <v>3495</v>
      </c>
      <c r="H27" s="42">
        <v>0</v>
      </c>
      <c r="I27" s="42">
        <v>26</v>
      </c>
      <c r="J27" s="42">
        <v>212</v>
      </c>
      <c r="K27" s="42">
        <v>477</v>
      </c>
      <c r="L27" s="42">
        <v>0</v>
      </c>
      <c r="M27" s="47">
        <v>9293</v>
      </c>
      <c r="N27" s="42">
        <f t="shared" si="0"/>
        <v>43895</v>
      </c>
    </row>
    <row r="28" spans="1:14" ht="12" customHeight="1" x14ac:dyDescent="0.2">
      <c r="A28" s="3"/>
      <c r="B28" s="22" t="s">
        <v>61</v>
      </c>
      <c r="C28" s="33">
        <v>70560</v>
      </c>
      <c r="D28" s="34">
        <v>40000</v>
      </c>
      <c r="E28" s="54">
        <v>2716</v>
      </c>
      <c r="F28" s="51">
        <v>1065</v>
      </c>
      <c r="G28" s="51">
        <v>4082</v>
      </c>
      <c r="H28" s="51">
        <v>171</v>
      </c>
      <c r="I28" s="51">
        <v>66</v>
      </c>
      <c r="J28" s="51">
        <v>100</v>
      </c>
      <c r="K28" s="51">
        <v>142</v>
      </c>
      <c r="L28" s="51">
        <v>0</v>
      </c>
      <c r="M28" s="52">
        <v>8342</v>
      </c>
      <c r="N28" s="51">
        <f t="shared" si="0"/>
        <v>48342</v>
      </c>
    </row>
    <row r="29" spans="1:14" ht="12" customHeight="1" x14ac:dyDescent="0.2">
      <c r="A29" s="3"/>
      <c r="B29" s="1" t="s">
        <v>62</v>
      </c>
      <c r="C29" s="28">
        <v>69702.399999999994</v>
      </c>
      <c r="D29" s="29">
        <v>31788.95</v>
      </c>
      <c r="E29" s="44">
        <v>2432</v>
      </c>
      <c r="F29" s="42">
        <v>0</v>
      </c>
      <c r="G29" s="42">
        <v>7800</v>
      </c>
      <c r="H29" s="42">
        <v>0</v>
      </c>
      <c r="I29" s="42">
        <v>0</v>
      </c>
      <c r="J29" s="42">
        <v>83</v>
      </c>
      <c r="K29" s="42">
        <v>721</v>
      </c>
      <c r="L29" s="42">
        <v>0</v>
      </c>
      <c r="M29" s="47">
        <v>11036</v>
      </c>
      <c r="N29" s="42">
        <f t="shared" si="0"/>
        <v>42824.95</v>
      </c>
    </row>
    <row r="30" spans="1:14" ht="12" customHeight="1" x14ac:dyDescent="0.2">
      <c r="A30" s="13"/>
      <c r="B30" s="10" t="s">
        <v>119</v>
      </c>
      <c r="C30" s="28">
        <v>68000</v>
      </c>
      <c r="D30" s="43">
        <v>0</v>
      </c>
      <c r="E30" s="45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8">
        <v>0</v>
      </c>
      <c r="N30" s="43">
        <v>0</v>
      </c>
    </row>
    <row r="31" spans="1:14" ht="12" customHeight="1" x14ac:dyDescent="0.2">
      <c r="A31" s="3"/>
      <c r="B31" s="1" t="s">
        <v>63</v>
      </c>
      <c r="C31" s="28">
        <v>87482</v>
      </c>
      <c r="D31" s="29">
        <v>42785</v>
      </c>
      <c r="E31" s="44">
        <v>3090</v>
      </c>
      <c r="F31" s="42">
        <v>6349</v>
      </c>
      <c r="G31" s="42">
        <v>5371</v>
      </c>
      <c r="H31" s="42">
        <v>0</v>
      </c>
      <c r="I31" s="42">
        <v>0</v>
      </c>
      <c r="J31" s="42">
        <v>130</v>
      </c>
      <c r="K31" s="42">
        <v>470</v>
      </c>
      <c r="L31" s="42">
        <v>0</v>
      </c>
      <c r="M31" s="47">
        <v>15410</v>
      </c>
      <c r="N31" s="42">
        <f t="shared" si="0"/>
        <v>58195</v>
      </c>
    </row>
    <row r="32" spans="1:14" ht="12" customHeight="1" x14ac:dyDescent="0.2">
      <c r="A32" s="3"/>
      <c r="B32" s="1" t="s">
        <v>64</v>
      </c>
      <c r="C32" s="28">
        <v>87214</v>
      </c>
      <c r="D32" s="29">
        <v>42548.555</v>
      </c>
      <c r="E32" s="44">
        <v>3665</v>
      </c>
      <c r="F32" s="42">
        <v>7531</v>
      </c>
      <c r="G32" s="42">
        <v>9668</v>
      </c>
      <c r="H32" s="42">
        <v>0</v>
      </c>
      <c r="I32" s="42">
        <v>0</v>
      </c>
      <c r="J32" s="42">
        <v>109</v>
      </c>
      <c r="K32" s="42">
        <v>48</v>
      </c>
      <c r="L32" s="42">
        <v>162</v>
      </c>
      <c r="M32" s="47">
        <v>21182</v>
      </c>
      <c r="N32" s="42">
        <f t="shared" si="0"/>
        <v>63730.555</v>
      </c>
    </row>
    <row r="33" spans="1:14" ht="12" customHeight="1" x14ac:dyDescent="0.2">
      <c r="A33" s="3"/>
      <c r="B33" s="22" t="s">
        <v>65</v>
      </c>
      <c r="C33" s="33">
        <v>71757</v>
      </c>
      <c r="D33" s="34">
        <v>38535</v>
      </c>
      <c r="E33" s="54">
        <v>3010</v>
      </c>
      <c r="F33" s="51">
        <v>6184</v>
      </c>
      <c r="G33" s="51">
        <v>14298</v>
      </c>
      <c r="H33" s="51">
        <v>774</v>
      </c>
      <c r="I33" s="51">
        <v>89</v>
      </c>
      <c r="J33" s="51">
        <v>86</v>
      </c>
      <c r="K33" s="51">
        <v>74</v>
      </c>
      <c r="L33" s="51">
        <v>123</v>
      </c>
      <c r="M33" s="52">
        <v>24637</v>
      </c>
      <c r="N33" s="51">
        <f t="shared" si="0"/>
        <v>63172</v>
      </c>
    </row>
    <row r="34" spans="1:14" ht="12" customHeight="1" x14ac:dyDescent="0.2">
      <c r="A34" s="3"/>
      <c r="B34" s="1" t="s">
        <v>138</v>
      </c>
      <c r="C34" s="28">
        <v>47000</v>
      </c>
      <c r="D34" s="29">
        <v>33692.54</v>
      </c>
      <c r="E34" s="44">
        <v>2486</v>
      </c>
      <c r="F34" s="42">
        <v>5109</v>
      </c>
      <c r="G34" s="42">
        <v>713</v>
      </c>
      <c r="H34" s="42">
        <v>0</v>
      </c>
      <c r="I34" s="42">
        <v>97</v>
      </c>
      <c r="J34" s="42">
        <v>80</v>
      </c>
      <c r="K34" s="42">
        <v>33</v>
      </c>
      <c r="L34" s="42">
        <v>0</v>
      </c>
      <c r="M34" s="47">
        <v>8518</v>
      </c>
      <c r="N34" s="42">
        <f t="shared" si="0"/>
        <v>42210.54</v>
      </c>
    </row>
    <row r="35" spans="1:14" ht="12" customHeight="1" x14ac:dyDescent="0.2">
      <c r="A35" s="3"/>
      <c r="B35" s="1" t="s">
        <v>66</v>
      </c>
      <c r="C35" s="42">
        <v>0</v>
      </c>
      <c r="D35" s="29">
        <v>36331</v>
      </c>
      <c r="E35" s="44">
        <v>2783</v>
      </c>
      <c r="F35" s="42">
        <v>2547</v>
      </c>
      <c r="G35" s="42">
        <v>8041</v>
      </c>
      <c r="H35" s="42">
        <v>0</v>
      </c>
      <c r="I35" s="42">
        <v>0</v>
      </c>
      <c r="J35" s="42">
        <v>124</v>
      </c>
      <c r="K35" s="42">
        <v>36</v>
      </c>
      <c r="L35" s="42">
        <v>0</v>
      </c>
      <c r="M35" s="47">
        <v>13532</v>
      </c>
      <c r="N35" s="42">
        <f t="shared" si="0"/>
        <v>49863</v>
      </c>
    </row>
    <row r="36" spans="1:14" ht="12" customHeight="1" x14ac:dyDescent="0.2">
      <c r="A36" s="3"/>
      <c r="B36" s="1" t="s">
        <v>67</v>
      </c>
      <c r="C36" s="28">
        <v>60000</v>
      </c>
      <c r="D36" s="29">
        <v>33368</v>
      </c>
      <c r="E36" s="44">
        <v>2573</v>
      </c>
      <c r="F36" s="42">
        <v>529</v>
      </c>
      <c r="G36" s="42">
        <v>6001</v>
      </c>
      <c r="H36" s="42">
        <v>171</v>
      </c>
      <c r="I36" s="42">
        <v>0</v>
      </c>
      <c r="J36" s="42">
        <v>0</v>
      </c>
      <c r="K36" s="42">
        <v>34</v>
      </c>
      <c r="L36" s="42">
        <v>0</v>
      </c>
      <c r="M36" s="47">
        <v>9307</v>
      </c>
      <c r="N36" s="42">
        <f t="shared" si="0"/>
        <v>42675</v>
      </c>
    </row>
    <row r="37" spans="1:14" ht="12" customHeight="1" x14ac:dyDescent="0.2">
      <c r="A37" s="3"/>
      <c r="B37" s="1" t="s">
        <v>68</v>
      </c>
      <c r="C37" s="28">
        <v>105913.5</v>
      </c>
      <c r="D37" s="29">
        <v>32726</v>
      </c>
      <c r="E37" s="44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7">
        <v>0</v>
      </c>
      <c r="N37" s="42">
        <f t="shared" si="0"/>
        <v>32726</v>
      </c>
    </row>
    <row r="38" spans="1:14" ht="12" customHeight="1" x14ac:dyDescent="0.2">
      <c r="A38" s="3"/>
      <c r="B38" s="22" t="s">
        <v>69</v>
      </c>
      <c r="C38" s="33">
        <v>66500</v>
      </c>
      <c r="D38" s="34">
        <v>34840</v>
      </c>
      <c r="E38" s="54">
        <v>2665</v>
      </c>
      <c r="F38" s="51">
        <v>523</v>
      </c>
      <c r="G38" s="51">
        <v>7332</v>
      </c>
      <c r="H38" s="51">
        <v>716</v>
      </c>
      <c r="I38" s="51">
        <v>42</v>
      </c>
      <c r="J38" s="51">
        <v>98</v>
      </c>
      <c r="K38" s="51">
        <v>310</v>
      </c>
      <c r="L38" s="51">
        <v>72</v>
      </c>
      <c r="M38" s="52">
        <v>11758</v>
      </c>
      <c r="N38" s="51">
        <f t="shared" si="0"/>
        <v>46598</v>
      </c>
    </row>
    <row r="39" spans="1:14" ht="12" customHeight="1" x14ac:dyDescent="0.2">
      <c r="A39" s="3"/>
      <c r="B39" s="1" t="s">
        <v>70</v>
      </c>
      <c r="C39" s="28">
        <v>72500</v>
      </c>
      <c r="D39" s="29">
        <v>35103.29</v>
      </c>
      <c r="E39" s="44">
        <v>2678</v>
      </c>
      <c r="F39" s="42">
        <v>0</v>
      </c>
      <c r="G39" s="42">
        <v>7800</v>
      </c>
      <c r="H39" s="42">
        <v>0</v>
      </c>
      <c r="I39" s="42">
        <v>0</v>
      </c>
      <c r="J39" s="42">
        <v>91</v>
      </c>
      <c r="K39" s="42">
        <v>649</v>
      </c>
      <c r="L39" s="42">
        <v>0</v>
      </c>
      <c r="M39" s="47">
        <v>11218</v>
      </c>
      <c r="N39" s="42">
        <f t="shared" si="0"/>
        <v>46321.29</v>
      </c>
    </row>
    <row r="40" spans="1:14" ht="12" customHeight="1" x14ac:dyDescent="0.2">
      <c r="A40" s="3"/>
      <c r="B40" s="1" t="s">
        <v>71</v>
      </c>
      <c r="C40" s="28">
        <v>45000</v>
      </c>
      <c r="D40" s="29">
        <v>33589</v>
      </c>
      <c r="E40" s="44">
        <v>2720</v>
      </c>
      <c r="F40" s="42">
        <v>1067</v>
      </c>
      <c r="G40" s="42">
        <v>5292</v>
      </c>
      <c r="H40" s="42">
        <v>1109</v>
      </c>
      <c r="I40" s="42">
        <v>119</v>
      </c>
      <c r="J40" s="42">
        <v>0</v>
      </c>
      <c r="K40" s="42">
        <v>708</v>
      </c>
      <c r="L40" s="42">
        <v>0</v>
      </c>
      <c r="M40" s="47">
        <v>11014</v>
      </c>
      <c r="N40" s="42">
        <f t="shared" si="0"/>
        <v>44603</v>
      </c>
    </row>
    <row r="41" spans="1:14" ht="12" customHeight="1" x14ac:dyDescent="0.2">
      <c r="A41" s="3"/>
      <c r="B41" s="1" t="s">
        <v>72</v>
      </c>
      <c r="C41" s="28">
        <v>55000</v>
      </c>
      <c r="D41" s="29">
        <v>31500</v>
      </c>
      <c r="E41" s="44">
        <v>2410</v>
      </c>
      <c r="F41" s="42">
        <v>0</v>
      </c>
      <c r="G41" s="42">
        <v>4464</v>
      </c>
      <c r="H41" s="42">
        <v>0</v>
      </c>
      <c r="I41" s="42">
        <v>0</v>
      </c>
      <c r="J41" s="42">
        <v>0</v>
      </c>
      <c r="K41" s="42">
        <v>32</v>
      </c>
      <c r="L41" s="42">
        <v>0</v>
      </c>
      <c r="M41" s="47">
        <v>6905</v>
      </c>
      <c r="N41" s="42">
        <f t="shared" si="0"/>
        <v>38405</v>
      </c>
    </row>
    <row r="42" spans="1:14" ht="12" customHeight="1" x14ac:dyDescent="0.2">
      <c r="A42" s="3"/>
      <c r="B42" s="1" t="s">
        <v>73</v>
      </c>
      <c r="C42" s="42">
        <v>0</v>
      </c>
      <c r="D42" s="29">
        <v>35750</v>
      </c>
      <c r="E42" s="44">
        <v>2705</v>
      </c>
      <c r="F42" s="42">
        <v>6634</v>
      </c>
      <c r="G42" s="42">
        <v>12348</v>
      </c>
      <c r="H42" s="42">
        <v>0</v>
      </c>
      <c r="I42" s="42">
        <v>0</v>
      </c>
      <c r="J42" s="42">
        <v>200</v>
      </c>
      <c r="K42" s="42">
        <v>35</v>
      </c>
      <c r="L42" s="42">
        <v>0</v>
      </c>
      <c r="M42" s="47">
        <v>21922</v>
      </c>
      <c r="N42" s="42">
        <f t="shared" si="0"/>
        <v>57672</v>
      </c>
    </row>
    <row r="43" spans="1:14" ht="12" customHeight="1" x14ac:dyDescent="0.2">
      <c r="A43" s="3"/>
      <c r="B43" s="22" t="s">
        <v>74</v>
      </c>
      <c r="C43" s="33">
        <v>55000</v>
      </c>
      <c r="D43" s="34">
        <v>37000</v>
      </c>
      <c r="E43" s="54">
        <v>2748</v>
      </c>
      <c r="F43" s="51">
        <v>1437</v>
      </c>
      <c r="G43" s="51">
        <v>9333</v>
      </c>
      <c r="H43" s="51">
        <v>0</v>
      </c>
      <c r="I43" s="51">
        <v>0</v>
      </c>
      <c r="J43" s="51">
        <v>72</v>
      </c>
      <c r="K43" s="51">
        <v>36</v>
      </c>
      <c r="L43" s="51">
        <v>0</v>
      </c>
      <c r="M43" s="52">
        <v>13625</v>
      </c>
      <c r="N43" s="51">
        <f t="shared" si="0"/>
        <v>50625</v>
      </c>
    </row>
    <row r="44" spans="1:14" ht="12" customHeight="1" x14ac:dyDescent="0.2">
      <c r="A44" s="3"/>
      <c r="B44" s="1" t="s">
        <v>75</v>
      </c>
      <c r="C44" s="28">
        <v>90700</v>
      </c>
      <c r="D44" s="29">
        <v>36000</v>
      </c>
      <c r="E44" s="44">
        <v>2773</v>
      </c>
      <c r="F44" s="42">
        <v>2175</v>
      </c>
      <c r="G44" s="42">
        <v>2213</v>
      </c>
      <c r="H44" s="42">
        <v>0</v>
      </c>
      <c r="I44" s="42">
        <v>0</v>
      </c>
      <c r="J44" s="42">
        <v>136</v>
      </c>
      <c r="K44" s="42">
        <v>616</v>
      </c>
      <c r="L44" s="42">
        <v>0</v>
      </c>
      <c r="M44" s="47">
        <v>7913</v>
      </c>
      <c r="N44" s="42">
        <f t="shared" si="0"/>
        <v>43913</v>
      </c>
    </row>
    <row r="45" spans="1:14" ht="12" customHeight="1" x14ac:dyDescent="0.2">
      <c r="A45" s="3"/>
      <c r="B45" s="1" t="s">
        <v>139</v>
      </c>
      <c r="C45" s="28">
        <v>105000</v>
      </c>
      <c r="D45" s="29">
        <v>48872.5</v>
      </c>
      <c r="E45" s="44">
        <v>3652</v>
      </c>
      <c r="F45" s="42">
        <v>8766</v>
      </c>
      <c r="G45" s="42">
        <v>7400</v>
      </c>
      <c r="H45" s="42">
        <v>950</v>
      </c>
      <c r="I45" s="42">
        <v>180</v>
      </c>
      <c r="J45" s="42">
        <v>300</v>
      </c>
      <c r="K45" s="42">
        <v>185</v>
      </c>
      <c r="L45" s="42">
        <v>240</v>
      </c>
      <c r="M45" s="47">
        <v>21673</v>
      </c>
      <c r="N45" s="42">
        <f t="shared" si="0"/>
        <v>70545.5</v>
      </c>
    </row>
    <row r="46" spans="1:14" ht="12" customHeight="1" x14ac:dyDescent="0.2">
      <c r="A46" s="3"/>
      <c r="B46" s="1" t="s">
        <v>76</v>
      </c>
      <c r="C46" s="28">
        <v>99576</v>
      </c>
      <c r="D46" s="29">
        <v>36000</v>
      </c>
      <c r="E46" s="44">
        <v>2574</v>
      </c>
      <c r="F46" s="42">
        <v>6178</v>
      </c>
      <c r="G46" s="42">
        <v>3249</v>
      </c>
      <c r="H46" s="42">
        <v>302</v>
      </c>
      <c r="I46" s="42">
        <v>125</v>
      </c>
      <c r="J46" s="42">
        <v>95</v>
      </c>
      <c r="K46" s="42">
        <v>332</v>
      </c>
      <c r="L46" s="42">
        <v>0</v>
      </c>
      <c r="M46" s="47">
        <v>12855</v>
      </c>
      <c r="N46" s="42">
        <f t="shared" si="0"/>
        <v>48855</v>
      </c>
    </row>
    <row r="47" spans="1:14" ht="12" customHeight="1" x14ac:dyDescent="0.2">
      <c r="A47" s="3"/>
      <c r="B47" s="1" t="s">
        <v>77</v>
      </c>
      <c r="C47" s="28">
        <v>67993.2</v>
      </c>
      <c r="D47" s="29">
        <v>39757</v>
      </c>
      <c r="E47" s="44">
        <v>3039</v>
      </c>
      <c r="F47" s="42">
        <v>0</v>
      </c>
      <c r="G47" s="42">
        <v>8700</v>
      </c>
      <c r="H47" s="42">
        <v>0</v>
      </c>
      <c r="I47" s="42">
        <v>0</v>
      </c>
      <c r="J47" s="42">
        <v>103</v>
      </c>
      <c r="K47" s="42">
        <v>890</v>
      </c>
      <c r="L47" s="42">
        <v>0</v>
      </c>
      <c r="M47" s="47">
        <v>12733</v>
      </c>
      <c r="N47" s="42">
        <f t="shared" si="0"/>
        <v>52490</v>
      </c>
    </row>
    <row r="48" spans="1:14" ht="12" customHeight="1" x14ac:dyDescent="0.2">
      <c r="A48" s="3"/>
      <c r="B48" s="22" t="s">
        <v>78</v>
      </c>
      <c r="C48" s="33">
        <v>68044</v>
      </c>
      <c r="D48" s="34">
        <v>40380.595000000001</v>
      </c>
      <c r="E48" s="54">
        <v>3108</v>
      </c>
      <c r="F48" s="51">
        <v>800</v>
      </c>
      <c r="G48" s="51">
        <v>6900</v>
      </c>
      <c r="H48" s="51">
        <v>0</v>
      </c>
      <c r="I48" s="51">
        <v>0</v>
      </c>
      <c r="J48" s="51">
        <v>137</v>
      </c>
      <c r="K48" s="51">
        <v>917</v>
      </c>
      <c r="L48" s="51">
        <v>0</v>
      </c>
      <c r="M48" s="52">
        <v>11862</v>
      </c>
      <c r="N48" s="51">
        <f t="shared" si="0"/>
        <v>52242.595000000001</v>
      </c>
    </row>
    <row r="49" spans="1:14" ht="12" customHeight="1" x14ac:dyDescent="0.2">
      <c r="A49" s="3"/>
      <c r="B49" s="1" t="s">
        <v>79</v>
      </c>
      <c r="C49" s="42">
        <v>0</v>
      </c>
      <c r="D49" s="29">
        <v>34637.5</v>
      </c>
      <c r="E49" s="44">
        <v>2685</v>
      </c>
      <c r="F49" s="42">
        <v>702</v>
      </c>
      <c r="G49" s="42">
        <v>11323</v>
      </c>
      <c r="H49" s="42">
        <v>0</v>
      </c>
      <c r="I49" s="42">
        <v>2</v>
      </c>
      <c r="J49" s="42">
        <v>252</v>
      </c>
      <c r="K49" s="42">
        <v>0</v>
      </c>
      <c r="L49" s="42">
        <v>0</v>
      </c>
      <c r="M49" s="47">
        <v>14965</v>
      </c>
      <c r="N49" s="42">
        <f t="shared" si="0"/>
        <v>49602.5</v>
      </c>
    </row>
    <row r="50" spans="1:14" ht="12" customHeight="1" x14ac:dyDescent="0.2">
      <c r="A50" s="3"/>
      <c r="B50" s="1" t="s">
        <v>80</v>
      </c>
      <c r="C50" s="28">
        <v>64648.9</v>
      </c>
      <c r="D50" s="29">
        <v>36720</v>
      </c>
      <c r="E50" s="44">
        <v>2875</v>
      </c>
      <c r="F50" s="42">
        <v>472</v>
      </c>
      <c r="G50" s="42">
        <v>8700</v>
      </c>
      <c r="H50" s="42">
        <v>0</v>
      </c>
      <c r="I50" s="42">
        <v>0</v>
      </c>
      <c r="J50" s="42">
        <v>98</v>
      </c>
      <c r="K50" s="42">
        <v>841</v>
      </c>
      <c r="L50" s="42">
        <v>0</v>
      </c>
      <c r="M50" s="47">
        <v>12985</v>
      </c>
      <c r="N50" s="42">
        <f t="shared" si="0"/>
        <v>49705</v>
      </c>
    </row>
    <row r="51" spans="1:14" ht="12" customHeight="1" x14ac:dyDescent="0.2">
      <c r="A51" s="3"/>
      <c r="B51" s="1" t="s">
        <v>81</v>
      </c>
      <c r="C51" s="28">
        <v>76919</v>
      </c>
      <c r="D51" s="29">
        <v>47565.5</v>
      </c>
      <c r="E51" s="45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8">
        <v>0</v>
      </c>
      <c r="N51" s="43">
        <v>0</v>
      </c>
    </row>
    <row r="52" spans="1:14" ht="12" customHeight="1" x14ac:dyDescent="0.2">
      <c r="A52" s="3"/>
      <c r="B52" s="1" t="s">
        <v>82</v>
      </c>
      <c r="C52" s="28">
        <v>72450</v>
      </c>
      <c r="D52" s="29">
        <v>30000</v>
      </c>
      <c r="E52" s="44">
        <v>2372</v>
      </c>
      <c r="F52" s="42">
        <v>0</v>
      </c>
      <c r="G52" s="42">
        <v>8700</v>
      </c>
      <c r="H52" s="42">
        <v>0</v>
      </c>
      <c r="I52" s="42">
        <v>0</v>
      </c>
      <c r="J52" s="42">
        <v>81</v>
      </c>
      <c r="K52" s="42">
        <v>708</v>
      </c>
      <c r="L52" s="42">
        <v>0</v>
      </c>
      <c r="M52" s="47">
        <v>11860</v>
      </c>
      <c r="N52" s="42">
        <f t="shared" si="0"/>
        <v>41860</v>
      </c>
    </row>
    <row r="53" spans="1:14" ht="12" customHeight="1" x14ac:dyDescent="0.2">
      <c r="A53" s="3"/>
      <c r="B53" s="22" t="s">
        <v>83</v>
      </c>
      <c r="C53" s="33">
        <v>70000</v>
      </c>
      <c r="D53" s="34">
        <v>34000</v>
      </c>
      <c r="E53" s="54">
        <v>2601</v>
      </c>
      <c r="F53" s="51">
        <v>0</v>
      </c>
      <c r="G53" s="51">
        <v>7200</v>
      </c>
      <c r="H53" s="51">
        <v>0</v>
      </c>
      <c r="I53" s="51">
        <v>0</v>
      </c>
      <c r="J53" s="51">
        <v>88</v>
      </c>
      <c r="K53" s="51">
        <v>779</v>
      </c>
      <c r="L53" s="51">
        <v>0</v>
      </c>
      <c r="M53" s="52">
        <v>10669</v>
      </c>
      <c r="N53" s="51">
        <f t="shared" si="0"/>
        <v>44669</v>
      </c>
    </row>
    <row r="54" spans="1:14" ht="12" customHeight="1" x14ac:dyDescent="0.2">
      <c r="A54" s="3"/>
      <c r="B54" s="1" t="s">
        <v>84</v>
      </c>
      <c r="C54" s="28">
        <v>75000</v>
      </c>
      <c r="D54" s="29">
        <v>36980</v>
      </c>
      <c r="E54" s="44">
        <v>2831</v>
      </c>
      <c r="F54" s="42">
        <v>0</v>
      </c>
      <c r="G54" s="42">
        <v>7372</v>
      </c>
      <c r="H54" s="42">
        <v>1228</v>
      </c>
      <c r="I54" s="42">
        <v>240</v>
      </c>
      <c r="J54" s="42">
        <v>141</v>
      </c>
      <c r="K54" s="42">
        <v>0</v>
      </c>
      <c r="L54" s="42">
        <v>0</v>
      </c>
      <c r="M54" s="47">
        <v>11812</v>
      </c>
      <c r="N54" s="42">
        <f t="shared" si="0"/>
        <v>48792</v>
      </c>
    </row>
    <row r="55" spans="1:14" ht="12" customHeight="1" x14ac:dyDescent="0.2">
      <c r="A55" s="3"/>
      <c r="B55" s="1" t="s">
        <v>85</v>
      </c>
      <c r="C55" s="28">
        <v>62034.590000000004</v>
      </c>
      <c r="D55" s="29">
        <v>30965.91</v>
      </c>
      <c r="E55" s="44">
        <v>2441</v>
      </c>
      <c r="F55" s="42">
        <v>5017</v>
      </c>
      <c r="G55" s="42">
        <v>18076</v>
      </c>
      <c r="H55" s="42">
        <v>1740</v>
      </c>
      <c r="I55" s="42">
        <v>414</v>
      </c>
      <c r="J55" s="42">
        <v>238</v>
      </c>
      <c r="K55" s="42">
        <v>32</v>
      </c>
      <c r="L55" s="42">
        <v>181</v>
      </c>
      <c r="M55" s="47">
        <v>28139</v>
      </c>
      <c r="N55" s="42">
        <f t="shared" si="0"/>
        <v>59104.91</v>
      </c>
    </row>
    <row r="56" spans="1:14" ht="12" customHeight="1" x14ac:dyDescent="0.2">
      <c r="A56" s="3"/>
      <c r="B56" s="1" t="s">
        <v>86</v>
      </c>
      <c r="C56" s="28">
        <v>58417.5</v>
      </c>
      <c r="D56" s="29">
        <v>34034.479999999996</v>
      </c>
      <c r="E56" s="44">
        <v>2655</v>
      </c>
      <c r="F56" s="42">
        <v>2430</v>
      </c>
      <c r="G56" s="42">
        <v>6000</v>
      </c>
      <c r="H56" s="42">
        <v>0</v>
      </c>
      <c r="I56" s="42">
        <v>0</v>
      </c>
      <c r="J56" s="42">
        <v>95</v>
      </c>
      <c r="K56" s="42">
        <v>165</v>
      </c>
      <c r="L56" s="42">
        <v>0</v>
      </c>
      <c r="M56" s="47">
        <v>11345</v>
      </c>
      <c r="N56" s="42">
        <f t="shared" si="0"/>
        <v>45379.479999999996</v>
      </c>
    </row>
    <row r="57" spans="1:14" ht="12" customHeight="1" x14ac:dyDescent="0.2">
      <c r="A57" s="3"/>
      <c r="B57" s="1" t="s">
        <v>87</v>
      </c>
      <c r="C57" s="28">
        <v>60000</v>
      </c>
      <c r="D57" s="29">
        <v>32500</v>
      </c>
      <c r="E57" s="44">
        <v>2486</v>
      </c>
      <c r="F57" s="42">
        <v>1502</v>
      </c>
      <c r="G57" s="42">
        <v>4784</v>
      </c>
      <c r="H57" s="42">
        <v>604</v>
      </c>
      <c r="I57" s="42">
        <v>265</v>
      </c>
      <c r="J57" s="42">
        <v>65</v>
      </c>
      <c r="K57" s="42">
        <v>130</v>
      </c>
      <c r="L57" s="42">
        <v>0</v>
      </c>
      <c r="M57" s="47">
        <v>9836</v>
      </c>
      <c r="N57" s="42">
        <f t="shared" si="0"/>
        <v>42336</v>
      </c>
    </row>
    <row r="58" spans="1:14" ht="12" customHeight="1" x14ac:dyDescent="0.2">
      <c r="A58" s="3"/>
      <c r="B58" s="22" t="s">
        <v>88</v>
      </c>
      <c r="C58" s="51">
        <v>0</v>
      </c>
      <c r="D58" s="34">
        <v>35832</v>
      </c>
      <c r="E58" s="54">
        <v>2744</v>
      </c>
      <c r="F58" s="51">
        <v>0</v>
      </c>
      <c r="G58" s="51">
        <v>8400</v>
      </c>
      <c r="H58" s="51">
        <v>0</v>
      </c>
      <c r="I58" s="51">
        <v>0</v>
      </c>
      <c r="J58" s="51">
        <v>93</v>
      </c>
      <c r="K58" s="51">
        <v>1161</v>
      </c>
      <c r="L58" s="51">
        <v>0</v>
      </c>
      <c r="M58" s="52">
        <v>12398</v>
      </c>
      <c r="N58" s="51">
        <f t="shared" si="0"/>
        <v>48230</v>
      </c>
    </row>
    <row r="59" spans="1:14" ht="12" customHeight="1" x14ac:dyDescent="0.2">
      <c r="A59" s="3"/>
      <c r="B59" s="1" t="s">
        <v>89</v>
      </c>
      <c r="C59" s="28">
        <v>86450</v>
      </c>
      <c r="D59" s="29">
        <v>41997.5</v>
      </c>
      <c r="E59" s="44">
        <v>3315</v>
      </c>
      <c r="F59" s="42">
        <v>2167</v>
      </c>
      <c r="G59" s="42">
        <v>7063</v>
      </c>
      <c r="H59" s="42">
        <v>744</v>
      </c>
      <c r="I59" s="42">
        <v>0</v>
      </c>
      <c r="J59" s="42">
        <v>227</v>
      </c>
      <c r="K59" s="42">
        <v>245</v>
      </c>
      <c r="L59" s="42">
        <v>0</v>
      </c>
      <c r="M59" s="47">
        <v>13760</v>
      </c>
      <c r="N59" s="42">
        <f t="shared" si="0"/>
        <v>55757.5</v>
      </c>
    </row>
    <row r="60" spans="1:14" ht="12" customHeight="1" x14ac:dyDescent="0.2">
      <c r="A60" s="3"/>
      <c r="B60" s="1" t="s">
        <v>90</v>
      </c>
      <c r="C60" s="28">
        <v>58750</v>
      </c>
      <c r="D60" s="29">
        <v>32200</v>
      </c>
      <c r="E60" s="44">
        <v>2463</v>
      </c>
      <c r="F60" s="42">
        <v>1844</v>
      </c>
      <c r="G60" s="42">
        <v>6835</v>
      </c>
      <c r="H60" s="42">
        <v>773</v>
      </c>
      <c r="I60" s="42">
        <v>0</v>
      </c>
      <c r="J60" s="42">
        <v>97</v>
      </c>
      <c r="K60" s="42">
        <v>32</v>
      </c>
      <c r="L60" s="42">
        <v>0</v>
      </c>
      <c r="M60" s="47">
        <v>12045</v>
      </c>
      <c r="N60" s="42">
        <f t="shared" si="0"/>
        <v>44245</v>
      </c>
    </row>
    <row r="61" spans="1:14" ht="12" customHeight="1" x14ac:dyDescent="0.2">
      <c r="A61" s="3"/>
      <c r="B61" s="1" t="s">
        <v>91</v>
      </c>
      <c r="C61" s="28">
        <v>72000</v>
      </c>
      <c r="D61" s="29">
        <v>36750</v>
      </c>
      <c r="E61" s="44">
        <v>2811</v>
      </c>
      <c r="F61" s="42">
        <v>2321</v>
      </c>
      <c r="G61" s="42">
        <v>4055</v>
      </c>
      <c r="H61" s="42">
        <v>0</v>
      </c>
      <c r="I61" s="42">
        <v>31</v>
      </c>
      <c r="J61" s="42">
        <v>89</v>
      </c>
      <c r="K61" s="42">
        <v>191</v>
      </c>
      <c r="L61" s="42">
        <v>0</v>
      </c>
      <c r="M61" s="47">
        <v>9499</v>
      </c>
      <c r="N61" s="42">
        <f t="shared" si="0"/>
        <v>46249</v>
      </c>
    </row>
    <row r="62" spans="1:14" ht="12" customHeight="1" x14ac:dyDescent="0.2">
      <c r="A62" s="3"/>
      <c r="B62" s="1" t="s">
        <v>92</v>
      </c>
      <c r="C62" s="42">
        <v>0</v>
      </c>
      <c r="D62" s="29">
        <v>34008</v>
      </c>
      <c r="E62" s="44">
        <v>2633</v>
      </c>
      <c r="F62" s="42">
        <v>1033</v>
      </c>
      <c r="G62" s="42">
        <v>12757</v>
      </c>
      <c r="H62" s="42">
        <v>0</v>
      </c>
      <c r="I62" s="42">
        <v>0</v>
      </c>
      <c r="J62" s="42">
        <v>0</v>
      </c>
      <c r="K62" s="42">
        <v>974</v>
      </c>
      <c r="L62" s="42">
        <v>0</v>
      </c>
      <c r="M62" s="47">
        <v>17396</v>
      </c>
      <c r="N62" s="42">
        <f t="shared" si="0"/>
        <v>51404</v>
      </c>
    </row>
    <row r="63" spans="1:14" ht="12" customHeight="1" x14ac:dyDescent="0.2">
      <c r="A63" s="3"/>
      <c r="B63" s="22" t="s">
        <v>93</v>
      </c>
      <c r="C63" s="33">
        <v>81810</v>
      </c>
      <c r="D63" s="34">
        <v>44800</v>
      </c>
      <c r="E63" s="54">
        <v>3490</v>
      </c>
      <c r="F63" s="51">
        <v>7172</v>
      </c>
      <c r="G63" s="51">
        <v>7200</v>
      </c>
      <c r="H63" s="51">
        <v>480</v>
      </c>
      <c r="I63" s="51">
        <v>0</v>
      </c>
      <c r="J63" s="51">
        <v>17</v>
      </c>
      <c r="K63" s="51">
        <v>46</v>
      </c>
      <c r="L63" s="51">
        <v>0</v>
      </c>
      <c r="M63" s="52">
        <v>18405</v>
      </c>
      <c r="N63" s="51">
        <f t="shared" si="0"/>
        <v>63205</v>
      </c>
    </row>
    <row r="64" spans="1:14" ht="12" customHeight="1" x14ac:dyDescent="0.2">
      <c r="A64" s="3"/>
      <c r="B64" s="1" t="s">
        <v>94</v>
      </c>
      <c r="C64" s="42">
        <v>0</v>
      </c>
      <c r="D64" s="29">
        <v>46341</v>
      </c>
      <c r="E64" s="45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8">
        <v>0</v>
      </c>
      <c r="N64" s="43">
        <v>0</v>
      </c>
    </row>
    <row r="65" spans="1:14" ht="12" customHeight="1" x14ac:dyDescent="0.2">
      <c r="A65" s="3"/>
      <c r="B65" s="1" t="s">
        <v>95</v>
      </c>
      <c r="C65" s="28">
        <v>60375</v>
      </c>
      <c r="D65" s="29">
        <v>38200</v>
      </c>
      <c r="E65" s="44">
        <v>2922</v>
      </c>
      <c r="F65" s="42">
        <v>1910</v>
      </c>
      <c r="G65" s="42">
        <v>4280</v>
      </c>
      <c r="H65" s="42">
        <v>0</v>
      </c>
      <c r="I65" s="42">
        <v>0</v>
      </c>
      <c r="J65" s="42">
        <v>115</v>
      </c>
      <c r="K65" s="42">
        <v>153</v>
      </c>
      <c r="L65" s="42">
        <v>0</v>
      </c>
      <c r="M65" s="47">
        <v>9379</v>
      </c>
      <c r="N65" s="42">
        <f t="shared" si="0"/>
        <v>47579</v>
      </c>
    </row>
    <row r="66" spans="1:14" ht="12" customHeight="1" x14ac:dyDescent="0.2">
      <c r="A66" s="3"/>
      <c r="B66" s="1" t="s">
        <v>96</v>
      </c>
      <c r="C66" s="28">
        <v>101920</v>
      </c>
      <c r="D66" s="29">
        <v>42527</v>
      </c>
      <c r="E66" s="44">
        <v>3264</v>
      </c>
      <c r="F66" s="42">
        <v>6707</v>
      </c>
      <c r="G66" s="42">
        <v>340</v>
      </c>
      <c r="H66" s="42">
        <v>21</v>
      </c>
      <c r="I66" s="42">
        <v>0</v>
      </c>
      <c r="J66" s="42">
        <v>108</v>
      </c>
      <c r="K66" s="42">
        <v>43</v>
      </c>
      <c r="L66" s="42">
        <v>0</v>
      </c>
      <c r="M66" s="47">
        <v>10483</v>
      </c>
      <c r="N66" s="42">
        <f t="shared" si="0"/>
        <v>53010</v>
      </c>
    </row>
    <row r="67" spans="1:14" ht="12" customHeight="1" x14ac:dyDescent="0.2">
      <c r="A67" s="3"/>
      <c r="B67" s="1" t="s">
        <v>97</v>
      </c>
      <c r="C67" s="28">
        <v>72500</v>
      </c>
      <c r="D67" s="29">
        <v>36089</v>
      </c>
      <c r="E67" s="44">
        <v>2789</v>
      </c>
      <c r="F67" s="42">
        <v>1640</v>
      </c>
      <c r="G67" s="42">
        <v>2631</v>
      </c>
      <c r="H67" s="42">
        <v>0</v>
      </c>
      <c r="I67" s="42">
        <v>0</v>
      </c>
      <c r="J67" s="42">
        <v>0</v>
      </c>
      <c r="K67" s="42">
        <v>182</v>
      </c>
      <c r="L67" s="42">
        <v>0</v>
      </c>
      <c r="M67" s="47">
        <v>7242</v>
      </c>
      <c r="N67" s="42">
        <f t="shared" si="0"/>
        <v>43331</v>
      </c>
    </row>
    <row r="68" spans="1:14" ht="12" customHeight="1" x14ac:dyDescent="0.2">
      <c r="A68" s="3"/>
      <c r="B68" s="22" t="s">
        <v>98</v>
      </c>
      <c r="C68" s="33">
        <v>81773</v>
      </c>
      <c r="D68" s="34">
        <v>41855</v>
      </c>
      <c r="E68" s="54">
        <v>3202</v>
      </c>
      <c r="F68" s="51">
        <v>6210</v>
      </c>
      <c r="G68" s="51">
        <v>13772</v>
      </c>
      <c r="H68" s="51">
        <v>805</v>
      </c>
      <c r="I68" s="51">
        <v>53</v>
      </c>
      <c r="J68" s="51">
        <v>148</v>
      </c>
      <c r="K68" s="51">
        <v>0</v>
      </c>
      <c r="L68" s="51">
        <v>138</v>
      </c>
      <c r="M68" s="52">
        <v>24327</v>
      </c>
      <c r="N68" s="51">
        <f t="shared" si="0"/>
        <v>66182</v>
      </c>
    </row>
    <row r="69" spans="1:14" ht="12" customHeight="1" x14ac:dyDescent="0.2">
      <c r="A69" s="3"/>
      <c r="B69" s="1" t="s">
        <v>99</v>
      </c>
      <c r="C69" s="28">
        <v>69000</v>
      </c>
      <c r="D69" s="29">
        <v>35187.5</v>
      </c>
      <c r="E69" s="44">
        <v>2693</v>
      </c>
      <c r="F69" s="42">
        <v>6463</v>
      </c>
      <c r="G69" s="42">
        <v>6110</v>
      </c>
      <c r="H69" s="42">
        <v>0</v>
      </c>
      <c r="I69" s="42">
        <v>0</v>
      </c>
      <c r="J69" s="42">
        <v>94</v>
      </c>
      <c r="K69" s="42">
        <v>236</v>
      </c>
      <c r="L69" s="42">
        <v>0</v>
      </c>
      <c r="M69" s="47">
        <v>15595</v>
      </c>
      <c r="N69" s="42">
        <f t="shared" ref="N69:N83" si="1">D69+M69</f>
        <v>50782.5</v>
      </c>
    </row>
    <row r="70" spans="1:14" ht="12" customHeight="1" x14ac:dyDescent="0.2">
      <c r="A70" s="3"/>
      <c r="B70" s="1" t="s">
        <v>100</v>
      </c>
      <c r="C70" s="28">
        <v>47000</v>
      </c>
      <c r="D70" s="29">
        <v>34200</v>
      </c>
      <c r="E70" s="44">
        <v>2914</v>
      </c>
      <c r="F70" s="42">
        <v>5987</v>
      </c>
      <c r="G70" s="42">
        <v>4527</v>
      </c>
      <c r="H70" s="42">
        <v>0</v>
      </c>
      <c r="I70" s="42">
        <v>0</v>
      </c>
      <c r="J70" s="42">
        <v>94</v>
      </c>
      <c r="K70" s="42">
        <v>502</v>
      </c>
      <c r="L70" s="42">
        <v>0</v>
      </c>
      <c r="M70" s="47">
        <v>14023</v>
      </c>
      <c r="N70" s="42">
        <f t="shared" si="1"/>
        <v>48223</v>
      </c>
    </row>
    <row r="71" spans="1:14" ht="12" customHeight="1" x14ac:dyDescent="0.2">
      <c r="A71" s="3"/>
      <c r="B71" s="1" t="s">
        <v>101</v>
      </c>
      <c r="C71" s="28">
        <v>87550</v>
      </c>
      <c r="D71" s="29">
        <v>36836.384999999995</v>
      </c>
      <c r="E71" s="44">
        <v>2858</v>
      </c>
      <c r="F71" s="42">
        <v>290</v>
      </c>
      <c r="G71" s="42">
        <v>9000</v>
      </c>
      <c r="H71" s="42">
        <v>0</v>
      </c>
      <c r="I71" s="42">
        <v>0</v>
      </c>
      <c r="J71" s="42">
        <v>97</v>
      </c>
      <c r="K71" s="42">
        <v>1065</v>
      </c>
      <c r="L71" s="42">
        <v>0</v>
      </c>
      <c r="M71" s="47">
        <v>13311</v>
      </c>
      <c r="N71" s="42">
        <f t="shared" si="1"/>
        <v>50147.384999999995</v>
      </c>
    </row>
    <row r="72" spans="1:14" ht="12" customHeight="1" x14ac:dyDescent="0.2">
      <c r="A72" s="3"/>
      <c r="B72" s="1" t="s">
        <v>120</v>
      </c>
      <c r="C72" s="28">
        <v>88660</v>
      </c>
      <c r="D72" s="29">
        <v>36050</v>
      </c>
      <c r="E72" s="44">
        <v>2834</v>
      </c>
      <c r="F72" s="42">
        <v>2964</v>
      </c>
      <c r="G72" s="42">
        <v>9297</v>
      </c>
      <c r="H72" s="42">
        <v>0</v>
      </c>
      <c r="I72" s="42">
        <v>74</v>
      </c>
      <c r="J72" s="42">
        <v>134</v>
      </c>
      <c r="K72" s="42">
        <v>37</v>
      </c>
      <c r="L72" s="42">
        <v>85</v>
      </c>
      <c r="M72" s="47">
        <v>15424</v>
      </c>
      <c r="N72" s="42">
        <f t="shared" si="1"/>
        <v>51474</v>
      </c>
    </row>
    <row r="73" spans="1:14" ht="12" customHeight="1" x14ac:dyDescent="0.2">
      <c r="A73" s="3"/>
      <c r="B73" s="22" t="s">
        <v>102</v>
      </c>
      <c r="C73" s="33">
        <v>88500</v>
      </c>
      <c r="D73" s="34">
        <v>41532.5</v>
      </c>
      <c r="E73" s="54">
        <v>3108</v>
      </c>
      <c r="F73" s="51">
        <v>2438</v>
      </c>
      <c r="G73" s="51">
        <v>12003</v>
      </c>
      <c r="H73" s="51">
        <v>500</v>
      </c>
      <c r="I73" s="51">
        <v>59</v>
      </c>
      <c r="J73" s="51">
        <v>95</v>
      </c>
      <c r="K73" s="51">
        <v>0</v>
      </c>
      <c r="L73" s="51">
        <v>69</v>
      </c>
      <c r="M73" s="52">
        <v>18272</v>
      </c>
      <c r="N73" s="51">
        <f t="shared" si="1"/>
        <v>59804.5</v>
      </c>
    </row>
    <row r="74" spans="1:14" ht="12" customHeight="1" x14ac:dyDescent="0.2">
      <c r="A74" s="3"/>
      <c r="B74" s="1" t="s">
        <v>103</v>
      </c>
      <c r="C74" s="28">
        <v>52692.305</v>
      </c>
      <c r="D74" s="29">
        <v>35393.5</v>
      </c>
      <c r="E74" s="44">
        <v>2708</v>
      </c>
      <c r="F74" s="42">
        <v>5564</v>
      </c>
      <c r="G74" s="42">
        <v>13556</v>
      </c>
      <c r="H74" s="42">
        <v>811</v>
      </c>
      <c r="I74" s="42">
        <v>0</v>
      </c>
      <c r="J74" s="42">
        <v>0</v>
      </c>
      <c r="K74" s="42">
        <v>35</v>
      </c>
      <c r="L74" s="42">
        <v>0</v>
      </c>
      <c r="M74" s="47">
        <v>22674</v>
      </c>
      <c r="N74" s="42">
        <f t="shared" si="1"/>
        <v>58067.5</v>
      </c>
    </row>
    <row r="75" spans="1:14" ht="12" customHeight="1" x14ac:dyDescent="0.2">
      <c r="A75" s="3"/>
      <c r="B75" s="1" t="s">
        <v>104</v>
      </c>
      <c r="C75" s="28">
        <v>65443</v>
      </c>
      <c r="D75" s="29">
        <v>43250</v>
      </c>
      <c r="E75" s="44">
        <v>3309</v>
      </c>
      <c r="F75" s="42">
        <v>6799</v>
      </c>
      <c r="G75" s="42">
        <v>8084</v>
      </c>
      <c r="H75" s="42">
        <v>0</v>
      </c>
      <c r="I75" s="42">
        <v>0</v>
      </c>
      <c r="J75" s="42">
        <v>1051</v>
      </c>
      <c r="K75" s="42">
        <v>43</v>
      </c>
      <c r="L75" s="42">
        <v>0</v>
      </c>
      <c r="M75" s="47">
        <v>19286</v>
      </c>
      <c r="N75" s="42">
        <f t="shared" si="1"/>
        <v>62536</v>
      </c>
    </row>
    <row r="76" spans="1:14" ht="12" customHeight="1" x14ac:dyDescent="0.2">
      <c r="A76" s="3"/>
      <c r="B76" s="1" t="s">
        <v>105</v>
      </c>
      <c r="C76" s="42">
        <v>0</v>
      </c>
      <c r="D76" s="29">
        <v>36000</v>
      </c>
      <c r="E76" s="44">
        <v>2754</v>
      </c>
      <c r="F76" s="42">
        <v>0</v>
      </c>
      <c r="G76" s="42">
        <v>5842</v>
      </c>
      <c r="H76" s="42">
        <v>468</v>
      </c>
      <c r="I76" s="42">
        <v>128</v>
      </c>
      <c r="J76" s="42">
        <v>0</v>
      </c>
      <c r="K76" s="42">
        <v>486</v>
      </c>
      <c r="L76" s="42">
        <v>42</v>
      </c>
      <c r="M76" s="47">
        <v>9720</v>
      </c>
      <c r="N76" s="42">
        <f t="shared" si="1"/>
        <v>45720</v>
      </c>
    </row>
    <row r="77" spans="1:14" ht="12" customHeight="1" x14ac:dyDescent="0.2">
      <c r="A77" s="3"/>
      <c r="B77" s="1" t="s">
        <v>106</v>
      </c>
      <c r="C77" s="28">
        <v>74307.024999999994</v>
      </c>
      <c r="D77" s="29">
        <v>49102.16</v>
      </c>
      <c r="E77" s="44">
        <v>3756</v>
      </c>
      <c r="F77" s="42">
        <v>7719</v>
      </c>
      <c r="G77" s="42">
        <v>14599</v>
      </c>
      <c r="H77" s="42">
        <v>1395</v>
      </c>
      <c r="I77" s="42">
        <v>0</v>
      </c>
      <c r="J77" s="42">
        <v>0</v>
      </c>
      <c r="K77" s="42">
        <v>49</v>
      </c>
      <c r="L77" s="42">
        <v>0</v>
      </c>
      <c r="M77" s="47">
        <v>27519</v>
      </c>
      <c r="N77" s="42">
        <f t="shared" si="1"/>
        <v>76621.16</v>
      </c>
    </row>
    <row r="78" spans="1:14" ht="12" customHeight="1" x14ac:dyDescent="0.2">
      <c r="A78" s="3"/>
      <c r="B78" s="22" t="s">
        <v>107</v>
      </c>
      <c r="C78" s="51">
        <v>0</v>
      </c>
      <c r="D78" s="34">
        <v>30000</v>
      </c>
      <c r="E78" s="54">
        <v>2295</v>
      </c>
      <c r="F78" s="51">
        <v>4716</v>
      </c>
      <c r="G78" s="51">
        <v>0</v>
      </c>
      <c r="H78" s="51">
        <v>0</v>
      </c>
      <c r="I78" s="51">
        <v>0</v>
      </c>
      <c r="J78" s="51">
        <v>0</v>
      </c>
      <c r="K78" s="51">
        <v>30</v>
      </c>
      <c r="L78" s="51">
        <v>0</v>
      </c>
      <c r="M78" s="52">
        <v>7041</v>
      </c>
      <c r="N78" s="51">
        <f t="shared" si="1"/>
        <v>37041</v>
      </c>
    </row>
    <row r="79" spans="1:14" ht="12" customHeight="1" x14ac:dyDescent="0.2">
      <c r="A79" s="3"/>
      <c r="B79" s="1" t="s">
        <v>108</v>
      </c>
      <c r="C79" s="28">
        <v>73775</v>
      </c>
      <c r="D79" s="29">
        <v>37475</v>
      </c>
      <c r="E79" s="44">
        <v>2867</v>
      </c>
      <c r="F79" s="42">
        <v>2623</v>
      </c>
      <c r="G79" s="42">
        <v>4780</v>
      </c>
      <c r="H79" s="42">
        <v>924</v>
      </c>
      <c r="I79" s="42">
        <v>33</v>
      </c>
      <c r="J79" s="42">
        <v>194</v>
      </c>
      <c r="K79" s="42">
        <v>120</v>
      </c>
      <c r="L79" s="42">
        <v>0</v>
      </c>
      <c r="M79" s="47">
        <v>11541</v>
      </c>
      <c r="N79" s="42">
        <f t="shared" si="1"/>
        <v>49016</v>
      </c>
    </row>
    <row r="80" spans="1:14" ht="12" customHeight="1" x14ac:dyDescent="0.2">
      <c r="A80" s="3"/>
      <c r="B80" s="1" t="s">
        <v>133</v>
      </c>
      <c r="C80" s="28">
        <v>74615.38</v>
      </c>
      <c r="D80" s="29">
        <v>35626</v>
      </c>
      <c r="E80" s="44">
        <v>2725</v>
      </c>
      <c r="F80" s="42">
        <v>5600</v>
      </c>
      <c r="G80" s="42">
        <v>6000</v>
      </c>
      <c r="H80" s="42">
        <v>0</v>
      </c>
      <c r="I80" s="42">
        <v>0</v>
      </c>
      <c r="J80" s="42">
        <v>2550</v>
      </c>
      <c r="K80" s="42">
        <v>36</v>
      </c>
      <c r="L80" s="42">
        <v>0</v>
      </c>
      <c r="M80" s="47">
        <v>16911</v>
      </c>
      <c r="N80" s="42">
        <f t="shared" si="1"/>
        <v>52537</v>
      </c>
    </row>
    <row r="81" spans="1:14" ht="12" customHeight="1" x14ac:dyDescent="0.2">
      <c r="A81" s="3"/>
      <c r="B81" s="1" t="s">
        <v>109</v>
      </c>
      <c r="C81" s="28">
        <v>47076.925000000003</v>
      </c>
      <c r="D81" s="29">
        <v>32153.845000000001</v>
      </c>
      <c r="E81" s="44">
        <v>2460</v>
      </c>
      <c r="F81" s="42">
        <v>3215</v>
      </c>
      <c r="G81" s="42">
        <v>9128</v>
      </c>
      <c r="H81" s="42">
        <v>0</v>
      </c>
      <c r="I81" s="42">
        <v>0</v>
      </c>
      <c r="J81" s="42">
        <v>0</v>
      </c>
      <c r="K81" s="42">
        <v>183</v>
      </c>
      <c r="L81" s="42">
        <v>0</v>
      </c>
      <c r="M81" s="47">
        <v>14986</v>
      </c>
      <c r="N81" s="42">
        <f t="shared" si="1"/>
        <v>47139.845000000001</v>
      </c>
    </row>
    <row r="82" spans="1:14" ht="12" customHeight="1" x14ac:dyDescent="0.2">
      <c r="A82" s="3"/>
      <c r="B82" s="1" t="s">
        <v>110</v>
      </c>
      <c r="C82" s="28">
        <v>87035</v>
      </c>
      <c r="D82" s="29">
        <v>36397</v>
      </c>
      <c r="E82" s="44">
        <v>2799</v>
      </c>
      <c r="F82" s="42">
        <v>225</v>
      </c>
      <c r="G82" s="42">
        <v>8700</v>
      </c>
      <c r="H82" s="42">
        <v>0</v>
      </c>
      <c r="I82" s="42">
        <v>0</v>
      </c>
      <c r="J82" s="42">
        <v>95</v>
      </c>
      <c r="K82" s="42">
        <v>847</v>
      </c>
      <c r="L82" s="42">
        <v>0</v>
      </c>
      <c r="M82" s="47">
        <v>12665</v>
      </c>
      <c r="N82" s="42">
        <f t="shared" si="1"/>
        <v>49062</v>
      </c>
    </row>
    <row r="83" spans="1:14" ht="12" customHeight="1" x14ac:dyDescent="0.2">
      <c r="A83" s="3"/>
      <c r="B83" s="22" t="s">
        <v>111</v>
      </c>
      <c r="C83" s="33">
        <v>66000</v>
      </c>
      <c r="D83" s="34">
        <v>39262</v>
      </c>
      <c r="E83" s="54">
        <v>3022</v>
      </c>
      <c r="F83" s="51">
        <v>1580</v>
      </c>
      <c r="G83" s="51">
        <v>8400</v>
      </c>
      <c r="H83" s="51">
        <v>0</v>
      </c>
      <c r="I83" s="51">
        <v>0</v>
      </c>
      <c r="J83" s="51">
        <v>988</v>
      </c>
      <c r="K83" s="51">
        <v>40</v>
      </c>
      <c r="L83" s="51">
        <v>0</v>
      </c>
      <c r="M83" s="52">
        <v>14029</v>
      </c>
      <c r="N83" s="51">
        <f t="shared" si="1"/>
        <v>53291</v>
      </c>
    </row>
    <row r="84" spans="1:14" ht="12" customHeight="1" x14ac:dyDescent="0.2">
      <c r="A84" s="3"/>
      <c r="B84" s="25" t="s">
        <v>112</v>
      </c>
      <c r="C84" s="38">
        <v>66658</v>
      </c>
      <c r="D84" s="38">
        <v>35500</v>
      </c>
      <c r="E84" s="41">
        <f t="shared" ref="E84:N84" si="2">MEDIAN(E4:E83)</f>
        <v>2718</v>
      </c>
      <c r="F84" s="38">
        <f t="shared" si="2"/>
        <v>2082</v>
      </c>
      <c r="G84" s="38">
        <f t="shared" si="2"/>
        <v>6454.5</v>
      </c>
      <c r="H84" s="38">
        <f t="shared" si="2"/>
        <v>0</v>
      </c>
      <c r="I84" s="38">
        <f t="shared" si="2"/>
        <v>0</v>
      </c>
      <c r="J84" s="38">
        <f t="shared" si="2"/>
        <v>97</v>
      </c>
      <c r="K84" s="38">
        <f t="shared" si="2"/>
        <v>134</v>
      </c>
      <c r="L84" s="38">
        <f t="shared" si="2"/>
        <v>0</v>
      </c>
      <c r="M84" s="49">
        <f t="shared" si="2"/>
        <v>11861</v>
      </c>
      <c r="N84" s="38">
        <f t="shared" si="2"/>
        <v>48226.5</v>
      </c>
    </row>
    <row r="85" spans="1:14" ht="12.6" customHeight="1" x14ac:dyDescent="0.2">
      <c r="B85" s="50" t="s">
        <v>132</v>
      </c>
    </row>
    <row r="172" spans="1:2" ht="12.6" customHeight="1" x14ac:dyDescent="0.2">
      <c r="A172" s="10"/>
      <c r="B172" s="12">
        <v>78656</v>
      </c>
    </row>
  </sheetData>
  <printOptions horizontalCentered="1"/>
  <pageMargins left="0.7" right="0.7" top="0.75" bottom="0.75" header="0.3" footer="0.3"/>
  <pageSetup scale="48" orientation="landscape" r:id="rId1"/>
  <headerFooter>
    <oddHeader xml:space="preserve">&amp;C&amp;"-,Bold"&amp;14Educator Salary and Classroom Teacher Benefits 
Charter Schools, FY 2012&amp;"-,Regular"&amp;11
</oddHeader>
    <oddFooter xml:space="preserve">&amp;L&amp;7DATA SOURCES: CACTUS Database (Average Contract Salary Report); Year End Web Survey (Teacher Benefits Report).
PREPARED BY: Data and Statistics (R. Raphael).
&amp;11
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Teacher Salary - District</vt:lpstr>
      <vt:lpstr>Teacher Salary - Charter</vt:lpstr>
      <vt:lpstr>'Teacher Salary - Charter'!Print_Area</vt:lpstr>
      <vt:lpstr>'Teacher Salary - District'!Print_Area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Raphael, Randy</cp:lastModifiedBy>
  <cp:lastPrinted>2012-12-14T22:56:07Z</cp:lastPrinted>
  <dcterms:created xsi:type="dcterms:W3CDTF">2012-12-13T17:56:37Z</dcterms:created>
  <dcterms:modified xsi:type="dcterms:W3CDTF">2012-12-19T20:25:37Z</dcterms:modified>
</cp:coreProperties>
</file>