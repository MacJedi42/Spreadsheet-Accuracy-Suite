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<sst xmlns="http://schemas.openxmlformats.org/spreadsheetml/2006/main" count="43" uniqueCount="43">
  <si>
    <t>FOOD REVOLUTION SWEETENED MILK CALCULATOR
</t>
  </si>
  <si>
    <t>{ enter data from your school to see what kids are really drinking }</t>
  </si>
  <si>
    <t>Fill in these items</t>
  </si>
  <si>
    <t>(1) Total grams of Sugar in 8oz. of Chocolate Milk at your school</t>
  </si>
  <si>
    <t>Typically 22-28g of total sugar for chocolate. 
Strawberry and Vanilla can be higher.</t>
  </si>
  <si>
    <t>(2) Number of students in your school or District</t>
  </si>
  <si>
    <t>(3) Number of days in your school year</t>
  </si>
  <si>
    <t>(4) Percentage of kids choosing chocolate milk</t>
  </si>
  <si>
    <t>Typically 60-75% of students</t>
  </si>
  <si>
    <t>If your kids are choosing chocolate milk at breakfast and lunch, they are collectively drinking this much added sugar:
</t>
  </si>
  <si>
    <t>per school year</t>
  </si>
  <si>
    <t>in 365 days</t>
  </si>
  <si>
    <t>per kid every school year</t>
  </si>
  <si>
    <t>Helpful note: 
8oz. of milk contains 
12g of natural sugar from lactose</t>
  </si>
  <si>
    <t>Grams</t>
  </si>
  <si>
    <t>Calories</t>
  </si>
  <si>
    <t>Helpful note: 
4g of sugar = 1 teaspoon</t>
  </si>
  <si>
    <t>Teaspoons</t>
  </si>
  <si>
    <t>Cups</t>
  </si>
  <si>
    <t>Sugar sacks 
(4 lb. bags)</t>
  </si>
  <si>
    <t>Gallons (milk jugs)</t>
  </si>
  <si>
    <t>Wheelbarrows</t>
  </si>
  <si>
    <t>It's not just Sugar that's added to flavored milk. Chocolate Milk sometimes contains these items, which are definitely not from a cow. Read the labels at your school. </t>
  </si>
  <si>
    <t>Alkali</t>
  </si>
  <si>
    <t>High Fructose Corn Syrup</t>
  </si>
  <si>
    <t>Artificial Flavors</t>
  </si>
  <si>
    <t>Mono and Diglycerides</t>
  </si>
  <si>
    <t>Calcium Carbonate</t>
  </si>
  <si>
    <t>Natural Flavors</t>
  </si>
  <si>
    <t>Carrageenan</t>
  </si>
  <si>
    <t>Polysorbate 80</t>
  </si>
  <si>
    <t>Cellulose Gum</t>
  </si>
  <si>
    <t>Propylene Glycol</t>
  </si>
  <si>
    <t>Corn starch</t>
  </si>
  <si>
    <t>Salt</t>
  </si>
  <si>
    <t>Corn Sweetener</t>
  </si>
  <si>
    <t>Sodium Citrate</t>
  </si>
  <si>
    <t>Dextrose</t>
  </si>
  <si>
    <t>Sodium Phosphate</t>
  </si>
  <si>
    <t>Food Starch</t>
  </si>
  <si>
    <t>Vanillin (artificial flavoring)</t>
  </si>
  <si>
    <t>Guar Gum</t>
  </si>
  <si>
    <t>Vitamin A palmitate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</si>
</sst>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FFFFFF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 val="0"/>
      <strike val="0"/>
      <u val="none"/>
      <sz val="12.0"/>
      <color rgb="FFFF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6.0"/>
      <color rgb="FFFFFFFF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99CC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  <font>
      <b/>
      <i val="0"/>
      <strike val="0"/>
      <u val="none"/>
      <sz val="12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</fonts>
  <fills count="68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100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NumberFormat="1" applyFill="1">
      <alignment vertical="bottom" horizontal="center"/>
    </xf>
    <xf applyBorder="1" fillId="3" xfId="0" numFmtId="41" borderId="2" applyFont="1" fontId="2" applyNumberFormat="1" applyFill="1"/>
    <xf applyBorder="1" applyAlignment="1" fillId="0" xfId="0" numFmtId="0" borderId="3" fontId="0">
      <alignment vertical="bottom" horizontal="general" wrapText="1"/>
    </xf>
    <xf applyBorder="1" applyAlignment="1" fillId="4" xfId="0" numFmtId="0" borderId="4" applyFont="1" fontId="3" applyNumberFormat="1" applyFill="1">
      <alignment vertical="bottom" horizontal="right" wrapText="1"/>
    </xf>
    <xf applyAlignment="1" fillId="5" xfId="0" numFmtId="0" borderId="0" applyFont="1" fontId="4" applyNumberFormat="1" applyFill="1">
      <alignment vertical="bottom" horizontal="general" wrapText="1"/>
    </xf>
    <xf applyBorder="1" fillId="0" xfId="0" numFmtId="0" borderId="5" applyFont="1" fontId="5" applyNumberFormat="1"/>
    <xf applyBorder="1" applyAlignment="1" fillId="6" xfId="0" numFmtId="0" borderId="6" applyFont="1" fontId="6" applyNumberFormat="1" applyFill="1">
      <alignment vertical="bottom" horizontal="right" wrapText="1"/>
    </xf>
    <xf applyBorder="1" applyAlignment="1" fillId="0" xfId="0" numFmtId="0" borderId="7" fontId="0">
      <alignment vertical="bottom" horizontal="general" wrapText="1"/>
    </xf>
    <xf applyAlignment="1" fillId="0" xfId="0" numFmtId="0" borderId="0" applyFont="1" fontId="7" applyNumberFormat="1">
      <alignment vertical="bottom" horizontal="center" wrapText="1"/>
    </xf>
    <xf applyBorder="1" applyAlignment="1" fillId="7" xfId="0" numFmtId="0" borderId="8" fontId="0" applyFill="1">
      <alignment vertical="bottom" horizontal="general" wrapText="1"/>
    </xf>
    <xf applyAlignment="1" fillId="8" xfId="0" numFmtId="0" borderId="0" applyFont="1" fontId="8" applyNumberFormat="1" applyFill="1">
      <alignment vertical="center" horizontal="general" wrapText="1"/>
    </xf>
    <xf applyAlignment="1" fillId="9" xfId="0" numFmtId="0" borderId="0" fontId="0" applyFill="1">
      <alignment vertical="bottom" horizontal="general" wrapText="1"/>
    </xf>
    <xf applyBorder="1" applyAlignment="1" fillId="10" xfId="0" numFmtId="0" borderId="9" applyFont="1" fontId="9" applyNumberFormat="1" applyFill="1">
      <alignment vertical="bottom" horizontal="left" wrapText="1"/>
    </xf>
    <xf applyAlignment="1" fillId="11" xfId="0" numFmtId="0" borderId="0" applyFont="1" fontId="10" applyNumberFormat="1" applyFill="1">
      <alignment vertical="bottom" horizontal="general" wrapText="1"/>
    </xf>
    <xf applyAlignment="1" fillId="0" xfId="0" numFmtId="0" borderId="0" applyFont="1" fontId="11" applyNumberFormat="1">
      <alignment vertical="bottom" horizontal="left" wrapText="1"/>
    </xf>
    <xf applyAlignment="1" fillId="0" xfId="0" numFmtId="0" borderId="0" applyFont="1" fontId="12" applyNumberFormat="1">
      <alignment vertical="bottom" horizontal="left" wrapText="1"/>
    </xf>
    <xf applyBorder="1" fillId="12" xfId="0" numFmtId="0" borderId="10" applyFont="1" fontId="13" applyNumberFormat="1" applyFill="1"/>
    <xf applyBorder="1" applyAlignment="1" fillId="13" xfId="0" numFmtId="3" borderId="11" applyFont="1" fontId="14" applyNumberFormat="1" applyFill="1">
      <alignment vertical="bottom" horizontal="left"/>
    </xf>
    <xf applyBorder="1" applyAlignment="1" fillId="14" xfId="0" numFmtId="0" borderId="12" applyFont="1" fontId="15" applyNumberFormat="1" applyFill="1">
      <alignment vertical="bottom" horizontal="left" wrapText="1"/>
    </xf>
    <xf applyBorder="1" applyAlignment="1" fillId="15" xfId="0" numFmtId="0" borderId="13" applyFont="1" fontId="16" applyNumberFormat="1" applyFill="1">
      <alignment vertical="bottom" horizontal="center" wrapText="1"/>
    </xf>
    <xf applyAlignment="1" fillId="16" xfId="0" numFmtId="0" borderId="0" applyFont="1" fontId="17" applyNumberFormat="1" applyFill="1">
      <alignment vertical="top" horizontal="center" wrapText="1"/>
    </xf>
    <xf applyBorder="1" applyAlignment="1" fillId="17" xfId="0" numFmtId="0" borderId="14" applyFont="1" fontId="18" applyFill="1">
      <alignment vertical="bottom" horizontal="general" wrapText="1"/>
    </xf>
    <xf applyAlignment="1" fillId="18" xfId="0" numFmtId="0" borderId="0" applyFont="1" fontId="19" applyNumberFormat="1" applyFill="1">
      <alignment vertical="bottom" horizontal="general" wrapText="1"/>
    </xf>
    <xf applyBorder="1" fillId="19" xfId="0" numFmtId="3" borderId="15" applyFont="1" fontId="20" applyNumberFormat="1" applyFill="1"/>
    <xf applyBorder="1" applyAlignment="1" fillId="0" xfId="0" numFmtId="0" borderId="16" applyFont="1" fontId="21">
      <alignment vertical="bottom" horizontal="center"/>
    </xf>
    <xf applyAlignment="1" fillId="0" xfId="0" numFmtId="0" borderId="0" applyFont="1" fontId="22">
      <alignment vertical="bottom" horizontal="general" wrapText="1"/>
    </xf>
    <xf applyAlignment="1" fillId="0" xfId="0" numFmtId="0" borderId="0" applyFont="1" fontId="23" applyNumberFormat="1">
      <alignment vertical="bottom" horizontal="left"/>
    </xf>
    <xf applyBorder="1" fillId="0" xfId="0" numFmtId="0" borderId="17" applyFont="1" fontId="24"/>
    <xf applyBorder="1" fillId="20" xfId="0" numFmtId="0" borderId="18" applyFont="1" fontId="25" applyNumberFormat="1" applyFill="1"/>
    <xf applyBorder="1" applyAlignment="1" fillId="21" xfId="0" numFmtId="0" borderId="19" fontId="0" applyNumberFormat="1" applyFill="1">
      <alignment vertical="bottom" horizontal="general" wrapText="1"/>
    </xf>
    <xf applyBorder="1" applyAlignment="1" fillId="22" xfId="0" numFmtId="0" borderId="20" applyFont="1" fontId="26" applyNumberFormat="1" applyFill="1">
      <alignment vertical="top" horizontal="left" wrapText="1"/>
    </xf>
    <xf applyAlignment="1" fillId="23" xfId="0" numFmtId="0" borderId="0" applyFont="1" fontId="27" applyNumberFormat="1" applyFill="1">
      <alignment vertical="bottom" horizontal="general" wrapText="1"/>
    </xf>
    <xf applyBorder="1" applyAlignment="1" fillId="24" xfId="0" numFmtId="0" borderId="21" applyFont="1" fontId="28" applyFill="1">
      <alignment vertical="center" horizontal="center"/>
    </xf>
    <xf applyBorder="1" applyAlignment="1" fillId="25" xfId="0" numFmtId="0" borderId="22" applyFont="1" fontId="29" applyNumberFormat="1" applyFill="1">
      <alignment vertical="bottom" horizontal="left" wrapText="1"/>
    </xf>
    <xf applyBorder="1" applyAlignment="1" fillId="0" xfId="0" numFmtId="0" borderId="23" fontId="0">
      <alignment vertical="bottom" horizontal="general" wrapText="1"/>
    </xf>
    <xf applyBorder="1" applyAlignment="1" fillId="26" xfId="0" numFmtId="0" borderId="24" applyFont="1" fontId="30" applyNumberFormat="1" applyFill="1">
      <alignment vertical="bottom" horizontal="left" wrapText="1"/>
    </xf>
    <xf applyBorder="1" fillId="0" xfId="0" numFmtId="0" borderId="25" applyFont="1" fontId="31"/>
    <xf applyBorder="1" fillId="0" xfId="0" numFmtId="0" borderId="26" applyFont="1" fontId="32" applyNumberFormat="1"/>
    <xf applyBorder="1" fillId="27" xfId="0" numFmtId="0" borderId="27" applyFont="1" fontId="33" applyFill="1"/>
    <xf applyBorder="1" applyAlignment="1" fillId="28" xfId="0" numFmtId="0" borderId="28" fontId="0" applyNumberFormat="1" applyFill="1">
      <alignment vertical="bottom" horizontal="general" wrapText="1"/>
    </xf>
    <xf applyBorder="1" applyAlignment="1" fillId="0" xfId="0" numFmtId="0" borderId="29" fontId="0" applyNumberFormat="1">
      <alignment vertical="bottom" horizontal="general" wrapText="1"/>
    </xf>
    <xf applyAlignment="1" fillId="29" xfId="0" numFmtId="0" borderId="0" fontId="0" applyFill="1">
      <alignment vertical="bottom" horizontal="general" wrapText="1"/>
    </xf>
    <xf applyBorder="1" applyAlignment="1" fillId="30" xfId="0" numFmtId="0" borderId="30" applyFont="1" fontId="34" applyNumberFormat="1" applyFill="1">
      <alignment vertical="bottom" horizontal="general" wrapText="1"/>
    </xf>
    <xf applyAlignment="1" fillId="31" xfId="0" numFmtId="0" borderId="0" applyFont="1" fontId="35" applyNumberFormat="1" applyFill="1">
      <alignment vertical="top" horizontal="general" wrapText="1"/>
    </xf>
    <xf applyAlignment="1" fillId="32" xfId="0" numFmtId="0" borderId="0" fontId="0" applyNumberFormat="1" applyFill="1">
      <alignment vertical="bottom" horizontal="general" wrapText="1"/>
    </xf>
    <xf applyAlignment="1" fillId="33" xfId="0" numFmtId="0" borderId="0" applyFont="1" fontId="36" applyFill="1">
      <alignment vertical="bottom" horizontal="general" wrapText="1"/>
    </xf>
    <xf applyBorder="1" applyAlignment="1" fillId="34" xfId="0" numFmtId="0" borderId="31" applyFont="1" fontId="37" applyFill="1">
      <alignment vertical="bottom" horizontal="general" wrapText="1"/>
    </xf>
    <xf applyBorder="1" applyAlignment="1" fillId="35" xfId="0" numFmtId="0" borderId="32" applyFont="1" fontId="38" applyNumberFormat="1" applyFill="1">
      <alignment vertical="bottom" horizontal="general" wrapText="1"/>
    </xf>
    <xf fillId="0" xfId="0" numFmtId="0" borderId="0" applyFont="1" fontId="39" applyNumberFormat="1"/>
    <xf applyAlignment="1" fillId="0" xfId="0" numFmtId="0" borderId="0" applyFont="1" fontId="40" applyNumberFormat="1">
      <alignment vertical="bottom" horizontal="center" wrapText="1"/>
    </xf>
    <xf applyAlignment="1" fillId="0" xfId="0" numFmtId="0" borderId="0" fontId="0" applyNumberFormat="1">
      <alignment vertical="bottom" horizontal="general" wrapText="1"/>
    </xf>
    <xf applyBorder="1" applyAlignment="1" fillId="36" xfId="0" numFmtId="0" borderId="33" applyFont="1" fontId="41" applyNumberFormat="1" applyFill="1">
      <alignment vertical="top" horizontal="left"/>
    </xf>
    <xf applyBorder="1" applyAlignment="1" fillId="0" xfId="0" numFmtId="0" borderId="34" applyFont="1" fontId="42">
      <alignment vertical="bottom" horizontal="center"/>
    </xf>
    <xf applyBorder="1" applyAlignment="1" fillId="37" xfId="0" numFmtId="0" borderId="35" fontId="0" applyNumberFormat="1" applyFill="1">
      <alignment vertical="bottom" horizontal="general" wrapText="1"/>
    </xf>
    <xf applyBorder="1" applyAlignment="1" fillId="38" xfId="0" numFmtId="0" borderId="36" applyFont="1" fontId="43" applyFill="1">
      <alignment vertical="bottom" horizontal="general" wrapText="1"/>
    </xf>
    <xf fillId="0" xfId="0" numFmtId="0" borderId="0" applyFont="1" fontId="44"/>
    <xf applyAlignment="1" fillId="39" xfId="0" numFmtId="0" borderId="0" applyFont="1" fontId="45" applyNumberFormat="1" applyFill="1">
      <alignment vertical="bottom" horizontal="general" wrapText="1"/>
    </xf>
    <xf applyAlignment="1" fillId="40" xfId="0" numFmtId="0" borderId="0" applyFont="1" fontId="46" applyNumberFormat="1" applyFill="1">
      <alignment vertical="center" horizontal="center" wrapText="1"/>
    </xf>
    <xf applyAlignment="1" fillId="41" xfId="0" numFmtId="0" borderId="0" applyFont="1" fontId="47" applyNumberFormat="1" applyFill="1">
      <alignment vertical="bottom" horizontal="general" wrapText="1"/>
    </xf>
    <xf applyAlignment="1" fillId="0" xfId="0" numFmtId="0" borderId="0" applyFont="1" fontId="48" applyNumberFormat="1">
      <alignment vertical="bottom" horizontal="general" wrapText="1"/>
    </xf>
    <xf applyAlignment="1" fillId="42" xfId="0" numFmtId="0" borderId="0" fontId="0" applyNumberFormat="1" applyFill="1">
      <alignment vertical="bottom" horizontal="general" wrapText="1"/>
    </xf>
    <xf applyAlignment="1" fillId="43" xfId="0" numFmtId="0" borderId="0" fontId="0" applyFill="1">
      <alignment vertical="bottom" horizontal="general" wrapText="1"/>
    </xf>
    <xf applyAlignment="1" fillId="0" xfId="0" numFmtId="0" borderId="0" applyFont="1" fontId="49" applyNumberFormat="1">
      <alignment vertical="bottom" horizontal="left" wrapText="1"/>
    </xf>
    <xf applyBorder="1" applyAlignment="1" fillId="44" xfId="0" numFmtId="0" borderId="37" applyFont="1" fontId="50" applyNumberFormat="1" applyFill="1">
      <alignment vertical="bottom" horizontal="general" wrapText="1"/>
    </xf>
    <xf applyBorder="1" applyAlignment="1" fillId="0" xfId="0" numFmtId="0" borderId="38" applyFont="1" fontId="51" applyNumberFormat="1">
      <alignment vertical="bottom" horizontal="left" wrapText="1"/>
    </xf>
    <xf applyBorder="1" fillId="0" xfId="0" numFmtId="0" borderId="39" applyFont="1" fontId="52"/>
    <xf applyAlignment="1" fillId="45" xfId="0" numFmtId="0" borderId="0" fontId="0" applyNumberFormat="1" applyFill="1">
      <alignment vertical="bottom" horizontal="general" wrapText="1"/>
    </xf>
    <xf applyAlignment="1" fillId="46" xfId="0" numFmtId="0" borderId="0" applyFont="1" fontId="53" applyNumberFormat="1" applyFill="1">
      <alignment vertical="center" horizontal="center"/>
    </xf>
    <xf applyAlignment="1" fillId="0" xfId="0" numFmtId="0" borderId="0" applyFont="1" fontId="54">
      <alignment vertical="bottom" horizontal="center"/>
    </xf>
    <xf applyBorder="1" applyAlignment="1" fillId="47" xfId="0" numFmtId="164" borderId="40" applyFont="1" fontId="55" applyNumberFormat="1" applyFill="1">
      <alignment vertical="bottom" horizontal="left" wrapText="1"/>
    </xf>
    <xf applyBorder="1" applyAlignment="1" fillId="48" xfId="0" numFmtId="0" borderId="41" applyFont="1" fontId="56" applyNumberFormat="1" applyFill="1">
      <alignment vertical="bottom" horizontal="general" wrapText="1"/>
    </xf>
    <xf applyBorder="1" applyAlignment="1" fillId="49" xfId="0" numFmtId="3" borderId="42" applyFont="1" fontId="57" applyNumberFormat="1" applyFill="1">
      <alignment vertical="bottom" horizontal="left"/>
    </xf>
    <xf applyBorder="1" applyAlignment="1" fillId="50" xfId="0" numFmtId="0" borderId="43" applyFont="1" fontId="58" applyNumberFormat="1" applyFill="1">
      <alignment vertical="bottom" horizontal="general" wrapText="1"/>
    </xf>
    <xf applyBorder="1" fillId="0" xfId="0" numFmtId="0" borderId="44" applyFont="1" fontId="59"/>
    <xf applyBorder="1" applyAlignment="1" fillId="51" xfId="0" numFmtId="0" borderId="45" fontId="0" applyNumberFormat="1" applyFill="1">
      <alignment vertical="bottom" horizontal="general" wrapText="1"/>
    </xf>
    <xf applyBorder="1" applyAlignment="1" fillId="52" xfId="0" numFmtId="0" borderId="46" fontId="0" applyNumberFormat="1" applyFill="1">
      <alignment vertical="bottom" horizontal="general" wrapText="1"/>
    </xf>
    <xf applyBorder="1" fillId="0" xfId="0" numFmtId="0" borderId="47" applyFont="1" fontId="60"/>
    <xf applyBorder="1" fillId="53" xfId="0" numFmtId="0" borderId="48" applyFont="1" fontId="61" applyNumberFormat="1" applyFill="1"/>
    <xf applyAlignment="1" fillId="0" xfId="0" numFmtId="0" borderId="0" applyFont="1" fontId="62" applyNumberFormat="1">
      <alignment vertical="bottom" horizontal="left" wrapText="1"/>
    </xf>
    <xf applyBorder="1" applyAlignment="1" fillId="54" xfId="0" numFmtId="0" borderId="49" applyFont="1" fontId="63" applyNumberFormat="1" applyFill="1">
      <alignment vertical="bottom" horizontal="center" wrapText="1"/>
    </xf>
    <xf applyBorder="1" applyAlignment="1" fillId="55" xfId="0" numFmtId="0" borderId="50" fontId="0" applyFill="1">
      <alignment vertical="bottom" horizontal="general" wrapText="1"/>
    </xf>
    <xf applyBorder="1" fillId="56" xfId="0" numFmtId="0" borderId="51" applyFont="1" fontId="64" applyFill="1"/>
    <xf fillId="0" xfId="0" numFmtId="0" borderId="0" applyFont="1" fontId="65" applyNumberFormat="1"/>
    <xf applyBorder="1" applyAlignment="1" fillId="57" xfId="0" numFmtId="0" borderId="52" applyFont="1" fontId="66" applyFill="1">
      <alignment vertical="bottom" horizontal="left" wrapText="1"/>
    </xf>
    <xf applyBorder="1" applyAlignment="1" fillId="58" xfId="0" numFmtId="3" borderId="53" applyFont="1" fontId="67" applyNumberFormat="1" applyFill="1">
      <alignment vertical="bottom" horizontal="left" wrapText="1"/>
    </xf>
    <xf applyBorder="1" applyAlignment="1" fillId="59" xfId="0" numFmtId="0" borderId="54" fontId="0" applyNumberFormat="1" applyFill="1">
      <alignment vertical="bottom" horizontal="general" wrapText="1"/>
    </xf>
    <xf applyBorder="1" fillId="60" xfId="0" numFmtId="41" borderId="55" applyFont="1" fontId="68" applyNumberFormat="1" applyFill="1"/>
    <xf applyBorder="1" applyAlignment="1" fillId="61" xfId="0" numFmtId="0" borderId="56" fontId="0" applyNumberFormat="1" applyFill="1">
      <alignment vertical="bottom" horizontal="general" wrapText="1"/>
    </xf>
    <xf applyBorder="1" applyAlignment="1" fillId="62" xfId="0" numFmtId="0" borderId="57" fontId="0" applyFill="1">
      <alignment vertical="bottom" horizontal="general" wrapText="1"/>
    </xf>
    <xf applyBorder="1" applyAlignment="1" fillId="0" xfId="0" numFmtId="0" borderId="58" applyFont="1" fontId="69">
      <alignment vertical="bottom" horizontal="left" wrapText="1"/>
    </xf>
    <xf applyBorder="1" applyAlignment="1" fillId="63" xfId="0" numFmtId="37" borderId="59" applyFont="1" fontId="70" applyNumberFormat="1" applyFill="1">
      <alignment vertical="bottom" horizontal="left"/>
    </xf>
    <xf applyBorder="1" applyAlignment="1" fillId="64" xfId="0" numFmtId="9" borderId="60" applyFont="1" fontId="71" applyNumberFormat="1" applyFill="1">
      <alignment vertical="bottom" horizontal="center"/>
    </xf>
    <xf applyBorder="1" applyAlignment="1" fillId="65" xfId="0" numFmtId="0" borderId="61" applyFont="1" fontId="72" applyNumberFormat="1" applyFill="1">
      <alignment vertical="bottom" horizontal="general" wrapText="1"/>
    </xf>
    <xf applyAlignment="1" fillId="0" xfId="0" numFmtId="0" borderId="0" applyFont="1" fontId="73" applyNumberFormat="1">
      <alignment vertical="bottom" horizontal="general" wrapText="1"/>
    </xf>
    <xf fillId="0" xfId="0" numFmtId="0" borderId="0" applyFont="1" fontId="74" applyNumberFormat="1"/>
    <xf applyBorder="1" applyAlignment="1" fillId="66" xfId="0" numFmtId="0" borderId="62" applyFont="1" fontId="75" applyFill="1">
      <alignment vertical="bottom" horizontal="right" wrapText="1"/>
    </xf>
    <xf applyBorder="1" applyAlignment="1" fillId="0" xfId="0" numFmtId="0" borderId="63" fontId="0">
      <alignment vertical="bottom" horizontal="general" wrapText="1"/>
    </xf>
    <xf applyBorder="1" applyAlignment="1" fillId="0" xfId="0" numFmtId="0" borderId="64" applyFont="1" fontId="76" applyNumberFormat="1">
      <alignment vertical="bottom" horizontal="general" wrapText="1"/>
    </xf>
    <xf applyBorder="1" applyAlignment="1" fillId="67" xfId="0" numFmtId="0" borderId="65" applyFont="1" fontId="77" applyNumberFormat="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drawings/_rels/drawing1.xml.rels><?xml version="1.0" encoding="UTF-8" standalone="yes"?><Relationships xmlns="http://schemas.openxmlformats.org/package/2006/relationships"><Relationship Target="../media/image01.jpg" Type="http://schemas.openxmlformats.org/officeDocument/2006/relationships/image" Id="rId2"/><Relationship Target="../media/image00.jp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11</xdr:col>
      <xdr:colOff>152400</xdr:colOff>
      <xdr:row>45</xdr:row>
      <xdr:rowOff>209550</xdr:rowOff>
    </xdr:from>
    <xdr:ext cy="1209675" cx="1152525"/>
    <xdr:pic>
      <xdr:nvPicPr>
        <xdr:cNvPr id="0" name="image00.jp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1209675" cx="1152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1800225</xdr:colOff>
      <xdr:row>45</xdr:row>
      <xdr:rowOff>209550</xdr:rowOff>
    </xdr:from>
    <xdr:ext cy="1076325" cx="1828800"/>
    <xdr:pic>
      <xdr:nvPicPr>
        <xdr:cNvPr id="0" name="image01.jpg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y="1076325" cx="1828800"/>
        </a:xfrm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6.0"/>
    <col min="2" customWidth="1" max="2" width="8.57"/>
    <col min="3" customWidth="1" max="3" width="5.57"/>
    <col min="4" customWidth="1" max="4" width="36.29"/>
    <col min="5" customWidth="1" max="5" width="26.86"/>
    <col min="6" customWidth="1" max="6" width="24.29"/>
    <col min="7" customWidth="1" max="7" width="28.0"/>
    <col min="8" customWidth="1" max="8" width="31.86"/>
    <col min="9" customWidth="1" max="9" width="3.71"/>
    <col min="10" customWidth="1" max="10" width="9.71"/>
  </cols>
  <sheetData>
    <row customHeight="1" r="1" ht="9.75">
      <c s="62" r="A1"/>
      <c s="62" r="B1"/>
      <c s="62" r="C1"/>
      <c s="62" r="D1"/>
      <c s="62" r="E1"/>
      <c s="62" r="F1"/>
      <c s="62" r="G1"/>
      <c s="62" r="H1"/>
      <c s="62" r="I1"/>
      <c s="62" r="J1"/>
      <c s="62" r="K1"/>
    </row>
    <row customHeight="1" r="2" ht="64.5">
      <c s="59" r="A2"/>
      <c t="s" s="58" r="B2">
        <v>0</v>
      </c>
      <c s="58" r="C2"/>
      <c s="68" r="D2"/>
      <c s="68" r="E2"/>
      <c s="68" r="F2"/>
      <c s="68" r="G2"/>
      <c s="11" r="H2"/>
      <c s="11" r="I2"/>
      <c s="11" r="J2"/>
      <c s="57" r="K2"/>
    </row>
    <row customHeight="1" r="3" ht="39.75">
      <c s="59" r="A3"/>
      <c t="s" s="21" r="B3">
        <v>1</v>
      </c>
      <c s="44" r="C3"/>
      <c s="44" r="D3"/>
      <c s="44" r="E3"/>
      <c s="21" r="F3"/>
      <c s="44" r="G3"/>
      <c s="44" r="H3"/>
      <c s="51" r="I3"/>
      <c s="51" r="J3"/>
      <c s="45" r="K3"/>
    </row>
    <row customHeight="1" r="4" ht="7.5">
      <c s="46" r="A4"/>
      <c s="9" r="B4"/>
      <c s="51" r="C4"/>
      <c s="51" r="D4"/>
      <c s="51" r="E4"/>
      <c s="9" r="F4"/>
      <c s="51" r="G4"/>
      <c s="51" r="H4"/>
      <c s="51" r="I4"/>
      <c s="51" r="J4"/>
      <c s="45" r="K4"/>
    </row>
    <row r="5">
      <c s="46" r="A5"/>
      <c s="9" r="B5"/>
      <c s="61" r="C5"/>
      <c s="30" r="D5"/>
      <c s="30" r="E5"/>
      <c s="80" r="F5"/>
      <c s="30" r="G5"/>
      <c s="30" r="H5"/>
      <c s="61" r="I5"/>
      <c s="51" r="J5"/>
      <c s="62" r="K5"/>
    </row>
    <row customHeight="1" r="6" ht="28.5">
      <c s="46" r="A6"/>
      <c s="9" r="B6"/>
      <c s="86" r="C6"/>
      <c s="76" r="D6"/>
      <c s="76" r="E6"/>
      <c t="s" s="20" r="F6">
        <v>2</v>
      </c>
      <c s="76" r="G6"/>
      <c s="41" r="H6"/>
      <c s="75" r="I6"/>
      <c s="51" r="J6"/>
      <c s="62" r="K6"/>
    </row>
    <row customHeight="1" r="7" ht="18.75">
      <c s="46" r="A7"/>
      <c s="69" r="B7"/>
      <c s="22" r="C7"/>
      <c t="s" s="31" r="D7">
        <v>3</v>
      </c>
      <c s="98" r="E7"/>
      <c s="1" r="F7">
        <v>28</v>
      </c>
      <c t="s" s="73" r="G7">
        <v>4</v>
      </c>
      <c s="41" r="H7"/>
      <c s="75" r="I7"/>
      <c s="51" r="J7"/>
      <c s="62" r="K7"/>
    </row>
    <row customHeight="1" r="8" ht="24.0">
      <c s="46" r="A8"/>
      <c s="69" r="B8"/>
      <c s="82" r="C8"/>
      <c t="s" s="52" r="D8">
        <v>5</v>
      </c>
      <c s="6" r="E8"/>
      <c s="1" r="F8">
        <v>2000</v>
      </c>
      <c s="17" r="G8"/>
      <c s="41" r="H8"/>
      <c s="75" r="I8"/>
      <c s="51" r="J8"/>
      <c s="62" r="K8"/>
    </row>
    <row customHeight="1" r="9" ht="21.0">
      <c s="46" r="A9"/>
      <c s="69" r="B9"/>
      <c s="82" r="C9"/>
      <c t="s" s="52" r="D9">
        <v>6</v>
      </c>
      <c s="6" r="E9"/>
      <c s="1" r="F9">
        <v>180</v>
      </c>
      <c s="17" r="G9"/>
      <c s="41" r="H9"/>
      <c s="75" r="I9"/>
      <c s="51" r="J9"/>
      <c s="62" r="K9"/>
    </row>
    <row customHeight="1" r="10" ht="18.75">
      <c s="46" r="A10"/>
      <c s="69" r="B10"/>
      <c s="82" r="C10"/>
      <c t="s" s="52" r="D10">
        <v>7</v>
      </c>
      <c s="74" r="E10"/>
      <c s="92" r="F10">
        <v>0.7</v>
      </c>
      <c t="s" s="78" r="G10">
        <v>8</v>
      </c>
      <c s="41" r="H10"/>
      <c s="75" r="I10"/>
      <c s="51" r="J10"/>
      <c s="62" r="K10"/>
    </row>
    <row customHeight="1" r="11" ht="9.0">
      <c s="46" r="A11"/>
      <c s="26" r="B11"/>
      <c s="42" r="C11"/>
      <c s="13" r="D11"/>
      <c s="88" r="E11"/>
      <c s="47" r="F11"/>
      <c s="48" r="G11"/>
      <c s="88" r="H11"/>
      <c s="61" r="I11"/>
      <c s="51" r="J11"/>
      <c s="62" r="K11"/>
    </row>
    <row customHeight="1" r="12" ht="27.0">
      <c s="55" r="A12"/>
      <c t="s" s="65" r="B12">
        <v>9</v>
      </c>
      <c s="15" r="C12"/>
      <c s="15" r="D12"/>
      <c s="15" r="E12"/>
      <c s="15" r="F12"/>
      <c s="63" r="G12"/>
      <c s="51" r="H12"/>
      <c s="51" r="I12"/>
      <c s="51" r="J12"/>
      <c s="62" r="K12"/>
    </row>
    <row customHeight="1" r="13" ht="4.5">
      <c s="46" r="A13"/>
      <c s="79" r="B13"/>
      <c s="23" r="C13"/>
      <c s="23" r="D13"/>
      <c s="43" r="E13"/>
      <c s="34" r="F13"/>
      <c s="36" r="G13"/>
      <c s="40" r="H13"/>
      <c s="67" r="I13"/>
      <c s="51" r="J13"/>
      <c s="62" r="K13"/>
    </row>
    <row customHeight="1" r="14" ht="26.25">
      <c s="46" r="A14"/>
      <c s="16" r="B14"/>
      <c s="5" r="C14"/>
      <c s="7" r="D14"/>
      <c t="s" s="4" r="E14">
        <v>10</v>
      </c>
      <c s="19" r="F14"/>
      <c t="s" s="19" r="G14">
        <v>11</v>
      </c>
      <c t="s" s="64" r="H14">
        <v>12</v>
      </c>
      <c s="89" r="I14"/>
      <c s="62" r="K14"/>
    </row>
    <row customHeight="1" r="15" ht="26.25">
      <c s="46" r="A15"/>
      <c s="50" r="B15"/>
      <c s="93" r="C15"/>
      <c t="s" s="96" r="D15">
        <v>13</v>
      </c>
      <c s="24" r="E15">
        <f>((((F7-12)*2)*F8)*F9)*F10</f>
        <v>8064000</v>
      </c>
      <c t="s" s="99" r="F15">
        <v>14</v>
      </c>
      <c s="91" r="G15">
        <f>((((F7-12)*2)*F8)*365)*F10</f>
        <v>16352000</v>
      </c>
      <c s="18" r="H15">
        <f>((F7-12)*2)*F9</f>
        <v>5760</v>
      </c>
      <c s="89" r="I15"/>
      <c s="62" r="K15"/>
    </row>
    <row customHeight="1" r="16" ht="26.25">
      <c s="46" r="A16"/>
      <c s="50" r="B16"/>
      <c s="93" r="C16"/>
      <c s="96" r="D16"/>
      <c s="24" r="E16">
        <f>E15*3.87</f>
        <v>31207680</v>
      </c>
      <c t="s" s="99" r="F16">
        <v>15</v>
      </c>
      <c s="72" r="G16">
        <f>G15*3.87</f>
        <v>63282240</v>
      </c>
      <c s="85" r="H16">
        <f>H15*3.87</f>
        <v>22291.2</v>
      </c>
      <c s="89" r="I16"/>
      <c s="62" r="K16"/>
    </row>
    <row customHeight="1" r="17" ht="26.25">
      <c s="46" r="A17"/>
      <c s="50" r="B17"/>
      <c s="93" r="C17"/>
      <c t="s" s="96" r="D17">
        <v>16</v>
      </c>
      <c s="24" r="E17">
        <f>E15/4</f>
        <v>2016000</v>
      </c>
      <c t="s" s="99" r="F17">
        <v>17</v>
      </c>
      <c s="91" r="G17">
        <f>G15/4</f>
        <v>4088000</v>
      </c>
      <c s="84" r="H17">
        <f>H15/4</f>
        <v>1440</v>
      </c>
      <c s="89" r="I17"/>
      <c s="62" r="K17"/>
    </row>
    <row customHeight="1" r="18" ht="26.25">
      <c s="46" r="A18"/>
      <c s="50" r="B18"/>
      <c s="14" r="C18"/>
      <c s="87" r="D18"/>
      <c s="24" r="E18">
        <f>E17/48</f>
        <v>42000</v>
      </c>
      <c t="s" s="99" r="F18">
        <v>18</v>
      </c>
      <c s="91" r="G18">
        <f>G17/48</f>
        <v>85166.6666666667</v>
      </c>
      <c s="84" r="H18">
        <f>H17/48</f>
        <v>30</v>
      </c>
      <c s="89" r="I18"/>
      <c s="62" r="K18"/>
    </row>
    <row customHeight="1" r="19" ht="26.25">
      <c s="46" r="A19"/>
      <c s="50" r="B19"/>
      <c s="14" r="C19"/>
      <c s="2" r="D19"/>
      <c s="24" r="E19">
        <f>(E15/453.4)/5</f>
        <v>3557.12395235995</v>
      </c>
      <c t="s" s="99" r="F19">
        <v>19</v>
      </c>
      <c s="91" r="G19">
        <f>(G15/453.4)/5</f>
        <v>7213.05690339656</v>
      </c>
      <c s="70" r="H19">
        <f>(H15/453.4)/5</f>
        <v>2.54080282311425</v>
      </c>
      <c s="89" r="I19"/>
      <c s="62" r="K19"/>
    </row>
    <row customHeight="1" r="20" ht="26.25">
      <c s="46" r="A20"/>
      <c s="50" r="B20"/>
      <c s="14" r="C20"/>
      <c s="2" r="D20"/>
      <c s="24" r="E20">
        <f>E18/16</f>
        <v>2625</v>
      </c>
      <c t="s" s="99" r="F20">
        <v>20</v>
      </c>
      <c s="91" r="G20">
        <f>G17/768</f>
        <v>5322.91666666667</v>
      </c>
      <c s="70" r="H20">
        <f>H18/16</f>
        <v>1.875</v>
      </c>
      <c s="89" r="I20"/>
      <c s="62" r="K20"/>
    </row>
    <row customHeight="1" r="21" ht="26.25">
      <c s="46" r="A21"/>
      <c s="50" r="B21"/>
      <c s="14" r="C21"/>
      <c s="2" r="D21"/>
      <c s="24" r="E21">
        <f>E20/60</f>
        <v>43.75</v>
      </c>
      <c t="s" s="99" r="F21">
        <v>21</v>
      </c>
      <c s="91" r="G21">
        <f>G20/60</f>
        <v>88.7152777777778</v>
      </c>
      <c s="10" r="H21"/>
      <c s="89" r="I21"/>
      <c s="62" r="K21"/>
    </row>
    <row customHeight="1" r="22" ht="21.75">
      <c s="46" r="A22"/>
      <c s="94" r="B22"/>
      <c s="67" r="C22"/>
      <c s="32" r="D22"/>
      <c s="71" r="E22"/>
      <c s="29" r="F22"/>
      <c s="71" r="G22"/>
      <c s="54" r="H22"/>
      <c s="12" r="I22"/>
      <c s="62" r="K22"/>
    </row>
    <row customHeight="1" r="23" ht="30.0">
      <c s="46" r="A23"/>
      <c t="s" s="15" r="B23">
        <v>22</v>
      </c>
      <c s="60" r="C23"/>
      <c s="60" r="D23"/>
      <c s="60" r="E23"/>
      <c s="27" r="F23"/>
      <c s="26" r="G23"/>
      <c s="51" r="I23"/>
      <c s="51" r="J23"/>
      <c s="62" r="K23"/>
    </row>
    <row r="24">
      <c s="46" r="A24"/>
      <c s="83" r="C24"/>
      <c t="s" s="95" r="D24">
        <v>23</v>
      </c>
      <c t="s" s="95" r="E24">
        <v>24</v>
      </c>
      <c s="49" r="G24"/>
      <c s="51" r="H24"/>
      <c s="62" r="K24"/>
    </row>
    <row r="25">
      <c s="46" r="A25"/>
      <c s="83" r="C25"/>
      <c t="s" s="95" r="D25">
        <v>25</v>
      </c>
      <c t="s" s="95" r="E25">
        <v>26</v>
      </c>
      <c s="56" r="G25"/>
      <c s="62" r="K25"/>
    </row>
    <row r="26">
      <c s="46" r="A26"/>
      <c s="83" r="C26"/>
      <c t="s" s="95" r="D26">
        <v>27</v>
      </c>
      <c t="s" s="95" r="E26">
        <v>28</v>
      </c>
      <c s="56" r="G26"/>
      <c s="62" r="K26"/>
    </row>
    <row r="27">
      <c s="46" r="A27"/>
      <c s="83" r="C27"/>
      <c t="s" s="95" r="D27">
        <v>29</v>
      </c>
      <c t="s" s="95" r="E27">
        <v>30</v>
      </c>
      <c s="56" r="G27"/>
      <c s="62" r="K27"/>
    </row>
    <row r="28">
      <c s="46" r="A28"/>
      <c s="83" r="C28"/>
      <c t="s" s="95" r="D28">
        <v>31</v>
      </c>
      <c t="s" s="95" r="E28">
        <v>32</v>
      </c>
      <c s="56" r="G28"/>
      <c s="62" r="K28"/>
    </row>
    <row r="29">
      <c s="46" r="A29"/>
      <c s="83" r="C29"/>
      <c t="s" s="95" r="D29">
        <v>33</v>
      </c>
      <c t="s" s="95" r="E29">
        <v>34</v>
      </c>
      <c s="56" r="G29"/>
      <c s="62" r="K29"/>
    </row>
    <row r="30">
      <c s="46" r="A30"/>
      <c s="83" r="C30"/>
      <c t="s" s="95" r="D30">
        <v>35</v>
      </c>
      <c t="s" s="95" r="E30">
        <v>36</v>
      </c>
      <c s="56" r="G30"/>
      <c s="62" r="K30"/>
    </row>
    <row r="31">
      <c s="46" r="A31"/>
      <c s="83" r="C31"/>
      <c t="s" s="95" r="D31">
        <v>37</v>
      </c>
      <c t="s" s="95" r="E31">
        <v>38</v>
      </c>
      <c s="56" r="G31"/>
      <c s="62" r="K31"/>
    </row>
    <row r="32">
      <c s="46" r="A32"/>
      <c s="83" r="C32"/>
      <c t="s" s="95" r="D32">
        <v>39</v>
      </c>
      <c t="s" s="95" r="E32">
        <v>40</v>
      </c>
      <c s="56" r="G32"/>
      <c s="62" r="K32"/>
    </row>
    <row r="33">
      <c s="46" r="A33"/>
      <c s="83" r="C33"/>
      <c t="s" s="95" r="D33">
        <v>41</v>
      </c>
      <c t="s" s="95" r="E33">
        <v>42</v>
      </c>
      <c s="56" r="G33"/>
      <c s="62" r="K33"/>
    </row>
    <row r="34">
      <c s="46" r="A34"/>
      <c s="83" r="C34"/>
      <c s="95" r="D34"/>
      <c s="95" r="E34"/>
      <c s="56" r="G34"/>
      <c s="62" r="K34"/>
    </row>
    <row r="35">
      <c s="46" r="A35"/>
      <c s="39" r="B35"/>
      <c s="81" r="C35"/>
      <c s="81" r="D35"/>
      <c s="81" r="E35"/>
      <c s="81" r="F35"/>
      <c s="39" r="G35"/>
      <c s="81" r="H35"/>
      <c s="81" r="I35"/>
      <c s="81" r="J35"/>
      <c s="81" r="K35"/>
    </row>
  </sheetData>
  <mergeCells count="15">
    <mergeCell ref="B2:J2"/>
    <mergeCell ref="B3:J3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B12:G12"/>
    <mergeCell ref="B23:F23"/>
    <mergeCell ref="B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