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45" yWindow="0" windowWidth="15480" windowHeight="11280" firstSheet="1" activeTab="3"/>
  </bookViews>
  <sheets>
    <sheet name="Fish Example" sheetId="4" r:id="rId1"/>
    <sheet name="Figures 1 and 2" sheetId="5" r:id="rId2"/>
    <sheet name="Logistic Growth Model Figure 3" sheetId="2" r:id="rId3"/>
    <sheet name="Forcing Model Figure 4" sheetId="3" r:id="rId4"/>
  </sheets>
  <definedNames>
    <definedName name="_xlnm.Print_Area" localSheetId="3">'Forcing Model Figure 4'!$B$2:$P$52</definedName>
  </definedNames>
  <calcPr calcId="125725"/>
</workbook>
</file>

<file path=xl/calcChain.xml><?xml version="1.0" encoding="utf-8"?>
<calcChain xmlns="http://schemas.openxmlformats.org/spreadsheetml/2006/main">
  <c r="D13" i="5"/>
  <c r="D18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D35" s="1"/>
  <c r="D36" s="1"/>
  <c r="D37" s="1"/>
  <c r="D38" s="1"/>
  <c r="D39" s="1"/>
  <c r="D40" s="1"/>
  <c r="D41" s="1"/>
  <c r="D42" s="1"/>
  <c r="D43" s="1"/>
  <c r="D44" s="1"/>
  <c r="D45" s="1"/>
  <c r="D46" s="1"/>
  <c r="D47" s="1"/>
  <c r="D48" s="1"/>
  <c r="D49" s="1"/>
  <c r="D50" s="1"/>
  <c r="D51" s="1"/>
  <c r="D52" s="1"/>
  <c r="D53" s="1"/>
  <c r="D54" s="1"/>
  <c r="D55" s="1"/>
  <c r="D56" s="1"/>
  <c r="D57" s="1"/>
  <c r="D58" s="1"/>
  <c r="D59" s="1"/>
  <c r="D60" s="1"/>
  <c r="D61" s="1"/>
  <c r="D62" s="1"/>
  <c r="D63" s="1"/>
  <c r="D64" s="1"/>
  <c r="D65" s="1"/>
  <c r="D66" s="1"/>
  <c r="D67" s="1"/>
  <c r="E11" i="4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E36" s="1"/>
  <c r="E37" s="1"/>
  <c r="E38" s="1"/>
  <c r="E39" s="1"/>
  <c r="E40" s="1"/>
  <c r="E41" s="1"/>
  <c r="E42" s="1"/>
  <c r="E43" s="1"/>
  <c r="E44" s="1"/>
  <c r="E45" s="1"/>
  <c r="E46" s="1"/>
  <c r="E47" s="1"/>
  <c r="E48" s="1"/>
  <c r="E49" s="1"/>
  <c r="E50" s="1"/>
  <c r="E51" s="1"/>
  <c r="E52" s="1"/>
  <c r="E53" s="1"/>
  <c r="E54" s="1"/>
  <c r="E55" s="1"/>
  <c r="E56" s="1"/>
  <c r="E57" s="1"/>
  <c r="E58" s="1"/>
  <c r="E59" s="1"/>
  <c r="C5" i="3"/>
  <c r="C6"/>
  <c r="C7"/>
  <c r="C8"/>
  <c r="C9"/>
  <c r="C15"/>
  <c r="D15"/>
  <c r="E15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E36" s="1"/>
  <c r="E37" s="1"/>
  <c r="E38" s="1"/>
  <c r="E39" s="1"/>
  <c r="E40" s="1"/>
  <c r="E41" s="1"/>
  <c r="E42" s="1"/>
  <c r="E43" s="1"/>
  <c r="E44" s="1"/>
  <c r="E45" s="1"/>
  <c r="E46" s="1"/>
  <c r="E47" s="1"/>
  <c r="E48" s="1"/>
  <c r="E49" s="1"/>
  <c r="E50" s="1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E67" s="1"/>
  <c r="E68" s="1"/>
  <c r="E69" s="1"/>
  <c r="E70" s="1"/>
  <c r="E71" s="1"/>
  <c r="E72" s="1"/>
  <c r="E73" s="1"/>
  <c r="E74" s="1"/>
  <c r="E75" s="1"/>
  <c r="E76" s="1"/>
  <c r="E77" s="1"/>
  <c r="E78" s="1"/>
  <c r="E79" s="1"/>
  <c r="E80" s="1"/>
  <c r="E81" s="1"/>
  <c r="E82" s="1"/>
  <c r="E83" s="1"/>
  <c r="E84" s="1"/>
  <c r="E85" s="1"/>
  <c r="E86" s="1"/>
  <c r="E87" s="1"/>
  <c r="E88" s="1"/>
  <c r="E89" s="1"/>
  <c r="E90" s="1"/>
  <c r="E91" s="1"/>
  <c r="E92" s="1"/>
  <c r="E93" s="1"/>
  <c r="E94" s="1"/>
  <c r="E95" s="1"/>
  <c r="E96" s="1"/>
  <c r="E97" s="1"/>
  <c r="E98" s="1"/>
  <c r="E99" s="1"/>
  <c r="E100" s="1"/>
  <c r="E101" s="1"/>
  <c r="E102" s="1"/>
  <c r="E103" s="1"/>
  <c r="E104" s="1"/>
  <c r="E105" s="1"/>
  <c r="E106" s="1"/>
  <c r="E107" s="1"/>
  <c r="E108" s="1"/>
  <c r="E109" s="1"/>
  <c r="E110" s="1"/>
  <c r="E111" s="1"/>
  <c r="E112" s="1"/>
  <c r="E113" s="1"/>
  <c r="E114" s="1"/>
  <c r="E115" s="1"/>
  <c r="E116" s="1"/>
  <c r="E117" s="1"/>
  <c r="E118" s="1"/>
  <c r="E119" s="1"/>
  <c r="E120" s="1"/>
  <c r="E121" s="1"/>
  <c r="E122" s="1"/>
  <c r="E123" s="1"/>
  <c r="E124" s="1"/>
  <c r="E125" s="1"/>
  <c r="E126" s="1"/>
  <c r="E127" s="1"/>
  <c r="E128" s="1"/>
  <c r="E129" s="1"/>
  <c r="E130" s="1"/>
  <c r="E131" s="1"/>
  <c r="E132" s="1"/>
  <c r="E133" s="1"/>
  <c r="E134" s="1"/>
  <c r="E135" s="1"/>
  <c r="E136" s="1"/>
  <c r="E137" s="1"/>
  <c r="E138" s="1"/>
  <c r="E139" s="1"/>
  <c r="E140" s="1"/>
  <c r="E141" s="1"/>
  <c r="E142" s="1"/>
  <c r="E143" s="1"/>
  <c r="E144" s="1"/>
  <c r="E145" s="1"/>
  <c r="E146" s="1"/>
  <c r="E147" s="1"/>
  <c r="E148" s="1"/>
  <c r="E149" s="1"/>
  <c r="E150" s="1"/>
  <c r="E151" s="1"/>
  <c r="E152" s="1"/>
  <c r="E153" s="1"/>
  <c r="E154" s="1"/>
  <c r="E155" s="1"/>
  <c r="E156" s="1"/>
  <c r="E157" s="1"/>
  <c r="E158" s="1"/>
  <c r="E159" s="1"/>
  <c r="E160" s="1"/>
  <c r="E161" s="1"/>
  <c r="E162" s="1"/>
  <c r="E163" s="1"/>
  <c r="E164" s="1"/>
  <c r="E165" s="1"/>
  <c r="E166" s="1"/>
  <c r="E167" s="1"/>
  <c r="E168" s="1"/>
  <c r="E169" s="1"/>
  <c r="E170" s="1"/>
  <c r="E171" s="1"/>
  <c r="E172" s="1"/>
  <c r="E173" s="1"/>
  <c r="E174" s="1"/>
  <c r="E175" s="1"/>
  <c r="E176" s="1"/>
  <c r="E177" s="1"/>
  <c r="E178" s="1"/>
  <c r="E179" s="1"/>
  <c r="E180" s="1"/>
  <c r="E181" s="1"/>
  <c r="E182" s="1"/>
  <c r="E183" s="1"/>
  <c r="E184" s="1"/>
  <c r="E185" s="1"/>
  <c r="E186" s="1"/>
  <c r="E187" s="1"/>
  <c r="E188" s="1"/>
  <c r="E189" s="1"/>
  <c r="E190" s="1"/>
  <c r="E191" s="1"/>
  <c r="E192" s="1"/>
  <c r="E193" s="1"/>
  <c r="E194" s="1"/>
  <c r="E195" s="1"/>
  <c r="E196" s="1"/>
  <c r="E197" s="1"/>
  <c r="E198" s="1"/>
  <c r="E199" s="1"/>
  <c r="E200" s="1"/>
  <c r="E201" s="1"/>
  <c r="E202" s="1"/>
  <c r="E203" s="1"/>
  <c r="E204" s="1"/>
  <c r="E205" s="1"/>
  <c r="E206" s="1"/>
  <c r="E207" s="1"/>
  <c r="E208" s="1"/>
  <c r="E209" s="1"/>
  <c r="E210" s="1"/>
  <c r="E211" s="1"/>
  <c r="E212" s="1"/>
  <c r="E213" s="1"/>
  <c r="E214" s="1"/>
  <c r="E215" s="1"/>
  <c r="E216" s="1"/>
  <c r="E217" s="1"/>
  <c r="E218" s="1"/>
  <c r="E219" s="1"/>
  <c r="E220" s="1"/>
  <c r="E221" s="1"/>
  <c r="E222" s="1"/>
  <c r="E223" s="1"/>
  <c r="E224" s="1"/>
  <c r="E225" s="1"/>
  <c r="E226" s="1"/>
  <c r="E227" s="1"/>
  <c r="E228" s="1"/>
  <c r="E229" s="1"/>
  <c r="E230" s="1"/>
  <c r="E231" s="1"/>
  <c r="E232" s="1"/>
  <c r="E233" s="1"/>
  <c r="E234" s="1"/>
  <c r="E235" s="1"/>
  <c r="E236" s="1"/>
  <c r="E237" s="1"/>
  <c r="E238" s="1"/>
  <c r="E239" s="1"/>
  <c r="E240" s="1"/>
  <c r="E241" s="1"/>
  <c r="E242" s="1"/>
  <c r="E243" s="1"/>
  <c r="E244" s="1"/>
  <c r="E245" s="1"/>
  <c r="E246" s="1"/>
  <c r="E247" s="1"/>
  <c r="E248" s="1"/>
  <c r="E249" s="1"/>
  <c r="E250" s="1"/>
  <c r="E251" s="1"/>
  <c r="E252" s="1"/>
  <c r="E253" s="1"/>
  <c r="E254" s="1"/>
  <c r="E255" s="1"/>
  <c r="E256" s="1"/>
  <c r="E257" s="1"/>
  <c r="E258" s="1"/>
  <c r="E259" s="1"/>
  <c r="E260" s="1"/>
  <c r="E261" s="1"/>
  <c r="E262" s="1"/>
  <c r="E263" s="1"/>
  <c r="E264" s="1"/>
  <c r="E265" s="1"/>
  <c r="E266" s="1"/>
  <c r="E267" s="1"/>
  <c r="E268" s="1"/>
  <c r="E269" s="1"/>
  <c r="E270" s="1"/>
  <c r="E271" s="1"/>
  <c r="E272" s="1"/>
  <c r="E273" s="1"/>
  <c r="E274" s="1"/>
  <c r="E275" s="1"/>
  <c r="E276" s="1"/>
  <c r="E277" s="1"/>
  <c r="E278" s="1"/>
  <c r="E279" s="1"/>
  <c r="E280" s="1"/>
  <c r="E281" s="1"/>
  <c r="E282" s="1"/>
  <c r="E283" s="1"/>
  <c r="E284" s="1"/>
  <c r="E285" s="1"/>
  <c r="E286" s="1"/>
  <c r="E287" s="1"/>
  <c r="E288" s="1"/>
  <c r="E289" s="1"/>
  <c r="E290" s="1"/>
  <c r="E291" s="1"/>
  <c r="E292" s="1"/>
  <c r="E293" s="1"/>
  <c r="E294" s="1"/>
  <c r="E295" s="1"/>
  <c r="E296" s="1"/>
  <c r="E297" s="1"/>
  <c r="E298" s="1"/>
  <c r="E299" s="1"/>
  <c r="E300" s="1"/>
  <c r="E301" s="1"/>
  <c r="E302" s="1"/>
  <c r="E303" s="1"/>
  <c r="E304" s="1"/>
  <c r="E305" s="1"/>
  <c r="E306" s="1"/>
  <c r="E307" s="1"/>
  <c r="E308" s="1"/>
  <c r="E309" s="1"/>
  <c r="E310" s="1"/>
  <c r="E311" s="1"/>
  <c r="E312" s="1"/>
  <c r="E313" s="1"/>
  <c r="E314" s="1"/>
  <c r="E315" s="1"/>
  <c r="E316" s="1"/>
  <c r="E317" s="1"/>
  <c r="E318" s="1"/>
  <c r="E319" s="1"/>
  <c r="E320" s="1"/>
  <c r="E321" s="1"/>
  <c r="E322" s="1"/>
  <c r="E323" s="1"/>
  <c r="E324" s="1"/>
  <c r="E325" s="1"/>
  <c r="E326" s="1"/>
  <c r="E327" s="1"/>
  <c r="E328" s="1"/>
  <c r="E329" s="1"/>
  <c r="E330" s="1"/>
  <c r="E331" s="1"/>
  <c r="E332" s="1"/>
  <c r="E333" s="1"/>
  <c r="E334" s="1"/>
  <c r="E335" s="1"/>
  <c r="E336" s="1"/>
  <c r="E337" s="1"/>
  <c r="E338" s="1"/>
  <c r="E339" s="1"/>
  <c r="E340" s="1"/>
  <c r="E341" s="1"/>
  <c r="E342" s="1"/>
  <c r="E343" s="1"/>
  <c r="E344" s="1"/>
  <c r="E345" s="1"/>
  <c r="E346" s="1"/>
  <c r="E347" s="1"/>
  <c r="E348" s="1"/>
  <c r="E349" s="1"/>
  <c r="E350" s="1"/>
  <c r="E351" s="1"/>
  <c r="E352" s="1"/>
  <c r="E353" s="1"/>
  <c r="E354" s="1"/>
  <c r="E355" s="1"/>
  <c r="E356" s="1"/>
  <c r="E357" s="1"/>
  <c r="E358" s="1"/>
  <c r="E359" s="1"/>
  <c r="E360" s="1"/>
  <c r="E361" s="1"/>
  <c r="E362" s="1"/>
  <c r="E363" s="1"/>
  <c r="E364" s="1"/>
  <c r="E365" s="1"/>
  <c r="E366" s="1"/>
  <c r="E367" s="1"/>
  <c r="E368" s="1"/>
  <c r="E369" s="1"/>
  <c r="E370" s="1"/>
  <c r="E371" s="1"/>
  <c r="E372" s="1"/>
  <c r="E373" s="1"/>
  <c r="E374" s="1"/>
  <c r="E375" s="1"/>
  <c r="E376" s="1"/>
  <c r="E377" s="1"/>
  <c r="E378" s="1"/>
  <c r="E379" s="1"/>
  <c r="E380" s="1"/>
  <c r="E381" s="1"/>
  <c r="E382" s="1"/>
  <c r="E383" s="1"/>
  <c r="E384" s="1"/>
  <c r="E385" s="1"/>
  <c r="E386" s="1"/>
  <c r="E387" s="1"/>
  <c r="E388" s="1"/>
  <c r="E389" s="1"/>
  <c r="E390" s="1"/>
  <c r="E391" s="1"/>
  <c r="E392" s="1"/>
  <c r="E393" s="1"/>
  <c r="E394" s="1"/>
  <c r="E395" s="1"/>
  <c r="E396" s="1"/>
  <c r="E397" s="1"/>
  <c r="E398" s="1"/>
  <c r="E399" s="1"/>
  <c r="E400" s="1"/>
  <c r="E401" s="1"/>
  <c r="E402" s="1"/>
  <c r="E403" s="1"/>
  <c r="E404" s="1"/>
  <c r="E405" s="1"/>
  <c r="E406" s="1"/>
  <c r="E407" s="1"/>
  <c r="E408" s="1"/>
  <c r="E409" s="1"/>
  <c r="E410" s="1"/>
  <c r="E411" s="1"/>
  <c r="E412" s="1"/>
  <c r="E413" s="1"/>
  <c r="E414" s="1"/>
  <c r="E415" s="1"/>
  <c r="E416" s="1"/>
  <c r="E417" s="1"/>
  <c r="E418" s="1"/>
  <c r="E419" s="1"/>
  <c r="E420" s="1"/>
  <c r="E421" s="1"/>
  <c r="E422" s="1"/>
  <c r="E423" s="1"/>
  <c r="E424" s="1"/>
  <c r="E425" s="1"/>
  <c r="E426" s="1"/>
  <c r="E427" s="1"/>
  <c r="E428" s="1"/>
  <c r="E429" s="1"/>
  <c r="E430" s="1"/>
  <c r="E431" s="1"/>
  <c r="E432" s="1"/>
  <c r="E433" s="1"/>
  <c r="E434" s="1"/>
  <c r="E435" s="1"/>
  <c r="E436" s="1"/>
  <c r="E437" s="1"/>
  <c r="E438" s="1"/>
  <c r="E439" s="1"/>
  <c r="E440" s="1"/>
  <c r="E441" s="1"/>
  <c r="E442" s="1"/>
  <c r="E443" s="1"/>
  <c r="E444" s="1"/>
  <c r="E445" s="1"/>
  <c r="E446" s="1"/>
  <c r="E447" s="1"/>
  <c r="E448" s="1"/>
  <c r="E449" s="1"/>
  <c r="E450" s="1"/>
  <c r="E451" s="1"/>
  <c r="E452" s="1"/>
  <c r="E453" s="1"/>
  <c r="E454" s="1"/>
  <c r="E455" s="1"/>
  <c r="E456" s="1"/>
  <c r="E457" s="1"/>
  <c r="E458" s="1"/>
  <c r="E459" s="1"/>
  <c r="E460" s="1"/>
  <c r="E461" s="1"/>
  <c r="E462" s="1"/>
  <c r="E463" s="1"/>
  <c r="E464" s="1"/>
  <c r="E465" s="1"/>
  <c r="E466" s="1"/>
  <c r="E467" s="1"/>
  <c r="E468" s="1"/>
  <c r="E469" s="1"/>
  <c r="E470" s="1"/>
  <c r="E471" s="1"/>
  <c r="E472" s="1"/>
  <c r="E473" s="1"/>
  <c r="E474" s="1"/>
  <c r="E475" s="1"/>
  <c r="E476" s="1"/>
  <c r="E477" s="1"/>
  <c r="E478" s="1"/>
  <c r="E479" s="1"/>
  <c r="E480" s="1"/>
  <c r="E481" s="1"/>
  <c r="E482" s="1"/>
  <c r="E483" s="1"/>
  <c r="E484" s="1"/>
  <c r="E485" s="1"/>
  <c r="E486" s="1"/>
  <c r="E487" s="1"/>
  <c r="E488" s="1"/>
  <c r="E489" s="1"/>
  <c r="E490" s="1"/>
  <c r="E491" s="1"/>
  <c r="E492" s="1"/>
  <c r="E493" s="1"/>
  <c r="E494" s="1"/>
  <c r="E495" s="1"/>
  <c r="E496" s="1"/>
  <c r="E497" s="1"/>
  <c r="E498" s="1"/>
  <c r="E499" s="1"/>
  <c r="E500" s="1"/>
  <c r="E501" s="1"/>
  <c r="E502" s="1"/>
  <c r="E503" s="1"/>
  <c r="E504" s="1"/>
  <c r="E505" s="1"/>
  <c r="E506" s="1"/>
  <c r="E507" s="1"/>
  <c r="E508" s="1"/>
  <c r="E509" s="1"/>
  <c r="E510" s="1"/>
  <c r="E511" s="1"/>
  <c r="E512" s="1"/>
  <c r="E513" s="1"/>
  <c r="E514" s="1"/>
  <c r="E515" s="1"/>
  <c r="D16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D35" s="1"/>
  <c r="D36" s="1"/>
  <c r="D37" s="1"/>
  <c r="D38" s="1"/>
  <c r="D39" s="1"/>
  <c r="D40" s="1"/>
  <c r="D41" s="1"/>
  <c r="D42" s="1"/>
  <c r="D43" s="1"/>
  <c r="D44" s="1"/>
  <c r="D45" s="1"/>
  <c r="D46" s="1"/>
  <c r="D47" s="1"/>
  <c r="D48" s="1"/>
  <c r="D49" s="1"/>
  <c r="D50" s="1"/>
  <c r="D51" s="1"/>
  <c r="D52" s="1"/>
  <c r="D53" s="1"/>
  <c r="D54" s="1"/>
  <c r="D55" s="1"/>
  <c r="D56" s="1"/>
  <c r="D57" s="1"/>
  <c r="D58" s="1"/>
  <c r="D59" s="1"/>
  <c r="D60" s="1"/>
  <c r="D61" s="1"/>
  <c r="D62" s="1"/>
  <c r="D63" s="1"/>
  <c r="D64" s="1"/>
  <c r="D65" s="1"/>
  <c r="D66" s="1"/>
  <c r="D67" s="1"/>
  <c r="D68" s="1"/>
  <c r="D69" s="1"/>
  <c r="D70" s="1"/>
  <c r="D71" s="1"/>
  <c r="D72" s="1"/>
  <c r="D73" s="1"/>
  <c r="D74" s="1"/>
  <c r="D75" s="1"/>
  <c r="D76" s="1"/>
  <c r="D77" s="1"/>
  <c r="D78" s="1"/>
  <c r="D79" s="1"/>
  <c r="D80" s="1"/>
  <c r="D81" s="1"/>
  <c r="D82" s="1"/>
  <c r="D83" s="1"/>
  <c r="D84" s="1"/>
  <c r="D85" s="1"/>
  <c r="D86" s="1"/>
  <c r="D87" s="1"/>
  <c r="D88" s="1"/>
  <c r="D89" s="1"/>
  <c r="D90" s="1"/>
  <c r="D91" s="1"/>
  <c r="D92" s="1"/>
  <c r="D93" s="1"/>
  <c r="D94" s="1"/>
  <c r="D95" s="1"/>
  <c r="D96" s="1"/>
  <c r="D97" s="1"/>
  <c r="D98" s="1"/>
  <c r="D99" s="1"/>
  <c r="D100" s="1"/>
  <c r="D101" s="1"/>
  <c r="D102" s="1"/>
  <c r="D103" s="1"/>
  <c r="D104" s="1"/>
  <c r="D105" s="1"/>
  <c r="D106" s="1"/>
  <c r="D107" s="1"/>
  <c r="D108" s="1"/>
  <c r="D109" s="1"/>
  <c r="D110" s="1"/>
  <c r="D111" s="1"/>
  <c r="D112" s="1"/>
  <c r="D113" s="1"/>
  <c r="D114" s="1"/>
  <c r="D115" s="1"/>
  <c r="D116" s="1"/>
  <c r="D117" s="1"/>
  <c r="D118" s="1"/>
  <c r="D119" s="1"/>
  <c r="D120" s="1"/>
  <c r="D121" s="1"/>
  <c r="D122" s="1"/>
  <c r="D123" s="1"/>
  <c r="D124" s="1"/>
  <c r="D125" s="1"/>
  <c r="D126" s="1"/>
  <c r="D127" s="1"/>
  <c r="D128" s="1"/>
  <c r="D129" s="1"/>
  <c r="D130" s="1"/>
  <c r="D131" s="1"/>
  <c r="D132" s="1"/>
  <c r="D133" s="1"/>
  <c r="D134" s="1"/>
  <c r="D135" s="1"/>
  <c r="D136"/>
  <c r="D137" s="1"/>
  <c r="D138" s="1"/>
  <c r="D139" s="1"/>
  <c r="D140" s="1"/>
  <c r="D141" s="1"/>
  <c r="D142" s="1"/>
  <c r="D143" s="1"/>
  <c r="D144" s="1"/>
  <c r="D145" s="1"/>
  <c r="D146" s="1"/>
  <c r="D147" s="1"/>
  <c r="D148" s="1"/>
  <c r="D149" s="1"/>
  <c r="D150" s="1"/>
  <c r="D151" s="1"/>
  <c r="D152" s="1"/>
  <c r="D153" s="1"/>
  <c r="D154" s="1"/>
  <c r="D155" s="1"/>
  <c r="D156" s="1"/>
  <c r="D157" s="1"/>
  <c r="D158" s="1"/>
  <c r="D159" s="1"/>
  <c r="D160" s="1"/>
  <c r="D161" s="1"/>
  <c r="D162" s="1"/>
  <c r="D163" s="1"/>
  <c r="D164" s="1"/>
  <c r="D165" s="1"/>
  <c r="D166" s="1"/>
  <c r="D167" s="1"/>
  <c r="D168" s="1"/>
  <c r="D169" s="1"/>
  <c r="D170" s="1"/>
  <c r="D171" s="1"/>
  <c r="D172" s="1"/>
  <c r="D173" s="1"/>
  <c r="D174" s="1"/>
  <c r="D175" s="1"/>
  <c r="D176" s="1"/>
  <c r="D177" s="1"/>
  <c r="D178" s="1"/>
  <c r="D179" s="1"/>
  <c r="D180" s="1"/>
  <c r="D181" s="1"/>
  <c r="D182" s="1"/>
  <c r="D183" s="1"/>
  <c r="D184" s="1"/>
  <c r="D185" s="1"/>
  <c r="D186" s="1"/>
  <c r="D187" s="1"/>
  <c r="D188" s="1"/>
  <c r="D189" s="1"/>
  <c r="D190" s="1"/>
  <c r="D191" s="1"/>
  <c r="D192" s="1"/>
  <c r="D193" s="1"/>
  <c r="D194" s="1"/>
  <c r="D195" s="1"/>
  <c r="D196" s="1"/>
  <c r="D197" s="1"/>
  <c r="D198" s="1"/>
  <c r="D199" s="1"/>
  <c r="D200" s="1"/>
  <c r="D201" s="1"/>
  <c r="D202" s="1"/>
  <c r="D203" s="1"/>
  <c r="D204" s="1"/>
  <c r="D205" s="1"/>
  <c r="D206" s="1"/>
  <c r="D207" s="1"/>
  <c r="D208" s="1"/>
  <c r="D209" s="1"/>
  <c r="D210" s="1"/>
  <c r="D211" s="1"/>
  <c r="D212" s="1"/>
  <c r="D213" s="1"/>
  <c r="D214" s="1"/>
  <c r="D215" s="1"/>
  <c r="D216" s="1"/>
  <c r="D217" s="1"/>
  <c r="D218" s="1"/>
  <c r="D219" s="1"/>
  <c r="D220" s="1"/>
  <c r="D221" s="1"/>
  <c r="D222" s="1"/>
  <c r="D223" s="1"/>
  <c r="D224" s="1"/>
  <c r="D225" s="1"/>
  <c r="D226" s="1"/>
  <c r="D227" s="1"/>
  <c r="D228" s="1"/>
  <c r="D229" s="1"/>
  <c r="D230" s="1"/>
  <c r="D231" s="1"/>
  <c r="D232" s="1"/>
  <c r="D233" s="1"/>
  <c r="D234" s="1"/>
  <c r="D235" s="1"/>
  <c r="D236" s="1"/>
  <c r="D237" s="1"/>
  <c r="D238" s="1"/>
  <c r="D239" s="1"/>
  <c r="D240" s="1"/>
  <c r="D241" s="1"/>
  <c r="D242" s="1"/>
  <c r="D243" s="1"/>
  <c r="D244" s="1"/>
  <c r="D245" s="1"/>
  <c r="D246" s="1"/>
  <c r="D247" s="1"/>
  <c r="D248" s="1"/>
  <c r="D249" s="1"/>
  <c r="D250" s="1"/>
  <c r="D251" s="1"/>
  <c r="D252" s="1"/>
  <c r="D253" s="1"/>
  <c r="D254" s="1"/>
  <c r="D255" s="1"/>
  <c r="D256" s="1"/>
  <c r="D257" s="1"/>
  <c r="D258" s="1"/>
  <c r="D259" s="1"/>
  <c r="D260" s="1"/>
  <c r="D261" s="1"/>
  <c r="D262" s="1"/>
  <c r="D263" s="1"/>
  <c r="D264" s="1"/>
  <c r="D265" s="1"/>
  <c r="D266" s="1"/>
  <c r="D267" s="1"/>
  <c r="D268" s="1"/>
  <c r="D269" s="1"/>
  <c r="D270" s="1"/>
  <c r="D271" s="1"/>
  <c r="D272" s="1"/>
  <c r="D273" s="1"/>
  <c r="D274" s="1"/>
  <c r="D275" s="1"/>
  <c r="D276" s="1"/>
  <c r="D277" s="1"/>
  <c r="D278" s="1"/>
  <c r="D279" s="1"/>
  <c r="D280" s="1"/>
  <c r="D281" s="1"/>
  <c r="D282" s="1"/>
  <c r="D283" s="1"/>
  <c r="D284" s="1"/>
  <c r="D285" s="1"/>
  <c r="D286" s="1"/>
  <c r="D287" s="1"/>
  <c r="D288" s="1"/>
  <c r="D289" s="1"/>
  <c r="D290" s="1"/>
  <c r="D291" s="1"/>
  <c r="D292" s="1"/>
  <c r="D293" s="1"/>
  <c r="D294" s="1"/>
  <c r="D295" s="1"/>
  <c r="D296" s="1"/>
  <c r="D297" s="1"/>
  <c r="D298" s="1"/>
  <c r="D299" s="1"/>
  <c r="D300" s="1"/>
  <c r="D301" s="1"/>
  <c r="D302" s="1"/>
  <c r="D303" s="1"/>
  <c r="D304" s="1"/>
  <c r="D305" s="1"/>
  <c r="D306" s="1"/>
  <c r="D307" s="1"/>
  <c r="D308" s="1"/>
  <c r="D309" s="1"/>
  <c r="D310" s="1"/>
  <c r="D311" s="1"/>
  <c r="D312" s="1"/>
  <c r="D313" s="1"/>
  <c r="D314" s="1"/>
  <c r="D315" s="1"/>
  <c r="D316" s="1"/>
  <c r="D317" s="1"/>
  <c r="D318" s="1"/>
  <c r="D319" s="1"/>
  <c r="D320" s="1"/>
  <c r="D321" s="1"/>
  <c r="D322" s="1"/>
  <c r="D323" s="1"/>
  <c r="D324" s="1"/>
  <c r="D325" s="1"/>
  <c r="D326" s="1"/>
  <c r="D327" s="1"/>
  <c r="D328" s="1"/>
  <c r="D329" s="1"/>
  <c r="D330" s="1"/>
  <c r="D331" s="1"/>
  <c r="D332" s="1"/>
  <c r="D333" s="1"/>
  <c r="D334" s="1"/>
  <c r="D335" s="1"/>
  <c r="D336" s="1"/>
  <c r="D337" s="1"/>
  <c r="D338" s="1"/>
  <c r="D339" s="1"/>
  <c r="D340" s="1"/>
  <c r="D341" s="1"/>
  <c r="D342" s="1"/>
  <c r="D343" s="1"/>
  <c r="D344" s="1"/>
  <c r="D345" s="1"/>
  <c r="D346" s="1"/>
  <c r="D347" s="1"/>
  <c r="D348" s="1"/>
  <c r="D349" s="1"/>
  <c r="D350" s="1"/>
  <c r="D351" s="1"/>
  <c r="D352" s="1"/>
  <c r="D353" s="1"/>
  <c r="D354" s="1"/>
  <c r="D355" s="1"/>
  <c r="D356" s="1"/>
  <c r="D357" s="1"/>
  <c r="D358" s="1"/>
  <c r="D359" s="1"/>
  <c r="D360" s="1"/>
  <c r="D361" s="1"/>
  <c r="D362" s="1"/>
  <c r="D363" s="1"/>
  <c r="D364" s="1"/>
  <c r="D365" s="1"/>
  <c r="D366" s="1"/>
  <c r="D367" s="1"/>
  <c r="D368" s="1"/>
  <c r="D369" s="1"/>
  <c r="D370" s="1"/>
  <c r="D371" s="1"/>
  <c r="D372" s="1"/>
  <c r="D373" s="1"/>
  <c r="D374" s="1"/>
  <c r="D375" s="1"/>
  <c r="D376" s="1"/>
  <c r="D377" s="1"/>
  <c r="D378" s="1"/>
  <c r="D379" s="1"/>
  <c r="D380" s="1"/>
  <c r="D381" s="1"/>
  <c r="D382" s="1"/>
  <c r="D383" s="1"/>
  <c r="D384" s="1"/>
  <c r="D385" s="1"/>
  <c r="D386" s="1"/>
  <c r="D387" s="1"/>
  <c r="D388" s="1"/>
  <c r="D389" s="1"/>
  <c r="D390" s="1"/>
  <c r="D391" s="1"/>
  <c r="D392" s="1"/>
  <c r="D393" s="1"/>
  <c r="D394" s="1"/>
  <c r="D395" s="1"/>
  <c r="D396" s="1"/>
  <c r="D397" s="1"/>
  <c r="D398" s="1"/>
  <c r="D399" s="1"/>
  <c r="D400" s="1"/>
  <c r="D401" s="1"/>
  <c r="D402" s="1"/>
  <c r="D403" s="1"/>
  <c r="D404" s="1"/>
  <c r="D405" s="1"/>
  <c r="D406" s="1"/>
  <c r="D407" s="1"/>
  <c r="D408" s="1"/>
  <c r="D409" s="1"/>
  <c r="D410" s="1"/>
  <c r="D411" s="1"/>
  <c r="D412" s="1"/>
  <c r="D413" s="1"/>
  <c r="D414" s="1"/>
  <c r="D415" s="1"/>
  <c r="D416" s="1"/>
  <c r="D417" s="1"/>
  <c r="D418" s="1"/>
  <c r="D419" s="1"/>
  <c r="D420" s="1"/>
  <c r="D421" s="1"/>
  <c r="D422" s="1"/>
  <c r="D423" s="1"/>
  <c r="D424" s="1"/>
  <c r="D425" s="1"/>
  <c r="D426" s="1"/>
  <c r="D427" s="1"/>
  <c r="D428" s="1"/>
  <c r="D429" s="1"/>
  <c r="D430" s="1"/>
  <c r="D431" s="1"/>
  <c r="D432" s="1"/>
  <c r="D433" s="1"/>
  <c r="D434" s="1"/>
  <c r="D435" s="1"/>
  <c r="D436" s="1"/>
  <c r="D437" s="1"/>
  <c r="D438" s="1"/>
  <c r="D439" s="1"/>
  <c r="D440" s="1"/>
  <c r="D441" s="1"/>
  <c r="D442" s="1"/>
  <c r="D443" s="1"/>
  <c r="D444" s="1"/>
  <c r="D445" s="1"/>
  <c r="D446" s="1"/>
  <c r="D447" s="1"/>
  <c r="D448" s="1"/>
  <c r="D449" s="1"/>
  <c r="D450" s="1"/>
  <c r="D451" s="1"/>
  <c r="D452" s="1"/>
  <c r="D453" s="1"/>
  <c r="D454" s="1"/>
  <c r="D455" s="1"/>
  <c r="D456" s="1"/>
  <c r="D457" s="1"/>
  <c r="D458" s="1"/>
  <c r="D459" s="1"/>
  <c r="D460" s="1"/>
  <c r="D461" s="1"/>
  <c r="D462" s="1"/>
  <c r="D463" s="1"/>
  <c r="D464" s="1"/>
  <c r="D465" s="1"/>
  <c r="D466" s="1"/>
  <c r="D467" s="1"/>
  <c r="D468" s="1"/>
  <c r="D469" s="1"/>
  <c r="D470" s="1"/>
  <c r="D471" s="1"/>
  <c r="D472" s="1"/>
  <c r="D473" s="1"/>
  <c r="D474" s="1"/>
  <c r="D475" s="1"/>
  <c r="D476" s="1"/>
  <c r="D477" s="1"/>
  <c r="D478" s="1"/>
  <c r="D479" s="1"/>
  <c r="D480" s="1"/>
  <c r="D481" s="1"/>
  <c r="D482" s="1"/>
  <c r="D483" s="1"/>
  <c r="D484" s="1"/>
  <c r="D485" s="1"/>
  <c r="D486" s="1"/>
  <c r="D487" s="1"/>
  <c r="D488" s="1"/>
  <c r="D489" s="1"/>
  <c r="D490" s="1"/>
  <c r="D491" s="1"/>
  <c r="D492" s="1"/>
  <c r="D493" s="1"/>
  <c r="D494" s="1"/>
  <c r="D495" s="1"/>
  <c r="D496" s="1"/>
  <c r="D497" s="1"/>
  <c r="D498" s="1"/>
  <c r="D499" s="1"/>
  <c r="D500" s="1"/>
  <c r="D501" s="1"/>
  <c r="D502" s="1"/>
  <c r="D503" s="1"/>
  <c r="D504" s="1"/>
  <c r="D505" s="1"/>
  <c r="D506" s="1"/>
  <c r="D507" s="1"/>
  <c r="D508" s="1"/>
  <c r="D509" s="1"/>
  <c r="D510" s="1"/>
  <c r="D511" s="1"/>
  <c r="D512" s="1"/>
  <c r="D513" s="1"/>
  <c r="D514" s="1"/>
  <c r="D515" s="1"/>
  <c r="D13" i="2"/>
  <c r="D18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D35" s="1"/>
  <c r="D36" s="1"/>
  <c r="D37" s="1"/>
  <c r="D38" s="1"/>
  <c r="D39" s="1"/>
  <c r="D40" s="1"/>
  <c r="D41" s="1"/>
  <c r="D42" s="1"/>
  <c r="D43" s="1"/>
  <c r="D44" s="1"/>
  <c r="D45" s="1"/>
  <c r="D46" s="1"/>
  <c r="D47" s="1"/>
  <c r="D48" s="1"/>
  <c r="D49" s="1"/>
  <c r="D50" s="1"/>
  <c r="D51" s="1"/>
  <c r="D52" s="1"/>
  <c r="D53" s="1"/>
  <c r="D54" s="1"/>
  <c r="D55" s="1"/>
  <c r="D56" s="1"/>
  <c r="D57" s="1"/>
  <c r="D58" s="1"/>
  <c r="D59" s="1"/>
  <c r="D60" s="1"/>
  <c r="D61" s="1"/>
  <c r="D62" s="1"/>
  <c r="D63" s="1"/>
  <c r="D64" s="1"/>
  <c r="D65" s="1"/>
  <c r="D66" s="1"/>
  <c r="D67" s="1"/>
  <c r="D68" s="1"/>
  <c r="D69" s="1"/>
  <c r="D70" s="1"/>
  <c r="D71" s="1"/>
  <c r="D72" s="1"/>
  <c r="D73" s="1"/>
  <c r="D74" s="1"/>
  <c r="D75" s="1"/>
  <c r="D76" s="1"/>
  <c r="D77" s="1"/>
  <c r="D78" s="1"/>
  <c r="D79" s="1"/>
  <c r="D80" s="1"/>
  <c r="D81" s="1"/>
  <c r="D82" s="1"/>
  <c r="D83" s="1"/>
  <c r="D84" s="1"/>
  <c r="D85" s="1"/>
  <c r="D86" s="1"/>
  <c r="D87" s="1"/>
  <c r="D88" s="1"/>
  <c r="D89" s="1"/>
  <c r="D90" s="1"/>
  <c r="D91" s="1"/>
  <c r="D92" s="1"/>
  <c r="D93" s="1"/>
  <c r="D94" s="1"/>
  <c r="D95" s="1"/>
  <c r="D96" s="1"/>
  <c r="D97" s="1"/>
  <c r="D98" s="1"/>
  <c r="D99" s="1"/>
  <c r="D100" s="1"/>
  <c r="D101" s="1"/>
  <c r="D102" s="1"/>
  <c r="D103" s="1"/>
  <c r="D104" s="1"/>
  <c r="D105" s="1"/>
  <c r="D106" s="1"/>
  <c r="D107" s="1"/>
  <c r="D108" s="1"/>
  <c r="D109" s="1"/>
  <c r="D110" s="1"/>
  <c r="D111" s="1"/>
  <c r="D112" s="1"/>
  <c r="D113" s="1"/>
  <c r="D114" s="1"/>
  <c r="D115" s="1"/>
  <c r="D116" s="1"/>
  <c r="D117" s="1"/>
  <c r="D118" s="1"/>
  <c r="D119" s="1"/>
  <c r="D120" s="1"/>
  <c r="D121" s="1"/>
  <c r="D122" s="1"/>
  <c r="D123" s="1"/>
  <c r="D124" s="1"/>
  <c r="D125" s="1"/>
  <c r="D126" s="1"/>
  <c r="D127" s="1"/>
  <c r="D128" s="1"/>
  <c r="D129" s="1"/>
  <c r="D130" s="1"/>
  <c r="D131" s="1"/>
  <c r="D132" s="1"/>
  <c r="D133" s="1"/>
  <c r="D134" s="1"/>
  <c r="D135" s="1"/>
  <c r="D136" s="1"/>
  <c r="D137" s="1"/>
  <c r="D138" s="1"/>
  <c r="D139" s="1"/>
  <c r="D140" s="1"/>
  <c r="D141" s="1"/>
  <c r="D142" s="1"/>
  <c r="D143" s="1"/>
  <c r="D144" s="1"/>
  <c r="D145" s="1"/>
  <c r="D146" s="1"/>
  <c r="D147" s="1"/>
  <c r="D148" s="1"/>
  <c r="D149" s="1"/>
  <c r="D150" s="1"/>
  <c r="D151" s="1"/>
  <c r="D152" s="1"/>
  <c r="D153" s="1"/>
  <c r="D154" s="1"/>
  <c r="D155" s="1"/>
  <c r="D156" s="1"/>
  <c r="D157" s="1"/>
  <c r="D158" s="1"/>
  <c r="D159" s="1"/>
  <c r="D160" s="1"/>
  <c r="D161" s="1"/>
  <c r="D162" s="1"/>
  <c r="D163" s="1"/>
  <c r="D164" s="1"/>
  <c r="D165" s="1"/>
  <c r="D166" s="1"/>
  <c r="D167" s="1"/>
  <c r="D168" s="1"/>
  <c r="D169" s="1"/>
  <c r="D170" s="1"/>
  <c r="D171" s="1"/>
  <c r="D172" s="1"/>
  <c r="D173" s="1"/>
  <c r="D174" s="1"/>
  <c r="D175" s="1"/>
  <c r="D176" s="1"/>
  <c r="D177" s="1"/>
  <c r="D178" s="1"/>
  <c r="D179" s="1"/>
  <c r="D180" s="1"/>
  <c r="D181" s="1"/>
  <c r="D182" s="1"/>
  <c r="D183" s="1"/>
  <c r="D184" s="1"/>
  <c r="D185" s="1"/>
  <c r="D186" s="1"/>
  <c r="D187" s="1"/>
  <c r="D188" s="1"/>
  <c r="D189" s="1"/>
  <c r="D190" s="1"/>
  <c r="D191" s="1"/>
  <c r="D192" s="1"/>
  <c r="D193" s="1"/>
  <c r="D194" s="1"/>
  <c r="D195" s="1"/>
  <c r="D196" s="1"/>
  <c r="D197" s="1"/>
  <c r="D198" s="1"/>
  <c r="D199" s="1"/>
  <c r="D200" s="1"/>
  <c r="D201" s="1"/>
  <c r="D202" s="1"/>
  <c r="D203" s="1"/>
  <c r="D204" s="1"/>
  <c r="D205" s="1"/>
  <c r="D206" s="1"/>
  <c r="D207" s="1"/>
  <c r="D208" s="1"/>
  <c r="D209" s="1"/>
  <c r="D210" s="1"/>
  <c r="D211" s="1"/>
  <c r="D212" s="1"/>
  <c r="D213" s="1"/>
  <c r="D214" s="1"/>
  <c r="D215" s="1"/>
  <c r="D216" s="1"/>
  <c r="D217" s="1"/>
  <c r="C16" i="3" l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226" s="1"/>
  <c r="C227" s="1"/>
  <c r="C228" s="1"/>
  <c r="C229" s="1"/>
  <c r="C230" s="1"/>
  <c r="C231" s="1"/>
  <c r="C232" s="1"/>
  <c r="C233" s="1"/>
  <c r="C234" s="1"/>
  <c r="C235" s="1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280" s="1"/>
  <c r="C281" s="1"/>
  <c r="C282" s="1"/>
  <c r="C283" s="1"/>
  <c r="C284" s="1"/>
  <c r="C285" s="1"/>
  <c r="C286" s="1"/>
  <c r="C287" s="1"/>
  <c r="C288" s="1"/>
  <c r="C289" s="1"/>
  <c r="C290" s="1"/>
  <c r="C291" s="1"/>
  <c r="C292" s="1"/>
  <c r="C293" s="1"/>
  <c r="C294" s="1"/>
  <c r="C295" s="1"/>
  <c r="C296" s="1"/>
  <c r="C297" s="1"/>
  <c r="C298" s="1"/>
  <c r="C299" s="1"/>
  <c r="C300" s="1"/>
  <c r="C301" s="1"/>
  <c r="C302" s="1"/>
  <c r="C303" s="1"/>
  <c r="C304" s="1"/>
  <c r="C305" s="1"/>
  <c r="C306" s="1"/>
  <c r="C307" s="1"/>
  <c r="C308" s="1"/>
  <c r="C309" s="1"/>
  <c r="C310" s="1"/>
  <c r="C311" s="1"/>
  <c r="C312" s="1"/>
  <c r="C313" s="1"/>
  <c r="C314" s="1"/>
  <c r="C315" s="1"/>
  <c r="C316" s="1"/>
  <c r="C317" s="1"/>
  <c r="C318" s="1"/>
  <c r="C319" s="1"/>
  <c r="C320" s="1"/>
  <c r="C321" s="1"/>
  <c r="C322" s="1"/>
  <c r="C323" s="1"/>
  <c r="C324" s="1"/>
  <c r="C325" s="1"/>
  <c r="C326" s="1"/>
  <c r="C327" s="1"/>
  <c r="C328" s="1"/>
  <c r="C329" s="1"/>
  <c r="C330" s="1"/>
  <c r="C331" s="1"/>
  <c r="C332" s="1"/>
  <c r="C333" s="1"/>
  <c r="C334" s="1"/>
  <c r="C335" s="1"/>
  <c r="C336" s="1"/>
  <c r="C337" s="1"/>
  <c r="C338" s="1"/>
  <c r="C339" s="1"/>
  <c r="C340" s="1"/>
  <c r="C341" s="1"/>
  <c r="C342" s="1"/>
  <c r="C343" s="1"/>
  <c r="C344" s="1"/>
  <c r="C345" s="1"/>
  <c r="C346" s="1"/>
  <c r="C347" s="1"/>
  <c r="C348" s="1"/>
  <c r="C349" s="1"/>
  <c r="C350" s="1"/>
  <c r="C351" s="1"/>
  <c r="C352" s="1"/>
  <c r="C353" s="1"/>
  <c r="C354" s="1"/>
  <c r="C355" s="1"/>
  <c r="C356" s="1"/>
  <c r="C357" s="1"/>
  <c r="C358" s="1"/>
  <c r="C359" s="1"/>
  <c r="C360" s="1"/>
  <c r="C361" s="1"/>
  <c r="C362" s="1"/>
  <c r="C363" s="1"/>
  <c r="C364" s="1"/>
  <c r="C365" s="1"/>
  <c r="C366" s="1"/>
  <c r="C367" s="1"/>
  <c r="C368" s="1"/>
  <c r="C369" s="1"/>
  <c r="C370" s="1"/>
  <c r="C371" s="1"/>
  <c r="C372" s="1"/>
  <c r="C373" s="1"/>
  <c r="C374" s="1"/>
  <c r="C375" s="1"/>
  <c r="C376" s="1"/>
  <c r="C377" s="1"/>
  <c r="C378" s="1"/>
  <c r="C379" s="1"/>
  <c r="C380" s="1"/>
  <c r="C381" s="1"/>
  <c r="C382" s="1"/>
  <c r="C383" s="1"/>
  <c r="C384" s="1"/>
  <c r="C385" s="1"/>
  <c r="C386" s="1"/>
  <c r="C387" s="1"/>
  <c r="C388" s="1"/>
  <c r="C389" s="1"/>
  <c r="C390" s="1"/>
  <c r="C391" s="1"/>
  <c r="C392" s="1"/>
  <c r="C393" s="1"/>
  <c r="C394" s="1"/>
  <c r="C395" s="1"/>
  <c r="C396" s="1"/>
  <c r="C397" s="1"/>
  <c r="C398" s="1"/>
  <c r="C399" s="1"/>
  <c r="C400" s="1"/>
  <c r="C401" s="1"/>
  <c r="C402" s="1"/>
  <c r="C403" s="1"/>
  <c r="C404" s="1"/>
  <c r="C405" s="1"/>
  <c r="C406" s="1"/>
  <c r="C407" s="1"/>
  <c r="C408" s="1"/>
  <c r="C409" s="1"/>
  <c r="C410" s="1"/>
  <c r="C411" s="1"/>
  <c r="C412" s="1"/>
  <c r="C413" s="1"/>
  <c r="C414" s="1"/>
  <c r="C415" s="1"/>
  <c r="C416" s="1"/>
  <c r="C417" s="1"/>
  <c r="C418" s="1"/>
  <c r="C419" s="1"/>
  <c r="C420" s="1"/>
  <c r="C421" s="1"/>
  <c r="C422" s="1"/>
  <c r="C423" s="1"/>
  <c r="C424" s="1"/>
  <c r="C425" s="1"/>
  <c r="C426" s="1"/>
  <c r="C427" s="1"/>
  <c r="C428" s="1"/>
  <c r="C429" s="1"/>
  <c r="C430" s="1"/>
  <c r="C431" s="1"/>
  <c r="C432" s="1"/>
  <c r="C433" s="1"/>
  <c r="C434" s="1"/>
  <c r="C435" s="1"/>
  <c r="C436" s="1"/>
  <c r="C437" s="1"/>
  <c r="C438" s="1"/>
  <c r="C439" s="1"/>
  <c r="C440" s="1"/>
  <c r="C441" s="1"/>
  <c r="C442" s="1"/>
  <c r="C443" s="1"/>
  <c r="C444" s="1"/>
  <c r="C445" s="1"/>
  <c r="C446" s="1"/>
  <c r="C447" s="1"/>
  <c r="C448" s="1"/>
  <c r="C449" s="1"/>
  <c r="C450" s="1"/>
  <c r="C451" s="1"/>
  <c r="C452" s="1"/>
  <c r="C453" s="1"/>
  <c r="C454" s="1"/>
  <c r="C455" s="1"/>
  <c r="C456" s="1"/>
  <c r="C457" s="1"/>
  <c r="C458" s="1"/>
  <c r="C459" s="1"/>
  <c r="C460" s="1"/>
  <c r="C461" s="1"/>
  <c r="C462" s="1"/>
  <c r="C463" s="1"/>
  <c r="C464" s="1"/>
  <c r="C465" s="1"/>
  <c r="C466" s="1"/>
  <c r="C467" s="1"/>
  <c r="C468" s="1"/>
  <c r="C469" s="1"/>
  <c r="C470" s="1"/>
  <c r="C471" s="1"/>
  <c r="C472" s="1"/>
  <c r="C473" s="1"/>
  <c r="C474" s="1"/>
  <c r="C475" s="1"/>
  <c r="C476" s="1"/>
  <c r="C477" s="1"/>
  <c r="C478" s="1"/>
  <c r="C479" s="1"/>
  <c r="C480" s="1"/>
  <c r="C481" s="1"/>
  <c r="C482" s="1"/>
  <c r="C483" s="1"/>
  <c r="C484" s="1"/>
  <c r="C485" s="1"/>
  <c r="C486" s="1"/>
  <c r="C487" s="1"/>
  <c r="C488" s="1"/>
  <c r="C489" s="1"/>
  <c r="C490" s="1"/>
  <c r="C491" s="1"/>
  <c r="C492" s="1"/>
  <c r="C493" s="1"/>
  <c r="C494" s="1"/>
  <c r="C495" s="1"/>
  <c r="C496" s="1"/>
  <c r="C497" s="1"/>
  <c r="C498" s="1"/>
  <c r="C499" s="1"/>
  <c r="C500" s="1"/>
  <c r="C501" s="1"/>
  <c r="C502" s="1"/>
  <c r="C503" s="1"/>
  <c r="C504" s="1"/>
  <c r="C505" s="1"/>
  <c r="C506" s="1"/>
  <c r="C507" s="1"/>
  <c r="C508" s="1"/>
  <c r="C509" s="1"/>
  <c r="C510" s="1"/>
  <c r="C511" s="1"/>
  <c r="C512" s="1"/>
  <c r="C513" s="1"/>
  <c r="C514" s="1"/>
  <c r="C515" s="1"/>
</calcChain>
</file>

<file path=xl/sharedStrings.xml><?xml version="1.0" encoding="utf-8"?>
<sst xmlns="http://schemas.openxmlformats.org/spreadsheetml/2006/main" count="82" uniqueCount="48">
  <si>
    <t>t</t>
  </si>
  <si>
    <t>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</si>
  <si>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</si>
  <si>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</si>
  <si>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</si>
  <si>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</si>
  <si>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</si>
  <si>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</si>
  <si>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</si>
  <si>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</si>
  <si>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</si>
  <si>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</si>
  <si>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</si>
  <si>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</si>
  <si>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Logistic Growth Model</t>
  </si>
  <si>
    <t xml:space="preserve">   The initial term is .90.</t>
  </si>
  <si>
    <t xml:space="preserve">   m is varied by the scroll bar with lower bound of 0.00 and upper bound of 5.00</t>
  </si>
  <si>
    <t xml:space="preserve">   The first 50 terms are calculated.</t>
  </si>
  <si>
    <t xml:space="preserve">   Values of an are formated to three decimal places</t>
  </si>
  <si>
    <t>r =</t>
  </si>
  <si>
    <t>Scroll bar cell link</t>
  </si>
  <si>
    <t>n</t>
  </si>
  <si>
    <r>
      <t>N</t>
    </r>
    <r>
      <rPr>
        <b/>
        <vertAlign val="subscript"/>
        <sz val="10"/>
        <rFont val="Arial"/>
        <family val="2"/>
      </rPr>
      <t>t</t>
    </r>
  </si>
  <si>
    <r>
      <t>N</t>
    </r>
    <r>
      <rPr>
        <i/>
        <vertAlign val="subscript"/>
        <sz val="10"/>
        <rFont val="Arial"/>
        <family val="2"/>
      </rPr>
      <t>t</t>
    </r>
  </si>
  <si>
    <t>Modeling Growth With an Ecological Forcing</t>
  </si>
  <si>
    <t>Model Parameters</t>
  </si>
  <si>
    <t>Modeling the growth of fish in a lake using the logistic growth model</t>
  </si>
  <si>
    <t xml:space="preserve">  The initial term is 1.00</t>
  </si>
  <si>
    <t xml:space="preserve">   r = .000025</t>
  </si>
  <si>
    <t xml:space="preserve">  K = 90,000</t>
  </si>
  <si>
    <t xml:space="preserve">  50 periods are examined</t>
  </si>
  <si>
    <t>M</t>
  </si>
  <si>
    <r>
      <t>N</t>
    </r>
    <r>
      <rPr>
        <b/>
        <vertAlign val="subscript"/>
        <sz val="12"/>
        <rFont val="Arial"/>
        <family val="2"/>
      </rPr>
      <t>t</t>
    </r>
    <r>
      <rPr>
        <b/>
        <sz val="12"/>
        <rFont val="Arial"/>
        <family val="2"/>
      </rPr>
      <t xml:space="preserve"> </t>
    </r>
  </si>
  <si>
    <r>
      <t>K</t>
    </r>
    <r>
      <rPr>
        <b/>
        <vertAlign val="subscript"/>
        <sz val="12"/>
        <rFont val="Arial"/>
        <family val="2"/>
      </rPr>
      <t>t</t>
    </r>
    <r>
      <rPr>
        <b/>
        <sz val="12"/>
        <rFont val="Arial"/>
        <family val="2"/>
      </rPr>
      <t xml:space="preserve"> </t>
    </r>
  </si>
  <si>
    <r>
      <t>E</t>
    </r>
    <r>
      <rPr>
        <vertAlign val="subscript"/>
        <sz val="12"/>
        <rFont val="Arial"/>
        <family val="2"/>
      </rPr>
      <t>r</t>
    </r>
    <r>
      <rPr>
        <sz val="12"/>
        <rFont val="Arial"/>
        <family val="2"/>
      </rPr>
      <t xml:space="preserve"> </t>
    </r>
  </si>
  <si>
    <r>
      <t>N</t>
    </r>
    <r>
      <rPr>
        <vertAlign val="subscript"/>
        <sz val="12"/>
        <rFont val="Arial"/>
        <family val="2"/>
      </rPr>
      <t>0</t>
    </r>
    <r>
      <rPr>
        <sz val="12"/>
        <rFont val="Arial"/>
        <family val="2"/>
      </rPr>
      <t xml:space="preserve"> </t>
    </r>
  </si>
  <si>
    <r>
      <t>N</t>
    </r>
    <r>
      <rPr>
        <vertAlign val="subscript"/>
        <sz val="12"/>
        <rFont val="Arial"/>
        <family val="2"/>
      </rPr>
      <t>0</t>
    </r>
    <r>
      <rPr>
        <sz val="12"/>
        <rFont val="Arial"/>
        <family val="2"/>
      </rPr>
      <t xml:space="preserve">   =</t>
    </r>
  </si>
  <si>
    <r>
      <t>r</t>
    </r>
    <r>
      <rPr>
        <vertAlign val="subscript"/>
        <sz val="12"/>
        <rFont val="Arial"/>
        <family val="2"/>
      </rPr>
      <t>d,0</t>
    </r>
    <r>
      <rPr>
        <sz val="12"/>
        <rFont val="Arial"/>
        <family val="2"/>
      </rPr>
      <t xml:space="preserve">  =</t>
    </r>
  </si>
  <si>
    <r>
      <t>K</t>
    </r>
    <r>
      <rPr>
        <vertAlign val="subscript"/>
        <sz val="12"/>
        <rFont val="Arial"/>
        <family val="2"/>
      </rPr>
      <t>0</t>
    </r>
    <r>
      <rPr>
        <sz val="12"/>
        <rFont val="Arial"/>
        <family val="2"/>
      </rPr>
      <t xml:space="preserve">  =</t>
    </r>
  </si>
  <si>
    <r>
      <t>K</t>
    </r>
    <r>
      <rPr>
        <vertAlign val="subscript"/>
        <sz val="12"/>
        <rFont val="Arial"/>
        <family val="2"/>
      </rPr>
      <t>0</t>
    </r>
    <r>
      <rPr>
        <sz val="12"/>
        <rFont val="Arial"/>
        <family val="2"/>
      </rPr>
      <t xml:space="preserve">  </t>
    </r>
  </si>
  <si>
    <r>
      <t>E</t>
    </r>
    <r>
      <rPr>
        <vertAlign val="subscript"/>
        <sz val="12"/>
        <rFont val="Arial"/>
        <family val="2"/>
      </rPr>
      <t>r</t>
    </r>
    <r>
      <rPr>
        <sz val="12"/>
        <rFont val="Arial"/>
        <family val="2"/>
      </rPr>
      <t xml:space="preserve">   =</t>
    </r>
  </si>
  <si>
    <r>
      <t>E</t>
    </r>
    <r>
      <rPr>
        <vertAlign val="subscript"/>
        <sz val="12"/>
        <rFont val="Arial"/>
        <family val="2"/>
      </rPr>
      <t>k</t>
    </r>
    <r>
      <rPr>
        <sz val="12"/>
        <rFont val="Arial"/>
        <family val="2"/>
      </rPr>
      <t xml:space="preserve">  =</t>
    </r>
  </si>
  <si>
    <r>
      <t>E</t>
    </r>
    <r>
      <rPr>
        <vertAlign val="subscript"/>
        <sz val="12"/>
        <rFont val="Arial"/>
        <family val="2"/>
      </rPr>
      <t>K</t>
    </r>
    <r>
      <rPr>
        <sz val="12"/>
        <rFont val="Arial"/>
        <family val="2"/>
      </rPr>
      <t xml:space="preserve"> </t>
    </r>
  </si>
  <si>
    <r>
      <t>r</t>
    </r>
    <r>
      <rPr>
        <vertAlign val="subscript"/>
        <sz val="12"/>
        <rFont val="Arial"/>
        <family val="2"/>
      </rPr>
      <t>d,0</t>
    </r>
    <r>
      <rPr>
        <sz val="12"/>
        <rFont val="Arial"/>
        <family val="2"/>
      </rPr>
      <t xml:space="preserve">  </t>
    </r>
  </si>
  <si>
    <r>
      <t>r</t>
    </r>
    <r>
      <rPr>
        <b/>
        <vertAlign val="subscript"/>
        <sz val="12"/>
        <rFont val="Arial"/>
        <family val="2"/>
      </rPr>
      <t>d,t</t>
    </r>
    <r>
      <rPr>
        <b/>
        <sz val="12"/>
        <rFont val="Arial"/>
        <family val="2"/>
      </rPr>
      <t xml:space="preserve"> </t>
    </r>
  </si>
  <si>
    <r>
      <t>N</t>
    </r>
    <r>
      <rPr>
        <b/>
        <i/>
        <vertAlign val="subscript"/>
        <sz val="10"/>
        <rFont val="Arial"/>
        <family val="2"/>
      </rPr>
      <t>t</t>
    </r>
  </si>
  <si>
    <r>
      <t xml:space="preserve">   </t>
    </r>
    <r>
      <rPr>
        <i/>
        <sz val="10"/>
        <rFont val="Arial"/>
        <family val="2"/>
      </rPr>
      <t>r</t>
    </r>
    <r>
      <rPr>
        <sz val="10"/>
        <rFont val="Arial"/>
      </rPr>
      <t xml:space="preserve"> is varied by the scroll bar with lower bound of 0.00 and upper bound of 5.00</t>
    </r>
  </si>
  <si>
    <r>
      <t xml:space="preserve">   The initial term is </t>
    </r>
    <r>
      <rPr>
        <i/>
        <sz val="10"/>
        <rFont val="Arial"/>
        <family val="2"/>
      </rPr>
      <t>N</t>
    </r>
    <r>
      <rPr>
        <i/>
        <vertAlign val="subscript"/>
        <sz val="10"/>
        <rFont val="Arial"/>
        <family val="2"/>
      </rPr>
      <t>0</t>
    </r>
    <r>
      <rPr>
        <sz val="10"/>
        <rFont val="Arial"/>
      </rPr>
      <t xml:space="preserve"> = 0.90.</t>
    </r>
  </si>
</sst>
</file>

<file path=xl/styles.xml><?xml version="1.0" encoding="utf-8"?>
<styleSheet xmlns="http://schemas.openxmlformats.org/spreadsheetml/2006/main">
  <numFmts count="5">
    <numFmt numFmtId="171" formatCode="_(* #,##0.00_);_(* \(#,##0.00\);_(* &quot;-&quot;??_);_(@_)"/>
    <numFmt numFmtId="172" formatCode="0.0"/>
    <numFmt numFmtId="173" formatCode="0.000"/>
    <numFmt numFmtId="174" formatCode="_(* #,##0.0_);_(* \(#,##0.0\);_(* &quot;-&quot;??_);_(@_)"/>
    <numFmt numFmtId="175" formatCode="_(* #,##0_);_(* \(#,##0\);_(* &quot;-&quot;??_);_(@_)"/>
  </numFmts>
  <fonts count="16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vertAlign val="subscript"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vertAlign val="subscript"/>
      <sz val="10"/>
      <name val="Arial"/>
      <family val="2"/>
    </font>
    <font>
      <b/>
      <vertAlign val="subscript"/>
      <sz val="12"/>
      <name val="Arial"/>
      <family val="2"/>
    </font>
    <font>
      <vertAlign val="subscript"/>
      <sz val="12"/>
      <name val="Arial"/>
      <family val="2"/>
    </font>
    <font>
      <sz val="12"/>
      <name val="Arial"/>
    </font>
    <font>
      <b/>
      <sz val="12"/>
      <name val="Agency FB"/>
      <family val="2"/>
    </font>
    <font>
      <b/>
      <i/>
      <sz val="10"/>
      <name val="Arial"/>
      <family val="2"/>
    </font>
    <font>
      <b/>
      <i/>
      <vertAlign val="sub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73" fontId="0" fillId="0" borderId="0" xfId="0" applyNumberForma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2" fontId="0" fillId="0" borderId="0" xfId="0" applyNumberFormat="1"/>
    <xf numFmtId="174" fontId="0" fillId="0" borderId="0" xfId="1" applyNumberFormat="1" applyFont="1" applyAlignment="1">
      <alignment horizontal="right"/>
    </xf>
    <xf numFmtId="172" fontId="0" fillId="0" borderId="0" xfId="0" applyNumberFormat="1" applyAlignment="1">
      <alignment horizontal="right"/>
    </xf>
    <xf numFmtId="173" fontId="0" fillId="0" borderId="0" xfId="0" applyNumberFormat="1" applyAlignment="1">
      <alignment horizontal="right"/>
    </xf>
    <xf numFmtId="172" fontId="0" fillId="0" borderId="0" xfId="1" applyNumberFormat="1" applyFont="1" applyAlignment="1">
      <alignment horizontal="right"/>
    </xf>
    <xf numFmtId="0" fontId="8" fillId="0" borderId="0" xfId="0" applyFont="1" applyAlignment="1">
      <alignment horizontal="center"/>
    </xf>
    <xf numFmtId="171" fontId="0" fillId="0" borderId="0" xfId="1" applyFont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175" fontId="12" fillId="0" borderId="0" xfId="1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175" fontId="12" fillId="0" borderId="0" xfId="1" applyNumberFormat="1" applyFont="1" applyAlignment="1">
      <alignment horizontal="left"/>
    </xf>
    <xf numFmtId="10" fontId="12" fillId="0" borderId="0" xfId="2" applyNumberFormat="1" applyFont="1" applyAlignment="1">
      <alignment horizontal="right"/>
    </xf>
    <xf numFmtId="3" fontId="8" fillId="0" borderId="0" xfId="0" applyNumberFormat="1" applyFont="1" applyAlignment="1">
      <alignment horizontal="left"/>
    </xf>
    <xf numFmtId="0" fontId="14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/>
          <a:lstStyle/>
          <a:p>
            <a:pPr>
              <a:defRPr/>
            </a:pPr>
            <a:r>
              <a:rPr lang="en-US"/>
              <a:t>Logistic</a:t>
            </a:r>
            <a:r>
              <a:rPr lang="en-US" baseline="0"/>
              <a:t> Growth Model</a:t>
            </a:r>
            <a:endParaRPr lang="en-US"/>
          </a:p>
        </c:rich>
      </c:tx>
      <c:spPr>
        <a:noFill/>
        <a:ln w="25400">
          <a:noFill/>
        </a:ln>
      </c:spPr>
    </c:title>
    <c:plotArea>
      <c:layout/>
      <c:scatterChart>
        <c:scatterStyle val="smoothMarker"/>
        <c:ser>
          <c:idx val="0"/>
          <c:order val="0"/>
          <c:xVal>
            <c:numRef>
              <c:f>'Figures 1 and 2'!$C$17:$C$67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'Figures 1 and 2'!$D$17:$D$67</c:f>
              <c:numCache>
                <c:formatCode>0.000</c:formatCode>
                <c:ptCount val="51"/>
                <c:pt idx="0">
                  <c:v>0.9</c:v>
                </c:pt>
                <c:pt idx="1">
                  <c:v>0.26099999999999995</c:v>
                </c:pt>
                <c:pt idx="2">
                  <c:v>0.55934910000000004</c:v>
                </c:pt>
                <c:pt idx="3">
                  <c:v>0.71478528455465096</c:v>
                </c:pt>
                <c:pt idx="4">
                  <c:v>0.59121511646245506</c:v>
                </c:pt>
                <c:pt idx="5">
                  <c:v>0.70087142733334817</c:v>
                </c:pt>
                <c:pt idx="6">
                  <c:v>0.60798694207508386</c:v>
                </c:pt>
                <c:pt idx="7">
                  <c:v>0.69118257898969027</c:v>
                </c:pt>
                <c:pt idx="8">
                  <c:v>0.61900274232346741</c:v>
                </c:pt>
                <c:pt idx="9">
                  <c:v>0.68393120722653389</c:v>
                </c:pt>
                <c:pt idx="10">
                  <c:v>0.62689100192375058</c:v>
                </c:pt>
                <c:pt idx="11">
                  <c:v>0.67830615352928147</c:v>
                </c:pt>
                <c:pt idx="12">
                  <c:v>0.63280005527941763</c:v>
                </c:pt>
                <c:pt idx="13">
                  <c:v>0.67385602142157242</c:v>
                </c:pt>
                <c:pt idx="14">
                  <c:v>0.63734484306483907</c:v>
                </c:pt>
                <c:pt idx="15">
                  <c:v>0.67029554284213466</c:v>
                </c:pt>
                <c:pt idx="16">
                  <c:v>0.64089834145549773</c:v>
                </c:pt>
                <c:pt idx="17">
                  <c:v>0.6674282063877609</c:v>
                </c:pt>
                <c:pt idx="18">
                  <c:v>0.64370660754675424</c:v>
                </c:pt>
                <c:pt idx="19">
                  <c:v>0.66511039174746922</c:v>
                </c:pt>
                <c:pt idx="20">
                  <c:v>0.64594181975729204</c:v>
                </c:pt>
                <c:pt idx="21">
                  <c:v>0.66323285721319725</c:v>
                </c:pt>
                <c:pt idx="22">
                  <c:v>0.64772959954544618</c:v>
                </c:pt>
                <c:pt idx="23">
                  <c:v>0.66171029971261208</c:v>
                </c:pt>
                <c:pt idx="24">
                  <c:v>0.6491643590038858</c:v>
                </c:pt>
                <c:pt idx="25">
                  <c:v>0.66047498260858362</c:v>
                </c:pt>
                <c:pt idx="26">
                  <c:v>0.65031856187464687</c:v>
                </c:pt>
                <c:pt idx="27">
                  <c:v>0.65947255687221995</c:v>
                </c:pt>
                <c:pt idx="28">
                  <c:v>0.65124866045344598</c:v>
                </c:pt>
                <c:pt idx="29">
                  <c:v>0.65865914386201085</c:v>
                </c:pt>
                <c:pt idx="30">
                  <c:v>0.65199910060002386</c:v>
                </c:pt>
                <c:pt idx="31">
                  <c:v>0.65799919290867315</c:v>
                </c:pt>
                <c:pt idx="32">
                  <c:v>0.65260513961660283</c:v>
                </c:pt>
                <c:pt idx="33">
                  <c:v>0.65746384695153182</c:v>
                </c:pt>
                <c:pt idx="34">
                  <c:v>0.65309489701935119</c:v>
                </c:pt>
                <c:pt idx="35">
                  <c:v>0.65702966226923931</c:v>
                </c:pt>
                <c:pt idx="36">
                  <c:v>0.65349088698606506</c:v>
                </c:pt>
                <c:pt idx="37">
                  <c:v>0.65667758807546994</c:v>
                </c:pt>
                <c:pt idx="38">
                  <c:v>0.65381118684507467</c:v>
                </c:pt>
                <c:pt idx="39">
                  <c:v>0.65639214452379757</c:v>
                </c:pt>
                <c:pt idx="40">
                  <c:v>0.65407034168061806</c:v>
                </c:pt>
                <c:pt idx="41">
                  <c:v>0.65616075646181105</c:v>
                </c:pt>
                <c:pt idx="42">
                  <c:v>0.65428007260969734</c:v>
                </c:pt>
                <c:pt idx="43">
                  <c:v>0.65597321166708489</c:v>
                </c:pt>
                <c:pt idx="44">
                  <c:v>0.6544498360025387</c:v>
                </c:pt>
                <c:pt idx="45">
                  <c:v>0.65582121966048779</c:v>
                </c:pt>
                <c:pt idx="46">
                  <c:v>0.65458726776020226</c:v>
                </c:pt>
                <c:pt idx="47">
                  <c:v>0.65569805227466305</c:v>
                </c:pt>
                <c:pt idx="48">
                  <c:v>0.65469853790184118</c:v>
                </c:pt>
                <c:pt idx="49">
                  <c:v>0.65559825087599455</c:v>
                </c:pt>
                <c:pt idx="50">
                  <c:v>0.65478863454056002</c:v>
                </c:pt>
              </c:numCache>
            </c:numRef>
          </c:yVal>
          <c:smooth val="1"/>
        </c:ser>
        <c:axId val="57321344"/>
        <c:axId val="58227328"/>
      </c:scatterChart>
      <c:valAx>
        <c:axId val="57321344"/>
        <c:scaling>
          <c:orientation val="minMax"/>
          <c:max val="50"/>
        </c:scaling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period</a:t>
                </a:r>
              </a:p>
            </c:rich>
          </c:tx>
          <c:spPr>
            <a:noFill/>
            <a:ln w="25400">
              <a:noFill/>
            </a:ln>
          </c:spPr>
        </c:title>
        <c:numFmt formatCode="#,##0" sourceLinked="0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8227328"/>
        <c:crosses val="autoZero"/>
        <c:crossBetween val="midCat"/>
        <c:majorUnit val="10"/>
      </c:valAx>
      <c:valAx>
        <c:axId val="58227328"/>
        <c:scaling>
          <c:orientation val="minMax"/>
          <c:max val="1"/>
        </c:scaling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Population</a:t>
                </a:r>
                <a:r>
                  <a:rPr lang="en-US" sz="1200" baseline="0"/>
                  <a:t> Density</a:t>
                </a:r>
                <a:endParaRPr lang="en-US" sz="1200"/>
              </a:p>
            </c:rich>
          </c:tx>
          <c:spPr>
            <a:noFill/>
            <a:ln w="25400">
              <a:noFill/>
            </a:ln>
          </c:spPr>
        </c:title>
        <c:numFmt formatCode="0.000" sourceLinked="1"/>
        <c:majorTickMark val="none"/>
        <c:tickLblPos val="nextTo"/>
        <c:crossAx val="57321344"/>
        <c:crosses val="autoZero"/>
        <c:crossBetween val="midCat"/>
        <c:majorUnit val="0.2"/>
      </c:valAx>
    </c:plotArea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/>
          <a:lstStyle/>
          <a:p>
            <a:pPr>
              <a:defRPr/>
            </a:pPr>
            <a:r>
              <a:rPr lang="en-US"/>
              <a:t>Logistic Growth Model</a:t>
            </a:r>
          </a:p>
        </c:rich>
      </c:tx>
      <c:spPr>
        <a:noFill/>
        <a:ln w="25400">
          <a:noFill/>
        </a:ln>
      </c:spPr>
    </c:title>
    <c:plotArea>
      <c:layout/>
      <c:scatterChart>
        <c:scatterStyle val="smoothMarker"/>
        <c:ser>
          <c:idx val="0"/>
          <c:order val="0"/>
          <c:xVal>
            <c:numRef>
              <c:f>'Logistic Growth Model Figure 3'!$C$17:$C$67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'Logistic Growth Model Figure 3'!$D$17:$D$67</c:f>
              <c:numCache>
                <c:formatCode>0.000</c:formatCode>
                <c:ptCount val="51"/>
                <c:pt idx="0">
                  <c:v>0.9</c:v>
                </c:pt>
                <c:pt idx="1">
                  <c:v>0.3536999999999999</c:v>
                </c:pt>
                <c:pt idx="2">
                  <c:v>0.89838349829999997</c:v>
                </c:pt>
                <c:pt idx="3">
                  <c:v>0.35877201194925795</c:v>
                </c:pt>
                <c:pt idx="4">
                  <c:v>0.90411479568717812</c:v>
                </c:pt>
                <c:pt idx="5">
                  <c:v>0.34069654139337141</c:v>
                </c:pt>
                <c:pt idx="6">
                  <c:v>0.88276606373854716</c:v>
                </c:pt>
                <c:pt idx="7">
                  <c:v>0.40671625196888694</c:v>
                </c:pt>
                <c:pt idx="8">
                  <c:v>0.94830169944834253</c:v>
                </c:pt>
                <c:pt idx="9">
                  <c:v>0.19267055404789091</c:v>
                </c:pt>
                <c:pt idx="10">
                  <c:v>0.61130604378752473</c:v>
                </c:pt>
                <c:pt idx="11">
                  <c:v>0.93381109094233272</c:v>
                </c:pt>
                <c:pt idx="12">
                  <c:v>0.24290519388541293</c:v>
                </c:pt>
                <c:pt idx="13">
                  <c:v>0.72273588442878833</c:v>
                </c:pt>
                <c:pt idx="14">
                  <c:v>0.78752769234576103</c:v>
                </c:pt>
                <c:pt idx="15">
                  <c:v>0.65759835670788314</c:v>
                </c:pt>
                <c:pt idx="16">
                  <c:v>0.88488963879449112</c:v>
                </c:pt>
                <c:pt idx="17">
                  <c:v>0.40030966617817942</c:v>
                </c:pt>
                <c:pt idx="18">
                  <c:v>0.94344302075600139</c:v>
                </c:pt>
                <c:pt idx="19">
                  <c:v>0.2096980692571746</c:v>
                </c:pt>
                <c:pt idx="20">
                  <c:v>0.65129842079746203</c:v>
                </c:pt>
                <c:pt idx="21">
                  <c:v>0.89253753630628296</c:v>
                </c:pt>
                <c:pt idx="22">
                  <c:v>0.37694313058103279</c:v>
                </c:pt>
                <c:pt idx="23">
                  <c:v>0.92298803707299681</c:v>
                </c:pt>
                <c:pt idx="24">
                  <c:v>0.279348803538013</c:v>
                </c:pt>
                <c:pt idx="25">
                  <c:v>0.79116028453458209</c:v>
                </c:pt>
                <c:pt idx="26">
                  <c:v>0.64933695662928292</c:v>
                </c:pt>
                <c:pt idx="27">
                  <c:v>0.89485500040188548</c:v>
                </c:pt>
                <c:pt idx="28">
                  <c:v>0.36977184762447418</c:v>
                </c:pt>
                <c:pt idx="29">
                  <c:v>0.9158496693324073</c:v>
                </c:pt>
                <c:pt idx="30">
                  <c:v>0.30288137638838109</c:v>
                </c:pt>
                <c:pt idx="31">
                  <c:v>0.8297968955260614</c:v>
                </c:pt>
                <c:pt idx="32">
                  <c:v>0.55504965026639252</c:v>
                </c:pt>
                <c:pt idx="33">
                  <c:v>0.97059027650180318</c:v>
                </c:pt>
                <c:pt idx="34">
                  <c:v>0.11218103123148876</c:v>
                </c:pt>
                <c:pt idx="35">
                  <c:v>0.39141403853088103</c:v>
                </c:pt>
                <c:pt idx="36">
                  <c:v>0.93616171965928008</c:v>
                </c:pt>
                <c:pt idx="37">
                  <c:v>0.23486841041416812</c:v>
                </c:pt>
                <c:pt idx="38">
                  <c:v>0.70624159400050179</c:v>
                </c:pt>
                <c:pt idx="39">
                  <c:v>0.81533511127323954</c:v>
                </c:pt>
                <c:pt idx="40">
                  <c:v>0.59171560666129397</c:v>
                </c:pt>
                <c:pt idx="41">
                  <c:v>0.94944181265437066</c:v>
                </c:pt>
                <c:pt idx="42">
                  <c:v>0.18864808415915757</c:v>
                </c:pt>
                <c:pt idx="43">
                  <c:v>0.60152573909379137</c:v>
                </c:pt>
                <c:pt idx="44">
                  <c:v>0.94199162050473551</c:v>
                </c:pt>
                <c:pt idx="45">
                  <c:v>0.21474859109613964</c:v>
                </c:pt>
                <c:pt idx="46">
                  <c:v>0.66272232051316526</c:v>
                </c:pt>
                <c:pt idx="47">
                  <c:v>0.87843928437876617</c:v>
                </c:pt>
                <c:pt idx="48">
                  <c:v>0.41965997259282728</c:v>
                </c:pt>
                <c:pt idx="49">
                  <c:v>0.957133736385124</c:v>
                </c:pt>
                <c:pt idx="50">
                  <c:v>0.16124297594020351</c:v>
                </c:pt>
              </c:numCache>
            </c:numRef>
          </c:yVal>
          <c:smooth val="1"/>
        </c:ser>
        <c:axId val="52958720"/>
        <c:axId val="52973568"/>
      </c:scatterChart>
      <c:valAx>
        <c:axId val="52958720"/>
        <c:scaling>
          <c:orientation val="minMax"/>
          <c:max val="50"/>
        </c:scaling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period</a:t>
                </a:r>
              </a:p>
            </c:rich>
          </c:tx>
          <c:spPr>
            <a:noFill/>
            <a:ln w="25400">
              <a:noFill/>
            </a:ln>
          </c:spPr>
        </c:title>
        <c:numFmt formatCode="#,##0" sourceLinked="0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2973568"/>
        <c:crosses val="autoZero"/>
        <c:crossBetween val="midCat"/>
        <c:majorUnit val="10"/>
      </c:valAx>
      <c:valAx>
        <c:axId val="52973568"/>
        <c:scaling>
          <c:orientation val="minMax"/>
          <c:max val="1"/>
        </c:scaling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Population Density</a:t>
                </a:r>
              </a:p>
            </c:rich>
          </c:tx>
          <c:spPr>
            <a:noFill/>
            <a:ln w="25400">
              <a:noFill/>
            </a:ln>
          </c:spPr>
        </c:title>
        <c:numFmt formatCode="0.000" sourceLinked="1"/>
        <c:majorTickMark val="none"/>
        <c:tickLblPos val="nextTo"/>
        <c:crossAx val="52958720"/>
        <c:crosses val="autoZero"/>
        <c:crossBetween val="midCat"/>
        <c:majorUnit val="0.2"/>
      </c:valAx>
    </c:plotArea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Logistic Growth With</a:t>
            </a:r>
            <a:r>
              <a:rPr lang="en-US" sz="1600" baseline="0"/>
              <a:t> Erosion (50 Periods)</a:t>
            </a:r>
            <a:endParaRPr lang="en-US" sz="1600"/>
          </a:p>
        </c:rich>
      </c:tx>
      <c:layout>
        <c:manualLayout>
          <c:xMode val="edge"/>
          <c:yMode val="edge"/>
          <c:x val="0.16853963406270858"/>
          <c:y val="2.2292993630573247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20037489827455354"/>
          <c:y val="0.18152866242038215"/>
          <c:w val="0.76966432888636926"/>
          <c:h val="0.60191082802547768"/>
        </c:manualLayout>
      </c:layout>
      <c:lineChart>
        <c:grouping val="standard"/>
        <c:ser>
          <c:idx val="1"/>
          <c:order val="0"/>
          <c:tx>
            <c:strRef>
              <c:f>'Forcing Model Figure 4'!$C$14</c:f>
              <c:strCache>
                <c:ptCount val="1"/>
                <c:pt idx="0">
                  <c:v>Nt </c:v>
                </c:pt>
              </c:strCache>
            </c:strRef>
          </c:tx>
          <c:marker>
            <c:symbol val="none"/>
          </c:marker>
          <c:val>
            <c:numRef>
              <c:f>'Forcing Model Figure 4'!$C$15:$C$64</c:f>
              <c:numCache>
                <c:formatCode>0.0</c:formatCode>
                <c:ptCount val="50"/>
                <c:pt idx="0" formatCode="_(* #,##0.0_);_(* \(#,##0.0\);_(* &quot;-&quot;??_);_(@_)">
                  <c:v>10029</c:v>
                </c:pt>
                <c:pt idx="1">
                  <c:v>34028.553700165481</c:v>
                </c:pt>
                <c:pt idx="2">
                  <c:v>81156.902508186598</c:v>
                </c:pt>
                <c:pt idx="3">
                  <c:v>33860.840424612521</c:v>
                </c:pt>
                <c:pt idx="4">
                  <c:v>80572.160632771527</c:v>
                </c:pt>
                <c:pt idx="5">
                  <c:v>35036.14255422783</c:v>
                </c:pt>
                <c:pt idx="6">
                  <c:v>81229.373599130573</c:v>
                </c:pt>
                <c:pt idx="7">
                  <c:v>32572.52123996416</c:v>
                </c:pt>
                <c:pt idx="8">
                  <c:v>78437.955929004063</c:v>
                </c:pt>
                <c:pt idx="9">
                  <c:v>39976.2270705681</c:v>
                </c:pt>
                <c:pt idx="10">
                  <c:v>83580.246894261159</c:v>
                </c:pt>
                <c:pt idx="11">
                  <c:v>24350.697901920918</c:v>
                </c:pt>
                <c:pt idx="12">
                  <c:v>66263.490370081272</c:v>
                </c:pt>
                <c:pt idx="13">
                  <c:v>65966.842070525745</c:v>
                </c:pt>
                <c:pt idx="14">
                  <c:v>66205.323634800588</c:v>
                </c:pt>
                <c:pt idx="15">
                  <c:v>65530.345840147442</c:v>
                </c:pt>
                <c:pt idx="16">
                  <c:v>66404.734475277437</c:v>
                </c:pt>
                <c:pt idx="17">
                  <c:v>64654.364811569656</c:v>
                </c:pt>
                <c:pt idx="18">
                  <c:v>67300.873816099076</c:v>
                </c:pt>
                <c:pt idx="19">
                  <c:v>62540.573287691106</c:v>
                </c:pt>
                <c:pt idx="20">
                  <c:v>69960.295933896952</c:v>
                </c:pt>
                <c:pt idx="21">
                  <c:v>56926.558110487247</c:v>
                </c:pt>
                <c:pt idx="22">
                  <c:v>76144.994205676849</c:v>
                </c:pt>
                <c:pt idx="23">
                  <c:v>42362.122184431864</c:v>
                </c:pt>
                <c:pt idx="24">
                  <c:v>81189.34323377152</c:v>
                </c:pt>
                <c:pt idx="25">
                  <c:v>28128.845036291619</c:v>
                </c:pt>
                <c:pt idx="26">
                  <c:v>69726.340289665866</c:v>
                </c:pt>
                <c:pt idx="27">
                  <c:v>55863.116108990027</c:v>
                </c:pt>
                <c:pt idx="28">
                  <c:v>75629.67847349224</c:v>
                </c:pt>
                <c:pt idx="29">
                  <c:v>42159.626618263988</c:v>
                </c:pt>
                <c:pt idx="30">
                  <c:v>79820.911927738285</c:v>
                </c:pt>
                <c:pt idx="31">
                  <c:v>30616.709047096709</c:v>
                </c:pt>
                <c:pt idx="32">
                  <c:v>71748.541772875309</c:v>
                </c:pt>
                <c:pt idx="33">
                  <c:v>50168.579920069576</c:v>
                </c:pt>
                <c:pt idx="34">
                  <c:v>77970.916493852244</c:v>
                </c:pt>
                <c:pt idx="35">
                  <c:v>34722.860073693744</c:v>
                </c:pt>
                <c:pt idx="36">
                  <c:v>74914.385139367805</c:v>
                </c:pt>
                <c:pt idx="37">
                  <c:v>41981.591433989757</c:v>
                </c:pt>
                <c:pt idx="38">
                  <c:v>78065.022497090278</c:v>
                </c:pt>
                <c:pt idx="39">
                  <c:v>33546.318681980993</c:v>
                </c:pt>
                <c:pt idx="40">
                  <c:v>73199.500320575084</c:v>
                </c:pt>
                <c:pt idx="41">
                  <c:v>45049.468556597174</c:v>
                </c:pt>
                <c:pt idx="42">
                  <c:v>77435.087848243464</c:v>
                </c:pt>
                <c:pt idx="43">
                  <c:v>34290.39607946467</c:v>
                </c:pt>
                <c:pt idx="44">
                  <c:v>73075.298519404561</c:v>
                </c:pt>
                <c:pt idx="45">
                  <c:v>44406.175948365577</c:v>
                </c:pt>
                <c:pt idx="46">
                  <c:v>76601.43475538466</c:v>
                </c:pt>
                <c:pt idx="47">
                  <c:v>35530.665159631513</c:v>
                </c:pt>
                <c:pt idx="48">
                  <c:v>73243.219839371566</c:v>
                </c:pt>
                <c:pt idx="49">
                  <c:v>43121.580687452282</c:v>
                </c:pt>
              </c:numCache>
            </c:numRef>
          </c:val>
        </c:ser>
        <c:marker val="1"/>
        <c:axId val="88868352"/>
        <c:axId val="52912896"/>
      </c:lineChart>
      <c:catAx>
        <c:axId val="888683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Period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#,##0" sourceLinked="0"/>
        <c:tickLblPos val="nextTo"/>
        <c:crossAx val="52912896"/>
        <c:crosses val="autoZero"/>
        <c:auto val="1"/>
        <c:lblAlgn val="ctr"/>
        <c:lblOffset val="100"/>
        <c:tickLblSkip val="10"/>
        <c:tickMarkSkip val="10"/>
      </c:catAx>
      <c:valAx>
        <c:axId val="5291289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Population Size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#,##0" sourceLinked="0"/>
        <c:tickLblPos val="nextTo"/>
        <c:crossAx val="88868352"/>
        <c:crosses val="autoZero"/>
        <c:crossBetween val="between"/>
        <c:majorUnit val="25000"/>
      </c:valAx>
    </c:plotArea>
    <c:plotVisOnly val="1"/>
    <c:dispBlanksAs val="gap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Logistic Growth With Erosion (</a:t>
            </a:r>
            <a:r>
              <a:rPr lang="en-US" sz="1500"/>
              <a:t>500</a:t>
            </a:r>
            <a:r>
              <a:rPr lang="en-US" sz="1600"/>
              <a:t> Periods)</a:t>
            </a:r>
          </a:p>
        </c:rich>
      </c:tx>
      <c:layout/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7132247170782361"/>
          <c:y val="0.2264808362369338"/>
          <c:w val="0.80074633515613203"/>
          <c:h val="0.54355400696864109"/>
        </c:manualLayout>
      </c:layout>
      <c:lineChart>
        <c:grouping val="standard"/>
        <c:ser>
          <c:idx val="1"/>
          <c:order val="0"/>
          <c:marker>
            <c:symbol val="none"/>
          </c:marker>
          <c:val>
            <c:numRef>
              <c:f>'Forcing Model Figure 4'!$C$15:$C$505</c:f>
              <c:numCache>
                <c:formatCode>0.0</c:formatCode>
                <c:ptCount val="491"/>
                <c:pt idx="0" formatCode="_(* #,##0.0_);_(* \(#,##0.0\);_(* &quot;-&quot;??_);_(@_)">
                  <c:v>10029</c:v>
                </c:pt>
                <c:pt idx="1">
                  <c:v>34028.553700165481</c:v>
                </c:pt>
                <c:pt idx="2">
                  <c:v>81156.902508186598</c:v>
                </c:pt>
                <c:pt idx="3">
                  <c:v>33860.840424612521</c:v>
                </c:pt>
                <c:pt idx="4">
                  <c:v>80572.160632771527</c:v>
                </c:pt>
                <c:pt idx="5">
                  <c:v>35036.14255422783</c:v>
                </c:pt>
                <c:pt idx="6">
                  <c:v>81229.373599130573</c:v>
                </c:pt>
                <c:pt idx="7">
                  <c:v>32572.52123996416</c:v>
                </c:pt>
                <c:pt idx="8">
                  <c:v>78437.955929004063</c:v>
                </c:pt>
                <c:pt idx="9">
                  <c:v>39976.2270705681</c:v>
                </c:pt>
                <c:pt idx="10">
                  <c:v>83580.246894261159</c:v>
                </c:pt>
                <c:pt idx="11">
                  <c:v>24350.697901920918</c:v>
                </c:pt>
                <c:pt idx="12">
                  <c:v>66263.490370081272</c:v>
                </c:pt>
                <c:pt idx="13">
                  <c:v>65966.842070525745</c:v>
                </c:pt>
                <c:pt idx="14">
                  <c:v>66205.323634800588</c:v>
                </c:pt>
                <c:pt idx="15">
                  <c:v>65530.345840147442</c:v>
                </c:pt>
                <c:pt idx="16">
                  <c:v>66404.734475277437</c:v>
                </c:pt>
                <c:pt idx="17">
                  <c:v>64654.364811569656</c:v>
                </c:pt>
                <c:pt idx="18">
                  <c:v>67300.873816099076</c:v>
                </c:pt>
                <c:pt idx="19">
                  <c:v>62540.573287691106</c:v>
                </c:pt>
                <c:pt idx="20">
                  <c:v>69960.295933896952</c:v>
                </c:pt>
                <c:pt idx="21">
                  <c:v>56926.558110487247</c:v>
                </c:pt>
                <c:pt idx="22">
                  <c:v>76144.994205676849</c:v>
                </c:pt>
                <c:pt idx="23">
                  <c:v>42362.122184431864</c:v>
                </c:pt>
                <c:pt idx="24">
                  <c:v>81189.34323377152</c:v>
                </c:pt>
                <c:pt idx="25">
                  <c:v>28128.845036291619</c:v>
                </c:pt>
                <c:pt idx="26">
                  <c:v>69726.340289665866</c:v>
                </c:pt>
                <c:pt idx="27">
                  <c:v>55863.116108990027</c:v>
                </c:pt>
                <c:pt idx="28">
                  <c:v>75629.67847349224</c:v>
                </c:pt>
                <c:pt idx="29">
                  <c:v>42159.626618263988</c:v>
                </c:pt>
                <c:pt idx="30">
                  <c:v>79820.911927738285</c:v>
                </c:pt>
                <c:pt idx="31">
                  <c:v>30616.709047096709</c:v>
                </c:pt>
                <c:pt idx="32">
                  <c:v>71748.541772875309</c:v>
                </c:pt>
                <c:pt idx="33">
                  <c:v>50168.579920069576</c:v>
                </c:pt>
                <c:pt idx="34">
                  <c:v>77970.916493852244</c:v>
                </c:pt>
                <c:pt idx="35">
                  <c:v>34722.860073693744</c:v>
                </c:pt>
                <c:pt idx="36">
                  <c:v>74914.385139367805</c:v>
                </c:pt>
                <c:pt idx="37">
                  <c:v>41981.591433989757</c:v>
                </c:pt>
                <c:pt idx="38">
                  <c:v>78065.022497090278</c:v>
                </c:pt>
                <c:pt idx="39">
                  <c:v>33546.318681980993</c:v>
                </c:pt>
                <c:pt idx="40">
                  <c:v>73199.500320575084</c:v>
                </c:pt>
                <c:pt idx="41">
                  <c:v>45049.468556597174</c:v>
                </c:pt>
                <c:pt idx="42">
                  <c:v>77435.087848243464</c:v>
                </c:pt>
                <c:pt idx="43">
                  <c:v>34290.39607946467</c:v>
                </c:pt>
                <c:pt idx="44">
                  <c:v>73075.298519404561</c:v>
                </c:pt>
                <c:pt idx="45">
                  <c:v>44406.175948365577</c:v>
                </c:pt>
                <c:pt idx="46">
                  <c:v>76601.43475538466</c:v>
                </c:pt>
                <c:pt idx="47">
                  <c:v>35530.665159631513</c:v>
                </c:pt>
                <c:pt idx="48">
                  <c:v>73243.219839371566</c:v>
                </c:pt>
                <c:pt idx="49">
                  <c:v>43121.580687452282</c:v>
                </c:pt>
                <c:pt idx="50">
                  <c:v>75723.8551936039</c:v>
                </c:pt>
                <c:pt idx="51">
                  <c:v>36833.183317561801</c:v>
                </c:pt>
                <c:pt idx="52">
                  <c:v>73305.256225516874</c:v>
                </c:pt>
                <c:pt idx="53">
                  <c:v>42094.143033984452</c:v>
                </c:pt>
                <c:pt idx="54">
                  <c:v>74795.341032474302</c:v>
                </c:pt>
                <c:pt idx="55">
                  <c:v>38205.250829895049</c:v>
                </c:pt>
                <c:pt idx="56">
                  <c:v>73246.590232549555</c:v>
                </c:pt>
                <c:pt idx="57">
                  <c:v>41357.120644418857</c:v>
                </c:pt>
                <c:pt idx="58">
                  <c:v>73877.360554559244</c:v>
                </c:pt>
                <c:pt idx="59">
                  <c:v>39494.446791835173</c:v>
                </c:pt>
                <c:pt idx="60">
                  <c:v>72995.773641459062</c:v>
                </c:pt>
                <c:pt idx="61">
                  <c:v>41066.325717262473</c:v>
                </c:pt>
                <c:pt idx="62">
                  <c:v>73045.013734497887</c:v>
                </c:pt>
                <c:pt idx="63">
                  <c:v>40536.435385680161</c:v>
                </c:pt>
                <c:pt idx="64">
                  <c:v>72543.601076774241</c:v>
                </c:pt>
                <c:pt idx="65">
                  <c:v>41227.842956392364</c:v>
                </c:pt>
                <c:pt idx="66">
                  <c:v>72316.426560215754</c:v>
                </c:pt>
                <c:pt idx="67">
                  <c:v>41309.875401514415</c:v>
                </c:pt>
                <c:pt idx="68">
                  <c:v>71954.718149115826</c:v>
                </c:pt>
                <c:pt idx="69">
                  <c:v>41679.682257111002</c:v>
                </c:pt>
                <c:pt idx="70">
                  <c:v>71639.716483611133</c:v>
                </c:pt>
                <c:pt idx="71">
                  <c:v>41943.435553619027</c:v>
                </c:pt>
                <c:pt idx="72">
                  <c:v>71301.447176370886</c:v>
                </c:pt>
                <c:pt idx="73">
                  <c:v>42250.94878673552</c:v>
                </c:pt>
                <c:pt idx="74">
                  <c:v>70962.692714381192</c:v>
                </c:pt>
                <c:pt idx="75">
                  <c:v>42553.422716292494</c:v>
                </c:pt>
                <c:pt idx="76">
                  <c:v>70616.740393489701</c:v>
                </c:pt>
                <c:pt idx="77">
                  <c:v>42864.461245264087</c:v>
                </c:pt>
                <c:pt idx="78">
                  <c:v>70264.643224798114</c:v>
                </c:pt>
                <c:pt idx="79">
                  <c:v>43181.365922786674</c:v>
                </c:pt>
                <c:pt idx="80">
                  <c:v>69905.760301805887</c:v>
                </c:pt>
                <c:pt idx="81">
                  <c:v>43504.895915418383</c:v>
                </c:pt>
                <c:pt idx="82">
                  <c:v>69539.693284470137</c:v>
                </c:pt>
                <c:pt idx="83">
                  <c:v>43835.260367274968</c:v>
                </c:pt>
                <c:pt idx="84">
                  <c:v>69165.980442404747</c:v>
                </c:pt>
                <c:pt idx="85">
                  <c:v>44172.737643925822</c:v>
                </c:pt>
                <c:pt idx="86">
                  <c:v>68784.128463090863</c:v>
                </c:pt>
                <c:pt idx="87">
                  <c:v>44517.60432578691</c:v>
                </c:pt>
                <c:pt idx="88">
                  <c:v>68393.609012180605</c:v>
                </c:pt>
                <c:pt idx="89">
                  <c:v>44870.134829743853</c:v>
                </c:pt>
                <c:pt idx="90">
                  <c:v>67993.858197317633</c:v>
                </c:pt>
                <c:pt idx="91">
                  <c:v>45230.594729058022</c:v>
                </c:pt>
                <c:pt idx="92">
                  <c:v>67584.277070392054</c:v>
                </c:pt>
                <c:pt idx="93">
                  <c:v>45599.231681039339</c:v>
                </c:pt>
                <c:pt idx="94">
                  <c:v>67164.233755675727</c:v>
                </c:pt>
                <c:pt idx="95">
                  <c:v>45976.263117216091</c:v>
                </c:pt>
                <c:pt idx="96">
                  <c:v>66733.067955547987</c:v>
                </c:pt>
                <c:pt idx="97">
                  <c:v>46361.859738138737</c:v>
                </c:pt>
                <c:pt idx="98">
                  <c:v>66290.0988537542</c:v>
                </c:pt>
                <c:pt idx="99">
                  <c:v>46756.123634891788</c:v>
                </c:pt>
                <c:pt idx="100">
                  <c:v>65834.637778627191</c:v>
                </c:pt>
                <c:pt idx="101">
                  <c:v>47159.059625869559</c:v>
                </c:pt>
                <c:pt idx="102">
                  <c:v>65366.007409224607</c:v>
                </c:pt>
                <c:pt idx="103">
                  <c:v>47570.538184072502</c:v>
                </c:pt>
                <c:pt idx="104">
                  <c:v>64883.569796218027</c:v>
                </c:pt>
                <c:pt idx="105">
                  <c:v>47990.248198004148</c:v>
                </c:pt>
                <c:pt idx="106">
                  <c:v>64386.765988674029</c:v>
                </c:pt>
                <c:pt idx="107">
                  <c:v>48417.637862440519</c:v>
                </c:pt>
                <c:pt idx="108">
                  <c:v>63875.170519085186</c:v>
                </c:pt>
                <c:pt idx="109">
                  <c:v>48851.842398923254</c:v>
                </c:pt>
                <c:pt idx="110">
                  <c:v>63348.564231141754</c:v>
                </c:pt>
                <c:pt idx="111">
                  <c:v>49291.598300676778</c:v>
                </c:pt>
                <c:pt idx="112">
                  <c:v>62807.028644686274</c:v>
                </c:pt>
                <c:pt idx="113">
                  <c:v>49735.145700667723</c:v>
                </c:pt>
                <c:pt idx="114">
                  <c:v>62251.063788012747</c:v>
                </c:pt>
                <c:pt idx="115">
                  <c:v>50180.123634481977</c:v>
                </c:pt>
                <c:pt idx="116">
                  <c:v>61681.728571284235</c:v>
                </c:pt>
                <c:pt idx="117">
                  <c:v>50623.467706560237</c:v>
                </c:pt>
                <c:pt idx="118">
                  <c:v>61100.79761942503</c:v>
                </c:pt>
                <c:pt idx="119">
                  <c:v>51061.325978762557</c:v>
                </c:pt>
                <c:pt idx="120">
                  <c:v>60510.920475731356</c:v>
                </c:pt>
                <c:pt idx="121">
                  <c:v>51489.016150698604</c:v>
                </c:pt>
                <c:pt idx="122">
                  <c:v>59915.758328710508</c:v>
                </c:pt>
                <c:pt idx="123">
                  <c:v>51901.05357306423</c:v>
                </c:pt>
                <c:pt idx="124">
                  <c:v>59320.061423902451</c:v>
                </c:pt>
                <c:pt idx="125">
                  <c:v>52291.282215810563</c:v>
                </c:pt>
                <c:pt idx="126">
                  <c:v>58729.640852433186</c:v>
                </c:pt>
                <c:pt idx="127">
                  <c:v>52653.135161288243</c:v>
                </c:pt>
                <c:pt idx="128">
                  <c:v>58151.187668708641</c:v>
                </c:pt>
                <c:pt idx="129">
                  <c:v>52980.033530355147</c:v>
                </c:pt>
                <c:pt idx="130">
                  <c:v>57591.907556123573</c:v>
                </c:pt>
                <c:pt idx="131">
                  <c:v>53265.901983969554</c:v>
                </c:pt>
                <c:pt idx="132">
                  <c:v>57058.975060410114</c:v>
                </c:pt>
                <c:pt idx="133">
                  <c:v>53505.740227076021</c:v>
                </c:pt>
                <c:pt idx="134">
                  <c:v>56558.864048376112</c:v>
                </c:pt>
                <c:pt idx="135">
                  <c:v>53696.155791276695</c:v>
                </c:pt>
                <c:pt idx="136">
                  <c:v>56096.664929556988</c:v>
                </c:pt>
                <c:pt idx="137">
                  <c:v>53835.750177978793</c:v>
                </c:pt>
                <c:pt idx="138">
                  <c:v>55675.52999522975</c:v>
                </c:pt>
                <c:pt idx="139">
                  <c:v>53925.270019023606</c:v>
                </c:pt>
                <c:pt idx="140">
                  <c:v>55296.37500534681</c:v>
                </c:pt>
                <c:pt idx="141">
                  <c:v>53967.485639799073</c:v>
                </c:pt>
                <c:pt idx="142">
                  <c:v>54957.905138938928</c:v>
                </c:pt>
                <c:pt idx="143">
                  <c:v>53966.824226438883</c:v>
                </c:pt>
                <c:pt idx="144">
                  <c:v>54656.94792466006</c:v>
                </c:pt>
                <c:pt idx="145">
                  <c:v>53928.839339692233</c:v>
                </c:pt>
                <c:pt idx="146">
                  <c:v>54388.99972169158</c:v>
                </c:pt>
                <c:pt idx="147">
                  <c:v>53859.624309332328</c:v>
                </c:pt>
                <c:pt idx="148">
                  <c:v>54148.85413830047</c:v>
                </c:pt>
                <c:pt idx="149">
                  <c:v>53765.270132597856</c:v>
                </c:pt>
                <c:pt idx="150">
                  <c:v>53931.187814480552</c:v>
                </c:pt>
                <c:pt idx="151">
                  <c:v>53651.43832937393</c:v>
                </c:pt>
                <c:pt idx="152">
                  <c:v>53731.018172169941</c:v>
                </c:pt>
                <c:pt idx="153">
                  <c:v>53523.080752555928</c:v>
                </c:pt>
                <c:pt idx="154">
                  <c:v>53543.997368324017</c:v>
                </c:pt>
                <c:pt idx="155">
                  <c:v>53384.30429625338</c:v>
                </c:pt>
                <c:pt idx="156">
                  <c:v>53366.548790950153</c:v>
                </c:pt>
                <c:pt idx="157">
                  <c:v>53238.355528369204</c:v>
                </c:pt>
                <c:pt idx="158">
                  <c:v>53195.878397782573</c:v>
                </c:pt>
                <c:pt idx="159">
                  <c:v>53087.689655701564</c:v>
                </c:pt>
                <c:pt idx="160">
                  <c:v>53029.902825417215</c:v>
                </c:pt>
                <c:pt idx="161">
                  <c:v>52934.087624086285</c:v>
                </c:pt>
                <c:pt idx="162">
                  <c:v>52867.133916886305</c:v>
                </c:pt>
                <c:pt idx="163">
                  <c:v>52778.790953123986</c:v>
                </c:pt>
                <c:pt idx="164">
                  <c:v>52706.550623757466</c:v>
                </c:pt>
                <c:pt idx="165">
                  <c:v>52622.632584418927</c:v>
                </c:pt>
                <c:pt idx="166">
                  <c:v>52547.478666308365</c:v>
                </c:pt>
                <c:pt idx="167">
                  <c:v>52466.150877804423</c:v>
                </c:pt>
                <c:pt idx="168">
                  <c:v>52389.488768326184</c:v>
                </c:pt>
                <c:pt idx="169">
                  <c:v>52309.681261586564</c:v>
                </c:pt>
                <c:pt idx="170">
                  <c:v>52232.317075985193</c:v>
                </c:pt>
                <c:pt idx="171">
                  <c:v>52153.425234497634</c:v>
                </c:pt>
                <c:pt idx="172">
                  <c:v>52075.806776756021</c:v>
                </c:pt>
                <c:pt idx="173">
                  <c:v>51997.499444580506</c:v>
                </c:pt>
                <c:pt idx="174">
                  <c:v>51919.867576401783</c:v>
                </c:pt>
                <c:pt idx="175">
                  <c:v>51841.968857360909</c:v>
                </c:pt>
                <c:pt idx="176">
                  <c:v>51764.448938812631</c:v>
                </c:pt>
                <c:pt idx="177">
                  <c:v>51686.86813826533</c:v>
                </c:pt>
                <c:pt idx="178">
                  <c:v>51609.523210490042</c:v>
                </c:pt>
                <c:pt idx="179">
                  <c:v>51532.214839174339</c:v>
                </c:pt>
                <c:pt idx="180">
                  <c:v>51455.075431016019</c:v>
                </c:pt>
                <c:pt idx="181">
                  <c:v>51378.017194105538</c:v>
                </c:pt>
                <c:pt idx="182">
                  <c:v>51301.097430815404</c:v>
                </c:pt>
                <c:pt idx="183">
                  <c:v>51224.278544188244</c:v>
                </c:pt>
                <c:pt idx="184">
                  <c:v>51147.584546663791</c:v>
                </c:pt>
                <c:pt idx="185">
                  <c:v>51070.999752149241</c:v>
                </c:pt>
                <c:pt idx="186">
                  <c:v>50994.533863840654</c:v>
                </c:pt>
                <c:pt idx="187">
                  <c:v>50918.180469960571</c:v>
                </c:pt>
                <c:pt idx="188">
                  <c:v>50841.94331057035</c:v>
                </c:pt>
                <c:pt idx="189">
                  <c:v>50765.819779669961</c:v>
                </c:pt>
                <c:pt idx="190">
                  <c:v>50689.811208704486</c:v>
                </c:pt>
                <c:pt idx="191">
                  <c:v>50613.916505501817</c:v>
                </c:pt>
                <c:pt idx="192">
                  <c:v>50538.13605888631</c:v>
                </c:pt>
                <c:pt idx="193">
                  <c:v>50462.469360355448</c:v>
                </c:pt>
                <c:pt idx="194">
                  <c:v>50386.916441525944</c:v>
                </c:pt>
                <c:pt idx="195">
                  <c:v>50311.477012099363</c:v>
                </c:pt>
                <c:pt idx="196">
                  <c:v>50236.15097278505</c:v>
                </c:pt>
                <c:pt idx="197">
                  <c:v>50160.938112497526</c:v>
                </c:pt>
                <c:pt idx="198">
                  <c:v>50085.838285704434</c:v>
                </c:pt>
                <c:pt idx="199">
                  <c:v>50010.85130937826</c:v>
                </c:pt>
                <c:pt idx="200">
                  <c:v>49935.977022394756</c:v>
                </c:pt>
                <c:pt idx="201">
                  <c:v>49861.215251568072</c:v>
                </c:pt>
                <c:pt idx="202">
                  <c:v>49786.565830915082</c:v>
                </c:pt>
                <c:pt idx="203">
                  <c:v>49712.028590816466</c:v>
                </c:pt>
                <c:pt idx="204">
                  <c:v>49637.60336406462</c:v>
                </c:pt>
                <c:pt idx="205">
                  <c:v>49563.289982515707</c:v>
                </c:pt>
                <c:pt idx="206">
                  <c:v>49489.088278926858</c:v>
                </c:pt>
                <c:pt idx="207">
                  <c:v>49414.998085955369</c:v>
                </c:pt>
                <c:pt idx="208">
                  <c:v>49341.019236698536</c:v>
                </c:pt>
                <c:pt idx="209">
                  <c:v>49267.151564403954</c:v>
                </c:pt>
                <c:pt idx="210">
                  <c:v>49193.394902622807</c:v>
                </c:pt>
                <c:pt idx="211">
                  <c:v>49119.74908512862</c:v>
                </c:pt>
                <c:pt idx="212">
                  <c:v>49046.213945959003</c:v>
                </c:pt>
                <c:pt idx="213">
                  <c:v>48972.789319393567</c:v>
                </c:pt>
                <c:pt idx="214">
                  <c:v>48899.475039964665</c:v>
                </c:pt>
                <c:pt idx="215">
                  <c:v>48826.270942451323</c:v>
                </c:pt>
                <c:pt idx="216">
                  <c:v>48753.176861881839</c:v>
                </c:pt>
                <c:pt idx="217">
                  <c:v>48680.192633531791</c:v>
                </c:pt>
                <c:pt idx="218">
                  <c:v>48607.318092924594</c:v>
                </c:pt>
                <c:pt idx="219">
                  <c:v>48534.553075830612</c:v>
                </c:pt>
                <c:pt idx="220">
                  <c:v>48461.897418267021</c:v>
                </c:pt>
                <c:pt idx="221">
                  <c:v>48389.350956497372</c:v>
                </c:pt>
                <c:pt idx="222">
                  <c:v>48316.913527031254</c:v>
                </c:pt>
                <c:pt idx="223">
                  <c:v>48244.584966623835</c:v>
                </c:pt>
                <c:pt idx="224">
                  <c:v>48172.365112275656</c:v>
                </c:pt>
                <c:pt idx="225">
                  <c:v>48100.253801232087</c:v>
                </c:pt>
                <c:pt idx="226">
                  <c:v>48028.250870983102</c:v>
                </c:pt>
                <c:pt idx="227">
                  <c:v>47956.35615926281</c:v>
                </c:pt>
                <c:pt idx="228">
                  <c:v>47884.569504049126</c:v>
                </c:pt>
                <c:pt idx="229">
                  <c:v>47812.89074356349</c:v>
                </c:pt>
                <c:pt idx="230">
                  <c:v>47741.319716270307</c:v>
                </c:pt>
                <c:pt idx="231">
                  <c:v>47669.856260876812</c:v>
                </c:pt>
                <c:pt idx="232">
                  <c:v>47598.500216332497</c:v>
                </c:pt>
                <c:pt idx="233">
                  <c:v>47527.251421828922</c:v>
                </c:pt>
                <c:pt idx="234">
                  <c:v>47456.109716799241</c:v>
                </c:pt>
                <c:pt idx="235">
                  <c:v>47385.074940917853</c:v>
                </c:pt>
                <c:pt idx="236">
                  <c:v>47314.146934100128</c:v>
                </c:pt>
                <c:pt idx="237">
                  <c:v>47243.325536501899</c:v>
                </c:pt>
                <c:pt idx="238">
                  <c:v>47172.610588519245</c:v>
                </c:pt>
                <c:pt idx="239">
                  <c:v>47102.00193078805</c:v>
                </c:pt>
                <c:pt idx="240">
                  <c:v>47031.499404183633</c:v>
                </c:pt>
                <c:pt idx="241">
                  <c:v>46961.102849820476</c:v>
                </c:pt>
                <c:pt idx="242">
                  <c:v>46890.812109051752</c:v>
                </c:pt>
                <c:pt idx="243">
                  <c:v>46820.627023469067</c:v>
                </c:pt>
                <c:pt idx="244">
                  <c:v>46750.547434902051</c:v>
                </c:pt>
                <c:pt idx="245">
                  <c:v>46680.573185417968</c:v>
                </c:pt>
                <c:pt idx="246">
                  <c:v>46610.704117321489</c:v>
                </c:pt>
                <c:pt idx="247">
                  <c:v>46540.940073154154</c:v>
                </c:pt>
                <c:pt idx="248">
                  <c:v>46471.280895694181</c:v>
                </c:pt>
                <c:pt idx="249">
                  <c:v>46401.726427955997</c:v>
                </c:pt>
                <c:pt idx="250">
                  <c:v>46332.27651318998</c:v>
                </c:pt>
                <c:pt idx="251">
                  <c:v>46262.930994882016</c:v>
                </c:pt>
                <c:pt idx="252">
                  <c:v>46193.689716753186</c:v>
                </c:pt>
                <c:pt idx="253">
                  <c:v>46124.552522759455</c:v>
                </c:pt>
                <c:pt idx="254">
                  <c:v>46055.519257091226</c:v>
                </c:pt>
                <c:pt idx="255">
                  <c:v>45986.589764173077</c:v>
                </c:pt>
                <c:pt idx="256">
                  <c:v>45917.763888663379</c:v>
                </c:pt>
                <c:pt idx="257">
                  <c:v>45849.041475453894</c:v>
                </c:pt>
                <c:pt idx="258">
                  <c:v>45780.422369669541</c:v>
                </c:pt>
                <c:pt idx="259">
                  <c:v>45711.906416667931</c:v>
                </c:pt>
                <c:pt idx="260">
                  <c:v>45643.493462039078</c:v>
                </c:pt>
                <c:pt idx="261">
                  <c:v>45575.183351605046</c:v>
                </c:pt>
                <c:pt idx="262">
                  <c:v>45506.975931419584</c:v>
                </c:pt>
                <c:pt idx="263">
                  <c:v>45438.871047767811</c:v>
                </c:pt>
                <c:pt idx="264">
                  <c:v>45370.868547165803</c:v>
                </c:pt>
                <c:pt idx="265">
                  <c:v>45302.968276360349</c:v>
                </c:pt>
                <c:pt idx="266">
                  <c:v>45235.170082328521</c:v>
                </c:pt>
                <c:pt idx="267">
                  <c:v>45167.473812277334</c:v>
                </c:pt>
                <c:pt idx="268">
                  <c:v>45099.879313643469</c:v>
                </c:pt>
                <c:pt idx="269">
                  <c:v>45032.386434092834</c:v>
                </c:pt>
                <c:pt idx="270">
                  <c:v>44964.995021520343</c:v>
                </c:pt>
                <c:pt idx="271">
                  <c:v>44897.704924049402</c:v>
                </c:pt>
                <c:pt idx="272">
                  <c:v>44830.515990031745</c:v>
                </c:pt>
                <c:pt idx="273">
                  <c:v>44763.428068046967</c:v>
                </c:pt>
                <c:pt idx="274">
                  <c:v>44696.441006902285</c:v>
                </c:pt>
                <c:pt idx="275">
                  <c:v>44629.554655632048</c:v>
                </c:pt>
                <c:pt idx="276">
                  <c:v>44562.768863497586</c:v>
                </c:pt>
                <c:pt idx="277">
                  <c:v>44496.083479986701</c:v>
                </c:pt>
                <c:pt idx="278">
                  <c:v>44429.498354813448</c:v>
                </c:pt>
                <c:pt idx="279">
                  <c:v>44363.013337917691</c:v>
                </c:pt>
                <c:pt idx="280">
                  <c:v>44296.628279464901</c:v>
                </c:pt>
                <c:pt idx="281">
                  <c:v>44230.343029845637</c:v>
                </c:pt>
                <c:pt idx="282">
                  <c:v>44164.157439675429</c:v>
                </c:pt>
                <c:pt idx="283">
                  <c:v>44098.071359794201</c:v>
                </c:pt>
                <c:pt idx="284">
                  <c:v>44032.084641266156</c:v>
                </c:pt>
                <c:pt idx="285">
                  <c:v>43966.197135379254</c:v>
                </c:pt>
                <c:pt idx="286">
                  <c:v>43900.408693645055</c:v>
                </c:pt>
                <c:pt idx="287">
                  <c:v>43834.719167798205</c:v>
                </c:pt>
                <c:pt idx="288">
                  <c:v>43769.128409796234</c:v>
                </c:pt>
                <c:pt idx="289">
                  <c:v>43703.636271819196</c:v>
                </c:pt>
                <c:pt idx="290">
                  <c:v>43638.242606269261</c:v>
                </c:pt>
                <c:pt idx="291">
                  <c:v>43572.947265770461</c:v>
                </c:pt>
                <c:pt idx="292">
                  <c:v>43507.750103168371</c:v>
                </c:pt>
                <c:pt idx="293">
                  <c:v>43442.650971529663</c:v>
                </c:pt>
                <c:pt idx="294">
                  <c:v>43377.649724141949</c:v>
                </c:pt>
                <c:pt idx="295">
                  <c:v>43312.746214513281</c:v>
                </c:pt>
                <c:pt idx="296">
                  <c:v>43247.940296371897</c:v>
                </c:pt>
                <c:pt idx="297">
                  <c:v>43183.231823665927</c:v>
                </c:pt>
                <c:pt idx="298">
                  <c:v>43118.620650562996</c:v>
                </c:pt>
                <c:pt idx="299">
                  <c:v>43054.106631449926</c:v>
                </c:pt>
                <c:pt idx="300">
                  <c:v>42989.689620932411</c:v>
                </c:pt>
                <c:pt idx="301">
                  <c:v>42925.369473834675</c:v>
                </c:pt>
                <c:pt idx="302">
                  <c:v>42861.146045199173</c:v>
                </c:pt>
                <c:pt idx="303">
                  <c:v>42797.019190286213</c:v>
                </c:pt>
                <c:pt idx="304">
                  <c:v>42732.988764573674</c:v>
                </c:pt>
                <c:pt idx="305">
                  <c:v>42669.054623756674</c:v>
                </c:pt>
                <c:pt idx="306">
                  <c:v>42605.216623747234</c:v>
                </c:pt>
                <c:pt idx="307">
                  <c:v>42541.474620673951</c:v>
                </c:pt>
                <c:pt idx="308">
                  <c:v>42477.828470881679</c:v>
                </c:pt>
                <c:pt idx="309">
                  <c:v>42414.278030931215</c:v>
                </c:pt>
                <c:pt idx="310">
                  <c:v>42350.823157598941</c:v>
                </c:pt>
                <c:pt idx="311">
                  <c:v>42287.463707876552</c:v>
                </c:pt>
                <c:pt idx="312">
                  <c:v>42224.199538970701</c:v>
                </c:pt>
                <c:pt idx="313">
                  <c:v>42161.030508302661</c:v>
                </c:pt>
                <c:pt idx="314">
                  <c:v>42097.956473508078</c:v>
                </c:pt>
                <c:pt idx="315">
                  <c:v>42034.977292436517</c:v>
                </c:pt>
                <c:pt idx="316">
                  <c:v>41972.09282315131</c:v>
                </c:pt>
                <c:pt idx="317">
                  <c:v>41909.302923929077</c:v>
                </c:pt>
                <c:pt idx="318">
                  <c:v>41846.607453259516</c:v>
                </c:pt>
                <c:pt idx="319">
                  <c:v>41784.006269845027</c:v>
                </c:pt>
                <c:pt idx="320">
                  <c:v>41721.499232600436</c:v>
                </c:pt>
                <c:pt idx="321">
                  <c:v>41659.086200652615</c:v>
                </c:pt>
                <c:pt idx="322">
                  <c:v>41596.767033340242</c:v>
                </c:pt>
                <c:pt idx="323">
                  <c:v>41534.541590213405</c:v>
                </c:pt>
                <c:pt idx="324">
                  <c:v>41472.409731033345</c:v>
                </c:pt>
                <c:pt idx="325">
                  <c:v>41410.371315772129</c:v>
                </c:pt>
                <c:pt idx="326">
                  <c:v>41348.426204612297</c:v>
                </c:pt>
                <c:pt idx="327">
                  <c:v>41286.574257946588</c:v>
                </c:pt>
                <c:pt idx="328">
                  <c:v>41224.815336377629</c:v>
                </c:pt>
                <c:pt idx="329">
                  <c:v>41163.14930071756</c:v>
                </c:pt>
                <c:pt idx="330">
                  <c:v>41101.576011987796</c:v>
                </c:pt>
                <c:pt idx="331">
                  <c:v>41040.095331418655</c:v>
                </c:pt>
                <c:pt idx="332">
                  <c:v>40978.707120449108</c:v>
                </c:pt>
                <c:pt idx="333">
                  <c:v>40917.411240726382</c:v>
                </c:pt>
                <c:pt idx="334">
                  <c:v>40856.207554105735</c:v>
                </c:pt>
                <c:pt idx="335">
                  <c:v>40795.095922650078</c:v>
                </c:pt>
                <c:pt idx="336">
                  <c:v>40734.076208629689</c:v>
                </c:pt>
                <c:pt idx="337">
                  <c:v>40673.148274521918</c:v>
                </c:pt>
                <c:pt idx="338">
                  <c:v>40612.31198301087</c:v>
                </c:pt>
                <c:pt idx="339">
                  <c:v>40551.567196987053</c:v>
                </c:pt>
                <c:pt idx="340">
                  <c:v>40490.91377954714</c:v>
                </c:pt>
                <c:pt idx="341">
                  <c:v>40430.351593993597</c:v>
                </c:pt>
                <c:pt idx="342">
                  <c:v>40369.880503834422</c:v>
                </c:pt>
                <c:pt idx="343">
                  <c:v>40309.500372782801</c:v>
                </c:pt>
                <c:pt idx="344">
                  <c:v>40249.211064756812</c:v>
                </c:pt>
                <c:pt idx="345">
                  <c:v>40189.012443879146</c:v>
                </c:pt>
                <c:pt idx="346">
                  <c:v>40128.904374476762</c:v>
                </c:pt>
                <c:pt idx="347">
                  <c:v>40068.886721080584</c:v>
                </c:pt>
                <c:pt idx="348">
                  <c:v>40008.959348425218</c:v>
                </c:pt>
                <c:pt idx="349">
                  <c:v>39949.122121448665</c:v>
                </c:pt>
                <c:pt idx="350">
                  <c:v>39889.37490529193</c:v>
                </c:pt>
                <c:pt idx="351">
                  <c:v>39829.717565298815</c:v>
                </c:pt>
                <c:pt idx="352">
                  <c:v>39770.149967015561</c:v>
                </c:pt>
                <c:pt idx="353">
                  <c:v>39710.671976190584</c:v>
                </c:pt>
                <c:pt idx="354">
                  <c:v>39651.283458774102</c:v>
                </c:pt>
                <c:pt idx="355">
                  <c:v>39591.984280917924</c:v>
                </c:pt>
                <c:pt idx="356">
                  <c:v>39532.774308975073</c:v>
                </c:pt>
                <c:pt idx="357">
                  <c:v>39473.65340949953</c:v>
                </c:pt>
                <c:pt idx="358">
                  <c:v>39414.621449245897</c:v>
                </c:pt>
                <c:pt idx="359">
                  <c:v>39355.678295169157</c:v>
                </c:pt>
                <c:pt idx="360">
                  <c:v>39296.823814424279</c:v>
                </c:pt>
                <c:pt idx="361">
                  <c:v>39238.057874366015</c:v>
                </c:pt>
                <c:pt idx="362">
                  <c:v>39179.380342548546</c:v>
                </c:pt>
                <c:pt idx="363">
                  <c:v>39120.791086725199</c:v>
                </c:pt>
                <c:pt idx="364">
                  <c:v>39062.289974848129</c:v>
                </c:pt>
                <c:pt idx="365">
                  <c:v>39003.876875068054</c:v>
                </c:pt>
                <c:pt idx="366">
                  <c:v>38945.551655733936</c:v>
                </c:pt>
                <c:pt idx="367">
                  <c:v>38887.314185392701</c:v>
                </c:pt>
                <c:pt idx="368">
                  <c:v>38829.164332788911</c:v>
                </c:pt>
                <c:pt idx="369">
                  <c:v>38771.101966864502</c:v>
                </c:pt>
                <c:pt idx="370">
                  <c:v>38713.12695675846</c:v>
                </c:pt>
                <c:pt idx="371">
                  <c:v>38655.239171806577</c:v>
                </c:pt>
                <c:pt idx="372">
                  <c:v>38597.438481541067</c:v>
                </c:pt>
                <c:pt idx="373">
                  <c:v>38539.72475569036</c:v>
                </c:pt>
                <c:pt idx="374">
                  <c:v>38482.097864178766</c:v>
                </c:pt>
                <c:pt idx="375">
                  <c:v>38424.557677126177</c:v>
                </c:pt>
                <c:pt idx="376">
                  <c:v>38367.104064847808</c:v>
                </c:pt>
                <c:pt idx="377">
                  <c:v>38309.736897853843</c:v>
                </c:pt>
                <c:pt idx="378">
                  <c:v>38252.456046849227</c:v>
                </c:pt>
                <c:pt idx="379">
                  <c:v>38195.26138273329</c:v>
                </c:pt>
                <c:pt idx="380">
                  <c:v>38138.15277659952</c:v>
                </c:pt>
                <c:pt idx="381">
                  <c:v>38081.130099735237</c:v>
                </c:pt>
                <c:pt idx="382">
                  <c:v>38024.193223621303</c:v>
                </c:pt>
                <c:pt idx="383">
                  <c:v>37967.342019931872</c:v>
                </c:pt>
                <c:pt idx="384">
                  <c:v>37910.57636053404</c:v>
                </c:pt>
                <c:pt idx="385">
                  <c:v>37853.89611748758</c:v>
                </c:pt>
                <c:pt idx="386">
                  <c:v>37797.301163044707</c:v>
                </c:pt>
                <c:pt idx="387">
                  <c:v>37740.791369649691</c:v>
                </c:pt>
                <c:pt idx="388">
                  <c:v>37684.366609938632</c:v>
                </c:pt>
                <c:pt idx="389">
                  <c:v>37628.026756739193</c:v>
                </c:pt>
                <c:pt idx="390">
                  <c:v>37571.771683070248</c:v>
                </c:pt>
                <c:pt idx="391">
                  <c:v>37515.601262141638</c:v>
                </c:pt>
                <c:pt idx="392">
                  <c:v>37459.515367353881</c:v>
                </c:pt>
                <c:pt idx="393">
                  <c:v>37403.513872297859</c:v>
                </c:pt>
                <c:pt idx="394">
                  <c:v>37347.596650754596</c:v>
                </c:pt>
                <c:pt idx="395">
                  <c:v>37291.763576694902</c:v>
                </c:pt>
                <c:pt idx="396">
                  <c:v>37236.014524279133</c:v>
                </c:pt>
                <c:pt idx="397">
                  <c:v>37180.349367856878</c:v>
                </c:pt>
                <c:pt idx="398">
                  <c:v>37124.767981966696</c:v>
                </c:pt>
                <c:pt idx="399">
                  <c:v>37069.270241335842</c:v>
                </c:pt>
                <c:pt idx="400">
                  <c:v>37013.856020879975</c:v>
                </c:pt>
                <c:pt idx="401">
                  <c:v>36958.52519570283</c:v>
                </c:pt>
                <c:pt idx="402">
                  <c:v>36903.277641096014</c:v>
                </c:pt>
                <c:pt idx="403">
                  <c:v>36848.113232538679</c:v>
                </c:pt>
                <c:pt idx="404">
                  <c:v>36793.031845697238</c:v>
                </c:pt>
                <c:pt idx="405">
                  <c:v>36738.033356425134</c:v>
                </c:pt>
                <c:pt idx="406">
                  <c:v>36683.117640762473</c:v>
                </c:pt>
                <c:pt idx="407">
                  <c:v>36628.284574935809</c:v>
                </c:pt>
                <c:pt idx="408">
                  <c:v>36573.534035357879</c:v>
                </c:pt>
                <c:pt idx="409">
                  <c:v>36518.865898627264</c:v>
                </c:pt>
                <c:pt idx="410">
                  <c:v>36464.280041528153</c:v>
                </c:pt>
                <c:pt idx="411">
                  <c:v>36409.776341030047</c:v>
                </c:pt>
                <c:pt idx="412">
                  <c:v>36355.354674287482</c:v>
                </c:pt>
                <c:pt idx="413">
                  <c:v>36301.01491863979</c:v>
                </c:pt>
                <c:pt idx="414">
                  <c:v>36246.75695161074</c:v>
                </c:pt>
                <c:pt idx="415">
                  <c:v>36192.580650908356</c:v>
                </c:pt>
                <c:pt idx="416">
                  <c:v>36138.485894424572</c:v>
                </c:pt>
                <c:pt idx="417">
                  <c:v>36084.472560234994</c:v>
                </c:pt>
                <c:pt idx="418">
                  <c:v>36030.540526598605</c:v>
                </c:pt>
                <c:pt idx="419">
                  <c:v>35976.689671957487</c:v>
                </c:pt>
                <c:pt idx="420">
                  <c:v>35922.919874936582</c:v>
                </c:pt>
                <c:pt idx="421">
                  <c:v>35869.231014343379</c:v>
                </c:pt>
                <c:pt idx="422">
                  <c:v>35815.622969167656</c:v>
                </c:pt>
                <c:pt idx="423">
                  <c:v>35762.095618581196</c:v>
                </c:pt>
                <c:pt idx="424">
                  <c:v>35708.648841937546</c:v>
                </c:pt>
                <c:pt idx="425">
                  <c:v>35655.282518771703</c:v>
                </c:pt>
                <c:pt idx="426">
                  <c:v>35601.996528799886</c:v>
                </c:pt>
                <c:pt idx="427">
                  <c:v>35548.790751919201</c:v>
                </c:pt>
                <c:pt idx="428">
                  <c:v>35495.665068207454</c:v>
                </c:pt>
                <c:pt idx="429">
                  <c:v>35442.619357922813</c:v>
                </c:pt>
                <c:pt idx="430">
                  <c:v>35389.653501503562</c:v>
                </c:pt>
                <c:pt idx="431">
                  <c:v>35336.767379567827</c:v>
                </c:pt>
                <c:pt idx="432">
                  <c:v>35283.960872913318</c:v>
                </c:pt>
                <c:pt idx="433">
                  <c:v>35231.23386251706</c:v>
                </c:pt>
                <c:pt idx="434">
                  <c:v>35178.586229535089</c:v>
                </c:pt>
                <c:pt idx="435">
                  <c:v>35126.017855302249</c:v>
                </c:pt>
                <c:pt idx="436">
                  <c:v>35073.528621331854</c:v>
                </c:pt>
                <c:pt idx="437">
                  <c:v>35021.118409315459</c:v>
                </c:pt>
                <c:pt idx="438">
                  <c:v>34968.787101122609</c:v>
                </c:pt>
                <c:pt idx="439">
                  <c:v>34916.534578800514</c:v>
                </c:pt>
                <c:pt idx="440">
                  <c:v>34864.36072457386</c:v>
                </c:pt>
                <c:pt idx="441">
                  <c:v>34812.265420844473</c:v>
                </c:pt>
                <c:pt idx="442">
                  <c:v>34760.248550191092</c:v>
                </c:pt>
                <c:pt idx="443">
                  <c:v>34708.309995369098</c:v>
                </c:pt>
                <c:pt idx="444">
                  <c:v>34656.449639310245</c:v>
                </c:pt>
                <c:pt idx="445">
                  <c:v>34604.667365122397</c:v>
                </c:pt>
                <c:pt idx="446">
                  <c:v>34552.963056089269</c:v>
                </c:pt>
                <c:pt idx="447">
                  <c:v>34501.33659567016</c:v>
                </c:pt>
                <c:pt idx="448">
                  <c:v>34449.787867499668</c:v>
                </c:pt>
                <c:pt idx="449">
                  <c:v>34398.316755387481</c:v>
                </c:pt>
                <c:pt idx="450">
                  <c:v>34346.923143318061</c:v>
                </c:pt>
                <c:pt idx="451">
                  <c:v>34295.606915450415</c:v>
                </c:pt>
                <c:pt idx="452">
                  <c:v>34244.367956117814</c:v>
                </c:pt>
                <c:pt idx="453">
                  <c:v>34193.206149827543</c:v>
                </c:pt>
                <c:pt idx="454">
                  <c:v>34142.121381260644</c:v>
                </c:pt>
                <c:pt idx="455">
                  <c:v>34091.113535271645</c:v>
                </c:pt>
                <c:pt idx="456">
                  <c:v>34040.182496888294</c:v>
                </c:pt>
                <c:pt idx="457">
                  <c:v>33989.328151311332</c:v>
                </c:pt>
                <c:pt idx="458">
                  <c:v>33938.550383914189</c:v>
                </c:pt>
                <c:pt idx="459">
                  <c:v>33887.84908024277</c:v>
                </c:pt>
                <c:pt idx="460">
                  <c:v>33837.224126015157</c:v>
                </c:pt>
                <c:pt idx="461">
                  <c:v>33786.67540712138</c:v>
                </c:pt>
                <c:pt idx="462">
                  <c:v>33736.202809623144</c:v>
                </c:pt>
                <c:pt idx="463">
                  <c:v>33685.806219753576</c:v>
                </c:pt>
                <c:pt idx="464">
                  <c:v>33635.48552391697</c:v>
                </c:pt>
                <c:pt idx="465">
                  <c:v>33585.240608688546</c:v>
                </c:pt>
                <c:pt idx="466">
                  <c:v>33535.071360814138</c:v>
                </c:pt>
                <c:pt idx="467">
                  <c:v>33484.977667210005</c:v>
                </c:pt>
                <c:pt idx="468">
                  <c:v>33434.959414962555</c:v>
                </c:pt>
                <c:pt idx="469">
                  <c:v>33385.016491328053</c:v>
                </c:pt>
                <c:pt idx="470">
                  <c:v>33335.148783732438</c:v>
                </c:pt>
                <c:pt idx="471">
                  <c:v>33285.356179770999</c:v>
                </c:pt>
                <c:pt idx="472">
                  <c:v>33235.638567208152</c:v>
                </c:pt>
                <c:pt idx="473">
                  <c:v>33185.995833977198</c:v>
                </c:pt>
                <c:pt idx="474">
                  <c:v>33136.42786818005</c:v>
                </c:pt>
                <c:pt idx="475">
                  <c:v>33086.934558086978</c:v>
                </c:pt>
                <c:pt idx="476">
                  <c:v>33037.515792136386</c:v>
                </c:pt>
                <c:pt idx="477">
                  <c:v>32988.171458934528</c:v>
                </c:pt>
                <c:pt idx="478">
                  <c:v>32938.901447255274</c:v>
                </c:pt>
                <c:pt idx="479">
                  <c:v>32889.705646039838</c:v>
                </c:pt>
                <c:pt idx="480">
                  <c:v>32840.583944396574</c:v>
                </c:pt>
                <c:pt idx="481">
                  <c:v>32791.536231600658</c:v>
                </c:pt>
                <c:pt idx="482">
                  <c:v>32742.562397093909</c:v>
                </c:pt>
                <c:pt idx="483">
                  <c:v>32693.662330484487</c:v>
                </c:pt>
                <c:pt idx="484">
                  <c:v>32644.835921546666</c:v>
                </c:pt>
                <c:pt idx="485">
                  <c:v>32596.083060220582</c:v>
                </c:pt>
                <c:pt idx="486">
                  <c:v>32547.403636611984</c:v>
                </c:pt>
                <c:pt idx="487">
                  <c:v>32498.797540991978</c:v>
                </c:pt>
                <c:pt idx="488">
                  <c:v>32450.264663796799</c:v>
                </c:pt>
                <c:pt idx="489">
                  <c:v>32401.804895627549</c:v>
                </c:pt>
                <c:pt idx="490">
                  <c:v>32353.418127249952</c:v>
                </c:pt>
              </c:numCache>
            </c:numRef>
          </c:val>
        </c:ser>
        <c:marker val="1"/>
        <c:axId val="52936704"/>
        <c:axId val="52938624"/>
      </c:lineChart>
      <c:catAx>
        <c:axId val="529367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Period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General" sourceLinked="1"/>
        <c:tickLblPos val="nextTo"/>
        <c:crossAx val="52938624"/>
        <c:crosses val="autoZero"/>
        <c:auto val="1"/>
        <c:lblAlgn val="ctr"/>
        <c:lblOffset val="100"/>
        <c:tickLblSkip val="50"/>
        <c:tickMarkSkip val="50"/>
      </c:catAx>
      <c:valAx>
        <c:axId val="5293862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Population Size</a:t>
                </a:r>
              </a:p>
            </c:rich>
          </c:tx>
          <c:layout/>
          <c:spPr>
            <a:noFill/>
            <a:ln w="25400">
              <a:noFill/>
            </a:ln>
          </c:spPr>
        </c:title>
        <c:numFmt formatCode="#,##0" sourceLinked="0"/>
        <c:tickLblPos val="nextTo"/>
        <c:crossAx val="52936704"/>
        <c:crosses val="autoZero"/>
        <c:crossBetween val="between"/>
        <c:majorUnit val="25000"/>
      </c:valAx>
    </c:plotArea>
    <c:plotVisOnly val="1"/>
    <c:dispBlanksAs val="gap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16</xdr:row>
      <xdr:rowOff>28575</xdr:rowOff>
    </xdr:from>
    <xdr:to>
      <xdr:col>13</xdr:col>
      <xdr:colOff>571500</xdr:colOff>
      <xdr:row>36</xdr:row>
      <xdr:rowOff>76200</xdr:rowOff>
    </xdr:to>
    <xdr:graphicFrame macro="">
      <xdr:nvGraphicFramePr>
        <xdr:cNvPr id="3072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16</xdr:row>
      <xdr:rowOff>0</xdr:rowOff>
    </xdr:from>
    <xdr:to>
      <xdr:col>12</xdr:col>
      <xdr:colOff>485775</xdr:colOff>
      <xdr:row>36</xdr:row>
      <xdr:rowOff>19050</xdr:rowOff>
    </xdr:to>
    <xdr:graphicFrame macro="">
      <xdr:nvGraphicFramePr>
        <xdr:cNvPr id="1024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14</xdr:row>
      <xdr:rowOff>9525</xdr:rowOff>
    </xdr:from>
    <xdr:to>
      <xdr:col>14</xdr:col>
      <xdr:colOff>228600</xdr:colOff>
      <xdr:row>32</xdr:row>
      <xdr:rowOff>85725</xdr:rowOff>
    </xdr:to>
    <xdr:graphicFrame macro="">
      <xdr:nvGraphicFramePr>
        <xdr:cNvPr id="3028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34</xdr:row>
      <xdr:rowOff>9525</xdr:rowOff>
    </xdr:from>
    <xdr:to>
      <xdr:col>14</xdr:col>
      <xdr:colOff>257175</xdr:colOff>
      <xdr:row>50</xdr:row>
      <xdr:rowOff>152400</xdr:rowOff>
    </xdr:to>
    <xdr:graphicFrame macro="">
      <xdr:nvGraphicFramePr>
        <xdr:cNvPr id="3028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3"/>
  <dimension ref="A1:E59"/>
  <sheetViews>
    <sheetView workbookViewId="0">
      <selection activeCell="D5" sqref="D5"/>
    </sheetView>
  </sheetViews>
  <sheetFormatPr defaultRowHeight="12.75"/>
  <cols>
    <col min="5" max="5" width="11.7109375" customWidth="1"/>
  </cols>
  <sheetData>
    <row r="1" spans="1:5" s="9" customFormat="1" ht="15.75">
      <c r="A1" s="8" t="s">
        <v>26</v>
      </c>
    </row>
    <row r="2" spans="1:5">
      <c r="A2" s="2"/>
    </row>
    <row r="3" spans="1:5">
      <c r="A3" s="2" t="s">
        <v>25</v>
      </c>
    </row>
    <row r="4" spans="1:5">
      <c r="A4" s="6" t="s">
        <v>27</v>
      </c>
    </row>
    <row r="5" spans="1:5">
      <c r="A5" s="6" t="s">
        <v>28</v>
      </c>
    </row>
    <row r="6" spans="1:5">
      <c r="A6" s="6" t="s">
        <v>29</v>
      </c>
    </row>
    <row r="7" spans="1:5">
      <c r="A7" s="6" t="s">
        <v>30</v>
      </c>
    </row>
    <row r="8" spans="1:5">
      <c r="A8" s="2"/>
    </row>
    <row r="9" spans="1:5" ht="14.25">
      <c r="D9" s="7" t="s">
        <v>0</v>
      </c>
      <c r="E9" s="7" t="s">
        <v>22</v>
      </c>
    </row>
    <row r="10" spans="1:5">
      <c r="D10" s="4">
        <v>1</v>
      </c>
      <c r="E10" s="16">
        <v>1</v>
      </c>
    </row>
    <row r="11" spans="1:5">
      <c r="D11" s="4">
        <v>2</v>
      </c>
      <c r="E11" s="16">
        <f>0.000025*(90000-E10)*E10</f>
        <v>2.2499750000000001</v>
      </c>
    </row>
    <row r="12" spans="1:5">
      <c r="D12" s="4">
        <v>3</v>
      </c>
      <c r="E12" s="16">
        <f t="shared" ref="E12:E59" si="0">0.000025*(90000-E11)*E11</f>
        <v>5.0623171903124842</v>
      </c>
    </row>
    <row r="13" spans="1:5">
      <c r="D13" s="4">
        <v>4</v>
      </c>
      <c r="E13" s="16">
        <f t="shared" si="0"/>
        <v>11.389573001819706</v>
      </c>
    </row>
    <row r="14" spans="1:5">
      <c r="D14" s="4">
        <v>5</v>
      </c>
      <c r="E14" s="16">
        <f t="shared" si="0"/>
        <v>25.623296194765246</v>
      </c>
    </row>
    <row r="15" spans="1:5">
      <c r="D15" s="4">
        <v>6</v>
      </c>
      <c r="E15" s="16">
        <f t="shared" si="0"/>
        <v>57.636002605524688</v>
      </c>
    </row>
    <row r="16" spans="1:5">
      <c r="D16" s="4">
        <v>7</v>
      </c>
      <c r="E16" s="16">
        <f t="shared" si="0"/>
        <v>129.59795814252195</v>
      </c>
    </row>
    <row r="17" spans="4:5">
      <c r="D17" s="4">
        <v>8</v>
      </c>
      <c r="E17" s="16">
        <f t="shared" si="0"/>
        <v>291.1755150518066</v>
      </c>
    </row>
    <row r="18" spans="4:5">
      <c r="D18" s="4">
        <v>9</v>
      </c>
      <c r="E18" s="16">
        <f t="shared" si="0"/>
        <v>653.02532935242277</v>
      </c>
    </row>
    <row r="19" spans="4:5">
      <c r="D19" s="4">
        <v>10</v>
      </c>
      <c r="E19" s="16">
        <f t="shared" si="0"/>
        <v>1458.6459390235552</v>
      </c>
    </row>
    <row r="20" spans="4:5">
      <c r="D20" s="4">
        <v>11</v>
      </c>
      <c r="E20" s="16">
        <f t="shared" si="0"/>
        <v>3228.7621634172519</v>
      </c>
    </row>
    <row r="21" spans="4:5">
      <c r="D21" s="4">
        <v>12</v>
      </c>
      <c r="E21" s="16">
        <f t="shared" si="0"/>
        <v>7004.092239990945</v>
      </c>
    </row>
    <row r="22" spans="4:5">
      <c r="D22" s="4">
        <v>13</v>
      </c>
      <c r="E22" s="16">
        <f t="shared" si="0"/>
        <v>14532.774837322093</v>
      </c>
    </row>
    <row r="23" spans="4:5">
      <c r="D23" s="4">
        <v>14</v>
      </c>
      <c r="E23" s="16">
        <f t="shared" si="0"/>
        <v>27418.704772167155</v>
      </c>
    </row>
    <row r="24" spans="4:5">
      <c r="D24" s="4">
        <v>15</v>
      </c>
      <c r="E24" s="16">
        <f t="shared" si="0"/>
        <v>42897.45145279455</v>
      </c>
    </row>
    <row r="25" spans="4:5">
      <c r="D25" s="4">
        <v>16</v>
      </c>
      <c r="E25" s="16">
        <f t="shared" si="0"/>
        <v>50514.482240166108</v>
      </c>
    </row>
    <row r="26" spans="4:5">
      <c r="D26" s="4">
        <v>17</v>
      </c>
      <c r="E26" s="16">
        <f t="shared" si="0"/>
        <v>49864.762140572311</v>
      </c>
    </row>
    <row r="27" spans="4:5">
      <c r="D27" s="4">
        <v>18</v>
      </c>
      <c r="E27" s="16">
        <f t="shared" si="0"/>
        <v>50033.352232891353</v>
      </c>
    </row>
    <row r="28" spans="4:5">
      <c r="D28" s="4">
        <v>19</v>
      </c>
      <c r="E28" s="16">
        <f t="shared" si="0"/>
        <v>49991.634132491192</v>
      </c>
    </row>
    <row r="29" spans="4:5">
      <c r="D29" s="4">
        <v>20</v>
      </c>
      <c r="E29" s="16">
        <f t="shared" si="0"/>
        <v>50002.089717183728</v>
      </c>
    </row>
    <row r="30" spans="4:5">
      <c r="D30" s="4">
        <v>21</v>
      </c>
      <c r="E30" s="16">
        <f t="shared" si="0"/>
        <v>49999.477461531125</v>
      </c>
    </row>
    <row r="31" spans="4:5">
      <c r="D31" s="4">
        <v>22</v>
      </c>
      <c r="E31" s="16">
        <f t="shared" si="0"/>
        <v>50000.130627791063</v>
      </c>
    </row>
    <row r="32" spans="4:5">
      <c r="D32" s="4">
        <v>23</v>
      </c>
      <c r="E32" s="16">
        <f t="shared" si="0"/>
        <v>49999.967342625649</v>
      </c>
    </row>
    <row r="33" spans="4:5">
      <c r="D33" s="4">
        <v>24</v>
      </c>
      <c r="E33" s="16">
        <f t="shared" si="0"/>
        <v>50000.008164316925</v>
      </c>
    </row>
    <row r="34" spans="4:5">
      <c r="D34" s="4">
        <v>25</v>
      </c>
      <c r="E34" s="16">
        <f t="shared" si="0"/>
        <v>49999.997958919106</v>
      </c>
    </row>
    <row r="35" spans="4:5">
      <c r="D35" s="4">
        <v>26</v>
      </c>
      <c r="E35" s="16">
        <f t="shared" si="0"/>
        <v>50000.000510270118</v>
      </c>
    </row>
    <row r="36" spans="4:5">
      <c r="D36" s="4">
        <v>27</v>
      </c>
      <c r="E36" s="16">
        <f t="shared" si="0"/>
        <v>49999.999872432469</v>
      </c>
    </row>
    <row r="37" spans="4:5">
      <c r="D37" s="4">
        <v>28</v>
      </c>
      <c r="E37" s="16">
        <f t="shared" si="0"/>
        <v>50000.000031891883</v>
      </c>
    </row>
    <row r="38" spans="4:5">
      <c r="D38" s="4">
        <v>29</v>
      </c>
      <c r="E38" s="16">
        <f t="shared" si="0"/>
        <v>49999.999992027035</v>
      </c>
    </row>
    <row r="39" spans="4:5">
      <c r="D39" s="4">
        <v>30</v>
      </c>
      <c r="E39" s="16">
        <f t="shared" si="0"/>
        <v>50000.000001993241</v>
      </c>
    </row>
    <row r="40" spans="4:5">
      <c r="D40" s="4">
        <v>31</v>
      </c>
      <c r="E40" s="16">
        <f t="shared" si="0"/>
        <v>49999.999999501691</v>
      </c>
    </row>
    <row r="41" spans="4:5">
      <c r="D41" s="4">
        <v>32</v>
      </c>
      <c r="E41" s="16">
        <f t="shared" si="0"/>
        <v>50000.000000124579</v>
      </c>
    </row>
    <row r="42" spans="4:5">
      <c r="D42" s="4">
        <v>33</v>
      </c>
      <c r="E42" s="16">
        <f t="shared" si="0"/>
        <v>49999.999999968859</v>
      </c>
    </row>
    <row r="43" spans="4:5">
      <c r="D43" s="4">
        <v>34</v>
      </c>
      <c r="E43" s="16">
        <f t="shared" si="0"/>
        <v>50000.000000007785</v>
      </c>
    </row>
    <row r="44" spans="4:5">
      <c r="D44" s="4">
        <v>35</v>
      </c>
      <c r="E44" s="16">
        <f t="shared" si="0"/>
        <v>49999.999999998057</v>
      </c>
    </row>
    <row r="45" spans="4:5">
      <c r="D45" s="4">
        <v>36</v>
      </c>
      <c r="E45" s="16">
        <f t="shared" si="0"/>
        <v>50000.000000000487</v>
      </c>
    </row>
    <row r="46" spans="4:5">
      <c r="D46" s="4">
        <v>37</v>
      </c>
      <c r="E46" s="16">
        <f t="shared" si="0"/>
        <v>49999.999999999884</v>
      </c>
    </row>
    <row r="47" spans="4:5">
      <c r="D47" s="4">
        <v>38</v>
      </c>
      <c r="E47" s="16">
        <f t="shared" si="0"/>
        <v>50000.000000000029</v>
      </c>
    </row>
    <row r="48" spans="4:5">
      <c r="D48" s="4">
        <v>39</v>
      </c>
      <c r="E48" s="16">
        <f t="shared" si="0"/>
        <v>49999.999999999993</v>
      </c>
    </row>
    <row r="49" spans="4:5">
      <c r="D49" s="4">
        <v>40</v>
      </c>
      <c r="E49" s="16">
        <f t="shared" si="0"/>
        <v>50000.000000000007</v>
      </c>
    </row>
    <row r="50" spans="4:5">
      <c r="D50" s="4">
        <v>41</v>
      </c>
      <c r="E50" s="16">
        <f t="shared" si="0"/>
        <v>50000</v>
      </c>
    </row>
    <row r="51" spans="4:5">
      <c r="D51" s="4">
        <v>42</v>
      </c>
      <c r="E51" s="16">
        <f t="shared" si="0"/>
        <v>50000</v>
      </c>
    </row>
    <row r="52" spans="4:5">
      <c r="D52" s="4">
        <v>43</v>
      </c>
      <c r="E52" s="16">
        <f t="shared" si="0"/>
        <v>50000</v>
      </c>
    </row>
    <row r="53" spans="4:5">
      <c r="D53" s="4">
        <v>44</v>
      </c>
      <c r="E53" s="16">
        <f t="shared" si="0"/>
        <v>50000</v>
      </c>
    </row>
    <row r="54" spans="4:5">
      <c r="D54" s="4">
        <v>45</v>
      </c>
      <c r="E54" s="16">
        <f t="shared" si="0"/>
        <v>50000</v>
      </c>
    </row>
    <row r="55" spans="4:5">
      <c r="D55" s="4">
        <v>46</v>
      </c>
      <c r="E55" s="16">
        <f t="shared" si="0"/>
        <v>50000</v>
      </c>
    </row>
    <row r="56" spans="4:5">
      <c r="D56" s="4">
        <v>47</v>
      </c>
      <c r="E56" s="16">
        <f t="shared" si="0"/>
        <v>50000</v>
      </c>
    </row>
    <row r="57" spans="4:5">
      <c r="D57" s="4">
        <v>48</v>
      </c>
      <c r="E57" s="16">
        <f t="shared" si="0"/>
        <v>50000</v>
      </c>
    </row>
    <row r="58" spans="4:5">
      <c r="D58" s="4">
        <v>49</v>
      </c>
      <c r="E58" s="16">
        <f t="shared" si="0"/>
        <v>50000</v>
      </c>
    </row>
    <row r="59" spans="4:5">
      <c r="D59" s="4">
        <v>50</v>
      </c>
      <c r="E59" s="16">
        <f t="shared" si="0"/>
        <v>50000</v>
      </c>
    </row>
  </sheetData>
  <phoneticPr fontId="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4"/>
  <dimension ref="A1:N217"/>
  <sheetViews>
    <sheetView workbookViewId="0">
      <selection activeCell="M6" sqref="M6"/>
    </sheetView>
  </sheetViews>
  <sheetFormatPr defaultRowHeight="12.75"/>
  <cols>
    <col min="1" max="1" width="4.140625" style="17" customWidth="1"/>
  </cols>
  <sheetData>
    <row r="1" spans="1:14"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10</v>
      </c>
      <c r="K1" s="19" t="s">
        <v>11</v>
      </c>
      <c r="L1" s="19" t="s">
        <v>12</v>
      </c>
      <c r="M1" s="19" t="s">
        <v>13</v>
      </c>
      <c r="N1" s="20" t="s">
        <v>31</v>
      </c>
    </row>
    <row r="2" spans="1:14" ht="18">
      <c r="A2" s="19">
        <v>1</v>
      </c>
      <c r="B2" s="1" t="s">
        <v>14</v>
      </c>
    </row>
    <row r="3" spans="1:14">
      <c r="A3" s="19">
        <v>2</v>
      </c>
    </row>
    <row r="4" spans="1:14">
      <c r="A4" s="19">
        <v>3</v>
      </c>
    </row>
    <row r="5" spans="1:14">
      <c r="A5" s="19">
        <v>4</v>
      </c>
      <c r="B5" s="2" t="s">
        <v>25</v>
      </c>
    </row>
    <row r="6" spans="1:14">
      <c r="A6" s="19">
        <v>5</v>
      </c>
    </row>
    <row r="7" spans="1:14">
      <c r="A7" s="19">
        <v>6</v>
      </c>
      <c r="B7" t="s">
        <v>15</v>
      </c>
    </row>
    <row r="8" spans="1:14">
      <c r="A8" s="19">
        <v>7</v>
      </c>
      <c r="B8" t="s">
        <v>16</v>
      </c>
    </row>
    <row r="9" spans="1:14">
      <c r="A9" s="19">
        <v>8</v>
      </c>
      <c r="B9" t="s">
        <v>17</v>
      </c>
    </row>
    <row r="10" spans="1:14">
      <c r="A10" s="19">
        <v>9</v>
      </c>
      <c r="B10" t="s">
        <v>18</v>
      </c>
    </row>
    <row r="11" spans="1:14">
      <c r="A11" s="19">
        <v>10</v>
      </c>
    </row>
    <row r="12" spans="1:14">
      <c r="A12" s="19">
        <v>11</v>
      </c>
    </row>
    <row r="13" spans="1:14">
      <c r="A13" s="19">
        <v>12</v>
      </c>
      <c r="C13" s="3" t="s">
        <v>19</v>
      </c>
      <c r="D13" s="10">
        <f>H13/100</f>
        <v>2.9</v>
      </c>
      <c r="F13" t="s">
        <v>20</v>
      </c>
      <c r="H13">
        <v>290</v>
      </c>
    </row>
    <row r="14" spans="1:14">
      <c r="A14" s="19">
        <v>13</v>
      </c>
    </row>
    <row r="15" spans="1:14">
      <c r="A15" s="19">
        <v>14</v>
      </c>
    </row>
    <row r="16" spans="1:14" ht="15.75">
      <c r="A16" s="19">
        <v>15</v>
      </c>
      <c r="C16" s="3" t="s">
        <v>21</v>
      </c>
      <c r="D16" s="3" t="s">
        <v>23</v>
      </c>
    </row>
    <row r="17" spans="1:4">
      <c r="A17" s="19">
        <v>16</v>
      </c>
      <c r="C17" s="4">
        <v>0</v>
      </c>
      <c r="D17" s="5">
        <v>0.9</v>
      </c>
    </row>
    <row r="18" spans="1:4">
      <c r="A18" s="19">
        <v>17</v>
      </c>
      <c r="C18" s="4">
        <v>1</v>
      </c>
      <c r="D18" s="5">
        <f>$D$13*(1-D17)*D17</f>
        <v>0.26099999999999995</v>
      </c>
    </row>
    <row r="19" spans="1:4">
      <c r="A19" s="19">
        <v>18</v>
      </c>
      <c r="C19" s="4">
        <v>2</v>
      </c>
      <c r="D19" s="5">
        <f t="shared" ref="D19:D67" si="0">$D$13*(1-D18)*D18</f>
        <v>0.55934910000000004</v>
      </c>
    </row>
    <row r="20" spans="1:4">
      <c r="A20" s="19">
        <v>19</v>
      </c>
      <c r="C20" s="4">
        <v>3</v>
      </c>
      <c r="D20" s="5">
        <f t="shared" si="0"/>
        <v>0.71478528455465096</v>
      </c>
    </row>
    <row r="21" spans="1:4">
      <c r="A21" s="19">
        <v>20</v>
      </c>
      <c r="C21" s="4">
        <v>4</v>
      </c>
      <c r="D21" s="5">
        <f t="shared" si="0"/>
        <v>0.59121511646245506</v>
      </c>
    </row>
    <row r="22" spans="1:4">
      <c r="A22" s="19">
        <v>21</v>
      </c>
      <c r="C22" s="4">
        <v>5</v>
      </c>
      <c r="D22" s="5">
        <f t="shared" si="0"/>
        <v>0.70087142733334817</v>
      </c>
    </row>
    <row r="23" spans="1:4">
      <c r="A23" s="19">
        <v>22</v>
      </c>
      <c r="C23" s="4">
        <v>6</v>
      </c>
      <c r="D23" s="5">
        <f t="shared" si="0"/>
        <v>0.60798694207508386</v>
      </c>
    </row>
    <row r="24" spans="1:4">
      <c r="A24" s="19">
        <v>23</v>
      </c>
      <c r="C24" s="4">
        <v>7</v>
      </c>
      <c r="D24" s="5">
        <f t="shared" si="0"/>
        <v>0.69118257898969027</v>
      </c>
    </row>
    <row r="25" spans="1:4">
      <c r="A25" s="19">
        <v>24</v>
      </c>
      <c r="C25" s="4">
        <v>8</v>
      </c>
      <c r="D25" s="5">
        <f t="shared" si="0"/>
        <v>0.61900274232346741</v>
      </c>
    </row>
    <row r="26" spans="1:4">
      <c r="A26" s="19">
        <v>25</v>
      </c>
      <c r="C26" s="4">
        <v>9</v>
      </c>
      <c r="D26" s="5">
        <f t="shared" si="0"/>
        <v>0.68393120722653389</v>
      </c>
    </row>
    <row r="27" spans="1:4">
      <c r="A27" s="19">
        <v>26</v>
      </c>
      <c r="C27" s="4">
        <v>10</v>
      </c>
      <c r="D27" s="5">
        <f t="shared" si="0"/>
        <v>0.62689100192375058</v>
      </c>
    </row>
    <row r="28" spans="1:4">
      <c r="A28" s="19">
        <v>27</v>
      </c>
      <c r="C28" s="4">
        <v>11</v>
      </c>
      <c r="D28" s="5">
        <f t="shared" si="0"/>
        <v>0.67830615352928147</v>
      </c>
    </row>
    <row r="29" spans="1:4">
      <c r="A29" s="19">
        <v>28</v>
      </c>
      <c r="C29" s="4">
        <v>12</v>
      </c>
      <c r="D29" s="5">
        <f t="shared" si="0"/>
        <v>0.63280005527941763</v>
      </c>
    </row>
    <row r="30" spans="1:4">
      <c r="A30" s="19">
        <v>29</v>
      </c>
      <c r="C30" s="4">
        <v>13</v>
      </c>
      <c r="D30" s="5">
        <f t="shared" si="0"/>
        <v>0.67385602142157242</v>
      </c>
    </row>
    <row r="31" spans="1:4">
      <c r="A31" s="19">
        <v>30</v>
      </c>
      <c r="C31" s="4">
        <v>14</v>
      </c>
      <c r="D31" s="5">
        <f t="shared" si="0"/>
        <v>0.63734484306483907</v>
      </c>
    </row>
    <row r="32" spans="1:4">
      <c r="A32" s="19">
        <v>31</v>
      </c>
      <c r="C32" s="4">
        <v>15</v>
      </c>
      <c r="D32" s="5">
        <f t="shared" si="0"/>
        <v>0.67029554284213466</v>
      </c>
    </row>
    <row r="33" spans="1:4">
      <c r="A33" s="19">
        <v>32</v>
      </c>
      <c r="C33" s="4">
        <v>16</v>
      </c>
      <c r="D33" s="5">
        <f t="shared" si="0"/>
        <v>0.64089834145549773</v>
      </c>
    </row>
    <row r="34" spans="1:4">
      <c r="A34" s="19">
        <v>33</v>
      </c>
      <c r="C34" s="4">
        <v>17</v>
      </c>
      <c r="D34" s="5">
        <f t="shared" si="0"/>
        <v>0.6674282063877609</v>
      </c>
    </row>
    <row r="35" spans="1:4">
      <c r="A35" s="19">
        <v>34</v>
      </c>
      <c r="C35" s="4">
        <v>18</v>
      </c>
      <c r="D35" s="5">
        <f t="shared" si="0"/>
        <v>0.64370660754675424</v>
      </c>
    </row>
    <row r="36" spans="1:4">
      <c r="A36" s="19">
        <v>35</v>
      </c>
      <c r="C36" s="4">
        <v>19</v>
      </c>
      <c r="D36" s="5">
        <f t="shared" si="0"/>
        <v>0.66511039174746922</v>
      </c>
    </row>
    <row r="37" spans="1:4">
      <c r="A37" s="19">
        <v>36</v>
      </c>
      <c r="C37" s="4">
        <v>20</v>
      </c>
      <c r="D37" s="5">
        <f t="shared" si="0"/>
        <v>0.64594181975729204</v>
      </c>
    </row>
    <row r="38" spans="1:4">
      <c r="A38" s="19">
        <v>37</v>
      </c>
      <c r="C38" s="4">
        <v>21</v>
      </c>
      <c r="D38" s="5">
        <f t="shared" si="0"/>
        <v>0.66323285721319725</v>
      </c>
    </row>
    <row r="39" spans="1:4">
      <c r="A39" s="19">
        <v>38</v>
      </c>
      <c r="C39" s="4">
        <v>22</v>
      </c>
      <c r="D39" s="5">
        <f t="shared" si="0"/>
        <v>0.64772959954544618</v>
      </c>
    </row>
    <row r="40" spans="1:4">
      <c r="A40" s="19">
        <v>39</v>
      </c>
      <c r="C40" s="4">
        <v>23</v>
      </c>
      <c r="D40" s="5">
        <f t="shared" si="0"/>
        <v>0.66171029971261208</v>
      </c>
    </row>
    <row r="41" spans="1:4">
      <c r="A41" s="19">
        <v>40</v>
      </c>
      <c r="C41" s="4">
        <v>24</v>
      </c>
      <c r="D41" s="5">
        <f t="shared" si="0"/>
        <v>0.6491643590038858</v>
      </c>
    </row>
    <row r="42" spans="1:4">
      <c r="A42" s="19">
        <v>41</v>
      </c>
      <c r="C42" s="4">
        <v>25</v>
      </c>
      <c r="D42" s="5">
        <f t="shared" si="0"/>
        <v>0.66047498260858362</v>
      </c>
    </row>
    <row r="43" spans="1:4">
      <c r="A43" s="19">
        <v>42</v>
      </c>
      <c r="C43" s="4">
        <v>26</v>
      </c>
      <c r="D43" s="5">
        <f t="shared" si="0"/>
        <v>0.65031856187464687</v>
      </c>
    </row>
    <row r="44" spans="1:4">
      <c r="A44" s="19">
        <v>43</v>
      </c>
      <c r="C44" s="4">
        <v>27</v>
      </c>
      <c r="D44" s="5">
        <f t="shared" si="0"/>
        <v>0.65947255687221995</v>
      </c>
    </row>
    <row r="45" spans="1:4">
      <c r="A45" s="19">
        <v>44</v>
      </c>
      <c r="C45" s="4">
        <v>28</v>
      </c>
      <c r="D45" s="5">
        <f t="shared" si="0"/>
        <v>0.65124866045344598</v>
      </c>
    </row>
    <row r="46" spans="1:4">
      <c r="A46" s="19">
        <v>45</v>
      </c>
      <c r="C46" s="4">
        <v>29</v>
      </c>
      <c r="D46" s="5">
        <f t="shared" si="0"/>
        <v>0.65865914386201085</v>
      </c>
    </row>
    <row r="47" spans="1:4">
      <c r="A47" s="19">
        <v>46</v>
      </c>
      <c r="C47" s="4">
        <v>30</v>
      </c>
      <c r="D47" s="5">
        <f t="shared" si="0"/>
        <v>0.65199910060002386</v>
      </c>
    </row>
    <row r="48" spans="1:4">
      <c r="A48" s="19">
        <v>47</v>
      </c>
      <c r="C48" s="4">
        <v>31</v>
      </c>
      <c r="D48" s="5">
        <f t="shared" si="0"/>
        <v>0.65799919290867315</v>
      </c>
    </row>
    <row r="49" spans="1:4">
      <c r="A49" s="19">
        <v>48</v>
      </c>
      <c r="C49" s="4">
        <v>32</v>
      </c>
      <c r="D49" s="5">
        <f t="shared" si="0"/>
        <v>0.65260513961660283</v>
      </c>
    </row>
    <row r="50" spans="1:4">
      <c r="A50" s="19">
        <v>49</v>
      </c>
      <c r="C50" s="4">
        <v>33</v>
      </c>
      <c r="D50" s="5">
        <f t="shared" si="0"/>
        <v>0.65746384695153182</v>
      </c>
    </row>
    <row r="51" spans="1:4">
      <c r="A51" s="19">
        <v>50</v>
      </c>
      <c r="C51" s="4">
        <v>34</v>
      </c>
      <c r="D51" s="5">
        <f t="shared" si="0"/>
        <v>0.65309489701935119</v>
      </c>
    </row>
    <row r="52" spans="1:4">
      <c r="A52" s="19">
        <v>51</v>
      </c>
      <c r="C52" s="4">
        <v>35</v>
      </c>
      <c r="D52" s="5">
        <f t="shared" si="0"/>
        <v>0.65702966226923931</v>
      </c>
    </row>
    <row r="53" spans="1:4">
      <c r="A53" s="19">
        <v>52</v>
      </c>
      <c r="C53" s="4">
        <v>36</v>
      </c>
      <c r="D53" s="5">
        <f t="shared" si="0"/>
        <v>0.65349088698606506</v>
      </c>
    </row>
    <row r="54" spans="1:4">
      <c r="A54" s="19">
        <v>53</v>
      </c>
      <c r="C54" s="4">
        <v>37</v>
      </c>
      <c r="D54" s="5">
        <f t="shared" si="0"/>
        <v>0.65667758807546994</v>
      </c>
    </row>
    <row r="55" spans="1:4">
      <c r="A55" s="19">
        <v>54</v>
      </c>
      <c r="C55" s="4">
        <v>38</v>
      </c>
      <c r="D55" s="5">
        <f t="shared" si="0"/>
        <v>0.65381118684507467</v>
      </c>
    </row>
    <row r="56" spans="1:4">
      <c r="A56" s="19">
        <v>55</v>
      </c>
      <c r="C56" s="4">
        <v>39</v>
      </c>
      <c r="D56" s="5">
        <f t="shared" si="0"/>
        <v>0.65639214452379757</v>
      </c>
    </row>
    <row r="57" spans="1:4">
      <c r="A57" s="19">
        <v>56</v>
      </c>
      <c r="C57" s="4">
        <v>40</v>
      </c>
      <c r="D57" s="5">
        <f t="shared" si="0"/>
        <v>0.65407034168061806</v>
      </c>
    </row>
    <row r="58" spans="1:4">
      <c r="A58" s="19">
        <v>57</v>
      </c>
      <c r="C58" s="4">
        <v>41</v>
      </c>
      <c r="D58" s="5">
        <f t="shared" si="0"/>
        <v>0.65616075646181105</v>
      </c>
    </row>
    <row r="59" spans="1:4">
      <c r="A59" s="19">
        <v>58</v>
      </c>
      <c r="C59" s="4">
        <v>42</v>
      </c>
      <c r="D59" s="5">
        <f t="shared" si="0"/>
        <v>0.65428007260969734</v>
      </c>
    </row>
    <row r="60" spans="1:4">
      <c r="A60" s="19">
        <v>59</v>
      </c>
      <c r="C60" s="4">
        <v>43</v>
      </c>
      <c r="D60" s="5">
        <f t="shared" si="0"/>
        <v>0.65597321166708489</v>
      </c>
    </row>
    <row r="61" spans="1:4">
      <c r="A61" s="19">
        <v>60</v>
      </c>
      <c r="C61" s="4">
        <v>44</v>
      </c>
      <c r="D61" s="5">
        <f t="shared" si="0"/>
        <v>0.6544498360025387</v>
      </c>
    </row>
    <row r="62" spans="1:4">
      <c r="A62" s="19">
        <v>61</v>
      </c>
      <c r="C62" s="4">
        <v>45</v>
      </c>
      <c r="D62" s="5">
        <f t="shared" si="0"/>
        <v>0.65582121966048779</v>
      </c>
    </row>
    <row r="63" spans="1:4">
      <c r="A63" s="19">
        <v>62</v>
      </c>
      <c r="C63" s="4">
        <v>46</v>
      </c>
      <c r="D63" s="5">
        <f t="shared" si="0"/>
        <v>0.65458726776020226</v>
      </c>
    </row>
    <row r="64" spans="1:4">
      <c r="A64" s="19">
        <v>63</v>
      </c>
      <c r="C64" s="4">
        <v>47</v>
      </c>
      <c r="D64" s="5">
        <f t="shared" si="0"/>
        <v>0.65569805227466305</v>
      </c>
    </row>
    <row r="65" spans="1:4">
      <c r="A65" s="19">
        <v>64</v>
      </c>
      <c r="C65" s="4">
        <v>48</v>
      </c>
      <c r="D65" s="5">
        <f t="shared" si="0"/>
        <v>0.65469853790184118</v>
      </c>
    </row>
    <row r="66" spans="1:4">
      <c r="A66" s="19">
        <v>65</v>
      </c>
      <c r="C66" s="4">
        <v>49</v>
      </c>
      <c r="D66" s="5">
        <f t="shared" si="0"/>
        <v>0.65559825087599455</v>
      </c>
    </row>
    <row r="67" spans="1:4">
      <c r="A67" s="19">
        <v>66</v>
      </c>
      <c r="C67" s="4">
        <v>50</v>
      </c>
      <c r="D67" s="5">
        <f t="shared" si="0"/>
        <v>0.65478863454056002</v>
      </c>
    </row>
    <row r="68" spans="1:4">
      <c r="A68" s="19"/>
      <c r="C68" s="4"/>
      <c r="D68" s="5"/>
    </row>
    <row r="69" spans="1:4">
      <c r="A69" s="19"/>
      <c r="C69" s="4"/>
      <c r="D69" s="5"/>
    </row>
    <row r="70" spans="1:4">
      <c r="A70" s="19"/>
      <c r="C70" s="4"/>
      <c r="D70" s="5"/>
    </row>
    <row r="71" spans="1:4">
      <c r="A71" s="19"/>
      <c r="C71" s="4"/>
      <c r="D71" s="5"/>
    </row>
    <row r="72" spans="1:4">
      <c r="A72" s="19"/>
      <c r="C72" s="4"/>
      <c r="D72" s="5"/>
    </row>
    <row r="73" spans="1:4">
      <c r="A73" s="19"/>
      <c r="C73" s="4"/>
      <c r="D73" s="5"/>
    </row>
    <row r="74" spans="1:4">
      <c r="A74" s="19"/>
      <c r="C74" s="4"/>
      <c r="D74" s="5"/>
    </row>
    <row r="75" spans="1:4">
      <c r="A75" s="19"/>
      <c r="C75" s="4"/>
      <c r="D75" s="5"/>
    </row>
    <row r="76" spans="1:4">
      <c r="A76" s="19"/>
      <c r="C76" s="4"/>
      <c r="D76" s="5"/>
    </row>
    <row r="77" spans="1:4">
      <c r="A77" s="19"/>
      <c r="C77" s="4"/>
      <c r="D77" s="5"/>
    </row>
    <row r="78" spans="1:4">
      <c r="A78" s="19"/>
      <c r="C78" s="4"/>
      <c r="D78" s="5"/>
    </row>
    <row r="79" spans="1:4">
      <c r="A79" s="19"/>
      <c r="C79" s="4"/>
      <c r="D79" s="5"/>
    </row>
    <row r="80" spans="1:4">
      <c r="A80" s="19"/>
      <c r="C80" s="4"/>
      <c r="D80" s="5"/>
    </row>
    <row r="81" spans="1:4">
      <c r="A81" s="19"/>
      <c r="C81" s="4"/>
      <c r="D81" s="5"/>
    </row>
    <row r="82" spans="1:4">
      <c r="A82" s="19"/>
      <c r="C82" s="4"/>
      <c r="D82" s="5"/>
    </row>
    <row r="83" spans="1:4">
      <c r="A83" s="19"/>
      <c r="C83" s="4"/>
      <c r="D83" s="5"/>
    </row>
    <row r="84" spans="1:4">
      <c r="A84" s="19"/>
      <c r="C84" s="4"/>
      <c r="D84" s="5"/>
    </row>
    <row r="85" spans="1:4">
      <c r="A85" s="19"/>
      <c r="C85" s="4"/>
      <c r="D85" s="5"/>
    </row>
    <row r="86" spans="1:4">
      <c r="A86" s="19"/>
      <c r="C86" s="4"/>
      <c r="D86" s="5"/>
    </row>
    <row r="87" spans="1:4">
      <c r="A87" s="19"/>
      <c r="C87" s="4"/>
      <c r="D87" s="5"/>
    </row>
    <row r="88" spans="1:4">
      <c r="A88" s="19"/>
      <c r="C88" s="4"/>
      <c r="D88" s="5"/>
    </row>
    <row r="89" spans="1:4">
      <c r="A89" s="19"/>
      <c r="C89" s="4"/>
      <c r="D89" s="5"/>
    </row>
    <row r="90" spans="1:4">
      <c r="A90" s="19"/>
      <c r="C90" s="4"/>
      <c r="D90" s="5"/>
    </row>
    <row r="91" spans="1:4">
      <c r="A91" s="19"/>
      <c r="C91" s="4"/>
      <c r="D91" s="5"/>
    </row>
    <row r="92" spans="1:4">
      <c r="A92" s="19"/>
      <c r="C92" s="4"/>
      <c r="D92" s="5"/>
    </row>
    <row r="93" spans="1:4">
      <c r="A93" s="19"/>
      <c r="C93" s="4"/>
      <c r="D93" s="5"/>
    </row>
    <row r="94" spans="1:4">
      <c r="A94" s="19"/>
      <c r="C94" s="4"/>
      <c r="D94" s="5"/>
    </row>
    <row r="95" spans="1:4">
      <c r="A95" s="19"/>
      <c r="C95" s="4"/>
      <c r="D95" s="5"/>
    </row>
    <row r="96" spans="1:4">
      <c r="A96" s="19"/>
      <c r="C96" s="4"/>
      <c r="D96" s="5"/>
    </row>
    <row r="97" spans="1:4">
      <c r="A97" s="19"/>
      <c r="C97" s="4"/>
      <c r="D97" s="5"/>
    </row>
    <row r="98" spans="1:4">
      <c r="A98" s="19"/>
      <c r="C98" s="4"/>
      <c r="D98" s="5"/>
    </row>
    <row r="99" spans="1:4">
      <c r="A99" s="19"/>
      <c r="C99" s="4"/>
      <c r="D99" s="5"/>
    </row>
    <row r="100" spans="1:4">
      <c r="A100" s="19"/>
      <c r="C100" s="4"/>
      <c r="D100" s="5"/>
    </row>
    <row r="101" spans="1:4">
      <c r="A101" s="19"/>
      <c r="C101" s="4"/>
      <c r="D101" s="5"/>
    </row>
    <row r="102" spans="1:4">
      <c r="A102" s="19"/>
      <c r="C102" s="4"/>
      <c r="D102" s="5"/>
    </row>
    <row r="103" spans="1:4">
      <c r="C103" s="4"/>
      <c r="D103" s="5"/>
    </row>
    <row r="104" spans="1:4">
      <c r="C104" s="4"/>
      <c r="D104" s="5"/>
    </row>
    <row r="105" spans="1:4">
      <c r="C105" s="4"/>
      <c r="D105" s="5"/>
    </row>
    <row r="106" spans="1:4">
      <c r="C106" s="4"/>
      <c r="D106" s="5"/>
    </row>
    <row r="107" spans="1:4">
      <c r="C107" s="4"/>
      <c r="D107" s="5"/>
    </row>
    <row r="108" spans="1:4">
      <c r="C108" s="4"/>
      <c r="D108" s="5"/>
    </row>
    <row r="109" spans="1:4">
      <c r="C109" s="4"/>
      <c r="D109" s="5"/>
    </row>
    <row r="110" spans="1:4">
      <c r="C110" s="4"/>
      <c r="D110" s="5"/>
    </row>
    <row r="111" spans="1:4">
      <c r="C111" s="4"/>
      <c r="D111" s="5"/>
    </row>
    <row r="112" spans="1:4">
      <c r="C112" s="4"/>
      <c r="D112" s="5"/>
    </row>
    <row r="113" spans="3:4">
      <c r="C113" s="4"/>
      <c r="D113" s="5"/>
    </row>
    <row r="114" spans="3:4">
      <c r="C114" s="4"/>
      <c r="D114" s="5"/>
    </row>
    <row r="115" spans="3:4">
      <c r="C115" s="4"/>
      <c r="D115" s="5"/>
    </row>
    <row r="116" spans="3:4">
      <c r="C116" s="4"/>
      <c r="D116" s="5"/>
    </row>
    <row r="117" spans="3:4">
      <c r="C117" s="4"/>
      <c r="D117" s="5"/>
    </row>
    <row r="118" spans="3:4">
      <c r="C118" s="4"/>
      <c r="D118" s="5"/>
    </row>
    <row r="119" spans="3:4">
      <c r="C119" s="4"/>
      <c r="D119" s="5"/>
    </row>
    <row r="120" spans="3:4">
      <c r="C120" s="4"/>
      <c r="D120" s="5"/>
    </row>
    <row r="121" spans="3:4">
      <c r="C121" s="4"/>
      <c r="D121" s="5"/>
    </row>
    <row r="122" spans="3:4">
      <c r="C122" s="4"/>
      <c r="D122" s="5"/>
    </row>
    <row r="123" spans="3:4">
      <c r="C123" s="4"/>
      <c r="D123" s="5"/>
    </row>
    <row r="124" spans="3:4">
      <c r="C124" s="4"/>
      <c r="D124" s="5"/>
    </row>
    <row r="125" spans="3:4">
      <c r="C125" s="4"/>
      <c r="D125" s="5"/>
    </row>
    <row r="126" spans="3:4">
      <c r="C126" s="4"/>
      <c r="D126" s="5"/>
    </row>
    <row r="127" spans="3:4">
      <c r="C127" s="4"/>
      <c r="D127" s="5"/>
    </row>
    <row r="128" spans="3:4">
      <c r="C128" s="4"/>
      <c r="D128" s="5"/>
    </row>
    <row r="129" spans="3:4">
      <c r="C129" s="4"/>
      <c r="D129" s="5"/>
    </row>
    <row r="130" spans="3:4">
      <c r="C130" s="4"/>
      <c r="D130" s="5"/>
    </row>
    <row r="131" spans="3:4">
      <c r="C131" s="4"/>
      <c r="D131" s="5"/>
    </row>
    <row r="132" spans="3:4">
      <c r="C132" s="4"/>
      <c r="D132" s="5"/>
    </row>
    <row r="133" spans="3:4">
      <c r="C133" s="4"/>
      <c r="D133" s="5"/>
    </row>
    <row r="134" spans="3:4">
      <c r="C134" s="4"/>
      <c r="D134" s="5"/>
    </row>
    <row r="135" spans="3:4">
      <c r="C135" s="4"/>
      <c r="D135" s="5"/>
    </row>
    <row r="136" spans="3:4">
      <c r="C136" s="4"/>
      <c r="D136" s="5"/>
    </row>
    <row r="137" spans="3:4">
      <c r="C137" s="4"/>
      <c r="D137" s="5"/>
    </row>
    <row r="138" spans="3:4">
      <c r="C138" s="4"/>
      <c r="D138" s="5"/>
    </row>
    <row r="139" spans="3:4">
      <c r="C139" s="4"/>
      <c r="D139" s="5"/>
    </row>
    <row r="140" spans="3:4">
      <c r="C140" s="4"/>
      <c r="D140" s="5"/>
    </row>
    <row r="141" spans="3:4">
      <c r="C141" s="4"/>
      <c r="D141" s="5"/>
    </row>
    <row r="142" spans="3:4">
      <c r="C142" s="4"/>
      <c r="D142" s="5"/>
    </row>
    <row r="143" spans="3:4">
      <c r="C143" s="4"/>
      <c r="D143" s="5"/>
    </row>
    <row r="144" spans="3:4">
      <c r="C144" s="4"/>
      <c r="D144" s="5"/>
    </row>
    <row r="145" spans="3:4">
      <c r="C145" s="4"/>
      <c r="D145" s="5"/>
    </row>
    <row r="146" spans="3:4">
      <c r="C146" s="4"/>
      <c r="D146" s="5"/>
    </row>
    <row r="147" spans="3:4">
      <c r="C147" s="4"/>
      <c r="D147" s="5"/>
    </row>
    <row r="148" spans="3:4">
      <c r="C148" s="4"/>
      <c r="D148" s="5"/>
    </row>
    <row r="149" spans="3:4">
      <c r="C149" s="4"/>
      <c r="D149" s="5"/>
    </row>
    <row r="150" spans="3:4">
      <c r="C150" s="4"/>
      <c r="D150" s="5"/>
    </row>
    <row r="151" spans="3:4">
      <c r="C151" s="4"/>
      <c r="D151" s="5"/>
    </row>
    <row r="152" spans="3:4">
      <c r="C152" s="4"/>
      <c r="D152" s="5"/>
    </row>
    <row r="153" spans="3:4">
      <c r="C153" s="4"/>
      <c r="D153" s="5"/>
    </row>
    <row r="154" spans="3:4">
      <c r="C154" s="4"/>
      <c r="D154" s="5"/>
    </row>
    <row r="155" spans="3:4">
      <c r="C155" s="4"/>
      <c r="D155" s="5"/>
    </row>
    <row r="156" spans="3:4">
      <c r="C156" s="4"/>
      <c r="D156" s="5"/>
    </row>
    <row r="157" spans="3:4">
      <c r="C157" s="4"/>
      <c r="D157" s="5"/>
    </row>
    <row r="158" spans="3:4">
      <c r="C158" s="4"/>
      <c r="D158" s="5"/>
    </row>
    <row r="159" spans="3:4">
      <c r="C159" s="4"/>
      <c r="D159" s="5"/>
    </row>
    <row r="160" spans="3:4">
      <c r="C160" s="4"/>
      <c r="D160" s="5"/>
    </row>
    <row r="161" spans="3:4">
      <c r="C161" s="4"/>
      <c r="D161" s="5"/>
    </row>
    <row r="162" spans="3:4">
      <c r="C162" s="4"/>
      <c r="D162" s="5"/>
    </row>
    <row r="163" spans="3:4">
      <c r="C163" s="4"/>
      <c r="D163" s="5"/>
    </row>
    <row r="164" spans="3:4">
      <c r="C164" s="4"/>
      <c r="D164" s="5"/>
    </row>
    <row r="165" spans="3:4">
      <c r="C165" s="4"/>
      <c r="D165" s="5"/>
    </row>
    <row r="166" spans="3:4">
      <c r="C166" s="4"/>
      <c r="D166" s="5"/>
    </row>
    <row r="167" spans="3:4">
      <c r="C167" s="4"/>
      <c r="D167" s="5"/>
    </row>
    <row r="168" spans="3:4">
      <c r="C168" s="4"/>
      <c r="D168" s="5"/>
    </row>
    <row r="169" spans="3:4">
      <c r="C169" s="4"/>
      <c r="D169" s="5"/>
    </row>
    <row r="170" spans="3:4">
      <c r="C170" s="4"/>
      <c r="D170" s="5"/>
    </row>
    <row r="171" spans="3:4">
      <c r="C171" s="4"/>
      <c r="D171" s="5"/>
    </row>
    <row r="172" spans="3:4">
      <c r="C172" s="4"/>
      <c r="D172" s="5"/>
    </row>
    <row r="173" spans="3:4">
      <c r="C173" s="4"/>
      <c r="D173" s="5"/>
    </row>
    <row r="174" spans="3:4">
      <c r="C174" s="4"/>
      <c r="D174" s="5"/>
    </row>
    <row r="175" spans="3:4">
      <c r="C175" s="4"/>
      <c r="D175" s="5"/>
    </row>
    <row r="176" spans="3:4">
      <c r="C176" s="4"/>
      <c r="D176" s="5"/>
    </row>
    <row r="177" spans="3:4">
      <c r="C177" s="4"/>
      <c r="D177" s="5"/>
    </row>
    <row r="178" spans="3:4">
      <c r="C178" s="4"/>
      <c r="D178" s="5"/>
    </row>
    <row r="179" spans="3:4">
      <c r="C179" s="4"/>
      <c r="D179" s="5"/>
    </row>
    <row r="180" spans="3:4">
      <c r="C180" s="4"/>
      <c r="D180" s="5"/>
    </row>
    <row r="181" spans="3:4">
      <c r="C181" s="4"/>
      <c r="D181" s="5"/>
    </row>
    <row r="182" spans="3:4">
      <c r="C182" s="4"/>
      <c r="D182" s="5"/>
    </row>
    <row r="183" spans="3:4">
      <c r="C183" s="4"/>
      <c r="D183" s="5"/>
    </row>
    <row r="184" spans="3:4">
      <c r="C184" s="4"/>
      <c r="D184" s="5"/>
    </row>
    <row r="185" spans="3:4">
      <c r="C185" s="4"/>
      <c r="D185" s="5"/>
    </row>
    <row r="186" spans="3:4">
      <c r="C186" s="4"/>
      <c r="D186" s="5"/>
    </row>
    <row r="187" spans="3:4">
      <c r="C187" s="4"/>
      <c r="D187" s="5"/>
    </row>
    <row r="188" spans="3:4">
      <c r="C188" s="4"/>
      <c r="D188" s="5"/>
    </row>
    <row r="189" spans="3:4">
      <c r="C189" s="4"/>
      <c r="D189" s="5"/>
    </row>
    <row r="190" spans="3:4">
      <c r="C190" s="4"/>
      <c r="D190" s="5"/>
    </row>
    <row r="191" spans="3:4">
      <c r="C191" s="4"/>
      <c r="D191" s="5"/>
    </row>
    <row r="192" spans="3:4">
      <c r="C192" s="4"/>
      <c r="D192" s="5"/>
    </row>
    <row r="193" spans="3:4">
      <c r="C193" s="4"/>
      <c r="D193" s="5"/>
    </row>
    <row r="194" spans="3:4">
      <c r="C194" s="4"/>
      <c r="D194" s="5"/>
    </row>
    <row r="195" spans="3:4">
      <c r="C195" s="4"/>
      <c r="D195" s="5"/>
    </row>
    <row r="196" spans="3:4">
      <c r="C196" s="4"/>
      <c r="D196" s="5"/>
    </row>
    <row r="197" spans="3:4">
      <c r="C197" s="4"/>
      <c r="D197" s="5"/>
    </row>
    <row r="198" spans="3:4">
      <c r="C198" s="4"/>
      <c r="D198" s="5"/>
    </row>
    <row r="199" spans="3:4">
      <c r="C199" s="4"/>
      <c r="D199" s="5"/>
    </row>
    <row r="200" spans="3:4">
      <c r="C200" s="4"/>
      <c r="D200" s="5"/>
    </row>
    <row r="201" spans="3:4">
      <c r="C201" s="4"/>
      <c r="D201" s="5"/>
    </row>
    <row r="202" spans="3:4">
      <c r="C202" s="4"/>
      <c r="D202" s="5"/>
    </row>
    <row r="203" spans="3:4">
      <c r="C203" s="4"/>
      <c r="D203" s="5"/>
    </row>
    <row r="204" spans="3:4">
      <c r="C204" s="4"/>
      <c r="D204" s="5"/>
    </row>
    <row r="205" spans="3:4">
      <c r="C205" s="4"/>
      <c r="D205" s="5"/>
    </row>
    <row r="206" spans="3:4">
      <c r="C206" s="4"/>
      <c r="D206" s="5"/>
    </row>
    <row r="207" spans="3:4">
      <c r="C207" s="4"/>
      <c r="D207" s="5"/>
    </row>
    <row r="208" spans="3:4">
      <c r="C208" s="4"/>
      <c r="D208" s="5"/>
    </row>
    <row r="209" spans="3:4">
      <c r="C209" s="4"/>
      <c r="D209" s="5"/>
    </row>
    <row r="210" spans="3:4">
      <c r="C210" s="4"/>
      <c r="D210" s="5"/>
    </row>
    <row r="211" spans="3:4">
      <c r="C211" s="4"/>
      <c r="D211" s="5"/>
    </row>
    <row r="212" spans="3:4">
      <c r="C212" s="4"/>
      <c r="D212" s="5"/>
    </row>
    <row r="213" spans="3:4">
      <c r="C213" s="4"/>
      <c r="D213" s="5"/>
    </row>
    <row r="214" spans="3:4">
      <c r="C214" s="4"/>
      <c r="D214" s="5"/>
    </row>
    <row r="215" spans="3:4">
      <c r="C215" s="4"/>
      <c r="D215" s="5"/>
    </row>
    <row r="216" spans="3:4">
      <c r="C216" s="4"/>
      <c r="D216" s="5"/>
    </row>
    <row r="217" spans="3:4">
      <c r="C217" s="4"/>
      <c r="D217" s="5"/>
    </row>
  </sheetData>
  <phoneticPr fontId="0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N217"/>
  <sheetViews>
    <sheetView workbookViewId="0">
      <selection activeCell="R16" sqref="R16"/>
    </sheetView>
  </sheetViews>
  <sheetFormatPr defaultRowHeight="12.75"/>
  <cols>
    <col min="1" max="1" width="4.140625" style="17" customWidth="1"/>
    <col min="2" max="2" width="5.140625" customWidth="1"/>
    <col min="5" max="5" width="6.5703125" customWidth="1"/>
    <col min="8" max="8" width="7.42578125" customWidth="1"/>
  </cols>
  <sheetData>
    <row r="1" spans="1:14"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8</v>
      </c>
      <c r="I1" s="19" t="s">
        <v>9</v>
      </c>
      <c r="J1" s="19" t="s">
        <v>10</v>
      </c>
      <c r="K1" s="19" t="s">
        <v>11</v>
      </c>
      <c r="L1" s="19" t="s">
        <v>12</v>
      </c>
      <c r="M1" s="19" t="s">
        <v>13</v>
      </c>
      <c r="N1" s="22"/>
    </row>
    <row r="2" spans="1:14" ht="18">
      <c r="A2" s="19">
        <v>1</v>
      </c>
      <c r="B2" s="1" t="s">
        <v>14</v>
      </c>
    </row>
    <row r="3" spans="1:14">
      <c r="A3" s="19">
        <v>2</v>
      </c>
    </row>
    <row r="4" spans="1:14">
      <c r="A4" s="19">
        <v>3</v>
      </c>
    </row>
    <row r="5" spans="1:14">
      <c r="A5" s="19">
        <v>4</v>
      </c>
      <c r="B5" s="2" t="s">
        <v>25</v>
      </c>
    </row>
    <row r="6" spans="1:14">
      <c r="A6" s="19">
        <v>5</v>
      </c>
    </row>
    <row r="7" spans="1:14" ht="15.75">
      <c r="A7" s="19">
        <v>6</v>
      </c>
      <c r="B7" t="s">
        <v>47</v>
      </c>
    </row>
    <row r="8" spans="1:14">
      <c r="A8" s="19">
        <v>7</v>
      </c>
      <c r="B8" t="s">
        <v>46</v>
      </c>
    </row>
    <row r="9" spans="1:14">
      <c r="A9" s="19">
        <v>8</v>
      </c>
      <c r="B9" t="s">
        <v>17</v>
      </c>
    </row>
    <row r="10" spans="1:14">
      <c r="A10" s="19">
        <v>9</v>
      </c>
    </row>
    <row r="11" spans="1:14">
      <c r="A11" s="19">
        <v>10</v>
      </c>
    </row>
    <row r="12" spans="1:14">
      <c r="A12" s="19">
        <v>11</v>
      </c>
    </row>
    <row r="13" spans="1:14">
      <c r="A13" s="19">
        <v>12</v>
      </c>
      <c r="C13" s="3" t="s">
        <v>19</v>
      </c>
      <c r="D13" s="10">
        <f>H13/100</f>
        <v>3.93</v>
      </c>
      <c r="F13" t="s">
        <v>20</v>
      </c>
      <c r="H13">
        <v>393</v>
      </c>
    </row>
    <row r="14" spans="1:14">
      <c r="A14" s="19">
        <v>13</v>
      </c>
    </row>
    <row r="15" spans="1:14">
      <c r="A15" s="19">
        <v>14</v>
      </c>
    </row>
    <row r="16" spans="1:14" ht="14.25">
      <c r="A16" s="19">
        <v>15</v>
      </c>
      <c r="C16" s="35" t="s">
        <v>0</v>
      </c>
      <c r="D16" s="35" t="s">
        <v>45</v>
      </c>
    </row>
    <row r="17" spans="1:4">
      <c r="A17" s="19">
        <v>16</v>
      </c>
      <c r="C17" s="4">
        <v>0</v>
      </c>
      <c r="D17" s="5">
        <v>0.9</v>
      </c>
    </row>
    <row r="18" spans="1:4">
      <c r="A18" s="19">
        <v>17</v>
      </c>
      <c r="C18" s="4">
        <v>1</v>
      </c>
      <c r="D18" s="5">
        <f>$D$13*(1-D17)*D17</f>
        <v>0.3536999999999999</v>
      </c>
    </row>
    <row r="19" spans="1:4">
      <c r="A19" s="19">
        <v>18</v>
      </c>
      <c r="C19" s="4">
        <v>2</v>
      </c>
      <c r="D19" s="5">
        <f t="shared" ref="D19:D82" si="0">$D$13*(1-D18)*D18</f>
        <v>0.89838349829999997</v>
      </c>
    </row>
    <row r="20" spans="1:4">
      <c r="A20" s="19">
        <v>19</v>
      </c>
      <c r="C20" s="4">
        <v>3</v>
      </c>
      <c r="D20" s="5">
        <f t="shared" si="0"/>
        <v>0.35877201194925795</v>
      </c>
    </row>
    <row r="21" spans="1:4">
      <c r="A21" s="19">
        <v>20</v>
      </c>
      <c r="C21" s="4">
        <v>4</v>
      </c>
      <c r="D21" s="5">
        <f t="shared" si="0"/>
        <v>0.90411479568717812</v>
      </c>
    </row>
    <row r="22" spans="1:4">
      <c r="A22" s="19">
        <v>21</v>
      </c>
      <c r="C22" s="4">
        <v>5</v>
      </c>
      <c r="D22" s="5">
        <f t="shared" si="0"/>
        <v>0.34069654139337141</v>
      </c>
    </row>
    <row r="23" spans="1:4">
      <c r="A23" s="19">
        <v>22</v>
      </c>
      <c r="C23" s="4">
        <v>6</v>
      </c>
      <c r="D23" s="5">
        <f t="shared" si="0"/>
        <v>0.88276606373854716</v>
      </c>
    </row>
    <row r="24" spans="1:4">
      <c r="A24" s="19">
        <v>23</v>
      </c>
      <c r="C24" s="4">
        <v>7</v>
      </c>
      <c r="D24" s="5">
        <f t="shared" si="0"/>
        <v>0.40671625196888694</v>
      </c>
    </row>
    <row r="25" spans="1:4">
      <c r="A25" s="19">
        <v>24</v>
      </c>
      <c r="C25" s="4">
        <v>8</v>
      </c>
      <c r="D25" s="5">
        <f t="shared" si="0"/>
        <v>0.94830169944834253</v>
      </c>
    </row>
    <row r="26" spans="1:4">
      <c r="A26" s="19">
        <v>25</v>
      </c>
      <c r="C26" s="4">
        <v>9</v>
      </c>
      <c r="D26" s="5">
        <f t="shared" si="0"/>
        <v>0.19267055404789091</v>
      </c>
    </row>
    <row r="27" spans="1:4">
      <c r="A27" s="19">
        <v>26</v>
      </c>
      <c r="C27" s="4">
        <v>10</v>
      </c>
      <c r="D27" s="5">
        <f t="shared" si="0"/>
        <v>0.61130604378752473</v>
      </c>
    </row>
    <row r="28" spans="1:4">
      <c r="A28" s="19">
        <v>27</v>
      </c>
      <c r="C28" s="4">
        <v>11</v>
      </c>
      <c r="D28" s="5">
        <f t="shared" si="0"/>
        <v>0.93381109094233272</v>
      </c>
    </row>
    <row r="29" spans="1:4">
      <c r="A29" s="19">
        <v>28</v>
      </c>
      <c r="C29" s="4">
        <v>12</v>
      </c>
      <c r="D29" s="5">
        <f t="shared" si="0"/>
        <v>0.24290519388541293</v>
      </c>
    </row>
    <row r="30" spans="1:4">
      <c r="A30" s="19">
        <v>29</v>
      </c>
      <c r="C30" s="4">
        <v>13</v>
      </c>
      <c r="D30" s="5">
        <f t="shared" si="0"/>
        <v>0.72273588442878833</v>
      </c>
    </row>
    <row r="31" spans="1:4">
      <c r="A31" s="19">
        <v>30</v>
      </c>
      <c r="C31" s="4">
        <v>14</v>
      </c>
      <c r="D31" s="5">
        <f t="shared" si="0"/>
        <v>0.78752769234576103</v>
      </c>
    </row>
    <row r="32" spans="1:4">
      <c r="A32" s="19">
        <v>31</v>
      </c>
      <c r="C32" s="4">
        <v>15</v>
      </c>
      <c r="D32" s="5">
        <f t="shared" si="0"/>
        <v>0.65759835670788314</v>
      </c>
    </row>
    <row r="33" spans="1:4">
      <c r="A33" s="19">
        <v>32</v>
      </c>
      <c r="C33" s="4">
        <v>16</v>
      </c>
      <c r="D33" s="5">
        <f t="shared" si="0"/>
        <v>0.88488963879449112</v>
      </c>
    </row>
    <row r="34" spans="1:4">
      <c r="A34" s="19">
        <v>33</v>
      </c>
      <c r="C34" s="4">
        <v>17</v>
      </c>
      <c r="D34" s="5">
        <f t="shared" si="0"/>
        <v>0.40030966617817942</v>
      </c>
    </row>
    <row r="35" spans="1:4">
      <c r="A35" s="19">
        <v>34</v>
      </c>
      <c r="C35" s="4">
        <v>18</v>
      </c>
      <c r="D35" s="5">
        <f t="shared" si="0"/>
        <v>0.94344302075600139</v>
      </c>
    </row>
    <row r="36" spans="1:4">
      <c r="A36" s="19">
        <v>35</v>
      </c>
      <c r="C36" s="4">
        <v>19</v>
      </c>
      <c r="D36" s="5">
        <f t="shared" si="0"/>
        <v>0.2096980692571746</v>
      </c>
    </row>
    <row r="37" spans="1:4">
      <c r="A37" s="19">
        <v>36</v>
      </c>
      <c r="C37" s="4">
        <v>20</v>
      </c>
      <c r="D37" s="5">
        <f t="shared" si="0"/>
        <v>0.65129842079746203</v>
      </c>
    </row>
    <row r="38" spans="1:4">
      <c r="A38" s="19">
        <v>37</v>
      </c>
      <c r="C38" s="4">
        <v>21</v>
      </c>
      <c r="D38" s="5">
        <f t="shared" si="0"/>
        <v>0.89253753630628296</v>
      </c>
    </row>
    <row r="39" spans="1:4">
      <c r="A39" s="19">
        <v>38</v>
      </c>
      <c r="C39" s="4">
        <v>22</v>
      </c>
      <c r="D39" s="5">
        <f t="shared" si="0"/>
        <v>0.37694313058103279</v>
      </c>
    </row>
    <row r="40" spans="1:4">
      <c r="A40" s="19">
        <v>39</v>
      </c>
      <c r="C40" s="4">
        <v>23</v>
      </c>
      <c r="D40" s="5">
        <f t="shared" si="0"/>
        <v>0.92298803707299681</v>
      </c>
    </row>
    <row r="41" spans="1:4">
      <c r="A41" s="19">
        <v>40</v>
      </c>
      <c r="C41" s="4">
        <v>24</v>
      </c>
      <c r="D41" s="5">
        <f t="shared" si="0"/>
        <v>0.279348803538013</v>
      </c>
    </row>
    <row r="42" spans="1:4">
      <c r="A42" s="19">
        <v>41</v>
      </c>
      <c r="C42" s="4">
        <v>25</v>
      </c>
      <c r="D42" s="5">
        <f t="shared" si="0"/>
        <v>0.79116028453458209</v>
      </c>
    </row>
    <row r="43" spans="1:4">
      <c r="A43" s="19">
        <v>42</v>
      </c>
      <c r="C43" s="4">
        <v>26</v>
      </c>
      <c r="D43" s="5">
        <f t="shared" si="0"/>
        <v>0.64933695662928292</v>
      </c>
    </row>
    <row r="44" spans="1:4">
      <c r="A44" s="19">
        <v>43</v>
      </c>
      <c r="C44" s="4">
        <v>27</v>
      </c>
      <c r="D44" s="5">
        <f t="shared" si="0"/>
        <v>0.89485500040188548</v>
      </c>
    </row>
    <row r="45" spans="1:4">
      <c r="A45" s="19">
        <v>44</v>
      </c>
      <c r="C45" s="4">
        <v>28</v>
      </c>
      <c r="D45" s="5">
        <f t="shared" si="0"/>
        <v>0.36977184762447418</v>
      </c>
    </row>
    <row r="46" spans="1:4">
      <c r="A46" s="19">
        <v>45</v>
      </c>
      <c r="C46" s="4">
        <v>29</v>
      </c>
      <c r="D46" s="5">
        <f t="shared" si="0"/>
        <v>0.9158496693324073</v>
      </c>
    </row>
    <row r="47" spans="1:4">
      <c r="A47" s="19">
        <v>46</v>
      </c>
      <c r="C47" s="4">
        <v>30</v>
      </c>
      <c r="D47" s="5">
        <f t="shared" si="0"/>
        <v>0.30288137638838109</v>
      </c>
    </row>
    <row r="48" spans="1:4">
      <c r="A48" s="19">
        <v>47</v>
      </c>
      <c r="C48" s="4">
        <v>31</v>
      </c>
      <c r="D48" s="5">
        <f t="shared" si="0"/>
        <v>0.8297968955260614</v>
      </c>
    </row>
    <row r="49" spans="1:4">
      <c r="A49" s="19">
        <v>48</v>
      </c>
      <c r="C49" s="4">
        <v>32</v>
      </c>
      <c r="D49" s="5">
        <f t="shared" si="0"/>
        <v>0.55504965026639252</v>
      </c>
    </row>
    <row r="50" spans="1:4">
      <c r="A50" s="19">
        <v>49</v>
      </c>
      <c r="C50" s="4">
        <v>33</v>
      </c>
      <c r="D50" s="5">
        <f t="shared" si="0"/>
        <v>0.97059027650180318</v>
      </c>
    </row>
    <row r="51" spans="1:4">
      <c r="A51" s="19">
        <v>50</v>
      </c>
      <c r="C51" s="4">
        <v>34</v>
      </c>
      <c r="D51" s="5">
        <f t="shared" si="0"/>
        <v>0.11218103123148876</v>
      </c>
    </row>
    <row r="52" spans="1:4">
      <c r="A52" s="19">
        <v>51</v>
      </c>
      <c r="C52" s="4">
        <v>35</v>
      </c>
      <c r="D52" s="5">
        <f t="shared" si="0"/>
        <v>0.39141403853088103</v>
      </c>
    </row>
    <row r="53" spans="1:4">
      <c r="A53" s="19">
        <v>52</v>
      </c>
      <c r="C53" s="4">
        <v>36</v>
      </c>
      <c r="D53" s="5">
        <f t="shared" si="0"/>
        <v>0.93616171965928008</v>
      </c>
    </row>
    <row r="54" spans="1:4">
      <c r="A54" s="19">
        <v>53</v>
      </c>
      <c r="C54" s="4">
        <v>37</v>
      </c>
      <c r="D54" s="5">
        <f t="shared" si="0"/>
        <v>0.23486841041416812</v>
      </c>
    </row>
    <row r="55" spans="1:4">
      <c r="A55" s="19">
        <v>54</v>
      </c>
      <c r="C55" s="4">
        <v>38</v>
      </c>
      <c r="D55" s="5">
        <f t="shared" si="0"/>
        <v>0.70624159400050179</v>
      </c>
    </row>
    <row r="56" spans="1:4">
      <c r="A56" s="19">
        <v>55</v>
      </c>
      <c r="C56" s="4">
        <v>39</v>
      </c>
      <c r="D56" s="5">
        <f t="shared" si="0"/>
        <v>0.81533511127323954</v>
      </c>
    </row>
    <row r="57" spans="1:4">
      <c r="A57" s="19">
        <v>56</v>
      </c>
      <c r="C57" s="4">
        <v>40</v>
      </c>
      <c r="D57" s="5">
        <f t="shared" si="0"/>
        <v>0.59171560666129397</v>
      </c>
    </row>
    <row r="58" spans="1:4">
      <c r="A58" s="19">
        <v>57</v>
      </c>
      <c r="C58" s="4">
        <v>41</v>
      </c>
      <c r="D58" s="5">
        <f t="shared" si="0"/>
        <v>0.94944181265437066</v>
      </c>
    </row>
    <row r="59" spans="1:4">
      <c r="A59" s="19">
        <v>58</v>
      </c>
      <c r="C59" s="4">
        <v>42</v>
      </c>
      <c r="D59" s="5">
        <f t="shared" si="0"/>
        <v>0.18864808415915757</v>
      </c>
    </row>
    <row r="60" spans="1:4">
      <c r="A60" s="19">
        <v>59</v>
      </c>
      <c r="C60" s="4">
        <v>43</v>
      </c>
      <c r="D60" s="5">
        <f t="shared" si="0"/>
        <v>0.60152573909379137</v>
      </c>
    </row>
    <row r="61" spans="1:4">
      <c r="A61" s="19">
        <v>60</v>
      </c>
      <c r="C61" s="4">
        <v>44</v>
      </c>
      <c r="D61" s="5">
        <f t="shared" si="0"/>
        <v>0.94199162050473551</v>
      </c>
    </row>
    <row r="62" spans="1:4">
      <c r="A62" s="19">
        <v>61</v>
      </c>
      <c r="C62" s="4">
        <v>45</v>
      </c>
      <c r="D62" s="5">
        <f t="shared" si="0"/>
        <v>0.21474859109613964</v>
      </c>
    </row>
    <row r="63" spans="1:4">
      <c r="A63" s="19">
        <v>62</v>
      </c>
      <c r="C63" s="4">
        <v>46</v>
      </c>
      <c r="D63" s="5">
        <f t="shared" si="0"/>
        <v>0.66272232051316526</v>
      </c>
    </row>
    <row r="64" spans="1:4">
      <c r="A64" s="19">
        <v>63</v>
      </c>
      <c r="C64" s="4">
        <v>47</v>
      </c>
      <c r="D64" s="5">
        <f t="shared" si="0"/>
        <v>0.87843928437876617</v>
      </c>
    </row>
    <row r="65" spans="1:4">
      <c r="A65" s="19">
        <v>64</v>
      </c>
      <c r="C65" s="4">
        <v>48</v>
      </c>
      <c r="D65" s="5">
        <f t="shared" si="0"/>
        <v>0.41965997259282728</v>
      </c>
    </row>
    <row r="66" spans="1:4">
      <c r="A66" s="19">
        <v>65</v>
      </c>
      <c r="C66" s="4">
        <v>49</v>
      </c>
      <c r="D66" s="5">
        <f t="shared" si="0"/>
        <v>0.957133736385124</v>
      </c>
    </row>
    <row r="67" spans="1:4">
      <c r="A67" s="19">
        <v>66</v>
      </c>
      <c r="C67" s="4">
        <v>50</v>
      </c>
      <c r="D67" s="5">
        <f t="shared" si="0"/>
        <v>0.16124297594020351</v>
      </c>
    </row>
    <row r="68" spans="1:4">
      <c r="A68" s="19">
        <v>67</v>
      </c>
      <c r="C68" s="4">
        <v>51</v>
      </c>
      <c r="D68" s="5">
        <f t="shared" si="0"/>
        <v>0.53150765709509129</v>
      </c>
    </row>
    <row r="69" spans="1:4">
      <c r="A69" s="19">
        <v>68</v>
      </c>
      <c r="C69" s="4">
        <v>52</v>
      </c>
      <c r="D69" s="5">
        <f t="shared" si="0"/>
        <v>0.97859856144940616</v>
      </c>
    </row>
    <row r="70" spans="1:4">
      <c r="A70" s="19">
        <v>69</v>
      </c>
      <c r="C70" s="4">
        <v>53</v>
      </c>
      <c r="D70" s="5">
        <f t="shared" si="0"/>
        <v>8.2307628725736881E-2</v>
      </c>
    </row>
    <row r="71" spans="1:4">
      <c r="A71" s="19">
        <v>70</v>
      </c>
      <c r="C71" s="4">
        <v>54</v>
      </c>
      <c r="D71" s="5">
        <f t="shared" si="0"/>
        <v>0.29684501610858272</v>
      </c>
    </row>
    <row r="72" spans="1:4">
      <c r="A72" s="19">
        <v>71</v>
      </c>
      <c r="C72" s="4">
        <v>55</v>
      </c>
      <c r="D72" s="5">
        <f t="shared" si="0"/>
        <v>0.82030124640390656</v>
      </c>
    </row>
    <row r="73" spans="1:4">
      <c r="A73" s="19">
        <v>72</v>
      </c>
      <c r="C73" s="4">
        <v>56</v>
      </c>
      <c r="D73" s="5">
        <f t="shared" si="0"/>
        <v>0.57930994839976846</v>
      </c>
    </row>
    <row r="74" spans="1:4">
      <c r="A74" s="19">
        <v>73</v>
      </c>
      <c r="C74" s="4">
        <v>57</v>
      </c>
      <c r="D74" s="5">
        <f t="shared" si="0"/>
        <v>0.95778003309336646</v>
      </c>
    </row>
    <row r="75" spans="1:4">
      <c r="A75" s="19">
        <v>74</v>
      </c>
      <c r="C75" s="4">
        <v>58</v>
      </c>
      <c r="D75" s="5">
        <f t="shared" si="0"/>
        <v>0.15891914431307272</v>
      </c>
    </row>
    <row r="76" spans="1:4">
      <c r="A76" s="19">
        <v>75</v>
      </c>
      <c r="C76" s="4">
        <v>59</v>
      </c>
      <c r="D76" s="5">
        <f t="shared" si="0"/>
        <v>0.52529893004362282</v>
      </c>
    </row>
    <row r="77" spans="1:4">
      <c r="A77" s="19">
        <v>76</v>
      </c>
      <c r="C77" s="4">
        <v>60</v>
      </c>
      <c r="D77" s="5">
        <f t="shared" si="0"/>
        <v>0.97998465906488619</v>
      </c>
    </row>
    <row r="78" spans="1:4">
      <c r="A78" s="19">
        <v>77</v>
      </c>
      <c r="C78" s="4">
        <v>61</v>
      </c>
      <c r="D78" s="5">
        <f t="shared" si="0"/>
        <v>7.708587735509434E-2</v>
      </c>
    </row>
    <row r="79" spans="1:4">
      <c r="A79" s="19">
        <v>78</v>
      </c>
      <c r="C79" s="4">
        <v>62</v>
      </c>
      <c r="D79" s="5">
        <f t="shared" si="0"/>
        <v>0.27959452432923454</v>
      </c>
    </row>
    <row r="80" spans="1:4">
      <c r="A80" s="19">
        <v>79</v>
      </c>
      <c r="C80" s="4">
        <v>63</v>
      </c>
      <c r="D80" s="5">
        <f t="shared" si="0"/>
        <v>0.79158620533677038</v>
      </c>
    </row>
    <row r="81" spans="1:4">
      <c r="A81" s="19">
        <v>80</v>
      </c>
      <c r="C81" s="4">
        <v>64</v>
      </c>
      <c r="D81" s="5">
        <f t="shared" si="0"/>
        <v>0.64836151548919996</v>
      </c>
    </row>
    <row r="82" spans="1:4">
      <c r="A82" s="19">
        <v>81</v>
      </c>
      <c r="C82" s="4">
        <v>65</v>
      </c>
      <c r="D82" s="5">
        <f t="shared" si="0"/>
        <v>0.89599622263646928</v>
      </c>
    </row>
    <row r="83" spans="1:4">
      <c r="A83" s="19">
        <v>82</v>
      </c>
      <c r="C83" s="4">
        <v>66</v>
      </c>
      <c r="D83" s="5">
        <f t="shared" ref="D83:D146" si="1">$D$13*(1-D82)*D82</f>
        <v>0.3662248772145561</v>
      </c>
    </row>
    <row r="84" spans="1:4">
      <c r="A84" s="19">
        <v>83</v>
      </c>
      <c r="C84" s="4">
        <v>67</v>
      </c>
      <c r="D84" s="5">
        <f t="shared" si="1"/>
        <v>0.91216957093829598</v>
      </c>
    </row>
    <row r="85" spans="1:4">
      <c r="A85" s="19">
        <v>84</v>
      </c>
      <c r="C85" s="4">
        <v>68</v>
      </c>
      <c r="D85" s="5">
        <f t="shared" si="1"/>
        <v>0.31485684203468617</v>
      </c>
    </row>
    <row r="86" spans="1:4">
      <c r="A86" s="19">
        <v>85</v>
      </c>
      <c r="C86" s="4">
        <v>69</v>
      </c>
      <c r="D86" s="5">
        <f t="shared" si="1"/>
        <v>0.8477875034604192</v>
      </c>
    </row>
    <row r="87" spans="1:4">
      <c r="A87" s="19">
        <v>86</v>
      </c>
      <c r="C87" s="4">
        <v>70</v>
      </c>
      <c r="D87" s="5">
        <f t="shared" si="1"/>
        <v>0.50714234007650183</v>
      </c>
    </row>
    <row r="88" spans="1:4">
      <c r="A88" s="19">
        <v>87</v>
      </c>
      <c r="C88" s="4">
        <v>71</v>
      </c>
      <c r="D88" s="5">
        <f t="shared" si="1"/>
        <v>0.98229951882445021</v>
      </c>
    </row>
    <row r="89" spans="1:4">
      <c r="A89" s="19">
        <v>88</v>
      </c>
      <c r="C89" s="4">
        <v>72</v>
      </c>
      <c r="D89" s="5">
        <f t="shared" si="1"/>
        <v>6.8331594376895927E-2</v>
      </c>
    </row>
    <row r="90" spans="1:4">
      <c r="A90" s="19">
        <v>89</v>
      </c>
      <c r="C90" s="4">
        <v>73</v>
      </c>
      <c r="D90" s="5">
        <f t="shared" si="1"/>
        <v>0.25019318321615269</v>
      </c>
    </row>
    <row r="91" spans="1:4">
      <c r="A91" s="19">
        <v>90</v>
      </c>
      <c r="C91" s="4">
        <v>74</v>
      </c>
      <c r="D91" s="5">
        <f t="shared" si="1"/>
        <v>0.73725445835310299</v>
      </c>
    </row>
    <row r="92" spans="1:4">
      <c r="A92" s="19">
        <v>91</v>
      </c>
      <c r="C92" s="4">
        <v>75</v>
      </c>
      <c r="D92" s="5">
        <f t="shared" si="1"/>
        <v>0.76128156542689251</v>
      </c>
    </row>
    <row r="93" spans="1:4">
      <c r="A93" s="19">
        <v>92</v>
      </c>
      <c r="C93" s="4">
        <v>76</v>
      </c>
      <c r="D93" s="5">
        <f t="shared" si="1"/>
        <v>0.71420653822252489</v>
      </c>
    </row>
    <row r="94" spans="1:4">
      <c r="A94" s="19">
        <v>93</v>
      </c>
      <c r="C94" s="4">
        <v>77</v>
      </c>
      <c r="D94" s="5">
        <f t="shared" si="1"/>
        <v>0.80217414680209742</v>
      </c>
    </row>
    <row r="95" spans="1:4">
      <c r="A95" s="19">
        <v>94</v>
      </c>
      <c r="C95" s="4">
        <v>78</v>
      </c>
      <c r="D95" s="5">
        <f t="shared" si="1"/>
        <v>0.62365478506738825</v>
      </c>
    </row>
    <row r="96" spans="1:4">
      <c r="A96" s="19">
        <v>95</v>
      </c>
      <c r="C96" s="4">
        <v>79</v>
      </c>
      <c r="D96" s="5">
        <f t="shared" si="1"/>
        <v>0.92240831193065653</v>
      </c>
    </row>
    <row r="97" spans="1:4">
      <c r="A97" s="19">
        <v>96</v>
      </c>
      <c r="C97" s="4">
        <v>80</v>
      </c>
      <c r="D97" s="5">
        <f t="shared" si="1"/>
        <v>0.28127488678674017</v>
      </c>
    </row>
    <row r="98" spans="1:4">
      <c r="A98" s="19">
        <v>97</v>
      </c>
      <c r="C98" s="4">
        <v>81</v>
      </c>
      <c r="D98" s="5">
        <f t="shared" si="1"/>
        <v>0.79448614665989736</v>
      </c>
    </row>
    <row r="99" spans="1:4">
      <c r="A99" s="19">
        <v>98</v>
      </c>
      <c r="C99" s="4">
        <v>82</v>
      </c>
      <c r="D99" s="5">
        <f t="shared" si="1"/>
        <v>0.64168218404184341</v>
      </c>
    </row>
    <row r="100" spans="1:4">
      <c r="A100" s="19">
        <v>99</v>
      </c>
      <c r="C100" s="4">
        <v>83</v>
      </c>
      <c r="D100" s="5">
        <f t="shared" si="1"/>
        <v>0.90360980378977362</v>
      </c>
    </row>
    <row r="101" spans="1:4">
      <c r="A101" s="19">
        <v>100</v>
      </c>
      <c r="C101" s="4">
        <v>84</v>
      </c>
      <c r="D101" s="5">
        <f t="shared" si="1"/>
        <v>0.34229956629918712</v>
      </c>
    </row>
    <row r="102" spans="1:4">
      <c r="A102" s="19">
        <v>101</v>
      </c>
      <c r="C102" s="4">
        <v>85</v>
      </c>
      <c r="D102" s="5">
        <f t="shared" si="1"/>
        <v>0.88476315271756178</v>
      </c>
    </row>
    <row r="103" spans="1:4">
      <c r="C103" s="4">
        <v>86</v>
      </c>
      <c r="D103" s="5">
        <f t="shared" si="1"/>
        <v>0.40069225310160994</v>
      </c>
    </row>
    <row r="104" spans="1:4">
      <c r="C104" s="4">
        <v>87</v>
      </c>
      <c r="D104" s="5">
        <f t="shared" si="1"/>
        <v>0.94374222762544369</v>
      </c>
    </row>
    <row r="105" spans="1:4">
      <c r="C105" s="4">
        <v>88</v>
      </c>
      <c r="D105" s="5">
        <f t="shared" si="1"/>
        <v>0.20865484320849509</v>
      </c>
    </row>
    <row r="106" spans="1:4">
      <c r="C106" s="4">
        <v>89</v>
      </c>
      <c r="D106" s="5">
        <f t="shared" si="1"/>
        <v>0.64891373848354428</v>
      </c>
    </row>
    <row r="107" spans="1:4">
      <c r="C107" s="4">
        <v>90</v>
      </c>
      <c r="D107" s="5">
        <f t="shared" si="1"/>
        <v>0.89535106506905859</v>
      </c>
    </row>
    <row r="108" spans="1:4">
      <c r="C108" s="4">
        <v>91</v>
      </c>
      <c r="D108" s="5">
        <f t="shared" si="1"/>
        <v>0.36823131392063074</v>
      </c>
    </row>
    <row r="109" spans="1:4">
      <c r="C109" s="4">
        <v>92</v>
      </c>
      <c r="D109" s="5">
        <f t="shared" si="1"/>
        <v>0.91426346253984225</v>
      </c>
    </row>
    <row r="110" spans="1:4">
      <c r="C110" s="4">
        <v>93</v>
      </c>
      <c r="D110" s="5">
        <f t="shared" si="1"/>
        <v>0.30805612956568779</v>
      </c>
    </row>
    <row r="111" spans="1:4">
      <c r="C111" s="4">
        <v>94</v>
      </c>
      <c r="D111" s="5">
        <f t="shared" si="1"/>
        <v>0.83770917386859511</v>
      </c>
    </row>
    <row r="112" spans="1:4">
      <c r="C112" s="4">
        <v>95</v>
      </c>
      <c r="D112" s="5">
        <f t="shared" si="1"/>
        <v>0.53429337956801459</v>
      </c>
    </row>
    <row r="113" spans="3:4">
      <c r="C113" s="4">
        <v>96</v>
      </c>
      <c r="D113" s="5">
        <f t="shared" si="1"/>
        <v>0.97787817898297003</v>
      </c>
    </row>
    <row r="114" spans="3:4">
      <c r="C114" s="4">
        <v>97</v>
      </c>
      <c r="D114" s="5">
        <f t="shared" si="1"/>
        <v>8.5015512984047428E-2</v>
      </c>
    </row>
    <row r="115" spans="3:4">
      <c r="C115" s="4">
        <v>98</v>
      </c>
      <c r="D115" s="5">
        <f t="shared" si="1"/>
        <v>0.30570635085689929</v>
      </c>
    </row>
    <row r="116" spans="3:4">
      <c r="C116" s="4">
        <v>99</v>
      </c>
      <c r="D116" s="5">
        <f t="shared" si="1"/>
        <v>0.83414241315744464</v>
      </c>
    </row>
    <row r="117" spans="3:4">
      <c r="C117" s="4">
        <v>100</v>
      </c>
      <c r="D117" s="5">
        <f t="shared" si="1"/>
        <v>0.54371097157622594</v>
      </c>
    </row>
    <row r="118" spans="3:4">
      <c r="C118" s="4">
        <v>101</v>
      </c>
      <c r="D118" s="5">
        <f t="shared" si="1"/>
        <v>0.97499114928797925</v>
      </c>
    </row>
    <row r="119" spans="3:4">
      <c r="C119" s="4">
        <v>102</v>
      </c>
      <c r="D119" s="5">
        <f t="shared" si="1"/>
        <v>9.5826793825472517E-2</v>
      </c>
    </row>
    <row r="120" spans="3:4">
      <c r="C120" s="4">
        <v>103</v>
      </c>
      <c r="D120" s="5">
        <f t="shared" si="1"/>
        <v>0.34051099628366943</v>
      </c>
    </row>
    <row r="121" spans="3:4">
      <c r="C121" s="4">
        <v>104</v>
      </c>
      <c r="D121" s="5">
        <f t="shared" si="1"/>
        <v>0.88253360273573911</v>
      </c>
    </row>
    <row r="122" spans="3:4">
      <c r="C122" s="4">
        <v>105</v>
      </c>
      <c r="D122" s="5">
        <f t="shared" si="1"/>
        <v>0.40741540811760185</v>
      </c>
    </row>
    <row r="123" spans="3:4">
      <c r="C123" s="4">
        <v>106</v>
      </c>
      <c r="D123" s="5">
        <f t="shared" si="1"/>
        <v>0.94881240684966139</v>
      </c>
    </row>
    <row r="124" spans="3:4">
      <c r="C124" s="4">
        <v>107</v>
      </c>
      <c r="D124" s="5">
        <f t="shared" si="1"/>
        <v>0.19086997418920909</v>
      </c>
    </row>
    <row r="125" spans="3:4">
      <c r="C125" s="4">
        <v>108</v>
      </c>
      <c r="D125" s="5">
        <f t="shared" si="1"/>
        <v>0.60694380466892373</v>
      </c>
    </row>
    <row r="126" spans="3:4">
      <c r="C126" s="4">
        <v>109</v>
      </c>
      <c r="D126" s="5">
        <f t="shared" si="1"/>
        <v>0.93755267898673489</v>
      </c>
    </row>
    <row r="127" spans="3:4">
      <c r="C127" s="4">
        <v>110</v>
      </c>
      <c r="D127" s="5">
        <f t="shared" si="1"/>
        <v>0.23009227672831814</v>
      </c>
    </row>
    <row r="128" spans="3:4">
      <c r="C128" s="4">
        <v>111</v>
      </c>
      <c r="D128" s="5">
        <f t="shared" si="1"/>
        <v>0.69619879620890812</v>
      </c>
    </row>
    <row r="129" spans="3:4">
      <c r="C129" s="4">
        <v>112</v>
      </c>
      <c r="D129" s="5">
        <f t="shared" si="1"/>
        <v>0.8312187071990691</v>
      </c>
    </row>
    <row r="130" spans="3:4">
      <c r="C130" s="4">
        <v>113</v>
      </c>
      <c r="D130" s="5">
        <f t="shared" si="1"/>
        <v>0.55135608024541294</v>
      </c>
    </row>
    <row r="131" spans="3:4">
      <c r="C131" s="4">
        <v>114</v>
      </c>
      <c r="D131" s="5">
        <f t="shared" si="1"/>
        <v>0.97213483337577911</v>
      </c>
    </row>
    <row r="132" spans="3:4">
      <c r="C132" s="4">
        <v>115</v>
      </c>
      <c r="D132" s="5">
        <f t="shared" si="1"/>
        <v>0.10645858751497543</v>
      </c>
    </row>
    <row r="133" spans="3:4">
      <c r="C133" s="4">
        <v>116</v>
      </c>
      <c r="D133" s="5">
        <f t="shared" si="1"/>
        <v>0.37384186567101657</v>
      </c>
    </row>
    <row r="134" spans="3:4">
      <c r="C134" s="4">
        <v>117</v>
      </c>
      <c r="D134" s="5">
        <f t="shared" si="1"/>
        <v>0.91995061181053672</v>
      </c>
    </row>
    <row r="135" spans="3:4">
      <c r="C135" s="4">
        <v>118</v>
      </c>
      <c r="D135" s="5">
        <f t="shared" si="1"/>
        <v>0.28941103070502666</v>
      </c>
    </row>
    <row r="136" spans="3:4">
      <c r="C136" s="4">
        <v>119</v>
      </c>
      <c r="D136" s="5">
        <f t="shared" si="1"/>
        <v>0.80821348402433346</v>
      </c>
    </row>
    <row r="137" spans="3:4">
      <c r="C137" s="4">
        <v>120</v>
      </c>
      <c r="D137" s="5">
        <f t="shared" si="1"/>
        <v>0.60916748168373713</v>
      </c>
    </row>
    <row r="138" spans="3:4">
      <c r="C138" s="4">
        <v>121</v>
      </c>
      <c r="D138" s="5">
        <f t="shared" si="1"/>
        <v>0.9356640715053256</v>
      </c>
    </row>
    <row r="139" spans="3:4">
      <c r="C139" s="4">
        <v>122</v>
      </c>
      <c r="D139" s="5">
        <f t="shared" si="1"/>
        <v>0.23657349002165198</v>
      </c>
    </row>
    <row r="140" spans="3:4">
      <c r="C140" s="4">
        <v>123</v>
      </c>
      <c r="D140" s="5">
        <f t="shared" si="1"/>
        <v>0.7097834421936654</v>
      </c>
    </row>
    <row r="141" spans="3:4">
      <c r="C141" s="4">
        <v>124</v>
      </c>
      <c r="D141" s="5">
        <f t="shared" si="1"/>
        <v>0.8095442660088118</v>
      </c>
    </row>
    <row r="142" spans="3:4">
      <c r="C142" s="4">
        <v>125</v>
      </c>
      <c r="D142" s="5">
        <f t="shared" si="1"/>
        <v>0.60593662520758929</v>
      </c>
    </row>
    <row r="143" spans="3:4">
      <c r="C143" s="4">
        <v>126</v>
      </c>
      <c r="D143" s="5">
        <f t="shared" si="1"/>
        <v>0.93839530555773321</v>
      </c>
    </row>
    <row r="144" spans="3:4">
      <c r="C144" s="4">
        <v>127</v>
      </c>
      <c r="D144" s="5">
        <f t="shared" si="1"/>
        <v>0.22719155533522103</v>
      </c>
    </row>
    <row r="145" spans="3:4">
      <c r="C145" s="4">
        <v>128</v>
      </c>
      <c r="D145" s="5">
        <f t="shared" si="1"/>
        <v>0.6900119214019661</v>
      </c>
    </row>
    <row r="146" spans="3:4">
      <c r="C146" s="4">
        <v>129</v>
      </c>
      <c r="D146" s="5">
        <f t="shared" si="1"/>
        <v>0.84060919601977291</v>
      </c>
    </row>
    <row r="147" spans="3:4">
      <c r="C147" s="4">
        <v>130</v>
      </c>
      <c r="D147" s="5">
        <f t="shared" ref="D147:D210" si="2">$D$13*(1-D146)*D146</f>
        <v>0.52656252605598219</v>
      </c>
    </row>
    <row r="148" spans="3:4">
      <c r="C148" s="4">
        <v>131</v>
      </c>
      <c r="D148" s="5">
        <f t="shared" si="2"/>
        <v>0.97972711858343431</v>
      </c>
    </row>
    <row r="149" spans="3:4">
      <c r="C149" s="4">
        <v>132</v>
      </c>
      <c r="D149" s="5">
        <f t="shared" si="2"/>
        <v>7.8057234363847733E-2</v>
      </c>
    </row>
    <row r="150" spans="3:4">
      <c r="C150" s="4">
        <v>133</v>
      </c>
      <c r="D150" s="5">
        <f t="shared" si="2"/>
        <v>0.28281970893234831</v>
      </c>
    </row>
    <row r="151" spans="3:4">
      <c r="C151" s="4">
        <v>134</v>
      </c>
      <c r="D151" s="5">
        <f t="shared" si="2"/>
        <v>0.79713259420505644</v>
      </c>
    </row>
    <row r="152" spans="3:4">
      <c r="C152" s="4">
        <v>135</v>
      </c>
      <c r="D152" s="5">
        <f t="shared" si="2"/>
        <v>0.635529030341625</v>
      </c>
    </row>
    <row r="153" spans="3:4">
      <c r="C153" s="4">
        <v>136</v>
      </c>
      <c r="D153" s="5">
        <f t="shared" si="2"/>
        <v>0.91031329600320954</v>
      </c>
    </row>
    <row r="154" spans="3:4">
      <c r="C154" s="4">
        <v>137</v>
      </c>
      <c r="D154" s="5">
        <f t="shared" si="2"/>
        <v>0.32085698655332145</v>
      </c>
    </row>
    <row r="155" spans="3:4">
      <c r="C155" s="4">
        <v>138</v>
      </c>
      <c r="D155" s="5">
        <f t="shared" si="2"/>
        <v>0.85637757828164551</v>
      </c>
    </row>
    <row r="156" spans="3:4">
      <c r="C156" s="4">
        <v>139</v>
      </c>
      <c r="D156" s="5">
        <f t="shared" si="2"/>
        <v>0.48337043527357082</v>
      </c>
    </row>
    <row r="157" spans="3:4">
      <c r="C157" s="4">
        <v>140</v>
      </c>
      <c r="D157" s="5">
        <f t="shared" si="2"/>
        <v>0.98141318827764745</v>
      </c>
    </row>
    <row r="158" spans="3:4">
      <c r="C158" s="4">
        <v>141</v>
      </c>
      <c r="D158" s="5">
        <f t="shared" si="2"/>
        <v>7.1688474658736942E-2</v>
      </c>
    </row>
    <row r="159" spans="3:4">
      <c r="C159" s="4">
        <v>142</v>
      </c>
      <c r="D159" s="5">
        <f t="shared" si="2"/>
        <v>0.26153850243117349</v>
      </c>
    </row>
    <row r="160" spans="3:4">
      <c r="C160" s="4">
        <v>143</v>
      </c>
      <c r="D160" s="5">
        <f t="shared" si="2"/>
        <v>0.75902492871652394</v>
      </c>
    </row>
    <row r="161" spans="3:4">
      <c r="C161" s="4">
        <v>144</v>
      </c>
      <c r="D161" s="5">
        <f t="shared" si="2"/>
        <v>0.71882091917236091</v>
      </c>
    </row>
    <row r="162" spans="3:4">
      <c r="C162" s="4">
        <v>145</v>
      </c>
      <c r="D162" s="5">
        <f t="shared" si="2"/>
        <v>0.79432140295697307</v>
      </c>
    </row>
    <row r="163" spans="3:4">
      <c r="C163" s="4">
        <v>146</v>
      </c>
      <c r="D163" s="5">
        <f t="shared" si="2"/>
        <v>0.6420634032224557</v>
      </c>
    </row>
    <row r="164" spans="3:4">
      <c r="C164" s="4">
        <v>147</v>
      </c>
      <c r="D164" s="5">
        <f t="shared" si="2"/>
        <v>0.903184698596876</v>
      </c>
    </row>
    <row r="165" spans="3:4">
      <c r="C165" s="4">
        <v>148</v>
      </c>
      <c r="D165" s="5">
        <f t="shared" si="2"/>
        <v>0.34364744835217076</v>
      </c>
    </row>
    <row r="166" spans="3:4">
      <c r="C166" s="4">
        <v>149</v>
      </c>
      <c r="D166" s="5">
        <f t="shared" si="2"/>
        <v>0.88642674680132671</v>
      </c>
    </row>
    <row r="167" spans="3:4">
      <c r="C167" s="4">
        <v>150</v>
      </c>
      <c r="D167" s="5">
        <f t="shared" si="2"/>
        <v>0.3956502715712153</v>
      </c>
    </row>
    <row r="168" spans="3:4">
      <c r="C168" s="4">
        <v>151</v>
      </c>
      <c r="D168" s="5">
        <f t="shared" si="2"/>
        <v>0.93970675731497666</v>
      </c>
    </row>
    <row r="169" spans="3:4">
      <c r="C169" s="4">
        <v>152</v>
      </c>
      <c r="D169" s="5">
        <f t="shared" si="2"/>
        <v>0.22266581255618453</v>
      </c>
    </row>
    <row r="170" spans="3:4">
      <c r="C170" s="4">
        <v>153</v>
      </c>
      <c r="D170" s="5">
        <f t="shared" si="2"/>
        <v>0.68022699150627297</v>
      </c>
    </row>
    <row r="171" spans="3:4">
      <c r="C171" s="4">
        <v>154</v>
      </c>
      <c r="D171" s="5">
        <f t="shared" si="2"/>
        <v>0.85484664992310944</v>
      </c>
    </row>
    <row r="172" spans="3:4">
      <c r="C172" s="4">
        <v>155</v>
      </c>
      <c r="D172" s="5">
        <f t="shared" si="2"/>
        <v>0.48764955030070062</v>
      </c>
    </row>
    <row r="173" spans="3:4">
      <c r="C173" s="4">
        <v>156</v>
      </c>
      <c r="D173" s="5">
        <f t="shared" si="2"/>
        <v>0.9819005429214448</v>
      </c>
    </row>
    <row r="174" spans="3:4">
      <c r="C174" s="4">
        <v>157</v>
      </c>
      <c r="D174" s="5">
        <f t="shared" si="2"/>
        <v>6.9843436256825792E-2</v>
      </c>
    </row>
    <row r="175" spans="3:4">
      <c r="C175" s="4">
        <v>158</v>
      </c>
      <c r="D175" s="5">
        <f t="shared" si="2"/>
        <v>0.25531374952785152</v>
      </c>
    </row>
    <row r="176" spans="3:4">
      <c r="C176" s="4">
        <v>159</v>
      </c>
      <c r="D176" s="5">
        <f t="shared" si="2"/>
        <v>0.74720555060143246</v>
      </c>
    </row>
    <row r="177" spans="3:4">
      <c r="C177" s="4">
        <v>160</v>
      </c>
      <c r="D177" s="5">
        <f t="shared" si="2"/>
        <v>0.74233540390474151</v>
      </c>
    </row>
    <row r="178" spans="3:4">
      <c r="C178" s="4">
        <v>161</v>
      </c>
      <c r="D178" s="5">
        <f t="shared" si="2"/>
        <v>0.75170505941630039</v>
      </c>
    </row>
    <row r="179" spans="3:4">
      <c r="C179" s="4">
        <v>162</v>
      </c>
      <c r="D179" s="5">
        <f t="shared" si="2"/>
        <v>0.73351313284245023</v>
      </c>
    </row>
    <row r="180" spans="3:4">
      <c r="C180" s="4">
        <v>163</v>
      </c>
      <c r="D180" s="5">
        <f t="shared" si="2"/>
        <v>0.76820345398510947</v>
      </c>
    </row>
    <row r="181" spans="3:4">
      <c r="C181" s="4">
        <v>164</v>
      </c>
      <c r="D181" s="5">
        <f t="shared" si="2"/>
        <v>0.69980294557289702</v>
      </c>
    </row>
    <row r="182" spans="3:4">
      <c r="C182" s="4">
        <v>165</v>
      </c>
      <c r="D182" s="5">
        <f t="shared" si="2"/>
        <v>0.8256096169557483</v>
      </c>
    </row>
    <row r="183" spans="3:4">
      <c r="C183" s="4">
        <v>166</v>
      </c>
      <c r="D183" s="5">
        <f t="shared" si="2"/>
        <v>0.56583502296950838</v>
      </c>
    </row>
    <row r="184" spans="3:4">
      <c r="C184" s="4">
        <v>167</v>
      </c>
      <c r="D184" s="5">
        <f t="shared" si="2"/>
        <v>0.96546639651987487</v>
      </c>
    </row>
    <row r="185" spans="3:4">
      <c r="C185" s="4">
        <v>168</v>
      </c>
      <c r="D185" s="5">
        <f t="shared" si="2"/>
        <v>0.13103026248345429</v>
      </c>
    </row>
    <row r="186" spans="3:4">
      <c r="C186" s="4">
        <v>169</v>
      </c>
      <c r="D186" s="5">
        <f t="shared" si="2"/>
        <v>0.44747503789209747</v>
      </c>
    </row>
    <row r="187" spans="3:4">
      <c r="C187" s="4">
        <v>170</v>
      </c>
      <c r="D187" s="5">
        <f t="shared" si="2"/>
        <v>0.97165763443736419</v>
      </c>
    </row>
    <row r="188" spans="3:4">
      <c r="C188" s="4">
        <v>171</v>
      </c>
      <c r="D188" s="5">
        <f t="shared" si="2"/>
        <v>0.10822856819641241</v>
      </c>
    </row>
    <row r="189" spans="3:4">
      <c r="C189" s="4">
        <v>172</v>
      </c>
      <c r="D189" s="5">
        <f t="shared" si="2"/>
        <v>0.37930452072468801</v>
      </c>
    </row>
    <row r="190" spans="3:4">
      <c r="C190" s="4">
        <v>173</v>
      </c>
      <c r="D190" s="5">
        <f t="shared" si="2"/>
        <v>0.92525012304023591</v>
      </c>
    </row>
    <row r="191" spans="3:4">
      <c r="C191" s="4">
        <v>174</v>
      </c>
      <c r="D191" s="5">
        <f t="shared" si="2"/>
        <v>0.27180796811725844</v>
      </c>
    </row>
    <row r="192" spans="3:4">
      <c r="C192" s="4">
        <v>175</v>
      </c>
      <c r="D192" s="5">
        <f t="shared" si="2"/>
        <v>0.77785859857993755</v>
      </c>
    </row>
    <row r="193" spans="3:4">
      <c r="C193" s="4">
        <v>176</v>
      </c>
      <c r="D193" s="5">
        <f t="shared" si="2"/>
        <v>0.67908277483710899</v>
      </c>
    </row>
    <row r="194" spans="3:4">
      <c r="C194" s="4">
        <v>177</v>
      </c>
      <c r="D194" s="5">
        <f t="shared" si="2"/>
        <v>0.85646238384360041</v>
      </c>
    </row>
    <row r="195" spans="3:4">
      <c r="C195" s="4">
        <v>178</v>
      </c>
      <c r="D195" s="5">
        <f t="shared" si="2"/>
        <v>0.48313285579483317</v>
      </c>
    </row>
    <row r="196" spans="3:4">
      <c r="C196" s="4">
        <v>179</v>
      </c>
      <c r="D196" s="5">
        <f t="shared" si="2"/>
        <v>0.98138191282420328</v>
      </c>
    </row>
    <row r="197" spans="3:4">
      <c r="C197" s="4">
        <v>180</v>
      </c>
      <c r="D197" s="5">
        <f t="shared" si="2"/>
        <v>7.1806814242444811E-2</v>
      </c>
    </row>
    <row r="198" spans="3:4">
      <c r="C198" s="4">
        <v>181</v>
      </c>
      <c r="D198" s="5">
        <f t="shared" si="2"/>
        <v>0.26193684098622766</v>
      </c>
    </row>
    <row r="199" spans="3:4">
      <c r="C199" s="4">
        <v>182</v>
      </c>
      <c r="D199" s="5">
        <f t="shared" si="2"/>
        <v>0.75977091401910646</v>
      </c>
    </row>
    <row r="200" spans="3:4">
      <c r="C200" s="4">
        <v>183</v>
      </c>
      <c r="D200" s="5">
        <f t="shared" si="2"/>
        <v>0.71729995386263457</v>
      </c>
    </row>
    <row r="201" spans="3:4">
      <c r="C201" s="4">
        <v>184</v>
      </c>
      <c r="D201" s="5">
        <f t="shared" si="2"/>
        <v>0.79692826910159686</v>
      </c>
    </row>
    <row r="202" spans="3:4">
      <c r="C202" s="4">
        <v>185</v>
      </c>
      <c r="D202" s="5">
        <f t="shared" si="2"/>
        <v>0.63600605982273561</v>
      </c>
    </row>
    <row r="203" spans="3:4">
      <c r="C203" s="4">
        <v>186</v>
      </c>
      <c r="D203" s="5">
        <f t="shared" si="2"/>
        <v>0.90980424214757327</v>
      </c>
    </row>
    <row r="204" spans="3:4">
      <c r="C204" s="4">
        <v>187</v>
      </c>
      <c r="D204" s="5">
        <f t="shared" si="2"/>
        <v>0.3224976986531628</v>
      </c>
    </row>
    <row r="205" spans="3:4">
      <c r="C205" s="4">
        <v>188</v>
      </c>
      <c r="D205" s="5">
        <f t="shared" si="2"/>
        <v>0.85867722675514613</v>
      </c>
    </row>
    <row r="206" spans="3:4">
      <c r="C206" s="4">
        <v>189</v>
      </c>
      <c r="D206" s="5">
        <f t="shared" si="2"/>
        <v>0.47690804273844339</v>
      </c>
    </row>
    <row r="207" spans="3:4">
      <c r="C207" s="4">
        <v>190</v>
      </c>
      <c r="D207" s="5">
        <f t="shared" si="2"/>
        <v>0.98040437273363368</v>
      </c>
    </row>
    <row r="208" spans="3:4">
      <c r="C208" s="4">
        <v>191</v>
      </c>
      <c r="D208" s="5">
        <f t="shared" si="2"/>
        <v>7.5501739927527581E-2</v>
      </c>
    </row>
    <row r="209" spans="3:4">
      <c r="C209" s="4">
        <v>192</v>
      </c>
      <c r="D209" s="5">
        <f t="shared" si="2"/>
        <v>0.27431882287809323</v>
      </c>
    </row>
    <row r="210" spans="3:4">
      <c r="C210" s="4">
        <v>193</v>
      </c>
      <c r="D210" s="5">
        <f t="shared" si="2"/>
        <v>0.7823372647309812</v>
      </c>
    </row>
    <row r="211" spans="3:4">
      <c r="C211" s="4">
        <v>194</v>
      </c>
      <c r="D211" s="5">
        <f t="shared" ref="D211:D217" si="3">$D$13*(1-D210)*D210</f>
        <v>0.66922267895081544</v>
      </c>
    </row>
    <row r="212" spans="3:4">
      <c r="C212" s="4">
        <v>195</v>
      </c>
      <c r="D212" s="5">
        <f t="shared" si="3"/>
        <v>0.8699592817698274</v>
      </c>
    </row>
    <row r="213" spans="3:4">
      <c r="C213" s="4">
        <v>196</v>
      </c>
      <c r="D213" s="5">
        <f t="shared" si="3"/>
        <v>0.44460141024114913</v>
      </c>
    </row>
    <row r="214" spans="3:4">
      <c r="C214" s="4">
        <v>197</v>
      </c>
      <c r="D214" s="5">
        <f t="shared" si="3"/>
        <v>0.97043881527323117</v>
      </c>
    </row>
    <row r="215" spans="3:4">
      <c r="C215" s="4">
        <v>198</v>
      </c>
      <c r="D215" s="5">
        <f t="shared" si="3"/>
        <v>0.11274117186137242</v>
      </c>
    </row>
    <row r="216" spans="3:4">
      <c r="C216" s="4">
        <v>199</v>
      </c>
      <c r="D216" s="5">
        <f t="shared" si="3"/>
        <v>0.39312025811277884</v>
      </c>
    </row>
    <row r="217" spans="3:4">
      <c r="C217" s="4">
        <v>200</v>
      </c>
      <c r="D217" s="5">
        <f t="shared" si="3"/>
        <v>0.93760651264229544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P516"/>
  <sheetViews>
    <sheetView tabSelected="1" zoomScale="90" zoomScaleNormal="90" workbookViewId="0">
      <selection activeCell="T7" sqref="T7"/>
    </sheetView>
  </sheetViews>
  <sheetFormatPr defaultRowHeight="12.75"/>
  <cols>
    <col min="1" max="1" width="5.28515625" style="21" customWidth="1"/>
    <col min="2" max="2" width="8.5703125" customWidth="1"/>
    <col min="3" max="3" width="11.140625" bestFit="1" customWidth="1"/>
    <col min="4" max="4" width="10.5703125" customWidth="1"/>
    <col min="5" max="5" width="9.28515625" bestFit="1" customWidth="1"/>
    <col min="6" max="6" width="5.140625" customWidth="1"/>
    <col min="7" max="7" width="9" customWidth="1"/>
  </cols>
  <sheetData>
    <row r="1" spans="1:16">
      <c r="B1" s="18" t="s">
        <v>2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10</v>
      </c>
      <c r="K1" s="18" t="s">
        <v>11</v>
      </c>
      <c r="L1" s="18" t="s">
        <v>12</v>
      </c>
      <c r="M1" s="18" t="s">
        <v>13</v>
      </c>
      <c r="N1" s="18" t="s">
        <v>31</v>
      </c>
      <c r="O1" s="18" t="s">
        <v>1</v>
      </c>
      <c r="P1" s="23"/>
    </row>
    <row r="2" spans="1:16" s="9" customFormat="1" ht="15.75">
      <c r="A2" s="18">
        <v>1</v>
      </c>
      <c r="B2" s="8" t="s">
        <v>24</v>
      </c>
    </row>
    <row r="3" spans="1:16" s="9" customFormat="1" ht="19.5">
      <c r="A3" s="18">
        <v>2</v>
      </c>
      <c r="B3" s="8"/>
      <c r="J3" s="15" t="s">
        <v>35</v>
      </c>
    </row>
    <row r="4" spans="1:16" s="9" customFormat="1" ht="15.75">
      <c r="A4" s="18">
        <v>3</v>
      </c>
      <c r="B4" s="8" t="s">
        <v>25</v>
      </c>
      <c r="C4" s="25"/>
      <c r="F4" s="26"/>
      <c r="G4" s="34">
        <v>10029</v>
      </c>
      <c r="J4" s="15"/>
    </row>
    <row r="5" spans="1:16" ht="19.5">
      <c r="A5" s="18">
        <v>4</v>
      </c>
      <c r="B5" s="28" t="s">
        <v>36</v>
      </c>
      <c r="C5" s="29">
        <f>G4</f>
        <v>10029</v>
      </c>
      <c r="D5" s="25"/>
      <c r="E5" s="25"/>
      <c r="F5" s="26"/>
      <c r="G5" s="27"/>
      <c r="H5" s="25"/>
      <c r="I5" s="25"/>
      <c r="J5" s="15" t="s">
        <v>43</v>
      </c>
      <c r="K5" s="25"/>
      <c r="L5" s="25"/>
      <c r="M5" s="25"/>
    </row>
    <row r="6" spans="1:16" ht="19.5">
      <c r="A6" s="18">
        <v>5</v>
      </c>
      <c r="B6" s="28" t="s">
        <v>37</v>
      </c>
      <c r="C6" s="30">
        <f>G6/100</f>
        <v>2.82</v>
      </c>
      <c r="D6" s="25"/>
      <c r="E6" s="25"/>
      <c r="F6" s="26"/>
      <c r="G6" s="27">
        <v>282</v>
      </c>
      <c r="H6" s="25"/>
      <c r="I6" s="25"/>
      <c r="J6" s="31"/>
      <c r="K6" s="25"/>
      <c r="L6" s="25"/>
      <c r="M6" s="25"/>
    </row>
    <row r="7" spans="1:16" ht="15.75" customHeight="1">
      <c r="A7" s="18">
        <v>6</v>
      </c>
      <c r="B7" s="28" t="s">
        <v>38</v>
      </c>
      <c r="C7" s="32">
        <f>G8*3</f>
        <v>67458</v>
      </c>
      <c r="D7" s="25"/>
      <c r="E7" s="25"/>
      <c r="F7" s="26"/>
      <c r="G7" s="27"/>
      <c r="H7" s="9"/>
      <c r="I7" s="25"/>
      <c r="J7" s="15" t="s">
        <v>39</v>
      </c>
      <c r="K7" s="25"/>
      <c r="L7" s="25"/>
      <c r="M7" s="25"/>
    </row>
    <row r="8" spans="1:16" ht="19.5">
      <c r="A8" s="18">
        <v>7</v>
      </c>
      <c r="B8" s="28" t="s">
        <v>40</v>
      </c>
      <c r="C8" s="33">
        <f>G10/100000</f>
        <v>2.96E-3</v>
      </c>
      <c r="D8" s="25"/>
      <c r="E8" s="25"/>
      <c r="F8" s="26"/>
      <c r="G8" s="34">
        <v>22486</v>
      </c>
      <c r="H8" s="25"/>
      <c r="I8" s="25"/>
      <c r="J8" s="31"/>
      <c r="K8" s="25"/>
      <c r="L8" s="25"/>
      <c r="M8" s="25"/>
    </row>
    <row r="9" spans="1:16" ht="19.5">
      <c r="A9" s="18">
        <v>8</v>
      </c>
      <c r="B9" s="28" t="s">
        <v>41</v>
      </c>
      <c r="C9" s="33">
        <f>G12/100000</f>
        <v>1.5E-3</v>
      </c>
      <c r="D9" s="25"/>
      <c r="E9" s="25"/>
      <c r="F9" s="26"/>
      <c r="G9" s="27"/>
      <c r="H9" s="9"/>
      <c r="I9" s="25"/>
      <c r="J9" s="15" t="s">
        <v>34</v>
      </c>
      <c r="K9" s="25"/>
      <c r="L9" s="25"/>
      <c r="M9" s="25"/>
    </row>
    <row r="10" spans="1:16" ht="15.75">
      <c r="A10" s="18">
        <v>9</v>
      </c>
      <c r="B10" s="25"/>
      <c r="C10" s="25"/>
      <c r="D10" s="25"/>
      <c r="E10" s="25"/>
      <c r="F10" s="26"/>
      <c r="G10" s="27">
        <v>296</v>
      </c>
      <c r="H10" s="9"/>
      <c r="I10" s="25"/>
      <c r="J10" s="31"/>
      <c r="K10" s="25"/>
      <c r="L10" s="25"/>
      <c r="M10" s="25"/>
    </row>
    <row r="11" spans="1:16" ht="19.5">
      <c r="A11" s="18">
        <v>10</v>
      </c>
      <c r="B11" s="25"/>
      <c r="C11" s="25"/>
      <c r="D11" s="25"/>
      <c r="E11" s="25"/>
      <c r="F11" s="26"/>
      <c r="G11" s="27"/>
      <c r="H11" s="9"/>
      <c r="I11" s="25"/>
      <c r="J11" s="15" t="s">
        <v>42</v>
      </c>
      <c r="K11" s="25"/>
      <c r="L11" s="25"/>
      <c r="M11" s="25"/>
    </row>
    <row r="12" spans="1:16" ht="15.75">
      <c r="A12" s="18">
        <v>11</v>
      </c>
      <c r="B12" s="9"/>
      <c r="C12" s="25"/>
      <c r="D12" s="25"/>
      <c r="E12" s="25"/>
      <c r="F12" s="26"/>
      <c r="G12" s="27">
        <v>150</v>
      </c>
      <c r="H12" s="25"/>
      <c r="I12" s="25"/>
      <c r="J12" s="25"/>
      <c r="K12" s="25"/>
      <c r="L12" s="25"/>
      <c r="M12" s="25"/>
    </row>
    <row r="13" spans="1:16" ht="15.75">
      <c r="A13" s="18">
        <v>12</v>
      </c>
      <c r="B13" s="9"/>
      <c r="C13" s="25"/>
      <c r="D13" s="25"/>
      <c r="E13" s="25"/>
      <c r="F13" s="26"/>
      <c r="G13" s="25"/>
      <c r="H13" s="25"/>
      <c r="I13" s="25"/>
      <c r="J13" s="25"/>
      <c r="K13" s="25"/>
      <c r="L13" s="25"/>
      <c r="M13" s="25"/>
    </row>
    <row r="14" spans="1:16" ht="18.75">
      <c r="A14" s="18">
        <v>13</v>
      </c>
      <c r="B14" s="24" t="s">
        <v>0</v>
      </c>
      <c r="C14" s="24" t="s">
        <v>32</v>
      </c>
      <c r="D14" s="24" t="s">
        <v>33</v>
      </c>
      <c r="E14" s="24" t="s">
        <v>44</v>
      </c>
      <c r="F14" s="25"/>
      <c r="G14" s="25"/>
      <c r="H14" s="25"/>
      <c r="I14" s="25"/>
      <c r="J14" s="25"/>
      <c r="K14" s="25"/>
      <c r="L14" s="25"/>
      <c r="M14" s="25"/>
    </row>
    <row r="15" spans="1:16">
      <c r="A15" s="18">
        <v>14</v>
      </c>
      <c r="B15" s="4">
        <v>0</v>
      </c>
      <c r="C15" s="11">
        <f>C5</f>
        <v>10029</v>
      </c>
      <c r="D15" s="12">
        <f>C7</f>
        <v>67458</v>
      </c>
      <c r="E15" s="13">
        <f>C6</f>
        <v>2.82</v>
      </c>
    </row>
    <row r="16" spans="1:16">
      <c r="A16" s="18">
        <v>15</v>
      </c>
      <c r="B16" s="4">
        <v>1</v>
      </c>
      <c r="C16" s="14">
        <f>(C15+(E16)*C15*(1-C15/D16))</f>
        <v>34028.553700165481</v>
      </c>
      <c r="D16" s="12">
        <f t="shared" ref="D16:D79" si="0">D15-D15*$C$9</f>
        <v>67356.812999999995</v>
      </c>
      <c r="E16" s="13">
        <f t="shared" ref="E16:E79" si="1">E15-E15*$C$8</f>
        <v>2.8116528000000001</v>
      </c>
    </row>
    <row r="17" spans="1:5">
      <c r="A17" s="18">
        <v>16</v>
      </c>
      <c r="B17" s="4">
        <v>2</v>
      </c>
      <c r="C17" s="14">
        <f t="shared" ref="C17:C80" si="2">(C16+(E17)*C16*(1-C16/D17))</f>
        <v>81156.902508186598</v>
      </c>
      <c r="D17" s="12">
        <f t="shared" si="0"/>
        <v>67255.777780499993</v>
      </c>
      <c r="E17" s="13">
        <f t="shared" si="1"/>
        <v>2.8033303077120002</v>
      </c>
    </row>
    <row r="18" spans="1:5">
      <c r="A18" s="18">
        <v>17</v>
      </c>
      <c r="B18" s="4">
        <v>3</v>
      </c>
      <c r="C18" s="14">
        <f t="shared" si="2"/>
        <v>33860.840424612521</v>
      </c>
      <c r="D18" s="12">
        <f t="shared" si="0"/>
        <v>67154.894113829243</v>
      </c>
      <c r="E18" s="13">
        <f t="shared" si="1"/>
        <v>2.7950324500011727</v>
      </c>
    </row>
    <row r="19" spans="1:5">
      <c r="A19" s="18">
        <v>18</v>
      </c>
      <c r="B19" s="4">
        <v>4</v>
      </c>
      <c r="C19" s="14">
        <f t="shared" si="2"/>
        <v>80572.160632771527</v>
      </c>
      <c r="D19" s="12">
        <f t="shared" si="0"/>
        <v>67054.161772658495</v>
      </c>
      <c r="E19" s="13">
        <f t="shared" si="1"/>
        <v>2.7867591539491694</v>
      </c>
    </row>
    <row r="20" spans="1:5">
      <c r="A20" s="18">
        <v>19</v>
      </c>
      <c r="B20" s="4">
        <v>5</v>
      </c>
      <c r="C20" s="14">
        <f t="shared" si="2"/>
        <v>35036.14255422783</v>
      </c>
      <c r="D20" s="12">
        <f t="shared" si="0"/>
        <v>66953.580529999512</v>
      </c>
      <c r="E20" s="13">
        <f t="shared" si="1"/>
        <v>2.77851034685348</v>
      </c>
    </row>
    <row r="21" spans="1:5">
      <c r="A21" s="18">
        <v>20</v>
      </c>
      <c r="B21" s="4">
        <v>6</v>
      </c>
      <c r="C21" s="14">
        <f t="shared" si="2"/>
        <v>81229.373599130573</v>
      </c>
      <c r="D21" s="12">
        <f t="shared" si="0"/>
        <v>66853.15015920451</v>
      </c>
      <c r="E21" s="13">
        <f t="shared" si="1"/>
        <v>2.7702859562267936</v>
      </c>
    </row>
    <row r="22" spans="1:5">
      <c r="A22" s="18">
        <v>21</v>
      </c>
      <c r="B22" s="4">
        <v>7</v>
      </c>
      <c r="C22" s="14">
        <f t="shared" si="2"/>
        <v>32572.52123996416</v>
      </c>
      <c r="D22" s="12">
        <f t="shared" si="0"/>
        <v>66752.870433965698</v>
      </c>
      <c r="E22" s="13">
        <f t="shared" si="1"/>
        <v>2.7620859097963621</v>
      </c>
    </row>
    <row r="23" spans="1:5">
      <c r="A23" s="18">
        <v>22</v>
      </c>
      <c r="B23" s="4">
        <v>8</v>
      </c>
      <c r="C23" s="14">
        <f t="shared" si="2"/>
        <v>78437.955929004063</v>
      </c>
      <c r="D23" s="12">
        <f t="shared" si="0"/>
        <v>66652.741128314752</v>
      </c>
      <c r="E23" s="13">
        <f t="shared" si="1"/>
        <v>2.7539101355033648</v>
      </c>
    </row>
    <row r="24" spans="1:5">
      <c r="A24" s="18">
        <v>23</v>
      </c>
      <c r="B24" s="4">
        <v>9</v>
      </c>
      <c r="C24" s="14">
        <f t="shared" si="2"/>
        <v>39976.2270705681</v>
      </c>
      <c r="D24" s="12">
        <f t="shared" si="0"/>
        <v>66552.762016622277</v>
      </c>
      <c r="E24" s="13">
        <f t="shared" si="1"/>
        <v>2.7457585615022748</v>
      </c>
    </row>
    <row r="25" spans="1:5">
      <c r="A25" s="18">
        <v>24</v>
      </c>
      <c r="B25" s="4">
        <v>10</v>
      </c>
      <c r="C25" s="14">
        <f t="shared" si="2"/>
        <v>83580.246894261159</v>
      </c>
      <c r="D25" s="12">
        <f t="shared" si="0"/>
        <v>66452.932873597339</v>
      </c>
      <c r="E25" s="13">
        <f t="shared" si="1"/>
        <v>2.737631116160228</v>
      </c>
    </row>
    <row r="26" spans="1:5">
      <c r="A26" s="18">
        <v>25</v>
      </c>
      <c r="B26" s="4">
        <v>11</v>
      </c>
      <c r="C26" s="14">
        <f t="shared" si="2"/>
        <v>24350.697901920918</v>
      </c>
      <c r="D26" s="12">
        <f t="shared" si="0"/>
        <v>66353.253474286947</v>
      </c>
      <c r="E26" s="13">
        <f t="shared" si="1"/>
        <v>2.7295277280563939</v>
      </c>
    </row>
    <row r="27" spans="1:5">
      <c r="A27" s="18">
        <v>26</v>
      </c>
      <c r="B27" s="4">
        <v>12</v>
      </c>
      <c r="C27" s="14">
        <f t="shared" si="2"/>
        <v>66263.490370081272</v>
      </c>
      <c r="D27" s="12">
        <f t="shared" si="0"/>
        <v>66253.72359407552</v>
      </c>
      <c r="E27" s="13">
        <f t="shared" si="1"/>
        <v>2.7214483259813469</v>
      </c>
    </row>
    <row r="28" spans="1:5">
      <c r="A28" s="18">
        <v>27</v>
      </c>
      <c r="B28" s="4">
        <v>13</v>
      </c>
      <c r="C28" s="14">
        <f t="shared" si="2"/>
        <v>65966.842070525745</v>
      </c>
      <c r="D28" s="12">
        <f t="shared" si="0"/>
        <v>66154.343008684402</v>
      </c>
      <c r="E28" s="13">
        <f t="shared" si="1"/>
        <v>2.7133928389364419</v>
      </c>
    </row>
    <row r="29" spans="1:5">
      <c r="A29" s="18">
        <v>28</v>
      </c>
      <c r="B29" s="4">
        <v>14</v>
      </c>
      <c r="C29" s="14">
        <f t="shared" si="2"/>
        <v>66205.323634800588</v>
      </c>
      <c r="D29" s="12">
        <f t="shared" si="0"/>
        <v>66055.111494171375</v>
      </c>
      <c r="E29" s="13">
        <f t="shared" si="1"/>
        <v>2.70536119613319</v>
      </c>
    </row>
    <row r="30" spans="1:5">
      <c r="A30" s="18">
        <v>29</v>
      </c>
      <c r="B30" s="4">
        <v>15</v>
      </c>
      <c r="C30" s="14">
        <f t="shared" si="2"/>
        <v>65530.345840147442</v>
      </c>
      <c r="D30" s="12">
        <f t="shared" si="0"/>
        <v>65956.028826930124</v>
      </c>
      <c r="E30" s="13">
        <f t="shared" si="1"/>
        <v>2.6973533269926357</v>
      </c>
    </row>
    <row r="31" spans="1:5">
      <c r="A31" s="18">
        <v>30</v>
      </c>
      <c r="B31" s="4">
        <v>16</v>
      </c>
      <c r="C31" s="14">
        <f t="shared" si="2"/>
        <v>66404.734475277437</v>
      </c>
      <c r="D31" s="12">
        <f t="shared" si="0"/>
        <v>65857.094783689725</v>
      </c>
      <c r="E31" s="13">
        <f t="shared" si="1"/>
        <v>2.6893691611447377</v>
      </c>
    </row>
    <row r="32" spans="1:5">
      <c r="A32" s="18">
        <v>31</v>
      </c>
      <c r="B32" s="4">
        <v>17</v>
      </c>
      <c r="C32" s="14">
        <f t="shared" si="2"/>
        <v>64654.364811569656</v>
      </c>
      <c r="D32" s="12">
        <f t="shared" si="0"/>
        <v>65758.309141514197</v>
      </c>
      <c r="E32" s="13">
        <f t="shared" si="1"/>
        <v>2.6814086284277492</v>
      </c>
    </row>
    <row r="33" spans="1:5">
      <c r="A33" s="18">
        <v>32</v>
      </c>
      <c r="B33" s="4">
        <v>18</v>
      </c>
      <c r="C33" s="14">
        <f t="shared" si="2"/>
        <v>67300.873816099076</v>
      </c>
      <c r="D33" s="12">
        <f t="shared" si="0"/>
        <v>65659.671677801933</v>
      </c>
      <c r="E33" s="13">
        <f t="shared" si="1"/>
        <v>2.6734716588876029</v>
      </c>
    </row>
    <row r="34" spans="1:5">
      <c r="A34" s="18">
        <v>33</v>
      </c>
      <c r="B34" s="4">
        <v>19</v>
      </c>
      <c r="C34" s="14">
        <f t="shared" si="2"/>
        <v>62540.573287691106</v>
      </c>
      <c r="D34" s="12">
        <f t="shared" si="0"/>
        <v>65561.182170285232</v>
      </c>
      <c r="E34" s="13">
        <f t="shared" si="1"/>
        <v>2.6655581827772954</v>
      </c>
    </row>
    <row r="35" spans="1:5">
      <c r="A35" s="18">
        <v>34</v>
      </c>
      <c r="B35" s="4">
        <v>20</v>
      </c>
      <c r="C35" s="14">
        <f>(C34+(E35)*C34*(1-C34/D35))</f>
        <v>69960.295933896952</v>
      </c>
      <c r="D35" s="12">
        <f t="shared" si="0"/>
        <v>65462.840397029802</v>
      </c>
      <c r="E35" s="13">
        <f t="shared" si="1"/>
        <v>2.6576681305562744</v>
      </c>
    </row>
    <row r="36" spans="1:5">
      <c r="A36" s="18">
        <v>35</v>
      </c>
      <c r="B36" s="4">
        <v>21</v>
      </c>
      <c r="C36" s="14">
        <f t="shared" si="2"/>
        <v>56926.558110487247</v>
      </c>
      <c r="D36" s="12">
        <f t="shared" si="0"/>
        <v>65364.646136434254</v>
      </c>
      <c r="E36" s="13">
        <f t="shared" si="1"/>
        <v>2.6498014328898276</v>
      </c>
    </row>
    <row r="37" spans="1:5">
      <c r="A37" s="18">
        <v>36</v>
      </c>
      <c r="B37" s="4">
        <v>22</v>
      </c>
      <c r="C37" s="14">
        <f t="shared" si="2"/>
        <v>76144.994205676849</v>
      </c>
      <c r="D37" s="12">
        <f t="shared" si="0"/>
        <v>65266.5991672296</v>
      </c>
      <c r="E37" s="13">
        <f t="shared" si="1"/>
        <v>2.6419580206484738</v>
      </c>
    </row>
    <row r="38" spans="1:5">
      <c r="A38" s="18">
        <v>37</v>
      </c>
      <c r="B38" s="4">
        <v>23</v>
      </c>
      <c r="C38" s="14">
        <f t="shared" si="2"/>
        <v>42362.122184431864</v>
      </c>
      <c r="D38" s="12">
        <f t="shared" si="0"/>
        <v>65168.699268478755</v>
      </c>
      <c r="E38" s="13">
        <f t="shared" si="1"/>
        <v>2.6341378249073544</v>
      </c>
    </row>
    <row r="39" spans="1:5">
      <c r="A39" s="18">
        <v>38</v>
      </c>
      <c r="B39" s="4">
        <v>24</v>
      </c>
      <c r="C39" s="14">
        <f t="shared" si="2"/>
        <v>81189.34323377152</v>
      </c>
      <c r="D39" s="12">
        <f t="shared" si="0"/>
        <v>65070.946219576035</v>
      </c>
      <c r="E39" s="13">
        <f t="shared" si="1"/>
        <v>2.6263407769456286</v>
      </c>
    </row>
    <row r="40" spans="1:5">
      <c r="A40" s="18">
        <v>39</v>
      </c>
      <c r="B40" s="4">
        <v>25</v>
      </c>
      <c r="C40" s="14">
        <f t="shared" si="2"/>
        <v>28128.845036291619</v>
      </c>
      <c r="D40" s="12">
        <f t="shared" si="0"/>
        <v>64973.339800246671</v>
      </c>
      <c r="E40" s="13">
        <f t="shared" si="1"/>
        <v>2.6185668082458697</v>
      </c>
    </row>
    <row r="41" spans="1:5">
      <c r="A41" s="18">
        <v>40</v>
      </c>
      <c r="B41" s="4">
        <v>26</v>
      </c>
      <c r="C41" s="14">
        <f t="shared" si="2"/>
        <v>69726.340289665866</v>
      </c>
      <c r="D41" s="12">
        <f t="shared" si="0"/>
        <v>64875.8797905463</v>
      </c>
      <c r="E41" s="13">
        <f t="shared" si="1"/>
        <v>2.610815850493462</v>
      </c>
    </row>
    <row r="42" spans="1:5">
      <c r="A42" s="18">
        <v>41</v>
      </c>
      <c r="B42" s="4">
        <v>27</v>
      </c>
      <c r="C42" s="14">
        <f t="shared" si="2"/>
        <v>55863.116108990027</v>
      </c>
      <c r="D42" s="12">
        <f t="shared" si="0"/>
        <v>64778.56597086048</v>
      </c>
      <c r="E42" s="13">
        <f t="shared" si="1"/>
        <v>2.6030878355760012</v>
      </c>
    </row>
    <row r="43" spans="1:5">
      <c r="A43" s="18">
        <v>42</v>
      </c>
      <c r="B43" s="4">
        <v>28</v>
      </c>
      <c r="C43" s="14">
        <f t="shared" si="2"/>
        <v>75629.67847349224</v>
      </c>
      <c r="D43" s="12">
        <f t="shared" si="0"/>
        <v>64681.398121904189</v>
      </c>
      <c r="E43" s="13">
        <f t="shared" si="1"/>
        <v>2.5953826955826962</v>
      </c>
    </row>
    <row r="44" spans="1:5">
      <c r="A44" s="18">
        <v>43</v>
      </c>
      <c r="B44" s="4">
        <v>29</v>
      </c>
      <c r="C44" s="14">
        <f t="shared" si="2"/>
        <v>42159.626618263988</v>
      </c>
      <c r="D44" s="12">
        <f t="shared" si="0"/>
        <v>64584.376024721336</v>
      </c>
      <c r="E44" s="13">
        <f t="shared" si="1"/>
        <v>2.5877003628037714</v>
      </c>
    </row>
    <row r="45" spans="1:5">
      <c r="A45" s="18">
        <v>44</v>
      </c>
      <c r="B45" s="4">
        <v>30</v>
      </c>
      <c r="C45" s="14">
        <f t="shared" si="2"/>
        <v>79820.911927738285</v>
      </c>
      <c r="D45" s="12">
        <f t="shared" si="0"/>
        <v>64487.499460684252</v>
      </c>
      <c r="E45" s="13">
        <f t="shared" si="1"/>
        <v>2.5800407697298722</v>
      </c>
    </row>
    <row r="46" spans="1:5">
      <c r="A46" s="18">
        <v>45</v>
      </c>
      <c r="B46" s="4">
        <v>31</v>
      </c>
      <c r="C46" s="14">
        <f t="shared" si="2"/>
        <v>30616.709047096709</v>
      </c>
      <c r="D46" s="12">
        <f t="shared" si="0"/>
        <v>64390.768211493225</v>
      </c>
      <c r="E46" s="13">
        <f t="shared" si="1"/>
        <v>2.5724038490514718</v>
      </c>
    </row>
    <row r="47" spans="1:5">
      <c r="A47" s="18">
        <v>46</v>
      </c>
      <c r="B47" s="4">
        <v>32</v>
      </c>
      <c r="C47" s="14">
        <f t="shared" si="2"/>
        <v>71748.541772875309</v>
      </c>
      <c r="D47" s="12">
        <f t="shared" si="0"/>
        <v>64294.182059175982</v>
      </c>
      <c r="E47" s="13">
        <f t="shared" si="1"/>
        <v>2.5647895336582796</v>
      </c>
    </row>
    <row r="48" spans="1:5">
      <c r="A48" s="18">
        <v>47</v>
      </c>
      <c r="B48" s="4">
        <v>33</v>
      </c>
      <c r="C48" s="14">
        <f t="shared" si="2"/>
        <v>50168.579920069576</v>
      </c>
      <c r="D48" s="12">
        <f t="shared" si="0"/>
        <v>64197.740786087219</v>
      </c>
      <c r="E48" s="13">
        <f t="shared" si="1"/>
        <v>2.5571977566386512</v>
      </c>
    </row>
    <row r="49" spans="1:5">
      <c r="A49" s="18">
        <v>48</v>
      </c>
      <c r="B49" s="4">
        <v>34</v>
      </c>
      <c r="C49" s="14">
        <f t="shared" si="2"/>
        <v>77970.916493852244</v>
      </c>
      <c r="D49" s="12">
        <f t="shared" si="0"/>
        <v>64101.444174908087</v>
      </c>
      <c r="E49" s="13">
        <f t="shared" si="1"/>
        <v>2.5496284512790006</v>
      </c>
    </row>
    <row r="50" spans="1:5">
      <c r="A50" s="18">
        <v>49</v>
      </c>
      <c r="B50" s="4">
        <v>35</v>
      </c>
      <c r="C50" s="14">
        <f>(C49+(E50)*C49*(1-C49/D50))</f>
        <v>34722.860073693744</v>
      </c>
      <c r="D50" s="12">
        <f t="shared" si="0"/>
        <v>64005.292008645723</v>
      </c>
      <c r="E50" s="13">
        <f t="shared" si="1"/>
        <v>2.5420815510632147</v>
      </c>
    </row>
    <row r="51" spans="1:5">
      <c r="A51" s="18">
        <v>50</v>
      </c>
      <c r="B51" s="4">
        <v>36</v>
      </c>
      <c r="C51" s="14">
        <f t="shared" si="2"/>
        <v>74914.385139367805</v>
      </c>
      <c r="D51" s="12">
        <f t="shared" si="0"/>
        <v>63909.284070632755</v>
      </c>
      <c r="E51" s="13">
        <f t="shared" si="1"/>
        <v>2.5345569896720677</v>
      </c>
    </row>
    <row r="52" spans="1:5">
      <c r="A52" s="18">
        <v>51</v>
      </c>
      <c r="B52" s="4">
        <v>37</v>
      </c>
      <c r="C52" s="14">
        <f t="shared" si="2"/>
        <v>41981.591433989757</v>
      </c>
      <c r="D52" s="12">
        <f t="shared" si="0"/>
        <v>63813.420144526805</v>
      </c>
      <c r="E52" s="13">
        <f t="shared" si="1"/>
        <v>2.5270547009826383</v>
      </c>
    </row>
    <row r="53" spans="1:5">
      <c r="A53" s="18">
        <v>52</v>
      </c>
      <c r="B53" s="4">
        <v>38</v>
      </c>
      <c r="C53" s="14">
        <f t="shared" si="2"/>
        <v>78065.022497090278</v>
      </c>
      <c r="D53" s="12">
        <f t="shared" si="0"/>
        <v>63717.700014310016</v>
      </c>
      <c r="E53" s="13">
        <f t="shared" si="1"/>
        <v>2.5195746190677295</v>
      </c>
    </row>
    <row r="54" spans="1:5">
      <c r="A54" s="18">
        <v>53</v>
      </c>
      <c r="B54" s="4">
        <v>39</v>
      </c>
      <c r="C54" s="14">
        <f t="shared" si="2"/>
        <v>33546.318681980993</v>
      </c>
      <c r="D54" s="12">
        <f t="shared" si="0"/>
        <v>63622.123464288554</v>
      </c>
      <c r="E54" s="13">
        <f t="shared" si="1"/>
        <v>2.5121166781952891</v>
      </c>
    </row>
    <row r="55" spans="1:5">
      <c r="A55" s="18">
        <v>54</v>
      </c>
      <c r="B55" s="4">
        <v>40</v>
      </c>
      <c r="C55" s="14">
        <f t="shared" si="2"/>
        <v>73199.500320575084</v>
      </c>
      <c r="D55" s="12">
        <f t="shared" si="0"/>
        <v>63526.690279092123</v>
      </c>
      <c r="E55" s="13">
        <f t="shared" si="1"/>
        <v>2.5046808128278308</v>
      </c>
    </row>
    <row r="56" spans="1:5">
      <c r="A56" s="18">
        <v>55</v>
      </c>
      <c r="B56" s="4">
        <v>41</v>
      </c>
      <c r="C56" s="14">
        <f t="shared" si="2"/>
        <v>45049.468556597174</v>
      </c>
      <c r="D56" s="12">
        <f t="shared" si="0"/>
        <v>63431.400243673488</v>
      </c>
      <c r="E56" s="13">
        <f t="shared" si="1"/>
        <v>2.4972669576218602</v>
      </c>
    </row>
    <row r="57" spans="1:5">
      <c r="A57" s="18">
        <v>56</v>
      </c>
      <c r="B57" s="4">
        <v>42</v>
      </c>
      <c r="C57" s="14">
        <f t="shared" si="2"/>
        <v>77435.087848243464</v>
      </c>
      <c r="D57" s="12">
        <f t="shared" si="0"/>
        <v>63336.253143307978</v>
      </c>
      <c r="E57" s="13">
        <f t="shared" si="1"/>
        <v>2.4898750474272995</v>
      </c>
    </row>
    <row r="58" spans="1:5">
      <c r="A58" s="18">
        <v>57</v>
      </c>
      <c r="B58" s="4">
        <v>43</v>
      </c>
      <c r="C58" s="14">
        <f t="shared" si="2"/>
        <v>34290.39607946467</v>
      </c>
      <c r="D58" s="12">
        <f t="shared" si="0"/>
        <v>63241.248763593016</v>
      </c>
      <c r="E58" s="13">
        <f t="shared" si="1"/>
        <v>2.4825050172869148</v>
      </c>
    </row>
    <row r="59" spans="1:5">
      <c r="A59" s="18">
        <v>58</v>
      </c>
      <c r="B59" s="4">
        <v>44</v>
      </c>
      <c r="C59" s="14">
        <f t="shared" si="2"/>
        <v>73075.298519404561</v>
      </c>
      <c r="D59" s="12">
        <f t="shared" si="0"/>
        <v>63146.386890447626</v>
      </c>
      <c r="E59" s="13">
        <f t="shared" si="1"/>
        <v>2.4751568024357455</v>
      </c>
    </row>
    <row r="60" spans="1:5">
      <c r="A60" s="18">
        <v>59</v>
      </c>
      <c r="B60" s="4">
        <v>45</v>
      </c>
      <c r="C60" s="14">
        <f t="shared" si="2"/>
        <v>44406.175948365577</v>
      </c>
      <c r="D60" s="12">
        <f t="shared" si="0"/>
        <v>63051.667310111952</v>
      </c>
      <c r="E60" s="13">
        <f t="shared" si="1"/>
        <v>2.4678303383005358</v>
      </c>
    </row>
    <row r="61" spans="1:5">
      <c r="A61" s="18">
        <v>60</v>
      </c>
      <c r="B61" s="4">
        <v>46</v>
      </c>
      <c r="C61" s="14">
        <f t="shared" si="2"/>
        <v>76601.43475538466</v>
      </c>
      <c r="D61" s="12">
        <f t="shared" si="0"/>
        <v>62957.089809146782</v>
      </c>
      <c r="E61" s="13">
        <f t="shared" si="1"/>
        <v>2.4605255604991663</v>
      </c>
    </row>
    <row r="62" spans="1:5">
      <c r="A62" s="18">
        <v>61</v>
      </c>
      <c r="B62" s="4">
        <v>47</v>
      </c>
      <c r="C62" s="14">
        <f t="shared" si="2"/>
        <v>35530.665159631513</v>
      </c>
      <c r="D62" s="12">
        <f t="shared" si="0"/>
        <v>62862.654174433061</v>
      </c>
      <c r="E62" s="13">
        <f t="shared" si="1"/>
        <v>2.4532424048400889</v>
      </c>
    </row>
    <row r="63" spans="1:5">
      <c r="A63" s="18">
        <v>62</v>
      </c>
      <c r="B63" s="4">
        <v>48</v>
      </c>
      <c r="C63" s="14">
        <f t="shared" si="2"/>
        <v>73243.219839371566</v>
      </c>
      <c r="D63" s="12">
        <f t="shared" si="0"/>
        <v>62768.360193171415</v>
      </c>
      <c r="E63" s="13">
        <f t="shared" si="1"/>
        <v>2.4459808073217624</v>
      </c>
    </row>
    <row r="64" spans="1:5">
      <c r="A64" s="18">
        <v>63</v>
      </c>
      <c r="B64" s="4">
        <v>49</v>
      </c>
      <c r="C64" s="14">
        <f t="shared" si="2"/>
        <v>43121.580687452282</v>
      </c>
      <c r="D64" s="12">
        <f t="shared" si="0"/>
        <v>62674.207652881654</v>
      </c>
      <c r="E64" s="13">
        <f t="shared" si="1"/>
        <v>2.4387407041320901</v>
      </c>
    </row>
    <row r="65" spans="1:5">
      <c r="A65" s="18">
        <v>64</v>
      </c>
      <c r="B65" s="4">
        <v>50</v>
      </c>
      <c r="C65" s="14">
        <f t="shared" si="2"/>
        <v>75723.8551936039</v>
      </c>
      <c r="D65" s="12">
        <f t="shared" si="0"/>
        <v>62580.196341402334</v>
      </c>
      <c r="E65" s="13">
        <f t="shared" si="1"/>
        <v>2.4315220316478592</v>
      </c>
    </row>
    <row r="66" spans="1:5">
      <c r="A66" s="18">
        <v>65</v>
      </c>
      <c r="B66" s="4">
        <v>51</v>
      </c>
      <c r="C66" s="14">
        <f t="shared" si="2"/>
        <v>36833.183317561801</v>
      </c>
      <c r="D66" s="12">
        <f t="shared" si="0"/>
        <v>62486.32604689023</v>
      </c>
      <c r="E66" s="13">
        <f t="shared" si="1"/>
        <v>2.4243247264341816</v>
      </c>
    </row>
    <row r="67" spans="1:5">
      <c r="A67" s="18">
        <v>66</v>
      </c>
      <c r="B67" s="4">
        <v>52</v>
      </c>
      <c r="C67" s="14">
        <f t="shared" si="2"/>
        <v>73305.256225516874</v>
      </c>
      <c r="D67" s="12">
        <f t="shared" si="0"/>
        <v>62392.596557819896</v>
      </c>
      <c r="E67" s="13">
        <f t="shared" si="1"/>
        <v>2.4171487252439365</v>
      </c>
    </row>
    <row r="68" spans="1:5">
      <c r="A68" s="18">
        <v>67</v>
      </c>
      <c r="B68" s="4">
        <v>53</v>
      </c>
      <c r="C68" s="14">
        <f t="shared" si="2"/>
        <v>42094.143033984452</v>
      </c>
      <c r="D68" s="12">
        <f t="shared" si="0"/>
        <v>62299.007662983167</v>
      </c>
      <c r="E68" s="13">
        <f t="shared" si="1"/>
        <v>2.4099939650172146</v>
      </c>
    </row>
    <row r="69" spans="1:5">
      <c r="A69" s="18">
        <v>68</v>
      </c>
      <c r="B69" s="4">
        <v>54</v>
      </c>
      <c r="C69" s="14">
        <f t="shared" si="2"/>
        <v>74795.341032474302</v>
      </c>
      <c r="D69" s="12">
        <f t="shared" si="0"/>
        <v>62205.559151488691</v>
      </c>
      <c r="E69" s="13">
        <f t="shared" si="1"/>
        <v>2.4028603828807635</v>
      </c>
    </row>
    <row r="70" spans="1:5">
      <c r="A70" s="18">
        <v>69</v>
      </c>
      <c r="B70" s="4">
        <v>55</v>
      </c>
      <c r="C70" s="14">
        <f t="shared" si="2"/>
        <v>38205.250829895049</v>
      </c>
      <c r="D70" s="12">
        <f t="shared" si="0"/>
        <v>62112.250812761456</v>
      </c>
      <c r="E70" s="13">
        <f t="shared" si="1"/>
        <v>2.3957479161474367</v>
      </c>
    </row>
    <row r="71" spans="1:5">
      <c r="A71" s="18">
        <v>70</v>
      </c>
      <c r="B71" s="4">
        <v>56</v>
      </c>
      <c r="C71" s="14">
        <f t="shared" si="2"/>
        <v>73246.590232549555</v>
      </c>
      <c r="D71" s="12">
        <f t="shared" si="0"/>
        <v>62019.082436542318</v>
      </c>
      <c r="E71" s="13">
        <f t="shared" si="1"/>
        <v>2.3886565023156403</v>
      </c>
    </row>
    <row r="72" spans="1:5">
      <c r="A72" s="18">
        <v>71</v>
      </c>
      <c r="B72" s="4">
        <v>57</v>
      </c>
      <c r="C72" s="14">
        <f t="shared" si="2"/>
        <v>41357.120644418857</v>
      </c>
      <c r="D72" s="12">
        <f t="shared" si="0"/>
        <v>61926.053812887505</v>
      </c>
      <c r="E72" s="13">
        <f t="shared" si="1"/>
        <v>2.3815860790687862</v>
      </c>
    </row>
    <row r="73" spans="1:5">
      <c r="A73" s="18">
        <v>72</v>
      </c>
      <c r="B73" s="4">
        <v>58</v>
      </c>
      <c r="C73" s="14">
        <f t="shared" si="2"/>
        <v>73877.360554559244</v>
      </c>
      <c r="D73" s="12">
        <f t="shared" si="0"/>
        <v>61833.164732168174</v>
      </c>
      <c r="E73" s="13">
        <f t="shared" si="1"/>
        <v>2.3745365842747423</v>
      </c>
    </row>
    <row r="74" spans="1:5">
      <c r="A74" s="18">
        <v>73</v>
      </c>
      <c r="B74" s="4">
        <v>59</v>
      </c>
      <c r="C74" s="14">
        <f t="shared" si="2"/>
        <v>39494.446791835173</v>
      </c>
      <c r="D74" s="12">
        <f t="shared" si="0"/>
        <v>61740.414985069925</v>
      </c>
      <c r="E74" s="13">
        <f t="shared" si="1"/>
        <v>2.367507955985289</v>
      </c>
    </row>
    <row r="75" spans="1:5">
      <c r="A75" s="18">
        <v>74</v>
      </c>
      <c r="B75" s="4">
        <v>60</v>
      </c>
      <c r="C75" s="14">
        <f t="shared" si="2"/>
        <v>72995.773641459062</v>
      </c>
      <c r="D75" s="12">
        <f t="shared" si="0"/>
        <v>61647.804362592324</v>
      </c>
      <c r="E75" s="13">
        <f t="shared" si="1"/>
        <v>2.3605001324355723</v>
      </c>
    </row>
    <row r="76" spans="1:5">
      <c r="A76" s="18">
        <v>75</v>
      </c>
      <c r="B76" s="4">
        <v>61</v>
      </c>
      <c r="C76" s="14">
        <f t="shared" si="2"/>
        <v>41066.325717262473</v>
      </c>
      <c r="D76" s="12">
        <f t="shared" si="0"/>
        <v>61555.332656048435</v>
      </c>
      <c r="E76" s="13">
        <f t="shared" si="1"/>
        <v>2.3535130520435632</v>
      </c>
    </row>
    <row r="77" spans="1:5">
      <c r="A77" s="18">
        <v>76</v>
      </c>
      <c r="B77" s="4">
        <v>62</v>
      </c>
      <c r="C77" s="14">
        <f t="shared" si="2"/>
        <v>73045.013734497887</v>
      </c>
      <c r="D77" s="12">
        <f t="shared" si="0"/>
        <v>61462.999657064363</v>
      </c>
      <c r="E77" s="13">
        <f t="shared" si="1"/>
        <v>2.3465466534095141</v>
      </c>
    </row>
    <row r="78" spans="1:5">
      <c r="A78" s="18">
        <v>77</v>
      </c>
      <c r="B78" s="4">
        <v>63</v>
      </c>
      <c r="C78" s="14">
        <f t="shared" si="2"/>
        <v>40536.435385680161</v>
      </c>
      <c r="D78" s="12">
        <f t="shared" si="0"/>
        <v>61370.805157578769</v>
      </c>
      <c r="E78" s="13">
        <f t="shared" si="1"/>
        <v>2.3396008753154218</v>
      </c>
    </row>
    <row r="79" spans="1:5">
      <c r="A79" s="18">
        <v>78</v>
      </c>
      <c r="B79" s="4">
        <v>64</v>
      </c>
      <c r="C79" s="14">
        <f t="shared" si="2"/>
        <v>72543.601076774241</v>
      </c>
      <c r="D79" s="12">
        <f t="shared" si="0"/>
        <v>61278.748949842404</v>
      </c>
      <c r="E79" s="13">
        <f t="shared" si="1"/>
        <v>2.3326756567244882</v>
      </c>
    </row>
    <row r="80" spans="1:5">
      <c r="A80" s="18">
        <v>79</v>
      </c>
      <c r="B80" s="4">
        <v>65</v>
      </c>
      <c r="C80" s="14">
        <f t="shared" si="2"/>
        <v>41227.842956392364</v>
      </c>
      <c r="D80" s="12">
        <f t="shared" ref="D80:D143" si="3">D79-D79*$C$9</f>
        <v>61186.830826417638</v>
      </c>
      <c r="E80" s="13">
        <f t="shared" ref="E80:E143" si="4">E79-E79*$C$8</f>
        <v>2.3257709367805837</v>
      </c>
    </row>
    <row r="81" spans="1:5">
      <c r="A81" s="18">
        <v>80</v>
      </c>
      <c r="B81" s="4">
        <v>66</v>
      </c>
      <c r="C81" s="14">
        <f t="shared" ref="C81:C144" si="5">(C80+(E81)*C80*(1-C80/D81))</f>
        <v>72316.426560215754</v>
      </c>
      <c r="D81" s="12">
        <f t="shared" si="3"/>
        <v>61095.050580178009</v>
      </c>
      <c r="E81" s="13">
        <f t="shared" si="4"/>
        <v>2.3188866548077129</v>
      </c>
    </row>
    <row r="82" spans="1:5">
      <c r="A82" s="18">
        <v>81</v>
      </c>
      <c r="B82" s="4">
        <v>67</v>
      </c>
      <c r="C82" s="14">
        <f t="shared" si="5"/>
        <v>41309.875401514415</v>
      </c>
      <c r="D82" s="12">
        <f t="shared" si="3"/>
        <v>61003.408004307741</v>
      </c>
      <c r="E82" s="13">
        <f t="shared" si="4"/>
        <v>2.3120227503094819</v>
      </c>
    </row>
    <row r="83" spans="1:5">
      <c r="A83" s="18">
        <v>82</v>
      </c>
      <c r="B83" s="4">
        <v>68</v>
      </c>
      <c r="C83" s="14">
        <f t="shared" si="5"/>
        <v>71954.718149115826</v>
      </c>
      <c r="D83" s="12">
        <f t="shared" si="3"/>
        <v>60911.902892301281</v>
      </c>
      <c r="E83" s="13">
        <f t="shared" si="4"/>
        <v>2.3051791629685656</v>
      </c>
    </row>
    <row r="84" spans="1:5">
      <c r="A84" s="18">
        <v>83</v>
      </c>
      <c r="B84" s="4">
        <v>69</v>
      </c>
      <c r="C84" s="14">
        <f t="shared" si="5"/>
        <v>41679.682257111002</v>
      </c>
      <c r="D84" s="12">
        <f t="shared" si="3"/>
        <v>60820.535037962829</v>
      </c>
      <c r="E84" s="13">
        <f t="shared" si="4"/>
        <v>2.2983558326461786</v>
      </c>
    </row>
    <row r="85" spans="1:5">
      <c r="A85" s="18">
        <v>84</v>
      </c>
      <c r="B85" s="4">
        <v>70</v>
      </c>
      <c r="C85" s="14">
        <f t="shared" si="5"/>
        <v>71639.716483611133</v>
      </c>
      <c r="D85" s="12">
        <f t="shared" si="3"/>
        <v>60729.304235405885</v>
      </c>
      <c r="E85" s="13">
        <f t="shared" si="4"/>
        <v>2.2915526993815458</v>
      </c>
    </row>
    <row r="86" spans="1:5">
      <c r="A86" s="18">
        <v>85</v>
      </c>
      <c r="B86" s="4">
        <v>71</v>
      </c>
      <c r="C86" s="14">
        <f t="shared" si="5"/>
        <v>41943.435553619027</v>
      </c>
      <c r="D86" s="12">
        <f t="shared" si="3"/>
        <v>60638.210279052779</v>
      </c>
      <c r="E86" s="13">
        <f t="shared" si="4"/>
        <v>2.2847697033913765</v>
      </c>
    </row>
    <row r="87" spans="1:5">
      <c r="A87" s="18">
        <v>86</v>
      </c>
      <c r="B87" s="4">
        <v>72</v>
      </c>
      <c r="C87" s="14">
        <f t="shared" si="5"/>
        <v>71301.447176370886</v>
      </c>
      <c r="D87" s="12">
        <f t="shared" si="3"/>
        <v>60547.252963634201</v>
      </c>
      <c r="E87" s="13">
        <f t="shared" si="4"/>
        <v>2.278006785069338</v>
      </c>
    </row>
    <row r="88" spans="1:5">
      <c r="A88" s="18">
        <v>87</v>
      </c>
      <c r="B88" s="4">
        <v>73</v>
      </c>
      <c r="C88" s="14">
        <f t="shared" si="5"/>
        <v>42250.94878673552</v>
      </c>
      <c r="D88" s="12">
        <f t="shared" si="3"/>
        <v>60456.432084188746</v>
      </c>
      <c r="E88" s="13">
        <f t="shared" si="4"/>
        <v>2.2712638849855327</v>
      </c>
    </row>
    <row r="89" spans="1:5">
      <c r="A89" s="18">
        <v>88</v>
      </c>
      <c r="B89" s="4">
        <v>74</v>
      </c>
      <c r="C89" s="14">
        <f t="shared" si="5"/>
        <v>70962.692714381192</v>
      </c>
      <c r="D89" s="12">
        <f t="shared" si="3"/>
        <v>60365.747436062462</v>
      </c>
      <c r="E89" s="13">
        <f t="shared" si="4"/>
        <v>2.2645409438859754</v>
      </c>
    </row>
    <row r="90" spans="1:5">
      <c r="A90" s="18">
        <v>89</v>
      </c>
      <c r="B90" s="4">
        <v>75</v>
      </c>
      <c r="C90" s="14">
        <f>(C89+(E90)*C89*(1-C89/D90))</f>
        <v>42553.422716292494</v>
      </c>
      <c r="D90" s="12">
        <f t="shared" si="3"/>
        <v>60275.19881490837</v>
      </c>
      <c r="E90" s="13">
        <f t="shared" si="4"/>
        <v>2.257837902692073</v>
      </c>
    </row>
    <row r="91" spans="1:5">
      <c r="A91" s="18">
        <v>90</v>
      </c>
      <c r="B91" s="4">
        <v>76</v>
      </c>
      <c r="C91" s="14">
        <f>(C90+(E91)*C90*(1-C90/D91))</f>
        <v>70616.740393489701</v>
      </c>
      <c r="D91" s="12">
        <f t="shared" si="3"/>
        <v>60184.786016686005</v>
      </c>
      <c r="E91" s="13">
        <f t="shared" si="4"/>
        <v>2.2511547025001044</v>
      </c>
    </row>
    <row r="92" spans="1:5">
      <c r="A92" s="18">
        <v>91</v>
      </c>
      <c r="B92" s="4">
        <v>77</v>
      </c>
      <c r="C92" s="14">
        <f>(C91+(E92)*C91*(1-C91/D92))</f>
        <v>42864.461245264087</v>
      </c>
      <c r="D92" s="12">
        <f t="shared" si="3"/>
        <v>60094.508837660978</v>
      </c>
      <c r="E92" s="13">
        <f t="shared" si="4"/>
        <v>2.2444912845807039</v>
      </c>
    </row>
    <row r="93" spans="1:5">
      <c r="A93" s="18">
        <v>92</v>
      </c>
      <c r="B93" s="4">
        <v>78</v>
      </c>
      <c r="C93" s="14">
        <f>(C92+(E93)*C92*(1-C92/D93))</f>
        <v>70264.643224798114</v>
      </c>
      <c r="D93" s="12">
        <f t="shared" si="3"/>
        <v>60004.367074404487</v>
      </c>
      <c r="E93" s="13">
        <f t="shared" si="4"/>
        <v>2.2378475903783452</v>
      </c>
    </row>
    <row r="94" spans="1:5">
      <c r="A94" s="18">
        <v>93</v>
      </c>
      <c r="B94" s="4">
        <v>79</v>
      </c>
      <c r="C94" s="14">
        <f>(C93+(E94)*C93*(1-C93/D94))</f>
        <v>43181.365922786674</v>
      </c>
      <c r="D94" s="12">
        <f t="shared" si="3"/>
        <v>59914.360523792879</v>
      </c>
      <c r="E94" s="13">
        <f t="shared" si="4"/>
        <v>2.2312235615108253</v>
      </c>
    </row>
    <row r="95" spans="1:5">
      <c r="A95" s="18">
        <v>94</v>
      </c>
      <c r="B95" s="4">
        <v>80</v>
      </c>
      <c r="C95" s="14">
        <f t="shared" si="5"/>
        <v>69905.760301805887</v>
      </c>
      <c r="D95" s="12">
        <f t="shared" si="3"/>
        <v>59824.488983007192</v>
      </c>
      <c r="E95" s="13">
        <f t="shared" si="4"/>
        <v>2.2246191397687531</v>
      </c>
    </row>
    <row r="96" spans="1:5">
      <c r="A96" s="18">
        <v>95</v>
      </c>
      <c r="B96" s="4">
        <v>81</v>
      </c>
      <c r="C96" s="14">
        <f t="shared" si="5"/>
        <v>43504.895915418383</v>
      </c>
      <c r="D96" s="12">
        <f t="shared" si="3"/>
        <v>59734.752249532678</v>
      </c>
      <c r="E96" s="13">
        <f t="shared" si="4"/>
        <v>2.2180342671150375</v>
      </c>
    </row>
    <row r="97" spans="1:5">
      <c r="A97" s="18">
        <v>96</v>
      </c>
      <c r="B97" s="4">
        <v>82</v>
      </c>
      <c r="C97" s="14">
        <f t="shared" si="5"/>
        <v>69539.693284470137</v>
      </c>
      <c r="D97" s="12">
        <f t="shared" si="3"/>
        <v>59645.150121158382</v>
      </c>
      <c r="E97" s="13">
        <f t="shared" si="4"/>
        <v>2.2114688856843769</v>
      </c>
    </row>
    <row r="98" spans="1:5">
      <c r="A98" s="18">
        <v>97</v>
      </c>
      <c r="B98" s="4">
        <v>83</v>
      </c>
      <c r="C98" s="14">
        <f>(C97+(E98)*C97*(1-C97/D98))</f>
        <v>43835.260367274968</v>
      </c>
      <c r="D98" s="12">
        <f t="shared" si="3"/>
        <v>59555.682395976641</v>
      </c>
      <c r="E98" s="13">
        <f t="shared" si="4"/>
        <v>2.2049229377827513</v>
      </c>
    </row>
    <row r="99" spans="1:5">
      <c r="A99" s="18">
        <v>98</v>
      </c>
      <c r="B99" s="4">
        <v>84</v>
      </c>
      <c r="C99" s="14">
        <f t="shared" si="5"/>
        <v>69165.980442404747</v>
      </c>
      <c r="D99" s="12">
        <f t="shared" si="3"/>
        <v>59466.348872382674</v>
      </c>
      <c r="E99" s="13">
        <f t="shared" si="4"/>
        <v>2.1983963658869143</v>
      </c>
    </row>
    <row r="100" spans="1:5">
      <c r="A100" s="18">
        <v>99</v>
      </c>
      <c r="B100" s="4">
        <v>85</v>
      </c>
      <c r="C100" s="14">
        <f t="shared" si="5"/>
        <v>44172.737643925822</v>
      </c>
      <c r="D100" s="12">
        <f t="shared" si="3"/>
        <v>59377.149349074098</v>
      </c>
      <c r="E100" s="13">
        <f t="shared" si="4"/>
        <v>2.1918891126438891</v>
      </c>
    </row>
    <row r="101" spans="1:5">
      <c r="A101" s="18">
        <v>100</v>
      </c>
      <c r="B101" s="4">
        <v>86</v>
      </c>
      <c r="C101" s="14">
        <f t="shared" si="5"/>
        <v>68784.128463090863</v>
      </c>
      <c r="D101" s="12">
        <f t="shared" si="3"/>
        <v>59288.083625050487</v>
      </c>
      <c r="E101" s="13">
        <f t="shared" si="4"/>
        <v>2.1854011208704631</v>
      </c>
    </row>
    <row r="102" spans="1:5">
      <c r="A102" s="18">
        <v>101</v>
      </c>
      <c r="B102" s="4">
        <v>87</v>
      </c>
      <c r="C102" s="14">
        <f t="shared" si="5"/>
        <v>44517.60432578691</v>
      </c>
      <c r="D102" s="12">
        <f t="shared" si="3"/>
        <v>59199.151499612912</v>
      </c>
      <c r="E102" s="13">
        <f t="shared" si="4"/>
        <v>2.1789323335526865</v>
      </c>
    </row>
    <row r="103" spans="1:5">
      <c r="A103" s="18">
        <v>102</v>
      </c>
      <c r="B103" s="4">
        <v>88</v>
      </c>
      <c r="C103" s="14">
        <f t="shared" si="5"/>
        <v>68393.609012180605</v>
      </c>
      <c r="D103" s="12">
        <f t="shared" si="3"/>
        <v>59110.352772363491</v>
      </c>
      <c r="E103" s="13">
        <f t="shared" si="4"/>
        <v>2.1724826938453705</v>
      </c>
    </row>
    <row r="104" spans="1:5">
      <c r="A104" s="18">
        <v>103</v>
      </c>
      <c r="B104" s="4">
        <v>89</v>
      </c>
      <c r="C104" s="14">
        <f t="shared" si="5"/>
        <v>44870.134829743853</v>
      </c>
      <c r="D104" s="12">
        <f t="shared" si="3"/>
        <v>59021.687243204942</v>
      </c>
      <c r="E104" s="13">
        <f t="shared" si="4"/>
        <v>2.1660521450715882</v>
      </c>
    </row>
    <row r="105" spans="1:5">
      <c r="A105" s="18">
        <v>104</v>
      </c>
      <c r="B105" s="4">
        <v>90</v>
      </c>
      <c r="C105" s="14">
        <f t="shared" si="5"/>
        <v>67993.858197317633</v>
      </c>
      <c r="D105" s="12">
        <f t="shared" si="3"/>
        <v>58933.154712340132</v>
      </c>
      <c r="E105" s="13">
        <f t="shared" si="4"/>
        <v>2.1596406307221763</v>
      </c>
    </row>
    <row r="106" spans="1:5">
      <c r="A106" s="18">
        <v>105</v>
      </c>
      <c r="B106" s="4">
        <v>91</v>
      </c>
      <c r="C106" s="14">
        <f t="shared" si="5"/>
        <v>45230.594729058022</v>
      </c>
      <c r="D106" s="12">
        <f t="shared" si="3"/>
        <v>58844.754980271624</v>
      </c>
      <c r="E106" s="13">
        <f t="shared" si="4"/>
        <v>2.1532480944552388</v>
      </c>
    </row>
    <row r="107" spans="1:5">
      <c r="A107" s="18">
        <v>106</v>
      </c>
      <c r="B107" s="4">
        <v>92</v>
      </c>
      <c r="C107" s="14">
        <f t="shared" si="5"/>
        <v>67584.277070392054</v>
      </c>
      <c r="D107" s="12">
        <f t="shared" si="3"/>
        <v>58756.487847801218</v>
      </c>
      <c r="E107" s="13">
        <f t="shared" si="4"/>
        <v>2.1468744800956512</v>
      </c>
    </row>
    <row r="108" spans="1:5">
      <c r="A108" s="18">
        <v>107</v>
      </c>
      <c r="B108" s="4">
        <v>93</v>
      </c>
      <c r="C108" s="14">
        <f t="shared" si="5"/>
        <v>45599.231681039339</v>
      </c>
      <c r="D108" s="12">
        <f t="shared" si="3"/>
        <v>58668.353116029517</v>
      </c>
      <c r="E108" s="13">
        <f t="shared" si="4"/>
        <v>2.1405197316345679</v>
      </c>
    </row>
    <row r="109" spans="1:5">
      <c r="A109" s="18">
        <v>108</v>
      </c>
      <c r="B109" s="4">
        <v>94</v>
      </c>
      <c r="C109" s="14">
        <f t="shared" si="5"/>
        <v>67164.233755675727</v>
      </c>
      <c r="D109" s="12">
        <f t="shared" si="3"/>
        <v>58580.350586355475</v>
      </c>
      <c r="E109" s="13">
        <f t="shared" si="4"/>
        <v>2.1341837932289294</v>
      </c>
    </row>
    <row r="110" spans="1:5">
      <c r="A110" s="18">
        <v>109</v>
      </c>
      <c r="B110" s="4">
        <v>95</v>
      </c>
      <c r="C110" s="14">
        <f t="shared" si="5"/>
        <v>45976.263117216091</v>
      </c>
      <c r="D110" s="12">
        <f t="shared" si="3"/>
        <v>58492.480060475944</v>
      </c>
      <c r="E110" s="13">
        <f t="shared" si="4"/>
        <v>2.1278666092009719</v>
      </c>
    </row>
    <row r="111" spans="1:5">
      <c r="A111" s="18">
        <v>110</v>
      </c>
      <c r="B111" s="4">
        <v>96</v>
      </c>
      <c r="C111" s="14">
        <f t="shared" si="5"/>
        <v>66733.067955547987</v>
      </c>
      <c r="D111" s="12">
        <f t="shared" si="3"/>
        <v>58404.741340385233</v>
      </c>
      <c r="E111" s="13">
        <f t="shared" si="4"/>
        <v>2.1215681240377369</v>
      </c>
    </row>
    <row r="112" spans="1:5">
      <c r="A112" s="18">
        <v>111</v>
      </c>
      <c r="B112" s="4">
        <v>97</v>
      </c>
      <c r="C112" s="14">
        <f t="shared" si="5"/>
        <v>46361.859738138737</v>
      </c>
      <c r="D112" s="12">
        <f t="shared" si="3"/>
        <v>58317.134228374656</v>
      </c>
      <c r="E112" s="13">
        <f t="shared" si="4"/>
        <v>2.1152882823905852</v>
      </c>
    </row>
    <row r="113" spans="1:5">
      <c r="A113" s="18">
        <v>112</v>
      </c>
      <c r="B113" s="4">
        <v>98</v>
      </c>
      <c r="C113" s="14">
        <f t="shared" si="5"/>
        <v>66290.0988537542</v>
      </c>
      <c r="D113" s="12">
        <f t="shared" si="3"/>
        <v>58229.658527032094</v>
      </c>
      <c r="E113" s="13">
        <f t="shared" si="4"/>
        <v>2.1090270290747091</v>
      </c>
    </row>
    <row r="114" spans="1:5">
      <c r="A114" s="18">
        <v>113</v>
      </c>
      <c r="B114" s="4">
        <v>99</v>
      </c>
      <c r="C114" s="14">
        <f t="shared" si="5"/>
        <v>46756.123634891788</v>
      </c>
      <c r="D114" s="12">
        <f t="shared" si="3"/>
        <v>58142.314039241544</v>
      </c>
      <c r="E114" s="13">
        <f t="shared" si="4"/>
        <v>2.1027843090686478</v>
      </c>
    </row>
    <row r="115" spans="1:5">
      <c r="A115" s="18">
        <v>114</v>
      </c>
      <c r="B115" s="4">
        <v>100</v>
      </c>
      <c r="C115" s="14">
        <f t="shared" si="5"/>
        <v>65834.637778627191</v>
      </c>
      <c r="D115" s="12">
        <f t="shared" si="3"/>
        <v>58055.100568182679</v>
      </c>
      <c r="E115" s="13">
        <f t="shared" si="4"/>
        <v>2.0965600675138045</v>
      </c>
    </row>
    <row r="116" spans="1:5">
      <c r="A116" s="18">
        <v>115</v>
      </c>
      <c r="B116" s="4">
        <v>101</v>
      </c>
      <c r="C116" s="14">
        <f t="shared" si="5"/>
        <v>47159.059625869559</v>
      </c>
      <c r="D116" s="12">
        <f t="shared" si="3"/>
        <v>57968.017917330406</v>
      </c>
      <c r="E116" s="13">
        <f t="shared" si="4"/>
        <v>2.0903542497139638</v>
      </c>
    </row>
    <row r="117" spans="1:5">
      <c r="A117" s="18">
        <v>116</v>
      </c>
      <c r="B117" s="4">
        <v>102</v>
      </c>
      <c r="C117" s="14">
        <f t="shared" si="5"/>
        <v>65366.007409224607</v>
      </c>
      <c r="D117" s="12">
        <f t="shared" si="3"/>
        <v>57881.065890454411</v>
      </c>
      <c r="E117" s="13">
        <f t="shared" si="4"/>
        <v>2.0841668011348102</v>
      </c>
    </row>
    <row r="118" spans="1:5">
      <c r="A118" s="18">
        <v>117</v>
      </c>
      <c r="B118" s="4">
        <v>103</v>
      </c>
      <c r="C118" s="14">
        <f t="shared" si="5"/>
        <v>47570.538184072502</v>
      </c>
      <c r="D118" s="12">
        <f t="shared" si="3"/>
        <v>57794.244291618728</v>
      </c>
      <c r="E118" s="13">
        <f t="shared" si="4"/>
        <v>2.077997667403451</v>
      </c>
    </row>
    <row r="119" spans="1:5">
      <c r="A119" s="18">
        <v>118</v>
      </c>
      <c r="B119" s="4">
        <v>104</v>
      </c>
      <c r="C119" s="14">
        <f t="shared" si="5"/>
        <v>64883.569796218027</v>
      </c>
      <c r="D119" s="12">
        <f t="shared" si="3"/>
        <v>57707.552925181299</v>
      </c>
      <c r="E119" s="13">
        <f t="shared" si="4"/>
        <v>2.0718467943079366</v>
      </c>
    </row>
    <row r="120" spans="1:5">
      <c r="A120" s="18">
        <v>119</v>
      </c>
      <c r="B120" s="4">
        <v>105</v>
      </c>
      <c r="C120" s="14">
        <f t="shared" si="5"/>
        <v>47990.248198004148</v>
      </c>
      <c r="D120" s="12">
        <f t="shared" si="3"/>
        <v>57620.99159579353</v>
      </c>
      <c r="E120" s="13">
        <f t="shared" si="4"/>
        <v>2.065714127796785</v>
      </c>
    </row>
    <row r="121" spans="1:5">
      <c r="A121" s="18">
        <v>120</v>
      </c>
      <c r="B121" s="4">
        <v>106</v>
      </c>
      <c r="C121" s="14">
        <f t="shared" si="5"/>
        <v>64386.765988674029</v>
      </c>
      <c r="D121" s="12">
        <f t="shared" si="3"/>
        <v>57534.560108399841</v>
      </c>
      <c r="E121" s="13">
        <f t="shared" si="4"/>
        <v>2.0595996139785067</v>
      </c>
    </row>
    <row r="122" spans="1:5">
      <c r="A122" s="18">
        <v>121</v>
      </c>
      <c r="B122" s="4">
        <v>107</v>
      </c>
      <c r="C122" s="14">
        <f t="shared" si="5"/>
        <v>48417.637862440519</v>
      </c>
      <c r="D122" s="12">
        <f t="shared" si="3"/>
        <v>57448.258268237238</v>
      </c>
      <c r="E122" s="13">
        <f t="shared" si="4"/>
        <v>2.0535031991211303</v>
      </c>
    </row>
    <row r="123" spans="1:5">
      <c r="A123" s="18">
        <v>122</v>
      </c>
      <c r="B123" s="4">
        <v>108</v>
      </c>
      <c r="C123" s="14">
        <f t="shared" si="5"/>
        <v>63875.170519085186</v>
      </c>
      <c r="D123" s="12">
        <f t="shared" si="3"/>
        <v>57362.085880834878</v>
      </c>
      <c r="E123" s="13">
        <f t="shared" si="4"/>
        <v>2.0474248296517317</v>
      </c>
    </row>
    <row r="124" spans="1:5">
      <c r="A124" s="18">
        <v>123</v>
      </c>
      <c r="B124" s="4">
        <v>109</v>
      </c>
      <c r="C124" s="14">
        <f t="shared" si="5"/>
        <v>48851.842398923254</v>
      </c>
      <c r="D124" s="12">
        <f t="shared" si="3"/>
        <v>57276.042752013629</v>
      </c>
      <c r="E124" s="13">
        <f t="shared" si="4"/>
        <v>2.0413644521559626</v>
      </c>
    </row>
    <row r="125" spans="1:5">
      <c r="A125" s="18">
        <v>124</v>
      </c>
      <c r="B125" s="4">
        <v>110</v>
      </c>
      <c r="C125" s="14">
        <f t="shared" si="5"/>
        <v>63348.564231141754</v>
      </c>
      <c r="D125" s="12">
        <f t="shared" si="3"/>
        <v>57190.128687885612</v>
      </c>
      <c r="E125" s="13">
        <f t="shared" si="4"/>
        <v>2.0353220133775811</v>
      </c>
    </row>
    <row r="126" spans="1:5">
      <c r="A126" s="18">
        <v>125</v>
      </c>
      <c r="B126" s="4">
        <v>111</v>
      </c>
      <c r="C126" s="14">
        <f t="shared" si="5"/>
        <v>49291.598300676778</v>
      </c>
      <c r="D126" s="12">
        <f t="shared" si="3"/>
        <v>57104.343494853783</v>
      </c>
      <c r="E126" s="13">
        <f t="shared" si="4"/>
        <v>2.0292974602179834</v>
      </c>
    </row>
    <row r="127" spans="1:5">
      <c r="A127" s="18">
        <v>126</v>
      </c>
      <c r="B127" s="4">
        <v>112</v>
      </c>
      <c r="C127" s="14">
        <f t="shared" si="5"/>
        <v>62807.028644686274</v>
      </c>
      <c r="D127" s="12">
        <f t="shared" si="3"/>
        <v>57018.686979611506</v>
      </c>
      <c r="E127" s="13">
        <f t="shared" si="4"/>
        <v>2.0232907397357383</v>
      </c>
    </row>
    <row r="128" spans="1:5">
      <c r="A128" s="18">
        <v>127</v>
      </c>
      <c r="B128" s="4">
        <v>113</v>
      </c>
      <c r="C128" s="14">
        <f t="shared" si="5"/>
        <v>49735.145700667723</v>
      </c>
      <c r="D128" s="12">
        <f t="shared" si="3"/>
        <v>56933.158949142089</v>
      </c>
      <c r="E128" s="13">
        <f t="shared" si="4"/>
        <v>2.0173017991461206</v>
      </c>
    </row>
    <row r="129" spans="1:5">
      <c r="A129" s="18">
        <v>128</v>
      </c>
      <c r="B129" s="4">
        <v>114</v>
      </c>
      <c r="C129" s="14">
        <f t="shared" si="5"/>
        <v>62251.063788012747</v>
      </c>
      <c r="D129" s="12">
        <f t="shared" si="3"/>
        <v>56847.759210718374</v>
      </c>
      <c r="E129" s="13">
        <f t="shared" si="4"/>
        <v>2.0113305858206481</v>
      </c>
    </row>
    <row r="130" spans="1:5">
      <c r="A130" s="18">
        <v>129</v>
      </c>
      <c r="B130" s="4">
        <v>115</v>
      </c>
      <c r="C130" s="14">
        <f t="shared" si="5"/>
        <v>50180.123634481977</v>
      </c>
      <c r="D130" s="12">
        <f t="shared" si="3"/>
        <v>56762.487571902297</v>
      </c>
      <c r="E130" s="13">
        <f t="shared" si="4"/>
        <v>2.0053770472866188</v>
      </c>
    </row>
    <row r="131" spans="1:5">
      <c r="A131" s="18">
        <v>130</v>
      </c>
      <c r="B131" s="4">
        <v>116</v>
      </c>
      <c r="C131" s="14">
        <f t="shared" si="5"/>
        <v>61681.728571284235</v>
      </c>
      <c r="D131" s="12">
        <f t="shared" si="3"/>
        <v>56677.343840544447</v>
      </c>
      <c r="E131" s="13">
        <f t="shared" si="4"/>
        <v>1.9994411312266505</v>
      </c>
    </row>
    <row r="132" spans="1:5">
      <c r="A132" s="18">
        <v>131</v>
      </c>
      <c r="B132" s="4">
        <v>117</v>
      </c>
      <c r="C132" s="14">
        <f t="shared" si="5"/>
        <v>50623.467706560237</v>
      </c>
      <c r="D132" s="12">
        <f t="shared" si="3"/>
        <v>56592.327824783628</v>
      </c>
      <c r="E132" s="13">
        <f t="shared" si="4"/>
        <v>1.9935227854782196</v>
      </c>
    </row>
    <row r="133" spans="1:5">
      <c r="A133" s="18">
        <v>132</v>
      </c>
      <c r="B133" s="4">
        <v>118</v>
      </c>
      <c r="C133" s="14">
        <f t="shared" si="5"/>
        <v>61100.79761942503</v>
      </c>
      <c r="D133" s="12">
        <f t="shared" si="3"/>
        <v>56507.439333046452</v>
      </c>
      <c r="E133" s="13">
        <f t="shared" si="4"/>
        <v>1.987621958033204</v>
      </c>
    </row>
    <row r="134" spans="1:5">
      <c r="A134" s="18">
        <v>133</v>
      </c>
      <c r="B134" s="4">
        <v>119</v>
      </c>
      <c r="C134" s="14">
        <f t="shared" si="5"/>
        <v>51061.325978762557</v>
      </c>
      <c r="D134" s="12">
        <f t="shared" si="3"/>
        <v>56422.67817404688</v>
      </c>
      <c r="E134" s="13">
        <f t="shared" si="4"/>
        <v>1.9817385970374257</v>
      </c>
    </row>
    <row r="135" spans="1:5">
      <c r="A135" s="18">
        <v>134</v>
      </c>
      <c r="B135" s="4">
        <v>120</v>
      </c>
      <c r="C135" s="14">
        <f t="shared" si="5"/>
        <v>60510.920475731356</v>
      </c>
      <c r="D135" s="12">
        <f t="shared" si="3"/>
        <v>56338.044156785807</v>
      </c>
      <c r="E135" s="13">
        <f t="shared" si="4"/>
        <v>1.9758726507901949</v>
      </c>
    </row>
    <row r="136" spans="1:5">
      <c r="A136" s="18">
        <v>135</v>
      </c>
      <c r="B136" s="4">
        <v>121</v>
      </c>
      <c r="C136" s="14">
        <f t="shared" si="5"/>
        <v>51489.016150698604</v>
      </c>
      <c r="D136" s="12">
        <f t="shared" si="3"/>
        <v>56253.537090550628</v>
      </c>
      <c r="E136" s="13">
        <f t="shared" si="4"/>
        <v>1.9700240677438559</v>
      </c>
    </row>
    <row r="137" spans="1:5">
      <c r="A137" s="18">
        <v>136</v>
      </c>
      <c r="B137" s="4">
        <v>122</v>
      </c>
      <c r="C137" s="14">
        <f t="shared" si="5"/>
        <v>59915.758328710508</v>
      </c>
      <c r="D137" s="12">
        <f t="shared" si="3"/>
        <v>56169.156784914805</v>
      </c>
      <c r="E137" s="13">
        <f t="shared" si="4"/>
        <v>1.9641927965033341</v>
      </c>
    </row>
    <row r="138" spans="1:5">
      <c r="A138" s="18">
        <v>137</v>
      </c>
      <c r="B138" s="4">
        <v>123</v>
      </c>
      <c r="C138" s="14">
        <f t="shared" si="5"/>
        <v>51901.05357306423</v>
      </c>
      <c r="D138" s="12">
        <f t="shared" si="3"/>
        <v>56084.903049737433</v>
      </c>
      <c r="E138" s="13">
        <f t="shared" si="4"/>
        <v>1.9583787858256843</v>
      </c>
    </row>
    <row r="139" spans="1:5">
      <c r="A139" s="18">
        <v>138</v>
      </c>
      <c r="B139" s="4">
        <v>124</v>
      </c>
      <c r="C139" s="14">
        <f t="shared" si="5"/>
        <v>59320.061423902451</v>
      </c>
      <c r="D139" s="12">
        <f t="shared" si="3"/>
        <v>56000.775695162825</v>
      </c>
      <c r="E139" s="13">
        <f t="shared" si="4"/>
        <v>1.9525819846196402</v>
      </c>
    </row>
    <row r="140" spans="1:5">
      <c r="A140" s="18">
        <v>139</v>
      </c>
      <c r="B140" s="4">
        <v>125</v>
      </c>
      <c r="C140" s="14">
        <f t="shared" si="5"/>
        <v>52291.282215810563</v>
      </c>
      <c r="D140" s="12">
        <f t="shared" si="3"/>
        <v>55916.774531620082</v>
      </c>
      <c r="E140" s="13">
        <f t="shared" si="4"/>
        <v>1.9468023419451661</v>
      </c>
    </row>
    <row r="141" spans="1:5">
      <c r="A141" s="18">
        <v>140</v>
      </c>
      <c r="B141" s="4">
        <v>126</v>
      </c>
      <c r="C141" s="14">
        <f t="shared" si="5"/>
        <v>58729.640852433186</v>
      </c>
      <c r="D141" s="12">
        <f t="shared" si="3"/>
        <v>55832.899369822655</v>
      </c>
      <c r="E141" s="13">
        <f t="shared" si="4"/>
        <v>1.9410398070130084</v>
      </c>
    </row>
    <row r="142" spans="1:5">
      <c r="A142" s="18">
        <v>141</v>
      </c>
      <c r="B142" s="4">
        <v>127</v>
      </c>
      <c r="C142" s="14">
        <f t="shared" si="5"/>
        <v>52653.135161288243</v>
      </c>
      <c r="D142" s="12">
        <f t="shared" si="3"/>
        <v>55749.15002076792</v>
      </c>
      <c r="E142" s="13">
        <f t="shared" si="4"/>
        <v>1.9352943291842499</v>
      </c>
    </row>
    <row r="143" spans="1:5">
      <c r="A143" s="18">
        <v>142</v>
      </c>
      <c r="B143" s="4">
        <v>128</v>
      </c>
      <c r="C143" s="14">
        <f t="shared" si="5"/>
        <v>58151.187668708641</v>
      </c>
      <c r="D143" s="12">
        <f t="shared" si="3"/>
        <v>55665.526295736767</v>
      </c>
      <c r="E143" s="13">
        <f t="shared" si="4"/>
        <v>1.9295658579698645</v>
      </c>
    </row>
    <row r="144" spans="1:5">
      <c r="A144" s="18">
        <v>143</v>
      </c>
      <c r="B144" s="4">
        <v>129</v>
      </c>
      <c r="C144" s="14">
        <f t="shared" si="5"/>
        <v>52980.033530355147</v>
      </c>
      <c r="D144" s="12">
        <f t="shared" ref="D144:D207" si="6">D143-D143*$C$9</f>
        <v>55582.028006293163</v>
      </c>
      <c r="E144" s="13">
        <f t="shared" ref="E144:E207" si="7">E143-E143*$C$8</f>
        <v>1.9238543430302737</v>
      </c>
    </row>
    <row r="145" spans="1:5">
      <c r="A145" s="18">
        <v>144</v>
      </c>
      <c r="B145" s="4">
        <v>130</v>
      </c>
      <c r="C145" s="14">
        <f t="shared" ref="C145:C208" si="8">(C144+(E145)*C144*(1-C144/D145))</f>
        <v>57591.907556123573</v>
      </c>
      <c r="D145" s="12">
        <f t="shared" si="6"/>
        <v>55498.654964283727</v>
      </c>
      <c r="E145" s="13">
        <f t="shared" si="7"/>
        <v>1.9181597341749042</v>
      </c>
    </row>
    <row r="146" spans="1:5">
      <c r="A146" s="18">
        <v>145</v>
      </c>
      <c r="B146" s="4">
        <v>131</v>
      </c>
      <c r="C146" s="14">
        <f t="shared" si="8"/>
        <v>53265.901983969554</v>
      </c>
      <c r="D146" s="12">
        <f t="shared" si="6"/>
        <v>55415.406981837303</v>
      </c>
      <c r="E146" s="13">
        <f t="shared" si="7"/>
        <v>1.9124819813617464</v>
      </c>
    </row>
    <row r="147" spans="1:5">
      <c r="A147" s="18">
        <v>146</v>
      </c>
      <c r="B147" s="4">
        <v>132</v>
      </c>
      <c r="C147" s="14">
        <f t="shared" si="8"/>
        <v>57058.975060410114</v>
      </c>
      <c r="D147" s="12">
        <f t="shared" si="6"/>
        <v>55332.283871364547</v>
      </c>
      <c r="E147" s="13">
        <f t="shared" si="7"/>
        <v>1.9068210346969157</v>
      </c>
    </row>
    <row r="148" spans="1:5">
      <c r="A148" s="18">
        <v>147</v>
      </c>
      <c r="B148" s="4">
        <v>133</v>
      </c>
      <c r="C148" s="14">
        <f t="shared" si="8"/>
        <v>53505.740227076021</v>
      </c>
      <c r="D148" s="12">
        <f t="shared" si="6"/>
        <v>55249.2854455575</v>
      </c>
      <c r="E148" s="13">
        <f t="shared" si="7"/>
        <v>1.9011768444342128</v>
      </c>
    </row>
    <row r="149" spans="1:5">
      <c r="A149" s="18">
        <v>148</v>
      </c>
      <c r="B149" s="4">
        <v>134</v>
      </c>
      <c r="C149" s="14">
        <f t="shared" si="8"/>
        <v>56558.864048376112</v>
      </c>
      <c r="D149" s="12">
        <f t="shared" si="6"/>
        <v>55166.411517389162</v>
      </c>
      <c r="E149" s="13">
        <f t="shared" si="7"/>
        <v>1.8955493609746874</v>
      </c>
    </row>
    <row r="150" spans="1:5">
      <c r="A150" s="18">
        <v>149</v>
      </c>
      <c r="B150" s="4">
        <v>135</v>
      </c>
      <c r="C150" s="14">
        <f t="shared" si="8"/>
        <v>53696.155791276695</v>
      </c>
      <c r="D150" s="12">
        <f t="shared" si="6"/>
        <v>55083.661900113082</v>
      </c>
      <c r="E150" s="13">
        <f t="shared" si="7"/>
        <v>1.8899385348662023</v>
      </c>
    </row>
    <row r="151" spans="1:5">
      <c r="A151" s="18">
        <v>150</v>
      </c>
      <c r="B151" s="4">
        <v>136</v>
      </c>
      <c r="C151" s="14">
        <f t="shared" si="8"/>
        <v>56096.664929556988</v>
      </c>
      <c r="D151" s="12">
        <f t="shared" si="6"/>
        <v>55001.036407262909</v>
      </c>
      <c r="E151" s="13">
        <f t="shared" si="7"/>
        <v>1.8843443168029983</v>
      </c>
    </row>
    <row r="152" spans="1:5">
      <c r="A152" s="18">
        <v>151</v>
      </c>
      <c r="B152" s="4">
        <v>137</v>
      </c>
      <c r="C152" s="14">
        <f t="shared" si="8"/>
        <v>53835.750177978793</v>
      </c>
      <c r="D152" s="12">
        <f t="shared" si="6"/>
        <v>54918.534852652017</v>
      </c>
      <c r="E152" s="13">
        <f t="shared" si="7"/>
        <v>1.8787666576252615</v>
      </c>
    </row>
    <row r="153" spans="1:5">
      <c r="A153" s="18">
        <v>152</v>
      </c>
      <c r="B153" s="4">
        <v>138</v>
      </c>
      <c r="C153" s="14">
        <f t="shared" si="8"/>
        <v>55675.52999522975</v>
      </c>
      <c r="D153" s="12">
        <f t="shared" si="6"/>
        <v>54836.15705037304</v>
      </c>
      <c r="E153" s="13">
        <f t="shared" si="7"/>
        <v>1.8732055083186907</v>
      </c>
    </row>
    <row r="154" spans="1:5">
      <c r="A154" s="18">
        <v>153</v>
      </c>
      <c r="B154" s="4">
        <v>139</v>
      </c>
      <c r="C154" s="14">
        <f t="shared" si="8"/>
        <v>53925.270019023606</v>
      </c>
      <c r="D154" s="12">
        <f t="shared" si="6"/>
        <v>54753.902814797482</v>
      </c>
      <c r="E154" s="13">
        <f t="shared" si="7"/>
        <v>1.8676608200140674</v>
      </c>
    </row>
    <row r="155" spans="1:5">
      <c r="A155" s="18">
        <v>154</v>
      </c>
      <c r="B155" s="4">
        <v>140</v>
      </c>
      <c r="C155" s="14">
        <f t="shared" si="8"/>
        <v>55296.37500534681</v>
      </c>
      <c r="D155" s="12">
        <f t="shared" si="6"/>
        <v>54671.771960575286</v>
      </c>
      <c r="E155" s="13">
        <f t="shared" si="7"/>
        <v>1.8621325439868257</v>
      </c>
    </row>
    <row r="156" spans="1:5">
      <c r="A156" s="18">
        <v>155</v>
      </c>
      <c r="B156" s="4">
        <v>141</v>
      </c>
      <c r="C156" s="14">
        <f t="shared" si="8"/>
        <v>53967.485639799073</v>
      </c>
      <c r="D156" s="12">
        <f t="shared" si="6"/>
        <v>54589.764302634423</v>
      </c>
      <c r="E156" s="13">
        <f t="shared" si="7"/>
        <v>1.8566206316566247</v>
      </c>
    </row>
    <row r="157" spans="1:5">
      <c r="A157" s="18">
        <v>156</v>
      </c>
      <c r="B157" s="4">
        <v>142</v>
      </c>
      <c r="C157" s="14">
        <f t="shared" si="8"/>
        <v>54957.905138938928</v>
      </c>
      <c r="D157" s="12">
        <f t="shared" si="6"/>
        <v>54507.87965618047</v>
      </c>
      <c r="E157" s="13">
        <f t="shared" si="7"/>
        <v>1.851125034586921</v>
      </c>
    </row>
    <row r="158" spans="1:5">
      <c r="A158" s="18">
        <v>157</v>
      </c>
      <c r="B158" s="4">
        <v>143</v>
      </c>
      <c r="C158" s="14">
        <f t="shared" si="8"/>
        <v>53966.824226438883</v>
      </c>
      <c r="D158" s="12">
        <f t="shared" si="6"/>
        <v>54426.117836696198</v>
      </c>
      <c r="E158" s="13">
        <f t="shared" si="7"/>
        <v>1.8456457044845438</v>
      </c>
    </row>
    <row r="159" spans="1:5">
      <c r="A159" s="18">
        <v>158</v>
      </c>
      <c r="B159" s="4">
        <v>144</v>
      </c>
      <c r="C159" s="14">
        <f t="shared" si="8"/>
        <v>54656.94792466006</v>
      </c>
      <c r="D159" s="12">
        <f t="shared" si="6"/>
        <v>54344.478659941153</v>
      </c>
      <c r="E159" s="13">
        <f t="shared" si="7"/>
        <v>1.8401825931992695</v>
      </c>
    </row>
    <row r="160" spans="1:5">
      <c r="A160" s="18">
        <v>159</v>
      </c>
      <c r="B160" s="4">
        <v>145</v>
      </c>
      <c r="C160" s="14">
        <f t="shared" si="8"/>
        <v>53928.839339692233</v>
      </c>
      <c r="D160" s="12">
        <f t="shared" si="6"/>
        <v>54262.961941951238</v>
      </c>
      <c r="E160" s="13">
        <f t="shared" si="7"/>
        <v>1.8347356527233996</v>
      </c>
    </row>
    <row r="161" spans="1:5">
      <c r="A161" s="18">
        <v>160</v>
      </c>
      <c r="B161" s="4">
        <v>146</v>
      </c>
      <c r="C161" s="14">
        <f t="shared" si="8"/>
        <v>54388.99972169158</v>
      </c>
      <c r="D161" s="12">
        <f t="shared" si="6"/>
        <v>54181.567499038312</v>
      </c>
      <c r="E161" s="13">
        <f t="shared" si="7"/>
        <v>1.8293048351913384</v>
      </c>
    </row>
    <row r="162" spans="1:5">
      <c r="A162" s="18">
        <v>161</v>
      </c>
      <c r="B162" s="4">
        <v>147</v>
      </c>
      <c r="C162" s="14">
        <f t="shared" si="8"/>
        <v>53859.624309332328</v>
      </c>
      <c r="D162" s="12">
        <f t="shared" si="6"/>
        <v>54100.295147789751</v>
      </c>
      <c r="E162" s="13">
        <f t="shared" si="7"/>
        <v>1.8238900928791719</v>
      </c>
    </row>
    <row r="163" spans="1:5">
      <c r="A163" s="18">
        <v>162</v>
      </c>
      <c r="B163" s="4">
        <v>148</v>
      </c>
      <c r="C163" s="14">
        <f t="shared" si="8"/>
        <v>54148.85413830047</v>
      </c>
      <c r="D163" s="12">
        <f t="shared" si="6"/>
        <v>54019.144705068065</v>
      </c>
      <c r="E163" s="13">
        <f t="shared" si="7"/>
        <v>1.8184913782042496</v>
      </c>
    </row>
    <row r="164" spans="1:5">
      <c r="A164" s="18">
        <v>163</v>
      </c>
      <c r="B164" s="4">
        <v>149</v>
      </c>
      <c r="C164" s="14">
        <f t="shared" si="8"/>
        <v>53765.270132597856</v>
      </c>
      <c r="D164" s="12">
        <f t="shared" si="6"/>
        <v>53938.115988010461</v>
      </c>
      <c r="E164" s="13">
        <f t="shared" si="7"/>
        <v>1.813108643724765</v>
      </c>
    </row>
    <row r="165" spans="1:5">
      <c r="A165" s="18">
        <v>164</v>
      </c>
      <c r="B165" s="4">
        <v>150</v>
      </c>
      <c r="C165" s="14">
        <f t="shared" si="8"/>
        <v>53931.187814480552</v>
      </c>
      <c r="D165" s="12">
        <f t="shared" si="6"/>
        <v>53857.208814028447</v>
      </c>
      <c r="E165" s="13">
        <f t="shared" si="7"/>
        <v>1.8077418421393396</v>
      </c>
    </row>
    <row r="166" spans="1:5">
      <c r="A166" s="18">
        <v>165</v>
      </c>
      <c r="B166" s="4">
        <v>151</v>
      </c>
      <c r="C166" s="14">
        <f t="shared" si="8"/>
        <v>53651.43832937393</v>
      </c>
      <c r="D166" s="12">
        <f t="shared" si="6"/>
        <v>53776.423000807401</v>
      </c>
      <c r="E166" s="13">
        <f t="shared" si="7"/>
        <v>1.8023909262866071</v>
      </c>
    </row>
    <row r="167" spans="1:5">
      <c r="A167" s="18">
        <v>166</v>
      </c>
      <c r="B167" s="4">
        <v>152</v>
      </c>
      <c r="C167" s="14">
        <f t="shared" si="8"/>
        <v>53731.018172169941</v>
      </c>
      <c r="D167" s="12">
        <f t="shared" si="6"/>
        <v>53695.758366306189</v>
      </c>
      <c r="E167" s="13">
        <f t="shared" si="7"/>
        <v>1.7970558491447988</v>
      </c>
    </row>
    <row r="168" spans="1:5">
      <c r="A168" s="18">
        <v>167</v>
      </c>
      <c r="B168" s="4">
        <v>153</v>
      </c>
      <c r="C168" s="14">
        <f t="shared" si="8"/>
        <v>53523.080752555928</v>
      </c>
      <c r="D168" s="12">
        <f t="shared" si="6"/>
        <v>53615.214728756728</v>
      </c>
      <c r="E168" s="13">
        <f t="shared" si="7"/>
        <v>1.7917365638313301</v>
      </c>
    </row>
    <row r="169" spans="1:5">
      <c r="A169" s="18">
        <v>168</v>
      </c>
      <c r="B169" s="4">
        <v>154</v>
      </c>
      <c r="C169" s="14">
        <f t="shared" si="8"/>
        <v>53543.997368324017</v>
      </c>
      <c r="D169" s="12">
        <f t="shared" si="6"/>
        <v>53534.791906663595</v>
      </c>
      <c r="E169" s="13">
        <f t="shared" si="7"/>
        <v>1.7864330236023893</v>
      </c>
    </row>
    <row r="170" spans="1:5">
      <c r="A170" s="18">
        <v>169</v>
      </c>
      <c r="B170" s="4">
        <v>155</v>
      </c>
      <c r="C170" s="14">
        <f t="shared" si="8"/>
        <v>53384.30429625338</v>
      </c>
      <c r="D170" s="12">
        <f t="shared" si="6"/>
        <v>53454.489718803597</v>
      </c>
      <c r="E170" s="13">
        <f t="shared" si="7"/>
        <v>1.7811451818525263</v>
      </c>
    </row>
    <row r="171" spans="1:5">
      <c r="A171" s="18">
        <v>170</v>
      </c>
      <c r="B171" s="4">
        <v>156</v>
      </c>
      <c r="C171" s="14">
        <f t="shared" si="8"/>
        <v>53366.548790950153</v>
      </c>
      <c r="D171" s="12">
        <f t="shared" si="6"/>
        <v>53374.307984225394</v>
      </c>
      <c r="E171" s="13">
        <f t="shared" si="7"/>
        <v>1.7758729921142429</v>
      </c>
    </row>
    <row r="172" spans="1:5">
      <c r="A172" s="18">
        <v>171</v>
      </c>
      <c r="B172" s="4">
        <v>157</v>
      </c>
      <c r="C172" s="14">
        <f t="shared" si="8"/>
        <v>53238.355528369204</v>
      </c>
      <c r="D172" s="12">
        <f t="shared" si="6"/>
        <v>53294.246522249057</v>
      </c>
      <c r="E172" s="13">
        <f t="shared" si="7"/>
        <v>1.7706164080575848</v>
      </c>
    </row>
    <row r="173" spans="1:5">
      <c r="A173" s="18">
        <v>172</v>
      </c>
      <c r="B173" s="4">
        <v>158</v>
      </c>
      <c r="C173" s="14">
        <f t="shared" si="8"/>
        <v>53195.878397782573</v>
      </c>
      <c r="D173" s="12">
        <f t="shared" si="6"/>
        <v>53214.305152465684</v>
      </c>
      <c r="E173" s="13">
        <f t="shared" si="7"/>
        <v>1.7653753834897343</v>
      </c>
    </row>
    <row r="174" spans="1:5">
      <c r="A174" s="18">
        <v>173</v>
      </c>
      <c r="B174" s="4">
        <v>159</v>
      </c>
      <c r="C174" s="14">
        <f t="shared" si="8"/>
        <v>53087.689655701564</v>
      </c>
      <c r="D174" s="12">
        <f t="shared" si="6"/>
        <v>53134.483694736984</v>
      </c>
      <c r="E174" s="13">
        <f t="shared" si="7"/>
        <v>1.7601498723546047</v>
      </c>
    </row>
    <row r="175" spans="1:5">
      <c r="A175" s="18">
        <v>174</v>
      </c>
      <c r="B175" s="4">
        <v>160</v>
      </c>
      <c r="C175" s="14">
        <f t="shared" si="8"/>
        <v>53029.902825417215</v>
      </c>
      <c r="D175" s="12">
        <f t="shared" si="6"/>
        <v>53054.781969194875</v>
      </c>
      <c r="E175" s="13">
        <f t="shared" si="7"/>
        <v>1.7549398287324351</v>
      </c>
    </row>
    <row r="176" spans="1:5">
      <c r="A176" s="18">
        <v>175</v>
      </c>
      <c r="B176" s="4">
        <v>161</v>
      </c>
      <c r="C176" s="14">
        <f t="shared" si="8"/>
        <v>52934.087624086285</v>
      </c>
      <c r="D176" s="12">
        <f t="shared" si="6"/>
        <v>52975.199796241082</v>
      </c>
      <c r="E176" s="13">
        <f t="shared" si="7"/>
        <v>1.7497452068393871</v>
      </c>
    </row>
    <row r="177" spans="1:5">
      <c r="A177" s="18">
        <v>176</v>
      </c>
      <c r="B177" s="4">
        <v>162</v>
      </c>
      <c r="C177" s="14">
        <f t="shared" si="8"/>
        <v>52867.133916886305</v>
      </c>
      <c r="D177" s="12">
        <f t="shared" si="6"/>
        <v>52895.736996546722</v>
      </c>
      <c r="E177" s="13">
        <f t="shared" si="7"/>
        <v>1.7445659610271425</v>
      </c>
    </row>
    <row r="178" spans="1:5">
      <c r="A178" s="18">
        <v>177</v>
      </c>
      <c r="B178" s="4">
        <v>163</v>
      </c>
      <c r="C178" s="14">
        <f t="shared" si="8"/>
        <v>52778.790953123986</v>
      </c>
      <c r="D178" s="12">
        <f t="shared" si="6"/>
        <v>52816.393391051904</v>
      </c>
      <c r="E178" s="13">
        <f t="shared" si="7"/>
        <v>1.7394020457825021</v>
      </c>
    </row>
    <row r="179" spans="1:5">
      <c r="A179" s="18">
        <v>178</v>
      </c>
      <c r="B179" s="4">
        <v>164</v>
      </c>
      <c r="C179" s="14">
        <f t="shared" si="8"/>
        <v>52706.550623757466</v>
      </c>
      <c r="D179" s="12">
        <f t="shared" si="6"/>
        <v>52737.16880096533</v>
      </c>
      <c r="E179" s="13">
        <f t="shared" si="7"/>
        <v>1.734253415726986</v>
      </c>
    </row>
    <row r="180" spans="1:5">
      <c r="A180" s="18">
        <v>179</v>
      </c>
      <c r="B180" s="4">
        <v>165</v>
      </c>
      <c r="C180" s="14">
        <f t="shared" si="8"/>
        <v>52622.632584418927</v>
      </c>
      <c r="D180" s="12">
        <f t="shared" si="6"/>
        <v>52658.063047763884</v>
      </c>
      <c r="E180" s="13">
        <f t="shared" si="7"/>
        <v>1.7291200256164341</v>
      </c>
    </row>
    <row r="181" spans="1:5">
      <c r="A181" s="18">
        <v>180</v>
      </c>
      <c r="B181" s="4">
        <v>166</v>
      </c>
      <c r="C181" s="14">
        <f t="shared" si="8"/>
        <v>52547.478666308365</v>
      </c>
      <c r="D181" s="12">
        <f t="shared" si="6"/>
        <v>52579.075953192238</v>
      </c>
      <c r="E181" s="13">
        <f t="shared" si="7"/>
        <v>1.7240018303406095</v>
      </c>
    </row>
    <row r="182" spans="1:5">
      <c r="A182" s="18">
        <v>181</v>
      </c>
      <c r="B182" s="4">
        <v>167</v>
      </c>
      <c r="C182" s="14">
        <f t="shared" si="8"/>
        <v>52466.150877804423</v>
      </c>
      <c r="D182" s="12">
        <f t="shared" si="6"/>
        <v>52500.207339262452</v>
      </c>
      <c r="E182" s="13">
        <f t="shared" si="7"/>
        <v>1.7188987849228012</v>
      </c>
    </row>
    <row r="183" spans="1:5">
      <c r="A183" s="18">
        <v>182</v>
      </c>
      <c r="B183" s="4">
        <v>168</v>
      </c>
      <c r="C183" s="14">
        <f t="shared" si="8"/>
        <v>52389.488768326184</v>
      </c>
      <c r="D183" s="12">
        <f t="shared" si="6"/>
        <v>52421.457028253557</v>
      </c>
      <c r="E183" s="13">
        <f t="shared" si="7"/>
        <v>1.7138108445194298</v>
      </c>
    </row>
    <row r="184" spans="1:5">
      <c r="A184" s="18">
        <v>183</v>
      </c>
      <c r="B184" s="4">
        <v>169</v>
      </c>
      <c r="C184" s="14">
        <f t="shared" si="8"/>
        <v>52309.681261586564</v>
      </c>
      <c r="D184" s="12">
        <f t="shared" si="6"/>
        <v>52342.824842711176</v>
      </c>
      <c r="E184" s="13">
        <f t="shared" si="7"/>
        <v>1.7087379644196523</v>
      </c>
    </row>
    <row r="185" spans="1:5">
      <c r="A185" s="18">
        <v>184</v>
      </c>
      <c r="B185" s="4">
        <v>170</v>
      </c>
      <c r="C185" s="14">
        <f t="shared" si="8"/>
        <v>52232.317075985193</v>
      </c>
      <c r="D185" s="12">
        <f t="shared" si="6"/>
        <v>52264.310605447106</v>
      </c>
      <c r="E185" s="13">
        <f t="shared" si="7"/>
        <v>1.7036801000449702</v>
      </c>
    </row>
    <row r="186" spans="1:5">
      <c r="A186" s="18">
        <v>185</v>
      </c>
      <c r="B186" s="4">
        <v>171</v>
      </c>
      <c r="C186" s="14">
        <f t="shared" si="8"/>
        <v>52153.425234497634</v>
      </c>
      <c r="D186" s="12">
        <f t="shared" si="6"/>
        <v>52185.914139538938</v>
      </c>
      <c r="E186" s="13">
        <f t="shared" si="7"/>
        <v>1.6986372069488371</v>
      </c>
    </row>
    <row r="187" spans="1:5">
      <c r="A187" s="18">
        <v>186</v>
      </c>
      <c r="B187" s="4">
        <v>172</v>
      </c>
      <c r="C187" s="14">
        <f t="shared" si="8"/>
        <v>52075.806776756021</v>
      </c>
      <c r="D187" s="12">
        <f t="shared" si="6"/>
        <v>52107.635268329628</v>
      </c>
      <c r="E187" s="13">
        <f t="shared" si="7"/>
        <v>1.6936092408162686</v>
      </c>
    </row>
    <row r="188" spans="1:5">
      <c r="A188" s="18">
        <v>187</v>
      </c>
      <c r="B188" s="4">
        <v>173</v>
      </c>
      <c r="C188" s="14">
        <f t="shared" si="8"/>
        <v>51997.499444580506</v>
      </c>
      <c r="D188" s="12">
        <f t="shared" si="6"/>
        <v>52029.473815427133</v>
      </c>
      <c r="E188" s="13">
        <f t="shared" si="7"/>
        <v>1.6885961574634525</v>
      </c>
    </row>
    <row r="189" spans="1:5">
      <c r="A189" s="18">
        <v>188</v>
      </c>
      <c r="B189" s="4">
        <v>174</v>
      </c>
      <c r="C189" s="14">
        <f t="shared" si="8"/>
        <v>51919.867576401783</v>
      </c>
      <c r="D189" s="12">
        <f t="shared" si="6"/>
        <v>51951.42960470399</v>
      </c>
      <c r="E189" s="13">
        <f t="shared" si="7"/>
        <v>1.6835979128373606</v>
      </c>
    </row>
    <row r="190" spans="1:5">
      <c r="A190" s="18">
        <v>189</v>
      </c>
      <c r="B190" s="4">
        <v>175</v>
      </c>
      <c r="C190" s="14">
        <f t="shared" si="8"/>
        <v>51841.968857360909</v>
      </c>
      <c r="D190" s="12">
        <f t="shared" si="6"/>
        <v>51873.502460296935</v>
      </c>
      <c r="E190" s="13">
        <f t="shared" si="7"/>
        <v>1.6786144630153621</v>
      </c>
    </row>
    <row r="191" spans="1:5">
      <c r="A191" s="18">
        <v>190</v>
      </c>
      <c r="B191" s="4">
        <v>176</v>
      </c>
      <c r="C191" s="14">
        <f t="shared" si="8"/>
        <v>51764.448938812631</v>
      </c>
      <c r="D191" s="12">
        <f t="shared" si="6"/>
        <v>51795.692206606487</v>
      </c>
      <c r="E191" s="13">
        <f t="shared" si="7"/>
        <v>1.6736457642048366</v>
      </c>
    </row>
    <row r="192" spans="1:5">
      <c r="A192" s="18">
        <v>191</v>
      </c>
      <c r="B192" s="4">
        <v>177</v>
      </c>
      <c r="C192" s="14">
        <f t="shared" si="8"/>
        <v>51686.86813826533</v>
      </c>
      <c r="D192" s="12">
        <f t="shared" si="6"/>
        <v>51717.998668296575</v>
      </c>
      <c r="E192" s="13">
        <f t="shared" si="7"/>
        <v>1.6686917727427903</v>
      </c>
    </row>
    <row r="193" spans="1:5">
      <c r="A193" s="18">
        <v>192</v>
      </c>
      <c r="B193" s="4">
        <v>178</v>
      </c>
      <c r="C193" s="14">
        <f t="shared" si="8"/>
        <v>51609.523210490042</v>
      </c>
      <c r="D193" s="12">
        <f t="shared" si="6"/>
        <v>51640.421670294134</v>
      </c>
      <c r="E193" s="13">
        <f t="shared" si="7"/>
        <v>1.6637524450954717</v>
      </c>
    </row>
    <row r="194" spans="1:5">
      <c r="A194" s="18">
        <v>193</v>
      </c>
      <c r="B194" s="4">
        <v>179</v>
      </c>
      <c r="C194" s="14">
        <f t="shared" si="8"/>
        <v>51532.214839174339</v>
      </c>
      <c r="D194" s="12">
        <f t="shared" si="6"/>
        <v>51562.961037788693</v>
      </c>
      <c r="E194" s="13">
        <f t="shared" si="7"/>
        <v>1.6588277378579892</v>
      </c>
    </row>
    <row r="195" spans="1:5">
      <c r="A195" s="18">
        <v>194</v>
      </c>
      <c r="B195" s="4">
        <v>180</v>
      </c>
      <c r="C195" s="14">
        <f t="shared" si="8"/>
        <v>51455.075431016019</v>
      </c>
      <c r="D195" s="12">
        <f t="shared" si="6"/>
        <v>51485.616596232008</v>
      </c>
      <c r="E195" s="13">
        <f t="shared" si="7"/>
        <v>1.6539176077539295</v>
      </c>
    </row>
    <row r="196" spans="1:5">
      <c r="A196" s="18">
        <v>195</v>
      </c>
      <c r="B196" s="4">
        <v>181</v>
      </c>
      <c r="C196" s="14">
        <f t="shared" si="8"/>
        <v>51378.017194105538</v>
      </c>
      <c r="D196" s="12">
        <f t="shared" si="6"/>
        <v>51408.388171337661</v>
      </c>
      <c r="E196" s="13">
        <f t="shared" si="7"/>
        <v>1.6490220116349779</v>
      </c>
    </row>
    <row r="197" spans="1:5">
      <c r="A197" s="18">
        <v>196</v>
      </c>
      <c r="B197" s="4">
        <v>182</v>
      </c>
      <c r="C197" s="14">
        <f t="shared" si="8"/>
        <v>51301.097430815404</v>
      </c>
      <c r="D197" s="12">
        <f t="shared" si="6"/>
        <v>51331.275589080658</v>
      </c>
      <c r="E197" s="13">
        <f t="shared" si="7"/>
        <v>1.6441409064805383</v>
      </c>
    </row>
    <row r="198" spans="1:5">
      <c r="A198" s="18">
        <v>197</v>
      </c>
      <c r="B198" s="4">
        <v>183</v>
      </c>
      <c r="C198" s="14">
        <f t="shared" si="8"/>
        <v>51224.278544188244</v>
      </c>
      <c r="D198" s="12">
        <f t="shared" si="6"/>
        <v>51254.278675697038</v>
      </c>
      <c r="E198" s="13">
        <f t="shared" si="7"/>
        <v>1.639274249397356</v>
      </c>
    </row>
    <row r="199" spans="1:5">
      <c r="A199" s="18">
        <v>198</v>
      </c>
      <c r="B199" s="4">
        <v>184</v>
      </c>
      <c r="C199" s="14">
        <f t="shared" si="8"/>
        <v>51147.584546663791</v>
      </c>
      <c r="D199" s="12">
        <f t="shared" si="6"/>
        <v>51177.397257683493</v>
      </c>
      <c r="E199" s="13">
        <f t="shared" si="7"/>
        <v>1.6344219976191399</v>
      </c>
    </row>
    <row r="200" spans="1:5">
      <c r="A200" s="18">
        <v>199</v>
      </c>
      <c r="B200" s="4">
        <v>185</v>
      </c>
      <c r="C200" s="14">
        <f t="shared" si="8"/>
        <v>51070.999752149241</v>
      </c>
      <c r="D200" s="12">
        <f t="shared" si="6"/>
        <v>51100.63116179697</v>
      </c>
      <c r="E200" s="13">
        <f t="shared" si="7"/>
        <v>1.6295841085061873</v>
      </c>
    </row>
    <row r="201" spans="1:5">
      <c r="A201" s="18">
        <v>200</v>
      </c>
      <c r="B201" s="4">
        <v>186</v>
      </c>
      <c r="C201" s="14">
        <f t="shared" si="8"/>
        <v>50994.533863840654</v>
      </c>
      <c r="D201" s="12">
        <f t="shared" si="6"/>
        <v>51023.980215054275</v>
      </c>
      <c r="E201" s="13">
        <f t="shared" si="7"/>
        <v>1.6247605395450089</v>
      </c>
    </row>
    <row r="202" spans="1:5">
      <c r="A202" s="18">
        <v>201</v>
      </c>
      <c r="B202" s="4">
        <v>187</v>
      </c>
      <c r="C202" s="14">
        <f t="shared" si="8"/>
        <v>50918.180469960571</v>
      </c>
      <c r="D202" s="12">
        <f t="shared" si="6"/>
        <v>50947.444244731691</v>
      </c>
      <c r="E202" s="13">
        <f t="shared" si="7"/>
        <v>1.6199512483479557</v>
      </c>
    </row>
    <row r="203" spans="1:5">
      <c r="A203" s="18">
        <v>202</v>
      </c>
      <c r="B203" s="4">
        <v>188</v>
      </c>
      <c r="C203" s="14">
        <f t="shared" si="8"/>
        <v>50841.94331057035</v>
      </c>
      <c r="D203" s="12">
        <f t="shared" si="6"/>
        <v>50871.023078364597</v>
      </c>
      <c r="E203" s="13">
        <f t="shared" si="7"/>
        <v>1.6151561926528457</v>
      </c>
    </row>
    <row r="204" spans="1:5">
      <c r="A204" s="18">
        <v>203</v>
      </c>
      <c r="B204" s="4">
        <v>189</v>
      </c>
      <c r="C204" s="14">
        <f t="shared" si="8"/>
        <v>50765.819779669961</v>
      </c>
      <c r="D204" s="12">
        <f t="shared" si="6"/>
        <v>50794.716543747047</v>
      </c>
      <c r="E204" s="13">
        <f t="shared" si="7"/>
        <v>1.6103753303225934</v>
      </c>
    </row>
    <row r="205" spans="1:5">
      <c r="A205" s="18">
        <v>204</v>
      </c>
      <c r="B205" s="4">
        <v>190</v>
      </c>
      <c r="C205" s="14">
        <f t="shared" si="8"/>
        <v>50689.811208704486</v>
      </c>
      <c r="D205" s="12">
        <f t="shared" si="6"/>
        <v>50718.524468931428</v>
      </c>
      <c r="E205" s="13">
        <f t="shared" si="7"/>
        <v>1.6056086193448385</v>
      </c>
    </row>
    <row r="206" spans="1:5">
      <c r="A206" s="18">
        <v>205</v>
      </c>
      <c r="B206" s="4">
        <v>191</v>
      </c>
      <c r="C206" s="14">
        <f t="shared" si="8"/>
        <v>50613.916505501817</v>
      </c>
      <c r="D206" s="12">
        <f t="shared" si="6"/>
        <v>50642.44668222803</v>
      </c>
      <c r="E206" s="13">
        <f t="shared" si="7"/>
        <v>1.6008560178315778</v>
      </c>
    </row>
    <row r="207" spans="1:5">
      <c r="A207" s="18">
        <v>206</v>
      </c>
      <c r="B207" s="4">
        <v>192</v>
      </c>
      <c r="C207" s="14">
        <f t="shared" si="8"/>
        <v>50538.13605888631</v>
      </c>
      <c r="D207" s="12">
        <f t="shared" si="6"/>
        <v>50566.483012204691</v>
      </c>
      <c r="E207" s="13">
        <f t="shared" si="7"/>
        <v>1.5961174840187964</v>
      </c>
    </row>
    <row r="208" spans="1:5">
      <c r="A208" s="18">
        <v>207</v>
      </c>
      <c r="B208" s="4">
        <v>193</v>
      </c>
      <c r="C208" s="14">
        <f t="shared" si="8"/>
        <v>50462.469360355448</v>
      </c>
      <c r="D208" s="12">
        <f t="shared" ref="D208:D271" si="9">D207-D207*$C$9</f>
        <v>50490.633287686382</v>
      </c>
      <c r="E208" s="13">
        <f t="shared" ref="E208:E271" si="10">E207-E207*$C$8</f>
        <v>1.5913929762661008</v>
      </c>
    </row>
    <row r="209" spans="1:5">
      <c r="A209" s="18">
        <v>208</v>
      </c>
      <c r="B209" s="4">
        <v>194</v>
      </c>
      <c r="C209" s="14">
        <f t="shared" ref="C209:C272" si="11">(C208+(E209)*C208*(1-C208/D209))</f>
        <v>50386.916441525944</v>
      </c>
      <c r="D209" s="12">
        <f t="shared" si="9"/>
        <v>50414.897337754854</v>
      </c>
      <c r="E209" s="13">
        <f t="shared" si="10"/>
        <v>1.586682453056353</v>
      </c>
    </row>
    <row r="210" spans="1:5">
      <c r="A210" s="18">
        <v>209</v>
      </c>
      <c r="B210" s="4">
        <v>195</v>
      </c>
      <c r="C210" s="14">
        <f t="shared" si="11"/>
        <v>50311.477012099363</v>
      </c>
      <c r="D210" s="12">
        <f t="shared" si="9"/>
        <v>50339.274991748222</v>
      </c>
      <c r="E210" s="13">
        <f t="shared" si="10"/>
        <v>1.5819858729953062</v>
      </c>
    </row>
    <row r="211" spans="1:5">
      <c r="A211" s="18">
        <v>210</v>
      </c>
      <c r="B211" s="4">
        <v>196</v>
      </c>
      <c r="C211" s="14">
        <f t="shared" si="11"/>
        <v>50236.15097278505</v>
      </c>
      <c r="D211" s="12">
        <f t="shared" si="9"/>
        <v>50263.766079260597</v>
      </c>
      <c r="E211" s="13">
        <f t="shared" si="10"/>
        <v>1.5773031948112402</v>
      </c>
    </row>
    <row r="212" spans="1:5">
      <c r="A212" s="18">
        <v>211</v>
      </c>
      <c r="B212" s="4">
        <v>197</v>
      </c>
      <c r="C212" s="14">
        <f t="shared" si="11"/>
        <v>50160.938112497526</v>
      </c>
      <c r="D212" s="12">
        <f t="shared" si="9"/>
        <v>50188.370430141709</v>
      </c>
      <c r="E212" s="13">
        <f t="shared" si="10"/>
        <v>1.572634377354599</v>
      </c>
    </row>
    <row r="213" spans="1:5">
      <c r="A213" s="18">
        <v>212</v>
      </c>
      <c r="B213" s="4">
        <v>198</v>
      </c>
      <c r="C213" s="14">
        <f t="shared" si="11"/>
        <v>50085.838285704434</v>
      </c>
      <c r="D213" s="12">
        <f t="shared" si="9"/>
        <v>50113.087874496494</v>
      </c>
      <c r="E213" s="13">
        <f t="shared" si="10"/>
        <v>1.5679793795976293</v>
      </c>
    </row>
    <row r="214" spans="1:5">
      <c r="A214" s="18">
        <v>213</v>
      </c>
      <c r="B214" s="4">
        <v>199</v>
      </c>
      <c r="C214" s="14">
        <f t="shared" si="11"/>
        <v>50010.85130937826</v>
      </c>
      <c r="D214" s="12">
        <f t="shared" si="9"/>
        <v>50037.918242684747</v>
      </c>
      <c r="E214" s="13">
        <f t="shared" si="10"/>
        <v>1.5633381606340204</v>
      </c>
    </row>
    <row r="215" spans="1:5">
      <c r="A215" s="18">
        <v>214</v>
      </c>
      <c r="B215" s="4">
        <v>200</v>
      </c>
      <c r="C215" s="14">
        <f t="shared" si="11"/>
        <v>49935.977022394756</v>
      </c>
      <c r="D215" s="12">
        <f t="shared" si="9"/>
        <v>49962.861365320721</v>
      </c>
      <c r="E215" s="13">
        <f t="shared" si="10"/>
        <v>1.5587106796785437</v>
      </c>
    </row>
    <row r="216" spans="1:5">
      <c r="A216" s="18">
        <v>215</v>
      </c>
      <c r="B216" s="4">
        <v>201</v>
      </c>
      <c r="C216" s="14">
        <f t="shared" si="11"/>
        <v>49861.215251568072</v>
      </c>
      <c r="D216" s="12">
        <f t="shared" si="9"/>
        <v>49887.917073272743</v>
      </c>
      <c r="E216" s="13">
        <f t="shared" si="10"/>
        <v>1.5540968960666952</v>
      </c>
    </row>
    <row r="217" spans="1:5">
      <c r="A217" s="18">
        <v>216</v>
      </c>
      <c r="B217" s="4">
        <v>202</v>
      </c>
      <c r="C217" s="14">
        <f t="shared" si="11"/>
        <v>49786.565830915082</v>
      </c>
      <c r="D217" s="12">
        <f t="shared" si="9"/>
        <v>49813.085197662833</v>
      </c>
      <c r="E217" s="13">
        <f t="shared" si="10"/>
        <v>1.5494967692543378</v>
      </c>
    </row>
    <row r="218" spans="1:5">
      <c r="A218" s="18">
        <v>217</v>
      </c>
      <c r="B218" s="4">
        <v>203</v>
      </c>
      <c r="C218" s="14">
        <f t="shared" si="11"/>
        <v>49712.028590816466</v>
      </c>
      <c r="D218" s="12">
        <f t="shared" si="9"/>
        <v>49738.365569866335</v>
      </c>
      <c r="E218" s="13">
        <f t="shared" si="10"/>
        <v>1.5449102588173449</v>
      </c>
    </row>
    <row r="219" spans="1:5">
      <c r="A219" s="18">
        <v>218</v>
      </c>
      <c r="B219" s="4">
        <v>204</v>
      </c>
      <c r="C219" s="14">
        <f t="shared" si="11"/>
        <v>49637.60336406462</v>
      </c>
      <c r="D219" s="12">
        <f t="shared" si="9"/>
        <v>49663.758021511538</v>
      </c>
      <c r="E219" s="13">
        <f t="shared" si="10"/>
        <v>1.5403373244512455</v>
      </c>
    </row>
    <row r="220" spans="1:5">
      <c r="A220" s="18">
        <v>219</v>
      </c>
      <c r="B220" s="4">
        <v>205</v>
      </c>
      <c r="C220" s="14">
        <f t="shared" si="11"/>
        <v>49563.289982515707</v>
      </c>
      <c r="D220" s="12">
        <f t="shared" si="9"/>
        <v>49589.262384479269</v>
      </c>
      <c r="E220" s="13">
        <f t="shared" si="10"/>
        <v>1.5357779259708697</v>
      </c>
    </row>
    <row r="221" spans="1:5">
      <c r="A221" s="18">
        <v>220</v>
      </c>
      <c r="B221" s="4">
        <v>206</v>
      </c>
      <c r="C221" s="14">
        <f t="shared" si="11"/>
        <v>49489.088278926858</v>
      </c>
      <c r="D221" s="12">
        <f t="shared" si="9"/>
        <v>49514.878490902549</v>
      </c>
      <c r="E221" s="13">
        <f t="shared" si="10"/>
        <v>1.5312320233099959</v>
      </c>
    </row>
    <row r="222" spans="1:5">
      <c r="A222" s="18">
        <v>221</v>
      </c>
      <c r="B222" s="4">
        <v>207</v>
      </c>
      <c r="C222" s="14">
        <f t="shared" si="11"/>
        <v>49414.998085955369</v>
      </c>
      <c r="D222" s="12">
        <f t="shared" si="9"/>
        <v>49440.606173166198</v>
      </c>
      <c r="E222" s="13">
        <f t="shared" si="10"/>
        <v>1.5266995765209983</v>
      </c>
    </row>
    <row r="223" spans="1:5">
      <c r="A223" s="18">
        <v>222</v>
      </c>
      <c r="B223" s="4">
        <v>208</v>
      </c>
      <c r="C223" s="14">
        <f t="shared" si="11"/>
        <v>49341.019236698536</v>
      </c>
      <c r="D223" s="12">
        <f t="shared" si="9"/>
        <v>49366.445263906448</v>
      </c>
      <c r="E223" s="13">
        <f t="shared" si="10"/>
        <v>1.5221805457744961</v>
      </c>
    </row>
    <row r="224" spans="1:5">
      <c r="A224" s="18">
        <v>223</v>
      </c>
      <c r="B224" s="4">
        <v>209</v>
      </c>
      <c r="C224" s="14">
        <f t="shared" si="11"/>
        <v>49267.151564403954</v>
      </c>
      <c r="D224" s="12">
        <f t="shared" si="9"/>
        <v>49292.395596010589</v>
      </c>
      <c r="E224" s="13">
        <f t="shared" si="10"/>
        <v>1.5176748913590037</v>
      </c>
    </row>
    <row r="225" spans="1:5">
      <c r="A225" s="18">
        <v>224</v>
      </c>
      <c r="B225" s="4">
        <v>210</v>
      </c>
      <c r="C225" s="14">
        <f t="shared" si="11"/>
        <v>49193.394902622807</v>
      </c>
      <c r="D225" s="12">
        <f t="shared" si="9"/>
        <v>49218.457002616575</v>
      </c>
      <c r="E225" s="13">
        <f t="shared" si="10"/>
        <v>1.5131825736805811</v>
      </c>
    </row>
    <row r="226" spans="1:5">
      <c r="A226" s="18">
        <v>225</v>
      </c>
      <c r="B226" s="4">
        <v>211</v>
      </c>
      <c r="C226" s="14">
        <f t="shared" si="11"/>
        <v>49119.74908512862</v>
      </c>
      <c r="D226" s="12">
        <f t="shared" si="9"/>
        <v>49144.629317112653</v>
      </c>
      <c r="E226" s="13">
        <f t="shared" si="10"/>
        <v>1.5087035532624866</v>
      </c>
    </row>
    <row r="227" spans="1:5">
      <c r="A227" s="18">
        <v>226</v>
      </c>
      <c r="B227" s="4">
        <v>212</v>
      </c>
      <c r="C227" s="14">
        <f t="shared" si="11"/>
        <v>49046.213945959003</v>
      </c>
      <c r="D227" s="12">
        <f t="shared" si="9"/>
        <v>49070.912373136984</v>
      </c>
      <c r="E227" s="13">
        <f t="shared" si="10"/>
        <v>1.5042377907448297</v>
      </c>
    </row>
    <row r="228" spans="1:5">
      <c r="A228" s="18">
        <v>227</v>
      </c>
      <c r="B228" s="4">
        <v>213</v>
      </c>
      <c r="C228" s="14">
        <f t="shared" si="11"/>
        <v>48972.789319393567</v>
      </c>
      <c r="D228" s="12">
        <f t="shared" si="9"/>
        <v>48997.30600457728</v>
      </c>
      <c r="E228" s="13">
        <f t="shared" si="10"/>
        <v>1.499785246884225</v>
      </c>
    </row>
    <row r="229" spans="1:5">
      <c r="A229" s="18">
        <v>228</v>
      </c>
      <c r="B229" s="4">
        <v>214</v>
      </c>
      <c r="C229" s="14">
        <f t="shared" si="11"/>
        <v>48899.475039964665</v>
      </c>
      <c r="D229" s="12">
        <f t="shared" si="9"/>
        <v>48923.810045570412</v>
      </c>
      <c r="E229" s="13">
        <f t="shared" si="10"/>
        <v>1.4953458825534476</v>
      </c>
    </row>
    <row r="230" spans="1:5">
      <c r="A230" s="18">
        <v>229</v>
      </c>
      <c r="B230" s="4">
        <v>215</v>
      </c>
      <c r="C230" s="14">
        <f t="shared" si="11"/>
        <v>48826.270942451323</v>
      </c>
      <c r="D230" s="12">
        <f t="shared" si="9"/>
        <v>48850.424330502057</v>
      </c>
      <c r="E230" s="13">
        <f t="shared" si="10"/>
        <v>1.4909196587410893</v>
      </c>
    </row>
    <row r="231" spans="1:5">
      <c r="A231" s="18">
        <v>230</v>
      </c>
      <c r="B231" s="4">
        <v>216</v>
      </c>
      <c r="C231" s="14">
        <f t="shared" si="11"/>
        <v>48753.176861881839</v>
      </c>
      <c r="D231" s="12">
        <f t="shared" si="9"/>
        <v>48777.148694006304</v>
      </c>
      <c r="E231" s="13">
        <f t="shared" si="10"/>
        <v>1.4865065365512158</v>
      </c>
    </row>
    <row r="232" spans="1:5">
      <c r="A232" s="18">
        <v>231</v>
      </c>
      <c r="B232" s="4">
        <v>217</v>
      </c>
      <c r="C232" s="14">
        <f t="shared" si="11"/>
        <v>48680.192633531791</v>
      </c>
      <c r="D232" s="12">
        <f t="shared" si="9"/>
        <v>48703.982970965291</v>
      </c>
      <c r="E232" s="13">
        <f t="shared" si="10"/>
        <v>1.4821064772030241</v>
      </c>
    </row>
    <row r="233" spans="1:5">
      <c r="A233" s="18">
        <v>232</v>
      </c>
      <c r="B233" s="4">
        <v>218</v>
      </c>
      <c r="C233" s="14">
        <f t="shared" si="11"/>
        <v>48607.318092924594</v>
      </c>
      <c r="D233" s="12">
        <f t="shared" si="9"/>
        <v>48630.926996508846</v>
      </c>
      <c r="E233" s="13">
        <f t="shared" si="10"/>
        <v>1.4777194420305031</v>
      </c>
    </row>
    <row r="234" spans="1:5">
      <c r="A234" s="18">
        <v>233</v>
      </c>
      <c r="B234" s="4">
        <v>219</v>
      </c>
      <c r="C234" s="14">
        <f t="shared" si="11"/>
        <v>48534.553075830612</v>
      </c>
      <c r="D234" s="12">
        <f t="shared" si="9"/>
        <v>48557.980606014084</v>
      </c>
      <c r="E234" s="13">
        <f t="shared" si="10"/>
        <v>1.4733453924820927</v>
      </c>
    </row>
    <row r="235" spans="1:5">
      <c r="A235" s="18">
        <v>234</v>
      </c>
      <c r="B235" s="4">
        <v>220</v>
      </c>
      <c r="C235" s="14">
        <f t="shared" si="11"/>
        <v>48461.897418267021</v>
      </c>
      <c r="D235" s="12">
        <f t="shared" si="9"/>
        <v>48485.143635105065</v>
      </c>
      <c r="E235" s="13">
        <f t="shared" si="10"/>
        <v>1.4689842901203458</v>
      </c>
    </row>
    <row r="236" spans="1:5">
      <c r="A236" s="18">
        <v>235</v>
      </c>
      <c r="B236" s="4">
        <v>221</v>
      </c>
      <c r="C236" s="14">
        <f t="shared" si="11"/>
        <v>48389.350956497372</v>
      </c>
      <c r="D236" s="12">
        <f t="shared" si="9"/>
        <v>48412.415919652405</v>
      </c>
      <c r="E236" s="13">
        <f t="shared" si="10"/>
        <v>1.4646360966215897</v>
      </c>
    </row>
    <row r="237" spans="1:5">
      <c r="A237" s="18">
        <v>236</v>
      </c>
      <c r="B237" s="4">
        <v>222</v>
      </c>
      <c r="C237" s="14">
        <f t="shared" si="11"/>
        <v>48316.913527031254</v>
      </c>
      <c r="D237" s="12">
        <f t="shared" si="9"/>
        <v>48339.797295772929</v>
      </c>
      <c r="E237" s="13">
        <f t="shared" si="10"/>
        <v>1.4603007737755898</v>
      </c>
    </row>
    <row r="238" spans="1:5">
      <c r="A238" s="18">
        <v>237</v>
      </c>
      <c r="B238" s="4">
        <v>223</v>
      </c>
      <c r="C238" s="14">
        <f t="shared" si="11"/>
        <v>48244.584966623835</v>
      </c>
      <c r="D238" s="12">
        <f t="shared" si="9"/>
        <v>48267.287599829273</v>
      </c>
      <c r="E238" s="13">
        <f t="shared" si="10"/>
        <v>1.455978283485214</v>
      </c>
    </row>
    <row r="239" spans="1:5">
      <c r="A239" s="18">
        <v>238</v>
      </c>
      <c r="B239" s="4">
        <v>224</v>
      </c>
      <c r="C239" s="14">
        <f t="shared" si="11"/>
        <v>48172.365112275656</v>
      </c>
      <c r="D239" s="12">
        <f t="shared" si="9"/>
        <v>48194.886668429528</v>
      </c>
      <c r="E239" s="13">
        <f t="shared" si="10"/>
        <v>1.4516685877660978</v>
      </c>
    </row>
    <row r="240" spans="1:5">
      <c r="A240" s="18">
        <v>239</v>
      </c>
      <c r="B240" s="4">
        <v>225</v>
      </c>
      <c r="C240" s="14">
        <f t="shared" si="11"/>
        <v>48100.253801232087</v>
      </c>
      <c r="D240" s="12">
        <f t="shared" si="9"/>
        <v>48122.594338426883</v>
      </c>
      <c r="E240" s="13">
        <f t="shared" si="10"/>
        <v>1.4473716487463102</v>
      </c>
    </row>
    <row r="241" spans="1:5">
      <c r="A241" s="18">
        <v>240</v>
      </c>
      <c r="B241" s="4">
        <v>226</v>
      </c>
      <c r="C241" s="14">
        <f t="shared" si="11"/>
        <v>48028.250870983102</v>
      </c>
      <c r="D241" s="12">
        <f t="shared" si="9"/>
        <v>48050.410446919246</v>
      </c>
      <c r="E241" s="13">
        <f t="shared" si="10"/>
        <v>1.4430874286660211</v>
      </c>
    </row>
    <row r="242" spans="1:5">
      <c r="A242" s="18">
        <v>241</v>
      </c>
      <c r="B242" s="4">
        <v>227</v>
      </c>
      <c r="C242" s="14">
        <f t="shared" si="11"/>
        <v>47956.35615926281</v>
      </c>
      <c r="D242" s="12">
        <f t="shared" si="9"/>
        <v>47978.334831248867</v>
      </c>
      <c r="E242" s="13">
        <f t="shared" si="10"/>
        <v>1.4388158898771697</v>
      </c>
    </row>
    <row r="243" spans="1:5">
      <c r="A243" s="18">
        <v>242</v>
      </c>
      <c r="B243" s="4">
        <v>228</v>
      </c>
      <c r="C243" s="14">
        <f t="shared" si="11"/>
        <v>47884.569504049126</v>
      </c>
      <c r="D243" s="12">
        <f t="shared" si="9"/>
        <v>47906.367329001994</v>
      </c>
      <c r="E243" s="13">
        <f t="shared" si="10"/>
        <v>1.4345569948431334</v>
      </c>
    </row>
    <row r="244" spans="1:5">
      <c r="A244" s="18">
        <v>243</v>
      </c>
      <c r="B244" s="4">
        <v>229</v>
      </c>
      <c r="C244" s="14">
        <f t="shared" si="11"/>
        <v>47812.89074356349</v>
      </c>
      <c r="D244" s="12">
        <f t="shared" si="9"/>
        <v>47834.50777800849</v>
      </c>
      <c r="E244" s="13">
        <f t="shared" si="10"/>
        <v>1.4303107061383977</v>
      </c>
    </row>
    <row r="245" spans="1:5">
      <c r="A245" s="18">
        <v>244</v>
      </c>
      <c r="B245" s="4">
        <v>230</v>
      </c>
      <c r="C245" s="14">
        <f t="shared" si="11"/>
        <v>47741.319716270307</v>
      </c>
      <c r="D245" s="12">
        <f t="shared" si="9"/>
        <v>47762.756016341475</v>
      </c>
      <c r="E245" s="13">
        <f t="shared" si="10"/>
        <v>1.4260769864482281</v>
      </c>
    </row>
    <row r="246" spans="1:5">
      <c r="A246" s="18">
        <v>245</v>
      </c>
      <c r="B246" s="4">
        <v>231</v>
      </c>
      <c r="C246" s="14">
        <f t="shared" si="11"/>
        <v>47669.856260876812</v>
      </c>
      <c r="D246" s="12">
        <f t="shared" si="9"/>
        <v>47691.11188231696</v>
      </c>
      <c r="E246" s="13">
        <f t="shared" si="10"/>
        <v>1.4218557985683413</v>
      </c>
    </row>
    <row r="247" spans="1:5">
      <c r="A247" s="18">
        <v>246</v>
      </c>
      <c r="B247" s="4">
        <v>232</v>
      </c>
      <c r="C247" s="14">
        <f t="shared" si="11"/>
        <v>47598.500216332497</v>
      </c>
      <c r="D247" s="12">
        <f t="shared" si="9"/>
        <v>47619.575214493481</v>
      </c>
      <c r="E247" s="13">
        <f t="shared" si="10"/>
        <v>1.4176471054045789</v>
      </c>
    </row>
    <row r="248" spans="1:5">
      <c r="A248" s="18">
        <v>247</v>
      </c>
      <c r="B248" s="4">
        <v>233</v>
      </c>
      <c r="C248" s="14">
        <f t="shared" si="11"/>
        <v>47527.251421828922</v>
      </c>
      <c r="D248" s="12">
        <f t="shared" si="9"/>
        <v>47548.145851671739</v>
      </c>
      <c r="E248" s="13">
        <f t="shared" si="10"/>
        <v>1.4134508699725814</v>
      </c>
    </row>
    <row r="249" spans="1:5">
      <c r="A249" s="18">
        <v>248</v>
      </c>
      <c r="B249" s="4">
        <v>234</v>
      </c>
      <c r="C249" s="14">
        <f t="shared" si="11"/>
        <v>47456.109716799241</v>
      </c>
      <c r="D249" s="12">
        <f t="shared" si="9"/>
        <v>47476.823632894229</v>
      </c>
      <c r="E249" s="13">
        <f t="shared" si="10"/>
        <v>1.4092670553974627</v>
      </c>
    </row>
    <row r="250" spans="1:5">
      <c r="A250" s="18">
        <v>249</v>
      </c>
      <c r="B250" s="4">
        <v>235</v>
      </c>
      <c r="C250" s="14">
        <f t="shared" si="11"/>
        <v>47385.074940917853</v>
      </c>
      <c r="D250" s="12">
        <f t="shared" si="9"/>
        <v>47405.608397444885</v>
      </c>
      <c r="E250" s="13">
        <f t="shared" si="10"/>
        <v>1.4050956249134863</v>
      </c>
    </row>
    <row r="251" spans="1:5">
      <c r="A251" s="18">
        <v>250</v>
      </c>
      <c r="B251" s="4">
        <v>236</v>
      </c>
      <c r="C251" s="14">
        <f t="shared" si="11"/>
        <v>47314.146934100128</v>
      </c>
      <c r="D251" s="12">
        <f t="shared" si="9"/>
        <v>47334.49998484872</v>
      </c>
      <c r="E251" s="13">
        <f t="shared" si="10"/>
        <v>1.4009365418637423</v>
      </c>
    </row>
    <row r="252" spans="1:5">
      <c r="A252" s="18">
        <v>251</v>
      </c>
      <c r="B252" s="4">
        <v>237</v>
      </c>
      <c r="C252" s="14">
        <f t="shared" si="11"/>
        <v>47243.325536501899</v>
      </c>
      <c r="D252" s="12">
        <f t="shared" si="9"/>
        <v>47263.498234871447</v>
      </c>
      <c r="E252" s="13">
        <f t="shared" si="10"/>
        <v>1.3967897696998257</v>
      </c>
    </row>
    <row r="253" spans="1:5">
      <c r="A253" s="18">
        <v>252</v>
      </c>
      <c r="B253" s="4">
        <v>238</v>
      </c>
      <c r="C253" s="14">
        <f t="shared" si="11"/>
        <v>47172.610588519245</v>
      </c>
      <c r="D253" s="12">
        <f t="shared" si="9"/>
        <v>47192.602987519138</v>
      </c>
      <c r="E253" s="13">
        <f t="shared" si="10"/>
        <v>1.3926552719815142</v>
      </c>
    </row>
    <row r="254" spans="1:5">
      <c r="A254" s="18">
        <v>253</v>
      </c>
      <c r="B254" s="4">
        <v>239</v>
      </c>
      <c r="C254" s="14">
        <f t="shared" si="11"/>
        <v>47102.00193078805</v>
      </c>
      <c r="D254" s="12">
        <f t="shared" si="9"/>
        <v>47121.814083037862</v>
      </c>
      <c r="E254" s="13">
        <f t="shared" si="10"/>
        <v>1.388533012376449</v>
      </c>
    </row>
    <row r="255" spans="1:5">
      <c r="A255" s="18">
        <v>254</v>
      </c>
      <c r="B255" s="4">
        <v>240</v>
      </c>
      <c r="C255" s="14">
        <f t="shared" si="11"/>
        <v>47031.499404183633</v>
      </c>
      <c r="D255" s="12">
        <f t="shared" si="9"/>
        <v>47051.131361913307</v>
      </c>
      <c r="E255" s="13">
        <f t="shared" si="10"/>
        <v>1.3844229546598148</v>
      </c>
    </row>
    <row r="256" spans="1:5">
      <c r="A256" s="18">
        <v>255</v>
      </c>
      <c r="B256" s="4">
        <v>241</v>
      </c>
      <c r="C256" s="14">
        <f t="shared" si="11"/>
        <v>46961.102849820476</v>
      </c>
      <c r="D256" s="12">
        <f t="shared" si="9"/>
        <v>46980.55466487044</v>
      </c>
      <c r="E256" s="13">
        <f t="shared" si="10"/>
        <v>1.3803250627140218</v>
      </c>
    </row>
    <row r="257" spans="1:5">
      <c r="A257" s="18">
        <v>256</v>
      </c>
      <c r="B257" s="4">
        <v>242</v>
      </c>
      <c r="C257" s="14">
        <f t="shared" si="11"/>
        <v>46890.812109051752</v>
      </c>
      <c r="D257" s="12">
        <f t="shared" si="9"/>
        <v>46910.083832873133</v>
      </c>
      <c r="E257" s="13">
        <f t="shared" si="10"/>
        <v>1.3762393005283882</v>
      </c>
    </row>
    <row r="258" spans="1:5">
      <c r="A258" s="18">
        <v>257</v>
      </c>
      <c r="B258" s="4">
        <v>243</v>
      </c>
      <c r="C258" s="14">
        <f t="shared" si="11"/>
        <v>46820.627023469067</v>
      </c>
      <c r="D258" s="12">
        <f t="shared" si="9"/>
        <v>46839.718707123822</v>
      </c>
      <c r="E258" s="13">
        <f t="shared" si="10"/>
        <v>1.372165632198824</v>
      </c>
    </row>
    <row r="259" spans="1:5">
      <c r="A259" s="18">
        <v>258</v>
      </c>
      <c r="B259" s="4">
        <v>244</v>
      </c>
      <c r="C259" s="14">
        <f t="shared" si="11"/>
        <v>46750.547434902051</v>
      </c>
      <c r="D259" s="12">
        <f t="shared" si="9"/>
        <v>46769.459129063136</v>
      </c>
      <c r="E259" s="13">
        <f t="shared" si="10"/>
        <v>1.3681040219275156</v>
      </c>
    </row>
    <row r="260" spans="1:5">
      <c r="A260" s="18">
        <v>259</v>
      </c>
      <c r="B260" s="4">
        <v>245</v>
      </c>
      <c r="C260" s="14">
        <f t="shared" si="11"/>
        <v>46680.573185417968</v>
      </c>
      <c r="D260" s="12">
        <f t="shared" si="9"/>
        <v>46699.30494036954</v>
      </c>
      <c r="E260" s="13">
        <f t="shared" si="10"/>
        <v>1.3640544340226102</v>
      </c>
    </row>
    <row r="261" spans="1:5">
      <c r="A261" s="18">
        <v>260</v>
      </c>
      <c r="B261" s="4">
        <v>246</v>
      </c>
      <c r="C261" s="14">
        <f t="shared" si="11"/>
        <v>46610.704117321489</v>
      </c>
      <c r="D261" s="12">
        <f t="shared" si="9"/>
        <v>46629.255982958988</v>
      </c>
      <c r="E261" s="13">
        <f t="shared" si="10"/>
        <v>1.3600168328979032</v>
      </c>
    </row>
    <row r="262" spans="1:5">
      <c r="A262" s="18">
        <v>261</v>
      </c>
      <c r="B262" s="4">
        <v>247</v>
      </c>
      <c r="C262" s="14">
        <f t="shared" si="11"/>
        <v>46540.940073154154</v>
      </c>
      <c r="D262" s="12">
        <f t="shared" si="9"/>
        <v>46559.312098984548</v>
      </c>
      <c r="E262" s="13">
        <f t="shared" si="10"/>
        <v>1.3559911830725253</v>
      </c>
    </row>
    <row r="263" spans="1:5">
      <c r="A263" s="18">
        <v>262</v>
      </c>
      <c r="B263" s="4">
        <v>248</v>
      </c>
      <c r="C263" s="14">
        <f t="shared" si="11"/>
        <v>46471.280895694181</v>
      </c>
      <c r="D263" s="12">
        <f t="shared" si="9"/>
        <v>46489.473130836072</v>
      </c>
      <c r="E263" s="13">
        <f t="shared" si="10"/>
        <v>1.3519774491706307</v>
      </c>
    </row>
    <row r="264" spans="1:5">
      <c r="A264" s="18">
        <v>263</v>
      </c>
      <c r="B264" s="4">
        <v>249</v>
      </c>
      <c r="C264" s="14">
        <f t="shared" si="11"/>
        <v>46401.726427955997</v>
      </c>
      <c r="D264" s="12">
        <f t="shared" si="9"/>
        <v>46419.738921139819</v>
      </c>
      <c r="E264" s="13">
        <f t="shared" si="10"/>
        <v>1.3479755959210855</v>
      </c>
    </row>
    <row r="265" spans="1:5">
      <c r="A265" s="18">
        <v>264</v>
      </c>
      <c r="B265" s="4">
        <v>250</v>
      </c>
      <c r="C265" s="14">
        <f t="shared" si="11"/>
        <v>46332.27651318998</v>
      </c>
      <c r="D265" s="12">
        <f t="shared" si="9"/>
        <v>46350.109312758112</v>
      </c>
      <c r="E265" s="13">
        <f t="shared" si="10"/>
        <v>1.3439855881571592</v>
      </c>
    </row>
    <row r="266" spans="1:5">
      <c r="A266" s="18">
        <v>265</v>
      </c>
      <c r="B266" s="4">
        <v>251</v>
      </c>
      <c r="C266" s="14">
        <f t="shared" si="11"/>
        <v>46262.930994882016</v>
      </c>
      <c r="D266" s="12">
        <f t="shared" si="9"/>
        <v>46280.584148788977</v>
      </c>
      <c r="E266" s="13">
        <f t="shared" si="10"/>
        <v>1.340007390816214</v>
      </c>
    </row>
    <row r="267" spans="1:5">
      <c r="A267" s="18">
        <v>266</v>
      </c>
      <c r="B267" s="4">
        <v>252</v>
      </c>
      <c r="C267" s="14">
        <f t="shared" si="11"/>
        <v>46193.689716753186</v>
      </c>
      <c r="D267" s="12">
        <f t="shared" si="9"/>
        <v>46211.163272565791</v>
      </c>
      <c r="E267" s="13">
        <f t="shared" si="10"/>
        <v>1.3360409689393979</v>
      </c>
    </row>
    <row r="268" spans="1:5">
      <c r="A268" s="18">
        <v>267</v>
      </c>
      <c r="B268" s="4">
        <v>253</v>
      </c>
      <c r="C268" s="14">
        <f t="shared" si="11"/>
        <v>46124.552522759455</v>
      </c>
      <c r="D268" s="12">
        <f t="shared" si="9"/>
        <v>46141.84652765694</v>
      </c>
      <c r="E268" s="13">
        <f t="shared" si="10"/>
        <v>1.3320862876713373</v>
      </c>
    </row>
    <row r="269" spans="1:5">
      <c r="A269" s="18">
        <v>268</v>
      </c>
      <c r="B269" s="4">
        <v>254</v>
      </c>
      <c r="C269" s="14">
        <f t="shared" si="11"/>
        <v>46055.519257091226</v>
      </c>
      <c r="D269" s="12">
        <f t="shared" si="9"/>
        <v>46072.633757865457</v>
      </c>
      <c r="E269" s="13">
        <f t="shared" si="10"/>
        <v>1.3281433122598301</v>
      </c>
    </row>
    <row r="270" spans="1:5">
      <c r="A270" s="18">
        <v>269</v>
      </c>
      <c r="B270" s="4">
        <v>255</v>
      </c>
      <c r="C270" s="14">
        <f t="shared" si="11"/>
        <v>45986.589764173077</v>
      </c>
      <c r="D270" s="12">
        <f t="shared" si="9"/>
        <v>46003.524807228656</v>
      </c>
      <c r="E270" s="13">
        <f t="shared" si="10"/>
        <v>1.3242120080555411</v>
      </c>
    </row>
    <row r="271" spans="1:5">
      <c r="A271" s="18">
        <v>270</v>
      </c>
      <c r="B271" s="4">
        <v>256</v>
      </c>
      <c r="C271" s="14">
        <f t="shared" si="11"/>
        <v>45917.763888663379</v>
      </c>
      <c r="D271" s="12">
        <f t="shared" si="9"/>
        <v>45934.519520017813</v>
      </c>
      <c r="E271" s="13">
        <f t="shared" si="10"/>
        <v>1.3202923405116966</v>
      </c>
    </row>
    <row r="272" spans="1:5">
      <c r="A272" s="18">
        <v>271</v>
      </c>
      <c r="B272" s="4">
        <v>257</v>
      </c>
      <c r="C272" s="14">
        <f t="shared" si="11"/>
        <v>45849.041475453894</v>
      </c>
      <c r="D272" s="12">
        <f t="shared" ref="D272:D335" si="12">D271-D271*$C$9</f>
        <v>45865.617740737784</v>
      </c>
      <c r="E272" s="13">
        <f t="shared" ref="E272:E335" si="13">E271-E271*$C$8</f>
        <v>1.316384275183782</v>
      </c>
    </row>
    <row r="273" spans="1:5">
      <c r="A273" s="18">
        <v>272</v>
      </c>
      <c r="B273" s="4">
        <v>258</v>
      </c>
      <c r="C273" s="14">
        <f t="shared" ref="C273:C336" si="14">(C272+(E273)*C272*(1-C272/D273))</f>
        <v>45780.422369669541</v>
      </c>
      <c r="D273" s="12">
        <f t="shared" si="12"/>
        <v>45796.819314126675</v>
      </c>
      <c r="E273" s="13">
        <f t="shared" si="13"/>
        <v>1.3124877777292381</v>
      </c>
    </row>
    <row r="274" spans="1:5">
      <c r="A274" s="18">
        <v>273</v>
      </c>
      <c r="B274" s="4">
        <v>259</v>
      </c>
      <c r="C274" s="14">
        <f t="shared" si="14"/>
        <v>45711.906416667931</v>
      </c>
      <c r="D274" s="12">
        <f t="shared" si="12"/>
        <v>45728.124085155483</v>
      </c>
      <c r="E274" s="13">
        <f t="shared" si="13"/>
        <v>1.3086028139071595</v>
      </c>
    </row>
    <row r="275" spans="1:5">
      <c r="A275" s="18">
        <v>274</v>
      </c>
      <c r="B275" s="4">
        <v>260</v>
      </c>
      <c r="C275" s="14">
        <f t="shared" si="14"/>
        <v>45643.493462039078</v>
      </c>
      <c r="D275" s="12">
        <f t="shared" si="12"/>
        <v>45659.531899027752</v>
      </c>
      <c r="E275" s="13">
        <f t="shared" si="13"/>
        <v>1.3047293495779944</v>
      </c>
    </row>
    <row r="276" spans="1:5">
      <c r="A276" s="18">
        <v>275</v>
      </c>
      <c r="B276" s="4">
        <v>261</v>
      </c>
      <c r="C276" s="14">
        <f t="shared" si="14"/>
        <v>45575.183351605046</v>
      </c>
      <c r="D276" s="12">
        <f t="shared" si="12"/>
        <v>45591.042601179208</v>
      </c>
      <c r="E276" s="13">
        <f t="shared" si="13"/>
        <v>1.3008673507032436</v>
      </c>
    </row>
    <row r="277" spans="1:5">
      <c r="A277" s="18">
        <v>276</v>
      </c>
      <c r="B277" s="4">
        <v>262</v>
      </c>
      <c r="C277" s="14">
        <f t="shared" si="14"/>
        <v>45506.975931419584</v>
      </c>
      <c r="D277" s="12">
        <f t="shared" si="12"/>
        <v>45522.65603727744</v>
      </c>
      <c r="E277" s="13">
        <f t="shared" si="13"/>
        <v>1.297016783345162</v>
      </c>
    </row>
    <row r="278" spans="1:5">
      <c r="A278" s="18">
        <v>277</v>
      </c>
      <c r="B278" s="4">
        <v>263</v>
      </c>
      <c r="C278" s="14">
        <f t="shared" si="14"/>
        <v>45438.871047767811</v>
      </c>
      <c r="D278" s="12">
        <f t="shared" si="12"/>
        <v>45454.372053221523</v>
      </c>
      <c r="E278" s="13">
        <f t="shared" si="13"/>
        <v>1.2931776136664603</v>
      </c>
    </row>
    <row r="279" spans="1:5">
      <c r="A279" s="18">
        <v>278</v>
      </c>
      <c r="B279" s="4">
        <v>264</v>
      </c>
      <c r="C279" s="14">
        <f t="shared" si="14"/>
        <v>45370.868547165803</v>
      </c>
      <c r="D279" s="12">
        <f t="shared" si="12"/>
        <v>45386.190495141687</v>
      </c>
      <c r="E279" s="13">
        <f t="shared" si="13"/>
        <v>1.2893498079300076</v>
      </c>
    </row>
    <row r="280" spans="1:5">
      <c r="A280" s="18">
        <v>279</v>
      </c>
      <c r="B280" s="4">
        <v>265</v>
      </c>
      <c r="C280" s="14">
        <f t="shared" si="14"/>
        <v>45302.968276360349</v>
      </c>
      <c r="D280" s="12">
        <f t="shared" si="12"/>
        <v>45318.111209398972</v>
      </c>
      <c r="E280" s="13">
        <f t="shared" si="13"/>
        <v>1.2855333324985347</v>
      </c>
    </row>
    <row r="281" spans="1:5">
      <c r="A281" s="18">
        <v>280</v>
      </c>
      <c r="B281" s="4">
        <v>266</v>
      </c>
      <c r="C281" s="14">
        <f t="shared" si="14"/>
        <v>45235.170082328521</v>
      </c>
      <c r="D281" s="12">
        <f t="shared" si="12"/>
        <v>45250.134042584876</v>
      </c>
      <c r="E281" s="13">
        <f t="shared" si="13"/>
        <v>1.281728153834339</v>
      </c>
    </row>
    <row r="282" spans="1:5">
      <c r="A282" s="18">
        <v>281</v>
      </c>
      <c r="B282" s="4">
        <v>267</v>
      </c>
      <c r="C282" s="14">
        <f t="shared" si="14"/>
        <v>45167.473812277334</v>
      </c>
      <c r="D282" s="12">
        <f t="shared" si="12"/>
        <v>45182.258841520998</v>
      </c>
      <c r="E282" s="13">
        <f t="shared" si="13"/>
        <v>1.2779342384989893</v>
      </c>
    </row>
    <row r="283" spans="1:5">
      <c r="A283" s="18">
        <v>282</v>
      </c>
      <c r="B283" s="4">
        <v>268</v>
      </c>
      <c r="C283" s="14">
        <f t="shared" si="14"/>
        <v>45099.879313643469</v>
      </c>
      <c r="D283" s="12">
        <f t="shared" si="12"/>
        <v>45114.48545325872</v>
      </c>
      <c r="E283" s="13">
        <f t="shared" si="13"/>
        <v>1.2741515531530323</v>
      </c>
    </row>
    <row r="284" spans="1:5">
      <c r="A284" s="18">
        <v>283</v>
      </c>
      <c r="B284" s="4">
        <v>269</v>
      </c>
      <c r="C284" s="14">
        <f t="shared" si="14"/>
        <v>45032.386434092834</v>
      </c>
      <c r="D284" s="12">
        <f t="shared" si="12"/>
        <v>45046.813725078835</v>
      </c>
      <c r="E284" s="13">
        <f t="shared" si="13"/>
        <v>1.2703800645556993</v>
      </c>
    </row>
    <row r="285" spans="1:5">
      <c r="A285" s="18">
        <v>284</v>
      </c>
      <c r="B285" s="4">
        <v>270</v>
      </c>
      <c r="C285" s="14">
        <f t="shared" si="14"/>
        <v>44964.995021520343</v>
      </c>
      <c r="D285" s="12">
        <f t="shared" si="12"/>
        <v>44979.24350449122</v>
      </c>
      <c r="E285" s="13">
        <f t="shared" si="13"/>
        <v>1.2666197395646144</v>
      </c>
    </row>
    <row r="286" spans="1:5">
      <c r="A286" s="18">
        <v>285</v>
      </c>
      <c r="B286" s="4">
        <v>271</v>
      </c>
      <c r="C286" s="14">
        <f t="shared" si="14"/>
        <v>44897.704924049402</v>
      </c>
      <c r="D286" s="12">
        <f t="shared" si="12"/>
        <v>44911.774639234485</v>
      </c>
      <c r="E286" s="13">
        <f t="shared" si="13"/>
        <v>1.2628705451355031</v>
      </c>
    </row>
    <row r="287" spans="1:5">
      <c r="A287" s="18">
        <v>286</v>
      </c>
      <c r="B287" s="4">
        <v>272</v>
      </c>
      <c r="C287" s="14">
        <f t="shared" si="14"/>
        <v>44830.515990031745</v>
      </c>
      <c r="D287" s="12">
        <f t="shared" si="12"/>
        <v>44844.406977275634</v>
      </c>
      <c r="E287" s="13">
        <f t="shared" si="13"/>
        <v>1.259132448321902</v>
      </c>
    </row>
    <row r="288" spans="1:5">
      <c r="A288" s="18">
        <v>287</v>
      </c>
      <c r="B288" s="4">
        <v>273</v>
      </c>
      <c r="C288" s="14">
        <f t="shared" si="14"/>
        <v>44763.428068046967</v>
      </c>
      <c r="D288" s="12">
        <f t="shared" si="12"/>
        <v>44777.140366809719</v>
      </c>
      <c r="E288" s="13">
        <f t="shared" si="13"/>
        <v>1.2554054162748691</v>
      </c>
    </row>
    <row r="289" spans="1:5">
      <c r="A289" s="18">
        <v>288</v>
      </c>
      <c r="B289" s="4">
        <v>274</v>
      </c>
      <c r="C289" s="14">
        <f t="shared" si="14"/>
        <v>44696.441006902285</v>
      </c>
      <c r="D289" s="12">
        <f t="shared" si="12"/>
        <v>44709.974656259503</v>
      </c>
      <c r="E289" s="13">
        <f t="shared" si="13"/>
        <v>1.2516894162426955</v>
      </c>
    </row>
    <row r="290" spans="1:5">
      <c r="A290" s="18">
        <v>289</v>
      </c>
      <c r="B290" s="4">
        <v>275</v>
      </c>
      <c r="C290" s="14">
        <f t="shared" si="14"/>
        <v>44629.554655632048</v>
      </c>
      <c r="D290" s="12">
        <f t="shared" si="12"/>
        <v>44642.909694275113</v>
      </c>
      <c r="E290" s="13">
        <f t="shared" si="13"/>
        <v>1.247984415570617</v>
      </c>
    </row>
    <row r="291" spans="1:5">
      <c r="A291" s="18">
        <v>290</v>
      </c>
      <c r="B291" s="4">
        <v>276</v>
      </c>
      <c r="C291" s="14">
        <f t="shared" si="14"/>
        <v>44562.768863497586</v>
      </c>
      <c r="D291" s="12">
        <f t="shared" si="12"/>
        <v>44575.945329733702</v>
      </c>
      <c r="E291" s="13">
        <f t="shared" si="13"/>
        <v>1.244290381700528</v>
      </c>
    </row>
    <row r="292" spans="1:5">
      <c r="A292" s="18">
        <v>291</v>
      </c>
      <c r="B292" s="4">
        <v>277</v>
      </c>
      <c r="C292" s="14">
        <f t="shared" si="14"/>
        <v>44496.083479986701</v>
      </c>
      <c r="D292" s="12">
        <f t="shared" si="12"/>
        <v>44509.081411739098</v>
      </c>
      <c r="E292" s="13">
        <f t="shared" si="13"/>
        <v>1.2406072821706944</v>
      </c>
    </row>
    <row r="293" spans="1:5">
      <c r="A293" s="18">
        <v>292</v>
      </c>
      <c r="B293" s="4">
        <v>278</v>
      </c>
      <c r="C293" s="14">
        <f t="shared" si="14"/>
        <v>44429.498354813448</v>
      </c>
      <c r="D293" s="12">
        <f t="shared" si="12"/>
        <v>44442.317789621491</v>
      </c>
      <c r="E293" s="13">
        <f t="shared" si="13"/>
        <v>1.2369350846154692</v>
      </c>
    </row>
    <row r="294" spans="1:5">
      <c r="A294" s="18">
        <v>293</v>
      </c>
      <c r="B294" s="4">
        <v>279</v>
      </c>
      <c r="C294" s="14">
        <f t="shared" si="14"/>
        <v>44363.013337917691</v>
      </c>
      <c r="D294" s="12">
        <f t="shared" si="12"/>
        <v>44375.654312937062</v>
      </c>
      <c r="E294" s="13">
        <f t="shared" si="13"/>
        <v>1.2332737567650074</v>
      </c>
    </row>
    <row r="295" spans="1:5">
      <c r="A295" s="18">
        <v>294</v>
      </c>
      <c r="B295" s="4">
        <v>280</v>
      </c>
      <c r="C295" s="14">
        <f t="shared" si="14"/>
        <v>44296.628279464901</v>
      </c>
      <c r="D295" s="12">
        <f t="shared" si="12"/>
        <v>44309.090831467656</v>
      </c>
      <c r="E295" s="13">
        <f t="shared" si="13"/>
        <v>1.2296232664449829</v>
      </c>
    </row>
    <row r="296" spans="1:5">
      <c r="A296" s="18">
        <v>295</v>
      </c>
      <c r="B296" s="4">
        <v>281</v>
      </c>
      <c r="C296" s="14">
        <f t="shared" si="14"/>
        <v>44230.343029845637</v>
      </c>
      <c r="D296" s="12">
        <f t="shared" si="12"/>
        <v>44242.627195220455</v>
      </c>
      <c r="E296" s="13">
        <f t="shared" si="13"/>
        <v>1.2259835815763058</v>
      </c>
    </row>
    <row r="297" spans="1:5">
      <c r="A297" s="18">
        <v>296</v>
      </c>
      <c r="B297" s="4">
        <v>282</v>
      </c>
      <c r="C297" s="14">
        <f t="shared" si="14"/>
        <v>44164.157439675429</v>
      </c>
      <c r="D297" s="12">
        <f t="shared" si="12"/>
        <v>44176.263254427628</v>
      </c>
      <c r="E297" s="13">
        <f t="shared" si="13"/>
        <v>1.22235467017484</v>
      </c>
    </row>
    <row r="298" spans="1:5">
      <c r="A298" s="18">
        <v>297</v>
      </c>
      <c r="B298" s="4">
        <v>283</v>
      </c>
      <c r="C298" s="14">
        <f t="shared" si="14"/>
        <v>44098.071359794201</v>
      </c>
      <c r="D298" s="12">
        <f t="shared" si="12"/>
        <v>44109.998859545987</v>
      </c>
      <c r="E298" s="13">
        <f t="shared" si="13"/>
        <v>1.2187365003511226</v>
      </c>
    </row>
    <row r="299" spans="1:5">
      <c r="A299" s="18">
        <v>298</v>
      </c>
      <c r="B299" s="4">
        <v>284</v>
      </c>
      <c r="C299" s="14">
        <f t="shared" si="14"/>
        <v>44032.084641266156</v>
      </c>
      <c r="D299" s="12">
        <f t="shared" si="12"/>
        <v>44043.833861256666</v>
      </c>
      <c r="E299" s="13">
        <f t="shared" si="13"/>
        <v>1.2151290403100832</v>
      </c>
    </row>
    <row r="300" spans="1:5">
      <c r="A300" s="18">
        <v>299</v>
      </c>
      <c r="B300" s="4">
        <v>285</v>
      </c>
      <c r="C300" s="14">
        <f t="shared" si="14"/>
        <v>43966.197135379254</v>
      </c>
      <c r="D300" s="12">
        <f t="shared" si="12"/>
        <v>43977.768110464778</v>
      </c>
      <c r="E300" s="13">
        <f t="shared" si="13"/>
        <v>1.2115322583507653</v>
      </c>
    </row>
    <row r="301" spans="1:5">
      <c r="A301" s="18">
        <v>300</v>
      </c>
      <c r="B301" s="4">
        <v>286</v>
      </c>
      <c r="C301" s="14">
        <f t="shared" si="14"/>
        <v>43900.408693645055</v>
      </c>
      <c r="D301" s="12">
        <f t="shared" si="12"/>
        <v>43911.80145829908</v>
      </c>
      <c r="E301" s="13">
        <f t="shared" si="13"/>
        <v>1.2079461228660471</v>
      </c>
    </row>
    <row r="302" spans="1:5">
      <c r="A302" s="18">
        <v>301</v>
      </c>
      <c r="B302" s="4">
        <v>287</v>
      </c>
      <c r="C302" s="14">
        <f t="shared" si="14"/>
        <v>43834.719167798205</v>
      </c>
      <c r="D302" s="12">
        <f t="shared" si="12"/>
        <v>43845.933756111634</v>
      </c>
      <c r="E302" s="13">
        <f t="shared" si="13"/>
        <v>1.2043706023423635</v>
      </c>
    </row>
    <row r="303" spans="1:5">
      <c r="A303" s="18">
        <v>302</v>
      </c>
      <c r="B303" s="4">
        <v>288</v>
      </c>
      <c r="C303" s="14">
        <f t="shared" si="14"/>
        <v>43769.128409796234</v>
      </c>
      <c r="D303" s="12">
        <f t="shared" si="12"/>
        <v>43780.164855477466</v>
      </c>
      <c r="E303" s="13">
        <f t="shared" si="13"/>
        <v>1.2008056653594301</v>
      </c>
    </row>
    <row r="304" spans="1:5">
      <c r="A304" s="18">
        <v>303</v>
      </c>
      <c r="B304" s="4">
        <v>289</v>
      </c>
      <c r="C304" s="14">
        <f t="shared" si="14"/>
        <v>43703.636271819196</v>
      </c>
      <c r="D304" s="12">
        <f t="shared" si="12"/>
        <v>43714.494608194247</v>
      </c>
      <c r="E304" s="13">
        <f t="shared" si="13"/>
        <v>1.1972512805899662</v>
      </c>
    </row>
    <row r="305" spans="1:5">
      <c r="A305" s="18">
        <v>304</v>
      </c>
      <c r="B305" s="4">
        <v>290</v>
      </c>
      <c r="C305" s="14">
        <f t="shared" si="14"/>
        <v>43638.242606269261</v>
      </c>
      <c r="D305" s="12">
        <f t="shared" si="12"/>
        <v>43648.922866281959</v>
      </c>
      <c r="E305" s="13">
        <f t="shared" si="13"/>
        <v>1.1937074167994199</v>
      </c>
    </row>
    <row r="306" spans="1:5">
      <c r="A306" s="18">
        <v>305</v>
      </c>
      <c r="B306" s="4">
        <v>291</v>
      </c>
      <c r="C306" s="14">
        <f t="shared" si="14"/>
        <v>43572.947265770461</v>
      </c>
      <c r="D306" s="12">
        <f t="shared" si="12"/>
        <v>43583.449481982534</v>
      </c>
      <c r="E306" s="13">
        <f t="shared" si="13"/>
        <v>1.1901740428456937</v>
      </c>
    </row>
    <row r="307" spans="1:5">
      <c r="A307" s="18">
        <v>306</v>
      </c>
      <c r="B307" s="4">
        <v>292</v>
      </c>
      <c r="C307" s="14">
        <f t="shared" si="14"/>
        <v>43507.750103168371</v>
      </c>
      <c r="D307" s="12">
        <f t="shared" si="12"/>
        <v>43518.074307759562</v>
      </c>
      <c r="E307" s="13">
        <f t="shared" si="13"/>
        <v>1.1866511276788705</v>
      </c>
    </row>
    <row r="308" spans="1:5">
      <c r="A308" s="18">
        <v>307</v>
      </c>
      <c r="B308" s="4">
        <v>293</v>
      </c>
      <c r="C308" s="14">
        <f t="shared" si="14"/>
        <v>43442.650971529663</v>
      </c>
      <c r="D308" s="12">
        <f t="shared" si="12"/>
        <v>43452.797196297921</v>
      </c>
      <c r="E308" s="13">
        <f t="shared" si="13"/>
        <v>1.183138640340941</v>
      </c>
    </row>
    <row r="309" spans="1:5">
      <c r="A309" s="18">
        <v>308</v>
      </c>
      <c r="B309" s="4">
        <v>294</v>
      </c>
      <c r="C309" s="14">
        <f t="shared" si="14"/>
        <v>43377.649724141949</v>
      </c>
      <c r="D309" s="12">
        <f t="shared" si="12"/>
        <v>43387.618000503477</v>
      </c>
      <c r="E309" s="13">
        <f t="shared" si="13"/>
        <v>1.1796365499655317</v>
      </c>
    </row>
    <row r="310" spans="1:5">
      <c r="A310" s="18">
        <v>309</v>
      </c>
      <c r="B310" s="4">
        <v>295</v>
      </c>
      <c r="C310" s="14">
        <f t="shared" si="14"/>
        <v>43312.746214513281</v>
      </c>
      <c r="D310" s="12">
        <f t="shared" si="12"/>
        <v>43322.536573502723</v>
      </c>
      <c r="E310" s="13">
        <f t="shared" si="13"/>
        <v>1.1761448257776337</v>
      </c>
    </row>
    <row r="311" spans="1:5">
      <c r="A311" s="18">
        <v>310</v>
      </c>
      <c r="B311" s="4">
        <v>296</v>
      </c>
      <c r="C311" s="14">
        <f t="shared" si="14"/>
        <v>43247.940296371897</v>
      </c>
      <c r="D311" s="12">
        <f t="shared" si="12"/>
        <v>43257.552768642468</v>
      </c>
      <c r="E311" s="13">
        <f t="shared" si="13"/>
        <v>1.172663437093332</v>
      </c>
    </row>
    <row r="312" spans="1:5">
      <c r="A312" s="18">
        <v>311</v>
      </c>
      <c r="B312" s="4">
        <v>297</v>
      </c>
      <c r="C312" s="14">
        <f t="shared" si="14"/>
        <v>43183.231823665927</v>
      </c>
      <c r="D312" s="12">
        <f t="shared" si="12"/>
        <v>43192.666439489505</v>
      </c>
      <c r="E312" s="13">
        <f t="shared" si="13"/>
        <v>1.1691923533195356</v>
      </c>
    </row>
    <row r="313" spans="1:5">
      <c r="A313" s="18">
        <v>312</v>
      </c>
      <c r="B313" s="4">
        <v>298</v>
      </c>
      <c r="C313" s="14">
        <f t="shared" si="14"/>
        <v>43118.620650562996</v>
      </c>
      <c r="D313" s="12">
        <f t="shared" si="12"/>
        <v>43127.87743983027</v>
      </c>
      <c r="E313" s="13">
        <f t="shared" si="13"/>
        <v>1.1657315439537097</v>
      </c>
    </row>
    <row r="314" spans="1:5">
      <c r="A314" s="18">
        <v>313</v>
      </c>
      <c r="B314" s="4">
        <v>299</v>
      </c>
      <c r="C314" s="14">
        <f t="shared" si="14"/>
        <v>43054.106631449926</v>
      </c>
      <c r="D314" s="12">
        <f t="shared" si="12"/>
        <v>43063.185623670528</v>
      </c>
      <c r="E314" s="13">
        <f t="shared" si="13"/>
        <v>1.1622809785836068</v>
      </c>
    </row>
    <row r="315" spans="1:5">
      <c r="A315" s="18">
        <v>314</v>
      </c>
      <c r="B315" s="4">
        <v>300</v>
      </c>
      <c r="C315" s="14">
        <f t="shared" si="14"/>
        <v>42989.689620932411</v>
      </c>
      <c r="D315" s="12">
        <f t="shared" si="12"/>
        <v>42998.59084523502</v>
      </c>
      <c r="E315" s="13">
        <f t="shared" si="13"/>
        <v>1.1588406268869993</v>
      </c>
    </row>
    <row r="316" spans="1:5">
      <c r="A316" s="18">
        <v>315</v>
      </c>
      <c r="B316" s="4">
        <v>301</v>
      </c>
      <c r="C316" s="14">
        <f t="shared" si="14"/>
        <v>42925.369473834675</v>
      </c>
      <c r="D316" s="12">
        <f t="shared" si="12"/>
        <v>42934.092958967165</v>
      </c>
      <c r="E316" s="13">
        <f t="shared" si="13"/>
        <v>1.1554104586314138</v>
      </c>
    </row>
    <row r="317" spans="1:5">
      <c r="A317" s="18">
        <v>316</v>
      </c>
      <c r="B317" s="4">
        <v>302</v>
      </c>
      <c r="C317" s="14">
        <f t="shared" si="14"/>
        <v>42861.146045199173</v>
      </c>
      <c r="D317" s="12">
        <f t="shared" si="12"/>
        <v>42869.691819528714</v>
      </c>
      <c r="E317" s="13">
        <f t="shared" si="13"/>
        <v>1.1519904436738648</v>
      </c>
    </row>
    <row r="318" spans="1:5">
      <c r="A318" s="18">
        <v>317</v>
      </c>
      <c r="B318" s="4">
        <v>303</v>
      </c>
      <c r="C318" s="14">
        <f t="shared" si="14"/>
        <v>42797.019190286213</v>
      </c>
      <c r="D318" s="12">
        <f t="shared" si="12"/>
        <v>42805.38728179942</v>
      </c>
      <c r="E318" s="13">
        <f t="shared" si="13"/>
        <v>1.1485805519605903</v>
      </c>
    </row>
    <row r="319" spans="1:5">
      <c r="A319" s="18">
        <v>318</v>
      </c>
      <c r="B319" s="4">
        <v>304</v>
      </c>
      <c r="C319" s="14">
        <f t="shared" si="14"/>
        <v>42732.988764573674</v>
      </c>
      <c r="D319" s="12">
        <f t="shared" si="12"/>
        <v>42741.179200876722</v>
      </c>
      <c r="E319" s="13">
        <f t="shared" si="13"/>
        <v>1.1451807535267868</v>
      </c>
    </row>
    <row r="320" spans="1:5">
      <c r="A320" s="18">
        <v>319</v>
      </c>
      <c r="B320" s="4">
        <v>305</v>
      </c>
      <c r="C320" s="14">
        <f t="shared" si="14"/>
        <v>42669.054623756674</v>
      </c>
      <c r="D320" s="12">
        <f t="shared" si="12"/>
        <v>42677.067432075404</v>
      </c>
      <c r="E320" s="13">
        <f t="shared" si="13"/>
        <v>1.1417910184963476</v>
      </c>
    </row>
    <row r="321" spans="1:5">
      <c r="A321" s="18">
        <v>320</v>
      </c>
      <c r="B321" s="4">
        <v>306</v>
      </c>
      <c r="C321" s="14">
        <f t="shared" si="14"/>
        <v>42605.216623747234</v>
      </c>
      <c r="D321" s="12">
        <f t="shared" si="12"/>
        <v>42613.051830927288</v>
      </c>
      <c r="E321" s="13">
        <f t="shared" si="13"/>
        <v>1.1384113170815984</v>
      </c>
    </row>
    <row r="322" spans="1:5">
      <c r="A322" s="18">
        <v>321</v>
      </c>
      <c r="B322" s="4">
        <v>307</v>
      </c>
      <c r="C322" s="14">
        <f t="shared" si="14"/>
        <v>42541.474620673951</v>
      </c>
      <c r="D322" s="12">
        <f t="shared" si="12"/>
        <v>42549.132253180898</v>
      </c>
      <c r="E322" s="13">
        <f t="shared" si="13"/>
        <v>1.1350416195830368</v>
      </c>
    </row>
    <row r="323" spans="1:5">
      <c r="A323" s="18">
        <v>322</v>
      </c>
      <c r="B323" s="4">
        <v>308</v>
      </c>
      <c r="C323" s="14">
        <f t="shared" si="14"/>
        <v>42477.828470881679</v>
      </c>
      <c r="D323" s="12">
        <f t="shared" si="12"/>
        <v>42485.30855480113</v>
      </c>
      <c r="E323" s="13">
        <f t="shared" si="13"/>
        <v>1.1316818963890711</v>
      </c>
    </row>
    <row r="324" spans="1:5">
      <c r="A324" s="18">
        <v>323</v>
      </c>
      <c r="B324" s="4">
        <v>309</v>
      </c>
      <c r="C324" s="14">
        <f t="shared" si="14"/>
        <v>42414.278030931215</v>
      </c>
      <c r="D324" s="12">
        <f t="shared" si="12"/>
        <v>42421.58059196893</v>
      </c>
      <c r="E324" s="13">
        <f t="shared" si="13"/>
        <v>1.1283321179757595</v>
      </c>
    </row>
    <row r="325" spans="1:5">
      <c r="A325" s="18">
        <v>324</v>
      </c>
      <c r="B325" s="4">
        <v>310</v>
      </c>
      <c r="C325" s="14">
        <f t="shared" si="14"/>
        <v>42350.823157598941</v>
      </c>
      <c r="D325" s="12">
        <f t="shared" si="12"/>
        <v>42357.94822108098</v>
      </c>
      <c r="E325" s="13">
        <f t="shared" si="13"/>
        <v>1.1249922549065512</v>
      </c>
    </row>
    <row r="326" spans="1:5">
      <c r="A326" s="18">
        <v>325</v>
      </c>
      <c r="B326" s="4">
        <v>311</v>
      </c>
      <c r="C326" s="14">
        <f t="shared" si="14"/>
        <v>42287.463707876552</v>
      </c>
      <c r="D326" s="12">
        <f t="shared" si="12"/>
        <v>42294.411298749357</v>
      </c>
      <c r="E326" s="13">
        <f t="shared" si="13"/>
        <v>1.1216622778320278</v>
      </c>
    </row>
    <row r="327" spans="1:5">
      <c r="A327" s="18">
        <v>326</v>
      </c>
      <c r="B327" s="4">
        <v>312</v>
      </c>
      <c r="C327" s="14">
        <f t="shared" si="14"/>
        <v>42224.199538970701</v>
      </c>
      <c r="D327" s="12">
        <f t="shared" si="12"/>
        <v>42230.969681801231</v>
      </c>
      <c r="E327" s="13">
        <f t="shared" si="13"/>
        <v>1.1183421574896451</v>
      </c>
    </row>
    <row r="328" spans="1:5">
      <c r="A328" s="18">
        <v>327</v>
      </c>
      <c r="B328" s="4">
        <v>313</v>
      </c>
      <c r="C328" s="14">
        <f t="shared" si="14"/>
        <v>42161.030508302661</v>
      </c>
      <c r="D328" s="12">
        <f t="shared" si="12"/>
        <v>42167.623227278527</v>
      </c>
      <c r="E328" s="13">
        <f t="shared" si="13"/>
        <v>1.1150318647034756</v>
      </c>
    </row>
    <row r="329" spans="1:5">
      <c r="A329" s="18">
        <v>328</v>
      </c>
      <c r="B329" s="4">
        <v>314</v>
      </c>
      <c r="C329" s="14">
        <f t="shared" si="14"/>
        <v>42097.956473508078</v>
      </c>
      <c r="D329" s="12">
        <f t="shared" si="12"/>
        <v>42104.371792437611</v>
      </c>
      <c r="E329" s="13">
        <f t="shared" si="13"/>
        <v>1.1117313703839533</v>
      </c>
    </row>
    <row r="330" spans="1:5">
      <c r="A330" s="18">
        <v>329</v>
      </c>
      <c r="B330" s="4">
        <v>315</v>
      </c>
      <c r="C330" s="14">
        <f t="shared" si="14"/>
        <v>42034.977292436517</v>
      </c>
      <c r="D330" s="12">
        <f t="shared" si="12"/>
        <v>42041.215234748954</v>
      </c>
      <c r="E330" s="13">
        <f t="shared" si="13"/>
        <v>1.1084406455276168</v>
      </c>
    </row>
    <row r="331" spans="1:5">
      <c r="A331" s="18">
        <v>330</v>
      </c>
      <c r="B331" s="4">
        <v>316</v>
      </c>
      <c r="C331" s="14">
        <f t="shared" si="14"/>
        <v>41972.09282315131</v>
      </c>
      <c r="D331" s="12">
        <f t="shared" si="12"/>
        <v>41978.153411896834</v>
      </c>
      <c r="E331" s="13">
        <f t="shared" si="13"/>
        <v>1.105159661216855</v>
      </c>
    </row>
    <row r="332" spans="1:5">
      <c r="A332" s="18">
        <v>331</v>
      </c>
      <c r="B332" s="4">
        <v>317</v>
      </c>
      <c r="C332" s="14">
        <f t="shared" si="14"/>
        <v>41909.302923929077</v>
      </c>
      <c r="D332" s="12">
        <f t="shared" si="12"/>
        <v>41915.18618177899</v>
      </c>
      <c r="E332" s="13">
        <f t="shared" si="13"/>
        <v>1.1018883886196531</v>
      </c>
    </row>
    <row r="333" spans="1:5">
      <c r="A333" s="18">
        <v>332</v>
      </c>
      <c r="B333" s="4">
        <v>318</v>
      </c>
      <c r="C333" s="14">
        <f t="shared" si="14"/>
        <v>41846.607453259516</v>
      </c>
      <c r="D333" s="12">
        <f t="shared" si="12"/>
        <v>41852.313402506319</v>
      </c>
      <c r="E333" s="13">
        <f t="shared" si="13"/>
        <v>1.098626798989339</v>
      </c>
    </row>
    <row r="334" spans="1:5">
      <c r="A334" s="18">
        <v>333</v>
      </c>
      <c r="B334" s="4">
        <v>319</v>
      </c>
      <c r="C334" s="14">
        <f t="shared" si="14"/>
        <v>41784.006269845027</v>
      </c>
      <c r="D334" s="12">
        <f t="shared" si="12"/>
        <v>41789.534932402559</v>
      </c>
      <c r="E334" s="13">
        <f t="shared" si="13"/>
        <v>1.0953748636643306</v>
      </c>
    </row>
    <row r="335" spans="1:5">
      <c r="A335" s="18">
        <v>334</v>
      </c>
      <c r="B335" s="4">
        <v>320</v>
      </c>
      <c r="C335" s="14">
        <f t="shared" si="14"/>
        <v>41721.499232600436</v>
      </c>
      <c r="D335" s="12">
        <f t="shared" si="12"/>
        <v>41726.850630003959</v>
      </c>
      <c r="E335" s="13">
        <f t="shared" si="13"/>
        <v>1.0921325540678841</v>
      </c>
    </row>
    <row r="336" spans="1:5">
      <c r="A336" s="18">
        <v>335</v>
      </c>
      <c r="B336" s="4">
        <v>321</v>
      </c>
      <c r="C336" s="14">
        <f t="shared" si="14"/>
        <v>41659.086200652615</v>
      </c>
      <c r="D336" s="12">
        <f t="shared" ref="D336:D399" si="15">D335-D335*$C$9</f>
        <v>41664.260354058955</v>
      </c>
      <c r="E336" s="13">
        <f t="shared" ref="E336:E399" si="16">E335-E335*$C$8</f>
        <v>1.0888998417078433</v>
      </c>
    </row>
    <row r="337" spans="1:5">
      <c r="A337" s="18">
        <v>336</v>
      </c>
      <c r="B337" s="4">
        <v>322</v>
      </c>
      <c r="C337" s="14">
        <f t="shared" ref="C337:C400" si="17">(C336+(E337)*C336*(1-C336/D337))</f>
        <v>41596.767033340242</v>
      </c>
      <c r="D337" s="12">
        <f t="shared" si="15"/>
        <v>41601.763963527868</v>
      </c>
      <c r="E337" s="13">
        <f t="shared" si="16"/>
        <v>1.0856766981763881</v>
      </c>
    </row>
    <row r="338" spans="1:5">
      <c r="A338" s="18">
        <v>337</v>
      </c>
      <c r="B338" s="4">
        <v>323</v>
      </c>
      <c r="C338" s="14">
        <f t="shared" si="17"/>
        <v>41534.541590213405</v>
      </c>
      <c r="D338" s="12">
        <f t="shared" si="15"/>
        <v>41539.361317582574</v>
      </c>
      <c r="E338" s="13">
        <f t="shared" si="16"/>
        <v>1.082463095149786</v>
      </c>
    </row>
    <row r="339" spans="1:5">
      <c r="A339" s="18">
        <v>338</v>
      </c>
      <c r="B339" s="4">
        <v>324</v>
      </c>
      <c r="C339" s="14">
        <f t="shared" si="17"/>
        <v>41472.409731033345</v>
      </c>
      <c r="D339" s="12">
        <f t="shared" si="15"/>
        <v>41477.052275606198</v>
      </c>
      <c r="E339" s="13">
        <f t="shared" si="16"/>
        <v>1.0792590043881427</v>
      </c>
    </row>
    <row r="340" spans="1:5">
      <c r="A340" s="18">
        <v>339</v>
      </c>
      <c r="B340" s="4">
        <v>325</v>
      </c>
      <c r="C340" s="14">
        <f t="shared" si="17"/>
        <v>41410.371315772129</v>
      </c>
      <c r="D340" s="12">
        <f t="shared" si="15"/>
        <v>41414.83669719279</v>
      </c>
      <c r="E340" s="13">
        <f t="shared" si="16"/>
        <v>1.0760643977351538</v>
      </c>
    </row>
    <row r="341" spans="1:5">
      <c r="A341" s="18">
        <v>340</v>
      </c>
      <c r="B341" s="4">
        <v>326</v>
      </c>
      <c r="C341" s="14">
        <f t="shared" si="17"/>
        <v>41348.426204612297</v>
      </c>
      <c r="D341" s="12">
        <f t="shared" si="15"/>
        <v>41352.714442147</v>
      </c>
      <c r="E341" s="13">
        <f t="shared" si="16"/>
        <v>1.0728792471178579</v>
      </c>
    </row>
    <row r="342" spans="1:5">
      <c r="A342" s="18">
        <v>341</v>
      </c>
      <c r="B342" s="4">
        <v>327</v>
      </c>
      <c r="C342" s="14">
        <f t="shared" si="17"/>
        <v>41286.574257946588</v>
      </c>
      <c r="D342" s="12">
        <f t="shared" si="15"/>
        <v>41290.685370483778</v>
      </c>
      <c r="E342" s="13">
        <f t="shared" si="16"/>
        <v>1.0697035245463891</v>
      </c>
    </row>
    <row r="343" spans="1:5">
      <c r="A343" s="18">
        <v>342</v>
      </c>
      <c r="B343" s="4">
        <v>328</v>
      </c>
      <c r="C343" s="14">
        <f t="shared" si="17"/>
        <v>41224.815336377629</v>
      </c>
      <c r="D343" s="12">
        <f t="shared" si="15"/>
        <v>41228.749342428055</v>
      </c>
      <c r="E343" s="13">
        <f t="shared" si="16"/>
        <v>1.0665372021137318</v>
      </c>
    </row>
    <row r="344" spans="1:5">
      <c r="A344" s="18">
        <v>343</v>
      </c>
      <c r="B344" s="4">
        <v>329</v>
      </c>
      <c r="C344" s="14">
        <f t="shared" si="17"/>
        <v>41163.14930071756</v>
      </c>
      <c r="D344" s="12">
        <f t="shared" si="15"/>
        <v>41166.906218414413</v>
      </c>
      <c r="E344" s="13">
        <f t="shared" si="16"/>
        <v>1.0633802519954751</v>
      </c>
    </row>
    <row r="345" spans="1:5">
      <c r="A345" s="18">
        <v>344</v>
      </c>
      <c r="B345" s="4">
        <v>330</v>
      </c>
      <c r="C345" s="14">
        <f t="shared" si="17"/>
        <v>41101.576011987796</v>
      </c>
      <c r="D345" s="12">
        <f t="shared" si="15"/>
        <v>41105.155859086793</v>
      </c>
      <c r="E345" s="13">
        <f t="shared" si="16"/>
        <v>1.0602326464495686</v>
      </c>
    </row>
    <row r="346" spans="1:5">
      <c r="A346" s="18">
        <v>345</v>
      </c>
      <c r="B346" s="4">
        <v>331</v>
      </c>
      <c r="C346" s="14">
        <f t="shared" si="17"/>
        <v>41040.095331418655</v>
      </c>
      <c r="D346" s="12">
        <f t="shared" si="15"/>
        <v>41043.49812529816</v>
      </c>
      <c r="E346" s="13">
        <f t="shared" si="16"/>
        <v>1.0570943578160779</v>
      </c>
    </row>
    <row r="347" spans="1:5">
      <c r="A347" s="18">
        <v>346</v>
      </c>
      <c r="B347" s="4">
        <v>332</v>
      </c>
      <c r="C347" s="14">
        <f t="shared" si="17"/>
        <v>40978.707120449108</v>
      </c>
      <c r="D347" s="12">
        <f t="shared" si="15"/>
        <v>40981.932878110216</v>
      </c>
      <c r="E347" s="13">
        <f t="shared" si="16"/>
        <v>1.0539653585169422</v>
      </c>
    </row>
    <row r="348" spans="1:5">
      <c r="A348" s="18">
        <v>347</v>
      </c>
      <c r="B348" s="4">
        <v>333</v>
      </c>
      <c r="C348" s="14">
        <f t="shared" si="17"/>
        <v>40917.411240726382</v>
      </c>
      <c r="D348" s="12">
        <f t="shared" si="15"/>
        <v>40920.459978793049</v>
      </c>
      <c r="E348" s="13">
        <f t="shared" si="16"/>
        <v>1.050845621055732</v>
      </c>
    </row>
    <row r="349" spans="1:5">
      <c r="A349" s="18">
        <v>348</v>
      </c>
      <c r="B349" s="4">
        <v>334</v>
      </c>
      <c r="C349" s="14">
        <f t="shared" si="17"/>
        <v>40856.207554105735</v>
      </c>
      <c r="D349" s="12">
        <f t="shared" si="15"/>
        <v>40859.079288824862</v>
      </c>
      <c r="E349" s="13">
        <f t="shared" si="16"/>
        <v>1.047735118017407</v>
      </c>
    </row>
    <row r="350" spans="1:5">
      <c r="A350" s="18">
        <v>349</v>
      </c>
      <c r="B350" s="4">
        <v>335</v>
      </c>
      <c r="C350" s="14">
        <f t="shared" si="17"/>
        <v>40795.095922650078</v>
      </c>
      <c r="D350" s="12">
        <f t="shared" si="15"/>
        <v>40797.790669891627</v>
      </c>
      <c r="E350" s="13">
        <f t="shared" si="16"/>
        <v>1.0446338220680755</v>
      </c>
    </row>
    <row r="351" spans="1:5">
      <c r="A351" s="18">
        <v>350</v>
      </c>
      <c r="B351" s="4">
        <v>336</v>
      </c>
      <c r="C351" s="14">
        <f t="shared" si="17"/>
        <v>40734.076208629689</v>
      </c>
      <c r="D351" s="12">
        <f t="shared" si="15"/>
        <v>40736.593983886793</v>
      </c>
      <c r="E351" s="13">
        <f t="shared" si="16"/>
        <v>1.041541705954754</v>
      </c>
    </row>
    <row r="352" spans="1:5">
      <c r="A352" s="18">
        <v>351</v>
      </c>
      <c r="B352" s="4">
        <v>337</v>
      </c>
      <c r="C352" s="14">
        <f t="shared" si="17"/>
        <v>40673.148274521918</v>
      </c>
      <c r="D352" s="12">
        <f t="shared" si="15"/>
        <v>40675.489092910961</v>
      </c>
      <c r="E352" s="13">
        <f t="shared" si="16"/>
        <v>1.0384587425051279</v>
      </c>
    </row>
    <row r="353" spans="1:5">
      <c r="A353" s="18">
        <v>352</v>
      </c>
      <c r="B353" s="4">
        <v>338</v>
      </c>
      <c r="C353" s="14">
        <f t="shared" si="17"/>
        <v>40612.31198301087</v>
      </c>
      <c r="D353" s="12">
        <f t="shared" si="15"/>
        <v>40614.475859271595</v>
      </c>
      <c r="E353" s="13">
        <f t="shared" si="16"/>
        <v>1.0353849046273127</v>
      </c>
    </row>
    <row r="354" spans="1:5">
      <c r="A354" s="18">
        <v>353</v>
      </c>
      <c r="B354" s="4">
        <v>339</v>
      </c>
      <c r="C354" s="14">
        <f t="shared" si="17"/>
        <v>40551.567196987053</v>
      </c>
      <c r="D354" s="12">
        <f t="shared" si="15"/>
        <v>40553.554145482689</v>
      </c>
      <c r="E354" s="13">
        <f t="shared" si="16"/>
        <v>1.0323201653096159</v>
      </c>
    </row>
    <row r="355" spans="1:5">
      <c r="A355" s="18">
        <v>354</v>
      </c>
      <c r="B355" s="4">
        <v>340</v>
      </c>
      <c r="C355" s="14">
        <f t="shared" si="17"/>
        <v>40490.91377954714</v>
      </c>
      <c r="D355" s="12">
        <f t="shared" si="15"/>
        <v>40492.723814264464</v>
      </c>
      <c r="E355" s="13">
        <f t="shared" si="16"/>
        <v>1.0292644976202994</v>
      </c>
    </row>
    <row r="356" spans="1:5">
      <c r="A356" s="18">
        <v>355</v>
      </c>
      <c r="B356" s="4">
        <v>341</v>
      </c>
      <c r="C356" s="14">
        <f t="shared" si="17"/>
        <v>40430.351593993597</v>
      </c>
      <c r="D356" s="12">
        <f t="shared" si="15"/>
        <v>40431.984728543066</v>
      </c>
      <c r="E356" s="13">
        <f t="shared" si="16"/>
        <v>1.0262178747073434</v>
      </c>
    </row>
    <row r="357" spans="1:5">
      <c r="A357" s="18">
        <v>356</v>
      </c>
      <c r="B357" s="4">
        <v>342</v>
      </c>
      <c r="C357" s="14">
        <f t="shared" si="17"/>
        <v>40369.880503834422</v>
      </c>
      <c r="D357" s="12">
        <f t="shared" si="15"/>
        <v>40371.336751450253</v>
      </c>
      <c r="E357" s="13">
        <f t="shared" si="16"/>
        <v>1.0231802697982098</v>
      </c>
    </row>
    <row r="358" spans="1:5">
      <c r="A358" s="18">
        <v>357</v>
      </c>
      <c r="B358" s="4">
        <v>343</v>
      </c>
      <c r="C358" s="14">
        <f t="shared" si="17"/>
        <v>40309.500372782801</v>
      </c>
      <c r="D358" s="12">
        <f t="shared" si="15"/>
        <v>40310.779746323075</v>
      </c>
      <c r="E358" s="13">
        <f t="shared" si="16"/>
        <v>1.0201516561996071</v>
      </c>
    </row>
    <row r="359" spans="1:5">
      <c r="A359" s="18">
        <v>358</v>
      </c>
      <c r="B359" s="4">
        <v>344</v>
      </c>
      <c r="C359" s="14">
        <f t="shared" si="17"/>
        <v>40249.211064756812</v>
      </c>
      <c r="D359" s="12">
        <f t="shared" si="15"/>
        <v>40250.313576703593</v>
      </c>
      <c r="E359" s="13">
        <f t="shared" si="16"/>
        <v>1.0171320072972563</v>
      </c>
    </row>
    <row r="360" spans="1:5">
      <c r="A360" s="18">
        <v>359</v>
      </c>
      <c r="B360" s="4">
        <v>345</v>
      </c>
      <c r="C360" s="14">
        <f t="shared" si="17"/>
        <v>40189.012443879146</v>
      </c>
      <c r="D360" s="12">
        <f t="shared" si="15"/>
        <v>40189.938106338537</v>
      </c>
      <c r="E360" s="13">
        <f t="shared" si="16"/>
        <v>1.0141212965556563</v>
      </c>
    </row>
    <row r="361" spans="1:5">
      <c r="A361" s="18">
        <v>360</v>
      </c>
      <c r="B361" s="4">
        <v>346</v>
      </c>
      <c r="C361" s="14">
        <f t="shared" si="17"/>
        <v>40128.904374476762</v>
      </c>
      <c r="D361" s="12">
        <f t="shared" si="15"/>
        <v>40129.653199179033</v>
      </c>
      <c r="E361" s="13">
        <f t="shared" si="16"/>
        <v>1.0111194975178515</v>
      </c>
    </row>
    <row r="362" spans="1:5">
      <c r="A362" s="18">
        <v>361</v>
      </c>
      <c r="B362" s="4">
        <v>347</v>
      </c>
      <c r="C362" s="14">
        <f t="shared" si="17"/>
        <v>40068.886721080584</v>
      </c>
      <c r="D362" s="12">
        <f t="shared" si="15"/>
        <v>40069.458719380265</v>
      </c>
      <c r="E362" s="13">
        <f t="shared" si="16"/>
        <v>1.0081265838051987</v>
      </c>
    </row>
    <row r="363" spans="1:5">
      <c r="A363" s="18">
        <v>362</v>
      </c>
      <c r="B363" s="4">
        <v>348</v>
      </c>
      <c r="C363" s="14">
        <f t="shared" si="17"/>
        <v>40008.959348425218</v>
      </c>
      <c r="D363" s="12">
        <f t="shared" si="15"/>
        <v>40009.354531301193</v>
      </c>
      <c r="E363" s="13">
        <f t="shared" si="16"/>
        <v>1.0051425291171354</v>
      </c>
    </row>
    <row r="364" spans="1:5">
      <c r="A364" s="18">
        <v>363</v>
      </c>
      <c r="B364" s="4">
        <v>349</v>
      </c>
      <c r="C364" s="14">
        <f t="shared" si="17"/>
        <v>39949.122121448665</v>
      </c>
      <c r="D364" s="12">
        <f t="shared" si="15"/>
        <v>39949.340499504244</v>
      </c>
      <c r="E364" s="13">
        <f t="shared" si="16"/>
        <v>1.0021673072309487</v>
      </c>
    </row>
    <row r="365" spans="1:5">
      <c r="A365" s="18">
        <v>364</v>
      </c>
      <c r="B365" s="4">
        <v>350</v>
      </c>
      <c r="C365" s="14">
        <f t="shared" si="17"/>
        <v>39889.37490529193</v>
      </c>
      <c r="D365" s="12">
        <f t="shared" si="15"/>
        <v>39889.416488754985</v>
      </c>
      <c r="E365" s="13">
        <f t="shared" si="16"/>
        <v>0.99920089200154505</v>
      </c>
    </row>
    <row r="366" spans="1:5">
      <c r="A366" s="18">
        <v>365</v>
      </c>
      <c r="B366" s="4">
        <v>351</v>
      </c>
      <c r="C366" s="14">
        <f t="shared" si="17"/>
        <v>39829.717565298815</v>
      </c>
      <c r="D366" s="12">
        <f t="shared" si="15"/>
        <v>39829.582364021851</v>
      </c>
      <c r="E366" s="13">
        <f t="shared" si="16"/>
        <v>0.99624325736122044</v>
      </c>
    </row>
    <row r="367" spans="1:5">
      <c r="A367" s="18">
        <v>366</v>
      </c>
      <c r="B367" s="4">
        <v>352</v>
      </c>
      <c r="C367" s="14">
        <f t="shared" si="17"/>
        <v>39770.149967015561</v>
      </c>
      <c r="D367" s="12">
        <f t="shared" si="15"/>
        <v>39769.837990475819</v>
      </c>
      <c r="E367" s="13">
        <f t="shared" si="16"/>
        <v>0.99329437731943127</v>
      </c>
    </row>
    <row r="368" spans="1:5">
      <c r="A368" s="18">
        <v>367</v>
      </c>
      <c r="B368" s="4">
        <v>353</v>
      </c>
      <c r="C368" s="14">
        <f t="shared" si="17"/>
        <v>39710.671976190584</v>
      </c>
      <c r="D368" s="12">
        <f t="shared" si="15"/>
        <v>39710.183233490105</v>
      </c>
      <c r="E368" s="13">
        <f t="shared" si="16"/>
        <v>0.99035422596256573</v>
      </c>
    </row>
    <row r="369" spans="1:5">
      <c r="A369" s="18">
        <v>368</v>
      </c>
      <c r="B369" s="4">
        <v>354</v>
      </c>
      <c r="C369" s="14">
        <f t="shared" si="17"/>
        <v>39651.283458774102</v>
      </c>
      <c r="D369" s="12">
        <f t="shared" si="15"/>
        <v>39650.617958639872</v>
      </c>
      <c r="E369" s="13">
        <f t="shared" si="16"/>
        <v>0.98742277745371654</v>
      </c>
    </row>
    <row r="370" spans="1:5">
      <c r="A370" s="18">
        <v>369</v>
      </c>
      <c r="B370" s="4">
        <v>355</v>
      </c>
      <c r="C370" s="14">
        <f t="shared" si="17"/>
        <v>39591.984280917924</v>
      </c>
      <c r="D370" s="12">
        <f t="shared" si="15"/>
        <v>39591.142031701915</v>
      </c>
      <c r="E370" s="13">
        <f t="shared" si="16"/>
        <v>0.98450000603245358</v>
      </c>
    </row>
    <row r="371" spans="1:5">
      <c r="A371" s="18">
        <v>370</v>
      </c>
      <c r="B371" s="4">
        <v>356</v>
      </c>
      <c r="C371" s="14">
        <f t="shared" si="17"/>
        <v>39532.774308975073</v>
      </c>
      <c r="D371" s="12">
        <f t="shared" si="15"/>
        <v>39531.755318654359</v>
      </c>
      <c r="E371" s="13">
        <f t="shared" si="16"/>
        <v>0.98158588601459751</v>
      </c>
    </row>
    <row r="372" spans="1:5">
      <c r="A372" s="18">
        <v>371</v>
      </c>
      <c r="B372" s="4">
        <v>357</v>
      </c>
      <c r="C372" s="14">
        <f t="shared" si="17"/>
        <v>39473.65340949953</v>
      </c>
      <c r="D372" s="12">
        <f t="shared" si="15"/>
        <v>39472.457685676374</v>
      </c>
      <c r="E372" s="13">
        <f t="shared" si="16"/>
        <v>0.97868039179199429</v>
      </c>
    </row>
    <row r="373" spans="1:5">
      <c r="A373" s="18">
        <v>372</v>
      </c>
      <c r="B373" s="4">
        <v>358</v>
      </c>
      <c r="C373" s="14">
        <f t="shared" si="17"/>
        <v>39414.621449245897</v>
      </c>
      <c r="D373" s="12">
        <f t="shared" si="15"/>
        <v>39413.248999147858</v>
      </c>
      <c r="E373" s="13">
        <f t="shared" si="16"/>
        <v>0.97578349783229001</v>
      </c>
    </row>
    <row r="374" spans="1:5">
      <c r="A374" s="18">
        <v>373</v>
      </c>
      <c r="B374" s="4">
        <v>359</v>
      </c>
      <c r="C374" s="14">
        <f t="shared" si="17"/>
        <v>39355.678295169157</v>
      </c>
      <c r="D374" s="12">
        <f t="shared" si="15"/>
        <v>39354.129125649139</v>
      </c>
      <c r="E374" s="13">
        <f t="shared" si="16"/>
        <v>0.97289517867870645</v>
      </c>
    </row>
    <row r="375" spans="1:5">
      <c r="A375" s="18">
        <v>374</v>
      </c>
      <c r="B375" s="4">
        <v>360</v>
      </c>
      <c r="C375" s="14">
        <f t="shared" si="17"/>
        <v>39296.823814424279</v>
      </c>
      <c r="D375" s="12">
        <f t="shared" si="15"/>
        <v>39295.097931960663</v>
      </c>
      <c r="E375" s="13">
        <f t="shared" si="16"/>
        <v>0.97001540894981753</v>
      </c>
    </row>
    <row r="376" spans="1:5">
      <c r="A376" s="18">
        <v>375</v>
      </c>
      <c r="B376" s="4">
        <v>361</v>
      </c>
      <c r="C376" s="14">
        <f t="shared" si="17"/>
        <v>39238.057874366015</v>
      </c>
      <c r="D376" s="12">
        <f t="shared" si="15"/>
        <v>39236.155285062719</v>
      </c>
      <c r="E376" s="13">
        <f t="shared" si="16"/>
        <v>0.96714416333932607</v>
      </c>
    </row>
    <row r="377" spans="1:5">
      <c r="A377" s="18">
        <v>376</v>
      </c>
      <c r="B377" s="4">
        <v>362</v>
      </c>
      <c r="C377" s="14">
        <f t="shared" si="17"/>
        <v>39179.380342548546</v>
      </c>
      <c r="D377" s="12">
        <f t="shared" si="15"/>
        <v>39177.301052135124</v>
      </c>
      <c r="E377" s="13">
        <f t="shared" si="16"/>
        <v>0.96428141661584166</v>
      </c>
    </row>
    <row r="378" spans="1:5">
      <c r="A378" s="18">
        <v>377</v>
      </c>
      <c r="B378" s="4">
        <v>363</v>
      </c>
      <c r="C378" s="14">
        <f t="shared" si="17"/>
        <v>39120.791086725199</v>
      </c>
      <c r="D378" s="12">
        <f t="shared" si="15"/>
        <v>39118.535100556925</v>
      </c>
      <c r="E378" s="13">
        <f t="shared" si="16"/>
        <v>0.9614271436226588</v>
      </c>
    </row>
    <row r="379" spans="1:5">
      <c r="A379" s="18">
        <v>378</v>
      </c>
      <c r="B379" s="4">
        <v>364</v>
      </c>
      <c r="C379" s="14">
        <f t="shared" si="17"/>
        <v>39062.289974848129</v>
      </c>
      <c r="D379" s="12">
        <f t="shared" si="15"/>
        <v>39059.857297906092</v>
      </c>
      <c r="E379" s="13">
        <f t="shared" si="16"/>
        <v>0.95858131927753576</v>
      </c>
    </row>
    <row r="380" spans="1:5">
      <c r="A380" s="18">
        <v>379</v>
      </c>
      <c r="B380" s="4">
        <v>365</v>
      </c>
      <c r="C380" s="14">
        <f t="shared" si="17"/>
        <v>39003.876875068054</v>
      </c>
      <c r="D380" s="12">
        <f t="shared" si="15"/>
        <v>39001.267511959231</v>
      </c>
      <c r="E380" s="13">
        <f t="shared" si="16"/>
        <v>0.9557439185724742</v>
      </c>
    </row>
    <row r="381" spans="1:5">
      <c r="A381" s="18">
        <v>380</v>
      </c>
      <c r="B381" s="4">
        <v>366</v>
      </c>
      <c r="C381" s="14">
        <f t="shared" si="17"/>
        <v>38945.551655733936</v>
      </c>
      <c r="D381" s="12">
        <f t="shared" si="15"/>
        <v>38942.765610691291</v>
      </c>
      <c r="E381" s="13">
        <f t="shared" si="16"/>
        <v>0.95291491657349969</v>
      </c>
    </row>
    <row r="382" spans="1:5">
      <c r="A382" s="18">
        <v>381</v>
      </c>
      <c r="B382" s="4">
        <v>367</v>
      </c>
      <c r="C382" s="14">
        <f t="shared" si="17"/>
        <v>38887.314185392701</v>
      </c>
      <c r="D382" s="12">
        <f t="shared" si="15"/>
        <v>38884.351462275255</v>
      </c>
      <c r="E382" s="13">
        <f t="shared" si="16"/>
        <v>0.95009428842044208</v>
      </c>
    </row>
    <row r="383" spans="1:5">
      <c r="A383" s="18">
        <v>382</v>
      </c>
      <c r="B383" s="4">
        <v>368</v>
      </c>
      <c r="C383" s="14">
        <f t="shared" si="17"/>
        <v>38829.164332788911</v>
      </c>
      <c r="D383" s="12">
        <f t="shared" si="15"/>
        <v>38826.024935081841</v>
      </c>
      <c r="E383" s="13">
        <f t="shared" si="16"/>
        <v>0.94728200932671758</v>
      </c>
    </row>
    <row r="384" spans="1:5">
      <c r="A384" s="18">
        <v>383</v>
      </c>
      <c r="B384" s="4">
        <v>369</v>
      </c>
      <c r="C384" s="14">
        <f t="shared" si="17"/>
        <v>38771.101966864502</v>
      </c>
      <c r="D384" s="12">
        <f t="shared" si="15"/>
        <v>38767.785897679219</v>
      </c>
      <c r="E384" s="13">
        <f t="shared" si="16"/>
        <v>0.94447805457911049</v>
      </c>
    </row>
    <row r="385" spans="1:5">
      <c r="A385" s="18">
        <v>384</v>
      </c>
      <c r="B385" s="4">
        <v>370</v>
      </c>
      <c r="C385" s="14">
        <f t="shared" si="17"/>
        <v>38713.12695675846</v>
      </c>
      <c r="D385" s="12">
        <f t="shared" si="15"/>
        <v>38709.634218832703</v>
      </c>
      <c r="E385" s="13">
        <f t="shared" si="16"/>
        <v>0.94168239953755628</v>
      </c>
    </row>
    <row r="386" spans="1:5">
      <c r="A386" s="18">
        <v>385</v>
      </c>
      <c r="B386" s="4">
        <v>371</v>
      </c>
      <c r="C386" s="14">
        <f t="shared" si="17"/>
        <v>38655.239171806577</v>
      </c>
      <c r="D386" s="12">
        <f t="shared" si="15"/>
        <v>38651.569767504458</v>
      </c>
      <c r="E386" s="13">
        <f t="shared" si="16"/>
        <v>0.93889501963492517</v>
      </c>
    </row>
    <row r="387" spans="1:5">
      <c r="A387" s="18">
        <v>386</v>
      </c>
      <c r="B387" s="4">
        <v>372</v>
      </c>
      <c r="C387" s="14">
        <f t="shared" si="17"/>
        <v>38597.438481541067</v>
      </c>
      <c r="D387" s="12">
        <f t="shared" si="15"/>
        <v>38593.592412853199</v>
      </c>
      <c r="E387" s="13">
        <f t="shared" si="16"/>
        <v>0.93611589037680576</v>
      </c>
    </row>
    <row r="388" spans="1:5">
      <c r="A388" s="18">
        <v>387</v>
      </c>
      <c r="B388" s="4">
        <v>373</v>
      </c>
      <c r="C388" s="14">
        <f t="shared" si="17"/>
        <v>38539.72475569036</v>
      </c>
      <c r="D388" s="12">
        <f t="shared" si="15"/>
        <v>38535.70202423392</v>
      </c>
      <c r="E388" s="13">
        <f t="shared" si="16"/>
        <v>0.93334498734129046</v>
      </c>
    </row>
    <row r="389" spans="1:5">
      <c r="A389" s="18">
        <v>388</v>
      </c>
      <c r="B389" s="4">
        <v>374</v>
      </c>
      <c r="C389" s="14">
        <f t="shared" si="17"/>
        <v>38482.097864178766</v>
      </c>
      <c r="D389" s="12">
        <f t="shared" si="15"/>
        <v>38477.898471197572</v>
      </c>
      <c r="E389" s="13">
        <f t="shared" si="16"/>
        <v>0.93058228617876027</v>
      </c>
    </row>
    <row r="390" spans="1:5">
      <c r="A390" s="18">
        <v>389</v>
      </c>
      <c r="B390" s="4">
        <v>375</v>
      </c>
      <c r="C390" s="14">
        <f t="shared" si="17"/>
        <v>38424.557677126177</v>
      </c>
      <c r="D390" s="12">
        <f t="shared" si="15"/>
        <v>38420.181623490775</v>
      </c>
      <c r="E390" s="13">
        <f t="shared" si="16"/>
        <v>0.9278277626116711</v>
      </c>
    </row>
    <row r="391" spans="1:5">
      <c r="A391" s="18">
        <v>390</v>
      </c>
      <c r="B391" s="4">
        <v>376</v>
      </c>
      <c r="C391" s="14">
        <f t="shared" si="17"/>
        <v>38367.104064847808</v>
      </c>
      <c r="D391" s="12">
        <f t="shared" si="15"/>
        <v>38362.551351055539</v>
      </c>
      <c r="E391" s="13">
        <f t="shared" si="16"/>
        <v>0.92508139243434051</v>
      </c>
    </row>
    <row r="392" spans="1:5">
      <c r="A392" s="18">
        <v>391</v>
      </c>
      <c r="B392" s="4">
        <v>377</v>
      </c>
      <c r="C392" s="14">
        <f t="shared" si="17"/>
        <v>38309.736897853843</v>
      </c>
      <c r="D392" s="12">
        <f t="shared" si="15"/>
        <v>38305.007524028959</v>
      </c>
      <c r="E392" s="13">
        <f t="shared" si="16"/>
        <v>0.92234315151273483</v>
      </c>
    </row>
    <row r="393" spans="1:5">
      <c r="A393" s="18">
        <v>392</v>
      </c>
      <c r="B393" s="4">
        <v>378</v>
      </c>
      <c r="C393" s="14">
        <f t="shared" si="17"/>
        <v>38252.456046849227</v>
      </c>
      <c r="D393" s="12">
        <f t="shared" si="15"/>
        <v>38247.550012742919</v>
      </c>
      <c r="E393" s="13">
        <f t="shared" si="16"/>
        <v>0.91961301578425714</v>
      </c>
    </row>
    <row r="394" spans="1:5">
      <c r="A394" s="18">
        <v>393</v>
      </c>
      <c r="B394" s="4">
        <v>379</v>
      </c>
      <c r="C394" s="14">
        <f t="shared" si="17"/>
        <v>38195.26138273329</v>
      </c>
      <c r="D394" s="12">
        <f t="shared" si="15"/>
        <v>38190.178687723805</v>
      </c>
      <c r="E394" s="13">
        <f t="shared" si="16"/>
        <v>0.91689096125753577</v>
      </c>
    </row>
    <row r="395" spans="1:5">
      <c r="A395" s="18">
        <v>394</v>
      </c>
      <c r="B395" s="4">
        <v>380</v>
      </c>
      <c r="C395" s="14">
        <f t="shared" si="17"/>
        <v>38138.15277659952</v>
      </c>
      <c r="D395" s="12">
        <f t="shared" si="15"/>
        <v>38132.89341969222</v>
      </c>
      <c r="E395" s="13">
        <f t="shared" si="16"/>
        <v>0.91417696401221349</v>
      </c>
    </row>
    <row r="396" spans="1:5">
      <c r="A396" s="18">
        <v>395</v>
      </c>
      <c r="B396" s="4">
        <v>381</v>
      </c>
      <c r="C396" s="14">
        <f t="shared" si="17"/>
        <v>38081.130099735237</v>
      </c>
      <c r="D396" s="12">
        <f t="shared" si="15"/>
        <v>38075.69407956268</v>
      </c>
      <c r="E396" s="13">
        <f t="shared" si="16"/>
        <v>0.91147100019873739</v>
      </c>
    </row>
    <row r="397" spans="1:5">
      <c r="A397" s="18">
        <v>396</v>
      </c>
      <c r="B397" s="4">
        <v>382</v>
      </c>
      <c r="C397" s="14">
        <f t="shared" si="17"/>
        <v>38024.193223621303</v>
      </c>
      <c r="D397" s="12">
        <f t="shared" si="15"/>
        <v>38018.580538443333</v>
      </c>
      <c r="E397" s="13">
        <f t="shared" si="16"/>
        <v>0.90877304603814912</v>
      </c>
    </row>
    <row r="398" spans="1:5">
      <c r="A398" s="18">
        <v>397</v>
      </c>
      <c r="B398" s="4">
        <v>383</v>
      </c>
      <c r="C398" s="14">
        <f t="shared" si="17"/>
        <v>37967.342019931872</v>
      </c>
      <c r="D398" s="12">
        <f t="shared" si="15"/>
        <v>37961.552667635668</v>
      </c>
      <c r="E398" s="13">
        <f t="shared" si="16"/>
        <v>0.90608307782187625</v>
      </c>
    </row>
    <row r="399" spans="1:5">
      <c r="A399" s="18">
        <v>398</v>
      </c>
      <c r="B399" s="4">
        <v>384</v>
      </c>
      <c r="C399" s="14">
        <f t="shared" si="17"/>
        <v>37910.57636053404</v>
      </c>
      <c r="D399" s="12">
        <f t="shared" si="15"/>
        <v>37904.610338634215</v>
      </c>
      <c r="E399" s="13">
        <f t="shared" si="16"/>
        <v>0.90340107191152352</v>
      </c>
    </row>
    <row r="400" spans="1:5">
      <c r="A400" s="18">
        <v>399</v>
      </c>
      <c r="B400" s="4">
        <v>385</v>
      </c>
      <c r="C400" s="14">
        <f t="shared" si="17"/>
        <v>37853.89611748758</v>
      </c>
      <c r="D400" s="12">
        <f t="shared" ref="D400:D463" si="18">D399-D399*$C$9</f>
        <v>37847.753423126262</v>
      </c>
      <c r="E400" s="13">
        <f t="shared" ref="E400:E463" si="19">E399-E399*$C$8</f>
        <v>0.9007270047386654</v>
      </c>
    </row>
    <row r="401" spans="1:5">
      <c r="A401" s="18">
        <v>400</v>
      </c>
      <c r="B401" s="4">
        <v>386</v>
      </c>
      <c r="C401" s="14">
        <f t="shared" ref="C401:C464" si="20">(C400+(E401)*C400*(1-C400/D401))</f>
        <v>37797.301163044707</v>
      </c>
      <c r="D401" s="12">
        <f t="shared" si="18"/>
        <v>37790.981792991573</v>
      </c>
      <c r="E401" s="13">
        <f t="shared" si="19"/>
        <v>0.89806085280463899</v>
      </c>
    </row>
    <row r="402" spans="1:5">
      <c r="A402" s="18">
        <v>401</v>
      </c>
      <c r="B402" s="4">
        <v>387</v>
      </c>
      <c r="C402" s="14">
        <f t="shared" si="20"/>
        <v>37740.791369649691</v>
      </c>
      <c r="D402" s="12">
        <f t="shared" si="18"/>
        <v>37734.295320302088</v>
      </c>
      <c r="E402" s="13">
        <f t="shared" si="19"/>
        <v>0.89540259268033728</v>
      </c>
    </row>
    <row r="403" spans="1:5">
      <c r="A403" s="18">
        <v>402</v>
      </c>
      <c r="B403" s="4">
        <v>388</v>
      </c>
      <c r="C403" s="14">
        <f t="shared" si="20"/>
        <v>37684.366609938632</v>
      </c>
      <c r="D403" s="12">
        <f t="shared" si="18"/>
        <v>37677.693877321632</v>
      </c>
      <c r="E403" s="13">
        <f t="shared" si="19"/>
        <v>0.8927522010060035</v>
      </c>
    </row>
    <row r="404" spans="1:5">
      <c r="A404" s="18">
        <v>403</v>
      </c>
      <c r="B404" s="4">
        <v>389</v>
      </c>
      <c r="C404" s="14">
        <f t="shared" si="20"/>
        <v>37628.026756739193</v>
      </c>
      <c r="D404" s="12">
        <f t="shared" si="18"/>
        <v>37621.177336505651</v>
      </c>
      <c r="E404" s="13">
        <f t="shared" si="19"/>
        <v>0.89010965449102575</v>
      </c>
    </row>
    <row r="405" spans="1:5">
      <c r="A405" s="18">
        <v>404</v>
      </c>
      <c r="B405" s="4">
        <v>390</v>
      </c>
      <c r="C405" s="14">
        <f t="shared" si="20"/>
        <v>37571.771683070248</v>
      </c>
      <c r="D405" s="12">
        <f t="shared" si="18"/>
        <v>37564.745570500891</v>
      </c>
      <c r="E405" s="13">
        <f t="shared" si="19"/>
        <v>0.88747492991373234</v>
      </c>
    </row>
    <row r="406" spans="1:5">
      <c r="A406" s="18">
        <v>405</v>
      </c>
      <c r="B406" s="4">
        <v>391</v>
      </c>
      <c r="C406" s="14">
        <f t="shared" si="20"/>
        <v>37515.601262141638</v>
      </c>
      <c r="D406" s="12">
        <f t="shared" si="18"/>
        <v>37508.398452145142</v>
      </c>
      <c r="E406" s="13">
        <f t="shared" si="19"/>
        <v>0.88484800412118769</v>
      </c>
    </row>
    <row r="407" spans="1:5">
      <c r="A407" s="18">
        <v>406</v>
      </c>
      <c r="B407" s="4">
        <v>392</v>
      </c>
      <c r="C407" s="14">
        <f t="shared" si="20"/>
        <v>37459.515367353881</v>
      </c>
      <c r="D407" s="12">
        <f t="shared" si="18"/>
        <v>37452.135854466927</v>
      </c>
      <c r="E407" s="13">
        <f t="shared" si="19"/>
        <v>0.88222885402898898</v>
      </c>
    </row>
    <row r="408" spans="1:5">
      <c r="A408" s="18">
        <v>407</v>
      </c>
      <c r="B408" s="4">
        <v>393</v>
      </c>
      <c r="C408" s="14">
        <f t="shared" si="20"/>
        <v>37403.513872297859</v>
      </c>
      <c r="D408" s="12">
        <f t="shared" si="18"/>
        <v>37395.957650685225</v>
      </c>
      <c r="E408" s="13">
        <f t="shared" si="19"/>
        <v>0.87961745662106317</v>
      </c>
    </row>
    <row r="409" spans="1:5">
      <c r="A409" s="18">
        <v>408</v>
      </c>
      <c r="B409" s="4">
        <v>394</v>
      </c>
      <c r="C409" s="14">
        <f t="shared" si="20"/>
        <v>37347.596650754596</v>
      </c>
      <c r="D409" s="12">
        <f t="shared" si="18"/>
        <v>37339.863714209197</v>
      </c>
      <c r="E409" s="13">
        <f t="shared" si="19"/>
        <v>0.8770137889494648</v>
      </c>
    </row>
    <row r="410" spans="1:5">
      <c r="A410" s="18">
        <v>409</v>
      </c>
      <c r="B410" s="4">
        <v>395</v>
      </c>
      <c r="C410" s="14">
        <f t="shared" si="20"/>
        <v>37291.763576694902</v>
      </c>
      <c r="D410" s="12">
        <f t="shared" si="18"/>
        <v>37283.853918637884</v>
      </c>
      <c r="E410" s="13">
        <f t="shared" si="19"/>
        <v>0.87441782813417435</v>
      </c>
    </row>
    <row r="411" spans="1:5">
      <c r="A411" s="18">
        <v>410</v>
      </c>
      <c r="B411" s="4">
        <v>396</v>
      </c>
      <c r="C411" s="14">
        <f t="shared" si="20"/>
        <v>37236.014524279133</v>
      </c>
      <c r="D411" s="12">
        <f t="shared" si="18"/>
        <v>37227.928137759925</v>
      </c>
      <c r="E411" s="13">
        <f t="shared" si="19"/>
        <v>0.87182955136289719</v>
      </c>
    </row>
    <row r="412" spans="1:5">
      <c r="A412" s="18">
        <v>411</v>
      </c>
      <c r="B412" s="4">
        <v>397</v>
      </c>
      <c r="C412" s="14">
        <f t="shared" si="20"/>
        <v>37180.349367856878</v>
      </c>
      <c r="D412" s="12">
        <f t="shared" si="18"/>
        <v>37172.086245553284</v>
      </c>
      <c r="E412" s="13">
        <f t="shared" si="19"/>
        <v>0.86924893589086305</v>
      </c>
    </row>
    <row r="413" spans="1:5">
      <c r="A413" s="18">
        <v>412</v>
      </c>
      <c r="B413" s="4">
        <v>398</v>
      </c>
      <c r="C413" s="14">
        <f t="shared" si="20"/>
        <v>37124.767981966696</v>
      </c>
      <c r="D413" s="12">
        <f t="shared" si="18"/>
        <v>37116.328116184952</v>
      </c>
      <c r="E413" s="13">
        <f t="shared" si="19"/>
        <v>0.86667595904062611</v>
      </c>
    </row>
    <row r="414" spans="1:5">
      <c r="A414" s="18">
        <v>413</v>
      </c>
      <c r="B414" s="4">
        <v>399</v>
      </c>
      <c r="C414" s="14">
        <f t="shared" si="20"/>
        <v>37069.270241335842</v>
      </c>
      <c r="D414" s="12">
        <f t="shared" si="18"/>
        <v>37060.653624010673</v>
      </c>
      <c r="E414" s="13">
        <f t="shared" si="19"/>
        <v>0.86411059820186586</v>
      </c>
    </row>
    <row r="415" spans="1:5">
      <c r="A415" s="18">
        <v>414</v>
      </c>
      <c r="B415" s="4">
        <v>400</v>
      </c>
      <c r="C415" s="14">
        <f t="shared" si="20"/>
        <v>37013.856020879975</v>
      </c>
      <c r="D415" s="12">
        <f t="shared" si="18"/>
        <v>37005.06264357466</v>
      </c>
      <c r="E415" s="13">
        <f t="shared" si="19"/>
        <v>0.86155283083118839</v>
      </c>
    </row>
    <row r="416" spans="1:5">
      <c r="A416" s="18">
        <v>415</v>
      </c>
      <c r="B416" s="4">
        <v>401</v>
      </c>
      <c r="C416" s="14">
        <f t="shared" si="20"/>
        <v>36958.52519570283</v>
      </c>
      <c r="D416" s="12">
        <f t="shared" si="18"/>
        <v>36949.555049609298</v>
      </c>
      <c r="E416" s="13">
        <f t="shared" si="19"/>
        <v>0.85900263445192804</v>
      </c>
    </row>
    <row r="417" spans="1:5">
      <c r="A417" s="18">
        <v>416</v>
      </c>
      <c r="B417" s="4">
        <v>402</v>
      </c>
      <c r="C417" s="14">
        <f t="shared" si="20"/>
        <v>36903.277641096014</v>
      </c>
      <c r="D417" s="12">
        <f t="shared" si="18"/>
        <v>36894.130717034881</v>
      </c>
      <c r="E417" s="13">
        <f t="shared" si="19"/>
        <v>0.85645998665395029</v>
      </c>
    </row>
    <row r="418" spans="1:5">
      <c r="A418" s="18">
        <v>417</v>
      </c>
      <c r="B418" s="4">
        <v>403</v>
      </c>
      <c r="C418" s="14">
        <f t="shared" si="20"/>
        <v>36848.113232538679</v>
      </c>
      <c r="D418" s="12">
        <f t="shared" si="18"/>
        <v>36838.789520959326</v>
      </c>
      <c r="E418" s="13">
        <f t="shared" si="19"/>
        <v>0.85392486509345455</v>
      </c>
    </row>
    <row r="419" spans="1:5">
      <c r="A419" s="18">
        <v>418</v>
      </c>
      <c r="B419" s="4">
        <v>404</v>
      </c>
      <c r="C419" s="14">
        <f t="shared" si="20"/>
        <v>36793.031845697238</v>
      </c>
      <c r="D419" s="12">
        <f t="shared" si="18"/>
        <v>36783.531336677886</v>
      </c>
      <c r="E419" s="13">
        <f t="shared" si="19"/>
        <v>0.8513972474927779</v>
      </c>
    </row>
    <row r="420" spans="1:5">
      <c r="A420" s="18">
        <v>419</v>
      </c>
      <c r="B420" s="4">
        <v>405</v>
      </c>
      <c r="C420" s="14">
        <f t="shared" si="20"/>
        <v>36738.033356425134</v>
      </c>
      <c r="D420" s="12">
        <f t="shared" si="18"/>
        <v>36728.356039672872</v>
      </c>
      <c r="E420" s="13">
        <f t="shared" si="19"/>
        <v>0.8488771116401993</v>
      </c>
    </row>
    <row r="421" spans="1:5">
      <c r="A421" s="18">
        <v>420</v>
      </c>
      <c r="B421" s="4">
        <v>406</v>
      </c>
      <c r="C421" s="14">
        <f t="shared" si="20"/>
        <v>36683.117640762473</v>
      </c>
      <c r="D421" s="12">
        <f t="shared" si="18"/>
        <v>36673.263505613366</v>
      </c>
      <c r="E421" s="13">
        <f t="shared" si="19"/>
        <v>0.84636443538974426</v>
      </c>
    </row>
    <row r="422" spans="1:5">
      <c r="A422" s="18">
        <v>421</v>
      </c>
      <c r="B422" s="4">
        <v>407</v>
      </c>
      <c r="C422" s="14">
        <f t="shared" si="20"/>
        <v>36628.284574935809</v>
      </c>
      <c r="D422" s="12">
        <f t="shared" si="18"/>
        <v>36618.253610354943</v>
      </c>
      <c r="E422" s="13">
        <f t="shared" si="19"/>
        <v>0.84385919666099063</v>
      </c>
    </row>
    <row r="423" spans="1:5">
      <c r="A423" s="18">
        <v>422</v>
      </c>
      <c r="B423" s="4">
        <v>408</v>
      </c>
      <c r="C423" s="14">
        <f t="shared" si="20"/>
        <v>36573.534035357879</v>
      </c>
      <c r="D423" s="12">
        <f t="shared" si="18"/>
        <v>36563.326229939412</v>
      </c>
      <c r="E423" s="13">
        <f t="shared" si="19"/>
        <v>0.84136137343887407</v>
      </c>
    </row>
    <row r="424" spans="1:5">
      <c r="A424" s="18">
        <v>423</v>
      </c>
      <c r="B424" s="4">
        <v>409</v>
      </c>
      <c r="C424" s="14">
        <f t="shared" si="20"/>
        <v>36518.865898627264</v>
      </c>
      <c r="D424" s="12">
        <f t="shared" si="18"/>
        <v>36508.481240594505</v>
      </c>
      <c r="E424" s="13">
        <f t="shared" si="19"/>
        <v>0.83887094377349503</v>
      </c>
    </row>
    <row r="425" spans="1:5">
      <c r="A425" s="18">
        <v>424</v>
      </c>
      <c r="B425" s="4">
        <v>410</v>
      </c>
      <c r="C425" s="14">
        <f t="shared" si="20"/>
        <v>36464.280041528153</v>
      </c>
      <c r="D425" s="12">
        <f t="shared" si="18"/>
        <v>36453.718518733614</v>
      </c>
      <c r="E425" s="13">
        <f t="shared" si="19"/>
        <v>0.83638788577992551</v>
      </c>
    </row>
    <row r="426" spans="1:5">
      <c r="A426" s="18">
        <v>425</v>
      </c>
      <c r="B426" s="4">
        <v>411</v>
      </c>
      <c r="C426" s="14">
        <f t="shared" si="20"/>
        <v>36409.776341030047</v>
      </c>
      <c r="D426" s="12">
        <f t="shared" si="18"/>
        <v>36399.037940955517</v>
      </c>
      <c r="E426" s="13">
        <f t="shared" si="19"/>
        <v>0.83391217763801695</v>
      </c>
    </row>
    <row r="427" spans="1:5">
      <c r="A427" s="18">
        <v>426</v>
      </c>
      <c r="B427" s="4">
        <v>412</v>
      </c>
      <c r="C427" s="14">
        <f t="shared" si="20"/>
        <v>36355.354674287482</v>
      </c>
      <c r="D427" s="12">
        <f t="shared" si="18"/>
        <v>36344.439384044083</v>
      </c>
      <c r="E427" s="13">
        <f t="shared" si="19"/>
        <v>0.83144379759220843</v>
      </c>
    </row>
    <row r="428" spans="1:5">
      <c r="A428" s="18">
        <v>427</v>
      </c>
      <c r="B428" s="4">
        <v>413</v>
      </c>
      <c r="C428" s="14">
        <f t="shared" si="20"/>
        <v>36301.01491863979</v>
      </c>
      <c r="D428" s="12">
        <f t="shared" si="18"/>
        <v>36289.922724968019</v>
      </c>
      <c r="E428" s="13">
        <f t="shared" si="19"/>
        <v>0.82898272395133554</v>
      </c>
    </row>
    <row r="429" spans="1:5">
      <c r="A429" s="18">
        <v>428</v>
      </c>
      <c r="B429" s="4">
        <v>414</v>
      </c>
      <c r="C429" s="14">
        <f t="shared" si="20"/>
        <v>36246.75695161074</v>
      </c>
      <c r="D429" s="12">
        <f t="shared" si="18"/>
        <v>36235.487840880567</v>
      </c>
      <c r="E429" s="13">
        <f t="shared" si="19"/>
        <v>0.82652893508843961</v>
      </c>
    </row>
    <row r="430" spans="1:5">
      <c r="A430" s="18">
        <v>429</v>
      </c>
      <c r="B430" s="4">
        <v>415</v>
      </c>
      <c r="C430" s="14">
        <f t="shared" si="20"/>
        <v>36192.580650908356</v>
      </c>
      <c r="D430" s="12">
        <f t="shared" si="18"/>
        <v>36181.134609119246</v>
      </c>
      <c r="E430" s="13">
        <f t="shared" si="19"/>
        <v>0.82408240944057787</v>
      </c>
    </row>
    <row r="431" spans="1:5">
      <c r="A431" s="18">
        <v>430</v>
      </c>
      <c r="B431" s="4">
        <v>416</v>
      </c>
      <c r="C431" s="14">
        <f t="shared" si="20"/>
        <v>36138.485894424572</v>
      </c>
      <c r="D431" s="12">
        <f t="shared" si="18"/>
        <v>36126.86290720557</v>
      </c>
      <c r="E431" s="13">
        <f t="shared" si="19"/>
        <v>0.82164312550863372</v>
      </c>
    </row>
    <row r="432" spans="1:5">
      <c r="A432" s="18">
        <v>431</v>
      </c>
      <c r="B432" s="4">
        <v>417</v>
      </c>
      <c r="C432" s="14">
        <f t="shared" si="20"/>
        <v>36084.472560234994</v>
      </c>
      <c r="D432" s="12">
        <f t="shared" si="18"/>
        <v>36072.672612844763</v>
      </c>
      <c r="E432" s="13">
        <f t="shared" si="19"/>
        <v>0.81921106185712822</v>
      </c>
    </row>
    <row r="433" spans="1:5">
      <c r="A433" s="18">
        <v>432</v>
      </c>
      <c r="B433" s="4">
        <v>418</v>
      </c>
      <c r="C433" s="14">
        <f t="shared" si="20"/>
        <v>36030.540526598605</v>
      </c>
      <c r="D433" s="12">
        <f t="shared" si="18"/>
        <v>36018.563603925497</v>
      </c>
      <c r="E433" s="13">
        <f t="shared" si="19"/>
        <v>0.81678619711403111</v>
      </c>
    </row>
    <row r="434" spans="1:5">
      <c r="A434" s="18">
        <v>433</v>
      </c>
      <c r="B434" s="4">
        <v>419</v>
      </c>
      <c r="C434" s="14">
        <f t="shared" si="20"/>
        <v>35976.689671957487</v>
      </c>
      <c r="D434" s="12">
        <f t="shared" si="18"/>
        <v>35964.535758519611</v>
      </c>
      <c r="E434" s="13">
        <f t="shared" si="19"/>
        <v>0.81436850997057353</v>
      </c>
    </row>
    <row r="435" spans="1:5">
      <c r="A435" s="18">
        <v>434</v>
      </c>
      <c r="B435" s="4">
        <v>420</v>
      </c>
      <c r="C435" s="14">
        <f t="shared" si="20"/>
        <v>35922.919874936582</v>
      </c>
      <c r="D435" s="12">
        <f t="shared" si="18"/>
        <v>35910.58895488183</v>
      </c>
      <c r="E435" s="13">
        <f t="shared" si="19"/>
        <v>0.81195797918106061</v>
      </c>
    </row>
    <row r="436" spans="1:5">
      <c r="A436" s="18">
        <v>435</v>
      </c>
      <c r="B436" s="4">
        <v>421</v>
      </c>
      <c r="C436" s="14">
        <f t="shared" si="20"/>
        <v>35869.231014343379</v>
      </c>
      <c r="D436" s="12">
        <f t="shared" si="18"/>
        <v>35856.723071449509</v>
      </c>
      <c r="E436" s="13">
        <f t="shared" si="19"/>
        <v>0.80955458356268462</v>
      </c>
    </row>
    <row r="437" spans="1:5">
      <c r="A437" s="18">
        <v>436</v>
      </c>
      <c r="B437" s="4">
        <v>422</v>
      </c>
      <c r="C437" s="14">
        <f t="shared" si="20"/>
        <v>35815.622969167656</v>
      </c>
      <c r="D437" s="12">
        <f t="shared" si="18"/>
        <v>35802.937986842335</v>
      </c>
      <c r="E437" s="13">
        <f t="shared" si="19"/>
        <v>0.80715830199533911</v>
      </c>
    </row>
    <row r="438" spans="1:5">
      <c r="A438" s="18">
        <v>437</v>
      </c>
      <c r="B438" s="4">
        <v>423</v>
      </c>
      <c r="C438" s="14">
        <f t="shared" si="20"/>
        <v>35762.095618581196</v>
      </c>
      <c r="D438" s="12">
        <f t="shared" si="18"/>
        <v>35749.23357986207</v>
      </c>
      <c r="E438" s="13">
        <f t="shared" si="19"/>
        <v>0.80476911342143287</v>
      </c>
    </row>
    <row r="439" spans="1:5">
      <c r="A439" s="18">
        <v>438</v>
      </c>
      <c r="B439" s="4">
        <v>424</v>
      </c>
      <c r="C439" s="14">
        <f t="shared" si="20"/>
        <v>35708.648841937546</v>
      </c>
      <c r="D439" s="12">
        <f t="shared" si="18"/>
        <v>35695.60972949228</v>
      </c>
      <c r="E439" s="13">
        <f t="shared" si="19"/>
        <v>0.80238699684570547</v>
      </c>
    </row>
    <row r="440" spans="1:5">
      <c r="A440" s="18">
        <v>439</v>
      </c>
      <c r="B440" s="4">
        <v>425</v>
      </c>
      <c r="C440" s="14">
        <f t="shared" si="20"/>
        <v>35655.282518771703</v>
      </c>
      <c r="D440" s="12">
        <f t="shared" si="18"/>
        <v>35642.066314898038</v>
      </c>
      <c r="E440" s="13">
        <f t="shared" si="19"/>
        <v>0.80001193133504223</v>
      </c>
    </row>
    <row r="441" spans="1:5">
      <c r="A441" s="18">
        <v>440</v>
      </c>
      <c r="B441" s="4">
        <v>426</v>
      </c>
      <c r="C441" s="14">
        <f>(C440+(E441)*C440*(1-C440/D441))</f>
        <v>35601.996528799886</v>
      </c>
      <c r="D441" s="12">
        <f t="shared" si="18"/>
        <v>35588.60321542569</v>
      </c>
      <c r="E441" s="13">
        <f t="shared" si="19"/>
        <v>0.79764389601829055</v>
      </c>
    </row>
    <row r="442" spans="1:5">
      <c r="A442" s="18">
        <v>441</v>
      </c>
      <c r="B442" s="4">
        <v>427</v>
      </c>
      <c r="C442" s="14">
        <f t="shared" si="20"/>
        <v>35548.790751919201</v>
      </c>
      <c r="D442" s="12">
        <f t="shared" si="18"/>
        <v>35535.220310602548</v>
      </c>
      <c r="E442" s="13">
        <f t="shared" si="19"/>
        <v>0.79528287008607645</v>
      </c>
    </row>
    <row r="443" spans="1:5">
      <c r="A443" s="18">
        <v>442</v>
      </c>
      <c r="B443" s="4">
        <v>428</v>
      </c>
      <c r="C443" s="14">
        <f t="shared" si="20"/>
        <v>35495.665068207454</v>
      </c>
      <c r="D443" s="12">
        <f t="shared" si="18"/>
        <v>35481.917480136646</v>
      </c>
      <c r="E443" s="13">
        <f t="shared" si="19"/>
        <v>0.79292883279062165</v>
      </c>
    </row>
    <row r="444" spans="1:5">
      <c r="A444" s="18">
        <v>443</v>
      </c>
      <c r="B444" s="4">
        <v>429</v>
      </c>
      <c r="C444" s="14">
        <f t="shared" si="20"/>
        <v>35442.619357922813</v>
      </c>
      <c r="D444" s="12">
        <f t="shared" si="18"/>
        <v>35428.69460391644</v>
      </c>
      <c r="E444" s="13">
        <f t="shared" si="19"/>
        <v>0.79058176344556141</v>
      </c>
    </row>
    <row r="445" spans="1:5">
      <c r="A445" s="18">
        <v>444</v>
      </c>
      <c r="B445" s="4">
        <v>430</v>
      </c>
      <c r="C445" s="14">
        <f t="shared" si="20"/>
        <v>35389.653501503562</v>
      </c>
      <c r="D445" s="12">
        <f t="shared" si="18"/>
        <v>35375.551562010565</v>
      </c>
      <c r="E445" s="13">
        <f t="shared" si="19"/>
        <v>0.78824164142576258</v>
      </c>
    </row>
    <row r="446" spans="1:5">
      <c r="A446" s="18">
        <v>445</v>
      </c>
      <c r="B446" s="4">
        <v>431</v>
      </c>
      <c r="C446" s="14">
        <f t="shared" si="20"/>
        <v>35336.767379567827</v>
      </c>
      <c r="D446" s="12">
        <f t="shared" si="18"/>
        <v>35322.488234667551</v>
      </c>
      <c r="E446" s="13">
        <f t="shared" si="19"/>
        <v>0.78590844616714228</v>
      </c>
    </row>
    <row r="447" spans="1:5">
      <c r="A447" s="18">
        <v>446</v>
      </c>
      <c r="B447" s="4">
        <v>432</v>
      </c>
      <c r="C447" s="14">
        <f t="shared" si="20"/>
        <v>35283.960872913318</v>
      </c>
      <c r="D447" s="12">
        <f t="shared" si="18"/>
        <v>35269.504502315547</v>
      </c>
      <c r="E447" s="13">
        <f t="shared" si="19"/>
        <v>0.78358215716648749</v>
      </c>
    </row>
    <row r="448" spans="1:5">
      <c r="A448" s="18">
        <v>447</v>
      </c>
      <c r="B448" s="4">
        <v>433</v>
      </c>
      <c r="C448" s="14">
        <f t="shared" si="20"/>
        <v>35231.23386251706</v>
      </c>
      <c r="D448" s="12">
        <f t="shared" si="18"/>
        <v>35216.600245562076</v>
      </c>
      <c r="E448" s="13">
        <f t="shared" si="19"/>
        <v>0.78126275398127465</v>
      </c>
    </row>
    <row r="449" spans="1:5">
      <c r="A449" s="18">
        <v>448</v>
      </c>
      <c r="B449" s="4">
        <v>434</v>
      </c>
      <c r="C449" s="14">
        <f t="shared" si="20"/>
        <v>35178.586229535089</v>
      </c>
      <c r="D449" s="12">
        <f t="shared" si="18"/>
        <v>35163.775345193731</v>
      </c>
      <c r="E449" s="13">
        <f t="shared" si="19"/>
        <v>0.77895021622949012</v>
      </c>
    </row>
    <row r="450" spans="1:5">
      <c r="A450" s="18">
        <v>449</v>
      </c>
      <c r="B450" s="4">
        <v>435</v>
      </c>
      <c r="C450" s="14">
        <f t="shared" si="20"/>
        <v>35126.017855302249</v>
      </c>
      <c r="D450" s="12">
        <f t="shared" si="18"/>
        <v>35111.02968217594</v>
      </c>
      <c r="E450" s="13">
        <f t="shared" si="19"/>
        <v>0.7766445235894508</v>
      </c>
    </row>
    <row r="451" spans="1:5">
      <c r="A451" s="18">
        <v>450</v>
      </c>
      <c r="B451" s="4">
        <v>436</v>
      </c>
      <c r="C451" s="14">
        <f t="shared" si="20"/>
        <v>35073.528621331854</v>
      </c>
      <c r="D451" s="12">
        <f t="shared" si="18"/>
        <v>35058.363137652676</v>
      </c>
      <c r="E451" s="13">
        <f t="shared" si="19"/>
        <v>0.774345655799626</v>
      </c>
    </row>
    <row r="452" spans="1:5">
      <c r="A452" s="18">
        <v>451</v>
      </c>
      <c r="B452" s="4">
        <v>437</v>
      </c>
      <c r="C452" s="14">
        <f t="shared" si="20"/>
        <v>35021.118409315459</v>
      </c>
      <c r="D452" s="12">
        <f t="shared" si="18"/>
        <v>35005.7755929462</v>
      </c>
      <c r="E452" s="13">
        <f t="shared" si="19"/>
        <v>0.77205359265845908</v>
      </c>
    </row>
    <row r="453" spans="1:5">
      <c r="A453" s="18">
        <v>452</v>
      </c>
      <c r="B453" s="4">
        <v>438</v>
      </c>
      <c r="C453" s="14">
        <f t="shared" si="20"/>
        <v>34968.787101122609</v>
      </c>
      <c r="D453" s="12">
        <f t="shared" si="18"/>
        <v>34953.266929556783</v>
      </c>
      <c r="E453" s="13">
        <f t="shared" si="19"/>
        <v>0.76976831402418999</v>
      </c>
    </row>
    <row r="454" spans="1:5">
      <c r="A454" s="18">
        <v>453</v>
      </c>
      <c r="B454" s="4">
        <v>439</v>
      </c>
      <c r="C454" s="14">
        <f t="shared" si="20"/>
        <v>34916.534578800514</v>
      </c>
      <c r="D454" s="12">
        <f t="shared" si="18"/>
        <v>34900.837029162445</v>
      </c>
      <c r="E454" s="13">
        <f t="shared" si="19"/>
        <v>0.76748979981467835</v>
      </c>
    </row>
    <row r="455" spans="1:5">
      <c r="A455" s="18">
        <v>454</v>
      </c>
      <c r="B455" s="4">
        <v>440</v>
      </c>
      <c r="C455" s="14">
        <f t="shared" si="20"/>
        <v>34864.36072457386</v>
      </c>
      <c r="D455" s="12">
        <f t="shared" si="18"/>
        <v>34848.485773618704</v>
      </c>
      <c r="E455" s="13">
        <f t="shared" si="19"/>
        <v>0.76521803000722688</v>
      </c>
    </row>
    <row r="456" spans="1:5">
      <c r="A456" s="18">
        <v>455</v>
      </c>
      <c r="B456" s="4">
        <v>441</v>
      </c>
      <c r="C456" s="14">
        <f t="shared" si="20"/>
        <v>34812.265420844473</v>
      </c>
      <c r="D456" s="12">
        <f t="shared" si="18"/>
        <v>34796.213044958276</v>
      </c>
      <c r="E456" s="13">
        <f t="shared" si="19"/>
        <v>0.76295298463840544</v>
      </c>
    </row>
    <row r="457" spans="1:5">
      <c r="A457" s="18">
        <v>456</v>
      </c>
      <c r="B457" s="4">
        <v>442</v>
      </c>
      <c r="C457" s="14">
        <f t="shared" si="20"/>
        <v>34760.248550191092</v>
      </c>
      <c r="D457" s="12">
        <f t="shared" si="18"/>
        <v>34744.018725390837</v>
      </c>
      <c r="E457" s="13">
        <f t="shared" si="19"/>
        <v>0.76069464380387575</v>
      </c>
    </row>
    <row r="458" spans="1:5">
      <c r="A458" s="18">
        <v>457</v>
      </c>
      <c r="B458" s="4">
        <v>443</v>
      </c>
      <c r="C458" s="14">
        <f t="shared" si="20"/>
        <v>34708.309995369098</v>
      </c>
      <c r="D458" s="12">
        <f t="shared" si="18"/>
        <v>34691.90269730275</v>
      </c>
      <c r="E458" s="13">
        <f t="shared" si="19"/>
        <v>0.75844298765821627</v>
      </c>
    </row>
    <row r="459" spans="1:5">
      <c r="A459" s="18">
        <v>458</v>
      </c>
      <c r="B459" s="4">
        <v>444</v>
      </c>
      <c r="C459" s="14">
        <f t="shared" si="20"/>
        <v>34656.449639310245</v>
      </c>
      <c r="D459" s="12">
        <f t="shared" si="18"/>
        <v>34639.864843256793</v>
      </c>
      <c r="E459" s="13">
        <f t="shared" si="19"/>
        <v>0.75619799641474794</v>
      </c>
    </row>
    <row r="460" spans="1:5">
      <c r="A460" s="18">
        <v>459</v>
      </c>
      <c r="B460" s="4">
        <v>445</v>
      </c>
      <c r="C460" s="14">
        <f t="shared" si="20"/>
        <v>34604.667365122397</v>
      </c>
      <c r="D460" s="12">
        <f t="shared" si="18"/>
        <v>34587.905045991909</v>
      </c>
      <c r="E460" s="13">
        <f t="shared" si="19"/>
        <v>0.75395965034536028</v>
      </c>
    </row>
    <row r="461" spans="1:5">
      <c r="A461" s="18">
        <v>460</v>
      </c>
      <c r="B461" s="4">
        <v>446</v>
      </c>
      <c r="C461" s="14">
        <f t="shared" si="20"/>
        <v>34552.963056089269</v>
      </c>
      <c r="D461" s="12">
        <f t="shared" si="18"/>
        <v>34536.023188422922</v>
      </c>
      <c r="E461" s="13">
        <f t="shared" si="19"/>
        <v>0.75172792978033798</v>
      </c>
    </row>
    <row r="462" spans="1:5">
      <c r="A462" s="18">
        <v>461</v>
      </c>
      <c r="B462" s="4">
        <v>447</v>
      </c>
      <c r="C462" s="14">
        <f t="shared" si="20"/>
        <v>34501.33659567016</v>
      </c>
      <c r="D462" s="12">
        <f t="shared" si="18"/>
        <v>34484.21915364029</v>
      </c>
      <c r="E462" s="13">
        <f t="shared" si="19"/>
        <v>0.74950281510818817</v>
      </c>
    </row>
    <row r="463" spans="1:5">
      <c r="A463" s="18">
        <v>462</v>
      </c>
      <c r="B463" s="4">
        <v>448</v>
      </c>
      <c r="C463" s="14">
        <f t="shared" si="20"/>
        <v>34449.787867499668</v>
      </c>
      <c r="D463" s="12">
        <f t="shared" si="18"/>
        <v>34432.49282490983</v>
      </c>
      <c r="E463" s="13">
        <f t="shared" si="19"/>
        <v>0.74728428677546799</v>
      </c>
    </row>
    <row r="464" spans="1:5">
      <c r="A464" s="18">
        <v>463</v>
      </c>
      <c r="B464" s="4">
        <v>449</v>
      </c>
      <c r="C464" s="14">
        <f t="shared" si="20"/>
        <v>34398.316755387481</v>
      </c>
      <c r="D464" s="12">
        <f t="shared" ref="D464:D515" si="21">D463-D463*$C$9</f>
        <v>34380.844085672463</v>
      </c>
      <c r="E464" s="13">
        <f t="shared" ref="E464:E515" si="22">E463-E463*$C$8</f>
        <v>0.7450723252866126</v>
      </c>
    </row>
    <row r="465" spans="1:5">
      <c r="A465" s="18">
        <v>464</v>
      </c>
      <c r="B465" s="4">
        <v>450</v>
      </c>
      <c r="C465" s="14">
        <f t="shared" ref="C465:C514" si="23">(C464+(E465)*C464*(1-C464/D465))</f>
        <v>34346.923143318061</v>
      </c>
      <c r="D465" s="12">
        <f t="shared" si="21"/>
        <v>34329.272819543956</v>
      </c>
      <c r="E465" s="13">
        <f t="shared" si="22"/>
        <v>0.74286691120376425</v>
      </c>
    </row>
    <row r="466" spans="1:5">
      <c r="A466" s="18">
        <v>465</v>
      </c>
      <c r="B466" s="4">
        <v>451</v>
      </c>
      <c r="C466" s="14">
        <f t="shared" si="23"/>
        <v>34295.606915450415</v>
      </c>
      <c r="D466" s="12">
        <f t="shared" si="21"/>
        <v>34277.778910314642</v>
      </c>
      <c r="E466" s="13">
        <f t="shared" si="22"/>
        <v>0.74066802514660113</v>
      </c>
    </row>
    <row r="467" spans="1:5">
      <c r="A467" s="18">
        <v>466</v>
      </c>
      <c r="B467" s="4">
        <v>452</v>
      </c>
      <c r="C467" s="14">
        <f t="shared" si="23"/>
        <v>34244.367956117814</v>
      </c>
      <c r="D467" s="12">
        <f t="shared" si="21"/>
        <v>34226.362241949173</v>
      </c>
      <c r="E467" s="13">
        <f t="shared" si="22"/>
        <v>0.73847564779216723</v>
      </c>
    </row>
    <row r="468" spans="1:5">
      <c r="A468" s="18">
        <v>467</v>
      </c>
      <c r="B468" s="4">
        <v>453</v>
      </c>
      <c r="C468" s="14">
        <f t="shared" si="23"/>
        <v>34193.206149827543</v>
      </c>
      <c r="D468" s="12">
        <f t="shared" si="21"/>
        <v>34175.022698586246</v>
      </c>
      <c r="E468" s="13">
        <f t="shared" si="22"/>
        <v>0.73628975987470247</v>
      </c>
    </row>
    <row r="469" spans="1:5">
      <c r="A469" s="18">
        <v>468</v>
      </c>
      <c r="B469" s="4">
        <v>454</v>
      </c>
      <c r="C469" s="14">
        <f t="shared" si="23"/>
        <v>34142.121381260644</v>
      </c>
      <c r="D469" s="12">
        <f t="shared" si="21"/>
        <v>34123.760164538369</v>
      </c>
      <c r="E469" s="13">
        <f t="shared" si="22"/>
        <v>0.73411034218547333</v>
      </c>
    </row>
    <row r="470" spans="1:5">
      <c r="A470" s="18">
        <v>469</v>
      </c>
      <c r="B470" s="4">
        <v>455</v>
      </c>
      <c r="C470" s="14">
        <f t="shared" si="23"/>
        <v>34091.113535271645</v>
      </c>
      <c r="D470" s="12">
        <f t="shared" si="21"/>
        <v>34072.574524291558</v>
      </c>
      <c r="E470" s="13">
        <f t="shared" si="22"/>
        <v>0.7319373755726043</v>
      </c>
    </row>
    <row r="471" spans="1:5">
      <c r="A471" s="18">
        <v>470</v>
      </c>
      <c r="B471" s="4">
        <v>456</v>
      </c>
      <c r="C471" s="14">
        <f t="shared" si="23"/>
        <v>34040.182496888294</v>
      </c>
      <c r="D471" s="12">
        <f t="shared" si="21"/>
        <v>34021.465662505121</v>
      </c>
      <c r="E471" s="13">
        <f t="shared" si="22"/>
        <v>0.72977084094090938</v>
      </c>
    </row>
    <row r="472" spans="1:5">
      <c r="A472" s="18">
        <v>471</v>
      </c>
      <c r="B472" s="4">
        <v>457</v>
      </c>
      <c r="C472" s="14">
        <f t="shared" si="23"/>
        <v>33989.328151311332</v>
      </c>
      <c r="D472" s="12">
        <f t="shared" si="21"/>
        <v>33970.433464011367</v>
      </c>
      <c r="E472" s="13">
        <f t="shared" si="22"/>
        <v>0.72761071925172427</v>
      </c>
    </row>
    <row r="473" spans="1:5">
      <c r="A473" s="18">
        <v>472</v>
      </c>
      <c r="B473" s="4">
        <v>458</v>
      </c>
      <c r="C473" s="14">
        <f t="shared" si="23"/>
        <v>33938.550383914189</v>
      </c>
      <c r="D473" s="12">
        <f t="shared" si="21"/>
        <v>33919.477813815349</v>
      </c>
      <c r="E473" s="13">
        <f t="shared" si="22"/>
        <v>0.72545699152273913</v>
      </c>
    </row>
    <row r="474" spans="1:5">
      <c r="A474" s="18">
        <v>473</v>
      </c>
      <c r="B474" s="4">
        <v>459</v>
      </c>
      <c r="C474" s="14">
        <f t="shared" si="23"/>
        <v>33887.84908024277</v>
      </c>
      <c r="D474" s="12">
        <f t="shared" si="21"/>
        <v>33868.598597094628</v>
      </c>
      <c r="E474" s="13">
        <f t="shared" si="22"/>
        <v>0.72330963882783184</v>
      </c>
    </row>
    <row r="475" spans="1:5">
      <c r="A475" s="18">
        <v>474</v>
      </c>
      <c r="B475" s="4">
        <v>460</v>
      </c>
      <c r="C475" s="14">
        <f t="shared" si="23"/>
        <v>33837.224126015157</v>
      </c>
      <c r="D475" s="12">
        <f t="shared" si="21"/>
        <v>33817.795699198985</v>
      </c>
      <c r="E475" s="13">
        <f t="shared" si="22"/>
        <v>0.72116864229690147</v>
      </c>
    </row>
    <row r="476" spans="1:5">
      <c r="A476" s="18">
        <v>475</v>
      </c>
      <c r="B476" s="4">
        <v>461</v>
      </c>
      <c r="C476" s="14">
        <f t="shared" si="23"/>
        <v>33786.67540712138</v>
      </c>
      <c r="D476" s="12">
        <f t="shared" si="21"/>
        <v>33767.069005650184</v>
      </c>
      <c r="E476" s="13">
        <f t="shared" si="22"/>
        <v>0.71903398311570266</v>
      </c>
    </row>
    <row r="477" spans="1:5">
      <c r="A477" s="18">
        <v>476</v>
      </c>
      <c r="B477" s="4">
        <v>462</v>
      </c>
      <c r="C477" s="14">
        <f t="shared" si="23"/>
        <v>33736.202809623144</v>
      </c>
      <c r="D477" s="12">
        <f t="shared" si="21"/>
        <v>33716.41840214171</v>
      </c>
      <c r="E477" s="13">
        <f t="shared" si="22"/>
        <v>0.71690564252568023</v>
      </c>
    </row>
    <row r="478" spans="1:5">
      <c r="A478" s="18">
        <v>477</v>
      </c>
      <c r="B478" s="4">
        <v>463</v>
      </c>
      <c r="C478" s="14">
        <f t="shared" si="23"/>
        <v>33685.806219753576</v>
      </c>
      <c r="D478" s="12">
        <f t="shared" si="21"/>
        <v>33665.843774538494</v>
      </c>
      <c r="E478" s="13">
        <f t="shared" si="22"/>
        <v>0.71478360182380418</v>
      </c>
    </row>
    <row r="479" spans="1:5">
      <c r="A479" s="18">
        <v>478</v>
      </c>
      <c r="B479" s="4">
        <v>464</v>
      </c>
      <c r="C479" s="14">
        <f t="shared" si="23"/>
        <v>33635.48552391697</v>
      </c>
      <c r="D479" s="12">
        <f t="shared" si="21"/>
        <v>33615.345008876684</v>
      </c>
      <c r="E479" s="13">
        <f t="shared" si="22"/>
        <v>0.71266784236240577</v>
      </c>
    </row>
    <row r="480" spans="1:5">
      <c r="A480" s="18">
        <v>479</v>
      </c>
      <c r="B480" s="4">
        <v>465</v>
      </c>
      <c r="C480" s="14">
        <f t="shared" si="23"/>
        <v>33585.240608688546</v>
      </c>
      <c r="D480" s="12">
        <f t="shared" si="21"/>
        <v>33564.921991363371</v>
      </c>
      <c r="E480" s="13">
        <f t="shared" si="22"/>
        <v>0.71055834554901309</v>
      </c>
    </row>
    <row r="481" spans="1:5">
      <c r="A481" s="18">
        <v>480</v>
      </c>
      <c r="B481" s="4">
        <v>466</v>
      </c>
      <c r="C481" s="14">
        <f t="shared" si="23"/>
        <v>33535.071360814138</v>
      </c>
      <c r="D481" s="12">
        <f t="shared" si="21"/>
        <v>33514.57460837633</v>
      </c>
      <c r="E481" s="13">
        <f t="shared" si="22"/>
        <v>0.70845509284618802</v>
      </c>
    </row>
    <row r="482" spans="1:5">
      <c r="A482" s="18">
        <v>481</v>
      </c>
      <c r="B482" s="4">
        <v>467</v>
      </c>
      <c r="C482" s="14">
        <f t="shared" si="23"/>
        <v>33484.977667210005</v>
      </c>
      <c r="D482" s="12">
        <f t="shared" si="21"/>
        <v>33464.302746463763</v>
      </c>
      <c r="E482" s="13">
        <f t="shared" si="22"/>
        <v>0.70635806577136329</v>
      </c>
    </row>
    <row r="483" spans="1:5">
      <c r="A483" s="18">
        <v>482</v>
      </c>
      <c r="B483" s="4">
        <v>468</v>
      </c>
      <c r="C483" s="14">
        <f t="shared" si="23"/>
        <v>33434.959414962555</v>
      </c>
      <c r="D483" s="12">
        <f t="shared" si="21"/>
        <v>33414.10629234407</v>
      </c>
      <c r="E483" s="13">
        <f t="shared" si="22"/>
        <v>0.70426724589668011</v>
      </c>
    </row>
    <row r="484" spans="1:5">
      <c r="A484" s="18">
        <v>483</v>
      </c>
      <c r="B484" s="4">
        <v>469</v>
      </c>
      <c r="C484" s="14">
        <f t="shared" si="23"/>
        <v>33385.016491328053</v>
      </c>
      <c r="D484" s="12">
        <f t="shared" si="21"/>
        <v>33363.985132905553</v>
      </c>
      <c r="E484" s="13">
        <f t="shared" si="22"/>
        <v>0.70218261484882594</v>
      </c>
    </row>
    <row r="485" spans="1:5">
      <c r="A485" s="18">
        <v>484</v>
      </c>
      <c r="B485" s="4">
        <v>470</v>
      </c>
      <c r="C485" s="14">
        <f t="shared" si="23"/>
        <v>33335.148783732438</v>
      </c>
      <c r="D485" s="12">
        <f t="shared" si="21"/>
        <v>33313.939155206193</v>
      </c>
      <c r="E485" s="13">
        <f t="shared" si="22"/>
        <v>0.70010415430887341</v>
      </c>
    </row>
    <row r="486" spans="1:5">
      <c r="A486" s="18">
        <v>485</v>
      </c>
      <c r="B486" s="4">
        <v>471</v>
      </c>
      <c r="C486" s="14">
        <f t="shared" si="23"/>
        <v>33285.356179770999</v>
      </c>
      <c r="D486" s="12">
        <f t="shared" si="21"/>
        <v>33263.968246473385</v>
      </c>
      <c r="E486" s="13">
        <f t="shared" si="22"/>
        <v>0.69803184601211909</v>
      </c>
    </row>
    <row r="487" spans="1:5">
      <c r="A487" s="18">
        <v>486</v>
      </c>
      <c r="B487" s="4">
        <v>472</v>
      </c>
      <c r="C487" s="14">
        <f t="shared" si="23"/>
        <v>33235.638567208152</v>
      </c>
      <c r="D487" s="12">
        <f t="shared" si="21"/>
        <v>33214.072294103673</v>
      </c>
      <c r="E487" s="13">
        <f t="shared" si="22"/>
        <v>0.69596567174792323</v>
      </c>
    </row>
    <row r="488" spans="1:5">
      <c r="A488" s="18">
        <v>487</v>
      </c>
      <c r="B488" s="4">
        <v>473</v>
      </c>
      <c r="C488" s="14">
        <f t="shared" si="23"/>
        <v>33185.995833977198</v>
      </c>
      <c r="D488" s="12">
        <f t="shared" si="21"/>
        <v>33164.251185662521</v>
      </c>
      <c r="E488" s="13">
        <f t="shared" si="22"/>
        <v>0.69390561335954937</v>
      </c>
    </row>
    <row r="489" spans="1:5">
      <c r="A489" s="18">
        <v>488</v>
      </c>
      <c r="B489" s="4">
        <v>474</v>
      </c>
      <c r="C489" s="14">
        <f t="shared" si="23"/>
        <v>33136.42786818005</v>
      </c>
      <c r="D489" s="12">
        <f t="shared" si="21"/>
        <v>33114.504808884027</v>
      </c>
      <c r="E489" s="13">
        <f t="shared" si="22"/>
        <v>0.69185165274400506</v>
      </c>
    </row>
    <row r="490" spans="1:5">
      <c r="A490" s="18">
        <v>489</v>
      </c>
      <c r="B490" s="4">
        <v>475</v>
      </c>
      <c r="C490" s="14">
        <f t="shared" si="23"/>
        <v>33086.934558086978</v>
      </c>
      <c r="D490" s="12">
        <f t="shared" si="21"/>
        <v>33064.833051670699</v>
      </c>
      <c r="E490" s="13">
        <f t="shared" si="22"/>
        <v>0.6898037718518828</v>
      </c>
    </row>
    <row r="491" spans="1:5">
      <c r="A491" s="18">
        <v>490</v>
      </c>
      <c r="B491" s="4">
        <v>476</v>
      </c>
      <c r="C491" s="14">
        <f t="shared" si="23"/>
        <v>33037.515792136386</v>
      </c>
      <c r="D491" s="12">
        <f t="shared" si="21"/>
        <v>33015.235802093193</v>
      </c>
      <c r="E491" s="13">
        <f t="shared" si="22"/>
        <v>0.68776195268720119</v>
      </c>
    </row>
    <row r="492" spans="1:5">
      <c r="A492" s="18">
        <v>491</v>
      </c>
      <c r="B492" s="4">
        <v>477</v>
      </c>
      <c r="C492" s="14">
        <f t="shared" si="23"/>
        <v>32988.171458934528</v>
      </c>
      <c r="D492" s="12">
        <f t="shared" si="21"/>
        <v>32965.712948390057</v>
      </c>
      <c r="E492" s="13">
        <f t="shared" si="22"/>
        <v>0.68572617730724705</v>
      </c>
    </row>
    <row r="493" spans="1:5">
      <c r="A493" s="18">
        <v>492</v>
      </c>
      <c r="B493" s="4">
        <v>478</v>
      </c>
      <c r="C493" s="14">
        <f t="shared" si="23"/>
        <v>32938.901447255274</v>
      </c>
      <c r="D493" s="12">
        <f t="shared" si="21"/>
        <v>32916.264378967469</v>
      </c>
      <c r="E493" s="13">
        <f t="shared" si="22"/>
        <v>0.68369642782241757</v>
      </c>
    </row>
    <row r="494" spans="1:5">
      <c r="A494" s="18">
        <v>493</v>
      </c>
      <c r="B494" s="4">
        <v>479</v>
      </c>
      <c r="C494" s="14">
        <f t="shared" si="23"/>
        <v>32889.705646039838</v>
      </c>
      <c r="D494" s="12">
        <f t="shared" si="21"/>
        <v>32866.889982399021</v>
      </c>
      <c r="E494" s="13">
        <f t="shared" si="22"/>
        <v>0.68167268639606327</v>
      </c>
    </row>
    <row r="495" spans="1:5">
      <c r="A495" s="18">
        <v>494</v>
      </c>
      <c r="B495" s="4">
        <v>480</v>
      </c>
      <c r="C495" s="14">
        <f t="shared" si="23"/>
        <v>32840.583944396574</v>
      </c>
      <c r="D495" s="12">
        <f t="shared" si="21"/>
        <v>32817.589647425426</v>
      </c>
      <c r="E495" s="13">
        <f t="shared" si="22"/>
        <v>0.67965493524433096</v>
      </c>
    </row>
    <row r="496" spans="1:5">
      <c r="A496" s="18">
        <v>495</v>
      </c>
      <c r="B496" s="4">
        <v>481</v>
      </c>
      <c r="C496" s="14">
        <f t="shared" si="23"/>
        <v>32791.536231600658</v>
      </c>
      <c r="D496" s="12">
        <f t="shared" si="21"/>
        <v>32768.363262954284</v>
      </c>
      <c r="E496" s="13">
        <f t="shared" si="22"/>
        <v>0.67764315663600772</v>
      </c>
    </row>
    <row r="497" spans="1:5">
      <c r="A497" s="18">
        <v>496</v>
      </c>
      <c r="B497" s="4">
        <v>482</v>
      </c>
      <c r="C497" s="14">
        <f t="shared" si="23"/>
        <v>32742.562397093909</v>
      </c>
      <c r="D497" s="12">
        <f t="shared" si="21"/>
        <v>32719.210718059854</v>
      </c>
      <c r="E497" s="13">
        <f t="shared" si="22"/>
        <v>0.67563733289236516</v>
      </c>
    </row>
    <row r="498" spans="1:5">
      <c r="A498" s="18">
        <v>497</v>
      </c>
      <c r="B498" s="4">
        <v>483</v>
      </c>
      <c r="C498" s="14">
        <f t="shared" si="23"/>
        <v>32693.662330484487</v>
      </c>
      <c r="D498" s="12">
        <f t="shared" si="21"/>
        <v>32670.131901982764</v>
      </c>
      <c r="E498" s="13">
        <f t="shared" si="22"/>
        <v>0.67363744638700374</v>
      </c>
    </row>
    <row r="499" spans="1:5">
      <c r="A499" s="18">
        <v>498</v>
      </c>
      <c r="B499" s="4">
        <v>484</v>
      </c>
      <c r="C499" s="14">
        <f t="shared" si="23"/>
        <v>32644.835921546666</v>
      </c>
      <c r="D499" s="12">
        <f t="shared" si="21"/>
        <v>32621.126704129791</v>
      </c>
      <c r="E499" s="13">
        <f t="shared" si="22"/>
        <v>0.67164347954569825</v>
      </c>
    </row>
    <row r="500" spans="1:5">
      <c r="A500" s="18">
        <v>499</v>
      </c>
      <c r="B500" s="4">
        <v>485</v>
      </c>
      <c r="C500" s="14">
        <f t="shared" si="23"/>
        <v>32596.083060220582</v>
      </c>
      <c r="D500" s="12">
        <f t="shared" si="21"/>
        <v>32572.195014073597</v>
      </c>
      <c r="E500" s="13">
        <f t="shared" si="22"/>
        <v>0.66965541484624302</v>
      </c>
    </row>
    <row r="501" spans="1:5">
      <c r="A501" s="18">
        <v>500</v>
      </c>
      <c r="B501" s="4">
        <v>486</v>
      </c>
      <c r="C501" s="14">
        <f t="shared" si="23"/>
        <v>32547.403636611984</v>
      </c>
      <c r="D501" s="12">
        <f t="shared" si="21"/>
        <v>32523.336721552485</v>
      </c>
      <c r="E501" s="13">
        <f t="shared" si="22"/>
        <v>0.6676732348182981</v>
      </c>
    </row>
    <row r="502" spans="1:5">
      <c r="A502" s="18">
        <v>501</v>
      </c>
      <c r="B502" s="4">
        <v>487</v>
      </c>
      <c r="C502" s="14">
        <f t="shared" si="23"/>
        <v>32498.797540991978</v>
      </c>
      <c r="D502" s="12">
        <f t="shared" si="21"/>
        <v>32474.551716470156</v>
      </c>
      <c r="E502" s="13">
        <f t="shared" si="22"/>
        <v>0.66569692204323594</v>
      </c>
    </row>
    <row r="503" spans="1:5">
      <c r="A503" s="18">
        <v>502</v>
      </c>
      <c r="B503" s="4">
        <v>488</v>
      </c>
      <c r="C503" s="14">
        <f t="shared" si="23"/>
        <v>32450.264663796799</v>
      </c>
      <c r="D503" s="12">
        <f t="shared" si="21"/>
        <v>32425.839888895451</v>
      </c>
      <c r="E503" s="13">
        <f t="shared" si="22"/>
        <v>0.66372645915398798</v>
      </c>
    </row>
    <row r="504" spans="1:5">
      <c r="A504" s="18">
        <v>503</v>
      </c>
      <c r="B504" s="4">
        <v>489</v>
      </c>
      <c r="C504" s="14">
        <f t="shared" si="23"/>
        <v>32401.804895627549</v>
      </c>
      <c r="D504" s="12">
        <f t="shared" si="21"/>
        <v>32377.201129062109</v>
      </c>
      <c r="E504" s="13">
        <f t="shared" si="22"/>
        <v>0.66176182883489221</v>
      </c>
    </row>
    <row r="505" spans="1:5">
      <c r="A505" s="18">
        <v>504</v>
      </c>
      <c r="B505" s="4">
        <v>490</v>
      </c>
      <c r="C505" s="14">
        <f t="shared" si="23"/>
        <v>32353.418127249952</v>
      </c>
      <c r="D505" s="12">
        <f t="shared" si="21"/>
        <v>32328.635327368516</v>
      </c>
      <c r="E505" s="13">
        <f t="shared" si="22"/>
        <v>0.65980301382154094</v>
      </c>
    </row>
    <row r="506" spans="1:5">
      <c r="A506" s="18">
        <v>505</v>
      </c>
      <c r="B506" s="4">
        <v>491</v>
      </c>
      <c r="C506" s="14">
        <f t="shared" si="23"/>
        <v>32305.104249594107</v>
      </c>
      <c r="D506" s="12">
        <f t="shared" si="21"/>
        <v>32280.142374377465</v>
      </c>
      <c r="E506" s="13">
        <f t="shared" si="22"/>
        <v>0.65784999690062917</v>
      </c>
    </row>
    <row r="507" spans="1:5">
      <c r="A507" s="18">
        <v>506</v>
      </c>
      <c r="B507" s="4">
        <v>492</v>
      </c>
      <c r="C507" s="14">
        <f t="shared" si="23"/>
        <v>32256.863153754242</v>
      </c>
      <c r="D507" s="12">
        <f t="shared" si="21"/>
        <v>32231.722160815898</v>
      </c>
      <c r="E507" s="13">
        <f t="shared" si="22"/>
        <v>0.65590276090980326</v>
      </c>
    </row>
    <row r="508" spans="1:5">
      <c r="A508" s="18">
        <v>507</v>
      </c>
      <c r="B508" s="4">
        <v>493</v>
      </c>
      <c r="C508" s="14">
        <f t="shared" si="23"/>
        <v>32208.694730988471</v>
      </c>
      <c r="D508" s="12">
        <f t="shared" si="21"/>
        <v>32183.374577574676</v>
      </c>
      <c r="E508" s="13">
        <f t="shared" si="22"/>
        <v>0.65396128873751025</v>
      </c>
    </row>
    <row r="509" spans="1:5">
      <c r="A509" s="18">
        <v>508</v>
      </c>
      <c r="B509" s="4">
        <v>494</v>
      </c>
      <c r="C509" s="14">
        <f t="shared" si="23"/>
        <v>32160.598872718543</v>
      </c>
      <c r="D509" s="12">
        <f t="shared" si="21"/>
        <v>32135.099515708313</v>
      </c>
      <c r="E509" s="13">
        <f t="shared" si="22"/>
        <v>0.65202556332284722</v>
      </c>
    </row>
    <row r="510" spans="1:5">
      <c r="A510" s="18">
        <v>509</v>
      </c>
      <c r="B510" s="4">
        <v>495</v>
      </c>
      <c r="C510" s="14">
        <f t="shared" si="23"/>
        <v>32112.575470529609</v>
      </c>
      <c r="D510" s="12">
        <f t="shared" si="21"/>
        <v>32086.896866434749</v>
      </c>
      <c r="E510" s="13">
        <f t="shared" si="22"/>
        <v>0.65009556765541154</v>
      </c>
    </row>
    <row r="511" spans="1:5">
      <c r="A511" s="18">
        <v>510</v>
      </c>
      <c r="B511" s="4">
        <v>496</v>
      </c>
      <c r="C511" s="14">
        <f t="shared" si="23"/>
        <v>32064.624416169958</v>
      </c>
      <c r="D511" s="12">
        <f t="shared" si="21"/>
        <v>32038.766521135098</v>
      </c>
      <c r="E511" s="13">
        <f t="shared" si="22"/>
        <v>0.64817128477515151</v>
      </c>
    </row>
    <row r="512" spans="1:5">
      <c r="A512" s="18">
        <v>511</v>
      </c>
      <c r="B512" s="4">
        <v>497</v>
      </c>
      <c r="C512" s="14">
        <f t="shared" si="23"/>
        <v>32016.7456015508</v>
      </c>
      <c r="D512" s="12">
        <f t="shared" si="21"/>
        <v>31990.708371353394</v>
      </c>
      <c r="E512" s="13">
        <f t="shared" si="22"/>
        <v>0.64625269777221706</v>
      </c>
    </row>
    <row r="513" spans="1:5">
      <c r="A513" s="18">
        <v>512</v>
      </c>
      <c r="B513" s="4">
        <v>498</v>
      </c>
      <c r="C513" s="14">
        <f t="shared" si="23"/>
        <v>31968.938918745986</v>
      </c>
      <c r="D513" s="12">
        <f t="shared" si="21"/>
        <v>31942.722308796365</v>
      </c>
      <c r="E513" s="13">
        <f t="shared" si="22"/>
        <v>0.64433978978681128</v>
      </c>
    </row>
    <row r="514" spans="1:5">
      <c r="A514" s="18">
        <v>513</v>
      </c>
      <c r="B514" s="4">
        <v>499</v>
      </c>
      <c r="C514" s="14">
        <f t="shared" si="23"/>
        <v>31921.204259991791</v>
      </c>
      <c r="D514" s="12">
        <f t="shared" si="21"/>
        <v>31894.80822533317</v>
      </c>
      <c r="E514" s="13">
        <f t="shared" si="22"/>
        <v>0.64243254400904237</v>
      </c>
    </row>
    <row r="515" spans="1:5">
      <c r="A515" s="18">
        <v>514</v>
      </c>
      <c r="B515" s="4">
        <v>500</v>
      </c>
      <c r="C515" s="14">
        <f>(C514+(E515)*C514*(1-C514/D515))</f>
        <v>31873.541517686674</v>
      </c>
      <c r="D515" s="12">
        <f t="shared" si="21"/>
        <v>31846.96601299517</v>
      </c>
      <c r="E515" s="13">
        <f t="shared" si="22"/>
        <v>0.64053094367877561</v>
      </c>
    </row>
    <row r="516" spans="1:5">
      <c r="A516" s="18">
        <v>515</v>
      </c>
    </row>
  </sheetData>
  <phoneticPr fontId="0" type="noConversion"/>
  <pageMargins left="0.75" right="0.2" top="1" bottom="1" header="0.5" footer="0.5"/>
  <pageSetup scale="66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Fish Example</vt:lpstr>
      <vt:lpstr>Figures 1 and 2</vt:lpstr>
      <vt:lpstr>Logistic Growth Model Figure 3</vt:lpstr>
      <vt:lpstr>Forcing Model Figure 4</vt:lpstr>
      <vt:lpstr>'Forcing Model Figure 4'!Print_Area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</dc:creator>
  <cp:lastModifiedBy>Steve Sugden</cp:lastModifiedBy>
  <cp:lastPrinted>2009-12-04T18:19:58Z</cp:lastPrinted>
  <dcterms:created xsi:type="dcterms:W3CDTF">2007-03-29T02:15:59Z</dcterms:created>
  <dcterms:modified xsi:type="dcterms:W3CDTF">2010-02-10T23:53:22Z</dcterms:modified>
</cp:coreProperties>
</file>