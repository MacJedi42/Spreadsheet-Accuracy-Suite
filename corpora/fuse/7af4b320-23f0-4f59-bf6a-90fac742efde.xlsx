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Xifres" state="visible" r:id="rId3"/>
    <sheet sheetId="2" name="Atur_ Font SERVEF i INSS" state="visible" r:id="rId4"/>
    <sheet sheetId="3" name="Subv socials" state="visible" r:id="rId5"/>
    <sheet sheetId="4" name="Altres subvencions i convenis" state="visible" r:id="rId6"/>
    <sheet sheetId="5" name="Subvencions ludicofestives" state="visible" r:id="rId7"/>
    <sheet sheetId="6" name="Sub_convenis esport" state="visible" r:id="rId8"/>
    <sheet sheetId="7" name="Subv_convenis culturals i juv." state="visible" r:id="rId9"/>
    <sheet sheetId="8" name="Pagament obra pública" state="visible" r:id="rId10"/>
    <sheet sheetId="9" name="Factures i Contractes" state="visible" r:id="rId11"/>
    <sheet sheetId="10" name="Nitrats. Font AGUAS VALENCIA" state="visible" r:id="rId12"/>
  </sheets>
  <definedNames/>
  <calcPr/>
</workbook>
</file>

<file path=xl/sharedStrings.xml><?xml version="1.0" encoding="utf-8"?>
<sst xmlns="http://schemas.openxmlformats.org/spreadsheetml/2006/main" count="3097" uniqueCount="2831">
  <si>
    <t>Total euros comptabilitzats:</t>
  </si>
  <si>
    <t>Mes</t>
  </si>
  <si>
    <t>Aturats</t>
  </si>
  <si>
    <t>Diferència mensual</t>
  </si>
  <si>
    <t>Diferència mensual (%)</t>
  </si>
  <si>
    <t>Diferència interanual</t>
  </si>
  <si>
    <t>Diferència interanual (%)</t>
  </si>
  <si>
    <t>Núm altes en la Seg. Social</t>
  </si>
  <si>
    <t>Total pob. activa (aturats + afiliats SS)</t>
  </si>
  <si>
    <t>Tasa de desocupació</t>
  </si>
  <si>
    <t>Mitjana anual afiliacions</t>
  </si>
  <si>
    <t>Mitjana anual Pob. Activa</t>
  </si>
  <si>
    <t>MItjana anual taxa desocupació</t>
  </si>
  <si>
    <t>Març 2014</t>
  </si>
  <si>
    <t>Febrer 2014</t>
  </si>
  <si>
    <t>Gener 2014</t>
  </si>
  <si>
    <t>Desembre 2013</t>
  </si>
  <si>
    <t>novembre 2013</t>
  </si>
  <si>
    <t>octubre 2013</t>
  </si>
  <si>
    <t>setembre 2013</t>
  </si>
  <si>
    <t>agost 2013</t>
  </si>
  <si>
    <t>juliol 2013</t>
  </si>
  <si>
    <t>juny 2013</t>
  </si>
  <si>
    <t>maig 2013</t>
  </si>
  <si>
    <t>abril 2013</t>
  </si>
  <si>
    <t>març 2013</t>
  </si>
  <si>
    <t>febrer 2013</t>
  </si>
  <si>
    <t>gener 2013</t>
  </si>
  <si>
    <t>desembre 2012</t>
  </si>
  <si>
    <t>novembre 2012</t>
  </si>
  <si>
    <t>octubre 2012</t>
  </si>
  <si>
    <t>setembre 2012</t>
  </si>
  <si>
    <t>agost 2012</t>
  </si>
  <si>
    <t>juliol 2012</t>
  </si>
  <si>
    <t>juny 2012</t>
  </si>
  <si>
    <t>maig 2012</t>
  </si>
  <si>
    <t>abril 2012</t>
  </si>
  <si>
    <t>març 2012</t>
  </si>
  <si>
    <t>febrer 2012</t>
  </si>
  <si>
    <t>gener 2012</t>
  </si>
  <si>
    <t>desembre 2011</t>
  </si>
  <si>
    <t>novembre 2011</t>
  </si>
  <si>
    <t>octubre 2011</t>
  </si>
  <si>
    <t>setembre 2011</t>
  </si>
  <si>
    <t>agost 2011</t>
  </si>
  <si>
    <t>juliol 2011</t>
  </si>
  <si>
    <t>juny 2011</t>
  </si>
  <si>
    <t>maig 2011</t>
  </si>
  <si>
    <t>abril 2011</t>
  </si>
  <si>
    <t>març 2011</t>
  </si>
  <si>
    <t>febrer 2011</t>
  </si>
  <si>
    <t>gener 2011</t>
  </si>
  <si>
    <t>desembre 2010</t>
  </si>
  <si>
    <t>novembre 2010</t>
  </si>
  <si>
    <t>-</t>
  </si>
  <si>
    <t>octubre 2010</t>
  </si>
  <si>
    <t>setembre 2010</t>
  </si>
  <si>
    <t>agost 2010</t>
  </si>
  <si>
    <t>juliol 2010</t>
  </si>
  <si>
    <t>juny 2010</t>
  </si>
  <si>
    <t>maig 2010</t>
  </si>
  <si>
    <t>abril 2010</t>
  </si>
  <si>
    <t>març 2010</t>
  </si>
  <si>
    <t>febrer 2010</t>
  </si>
  <si>
    <t>gener 2010</t>
  </si>
  <si>
    <t>desembre 2009</t>
  </si>
  <si>
    <t>desembre 2008</t>
  </si>
  <si>
    <t>gener 2008</t>
  </si>
  <si>
    <t>desembre 2007</t>
  </si>
  <si>
    <t>desembre 2006</t>
  </si>
  <si>
    <t>desembre 2005</t>
  </si>
  <si>
    <t>desembre 2004</t>
  </si>
  <si>
    <t>desembre 2003</t>
  </si>
  <si>
    <t>Projecte Riu, 5q edició. CENTRE SUPERIOR INVESTIGACIÓ SALUT PÚBLICA</t>
  </si>
  <si>
    <t>10.085,55 euros, IVA inclòs.</t>
  </si>
  <si>
    <t>Subvencio MANS UNIDES "Llar infantil Índia"</t>
  </si>
  <si>
    <t>Subvenció Menjador de Lima. Parròquia de St Jaume</t>
  </si>
  <si>
    <t>Subvenció FONS VALENCIÀ PER LA SOLIDARITAT</t>
  </si>
  <si>
    <t>Subvenció ALGEMESÍ SOLIDARI 2013. Centre Saluta Basnérée</t>
  </si>
  <si>
    <t>Conveni col·laboració amb la Creu Roja</t>
  </si>
  <si>
    <t>Associació Familiars Malalts Mentals de la Ribera</t>
  </si>
  <si>
    <t>Conveni campany prevenció ceguera. FUNDACIÓ JORGE ALIÓ</t>
  </si>
  <si>
    <t>Subvenció ADISALGE</t>
  </si>
  <si>
    <t>Suvenció As. JUBILATS I PENSIONISTES ADP</t>
  </si>
  <si>
    <t>Subvenció ASFAL </t>
  </si>
  <si>
    <t>Projecte Riu, 4a edició. CENTRE SUPERIOR INVESTIGACIÓ SALUT PÚBLICA</t>
  </si>
  <si>
    <t>Subvencio MANS UNIDES "Escoles infantils per a beduins"</t>
  </si>
  <si>
    <t>Conveni col·laboració. 80% de 2012. CREU ROJA</t>
  </si>
  <si>
    <t>Projecte Riu, 3a edició. CENTRE SUPERIOR INVESTIGACIÓ SALUT PÚBLICA</t>
  </si>
  <si>
    <t>Subvenció Amics de la Providència</t>
  </si>
  <si>
    <t>Subvenció ASFAL</t>
  </si>
  <si>
    <t>Aportació al Fons Valencià de Solidaritat 2012</t>
  </si>
  <si>
    <t>Subvenció a ALGEMESÍ SOLIDARI. Pou Baasnére</t>
  </si>
  <si>
    <t>Subvenció projecte "Mans Unides" Guatemala</t>
  </si>
  <si>
    <t> Conveni col·laboració amb la Creu Roja (20%)</t>
  </si>
  <si>
    <t>Conveni col·laboració. 80% de 2011. CREU ROJA</t>
  </si>
  <si>
    <t>Aportació al Fons Valencià de Solidaritat 2011</t>
  </si>
  <si>
    <t>As. JUBILATS I PENSIONISTES UDP (Activitats exercici 2010)</t>
  </si>
  <si>
    <t>Subvenció projecte "Mans Unides" Índia</t>
  </si>
  <si>
    <t>Subvenció EMPAL</t>
  </si>
  <si>
    <t>As. Valenciana Agricultors</t>
  </si>
  <si>
    <t>UGT (Fed. Treballadors de la Terra</t>
  </si>
  <si>
    <t>CCOO- Fed. camp</t>
  </si>
  <si>
    <t>Unió de de llauradors</t>
  </si>
  <si>
    <t>Assessorament agrari local</t>
  </si>
  <si>
    <t>Subvenció ACSA Concurs escaparates campanya Nadal</t>
  </si>
  <si>
    <t>Subvenció ACSA</t>
  </si>
  <si>
    <t>Falla Plaça del Cid</t>
  </si>
  <si>
    <t>Falla Bernat Guinovart</t>
  </si>
  <si>
    <t>Falla Cristo de la Agonia</t>
  </si>
  <si>
    <t>Falla Santa Bàrbara</t>
  </si>
  <si>
    <t>Falla PLaça Tres Moreres</t>
  </si>
  <si>
    <t>Falla Victor Pradera</t>
  </si>
  <si>
    <t>Junta local fallera</t>
  </si>
  <si>
    <t>Falla Nou Mercat</t>
  </si>
  <si>
    <t>Falla Plaça de Cabanilles</t>
  </si>
  <si>
    <t>Falla El Pla</t>
  </si>
  <si>
    <t>Veïns Carrer Santiago Apostol</t>
  </si>
  <si>
    <t>Fester Carrer Sant Isidre Llaurador</t>
  </si>
  <si>
    <t>Subvenció Antic Alumnes Escolapis, Festival de Paelles</t>
  </si>
  <si>
    <t>Fester del Barri Sant Antoni de Pàdua</t>
  </si>
  <si>
    <t>Subvenció Falla Victor Pradera</t>
  </si>
  <si>
    <t>Subvenció Junta Local Fallera</t>
  </si>
  <si>
    <t>Subvenció Falla Plaça 3 Moreres</t>
  </si>
  <si>
    <t>Subvenció Falla Plaça Ideal Terrassa</t>
  </si>
  <si>
    <t>Subvenció Plaça Cabanilles</t>
  </si>
  <si>
    <t>Veïns carrer Sant Onofre</t>
  </si>
  <si>
    <t>Ajuda econòmica Festers Sant Joan Baptiste</t>
  </si>
  <si>
    <t>Subvenció Festers del Barri Sant Antoni de Padua</t>
  </si>
  <si>
    <t>Subvenció veïns Barri St Onofre. Subvenions 2011</t>
  </si>
  <si>
    <t>Subvencio Fira Medieval (Falla B. Guinovart</t>
  </si>
  <si>
    <t>Veïns carrer Sant Vicent</t>
  </si>
  <si>
    <t>Fester veïns carrer Sant Onofre</t>
  </si>
  <si>
    <t>Fester carrer Sant Antoni</t>
  </si>
  <si>
    <t>Falla Pl. Cabanilles</t>
  </si>
  <si>
    <t>Falla Ideal Terassa</t>
  </si>
  <si>
    <t>Falla Barri Santa Bàrbara</t>
  </si>
  <si>
    <t>Falla Tres Moreres</t>
  </si>
  <si>
    <t>Conveni amb HANDBOL MARISTES</t>
  </si>
  <si>
    <t>Subvenció nominativa al CLUB TRIATLÓ ALGEMESÍ</t>
  </si>
  <si>
    <t>Subvenció nominativa al CLUB CICLISTA ALGEMESÍ</t>
  </si>
  <si>
    <t>Subvenció nominativa al CLUB DE CAZA LA GOLONDRINA</t>
  </si>
  <si>
    <t>Subvenció nominativa al CLUB NATACIÓ XÚQUER</t>
  </si>
  <si>
    <t>Subvenció nominativa al I.C.P. Mundial Superbikes</t>
  </si>
  <si>
    <t>Subvenció nominativa al C.F. RACING D'ALGEMESÍ AMATEUR</t>
  </si>
  <si>
    <t>Subvenció nominativa a l'EQUIP ALGEMESÍ CLUB DE FUTBOL</t>
  </si>
  <si>
    <t>Subvenció nominativa al CLUB BERCA ECUESTRE D'ALGEMESÍ</t>
  </si>
  <si>
    <t>Subvencio Amics del Tir i Arrossegament, exercici 2013</t>
  </si>
  <si>
    <t>AD SCOOTER CLUB </t>
  </si>
  <si>
    <t>AEROCLUB ALGEMESÍ </t>
  </si>
  <si>
    <t>ALGEMESI, CF </t>
  </si>
  <si>
    <t>AL-MOO-KWAN </t>
  </si>
  <si>
    <t>AMICS DEL TENIS  </t>
  </si>
  <si>
    <t>ASSO. ORNITOLÒGICA PARDINES  </t>
  </si>
  <si>
    <t>ASSO. ORNITOLÒGICA SILVESTRISTA  </t>
  </si>
  <si>
    <t>BÀSQUET ALGEMESÍ  </t>
  </si>
  <si>
    <t>CB MARISTES  </t>
  </si>
  <si>
    <t>CAMA  </t>
  </si>
  <si>
    <t>CLUB ATLETISME  </t>
  </si>
  <si>
    <t>CLUB BÀSQUET VA DE BÀSQUET  </t>
  </si>
  <si>
    <t>CLUB DE PESCA EL SURET  </t>
  </si>
  <si>
    <t>CLUB DE PESCA LA XOPERA</t>
  </si>
  <si>
    <t>CLUB SQUASH ALGEMESÍ  </t>
  </si>
  <si>
    <t>CLUB TORTUGA ALGEMESÍ </t>
  </si>
  <si>
    <t>COLLA DE PILOTAIRES D’ALGEMESÍ  </t>
  </si>
  <si>
    <t>CSTAIJIQUAN   </t>
  </si>
  <si>
    <t>CLUB TENIS ALGEMESÍ  </t>
  </si>
  <si>
    <t>PANCHOS BIKE ALGEMESÍ  </t>
  </si>
  <si>
    <t>CLUB RÀCING ALGEMESÍ  </t>
  </si>
  <si>
    <t>CLUB TENIS TAULA ALGEMESÍ </t>
  </si>
  <si>
    <t>CLUB YING SHOU QUAN </t>
  </si>
  <si>
    <t>Subvenció nominativa CLUB TRIATLÓ</t>
  </si>
  <si>
    <t>Subvencio nominativa CLUB DE CAZA LA GOLONDRINA</t>
  </si>
  <si>
    <t>Subvenció nominativa CLUB NACIÓ XÚQUER</t>
  </si>
  <si>
    <t>Subvenció nominativa  ALGEMESÍ CF</t>
  </si>
  <si>
    <t>Conveni amb HANDBOL MARISTES 13/14</t>
  </si>
  <si>
    <t>Subvenció nominativa RACING D'ALGEMESI "A"</t>
  </si>
  <si>
    <t>Subvenció nominativa CLUB CICLISTA ALGEMESÍ</t>
  </si>
  <si>
    <t>AL-MOO-KWAN (Sub esportives 2012)</t>
  </si>
  <si>
    <t>ASSO. ORNITOLOGICA PARDINES (Sub esportives 2012)</t>
  </si>
  <si>
    <t>ASSO. ORNITOLOGICA SILVESTRISTA (Sub esportives 2012)</t>
  </si>
  <si>
    <t>BALONMANO MARISTES (Sub esportives 2012)</t>
  </si>
  <si>
    <t>BÀSQUET ALGEMESI (Sub esportives 2012)</t>
  </si>
  <si>
    <t>CLUB BASQUET VA DE BASQUET (Sub esportives 2012)</t>
  </si>
  <si>
    <t>CAMA (Sub esportives 2012)</t>
  </si>
  <si>
    <t>CLUB ATLETISME(Sub esportives 2012)</t>
  </si>
  <si>
    <t>CLUB DE PESCA EL SURET  (Sub esportives 2012)</t>
  </si>
  <si>
    <t>CLUB DE PESCA LA XOPERA  (Sub esportives 2012)</t>
  </si>
  <si>
    <t>CLUB SQUASH (Sub esportives 2012)</t>
  </si>
  <si>
    <t>CLUB TORTUGA (Sub esportives 2012)</t>
  </si>
  <si>
    <t>CSTAIJIQUAN (Sub esportives 2012)</t>
  </si>
  <si>
    <t>FRONTENIS ALGEMESI  (Sub esportives 2012)</t>
  </si>
  <si>
    <t>GRUPETA DE LA RIBERA (Sub esportives 2012)</t>
  </si>
  <si>
    <t>PANCHOS BIKE (Sub esportives 2012)</t>
  </si>
  <si>
    <t>RÀCING ALGEMESI (Sub esportives 2012)</t>
  </si>
  <si>
    <t>SCOOTER CLUB (Sub esportives 2012)</t>
  </si>
  <si>
    <t>SIS PISTONS (Sub esportives 2012)</t>
  </si>
  <si>
    <t>TENIS TAULA ALGEMESÍ (Sub esportives 2012)</t>
  </si>
  <si>
    <t>CLUB TRIATLÓ ALGEMESÍ (Sub esportives 2012)</t>
  </si>
  <si>
    <t>AEROCLUB   (Sub esportives 2012)</t>
  </si>
  <si>
    <t>ALGETENIS (Sub esportives 2012)</t>
  </si>
  <si>
    <t>Conveni amb HANDBOL MARISTES 12/13</t>
  </si>
  <si>
    <t>Organització Campionat Pesca Fira. Club de Pesca la Xopera</t>
  </si>
  <si>
    <t>Participació XXX Jocs Escolars. DIVERSOS CENTRES EDUCATIUS</t>
  </si>
  <si>
    <t>Club AL MOO KWAN</t>
  </si>
  <si>
    <t>CLUB DE PESCA LA XOPERA (Subv. nominativa)</t>
  </si>
  <si>
    <t>Amics del tir i arrossegament (Subv. nominativa)</t>
  </si>
  <si>
    <t>Conveni amb HANDBOL MARISTES 11/12</t>
  </si>
  <si>
    <t>YING SHOU QUAN  (Subv. esportives 2011)</t>
  </si>
  <si>
    <t>SIS PISTONS  (Subv. esportives 2011)</t>
  </si>
  <si>
    <t>SCOOTER CLUB  (Subv. esportives 2011)</t>
  </si>
  <si>
    <t>RÀCING ALGEMESÍ  (Subv. esportives 2011)</t>
  </si>
  <si>
    <t>PANCHOS BIKE  (Subv. esportives 2011)</t>
  </si>
  <si>
    <t>GRUPETA DE LA RIBERA V (Subv. esportives 2011)</t>
  </si>
  <si>
    <t>FRONTENIS ALGEMESÍ  (Subv. esportives 2011)</t>
  </si>
  <si>
    <t>CSTAIJIQUAN  (Subv. esportives 2011)</t>
  </si>
  <si>
    <t>COLLA DE PILOTAIRES  (Subv. esportives 2011)</t>
  </si>
  <si>
    <t>CLUB TORTUGA  (Subv. esportives 2011)</t>
  </si>
  <si>
    <t>CLUB SQUASH  (Subv. esportives 2011)</t>
  </si>
  <si>
    <t>CLUB DE PESCA LA XOPERA (Subv. esportives 2011)</t>
  </si>
  <si>
    <t>CLUB DE PESCA EL SURET (Subv. esportives 2011)</t>
  </si>
  <si>
    <t>CLUB ATLETISME  (Subv. esportives 2011)</t>
  </si>
  <si>
    <t>CAMA  (Subv. esportives 2011)</t>
  </si>
  <si>
    <t>BÀSQUET ALGEMESÍ  (Subv. esportives 2011)</t>
  </si>
  <si>
    <t>BALONMANO MARISTES  (Subv. esportives 2011)</t>
  </si>
  <si>
    <t>ASSO. ORNITOLÒGICA  (Subv. esportives 2011)</t>
  </si>
  <si>
    <t>ALGETENIS  (Subv. esportives 2011)</t>
  </si>
  <si>
    <t>ALGEMESÍ  CF   (Subv. esportives 2011)</t>
  </si>
  <si>
    <t>AL-MOO-KWAN  (Subv. esportives 2011)</t>
  </si>
  <si>
    <t>AEROCLUB (Subv. esportives 2011)</t>
  </si>
  <si>
    <t>Organització Campionat Pesca Fira. No consta beneficiàri. Per resolució Alcaldia 1206/2011</t>
  </si>
  <si>
    <t>Subvenció Club de Pesca la Xopera</t>
  </si>
  <si>
    <t>Amics del tir i arrossegament</t>
  </si>
  <si>
    <t>Subvenció nominativa associació VEINS CARRASCALET</t>
  </si>
  <si>
    <t>Subvenció econòmica Centre Musical J. B. CABANILLES</t>
  </si>
  <si>
    <t>Subvenció nominativa associació CEPA JAUME I</t>
  </si>
  <si>
    <t>Subvenció nominativa a NUEVO AMANECER GITANO</t>
  </si>
  <si>
    <t>Subvenció nominativa a ASSOCIACIÓ MESTRESES DE CASA TYRIUS</t>
  </si>
  <si>
    <t>Contracte menor prestació de serveis amb la COLLA d'Algemesí</t>
  </si>
  <si>
    <t>Conveni de col·laboració amb l'associació de tabal i dolçaina</t>
  </si>
  <si>
    <t>Conveni plurianual parròquia ST JAUME construcció orgue</t>
  </si>
  <si>
    <t>Curs Monitor Temps Lliure Infantil i Juvenil ESPAI JOVE</t>
  </si>
  <si>
    <t>Beques Transport Joves estudiants Universitaris 2013-2014 </t>
  </si>
  <si>
    <t>Subvenció CONFRARIA NOSTRA SENYORA AL PEU DE LA CREU </t>
  </si>
  <si>
    <t>Fra. 10/13 Quart trimestre conveni entre l'Ajuntament i la Societat Musical Santa Cecilia SOCIETAT MUSICAL D'ALGEMESI</t>
  </si>
  <si>
    <t>Tercer trimestre BANDA DE MÚSICA ST CECILIA</t>
  </si>
  <si>
    <t>Tercer trimestre SCHOLA CANTÒRUM</t>
  </si>
  <si>
    <t>Organització XLV Assemblea Societats Musicals. SOCIETAT MUSICAL D'ALGEMESÍ</t>
  </si>
  <si>
    <t>Prestació de serveis de Berca. Grup de danses Berca.</t>
  </si>
  <si>
    <t>Segon trim SCHOLA CANTORUM</t>
  </si>
  <si>
    <t>Segon trim societat musical</t>
  </si>
  <si>
    <t>Fundació Fester Mare de Déu de la Salut.</t>
  </si>
  <si>
    <t>L'Ullal Cultural (Subvencions culturals 2013)</t>
  </si>
  <si>
    <t>Amics Joan Girbés (Subvencions culturals 2013)</t>
  </si>
  <si>
    <t>Astrònoms d'Algemesí (Subvencions culturals 2013)</t>
  </si>
  <si>
    <t>AMPA Joan Bta. CABANILLES. Activitats i cursets (Subv. Culturals 2013)</t>
  </si>
  <si>
    <t>La casa Cantonera (Subvencions culturals 2013)</t>
  </si>
  <si>
    <t>Tertúlia Cultural  Taurina Algemesí  (Subvencions culturals 2013)</t>
  </si>
  <si>
    <t>Nius de Nit (Subvencions culturals 2013)</t>
  </si>
  <si>
    <t>Casa de Andalucia (Subvencions culturals 2012)</t>
  </si>
  <si>
    <t>GRUP SCOUT AZAHAR (Subvencions joventut 2013)</t>
  </si>
  <si>
    <t>ALPEIA 2025 (Subvencions joventut 2013)</t>
  </si>
  <si>
    <t>Conveni col·laberació grup de danses BERCA</t>
  </si>
  <si>
    <t>Subvenció nominativa associació AAA Maristes</t>
  </si>
  <si>
    <t>Subvenció nominativa APYLDEA</t>
  </si>
  <si>
    <t>Subvenció CONFRARIA NOSTRA SENYORA AL PEU DE LA CREU per organització campionat de truc i maneta</t>
  </si>
  <si>
    <t>L'Ullal Cultural (Subvencions culturals 2012)</t>
  </si>
  <si>
    <t>Amics Joan Girbés (Subvencions culturals 2012)</t>
  </si>
  <si>
    <t>Astrònoms d'Algemesí (Subvencions culturals 2012)</t>
  </si>
  <si>
    <t>AMPA Joan Bta. CABANILLES. Activitats i cursets (Subv. Culturals 2012)</t>
  </si>
  <si>
    <t>La casa Cantonera (Subvencions culturals 2012)</t>
  </si>
  <si>
    <t>Tertúlia Cultural  Taurina Algemesí  (Subvencions culturals 2012)</t>
  </si>
  <si>
    <t>Nius de Nit (Subvencions culturals 2012)</t>
  </si>
  <si>
    <t>Prestació de serveis de Berca grup de Danses segon semestre. Grup de danses Berca.</t>
  </si>
  <si>
    <t>Junta Fester Mare de Déu de la Salut. Barri Sta Bàrbara</t>
  </si>
  <si>
    <t>GRUP SCOUT AZAHAR (Subvencions joventut 2012)</t>
  </si>
  <si>
    <t>MAR-CHA ALGEMESÍ (Subvencions joventut 2012)</t>
  </si>
  <si>
    <t>A. ESCOLTA CALASSANÇ (Subvencions joventut 2012)</t>
  </si>
  <si>
    <t>Contracte de prestació de serveis amb la Societat Musical Sta. Cecilia. Any 2012</t>
  </si>
  <si>
    <t>Subv. nom. Veins carres Sant Onofre</t>
  </si>
  <si>
    <t>Subv. nominativa Cofradia Nostra Sra Peu de la Creu</t>
  </si>
  <si>
    <t>Concurs de Tir i Arrossegament ASSOCIACIÓ VEÏNS CARRER SANT ISIDRE</t>
  </si>
  <si>
    <t>Conveni col·laboració Muixeranga d'Algemesí.</t>
  </si>
  <si>
    <t>Conveni col·laboració Nova Muixeranga d'Algemesí.</t>
  </si>
  <si>
    <t>Contracte entre l'Ajuntament i l'Schola Cantorum</t>
  </si>
  <si>
    <t>Conveni plurianual parròquia ST JAUME construcció orgue (3r any)</t>
  </si>
  <si>
    <t>Quart trimestre  prestació actuacions musicals. Schola Cantorum d'Algemesí</t>
  </si>
  <si>
    <t>Actuació Trobada 11 de Juny bus Perpinya- Algemesí Colla Bao. Nova Muixeranga</t>
  </si>
  <si>
    <t>Quart trimestre conveni Escola Dolçaina i Tabal</t>
  </si>
  <si>
    <t>Cofradia N.S. AL PEU DE LA CREU</t>
  </si>
  <si>
    <t>Actes 3r trimestre. SOCIETAT MUSICAL</t>
  </si>
  <si>
    <t>Tercer trimestre  prestació actuacions musicals. Schola Cantorum d'Algemesí</t>
  </si>
  <si>
    <t>Actuació Trobada 11/06/2011. Nova Muixeranga</t>
  </si>
  <si>
    <t>Classes d'àrab per a xiquets. Centro Cultural Islámico la Paz</t>
  </si>
  <si>
    <t>Actes 2n trimestre. SOCIETAT MUSICAL</t>
  </si>
  <si>
    <t>AMES DE CASA TYRIUS. Programa activitats (Subv. Culturals 2011)</t>
  </si>
  <si>
    <t>AAA MARISTES. Concert Orgue i concurs betllems (Subv. Culturals 2011)</t>
  </si>
  <si>
    <t>AMPA Joan Bta. CABANILLES. Activitats i cursets (Subv. Culturals 2011)</t>
  </si>
  <si>
    <t>NUEVO AMANCER GITANO Conociendo las costumbres (Subv. Culturals 2011)</t>
  </si>
  <si>
    <t>As VEÏNS DEL CARRASCALET Prog. activitats (Subv. Culturals 2011)</t>
  </si>
  <si>
    <t>As. AMICS JOAN GIRBÉS. Programa activitats (Subv. Culturals 2011)</t>
  </si>
  <si>
    <t>ASTRÒNOMS D'ALGEMESÍ Programa activitats</t>
  </si>
  <si>
    <t>As. CULTURAL CASA ANDALUCÍA. Prog. activitats (Subv. Culturals 2011)</t>
  </si>
  <si>
    <t>NIUS DE NIT. Nius de nit 2011</t>
  </si>
  <si>
    <t>APYLDEA Programa d'activitats (Subv. Culturals 2011)</t>
  </si>
  <si>
    <t>CEPA JAUME I. Tallers  pintura, inform...(Subv. Culturals 2011)</t>
  </si>
  <si>
    <t>Pagament del 2n Premi de Pintura al Aire Lliure</t>
  </si>
  <si>
    <t>Subvenció grup dances Berca 2011</t>
  </si>
  <si>
    <t>GRUP SCOUT AZAHAR (Subvencions joventut 2011)</t>
  </si>
  <si>
    <t>MAR-CHA ALGEMESÍ (Subvencions joventut 2011)</t>
  </si>
  <si>
    <t>ALPEIA 2025 (Subvencions joventut 2011)</t>
  </si>
  <si>
    <t>A. ESCOLTA CALASSANÇ (Subvencions joventut 2011)</t>
  </si>
  <si>
    <t>Fundació "Festa Mare de Déu de la Salut"</t>
  </si>
  <si>
    <t>Ajuda econòmica Centre Musical J. B. CABANILLES</t>
  </si>
  <si>
    <t>Ajuda construcció orgue Basílica</t>
  </si>
  <si>
    <t>Aprovació certificació núm 6 Obres Ruralter Paisatget a CONSTRUCCIONES TÉCNICAS</t>
  </si>
  <si>
    <t>Millora imbornals de El Pla. MOLINA FRRANDIS</t>
  </si>
  <si>
    <t>Millores C/ Sant Sebastià, MOLINA FERRANDIS</t>
  </si>
  <si>
    <t>«Condicionament i conservació de l’Escola municipal de dolçaina Fase IV»  Cert, 1. GRUPO SEBRIG, SL.</t>
  </si>
  <si>
    <t>Certificat final construcció 256 nínxols. CONSTRUCCIONES TÉCNICS</t>
  </si>
  <si>
    <t>Obra adequació infraestructures elèctriques Raval. CONST MOLINA FERRANDIS</t>
  </si>
  <si>
    <t>Certificació núm 2 "Adequació obres nucli Raval" CONST. MOLINA FERRANDIS</t>
  </si>
  <si>
    <t>Adecuació de les infraustructures elèctriques al nucli del Carrascalet. CONTRUCCIONES MOLINA FERRANDIS SL</t>
  </si>
  <si>
    <t>Condicionament i conservació de l'escola municipal de Tabalet i Dolçaina. GRUPO SEBRIG SL</t>
  </si>
  <si>
    <t>Adaptació projecte edifici Mercat.. MEDRANO SÁEZ ARQUITECTOS SLP</t>
  </si>
  <si>
    <t>Certificació núm 1 "Adequació obres nucli Raval" CONST. MOLINA FERRANDIS</t>
  </si>
  <si>
    <t>Reparació edifici escolapi del C/ Fusters. HNOS. VIOLERO</t>
  </si>
  <si>
    <t>Reparació canonades cementiri. SORIA SAEZ SL</t>
  </si>
  <si>
    <t>Reposició urgent paviment asfàltic. PAVASAL</t>
  </si>
  <si>
    <t>Aprovació certificació núm 4 Obres Ruralter Paisatget a CONSTRUCCIONES TÉCNICAS</t>
  </si>
  <si>
    <t>Restauració Conjunt Calvari i Ermita Sant Onofre CONSTRUCCIONES TÈCNICAS S.L.</t>
  </si>
  <si>
    <t>Urbanització de la UE A Sector 6 de Cotes. PAVASAL</t>
  </si>
  <si>
    <t>Aprovació certificació núm 3 Obres Ruralter Paisatget a CONSTRUCCIONES TÉCNICAS</t>
  </si>
  <si>
    <t>Aprovació certificació núm 2 Obres Ruralter Paisatget a CONSTRUCCIONES TÉCNICAS</t>
  </si>
  <si>
    <t>Aprovació certificació núm 1 Obres Ruralter Paisatget a CONSTRUCCIONES TÉCNICAS</t>
  </si>
  <si>
    <t>Treball camí motor de masans. CONST. PROM. RUBIO SL</t>
  </si>
  <si>
    <t>Alcorques camí Tancadeta. CONS MOLINA FERRANDIS</t>
  </si>
  <si>
    <t>Execució rampes mobilitat reduïda. CONST MOLINA FERRANDIS</t>
  </si>
  <si>
    <t>Aprovació certificació núm 25 Centre Polivalent a CONSTRUCCIONES TÉCNICAS</t>
  </si>
  <si>
    <t>Instal·lació tanca CP Ribalta. CONST. TÉCNICAS</t>
  </si>
  <si>
    <t>Reparació goteres caixa Teatre. RIBERALLAR CONSTRUïM SOL</t>
  </si>
  <si>
    <t>Canvi sòl piscina descoberta. C.F.E.V</t>
  </si>
  <si>
    <t>Tancament solar C/ Almussafes,20. CONSTRUCCIONES RUBIO</t>
  </si>
  <si>
    <t>Alcorques C/ Josefa Ahuir. MOLINA FERRANDIS SL</t>
  </si>
  <si>
    <t>Treballs pavimentació pati Museu Festa. BOU SL</t>
  </si>
  <si>
    <t>Reparació imbornals Zona Pla. Const. Molina Ferrandis</t>
  </si>
  <si>
    <t>Reparació imbornals carrer Serrans. Const. Molina Ferrandis</t>
  </si>
  <si>
    <t>Reparació imbornals carrer Nicolau de Bari. Const. Molina Ferrandis</t>
  </si>
  <si>
    <t>Pavimentació gimnàs col·legi Cervantes</t>
  </si>
  <si>
    <t>Contracte menbor Reparació de Vies Públiques. CONS MOLINA FERRANDIS</t>
  </si>
  <si>
    <t>Arena obra cami pujos. CANTERAS Y ÁRIDOS LLAURÍ</t>
  </si>
  <si>
    <t>Reparació imbornals carrer Camp de Turia. Const. Molina Ferrandis</t>
  </si>
  <si>
    <t>Reparació imbornals carrer Plana d'Utiel. Const. Molina Ferrandis</t>
  </si>
  <si>
    <t>Fra 1/13 Impermeabilització caseta piragües. Const. Girbés Felici SL</t>
  </si>
  <si>
    <t>Fra 3/13 Impermeabilització caseta piragües. Const. Girbés Felici SL</t>
  </si>
  <si>
    <t>Aprovació certificació núm 24 Centre Polivalent a CONSTRUCCIONES TÉCNICAS</t>
  </si>
  <si>
    <t>Tasques prèvies pavimentació pati museo. BOU SL</t>
  </si>
  <si>
    <t>Certificat núm 2 "Millora sistema viari Raval". CONSTRUCCIONES MOLINAFERRANDIS</t>
  </si>
  <si>
    <t>Certificat núm 1 "Millora sistema viari Rava". CONSTRUCCIONES MOLINAFERRANDIS</t>
  </si>
  <si>
    <t>Reparació cobertes inclinades cementeri municipal. SORIA SÀEZ SL</t>
  </si>
  <si>
    <t>Direcció obra Polivalent. TYPSA</t>
  </si>
  <si>
    <t>Aprovació certificació núm 23 Centre Polivalent a CONSTRUCCIONES TÉCNICAS</t>
  </si>
  <si>
    <t>Aprovació certificació núm 22 Centre Polivalent a CONSTRUCCIONES TÉCNICAS</t>
  </si>
  <si>
    <t>Aprovació certificació núm 21 Centre Polivalent a CONSTRUCCIONES TÉCNICAS</t>
  </si>
  <si>
    <t>Repavimentació carrer Lepanto i Acadèmic Segura. PAVASAL</t>
  </si>
  <si>
    <t>Adequació infraestructures elèctriques Carrascalet</t>
  </si>
  <si>
    <t>Millora del sistema viari i voreres al Raval. CONST MOLINA FERRANDIS</t>
  </si>
  <si>
    <t>Aprovació certificació núm 20 Centre Polivalent a CONSTRUCCIONES TÉCNICAS</t>
  </si>
  <si>
    <t>Direcció obra execució polivalent. TECNICA Y PROYECTOS SA</t>
  </si>
  <si>
    <t>Millora imbornals de El Pla. MOLINA FERRANDIS</t>
  </si>
  <si>
    <t>Construcció 255 nínxols. CONSTRUCCIONES TÉCNICAS EIS</t>
  </si>
  <si>
    <t>Aprovació certificació núm 19 Centre Polivalent a CONSTRUCCIONES TÉCNICAS</t>
  </si>
  <si>
    <t>Adequació encreuament C/ Juan de Juanes i C/ Beuna. GENERAL ELÈCTRICA VALENCIANA</t>
  </si>
  <si>
    <t>Aprovació certificació núm 18 Centre Polivalent a CONSTRUCCIONES TÉCNICAS</t>
  </si>
  <si>
    <t>Instal·lació sol cautxu P. Cabanilles. INST Y MANT. PARQUES INFANTILES SL</t>
  </si>
  <si>
    <t>Direcció obra i de seg. i salut centre Polivalent. Fra. 12051-69 TYPSA</t>
  </si>
  <si>
    <t>Direcció obra i de seg. i salut centre Polivalent. Fra 120630-34 TYPSA</t>
  </si>
  <si>
    <t>Reparació creuament C/ Muntanya, St Josep de Cal. i Ac.Segura. MOLINA FERRANDIS</t>
  </si>
  <si>
    <t>Obres conservació Escola Dolçaina i Tabal. SEBRIG</t>
  </si>
  <si>
    <t>Aprovació certificació núm 17 Centre Polivalent a Conscea-Cons Técnicas UTE</t>
  </si>
  <si>
    <t>Pla ordenació renovació Parc S. Castell. J.C.M. Arquitectes</t>
  </si>
  <si>
    <t>Fra. 132/12 Reparacions Carrer Lepanto (Catas) CONST. MOLINA FERRANDIS SL.</t>
  </si>
  <si>
    <t>Fra. 125/12 Reparacions escoleta infantil Mestre Lozano CONST. MOLINA FERRANDIS SL.</t>
  </si>
  <si>
    <t>Aprovació certidicació núm. 10 Remodelació Parc S. Castell. CONSCEA</t>
  </si>
  <si>
    <t>Fra. 5/12 Honoraris direcció d'obra i certificat final d'obra Parc Salvador Castell Fase III JOSEP CARRASCO MASIA ARQUITECTES SL.</t>
  </si>
  <si>
    <t>Fra. 8/12 Honoraris direcció execució d'obra renovació Parc Salvador Castell Fase III LL.A.D.</t>
  </si>
  <si>
    <t>Fra. 9/12 Honoraris coordinació seguretat i salut renovació Parc Salvador Castell Fase III LL.A.D.</t>
  </si>
  <si>
    <t>Formigó i llosa. Pont de llosa</t>
  </si>
  <si>
    <t>Fra. 76/12 Treballs reparació imbornal i socavó entrada Grup la Pau. CONST. MOLINA FERRANDIS SL.</t>
  </si>
  <si>
    <t>Treballs reparació carrer dels Ànecs, dels Mont, jardí Capella i vorera piscina coberta brachichitos. CONST. MOLINA FERRANDIS SL.</t>
  </si>
  <si>
    <t>Fra. 86/12 Reparació vorera Col·legi públic Blasco Ibáñez, Avda. País Valencià. CONST. MOLINA FERRANDIS SL.</t>
  </si>
  <si>
    <t>Fra. 81/12 Reparacions baldoses carrer Maria Ràfols i vorera antics Maristes, Parc Salvador Castell. CONST. MOLINA FERRANDIS SL.</t>
  </si>
  <si>
    <t>Fra. 82/12 Reparacions carrers: Lepanto, València i Ronda d'Alzira baldoses. Parc Salvador Castell, Plaça d'Alacant carrer Sta. Bàrbara vianants, Sant Josep de Calasanz. CONST. MOLINA FERRANDIS SL.</t>
  </si>
  <si>
    <t>Fra. 85/12 Reparacions carrer Germaníes, 11. CONST. MOLINA FERRANDIS SL.</t>
  </si>
  <si>
    <t>Fra. 5/12 Treballs Retroexcavadora Camí La Per - Senda Esquenota. JFS</t>
  </si>
  <si>
    <t>Treballs de reparació en carrer Santa Bárbara. Construcciones Molina Ferrandis SL</t>
  </si>
  <si>
    <t>Treballs de reparació en carrer Isabel la Catòlica. Construcciones Molina Ferrandis SL</t>
  </si>
  <si>
    <t>Treballs de reparació en diferents zones carrer Castelló. Construcciones Molina Ferrandis SL</t>
  </si>
  <si>
    <t>Reparacions rajols en carrers Ferran d'Aragó, República de Xile, Sant Pere i Pintor Ribera. Const. Molina Ferrandis SL</t>
  </si>
  <si>
    <t>Treballs de reparació en carrer Escoles Pies</t>
  </si>
  <si>
    <t>Treballs de reparació en carer Maria Ràfols</t>
  </si>
  <si>
    <t>Treballs d'asfaltat en diversos carrers. Const. Molina Ferrandis SL</t>
  </si>
  <si>
    <t>Fra. 13/12 Treballs reparació Cementiri Municipal Cotes. RMFC</t>
  </si>
  <si>
    <t>Formigó obra Senda Esquerola. HORMICEMEX SA</t>
  </si>
  <si>
    <t>Treballs camió obra Senda Esq. CONTENEDORES LLEBROS SL</t>
  </si>
  <si>
    <t>Direcció obra i de seg. i salut centre Polivalent. TYPSA</t>
  </si>
  <si>
    <t>Reparació C/ Sant Isidre. MOLINA FERRANDIS SL</t>
  </si>
  <si>
    <t>Honoraris Direcció d'obres, Execució. TYPSA (Ingenieros Consultor y Arquitectos)</t>
  </si>
  <si>
    <t>Aprovació certificació núm 14 Centre Polivalent a Conscea-Cons Técnicas UTE</t>
  </si>
  <si>
    <t>Aprovació certificació núm 16 Centre Polivalent a Conscea-Cons Técnicas UTE</t>
  </si>
  <si>
    <t>Aprovació certificació núm 12 Centre Dia a Ortiz CP</t>
  </si>
  <si>
    <t>Direcció Obra Centre Dia C.A.I.</t>
  </si>
  <si>
    <t>Direcció Obra Centre Polivalent. TYPSA</t>
  </si>
  <si>
    <t>Treballs de reparació en carrers, Isabel la Catolica, Crist de l'Agonia i Pelaio. Const. Molina Ferrandis SL</t>
  </si>
  <si>
    <t>Treballs de reparació en carrers, Muntanya, Sant Dionís, Cadenas Moblat, Montesa i Lepanto. Const. Molina Ferrandis SL</t>
  </si>
  <si>
    <t>Treballs de reparació en carrers. Organista Sos, Benicull i Marqués de Campo. Const. Molina Ferrandis SL</t>
  </si>
  <si>
    <t>Treballs de reparació en carrers. Cànovas del Castillo, Parc Salvador Castell i Plaça de la Ribera. Const. Molina Ferrandis SL</t>
  </si>
  <si>
    <t>Treballs de reparació en carrers. Verge de la Salut i Ferran d'Arago. Const. Molina Ferrandis SL</t>
  </si>
  <si>
    <t>Aprovació certificació núm 15 Centre Polivalent a Conscea-Cons Técnicas UTE</t>
  </si>
  <si>
    <t>Aprovació certificació núm 13 Centre Polivalent a Conscea-Cons Técnicas UTE</t>
  </si>
  <si>
    <t>Aprovació certidicació núm. 9 Remodelació Parc S. Castell. CONSCEA</t>
  </si>
  <si>
    <t>Reparació cava adoqui C/Agustí Alamán. CONST. MOLINA FERRANDIS, S.L.</t>
  </si>
  <si>
    <t>Reparació "Zanja" de gas en C/ Nou. CONST. MOLINA FERRANDIS, S.L.</t>
  </si>
  <si>
    <t>Reparació cava Stop Ctra. Albalat/Avda.Corts Valencianes. CONST. MOLINA FERRANDIS, S.L.</t>
  </si>
  <si>
    <t>Endorroc casa Av Riu Magre. CONSTRUCCIONES TÉCNICAS</t>
  </si>
  <si>
    <t>Subministrament i abocament de formigó per reparació de murs de contenció de terres en camí barranc. Estructuras Orelac SA</t>
  </si>
  <si>
    <t>Reparació llosa pont de pas al camí de la paret del Molinet. Estructuras Orelac SA</t>
  </si>
  <si>
    <t>Reparació en el camí de servei junt a l'AVE. Const. Molina Ferrandis SL</t>
  </si>
  <si>
    <t>Reparació altar capella cementeri. MARMOLES TOLDRA SL</t>
  </si>
  <si>
    <t>Gestió sala exposicions novembre 2011   V.T.A.</t>
  </si>
  <si>
    <t>Aprovació certificació núm 10 Centre Polivalent a Conscea-Cons Técnicas UTE</t>
  </si>
  <si>
    <t>Aprovació certificació núm 11 Centre Polivalent a Conscea-Cons Técnicas UTE</t>
  </si>
  <si>
    <t>Construcciones Molina Ferrandis (Pla xoc Diputació)</t>
  </si>
  <si>
    <t>Construcciones Técnicas SL</t>
  </si>
  <si>
    <t>Construcciones Algemir SL</t>
  </si>
  <si>
    <t>Aprovació certificació núm 11 Centre Dia a Ortiz CP</t>
  </si>
  <si>
    <t>Aprovació certificació núm 12 "Ornament Nucli Urbà" a Molina Ferrandis SL</t>
  </si>
  <si>
    <t>Adequació instal·lacions esportives barri del raval. MASIÁ ALGEMESÍ SL</t>
  </si>
  <si>
    <t>Ädequació creament c/ Joan de Joanes - Beuna GENERAL ELÈCTRICA VALENCIANA</t>
  </si>
  <si>
    <t>Certificat núm 2 "Ampliació Casino per obrador". PANELES JJ</t>
  </si>
  <si>
    <t>Pavimentació carrer Covandonga -del c/ Albalat al c/ Pelaio- PAVASAL</t>
  </si>
  <si>
    <t>Rampa d'accés al poliesportiu. CONSTRUCCIONES TÉCNICAS</t>
  </si>
  <si>
    <t>Treballs de reposició d'adoquins C/Muntanya, C/Ribera Baixa Const. MOLINA FERRANDIS,S.L. </t>
  </si>
  <si>
    <t>Construcció pista de padel al poliesportiu. ALUMVILL</t>
  </si>
  <si>
    <t>Aprovació certificació núm 11 "Ornament Nucli Urbà" a Molina Ferrandis SL</t>
  </si>
  <si>
    <t>Aprovació certidicació núm. 8 Remodelació Parc S. Castell. CONSCEA</t>
  </si>
  <si>
    <t>Aprovació certificació núm 8 Centre Polivalent a Conscea-Cons Técnicas UTE</t>
  </si>
  <si>
    <t>Aprovació certificació núm 9 Centre Polivalent a Conscea-Cons Técnicas UTE</t>
  </si>
  <si>
    <t>Aprovació certificació núm 7 Centre Polivalent a Conscea-Cons Técnicas UTE</t>
  </si>
  <si>
    <t>Coordinació seguretat Centre Dia R.P.A.</t>
  </si>
  <si>
    <t>Direcció Obra Centre Dia J.A.P.</t>
  </si>
  <si>
    <t>Aprovació certificació núm 10 "Ornament Nucli Urbà" a Molina Ferrandis SL</t>
  </si>
  <si>
    <t>Aprovació certidicació núm. 7 Remodelació Parc S. Castell. CONSCEA</t>
  </si>
  <si>
    <t>Aprovació certificació num 10 carril bici polígon a CONSCEA</t>
  </si>
  <si>
    <t>Inst enllumenat Parc Sal. Castell/ Cabanilles Fase III. A.LL.R</t>
  </si>
  <si>
    <t>Aprovació certificació num 9 carril bici polígon a CONSCEA</t>
  </si>
  <si>
    <t>Aprovació certidicació núm. 5 Remodelació Parc S. Castell</t>
  </si>
  <si>
    <t>Aprovació certificació núm 5 Centre Polivalent a Conscea-Cons Técnicas UTE</t>
  </si>
  <si>
    <t>Aprovació certificació núm 10 Centre Dia a Ortiz CP</t>
  </si>
  <si>
    <t>Aprovació certificació núm 9 "Ornament Nucli Urbà" a Molina Ferrandis SL</t>
  </si>
  <si>
    <t>Aprovació certificació núm 1 Centre Dia a Ortiz CP</t>
  </si>
  <si>
    <t>Aprovació certificació núm 6 Centre Polivalent a Conscea-Cons Técnicas UTE</t>
  </si>
  <si>
    <t>Aprovació certificació núm 1 Zona Verda Raval-Carrascalet a Construcciones Rubio</t>
  </si>
  <si>
    <t>Aprovació certificació núm 9 Centre Dia a Ortiz CP</t>
  </si>
  <si>
    <t>Aprovació certificació num 8 carril bici polígon a CONSCEA</t>
  </si>
  <si>
    <t>Aprovació certidicació núm. 5 Remodelació Parc S. Castell. CONSCEA</t>
  </si>
  <si>
    <t>Aprovació certificació núm 8 "Ornament Nucli Urbà" a Molina Ferrandis SL</t>
  </si>
  <si>
    <t>Aprovació certidicació núm. 4 Remodelació Parc S. Castell. CONSCEA</t>
  </si>
  <si>
    <t>Aprovació certificació núm 3 Centre Polivalent a Conscea-Cons Técnicas UTE</t>
  </si>
  <si>
    <t>Aprovació certificació núm 7 Centre Dia a Ortiz CP</t>
  </si>
  <si>
    <t>Aprovació certificació núm 8 Centre Dia a Ortiz CP</t>
  </si>
  <si>
    <t>Aprovació certificació num 7 carril bici polígon a CONSCEA</t>
  </si>
  <si>
    <t>Aprovació certificació núm. 6 construcció nínxols. CONSTRUCCIONES TÉCNICAS</t>
  </si>
  <si>
    <t>Aprovació certificació núm.5 construcció nínxols. CONSTRUCCIONES TÉCNICAS</t>
  </si>
  <si>
    <t>Aprovació certidicació núm. 3 Remodelació Parc S. Castell. CONSCEA</t>
  </si>
  <si>
    <t>Aprovació certificació núm 2 Centre Polivalent a Conscea-Cons Técnicas UTE</t>
  </si>
  <si>
    <t>Aprovació certificació núm 5 Club Social Poliesportiu. CONSTRUCCIONES TÉCNICAS</t>
  </si>
  <si>
    <t>Aprovació certificació num 6 carril bici polígon a CONSCEA</t>
  </si>
  <si>
    <t>Aprovació certificació núm 1 Centre Polivalent a Conscea-Cons Técnicas UTE</t>
  </si>
  <si>
    <t>Treballs reparació C/ Covadonga-Bernat Guinovart. MOLINA FERRANDES SL</t>
  </si>
  <si>
    <t>Aprovació certificació num 4 carril bici polígon a CONSCEA</t>
  </si>
  <si>
    <t>Aprovació certificació num 5 carril bici polígon a CONSCEA</t>
  </si>
  <si>
    <t>Aprovació certificació núm 3 Instal. contenidors soterrats. GUARFER CONSTRUCCIONES</t>
  </si>
  <si>
    <t>Reforma Mercat anterior (Inclou la liquidació):  </t>
  </si>
  <si>
    <t>Indemnització constructora reforma Mercat: </t>
  </si>
  <si>
    <t>Indemnització Arquitècte i tècnics reforma Mercat:</t>
  </si>
  <si>
    <t>Execució material desmuntatge coberta Mercat antig</t>
  </si>
  <si>
    <t>Estudis i direcció tècnica desmuntatge mercat antig</t>
  </si>
  <si>
    <t>Estudi geotècnic 2008 obres Mercat</t>
  </si>
  <si>
    <t>8,691,86</t>
  </si>
  <si>
    <t>Enderrocament edifici Mercat Antic: </t>
  </si>
  <si>
    <t>Redacció projecte pàrquing i Mercat guanyador Concurs d’Idees: </t>
  </si>
  <si>
    <t>Altres premis concurs idees Mercat</t>
  </si>
  <si>
    <t>8,000,00</t>
  </si>
  <si>
    <t>Assegurança obligatòria/voluntària de vehicles 2014.  CONSORCI DE COMPENSACIÓ DE SEGUROS</t>
  </si>
  <si>
    <t>Organització Expo-Algemesí. CARBE PRODUCCIONS </t>
  </si>
  <si>
    <t>Assegurança responsabilitat civil Falles 2014. ASEGURADORA BOTELLA</t>
  </si>
  <si>
    <t>Stands per a la Fira de la tapa. FIREX STAND</t>
  </si>
  <si>
    <t>Factura Esteve Barberá Esteve, neteja i recollida, MARÇ 14</t>
  </si>
  <si>
    <t>Assegurances responsabilitat funcionaris i autoritats. AIG</t>
  </si>
  <si>
    <t>Servei de gestió i animació Espai Jove. SALVADOR ESCARTI CS SL</t>
  </si>
  <si>
    <t>Gestió i animació Centre sociocult. Carrascalet. novem 2013. SALVADOR. ESCARTI C. SSL </t>
  </si>
  <si>
    <t>Manteniment i neteja zones verdes Parc S. Castell  . P.R.J</t>
  </si>
  <si>
    <t>Contracte pòlissa defensa jurídica. DAS </t>
  </si>
  <si>
    <t>Edició, maquetació i redacció Berca BIM març. OPCIÓ COMUNICATIVA</t>
  </si>
  <si>
    <t>Educador social i ludoteca . EULEN SERVICIOS SOCIOSANITARIOS</t>
  </si>
  <si>
    <t>Manteniment i neteja zones verdes Parc B. G . P.R.J</t>
  </si>
  <si>
    <t>Telefonia fixa gener 2014. TELEFÒNICA ESPAÑA</t>
  </si>
  <si>
    <t>Servei direccio tècnica TV, mitjans comunicació telemàtica CARBE PRODUCCIONS S.L.</t>
  </si>
  <si>
    <t>Organització Passarel·la de Moda. NADAL Y LOZANO SL</t>
  </si>
  <si>
    <t>Dansa a les Escoles 2014. NIL SL</t>
  </si>
  <si>
    <t>Serveis prestats al Centre Municipal Salut Escolar. PROMOSALUT</t>
  </si>
  <si>
    <t>Manteniment programa GESPOL. BILBOMÀTICA SLA</t>
  </si>
  <si>
    <t>Jaima fira Oulet 2014 L.A.J.C</t>
  </si>
  <si>
    <t>Lloguer mercat Teular J. B. M. B.</t>
  </si>
  <si>
    <t> Gestió servei públic emissió programes Berca TV amb TDT  CARBE PRODUCCIONS S.L.</t>
  </si>
  <si>
    <t>Participació Mancomunitat Ribera Alta</t>
  </si>
  <si>
    <t>Pagament consorci de bomber (gen-feb)</t>
  </si>
  <si>
    <t>Fra IBERDROLA Aud. Moreno Gans</t>
  </si>
  <si>
    <t>Treball instal·lció transformador llum bar Poli. CONS  MOLINA FERRANDIS SL</t>
  </si>
  <si>
    <t>Factura Esteve Barberá Esteve, neteja i recollida, FEBRER 14</t>
  </si>
  <si>
    <t>MInuta proc. cont. admi . RICARDO DE VICENTE</t>
  </si>
  <si>
    <t>Edició, maquetació i redacció Berca BIM gener. OPCIÓ COMUNICATIVA</t>
  </si>
  <si>
    <t>Servei de gestió i animació Espai Jove gener 2014. SALVADOR ESCARTI CS SL</t>
  </si>
  <si>
    <t>Serveis prestats al gabinet drogodependècia.   GRUPO CENTRA  2002 SL</t>
  </si>
  <si>
    <t>Neteja escoles municipals. febrer 2014. ALOJA</t>
  </si>
  <si>
    <t>Compra vehicle peugeot urbanisme. AUTOINTER</t>
  </si>
  <si>
    <t>Manteniment programa EUROSICAL. UNIT4 BUSINESS</t>
  </si>
  <si>
    <t>Factura Esteve Barberá Esteve, neteja i recollida, GENER 24</t>
  </si>
  <si>
    <t>Contracte subministrament material oficina. LA PORTA DE XAROL</t>
  </si>
  <si>
    <t>Serveis prestats al Centre Municipal Salut Escolar febre 14. PROMOSALUT</t>
  </si>
  <si>
    <t>Minuta honararis recurs cont-adminstratiu núm 51. RICARDO DE VICENTE ABOGADOS SCP</t>
  </si>
  <si>
    <t>Reparació i manteniment jocs infantils Xopera. </t>
  </si>
  <si>
    <t>Fra. 2723/14 Desbrossadora Poligon Industrial Pepe Miquel J.P.R.</t>
  </si>
  <si>
    <t>Fra. T30 415/14 Menjar i beguda Sant Silvestre 2013 J.P.S.</t>
  </si>
  <si>
    <t>Fra. 6/14 Campanya regals Centre de dia ASFAL V.J.E.A.</t>
  </si>
  <si>
    <t>Fra. 2014/3 Muntatge i desmuntatge Haimes Betlem J.C.L.A.</t>
  </si>
  <si>
    <t>Magic Experience J.G.A.</t>
  </si>
  <si>
    <t>La màgia de la Flauta Màgica TEATRE DE LA CAIXETA</t>
  </si>
  <si>
    <t>La Dolorosa i Homenatge al Mestre Serrano ASSOCIACIÓ AMICS DE LA MÚSICA D'ALCOI</t>
  </si>
  <si>
    <t>Concert Viena Camerata ASSOCIACIÓ AMICS DE LA MÚSICA D'ALCOI</t>
  </si>
  <si>
    <t>Festa Major PRODUCCIONES ARTISTICAS LA UNIÓN</t>
  </si>
  <si>
    <t>Bankabaret LA DEPENDENT S.L.</t>
  </si>
  <si>
    <t>Concert Veterans de la Ribera AGRUPACIÓ MUSICAL DE VETERANS DE LA RIBERA DEL XÚQUER</t>
  </si>
  <si>
    <t>Titellet ARTICS PRODUCCIONS J.E.G.</t>
  </si>
  <si>
    <t>Desconcierto ELCOSHOW</t>
  </si>
  <si>
    <t>Retratos de Antaño ASSOCIACIÓ DANZA MEDITERRANEO</t>
  </si>
  <si>
    <t>Luces y Lentejuelas IBERLÍRICA</t>
  </si>
  <si>
    <t>Manteniment programa padró. UNIT4 BUSINESS</t>
  </si>
  <si>
    <t>Carrosses cavalcada reis 2014. CARROSSES EL POMBO</t>
  </si>
  <si>
    <t>Neteja escoles municipals. gener 2014. ALOJA</t>
  </si>
  <si>
    <t>assistència tècnica remota de la aplicació GIALwin.</t>
  </si>
  <si>
    <t>Vals alimentació S S. JUAN FORNES SL</t>
  </si>
  <si>
    <t>Sopar integrants reis 2014. ROPAC</t>
  </si>
  <si>
    <t>MIssatgeria administrativa ciutat de València. Contracte anual. UNIKALIS SL</t>
  </si>
  <si>
    <t>Subministrament Material Neteja Dependencies Municipals NETYA S.L.</t>
  </si>
  <si>
    <t>Fra. 002/15 Manteniment Aura Portal 2014 AURA DIFUSION S.L.</t>
  </si>
  <si>
    <t>Fra. 2/14 Lot de banderes per a  Policia GRUPVISUAL ALGEMESI</t>
  </si>
  <si>
    <t>Fra. 5/13 Campanya regals de Reis 2014 per a Presidencia, Esglesia i Monges V.J.E.A.</t>
  </si>
  <si>
    <t>Fra. 02/14 Cartells i Punts de llibre Cavalcada Reis 2014 IMPRENTA BRESO S.L.</t>
  </si>
  <si>
    <t>Quota FVMP 2014</t>
  </si>
  <si>
    <t> Gestió servei públic emissió programes Berca TV amb TDT des 2013 CARBE PRODUCCIONS S.L.</t>
  </si>
  <si>
    <t>Fra. 1/14 Comisari activitats expositives Sala Exposicions gener 2014 A.V.T.</t>
  </si>
  <si>
    <t>Fra. 60/14 Serveis manteniment informatic gener 2014 J.V.G.M.</t>
  </si>
  <si>
    <t>Fra. 2014-2 Lloguer carpa festa Fi d'Any 2013 J.C.L.A.</t>
  </si>
  <si>
    <t>Fra. 1 700 Borsetes xuxes Cavalcada Reis S.M.O.</t>
  </si>
  <si>
    <t>Fra. 002/13 Material Cavalcada Reis M.J.B.O.</t>
  </si>
  <si>
    <t>Fra. 1/14 Castell de Focs d'Artifici Cavalcada Reis, efectes Flash eixida FOC D'ARTIFICI EUROPLA S.L.</t>
  </si>
  <si>
    <t>Fra. 01/2014 Curs de Ball Llati G-2 MES QUE BALL</t>
  </si>
  <si>
    <t>Fra. 003112/13 Dinar Pilots i membres Helipistas vol amb Helicòpter Cavalcada Reis HERMANOS CALABUIG C.B.</t>
  </si>
  <si>
    <t>Fra. 00006/14 Esmorzars reunió informe de seguretat amb Comisari, Inspectors ROPAC S.L.</t>
  </si>
  <si>
    <t>Fra. 00007 Catering Museu de la Festa motiu deliveració Jurat ROPAC S.L.</t>
  </si>
  <si>
    <t>Fra. 14/00001 Anunci Cavalcada Reis megafonia cotxe C.P.G.</t>
  </si>
  <si>
    <t>Fra. 14/00004 Instal·lació i manteniment megafonia Misa i Benedicció animals C.P.G.</t>
  </si>
  <si>
    <t>Muntatge escenari polivalent.  AUDIONET</t>
  </si>
  <si>
    <t>Ajuda emergència aliments, serveis socials. JUAN FORNER S.L</t>
  </si>
  <si>
    <t>Fra. A-12/2013 Lloguer local Plaça Auditori Moreno Gans del 11-11 fins11-12 J.M.B.</t>
  </si>
  <si>
    <t>Fra. 4/13 Col·laboració Premi Interpretació "Ioannis Baptista Cabanilles" ASSOCIACIÓ ESTUDIS ORQUESTRALS I CAMBRA</t>
  </si>
  <si>
    <t>Fra. 1300/13 Lloguer equip so i il·luminació presentacions falleres en el Polivalent AUDIO-NET ALQUILER PROFESIONAL S.L.</t>
  </si>
  <si>
    <t>Fra. A/13-000195/13 Neteja extraordinaria Plaça del Cid, Paviment i Mobiliari Urbà 05-12-13 ESTEVE BARBERA ESTEVE S.L.</t>
  </si>
  <si>
    <t>Fra. A/13-000197 Neteja extraordinaria Plaça del Cid, Paviment i Mobiliari Urbà 12-12-13 ESTEVE BARBERA ESTEVE S.L.</t>
  </si>
  <si>
    <t>Fra. A/13-000198/13 Neteja extraordinaria Plaça del Cid, Paviment i Mobiliari Urbà 19-12-13 ESTEVE BARBERA ESTEVE S.L.</t>
  </si>
  <si>
    <t>Energia Elèctrica Mercat Municipal novembre 2013 IBERDROLA GENERACION S.A.U.</t>
  </si>
  <si>
    <t>Energia Elèctrica Seguretat Ciutadana  Carrer Sant Nicolau de Bari 2013 IBERDROLA GENERACION S.A.U.</t>
  </si>
  <si>
    <t>Fra. 5/13 Inauguració Betlem 6-12-13 (Dia de la Constitució) ASSOCIACIÓ TABALET I DOLÇAINA D'ALGEMESI</t>
  </si>
  <si>
    <t>Fra. 6/13 Actes Culturals 21-12-13 en el Mercat ASSOCIACIÓ TABALET I DOLÇAINA D'ALGEMESI</t>
  </si>
  <si>
    <t>Fra. 15/13 Gestió Activitats Sala Exposicions i Claustre Convent desembre 2013 A.V.T.</t>
  </si>
  <si>
    <t>Fra. E3 130.018/13 Reunió Associació Veïns Barri Raval de Sant Roc CATERING ALGEMESI S.L.</t>
  </si>
  <si>
    <t>Fra. E3 130.020/13 Menus Policia Nochebuena 2013 CATERING ALGEMESI S.L.</t>
  </si>
  <si>
    <t>Fra. E3 130.021/13 Menus Policia Cap d'Any 2013 CATERING ALGEMESI S.L.</t>
  </si>
  <si>
    <t>Fra. A2013FC1126854 Canon Sanejament Consums Municipals 2013 AGUAS DE VALENCIA</t>
  </si>
  <si>
    <t>Fra. E3 130 011/13 Sopar Esports CATERING ALGEMESI S.L.</t>
  </si>
  <si>
    <t>Fra. E3 130.017/13 Dinar Espai Jove CATERING ALGEMESI S.L.</t>
  </si>
  <si>
    <t>Fra. 79/13 Servei d'Expo Fira Jove 2013 SALVADOR ESCARTI CS S.L.</t>
  </si>
  <si>
    <t>U que ve de l'altre món. ALBOTAINE TEATRE (corregeix atorgament de 25/09 de 1000€)</t>
  </si>
  <si>
    <t>Telefonia fixa desembre. TELEFONICA DE ESPAÑA SAU</t>
  </si>
  <si>
    <t>Servei de gestió i animació Espai Jove desembre 2013. SALVADOR ESCARTI CS SL</t>
  </si>
  <si>
    <t>Escola d'estiu i nadal per a xiquets amb discapacitats intel.lectuals.. SALVADOR ESCARTI CS SL</t>
  </si>
  <si>
    <t>Energia elèctrica del 30/08 al 14/10 bous. IBERDROLA GENERACIÓN SAU</t>
  </si>
  <si>
    <t>Energia elèctrica serveis socials desembre 2013 cl Moliners . IBERDROLA GENERACIÓN SAU</t>
  </si>
  <si>
    <t>Energia elèctrica seguretat ciutadana desembre 2013 cl Sant Nicolas de Bari, 58  IBERDROLA GENERACIÓN SAU</t>
  </si>
  <si>
    <t>Energia elèctica Administració general desembre 2013 cl els Serrans. IBERDROLA GENERACIÓN SAU </t>
  </si>
  <si>
    <t>Cadires plegables per al casal fester. CONFORAMA</t>
  </si>
  <si>
    <t>Energia elèctica Administració general desembre 2013 PL Major,3. IBERDROLA GENERACIÓN SAU </t>
  </si>
  <si>
    <t>Suplits Alcaldia per pagament de fra. 7683/13 de Mercadona. MERCADONA</t>
  </si>
  <si>
    <t>Fra. MU 2013/9 Servei de gestió i recaptació de multes octubre 2013 MARTINEZ CENTRO GESTION S.L.</t>
  </si>
  <si>
    <t>Fra. 02/00069 Publicitat en cotxe per a megafonia i instal·lació Expofira Jove 3 i 4 C.P.G.</t>
  </si>
  <si>
    <t>Fra. Y2013/20 Servei de gestió i recaptació en executiva setembre 2013 MARTINEZ CENTRO GESTION S.L.</t>
  </si>
  <si>
    <t>Fra. Y2013/25 Servei de gestió i recaptació en executiva novembre 2013 MARTINEZ CENTRO GESTION S.L.</t>
  </si>
  <si>
    <t>Fra. 130007/13 Dinar dels mediadors del Raval CATERING ALGEMESI S.L.</t>
  </si>
  <si>
    <t>Fra. 35/13 Construcció de la sala Bebeteca a la Biblioteca CONST. SORIA SAEZ S.L.</t>
  </si>
  <si>
    <t>Fra. 101/13 19 tablets per al CEP Alberto Tortajada FAUS S.L.</t>
  </si>
  <si>
    <t>Fra. 13/234 Subministrament vestuari personal de l'Ajuntament IMPACTE COMUNICACIÓ VISUAL S.L.</t>
  </si>
  <si>
    <t>Fra. 492/13 Reposició senyals de transit PROSEÑAL S.L.</t>
  </si>
  <si>
    <t>Fra. 493/13 Reposició senyals de transit PROSEÑAL S.L.</t>
  </si>
  <si>
    <t>Fra. 93/13 Entrepans Orquestra i Festers 13/07/13 Barri del Carme i Catering ROPAC S.L.</t>
  </si>
  <si>
    <t>Fra. A701/13 Vi d'honor Festa carrer Jaume I 09-10-13 JOSE TORRENT S.L.</t>
  </si>
  <si>
    <t>Fra. 266/13 Mascletà festes Verge del Pilar 12 d'octubre PIROTECNIA CRESPO S.L.</t>
  </si>
  <si>
    <t>Fra. 1/13 Despeses Mercat Medieval Carrascalet ASSOCIACIÓ VEÏNS CARRASCALET</t>
  </si>
  <si>
    <t>Fra. 02/0054/13 Instal·lació i manteniment megafonia carrer Jaume I festivitat C.P.G.</t>
  </si>
  <si>
    <t>Fra. B542/13 Lloguer contenidors entrada, Recollida i Neteja Plaça de Bous EXCAVACIONES BOU S.L.U.</t>
  </si>
  <si>
    <t>Fra. 115/13 1000 bosses de llepolies Cavalcada Reis I.E.C. </t>
  </si>
  <si>
    <t>Fra. 358 Material disfreses Cavalcada Reis C.H.S.</t>
  </si>
  <si>
    <t>Fra. 1141113 38 disfreses Cavalcada Reis A.R.E.</t>
  </si>
  <si>
    <t>Fra. 13/01578 Bosses cotillon festa Cap d'Any C.P.G.</t>
  </si>
  <si>
    <t>Fra. 02/00068 Instal·lacio i manteniment Equip Llum i So Plaça Major Cap d'Any C.P.G.</t>
  </si>
  <si>
    <t>Llibres per a la Biblioteca. LLIBRERIA SAMARUC SL</t>
  </si>
  <si>
    <t>Fra. A/768/13 Servei neteja escoles municipals SET 2013 LIMPIEZAS ALOJA S.L.</t>
  </si>
  <si>
    <t>Telefonia Fixa nov. 2013</t>
  </si>
  <si>
    <t>Restauració palcos inferios teatre. SANCHO BALBASTRE SL</t>
  </si>
  <si>
    <t>Tractor per a Regidoria agricultura. AGRIMULSA</t>
  </si>
  <si>
    <t>Flors anda Senyora Pepa. LL. S, A</t>
  </si>
  <si>
    <t>40 CD'S Versions de la Muixeranga II. Nova Muixeranga</t>
  </si>
  <si>
    <t>Esmorzar del programa d'integració comunitaria.  ROPAC ALGEMESÍ SL</t>
  </si>
  <si>
    <t>Lloguer musica ambiental en el cementeri del 30/10/13 al 03/11/13. P.G, C</t>
  </si>
  <si>
    <t>Promoció difusió setmana taurina 2013. COMISSIÓ TAURINA</t>
  </si>
  <si>
    <t>Gestió i animació ESPAI JOVE . SALVADOR  ESCARTÍ C.. SSL        </t>
  </si>
  <si>
    <t>5000 Bosses de mà impresses a tot color IDEAGRAFICA</t>
  </si>
  <si>
    <t>Assegurança grup d'accidents. SEGURO GES</t>
  </si>
  <si>
    <t>Vestuari per a la policia Local. INSIGNIA UNIFORMES</t>
  </si>
  <si>
    <t>Factura Esteve Barberá Esteve, neteja i recollida, NOVEMBRE</t>
  </si>
  <si>
    <t>Netaja 13 contenidors soterranis 2014. ESTEVE BARBERÁ SL</t>
  </si>
  <si>
    <t>Servei anual transport cementeri. AUTOCARS LOZANO</t>
  </si>
  <si>
    <t>Publicitat del poble en la revista Avance Taurino. AVANCE DP SL</t>
  </si>
  <si>
    <t>Servei de llum i so presentaciói Fallera Major 2014 al centre Polivalent. P.G, C</t>
  </si>
  <si>
    <t>Bandes, quadres, faixes, pergamins i corbatins Falleres Majors 2014. C.M, J</t>
  </si>
  <si>
    <t>Insignies per a la junta local fallera i peinetes per a les Falleres Majors. AGUSTIN Y AMAYA CB</t>
  </si>
  <si>
    <t>Moqueta per a presentació de falles. E.A, V.J</t>
  </si>
  <si>
    <t>Figura torero. ALEX I JAVI SL</t>
  </si>
  <si>
    <t>Servei tècnic entrega trofeus Setmana de Bous dia 22/11/13. AUDIO-NET ALQUILER PROFESSIONAL SL</t>
  </si>
  <si>
    <t>Lloguer equip d'il.luminació presentació Falleres Majors 2014 dia 02/11/13.  AUDIO-NET ALQUILER PROFESSIONAL SL</t>
  </si>
  <si>
    <t>Lloguer i muntatge decoració teatre presentació Falleres Majors 2014. MUSICAL CHUST SL</t>
  </si>
  <si>
    <t>Boligrafos impressos a una tinta, IDEAGRAFICA ALGEMESÍ SLL</t>
  </si>
  <si>
    <t>Dinar de treballadors del Cementeri el dia de Tots Sants. ROPAC ALGEMESÍ SL</t>
  </si>
  <si>
    <t>Servei de catering Sala Exposicions.  ROPAC ALGEMESÍ SL</t>
  </si>
  <si>
    <t>Sopar inaguració Jornades Meterologiques a benefici del Càncer.  ROPAC ALGEMESÍ SL</t>
  </si>
  <si>
    <t>Esmorçars Junta Local Fallera.  ROPAC ALGEMESÍ SL</t>
  </si>
  <si>
    <t>Esmorçars, cafes i begudes per als montadors del Betlem  ROPAC ALGEMESÍ SL</t>
  </si>
  <si>
    <t>Esmorçars de treball.  ROPAC ALGEMESÍ SL</t>
  </si>
  <si>
    <t>Assamblea general, organització II Open Ciutat d'Algemesí i entrega de trofeus. QUINTER PESCA SL</t>
  </si>
  <si>
    <t>Assegurança de responsabilitat civil primera planta aparcament. DORNIER SA</t>
  </si>
  <si>
    <t>Fra.31730242/13 Servei control Plaça de Bous del 20 al 29 setembre FULL CONTROL S.L.</t>
  </si>
  <si>
    <t>Fra. 7/13 Realització nou passacarrers Setmana de Bous, Dues Becerrades SOCIETAT MUSICAL D'ALGEMESÍ</t>
  </si>
  <si>
    <t>Fra.323/13 Il·luminació festes setembre 2013 carrers Berca i Capella ILUMINACIONES JUST S.L.</t>
  </si>
  <si>
    <t>Educador social i ludoteca nov. 2103. EULEN SERVICIOS SOCIOSANITARIOS</t>
  </si>
  <si>
    <t>Fra. 299/13 Honoraris procurador diligències prèvies n 856/12 contra Luis Lluch. F.CH,N</t>
  </si>
  <si>
    <t>Fra. 448/13 Honoraris registre de la propietat per segregacions, agrupacions... C. S, R.F</t>
  </si>
  <si>
    <t>Fra. 131/13 Dinars Programa d'Integració Comunitària ROPAC ALGEMESI S.L.</t>
  </si>
  <si>
    <t>Fra. 1/13 Taller de Henna Programa Integració Comunitària,2013 CENTRO CULTURAL ISLAMICO LA PAZ</t>
  </si>
  <si>
    <t>Fra. 2013/012 Direcció, Coordinació i Realització seguiment programa "Servei Res..." ASOCIACIÓN CONTROLA CLUB</t>
  </si>
  <si>
    <t>Fra. A/41/13 Joguets per a l'Expo Fira Jove 2014 OLMEJUGUETES S.L.L.</t>
  </si>
  <si>
    <t>Repartiment notificacions juliol 13 MDL DISTRIBUCIÓN</t>
  </si>
  <si>
    <t>Repartiment notificacions agost 13 MDL DISTRIBUCIÓN</t>
  </si>
  <si>
    <t>Repartiment notificacions octubre 13 MDL DISTRIBUCIÓN</t>
  </si>
  <si>
    <t>Col·laboració cessió escenari 2013. COMISSIÓ TAURINA ALGEMESÍ </t>
  </si>
  <si>
    <t>Samarretes mitja marató i bragues. DISTRIBUCIONES PREVENCOMER</t>
  </si>
  <si>
    <t>Organització cavalcada Reis 2014. MADUIXA TEATRE</t>
  </si>
  <si>
    <t>Organització 1a fira llibre i música valenciana. LLOTJA CULTURAL SL</t>
  </si>
  <si>
    <t>Adaptació calderes Cervantes i Ribalta. FERROVIAL SERVICIOS SA</t>
  </si>
  <si>
    <t>Fra. 44/2013 Minuta honoraris procediment abreviat contencios-administratiu No.683/11 RICARDO DE VICENTE ABOGADOS S.L.P.</t>
  </si>
  <si>
    <t>Fra. 3443/2013 Garrafes i gots aigua dependencies municipals octubre 2013 SERVIAGUA JOSMAR S.L.</t>
  </si>
  <si>
    <t>Fra. 82128/13 Televisor LG Escola Infantil Els Xiquets FAUS S.L.</t>
  </si>
  <si>
    <t>Fra. 30/13 Lones anunciadores Setmana d'Integracio Comunitaria J.A.V.A.</t>
  </si>
  <si>
    <t>Fra. 34/13 Lona setmana Intercultural Programa d'Integracio Comunitaria J.A.V.A.</t>
  </si>
  <si>
    <t>Fra. 286/13 Trenta senyals de trafic Camins Rurals SEÑALIZACIONES ROSES S.L.</t>
  </si>
  <si>
    <t>Fra. 24/13 Naixement Edifici Polivalent S.G.S.</t>
  </si>
  <si>
    <t>Fra. 40/13 dos contenidors de fem Plaça de la Constitucio THESAL URBANA S.L.</t>
  </si>
  <si>
    <t>Fra. 02/0002757 Lloguer 4 cabines sanitaries periode 16-09 fins 16-10 setmana de bous POLY-KLYN S.L.</t>
  </si>
  <si>
    <t>Fra. A-1000022 Servei autocar Aeroport de Manises anar 30-09 tornar 09-10 AUTOCARES TURIABUS S.L.</t>
  </si>
  <si>
    <t>Fra. 151692/13 Materials diversos per a Halloween DULCES CASH VAENCIA S.L. </t>
  </si>
  <si>
    <t>Fra. 411/13 140 panells rigids PP cel·lular i 140 cartells 12 vinil impres IDEAGRAFICA ALGEMESI S.L.L.</t>
  </si>
  <si>
    <t>Fra. 2013-038/13 Detalls concurs de disfresses nit de Haloween 2013 FOOTING SPORTS C.B.</t>
  </si>
  <si>
    <t>Fra. A/19351/13 Beguda festa Halloween 2013 V.F.S.</t>
  </si>
  <si>
    <t>Fra. 213/2013 Galetes detall festa Halloween 2013 M.P.B.B.</t>
  </si>
  <si>
    <t> Gestió servei públic emissió programes Berca TV amb TDT nov 2013 CARBE PRODUCCIONS S.L.</t>
  </si>
  <si>
    <t>Pagament consorci de bomber (nov/dese)</t>
  </si>
  <si>
    <t>Fra. A/13-000160 Neteja extraordinaria Setmana de Bous del 21-09-13 al 29-09-13 ESTEVE BARBERA ESTEVE S.L.</t>
  </si>
  <si>
    <t>Fra. A/13-000161 Neteja extraordinaria als voltants Plaça de Bous 21 i 28 setembre ESTEVE BARBERA ESTEVE S.L.</t>
  </si>
  <si>
    <t>Fra.P0001058/13 Publicació especial Volta Ciclista 5 de setembre SUPER DEPORTE EMPRESA EDITORIAL S.A.</t>
  </si>
  <si>
    <t>Fra. P0001059/13  Publicació especial Volta Ciclista 6 de setembre SUPER DEPORTE EMPRESA EDITORIAL S.A.</t>
  </si>
  <si>
    <t>Redacció 2 projectes de llicència edificis municipals. AUGE CB</t>
  </si>
  <si>
    <t>Espectacle "Per què no?" JM GESTIÓN TEATRAL</t>
  </si>
  <si>
    <t>Espectacle "Consonant" MADUIXA TEATRE</t>
  </si>
  <si>
    <t>Espectacle "El pare de la criatura" ALBOTAINA TEATRE</t>
  </si>
  <si>
    <t>Lloguer mercat Teular set 2013. J. B. M. B.</t>
  </si>
  <si>
    <t>Fra. 1/13 Detalles de Bolillos S.E.H.</t>
  </si>
  <si>
    <t>Fra. 400/13 Cartells i invitacions Presentació Falleres Majors 2014 IDEAGRAFICA ALGEMESI S.L.L.</t>
  </si>
  <si>
    <t>Fra. 010357/13 Dinar Festa Verge del Pilar 11-10-13 HNOS. CALABUIG C.B.</t>
  </si>
  <si>
    <t>Fra. 2/13 Actuació musical Barri del Carme S.F.E.</t>
  </si>
  <si>
    <t>Fra. 1141/13 Lloguer Equip So i Il·luminació actuació RIBERSOM 13-07-13 AUDIO-NET ALQUILER PROFESIONAL S.L.</t>
  </si>
  <si>
    <t>Fra. 2/13 Accesoris varis Cavalcada de Reis gener 2013 A.C.A.</t>
  </si>
  <si>
    <t>Fra. 20/13 Serveis festa Sant Onofre PIANOS ROCA C.B.</t>
  </si>
  <si>
    <t>Fra. 13/166 Impressió bandos Setmana de Bous IMPACTE COMUNICACIÓ VISUAL S.L.</t>
  </si>
  <si>
    <t>Fra. 2013/049 Publicitat insertada en els programes taurins Setmana de Bous AGUSTIN BASCONES I ASOCIADOS S.L.</t>
  </si>
  <si>
    <t>Fra. 75/13 Rams i centres florals per a les Falleres M.C.U.B.</t>
  </si>
  <si>
    <t>Fra. 13/11112 Material Escolar EIM Mestre Lozano COMERCIAL DE SUMINISTROS ESCOLARES S.L.</t>
  </si>
  <si>
    <t>Gestió i animació Centre sociocult. Carrascalet.juliol. SALVADOR. ESCARTI C. SSL </t>
  </si>
  <si>
    <t>Ajudes d'emergència per a aliments. JUAN FORNÉS FORNÉS SA</t>
  </si>
  <si>
    <t>Fra. E3 130.006 Esmorçars visita Empal a Brakesport CATERING ALGEMESI S.L.</t>
  </si>
  <si>
    <t>Fra. A/19212 Beguda per a la Setmana de Bous V.F.S.</t>
  </si>
  <si>
    <t>Despeses dietes i locomoció Viatge a Dubrovnik  del 30-09 al 09-10 G.P.S.</t>
  </si>
  <si>
    <t>Fra. 20134227 Estancia Balneari i Creuer Fluvial. Regal 3a. Edat del 21 al 26 SPA CENTRE S.L.</t>
  </si>
  <si>
    <t>Fra. 361705/13 Poliça Assegurança 46300857 accidents Rgidors BOTELLA CARRASCO S.L.</t>
  </si>
  <si>
    <t>Fra. C-131920/13 Sobreimpressions Entrada de Bous Algemesí 21 i 22 de setembre RADIOTELEVISION VALENCIANA S.A.U.</t>
  </si>
  <si>
    <t>Despeses dietes i locomoció viatge a Dubrovnik del 30-09 al 09-10 G.P.S.</t>
  </si>
  <si>
    <t>Fra. 20134227 Estancia en balneari i creuer fluvial Regal tercera edat del 21 al 26 SPA CENTRE S.L. </t>
  </si>
  <si>
    <t>Poliça assegurança responsabilitat autoritats i funcionaris AIG EUROPE LTD</t>
  </si>
  <si>
    <t>Subministrament paper DIN-A4 DIN-AE. SOUFI</t>
  </si>
  <si>
    <t>Fra. 72/13 Pastissets Setmana de Bous FORN I PASTISSERIA CERDA C.B.</t>
  </si>
  <si>
    <t>Fra.31430810/13 Servei de vigilància Plaça de Bous de 20 al 28 setembre SECOPSA SEGURIDAD S.L.</t>
  </si>
  <si>
    <t>Fra.31430808/13 Servei de vigilància al voltant Plaça de Bous SECOPSA SEGURIDAD S.L.</t>
  </si>
  <si>
    <t>Fra. V2581/13 Publicitat libre Ruta III Volta a la Provincia de Valencia FEDERACIO CICLISME COMUNITAT VALENCIANA</t>
  </si>
  <si>
    <t>Fra. 13/11747 Material Escolar per a EIM Verge del Pilar COMERCIAL DE SUMINISTROS ESCOLARES S.L.</t>
  </si>
  <si>
    <t>Organització III volta a la Prov. de València. FEDERACIÓ DE CICLISME DE LA CV</t>
  </si>
  <si>
    <t>Fra. 675/13 Honoraris Procurador front A.C.G. J.M.S.B.</t>
  </si>
  <si>
    <t>Fra. 2730/2013 Garrafes i gots d'aigua dependències municipals agost 2013 SERVIAGUA JOSMAR S.L. </t>
  </si>
  <si>
    <t>Fra. 2013/000568 tres extintors 6 kg corral Bous  C/ Mestre Lozano RIBER EXTINGA FIRE</t>
  </si>
  <si>
    <t>Fra. 51/2013 Pintar Plaça de Bous any 2013 RAVICORTS S.L.</t>
  </si>
  <si>
    <t>Factura Esteve Barberá Esteve, neteja i recollida SETEMBRE</t>
  </si>
  <si>
    <t>8 portàtils premis educació. FAUS SL</t>
  </si>
  <si>
    <t>Adequació "Els xiquets" CONSALTE SL</t>
  </si>
  <si>
    <t> Gestió servei públic emissió programes Berca TV amb TDT agost 2013 CARBE PRODUCCIONS S.L.</t>
  </si>
  <si>
    <t>Fra. 00104/13 Sopar La Terrassa President Fundació Jorge Alio 06-09-13 ROPAC ALGEMESI S.L.</t>
  </si>
  <si>
    <t>Fra. 00105/13 Sopar Directora Patrimoni, J. B. i Fundació Jorge Alio ROPAC ALGEMESI S.L.</t>
  </si>
  <si>
    <t>Fra. 00101/13 Sis dinars Cursa Ciclista. Reunió Policia Nacional, Guardia Civil ROPAC ALGEMESI S.L.</t>
  </si>
  <si>
    <t>Fra. 00095/13 Dinar reunió Seguretat ROPAC ALGEMESI S.L.</t>
  </si>
  <si>
    <t>Fra. 103/13 Menús presentació Cartel li Concert Nit del Retorn Banda Música i Federació ROPAC ALGEMESI S.L.</t>
  </si>
  <si>
    <t>Fra. 2013/01 Exposició en Algecampus AIS</t>
  </si>
  <si>
    <t>Fra. 13/10641 Materials Escolar per a EIM Els Xiquets COMERCIAL DE SUMINISTROS ESCOLARES S.L.</t>
  </si>
  <si>
    <t>Fra. 13/10642 Materials Escolar per a EIM Els Xiquets COMERCIAL DE SUMINISTROS ESCOLARES S.L.</t>
  </si>
  <si>
    <t>Fra. 00089/13 Vi d'honor Mestres Jubilats ROPAC ALGEMESI S.L.</t>
  </si>
  <si>
    <t>Fra. 1/77/13 Llibres per a EIM Verge del Pilar LLIBRERIA SAMARUC S.L.</t>
  </si>
  <si>
    <t>Espectacle Pasion de tenores. IBERLÍRICA</t>
  </si>
  <si>
    <t>Espectacle Sr. Andreu. L'ESPONTANEA TEÀTRE</t>
  </si>
  <si>
    <t>Espectacle Presence. INFINIT PRODUCCIONS</t>
  </si>
  <si>
    <t>Espectacle Tartuf. TEATRE DE L'ABAST</t>
  </si>
  <si>
    <t>Concert de Nadal. OSR</t>
  </si>
  <si>
    <t>Dinar Mare de Deú. J TORRENT</t>
  </si>
  <si>
    <t>Fra. MN13-001561633 Serveis de telefonia ONO agost, Casa de la Joventut CABLEUROPA S.A.U.</t>
  </si>
  <si>
    <t>Fra. Interessos demora de factures Iberdrola IBERDROLA GENERACION S.A.U.</t>
  </si>
  <si>
    <t>Despeses de manutenció  desplaçament Croacia del 30 de setembre al 9 d'octubre J.R.B.N.</t>
  </si>
  <si>
    <t>Despeses de manutenció  desplaçament Croacia del 30 de setembre al 9 d'octubre G.P.S.</t>
  </si>
  <si>
    <t>Despeses de manutenció  desplaçament Croacia del 30 de setembre al 9 d'octubre V.R.G.M.</t>
  </si>
  <si>
    <t>Fra. A/89/13 Muntatge barana en el marge del Riu Magre CONTENEDORES Y GRUAS ALGEMESI S.L.U.</t>
  </si>
  <si>
    <t>Fra. A630/13 Festa Mare de Déu dia 08-09-13 Processó del Matí i de la Nit JOSE TORRENT S.L.</t>
  </si>
  <si>
    <t>Fra. 00109/13 Sopar dia 08-09-13 Personal Canal 9 retransmissió  Festes Mare de Déu ROPAC ALGEMESI S.L.</t>
  </si>
  <si>
    <t>Fra. 00108/13 Dinars dia 07-09-13 Personal de Canal 9 retransmissió  Festes Mare de Déu ROPAC ALGEMESI S.L.</t>
  </si>
  <si>
    <t>Fra. 00107/13 Dinars dia 08-09-13 Personal de Canal 9 retransmissió  Festes Mare de Déu ROPAC ALGEMESI S.L.</t>
  </si>
  <si>
    <t>Fra. 00100/13 Vi d'honor presentació Cartell Setmana de Bous ROPAC ALGEMESI S.L.</t>
  </si>
  <si>
    <t>Fra. 00099/13 Dinar reunió de treball Premsa Festes Mare de Déu ROPAC ALGEMESI S.L.</t>
  </si>
  <si>
    <t>Fra. 00098/13 Dos menus dinar desmuntatge Exposició JARR Esteve Toldrà ROPAC ALGEMESI S.L.</t>
  </si>
  <si>
    <t>Fra. 00097/13 Catering Sala Exposicions 05-09-13 ROPAC ALGEMESI S.L.</t>
  </si>
  <si>
    <t>Fra. 00096/13 Sopar Festeres Barri del Carme ROPAC ALGEMESI S.L.</t>
  </si>
  <si>
    <t>Fra. 00094/13 Dos menus muntatge Exposició JARR Esteve Toldrà ROPAC ALGEMESI S.L.</t>
  </si>
  <si>
    <t>Fra. 00092/13 Servei de Catering Sala d'Exposicions inauguració exposició JARR ROPAC ALGEMESI S.L.</t>
  </si>
  <si>
    <t>Fra. 00090/13 Berenar Museu de la Festa ROPAC ALGEMESI S.L.</t>
  </si>
  <si>
    <t>Honoraris diligències prèvies judici 856/2012 inst. 1 Alzira. LLACER LLACER ABOGADOS SCP</t>
  </si>
  <si>
    <t>Condensador estadi piscina. AB, JL</t>
  </si>
  <si>
    <t>Assegurança responsabilitat civil</t>
  </si>
  <si>
    <t>Servei Escola Discapacitats. SALVADOR  ESCARTÍ C.. SSL    </t>
  </si>
  <si>
    <t> Gestió servei públic emissió programes Berca TV amb TDT set 2013 CARBE PRODUCCIONS S.L.</t>
  </si>
  <si>
    <t>Programa menjador infantil estiu 2013. J TORRENT</t>
  </si>
  <si>
    <t>Factura telefònica. TELEFÒNICA </t>
  </si>
  <si>
    <t>Pagament consorci de bomber (sep/oct)</t>
  </si>
  <si>
    <t>Vehicle departament urbanisme. AUTOINTER</t>
  </si>
  <si>
    <t>Fra. 960/13 DVD i Televisor per a l'EI Mestre Lozano C.P.G.</t>
  </si>
  <si>
    <t>Fra. 151/13 Ampliació Llicència programa informàtic de Nòmines INFORMATING S.L.</t>
  </si>
  <si>
    <t>Fra. 130813 Cinquanta fundes amb l'escut d'Algemesí per cobrir les tanques A.R.E.</t>
  </si>
  <si>
    <t>Fra. 12013/13 Actuació en la Trobada de Muixerangues de juny de 2013 NOVA MUIXERANGA</t>
  </si>
  <si>
    <t>Fra. 07/13 Minuta Lletrat en procediment incidental d'impugnació de tasació E.LL.M</t>
  </si>
  <si>
    <t>Fra. 2333/2013 Garrafes i gots d'aigua per a dependències municipals juliol 2103 SERVIAGUA JOSMAR S.L.</t>
  </si>
  <si>
    <t>Fra. 139/13 Tramitació CIE Setmana de Bous J.L.A.B.</t>
  </si>
  <si>
    <t>Fra. 2013-67 Servei de suport manteniment Infraestructures informàtiques  AGOS. SUMAGRUP TECNOLOGIES D'INFORMACIO S.L.</t>
  </si>
  <si>
    <t>Fra. 2013000195D Beguda per a Festes Mare de Déu GRUP BERCA DISTRIBUCIONS</t>
  </si>
  <si>
    <t>Fra. 99-24838/13 Material per a senyalitzacions J.P.F.</t>
  </si>
  <si>
    <t>Fra. 13-084 Reparacions instal·lacions Corral de Bous. CARPINTERIA METALICA ALGEMETAL S.L.</t>
  </si>
  <si>
    <t>Fra. 27/2013 Cinc mil revistes programaXVII edició Fira ExpoAlgemesí CARBE PRODUCCIONS S.L.</t>
  </si>
  <si>
    <t>Fra. A71701/13 Servei de neteja i porteria del Mercat Municipal juliol 2013 BENESTAR A LA COMUNITAT S.L.L.</t>
  </si>
  <si>
    <t>Fra. 257/13 Serveis realitzats dies 22 i 30 de juliol amb microbus de 37 places des d'Algemesí AUTOCARES MUNDOBUS S.L.</t>
  </si>
  <si>
    <t>Fra. 13/01/6320 Estancia Hotel Victor (Bari) 08/09 octubre viatge Dubrovnik VIAJES CHAMBO S.L.</t>
  </si>
  <si>
    <t>Fra. A/1742/13 Servei de neteja i porteria Mercat Municipal agost 2013 BENESTAR A LA COMUNITAT S.L.L.</t>
  </si>
  <si>
    <t>Fra. 10/13 Gestió activitats Sala d'Exposicions i Claustre Convent setembre 2013 A.V.T.</t>
  </si>
  <si>
    <t>Fra. A/32/2013 Joguets per a EIM Mestre Lozano OLMEJUGUETES S.L.L.</t>
  </si>
  <si>
    <t>Fra. A/33/2013 Joguets per a EIM Verge del Pilar OLMEJUGUETES S.L.L.</t>
  </si>
  <si>
    <t>Fra. 31730212/13 Servei vigilancia aulari estudi Teatre, del 19-08-13 fins 31 FULL CONTROL S.L.</t>
  </si>
  <si>
    <t>Fra. 20130680069 de interes de demora. IBERDROLA GENERACIÓN S.A.U.</t>
  </si>
  <si>
    <t>Hores inst. programa nòmines. INFORMATING</t>
  </si>
  <si>
    <t>Sevei Menjador D'estiu. SALVADOR ESCARTÍ SLL</t>
  </si>
  <si>
    <t>Monitors Algecampus. SALVADOR  ESCARTÍ C.. SSL    </t>
  </si>
  <si>
    <t>Edició, maquetació i redacció Berca BIM setembre. OPCIÓ COMUNICATIVA</t>
  </si>
  <si>
    <t>Senyalització Vial Illes Rodones. CM,JV</t>
  </si>
  <si>
    <t>Assessoria tècnica elaboració normes NHT. MT,E</t>
  </si>
  <si>
    <t>Manteniment i neteja zones verdes Parc S. Castell agost  . P.R.J</t>
  </si>
  <si>
    <t>Manteniment i neteja zones verdes Parc B. G agost . P.R.J</t>
  </si>
  <si>
    <t>Factura Esteve Barberá Esteve, neteja i recollida </t>
  </si>
  <si>
    <t>Fra. A/13-000096 Neteja ordinaria de la Xopera 16-06-13 ESTEVE BARBERA ESTEVE S.L.</t>
  </si>
  <si>
    <t>Fra. A/13-000098 Neteja ordinaria de la Xopera 23-06-13 ESTEVE BARBERA ESTEVE S.L.</t>
  </si>
  <si>
    <t>Fra. A/13-000118 Treballs Neteja extraordinaria de la Xopera 30-06-13 ESTEVE BARBERA ESTEVE S.L.</t>
  </si>
  <si>
    <t>Fra. 8/13 Serveis prestats al CMS del 14 al 31 de juliol de 2013 PROMOSALUT ARPEL S.L.P.</t>
  </si>
  <si>
    <t>Fra. 262/13 Recollida, acollida i manteniment gossos abandonats juliol 2013 GOSSOS D'ALPE S.C.</t>
  </si>
  <si>
    <t>Fra. 229-2013 Trofeus Club Ciclista torneig setembre provincia Valencia A.M.R.</t>
  </si>
  <si>
    <t>Cinema estiu. TRANSCINEMA SERVICIOS</t>
  </si>
  <si>
    <t>Gestió i animació ESPAI JOVE agost. SALVADOR  ESCARTÍ C.. SSL        </t>
  </si>
  <si>
    <t>Gestió i animació Centre sociocult. Carrascalet agost.. SALVADOR. ESCARTI C. SSL </t>
  </si>
  <si>
    <t>Serveis Escoles Estiu. EI el Bressol.</t>
  </si>
  <si>
    <t>Serveis prestats al Centre Municipal Salut Escolar (setembre). PROMOSALUT</t>
  </si>
  <si>
    <t>Serveis prestats al gabinet drogodependècia setembre.   GRUPO CENTRA   2002 SL</t>
  </si>
  <si>
    <t>Educador social i ludoteca agost2013. EULEN SERVICIOS SOCIOSANITARIOS</t>
  </si>
  <si>
    <t>Reposició senyals trànsit. PROSEÑAL SL</t>
  </si>
  <si>
    <t>Fra. A384/13 Sopar Trobada Muixerangues 08-06-13 JOSE TORRENT S.L.</t>
  </si>
  <si>
    <t>Fra, 119-2013 Assistència a la comptabilitat tercer trimestre juliol-setembre 2013 INFORMATING S.L.</t>
  </si>
  <si>
    <t>Fra. 2013-58 Servei suport manteniment infraestructures informàtiques juny 2013 SUMAGRUP TECNOLOGIES D'INFORMACIO S.L.</t>
  </si>
  <si>
    <t>Fra. 28/2013 IPC 2103 Servei direcció tècnica TV, mitjans comunicació, recolzament CARBE PRODUCCIONS S.L.</t>
  </si>
  <si>
    <t>Fra. 3438/13 Dos marcs socio honor Antics Alumnes Maristes C.E.B.B.</t>
  </si>
  <si>
    <t>Fra. 24/2013 Servei direccio tècnica TV, mitjans comunicació telemàtica CARBE PRODUCCIONS S.L.</t>
  </si>
  <si>
    <t>Fra. 25/2013 Gestió servei públic emissió programes Berca TV amb TDT agost 2013 CARBE PRODUCCIONS S.L.</t>
  </si>
  <si>
    <t>Fra. A/768/13 Servei neteja escoles municipals agost 2013 LIMPIEZAS ALOJA S.L.</t>
  </si>
  <si>
    <t>Fra. A/762/13 Servei neteja escoles municipals juliol 2013 LIMPIEZAS ALOJA S.L.</t>
  </si>
  <si>
    <t>P-3618 Servei de neteja ESTEVE BARBERÁ ESTEVE S.L.</t>
  </si>
  <si>
    <t>Fra. F3/130386/13 Tretze sopars olimpiades escolars esports CATERING ALGEMESI S.L.</t>
  </si>
  <si>
    <t>Fra. 31730159/13 Servei vigilancia aulari estudi en el teatre, del 01-06-13 fins 23 FULL CONTROL S.L.</t>
  </si>
  <si>
    <t>Fra. 46/13 Lloguer instal·lacions per a l'Algecampus C.P.G.</t>
  </si>
  <si>
    <t>Fra. 01/FC/00000098/13 Servei mensual al cementiri del 16-06-13 fins 15-07-13 AUTOCARES LOZANO S.L.</t>
  </si>
  <si>
    <t>Fra. 765/13 Materials pintura per al cementiri J.V.C.M.</t>
  </si>
  <si>
    <t>Fra. F3 130.484/13 Inauuració Algecampus 2013 CATERING ALGEMESI S.L.</t>
  </si>
  <si>
    <t>Gestió i explotació piscina estiu 2013</t>
  </si>
  <si>
    <t>Gestió i animació ESPAI JOVE maig. SALVADOR  ESCARTÍ C.. SSL        </t>
  </si>
  <si>
    <t>Lloguer mercat Teular MAIG 2013. J. B. M. B.</t>
  </si>
  <si>
    <t>Servei difussió i informació venda places pàrquing. CARBEM</t>
  </si>
  <si>
    <t>Educador social i ludoteca junt 2013. EULEN SERVICIOS SOCIOSANITARIOS</t>
  </si>
  <si>
    <t>Pagament bimensula (julol-agost) CONSORCI DE BOMBERS</t>
  </si>
  <si>
    <t>1/3 part Monitors i socorrites piscina descoberta </t>
  </si>
  <si>
    <t>Lloguer mercat Teular JUNY 2013. J. B. M. B.</t>
  </si>
  <si>
    <t>Fra. F 3130447/13 Dotze menus reunió Consell Esports CATERING ALGEMESI S.L.</t>
  </si>
  <si>
    <t>Fra. 1032/13 Dinar Penya Ciclista V.G.P.</t>
  </si>
  <si>
    <t>Fra. A 2013050/13 Subministrament sobres dependencies municipals V.P.P.</t>
  </si>
  <si>
    <t>Fra. 1929/13 Garrafes i gots aigua dependencies municipals SERVIAGUA JOSMAR S.L.</t>
  </si>
  <si>
    <t>Fra. 85/13 Actuació Jesús Manzano 05-07-13 Nits Espai Jove FRESCULTURA S.L.</t>
  </si>
  <si>
    <t>Fra. 113/128 Lloguer Lones Algecampus 21013 IMPACTE COMUNICACIÓ VISUAL S.L.</t>
  </si>
  <si>
    <t>Fra. 111095/13 Verdura per a paella Programa Integració Comunitaria CONGELADOS PASCUAL S.A.</t>
  </si>
  <si>
    <t>Fra. 1182013040012/13 Carn i menjar per a paelles Raval Projecte Integració Comunitaria JUAN FORNES FORNES S.A.</t>
  </si>
  <si>
    <t>Fra. P0002443/13 Publicitat Expo Algemesí 2013 EDITORIAL PRENSA VALENCIANA S.A.</t>
  </si>
  <si>
    <t>Fra. 33/13 Enllumenat festa bous al carrer 31 de maig fins 2 de juny C.P.G.</t>
  </si>
  <si>
    <t>Fra. A/1255 Servei neteja i porteria Mercat Municipal juny 2013 BENESTAR A LA COMUNITAT S.L.L.</t>
  </si>
  <si>
    <t>Fra. 215/13 Camisetes "Presentació Fallera Major Algemesí" IDEAGRAFICA ALGEMESI S.L.L.</t>
  </si>
  <si>
    <t>Fra. AL 1086/13 Lloguer equip so i il·luminació actuació Riber Som 08-06-13 AUDIO-NET ALQUILER PROFESIONAL S.L.</t>
  </si>
  <si>
    <t>Fra. 22/13 Llimó granissat i botellins aigua Fira Sant Onofre E.R.E.</t>
  </si>
  <si>
    <t>Fra. A/18806/13 Beguda Festes Verge del Carme V.F.S.</t>
  </si>
  <si>
    <t>Fra. 9/13 Gestió activitats Sala Exposicions i Claustre Convent agost 2013 A.V.T.</t>
  </si>
  <si>
    <t>Fra. 130001 Cinquanta broches Processó Mare de Deu A.G.C.</t>
  </si>
  <si>
    <t>Fra. 1-0089 Focs artifici Mare de Deu del Carme FOCS D'ARTIFICI EUROPLA S.L.</t>
  </si>
  <si>
    <t>Fra. 7/13 Serveis prestats Centre Municipal de Salut de l'1 al 4 de juliol 2013 PROMOSALUT ARPEL S.L.P.</t>
  </si>
  <si>
    <t>OCA bar el poliesportiu SGS INSPECCIONES REGLAMENTARIAS S.A.</t>
  </si>
  <si>
    <t>Fra. P0002442/13 Publicació Felicitacions Levante EMV La Ribera 25 aniversari EDITORIAL PRENSA VALENCIANA S.A.</t>
  </si>
  <si>
    <t>Restauració Palcos Teatre. SANCHO BALBASTRES SL</t>
  </si>
  <si>
    <t>Fra. 202/13 Trofeu Campeo Club Caça La Golondrina A.M.R.</t>
  </si>
  <si>
    <t>Fra. 00073/13 Sopar visita Riom dia de la Romeria ROPAC ALGEMESI S.L.</t>
  </si>
  <si>
    <t>Fra. 21/13 Dinar Cultura F.L.M.</t>
  </si>
  <si>
    <t>Fra. 1091/13 Lloguer equip il·luminació Concert Orquestra Simfonica de la Ribera AUDIO-NET ALQUILER PROFESIONAL S.L.</t>
  </si>
  <si>
    <t>V campanya prevenció 3a edat glaucoma. FUND. JORGE ALIÓ</t>
  </si>
  <si>
    <t>Reparació gimnàs col. Cervantes. EQUIPAMIENTOS DEPORTIVOS SA</t>
  </si>
  <si>
    <t>Escola Municipals multiesportiva juliol 2013. BRAKESPORT</t>
  </si>
  <si>
    <t>Fra. A007/13 Escrutini exhibició Balls de Saló i Ball Deportiu SERVICIOS DE ESCRUTINIO DEPORTIVO C.B.</t>
  </si>
  <si>
    <t>Fra. 8/13 Gestió activitats Sala Exposicions i Claustre Convent juliol 2013 A.V.T.</t>
  </si>
  <si>
    <t>Despeses Viatge Dubrovnik 6 persones. Patrimoni de la Humanitat G.P.S.</t>
  </si>
  <si>
    <t>Ampliació quadres electrics del Centre Polivalent GOMEZ BUENO CB</t>
  </si>
  <si>
    <t>Senyalització parking mercat RESIMORTER APLICACIONES SL</t>
  </si>
  <si>
    <t>Marc per a la llicència d'apertura de la sala de festes C.E.B.B.</t>
  </si>
  <si>
    <t>Servei Públic TV Berca (edició, muntantge...) juliol. CARBE</t>
  </si>
  <si>
    <t>Serveis prestats al Centre Municipal Salut Escolar (juny13). PROMOSALUT</t>
  </si>
  <si>
    <t>Serveis prestats al gabinet drogodependècia. juliol 2013.  GRUPO CENTRA  2002 SL</t>
  </si>
  <si>
    <t>Gestió i animació Centre sociocult. Carrascalet.. SALVADOR. ESCARTI C. SSL </t>
  </si>
  <si>
    <t>Menus Carrera ciclista. Creu Roja, Guardia Civil, Protecció Civil i Or...</t>
  </si>
  <si>
    <t>Vi d'honor reconeixement Policia Local ROPAC ALGEMESI SL</t>
  </si>
  <si>
    <t>Reunió Sanitat ROPAC ALGEMESI SL</t>
  </si>
  <si>
    <t>Dinar Orquestra Simfonica Concert Teatre ROPAC ALGEMESI SL</t>
  </si>
  <si>
    <t>Adquisició de 2 tribunes d'estructura metàl·lica desmuntable XICAN WERK SL</t>
  </si>
  <si>
    <t>Actuació processó Sant Onofre 12/6/13 ASOCIACION NAPOLEONICA</t>
  </si>
  <si>
    <t>Actuació dia Sant Sebastià de Vila 20/1/13 ASOCIACION NAPOLEONICA</t>
  </si>
  <si>
    <t>Manteniment 1a planta pàrquing. DORNIER S.A</t>
  </si>
  <si>
    <t>1381 kg caramels Ajuntament Algemesí. CANDYMUR SL</t>
  </si>
  <si>
    <t>Vals alimentació 2013. JUAN FORNÉS FORNÉS. S.A</t>
  </si>
  <si>
    <t>Subvencio Club pesca Xopera</t>
  </si>
  <si>
    <t>Subvenció Veïns carrer Sant Onofre</t>
  </si>
  <si>
    <t>Coktel presentació cartell Ràcing. CATERING SL</t>
  </si>
  <si>
    <t>Menusdies 17 a 20 de juny revisions oculars funció Jorge Alió. ROPAC</t>
  </si>
  <si>
    <t>Servei de catering sala exposició del Casino. ROPAC</t>
  </si>
  <si>
    <t>Menus Dinar muntatge exposició Conselleria de Cultura. ROPAC</t>
  </si>
  <si>
    <t>Trobada dolçainers. ROPAC</t>
  </si>
  <si>
    <t>Dinar dia sant onofre. Dolçainers, festers, napoleòncs, disparada in. ROPAC</t>
  </si>
  <si>
    <t>Sopar orquestra simfònica demostració plaça mercat. ROPAC</t>
  </si>
  <si>
    <t>Educador social Barri Raval abril 2013. EULEN SERVICIOS SOCIOSANITARIOS</t>
  </si>
  <si>
    <t>Póliça assegurança. ZURICH INSURANCE</t>
  </si>
  <si>
    <t>Menus dinar en la Romeria de la Casa de Andalucia. CATERING SL</t>
  </si>
  <si>
    <t>Dinars 28 i 29 maig 2013. CATERING SL</t>
  </si>
  <si>
    <t>Gestió i animació Centre sociocult. Carrascalet.  SALVADOR. ESCARTI C. SSL </t>
  </si>
  <si>
    <t>Campanya Salut Visual Infantil. FUNDACIÓ JORGE ALIÓ</t>
  </si>
  <si>
    <t>Telefonia fixa . TELEFÒNICA </t>
  </si>
  <si>
    <t>Stands Fira Expo Algemesí. FIREX STANDS</t>
  </si>
  <si>
    <t>Tanques atletisme i mat poliesportiu. MECANIZADOS AVENIDA</t>
  </si>
  <si>
    <t>Despeses suplides dinar club de futbol Algemesí</t>
  </si>
  <si>
    <t>Dinar representants centre de Salut. ROPAC</t>
  </si>
  <si>
    <t>Dinar concentració Bandes de Cornetes i Tambors. ROPAC</t>
  </si>
  <si>
    <t>Concert 16/06/2013. ASSOC. ESTUDIS ORQUESTRALS I DE CAMBRA</t>
  </si>
  <si>
    <t>Emisió BERCA TDT juny. CARBEM</t>
  </si>
  <si>
    <t>Servei Públic TV Berca (edició, muntantge...) juny. CARBE</t>
  </si>
  <si>
    <t>Servei netetja escoles municipals abril. Limpiezas Aloja, S.L.        </t>
  </si>
  <si>
    <t>Edició, maquetació i redacció Berca BIM juny. OPCIÓ COMUNICATIVA</t>
  </si>
  <si>
    <t>Tres lones per a la Expofira Jove 2013 IDEAGRAFICA ALGEMESI SLL</t>
  </si>
  <si>
    <t>Materials de papereria per a EIM Verge del Pilar COSES BONIQUES SLL</t>
  </si>
  <si>
    <t>Lloguer material concert solidari 1/6/13 i lloguer personal dolç cine... AUDIO-NET ALQUILER PROFESSIONAL SL</t>
  </si>
  <si>
    <t>Lloguer material amb servei tecnic per a concert "cor de jubilats" AUDIO-NET ALQUILER PROFESSIONAL SL</t>
  </si>
  <si>
    <t>Recepció després xerrada educació de 25-04-13. ROPAC</t>
  </si>
  <si>
    <t>Recepció després xarrada en el 1 pis casino 24-04-13. Educació.ROPAC</t>
  </si>
  <si>
    <t>Desdejunis, dinar i picada Muixeranga per Jornades Patrimoni. ROPAC</t>
  </si>
  <si>
    <t>Desdejunis i dinar Jornades Patrimoni de la Humanitat. ROPAC</t>
  </si>
  <si>
    <t>Dinars reunió Certamens Banda de Música. ROPAC</t>
  </si>
  <si>
    <t>Materials per a enllumenat. ABM-REXELL</t>
  </si>
  <si>
    <t>Samarretes volta a peu. PREVENCOMER SLU</t>
  </si>
  <si>
    <t>Telefonia fixa. TELEFÓNICA DE ESPAÑA</t>
  </si>
  <si>
    <t>Servei d'hostessa stand Ajuntament Expo-Algemesí dies 3,4 i 5 maig EVENTS, TURISME i CULTURA COMARQUES CENTR</t>
  </si>
  <si>
    <t>Reparació Barandilla Parc Bernat Guinovart HNOS. GARCIA MONZO CB</t>
  </si>
  <si>
    <t>Acompanyament Dolçaina i tabal actes fallers dies 2,9,16,17,18 i 19 març LA COLLA D'ALGEMESI</t>
  </si>
  <si>
    <t>Rellotge regal 25 aniversari D. Jesus Corbí MJFB</t>
  </si>
  <si>
    <t>Comisariat per a l'expo del pintor Manolo Rey-Fueyo FMA</t>
  </si>
  <si>
    <t>Servei repartiment Notificacions Gener 2013 MDL DISTRIBUCION LOGISTICA SA</t>
  </si>
  <si>
    <t>Honoraris Diligencies Previes 313/11-J FRONT Federico A. G. NFC</t>
  </si>
  <si>
    <t>Honoraris defensa policies local A-18, A-74, A-51 Dilig. Previes 313/11 LLACER LLACER ABOGADOS SCP</t>
  </si>
  <si>
    <t>Honoraris registre inscripcions varies RFCS</t>
  </si>
  <si>
    <t>"Garrafes" i gots d'aigua per a dependencies municipals abril 2013 SERVIAGUA JOSMAR SL</t>
  </si>
  <si>
    <t>Honoraris procurador procediment TSJ 2452/09 From A.R. JAOC</t>
  </si>
  <si>
    <t>Canvi minuter recepctor per a l'esfera rellotge public ELECTO-CAMP SL</t>
  </si>
  <si>
    <t>Despeses personal revisió vista per VISSUM dies 14 al 16 de maig. ROPAC</t>
  </si>
  <si>
    <t>Esmorzar amb tècnics de VIESi CONSTRUCCIONES. ROPAC</t>
  </si>
  <si>
    <t>Sopar Banda de Música Concert Nino Bravo. ROPAC</t>
  </si>
  <si>
    <t>Esmorzar president Federació de Ciclisme Valenciana. ROPAC</t>
  </si>
  <si>
    <t>Esmorzar de treball d'Urbanisme. ROPAC</t>
  </si>
  <si>
    <t>Fra. A290/13 Inauguració Centre Polivalent 09-05-13 JOSE TORRENT S.L.</t>
  </si>
  <si>
    <t>Fra 00317 Dotze despeses Viatge a Corea Representació Ajuntament VIAJES EL CORTE INGLES S.A.</t>
  </si>
  <si>
    <t>Fra. 2013/001 Prestació serveis de Berca grup danses primer semestre GRUP DE DANSES BERCA</t>
  </si>
  <si>
    <t>Fra. 5/13 Llibres per als xiquets Festa carrer Sant Vicent J.A.V.</t>
  </si>
  <si>
    <t>Fra. 40/13 Treballs llanterneria Fira de la Tapa LAMPISTERIA UBEDA S.L.</t>
  </si>
  <si>
    <t>Fra. 2131019193/13 Publicitat Fira de la Tapa del 17 al 21 d'abril Alzira UNIPREX S.A.U.</t>
  </si>
  <si>
    <t>Fra. 02/00022 Instal·lació i manteniment llum i so Discomòbil 11-05-13 C.P.G.</t>
  </si>
  <si>
    <t>Fra. 02/00021/13 Instal·lació i manteniment llum i so Expo-Algemesí 3, 4 i 5 maig C.P.G.</t>
  </si>
  <si>
    <t>Fra. 02/00019 Instal·lació i manteniment megafonia: Música, poesía i cant Festa disc C.P.G.</t>
  </si>
  <si>
    <t>Fra. 02/00018 Megafonia festivitat Sant Vicent Ferrer. Misa, teatre, dansa C.P.G.</t>
  </si>
  <si>
    <t>Fra. 02/00017 Servei megafonia concentració Bandes de Tambors i Cornetes C.P.G.</t>
  </si>
  <si>
    <t>Fra. 1/40 Llibres Centre Sociocultural Carrascalet LLIBRERIA SAMARUC S.L.</t>
  </si>
  <si>
    <t>Fra. 02/2013 Curs Escoleta dilluns i dimecres Centre Sociocultural Carrascalet A.F.M.</t>
  </si>
  <si>
    <t>Fra. 02/2013 Curs Monitor adolescents Centre Sociocultural Carrascalet J.B.B.</t>
  </si>
  <si>
    <t>Fra. 13/429 Invitacions, cartells i sobres Aniversari 4 COLORS COOP. V.</t>
  </si>
  <si>
    <t>Dietes i Kilometratge seleció 7 places agent Policia Local</t>
  </si>
  <si>
    <t>Manteniment i neteja zones verdes Parc S. Castell  abril. P.R.J</t>
  </si>
  <si>
    <t>Manteniment i neteja zones verdes Parc B. G abril. P.R.J</t>
  </si>
  <si>
    <t>Emisió BERCA TDT maig. CARBEM</t>
  </si>
  <si>
    <t>Servei Públic TV Berca (edició, muntantge...) maig. CARBE</t>
  </si>
  <si>
    <t>Edició, maquetació i redacció Berca BIM octubre. OPCIÓ COMUNICATIVA</t>
  </si>
  <si>
    <t>Lloguer mercat Teular març 2013. J. B. M. B.</t>
  </si>
  <si>
    <t>Organització Expo-Algemesí 2013. CARBEM</t>
  </si>
  <si>
    <t>Gestió i animació Centre sociocult. Carrascalet. abril 2013. SALVADOR. ESCARTI C. SSL </t>
  </si>
  <si>
    <t>Gestió i animació CIAJ abril. SALVADOR  ESCARTÍ C.. SSL        </t>
  </si>
  <si>
    <t>Servei netetja escoles municipals abril. Limpiezas Aloja, S.L.</t>
  </si>
  <si>
    <t>Serveis prestats al gabinet drogodependècia. maig 2013.  GRUPO CENTRA  2002 SL</t>
  </si>
  <si>
    <t>Serveis prestats al Centre Municipal Salut Escolar (maig 13). PROMOSALUT</t>
  </si>
  <si>
    <t>Dietes i Kilometratge tribunal Intendent Principal</t>
  </si>
  <si>
    <t>Fra. 00021/13 Desdejunis reunió BBVA Departament Tresoreria i Intervenció ROPAC ALGEMESI S.L.</t>
  </si>
  <si>
    <t>Fra. 00022/13 Cinc dinars reunió seguretat ciutadana ROPAC ALGEMESI S.L.</t>
  </si>
  <si>
    <t>Fra. 00025/13 Dinar Erich, Alfonso Callos i Alcalde ROPAC ALGEMESI S.L.</t>
  </si>
  <si>
    <t>Fra. 00026/13 Reunió gerents i tècnics Helipistas ROPAC ALGEMESI S.L.</t>
  </si>
  <si>
    <t>Fra. 00027/13 Dinar Falleres Majors i Corts d'honor ROPAC ALGEMESI S.L.</t>
  </si>
  <si>
    <t>Fra. 00034/13 Refrescs Jornada Bombers i Protecció Civil, President Diputació i Alcalde ROPAC ALGEMESI S.L.</t>
  </si>
  <si>
    <t>Fra. 00040/13 Diversos Jurat Falles ROPAC ALGEMESI S.L.</t>
  </si>
  <si>
    <t>Fra. 00042/13 Dinar dia Sant Josep Fallers Majors i Corts d'honor ROPAC ALGEMESI S.L.</t>
  </si>
  <si>
    <t>Fra, 00043/13 Sopar Falleres Majors i Corts d'honor i material pirotècnic ROPAC ALGEMESI S.L.</t>
  </si>
  <si>
    <t>Fra. 00044/13 Reunió Grup Directivo Aguas de Valencia ROPAC ALGEMESI S.L.</t>
  </si>
  <si>
    <t>Fra. 66/13 Reparació porta enrollatble Garatge Soterrani HNOS. GARCIA MONZO C.B.</t>
  </si>
  <si>
    <t>Fra. 13/74 Retirar lones Fira Medieval Parc Bernat Guiovart i canviar dates IMPACTE COMUNICACIO VISUAL S.L.</t>
  </si>
  <si>
    <t>Fra. 000084/13 Moqueta i cinta Passarel·la de la Moda 2013 V.J.E.A.</t>
  </si>
  <si>
    <t>Fra. 92/13 250 borses de llepolies Festes Maig I.E.C.</t>
  </si>
  <si>
    <t>Fra. 48/2013 Projecció "OZ Un mundo de fantasía" TRANSCINEMA SERVICIOS CINEMATOGRAFICOS S.L.</t>
  </si>
  <si>
    <t>Fra. 02/2013 Curs balls de salo del 18-02 fins 27-05-13 R.J.D.</t>
  </si>
  <si>
    <t>Fra. 6/13 Gestió activitats Sala Exposicions i Claustre Convent maig 2013 A.V.T.</t>
  </si>
  <si>
    <t>Fra. 11/13 Rams Cort d'honor i Falleres Majors 2013 A.LL.S</t>
  </si>
  <si>
    <t>Fra. A/762/13 Servei neteja i porteria Mercat Municipal abril 2013 BENESTAR A LA COMUNITAT S.L.L.</t>
  </si>
  <si>
    <t>Fra. 31430338/13 Servei de Vigilància Passarel·la de la Moda SECOPSA SEGURIDAD S.L.</t>
  </si>
  <si>
    <t>Fra. 2013-FA-194 Cinta moqueta i Adhesiva Passarel·la de la Moda FERRETERIA PLAÇA MAJOR C.B.</t>
  </si>
  <si>
    <t>Fra. A/2013026 Tickets Falles V.P.P.</t>
  </si>
  <si>
    <t>Pagament bimensula (maig-juny) CONSORCI DE BOMBERS</t>
  </si>
  <si>
    <t>Fra. 123413/13 Regal per a la Consellera de Benestar Social A.R.E.</t>
  </si>
  <si>
    <t>Fra. 67/13 Taller prevenció consum cannabis 11 sessions ASSOCIACIÓ IMPULS</t>
  </si>
  <si>
    <t>Factura Esteve Barberá Esteve mes de març, neteja i recollida </t>
  </si>
  <si>
    <t>Telefonia fixa març. TELEFÒNICA </t>
  </si>
  <si>
    <t>Quota arxius, 2013. MANCOMUNITAT RIBERA</t>
  </si>
  <si>
    <t>Lloguer equip so i il·luminació passarel·la Moda 2013. AUDIONET</t>
  </si>
  <si>
    <t>Fra. 88/2013 5000 Flyers A5 impressos Pasarel·la Moda 2013 C.B.C.</t>
  </si>
  <si>
    <t>Fra. 13/67 Parches vinilo Fira Medieval Parc Guinovart IMPACTE COMUNICACIO VISUAL SL</t>
  </si>
  <si>
    <t>Fra. 003/04/2013 Tres faixes brodades Falles J.C.M.</t>
  </si>
  <si>
    <t>Fra. 2401/13 Repartiment BIM Berca No 206 abril i manipulació franqueig i Tr REPART COAL SL</t>
  </si>
  <si>
    <t>Fra. 997/13 Lloger equip de so misa Sant Vicent Ferrer en Museu 06-04-2013 AUDIO-NET ALQUILER PROFESIONAL SL</t>
  </si>
  <si>
    <t>Fra. 1012/13 Lloguer equip video per a Pasarel·la de Moda 2013 AUDIO-NET ALQUILER PROFESIONAL SL</t>
  </si>
  <si>
    <t>Fra. 1 000282/13 Arreglo floral festivitat Sant Vicent Ferrer A.R.D.D.</t>
  </si>
  <si>
    <t>Fra. AL 982/13 Lloguer equip de So i Il·luminació amb servei tècnic per al concert AUDIO-NET ALQUILER PROFESIONAL SL</t>
  </si>
  <si>
    <t>Fra. A/18327/13 Coca Coles, Fantes i Aigüa per al dia de la bici i volta a peu V.F.S.</t>
  </si>
  <si>
    <t>Fra. 57/13 Trofeus, medalles i cinturons Fira Sant Onofre KTK SPORT SL</t>
  </si>
  <si>
    <t>Fra. 2130105/13 Ampliació senyalització vertical i horitzontal camins rurals SEÑALIZACIONES ROSES SL</t>
  </si>
  <si>
    <t>Fra. 1001/13 Esmorzar penya ciclista 13-04-13 V.G.P.</t>
  </si>
  <si>
    <t>Vigilànci i control aulari Teatre. FULL CONTROL SL</t>
  </si>
  <si>
    <t>Fra 89/13 Diferència 3% IVA de les Fact 800/12 i 2/13 de reposició de senyals de trànsit. PROSEÑAL SL</t>
  </si>
  <si>
    <t>Fra 85/13 Pilona telescòpica per al C/València. SEÑALIZACIONES ROSES SL</t>
  </si>
  <si>
    <t>Fra 1528/13 5 Tacos d'eixida d'atletisme. RANKING LA TIENDA DEL DEPORTE SL</t>
  </si>
  <si>
    <t>Fra 1748/13 3 Tacos d'eixida d'atletisme. RANKING LA TIENDA DEL DEPORTE SL</t>
  </si>
  <si>
    <t>Fra 1/13 Impartició de cursos al Barri del Raval, Projecte d'Integració Comunitària. ASSOCIACIÓ NUEVO AMANECER GITANO</t>
  </si>
  <si>
    <t>Espectacle de dansa a les escoles. NIL SL</t>
  </si>
  <si>
    <t>Manteniment infrastructures informàtiques SUMAGRUP TECNOLOGIES</t>
  </si>
  <si>
    <t>Gasoil col·legis. L'ALCUDIA GAS SL</t>
  </si>
  <si>
    <t>Manteniment i neteja zones verdes Parc S. Castell. P.R.J</t>
  </si>
  <si>
    <t>Manteniment i neteja zones verdes Parc B. G. P.R.J</t>
  </si>
  <si>
    <t>Servei netetja escoles municipals 2012 Limpiezas Aloja, S.L.</t>
  </si>
  <si>
    <t>Energia elèctrica Museu de la Festa</t>
  </si>
  <si>
    <t>Educador social Barri Raval- MORCAM</t>
  </si>
  <si>
    <t>Gestió i animació CIAJ. SALVADOR  ESCARTÍ C.. SSL        </t>
  </si>
  <si>
    <t>Gestió i animació C.S. Carrascalet gener 2013 Salvador Escarti CS, S.L.</t>
  </si>
  <si>
    <t>Energia elèctrica Ajuntament. IBERDROLA</t>
  </si>
  <si>
    <t>Lloguer material i servei tecnic per a Besos de Albena teatre dia 09-03-13 Audio-Net alquiler profesional SL</t>
  </si>
  <si>
    <t>Servei tecnic concert zarzuela del brazo y con serrano dia 03-03-13 Audio-Net alquiler profesional SL</t>
  </si>
  <si>
    <t>Personal sala diversos actes sala exposició Teatre i punt d'inform. Audio-Net alquiler profesional SL</t>
  </si>
  <si>
    <t>Servei tecnic concert societat musical dia 02-03-13 Audio-Net alquiler profesional SL</t>
  </si>
  <si>
    <t>Curs restauració de mobles vesprada 2012-2013</t>
  </si>
  <si>
    <t>Curs restauració de mobles matí 2012-2013</t>
  </si>
  <si>
    <t>Assistència a comptabilitat segon trimestre 2013 Informating SL</t>
  </si>
  <si>
    <t>Auditoria Certificació ISO-9000 Bureau Veritas Quality Intl. España</t>
  </si>
  <si>
    <t>Garrafes i gots d'aigua per dependencies municipals març 13 Serviagua Josmar SL</t>
  </si>
  <si>
    <t>Realitzat en ACS Geotermia Lava Fred SL</t>
  </si>
  <si>
    <t>Adecuacio instalació geotermia A/A Lava Fred SL</t>
  </si>
  <si>
    <t>Defensa Jurídica procediment ordinari 23/2012 contra... Jose Luis Lorente Tallada SL</t>
  </si>
  <si>
    <t>Adecuació solera contenidor carrer cervantes (costat biblio) Const. Molina Ferrandis SL</t>
  </si>
  <si>
    <t>Bicicletes per al sorteig del dia bicicleta 14-04-2013 GPM</t>
  </si>
  <si>
    <t>Substitució tancament tanca metal·lica pista frontenis poliesportiu Hnos Garcia Monzo CB</t>
  </si>
  <si>
    <t>Instal·lació i manteniment equips necesaris per al VII Trofeu Ball CGP</t>
  </si>
  <si>
    <t>Instal·lació i manteniment equip necessari en jorandes ciclisme CGP</t>
  </si>
  <si>
    <t>Servei Públic TV Berca (edició, muntantge...)  CARBE</t>
  </si>
  <si>
    <t>Emisió BERCA TDT març. CARBEM</t>
  </si>
  <si>
    <t>Serveis prestats al gabinet drogodependècia. abril 2013.  GRUPO CENTRA  2002 SL</t>
  </si>
  <si>
    <t>Serveis prestats al Centre Municipal Salut Escolar (març13). PROMOSALUT</t>
  </si>
  <si>
    <t>Servei de gestio i recaptacio en executiva març 2013 Martinez Centro Gestion, S.L</t>
  </si>
  <si>
    <t>Servei de Gestio i recaptacio de multes març 2013 Martinez Centro Gestion, S.L.</t>
  </si>
  <si>
    <t>Subministrament 200 caixes paper DINA4 i 15 DINA3. SUOFI SIL</t>
  </si>
  <si>
    <t>Organització Expo-Algemesí 2013. CARBE PRODUCCIONS</t>
  </si>
  <si>
    <t>Gestio Activitats Sala Exposició i Claustre Convent abril 2013. AVT</t>
  </si>
  <si>
    <t>Falles. Vinils impressos nous logos "lones mascletades" Més rotulació. Ideagrafica Algemesí SLL</t>
  </si>
  <si>
    <t>Falles. 30 Banderins de premis i 26 palos d'alumini. JCM</t>
  </si>
  <si>
    <t>Concert fi de curs colla dia 19/5 i concert nadal 1/12. La Colla d'Algemesí</t>
  </si>
  <si>
    <t>Instal·lacio i manteniment Megafonia encontre cofradies dia 24/3. CPG</t>
  </si>
  <si>
    <t>Lloguers Equip i so actes fallers: crida 2/3, entrega premis 17/3. CPG</t>
  </si>
  <si>
    <t>Esmorçar sis membres jurat premi Enginy i Gràcia dia 17/03. FTF</t>
  </si>
  <si>
    <t>Tratge de rei per a la cavalcada dels reis mags 2013. HRV</t>
  </si>
  <si>
    <t>Sac confeti i 12 bosses de plumes per a falles. Dulces Cash Valenciana SL</t>
  </si>
  <si>
    <t>Servei mensual cementeri periode 16/2 a 15/3. Autocares Lozano SL</t>
  </si>
  <si>
    <t>Neteja de l'illa de contenidors soterrats n5 en cervantes Esteve Barbera Esteve SL</t>
  </si>
  <si>
    <t>Taller de beguda saludable. 8 sessions. ASSOCIACIÓ IMPULS</t>
  </si>
  <si>
    <t>Vestuari policia. INSIGNIA UNIFORMES</t>
  </si>
  <si>
    <t>Retirada grua febrer. GRUS PACO BLASCO SL</t>
  </si>
  <si>
    <t>Pagament bimensual Consorci Bombers (març-abril)</t>
  </si>
  <si>
    <t>Quota ordinària MANCOMUNITAT DE LA RIBERA</t>
  </si>
  <si>
    <t>Autocontrol de la qualitat de l’efluent de l’estació depuradora. GRUP AGUAS DE VALENCIA</t>
  </si>
  <si>
    <t>Llibres per a la Biblioteca. Llibreria Samaruc SL</t>
  </si>
  <si>
    <t>Càmera de vídeo per al Berca TV. Monros i Pastor Fotografs CB</t>
  </si>
  <si>
    <t>2 MP3 i telèfon inalambric, EI Verge del Pilar. Faus SL</t>
  </si>
  <si>
    <t>Garrafes i gots d'aigua per a dependència municipals febrer 2013.  Serviagua Josmar SL</t>
  </si>
  <si>
    <t>Honoraris procurador front ACG. MJSB</t>
  </si>
  <si>
    <t>Honoraris per agrupació finques Poliesportiu. RFCS</t>
  </si>
  <si>
    <t>Direcció letrada i representació recurs d'apelació núm. 2/544/2010. ELM</t>
  </si>
  <si>
    <t>Minuta honoraris procediment abreviat contra MVF. Calabuig &amp; Calabuig SL</t>
  </si>
  <si>
    <t>Garrafes i gots d'aigua per a dependència municipals gener 2013.  Serviagua Josmar SL</t>
  </si>
  <si>
    <t>Minuta sobre alegacions sobre incidència TJ Unió Europea. Trull &amp; Asociados Abogados SCP</t>
  </si>
  <si>
    <t>Energia elèctrica guarderia CL Olivera 27, 16-01 a 15-02. Iberdrola Generación SAU</t>
  </si>
  <si>
    <t>Energia elèctrica cultura, Teatre Municipal, 19-01 al 17-02. Iberdrola Generación SAU</t>
  </si>
  <si>
    <t>Targetes de visita per als regidors. Avance DP SL</t>
  </si>
  <si>
    <t>Lloguer equip so i llum Festival Cançó Scout 24/2 AUDIO-NET S.L.</t>
  </si>
  <si>
    <t>Emisió BERCA TDT. CARBEM</t>
  </si>
  <si>
    <t>Gestió i animació C.S. Carrascalet. Salvador Escarti CS, S.L.</t>
  </si>
  <si>
    <t>Concert Pregó OSR dia 10/3 ASSOCIACIO ESTUDIS ORQUESTALS I CAMBRA LA G</t>
  </si>
  <si>
    <t>Repartiment de la revista BIM Berca 205 març. Repart-Coal SL</t>
  </si>
  <si>
    <t>Lloguer equip so i llum Entrega Guardons d'Honor dia 20</t>
  </si>
  <si>
    <t>Desplaçament d'equip del BercaTV a Madrid per cobrir activitats. CARBE PRODUCCIONES S.L.</t>
  </si>
  <si>
    <t>Quota Participació F.E.M.P. Exercici 2013 F.E.M.P.</t>
  </si>
  <si>
    <t>Campanya de Promoció del comerç FAUS S.L.</t>
  </si>
  <si>
    <t>Servei mensual cementeri periode 16/1 a 15/2 Autocares Lozano S.L.</t>
  </si>
  <si>
    <t>Despeses 2 semetres ambici 2012. MANCOMUNITAT DE LA RIBERA</t>
  </si>
  <si>
    <t>Serveis prestats al gabinet drogodependècia. febrer2013.  GRUPO CENTRA  2002 SL</t>
  </si>
  <si>
    <t>Gestió i animació CIAJ febrer 2013. SALVADOR  ESCARTÍ C.. SSL        </t>
  </si>
  <si>
    <t>Servei netetja escoles municipals febrer 2012 Limpiezas Aloja, S.L.</t>
  </si>
  <si>
    <t>Manteniment i neteja zones verdes Parc S. Castell febrer. P.R.J</t>
  </si>
  <si>
    <t>Gestió activitats Sala Exposicions i Claustre Convent març 2013 A.V.T.</t>
  </si>
  <si>
    <t>Publicitat Outlet 2013 en Alzira CV dies 8 i 9 feb UNIPREX S.A.U.</t>
  </si>
  <si>
    <t>Anunci en Alzira EFM (La Ribera) Outlet 2013 dies 8 i 9 feb UNIPREX S.A.U.</t>
  </si>
  <si>
    <t>Lloguer equip il·luminació concert taller sonoro</t>
  </si>
  <si>
    <t>Personal Sala Punt d'informació. Teatre i cinema. AUDIO-NET S.L.</t>
  </si>
  <si>
    <t>Servei autobusos Gran Gala Fallera Fira mostres. TRANSVAL S.A.</t>
  </si>
  <si>
    <t>Lloguer equip so i llum outlet plaça major 9 i 10 feb C.P.G.</t>
  </si>
  <si>
    <t>Dinar Expo-Algemesí 2013. ROPAC</t>
  </si>
  <si>
    <t>Dinar organització Fira de la Tapa. ROPAC</t>
  </si>
  <si>
    <t>Esmorzar i desdejuni Mercat. ROPAC</t>
  </si>
  <si>
    <t>Sopar Junta Local. ROPAC</t>
  </si>
  <si>
    <t>Sopar organitzadors i presentador passarel·la de la Moda</t>
  </si>
  <si>
    <t>Fra.32/13 Reparació porta parking soterrani ajuntament HNOS. GARCIA MONZÓ C.B.</t>
  </si>
  <si>
    <t>Fra. FV 19/2012/13 Curs formació bàsica monitor/a temps lliure infantil i juvenil AUCA PROJECTES EDUCATIUS S.L.</t>
  </si>
  <si>
    <t>Organització cavalcada i espectacles REIS, perruqueria... A.C.A</t>
  </si>
  <si>
    <t>Servei Públic TV Berca (edició, muntantge...) març. CARBE</t>
  </si>
  <si>
    <t>mancomunada Algemesi-Albalat de la Ribera</t>
  </si>
  <si>
    <t>Contractació, estilisme, presentació i gravació Pasarel·la Moda 2013. NIL SL</t>
  </si>
  <si>
    <t>Ampliació subministrament mobiliari centre polivalent. SOUFI SL</t>
  </si>
  <si>
    <t>Factura Esteve Barberá Esteve mes de febrer, neteja i recollida </t>
  </si>
  <si>
    <t>Fra. A 000753/12 Honoraris Notaria any 2012 M.G.B.</t>
  </si>
  <si>
    <t>Fra. 65/12 Instal·lació i manteniment megafonía Betlem del 06-12-12 fins el 06-01-13 C.P.G.</t>
  </si>
  <si>
    <t>Fra. 1/13 Sopar solidàri concert benèfic 23/12/2012 ROPAC ALGEMESI S.L.</t>
  </si>
  <si>
    <t>Fra. 936/13 Lloguer material i personal Gala Manos Unidas 01-02-2013 AUDIO-NET ALQUILER PROFESIONAL S.L.</t>
  </si>
  <si>
    <t>Fra. 1-9/13 Llibres Biblioteca LLIBRERIA SAMARUC S.L.</t>
  </si>
  <si>
    <t>Fra. 146-11348/13 Formigó obra ampliació camí Hort del Cònsul CEMEX ESPAÑA OPERACIONES S.L.U.</t>
  </si>
  <si>
    <t>Fra. 119/13 Compra d'arbres VIVERS CENTRE VERD S.A.</t>
  </si>
  <si>
    <t>Fra. 308000072/13 Adequació i posada en marxa Instal·lació Geotèrmica en edifici LAVA FRED S.L.</t>
  </si>
  <si>
    <t>Fra. 308000070/13 Reparacions climatització edifici Policía LAVA FRED S.L.</t>
  </si>
  <si>
    <t>Fra. 32 Productes campanya nadal 2012 J.V.E.A.</t>
  </si>
  <si>
    <t>Lloguer i manteniment equip llum i so festa Sant Antoni. CPG</t>
  </si>
  <si>
    <t>Instal·lació i manteniment equip llum i so per a sopar de reis. CPG</t>
  </si>
  <si>
    <t>Castell de focs d'artificis dies 4 i 5 de gener per a la festivitat dels reis. Focs d'Artifici Europla SL</t>
  </si>
  <si>
    <t>Ram de roses alcaldia d'Alzira. MCUB</t>
  </si>
  <si>
    <t>Dinar Nadal 2012 Berca TV </t>
  </si>
  <si>
    <t>Dinars i sopar per a organitzadors cavalcada dels reis. ROPAC Algemesí SL</t>
  </si>
  <si>
    <t>Esmorzar i reunió Protecció Civil</t>
  </si>
  <si>
    <t>Desdijunis i dinars premis cientifico tècnics. ROPAC Algemesí SL</t>
  </si>
  <si>
    <t>Dinars de treball de comerç. ROPAC Algemesí SL</t>
  </si>
  <si>
    <t>Berenar xiquets participants en la cavalcada dels reis. ROPAC Algemesí SL</t>
  </si>
  <si>
    <t>Material mobiliari Centre Polivalente. SUOFI</t>
  </si>
  <si>
    <t>Netaja i porteria Mercat Municipal. BENESTAR A LA COMUNITAT</t>
  </si>
  <si>
    <t>Servei retirada vehicles.. GRUAS PACO BLASCO SL</t>
  </si>
  <si>
    <t>Lloguer mercat Teular gener 2013. J. B. M. B.</t>
  </si>
  <si>
    <t>Tendals outlet 2013. L.A.J.L</t>
  </si>
  <si>
    <t>Dinar en honor a St Antoni. ROPAC</t>
  </si>
  <si>
    <t>Sopar director orquestra, soprano organització i presentador. ROPAC Algemesí Sl</t>
  </si>
  <si>
    <t>Dinar inauguració Plaça del Mercat. ROPAC Algemesí SL</t>
  </si>
  <si>
    <t>Recepció obra pàrking. Director obra, tecnic conseller i empresa. ROPAC Algemesí SL</t>
  </si>
  <si>
    <t>Reunió de Treball Algedomus. ROPAC Algemesí SL</t>
  </si>
  <si>
    <t>Sopar assemblea Federació Bandes de Música de la CV. ROPAC Algemesí SL</t>
  </si>
  <si>
    <t>Conferència sobre Joan baptista Cabanilles. JCB</t>
  </si>
  <si>
    <t>Fotografies de fallera més cartell de falles 2013. JFT</t>
  </si>
  <si>
    <t>23 blusons fallers i 25 mocadors amb escut. AGF</t>
  </si>
  <si>
    <t>Lloguer equip d'il·luminació concert any nou orquestra simfònica. Audio-NET Alquiler Profesional SL</t>
  </si>
  <si>
    <t>Pòlissa assegurança d'activitats falleres i accidents de falles 2013. (SALVADOR TARAZONA CS SL)</t>
  </si>
  <si>
    <t>Fra. d'energia electrica cultura, Teatre Municipal, cl. Lepanto, 3 periode 19/12/12 al 17/01/13. ( IBERDROLA GENERACION SAU)</t>
  </si>
  <si>
    <t>Fra. d'energia electrica cultura, Auditorium, pl. Auditori Moreno Gans, 4 ( IBERDROLA GENERACION SAU)</t>
  </si>
  <si>
    <t>Llibres "Em deia Simbad" per a la setmana del llibre. ( TANDEM EDICIONS SL)</t>
  </si>
  <si>
    <t>Monitor adolescents al CSC. (B.B,J)</t>
  </si>
  <si>
    <t>Taller de Ioga 2013 60 sessions g4 vesprada de 17 a 18 hores. ( CSMT)</t>
  </si>
  <si>
    <t>Taller de Ioga 2013 60 sessions g3 MATI de 11 a 12 hores. ( C.S,MT)</t>
  </si>
  <si>
    <t>Taller de Ioga 2013 60 sessions g1 MATI de 10 a 11 hores. ( CSMT)</t>
  </si>
  <si>
    <t>Teles roges i blaves betlem. R.E.A</t>
  </si>
  <si>
    <t>Reposició senyals trànsit i col·locació tanques. PROSEÑAL</t>
  </si>
  <si>
    <t>Assistència tècnica exposició pública catàleg. M.T.E</t>
  </si>
  <si>
    <t>Gestió i animació CIAJ. gener 2013. SALVADOR  ESCARTÍ C.. SSL        </t>
  </si>
  <si>
    <t>Repartiment de la revista BIM Berca gener i calendari fem. Repart-Coal SL</t>
  </si>
  <si>
    <t>Teles blaves i rojes per al betlem. (REA)</t>
  </si>
  <si>
    <t>senyal. acad. segura i lepanto 31/12/2012</t>
  </si>
  <si>
    <t>8 pistoles Armeria Gabilondo 31/12/2012</t>
  </si>
  <si>
    <t>treballs reposicio senyals Proseña, s.l. 31/12/2012</t>
  </si>
  <si>
    <t>Lloguer decorat presentació fallera 27-10-12 Audio-net 31/12/2012</t>
  </si>
  <si>
    <t>Servei tecnic proclamació falleres 13-10-2012 Audio-net 31/12/2012</t>
  </si>
  <si>
    <t>Neteges extraordinaries setmana bous 2012 Esteve Barbera Esteve, S.L. 31/12/2012</t>
  </si>
  <si>
    <t>Teles actes fallers A.R.E. 31/12/2012</t>
  </si>
  <si>
    <t>Servei de gestio i recaptacio en executiva octubre 2012 Martinez Centro Gestion, S.L. 31/12/2012</t>
  </si>
  <si>
    <t>Servei de Gestio i recaptacio de multes Octubre 2012 Martinez Centro Gestion, S.L. 31/12/2012</t>
  </si>
  <si>
    <t>Material presentació falleres V.J.E.A. 31/12/2012</t>
  </si>
  <si>
    <t>Insignies junta local i 2 peinetes Agustin y Amaya, CB 31/12/2012</t>
  </si>
  <si>
    <t>Sopar presentació falleres majors Ropac Algemesi, S.L. 31/12/2012</t>
  </si>
  <si>
    <t>Servei de gestio i recaptacio en executiva novembre 2012 Martinez Centro Gestion, S.L. 31/12/2012</t>
  </si>
  <si>
    <t>Servei de Gestio i recaptacio de multes Noviembre 2012 Martinez Centro Gestion, S.L. 31/12/2012</t>
  </si>
  <si>
    <t>Servei tecnic entrega trofeus setmana bous 30-11-2012 Audio-net 31/12/2012</t>
  </si>
  <si>
    <t>Personal presentació falles Nou Mercat i Bernat Guinovart Audio-net 31/12/2012</t>
  </si>
  <si>
    <t>Borses de Llepolies cabalcada reis I.E.C. 31/12/2012</t>
  </si>
  <si>
    <t>Tren infantil, castell i equip de música dies 26-27-28 i 29 B.M.C. 31/12/2012</t>
  </si>
  <si>
    <t>Personal actes fallers falla del Pla Audio-net 31/12/2012</t>
  </si>
  <si>
    <t>Campanades i discomobil plaça major cap d'any C.P.G. 31/12/2012</t>
  </si>
  <si>
    <t>Repintat banda 10 camins rurals Señalizaciones Roses, S.L. 31/12/2012</t>
  </si>
  <si>
    <t>Canon sanejament consums municipals 2012 Aguas de Valencia 31/12/2012</t>
  </si>
  <si>
    <t>Material electric betlem plaça major Instalaciones Electricas R y S SL. 31/12/2012</t>
  </si>
  <si>
    <t>Esmorçars montadors betlem 2012 Ropac Algemesi, S.L. 31/12/2012</t>
  </si>
  <si>
    <t>Esmorçars professor educació física Ropac Algemesi, S.L. 31/12/2012</t>
  </si>
  <si>
    <t>Servei cambrer sala exposicions casino serveis socials Ropac Algemesi, S.L. 31/12/2012</t>
  </si>
  <si>
    <t>Garrafes i gots d'aigua dependencies municipals novembre 2012 Serviagua Josmar, S.L. 31/12/2012</t>
  </si>
  <si>
    <t>Honoraris procuraor front J.V.G.F. M.J.S.B. 31/12/2012</t>
  </si>
  <si>
    <t>80 agendes any 2013 Suofi i abastiment d'oficina S.L. 31/12/2012</t>
  </si>
  <si>
    <t>Garrafes i gots d'aigua dependencies municipals decembre 2012 Serviagua Josmar, S.L. 31/12/2012</t>
  </si>
  <si>
    <t>Poliça assegurança grup accidents seguros ges 31/12/2012</t>
  </si>
  <si>
    <t>Lloguer toldo betlem Ajuntament i betlem adisalge J.C.L.A.</t>
  </si>
  <si>
    <t>Gasoleo B per a col.legis publics L'Alcudia Gas, S.L. 31/12/2012</t>
  </si>
  <si>
    <t>Servei de gestió i animació juvenil desembre 2012 Salvador Escarti CS, S.L. 31/12/2012</t>
  </si>
  <si>
    <t>Servei netetja escoles municipals desembre 2012 Limpiezas Aloja, S.L. 31/12/2012</t>
  </si>
  <si>
    <t>Prevencio e inserció Barri Raval Desembre 2012 Masservicios Solimed, S.L. 31/12/2012</t>
  </si>
  <si>
    <t>Servei mediadora social agencia amics desembre 2012 Masservicios Solimed S.L. 31/12/2012</t>
  </si>
  <si>
    <t>Telefonia fixa mes desembre Telefonica de España, S.A. 31/12/2012</t>
  </si>
  <si>
    <t>Energia electrica decembre Admon. General Plça Major, 3 Iberdrola Generación SAU 31/12/2012</t>
  </si>
  <si>
    <t>Energia electrica edifici policia local Iberdrola Generación SAU 31/12/2012</t>
  </si>
  <si>
    <t>Material escolar Mestre Lozano Comercial de suministros escolares, S.L. 31/12/2012</t>
  </si>
  <si>
    <t>Material Papereria EIM Verge del Pilar Coses Boniques S.L.L. 31/12/2012</t>
  </si>
  <si>
    <t>Escut ajuntament jupetins caçadors Representaciones Joviju, S.L. 31/12/2012</t>
  </si>
  <si>
    <t>Sopar 22-12-2012 Consell agrari local Jose Torrent, S.L. 31/12/2012</t>
  </si>
  <si>
    <t>Gestió i animació C.S. Carrascalet Desembre 2012 Salvador Escarti CS, S.L.</t>
  </si>
  <si>
    <t>Sopar colla dolçainers Ropac Algemesi, S.L. 31/12/2012</t>
  </si>
  <si>
    <t>Conferencia Joan B. Cabanilles C.E.C. 31/12/2012</t>
  </si>
  <si>
    <t>Conferencia Joan B. Cabanilles V.R.P. 31/12/2012</t>
  </si>
  <si>
    <t>Actes culturals 21-12-12 Associacio Tabalet i Dolçaina d'Algemesi</t>
  </si>
  <si>
    <t>Catalec de pintura 2012 J.R.N. 31/12/2012</t>
  </si>
  <si>
    <t>Part no subvencionada noves bases servei ambici Mancomunitat de la Ribera Alta 31/12/2012</t>
  </si>
  <si>
    <t>Honoraris direcció obres centre polivalent Tecnica y Proyectos S.A. 31/12/2012</t>
  </si>
  <si>
    <t>catering proclamació falleres majors Ropac Algemesi, S.L. 31/12/2012</t>
  </si>
  <si>
    <t>Sopar cort d'honar falleres processo de la Pilarica Ropac Algemesi, S.L. 31/12/2012</t>
  </si>
  <si>
    <t>flors presentació falleres majors Almen's Flors i Plantes, S.L. 31/12/2012</t>
  </si>
  <si>
    <t>lloguer 4 cabines sanitaries festes taurines Poly-Klyn, S.L.</t>
  </si>
  <si>
    <t>Promoció i difusió setmana bous 2012 Comisión Taurina de Algemesi 31/12/2012</t>
  </si>
  <si>
    <t>drets d'acces i alta llum plaça Mercat Iberdrola Generacion SAU 31/12/2012</t>
  </si>
  <si>
    <t>Servei de gestio i recaptacio en executiva desembre 2012 Martinez Centro Gestion, S.L. 31/12/2012</t>
  </si>
  <si>
    <t>Servei de gestio i recaptacio multes desembre 2012 Martinez Centro Gestion, S.L. 31/12/2012</t>
  </si>
  <si>
    <t>disfreses cavalcada reis 12-13 Dulces Cash Valenciana, S.L. 31/12/2012</t>
  </si>
  <si>
    <t>Confeti cavalcada reis Dulces Cash Valenciana, S.L. 31/12/2012</t>
  </si>
  <si>
    <t>Disfreses cavalcada reis Dulces Cash Valenciana, S.L. 31/12/2012</t>
  </si>
  <si>
    <t>Muntatge i lloguer carpa nit cap d'any 2012 J.C.L.A. 31/12/2012</t>
  </si>
  <si>
    <t>Anunci Festes Taurines en Alzira CV Uniprex SAU 31/12/2012</t>
  </si>
  <si>
    <t>Publicitat festes Mare de Deu setembre 2012 en Alzira EFM Uniprex SAU 31/12/2012</t>
  </si>
  <si>
    <t>Anunci festes Mare de Deu en Alzira CV Uniprex SAU 31/12/2012</t>
  </si>
  <si>
    <t>Honoraris procuraor recurs casacio 3056/011 C.M.J. 31/12/2012</t>
  </si>
  <si>
    <t>Ensalaes, croissants etc. per a serveis socials F.J.R.M. 31/12/2012</t>
  </si>
  <si>
    <t>Confecció i material per a trages de la cavalcada de Reis. (B. O, MJ)</t>
  </si>
  <si>
    <t>Bolsetes de chuches per al dia de Sant Antoni. (M.O.S)</t>
  </si>
  <si>
    <t>Beguda i picaeta per a les danses del carnestoltes. GRUP BERCA DISTRIBUCIONS</t>
  </si>
  <si>
    <t>Servei de control en pl. Major dia 04/01/13 per festes de reis. FULL CONTROL SL</t>
  </si>
  <si>
    <t>Personal sala per a presentacions de falles en el Teatre Jaume I. AUDIO-NET ALQUILER PROFESSIONAL SL</t>
  </si>
  <si>
    <t>Personal sala per a diversos actes fallers en el Teatre Jaume I.  AUDIO-NET ALQUILER PROFESSIONAL SL</t>
  </si>
  <si>
    <t>Treballs de publicitat dies 8 i 9 de febrer Outlet 2013. TEXTIL TU CASA SL</t>
  </si>
  <si>
    <t>Col·laboració llibre Joan Baptista Cabanilles J.L.D.S.</t>
  </si>
  <si>
    <t>Projecció cinematogràfica "Los Miserables" Transcinema SL</t>
  </si>
  <si>
    <t>Gestió Sala exposicions Febrer 2013 (prorroga) A.V.T.</t>
  </si>
  <si>
    <t>Servei vigilancia aulari estudi teatre, gener 2013</t>
  </si>
  <si>
    <t>Bus 71 places Algemesí-Javalambre i tornada dia 10/2 Viajes Almantour</t>
  </si>
  <si>
    <t>Educador social Barri Raval gener. MASSERVICIOS SOLIMED</t>
  </si>
  <si>
    <t>Serveis prestats al gabinet drogodependècia. febrer 2013.  GRUPO CENTRA  2002 SL</t>
  </si>
  <si>
    <t>Edició, maquetació i redacció Berca BIM febrer. OPCIÓ COMUNICATIVA</t>
  </si>
  <si>
    <t>90% quota canon abocamente depuradora </t>
  </si>
  <si>
    <t>Telefonia fixa gener. TELEFÒNICA ESPAÑA</t>
  </si>
  <si>
    <t>REPARACIO ALGEAUTO SL</t>
  </si>
  <si>
    <t>Reparació contenidors soterrats per falta manteniment Thesal Urbana SL</t>
  </si>
  <si>
    <t>Servei educació social prevenció inserció Raval Masservicios Solimed SL</t>
  </si>
  <si>
    <t>Manteniment Mòdull Recusrsos Humans 2013. UNIT4 BUSINESS SOFTWARE IBERICA S.A. Soc. Unip.</t>
  </si>
  <si>
    <t>Manteniment programa Gial Win. IVAL INFORMATICA</t>
  </si>
  <si>
    <t>Serveis prestats al Centre Municipal Salut Escolar (feb 13). PROMOSALUT</t>
  </si>
  <si>
    <t>Consorci Bombers gener/febrer 2013</t>
  </si>
  <si>
    <t>Anàlisi recollida mostres EDAR. AGUAS DE VALENCIA</t>
  </si>
  <si>
    <t>Assegurances vehicles. CONSORCI COMPENSACIÓ ASSEGURANCES</t>
  </si>
  <si>
    <t>Servei Públic TV Berca (edició, muntantge...) feb. CARBE</t>
  </si>
  <si>
    <t>Emisió BERCA TDT feb. CARBEM</t>
  </si>
  <si>
    <t>Contracte Serveis Missatgeria. MARTI CORELL LUX</t>
  </si>
  <si>
    <t>vehicle Ssang Yong Korando D20T LINE 4X2 per a la policia local. AQUAMOTOR SL</t>
  </si>
  <si>
    <t>Assistència comptabilitat primer trimestre Informating SL</t>
  </si>
  <si>
    <t>Campanya regals Asilo i Monges V.J.E.A.</t>
  </si>
  <si>
    <t>Moqueta roja per cabalcada REIS V.J.E.A.</t>
  </si>
  <si>
    <t>Gestió Sala Exposicions Gener 13 A.V.T.</t>
  </si>
  <si>
    <t>Lloguer Equips so plataformes cabalcada reis AUDIO-NET SL</t>
  </si>
  <si>
    <t>Lloguer Equips so il·luminació escenari i St Jaume Reis AUDIO-NET</t>
  </si>
  <si>
    <t>Lloguer Equips so il·luminació entrega cartes ambaixador reis AUDIO-NET</t>
  </si>
  <si>
    <t>Dos castells unflables plaça mercat 3 i 4 gener B.M.C.</t>
  </si>
  <si>
    <t>Lloguer Material dia 5 cabalcada reis AUDIO-NET</t>
  </si>
  <si>
    <t>Manteniment Aura portal any 2013 AURA DIFUSION SL</t>
  </si>
  <si>
    <t>Pulseres, colgants i cadenes per a falleres V.O.A.</t>
  </si>
  <si>
    <t>Borses de chuches cabalcada reis S.M.O.</t>
  </si>
  <si>
    <t>Disseny i maquetació Llibre Cabanilles 300 Anys Fco. Llacer ESPIRELIUS</t>
  </si>
  <si>
    <t>Menjar i beguda per a la Sant Silvestre 2012. P.S.J</t>
  </si>
  <si>
    <t>Muntatge sala expojove i animació dies 2 i 3 gner 2013. M.C.B</t>
  </si>
  <si>
    <t>Tallers expofira Jove CIAJ 2013. DISPARATARIO SL</t>
  </si>
  <si>
    <t>Samarretes per a la Sant Silvestre 2012. EL CORTE INGLÉS </t>
  </si>
  <si>
    <t>Lloguer difresses disney expofira jove 2013. SALVADOR ESCARTÍ SL</t>
  </si>
  <si>
    <t>Serveis Expofira-jove 2013. SALVADOR ESCARTÍ SL</t>
  </si>
  <si>
    <t>Factura Esteve Barberá Esteve mes de gener, neteja i recollida </t>
  </si>
  <si>
    <t>Aportació 2013 FVMP</t>
  </si>
  <si>
    <t>Emisió BERCA TDT gener. CARBEM</t>
  </si>
  <si>
    <t>Serveis prestats al gabinet drogodependècia. gener 2013.  GRUPO CENTRA  2002 SL</t>
  </si>
  <si>
    <t>Serveis prestats al Centre Municipal Salut Escolar (gener 13). PROMOSALUT</t>
  </si>
  <si>
    <t>Servei Públic TV Berca (edició, muntantge...) gener. CARBE</t>
  </si>
  <si>
    <t>Lloguer 3 carrosses cavalcada Reis. CARROSSES EL LLOMBO</t>
  </si>
  <si>
    <t> Espectacle: Concert d’Any Nou. OSR</t>
  </si>
  <si>
    <t>Espectacle: Las aventuras del capitán Tan Tan. IBÁÑEZ &amp; PAYÁ PRODUCCIONES</t>
  </si>
  <si>
    <t>Espectacle: Formas Flamencas. COMPAÑIA DANZA MEDITERRÁNEO</t>
  </si>
  <si>
    <t>Espectacle: Sueña Casanova. ARDEN PROUCCIONES</t>
  </si>
  <si>
    <t>Espectacle: Zangolotinos en escabeche G. E.</t>
  </si>
  <si>
    <t>Espectacle: Un conejo en la chistera. EL PUNT DE LA I</t>
  </si>
  <si>
    <t>Espectacle: Educando a Rita. SAGA PRODUCCIONES</t>
  </si>
  <si>
    <t>Espectacle: Ensemble Sonoro. TALLER SONORO</t>
  </si>
  <si>
    <t>Espectacle: Del brazo y con Serrano J.M.M.A</t>
  </si>
  <si>
    <t>Espectacle: Besos. ALBENA PRODUCCIONS</t>
  </si>
  <si>
    <t>Espectacle: Gala lírica Veterans de la Ribera. AGRUP MUSICAL VETERANS DE LA RIBERA / CORAL POLIF. CARLET</t>
  </si>
  <si>
    <t>Espectacle:  La del manojo de rosas. ASOCIACIÓN DE AMIGOS DE LA MÚSICA DE ALCOY</t>
  </si>
  <si>
    <t>Espectacle: Mowgli. El libro de la Selva. LA CARRETA TEATROS</t>
  </si>
  <si>
    <t>Dinar Reis 2013. ROPAC</t>
  </si>
  <si>
    <t>Fra. 01/FC/00000128/12 Servei mensual Cementeri del 16-11 fins al 15-12-12 AUTOCARES LOZANO S.L.</t>
  </si>
  <si>
    <t>Fra 046/2012 Vint Pointsetias arreglades nadalenques, Jaume I per a Ames de Casa M.I.C.B.</t>
  </si>
  <si>
    <t>Emisió BERCA TDT desembre. CARBEM</t>
  </si>
  <si>
    <t>Serveis prestats al gabinet drogodependècia. set 2012.  GRUPO CENTRA  2002 SL</t>
  </si>
  <si>
    <t>Servei Públic TV Berca (edició, muntantge...) des. CARBE</t>
  </si>
  <si>
    <t>Gestió i animació CIAJ. des 2012. SALVADOR  ESCARTÍ C.. SSL        </t>
  </si>
  <si>
    <t>Neteja escoles municipals. des 2012. ALOJA</t>
  </si>
  <si>
    <t>Programa oci segur i qualitat. CONTROLA CLUB</t>
  </si>
  <si>
    <t>Preparació i organització Expo fira Jove 2013. SALVADOR ESCARTÍ SL</t>
  </si>
  <si>
    <t>Educador social Barri Raval octu2012. MASSERVICIOS SOLIMED</t>
  </si>
  <si>
    <t>Honoraris Registre de la propietat pàrquing Mercat. CSRF</t>
  </si>
  <si>
    <t>Capa Torero Azulón. HIJAS DE C. E., SL</t>
  </si>
  <si>
    <t>Fra. 002/2012 Escultura taurina trofeu Berca TV J.G.P.</t>
  </si>
  <si>
    <t>Fra. 307/12 Recollida, acollida i manteniment gossos abandonats novembre 2012 GOSSOS D'ALPE S.C.</t>
  </si>
  <si>
    <t>Fra. FR 01182012120004/12 Torro per a regal representació Autoritats Coreanes JUAN FORNES FORNES S.A.</t>
  </si>
  <si>
    <t>Edició i impressió llibre "JOAN CABANILLES" ANDANA EDITORIAL</t>
  </si>
  <si>
    <t>15.000 litres gasoil col·legis públics L'ALCUDIA GAS SL</t>
  </si>
  <si>
    <t>Fra. 12111187/12 Honoraris Procurador procediment ordinari No. 346/011 Audiencia Nacional Sala de lo Cont/Advo. Secc 7 C.M.J.</t>
  </si>
  <si>
    <t>Fra. 41/2012 Minuta honoraris Recurs-Admin. No. 346/2011Canon Control de Residus any 2006 RICARDO DE VICENTE ABOGADOS S.L.P.</t>
  </si>
  <si>
    <t>Fra. 42/2012 Minuta honoraris Recurs-Contencios-Admin. No. 381/2010 Contra Resolució Alcaldia 729/2010 de 13 d'abril RICARDO DE VICENTE ABOGADOS S.L.P.</t>
  </si>
  <si>
    <t>Fra. 43/2012 Minuta honoraris Recurs-Contencios-Admin. No. 1732/2009 Contra Resolució Alcaldia Ajunt. Algemesí 1282/2009 de 30 de juliol RICARDO DE VICENTE ABOGADOS S.L.P.</t>
  </si>
  <si>
    <t>Fra. 64/12 Instal·lació i manteniment Equip Megafonia XII Mitja Marató del Samaruc 02-12-12 C.P.G.</t>
  </si>
  <si>
    <t>Fra. 175772891 Poliça Assegurança No. 55-0098643 Vehicles Ajuntament del 31-12-2012 fins 30-12-2013 ARAG, PLUS CONSULTORES S.L.</t>
  </si>
  <si>
    <t>Fra. 493719951 Poliça Assegurança No. 023027101 Accident Vehicles Colectiu del 31-12-2012 fins 31-12-2013 ALLIANZ, PLUS CONSULTORES S.L.</t>
  </si>
  <si>
    <t>Fra. 20121200000000156/12 Subministrament 2000 litres Gasoil C Calefacció Instal·lacions Esportives CEPSA COMERCIAL ESTE S.A.</t>
  </si>
  <si>
    <t>Manteniment i neteja zones verdes Parc S. Castell (nov 2012). P.R.J</t>
  </si>
  <si>
    <t>Manteniment i neteja zones verdes Parc B. G.  (nov 2012). P.R.J</t>
  </si>
  <si>
    <t>Gestió i animació Centre sociocult. Carrascalet. nov 2012. SALVADOR. ESCARTI C. SSL </t>
  </si>
  <si>
    <t>Publicitat escut Algemesí en mono de carreres i moto de Nacho Calero any 2012. CLUB MOTOCICLISMO ORELAC RACING</t>
  </si>
  <si>
    <t>Energia elèctrica edifici Policia i Serveis Socials. IBERDROLA</t>
  </si>
  <si>
    <t>Fra. 3606/2012 Garrafes i gots d'aigua Dependencies Municipals octubre 2012 SERVIAGUA JOSMAR S.L.</t>
  </si>
  <si>
    <t>Fra. 659/12 Senyals de Trafic PROSEÑAL S.L.</t>
  </si>
  <si>
    <t>Fra. 266/2012 Servei Autobus eixida 07/12/12 tornada 09/12/12 (Algemesí - Requena) FRANJEN S.L.</t>
  </si>
  <si>
    <t>Fra. 11074/12 Llibres per a la Biblioteca EDITORIAL JAIF S.L.</t>
  </si>
  <si>
    <t>Fra. 1-94/12 Llibres per a la Biblioteca LLIBRERIA SAMARUC S.L.</t>
  </si>
  <si>
    <t>Fra. 104/12 Reunió VIES I CONSTRUCCIÓ, dinar Tots Sants i reunió AGUAS DE VALENCIA ROPAC ALGEMESI S.L.</t>
  </si>
  <si>
    <t>Serveis prestats al Centre Municipal Salut Escolar (des12). PROMOSALUT</t>
  </si>
  <si>
    <t>Telefonia fixa. TELEFÒNICA DE ESPAÑA</t>
  </si>
  <si>
    <t>Factura Esteve Barberá Esteve mes de desembre, neteja i recollida </t>
  </si>
  <si>
    <t>Repartiment i notificacions octubre. DISTRIBUCIONES LOGÍSTICA</t>
  </si>
  <si>
    <t>Fra. A/199 Samarretes Mitja Marató Samaruc 2-12-12 DISTRIBUCIONES PREVENCOMER S.L.U.</t>
  </si>
  <si>
    <t>Lones Festes Mare de Déu IMPACTE COMUNICACIÓ</t>
  </si>
  <si>
    <t>Desdejunis,esmorçar i dinars diversos. ROPAC</t>
  </si>
  <si>
    <t>Catàleg exposició fotògrafs. R.N.,J</t>
  </si>
  <si>
    <t>Neteja escoles municipals. set 2012. ALOJA</t>
  </si>
  <si>
    <t>Servei Públic TV Berca (edició, muntantge...) set. CARBE</t>
  </si>
  <si>
    <t>Servei comunicació centre Polivalent. CARBEM</t>
  </si>
  <si>
    <t>Servei vigilància aulari desembre-gener. FULL CONTROL</t>
  </si>
  <si>
    <t>Subministrament paper 120 caixe DIN4. SUOFI</t>
  </si>
  <si>
    <t>Fra. 897/12 Reposició Bomba Font Plaça Europa R.C.N.</t>
  </si>
  <si>
    <t>Fra. 1-85/12 Llibres per a la Biblioteca LLIBRERIA SAMARUC S.L.</t>
  </si>
  <si>
    <t>Taulers metacrilat pavelló cobert. EQUIPAMIENTOS DEPORTIVOS</t>
  </si>
  <si>
    <t>Lloguer mercat Teular octu 2012. J. B. M. B.</t>
  </si>
  <si>
    <t>Gestió i animació Centre sociocult. Carrascalet. oct 2012. SALVADOR. ESCARTI C. SSL </t>
  </si>
  <si>
    <t>Manteniment i neteja zones verdes Parc S. Castell (oct 2012). P.R.J</t>
  </si>
  <si>
    <t>Manteniment i neteja zones verdes Parc B. G.  (oct 2012). P.R.J</t>
  </si>
  <si>
    <t>Gestió i animació CIAJ. octu2012. SALVADOR  ESCARTÍ C.. SSL        </t>
  </si>
  <si>
    <t>Energia elèctrica edifici Ajuntament. IBERDROLA</t>
  </si>
  <si>
    <t>Fra. 88/12 Dinars i sopars de Delegats del 22 al 30 setembre ROPAC ALGEMESI S.L.</t>
  </si>
  <si>
    <t>Fra. 89/12 Esmorçars Guardia Civil i Policia Programa Infantil Carrer Muntanya ROPAC ALGEMESI S.L.</t>
  </si>
  <si>
    <t>Fra. 90/12 Dinar amb membres Policia Nacional ROPAC ALGEMESI S.L.</t>
  </si>
  <si>
    <t>Fra. 91/12 Dinar Diputat Assumptes Taurins i Escola de Valencia ROPAC ALGEMESI S.L.</t>
  </si>
  <si>
    <t>Fra. 98/12 Dinar Gerent Mas y Mas i acompanyants ROPAC ALGEMESI S.L.</t>
  </si>
  <si>
    <t>Fra. 00092/12 Esmorçars i aperitius Agencies de Turisme Tour Turista ROPAC ALGEMESI S.L.</t>
  </si>
  <si>
    <t>Fra. 001/77.101 Adquisició de 9 ordinadors per premiar Expedients Acadèmics exercici 2012 FAUS S.L.</t>
  </si>
  <si>
    <t>Fra. A/2012070 1.000 Cartells i 500 Invitacions Promoció Festa Mare de Déu de la Salut V.P.P.</t>
  </si>
  <si>
    <t>Fra. G 286/12 Triptics Material Informatiu Promoció Festa Mare de Déu de la Salut . Patrimoni Immaterial de la Humanitat, Unesco IDEAGRAFICA ALGEMESI S.L.L.</t>
  </si>
  <si>
    <t>Fra. AL 770/12 Lloguer Equip So i Il·luminació "Lloances" 15 i 16 setembre 2012 AUDIO-NET ALQUILER PROFESIONAL S.L.</t>
  </si>
  <si>
    <t>Fra. 2012-393 Muntatge Carpa Terrat Ajuntament Processó Mare de Déu 7, 8 i 9 setembre J.C.L.A.</t>
  </si>
  <si>
    <t>Fra. 8822/12 Sopar Carrascalet dia del Pilar HNOS. CALABUIG C.B.</t>
  </si>
  <si>
    <t>Fra. 00081/12 Desdejunis, Esmorçars i Dinars Riom Junta Local de Seguretat i Altres ROPAC ALGEMESI S.L.</t>
  </si>
  <si>
    <t>Fra. 73/12 Sopar Club Cicliste ROPAC ALGEMESI S.L.</t>
  </si>
  <si>
    <t>Fra. 72/12 Bocates i beguda Personal Museu per Cartell Mare de Déu ROPAC ALGEMESI S.L. </t>
  </si>
  <si>
    <t>Fra. 00077/12 Esmorçars Escola Electricitat i Tecnics ROPAC ALGEMESI S.L.</t>
  </si>
  <si>
    <t>Fra. 70/12 Quatre menús reunió seguretat Intendent Principal, Regidors i Alcalde ROPAC ALGEMESI S.L.</t>
  </si>
  <si>
    <t>Fra. 61/12 Dinar celebració Plenari maig 2012 Corporació i Equip de TV Berca ROPAC ALGEMESI S.L.</t>
  </si>
  <si>
    <t>Fra. 171012/12 Article de regal de Ceràmica A.R.E.</t>
  </si>
  <si>
    <t>Fra. 14/12 Gestió Sala Exposicions novembre 2012 A.V.T.</t>
  </si>
  <si>
    <t>Serveis prestats al Centre Municipal Salut Escolar (nov 12). PROMOSALUT</t>
  </si>
  <si>
    <t>Gestió i animació Centre sociocult. Carrascalet. set 2012. SALVADOR. ESCARTI C. SSL </t>
  </si>
  <si>
    <t>Lloguer mercat Teular set 2012. J. B. M. B.</t>
  </si>
  <si>
    <t>Instal. i servei de megafonia setmana de bous </t>
  </si>
  <si>
    <t>Pagament  bimenseual consorci bombers nov-desem</t>
  </si>
  <si>
    <t>Pagament a justificar emès per a adquisició de productes per a paella per als Tornejants. VRGM</t>
  </si>
  <si>
    <t>Festes del barri Verge del Carmen. Castells Unflables, so i il·luminació varietats, so misa campanya. FZR</t>
  </si>
  <si>
    <t>Dinar Festeres Barri del Carme. Ropac Algemesí SL</t>
  </si>
  <si>
    <t>Publicitat de la Mare de Déu en el Levante. Editorial Prensa Valenciana SA</t>
  </si>
  <si>
    <t>Traca de 570m per a festes en el carrer Rei Jaume I. Pirotecnia Crespo SL</t>
  </si>
  <si>
    <t>Mascletà mecanitzada 12 d'octubre, Festes del Pilar. Pirotecnia Crespo SL</t>
  </si>
  <si>
    <t>Bandes, corbatins i quadres de pegarmí, Falles 2013. JCM</t>
  </si>
  <si>
    <t>Cartells i invitacions presentació Falleres Majors 2013. Ideagràfica Algemesí SLL</t>
  </si>
  <si>
    <t>Repartiment de la revista BIM Berca núm. 201. Repart-Coal SL</t>
  </si>
  <si>
    <t>Mòduls de publicitat setembre Mare de Déu 2012. Algepress CB</t>
  </si>
  <si>
    <t>Corona de llorer i flors Proclamació Falleres Majors. Almen's Flors i Plantes SL</t>
  </si>
  <si>
    <t>Publicitat de la Setmana de Bous dies 24, 25, 26, 27 i 28. CM Las Provincias Multimedia SL</t>
  </si>
  <si>
    <t>Inserció publicitària Festes d'Algemesí Mare de Déu. CM Las Provincias Multimedia SL</t>
  </si>
  <si>
    <t>Gestió sala d'Exposicions, octubre 2012. AVT</t>
  </si>
  <si>
    <t>Anunci Setmana de Bous en "Avance Taurino". Avance DP SL</t>
  </si>
  <si>
    <t>Material esportiu divers. EQUIPAMIENTOS DEPORTIVOS</t>
  </si>
  <si>
    <t>Material per a pintar el parc Salvador Castell. C.M.J.V</t>
  </si>
  <si>
    <t>Factura Esteve Barberá Esteve mes de octubre, neteja i recollida </t>
  </si>
  <si>
    <t>Manteniment i neteja zones verdes Parc S. Castell (set 2012). P.R.J</t>
  </si>
  <si>
    <t>Manteniment i neteja zones verdes Parc B. G.  (set 2012). P.R.J</t>
  </si>
  <si>
    <t>Energia eléctrica mercat municipal, pl. Auditori Moreno Gans,4. IBERDROLA GENERACIÓN SAU</t>
  </si>
  <si>
    <t>Fra. 12/168 Repetició lona festes 2012 IMPACTE COMUNICACIÓ VISUAL S.L.</t>
  </si>
  <si>
    <t>Fra. A/17351/12 Beguda Ajuntament setmana de bous V.F.S.</t>
  </si>
  <si>
    <t>Fra. A/2012088 Dos-cents cartells "Bando bous 2012" V.P.P.</t>
  </si>
  <si>
    <t>Fra. 7/12 Realització 9 passacarrers setmana taurina SOCIETAT MUSICAL D'ALGEMESÍ</t>
  </si>
  <si>
    <t>Fra. 197/12 Recollida, acollida i manteniment gossos abandonats agost 2012 GOSSOS D'ALPE S.C.</t>
  </si>
  <si>
    <t>Fra. 251/12 Recollida, acollida i manteniment gossos abandonats setembre 2012 GOSSOS D'ALPE S.C.</t>
  </si>
  <si>
    <t>Subministrament material neteja. NETYA SL</t>
  </si>
  <si>
    <t>Repartiment i notificacions juny. DISTRIBUCIONES LOGÍSTICA</t>
  </si>
  <si>
    <t>Cadires plàstic. MANOFACTURAS VERVI</t>
  </si>
  <si>
    <t>Lloguer mercat Teular agost 2012. J. B. M. B.</t>
  </si>
  <si>
    <t>Assegurança multiriesgo industrial. AON GIL Y CARVAJAL</t>
  </si>
  <si>
    <t>Carrosses setmana bous. CARROSSES EL LLOMBO</t>
  </si>
  <si>
    <t>Servei Públic TV Berca (edició, muntantge...) oct. CARBE</t>
  </si>
  <si>
    <t>Gestió i animació CIAJ. juliol 2012. SALVADOR  ESCARTÍ C.. SSL </t>
  </si>
  <si>
    <t>Fra. 14100066556/12 Formigó obra ampliació Camí Baixada Molí Nou HORMICEMEX S.A.</t>
  </si>
  <si>
    <t>Fra. 20/12 Materials obra ampliació Camí Ulleretes J.F.S.</t>
  </si>
  <si>
    <t>Fra. 21/12 Materials obra ampliació Camí Hort del Cònsul J.F.S.</t>
  </si>
  <si>
    <t>Fra. 21/12 Materials obra ampliació Camí Baixada Molí Nou CONTENEDORES LLEBROS S.L.</t>
  </si>
  <si>
    <t>Fra. 1-71/12 Llibres per a la Biblioteca LLIBRERIA SAMARUC S.L.</t>
  </si>
  <si>
    <t>Fra. 339/12 Materials obra ampliació Camí Hort del Cònsul EXCAVACIONES BOU S.L.U.</t>
  </si>
  <si>
    <t>Fra. 0000270511/12 Dos baberos treballs A.G.F.</t>
  </si>
  <si>
    <t>Fra. 950/137871/12 Reposició unitats higièniques i ambientadors dependències municipals del 04-09-12 al 03-10-12 INITIAL TEXTILES E HIGIENE S.L.</t>
  </si>
  <si>
    <t>Fra. 2474/2012 Garrafes i gots d'aigua dependències municipals juliol 2012 SERVIAGUA JOSMAR S.L.</t>
  </si>
  <si>
    <t>Fra. 2882/2012/ Dotze Garrafes i gots d'aigua dependències municipals agost 2012 SERVIAGUA JOSMAR S.L.</t>
  </si>
  <si>
    <t>Fra. 12-04 Sis figures de la Muixeranga Projecte Europeu LA MUIXERANGA D'ALGEMESÍ</t>
  </si>
  <si>
    <t>Fra. 31720177/12 Servei control aulari Teatre Municipal agost 2012 FULL CONTROL S.L.</t>
  </si>
  <si>
    <t>Fra. 2120184/12 Muntatge panells i pòsters Consell Agrari Local SEÑALIZACIONES ROSES S.L.</t>
  </si>
  <si>
    <t>Fra. 31720177/12 Servei control aulari Teatre Municipal setembre 2012 FULL CONTROL S.L.</t>
  </si>
  <si>
    <t>Fra. 01/FC/00000102/12 Servei mensual Cementeri del 16-08-12 al 15-09-12 AUTOCARES LOZANO S.L.</t>
  </si>
  <si>
    <t>Serveis prestats al Centre Municipal Salut Escolar (set12). PROMOSALUT</t>
  </si>
  <si>
    <t>Dinar Mare de Déu. J. TORRENT</t>
  </si>
  <si>
    <t>Digitalització llibre B.S.M.L</t>
  </si>
  <si>
    <t>Servei recaptació executiva set2012. MARTINEZ CENTRO GESTIÓN</t>
  </si>
  <si>
    <t>Educador social Barri Raval maig 2012. MASSERVICIOS SOLIMED</t>
  </si>
  <si>
    <t>Educador social Barri Raval set 2012. MASSERVICIOS SOLIMED</t>
  </si>
  <si>
    <t>Concert Líric. CAVARADOSSI, SL </t>
  </si>
  <si>
    <t>Materials elèctrics per a l'enllumenat públic COMERCIAL ELECTRICA SUMNISTROS SA</t>
  </si>
  <si>
    <t>IV Campanya prevenció de la ceguera. Fundació Jorge Alió</t>
  </si>
  <si>
    <t>II Campanya de Salut Visual. FUNDACIÓ JORGE ALIÓ</t>
  </si>
  <si>
    <t>Obra Los conciertos no son así. DÉDALO ENSEMBRE</t>
  </si>
  <si>
    <t>Obra Concert Líric. A.A.R.</t>
  </si>
  <si>
    <t>Obra Fantasiant. LINACUS GESTIÓ CULTURAL</t>
  </si>
  <si>
    <t>Obra Un drama en el  quinto pino. J..M.M</t>
  </si>
  <si>
    <t>Obra La pell de gallina. L'HORTA TEATRE</t>
  </si>
  <si>
    <t>Obra Concert: Entre flores hermosas. AS. MÚSICA ANTIGUA XÁCARA</t>
  </si>
  <si>
    <t>Obra Concert de Vienna Camerata. ASS. AMICS DE LA MÚSICA D'ALCOI </t>
  </si>
  <si>
    <t>Obra Perdiendo el tiempo. COM. DANZA MAR Y JAVIER SL</t>
  </si>
  <si>
    <t>Obra Consert d'any nou AS. PER ALS ESTUDIS OSR</t>
  </si>
  <si>
    <t>Factura Esteve Barberá Esteve mes de setembre, neteja i recollida </t>
  </si>
  <si>
    <t>Servei retirada vehicles. JUNY. GRUAS PACO BLASCO SL</t>
  </si>
  <si>
    <t>Estudi investigació i actvitats drogodepedència. AS. CONTROLA CLUB</t>
  </si>
  <si>
    <t>Gestió i animació Centre sociocult. Carrascalet. maig 2012. SALVADOR. ESCARTI C. SSL </t>
  </si>
  <si>
    <t>Educador social Barri Raval juny 2012. MASSERVICIOS SOLIMED</t>
  </si>
  <si>
    <t>Gestió i explotació de la piscina municipal d'Algemesí estiu 2012</t>
  </si>
  <si>
    <t>Neteja escoles municipals. Agost 2012. ALOJA</t>
  </si>
  <si>
    <t>Neteja escoles municipals. juliol 2012. ALOJA</t>
  </si>
  <si>
    <t>Servei recaptació executiva agost 2012. MARTINEZ CENTRO GESTIÓN</t>
  </si>
  <si>
    <t>Servei recaptació multes agost 2012. MARTINEZ CENTRO GESTIÓN</t>
  </si>
  <si>
    <t>Gestió i animació CIAJ. agost 2012. SALVADOR  ESCARTÍ C.. SSL </t>
  </si>
  <si>
    <t>      Manteniment i neteja P. Bernat Guinovart (agost 12). P.R.J        </t>
  </si>
  <si>
    <t>Manteniment i neteja zones verdes Parc S. Castell (agost 2012). P.R.J</t>
  </si>
  <si>
    <t>Edició, maquetació i redacció Berca BIM extraordinari setembre OPCIÓ COMUNICATIVA</t>
  </si>
  <si>
    <t>Serveis prestats al Centre Municipal Salut Escolar (agost 12). PROMOSALUT</t>
  </si>
  <si>
    <t>Vestuari Policia. INSIGNIA UNIFORMES</t>
  </si>
  <si>
    <t>Instalació tribunes festa Mare de Déu. XICAN WERK SL</t>
  </si>
  <si>
    <t>Fra. 12/132 Lones, banderoles i photocall Algecampus 2012. IMPACTE COMUNICACIÓ VISUAL S.L.</t>
  </si>
  <si>
    <t>Fra. 48/12 Instal·lació equip d'aire i so Algecampus 2012. C.P.G.</t>
  </si>
  <si>
    <t>Fra. 31720134/12 Servei control Instal·lacions Algecampus 2012. FULL CONTROL S.L.</t>
  </si>
  <si>
    <t>Fra. F3812/12 Organització torneig Algecampus. V.D.V.S.</t>
  </si>
  <si>
    <t>Fra. FA12/410 Muntatge sistemes xarxa Algecampus. SIMAURIA NETWORKS S.L.</t>
  </si>
  <si>
    <t>Fra. 561 Materials pintura Camp de futbol. J.V.C.M.</t>
  </si>
  <si>
    <t>Servei d'emissió Berca TV per TDT juliol 2012. CARBE PRODUCCIONS SL</t>
  </si>
  <si>
    <t>Servei de grua, retirada de vehicles juliol 2012. GRUAS PACO BLASCO SL</t>
  </si>
  <si>
    <t>Dinar en la Bodegueta de la Regiduria de Comerç dia 19/07/12. JOSE TORRENT SL</t>
  </si>
  <si>
    <t>Servei de manteniment informatic agost 2012. G.M.J.V</t>
  </si>
  <si>
    <t>Focs artificials dia 15/07/12 en el barri del Carmen. Focs d'artifici Europla SL</t>
  </si>
  <si>
    <t>Refrescos festes barri del Carmen. R.E.E</t>
  </si>
  <si>
    <t>Apagat, desmuntatge i retirada equip emissor i receptor de televisió analógic de l'Ajuntament. SIGNES I PEDROS SL</t>
  </si>
  <si>
    <t>Servei de control en l'aulari del Teatre Municipal, juliol 2012. FULL CONTOL SL</t>
  </si>
  <si>
    <t>Materiales i pintura per al cementeri nou. C.M.J.V</t>
  </si>
  <si>
    <t>Servei de desinsectació i desinfecció Escoles Infantils Privades. ECO-TRATAMIENTOS Y SERVICIOS SL</t>
  </si>
  <si>
    <t>      Manteniment i neteja P. Bernat Guinovart (maig 12). P.R.J        </t>
  </si>
  <si>
    <t>Manteniment i neteja zones verdes Parc S. Castell (maig 2012). P.R.J</t>
  </si>
  <si>
    <t>Escola Estiu 2012. E.I EL BRESSOL</t>
  </si>
  <si>
    <t>Lloguer aules taller d'electricista edificis. PROLEG FORMACIÓ</t>
  </si>
  <si>
    <t>Minitractor Honda per a parcs  i jardins. CALABUIG NAVALÓN</t>
  </si>
  <si>
    <t>Remodelació i reparació diversos parcs infantils. INST. I MANTENIMIENTO PARQUES INFANTILES</t>
  </si>
  <si>
    <t>Pagament bimensual (set-oct) CONSORCI BOMBERS</t>
  </si>
  <si>
    <t>Emisió BERCA TV per SUCRO TV agost. CARBEM</t>
  </si>
  <si>
    <t>Emisió BERCA TV per SUCRO TV set. CARBEM</t>
  </si>
  <si>
    <t>Reposicions senyal trànsit. SEÑ. ROSES SL</t>
  </si>
  <si>
    <t>Fra. 30/12 Instal·lació i manteniment megafonia concentració bandes de cornetes i tambors Teular 19 de maig. C.P.G.</t>
  </si>
  <si>
    <t>Fra. 10612/12 Catàleg exposició Josep Lozano. J.R.N.</t>
  </si>
  <si>
    <t>Factura Esteve Barberá Esteve mes de juliol, neteja i recollida </t>
  </si>
  <si>
    <t>Modificació partida pressupostaria 230-226.06 Curs coneixements bàsics de jardineria. J.A.P.R.</t>
  </si>
  <si>
    <t>1.600 + IVA</t>
  </si>
  <si>
    <t>Fra. 7220122953/12 Caixes paper DIN A4 i DIN A3 Fotocopiadores i impressores. LYRECO ESPAÑA S.A.</t>
  </si>
  <si>
    <t>Fra. A/2010271 Acreditacions, polseres, samarretes i pantalla Algecampus. V.P.P.</t>
  </si>
  <si>
    <t>Contracte menor compra 704 butaques monoblock per a diferents esdeveniments municipals. MANUFACTURAS VERVI S.L.</t>
  </si>
  <si>
    <t>Fra. 2012-85 Serveis informàtica període 1/06 fins 26/06/12 SUMAGRUP TECNOLOGIES D'INFORMACIO SL.</t>
  </si>
  <si>
    <t>Fra. 120614/12 Guia Municipal Ajuntament d'Algemesí GUIAS INRFORMATIVAS SL.</t>
  </si>
  <si>
    <t>Fra. 18/12 Llimó granissat i botellins d'aigua Fira Sant Onofre E.R.E.</t>
  </si>
  <si>
    <t>Edició llibre "Jornades Culturals Josep Marco" IMP. NOSTRA (Rectificació 05/09/12)</t>
  </si>
  <si>
    <t>Fra. 2347/12 Tractament Morrut Roig en diversos punt del poble. JPR</t>
  </si>
  <si>
    <t>01/FC/00000086/12 Servei mensual al cementeri periode 16/06/12 fins 1/07/12. Autocares Lozano SL</t>
  </si>
  <si>
    <t>Pagament únic p-3812/2012 reparació de finestres i canvi lames persianes en el Jutjat de Pau. PERSILOZ SL</t>
  </si>
  <si>
    <t>1.85,08</t>
  </si>
  <si>
    <t>fRA. 156/2012 Assistència a la comptabilitat tercer trimestre 2012. Informating SL</t>
  </si>
  <si>
    <t>Fra. JN/612083 Autobus Nens del Vendrell encontre muixerangues 2012 data 16 i 17 de juny. Autocars Poch SL</t>
  </si>
  <si>
    <t>Fra. Gestió Sala d'Exposicions agost 2012. AVT</t>
  </si>
  <si>
    <t>fra. A/62 Reparació soport hidràulic. Contenedores y gruas Algemesí SLU</t>
  </si>
  <si>
    <t>Fra.  707/12 Personal per a la sala d'Exposicions juny 2012. Audio-net SL</t>
  </si>
  <si>
    <t>Fra. 687/12 Lloguer equip de so Trobada de Muixerangues en la plaça Major dia 16/06/12. Audio-net SL</t>
  </si>
  <si>
    <t> Fra. 674/12 Lloguer equip mostra de dansa dia 07/06/12. Audio-net SL</t>
  </si>
  <si>
    <t>Fra. 663/12 Lloguer equip d'il.luminació concert Orquesta Simfónica de la Ribera dia 03/06/12. Audio-net SL</t>
  </si>
  <si>
    <t>Fra. 191/12 Control DR/DS/DF en clavegueram i edificis municipals juliol 2012. Eco-tratamientos y servicos SL</t>
  </si>
  <si>
    <t>Curs de coneixements bàsics de Jardineria.  JAPR</t>
  </si>
  <si>
    <t>1500L de gasóleo rendimiento pavelló cobert. CEPSA Comercial Este SA</t>
  </si>
  <si>
    <t>Paelles per a sopar colles Trobada Muixerangues (495 comensals) Fra A388/12 de JOSE TORRENT SL (pagada pla xoc Diputació)</t>
  </si>
  <si>
    <t>Fra 9/2012 de CARBE PRODUCCIONS  pagada amb el pla de xoc de la Diputació. </t>
  </si>
  <si>
    <t>Fra A/1273 de BENESTAR A LA COMUNITAT SLL pagada amb el pla de xoc de la Diputació. </t>
  </si>
  <si>
    <t>Fra 9 de PROMOSALUT ARPEL SLP  pagada amb el pla de xoc de la Diputació. </t>
  </si>
  <si>
    <t>Fra 7/12 de GRUP CENTRA 2002 SL  pagada amb el pla de xoc de la Diputació. </t>
  </si>
  <si>
    <t>Material per allumenat públic. COMERCIAL ELÈCTRICA DE SUMINISTROS</t>
  </si>
  <si>
    <t>Mobiliari Infantil Plaça Cabanilles. ALOMAR DISEÑO URBANO</t>
  </si>
  <si>
    <t>Políça assegurança responsabilitat civil. AON GIL Y CARVAJAL</t>
  </si>
  <si>
    <t>Lloguer mercat Teular juliol 2012. J. B. M. B.</t>
  </si>
  <si>
    <t>Gestió i animació CIAJ. maig 2012. SALVADOR  ESCARTÍ C.. SSL </t>
  </si>
  <si>
    <t>Escola Multiesportiva Juliol 2012. Brakesport SL</t>
  </si>
  <si>
    <t>Gestio i exp. de la piscina municipal descoberta. Estiu 12. BRAKESPORT SL.</t>
  </si>
  <si>
    <t>Fra. 21/2012 Minuta honoraris proced. 135/2011 interposat per AAV. Ricardo de Vicente Abogados SLP</t>
  </si>
  <si>
    <t>Fra. 2055/2012 Garrafes i gots d'aigua par a dependències municipals juny 2012. Serviagua Josmar SL</t>
  </si>
  <si>
    <t>Fra.12/8254 Material escolar per a l'Escola Infantil Els Xiquets. Comercial de suministros escolares SL</t>
  </si>
  <si>
    <t>Servesi gestió i recaptació executiva juny. Martínez Centro Gestión SL</t>
  </si>
  <si>
    <t>Servei suport informàtic extern, primer nivell. JVGM</t>
  </si>
  <si>
    <t>Control aulari Teatre. Juny 2012. FULL CONTROL SL</t>
  </si>
  <si>
    <t>Manteniment i neteja P. Bernat Guinovart (maig 12). P.R.J </t>
  </si>
  <si>
    <t>Samarretes volta a peu Sant Onofre. EL CORTE INGLÉS</t>
  </si>
  <si>
    <t>Servesi gestió i recaptació multes juny. Martínez Centro Gestión SL</t>
  </si>
  <si>
    <t>Fra. A-81/12 Neteja extraordinària Parc Salvador Castell motiu Fira de la Tapa dies 11, 12, 13 de maig ESTEVE BARBERA ESTEVE SL.</t>
  </si>
  <si>
    <t>Fra. A-83/12 Neteja extraordinària Plaça Major i adjacents de 20-05-12 per sopar de cadafals dia 19-05-12 ESTEVE BARBERA ESTEVE SL.</t>
  </si>
  <si>
    <t>Fra. 2012-FA-187 Sabates personal Ajuntament FERRETERIA ALGEMESI SL.</t>
  </si>
  <si>
    <t>Fra. 12052306/12 Assegurança defensa jurídica poliça 45189553, període 08-05-12 a 08-05-12 DAS DEFENSA DEL AUTOMIVILISTA I DE SINIESTRO</t>
  </si>
  <si>
    <t>Fra. 198FP12/1706 Anunci taxa estacionament vehícles CM LAS PROVINCIAS MULTIMEDIA SL.</t>
  </si>
  <si>
    <t>Fra. 1622/2012 Garrafes i gots d'aigua dependències municipals maig 2012 SERVIAGUA JOSMAR SL.</t>
  </si>
  <si>
    <t>Fra. MD 120500376/12 Servei de repartiment de notificació maig 2012 MDL DISTRIBUCION LOGISTICA SA.</t>
  </si>
  <si>
    <t>Fra. A-98/12 Neteja extraordinària Carrer Almussafes  i adjacents 03-06-12 ESTEVE BARBERA ESTEVE SL.</t>
  </si>
  <si>
    <t>Fra. A-99/12 Neteja extraordinària Matinal Motera i Nit de Rock 10_06_2012 ESTEVE BARBERA ESTEVE</t>
  </si>
  <si>
    <t>Fra. A-100/12 Neteja extraordinària posterior a la processó del Corpus Christi 10-06-2012 ESTEVE BARBERA ESTEVE</t>
  </si>
  <si>
    <t>Fra.B03392/12 Productes de neteja i agençament Escola infantil Els Xiquets NETYA SL.</t>
  </si>
  <si>
    <t>Fra.B03391/12 Productes de neteja i agençament Escola infantil Mestre Lozano NETYA SL. </t>
  </si>
  <si>
    <t>Fra. A-101-12 Neteja extraordinària Parc Salvador Castell i Ronda d'Alzira paelles 17-06-12 ESTEVE BARBERA ESTEVE</t>
  </si>
  <si>
    <t>Fra. B03540/12 Productes de neteja i agençament per a l'Ajuntament NETYA SL.</t>
  </si>
  <si>
    <t>Fra. 981148 Reposició plantes Ajuntament ANTARA MEDITERRANEA SL. </t>
  </si>
  <si>
    <t>Fra. A/12026 restaurar i tapissar butaques saló d'actes EBESTA PROYECTOS EN MADERA</t>
  </si>
  <si>
    <t>Escola estiu Integració Social.  AUCA PROJ. EDUCATIVOS</t>
  </si>
  <si>
    <t>Escola estiu xiquets amb discapacitat. EDUCO SERVICIOS</t>
  </si>
  <si>
    <t>Fra edifici Policia Local 18-07 al 17-07. IBERDROLA</t>
  </si>
  <si>
    <t>Fra. 12-02 Sis escultures de la Muixeranga per agermanament LA MUIXERANGA D'ALGEMESÍ</t>
  </si>
  <si>
    <t>Fra. 31720104/12 Servei control en aulari Teatre Municipal maig 2012 FULL CONTROL SL.</t>
  </si>
  <si>
    <t>Fra. 18/2012 2 unitats arnidol barra ML per escoleta infantil Verge del Pilar C.C.F.</t>
  </si>
  <si>
    <t>Fra. A/108/12 Control DR/DS/DF en clavegueram i edificis municipals juny 2012 ECO-TRATAMIENTOS Y SERVICIOS SL.</t>
  </si>
  <si>
    <t>Fra. 88/12 Barandilla metàl·lica per a l'entarimat de l'Ajuntament HNOS GARCIA MONZO CB</t>
  </si>
  <si>
    <t>Fra. A/2685/12 Publicació ordinària en La Ribera 15 dias juny 2012 RIBERA PUBLICIDAD I EDICIONES SL.</t>
  </si>
  <si>
    <t>Fra. 14/12 Servei informació diaria de l'oratge en la web oficial període abril-maig-juny 2012 INFORATGE SC</t>
  </si>
  <si>
    <t>Fra. 243/12 20 plaques metacrilat per a regalar IDEAGRAFICA ALGEMESI SLL.</t>
  </si>
  <si>
    <t>Cicle cinema a l'estiu (6 projeccions) TRANSCINEMA</t>
  </si>
  <si>
    <t>Servei retirada vehicles. GRUAS PACO BLASCO SL</t>
  </si>
  <si>
    <t>Autobús xiquets de Tarragona. Trobada Muixerangues TOTRUTA SL</t>
  </si>
  <si>
    <t>Pagament 4a bimensualitat (juliol-agost) CONSORCI BOMBER</t>
  </si>
  <si>
    <t>Fra. 01/FC/00000067/12 Servei mensual Cementeri període 16-05-12 fins 15-06-12 AUTOCARES LOZANO SL.</t>
  </si>
  <si>
    <t>Fra. AL 677/12 Lloguer equip de so i il·luminació amb servei tècnic de transport i muntatge inclosos Nit de Rock 9-06-12 AUDIO-NET ALQUILER PROFESIONAL SL.</t>
  </si>
  <si>
    <t>Fra. 1 Despesa prova ciclista dies 10 i 16 de juny per a Protecció Civil, Policia Local, Guardia Civil, Arbitres i Organització F.P.H. </t>
  </si>
  <si>
    <t>Fra. F2120420/12 Sopar reunió Professors Educació Física d'Algemesí CATERING ALGEMESI SL.</t>
  </si>
  <si>
    <t>Fra. A/110 Control i prevenció de legionelosi en fonts ornamentals ECO-TRATAMIENTOS Y SERVICIOS SL.</t>
  </si>
  <si>
    <t>Fra. 2120120/12 Repartiment i recollida de tanques i senyals de trànsit SEÑALIZACIONES ROSES SL.</t>
  </si>
  <si>
    <t>Factura Esteve Barberá Esteve mes de juny, neteja i recollida </t>
  </si>
  <si>
    <t>Lloguer mercat Teular abirl 2012. J. B. M. B.</t>
  </si>
  <si>
    <t>Concert primavera. ASS. ESTUDIS ORQUESTRAL I CAMBRA LA RIBERA</t>
  </si>
  <si>
    <t>Actuació Trobada de Muixerangues juny 2012 i processons de Mare de Deu 2012. La Muixeranga d'Algemesí.</t>
  </si>
  <si>
    <t>Dos menus muntatge Expo Algemesí 2012 Cultura. Ropac Algemesí SL</t>
  </si>
  <si>
    <t>Manteniment de programa de gestió esportiva i control d'accessos juny 2012. Valvit Ingeniereia SL</t>
  </si>
  <si>
    <t>Aperitius en la Bodegueta per a la festa Sant Onofre dia 12/06/12. José Torrent SL</t>
  </si>
  <si>
    <t>Fra. 110/12 Instal·lació elements control trànsit SEÑALIZ. ROSES SL.</t>
  </si>
  <si>
    <t>Fra. 114/12 Reposició senyals trànsit. SEÑAL. ROSES SL.</t>
  </si>
  <si>
    <t>Fra. 674/12 Plantes i arbres Parcs i Jardins VIVERS CENTRE VERD SA.</t>
  </si>
  <si>
    <t>Dos menus dinar Firex muntatge Expo Algemesí. Ropac Algemesí SL</t>
  </si>
  <si>
    <t>Dinar Penya Ciclista. GPV</t>
  </si>
  <si>
    <t>Servei de vigilància en el parc Salvador Castell els dies 3,4,5 i 6 de maig  EXPO_Algemesí Seciopsa Seguridad. SL</t>
  </si>
  <si>
    <t>Publicitat d'EXPO-ALGEMESÍ. CM Las Provincias Multimedia SL</t>
  </si>
  <si>
    <t>Exhibició del Ball Esportiu el 12 de maig PGC</t>
  </si>
  <si>
    <t>Publicitat en Onda Zero-Alzira CV Expo Algemesí en data 1-4-5 i 6 de maig. UNIPREX SA</t>
  </si>
  <si>
    <t>Publicitat Expo Algemesí en Europa FM-Alzira els dies 1-4-5 i 6 de maig. UNIPREX SA</t>
  </si>
  <si>
    <t>Actuació en la plaça Major el 9 de juny del grup Ribersom. CFPM</t>
  </si>
  <si>
    <t>Recollida, acollida i manteniment de gossos abandonats maig 2012. Gossos d'Alpe SC</t>
  </si>
  <si>
    <t>Cameisetes de manega curta color marino per a festes. Ideagrafica Algemesí SLL</t>
  </si>
  <si>
    <t>Llum i so passarel·la moda 2012. AUDIO-NET</t>
  </si>
  <si>
    <t>Camisetes tècniques serigrafiades per a l'associació Veïns Carrascalet. Distribuciones Prevencomer SLU</t>
  </si>
  <si>
    <t>Sopar en la Bodegueta dia 29/05/12 Agricultura. José Torrent SL</t>
  </si>
  <si>
    <t>Gerberas arregalades per al dinar en la sala Muixeranga. Serveis Socials. CBMI</t>
  </si>
  <si>
    <t>Estació Meterológica. Inforatge SC</t>
  </si>
  <si>
    <t>DVD per a la Biblioteca. Comercial Muñoz Libros SL</t>
  </si>
  <si>
    <t>Reposició de senyals de trànsit. SEÑAL. ROSES</t>
  </si>
  <si>
    <t>Llibres per a la biblioteca. LLIB. SAMARUC</t>
  </si>
  <si>
    <t>Llibres per a la biblioteca. Editorial Planeta SA</t>
  </si>
  <si>
    <t>Tickets per a la fira de la Tapa. PPV</t>
  </si>
  <si>
    <t>Materials el.lèctrics per a la Expo 2012. AB,JL</t>
  </si>
  <si>
    <t>Focs artificials realitzats amb motiu de la festivitat de Sant Josep Obrer. Focs d'artifici Europla SL</t>
  </si>
  <si>
    <t>Exhibició de ball en la plaça Major en data 12/05/12. Servicios de escrutinio deportivo CB</t>
  </si>
  <si>
    <t>Tela negra per a la pasarel.la de la moda. REA</t>
  </si>
  <si>
    <t>Catering festa del Racing en l'Ajuntament. ROPAC Algemesí SL</t>
  </si>
  <si>
    <t>Dinar al Casino Expo Algemesí 2012. ROPAC Algemesí SL</t>
  </si>
  <si>
    <t>Sopars pasarel.la de la moda 2012. ROPAC Algemesí SL</t>
  </si>
  <si>
    <t>Esmorçars de la junta local fallera. ROPAC Algemesí SL</t>
  </si>
  <si>
    <t>Publicitat Expo Algemesí i Fira de la Tapa. Alzira Radio SA</t>
  </si>
  <si>
    <t>Serveis d'informatica Maig 2012. Sumagrup Tecnologies d'Informació SL</t>
  </si>
  <si>
    <t>Lloger equip de so i llum actuació "Sinfanrock" data 12/05/2012 en el parc. Audionet</t>
  </si>
  <si>
    <t>Anunci publicitari Fira de la Tapa. CM Las Provoncias Multimedia SL</t>
  </si>
  <si>
    <t>Instal.lació i manteniment de llum i so en Expo Algemesí dies 4 al 6 de Maig. PGC</t>
  </si>
  <si>
    <t>Instal.lació i manteniment de megafonia per a la festa carrer Sant Vicent el 28 d'abril. PGC</t>
  </si>
  <si>
    <t>Insercions publicitaries per a la promoció de la fira de la Tapa 2012 en Onda Zero- Alzira CV dies 10-11-12-13 de maig. UNIPREX SA </t>
  </si>
  <si>
    <t>Insercions publicitaries per a la promoció de la fira de la Tapa 2012 en Europa FM- Alzira dies 10-11-12-13 de maig. UNIPREX SA </t>
  </si>
  <si>
    <t>Legalització inst. climatització Casino. LAVA FRED SL</t>
  </si>
  <si>
    <t>Serveis prestats al Centre Municipal Salut Escolar (maig 12). PROMOSALUT</t>
  </si>
  <si>
    <t>Servesi gestió i recaptació multes maig . Martínez Centro Gestión SL</t>
  </si>
  <si>
    <t>Serveis prestats al gabinet drogodependècia. Maig 2012.  GRUPO CENTRA  2002 SL</t>
  </si>
  <si>
    <t>Escola estiu xiquets discapacitats. EDUCO S.L.</t>
  </si>
  <si>
    <t>Escola estiu integració social. AUCA, PROJECTES EDUCATIUS</t>
  </si>
  <si>
    <t>Servesi gestió i recaptació executiva maig. Martínez Centro Gestión SL</t>
  </si>
  <si>
    <t>Gestió i recaptació en executiva maig 2012. Martínez Centro Gestión SL</t>
  </si>
  <si>
    <t>Lloguer material i servei personal Gala Benefica al Teatre Municipal 27-05-12. Audio-net Alquiler Professional SL</t>
  </si>
  <si>
    <t>Productes alimenticis per a organitzacio de les paelles al Raval. Juan Fornes Fornes SA</t>
  </si>
  <si>
    <t>Gestió Sala Exposicions juny 2012. AVT</t>
  </si>
  <si>
    <t>Personal per a jornades de Joan Fuster i Sala d'Exposicions. Audio-net Alquiler Professional SL</t>
  </si>
  <si>
    <t>Lloguer material i servei tècnic obra "Cor artístic dels jubilats" en data 19-05-12. Audio-net Alquiler Professional SL</t>
  </si>
  <si>
    <t>Lloguer equip llum i so espectacle "Euforia" de CIA l'Horta en data 26-05-2012. Audio-net Alquiler Professional SL</t>
  </si>
  <si>
    <t>Servei tècnic teatre dia 19 de maig per al concert de la Colla d'Algemesí. Audio-net Alquiler Professional SL</t>
  </si>
  <si>
    <t>Lloguer equip llum i so concert Banda Simfònica d'Algemesí dia 05-05-12. Audio-net Alquiler Professional SL</t>
  </si>
  <si>
    <t>Lloguer equip llum i so obra "La Novia de Gary Cooper" de La Dependent en data 13-05-12. Audio-net Alquiler Professional SL</t>
  </si>
  <si>
    <t>Lloguer equip llum i so concert ciutat big band dia 12-05-12. Audio-net Alquiler Professional SL</t>
  </si>
  <si>
    <t>Servei de Càtering en la Sala d'Exposició del Casino. Ropac Algemesí SL</t>
  </si>
  <si>
    <t>Gymkhama prevenció consum cannabis i cocaïna sessions abril i maig 2012. Associació impuls</t>
  </si>
  <si>
    <t>Classes de taichi a jubilats i pensionistes, maig 2012, JCSP</t>
  </si>
  <si>
    <t>Publicitat en la Ribera 15 dies, juny 2012. Ribera Publicidad y Ediciones SL</t>
  </si>
  <si>
    <t>Dinars dia 8, 9 i 10 dels metges de la ceguera. Ropac Algemesí SL</t>
  </si>
  <si>
    <t>DVD imprimibles per al Berca TV Festa Mare de Déu Patrimoni de la Humanitat. JF Senia Informàtica SL</t>
  </si>
  <si>
    <t>Publicitat en la Ribera 15 dies, maig 2012. Ribera Publicidad y Ediciones SL</t>
  </si>
  <si>
    <t>Reparacions en el repetidor de l'emissor-receptor del Berca TV. Audio-NET Alquiler Professional SL</t>
  </si>
  <si>
    <t>Desplaçament equip Berca TV a Madrid per FITUR i a Barcelona. Carbe Produccions SL</t>
  </si>
  <si>
    <t>Control DR*DS/DF en clavegueram i edificis municipals, maig 2012. Eco-tratamientos y Servicios SL</t>
  </si>
  <si>
    <t>22 curs d'educació i socialització canina. CDD</t>
  </si>
  <si>
    <t>Recollida, acollida i manteniment de gossos abandonats, abril 2012. Gossos d'Alpe SC</t>
  </si>
  <si>
    <t>Classes de taichi a jubilats i pensionistes, abril 2012, JCSP</t>
  </si>
  <si>
    <t>Fra. 3170/12 Arrendament equip informàtic IES Bernat Guinovart (Comenius Regio) JF SENIA INFORMATICA SL.</t>
  </si>
  <si>
    <t>Fra. 3171/12 Arrendament equip informàtic IES Sant Vicent Ferrer (Comenius Regio) JF SENIA INFORMATICA SL.</t>
  </si>
  <si>
    <t>Fra. 00 68/12 Material papereria escola infantil Verge del Pilar COSES BONIQUES SLL.</t>
  </si>
  <si>
    <t>Fra. 00051/12 III Jornades Formació Professors-Educació ROPAC ALGEMESI SL.</t>
  </si>
  <si>
    <t>Fra. 00053/12 Sopar despedida Riom (37 menus) ROPAC ALGEMESI SL.</t>
  </si>
  <si>
    <t>Fra. 650/12 Personal sala per a EOI maig 2012 AUDIO-NET ALQUILER PROFESIONAL SL.</t>
  </si>
  <si>
    <t>Campanya escolar de detecció d'anomalies visuals i ambliopia. FUNDACIÓ JORGE ALIÓ</t>
  </si>
  <si>
    <t>Reparació sol goma Parc S. Castell. INTS. Y MANT. DE PARQUES INFA.</t>
  </si>
  <si>
    <t>Campanya de prevenció de la ceguera. FUNDACIÓ JORGE ALIÓ</t>
  </si>
  <si>
    <t>Manteniment clavegueram cementeri. CONS. ALGEMIR SL</t>
  </si>
  <si>
    <t>Fra. A/1120204/12 Impressió rebuts IBI urbana U2 HP SL.</t>
  </si>
  <si>
    <t>Fra. 1 Serveis Organització Fase Estatal Campionat España Juvenil Masculí CLUB BALONMANO MARISTAS</t>
  </si>
  <si>
    <t>Fra. A/93/12 Camisetes per a Serveis Socials DISTRIBUCIONES PREVENCOMER SLU.</t>
  </si>
  <si>
    <t>Fra. 198FP12/1257/12 Inserció anunci i normes urbanístiques CM LAS PROVINCIAS MULTIMEDIA SL.</t>
  </si>
  <si>
    <t>Fra. 2306/12 Tractaments morrut roig palmeres poble J.P.R.</t>
  </si>
  <si>
    <t>Fra. 66/2012 Recanvi boli blau  Mont Blanc 606 C.B.C.</t>
  </si>
  <si>
    <t>Fra. 000408/12 Reparacions tallagespa Honda HF-2220 R.C.N.</t>
  </si>
  <si>
    <t>Fra. 000441/12 Reparacions tallagespa Honda HF-2220 R.C.N.</t>
  </si>
  <si>
    <t>Fra. 3182/12 1000 DVD imprimibles Festa Mare de Déu JF SENIA INFOR. SL.</t>
  </si>
  <si>
    <t>Fra. 00055/12 Café i bolleria i dinar per a Turisme ROPAC ALGEMESI SL.</t>
  </si>
  <si>
    <t>Fra. 00058/12 Dinar bandes de Cornetes i Tambors</t>
  </si>
  <si>
    <t>Lloguer casetes fira tapa. FIREX STAND</t>
  </si>
  <si>
    <t>Factura Esteve Barberá Esteve mes de maig, neteja i recollida </t>
  </si>
  <si>
    <t>Muntatge de lona escoleta infantil "El ". JCLA</t>
  </si>
  <si>
    <t>Servei mensual al cementeri període 16-04-2012 fins 15-05-2012. Autocares Lozano SL</t>
  </si>
  <si>
    <t>Fra. 02/2012 Curs moviment orgànic i respiració conscient Centre Sociocultural Carrascalet J.M.S.T.</t>
  </si>
  <si>
    <t>Fra. 02/2012 Curs escoleta grup majors Centre Sociocultural Carrascalet M.G.F.</t>
  </si>
  <si>
    <t>Fra. 02/2012 Curs escoleta grup menuts Centre Sociocultural Carrascalet G.M.P.E.</t>
  </si>
  <si>
    <t>Fra. 2012-51 Serveis informàtica abril 2012 SUMAGRUP TECNOLOGIES D'INFORMACIO SL</t>
  </si>
  <si>
    <t>Fra. 2/12 Curs informàtica "Informatica avanzada 2T" F.C.E.</t>
  </si>
  <si>
    <t>Fra. 36/2012 Encuadernació llibre actes jornades culturals Josep Marco ESPIRELIUS SL</t>
  </si>
  <si>
    <t>Fra. 13/12 50 CDs per a cultura F.M.M.</t>
  </si>
  <si>
    <t>Subministrament paper DINA4 i DINA3. ANTALIS OFIC</t>
  </si>
  <si>
    <t>Organització, gestió, promoció i publicitat Expo Algemesí. CARBE PRODUCCIÓNS</t>
  </si>
  <si>
    <t>Manteniment preventiu instal·lacions 2012. LAVA FRED</t>
  </si>
  <si>
    <t>Tractament morrut roig. P.R.J.</t>
  </si>
  <si>
    <t>Serveis prestats al gabinet drogodependècia. GRUPO CENTRA  2002 SL</t>
  </si>
  <si>
    <t>Servei de gestió i animació del centre d'informació i acció juvenil, abril 2012. Salvador Escarti CSSL</t>
  </si>
  <si>
    <t>Educador social Barri Raval abril 2012 i rectificació factures gener a març. MASSERVICIOS SOLIMED</t>
  </si>
  <si>
    <t>Edició, maquetació i redacció Berca BIM extraordinari maig/juny. OPCIÓ COMUNICATIVA</t>
  </si>
  <si>
    <t>Servei Públic TV Berca maigCARBE</t>
  </si>
  <si>
    <t>Servei Públic TV Berca juny CARBE</t>
  </si>
  <si>
    <t>Lloguer 53 stands, 5 haimes i 7 ombres Expo Algemesí. FIREX STAND SL</t>
  </si>
  <si>
    <t>Servei de repartiment de notificaciones Ajuntament segons contracte mes de març (MDL Distribucion Logistica SA)</t>
  </si>
  <si>
    <t>Servei de repartiment de notificaciones mes d'abril (MDL Distribucion Logistica SA)</t>
  </si>
  <si>
    <t>Fra. 8-X-61/12 Manteniment aplicació informàtica gestió xarxes i serveis municipals (SIG) 4t.trimestre 2011 DIPUTACIÓ PROVINCIAL VALÈNCIA</t>
  </si>
  <si>
    <t>Fra. 2/12 Redacció projecte d'activitat ampliació "Obrador del Casino Lliberal" JOSEP CARRASCO MASIA ARQUITECTES SL</t>
  </si>
  <si>
    <t>Fra. 609/12 Lloguer equip de so i sol de dansa dia internacional de la dansa 27-04-12 AUDIO-NET ALQUILER PROFESIONAL SL</t>
  </si>
  <si>
    <t>Fra. 611/12 Servei tècnic concert Zarzuela 29 d'abril de 2012 AUDIO-NET ALQUILER PROFESIONAL SL</t>
  </si>
  <si>
    <t>Fra. 610/12 Servei tècnic espectacle "TUYYO" 28-04-12 AUDIO-NET ALQUILER PROFESIONAL SL</t>
  </si>
  <si>
    <t>Fra. 605/12 Lloguer equip de so i il·luminació espectacle "Violeta y Pantagruel" 25-04-12 Setmana del llibre AUDIO-NET ALQUILER PROFESIONAL SL</t>
  </si>
  <si>
    <t>Fra. 601/12 Lloguer equip d'il·luminació i so espectacle "Moniquilla y el ladrón de risas" 21-04-12 AUDIO-NET ALQUILER PROFESIONAL</t>
  </si>
  <si>
    <t>Fra. 36/12 Serveis manteniment informàtic període 1 al 16 maig 2012 J.V.G.M.</t>
  </si>
  <si>
    <t>Fra. 10312/12 Catàleg exposició Empar Cubells J.R.N.</t>
  </si>
  <si>
    <t>Fra. 93/12 Reparació socavó carrer Bernat Asensi 19 CONST. MOLINA FERRANDIS SL</t>
  </si>
  <si>
    <t>Fra. 94/12 Treballs reparacions avinguda de la Generalitat, execució d'imbornal i connexió al pou CONST. MOLINA FERRANDIS SL</t>
  </si>
  <si>
    <t>Fra. 2220/12 Repartiment BIM BERCA 199 maig 2012 REPART-COAL SL</t>
  </si>
  <si>
    <t>Fra. 99/12 Reparacions carrer Covadonga CONST. MOLINA FERRANDIS SL</t>
  </si>
  <si>
    <t>Fra. 100/12 Reparacions carrer Sant Isidre CONST. MOLINA FERRANDIS SL</t>
  </si>
  <si>
    <t>Fra. A300/12 Vi d'honor setmana del camp 2012 JOSE TORRENT SL</t>
  </si>
  <si>
    <t>Fra. F1204-0710 Venda d'entrades teatre 23 i 29 d'abril ENTRADAS SEE TICKETS SA</t>
  </si>
  <si>
    <t>Servei de garrafes d'aigua i gots per a dependencies municipals mes d'abril (Serviagua Josmar SL)</t>
  </si>
  <si>
    <t>Fra. 32/12 Dinar seguretat Falles 2012 ROPAC ALGEMESI SL</t>
  </si>
  <si>
    <t>Fra. 6/12 Gestió Sala Exposicions maig 2012 A.V.T. </t>
  </si>
  <si>
    <t>Serveis prestats i materials pel Campionat de Tenis Taula Fira Sant Onofre. Club Tenis Taula Algemesí</t>
  </si>
  <si>
    <t>1000 camisetes i 1000 bosses tipus motxila per a la carrera popular. El Corte Inglés SA</t>
  </si>
  <si>
    <t>Begudes i aperitius per al CIAJ - Jornada d'skate. VFS</t>
  </si>
  <si>
    <t>Bocates per al dia de la bicicleta 22-04-2012. José Torrent SL</t>
  </si>
  <si>
    <t>Repàs coberta pista núm. 1Squash i reparació de 3 goteres en el poliesportiu. Construcciones Girbés Felici SL</t>
  </si>
  <si>
    <t>Servei mensual al cementeri període 16-03-2012 fins 15-04-2012. Autocares Lozano SL</t>
  </si>
  <si>
    <t>Fra. 03/2012 Edició vídeos "Roda de premsa 2011" i DVD dels Reis Mags. (AQUESTA DESPESA NO CORRESPON A L'AJUNTAMENT) ASSOCIACIÓ JUVENIL CUC DE SEDA TEATRE</t>
  </si>
  <si>
    <t>Fra. A/2673 Edició especial Expo-Algemesí i Gastronòmiques RIBERA PUBLICIDAD I EDICIONES SL.</t>
  </si>
  <si>
    <t>Fra. 600 Lloguer equip de vídeo, material i personal per al desfilada a la Passarel·la de moda 21 d'abril de 2012 AUDIO-NET ALQUILER PROFESIONAL SL</t>
  </si>
  <si>
    <t>Fra. 31720075 Servei control Plaça Major Passarel·la de la moda 21 d'abril FULL CONTROL SL</t>
  </si>
  <si>
    <t>Fra. 31420242 Servei vigilància Plaça Major Passarel·la de la moda SECOPSA SEGURIDAD SL</t>
  </si>
  <si>
    <t>Fra. 981150 Flors decoració esglesia, festers Sant Josep Obrer i decoració anda Mare de Déu ANTARA MEDITERRANEA SL</t>
  </si>
  <si>
    <t>Fra. 12/001392 Materials varis passarel·la de la moda J.V.E.</t>
  </si>
  <si>
    <t>Fra. 2012000096D Begudes varies associació veïns Carrascalet dia de les paelles GRUP BERCA DISTRIBUCIONS</t>
  </si>
  <si>
    <t>Concert flamenc per al programa d'integració comunitària. Associació Nuevo Amancer Gitano</t>
  </si>
  <si>
    <t>Treballs de pintura del senyals de tràfic. Señalizaciones Roses SL</t>
  </si>
  <si>
    <t>Reposició de senyals de tràfic. Señalizaciones Roses SL</t>
  </si>
  <si>
    <t>Instal·lació i formació del programa informàtic de nòmines. Informating SL</t>
  </si>
  <si>
    <t>Honoraris direcció d'obra, execució i coordinació de seguretat i salut del Centre Polivalent. Tecnica y Proyectos SA</t>
  </si>
  <si>
    <t>Martell picador rotatiu per a Parcs i Jardins. Ferreteria Plaça Major CB</t>
  </si>
  <si>
    <t>Traducció pàg.web italià-catellà. Comenius Regio. F.M.J.</t>
  </si>
  <si>
    <t>Manteniment i neteja zones verdes Parc S. Castell (abril 2012). P.R.J</t>
  </si>
  <si>
    <t>Hotel Lungomare a Regio Calabria. VIAJES LEVANTE TOUR.</t>
  </si>
  <si>
    <t>Gestió i animació Centre sociocult. Carrascalet. març 2012. SALVADOR. ESCARTI C. SSL </t>
  </si>
  <si>
    <t>Servesi gestió i recaptació multes abril. Martínez Centro Gestión SL</t>
  </si>
  <si>
    <t>Poliça assegurança responsabilitat civil </t>
  </si>
  <si>
    <t>Manteniment i neteja P. Bernat Guinovart (abril 12). P.R.J </t>
  </si>
  <si>
    <t>Servei d’adaptació al desenvolupament evolutiu del xiquet/a així com l’objectiu ludicocreatiu de l’escola BRAKESPORT</t>
  </si>
  <si>
    <t>Renovació anual Plan basic i registre algecampus.es. Microfinance Consulting SL</t>
  </si>
  <si>
    <t>Material de construcció per a l'ET El Museu II. Macoalge SA</t>
  </si>
  <si>
    <t>Material de ferreteria per a l'ET El Museu II. Ferreteria Plaça Major CB</t>
  </si>
  <si>
    <t>Material agrícola per a l'ET El Museu II. JVE</t>
  </si>
  <si>
    <t>Personal Sala per a l'EOI Abril 2012 (Audio-net)</t>
  </si>
  <si>
    <t>Serveis prestats al Centre Municipal Salut Escolar (abril 12). PROMOSALUT</t>
  </si>
  <si>
    <t>Lloguer aules per a curs electricista PROLEG FORMACIÓ</t>
  </si>
  <si>
    <t>Barana pas soterrani. CONTENEDORES Y GRUAS ALGEMESÍ</t>
  </si>
  <si>
    <t>Grup electrògen per a la passarel·la de Moda d'Algemesí 2012. Màxim Domenech</t>
  </si>
  <si>
    <t>Pòlissa d'assegurança per associació cultura Peña Sant Onofre Algemesí, per a bous al carrer /Cerrilles, els dies 2 i 3 de juny. Helvetia</t>
  </si>
  <si>
    <t>Lona anunciadora del "Mercat Medieval" 6000x1500mm. Impacte Comunicació Visual SL</t>
  </si>
  <si>
    <t>Actuació 6 músics de Tabalet i Dolçaina, dies 3, 10, 11, 17, 18 i 19 de març amb la Junta Local Fallera. Algemesí Tabal i Dolçaina</t>
  </si>
  <si>
    <t>Moqueta i cinta per a la pasarel·la de la moda 2012. E A Vt J</t>
  </si>
  <si>
    <t>Treballs de publicitat campanya pasarel·la 20 i 21 d'abril. Textil Tu Casa SL</t>
  </si>
  <si>
    <t>Treballs de fusta varis per a festes falles 2012. Juanfra SL</t>
  </si>
  <si>
    <t>Inserció publicitària per anunci de contractació stands Expo-Algemesí 2012. CM Las Provincias Multimedia SL</t>
  </si>
  <si>
    <t>Serveis prestats en actuació musical en mascletà. Crumas Eventos SL</t>
  </si>
  <si>
    <t>Vestit princesa "Bella", "Campanilla" Cabalcada de reis per perdua. Assoc Juv Cucs de Seda Teatre</t>
  </si>
  <si>
    <t>Serveis prestats i actuació en Algemesí falles i paelles. Crumas Eventos SL</t>
  </si>
  <si>
    <t>Anunci de Falles Algemesí Europa FM. UNIPREX SA</t>
  </si>
  <si>
    <t>Insercions publicitàries per falles a Onda Cero UNIPREX SA</t>
  </si>
  <si>
    <t>Placa llautó 40x25 per a monument Algemesí 300 aniversari Cabanilles. Pedra i Foc SL</t>
  </si>
  <si>
    <t>Informació Meteorològica Pàgina Web - Gen-Feb-Mar 2012. Inforatge SC</t>
  </si>
  <si>
    <t>Control DR/DS/DF en alcantarillat i esdificis municipals, abril 2012. Eco-tratamientos y servicios SL</t>
  </si>
  <si>
    <t>Direcció, coordinació, estilisme i video, passarel·la moda 2012. NADAL I LOZANO, S.L.</t>
  </si>
  <si>
    <t>Pagament bimensual (maig-junt) CONSORCI BOMBERS</t>
  </si>
  <si>
    <t>Fra. V-60/12 Bicicletes sorteig dia de la bicicleta 22-04-2012 G.P.M.</t>
  </si>
  <si>
    <t>Fra. A/16505/12 Refrescs i aigües dia de la bici i volta a peu V.F.S.</t>
  </si>
  <si>
    <t>Fra. 1/2012 Organització 4t. concurs jove interprets Tabal i Dolçaina (fora conveni) ALGEMESÍ TABAL I DOLÇAINA</t>
  </si>
  <si>
    <t>Fra. E000423/12 Torro Viena dia de la bicicleta 22-04-2012 PRODUCTOS ALIMENTICIOS MEIVEL SA</t>
  </si>
  <si>
    <t>Fra. 588/12 Personal curs Àrab, actes Cultura, assemblea EMPAL. AUDIO-NET ALQUILER PROFESSIONAL SL.</t>
  </si>
  <si>
    <t>Fra.39/12 Recollida, acollida i manteniment gossos abandonats març 2012.GOSSOS D'ALPE SC.</t>
  </si>
  <si>
    <t>Fra. 23/12 Tres esmorçars del catàleg del Pla General. ROPAC ALGEMESÍ SL.</t>
  </si>
  <si>
    <t>Fra. 38/12 Quatre esmorçars i un tallat Junta Local de Seguretat. ROPAC ALGEMESÍ SL. </t>
  </si>
  <si>
    <t>Fra. 40/12 Cinc esmorçars Regidoria d'Educació. ROPAC ALGEMESÍ SL.</t>
  </si>
  <si>
    <t>Fra. 20/12 Esmorçars i dinars preparació exposició Silvia Lerin. ROPAC ALGEMESÍ SL.</t>
  </si>
  <si>
    <t>Fra. 41/12 Reunió treball Conselleria de Patrimoni. ROPAC ALGEMESÍ SL.</t>
  </si>
  <si>
    <t>Fra. 39/12 Cinc menus dinar auditors. ROPAC ALGEMESÍ SL.</t>
  </si>
  <si>
    <t>Fra. 36/12 Deu esmorçars reunió policia local. ROPAC ALGEMESÍ SL.</t>
  </si>
  <si>
    <t>Fra. 19 /12 Catering Cultura 23/02/12. ROPAC ALGEMESÍ SL.</t>
  </si>
  <si>
    <t>Fra. 14/12 Sopar Casino cantant xinesa i músics. ROPAC ALGEMESÍ SL.</t>
  </si>
  <si>
    <t>Fra. F2/120015/12 Setze dinars socis club de caça. CATERING ALGEMESÍ SL.</t>
  </si>
  <si>
    <t>Fra. 22/12 Desdejunis i dinars en l'Ajuntament. ROPAC ALGEMESÍ SL.</t>
  </si>
  <si>
    <t>Fra. 15/12 Dinar gerents Helipistes i Tècnics Aviació. ROPAC ALGEMESÍ SL.</t>
  </si>
  <si>
    <t>Fra. A/2668/12 Publicitat La ribera 15 dies abril 2012. RIBERA PUBLICIDAD Y EDICIONES SL. </t>
  </si>
  <si>
    <t>Fra. 24/12 Curs informàtica "Ordinador pràctic inicial". SNS</t>
  </si>
  <si>
    <t>Fra. 578/12 Lloguer equip so i il·luminació "Pájaros azules" de Bramant teatre 31/03/12. AUDIO-NET ALQUILER PROFESIONAL SL.</t>
  </si>
  <si>
    <t>Fra. AL 587/12 Personal Sala d'exposicions i punt d'informació Teatre. AUDIO-NET ALQUILER PROFESIONAL SL.</t>
  </si>
  <si>
    <t>Fra. AL 566/12 Lloguer equip so i il·luminació "El amor de mis amores" 11/03/12. AUDIO-NET ALQUILER PROFESIONAL SL.</t>
  </si>
  <si>
    <t>Fra. 2212/12 Repartiment BIM Berca 197 febrer 2012 més encarte Calendari fem 2012. REPART-COAL SL.</t>
  </si>
  <si>
    <t>Fra. 2213/12 Repartiment BIM Berca 198 març/abril 2012 més encarte tríptic Casa de la Joventut. REPART-COAL SL.</t>
  </si>
  <si>
    <t>Comissions de venda d'entrades. Entradas See Tickets SA</t>
  </si>
  <si>
    <t>Prestatgeries per al Centre de Dia. Suofi Abastiment d'Oficina SL</t>
  </si>
  <si>
    <t>8 cadires per a l'Agència de Desenvolupament i Agricultura. Suofi Abastiment d'Oficina SL</t>
  </si>
  <si>
    <t>Llibres per a la Biblioteca. LUR SA</t>
  </si>
  <si>
    <t>Automatització de porta del Centre de Dia. Carpinteria JM Pérez SL</t>
  </si>
  <si>
    <t>Fra. 19/12 Classes Taichi a jubilats i pensionistes març 2012. JCSP</t>
  </si>
  <si>
    <t>Fra. 1200140/12 Manteniment aplicació informàtica cementiri segon trimestre (abril-maig-juny 2012). ICENTER TORRENT SL.</t>
  </si>
  <si>
    <t>Fra. 84/2012 Assistència a la comptabilitat segon trimestre 2012 (abril-maig-juny). INFORMATING SL.</t>
  </si>
  <si>
    <t>Fra. 35/12 Servei manteniment informàtic abril 2012. JVGM</t>
  </si>
  <si>
    <t>Fra. 301200517/12 Renovació manteniment servidors FG110C modalitat 8x5 període 16-03-12 fins 16-03-13. GRUPO SEIDOR SA. </t>
  </si>
  <si>
    <t>Fra. 294/12 Fusta per ET El Museu II. MADERAS HNOS. RAMÍREZ LLÁCER SL.</t>
  </si>
  <si>
    <t>Fra. 87/12 Materials de Construcció ET El Museu II. MACOALGE SA.</t>
  </si>
  <si>
    <t>Fra. 1129/12 Productes pintura , ET El Museu II. PINTURAS GODI SA.</t>
  </si>
  <si>
    <t>Fra. 200000058/12 Reparació enllumenat públic amb motiu de Falles. JLAB.</t>
  </si>
  <si>
    <t>Fra. 31420186/12 Servei vigilància  Biblioteca i Teatre Municipal  nit 28 de març de 2012. SECOPSA SEGURIDAD SL.</t>
  </si>
  <si>
    <t>Fra. 11E129910000057650/12 Lloguer vehicle matrícula 7072GPX abril 2012. FINANZIA AUTORENTING SA.  </t>
  </si>
  <si>
    <t>Fra. 11E129910000057649/12 Lloguer vehicle matrícula 1582GPY abril 2012. FINANZIA AUTORENTING SA.  </t>
  </si>
  <si>
    <t>Publicació edicte al BOE. </t>
  </si>
  <si>
    <t>Servesi gestió i recaptació multes març. Martínez Centro Gestión SL</t>
  </si>
  <si>
    <t>Gasoil Col·legi Ribalta</t>
  </si>
  <si>
    <t>Gasoil Col·legi Cervantes</t>
  </si>
  <si>
    <t>Servei de gestió i animació del centre d'informació i acció juvenil, març 2012. Salvador Escarti CSSL</t>
  </si>
  <si>
    <t>Educador social Barri Raval març 2012. MASSERVICIOS SOLIMED</t>
  </si>
  <si>
    <t>Educador social Barri Raval febrer 2012. MASSERVICIOS SOLIMED</t>
  </si>
  <si>
    <t>Servesi gestió i recaptació executiva març. Martínez Centro Gestión SL</t>
  </si>
  <si>
    <t>Manteniment i neteja P. Bernat Guinovart (març 12). P.R.J </t>
  </si>
  <si>
    <t>Lloguer mercat Teular març 2012. J. B. M. B.</t>
  </si>
  <si>
    <t>Quota arxius Mancomunitat de la Ribera. </t>
  </si>
  <si>
    <t>Assistència servei atenció públic "Catàleg bens catalogats" E.M.T</t>
  </si>
  <si>
    <t>Fra. 22/2012 Minuta inadmissió recurs Vodafone sentència del 28 març 2011 TRULL &amp; ASOCIADOS ABOGADOS SCP.</t>
  </si>
  <si>
    <t>Fra. B01594/12 Productes neteja escola infantil Mestre Lozano (173,37), compensat amb factura de abono E-00071/12 de 13,78 NETYA SL.</t>
  </si>
  <si>
    <t>Fra. 433/2012 Servei garrafes d'aigua i gots  dependències municipals febrer 2012 SERVIAGUA JOSMAR SL.</t>
  </si>
  <si>
    <t>Fra. 01/12 Liquidació final direcció letrada i representació Ajuntament sobre procediment ordinari 2/187/2009-MC sobre impugnació RPT E.LL.M</t>
  </si>
  <si>
    <t>Fra. 02/12 Liquidació final recurs apel·lació interposat per J.D.G.C. davant TSJ Contenciós Administratiu E.LL.M.</t>
  </si>
  <si>
    <t>Fra. 03/12 Liquidació definitiva honoraris per recurs FSP-UGT contra l'Ajuntament E.LL.M.</t>
  </si>
  <si>
    <t>Fra. 93132 Materials elèctrics per a l'enllumenat públic COMERCIAL ELECTRICA SUMNISTROS SA</t>
  </si>
  <si>
    <t>Fra. 950/123936 Reposició unitats higièniques i ambientadors dependències municipals INITIAL TEXTIL E HIGIENE SL.</t>
  </si>
  <si>
    <t>Fra. 838/2012 Servei garrafes d'aigua i gots  dependències municipals març 2012 SERVIAGUA JOSMAR SL.</t>
  </si>
  <si>
    <t>Fra. 2012030000286 adquisisció de 1.501 l. de gasoil rendiment Poliesportiu Municipal CEPSA COMERCIAL ESTE SA.</t>
  </si>
  <si>
    <t>Fra. 2012030000289 adquisisció de 880 l. de gasoil rendiment Pavelló Cobert CEPSA COMERCIAL ESTE SA.</t>
  </si>
  <si>
    <t>Productes de neteja per a l'escola infantil Mestre Lozano. Netya SL</t>
  </si>
  <si>
    <t>Minuta per inadmissió recurs interpost per Vodafone contra sentència del 28 de març 2011. Trull &amp; Asociados Abogados SCP
</t>
  </si>
  <si>
    <t>Garrafes aigua i gots dependències municipals febrer, 2012 SERVIAGUA JOSMAR S.L.</t>
  </si>
  <si>
    <t>Servei de garrafes d'aigua i gots per a dependències municipals, març. Serviagua Josmar SL</t>
  </si>
  <si>
    <t>Materials elèctrics per a l'enllumenat públic. Comercial Eléctrica Suministros SA</t>
  </si>
  <si>
    <t>880L de gasóleo rendimiento pavelló cobert. CEPSA Comercial Este SA</t>
  </si>
  <si>
    <t>Liquidació final sobre impugnació RPT. ELM</t>
  </si>
  <si>
    <t>Liquidació definitiva d'honoraris per recurs FSP-UGT contra Ajuntament. ELM</t>
  </si>
  <si>
    <t>1.501L de gasóleo rendimiento per a poliesportiu municipal. CEPSA Comercial Este SA</t>
  </si>
  <si>
    <t>Reposició unitats higièniques i ambientadors. Initial Textiles e Higiene SL</t>
  </si>
  <si>
    <t>Liquidació final en recus apleció interpost per JDGC. ELM</t>
  </si>
  <si>
    <t>Esmorçar en instal·lacions esportives de funcionaris del poliesportiu i tècnics. Catering Algemesí SL</t>
  </si>
  <si>
    <t>Lloguer de material per al festival Ames de Casa. Audio-net Alquiler Professional SL</t>
  </si>
  <si>
    <t>Dos muixerangues i un mantel per a l'associació donants de sang. ARE</t>
  </si>
  <si>
    <t>Serveis d'informàtica març 2012. Sumagrup Tecnologies d'informació SL</t>
  </si>
  <si>
    <t>Activitats preventives UMIVALE SL</t>
  </si>
  <si>
    <t>Fra. 530/2012 Llibres infantils per escoletes infantils "Els Xiquets" i "Verge del Pilar". EDITORIAL NADAL ARCADA SL.</t>
  </si>
  <si>
    <t>Servei de vigilància de la Plaça Major amb motiu de la presentació de la Junta Local Fallera. Secopsa Seguridad SL</t>
  </si>
  <si>
    <t>Servei Tècnic per al pregó de Setmana Santa. Audio-Net Alquiler Professional SL</t>
  </si>
  <si>
    <t>Instal·lació per a la Trobada de Cofradies el 1 d'abril. CPG</t>
  </si>
  <si>
    <t>Fra. 134/2012 Trofeus concurs ball. AMR.</t>
  </si>
  <si>
    <t>2 Discomòvils per al sopar de germanor faller. CPG</t>
  </si>
  <si>
    <t>Fra. 581/12 Personal sala per a l'EOI març 2012. AUDIO-NET ALQUILER PROFESIONAL SL.</t>
  </si>
  <si>
    <t>Instal·lació Crida fallera, entrega de premis, ofrena i mascletades. CPG</t>
  </si>
  <si>
    <t>Fra. 33 Servei extraordinàri neteja plaça major posterior dinar de germanor falles 31 de març de 2012. ESTEVE BARBERA ESTEVE SL.</t>
  </si>
  <si>
    <t>Fra. 31420108 Servei vigilància Fira Outlet 2012 SECOPSA SEGURIDAD SL.</t>
  </si>
  <si>
    <t>Fra. 4/2012 Treballs en rams i flors presentació falleres majors d'Algemesí. MICB.</t>
  </si>
  <si>
    <t>Fra. 006/2012 Ramells flor ofrena Mare de Déu dia de Sant Josep. MICB.</t>
  </si>
  <si>
    <t>Fra. 0026-012 Quartilles A5 4+4 colors passarel·la Algemesí 2012. JCB</t>
  </si>
  <si>
    <t>Fra. A121Treballs canon planta valorització residus derivats de falles 2012. CONTENEDORES Y MINICARGADORAS BOU SL.</t>
  </si>
  <si>
    <t>Fra. 2012-109 Muntatge carpa subasta cadafals 23 de març. JCLA.</t>
  </si>
  <si>
    <t>Fra. 061/12 Disparà mascletà 18 de març de 2012. PIROTÈCNIA CRESPO SL.</t>
  </si>
  <si>
    <t>Servei Públic TV Berca abril CARBE</t>
  </si>
  <si>
    <t>Publicació edició especial falles 2012. Ribera Publicidad y Ediciones SL</t>
  </si>
  <si>
    <t>Publicació especial Setmana Santa 2012. Ribera Publicidad y Ediciones SL</t>
  </si>
  <si>
    <t>Publicitat en "La Ribera 15 dies", març 2012. Ribera Publicidad y Ediciones SL</t>
  </si>
  <si>
    <t>Discs Versions de la Muixeranga. Nova Muixeranga</t>
  </si>
  <si>
    <t>Projecció cinematogràfica "La Dama de Hierro" 01/04/12 Trancinema servicios cinematograficos SL</t>
  </si>
  <si>
    <t>Classes de Taichi a jubilats i pensionistes febrer 2012. JCSP</t>
  </si>
  <si>
    <t>Taquilles per al Centre de Dia. REB</t>
  </si>
  <si>
    <t>Recollida, acollida i manteniment de gossos abandonats febrer 2012. Gossos d'Alpe SC</t>
  </si>
  <si>
    <t>Control DR/DS/DF en alcantarillat i esdificis municipals, març 2012. Eco-tratamientos y servicios SL</t>
  </si>
  <si>
    <t>Andami per a Parcs i Jardins. Ferreteria Algemesí SL</t>
  </si>
  <si>
    <t>Gestió Sala Exposicions Abril 2012. AVT</t>
  </si>
  <si>
    <t>Servei informació oratge pàgina web oficial. Inforatge SC</t>
  </si>
  <si>
    <t>Servei vigilància aula estudi Teatre</t>
  </si>
  <si>
    <t>Muntatge estands EXPOALGEMESI. Firex Stand</t>
  </si>
  <si>
    <t>Adquisició de vals d'alimentació MÁS Y MÁS</t>
  </si>
  <si>
    <t>Material diversos per a falles (bandes, fajines, estendarts, faixes...) A. D. E.</t>
  </si>
  <si>
    <t>Edició, maquetació i redacció Berca BIM extraordinari març. OPCIÓ COMUNICATIVA</t>
  </si>
  <si>
    <t>Servei Públic TV Berca març. CARBE</t>
  </si>
  <si>
    <t>Personal per a diversos actes de cultura i serveis socials AUDIO-NET Alquiler Professional SL</t>
  </si>
  <si>
    <t>Serveis de manteniment informàtic març 2012 JVGM</t>
  </si>
  <si>
    <t>Concert Pregó Setmana Santa 24/3/2012 Associació Orquesta Simfónica de la Ribera</t>
  </si>
  <si>
    <t>Esmorçar jurat premi cartell de falles 2012. MASP</t>
  </si>
  <si>
    <t>Referència 1344/11, contra MJIC, auto 2/447/2011 TSJCV. MVGM</t>
  </si>
  <si>
    <t>Minuta honoraris proced. 18/2011 interpost per COPAL contra liquidació tasa recollida, tractament... Ricardo de Vicente Abogados SLP
</t>
  </si>
  <si>
    <t>Assitència i intervenció en judici de faltes 201/211. EDGH</t>
  </si>
  <si>
    <t>Honoraris professionals per defensa de policies locals 0-27 i A-70 en jui de faltes 257/10. Llacer Llacer Abogados SCP</t>
  </si>
  <si>
    <t>Camió-cuba i 1 conductor per a treballs la nit del 19 de març. Esteve Barberà Esteve SL</t>
  </si>
  <si>
    <t>Compra de blusons fallers i mocadors amb bordat. AGF</t>
  </si>
  <si>
    <t>Honoraris procediment 463/11 interpost per COPAL per liquidació tasa prestació servei de recollida... Ricardo de Vicente Abogados SLP</t>
  </si>
  <si>
    <t>Materials diversos per a manteniment de l'enllumenat públic. Comercial Electrica Suministros SA</t>
  </si>
  <si>
    <t>Manteniment i netja Parc S. Castell (desembre 11). P.R.J.</t>
  </si>
  <si>
    <t>Subministrament gasoil Ribalta</t>
  </si>
  <si>
    <t>Subministrament gasoil Cervantes</t>
  </si>
  <si>
    <t>Redacció catàleg de bens arquitectònics i etnològics. M.T.E</t>
  </si>
  <si>
    <t>Variació IPC desembre -febrer. ESTEVE BARBERÀ SL</t>
  </si>
  <si>
    <t>REIS 2012 Organització cavalcada Reis 2012 (gestió, perruqueria, esteticien i complements) C. A. A.</t>
  </si>
  <si>
    <t>Manteniment i neteja P. Bernat Guinovart (desembre 11). P.R.J </t>
  </si>
  <si>
    <t>Lloguer mercat Teular febrer 2012. J. B. M. B.</t>
  </si>
  <si>
    <t>Productes de neteja per a l'escola infantil Verge del Pilar. Netya SL</t>
  </si>
  <si>
    <t>Productes de neteja per al poliesportiu. Netya SL</t>
  </si>
  <si>
    <t>Tríptics 4+4T CIAJ. Ideagràfica Algemesí SL</t>
  </si>
  <si>
    <t>Servei Tècnic 5 febrer Teatre Municipal Casa Andalucía, AUDIO-NET, S.L.</t>
  </si>
  <si>
    <t>Servei retirada vehícles via pública gener 2012 GRUAS PACO BLASCO S.L.</t>
  </si>
  <si>
    <t>Honoraris per ref. 1244/11 front Mª Jose Illana Carbonell M.J.S.B.</t>
  </si>
  <si>
    <t>3 Agulles Falleres de Boixets M.J.F.B.</t>
  </si>
  <si>
    <t>Materials de construcció per a mascletades falleres SUMINISTROS ALGEMESI S.L.</t>
  </si>
  <si>
    <t>Lloguer material so i il·luminació presentació de Falles 2012 AUDIO-NET S.L.</t>
  </si>
  <si>
    <t>5 vinils impresos logos falles "Lones mascletades 2012" i retolació IDEAGRAFICA ALGEMESI S.L.L.</t>
  </si>
  <si>
    <t>Instal·lació i manteniment de material elèctric Festes Sant Antoni Plaça Major22/01/12 C.P.G.</t>
  </si>
  <si>
    <t>Instal·lació i manteniment de material elèctric Sopar Cavalcada Sal Rex 13/01/12 C.P.G.</t>
  </si>
  <si>
    <t>Instal·lació i manteniment de material megafonía Fira Oulet 11 i 12 febrer C.P.G.</t>
  </si>
  <si>
    <t>Defensa Policies local 0-1, Intendent Principal, A-56, A-75 Judici Faltes LLACER LLACER ABOGADOS SCP</t>
  </si>
  <si>
    <t>Garrafes aigua i gots dependències municipals gener, 2012 SERVIAGUA JOSMAR S.L.</t>
  </si>
  <si>
    <t>Servei mensual al cementiri de 15 de gener a 15 de març de 2012 LOZANO SL</t>
  </si>
  <si>
    <t>Ramellet de Focs Artificials crida 3 de març Falles FOCS D'ARTIFICI EUROPLA S.L.</t>
  </si>
  <si>
    <t>Lloguer personal i materials presentació de Falles 2012 AUDIO-NET S.L.</t>
  </si>
  <si>
    <t>So i il·luminació presentació de Falles 2012 AUDIO-NET S.L.</t>
  </si>
  <si>
    <t>10.000 sobres reciclats 260x360 V.P.P.</t>
  </si>
  <si>
    <t>Material Enllumenat Públic COMERCIAL ELECTRICA SUMINISTROS S.A.</t>
  </si>
  <si>
    <t>Instal·lació i manteniment de material elèctric Festa Cap d'Any Plaça Major 13/01/12 C.P.G.</t>
  </si>
  <si>
    <t>1.800 litres GasOil Poliesportiu Municipal CEPSA COMERCIAL ESTE S.A.</t>
  </si>
  <si>
    <t>Servei de repartiment de notificacions Ajuntament febrer MDL DISTRIBUCIÓN LOGÍSTICA S.A.</t>
  </si>
  <si>
    <t>Formigó per al camí La Per i senda Esquenota - HORMICEMEX SA</t>
  </si>
  <si>
    <t>Lloguer equip so i il·luminació espectacle "El Virgo de Visanteta" 12/02/12 AUDIO-NET S.L.</t>
  </si>
  <si>
    <t>Personal de sala per a la sala d'exposicions AUDIO-NET S.L.</t>
  </si>
  <si>
    <t>Lloguer equip so i il·luminació representació Cia. Dansa Jove del Mediterràni 29/01/12 AUDIO-NET S.L.</t>
  </si>
  <si>
    <t>Lloguer equip il·luminació Concert Cap d'Any Orquestra Simfònica de la Ribera 08/01/12 AUDIO-NET S.L.</t>
  </si>
  <si>
    <t>Lloguer equip so i il·luminació espectacle Harry el mago "Magia Urbana" 25/02/12 AUDIO-NET S.L.</t>
  </si>
  <si>
    <t>Serveis Informàtica febrer 2012 SUMAGRUP TECNOLOGIES D'INFORMACIÓ S.L.</t>
  </si>
  <si>
    <t>Curs de Restauració de Mobles torn vesprada XAVIER FERRAGUT S.L.</t>
  </si>
  <si>
    <t>Curs de Restauració de Mobles torn mati XAVIER FERRAGUT S.L.</t>
  </si>
  <si>
    <t>Honoraris Direcció obra, Coordinació i Recepció, Projecte ampliació obrador Casino Lliberal JOSEP CARRASCO MASIA ARQUITECTES S.L.</t>
  </si>
  <si>
    <t>Servei recaptació executiva gener-febrer 2012. MARTÍNEZ CENTRO GESTIÓN</t>
  </si>
  <si>
    <t>Programa Panda Security. PANDA SEC. SL</t>
  </si>
  <si>
    <t>Servei recaptació executiva febrer 2012. MARTÍNEZ CENTRO GESTIÓN</t>
  </si>
  <si>
    <t>Fra 50/12 Reparació de Maquinària de l'ET El Museu II. COMERMADER SL</t>
  </si>
  <si>
    <t>Fra 89/12 Materials de Ferreteria per a l'ET El Museu II. Ferreteria Plaça Major CB</t>
  </si>
  <si>
    <t>Fra 1260143/12 Material Elèctric ET El Museu II. Almacenes Eléctricos de Levante SA</t>
  </si>
  <si>
    <t>Fra 46/12 Vestuari per a ET El Museu II. Distribuciones PREVENCOMER SLU</t>
  </si>
  <si>
    <t>Reunió amb ALGEDOMUS. José Torrent SL</t>
  </si>
  <si>
    <t>Servei Retirada de Vehicles Gener 2012. Gruas Paco Blasco SL</t>
  </si>
  <si>
    <t>Pujada IPC Juny 2009 fins Gener 2012. Gruas Paco Blasco SL</t>
  </si>
  <si>
    <t>Fregadora ABILA per al pavelló. C.N.R.</t>
  </si>
  <si>
    <t>Serveis prestats al Centre Municipal Salut Escolar (març 12). PROMOSALUT</t>
  </si>
  <si>
    <t>Animació centre sociocultural del carrascalet febrer 2011. Salvador Escartí C.S. SL</t>
  </si>
  <si>
    <t>Gestió i animació CIAJ. febrer 2012. SALVADOR  ESCARTÍ C.. SSL </t>
  </si>
  <si>
    <t>REIS 2012 Lloguer tres carrosses de Reis 2012. FALLA DIANA</t>
  </si>
  <si>
    <t>Lloguer carpes tipus Jaimas per a la fira Outlet. L.A.J.L.</t>
  </si>
  <si>
    <t> Reposicio de Senyals de Transit. Señalizaciones ROSES SL</t>
  </si>
  <si>
    <t>Instal·lació gespa artificial Centre de Dia. INSTALACIONES Y MANTENIMIENTO PARQUES INFANTILES</t>
  </si>
  <si>
    <t>Honoraris assessorament gestió Fons FEDER. ALEPH INICIATIVAS        </t>
  </si>
  <si>
    <t>Lloguer mercat Teular gener 2012. J. B. M. B.</t>
  </si>
  <si>
    <t>Servei Públic TV Berca. CARBE</t>
  </si>
  <si>
    <t>2n pagament bimensula Consorci de Bombers</t>
  </si>
  <si>
    <t>Personal Sala per a l'EOI Febrer 2012. AUDIO-NET Alquiler Professional SL</t>
  </si>
  <si>
    <t>Servei de microbus per desplaçament a sopar de gala falleres. Autobuses Chambitos SL</t>
  </si>
  <si>
    <t>Servei de repartiment de correspondència i missatgeria desembre 2011. MDL distribución logistica SL</t>
  </si>
  <si>
    <t>Curs formació basica monitor tems lliure infantil i juvenil 50%. Auca Projectes Educatius SL</t>
  </si>
  <si>
    <t>Publicitat en "La Ribera 15 dies". Febrer 2012. RIBERA PUBLICIDAD</t>
  </si>
  <si>
    <t>Projecció cinematogràfica. "Maktub" 24/02/12 Trancinema servicios cinematograficos SI</t>
  </si>
  <si>
    <t>Curs moviment orgànic i respiració conscient. Centre sociocultural Carrascalet. STJM</t>
  </si>
  <si>
    <t>Curs  escoleta grup majors. Centre sociocultural Carrascalet. GFM</t>
  </si>
  <si>
    <t>Curs escoleta grup menuts. Centre sociocultural Carrascalet. PEGM</t>
  </si>
  <si>
    <t>Manteniment d'equips per a la connexió de les dependències municipals. Infosec SL</t>
  </si>
  <si>
    <t>Curs de pintura a l'oli grup B. Centre sociocultural Carrascalet. CPI</t>
  </si>
  <si>
    <t>Curs de pintura a l'oli grup A. Centre sociocultural Carrascalet. CPI</t>
  </si>
  <si>
    <t>Honoraris procurador contenciós adm 354/10 M.J.S.B.</t>
  </si>
  <si>
    <t>Senyalització interior del Centre de Dia. J.A.V.A.</t>
  </si>
  <si>
    <t>Pistoles Glock per a la policia. Armeria Marcos SC</t>
  </si>
  <si>
    <t>Materials d'electricitat per al Taller de Formació d'electricistes. Instalaciones Electricas RyS, SL</t>
  </si>
  <si>
    <t>Espectacle "Violeta y Pantagruel" JÁCARA COOP.</t>
  </si>
  <si>
    <t>Classes taichí novembre 2011 juny 2012. S.P.J.C.</t>
  </si>
  <si>
    <t>Animació centre sociocultural del carrascalet desembre 2011. Salvador Escartí C.S. SL</t>
  </si>
  <si>
    <t>Gestió i animació CIAJ. gener 2012. SALVADOR  ESCARTÍ C.. SSL </t>
  </si>
  <si>
    <t>Gestió i animació CIAJ. desembre 2011. SALVADOR  ESCARTÍ C.. SSL </t>
  </si>
  <si>
    <t>Servei d'educador social del Raval gener 2012. Masservicios Solimed SL</t>
  </si>
  <si>
    <t>Espectacle "El amor de miss amores"  ADI PRODUCCIONES</t>
  </si>
  <si>
    <t>Servei recaptació executiva gener 2012. MARTÍNEZ CENTRO GESTIÓN</t>
  </si>
  <si>
    <t>Canvi transformador centre Ribalta. ATECSA</t>
  </si>
  <si>
    <t>Material de Ferreteria per a l'Escola Taller El Museu II. Ferreteria REOLID LOPEZ SL</t>
  </si>
  <si>
    <t>Material d'Oficina i Escolar per a l'Escola Taller El Museu II. Suofi Abastiment d'Oficina SL</t>
  </si>
  <si>
    <t>Materials de Construcció per a l'Escola Taller El Museu II. MACOALGE SA</t>
  </si>
  <si>
    <t>Material de Ferreteria per a l'Escola Taller El Museu II. Ferreteria Plaça Major CB</t>
  </si>
  <si>
    <t>Pintura per a l'Escola Taller El Museu II. Pinturas GODI SA</t>
  </si>
  <si>
    <t>Fact Nr 10/12 Esmorçars reunió Parking. Ropac Algemesí SL</t>
  </si>
  <si>
    <t>Fact Nr 12/12 Esmorçars reunió revisió Catàleg Urbanisme. Ropac Algemesí SL</t>
  </si>
  <si>
    <t>Despeses locomoció i 1/2 dieta desplaçament Madrid Reunió EMPARK 14-02-2012. VRGM </t>
  </si>
  <si>
    <t>Despeses dietes desplaçament Barcelona Acte Institucional Inauguració Agermanament Muixerangues dies 11 i 12 de febrer de 2012. GPS </t>
  </si>
  <si>
    <t>Despeses locomoció i 1/2 dieta desplaçament Barcelona Festes de Sta. Eulàlia i inauguració monument Castellers 12-02-12. VRGM </t>
  </si>
  <si>
    <t>Fact Nr 6/12 Vi d'honor Guardons d'Algemesí. Ropac Algemesí, SL</t>
  </si>
  <si>
    <t>Fact Nr 3/12 Dinar de la Filarmònica de la Ribera. Ropac Algemesí SL</t>
  </si>
  <si>
    <t>Fact Nr 33/12 Serveis de Manteniment Informàtic Febrer 2012. JVGM</t>
  </si>
  <si>
    <t>Fact Nr 9 2/12 Treballs de llanterneria en dependències esportives i Ecoparc. Lampisteria Úbeda, SL</t>
  </si>
  <si>
    <t>Fra. Y 2012/3 Servei de Recaptació en Executiva gener 2012. MARTINEZ CENTRO GESTION S.L.</t>
  </si>
  <si>
    <t>Fra. MU 2012/1 Gestió i Recaptació de Multes gener 2012. MARTINEZ CENTRO GESTION S.L.</t>
  </si>
  <si>
    <t>Fra. 003-02/2012 Setmana Taurina Algemesí 2011 en Portal Comarcal, JOC</t>
  </si>
  <si>
    <t>Fra. No. A/2632/12 Publicitat "La Ribera 15 dies" gener 2012. RIBERA PUBLICIDAD Y EDICIONES S.L.</t>
  </si>
  <si>
    <t>Fra. No. AL 530/12 Personal per a l'EOI. AUDIO-NET ALQUILER PROFESSIONAL, S.L.</t>
  </si>
  <si>
    <t>Fra. No. 2/12 Gestió Activitats Expositives  Sala Exposicions febrer 2012. AVT</t>
  </si>
  <si>
    <t>Fra. No. 2147/12 Repartiment BIM Berca gener 2012. REPART-COAL SL</t>
  </si>
  <si>
    <t>Fra. No. 03/12 Informació Meteorològica pàgina web Octubre, Novembre, Desembre, 2011 INFORATGE S.C.</t>
  </si>
  <si>
    <t>Fra. No. 01/12 Taller Ioga G1 mati. MTCS</t>
  </si>
  <si>
    <t>Fra. No. 02/12 Taller Ioga G2 vesprada. MTCS</t>
  </si>
  <si>
    <t>Fra. No. 03/12 Taller Ioga G3 mati. MTCS</t>
  </si>
  <si>
    <t>Fra. No. 04/12 Taller Ioga G4 vesprada. MTCS</t>
  </si>
  <si>
    <t>Fra. No. V271316/12 Quota lloguer Equips Multiprogrames gener 2012. RICOH ESPAÑA S.L.U.</t>
  </si>
  <si>
    <t>Fra. No. 002/121 Manteniment Auraportal Bpms. Usuaris Interns i Externs 2012. AURA DIFUSION S.L.</t>
  </si>
  <si>
    <t>Fra. No. 49201122/12 Manteniment Model Recusrsos Humans 2012. UNIT4 BUSINESS SOFTWARE IBERICA S.A. Soc. Unip.</t>
  </si>
  <si>
    <t>Serveis prestats al Centre Municipal Salut Escolar (gener 12). PROMOSALUT</t>
  </si>
  <si>
    <t>Serveis prestats al Centre Municipal Salut Escolar (febrer 12). PROMOSALUT</t>
  </si>
  <si>
    <t>Mampara DIAL. PERSILOZ</t>
  </si>
  <si>
    <t>Dinar St. Antoni. Benedicció animals. ROPAC</t>
  </si>
  <si>
    <t>REIS 2012 Sopar participants cavalgada Reis 2012. ROPAC</t>
  </si>
  <si>
    <t>Lloguer mercat Teular desembre 2011. J. B. M. B.</t>
  </si>
  <si>
    <t>Servei Públic TV Berca (gener 2012). CARBE</t>
  </si>
  <si>
    <t>Servei Públic TV Berca (febrer 2012). CARBE</t>
  </si>
  <si>
    <t>Aperitiu i begudes dolçainers dia de la benedicció ROPAC ALGEMESI SL</t>
  </si>
  <si>
    <t>REIS 2012 Disfresses per a la cabalcada de reis DULCES CASH VALENCIANA SL</t>
  </si>
  <si>
    <t>Personal, sala i lloguer assaig i presentació 3 falles AUDIO-NET S.L.</t>
  </si>
  <si>
    <t>REIS 2012 Berenar xiquets participants cabalcada reis '12 ROPAC ALGEMESI SL</t>
  </si>
  <si>
    <t>Personal, sala sorteig cistelles nadal i presentació falles AUDIO-NET S.L.</t>
  </si>
  <si>
    <t>Menjar per a les cistelles de nadal del 2011  J.P.S.</t>
  </si>
  <si>
    <t>Manteniment i netja Parc S. Castell. P.R.J.</t>
  </si>
  <si>
    <t>Diverses assegurances. CONSORCI COMPENSACIÓ ASSEGURANCES</t>
  </si>
  <si>
    <t>Edició, maquetació i redacció Berca BIM. OPCIÓ COMUNICATIVA</t>
  </si>
  <si>
    <t>Manteniment i neteja P. Bernat Guinovart. P.R.J</t>
  </si>
  <si>
    <t>Llibres per a la biblioteca LLIBRERIA SAMARUC SL</t>
  </si>
  <si>
    <t>Llibres per a la biblioteca EDITORIAL JAIF SL</t>
  </si>
  <si>
    <t>Exposicioó fotogràfica 'Els boscos de la Mediterrània' TERMO-ART SL</t>
  </si>
  <si>
    <t>Substitució cablejat de llum al bar del poliesortiu GOMEZ BUENO CB</t>
  </si>
  <si>
    <t>Pòlissa Assegurança d'activitats falleres i accidents de falles 2012. Salvador Tarazona CSSL</t>
  </si>
  <si>
    <t>Subministrament de gas-oil col. públic, pavelló i poliesportiu. C.E.P. Atlántico, SA</t>
  </si>
  <si>
    <t>REIS 2012 Fra. No. 001/12 Tela disfresses Cavalcada de Reis. MJBO</t>
  </si>
  <si>
    <t>Fra. 00001/12 Cinc dinars reunió pàrquing mercat. ROPAC ALGEMESÍ, S.L.</t>
  </si>
  <si>
    <t>REIS 2012 Fra. A/01 Borses de llepolies "Entrega Cartes als Patges" Reis 2012. JMTB</t>
  </si>
  <si>
    <t>REIS 2012 Fra. 00002/12 Dinars i altres motiu Cavalcada de Reis 2012. ROPAC ALGEMESÍ, S.L.</t>
  </si>
  <si>
    <t>Fra. 1-0014/12 Salves disparades 08/09/2011 en honor al títol de Patrimoni de la Humanitat. FOCS D'ARTIFICI EUROPA S.L. </t>
  </si>
  <si>
    <t>Fra. T03 366/12 Menjar i beguda diversa Cursa Sant Silvestre. JPS</t>
  </si>
  <si>
    <t>Fra. 13278/12 Plaques metacrilat i 3000 estampetes festa Sant Antoni. AVANCE D.P. S.L.</t>
  </si>
  <si>
    <t>REIS 2012 Fra. AL 507/12 Servei tècnic muntatge carrosses Cavalcada Reis 2012. AUDIO-NET ALQUILER PROFESSIONAL, S.L.</t>
  </si>
  <si>
    <t> REIS 2012 Lloguer equips so Plataformes (Cantajuego, Herodes, Alas) Cavalcada Reis 2012. AUDIO-NET ALQUILER PROFESSIONAL, S.L.</t>
  </si>
  <si>
    <t>Fra. No. 000001/11 Regals Residència d'ancians, Cures, Germanes de la Sra. Pepa i assistents. VJEA</t>
  </si>
  <si>
    <t>REIS 2012 Fra. AL 504/11 Lloguer equip so i il·luminació "Entrega cartes als Ambaixadors dels Reis" 4/01/12. AUDIO-NET ALQUILER PROFESSIONAL, S.L.</t>
  </si>
  <si>
    <t>Fra. No. 1/12 Gestió activitats expositives Sala Exposicions gener 2012. AVT</t>
  </si>
  <si>
    <t>Fra. 2012-2 Lloguer carpes Nit Cap d'Any 2011. JCLA</t>
  </si>
  <si>
    <t>Reposició de Senyals de Transit. Señalizaciones Roses SL</t>
  </si>
  <si>
    <t>REIS 2012 Fra. No. 142988/12 Disfresses Cavalcada de Reis. DULCES CASH VALENCIANA, S.L.</t>
  </si>
  <si>
    <t>REIS 2012 Fra. No. AL 503/12 Transport tres carrosses Cavalcada Reis Dénia-Algemesí_Dénia. AUDIO-NET ALQUILER PROFESSIONAL, S.L.</t>
  </si>
  <si>
    <t>REIS 2012 Fra. AL 505/12  Lloguer equip so i il·luminació Escenaris Cavalcada Reis 2012. AUDIO-NET ALQUILER PROFESSIONAL, S.L.</t>
  </si>
  <si>
    <t>REIS 2012 Fra. 1-0008/12 Focs d'artifici dies 4 i 5 de gener Cavalcada Reis. FOCS D'ARTIFICI EUROPA S.L.</t>
  </si>
  <si>
    <t>Samarretes serigrafiades reg. Esports. DISTRIBUCIONES PREVENCOR</t>
  </si>
  <si>
    <t>Maquinària aire condicionat bar Poliesportiu GÓMEZ BUENO CB</t>
  </si>
  <si>
    <t>Pagament quota FVMP</t>
  </si>
  <si>
    <t>Equips de transmissió policia TEINSIA SL</t>
  </si>
  <si>
    <t>Pagament quota Consorci Bombers</t>
  </si>
  <si>
    <t>Pagament premi cartell anunciador Setmana de Bous 2011. G.G.A.L.</t>
  </si>
  <si>
    <t>Teatre "L'apartament Borja". ÀRTICS PRODUCCIÓN</t>
  </si>
  <si>
    <t>"Gala lírica". CORAL POLIFÒNICA CIUTAT DE CARLET</t>
  </si>
  <si>
    <t>"Magia urbana". F. M. A.</t>
  </si>
  <si>
    <t>Teatre "El virgo de visanteta". XANA TEATRE</t>
  </si>
  <si>
    <t>Teatre "tuyyo" ENGRATA TEATRE</t>
  </si>
  <si>
    <t>"Gala lírica". AGRUPACIÓ MUSICAL DE VETERANS DE LA RIBERA</t>
  </si>
  <si>
    <t>"Recital de Sarsuela". AMIGOS DE LA MÚSICA DE ALCOY</t>
  </si>
  <si>
    <t>Teatre "Eufória" HORTA TEATRE</t>
  </si>
  <si>
    <t>"Urban Comedy Show" F. M. A</t>
  </si>
  <si>
    <t>"Concert Jazz Simfònic" AMIGOS DE LA MÚSICA DE ALCOY</t>
  </si>
  <si>
    <t>Teatre "Los pájaros azules" BRAMANT TEATRE</t>
  </si>
  <si>
    <t>Esp. dansa "Mediterráneo". COMP. DANZA JOVEN MEDITERRÁNEO</t>
  </si>
  <si>
    <t>Teatre "La novia de Gary Cooper" LA DEPENDENT</t>
  </si>
  <si>
    <t>Serveis desratització, desinsectació. ECO-TRATAMIENTOS</t>
  </si>
  <si>
    <t>Neteja col·legis B. Ibañez, Cervantes, Ribalta, A. Tortajada. BENESTAR A LA COMUNITAT</t>
  </si>
  <si>
    <t>Publicació anunci oficial al diari "Las Provincias"</t>
  </si>
  <si>
    <t>Publicació al BOP anunci contractació servei ORA</t>
  </si>
  <si>
    <t>Fra. 111130-28/2011 Honoraris direcció obra, coordinació de seguretat i salut i projecte complementari, Edifici Polivalent Verge de la Salut TYPSA</t>
  </si>
  <si>
    <t>Esmorçars dia jurat pintors</t>
  </si>
  <si>
    <t>Esmorçars reunió urbanisme. Ropac Algemesí. SL </t>
  </si>
  <si>
    <t>Menús dinar muntatge exposició Cuqui Guillem. Ropac Algemesí SL</t>
  </si>
  <si>
    <t>Material divers per al betlem. Macoalge. SL</t>
  </si>
  <si>
    <t>Sopar en la Bodegueta el dia 29-11-11. José Torrent SL</t>
  </si>
  <si>
    <t>Gestió, despeses i preparatius recreació històrica " Regimiento de infanteria de línea de València 1808" dia 17/12/11. Asociació Napoleonica Valenciana.</t>
  </si>
  <si>
    <t>Material de ferreteria per al betlem. Ferreteria Plaça Major CB</t>
  </si>
  <si>
    <t>Subministrament de Gas-Oil per al Pabelló Cobert. Cepsa comercial este SA</t>
  </si>
  <si>
    <t>Test per a les oposicions de la Policia Local. Distest</t>
  </si>
  <si>
    <t>Conferència cicle Cabanilles dia 15/12/11. F,LLB</t>
  </si>
  <si>
    <t>Servei tècnic Concert Gala Solmaral de dia 02/12/11.AUDIONET</t>
  </si>
  <si>
    <t>Llum i so espectacle d'abonament A. Audio-net</t>
  </si>
  <si>
    <t>Material per a l'escola infantil Mestre Lozano. Comercial de suministros escolares SL </t>
  </si>
  <si>
    <t>Lloger equip de llum i so per als examens de la policia local dia 31/10/11 en la sala Rex. CPG</t>
  </si>
  <si>
    <t>Llum i so per a espectacles teatrals. Audio-net</t>
  </si>
  <si>
    <t>Honoraris recurs revisió 4/10 contra C. X. F. ref. 2010/268 PFP</t>
  </si>
  <si>
    <t>Sopar Napoleònics. Ropac Algemesí, SL</t>
  </si>
  <si>
    <t>Material per al CIAJ. Ferreteria Plaça Major, CB
</t>
  </si>
  <si>
    <t>Projecció cinematogàfica "No habrá paz para los malvados" dia 09/12/11 al Teatre municpal. Transcinema servicios cinematograficos S.l</t>
  </si>
  <si>
    <t>Lloguer materials per assatjos al teatre, personal per al cinema i punt d'informació. Audio-net</t>
  </si>
  <si>
    <t>Material de imprenta per al CIAJ. Abacus Cooperativa</t>
  </si>
  <si>
    <t>Neteja extraordinariaper celebració de les festes Mare de Deu Patrimoni dia 08/12/11. Esteve Barberá ESteve SL</t>
  </si>
  <si>
    <t>Llum i so espectacle d'abonament B. Audio-net</t>
  </si>
  <si>
    <t>Lloger equip d'il.luminació i so " Las 4 estaciaones" 01/12/11 dia del discapacitat Audio-Net alquiler profesional, SL</t>
  </si>
  <si>
    <t>Llum i so teatre infantil. Audio-net</t>
  </si>
  <si>
    <t>Neteja escola d'estiu Blasco Ibañez. Benestar a la Comunitat, S.L.L</t>
  </si>
  <si>
    <t>Recollida i manteniment de gossos desembre del 201. Gossos d'Alpe SC</t>
  </si>
  <si>
    <t>Servei de contol aulari en el teatre Municipal Setembre 2011. Full Control S.L</t>
  </si>
  <si>
    <t>Garrafes i gots per a les dependències municipals octubre 2011. Serviagua Josmar S.L</t>
  </si>
  <si>
    <t>Aigua per a la mitja marató. VFS</t>
  </si>
  <si>
    <t>Minuta Honoraris procediment judicial núm. ref. 812. Calabuig and Calabuig SL
</t>
  </si>
  <si>
    <t>Personal sala per a venda d'abonaments i sala d'exposicions. Audio-net</t>
  </si>
  <si>
    <t>Reparació en les porteries del Poliesportiu. Hnos. Garcia Monzó CB</t>
  </si>
  <si>
    <t>personal  per a la sala d'exposicions  al mes de novembre. Audio-net</t>
  </si>
  <si>
    <t>Manteniment de neteja escola d'estiu Cervantes juliol 2011. Benestar a la Comunitat, SLL</t>
  </si>
  <si>
    <t>Material de imprenta per al CIAJ. Abacus Cooperativa
</t>
  </si>
  <si>
    <t>Equip il.luminació i so concert nuevo amanecer 17/12/11 al teatre. Audio-net alquiler profesional, SL</t>
  </si>
  <si>
    <t>Revisió extintors en Col.liegis, escoles infantils, serveis socials raval , biblioteca, conservatori i llar del jubilat. A,S.C. Extinción S. L. O</t>
  </si>
  <si>
    <t>Personal de sala per a l'escola oficial d'idiomes. Auidio-net Alquiler professional, S.L.</t>
  </si>
  <si>
    <t>CAtàleg exposició Cuqui Guillem. JRN</t>
  </si>
  <si>
    <t>Venta d'entrades al teatre municipal.  Entradas See tickets SA</t>
  </si>
  <si>
    <t>Conserge per a l'escola oficial d'idiomes, dies 29/09, 06/10, 11/10, 13/10, 21/10, i 27/10. Audio-net</t>
  </si>
  <si>
    <t>Lloger equip d'il.luminació concert de cap d'any i festival de nadales. Audio-net alquiler profesional, SL</t>
  </si>
  <si>
    <t>Material, tela, flors i pasamaneria per a vestits dels Tornejants. El tornejants d'Algemesí</t>
  </si>
  <si>
    <t>Serveis de suport extern per a l'atenció de 1er nivell d'nformatica, desembre. JVGM</t>
  </si>
  <si>
    <t>Servei d'informatica, novembre 2011. Sumagrup tecnologies d'informació. S.L.</t>
  </si>
  <si>
    <t>Subministrament de Gas-Oil per al poliesportiu municipal. Cepsa comercial este SA</t>
  </si>
  <si>
    <t>Taller de beguda saludable realitzat en 12 sessions. Associació impuls</t>
  </si>
  <si>
    <t>Recollida arena plaça de bous. Contenedores i minicargadores Bou, S.L</t>
  </si>
  <si>
    <t>Servesis de mediació intercultural i educació desembre 2011. Morcam iniciativas empresariales SL</t>
  </si>
  <si>
    <t>Servei de retirada de veehicles desembre 2011</t>
  </si>
  <si>
    <t>Projecte d'animació lectora 2 sessions " El viatge del Marcel el marcià" Edicions 96 SL</t>
  </si>
  <si>
    <t>Camisetes tècniques serifrafiades per a la maratò d'Algemesí. Distribuciones Prevencomer, S.L.U</t>
  </si>
  <si>
    <t>Megafonia semana tauriana. CGP</t>
  </si>
  <si>
    <t>Rebut 0081649293 Pòliça Assegurança CA00390104 1-12-11  30-11-12 SEGUROS GES A. C. R.</t>
  </si>
  <si>
    <t>Assegurança 01-12-11 al 30-01-12 SEGUROS GES</t>
  </si>
  <si>
    <t>Fulls per Ajuntament. SOUFI</t>
  </si>
  <si>
    <t>Centre Carrascalet. SALVADOR E.</t>
  </si>
  <si>
    <t>Servei de gestió i animació del centre d'informació i acció juvenil, novembre 201. Salvador Escarti CSSL</t>
  </si>
  <si>
    <t>Servei d'educador social del Raval desembre 2011. Masservicios Solimed SL</t>
  </si>
  <si>
    <t>Servei d'educador social del Raval novembre 2011. Masservicios Solimed SL</t>
  </si>
  <si>
    <t>Instal.lació de tribunes metalliques en la plaça de l'Ajuntament dia 08/09/11. Estrumarz SL</t>
  </si>
  <si>
    <t>Concert de nadal 18/12/2011 i cap d'any 08/01/12. Orquesta simfònica de la Ribera</t>
  </si>
  <si>
    <t> Minuta Honoris cont-adm. 354/2010 contra acord d'ajudicació. Ricardo de Vte. Abogados SLP</t>
  </si>
  <si>
    <t>Canon sanejament consum municipal any 2011. Aguas de València</t>
  </si>
  <si>
    <t>Esmorçars Junta Local Fallera. ROPAC Algemesí SL</t>
  </si>
  <si>
    <t>Esmorçar i cafés muntatge betlem. ROPAC Algemesí SL</t>
  </si>
  <si>
    <t>30 Menús.  ROPAC Algemesí SL</t>
  </si>
  <si>
    <t>25 Agendes de l'Agenda XXI. Avance DP SL</t>
  </si>
  <si>
    <t>Servei mensual al cementeri període 16-11 fins 15-12 del 2011. Autocares Lozano SL</t>
  </si>
  <si>
    <t>70 Agendes per a l'Ajuntament. SUOFI Abastiment d'Oficina SL</t>
  </si>
  <si>
    <t>Servei de repartiment de correspondència i missatgeria novembre 2011. MDL Distribución Logística SA</t>
  </si>
  <si>
    <t>Servei de retirada de vehicles novembre 2011. Gruas Paco Blasco SL</t>
  </si>
  <si>
    <t>Divers mobiliari per al Centre  de  Dia. FAUS SL</t>
  </si>
  <si>
    <t>Lloguer baix Mercat Teula desembre. J.B.M.B</t>
  </si>
  <si>
    <t>Fra. 00125/11 Esmorçars Alcaldia 8-10-11 ROPAC ALGEMESÍ SL</t>
  </si>
  <si>
    <t>Fra. 00153/11 Esmorçars i cafés Reunió Consorci ROPAC ALGEMESÍ, SL</t>
  </si>
  <si>
    <t>Fra. 1101909/11 Manteniment Servei Oratge web municipal Setembre-Octubre 2011 MAKIGEST SCCL</t>
  </si>
  <si>
    <t>Fra. 00150/11 Dinar Jurat Pintors ROPAC ALGEMESÍ SL</t>
  </si>
  <si>
    <t>Fra. A/2604/11 Publicitat "La Ribera 15 dies" novembre 2011 RIBERA PUBLICIDAD Y EDICIONES SL</t>
  </si>
  <si>
    <t>Fra. 4/11 Conferència Cicle Cabanilles 01-12-11 V.J.E.S.</t>
  </si>
  <si>
    <t>Fra. A-82879/11 Borses Pipican ESTUDI GRAF SA</t>
  </si>
  <si>
    <t>Fra. 56/11 Classes de TAICHI per a Jubilats i Pensionistes novembre J.C.S.P.</t>
  </si>
  <si>
    <t>Fra. 037/11 Anàlisi de laboratori per la Centre de Drogodependència i factures de Serveis Socials J.S.C.A.</t>
  </si>
  <si>
    <t>Fra. 252/11 Recollida i manteniment de gossos octubre 2011 GOSSOS D'ALPE SC</t>
  </si>
  <si>
    <t>Fra. 281/11 Recollida i manteniment de gossos novembre 2011 GOSSOS D'ALPE SC</t>
  </si>
  <si>
    <t>Fra. 04/11 Obra "La Tremenda Historia de Lolo" 29-11-11 Regidoria Sanitat TRAMANT TEATRE</t>
  </si>
  <si>
    <t>Fra. AL 369/11 Lloguer equip so i il·luminació espectacle "Buenos Aires" Jove Ballet PVT, 5 novembre Teatre AUDIO-NET ALQUILER PROFESIONAL SL</t>
  </si>
  <si>
    <t>Fra. 35/2011 Primer 50% Projecte enderrocament vivenda Avda. Riu Magre no. 33 J.J.G.J.</t>
  </si>
  <si>
    <t>Fra. 11/2011 Preparació repertori concert Commemoració Any Cabanilles P.M.M</t>
  </si>
  <si>
    <t>Fra. 006/2011 Honoraris XXI curs Educació i Socialització Canina C.D.D.</t>
  </si>
  <si>
    <t>Fra. 807/11 Sopar de la Regidoria de Cultura JOSE TORRENT SL</t>
  </si>
  <si>
    <t>Menjador escolar curs 2011/2012, Octubre, Col·legi Nuestra Sra de la Salud, HH Maristas CC MARISTAS</t>
  </si>
  <si>
    <t>Fra. 02/2011 Dolços i Taller de Henna per a la Setmana Intercultural CENTRO CULTURAL ISLAMICO LA PAZ</t>
  </si>
  <si>
    <t>Fra. 2011-330 Material electricitat muntatge Betlem INSTAL·LACIONS ELECTRIQUES R.Y S. SL</t>
  </si>
  <si>
    <t>Fra. 2011029/11 Figures, cases i complements Betlem Plaça Major S.G.C.</t>
  </si>
  <si>
    <t>Fra. 13180/11 1000 Diptics dignificació del Valencià AVANCE D.P. SL</t>
  </si>
  <si>
    <t>Fra. 11003005/ 11 Servei de menjar a casa octubre 2011 EUREST COLECTIVIDADES SRL</t>
  </si>
  <si>
    <t>Fra. 311/11 Muntatge aparells d'exercicis Centre de Dia METALICAS MARTINCA</t>
  </si>
  <si>
    <t>Fra. 119/11 Llibres per a la Biblioteca LLIBRERIA SAMARUC SL</t>
  </si>
  <si>
    <t>Fra. 16/11 Gestió d'activitats i exposició d'art contemporani desembre 2011 A.V.T.</t>
  </si>
  <si>
    <t>Despeses de la cessió temporal d'un gos ensinistrat per a detecció de drogues R.T.G.</t>
  </si>
  <si>
    <t>Fra. 2518/11 Divers mobiliari Centre de Dia S.M.A.</t>
  </si>
  <si>
    <t> Fra. 23/11 Servei de mediació intercultural  i educació, novembre 2011 MORCAM INICIATIVAS EMPRESARIALES SL</t>
  </si>
  <si>
    <t>Fra. 125/11 Execució "Trampilla" Casino Lliberal coberta aparells Aire Condicionat CONSCEA SL</t>
  </si>
  <si>
    <t>Representació  mà"gia El imposibilista". A.M.S.</t>
  </si>
  <si>
    <t>Repartiment missatgeria octubre 2011. MDL DISTRIBUCIÓN</t>
  </si>
  <si>
    <t>Gestió Centre juvenil. Salvador E. SSL</t>
  </si>
  <si>
    <t>Gestió Centre Carrascalet. SALVADOR E. SSL</t>
  </si>
  <si>
    <t>Lloguer mercat Teular novembre. J. B. M. B.</t>
  </si>
  <si>
    <t>Esmorçars del Basquet. Ropac Algemesí SL
</t>
  </si>
  <si>
    <t>Llum i so, festes 9 d'Octubre c/ Rei en Jaume. CPG</t>
  </si>
  <si>
    <t>Conferència cicle Cabanilles dia 11/11/11. DS,JL</t>
  </si>
  <si>
    <t>Honoraris advocat proced. abrev. 333/11 jutjat contensiós administratiu. Calabuig &amp; Calabuig SL</t>
  </si>
  <si>
    <t>Projecció cinematogàfica "origen planeta simios" dia 27/11/11 al Teatre municpal. Transcinema servicios cinematograficos S.l</t>
  </si>
  <si>
    <t>Participació en el desfile i actes de Sant Sebastià de la Vila 2011. Associació Napoleonoca Valenciana</t>
  </si>
  <si>
    <t>Servei mensual al cementeri periode 16/10 fins 15/11 Autocares Lozano S.L</t>
  </si>
  <si>
    <t>Material de neteja. Limpiezas Aloja </t>
  </si>
  <si>
    <t>Publicació "El solc de l'escriptura" publicaciones de la Universitat de València</t>
  </si>
  <si>
    <t>Compra de material elèctric per al taller de formació d'electricistes</t>
  </si>
  <si>
    <t>Reparació forats del canaló del Pabelló Cobert i col.locació de les 4 gargoles. Riberallar Constuïm SL</t>
  </si>
  <si>
    <t>Reunions Fòrem Ciutadà (Maig-Juny-Juliol) i inici agenda 21 escolar. Medi XXI gabinet de solucions  ambientals S.I
</t>
  </si>
  <si>
    <t>Reparacions en el marcador del Pabelló Cobert. Equipamientos deportivos</t>
  </si>
  <si>
    <t>Reposició unitats higièniques i ambientadors. Initial Textiles e higiene SL</t>
  </si>
  <si>
    <t>Servei de  repartiment de correspondència i missatgeria setembre 2011. MDL distribució logistica. SA </t>
  </si>
  <si>
    <t>Servei retirada vehicles octubre 2011. GRUAS P. BLASCOL SL</t>
  </si>
  <si>
    <t>Servei missatgeria juliol. MDL DISTRIBUCIÓN LOGÍSTICA</t>
  </si>
  <si>
    <t>Gestió i animació CIAJ. octubre 2011. SALVADOR  ESCARTÍ C.. SSL </t>
  </si>
  <si>
    <t>Test per a oposicions policia local. DISTEST</t>
  </si>
  <si>
    <t>Premi pintura "Ciutat d'Algemesí". Oliver Jonhson</t>
  </si>
  <si>
    <t>Fra 48/11 Retirada de moqueta vella i col·locació de vinil en l'edifici del PQPI. Traver3</t>
  </si>
  <si>
    <t>Subministrament i col·locació de tobogan en la Plaça de la Ribera. Instalación y mantenimiento de Parques Infantiles</t>
  </si>
  <si>
    <t>Compra d'arbres i plantes. Vivers Centre Verd SA</t>
  </si>
  <si>
    <t>Fact A781/11 Sopar de Cultura dia 07-11-11. J Torrent SL</t>
  </si>
  <si>
    <t>Fact A799/11 Sopar de Cultura dia 14-11-11. J Torrent SL</t>
  </si>
  <si>
    <t>Fact 102/11 Pintura Antigrafiti per a neteja en Parc Salvador Castell. JCForner SL</t>
  </si>
  <si>
    <t>Fact 90/2011 Projecció Cine "La piel que habito" 4/11/2011 al Teatre Municipal. Transcinema Servicios Cinematográficos SL</t>
  </si>
  <si>
    <t>Fact 95/2011 Projecció Cine "Johnny English" 18/11/2011 al Teatre Municipal. Transcinema Servicios Cinematográficos SL</t>
  </si>
  <si>
    <t>Fact 2011/385 Manteniment i Assistència tècnica de Team Arca. 2012 (prog.inf. arxiu municipal). SELLMASTERS Soft SL</t>
  </si>
  <si>
    <t>Fact 2011-FA-345 Material de Ferreteria per a Parcs i Jardins</t>
  </si>
  <si>
    <t>Fact 106/11 Reparació fuita Avinguda Corts Valencianes</t>
  </si>
  <si>
    <t>Fact 2011-244 Reparacions Màquina Carregadora Agrimax</t>
  </si>
  <si>
    <t>Fact 2011-119 Servei d'Informàtica Octubre 2011</t>
  </si>
  <si>
    <t>Fact 30/11 Serveis de Manteniment Informàtic, Novembre 2011</t>
  </si>
  <si>
    <t>Telefonia fixa Ajuntament. Octubre. Telefònica S.A</t>
  </si>
  <si>
    <t>Manteniment i neteja zones verdes Parc S. Castell. Octubre 2011 P.R.J</t>
  </si>
  <si>
    <t>Manteniment i neteja zones verdes Par Bernat Guinovart. Octubre 2011 P.R.J</t>
  </si>
  <si>
    <t>Factura Esteve Barberá Esteve mes de novembre, neteja i recollida</t>
  </si>
  <si>
    <t>Desinsectació i desratització via pública i dependències municipals. O.M.J.R.</t>
  </si>
  <si>
    <t>Mobiiari divers per al centre de Dia. E.B. R.</t>
  </si>
  <si>
    <t>Concert Flamenco Fusion. As. Nuevo Amanecer</t>
  </si>
  <si>
    <t>Educador social Barri Raval octubre. MASSERVICIOS SOLIMED</t>
  </si>
  <si>
    <t>Lloguer baix Mercat Teular. J.B.M.B</t>
  </si>
  <si>
    <t>Factura Esteve Barberá Esteve mes d'octubre, neteja i recollida</t>
  </si>
  <si>
    <t>Fact 116/11 Servei de dos cambrers i material necessari per al vi d'honor - sala d'exposicions. ROPAC Algemesi SL</t>
  </si>
  <si>
    <t>Fact 02/2519/11 Lloguer cabina sanitaria wc periode 23/09 a 02/10/11 al Parc Salvador Castell. POLY-KLYN SL</t>
  </si>
  <si>
    <t>Fact 253-11 Focs d'artifici Festes del Pilar 12/10/2011. Pirotecnia Crespo SL </t>
  </si>
  <si>
    <t>Fact A684/11 Catering Festa Carrer Jaume I 09/10/11. Jose Torrent SL</t>
  </si>
  <si>
    <t>Fact AL 267/11 Personal per a sala d'exposicions i cinema, Juliol 2011. AUDIO-NET Alquiler Professional SL</t>
  </si>
  <si>
    <t>Fact 2900/11 Marc pergami homenatge a M. P. (CE B B)</t>
  </si>
  <si>
    <t>Fact 04/2011 Curs de pintura a l'oli Grup B Centre Sociocultural del Carrascalet. I C P</t>
  </si>
  <si>
    <t>Fact 3/2011 Curs Pintura a l'oli Grup A Centre Sociocultural del Carrascalet. I C P</t>
  </si>
  <si>
    <t>FRA 1-94/11 Llibres per a la biblioteca. Llibreria Samaruc SL</t>
  </si>
  <si>
    <t>Fact 03/2011 Curs Moviment Orgànic i Respiració Conscient Centre Sociocultural del Carrascalet. JM S T</t>
  </si>
  <si>
    <t>Fact 123/11 Dinars i sopars delegats setmana de bous. ROPAC Algemesi SL</t>
  </si>
  <si>
    <t>Fact 250/11 Focs d'artifici dia 9 d'octubre. Pirotecnia Crespo SL</t>
  </si>
  <si>
    <t>Fact 01/2011 Curs Escoleta. Grup menuts al Centre Sociocultural del Carrascalet. GM P E</t>
  </si>
  <si>
    <t>FRA 1/11 Curs Escoleta. Grup majors al Centre Sociocultural del Carrascalet. M G F</t>
  </si>
  <si>
    <t>Fact A607/11 Vi d'honor presentació cartell setmana taurina en el Convent 02/09/2011. Jose Torrent SL</t>
  </si>
  <si>
    <t>FRA 315064/11 Material per al centre Sociocultural del Carrascalet. ABACUS Cooperativa</t>
  </si>
  <si>
    <t>Fact 601/11 Insignies i peines amb l'escut d'Algemesi per a les falleres majors i la seua cort d'honor. Agusti i Amaya CB</t>
  </si>
  <si>
    <t>Fact AL 304/11 Lloguer equip so i il·luminació "Lloances" 17 i 18/09/2011. AUDIO-NET Alquiler Professional SL</t>
  </si>
  <si>
    <t>FRA 111031-33 Honoraris direccio d'obres del Centre Polivalent Verge de la Salut. TYPSA</t>
  </si>
  <si>
    <t>Fact 2200/11 Tractament del morrut de les palmeres del poble. J P R</t>
  </si>
  <si>
    <t>FRA 110930-114/11 Honoraris direccio d'obres, d'execució, coordinació de seguretat i salut obre centre polivalent Verge de la Salut. TYPSA</t>
  </si>
  <si>
    <t>Fact 83/11 1900 Pastissets per a Setmana de Bous. Forn i Pastisseria Cerdà CB</t>
  </si>
  <si>
    <t>Fact 83/11 Menú Concentració de Bandes i Cornetes. ROPAC Algemesi SL</t>
  </si>
  <si>
    <t>FRA 20/11 Edicio 200 copies del disc "Joan Cabanilles. La musica d'un temps" del Grup de Musica Trobada. Musica y Compromiso SL</t>
  </si>
  <si>
    <t>Fra. 110433/11 Compra arbres Parcs i Jardins ALGEPLANT S.A.</t>
  </si>
  <si>
    <t>Fra. 1-105/11 Llibres Biblioteca LLIBRERIA SAMARUC SL.</t>
  </si>
  <si>
    <t>Fra. 1-104/11 Llibres Biblioteca LLIBRERIA SAMARUC SL.</t>
  </si>
  <si>
    <t>Fra. 297/11 Subminis. i muntatge senyals Parcs i Jar. SEÑAL. ROSES SL.</t>
  </si>
  <si>
    <t>Fra. 110432/11 Plantes i arbres Cementeri ALGEPLANT S.A.</t>
  </si>
  <si>
    <t>Fra. 252/11 Automatització llums pistes pàdel Poliesportiu J.L.A.B.</t>
  </si>
  <si>
    <t>Gestió i animació Centre sociocult. Carrascalet. Agost 2011. SALVADOR. ESCARTI C. SSL </t>
  </si>
  <si>
    <t>Gestió i animació Centre sociocult. Carrascalet. Setembre 2011. SALVADOR. ESCARTI C. SSL </t>
  </si>
  <si>
    <t>Direcció obres Centre de Dia. ADYPAU INGENIEROS</t>
  </si>
  <si>
    <t>Equipament material Ortopèdic Centre Dia (C.S.O.)</t>
  </si>
  <si>
    <t>Fra. P0005525/11 Publicació Festes Mare de Deu de la Salut 2011 EDITORIAL PRENSA VALENCIANA S.A.</t>
  </si>
  <si>
    <t>Fra. A/2597/11 Publicitat en "La Ribera 15 dies" octubre 2011 RIBERA PUBLICIDAD Y EDICIONES SL.</t>
  </si>
  <si>
    <t>Fra. 3230/2011 Garrafes i gots d'aigua depèndencies  Municipals  Agost 2011 SERVIAGUA JOSMAR SL.</t>
  </si>
  <si>
    <t>Fra. 3230/2011 Garrafes i gots d'aigua depèndencies Municipals Setembre 2011 SERVIAGUA JOSMAR SL.</t>
  </si>
  <si>
    <t>Fra. 2131/11 Tractament Morrut palmeres diversos punts del poble J.P.R.</t>
  </si>
  <si>
    <t>Anunci Setmana Taurina dia 29/09/11 en Alzira CV. Uniprex SA</t>
  </si>
  <si>
    <t>Anunci Festes Setembre dies 4 i 7 setembre en Alzira CV. Uniprex SA</t>
  </si>
  <si>
    <t>Anuncis Festes Setembre dies 4, 3 i 7 de setembre en Alzira EFM (La Ribera). Uniprex SA</t>
  </si>
  <si>
    <t>Base de dades de seguretat pública i intervenció policial. Situació dels extrangers en Espanya. DAPP SAL</t>
  </si>
  <si>
    <t>Assistència i intervenció en judici faltes 62/2011 diligències prèvies 1163/2010 contra RMT. EGH</t>
  </si>
  <si>
    <t>Minuta honoraris vigilància i informes i assistència al judici de faltes 333/2010-M. EGH</t>
  </si>
  <si>
    <t>Honoraris assistència i intervenció judici de faltes 160/09-S Jutjat Primera Instància Nº 4. EGH</t>
  </si>
  <si>
    <t>Inserció publicitària Festes de la Mare de Déu. CM Las Provincias Multimedia SL</t>
  </si>
  <si>
    <t>Serveis Internet, ONO, setembre. Cableuropa SAU</t>
  </si>
  <si>
    <t>Reposició de plantes en l'edifici de l'Ajuntament període 05/05/11 fins 31/08/11. Antara Mediterranea SL</t>
  </si>
  <si>
    <t>Repartiment i recollida de tanques, període 22-09 fins 03-10. Señalizaciones Roses SL</t>
  </si>
  <si>
    <t>Servei de recollida d'un poni i un potro. Gesmer Logistics Mer SL</t>
  </si>
  <si>
    <t>Inserció publicitat juliol 2011 en canal municipis. CM Las Provincias Multimedia SL</t>
  </si>
  <si>
    <t>Material de disfresses per als tallers de Halloween de la Casa de la Joventut. Llepolies i disfresses Mara SL</t>
  </si>
  <si>
    <t>Serveis informàtics ONO, Ajuntament. Cableuropa SAU</t>
  </si>
  <si>
    <t>Reparacions en el columpio del parc infantil del Parc Salvador Castell. Instalación y Mantenimiento de Parques Inf.</t>
  </si>
  <si>
    <t>Neteja extraordinària per Setmana de Bous del 24 de setembre fins 2 d'octubre 2011. Esteve Barberá Esteve SL</t>
  </si>
  <si>
    <t>Servei de vigilància Setmana de Bous. SECOPSA Seguridad SL</t>
  </si>
  <si>
    <t>Servei de repartiment de missatgeria i correspondència agost 2011. MDL distribución logística SA</t>
  </si>
  <si>
    <t>Defensa jurídica procediment ordinari interpost per Eurourbi SL. Jose Luis Lorente Tallada SL</t>
  </si>
  <si>
    <t>Servei d'informàtica setembre 2011. SUMAGRUP Tecnologies d'informació SL</t>
  </si>
  <si>
    <t>Serveis de manteniment informàtic octubre 2011. JVGM</t>
  </si>
  <si>
    <t>Servei de controlador en Setmana de Bous. Full Control SL</t>
  </si>
  <si>
    <t>Suplement 24 pàgines llibre "Toponímia d'Algemesí" ANDANA EDITORIAL</t>
  </si>
  <si>
    <t>Subministrament de fulls DINA3 i DINA4. SOUFI SL</t>
  </si>
  <si>
    <t>Concert solistes valencians (C.C.L)</t>
  </si>
  <si>
    <t>Educador social Barri Raval juny. MASSERVICIOS SOLIMED</t>
  </si>
  <si>
    <t>Educador social Barri Raval juliol. MASSERVICIOS SOLIMED</t>
  </si>
  <si>
    <t>Educador social Barri Raval agost. MASSERVICIOS SOLIMED</t>
  </si>
  <si>
    <t>Educador social Barri Raval setembre. MASSERVICIOS SOLIMED</t>
  </si>
  <si>
    <t>Lloguer mercat Teular juliol. M.B.</t>
  </si>
  <si>
    <t>Lloguer mercatTeular agost. M.B.</t>
  </si>
  <si>
    <t>Honoraris assessorament gestió Fons FEDER. ALEPH INICIATIVAS</t>
  </si>
  <si>
    <t>Fra. No 00097/11 Desdejunis Roda de premsa ROPAC ALGEMESÍ SL </t>
  </si>
  <si>
    <t>Fra. No 0120/11 Esmorçar Guardia Civil dia infantil Setmana bous ROPAC ALGEMESÍ S.L.</t>
  </si>
  <si>
    <t>Fra. No 00118/11 Dinar promoció econòmica i comerç ROPAC ALGEMESÍ SL</t>
  </si>
  <si>
    <t>Fra. No 00121/11 Esmorçars voluntaris encierros ROPAC ALGEMESÍ SL</t>
  </si>
  <si>
    <t>Fra. No 00115/11 Servei dos cambrers i material vi d'honor 06/09/11 Museu de la Festa Exposició dolçaina ROPAC ALGEMESÍ SL</t>
  </si>
  <si>
    <t>Fra. No 00122/11 Dinar amb Secretaria Autonòmica de Sanitat i Gabinet de Comunicació 24/09/11 (Setmana bous) ROPAC ALGEMESÍ SL</t>
  </si>
  <si>
    <t>Fra. No 00102/11 Catering Museu de la Festa jurat premis cartell Bous i Mare de Deu ROPAC ALGEMESÍ S.L.</t>
  </si>
  <si>
    <t>Fra. No 16/11 Llimó granissat Festa Barri del Carme E.R.E.</t>
  </si>
  <si>
    <t>Fra. No 1/11 Refrigeri 1a. marxa equestre d'Algemesí A.P.R.</t>
  </si>
  <si>
    <t>Fra. No 76081/11 Material Enllumenat Públic COMERCIAL ELEC SUM S.A.</t>
  </si>
  <si>
    <t>Fra. No 12/11 Augment IPC juliol, agost, setembre, Servei Drogodependència GRUPO CENTRA 2002 S.L.</t>
  </si>
  <si>
    <t>Fra. No 00124/11 Dinar agermanament polígon oest Murcia i cotes i alcalde d'Alcantarilla i Murcia ROPAC ALGEMESÍ, S.L.</t>
  </si>
  <si>
    <t>Fra. No 76955/11 Material Enllumenat Públic COMERCIAL ELEC SUM S.A.</t>
  </si>
  <si>
    <t>Fra. No 217/11 Recollida i manteniment de gossos setembre 2011 GOSSOS D'ALPE S.C.</t>
  </si>
  <si>
    <t>Fra. No 1/11 Xaranga 13/03 i 2/04 Junta local fallera S.F.E.</t>
  </si>
  <si>
    <t>Fra. No 2108/11 Repartiment revista BIM Berca No 195 octubre/novembre 2011 REPART-COAL SL</t>
  </si>
  <si>
    <t>Fra. No A/684/11 Material neteja depend Municipals LLIMPIEZAS ALOJA</t>
  </si>
  <si>
    <t>Fra. No 75027/11 Material Enllumenat Públic COMERCIAL ELEC SUM S.A.</t>
  </si>
  <si>
    <t>Fra. No 56/11 Pintar Plaça de bous RAVICORTS S.L.</t>
  </si>
  <si>
    <t>Fra. No 90/11Reparació portes CP Salvador Andres HNOS. FERRAGUD S, SL</t>
  </si>
  <si>
    <t>Fact 112/11 Esmorçars reunió Urbanisme. ROPAC Algemesi SL</t>
  </si>
  <si>
    <t>Fact 108/11 Esmorçars reunió Conselleria Infraestructures. ROPAC Algemesi SL</t>
  </si>
  <si>
    <t>Fact 100/11 Esmorçar reunió Tècnics Parc Salvador Castell. ROPAC Algemesi SL</t>
  </si>
  <si>
    <t>Fact 113/11 Esmorçars reunió Associació Veïns Raval. ROPAC Algemesi SL</t>
  </si>
  <si>
    <t>Fact 98/11 Esmorçars reunió Ferrobús i Urbanisme. ROPAC Algemesi SL</t>
  </si>
  <si>
    <t>Fact 101/11 Esmorçar reunió Urbanisme. ROPAC Algemesi SL</t>
  </si>
  <si>
    <t>Fact 111/11 Esmorçars reunió obres Parking Plaça Mercat. ROPAC Algemesi SL</t>
  </si>
  <si>
    <t>Fact 105/11 Esmorçar reunió Policies. ROPAC Algemesi SL</t>
  </si>
  <si>
    <t>Fact 99/11 Catering Sala Noble Ajuntament dia 29/09/2011. ROPAC Algemesi SL</t>
  </si>
  <si>
    <t>Fact 109/11 Dinar reunió participants programa de Radio SPORT 91.4. ROPAC Algemesi SL</t>
  </si>
  <si>
    <t>Fact 104/11 Dinar reunió Junta Seguretat Delegació Gobern i Policia Nacional i Local. ROPAC Algemesi SL</t>
  </si>
  <si>
    <t>Fact 995917001/11 Representació obra "El agua, un tesoro sin igual" I M S 06/06/11 SGAE</t>
  </si>
  <si>
    <t>Fact A/2011101/11 100 Cartells bandos bous 2011. V.P.P</t>
  </si>
  <si>
    <t>Fact 2110270/11 Repartiment i recollida de tanques en diferents punts del poble. Senyalitzacions Roses SL</t>
  </si>
  <si>
    <t>Fact 171011/11 Dues torretes (escultures). A U R</t>
  </si>
  <si>
    <t>Fact 348025/11 Pòliça assegurança nº 46300857 per accidents regidors període fins 01/10/12. Botella Carrasco SL</t>
  </si>
  <si>
    <t>Fact 93/11 Reparació paviment camí Mallaes, Const. Molina Ferrandis SL</t>
  </si>
  <si>
    <t>Fact 319/11 Actualització i manteniment de programes telemàtics de l'agència AFIC, subscripció annual. SERNUTEC SL</t>
  </si>
  <si>
    <t>Fact 209/11 Servei de retirada de vehícles Agost 2011. Gruas Paco Blasco SL</t>
  </si>
  <si>
    <t>Fact 177-2011 Contracte Assistència Quart Trimestre 2011 (Oct-Des). INFORMATING SL</t>
  </si>
  <si>
    <t>Espectacle "La discreta enamorada" CARABAU TEATRE</t>
  </si>
  <si>
    <t>Espectacle "Fa Sol" ENGRATA TEATRE</t>
  </si>
  <si>
    <t>Fact A7870/11 Material Raticida. Muribron 6Kg. J M F SL</t>
  </si>
  <si>
    <t>Espectacle "Que ve el drac" TEATRO QUIMERA</t>
  </si>
  <si>
    <t>Fact 19/11 Serveis de mediació intercultural i educació (setembre 2011). MORCAM Iniciativas Empresariales SL</t>
  </si>
  <si>
    <t>Espectacle "Una noche en la ópera" SOLISTAS VALENCIA</t>
  </si>
  <si>
    <t>Espectable "L'impossibilista de Sergi Buka" LALUCKY SL</t>
  </si>
  <si>
    <t>Mobiliari Centre de dia. R. E. DISSENY</t>
  </si>
  <si>
    <t>Espectacle "Concerts de Nadals" Associació per als estudis ORS</t>
  </si>
  <si>
    <t>Subministrament productes de neteja NETYA SL</t>
  </si>
  <si>
    <t>Subministrament 11.000 litres gasoil escoles i inst. esportives C.E.P. ATLÁNTICO</t>
  </si>
  <si>
    <t>Subvenció Club Al-Moo-Kwan Algemesí</t>
  </si>
  <si>
    <t>Catàleg exposició sala exposicions (R.N.J)</t>
  </si>
  <si>
    <t>Sanejament coberta corral de bous. CONSTRUCCIONES TÉCNICAS</t>
  </si>
  <si>
    <t>Drets d'autor espectacles "Sinfónicos" i "Banda Sinfònica de la Societat". SGAE </t>
  </si>
  <si>
    <t>Sopar Regidors C/ Capella dia 08-09-2011. Jose Torrent SL</t>
  </si>
  <si>
    <t>Abonaments Teatre temporada 2011-2012. Opció Comunicativa SL</t>
  </si>
  <si>
    <t>Servei mensual al cementeri, de 16-08 a 15-09 de 2011. Autocares Lozano SL</t>
  </si>
  <si>
    <t>Catering Casino Promoció Festes de la Mare de Déu de la Salut. Ropac Algemesí SL</t>
  </si>
  <si>
    <t>Treballs llanterneria per al manteniment de parcs i jardins. Borras Ribes SA</t>
  </si>
  <si>
    <t>Gestió d'activitats i exposicions d'art contemporani octubre 2011. AVT</t>
  </si>
  <si>
    <t>Reparació en diversos jardins del poble. Borras Ribes SA</t>
  </si>
  <si>
    <t>Informació metereològica pàgina web 3r trimestre. Inforatge SC</t>
  </si>
  <si>
    <t>Martínez Centro Gestión SL (Pla xoc diputació)</t>
  </si>
  <si>
    <t>Preparació repertori munical Any Cabanilles. MÚSICA TROBADA</t>
  </si>
  <si>
    <t>Ximo R. N. (Pla xoc Diputació)</t>
  </si>
  <si>
    <t>Schola Cantorum Algemesí (Pla xoc Diputació)</t>
  </si>
  <si>
    <t>Comercial eléctrica de suministros. FRA 73047 (Pla xoc Diputació)</t>
  </si>
  <si>
    <t>Promosalut (Pla xoc Diputació)</t>
  </si>
  <si>
    <t>Julio P. R. (Pla xoc Diputació)</t>
  </si>
  <si>
    <t>Salvador E. CSSL (Pla xoc Diputació)</t>
  </si>
  <si>
    <t>Juan B. M. B. (Pla xoc Diputació)</t>
  </si>
  <si>
    <t>Societat Musical d'Algemesí (Pla xoc Diputació)</t>
  </si>
  <si>
    <t>Subministrament taules i cadires Centre de Dia. C. Sánchez SL</t>
  </si>
  <si>
    <t>Pancartes anuncis festes setembre (V.A.J.A)</t>
  </si>
  <si>
    <t>Digitalització 16 llibres (B.S.M.L)</t>
  </si>
  <si>
    <t>Dinar Mare de Déu. TORRENT S.L.</t>
  </si>
  <si>
    <t>Material ortopèdic centre de dia.  O.C.S</t>
  </si>
  <si>
    <t>Autocar viatge Riom 27-30 maig. TRANSVAL S.L.</t>
  </si>
  <si>
    <t>Fra. 001/71467 huit portàtils Packard premis regidoria educació FAUS SL</t>
  </si>
  <si>
    <t>Fra. 20110700000000088 Submin Gasoil Pavelló CEPSA COMERCIAL ESTE </t>
  </si>
  <si>
    <t>Fra. 207/2011 Servei 14/07/2011 anar i tornar València Muixeranga TRANSVAL</t>
  </si>
  <si>
    <t>Fra. U815640/11 Quota lloguer equips ubicats juliol 2011 RICOH ESP. SLU</t>
  </si>
  <si>
    <t>Fra. U885992/11 quota lloguer equips agost 2011 RICOH ESPAÑA SLU</t>
  </si>
  <si>
    <t>Fra. 2795/2011 Garrafes i gots aigua dep.munic.juliol 2011 SERVIAGUA JOSM</t>
  </si>
  <si>
    <t>Fra. Y 2011/14 servei recaptació executiva juliol-agost 2011 MARTINEZ C.G.</t>
  </si>
  <si>
    <t>Fra. 2011-197 3a.quota trimestral 2011 conser. polígon cotes ENT.CON.P.C.B.</t>
  </si>
  <si>
    <t>Fra. 20110700000000087 Submin Gasoil Poli CEPSA COMERCIAL ESTE SA</t>
  </si>
  <si>
    <t>Fra. 10/11 gestió sala exposicions setembre 2011 A.V.T.</t>
  </si>
  <si>
    <t>Fra. 2011-86 Servei informatica juliol 2011 SUMAGRUP TEC. INFORMACIO</t>
  </si>
  <si>
    <t>Fra. 27/11 Servei manteniment informatic agost 2011 J.V.G.M.</t>
  </si>
  <si>
    <t>Fra. 31700164/11 servei control aulari teatre mun. agost 2011 FULL CONTROL</t>
  </si>
  <si>
    <t>Fra. 2085/11Repartiment BIM Berca 194 (encarte donació plega 2011) REPCO</t>
  </si>
  <si>
    <t>Fra. U885990/11 quota lloguer equips agost 2011 RICOH ESPAÑA SLU</t>
  </si>
  <si>
    <t>Estudi tècnic estat conservació casa Mossen Blanc. Arq. Tècnic J.E.B</t>
  </si>
  <si>
    <t>Projecte enderrocament casa AV Riu Magre. Arquitecte J.J.G.</t>
  </si>
  <si>
    <t>Factura Esteve Barberá Esteve mes de setembre, neteja i recollida</t>
  </si>
  <si>
    <t>Jocs de relaxació de 5 a 12 anys per al servei d'orientació municipal   LLIBRERIA SAMARUC S.L.</t>
  </si>
  <si>
    <t>Material de neteja per al col.legi Verge del Pilar V.G.C.</t>
  </si>
  <si>
    <t>Reparacions en la persiana de la guarderia Verge del Pilar del Carrascalet  PERSILOZ,S.L.</t>
  </si>
  <si>
    <t>Reparació roda tractor consell agrari PNEUMATICS PIERA, S.L.</t>
  </si>
  <si>
    <t>Material de ferreteria per al col.legi Ribalta FERRETERIA PLAÇA MAJOR C.B.</t>
  </si>
  <si>
    <t>Material de pintura per al manteniment del cementeri  C.M.J.V.</t>
  </si>
  <si>
    <t>Material divers per al col.legi Alberto Tortajada   FERRETERIA PLAÇA MAJOR C.B.</t>
  </si>
  <si>
    <t>Material obra per a l'estadi municipal SUMINISTROS ALGEMESI S.L.</t>
  </si>
  <si>
    <t>Bateria recarregable per al casino lliberal   A.B.J.L.</t>
  </si>
  <si>
    <t>Cablejat i connexions per a l'ALGECAMPUS   D.V.S.V.</t>
  </si>
  <si>
    <t>Treballs de fusteria en la guarderia Mestre Lozano  Juanfra,S.L.</t>
  </si>
  <si>
    <t>Material de neteja per al col.legi Salvador Andrés E.A.V.J.</t>
  </si>
  <si>
    <t>Reparacions persianes col.legi Blasco Ibáñez PERSILOZ,S.L.</t>
  </si>
  <si>
    <t>Material de ferreteria per al poliesportiu   FERRETERIA PLAÇA MAJOR C.B.</t>
  </si>
  <si>
    <t>Reparació tractor cortacésped hf-2620 poliesportiu  C.N.F.</t>
  </si>
  <si>
    <t>Material obra per a la casa de la joventut SUMINISTROS ALGEMESI S.L.</t>
  </si>
  <si>
    <t>Material de pintura per al col.legi El Pilar Carrascalet  C.M.J.V.</t>
  </si>
  <si>
    <t>Material de pintura per al camp de fútbol  C.M.J.V.</t>
  </si>
  <si>
    <t>Reparacions en portes del CEIP Salvador Andrés HNOS. FERRAGUD SANTIAGO S.L.</t>
  </si>
  <si>
    <t>Personal per a l'EOI dies 1/6 de Juny 2011 AUDIO-NET ALQUILER PROFESIONAL S.L.</t>
  </si>
  <si>
    <t>Lloguer tractor nivellador per al cementeri  BOU,S.L.</t>
  </si>
  <si>
    <t>Desmuntatge, neteja i muntatge del motor d'arranc fiat i un joc d'escobilles bosch TORTAJADA FRASQUET C.B.</t>
  </si>
  <si>
    <t>Col.laboració en l'organització del concurs d'oca i parxís festes fira Sant Onofre 2011  V.F.M.</t>
  </si>
  <si>
    <t>Nit de rock. Grup Barrabas Hookers  V.S.J.</t>
  </si>
  <si>
    <t>Espectacle musical 'ONDAE BOMBO' Juny 2011  ASSOCIACIÓ XANA TEATRE</t>
  </si>
  <si>
    <t>'CONCERT JOVE' 27-05-2011   ASSOCIACIÓ NIUS DE NIT</t>
  </si>
  <si>
    <t>Trofeus minimotos 2011 fira sant onofre 2011 VANGUARDIA SPORT-COMAR C.B.</t>
  </si>
  <si>
    <t>Material de pintura per a pavelló cobert. C.M.J.V.</t>
  </si>
  <si>
    <t>Col.laboració en l'organització de la processó de la festa de Sant Onofre 12 de Juny  V.F.M.</t>
  </si>
  <si>
    <t>Trofeus frontó 2011 fira sant onofre Fira Sant Onofre 2011 VANGUARDIA SPORT-COMAR C.B.</t>
  </si>
  <si>
    <t>Trofeus per a la regidoria d'esport FOOTING SPORTS C.B.</t>
  </si>
  <si>
    <t>Instal.lació i manteniment de megafonia en ALGECAMPUS  P.G.C.</t>
  </si>
  <si>
    <t>Publicitat en 'LA RIBERA EN 15 DÍES'  Agost 2011</t>
  </si>
  <si>
    <t>Mantenimen 3er trimestre ascensor col.legi públic Cervantes JOSE ALAPONT BONET S.L.</t>
  </si>
  <si>
    <t>Reparació bomba d'aspiració de dipòsit a caldera   MASIÀ ALGEMESÍ,S.L.</t>
  </si>
  <si>
    <t>Equip de llum i so per a les 12h de futbol sala el 02/07/2011  P.G.C.</t>
  </si>
  <si>
    <t>Equip de llum i so per al trofeu de natació de 10/07/2011 P.G.C.</t>
  </si>
  <si>
    <t>Material de pintura per al pavelló 9 d'Octubre C.M.J.V.</t>
  </si>
  <si>
    <t>Manteniment de neteja escola d'estiu Alberto Tortajada Juliol 2011   BENESTAR A LA COMUNITAT,S.L. </t>
  </si>
  <si>
    <t>Publicitat en 'LA RIBERA EN 15 DIES' Agost 2011 edició especial Mare de Deu  RIBERA PUBLICIDAD Y EDICIONES S.L.</t>
  </si>
  <si>
    <t>Reparació tractor cortacésped hf-2220 poliesportiu  C.N.F.</t>
  </si>
  <si>
    <t>Servei de manteniment i assistència tècnica participants ALGECAMPUS dies 1,2 i 3 de Juliol L.L.Z.</t>
  </si>
  <si>
    <t>Per el servei de motos mes Balanç Bikes el 2 de Juliol al Pavelló 9 d'Octubre ALGECAMPUS M.C.B.</t>
  </si>
  <si>
    <t>Honoraris taller d'iniciació a la informàtica MARITUR 2000,S.L.</t>
  </si>
  <si>
    <t>Edició i emissió agenda cultural RIBERA TELEVISIÓ S.L.U.</t>
  </si>
  <si>
    <t>Servei de control aulari municipal Julio 2011 FULL CONTROL,S.L.</t>
  </si>
  <si>
    <t>Servei de càtering de paella popular per a l'ALGECAMPUS 2011 B.P.M.</t>
  </si>
  <si>
    <t>Lloguer contenidor poda per al poliesportiu  TRANSPORTES LATORRE PEREZ S.L.</t>
  </si>
  <si>
    <t>Art-chavo espectacle dia 25/06/11    OCI URBÀ,S.L.</t>
  </si>
  <si>
    <t>Serveis de control en la piscina municipal descoberta Juny 2011  FULL CONTROL,S.L.</t>
  </si>
  <si>
    <t>Tractament en zona Humedal separació polígon cotes autopista AP-7 J.M.F.,S.L.</t>
  </si>
  <si>
    <t>Lones rotulades per a ALGECAMPUS IMPACTE COMUNICACIÓ VISUAL,S.L.</t>
  </si>
  <si>
    <t>Impressió camisetes i polos per a la regidoria de joventut   P.P.V.</t>
  </si>
  <si>
    <t>Manteniment de neteja escola d'estiu Blasco Ibáñez Juliol 2011   BENESTAR A LA COMUNITAT,S.L. </t>
  </si>
  <si>
    <t> ALGECAMPUS 2011 Treballs elèctrics (ARGENTE BALAGUER) </t>
  </si>
  <si>
    <t>Servei de control en la piscina municipal descoberta Juliol 2011 FULL CONTROL,S.L.</t>
  </si>
  <si>
    <t>Dinar expo-algemesí    ROPAC-ALGEMESÍ,S.L.</t>
  </si>
  <si>
    <t>Serveis de control d'accés a l'aulari del teatre municipal Maig'11 FULL CONTROL, S.L.</t>
  </si>
  <si>
    <t>Material per a l'escola multiesportiva municipal d'estiu Juliol 2011   BRAKESPORT S.L.</t>
  </si>
  <si>
    <t>Llibres per al servei d'orientació municipal LLIBRERIA SAMARUC S.L.</t>
  </si>
  <si>
    <t>Honoraris coord. seguretat laboral Centre Dia (P.A.R.)</t>
  </si>
  <si>
    <t>Direcció obra Fase III P. Salvador Castell (J.C.M)</t>
  </si>
  <si>
    <t>Direcció obra 1a planta Centre Dia (P.P.J.A)</t>
  </si>
  <si>
    <t>Senyals parcs i jardins (Señ. ROSES)</t>
  </si>
  <si>
    <t>Invitacions Processó Mare de Déu i Invitacions Dinar Mare de Déu 2011. IdeaGràfica Algemesí SLL</t>
  </si>
  <si>
    <t>Fact.No P913/11 Inserció publicitaria 1 pàg 16/05/2011. Super Deporte Empresa Edit. SA</t>
  </si>
  <si>
    <t>Fact. No 15/2011 Llima Granissada i Botellins d'aigua (Festes Barri Carmen). R.E.E.</t>
  </si>
  <si>
    <t>Fact 11/11 Estacio Meteorologica WMR-928N. Inforatge SC</t>
  </si>
  <si>
    <t>Fact.No 2011/793 Bateries surtides Pirotècn.per a Festa Verge Carme. Platon Pirotecnia Recreativa</t>
  </si>
  <si>
    <t>Fact.No 167/11 Recollida i manteniment de gossos Juliol 2011. Gossos D'Alpe SC</t>
  </si>
  <si>
    <t>Fact.No 1/FC/136/11 Servei Mensual Autobús Cementeri, Període: 16/7 a 15/8 2011. Autocares Lozano, SL</t>
  </si>
  <si>
    <t>Fact.No 93-11 Tractament DDD en instal·lacions dde Esc.Infant.Priv.Algemesí. JROM</t>
  </si>
  <si>
    <t>Fact 184/11 Reposició de Senyals de Transit. Señalizaciones Roses SL</t>
  </si>
  <si>
    <t>Fact 197/11 Treballs de pintar camio elevador Nissan per a Obres Públiques. Tortosa Autos, SL</t>
  </si>
  <si>
    <t>Fact 39/11 Porta Tallafocs Casino. Hnos Garcia Monzo CB</t>
  </si>
  <si>
    <t>Fact. No A/20111067/11 Focs Artificials 12 Juny Festa Sant Onofre. Piro. Turís SL</t>
  </si>
  <si>
    <t>Fact.No 2061/11 Repartiment Revista BIM Berca Nº193. REPART-COAL,SL</t>
  </si>
  <si>
    <t>Fact 150/11 Reposicio de Senyals de Transit. Señalizaciones Roses SL</t>
  </si>
  <si>
    <t>Fact.No 14/2011 Castillos hinchables y espect. de variedades fiestas barrio "Virgen del Carmen"</t>
  </si>
  <si>
    <t>Serv.Mediació Intercultural i Ensenyament-Jul2011. MORCAM INIC.EMPRESA.SL</t>
  </si>
  <si>
    <t>Fact. No 13/2011 Llima Granissada i Botellins d'aigua (Fira Sant Onofre). R.E.E.</t>
  </si>
  <si>
    <t>Fact 156/11 Treballs de Pintura de Senyals de Transit. Señalizaciones Roses SL</t>
  </si>
  <si>
    <t>Fact 169/11 Reposicio de Senyals de Transit. Señalizaciones Roses SL</t>
  </si>
  <si>
    <t>Fact. No A/213/2011 Control Legionelosi en Edif.Municipals (Contr.2-11 firmat 7-1-2011) ECO-TRATAMIENTOS Y SERVICIOS,SL</t>
  </si>
  <si>
    <t>Repartiment i recollida tanques. SEÑ. ROSES</t>
  </si>
  <si>
    <t>Treballadors ALGECAMPUS i assistència laboral (S. ESC. S.L.L.)</t>
  </si>
  <si>
    <t>Instal. càmeres seguretat Ajt. ARGENTE BALAGER</t>
  </si>
  <si>
    <t>Treballs configuració ALGECAMPUS. SIMAURIA NETWORKS</t>
  </si>
  <si>
    <t>Construcció imbornals, diversos carrers. MOLINA FERRANDIS</t>
  </si>
  <si>
    <t>Material enllumenat públic (COMERCIAL ELECTRICA SUMINISTROS)</t>
  </si>
  <si>
    <t>Programa informàtic per a Urbanisme. CYPE Ingenieros S.A.</t>
  </si>
  <si>
    <t>Lloguer mercat teular maig. M.B.</t>
  </si>
  <si>
    <t>Lloguer mercat teular juny. M.B.</t>
  </si>
  <si>
    <t>Reparació carrers MOLINA FERRANDIS</t>
  </si>
  <si>
    <t>ESTEVE BARBERÀ. Vaciació IPC 12-10 al 6-11</t>
  </si>
  <si>
    <t>Escola d'Estiu. E. I EL BRESSOL</t>
  </si>
  <si>
    <t>Factura Esteve Barberá Esteve mes de agost, neteja i recollida</t>
  </si>
  <si>
    <t>Manterial de neteja per a dependències municipals. Limpiezas Aloja.</t>
  </si>
  <si>
    <t>Material de Llanterneria per al manteniment de parc i jardins. Borras Ribes, S.A.</t>
  </si>
  <si>
    <t>Control i Prevenció de Legionelosis en Fonts Ornamentals. Eco-Tratamientos y Servicios s.l.</t>
  </si>
  <si>
    <t>Treballs realitzats al subministrament i aplicació d'aïllament a base de poliuretano projectat, corresponent del derrocament vivenda. Conscea SL</t>
  </si>
  <si>
    <t>Fra. No 198FP11/2310 Agenda Cultural juny 2011 LAS PROVINCIAS MULTIM.</t>
  </si>
  <si>
    <t>Fra. No 2110221/11 3 postes, 3 triangles, 3 discos, Consell Agrari ROSES</t>
  </si>
  <si>
    <t>Fra. No AL 222/11 Lloguer equip Fi de curs i Mostra Dansa 18-06-11 A. N.</t>
  </si>
  <si>
    <t>Fra. No AL 221/11 Lloguer equip Fi de curs Dansa 17-06-11 A. N.</t>
  </si>
  <si>
    <t>Fra. No AL 210/11 Lloguer equip so i il·luminació Mostra de Dansa A. N.</t>
  </si>
  <si>
    <t>Fra. No AL 167/11 Lloguer equip so i il·luminació Que Fem de la Mare 08-05-11 </t>
  </si>
  <si>
    <t>Fra. No AL 128/11 Lloguer equip so i il·luminació L'Art de la Fuga 15-04-11 A.N</t>
  </si>
  <si>
    <t>Fra. No 03/2011 3r. trimestre curs estiu escoleta Carrascalet S. F.</t>
  </si>
  <si>
    <t>Fra. No 9/11 Gestió Sala Exposicions Agost 2011 A. V.</t>
  </si>
  <si>
    <t>Fra. No AL 109/11 Lloguer equip il·luminació concert Big Band 03-04-11 A.N.</t>
  </si>
  <si>
    <t>Fra. No 2011/001Prestació serveis 1r. semestre 2011 GRUP DANSES BERCA</t>
  </si>
  <si>
    <t>Fra. No 5/11 Ordre de pagament P-3700/11 R. N. A.</t>
  </si>
  <si>
    <t>Suplits Alcaldia dinar directiva club caça La Golondrina REST. XARA</t>
  </si>
  <si>
    <t>Fra. No A/2568/11 Publicitat La Ribera 15 dies juliol 2011 RIBERA PUBLICITA</t>
  </si>
  <si>
    <t>Fra. No A-135/11 Neteja extraord. 25, 26 juny Plaça dinar cadafalers E.B.E.</t>
  </si>
  <si>
    <t>Fra. No 340/2011 Bus Algemesí-Guadassuar-Almansa i tornar 21/05/11 TRAN</t>
  </si>
  <si>
    <t>Fra. No 140/11 Fotos Investidura Corporació 2011-2015 V. R.</t>
  </si>
  <si>
    <t>Fra. No 2323/2011 Garrafes i gots aigua depend. munic. juny 2011 SERVIAG.</t>
  </si>
  <si>
    <t>Fra. No FE11321094546548/11 Gas Camp de Futbol Avda Carlet GAS NATU.</t>
  </si>
  <si>
    <t>Fra. No 950/88393 Repos. unitats higièniques depend. munic. 04/04-03/10 INIT</t>
  </si>
  <si>
    <t>Fra. No 4/11 Resta 80% Preparació taller aerografia moto cbr 600 J. L.</t>
  </si>
  <si>
    <t>Fra. No 2011-36790 Suscripció "La ley digital clave/licencia" 07/11-06/12 WOL.</t>
  </si>
  <si>
    <t>Factura Esteve Barberá Esteve mes de juny, neteja i recollida</t>
  </si>
  <si>
    <t>Fra. A-132/11 Obligació 2962/11 neteja via pública juny E.B.E.</t>
  </si>
  <si>
    <t>Factura No 11/102 Lones per a Festes Mare de Déu. Impacte Comunicacio Visual SL</t>
  </si>
  <si>
    <t>Factura No 0235/11 Lloguer equip de so tir i arrossegament. Dies 4-5 i 11-12 de juny. C.P.G.</t>
  </si>
  <si>
    <t>Factura No 3/11 Serveis de castell unflable i altres, dia 25/06/2011 en C/ Cotes. B.M.C.</t>
  </si>
  <si>
    <t>Factura No A501/11 Dinar empresaris EMPAL dia 15/07/2011. JOSE TORRENT SL</t>
  </si>
  <si>
    <t>Factura No 36/11 Classes de Taichi a jubilats i pensionistes. Juny 2011. J.C.S.P.</t>
  </si>
  <si>
    <t>Factura No 198FP11/2547 Inserció Publicitària, juny 2011. CM Las Provincias Multimedia SL</t>
  </si>
  <si>
    <t>Recollida i manteniment de gossos, juny 2011. Gossos d'Alpe SC</t>
  </si>
  <si>
    <t>Factura No A/187/11 Quota 10/12 Edició i emissió Agenda Cultural. Ribera Televisió SLU</t>
  </si>
  <si>
    <t>Factura 14/11 Informació meteorològica pàgina web. Període: Abril-Maig-Juny 2011. INFORATGE SC</t>
  </si>
  <si>
    <t>Fra. No 2011153 Càrrega i transport bigues derrocament Sta. Bàrbera CONS.</t>
  </si>
  <si>
    <t>Fra. No 01/FC/00000130/11 Bus cementiri 16/06-15/07 AUT. LOZANO S.L.</t>
  </si>
  <si>
    <t>Edició llibre Retable Sant Jaume, ANDANA EDITORIAL</t>
  </si>
  <si>
    <t>Fra. No 02/11 Resta Pag. curs Valen. Superior J.R. </t>
  </si>
  <si>
    <t>Fra. No 36/2011 Diptics Premi Cientifico-Tècnic 2011 C.B.C.</t>
  </si>
  <si>
    <t>Fra. No 108000231/11 Manteniment anual equip Teatre Mun. LAVAFRED</t>
  </si>
  <si>
    <t>Fra. No 1-74/11 Llibres per a la Biblioteca LLIBRERIA SAMARUC S.L.</t>
  </si>
  <si>
    <t>Fra. No 219/2011 Bus Majors Algemesí-Bioparc i tornada 07/04/11 TRANSVAL</t>
  </si>
  <si>
    <t>Repartiment i recollida de tanques en distints punts del poble. SEÑAL. ROSES</t>
  </si>
  <si>
    <t>Reparacions diverses en Parc Bernat Guinovart.  HNOS GARCIA MONZO C.B.</t>
  </si>
  <si>
    <t>Repartiment i recollida tanques-senyals. SEÑAL. ROSES S.L.</t>
  </si>
  <si>
    <t>Vestuari per a la Policia. INSIGNA UNIFORMES S.L.</t>
  </si>
  <si>
    <t>Servei de retirada de vehicles Juny 2011. GRUAS PACO BLASCO S.L.</t>
  </si>
  <si>
    <t>Aperitiu Regidors processó Sant Onofre 2011. JOSE TORRENT S.L.</t>
  </si>
  <si>
    <t>Factura Esteve Barberá Esteve mes de juliol, neteja i recollida</t>
  </si>
  <si>
    <t>Esmorzar dels membres del Taller d'Electricistes. ROPAC ALGEMESÍ, S.L.</t>
  </si>
  <si>
    <t>Sustitució d'hidrociclo de la plaça d'Alacant. J.P.R.</t>
  </si>
  <si>
    <t>Protectors metal.lics per als arbres</t>
  </si>
  <si>
    <t>Menjador escolar curs 2010/2011 Juny Col·legi Maristes</t>
  </si>
  <si>
    <t>Fra. No 02 39/11 Lloguer equip llum i so Jubilats 2 de juny</t>
  </si>
  <si>
    <t>Menjador escolar curs 2010/2011 Maig Col·legi Maristes</t>
  </si>
  <si>
    <t>Indemnització resp. patrimon. admin. sentència 321/11 JUTJAT 4 VALENCIA </t>
  </si>
  <si>
    <t>Fra. No G1110.496/11 Menú complet Romeria Rocio</t>
  </si>
  <si>
    <t>Fra. No 01/11 Obligació O-3258/11 Pag. curs Valen. Superior J.R. </t>
  </si>
  <si>
    <t>Factura No 00085/11 Esmorçar Club Ciclista d'Algemesí. Ropac Algemesí, SL</t>
  </si>
  <si>
    <t>Factura No2111022827/11 Cunya publicitària en Alzira EFM (La Ribera) d'ExpoAlgemesí dies 6, 7 i 8 de Maig. Uniprex SA</t>
  </si>
  <si>
    <t>Factura No2111022826/11 Cunya publicitària en Alzira EFM (La Ribera) d'ExpoAlgemesí dies 5, 6 i 7 de Maig. Uniprex SA</t>
  </si>
  <si>
    <t>Factura No 65/11 Sopar Presidents Falles. Junta Local Fallera. Ropac Algemesi, SL</t>
  </si>
  <si>
    <t>Factura No 2755/11 UN MARC (STEREOZONE-Nit de Rock Jove) C.E.B.B.</t>
  </si>
  <si>
    <t>Honoraris per intervenció en els aut. de proced.abreu.contenciós admin. n234/10 front a J.B.P.</t>
  </si>
  <si>
    <t>Factura No 00095/11 Dinar per als Napoleònics dia 12/06/2011. Ropac Algemesi, SL</t>
  </si>
  <si>
    <t>Factura No66/11 Sopar en el primer pis del Casino - Org Espect Passarel·la. Ropac Algemesí SL</t>
  </si>
  <si>
    <t>Minuta honoraris advocat procediment contenciós-Adv. No813/2010 Coop Agric Sagrado Corazon. R de V Abogados SLP</t>
  </si>
  <si>
    <t>Factura No 282/11 Invitacions Guardia Civil de Trànsit, Policia Local, Creu Roja i Federació Club Ciclista d'Algemesí. I.S.R.</t>
  </si>
  <si>
    <t>Factura No 2110157/11 Repartiment i recollida de tanques en diferents punts del poble. Senyalitzacions Roses SL</t>
  </si>
  <si>
    <t>Inserció publicitària Abril 2011. CM Las Provincias Multimedia SL</t>
  </si>
  <si>
    <t>Inserció publicitària Maig 2011. CM Las Provincias Multimedia SL</t>
  </si>
  <si>
    <t>Factura No 198FP11/1865 Anunci ExpoAlgemesí 2011 CM Las Provincias Multimedia SL</t>
  </si>
  <si>
    <t>Personal per a Sala d'Exposiions. AUDIONET</t>
  </si>
  <si>
    <t>Factura No 1859/2011 Garrafes i gots per a les dependències municipals Maig 2011. Serviagua Josmar SL</t>
  </si>
  <si>
    <t>Factura No 12893/11 1500 Díptics de la Passarel·la de Moda 2011. Avance D.P.S.L.</t>
  </si>
  <si>
    <t>Factura No7 Exhibició Balls de Saló en la Plaça Major 21-05-2011. Servicios Escrutinio Deportivo CB</t>
  </si>
  <si>
    <t>Factura No 1107/11 Parcs infantils per a la festa de germanor de les falles 2011, el dia 04/04/2011. Prodes Boulevard SL</t>
  </si>
  <si>
    <t>Factura No9 000009/11 Treballs de reparació de llanternería en poliesportiu, pabelló i casa de l'esport. Lampisteria Ubeda, SL</t>
  </si>
  <si>
    <t>Factura No AL174/11 Lloguer material i servei tècnic "I Congrés sobre Inclusió i Abandonament Escolar" Dies 10,11 i 12 de Maig 2011. AUDIONET</t>
  </si>
  <si>
    <t>Factura No AL204/11 Conserges per a l'EOI. Maig 2011. AUDIONET</t>
  </si>
  <si>
    <t>Personal per a Sala assaig i representació diferents col·legis. AUDIONET</t>
  </si>
  <si>
    <t>Factura No 600/11 Reparacions elèctriques Serveis Socials. Electrotècnia Monrabal, SLU</t>
  </si>
  <si>
    <t>Factura No 599/11 Reparacions elèctriques C.Blasco Ibáñez. Electrotècnia Monrabal, SLU</t>
  </si>
  <si>
    <t>Factura No 2110168/11 Repartiment i recollida de tanques en diferents punts del poble. Senyalitzacions Roses SL</t>
  </si>
  <si>
    <t>Factura No 2045/11 Repartiment revista Berca No192 Juny 2011. Repart-Coal SL</t>
  </si>
  <si>
    <t>Factura No A034/11 Actuació events musicals 4 juny Pl Major i 21 maig Sala Rex. P.M.C.F.</t>
  </si>
  <si>
    <t>Factura No31400296/11 Prestació de Servei de Seguretat en Expo-Algemesí, dies 5 al 8 de maig. Secopsa Seguridad SL</t>
  </si>
  <si>
    <t>Factura No 72064/11 Material per al Manteniment de l'enllumenat públic. Comerc.Elect.Suministros SA</t>
  </si>
  <si>
    <t>Organització voltes a peu sant silvestre, de la dona, i familiar. M.C.S.R.</t>
  </si>
  <si>
    <t>Taller aerografía Algecampus 2011. J.L.F</t>
  </si>
  <si>
    <t>Cine a l'Estiu</t>
  </si>
  <si>
    <t>Treballs de pintura de senyals de trànsit. SEÑAL. ROSES</t>
  </si>
  <si>
    <t>Repartiment i recollida tanques-senyals. SEÑAL. ROSES</t>
  </si>
  <si>
    <t>Bosses biodegradables Serveis Socials</t>
  </si>
  <si>
    <t>2 simuladores de motos GP ALGECAMPUS 2011. PRODUCCIONES AUTOL</t>
  </si>
  <si>
    <t>Redicció CD "Tocs de Festa". SONIART</t>
  </si>
  <si>
    <t>Agenda cultural maig 2011. LAS PROVINCIALS MULTIM.</t>
  </si>
  <si>
    <t>Equip so/il·lum. i servei tècnic grups rocs dies 27 i 28 maig. AUDIONET</t>
  </si>
  <si>
    <t>Material pintura per a pas peatons. C. M.J.VT</t>
  </si>
  <si>
    <t>Publicitat en "La Ribera 15 dies". Especial St Onofre. RIBERA PUBLICIDAD</t>
  </si>
  <si>
    <t>Megafonia concentració DJ'S novels a la Plaça. P.G.C</t>
  </si>
  <si>
    <t>Minuta proc. abreujat 234/10. CALABUIG &amp; CALABUIG SL</t>
  </si>
  <si>
    <t>Bandes, corbatin, faixes... Falles 2011. A.D.E</t>
  </si>
  <si>
    <t>Material pintura per a depòsit Ajt. C.M.J.VTE</t>
  </si>
  <si>
    <t>Equip so/il·lum. i servei tècni "Riber Som". AUDIONET</t>
  </si>
  <si>
    <t>Estandarts Falles any 2010 (possiblement siga 2011). A.D.E</t>
  </si>
  <si>
    <t>Megafonia Expo-Algemesí</t>
  </si>
  <si>
    <t>Materials diversos per a pintar tràfic. P.F.J</t>
  </si>
  <si>
    <t>Ampliació Berca juny de 24 a 32 pàg. OPCIÓ COMUNICATIVA</t>
  </si>
  <si>
    <t>Gestió i recaudació multes maig 2011. MARTÍNEZ CENTRO GESTIÓN</t>
  </si>
  <si>
    <t>Concert juny OSR </t>
  </si>
  <si>
    <t>Minuta honaris Contenció 565/2010. RICARDO DE V. ABG. SLP</t>
  </si>
  <si>
    <t>Gestió i animació Centre sociocult. Carrascalet. Maig 2011. SALVADOR. ESCARTI C. SSL </t>
  </si>
  <si>
    <t>Minuta honaris Contenció 419/2010. RICARDO DE V. ABG. SLP</t>
  </si>
  <si>
    <t>Manteniment i neteja zones verdes Parc Bernat G. P.R.J</t>
  </si>
  <si>
    <t>Minuta honaris Contenció 672/2010. RICARDO DE V. ABG. SLP</t>
  </si>
  <si>
    <t>Servei recaptació executiva Imaig 2011. MARTÍNEZ CENTRO GESTIÓN</t>
  </si>
  <si>
    <t>Actes primer trimestre de la SOCIETAT MUSICAL</t>
  </si>
  <si>
    <t>Productes químics i vegetals. Abril 2011. COOP AGRÍCOLA S.C.J.</t>
  </si>
  <si>
    <t>Megafonia dia de la bicicleta. P.G.C</t>
  </si>
  <si>
    <t>Megafonia volta a peu. P.G.C</t>
  </si>
  <si>
    <t>Servei tècnic Concert Banda de dia 12-02-11.AUDIONET</t>
  </si>
  <si>
    <t>Equips de roba per al Ràcing (diverses cat). M.R.A.</t>
  </si>
  <si>
    <t>Agenda cultural abril 2011. LAS PROVINCIALS MULTIM.</t>
  </si>
  <si>
    <t>Megafonia festes C/ Sant Vicent. P.G.C.</t>
  </si>
  <si>
    <t>Edició i emissió Agenda Cultural. Febrer 2010. RIBERA TV</t>
  </si>
  <si>
    <t>Bateries pirotècnia festejos populars. PLATÓN PIROTEC.</t>
  </si>
  <si>
    <t>Lloguer parc infantil per al Carrer St. Vicent. M.C.B.</t>
  </si>
  <si>
    <t>Lloguer parc infantil i discomòbil barri del Raval. M.C.B.</t>
  </si>
  <si>
    <t>Equip so/il·lum. i servei tècni "Ball de saló". AUDIONET</t>
  </si>
  <si>
    <t>Equip so/il·lum. concert Ricardo Bustamente". AUDIONET</t>
  </si>
  <si>
    <t>Minuta advocat querella per injúries. LL. ABOGADOS SCP</t>
  </si>
  <si>
    <t>Ambulància per a festejos per a Bous al Carrer ORG. EVENTOS GARCÍA</t>
  </si>
  <si>
    <t>Hores curset restauració mobles. M.G.A.</t>
  </si>
  <si>
    <t>Col·locació seients formigó estadi. HNOS VIOLERO SL</t>
  </si>
  <si>
    <t>2 representacio teatral de "Colombaire de profit". ALBOTAINA TEATRE</t>
  </si>
  <si>
    <t>Conert Orgue homenatge Cabanilles. D.C.J.L.</t>
  </si>
  <si>
    <t>Curs al centre sociocultural Carrasalet. F.N.S</t>
  </si>
  <si>
    <t>Samarretes olimpiada escolar 2011. F.M.J</t>
  </si>
  <si>
    <t>Factura Esteve Barberá Esteve mes de maig, neteja i recollida</t>
  </si>
  <si>
    <t>LItres de gasoil per al pabelló cobert</t>
  </si>
  <si>
    <t>Reposició senyals trànsit. SEÑAL. ROSES</t>
  </si>
  <si>
    <t>Vi d'honor per a la Setmana del Camp</t>
  </si>
  <si>
    <t>Treballs pintura senyals trànsit. SEÑAL. ROSES</t>
  </si>
  <si>
    <t>Agenda cultural abril 2011</t>
  </si>
  <si>
    <t>Agenda cultural març 2011</t>
  </si>
  <si>
    <t>Garrafes i gots per a les dependències municipals abri 11</t>
  </si>
  <si>
    <t>Compra de 12 bancs per a la Plaça d'Alacant</t>
  </si>
  <si>
    <t>Producció llibre "Toponia d'Algemesí" ANDANA EDITORIAL</t>
  </si>
  <si>
    <t>Material de maquillatge per a cavalcada reis 2011. SÁNCHEZ H. A.</t>
  </si>
  <si>
    <t>Organització Festa Germanor Fallera. BOCATAME VALENCIA</t>
  </si>
  <si>
    <t>Lloguer equip video per a la passarel·la de moda</t>
  </si>
  <si>
    <t>Esmorçar Junta Local Fallera</t>
  </si>
  <si>
    <t>Bocates per a la Junta Local Fallera</t>
  </si>
  <si>
    <t>Dinar Junta Local dia Mascletà de València</t>
  </si>
  <si>
    <t>Sopar Junta Local Fallera i fallers</t>
  </si>
  <si>
    <t>Anunci Festes Falleres Ed. Premsa Valenciana</t>
  </si>
  <si>
    <t>Sopar Junta Local Fallera</t>
  </si>
  <si>
    <t>Poliça assegurança Bous al Carrer Penya St Onofre</t>
  </si>
  <si>
    <t>Partipació colleta en la presentació Fallera Major</t>
  </si>
  <si>
    <t>Concert Setmana Santa OSR</t>
  </si>
  <si>
    <t>Factura Esteve Barberá Esteve mes de abril, neteja i recollida</t>
  </si>
  <si>
    <t> Maqueta Centre Polivalent</t>
  </si>
  <si>
    <t>Adquisició furgona segona mà. Brigada obres</t>
  </si>
  <si>
    <t>Adquisició vehicle amb plataforme elevadora portapersones</t>
  </si>
  <si>
    <t>Pavimentació C/ Covadonga entre C/ Pelaio i C/ Albalat</t>
  </si>
  <si>
    <t>"La comèdia Borja". Grup Teatre Pluja</t>
  </si>
  <si>
    <t>Subministrament contenidors per a poda. EXCAVACIONS BOU</t>
  </si>
  <si>
    <t>Teatre "El agua un tesoro sin igual". I. M. S.</t>
  </si>
  <si>
    <t>Concert Ciutat Big Band. Amigos de la música de Alcoy</t>
  </si>
  <si>
    <t>Gestió de l'Agència de Mediació (AMICS). MORCAM INICIATIVAS EMPRESARIALES</t>
  </si>
  <si>
    <t>Subministrament stands Expo-Algemesí. FIREX STANDS</t>
  </si>
  <si>
    <t>Factura Esteve Barberá Esteve mes de març, neteja i recollida</t>
  </si>
  <si>
    <t>Espectacle "L'art de la fuga". DRAMATÚRGIA 2000</t>
  </si>
  <si>
    <t>Concert fi de curs OSR</t>
  </si>
  <si>
    <t>Tractor tallagespa. TALLERES CALABUIG (rectificació preu anterior de 8496 €)</t>
  </si>
  <si>
    <t>Contractes Servei de comunicació "Centre Polivalent". Carbe Produccions</t>
  </si>
  <si>
    <t>Contractes subministrament productes 1ª necessitat. Juan Fornes S.A.</t>
  </si>
  <si>
    <t>Concert Líric. Coral polifònica Carlet</t>
  </si>
  <si>
    <t>Concert Líric. Ag.musical veterans de la Ribera</t>
  </si>
  <si>
    <t>Espectacle "Jugant amb Alicia". LLUERNA TEATRE</t>
  </si>
  <si>
    <t>Espectacle "Què fem de la mare". LA INDEPENDENT</t>
  </si>
  <si>
    <t>Espectacle "Antígona" TEATRE DE LA RESISTÈNCIA</t>
  </si>
  <si>
    <t>Factura Esteve Barberá Esteve mes de febrer, neteja i recollida</t>
  </si>
  <si>
    <t>Organització Expo-Algemesí. CARBE PRODUCCIONS</t>
  </si>
  <si>
    <t>Espectable "Descaradamente Descarao". MAGIC DESTER</t>
  </si>
  <si>
    <t>Espectacle "Il rescato de Belladona". BARANA TEATRE</t>
  </si>
  <si>
    <t>Emisió BERCA TV per RIBERA TELEVISIÓ (6 mesos)</t>
  </si>
  <si>
    <t>Espectacle Around the world in 80 days. FÒRUM TEATRE</t>
  </si>
  <si>
    <t>Contracte per subministrament mat. oficina. M. C. BAYONA</t>
  </si>
  <si>
    <t>Contracte gestió i edició BERCA TV. CARBE PRODUCCIONS</t>
  </si>
  <si>
    <t>Serveis prestats al Centre Mun. de Salut. Juny 2011.  PROMOSALUT</t>
  </si>
  <si>
    <t>Serveis prestats al Centre Mun. de Drogodep. JUNY 2011.  GRUPO CENTRA</t>
  </si>
  <si>
    <t>Gestió i animació CIAJ. Maig 2011. SALVADOR  ESCARTÍ C.. SSL </t>
  </si>
  <si>
    <t>Espectacle "Sentada en la cima del mundo" E. BERTOMEU. DANZA</t>
  </si>
  <si>
    <t>Espectacle "Concert Flamenco Fusion". R. MORENO</t>
  </si>
  <si>
    <t>Espcectacle "Danza a les Escoles 2011" NIL S.L.</t>
  </si>
  <si>
    <t>Concert Any nou OSR</t>
  </si>
  <si>
    <t>assistència tècnica remota de la aplicació GIALwin. Fac 2/11</t>
  </si>
  <si>
    <t>Pagament gener-febrer Consorci Bomber</t>
  </si>
  <si>
    <t>Serveis prestats al Centre Mun. de Salut. Fac. 1.  PROMOSALUT</t>
  </si>
  <si>
    <t>Serveis prestats al Centre Mun. de Drogodep. Fac. 2.  GRUPO CENTRA</t>
  </si>
  <si>
    <t>Paper fotocopiadores. Antalis Office SL</t>
  </si>
  <si>
    <t>Pagament pendent 2010 Consorci Bomber</t>
  </si>
  <si>
    <t>Espectacle "Magia Demente". </t>
  </si>
  <si>
    <t>Espectacle "L'espill". cRIT</t>
  </si>
  <si>
    <t>Espectacle "Concert la Inestable". As. Estudiant la dolçaina</t>
  </si>
  <si>
    <t>Espectacle "Graneres". JM GESTIÓ TEATRAL</t>
  </si>
  <si>
    <t>Espectacle "Tibidabo" GERMINAL PRODUCCIONES</t>
  </si>
  <si>
    <t>Aprovació Contracte repartiment BERCA. REPARCOAL</t>
  </si>
  <si>
    <t>SOPAR 3 DE MARÇ REGIDORIA EDUCACIÓ. J TORRENT</t>
  </si>
  <si>
    <t>Edició, maquetació i redacció Berca BIM oct. OPCIÓ COMUNICATIVA</t>
  </si>
  <si>
    <t>REIS 2009 Berenar (PASTISSERIA C.)</t>
  </si>
  <si>
    <t>ALGECAMPUS 2009 Lones banderes photocall (IMPACTE COMUNICACIÓ) </t>
  </si>
  <si>
    <t>REIS 2009 Menjar pilots helicòpter</t>
  </si>
  <si>
    <t>REIS 2011 Monyos cavalcada (N. N.)</t>
  </si>
  <si>
    <t>REIS 2009 Suplits A. L. </t>
  </si>
  <si>
    <t>ALGECAMPUS 2008 Passe publicitat (RIBERA TV) ALGECAMPUS 2008</t>
  </si>
  <si>
    <t>ALGECAMPUS 2010 ALGECAMPUS 2010 Treballs elèctrics </t>
  </si>
  <si>
    <t>REIS 2010 Berenars col·laboradors (ROPAC)</t>
  </si>
  <si>
    <t>REIS 2010 Disfresses (CRISIL)</t>
  </si>
  <si>
    <t>ALGECAMPUS 2008 Edició spot publicitari (PRODUSEIS </t>
  </si>
  <si>
    <t>REIS 2011 Maquillatge</t>
  </si>
  <si>
    <t>REIS 2008 Retalls per a vestits (A. R.)</t>
  </si>
  <si>
    <t> REIS 2006 Focs artificials (PIROTÈCNIA TURÍS)</t>
  </si>
  <si>
    <t>REIS 2006 Caramels</t>
  </si>
  <si>
    <t>REIS 2009 Cartells (ÌDEA GRÀFICA)</t>
  </si>
  <si>
    <t>ALGECAMPUS 2008 Oferta piscina (BRAKESPORT)</t>
  </si>
  <si>
    <t>REIS 2008 Suplits cavalcada reis (SAPIC)</t>
  </si>
  <si>
    <t>ALGECAMPUS 2008 Moqueta CArpa (DROGERIA E.) ALGECAMPUS 2008</t>
  </si>
  <si>
    <t>ALGECAMPUS 2008 Prestació serveis (IES BERNAT GUINOVART)</t>
  </si>
  <si>
    <t>ALGECAMPUS 2008 Instal. i assistència tècnica (SIMAURIA)</t>
  </si>
  <si>
    <t>REIS 2010 Llepolies (I.E.)</t>
  </si>
  <si>
    <t>REIS 2011 Equip so/llum (AUDIO-NET)</t>
  </si>
  <si>
    <t>REIS 2009 Ambulància</t>
  </si>
  <si>
    <t>REIS 2010 Cessió escenografia (MADUIXA TEATRE)</t>
  </si>
  <si>
    <t>REIS 2008 Equip so/llum ambaixada (AUDIO-NET)</t>
  </si>
  <si>
    <t>REIS 2011 Lloger i desplaçament carrossa (FALLA DIANA)</t>
  </si>
  <si>
    <t>ALGECAMPUS 2009 Samarretes (PREVENCOMER) </t>
  </si>
  <si>
    <t>REIS 2009 Disfresses Reis/Ambaix (ROBERIA XIMO)</t>
  </si>
  <si>
    <t>REIS 2011 Llepolies </t>
  </si>
  <si>
    <t>ALGECAMPUS 2010  Vinils, lones i bandeorles (IMPACTE) </t>
  </si>
  <si>
    <t>ALGECAMPUS 2008 Canvi diferencials i desmuntatge (ARGENTE B.)</t>
  </si>
  <si>
    <t>REIS 2010 so/llum lliurament cartes (AUDIO-NET)</t>
  </si>
  <si>
    <t>ALGECAMPUS 2008 Publicitat. TALLER PUBLICITAT ALGECAMPUS 2008</t>
  </si>
  <si>
    <t>REIS 2009 Muntatge Mod. Reis 2009 (CRISTALERÍA MORTES)</t>
  </si>
  <si>
    <t>ALGECAMPUS 2011 Prestació de serveis (EVEN TOS AUTOL) </t>
  </si>
  <si>
    <t>REIS 2008 Col·locació cartells i notificacions</t>
  </si>
  <si>
    <t>ALGECAMPUS 2008 Muntatge previst (ARGENTE B.)</t>
  </si>
  <si>
    <t>ALGECAMPUS 2008 Publicació publicitat Algecampus (LAS PROVINCIAS MULTIMEDIA)</t>
  </si>
  <si>
    <t> REIS 2006 Atraccions unflables i serveis cavalcades (M.C)</t>
  </si>
  <si>
    <t>ALGECAMPUS 2011 Vigilància (Full Control)</t>
  </si>
  <si>
    <t>ALGECAMPUS 2010 Vigilància (FULL CONTROL SL)</t>
  </si>
  <si>
    <t>ALGECAMPUS 2009 Material informàtic (D.V.S.) </t>
  </si>
  <si>
    <t>ALGECAMPUS 2008 Samarretes (IDEAGRAFICA)</t>
  </si>
  <si>
    <t>REIS 2008 Castell pirotècnic (FOCS ARTI. EUROPLA)</t>
  </si>
  <si>
    <t>ALGECAMPUS 2008 Vigilància (GRUPO XARA)</t>
  </si>
  <si>
    <t>REIS 2009 Focs artificials (PIROCTÈNIA TURIS)</t>
  </si>
  <si>
    <t>REIS 2008 Compra disfresses (SAPIC)</t>
  </si>
  <si>
    <t>REIS 2007 Passacarrer (VARITA MÁGICA )</t>
  </si>
  <si>
    <t>REIS 2009 Pagamemt despeses a justificar emés a A.L.</t>
  </si>
  <si>
    <t>ALGECAMPUS 2009 Vigilància (GRUPÒ XARA) </t>
  </si>
  <si>
    <t>REIS 2009 Equip so i llum (AUDIO-NET)</t>
  </si>
  <si>
    <t>REIS 2006 Disfresses (CRISIL)</t>
  </si>
  <si>
    <t>ALGECAMPUS 2009 Diverses factures sobre treballs elèctrics (ARGENTE BALAGUER)</t>
  </si>
  <si>
    <t>REIS 2008 Organitzador/a 1</t>
  </si>
  <si>
    <t>REIS 2008 Organitzador/a 2</t>
  </si>
  <si>
    <t>REIS 2011 Disfresses Reis (A. R.)</t>
  </si>
  <si>
    <t>REIS 2008 Equip so/llum reis (AUDIO-NET)</t>
  </si>
  <si>
    <t>ALGECAMPUS 2008 Lones photocal (IMPACTE COMUNICACIÓ)</t>
  </si>
  <si>
    <t>REIS 2009 Globus (SAPIC)</t>
  </si>
  <si>
    <t>REIS 2007 Equip so/llum (AUDIO-NET)</t>
  </si>
  <si>
    <t>REIS 2009 Organitzador/a 1</t>
  </si>
  <si>
    <t>REIS 2009 Organitzador/a 2</t>
  </si>
  <si>
    <t>REIS 2009 Organitzador/a 3</t>
  </si>
  <si>
    <t>REIS 2009 Organitzador/a 4</t>
  </si>
  <si>
    <t>REIS 2010 Organitzador/a 1</t>
  </si>
  <si>
    <t>REIS 2010 Organitzador/a 2</t>
  </si>
  <si>
    <t>ALGECAMPUS 2008 Carpa 300m2. LONATEC</t>
  </si>
  <si>
    <t>ALGECAMPUS 2010  Treballs elèctrics </t>
  </si>
  <si>
    <t>ALGECAMPUS 2008 Muntatge ampliació i carpa (ARGENTE B.)</t>
  </si>
  <si>
    <t>REIS 2011 Sopar col·laboradors (ROPAC)</t>
  </si>
  <si>
    <t>REIS 2010 Sopar col·laboradors (ROPAC)</t>
  </si>
  <si>
    <t>ALGECAMPUS 2009ALGECAMPUS 2009 Instal·lació i configuració xarxa (SIMAURIA) </t>
  </si>
  <si>
    <t>ALGECAMPUS 2008 Procure switch (TECNOCOM)</t>
  </si>
  <si>
    <t> REIS 2006 Sopar (Sala TORRENT)</t>
  </si>
  <si>
    <t>REIS 2007 Sopar (TORRENT)</t>
  </si>
  <si>
    <t>ALGECAMPUS 2010 Coste empresa y asesoria laboral (S.E) </t>
  </si>
  <si>
    <t>ALGECAMPUS 2008 Sim part serveis consultoria (SIMAURIA)</t>
  </si>
  <si>
    <t>REIS 2007Joguines (MARA SL)</t>
  </si>
  <si>
    <t>ALGECAMPUS 2008 Instal., config i manteniment sistema (SIMAURIA)</t>
  </si>
  <si>
    <t>ALGECAMPUS 2009 Col·laboració Algecampus (SIMAURIA) </t>
  </si>
  <si>
    <t>REIS 2011 Producció Associació juvenil CUCS DE SEDA</t>
  </si>
  <si>
    <t>REIS 2009 Bosses llepolies (I.E)</t>
  </si>
  <si>
    <t>REIS 2007 Disfresses (CRISIL)</t>
  </si>
  <si>
    <t>Dinar Mare de Déu Any 2008. TORRENT S.L.</t>
  </si>
  <si>
    <t>Dinar Mare de Déu Any 2009. TORRENT S.L.</t>
  </si>
  <si>
    <t>Dinar Mare de Déu Any 2010. TORRENT S.L.</t>
  </si>
  <si>
    <t>Dinar Mare de Déu Any 2007. TORRENT S.L.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</si>
</sst>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dd/mm/yyyy;@"/>
    <numFmt numFmtId="166" formatCode="m/d/yyyy;@"/>
    <numFmt numFmtId="167" formatCode="m/d/yyyy;@"/>
    <numFmt numFmtId="168" formatCode="dd/mm/yyyy;@"/>
    <numFmt numFmtId="169" formatCode="#,##0.00\ [$€-1]"/>
  </numFmts>
  <fonts count="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</fonts>
  <fills count="3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9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10" borderId="0" fontId="0" applyNumberFormat="1">
      <alignment vertical="bottom" horizontal="general" wrapText="1"/>
    </xf>
    <xf applyAlignment="1" fillId="0" xfId="0" numFmtId="4" borderId="0" applyFont="1" fontId="2" applyNumberFormat="1">
      <alignment vertical="bottom" horizontal="general" wrapText="1"/>
    </xf>
    <xf applyAlignment="1" fillId="0" xfId="0" numFmtId="164" borderId="0" applyFont="1" fontId="3" applyNumberFormat="1">
      <alignment vertical="bottom" horizontal="general" wrapText="1"/>
    </xf>
    <xf applyAlignment="1" fillId="0" xfId="0" numFmtId="165" borderId="0" fontId="0" applyNumberFormat="1">
      <alignment vertical="bottom" horizontal="right" wrapText="1"/>
    </xf>
    <xf applyAlignment="1" fillId="0" xfId="0" numFmtId="0" borderId="0" applyFont="1" fontId="4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0" xfId="0" numFmtId="166" borderId="0" fontId="0" applyNumberFormat="1">
      <alignment vertical="bottom" horizontal="general" wrapText="1"/>
    </xf>
    <xf applyAlignment="1" fillId="0" xfId="0" numFmtId="4" borderId="0" applyFont="1" fontId="5" applyNumberFormat="1">
      <alignment vertical="bottom" horizontal="general" wrapText="1"/>
    </xf>
    <xf applyAlignment="1" fillId="0" xfId="0" numFmtId="167" borderId="0" applyFont="1" fontId="6" applyNumberFormat="1">
      <alignment vertical="bottom" horizontal="general" wrapText="1"/>
    </xf>
    <xf applyAlignment="1" fillId="0" xfId="0" numFmtId="0" borderId="0" applyFont="1" fontId="7">
      <alignment vertical="bottom" horizontal="general" wrapText="1"/>
    </xf>
    <xf applyAlignment="1" fillId="0" xfId="0" numFmtId="168" borderId="0" fontId="0" applyNumberFormat="1">
      <alignment vertical="bottom" horizontal="general" wrapText="1"/>
    </xf>
    <xf applyAlignment="1" fillId="0" xfId="0" numFmtId="3" borderId="0" fontId="0" applyNumberFormat="1">
      <alignment vertical="bottom" horizontal="general" wrapText="1"/>
    </xf>
    <xf fillId="0" xfId="0" numFmtId="0" borderId="0" fontId="0"/>
    <xf applyAlignment="1" fillId="2" xfId="0" numFmtId="10" borderId="0" fontId="0" applyNumberFormat="1" applyFill="1">
      <alignment vertical="bottom" horizontal="general" wrapText="1"/>
    </xf>
    <xf applyAlignment="1" fillId="0" xfId="0" numFmtId="0" borderId="0" applyFont="1" fontId="8">
      <alignment vertical="bottom" horizontal="general" wrapText="1"/>
    </xf>
    <xf applyAlignment="1" fillId="0" xfId="0" numFmtId="169" borderId="0" fontId="0" applyNumberFormat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3.0"/>
    <col min="2" customWidth="1" max="2" width="23.14"/>
  </cols>
  <sheetData>
    <row r="1">
      <c t="s" r="A1">
        <v>0</v>
      </c>
      <c s="18" r="B1">
        <f>(((((SUM('Subv socials'!C:C)+SUM('Altres subvencions i convenis'!C:C))+SUM('Subvencions ludicofestives'!C:C))+SUM('Subv_convenis culturals i juv.'!C:C))+SUM('Sub_convenis esport'!C:C))+SUM('Pagament obra pública'!C:C))+SUM('Factures i Contractes'!C:C)</f>
        <v>22921359.546</v>
      </c>
    </row>
    <row r="2">
      <c t="str" r="A2">
        <f>CONCAT("Nitrats ",'Nitrats. Font AGUAS VALENCIA'!A32)</f>
        <v>Nitrats 12/06/2012</v>
      </c>
      <c t="str" r="B2">
        <f>CONCAT('Nitrats. Font AGUAS VALENCIA'!B37," mg/l")</f>
        <v>64 mg/l</v>
      </c>
    </row>
    <row r="4">
      <c s="18" r="B4"/>
      <c r="C4">
        <f>RANDBETWEEN(1,10)</f>
        <v>2</v>
      </c>
    </row>
    <row r="5">
      <c s="18" r="B5"/>
    </row>
    <row r="6">
      <c s="18" r="B6"/>
    </row>
    <row r="7">
      <c s="18" r="B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2.86"/>
    <col min="2" customWidth="1" max="3" width="9.57"/>
    <col min="4" customWidth="1" max="4" width="11.43"/>
    <col min="5" customWidth="1" max="5" width="9.86"/>
    <col min="6" customWidth="1" max="6" width="12.14"/>
  </cols>
  <sheetData>
    <row r="1">
      <c t="s" r="A1">
        <v>1</v>
      </c>
      <c t="s" r="B1">
        <v>2</v>
      </c>
      <c t="s" r="C1">
        <v>3</v>
      </c>
      <c t="s" s="2" r="D1">
        <v>4</v>
      </c>
      <c t="s" r="E1">
        <v>5</v>
      </c>
      <c t="s" s="2" r="F1">
        <v>6</v>
      </c>
      <c t="s" s="16" r="G1">
        <v>7</v>
      </c>
      <c t="s" r="H1">
        <v>8</v>
      </c>
      <c t="s" r="I1">
        <v>9</v>
      </c>
      <c t="s" r="J1">
        <v>10</v>
      </c>
      <c t="s" r="K1">
        <v>11</v>
      </c>
      <c t="s" s="2" r="L1">
        <v>12</v>
      </c>
      <c s="2" r="P1"/>
      <c s="2" r="T1"/>
      <c s="2" r="X1"/>
    </row>
    <row r="2">
      <c t="s" r="A2">
        <v>13</v>
      </c>
      <c r="B2">
        <v>3116</v>
      </c>
      <c r="C2">
        <v>4</v>
      </c>
      <c s="2" r="D2">
        <v>-0.0013</v>
      </c>
      <c r="E2">
        <v>-154</v>
      </c>
      <c s="2" r="F2">
        <v>-0.0471</v>
      </c>
      <c s="2" r="L2"/>
    </row>
    <row r="3">
      <c t="s" r="A3">
        <v>14</v>
      </c>
      <c r="B3">
        <v>3120</v>
      </c>
      <c r="C3">
        <f>B3-B4</f>
        <v>149</v>
      </c>
      <c s="2" r="D3">
        <f>C3/B4</f>
        <v>0.050151464153484</v>
      </c>
      <c r="E3">
        <f>B3-B15</f>
        <v>-172</v>
      </c>
      <c s="2" r="F3">
        <f>E3/B15</f>
        <v>-0.05224787363305</v>
      </c>
      <c s="2" r="I3"/>
      <c s="14" r="J3"/>
      <c s="14" r="K3"/>
      <c s="2" r="L3"/>
    </row>
    <row r="4">
      <c t="s" r="A4">
        <v>15</v>
      </c>
      <c r="B4">
        <v>2971</v>
      </c>
      <c r="C4">
        <f>B4-B5</f>
        <v>322</v>
      </c>
      <c s="2" r="D4">
        <f>C4/B5</f>
        <v>0.12155530388826</v>
      </c>
      <c r="E4">
        <f>B4-B16</f>
        <v>-185</v>
      </c>
      <c s="2" r="F4">
        <f>E4/B16</f>
        <v>-0.058618504435995</v>
      </c>
      <c r="G4">
        <v>6712</v>
      </c>
      <c r="H4">
        <f>G4+B4</f>
        <v>9683</v>
      </c>
      <c s="2" r="I4">
        <f>B4/H4</f>
        <v>0.306826396777858</v>
      </c>
      <c s="14" r="J4">
        <f>AVERAGE(G4:G4)</f>
        <v>6712</v>
      </c>
      <c s="14" r="K4">
        <f>AVERAGE(H4:H4)</f>
        <v>9683</v>
      </c>
      <c s="2" r="L4">
        <f>AVERAGE(I4:I4)</f>
        <v>0.306826396777858</v>
      </c>
    </row>
    <row r="5">
      <c t="s" r="A5">
        <v>16</v>
      </c>
      <c r="B5">
        <v>2649</v>
      </c>
      <c r="C5">
        <f>B5-B6</f>
        <v>-47</v>
      </c>
      <c s="2" r="D5">
        <f>C5/B6</f>
        <v>-0.017433234421365</v>
      </c>
      <c r="E5">
        <f>B5-B17</f>
        <v>-114</v>
      </c>
      <c s="2" r="F5">
        <f>E5/B17</f>
        <v>-0.041259500542888</v>
      </c>
      <c r="G5">
        <v>7511</v>
      </c>
      <c r="H5">
        <f>G5+B5</f>
        <v>10160</v>
      </c>
      <c s="2" r="I5">
        <f>B5/H5</f>
        <v>0.260728346456693</v>
      </c>
      <c s="14" r="J5">
        <f>AVERAGE(G5:G16)</f>
        <v>6117.66666666667</v>
      </c>
      <c s="14" r="K5">
        <f>AVERAGE(H5:H16)</f>
        <v>9308.58333333333</v>
      </c>
      <c s="2" r="L5">
        <f>AVERAGE(I5:I16)</f>
        <v>0.346115601615842</v>
      </c>
    </row>
    <row r="6">
      <c t="s" r="A6">
        <v>17</v>
      </c>
      <c r="B6">
        <v>2696</v>
      </c>
      <c r="C6">
        <f>B6-B7</f>
        <v>-290</v>
      </c>
      <c s="2" r="D6">
        <f>C6/B7</f>
        <v>-0.097119892833222</v>
      </c>
      <c r="E6">
        <f>B6-B18</f>
        <v>-110</v>
      </c>
      <c s="2" r="F6">
        <f>E6/B18</f>
        <v>-0.0392017106201</v>
      </c>
      <c r="G6">
        <v>7931</v>
      </c>
      <c r="H6">
        <f>G6+B6</f>
        <v>10627</v>
      </c>
      <c s="2" r="I6">
        <f>B6/H6</f>
        <v>0.253693422414604</v>
      </c>
      <c s="14" r="J6">
        <f>AVERAGE(G6:G16)</f>
        <v>5991</v>
      </c>
      <c s="14" r="K6">
        <f>AVERAGE(H6:H16)</f>
        <v>9231.18181818182</v>
      </c>
      <c s="2" r="L6">
        <f>AVERAGE(I6:I16)</f>
        <v>0.353878079357582</v>
      </c>
    </row>
    <row r="7">
      <c t="s" r="A7">
        <v>18</v>
      </c>
      <c r="B7">
        <v>2986</v>
      </c>
      <c r="C7">
        <f>B7-B8</f>
        <v>-362</v>
      </c>
      <c s="2" r="D7">
        <f>C7/B8</f>
        <v>-0.108124253285544</v>
      </c>
      <c r="E7">
        <f>B7-B19</f>
        <v>-216</v>
      </c>
      <c s="2" r="F7">
        <f>E7/B19</f>
        <v>-0.067457838850718</v>
      </c>
      <c r="G7">
        <v>6822</v>
      </c>
      <c r="H7">
        <f>G7+B7</f>
        <v>9808</v>
      </c>
      <c s="2" r="I7">
        <f>B7/H7</f>
        <v>0.304445350734095</v>
      </c>
      <c s="14" r="J7">
        <f>AVERAGE(G7:G16)</f>
        <v>5797</v>
      </c>
      <c s="14" r="K7">
        <f>AVERAGE(H7:H16)</f>
        <v>9091.6</v>
      </c>
      <c s="2" r="L7">
        <f>AVERAGE(I7:I16)</f>
        <v>0.36389654505188</v>
      </c>
    </row>
    <row r="8">
      <c t="s" r="A8">
        <v>19</v>
      </c>
      <c r="B8">
        <v>3348</v>
      </c>
      <c r="C8">
        <f>B8-B9</f>
        <v>-80</v>
      </c>
      <c s="2" r="D8">
        <f>C8/B9</f>
        <v>-0.023337222870478</v>
      </c>
      <c r="E8">
        <f>B8-B20</f>
        <v>-143</v>
      </c>
      <c s="2" r="F8">
        <f>E8/B20</f>
        <v>-0.040962474935549</v>
      </c>
      <c r="G8">
        <v>5610</v>
      </c>
      <c r="H8">
        <f>G8+B8</f>
        <v>8958</v>
      </c>
      <c s="2" r="I8">
        <f>B8/H8</f>
        <v>0.373744139316812</v>
      </c>
      <c s="14" r="J8">
        <f>AVERAGE(G8:G16)</f>
        <v>5683.11111111111</v>
      </c>
      <c s="14" r="K8">
        <f>AVERAGE(H8:H16)</f>
        <v>9012</v>
      </c>
      <c s="2" r="L8">
        <f>AVERAGE(I8:I16)</f>
        <v>0.370502233309412</v>
      </c>
    </row>
    <row r="9">
      <c t="s" r="A9">
        <v>20</v>
      </c>
      <c r="B9">
        <v>3428</v>
      </c>
      <c r="C9">
        <f>B9-B10</f>
        <v>34</v>
      </c>
      <c s="2" r="D9">
        <f>C9/B10</f>
        <v>0.010017678255745</v>
      </c>
      <c r="E9">
        <f>B9-B21</f>
        <v>8</v>
      </c>
      <c s="2" r="F9">
        <f>E9/B21</f>
        <v>0.00233918128655</v>
      </c>
      <c r="G9">
        <v>4951</v>
      </c>
      <c r="H9">
        <f>G9+B9</f>
        <v>8379</v>
      </c>
      <c s="2" r="I9">
        <f>B9/H9</f>
        <v>0.409118033178184</v>
      </c>
      <c s="14" r="J9">
        <f>AVERAGE(G9:G16)</f>
        <v>5692.25</v>
      </c>
      <c s="14" r="K9">
        <f>AVERAGE(H9:H16)</f>
        <v>9018.75</v>
      </c>
      <c s="2" r="L9">
        <f>AVERAGE(I9:I16)</f>
        <v>0.370096995058487</v>
      </c>
    </row>
    <row r="10">
      <c t="s" r="A10">
        <v>21</v>
      </c>
      <c r="B10">
        <v>3394</v>
      </c>
      <c r="C10">
        <f>B10-B11</f>
        <v>9</v>
      </c>
      <c s="2" r="D10">
        <f>C10/B11</f>
        <v>0.002658788774003</v>
      </c>
      <c r="E10">
        <f>B10-B22</f>
        <v>2</v>
      </c>
      <c s="2" r="F10">
        <f>E10/B22</f>
        <v>0.000589622641509</v>
      </c>
      <c r="G10">
        <v>5135</v>
      </c>
      <c r="H10">
        <f>G10+B10</f>
        <v>8529</v>
      </c>
      <c s="2" r="I10">
        <f>B10/H10</f>
        <v>0.397936452104584</v>
      </c>
      <c s="14" r="J10">
        <f>AVERAGE(G10:G16)</f>
        <v>5798.14285714286</v>
      </c>
      <c s="14" r="K10">
        <f>AVERAGE(H10:H16)</f>
        <v>9110.14285714286</v>
      </c>
      <c s="2" r="L10">
        <f>AVERAGE(I10:I16)</f>
        <v>0.364522561041387</v>
      </c>
    </row>
    <row r="11">
      <c t="s" r="A11">
        <v>22</v>
      </c>
      <c r="B11">
        <v>3385</v>
      </c>
      <c r="C11">
        <f>B11-B12</f>
        <v>64</v>
      </c>
      <c s="2" r="D11">
        <f>C11/B12</f>
        <v>0.019271303824149</v>
      </c>
      <c r="E11">
        <f>B11-B23</f>
        <v>11</v>
      </c>
      <c s="2" r="F11">
        <f>E11/B23</f>
        <v>0.003260225251926</v>
      </c>
      <c r="G11">
        <v>5284</v>
      </c>
      <c r="H11">
        <f>G11+B11</f>
        <v>8669</v>
      </c>
      <c s="2" r="I11">
        <f>B11/H11</f>
        <v>0.390471796054908</v>
      </c>
      <c s="14" r="J11">
        <f>AVERAGE(G11:G16)</f>
        <v>5908.66666666667</v>
      </c>
      <c s="14" r="K11">
        <f>AVERAGE(H11:H16)</f>
        <v>9207</v>
      </c>
      <c s="2" r="L11">
        <f>AVERAGE(I11:I16)</f>
        <v>0.358953579197521</v>
      </c>
    </row>
    <row r="12">
      <c t="s" r="A12">
        <v>23</v>
      </c>
      <c r="B12">
        <v>3321</v>
      </c>
      <c r="C12">
        <f>B12-B13</f>
        <v>-45</v>
      </c>
      <c s="2" r="D12">
        <f>C12/B13</f>
        <v>-0.013368983957219</v>
      </c>
      <c r="E12">
        <f>B12-B24</f>
        <v>-71</v>
      </c>
      <c s="2" r="F12">
        <f>E12/B24</f>
        <v>-0.020931603773585</v>
      </c>
      <c r="G12">
        <v>5615</v>
      </c>
      <c r="H12">
        <f>G12+B12</f>
        <v>8936</v>
      </c>
      <c s="2" r="I12">
        <f>B12/H12</f>
        <v>0.371642793196061</v>
      </c>
      <c s="14" r="J12">
        <f>AVERAGE(G12:G16)</f>
        <v>6033.6</v>
      </c>
      <c s="14" r="K12">
        <f>AVERAGE(H12:H16)</f>
        <v>9314.6</v>
      </c>
      <c s="2" r="L12">
        <f>AVERAGE(I12:I16)</f>
        <v>0.352649935826044</v>
      </c>
    </row>
    <row r="13">
      <c t="s" r="A13">
        <v>24</v>
      </c>
      <c r="B13">
        <v>3366</v>
      </c>
      <c r="C13">
        <f>B13-B14</f>
        <v>96</v>
      </c>
      <c s="2" r="D13">
        <f>C13/B14</f>
        <v>0.029357798165138</v>
      </c>
      <c r="E13">
        <f>B13-B25</f>
        <v>-24</v>
      </c>
      <c s="2" r="F13">
        <f>E13/B25</f>
        <v>-0.007079646017699</v>
      </c>
      <c r="G13">
        <v>5812</v>
      </c>
      <c r="H13">
        <f>G13+B13</f>
        <v>9178</v>
      </c>
      <c s="2" r="I13">
        <f>B13/H13</f>
        <v>0.366746567879712</v>
      </c>
      <c s="14" r="J13">
        <f>AVERAGE(G13:G16)</f>
        <v>6138.25</v>
      </c>
      <c s="14" r="K13">
        <f>AVERAGE(H13:H16)</f>
        <v>9409.25</v>
      </c>
      <c s="2" r="L13">
        <f>AVERAGE(I13:I16)</f>
        <v>0.347901721483539</v>
      </c>
    </row>
    <row r="14">
      <c t="s" r="A14">
        <v>25</v>
      </c>
      <c r="B14">
        <v>3270</v>
      </c>
      <c r="C14">
        <f>B14-B15</f>
        <v>-22</v>
      </c>
      <c s="2" r="D14">
        <f>C14/B15</f>
        <v>-0.006682867557716</v>
      </c>
      <c r="E14">
        <f>B14-B26</f>
        <v>31</v>
      </c>
      <c s="2" r="F14">
        <f>E14/B26</f>
        <v>0.009570855202223</v>
      </c>
      <c r="G14">
        <v>6072</v>
      </c>
      <c r="H14">
        <f>G14+B14</f>
        <v>9342</v>
      </c>
      <c s="2" r="I14">
        <f>B14/H14</f>
        <v>0.350032113037893</v>
      </c>
      <c s="14" r="J14">
        <f>AVERAGE(G14:G16)</f>
        <v>6247</v>
      </c>
      <c s="14" r="K14">
        <f>AVERAGE(H14:H16)</f>
        <v>9486.33333333333</v>
      </c>
      <c s="2" r="L14">
        <f>AVERAGE(I14:I16)</f>
        <v>0.341620106018148</v>
      </c>
    </row>
    <row r="15">
      <c t="s" r="A15">
        <v>26</v>
      </c>
      <c r="B15">
        <v>3292</v>
      </c>
      <c r="C15">
        <f>B15-B16</f>
        <v>136</v>
      </c>
      <c s="2" r="D15">
        <f>C15/B16</f>
        <v>0.043092522179975</v>
      </c>
      <c r="E15">
        <f>B15-B27</f>
        <v>85</v>
      </c>
      <c s="2" r="F15">
        <f>E15/B27</f>
        <v>0.026504521359526</v>
      </c>
      <c r="G15">
        <v>6159</v>
      </c>
      <c r="H15">
        <f>G15+B15</f>
        <v>9451</v>
      </c>
      <c s="2" r="I15">
        <f>B15/H15</f>
        <v>0.348322928790604</v>
      </c>
      <c s="14" r="J15">
        <f>AVERAGE(G15:G16)</f>
        <v>6334.5</v>
      </c>
      <c s="14" r="K15">
        <f>AVERAGE(H15:H16)</f>
        <v>9558.5</v>
      </c>
      <c s="2" r="L15">
        <f>AVERAGE(I15:I16)</f>
        <v>0.337414102508275</v>
      </c>
    </row>
    <row r="16">
      <c t="s" r="A16">
        <v>27</v>
      </c>
      <c r="B16">
        <v>3156</v>
      </c>
      <c r="C16">
        <f>B16-B17</f>
        <v>393</v>
      </c>
      <c s="2" r="D16">
        <f>C16/B17</f>
        <v>0.142236699239957</v>
      </c>
      <c r="E16">
        <f>B16-B28</f>
        <v>124</v>
      </c>
      <c s="2" r="F16">
        <f>E16/B28</f>
        <v>0.04089709762533</v>
      </c>
      <c r="G16">
        <v>6510</v>
      </c>
      <c r="H16">
        <f>G16+B16</f>
        <v>9666</v>
      </c>
      <c s="2" r="I16">
        <f>B16/H16</f>
        <v>0.326505276225947</v>
      </c>
      <c s="14" r="J16">
        <f>AVERAGE(G16:G16)</f>
        <v>6510</v>
      </c>
      <c s="14" r="K16">
        <f>AVERAGE(H16:H16)</f>
        <v>9666</v>
      </c>
      <c s="2" r="L16">
        <f>AVERAGE(I16:I16)</f>
        <v>0.326505276225947</v>
      </c>
    </row>
    <row r="17">
      <c t="s" r="A17">
        <v>28</v>
      </c>
      <c r="B17">
        <v>2763</v>
      </c>
      <c r="C17">
        <f>B17-B18</f>
        <v>-43</v>
      </c>
      <c s="2" r="D17">
        <f>C17/B18</f>
        <v>-0.015324305060584</v>
      </c>
      <c r="E17">
        <f>B17-B29</f>
        <v>-54</v>
      </c>
      <c s="2" r="F17">
        <f>E17/B29</f>
        <v>-0.019169329073482</v>
      </c>
      <c r="G17">
        <v>7471</v>
      </c>
      <c r="H17">
        <f>G17+B17</f>
        <v>10234</v>
      </c>
      <c s="2" r="I17">
        <f>B17/H17</f>
        <v>0.269982411569279</v>
      </c>
      <c s="14" r="J17">
        <f>AVERAGE(G17:G28)</f>
        <v>6277.08333333333</v>
      </c>
      <c s="14" r="K17">
        <f>AVERAGE(H17:H28)</f>
        <v>9502.75</v>
      </c>
      <c s="2" r="L17">
        <f>AVERAGE(I17:I28)</f>
        <v>0.342056414337312</v>
      </c>
    </row>
    <row r="18">
      <c t="s" r="A18">
        <v>29</v>
      </c>
      <c r="B18">
        <v>2806</v>
      </c>
      <c r="C18">
        <f>B18-B19</f>
        <v>-396</v>
      </c>
      <c s="2" r="D18">
        <f>C18/B19</f>
        <v>-0.12367270455965</v>
      </c>
      <c r="E18">
        <f>B18-B30</f>
        <v>-99</v>
      </c>
      <c s="2" r="F18">
        <f>E18/B30</f>
        <v>-0.03407917383821</v>
      </c>
      <c r="G18">
        <v>7730</v>
      </c>
      <c r="H18">
        <f>G18+B18</f>
        <v>10536</v>
      </c>
      <c s="2" r="I18">
        <f>B18/H18</f>
        <v>0.266324981017464</v>
      </c>
      <c s="14" r="J18">
        <f>AVERAGE(G18:G28)</f>
        <v>6168.54545454546</v>
      </c>
      <c s="14" r="K18">
        <f>AVERAGE(H18:H28)</f>
        <v>9436.27272727273</v>
      </c>
      <c s="2" r="L18">
        <f>AVERAGE(I18:I28)</f>
        <v>0.348608596407133</v>
      </c>
    </row>
    <row r="19">
      <c t="s" r="A19">
        <v>30</v>
      </c>
      <c r="B19">
        <v>3202</v>
      </c>
      <c r="C19">
        <f>B19-B20</f>
        <v>-289</v>
      </c>
      <c s="2" r="D19">
        <f>C19/B20</f>
        <v>-0.082784302492123</v>
      </c>
      <c r="E19">
        <f>B19-B31</f>
        <v>44</v>
      </c>
      <c s="2" r="F19">
        <f>E19/B31</f>
        <v>0.01393286890437</v>
      </c>
      <c r="G19">
        <v>6508</v>
      </c>
      <c r="H19">
        <f>G19+B19</f>
        <v>9710</v>
      </c>
      <c s="2" r="I19">
        <f>B19/H19</f>
        <v>0.329763130792997</v>
      </c>
      <c s="14" r="J19">
        <f>AVERAGE(G19:G28)</f>
        <v>6012.4</v>
      </c>
      <c s="14" r="K19">
        <f>AVERAGE(H19:H28)</f>
        <v>9326.3</v>
      </c>
      <c s="2" r="L19">
        <f>AVERAGE(I19:I28)</f>
        <v>0.3568369579461</v>
      </c>
    </row>
    <row r="20">
      <c t="s" r="A20">
        <v>31</v>
      </c>
      <c r="B20">
        <v>3491</v>
      </c>
      <c r="C20">
        <f>B20-B21</f>
        <v>71</v>
      </c>
      <c s="2" r="D20">
        <f>C20/B21</f>
        <v>0.020760233918129</v>
      </c>
      <c r="E20">
        <f>B20-B32</f>
        <v>224</v>
      </c>
      <c s="2" r="F20">
        <f>E20/B32</f>
        <v>0.068564432200796</v>
      </c>
      <c r="G20">
        <v>5340</v>
      </c>
      <c r="H20">
        <f>G20+B20</f>
        <v>8831</v>
      </c>
      <c s="2" r="I20">
        <f>B20/H20</f>
        <v>0.395311969199411</v>
      </c>
      <c s="14" r="J20">
        <f>AVERAGE(G20:G28)</f>
        <v>5957.33333333333</v>
      </c>
      <c s="14" r="K20">
        <f>AVERAGE(H20:H28)</f>
        <v>9283.66666666667</v>
      </c>
      <c s="2" r="L20">
        <f>AVERAGE(I20:I28)</f>
        <v>0.359845160963111</v>
      </c>
    </row>
    <row r="21">
      <c t="s" r="A21">
        <v>32</v>
      </c>
      <c r="B21">
        <v>3420</v>
      </c>
      <c r="C21">
        <f>B21-B22</f>
        <v>28</v>
      </c>
      <c s="2" r="D21">
        <f>C21/B22</f>
        <v>0.008254716981132</v>
      </c>
      <c r="E21">
        <f>B21-B33</f>
        <v>173</v>
      </c>
      <c s="2" r="F21">
        <f>E21/B33</f>
        <v>0.053279950723745</v>
      </c>
      <c r="G21">
        <v>5286</v>
      </c>
      <c r="H21">
        <f>G21+B21</f>
        <v>8706</v>
      </c>
      <c s="2" r="I21">
        <f>B21/H21</f>
        <v>0.392832529290145</v>
      </c>
      <c s="14" r="J21">
        <f>AVERAGE(G21:G28)</f>
        <v>6034.5</v>
      </c>
      <c s="14" r="K21">
        <f>AVERAGE(H21:H28)</f>
        <v>9340.25</v>
      </c>
      <c s="2" r="L21">
        <f>AVERAGE(I21:I28)</f>
        <v>0.355411809933574</v>
      </c>
    </row>
    <row r="22">
      <c t="s" r="A22">
        <v>33</v>
      </c>
      <c r="B22">
        <v>3392</v>
      </c>
      <c r="C22">
        <f>B22-B23</f>
        <v>18</v>
      </c>
      <c s="2" r="D22">
        <f>C22/B23</f>
        <v>0.005334914048607</v>
      </c>
      <c r="E22">
        <f>B22-B34</f>
        <v>222</v>
      </c>
      <c s="2" r="F22">
        <f>E22/B34</f>
        <v>0.070031545741325</v>
      </c>
      <c r="G22">
        <v>5508</v>
      </c>
      <c r="H22">
        <f>G22+B22</f>
        <v>8900</v>
      </c>
      <c s="2" r="I22">
        <f>B22/H22</f>
        <v>0.381123595505618</v>
      </c>
      <c s="14" r="J22">
        <f>AVERAGE(G22:G28)</f>
        <v>6141.42857142857</v>
      </c>
      <c s="14" r="K22">
        <f>AVERAGE(H22:H28)</f>
        <v>9430.85714285714</v>
      </c>
      <c s="2" r="L22">
        <f>AVERAGE(I22:I28)</f>
        <v>0.350065992882635</v>
      </c>
    </row>
    <row r="23">
      <c t="s" r="A23">
        <v>34</v>
      </c>
      <c r="B23">
        <v>3374</v>
      </c>
      <c r="C23">
        <f>B23-B24</f>
        <v>-18</v>
      </c>
      <c s="2" r="D23">
        <f>C23/B24</f>
        <v>-0.005306603773585</v>
      </c>
      <c r="E23">
        <f>B23-B35</f>
        <v>225</v>
      </c>
      <c s="2" r="F23">
        <f>E23/B35</f>
        <v>0.071451254366466</v>
      </c>
      <c r="G23">
        <v>5504</v>
      </c>
      <c r="H23">
        <f>G23+B23</f>
        <v>8878</v>
      </c>
      <c s="2" r="I23">
        <f>B23/H23</f>
        <v>0.38004054967335</v>
      </c>
      <c s="14" r="J23">
        <f>AVERAGE(G23:G28)</f>
        <v>6247</v>
      </c>
      <c s="14" r="K23">
        <f>AVERAGE(H23:H28)</f>
        <v>9519.33333333333</v>
      </c>
      <c s="2" r="L23">
        <f>AVERAGE(I23:I28)</f>
        <v>0.344889725778804</v>
      </c>
    </row>
    <row r="24">
      <c t="s" r="A24">
        <v>35</v>
      </c>
      <c r="B24">
        <v>3392</v>
      </c>
      <c r="C24">
        <f>B24-B25</f>
        <v>2</v>
      </c>
      <c s="2" r="D24">
        <f>C24/B25</f>
        <v>0.000589970501475</v>
      </c>
      <c r="E24">
        <f>B24-B36</f>
        <v>270</v>
      </c>
      <c s="2" r="F24">
        <f>E24/B36</f>
        <v>0.086483023702755</v>
      </c>
      <c r="G24">
        <v>5898</v>
      </c>
      <c r="H24">
        <f>G24+B24</f>
        <v>9290</v>
      </c>
      <c s="2" r="I24">
        <f>B24/H24</f>
        <v>0.365123789020452</v>
      </c>
      <c s="14" r="J24">
        <f>AVERAGE(G24:G28)</f>
        <v>6395.6</v>
      </c>
      <c s="14" r="K24">
        <f>AVERAGE(H24:H28)</f>
        <v>9647.6</v>
      </c>
      <c s="2" r="L24">
        <f>AVERAGE(I24:I28)</f>
        <v>0.337859560999895</v>
      </c>
    </row>
    <row r="25">
      <c t="s" r="A25">
        <v>36</v>
      </c>
      <c r="B25">
        <v>3390</v>
      </c>
      <c r="C25">
        <f>B25-B26</f>
        <v>151</v>
      </c>
      <c s="2" r="D25">
        <f>C25/B26</f>
        <v>0.046619326952763</v>
      </c>
      <c r="E25">
        <f>B25-B37</f>
        <v>202</v>
      </c>
      <c s="2" r="F25">
        <f>E25/B37</f>
        <v>0.0633626097867</v>
      </c>
      <c r="G25">
        <v>6045</v>
      </c>
      <c r="H25">
        <f>G25+B25</f>
        <v>9435</v>
      </c>
      <c s="2" r="I25">
        <f>B25/H25</f>
        <v>0.359300476947536</v>
      </c>
      <c s="14" r="J25">
        <f>AVERAGE(G25:G28)</f>
        <v>6520</v>
      </c>
      <c s="14" r="K25">
        <f>AVERAGE(H25:H28)</f>
        <v>9737</v>
      </c>
      <c s="2" r="L25">
        <f>AVERAGE(I25:I28)</f>
        <v>0.331043503994756</v>
      </c>
    </row>
    <row r="26">
      <c t="s" r="A26">
        <v>37</v>
      </c>
      <c r="B26">
        <v>3239</v>
      </c>
      <c r="C26">
        <f>B26-B27</f>
        <v>32</v>
      </c>
      <c s="2" r="D26">
        <f>C26/B27</f>
        <v>0.009978172747116</v>
      </c>
      <c r="E26">
        <f>B26-B38</f>
        <v>183</v>
      </c>
      <c s="2" r="F26">
        <f>E26/B38</f>
        <v>0.05988219895288</v>
      </c>
      <c r="G26">
        <v>6229</v>
      </c>
      <c r="H26">
        <f>G26+B26</f>
        <v>9468</v>
      </c>
      <c s="2" r="I26">
        <f>B26/H26</f>
        <v>0.342099704267005</v>
      </c>
      <c s="14" r="J26">
        <f>AVERAGE(G26:G28)</f>
        <v>6678.33333333333</v>
      </c>
      <c s="14" r="K26">
        <f>AVERAGE(H26:H28)</f>
        <v>9837.66666666667</v>
      </c>
      <c s="2" r="L26">
        <f>AVERAGE(I26:I28)</f>
        <v>0.321624513010496</v>
      </c>
    </row>
    <row r="27">
      <c t="s" r="A27">
        <v>38</v>
      </c>
      <c r="B27">
        <v>3207</v>
      </c>
      <c r="C27">
        <f>B27-B28</f>
        <v>175</v>
      </c>
      <c s="2" r="D27">
        <f>C27/B28</f>
        <v>0.057717678100264</v>
      </c>
      <c r="E27">
        <f>B27-B39</f>
        <v>286</v>
      </c>
      <c s="2" r="F27">
        <f>E27/B39</f>
        <v>0.097911674084218</v>
      </c>
      <c r="G27">
        <v>6703</v>
      </c>
      <c r="H27">
        <f>G27+B27</f>
        <v>9910</v>
      </c>
      <c s="2" r="I27">
        <f>B27/H27</f>
        <v>0.323612512613522</v>
      </c>
      <c s="14" r="J27">
        <f>AVERAGE(G27:G28)</f>
        <v>6903</v>
      </c>
      <c s="14" r="K27">
        <f>AVERAGE(H27:H28)</f>
        <v>10022.5</v>
      </c>
      <c s="2" r="L27">
        <f>AVERAGE(I27:I28)</f>
        <v>0.311386917382242</v>
      </c>
    </row>
    <row r="28">
      <c t="s" s="6" r="A28">
        <v>39</v>
      </c>
      <c r="B28">
        <v>3032</v>
      </c>
      <c r="C28">
        <f>B28-B29</f>
        <v>215</v>
      </c>
      <c s="2" r="D28">
        <f>C28/B29</f>
        <v>0.076322328718495</v>
      </c>
      <c r="E28">
        <f>B28-B40</f>
        <v>333</v>
      </c>
      <c s="2" r="F28">
        <f>E28/B40</f>
        <v>0.1233790292701</v>
      </c>
      <c r="G28">
        <v>7103</v>
      </c>
      <c r="H28">
        <f>G28+B28</f>
        <v>10135</v>
      </c>
      <c s="2" r="I28">
        <f>B28/H28</f>
        <v>0.299161322150962</v>
      </c>
      <c s="14" r="J28">
        <f>AVERAGE(G28:G28)</f>
        <v>7103</v>
      </c>
      <c s="14" r="K28">
        <f>AVERAGE(H28:H28)</f>
        <v>10135</v>
      </c>
      <c s="2" r="L28">
        <f>AVERAGE(I28:I28)</f>
        <v>0.299161322150962</v>
      </c>
    </row>
    <row r="29">
      <c t="s" s="6" r="A29">
        <v>40</v>
      </c>
      <c r="B29">
        <v>2817</v>
      </c>
      <c r="C29">
        <f>B29-B30</f>
        <v>-88</v>
      </c>
      <c s="2" r="D29">
        <f>C29/B30</f>
        <v>-0.030292598967298</v>
      </c>
      <c r="E29">
        <f>B29-B41</f>
        <v>338</v>
      </c>
      <c s="2" r="F29">
        <f>E29/B41</f>
        <v>0.136345300524405</v>
      </c>
      <c r="G29">
        <v>7815</v>
      </c>
      <c r="H29">
        <f>G29+B29</f>
        <v>10632</v>
      </c>
      <c s="2" r="I29">
        <f>B29/H29</f>
        <v>0.264954853273138</v>
      </c>
      <c s="14" r="J29">
        <f>AVERAGE(G29:G40)</f>
        <v>6727.75</v>
      </c>
      <c s="14" r="K29">
        <f>AVERAGE(H29:H40)</f>
        <v>9786</v>
      </c>
      <c s="2" r="L29">
        <f>AVERAGE(I29:I40)</f>
        <v>0.314083285188907</v>
      </c>
    </row>
    <row r="30">
      <c t="s" r="A30">
        <v>41</v>
      </c>
      <c r="B30">
        <v>2905</v>
      </c>
      <c r="C30">
        <f>B30-B31</f>
        <v>-253</v>
      </c>
      <c s="2" r="D30">
        <f>C30/B31</f>
        <v>-0.080113996200127</v>
      </c>
      <c r="E30">
        <f>B30-B42</f>
        <v>404</v>
      </c>
      <c s="2" r="F30">
        <f>E30/B42</f>
        <v>0.161535385845662</v>
      </c>
      <c r="G30">
        <v>7737</v>
      </c>
      <c r="H30">
        <f>G30+B30</f>
        <v>10642</v>
      </c>
      <c s="2" r="I30">
        <f>B30/H30</f>
        <v>0.272975004698365</v>
      </c>
      <c s="14" r="J30">
        <f>AVERAGE(G30:G40)</f>
        <v>6628.90909090909</v>
      </c>
      <c s="14" r="K30">
        <f>AVERAGE(H30:H40)</f>
        <v>9709.09090909091</v>
      </c>
      <c s="2" r="L30">
        <f>AVERAGE(I30:I40)</f>
        <v>0.318549506272159</v>
      </c>
    </row>
    <row r="31">
      <c t="s" r="A31">
        <v>42</v>
      </c>
      <c r="B31">
        <v>3158</v>
      </c>
      <c r="C31">
        <f>B31-B32</f>
        <v>-109</v>
      </c>
      <c s="2" r="D31">
        <f>C31/B32</f>
        <v>-0.033363942454852</v>
      </c>
      <c r="E31">
        <f>B31-B43</f>
        <v>348</v>
      </c>
      <c s="2" r="F31">
        <f>E31/B43</f>
        <v>0.123843416370107</v>
      </c>
      <c r="G31">
        <v>6904</v>
      </c>
      <c r="H31">
        <f>G31+B31</f>
        <v>10062</v>
      </c>
      <c s="2" r="I31">
        <f>B31/H31</f>
        <v>0.313854104551779</v>
      </c>
      <c s="14" r="J31">
        <f>AVERAGE(G31:G40)</f>
        <v>6518.1</v>
      </c>
      <c s="14" r="K31">
        <f>AVERAGE(H31:H40)</f>
        <v>9615.8</v>
      </c>
      <c s="2" r="L31">
        <f>AVERAGE(I31:I40)</f>
        <v>0.323106956429538</v>
      </c>
    </row>
    <row r="32">
      <c t="s" r="A32">
        <v>43</v>
      </c>
      <c r="B32">
        <v>3267</v>
      </c>
      <c r="C32">
        <f>B32-B33</f>
        <v>20</v>
      </c>
      <c s="2" r="D32">
        <f>C32/B33</f>
        <v>0.006159531875577</v>
      </c>
      <c r="E32">
        <f>B32-B44</f>
        <v>318</v>
      </c>
      <c s="2" r="F32">
        <f>E32/B44</f>
        <v>0.107833163784334</v>
      </c>
      <c r="G32">
        <v>6035</v>
      </c>
      <c r="H32">
        <f>G32+B32</f>
        <v>9302</v>
      </c>
      <c s="2" r="I32">
        <f>B32/H32</f>
        <v>0.351214792517738</v>
      </c>
      <c s="14" r="J32">
        <f>AVERAGE(G32:G40)</f>
        <v>6475.22222222222</v>
      </c>
      <c s="14" r="K32">
        <f>AVERAGE(H32:H40)</f>
        <v>9566.22222222222</v>
      </c>
      <c s="2" r="L32">
        <f>AVERAGE(I32:I40)</f>
        <v>0.324135051082623</v>
      </c>
    </row>
    <row r="33">
      <c t="s" r="A33">
        <v>44</v>
      </c>
      <c r="B33">
        <v>3247</v>
      </c>
      <c r="C33">
        <f>B33-B34</f>
        <v>77</v>
      </c>
      <c s="2" r="D33">
        <f>C33/B34</f>
        <v>0.024290220820189</v>
      </c>
      <c r="E33">
        <f>B33-B45</f>
        <v>316</v>
      </c>
      <c s="2" r="F33">
        <f>E33/B45</f>
        <v>0.107813033094507</v>
      </c>
      <c r="G33">
        <v>5716</v>
      </c>
      <c r="H33">
        <f>G33+B33</f>
        <v>8963</v>
      </c>
      <c s="2" r="I33">
        <f>B33/H33</f>
        <v>0.362267098069843</v>
      </c>
      <c s="14" r="J33">
        <f>AVERAGE(G33:G40)</f>
        <v>6530.25</v>
      </c>
      <c s="14" r="K33">
        <f>AVERAGE(H33:H40)</f>
        <v>9599.25</v>
      </c>
      <c s="2" r="L33">
        <f>AVERAGE(I33:I40)</f>
        <v>0.320750083403233</v>
      </c>
    </row>
    <row r="34">
      <c t="s" r="A34">
        <v>45</v>
      </c>
      <c r="B34">
        <v>3170</v>
      </c>
      <c r="C34">
        <f>B34-B35</f>
        <v>21</v>
      </c>
      <c s="2" r="D34">
        <f>C34/B35</f>
        <v>0.00666878374087</v>
      </c>
      <c r="E34">
        <f>B34-B46</f>
        <v>351</v>
      </c>
      <c s="2" r="F34">
        <f>E34/B46</f>
        <v>0.124512238382405</v>
      </c>
      <c r="G34">
        <v>6037</v>
      </c>
      <c r="H34">
        <f>G34+B34</f>
        <v>9207</v>
      </c>
      <c s="2" r="I34">
        <f>B34/H34</f>
        <v>0.344303247529054</v>
      </c>
      <c s="14" r="J34">
        <f>AVERAGE(G34:G40)</f>
        <v>6646.57142857143</v>
      </c>
      <c s="14" r="K34">
        <f>AVERAGE(H34:H40)</f>
        <v>9690.14285714286</v>
      </c>
      <c s="2" r="L34">
        <f>AVERAGE(I34:I40)</f>
        <v>0.314819081308003</v>
      </c>
    </row>
    <row r="35">
      <c t="s" r="A35">
        <v>46</v>
      </c>
      <c r="B35">
        <v>3149</v>
      </c>
      <c r="C35">
        <f>B35-B36</f>
        <v>27</v>
      </c>
      <c s="2" r="D35">
        <f>C35/B36</f>
        <v>0.008648302370275</v>
      </c>
      <c r="E35">
        <f>B35-B47</f>
        <v>340</v>
      </c>
      <c s="2" r="F35">
        <f>E35/B47</f>
        <v>0.121039515841937</v>
      </c>
      <c r="G35">
        <v>6118</v>
      </c>
      <c r="H35">
        <f>G35+B35</f>
        <v>9267</v>
      </c>
      <c s="2" r="I35">
        <f>B35/H35</f>
        <v>0.339807920578396</v>
      </c>
      <c s="14" r="J35">
        <f>AVERAGE(G35:G40)</f>
        <v>6748.16666666667</v>
      </c>
      <c s="14" r="K35">
        <f>AVERAGE(H35:H40)</f>
        <v>9770.66666666667</v>
      </c>
      <c s="2" r="L35">
        <f>AVERAGE(I35:I40)</f>
        <v>0.309905053604495</v>
      </c>
    </row>
    <row r="36">
      <c t="s" r="A36">
        <v>47</v>
      </c>
      <c r="B36">
        <v>3122</v>
      </c>
      <c r="C36">
        <f>B36-B37</f>
        <v>-66</v>
      </c>
      <c s="2" r="D36">
        <f>C36/B37</f>
        <v>-0.020702634880803</v>
      </c>
      <c r="E36">
        <f>B36-B48</f>
        <v>304</v>
      </c>
      <c s="2" r="F36">
        <f>E36/B48</f>
        <v>0.107877927608233</v>
      </c>
      <c r="G36">
        <v>6564</v>
      </c>
      <c r="H36">
        <f>G36+B36</f>
        <v>9686</v>
      </c>
      <c s="2" r="I36">
        <f>B36/H36</f>
        <v>0.322320875490398</v>
      </c>
      <c s="14" r="J36">
        <f>AVERAGE(G36:G40)</f>
        <v>6874.2</v>
      </c>
      <c s="14" r="K36">
        <f>AVERAGE(H36:H40)</f>
        <v>9871.4</v>
      </c>
      <c s="2" r="L36">
        <f>AVERAGE(I36:I40)</f>
        <v>0.303924480209715</v>
      </c>
    </row>
    <row r="37">
      <c t="s" r="A37">
        <v>48</v>
      </c>
      <c r="B37">
        <v>3188</v>
      </c>
      <c r="C37">
        <f>B37-B38</f>
        <v>132</v>
      </c>
      <c s="2" r="D37">
        <f>C37/B38</f>
        <v>0.043193717277487</v>
      </c>
      <c r="E37">
        <f>B37-B49</f>
        <v>328</v>
      </c>
      <c s="2" r="F37">
        <f>E37/B49</f>
        <v>0.114685314685315</v>
      </c>
      <c r="G37">
        <v>6610</v>
      </c>
      <c r="H37">
        <f>G37+B37</f>
        <v>9798</v>
      </c>
      <c s="2" r="I37">
        <f>B37/H37</f>
        <v>0.325372525005103</v>
      </c>
      <c s="14" r="J37">
        <f>AVERAGE(G37:G40)</f>
        <v>6951.75</v>
      </c>
      <c s="14" r="K37">
        <f>AVERAGE(H37:H40)</f>
        <v>9917.75</v>
      </c>
      <c s="2" r="L37">
        <f>AVERAGE(I37:I40)</f>
        <v>0.299325381389544</v>
      </c>
    </row>
    <row r="38">
      <c t="s" r="A38">
        <v>49</v>
      </c>
      <c r="B38">
        <v>3056</v>
      </c>
      <c r="C38">
        <f>B38-B39</f>
        <v>135</v>
      </c>
      <c s="2" r="D38">
        <f>C38/B39</f>
        <v>0.046217048955837</v>
      </c>
      <c r="E38">
        <f>B38-B50</f>
        <v>296</v>
      </c>
      <c s="2" r="F38">
        <f>E38/B50</f>
        <v>0.107246376811594</v>
      </c>
      <c r="G38">
        <v>6766</v>
      </c>
      <c r="H38">
        <f>G38+B38</f>
        <v>9822</v>
      </c>
      <c s="2" r="I38">
        <f>B38/H38</f>
        <v>0.31113826104663</v>
      </c>
      <c s="14" r="J38">
        <f>AVERAGE(G38:G40)</f>
        <v>7065.66666666667</v>
      </c>
      <c s="14" r="K38">
        <f>AVERAGE(H38:H40)</f>
        <v>9957.66666666667</v>
      </c>
      <c s="2" r="L38">
        <f>AVERAGE(I38:I40)</f>
        <v>0.290643000184357</v>
      </c>
    </row>
    <row r="39">
      <c t="s" r="A39">
        <v>50</v>
      </c>
      <c r="B39">
        <v>2921</v>
      </c>
      <c r="C39">
        <f>B39-B40</f>
        <v>222</v>
      </c>
      <c s="2" r="D39">
        <f>C39/B40</f>
        <v>0.082252686180067</v>
      </c>
      <c r="E39">
        <f>B39-B51</f>
        <v>205</v>
      </c>
      <c s="2" r="F39">
        <f>E39/B51</f>
        <v>0.075478645066274</v>
      </c>
      <c r="G39">
        <v>7022</v>
      </c>
      <c r="H39">
        <f>G39+B39</f>
        <v>9943</v>
      </c>
      <c s="2" r="I39">
        <f>B39/H39</f>
        <v>0.293774514733984</v>
      </c>
      <c s="14" r="J39">
        <f>AVERAGE(G39:G40)</f>
        <v>7215.5</v>
      </c>
      <c s="14" r="K39">
        <f>AVERAGE(H39:H40)</f>
        <v>10025.5</v>
      </c>
      <c s="2" r="L39">
        <f>AVERAGE(I39:I40)</f>
        <v>0.280395369753221</v>
      </c>
    </row>
    <row r="40">
      <c t="s" r="A40">
        <v>51</v>
      </c>
      <c r="B40">
        <v>2699</v>
      </c>
      <c r="C40">
        <f>B40-B41</f>
        <v>220</v>
      </c>
      <c s="2" r="D40">
        <f>C40/B41</f>
        <v>0.08874546187979</v>
      </c>
      <c r="E40">
        <f>B40-B52</f>
        <v>126</v>
      </c>
      <c s="2" r="F40">
        <f>E40/B52</f>
        <v>0.048970073843762</v>
      </c>
      <c r="G40">
        <v>7409</v>
      </c>
      <c r="H40">
        <f>G40+B40</f>
        <v>10108</v>
      </c>
      <c s="2" r="I40">
        <f>B40/H40</f>
        <v>0.267016224772457</v>
      </c>
      <c s="14" r="J40">
        <f>AVERAGE(G40:G40)</f>
        <v>7409</v>
      </c>
      <c s="14" r="K40">
        <f>AVERAGE(H40:H40)</f>
        <v>10108</v>
      </c>
      <c s="2" r="L40">
        <f>AVERAGE(I40:I40)</f>
        <v>0.267016224772457</v>
      </c>
    </row>
    <row r="41">
      <c t="s" r="A41">
        <v>52</v>
      </c>
      <c r="B41">
        <v>2479</v>
      </c>
      <c r="C41">
        <f>B41-B42</f>
        <v>-22</v>
      </c>
      <c s="2" r="D41">
        <f>C41/B42</f>
        <v>-0.008796481407437</v>
      </c>
      <c r="E41">
        <f>B41-B53</f>
        <v>13</v>
      </c>
      <c s="2" r="F41">
        <f>E41/B53</f>
        <v>0.005271695052717</v>
      </c>
      <c r="G41">
        <v>8490</v>
      </c>
      <c r="H41">
        <f>G41+B41</f>
        <v>10969</v>
      </c>
      <c s="2" r="I41">
        <f>B41/H41</f>
        <v>0.22600054699608</v>
      </c>
      <c s="14" r="J41">
        <f>AVERAGE(G41:G52)</f>
        <v>7019.83333333333</v>
      </c>
      <c s="14" r="K41">
        <f>AVERAGE(H41:H52)</f>
        <v>9771.91666666667</v>
      </c>
      <c s="2" r="L41">
        <f>AVERAGE(I41:I52)</f>
        <v>0.283670440223356</v>
      </c>
    </row>
    <row r="42">
      <c t="s" r="A42">
        <v>53</v>
      </c>
      <c r="B42">
        <v>2501</v>
      </c>
      <c r="C42">
        <f>B42-B43</f>
        <v>-309</v>
      </c>
      <c s="2" r="D42">
        <f>C42/B43</f>
        <v>-0.109964412811388</v>
      </c>
      <c t="s" r="E42">
        <v>54</v>
      </c>
      <c t="s" s="2" r="F42">
        <v>54</v>
      </c>
      <c r="G42">
        <v>8491</v>
      </c>
      <c r="H42">
        <f>G42+B42</f>
        <v>10992</v>
      </c>
      <c s="2" r="I42">
        <f>B42/H42</f>
        <v>0.227529112081514</v>
      </c>
      <c s="14" r="J42">
        <f>AVERAGE(G42:G53)</f>
        <v>6937.16666666667</v>
      </c>
      <c s="14" r="K42">
        <f>AVERAGE(H42:H53)</f>
        <v>9688.16666666667</v>
      </c>
      <c s="2" r="L42">
        <f>AVERAGE(I42:I53)</f>
        <v>0.285461308597261</v>
      </c>
    </row>
    <row r="43">
      <c t="s" r="A43">
        <v>55</v>
      </c>
      <c r="B43">
        <v>2810</v>
      </c>
      <c r="C43">
        <f>B43-B44</f>
        <v>-139</v>
      </c>
      <c s="2" r="D43">
        <f>C43/B44</f>
        <v>-0.047134621905731</v>
      </c>
      <c t="s" r="E43">
        <v>54</v>
      </c>
      <c t="s" s="2" r="F43">
        <v>54</v>
      </c>
      <c r="G43">
        <v>7369</v>
      </c>
      <c r="H43">
        <f>G43+B43</f>
        <v>10179</v>
      </c>
      <c s="2" r="I43">
        <f>B43/H43</f>
        <v>0.276058551920621</v>
      </c>
      <c s="14" r="J43">
        <f>AVERAGE(G43:G53)</f>
        <v>6795.90909090909</v>
      </c>
      <c s="14" r="K43">
        <f>AVERAGE(H43:H53)</f>
        <v>9569.63636363636</v>
      </c>
      <c s="2" r="L43">
        <f>AVERAGE(I43:I53)</f>
        <v>0.290727871916875</v>
      </c>
    </row>
    <row r="44">
      <c t="s" r="A44">
        <v>56</v>
      </c>
      <c r="B44">
        <v>2949</v>
      </c>
      <c r="C44">
        <f>B44-B45</f>
        <v>18</v>
      </c>
      <c s="2" r="D44">
        <f>C44/B45</f>
        <v>0.006141248720573</v>
      </c>
      <c t="s" r="E44">
        <v>54</v>
      </c>
      <c t="s" s="2" r="F44">
        <v>54</v>
      </c>
      <c r="G44">
        <v>6288</v>
      </c>
      <c r="H44">
        <f>G44+B44</f>
        <v>9237</v>
      </c>
      <c s="2" r="I44">
        <f>B44/H44</f>
        <v>0.31925949983761</v>
      </c>
      <c s="14" r="J44">
        <f>AVERAGE(G44:G53)</f>
        <v>6738.6</v>
      </c>
      <c s="14" r="K44">
        <f>AVERAGE(H44:H53)</f>
        <v>9508.7</v>
      </c>
      <c s="2" r="L44">
        <f>AVERAGE(I44:I53)</f>
        <v>0.2921948039165</v>
      </c>
    </row>
    <row r="45">
      <c t="s" r="A45">
        <v>57</v>
      </c>
      <c r="B45">
        <v>2931</v>
      </c>
      <c r="C45">
        <f>B45-B46</f>
        <v>112</v>
      </c>
      <c s="2" r="D45">
        <f>C45/B46</f>
        <v>0.039730400851366</v>
      </c>
      <c t="s" r="E45">
        <v>54</v>
      </c>
      <c t="s" s="2" r="F45">
        <v>54</v>
      </c>
      <c r="G45">
        <v>5991</v>
      </c>
      <c r="H45">
        <f>G45+B45</f>
        <v>8922</v>
      </c>
      <c s="2" r="I45">
        <f>B45/H45</f>
        <v>0.328513786146604</v>
      </c>
      <c s="14" r="J45">
        <f>AVERAGE(G45:G53)</f>
        <v>6788.66666666667</v>
      </c>
      <c s="14" r="K45">
        <f>AVERAGE(H45:H53)</f>
        <v>9538.88888888889</v>
      </c>
      <c s="2" r="L45">
        <f>AVERAGE(I45:I53)</f>
        <v>0.289187615480821</v>
      </c>
    </row>
    <row r="46">
      <c t="s" r="A46">
        <v>58</v>
      </c>
      <c r="B46">
        <v>2819</v>
      </c>
      <c r="C46">
        <f>B46-B47</f>
        <v>10</v>
      </c>
      <c s="2" r="D46">
        <f>C46/B47</f>
        <v>0.003559985760057</v>
      </c>
      <c t="s" r="E46">
        <v>54</v>
      </c>
      <c t="s" s="2" r="F46">
        <v>54</v>
      </c>
      <c r="G46">
        <v>6332</v>
      </c>
      <c r="H46">
        <f>G46+B46</f>
        <v>9151</v>
      </c>
      <c s="2" r="I46">
        <f>B46/H46</f>
        <v>0.308053764615889</v>
      </c>
      <c s="14" r="J46">
        <f>AVERAGE(G46:G53)</f>
        <v>6888.375</v>
      </c>
      <c s="14" r="K46">
        <f>AVERAGE(H46:H53)</f>
        <v>9616</v>
      </c>
      <c s="2" r="L46">
        <f>AVERAGE(I46:I53)</f>
        <v>0.284271844147598</v>
      </c>
    </row>
    <row r="47">
      <c t="s" r="A47">
        <v>59</v>
      </c>
      <c r="B47">
        <v>2809</v>
      </c>
      <c r="C47">
        <f>B47-B48</f>
        <v>-9</v>
      </c>
      <c s="2" r="D47">
        <f>C47/B48</f>
        <v>-0.00319375443577</v>
      </c>
      <c t="s" r="E47">
        <v>54</v>
      </c>
      <c t="s" s="2" r="F47">
        <v>54</v>
      </c>
      <c r="G47">
        <v>6394</v>
      </c>
      <c r="H47">
        <f>G47+B47</f>
        <v>9203</v>
      </c>
      <c s="2" r="I47">
        <f>B47/H47</f>
        <v>0.305226556557644</v>
      </c>
      <c s="14" r="J47">
        <f>AVERAGE(G47:G53)</f>
        <v>6967.85714285714</v>
      </c>
      <c s="14" r="K47">
        <f>AVERAGE(H47:H53)</f>
        <v>9682.42857142857</v>
      </c>
      <c s="2" r="L47">
        <f>AVERAGE(I47:I53)</f>
        <v>0.280874426937843</v>
      </c>
    </row>
    <row r="48">
      <c t="s" r="A48">
        <v>60</v>
      </c>
      <c r="B48">
        <v>2818</v>
      </c>
      <c r="C48">
        <f>B48-B49</f>
        <v>-42</v>
      </c>
      <c s="2" r="D48">
        <f>C48/B49</f>
        <v>-0.014685314685315</v>
      </c>
      <c t="s" r="E48">
        <v>54</v>
      </c>
      <c t="s" s="2" r="F48">
        <v>54</v>
      </c>
      <c r="G48">
        <v>6695</v>
      </c>
      <c r="H48">
        <f>G48+B48</f>
        <v>9513</v>
      </c>
      <c s="2" r="I48">
        <f>B48/H48</f>
        <v>0.296226216756018</v>
      </c>
      <c s="14" r="J48">
        <f>AVERAGE(G48:G53)</f>
        <v>7063.5</v>
      </c>
      <c s="14" r="K48">
        <f>AVERAGE(H48:H53)</f>
        <v>9762.33333333333</v>
      </c>
      <c s="2" r="L48">
        <f>AVERAGE(I48:I53)</f>
        <v>0.276815738667876</v>
      </c>
    </row>
    <row r="49">
      <c t="s" r="A49">
        <v>61</v>
      </c>
      <c r="B49">
        <v>2860</v>
      </c>
      <c r="C49">
        <f>B49-B50</f>
        <v>100</v>
      </c>
      <c s="2" r="D49">
        <f>C49/B50</f>
        <v>0.036231884057971</v>
      </c>
      <c t="s" r="E49">
        <v>54</v>
      </c>
      <c t="s" s="2" r="F49">
        <v>54</v>
      </c>
      <c r="G49">
        <v>6761</v>
      </c>
      <c r="H49">
        <f>G49+B49</f>
        <v>9621</v>
      </c>
      <c s="2" r="I49">
        <f>B49/H49</f>
        <v>0.297266396424488</v>
      </c>
      <c s="14" r="J49">
        <f>AVERAGE(G49:G53)</f>
        <v>7137.2</v>
      </c>
      <c s="14" r="K49">
        <f>AVERAGE(H49:H53)</f>
        <v>9812.2</v>
      </c>
      <c s="2" r="L49">
        <f>AVERAGE(I49:I53)</f>
        <v>0.272933643050247</v>
      </c>
    </row>
    <row r="50">
      <c t="s" r="A50">
        <v>62</v>
      </c>
      <c r="B50">
        <v>2760</v>
      </c>
      <c r="C50">
        <f>B50-B51</f>
        <v>44</v>
      </c>
      <c s="2" r="D50">
        <f>C50/B51</f>
        <v>0.01620029455081</v>
      </c>
      <c t="s" r="E50">
        <v>54</v>
      </c>
      <c t="s" s="2" r="F50">
        <v>54</v>
      </c>
      <c r="G50">
        <v>6849</v>
      </c>
      <c r="H50">
        <f>G50+B50</f>
        <v>9609</v>
      </c>
      <c s="2" r="I50">
        <f>B50/H50</f>
        <v>0.287230721198876</v>
      </c>
      <c s="14" r="J50">
        <f>AVERAGE(G50:G53)</f>
        <v>7231.25</v>
      </c>
      <c s="14" r="K50">
        <f>AVERAGE(H50:H53)</f>
        <v>9860</v>
      </c>
      <c s="2" r="L50">
        <f>AVERAGE(I50:I53)</f>
        <v>0.266850454706687</v>
      </c>
    </row>
    <row r="51">
      <c t="s" r="A51">
        <v>63</v>
      </c>
      <c r="B51">
        <v>2716</v>
      </c>
      <c r="C51">
        <f>B51-B52</f>
        <v>143</v>
      </c>
      <c s="2" r="D51">
        <f>C51/B52</f>
        <v>0.055577147298873</v>
      </c>
      <c t="s" r="E51">
        <v>54</v>
      </c>
      <c t="s" s="2" r="F51">
        <v>54</v>
      </c>
      <c r="G51">
        <v>7102</v>
      </c>
      <c r="H51">
        <f>G51+B51</f>
        <v>9818</v>
      </c>
      <c s="2" r="I51">
        <f>B51/H51</f>
        <v>0.276634752495417</v>
      </c>
      <c s="14" r="J51">
        <f>AVERAGE(G51:G53)</f>
        <v>7358.66666666667</v>
      </c>
      <c s="14" r="K51">
        <f>AVERAGE(H51:H53)</f>
        <v>9943.66666666667</v>
      </c>
      <c s="2" r="L51">
        <f>AVERAGE(I51:I53)</f>
        <v>0.260057032542624</v>
      </c>
    </row>
    <row r="52">
      <c t="s" r="A52">
        <v>64</v>
      </c>
      <c r="B52">
        <v>2573</v>
      </c>
      <c r="C52">
        <f>B52-B53</f>
        <v>107</v>
      </c>
      <c s="2" r="D52">
        <f>C52/B53</f>
        <v>0.043390105433901</v>
      </c>
      <c t="s" r="E52">
        <v>54</v>
      </c>
      <c t="s" s="2" r="F52">
        <v>54</v>
      </c>
      <c r="G52">
        <v>7476</v>
      </c>
      <c r="H52">
        <f>G52+B52</f>
        <v>10049</v>
      </c>
      <c s="2" r="I52">
        <f>B52/H52</f>
        <v>0.256045377649517</v>
      </c>
      <c s="14" r="J52">
        <f>AVERAGE(G52:G53)</f>
        <v>7487</v>
      </c>
      <c s="14" r="K52">
        <f>AVERAGE(H52:H53)</f>
        <v>10006.5</v>
      </c>
      <c s="2" r="L52">
        <f>AVERAGE(I52:I53)</f>
        <v>0.251768172566228</v>
      </c>
    </row>
    <row r="53">
      <c t="s" r="A53">
        <v>65</v>
      </c>
      <c r="B53">
        <v>2466</v>
      </c>
      <c t="s" r="C53">
        <v>54</v>
      </c>
      <c t="s" s="2" r="D53">
        <v>54</v>
      </c>
      <c r="E53">
        <f>B53-B54</f>
        <v>817</v>
      </c>
      <c s="2" r="F53">
        <f>E53/B54</f>
        <v>0.495451788963008</v>
      </c>
      <c r="G53">
        <v>7498</v>
      </c>
      <c r="H53">
        <f>G53+B53</f>
        <v>9964</v>
      </c>
      <c s="2" r="I53">
        <f>B53/H53</f>
        <v>0.247490967482939</v>
      </c>
      <c s="14" r="J53">
        <f>AVERAGE(G53:G53)</f>
        <v>7498</v>
      </c>
      <c s="14" r="K53">
        <f>AVERAGE(H53:H53)</f>
        <v>9964</v>
      </c>
      <c s="2" r="L53">
        <f>AVERAGE(I53:I53)</f>
        <v>0.247490967482939</v>
      </c>
    </row>
    <row r="54">
      <c t="s" r="A54">
        <v>66</v>
      </c>
      <c r="B54">
        <v>1649</v>
      </c>
      <c t="s" r="C54">
        <v>54</v>
      </c>
      <c t="s" s="2" r="D54">
        <v>54</v>
      </c>
      <c r="E54">
        <f>B54-B56</f>
        <v>614</v>
      </c>
      <c s="2" r="F54">
        <f>E54/B56</f>
        <v>0.593236714975845</v>
      </c>
      <c r="G54">
        <v>8503</v>
      </c>
      <c r="H54">
        <f>G54+B54</f>
        <v>10152</v>
      </c>
      <c s="2" r="I54">
        <f>B54/H54</f>
        <v>0.162431048069346</v>
      </c>
    </row>
    <row r="55">
      <c t="s" r="A55">
        <v>67</v>
      </c>
      <c r="B55">
        <v>1239</v>
      </c>
      <c r="C55">
        <f>B55-B56</f>
        <v>204</v>
      </c>
      <c s="2" r="D55">
        <f>C55/B56</f>
        <v>0.197101449275362</v>
      </c>
      <c t="s" r="E55">
        <v>54</v>
      </c>
      <c t="s" s="2" r="F55">
        <v>54</v>
      </c>
      <c r="G55">
        <v>8484</v>
      </c>
      <c r="H55">
        <f>G55+B55</f>
        <v>9723</v>
      </c>
      <c s="2" r="I55">
        <f>B55/H55</f>
        <v>0.127429805615551</v>
      </c>
    </row>
    <row r="56">
      <c t="s" r="A56">
        <v>68</v>
      </c>
      <c r="B56">
        <v>1035</v>
      </c>
      <c t="s" r="C56">
        <v>54</v>
      </c>
      <c t="s" s="2" r="D56">
        <v>54</v>
      </c>
      <c r="E56">
        <f>B56-B57</f>
        <v>217</v>
      </c>
      <c s="2" r="F56">
        <f>E56/B57</f>
        <v>0.265281173594132</v>
      </c>
      <c s="2" r="I56"/>
    </row>
    <row r="57">
      <c t="s" r="A57">
        <v>69</v>
      </c>
      <c r="B57">
        <v>818</v>
      </c>
      <c t="s" r="C57">
        <v>54</v>
      </c>
      <c t="s" s="2" r="D57">
        <v>54</v>
      </c>
      <c r="E57">
        <f>B57-B58</f>
        <v>-171</v>
      </c>
      <c s="2" r="F57">
        <f>E57/B58</f>
        <v>-0.172901921132457</v>
      </c>
      <c s="2" r="I57"/>
    </row>
    <row r="58">
      <c t="s" r="A58">
        <v>70</v>
      </c>
      <c r="B58">
        <v>989</v>
      </c>
      <c t="s" r="C58">
        <v>54</v>
      </c>
      <c t="s" s="2" r="D58">
        <v>54</v>
      </c>
      <c r="E58">
        <f>B58-B59</f>
        <v>297</v>
      </c>
      <c s="2" r="F58">
        <f>E58/B59</f>
        <v>0.429190751445087</v>
      </c>
      <c s="2" r="I58"/>
    </row>
    <row r="59">
      <c t="s" r="A59">
        <v>71</v>
      </c>
      <c r="B59">
        <v>692</v>
      </c>
      <c t="s" r="C59">
        <v>54</v>
      </c>
      <c t="s" s="2" r="D59">
        <v>54</v>
      </c>
      <c r="E59">
        <f>B59-B60</f>
        <v>-16</v>
      </c>
      <c s="2" r="F59">
        <f>E59/B60</f>
        <v>-0.022598870056497</v>
      </c>
      <c s="2" r="I59"/>
    </row>
    <row r="60">
      <c t="s" r="A60">
        <v>72</v>
      </c>
      <c r="B60">
        <v>708</v>
      </c>
      <c t="s" r="C60">
        <v>54</v>
      </c>
      <c t="s" s="2" r="D60">
        <v>54</v>
      </c>
      <c t="s" r="E60">
        <v>54</v>
      </c>
      <c t="s" s="2" r="F60">
        <v>54</v>
      </c>
      <c t="s" r="G60">
        <v>54</v>
      </c>
    </row>
    <row r="61">
      <c s="2" r="D61"/>
      <c s="2" r="F61"/>
    </row>
    <row r="62">
      <c s="2" r="D62"/>
      <c s="2" r="F62"/>
    </row>
    <row r="63">
      <c s="2" r="D63"/>
      <c s="2" r="F63"/>
    </row>
    <row r="64">
      <c s="2" r="D64"/>
      <c s="2" r="F64"/>
    </row>
    <row r="65">
      <c s="2" r="D65"/>
      <c s="2" r="F65"/>
    </row>
    <row r="66">
      <c s="2" r="D66"/>
      <c s="2" r="F66"/>
    </row>
    <row r="67">
      <c s="2" r="D67"/>
      <c s="2" r="F67"/>
    </row>
    <row r="68">
      <c s="2" r="D68"/>
      <c s="2" r="F68"/>
    </row>
    <row r="69">
      <c s="2" r="D69"/>
      <c s="2" r="F69"/>
    </row>
    <row r="70">
      <c s="2" r="D70"/>
      <c s="2" r="F70"/>
    </row>
    <row r="71">
      <c s="2" r="D71"/>
      <c s="2" r="F71"/>
    </row>
    <row r="72">
      <c s="2" r="D72"/>
      <c s="2" r="F72"/>
    </row>
    <row r="73">
      <c s="2" r="D73"/>
      <c s="2" r="F73"/>
    </row>
    <row r="74">
      <c s="2" r="D74"/>
      <c s="2" r="F74"/>
    </row>
    <row r="75">
      <c s="2" r="D75"/>
      <c s="2" r="F75"/>
    </row>
    <row r="76">
      <c s="2" r="D76"/>
      <c s="2" r="F76"/>
    </row>
    <row r="77">
      <c s="2" r="D77"/>
      <c s="2" r="F77"/>
    </row>
    <row r="78">
      <c s="2" r="D78"/>
      <c s="2" r="F78"/>
    </row>
    <row r="79">
      <c s="2" r="D79"/>
      <c s="2" r="F79"/>
    </row>
    <row r="80">
      <c s="2" r="D80"/>
      <c s="2" r="F80"/>
    </row>
    <row r="81">
      <c s="2" r="D81"/>
      <c s="2" r="F81"/>
    </row>
    <row r="82">
      <c s="2" r="D82"/>
      <c s="2" r="F82"/>
    </row>
    <row r="83">
      <c s="2" r="D83"/>
      <c s="2" r="F83"/>
    </row>
    <row r="84">
      <c s="2" r="D84"/>
      <c s="2" r="F84"/>
    </row>
    <row r="85">
      <c s="2" r="D85"/>
      <c s="2" r="F85"/>
    </row>
    <row r="86">
      <c s="2" r="D86"/>
      <c s="2" r="F86"/>
    </row>
    <row r="87">
      <c s="2" r="D87"/>
      <c s="2" r="F87"/>
    </row>
    <row r="88">
      <c s="2" r="D88"/>
      <c s="2" r="F88"/>
    </row>
    <row r="89">
      <c s="2" r="D89"/>
      <c s="2" r="F89"/>
    </row>
    <row r="90">
      <c s="2" r="D90"/>
      <c s="2" r="F90"/>
    </row>
    <row r="91">
      <c s="2" r="D91"/>
      <c s="2" r="F91"/>
    </row>
    <row r="92">
      <c s="2" r="D92"/>
      <c s="2" r="F92"/>
    </row>
    <row r="93">
      <c s="2" r="D93"/>
      <c s="2" r="F93"/>
    </row>
    <row r="94">
      <c s="2" r="D94"/>
      <c s="2" r="F94"/>
    </row>
    <row r="95">
      <c s="2" r="D95"/>
      <c s="2" r="F95"/>
    </row>
    <row r="96">
      <c s="2" r="D96"/>
      <c s="2" r="F96"/>
    </row>
    <row r="97">
      <c s="2" r="D97"/>
      <c s="2" r="F97"/>
    </row>
    <row r="98">
      <c s="2" r="D98"/>
      <c s="2" r="F98"/>
    </row>
    <row r="99">
      <c s="2" r="D99"/>
      <c s="2" r="F99"/>
    </row>
    <row r="100">
      <c s="2" r="D100"/>
      <c s="2" r="F100"/>
    </row>
    <row r="101">
      <c s="2" r="D101"/>
      <c s="2" r="F101"/>
    </row>
    <row r="102">
      <c s="2" r="D102"/>
      <c s="2" r="F102"/>
    </row>
    <row r="103">
      <c s="2" r="D103"/>
      <c s="2" r="F103"/>
    </row>
    <row r="104">
      <c s="2" r="D104"/>
      <c s="2" r="F104"/>
    </row>
    <row r="105">
      <c s="2" r="D105"/>
      <c s="2" r="F105"/>
    </row>
    <row r="106">
      <c s="2" r="D106"/>
      <c s="2" r="F106"/>
    </row>
    <row r="107">
      <c s="2" r="D107"/>
      <c s="2" r="F107"/>
    </row>
    <row r="108">
      <c s="2" r="D108"/>
      <c s="2" r="F108"/>
    </row>
    <row r="109">
      <c s="2" r="D109"/>
      <c s="2" r="F109"/>
    </row>
    <row r="110">
      <c s="2" r="D110"/>
      <c s="2" r="F110"/>
    </row>
    <row r="111">
      <c s="2" r="D111"/>
      <c s="2" r="F111"/>
    </row>
    <row r="112">
      <c s="2" r="D112"/>
      <c s="2" r="F112"/>
    </row>
    <row r="113">
      <c s="2" r="D113"/>
      <c s="2" r="F113"/>
    </row>
    <row r="114">
      <c s="2" r="D114"/>
      <c s="2" r="F114"/>
    </row>
    <row r="115">
      <c s="2" r="D115"/>
      <c s="2" r="F115"/>
    </row>
    <row r="116">
      <c s="2" r="D116"/>
      <c s="2" r="F116"/>
    </row>
    <row r="117">
      <c s="2" r="D117"/>
      <c s="2" r="F117"/>
    </row>
    <row r="118">
      <c s="2" r="D118"/>
      <c s="2" r="F118"/>
    </row>
    <row r="119">
      <c s="2" r="D119"/>
      <c s="2" r="F119"/>
    </row>
    <row r="120">
      <c s="2" r="D120"/>
      <c s="2" r="F120"/>
    </row>
    <row r="121">
      <c s="2" r="D121"/>
      <c s="2" r="F121"/>
    </row>
    <row r="122">
      <c s="2" r="D122"/>
      <c s="2" r="F122"/>
    </row>
    <row r="123">
      <c s="2" r="D123"/>
      <c s="2" r="F123"/>
    </row>
    <row r="124">
      <c s="2" r="D124"/>
      <c s="2" r="F124"/>
    </row>
    <row r="125">
      <c s="2" r="D125"/>
      <c s="2" r="F125"/>
    </row>
    <row r="126">
      <c s="2" r="D126"/>
      <c s="2" r="F126"/>
    </row>
    <row r="127">
      <c s="2" r="D127"/>
      <c s="2" r="F127"/>
    </row>
    <row r="128">
      <c s="2" r="D128"/>
      <c s="2" r="F128"/>
    </row>
    <row r="129">
      <c s="2" r="D129"/>
      <c s="2" r="F129"/>
    </row>
    <row r="130">
      <c s="2" r="D130"/>
      <c s="2" r="F130"/>
    </row>
    <row r="131">
      <c s="2" r="D131"/>
      <c s="2" r="F131"/>
    </row>
    <row r="132">
      <c s="2" r="D132"/>
      <c s="2" r="F132"/>
    </row>
    <row r="133">
      <c s="2" r="D133"/>
      <c s="2" r="F133"/>
    </row>
    <row r="134">
      <c s="2" r="D134"/>
      <c s="2" r="F134"/>
    </row>
    <row r="135">
      <c s="2" r="D135"/>
      <c s="2" r="F135"/>
    </row>
    <row r="136">
      <c s="2" r="D136"/>
      <c s="2" r="F136"/>
    </row>
    <row r="137">
      <c s="2" r="D137"/>
      <c s="2" r="F137"/>
    </row>
    <row r="138">
      <c s="2" r="D138"/>
      <c s="2" r="F138"/>
    </row>
    <row r="139">
      <c s="2" r="D139"/>
      <c s="2" r="F139"/>
    </row>
    <row r="140">
      <c s="2" r="D140"/>
      <c s="2" r="F140"/>
    </row>
    <row r="141">
      <c s="2" r="D141"/>
      <c s="2" r="F141"/>
    </row>
    <row r="142">
      <c s="2" r="D142"/>
      <c s="2" r="F142"/>
    </row>
    <row r="143">
      <c s="2" r="D143"/>
      <c s="2" r="F143"/>
    </row>
    <row r="144">
      <c s="2" r="D144"/>
      <c s="2" r="F144"/>
    </row>
    <row r="145">
      <c s="2" r="D145"/>
      <c s="2" r="F145"/>
    </row>
    <row r="146">
      <c s="2" r="D146"/>
      <c s="2" r="F146"/>
    </row>
    <row r="147">
      <c s="2" r="D147"/>
      <c s="2" r="F147"/>
    </row>
    <row r="148">
      <c s="2" r="D148"/>
      <c s="2" r="F148"/>
    </row>
    <row r="149">
      <c s="2" r="D149"/>
      <c s="2" r="F149"/>
    </row>
    <row r="150">
      <c s="2" r="D150"/>
      <c s="2" r="F150"/>
    </row>
    <row r="151">
      <c s="2" r="D151"/>
      <c s="2" r="F151"/>
    </row>
    <row r="152">
      <c s="2" r="D152"/>
      <c s="2" r="F152"/>
    </row>
    <row r="153">
      <c s="2" r="D153"/>
      <c s="2" r="F153"/>
    </row>
    <row r="154">
      <c s="2" r="D154"/>
      <c s="2" r="F154"/>
    </row>
    <row r="155">
      <c s="2" r="D155"/>
      <c s="2" r="F155"/>
    </row>
    <row r="156">
      <c s="2" r="D156"/>
      <c s="2" r="F156"/>
    </row>
    <row r="157">
      <c s="2" r="D157"/>
      <c s="2" r="F157"/>
    </row>
    <row r="158">
      <c s="2" r="D158"/>
      <c s="2" r="F158"/>
    </row>
    <row r="159">
      <c s="2" r="D159"/>
      <c s="2" r="F159"/>
    </row>
    <row r="160">
      <c s="2" r="D160"/>
      <c s="2" r="F160"/>
    </row>
    <row r="161">
      <c s="2" r="D161"/>
      <c s="2" r="F161"/>
    </row>
    <row r="162">
      <c s="2" r="D162"/>
      <c s="2" r="F162"/>
    </row>
    <row r="163">
      <c s="2" r="D163"/>
      <c s="2" r="F163"/>
    </row>
    <row r="164">
      <c s="2" r="D164"/>
      <c s="2" r="F164"/>
    </row>
    <row r="165">
      <c s="2" r="D165"/>
      <c s="2" r="F165"/>
    </row>
    <row r="166">
      <c s="2" r="D166"/>
      <c s="2" r="F166"/>
    </row>
    <row r="167">
      <c s="2" r="D167"/>
      <c s="2" r="F167"/>
    </row>
    <row r="168">
      <c s="2" r="D168"/>
      <c s="2" r="F168"/>
    </row>
    <row r="169">
      <c s="2" r="D169"/>
      <c s="2" r="F169"/>
    </row>
    <row r="170">
      <c s="2" r="D170"/>
      <c s="2" r="F170"/>
    </row>
    <row r="171">
      <c s="2" r="D171"/>
      <c s="2" r="F171"/>
    </row>
    <row r="172">
      <c s="2" r="D172"/>
      <c s="2" r="F172"/>
    </row>
    <row r="173">
      <c s="2" r="D173"/>
      <c s="2" r="F173"/>
    </row>
    <row r="174">
      <c s="2" r="D174"/>
      <c s="2" r="F174"/>
    </row>
    <row r="175">
      <c s="2" r="D175"/>
      <c s="2" r="F175"/>
    </row>
    <row r="176">
      <c s="2" r="D176"/>
      <c s="2" r="F176"/>
    </row>
    <row r="177">
      <c s="2" r="D177"/>
      <c s="2" r="F177"/>
    </row>
    <row r="178">
      <c s="2" r="D178"/>
      <c s="2" r="F178"/>
    </row>
    <row r="179">
      <c s="2" r="D179"/>
      <c s="2" r="F179"/>
    </row>
    <row r="180">
      <c s="2" r="D180"/>
      <c s="2" r="F180"/>
    </row>
    <row r="181">
      <c s="2" r="D181"/>
      <c s="2" r="F181"/>
    </row>
    <row r="182">
      <c s="2" r="D182"/>
      <c s="2" r="F182"/>
    </row>
    <row r="183">
      <c s="2" r="D183"/>
      <c s="2" r="F183"/>
    </row>
    <row r="184">
      <c s="2" r="D184"/>
      <c s="2" r="F184"/>
    </row>
    <row r="185">
      <c s="2" r="D185"/>
      <c s="2" r="F185"/>
    </row>
    <row r="186">
      <c s="2" r="D186"/>
      <c s="2" r="F186"/>
    </row>
    <row r="187">
      <c s="2" r="D187"/>
      <c s="2" r="F187"/>
    </row>
    <row r="188">
      <c s="2" r="D188"/>
      <c s="2" r="F188"/>
    </row>
    <row r="189">
      <c s="2" r="D189"/>
      <c s="2" r="F189"/>
    </row>
    <row r="190">
      <c s="2" r="D190"/>
      <c s="2" r="F190"/>
    </row>
    <row r="191">
      <c s="2" r="D191"/>
      <c s="2" r="F191"/>
    </row>
    <row r="192">
      <c s="2" r="D192"/>
      <c s="2" r="F192"/>
    </row>
    <row r="193">
      <c s="2" r="D193"/>
      <c s="2" r="F193"/>
    </row>
    <row r="194">
      <c s="2" r="D194"/>
      <c s="2" r="F194"/>
    </row>
    <row r="195">
      <c s="2" r="D195"/>
      <c s="2" r="F195"/>
    </row>
    <row r="196">
      <c s="2" r="D196"/>
      <c s="2" r="F196"/>
    </row>
    <row r="197">
      <c s="2" r="D197"/>
      <c s="2" r="F197"/>
    </row>
    <row r="198">
      <c s="2" r="D198"/>
      <c s="2" r="F198"/>
    </row>
    <row r="199">
      <c s="2" r="D199"/>
      <c s="2" r="F199"/>
    </row>
    <row r="200">
      <c s="2" r="D200"/>
      <c s="2" r="F200"/>
    </row>
    <row r="201">
      <c s="2" r="D201"/>
      <c s="2" r="F201"/>
    </row>
    <row r="202">
      <c s="2" r="D202"/>
      <c s="2" r="F202"/>
    </row>
    <row r="203">
      <c s="2" r="D203"/>
      <c s="2" r="F203"/>
    </row>
    <row r="204">
      <c s="2" r="D204"/>
      <c s="2" r="F204"/>
    </row>
    <row r="205">
      <c s="2" r="D205"/>
      <c s="2" r="F205"/>
    </row>
    <row r="206">
      <c s="2" r="D206"/>
      <c s="2" r="F206"/>
    </row>
    <row r="207">
      <c s="2" r="D207"/>
      <c s="2" r="F207"/>
    </row>
    <row r="208">
      <c s="2" r="D208"/>
      <c s="2" r="F208"/>
    </row>
    <row r="209">
      <c s="2" r="D209"/>
      <c s="2" r="F209"/>
    </row>
    <row r="210">
      <c s="2" r="D210"/>
      <c s="2" r="F210"/>
    </row>
    <row r="211">
      <c s="2" r="D211"/>
      <c s="2" r="F211"/>
    </row>
    <row r="212">
      <c s="2" r="D212"/>
      <c s="2" r="F212"/>
    </row>
    <row r="213">
      <c s="2" r="D213"/>
      <c s="2" r="F213"/>
    </row>
    <row r="214">
      <c s="2" r="D214"/>
      <c s="2" r="F214"/>
    </row>
    <row r="215">
      <c s="2" r="D215"/>
      <c s="2" r="F215"/>
    </row>
    <row r="216">
      <c s="2" r="D216"/>
      <c s="2" r="F216"/>
    </row>
    <row r="217">
      <c s="2" r="D217"/>
      <c s="2" r="F217"/>
    </row>
    <row r="218">
      <c s="2" r="D218"/>
      <c s="2" r="F218"/>
    </row>
    <row r="219">
      <c s="2" r="D219"/>
      <c s="2" r="F219"/>
    </row>
    <row r="220">
      <c s="2" r="D220"/>
      <c s="2" r="F220"/>
    </row>
    <row r="221">
      <c s="2" r="D221"/>
      <c s="2" r="F221"/>
    </row>
    <row r="222">
      <c s="2" r="D222"/>
      <c s="2" r="F222"/>
    </row>
    <row r="223">
      <c s="2" r="D223"/>
      <c s="2" r="F223"/>
    </row>
    <row r="224">
      <c s="2" r="D224"/>
      <c s="2" r="F224"/>
    </row>
    <row r="225">
      <c s="2" r="D225"/>
      <c s="2" r="F225"/>
    </row>
    <row r="226">
      <c s="2" r="D226"/>
      <c s="2" r="F226"/>
    </row>
    <row r="227">
      <c s="2" r="D227"/>
      <c s="2" r="F227"/>
    </row>
    <row r="228">
      <c s="2" r="D228"/>
      <c s="2" r="F228"/>
    </row>
    <row r="229">
      <c s="2" r="D229"/>
      <c s="2" r="F229"/>
    </row>
    <row r="230">
      <c s="2" r="D230"/>
      <c s="2" r="F230"/>
    </row>
    <row r="231">
      <c s="2" r="D231"/>
      <c s="2" r="F231"/>
    </row>
    <row r="232">
      <c s="2" r="D232"/>
      <c s="2" r="F232"/>
    </row>
    <row r="233">
      <c s="2" r="D233"/>
      <c s="2" r="F233"/>
    </row>
    <row r="234">
      <c s="2" r="D234"/>
      <c s="2" r="F234"/>
    </row>
    <row r="235">
      <c s="2" r="D235"/>
      <c s="2" r="F235"/>
    </row>
    <row r="236">
      <c s="2" r="D236"/>
      <c s="2" r="F236"/>
    </row>
    <row r="237">
      <c s="2" r="D237"/>
      <c s="2" r="F237"/>
    </row>
    <row r="238">
      <c s="2" r="D238"/>
      <c s="2" r="F238"/>
    </row>
    <row r="239">
      <c s="2" r="D239"/>
      <c s="2" r="F239"/>
    </row>
    <row r="240">
      <c s="2" r="D240"/>
      <c s="2" r="F240"/>
    </row>
    <row r="241">
      <c s="2" r="D241"/>
      <c s="2" r="F241"/>
    </row>
    <row r="242">
      <c s="2" r="D242"/>
      <c s="2" r="F242"/>
    </row>
    <row r="243">
      <c s="2" r="D243"/>
      <c s="2" r="F243"/>
    </row>
    <row r="244">
      <c s="2" r="D244"/>
      <c s="2" r="F244"/>
    </row>
    <row r="245">
      <c s="2" r="D245"/>
      <c s="2" r="F245"/>
    </row>
    <row r="246">
      <c s="2" r="D246"/>
      <c s="2" r="F246"/>
    </row>
    <row r="247">
      <c s="2" r="D247"/>
      <c s="2" r="F247"/>
    </row>
    <row r="248">
      <c s="2" r="D248"/>
      <c s="2" r="F248"/>
    </row>
    <row r="249">
      <c s="2" r="D249"/>
      <c s="2" r="F249"/>
    </row>
    <row r="250">
      <c s="2" r="D250"/>
      <c s="2" r="F250"/>
    </row>
    <row r="251">
      <c s="2" r="D251"/>
      <c s="2" r="F251"/>
    </row>
    <row r="252">
      <c s="2" r="D252"/>
      <c s="2" r="F252"/>
    </row>
    <row r="253">
      <c s="2" r="D253"/>
      <c s="2" r="F253"/>
    </row>
    <row r="254">
      <c s="2" r="D254"/>
      <c s="2" r="F254"/>
    </row>
    <row r="255">
      <c s="2" r="D255"/>
      <c s="2" r="F255"/>
    </row>
    <row r="256">
      <c s="2" r="D256"/>
      <c s="2" r="F256"/>
    </row>
    <row r="257">
      <c s="2" r="D257"/>
      <c s="2" r="F257"/>
    </row>
    <row r="258">
      <c s="2" r="D258"/>
      <c s="2" r="F258"/>
    </row>
    <row r="259">
      <c s="2" r="D259"/>
      <c s="2" r="F259"/>
    </row>
    <row r="260">
      <c s="2" r="D260"/>
      <c s="2" r="F260"/>
    </row>
    <row r="261">
      <c s="2" r="D261"/>
      <c s="2" r="F261"/>
    </row>
    <row r="262">
      <c s="2" r="D262"/>
      <c s="2" r="F262"/>
    </row>
    <row r="263">
      <c s="2" r="D263"/>
      <c s="2" r="F263"/>
    </row>
    <row r="264">
      <c s="2" r="D264"/>
      <c s="2" r="F264"/>
    </row>
    <row r="265">
      <c s="2" r="D265"/>
      <c s="2" r="F265"/>
    </row>
    <row r="266">
      <c s="2" r="D266"/>
      <c s="2" r="F266"/>
    </row>
    <row r="267">
      <c s="2" r="D267"/>
      <c s="2" r="F267"/>
    </row>
    <row r="268">
      <c s="2" r="D268"/>
      <c s="2" r="F268"/>
    </row>
    <row r="269">
      <c s="2" r="D269"/>
      <c s="2" r="F269"/>
    </row>
    <row r="270">
      <c s="2" r="D270"/>
      <c s="2" r="F270"/>
    </row>
    <row r="271">
      <c s="2" r="D271"/>
      <c s="2" r="F271"/>
    </row>
    <row r="272">
      <c s="2" r="D272"/>
      <c s="2" r="F272"/>
    </row>
    <row r="273">
      <c s="2" r="D273"/>
      <c s="2" r="F273"/>
    </row>
    <row r="274">
      <c s="2" r="D274"/>
      <c s="2" r="F274"/>
    </row>
    <row r="275">
      <c s="2" r="D275"/>
      <c s="2" r="F275"/>
    </row>
    <row r="276">
      <c s="2" r="D276"/>
      <c s="2" r="F276"/>
    </row>
    <row r="277">
      <c s="2" r="D277"/>
      <c s="2" r="F277"/>
    </row>
    <row r="278">
      <c s="2" r="D278"/>
      <c s="2" r="F278"/>
    </row>
    <row r="279">
      <c s="2" r="D279"/>
      <c s="2" r="F279"/>
    </row>
    <row r="280">
      <c s="2" r="D280"/>
      <c s="2" r="F280"/>
    </row>
    <row r="281">
      <c s="2" r="D281"/>
      <c s="2" r="F281"/>
    </row>
    <row r="282">
      <c s="2" r="D282"/>
      <c s="2" r="F282"/>
    </row>
    <row r="283">
      <c s="2" r="D283"/>
      <c s="2" r="F283"/>
    </row>
    <row r="284">
      <c s="2" r="D284"/>
      <c s="2" r="F284"/>
    </row>
    <row r="285">
      <c s="2" r="D285"/>
      <c s="2" r="F285"/>
    </row>
    <row r="286">
      <c s="2" r="D286"/>
      <c s="2" r="F286"/>
    </row>
    <row r="287">
      <c s="2" r="D287"/>
      <c s="2" r="F287"/>
    </row>
    <row r="288">
      <c s="2" r="D288"/>
      <c s="2" r="F288"/>
    </row>
    <row r="289">
      <c s="2" r="D289"/>
      <c s="2" r="F289"/>
    </row>
    <row r="290">
      <c s="2" r="D290"/>
      <c s="2" r="F290"/>
    </row>
    <row r="291">
      <c s="2" r="D291"/>
      <c s="2" r="F291"/>
    </row>
    <row r="292">
      <c s="2" r="D292"/>
      <c s="2" r="F292"/>
    </row>
    <row r="293">
      <c s="2" r="D293"/>
      <c s="2" r="F293"/>
    </row>
    <row r="294">
      <c s="2" r="D294"/>
      <c s="2" r="F294"/>
    </row>
    <row r="295">
      <c s="2" r="D295"/>
      <c s="2" r="F295"/>
    </row>
    <row r="296">
      <c s="2" r="D296"/>
      <c s="2" r="F296"/>
    </row>
    <row r="297">
      <c s="2" r="D297"/>
      <c s="2" r="F297"/>
    </row>
    <row r="298">
      <c s="2" r="D298"/>
      <c s="2" r="F298"/>
    </row>
    <row r="299">
      <c s="2" r="D299"/>
      <c s="2" r="F299"/>
    </row>
    <row r="300">
      <c s="2" r="D300"/>
      <c s="2" r="F300"/>
    </row>
    <row r="301">
      <c s="2" r="D301"/>
      <c s="2" r="F301"/>
    </row>
    <row r="302">
      <c s="2" r="D302"/>
      <c s="2" r="F302"/>
    </row>
    <row r="303">
      <c s="2" r="D303"/>
      <c s="2" r="F303"/>
    </row>
    <row r="304">
      <c s="2" r="D304"/>
      <c s="2" r="F304"/>
    </row>
    <row r="305">
      <c s="2" r="D305"/>
      <c s="2" r="F305"/>
    </row>
    <row r="306">
      <c s="2" r="D306"/>
      <c s="2" r="F306"/>
    </row>
    <row r="307">
      <c s="2" r="D307"/>
      <c s="2" r="F307"/>
    </row>
    <row r="308">
      <c s="2" r="D308"/>
      <c s="2" r="F308"/>
    </row>
    <row r="309">
      <c s="2" r="D309"/>
      <c s="2" r="F309"/>
    </row>
    <row r="310">
      <c s="2" r="D310"/>
      <c s="2" r="F310"/>
    </row>
    <row r="311">
      <c s="2" r="D311"/>
      <c s="2" r="F311"/>
    </row>
    <row r="312">
      <c s="2" r="D312"/>
      <c s="2" r="F312"/>
    </row>
    <row r="313">
      <c s="2" r="D313"/>
      <c s="2" r="F313"/>
    </row>
    <row r="314">
      <c s="2" r="D314"/>
      <c s="2" r="F314"/>
    </row>
    <row r="315">
      <c s="2" r="D315"/>
      <c s="2" r="F315"/>
    </row>
    <row r="316">
      <c s="2" r="D316"/>
      <c s="2" r="F316"/>
    </row>
    <row r="317">
      <c s="2" r="D317"/>
      <c s="2" r="F317"/>
    </row>
    <row r="318">
      <c s="2" r="D318"/>
      <c s="2" r="F318"/>
    </row>
    <row r="319">
      <c s="2" r="D319"/>
      <c s="2" r="F319"/>
    </row>
    <row r="320">
      <c s="2" r="D320"/>
      <c s="2" r="F320"/>
    </row>
    <row r="321">
      <c s="2" r="D321"/>
      <c s="2" r="F321"/>
    </row>
    <row r="322">
      <c s="2" r="D322"/>
      <c s="2" r="F322"/>
    </row>
    <row r="323">
      <c s="2" r="D323"/>
      <c s="2" r="F323"/>
    </row>
    <row r="324">
      <c s="2" r="D324"/>
      <c s="2" r="F324"/>
    </row>
    <row r="325">
      <c s="2" r="D325"/>
      <c s="2" r="F325"/>
    </row>
    <row r="326">
      <c s="2" r="D326"/>
      <c s="2" r="F326"/>
    </row>
    <row r="327">
      <c s="2" r="D327"/>
      <c s="2" r="F327"/>
    </row>
    <row r="328">
      <c s="2" r="D328"/>
      <c s="2" r="F328"/>
    </row>
    <row r="329">
      <c s="2" r="D329"/>
      <c s="2" r="F329"/>
    </row>
    <row r="330">
      <c s="2" r="D330"/>
      <c s="2" r="F330"/>
    </row>
    <row r="331">
      <c s="2" r="D331"/>
      <c s="2" r="F331"/>
    </row>
    <row r="332">
      <c s="2" r="D332"/>
      <c s="2" r="F332"/>
    </row>
    <row r="333">
      <c s="2" r="D333"/>
      <c s="2" r="F333"/>
    </row>
    <row r="334">
      <c s="2" r="D334"/>
      <c s="2" r="F334"/>
    </row>
    <row r="335">
      <c s="2" r="D335"/>
      <c s="2" r="F335"/>
    </row>
    <row r="336">
      <c s="2" r="D336"/>
      <c s="2" r="F336"/>
    </row>
    <row r="337">
      <c s="2" r="D337"/>
      <c s="2" r="F337"/>
    </row>
    <row r="338">
      <c s="2" r="D338"/>
      <c s="2" r="F338"/>
    </row>
    <row r="339">
      <c s="2" r="D339"/>
      <c s="2" r="F339"/>
    </row>
    <row r="340">
      <c s="2" r="D340"/>
      <c s="2" r="F340"/>
    </row>
    <row r="341">
      <c s="2" r="D341"/>
      <c s="2" r="F341"/>
    </row>
    <row r="342">
      <c s="2" r="D342"/>
      <c s="2" r="F342"/>
    </row>
    <row r="343">
      <c s="2" r="D343"/>
      <c s="2" r="F343"/>
    </row>
    <row r="344">
      <c s="2" r="D344"/>
      <c s="2" r="F344"/>
    </row>
    <row r="345">
      <c s="2" r="D345"/>
      <c s="2" r="F345"/>
    </row>
    <row r="346">
      <c s="2" r="D346"/>
      <c s="2" r="F346"/>
    </row>
    <row r="347">
      <c s="2" r="D347"/>
      <c s="2" r="F347"/>
    </row>
    <row r="348">
      <c s="2" r="D348"/>
      <c s="2" r="F348"/>
    </row>
    <row r="349">
      <c s="2" r="D349"/>
      <c s="2" r="F349"/>
    </row>
    <row r="350">
      <c s="2" r="D350"/>
      <c s="2" r="F350"/>
    </row>
    <row r="351">
      <c s="2" r="D351"/>
      <c s="2" r="F351"/>
    </row>
    <row r="352">
      <c s="2" r="D352"/>
      <c s="2" r="F352"/>
    </row>
    <row r="353">
      <c s="2" r="D353"/>
      <c s="2" r="F353"/>
    </row>
    <row r="354">
      <c s="2" r="D354"/>
      <c s="2" r="F354"/>
    </row>
    <row r="355">
      <c s="2" r="D355"/>
      <c s="2" r="F355"/>
    </row>
    <row r="356">
      <c s="2" r="D356"/>
      <c s="2" r="F356"/>
    </row>
    <row r="357">
      <c s="2" r="D357"/>
      <c s="2" r="F357"/>
    </row>
    <row r="358">
      <c s="2" r="D358"/>
      <c s="2" r="F358"/>
    </row>
    <row r="359">
      <c s="2" r="D359"/>
      <c s="2" r="F359"/>
    </row>
    <row r="360">
      <c s="2" r="D360"/>
      <c s="2" r="F360"/>
    </row>
    <row r="361">
      <c s="2" r="D361"/>
      <c s="2" r="F361"/>
    </row>
    <row r="362">
      <c s="2" r="D362"/>
      <c s="2" r="F362"/>
    </row>
    <row r="363">
      <c s="2" r="D363"/>
      <c s="2" r="F363"/>
    </row>
    <row r="364">
      <c s="2" r="D364"/>
      <c s="2" r="F364"/>
    </row>
    <row r="365">
      <c s="2" r="D365"/>
      <c s="2" r="F365"/>
    </row>
    <row r="366">
      <c s="2" r="D366"/>
      <c s="2" r="F366"/>
    </row>
    <row r="367">
      <c s="2" r="D367"/>
      <c s="2" r="F367"/>
    </row>
    <row r="368">
      <c s="2" r="D368"/>
      <c s="2" r="F368"/>
    </row>
    <row r="369">
      <c s="2" r="D369"/>
      <c s="2" r="F369"/>
    </row>
    <row r="370">
      <c s="2" r="D370"/>
      <c s="2" r="F370"/>
    </row>
    <row r="371">
      <c s="2" r="D371"/>
      <c s="2" r="F371"/>
    </row>
    <row r="372">
      <c s="2" r="D372"/>
      <c s="2" r="F372"/>
    </row>
    <row r="373">
      <c s="2" r="D373"/>
      <c s="2" r="F373"/>
    </row>
    <row r="374">
      <c s="2" r="D374"/>
      <c s="2" r="F374"/>
    </row>
    <row r="375">
      <c s="2" r="D375"/>
      <c s="2" r="F375"/>
    </row>
    <row r="376">
      <c s="2" r="D376"/>
      <c s="2" r="F376"/>
    </row>
    <row r="377">
      <c s="2" r="D377"/>
      <c s="2" r="F377"/>
    </row>
    <row r="378">
      <c s="2" r="D378"/>
      <c s="2" r="F378"/>
    </row>
    <row r="379">
      <c s="2" r="D379"/>
      <c s="2" r="F379"/>
    </row>
    <row r="380">
      <c s="2" r="D380"/>
      <c s="2" r="F380"/>
    </row>
    <row r="381">
      <c s="2" r="D381"/>
      <c s="2" r="F381"/>
    </row>
    <row r="382">
      <c s="2" r="D382"/>
      <c s="2" r="F382"/>
    </row>
    <row r="383">
      <c s="2" r="D383"/>
      <c s="2" r="F383"/>
    </row>
    <row r="384">
      <c s="2" r="D384"/>
      <c s="2" r="F384"/>
    </row>
    <row r="385">
      <c s="2" r="D385"/>
      <c s="2" r="F385"/>
    </row>
    <row r="386">
      <c s="2" r="D386"/>
      <c s="2" r="F386"/>
    </row>
    <row r="387">
      <c s="2" r="D387"/>
      <c s="2" r="F387"/>
    </row>
    <row r="388">
      <c s="2" r="D388"/>
      <c s="2" r="F388"/>
    </row>
    <row r="389">
      <c s="2" r="D389"/>
      <c s="2" r="F389"/>
    </row>
    <row r="390">
      <c s="2" r="D390"/>
      <c s="2" r="F390"/>
    </row>
    <row r="391">
      <c s="2" r="D391"/>
      <c s="2" r="F391"/>
    </row>
    <row r="392">
      <c s="2" r="D392"/>
      <c s="2" r="F392"/>
    </row>
    <row r="393">
      <c s="2" r="D393"/>
      <c s="2" r="F393"/>
    </row>
    <row r="394">
      <c s="2" r="D394"/>
      <c s="2" r="F394"/>
    </row>
    <row r="395">
      <c s="2" r="D395"/>
      <c s="2" r="F395"/>
    </row>
    <row r="396">
      <c s="2" r="D396"/>
      <c s="2" r="F396"/>
    </row>
    <row r="397">
      <c s="2" r="D397"/>
      <c s="2" r="F397"/>
    </row>
    <row r="398">
      <c s="2" r="D398"/>
      <c s="2" r="F398"/>
    </row>
    <row r="399">
      <c s="2" r="D399"/>
      <c s="2" r="F399"/>
    </row>
    <row r="400">
      <c s="2" r="D400"/>
      <c s="2" r="F400"/>
    </row>
    <row r="401">
      <c s="2" r="D401"/>
      <c s="2" r="F401"/>
    </row>
    <row r="402">
      <c s="2" r="D402"/>
      <c s="2" r="F402"/>
    </row>
    <row r="403">
      <c s="2" r="D403"/>
      <c s="2" r="F403"/>
    </row>
    <row r="404">
      <c s="2" r="D404"/>
      <c s="2" r="F404"/>
    </row>
    <row r="405">
      <c s="2" r="D405"/>
      <c s="2" r="F405"/>
    </row>
    <row r="406">
      <c s="2" r="D406"/>
      <c s="2" r="F406"/>
    </row>
    <row r="407">
      <c s="2" r="D407"/>
      <c s="2" r="F407"/>
    </row>
    <row r="408">
      <c s="2" r="D408"/>
      <c s="2" r="F408"/>
    </row>
    <row r="409">
      <c s="2" r="D409"/>
      <c s="2" r="F409"/>
    </row>
    <row r="410">
      <c s="2" r="D410"/>
      <c s="2" r="F410"/>
    </row>
    <row r="411">
      <c s="2" r="D411"/>
      <c s="2" r="F411"/>
    </row>
    <row r="412">
      <c s="2" r="D412"/>
      <c s="2" r="F412"/>
    </row>
    <row r="413">
      <c s="2" r="D413"/>
      <c s="2" r="F413"/>
    </row>
    <row r="414">
      <c s="2" r="D414"/>
      <c s="2" r="F414"/>
    </row>
    <row r="415">
      <c s="2" r="D415"/>
      <c s="2" r="F415"/>
    </row>
    <row r="416">
      <c s="2" r="D416"/>
      <c s="2" r="F416"/>
    </row>
    <row r="417">
      <c s="2" r="D417"/>
      <c s="2" r="F417"/>
    </row>
    <row r="418">
      <c s="2" r="D418"/>
      <c s="2" r="F418"/>
    </row>
    <row r="419">
      <c s="2" r="D419"/>
      <c s="2" r="F419"/>
    </row>
    <row r="420">
      <c s="2" r="D420"/>
      <c s="2" r="F420"/>
    </row>
    <row r="421">
      <c s="2" r="D421"/>
      <c s="2" r="F421"/>
    </row>
    <row r="422">
      <c s="2" r="D422"/>
      <c s="2" r="F422"/>
    </row>
    <row r="423">
      <c s="2" r="D423"/>
      <c s="2" r="F423"/>
    </row>
    <row r="424">
      <c s="2" r="D424"/>
      <c s="2" r="F424"/>
    </row>
    <row r="425">
      <c s="2" r="D425"/>
      <c s="2" r="F425"/>
    </row>
    <row r="426">
      <c s="2" r="D426"/>
      <c s="2" r="F426"/>
    </row>
    <row r="427">
      <c s="2" r="D427"/>
      <c s="2" r="F427"/>
    </row>
    <row r="428">
      <c s="2" r="D428"/>
      <c s="2" r="F428"/>
    </row>
    <row r="429">
      <c s="2" r="D429"/>
      <c s="2" r="F429"/>
    </row>
    <row r="430">
      <c s="2" r="D430"/>
      <c s="2" r="F430"/>
    </row>
    <row r="431">
      <c s="2" r="D431"/>
      <c s="2" r="F431"/>
    </row>
    <row r="432">
      <c s="2" r="D432"/>
      <c s="2" r="F432"/>
    </row>
    <row r="433">
      <c s="2" r="D433"/>
      <c s="2" r="F433"/>
    </row>
    <row r="434">
      <c s="2" r="D434"/>
      <c s="2" r="F434"/>
    </row>
    <row r="435">
      <c s="2" r="D435"/>
      <c s="2" r="F435"/>
    </row>
    <row r="436">
      <c s="2" r="D436"/>
      <c s="2" r="F436"/>
    </row>
    <row r="437">
      <c s="2" r="D437"/>
      <c s="2" r="F437"/>
    </row>
    <row r="438">
      <c s="2" r="D438"/>
      <c s="2" r="F438"/>
    </row>
    <row r="439">
      <c s="2" r="D439"/>
      <c s="2" r="F439"/>
    </row>
    <row r="440">
      <c s="2" r="D440"/>
      <c s="2" r="F440"/>
    </row>
    <row r="441">
      <c s="2" r="D441"/>
      <c s="2" r="F441"/>
    </row>
    <row r="442">
      <c s="2" r="D442"/>
      <c s="2" r="F442"/>
    </row>
    <row r="443">
      <c s="2" r="D443"/>
      <c s="2" r="F443"/>
    </row>
    <row r="444">
      <c s="2" r="D444"/>
      <c s="2" r="F444"/>
    </row>
    <row r="445">
      <c s="2" r="D445"/>
      <c s="2" r="F445"/>
    </row>
    <row r="446">
      <c s="2" r="D446"/>
      <c s="2" r="F446"/>
    </row>
    <row r="447">
      <c s="2" r="D447"/>
      <c s="2" r="F447"/>
    </row>
    <row r="448">
      <c s="2" r="D448"/>
      <c s="2" r="F448"/>
    </row>
    <row r="449">
      <c s="2" r="D449"/>
      <c s="2" r="F449"/>
    </row>
    <row r="450">
      <c s="2" r="D450"/>
      <c s="2" r="F450"/>
    </row>
    <row r="451">
      <c s="2" r="D451"/>
      <c s="2" r="F451"/>
    </row>
    <row r="452">
      <c s="2" r="D452"/>
      <c s="2" r="F452"/>
    </row>
    <row r="453">
      <c s="2" r="D453"/>
      <c s="2" r="F453"/>
    </row>
    <row r="454">
      <c s="2" r="D454"/>
      <c s="2" r="F454"/>
    </row>
    <row r="455">
      <c s="2" r="D455"/>
      <c s="2" r="F455"/>
    </row>
    <row r="456">
      <c s="2" r="D456"/>
      <c s="2" r="F456"/>
    </row>
    <row r="457">
      <c s="2" r="D457"/>
      <c s="2" r="F457"/>
    </row>
    <row r="458">
      <c s="2" r="D458"/>
      <c s="2" r="F458"/>
    </row>
    <row r="459">
      <c s="2" r="D459"/>
      <c s="2" r="F459"/>
    </row>
    <row r="460">
      <c s="2" r="D460"/>
      <c s="2" r="F460"/>
    </row>
    <row r="461">
      <c s="2" r="D461"/>
      <c s="2" r="F461"/>
    </row>
    <row r="462">
      <c s="2" r="D462"/>
      <c s="2" r="F462"/>
    </row>
    <row r="463">
      <c s="2" r="D463"/>
      <c s="2" r="F463"/>
    </row>
    <row r="464">
      <c s="2" r="D464"/>
      <c s="2" r="F464"/>
    </row>
    <row r="465">
      <c s="2" r="D465"/>
      <c s="2" r="F465"/>
    </row>
    <row r="466">
      <c s="2" r="D466"/>
      <c s="2" r="F466"/>
    </row>
    <row r="467">
      <c s="2" r="D467"/>
      <c s="2" r="F467"/>
    </row>
    <row r="468">
      <c s="2" r="D468"/>
      <c s="2" r="F468"/>
    </row>
    <row r="469">
      <c s="2" r="D469"/>
      <c s="2" r="F469"/>
    </row>
    <row r="470">
      <c s="2" r="D470"/>
      <c s="2" r="F470"/>
    </row>
    <row r="471">
      <c s="2" r="D471"/>
      <c s="2" r="F471"/>
    </row>
    <row r="472">
      <c s="2" r="D472"/>
      <c s="2" r="F472"/>
    </row>
    <row r="473">
      <c s="2" r="D473"/>
      <c s="2" r="F473"/>
    </row>
    <row r="474">
      <c s="2" r="D474"/>
      <c s="2" r="F474"/>
    </row>
    <row r="475">
      <c s="2" r="D475"/>
      <c s="2" r="F475"/>
    </row>
    <row r="476">
      <c s="2" r="D476"/>
      <c s="2" r="F476"/>
    </row>
    <row r="477">
      <c s="2" r="D477"/>
      <c s="2" r="F477"/>
    </row>
    <row r="478">
      <c s="2" r="D478"/>
      <c s="2" r="F478"/>
    </row>
    <row r="479">
      <c s="2" r="D479"/>
      <c s="2" r="F479"/>
    </row>
    <row r="480">
      <c s="2" r="D480"/>
      <c s="2" r="F480"/>
    </row>
    <row r="481">
      <c s="2" r="D481"/>
      <c s="2" r="F481"/>
    </row>
    <row r="482">
      <c s="2" r="D482"/>
      <c s="2" r="F482"/>
    </row>
    <row r="483">
      <c s="2" r="D483"/>
      <c s="2" r="F483"/>
    </row>
    <row r="484">
      <c s="2" r="D484"/>
      <c s="2" r="F484"/>
    </row>
    <row r="485">
      <c s="2" r="D485"/>
      <c s="2" r="F485"/>
    </row>
    <row r="486">
      <c s="2" r="D486"/>
      <c s="2" r="F486"/>
    </row>
    <row r="487">
      <c s="2" r="D487"/>
      <c s="2" r="F487"/>
    </row>
    <row r="488">
      <c s="2" r="D488"/>
      <c s="2" r="F488"/>
    </row>
    <row r="489">
      <c s="2" r="D489"/>
      <c s="2" r="F489"/>
    </row>
    <row r="490">
      <c s="2" r="D490"/>
      <c s="2" r="F490"/>
    </row>
    <row r="491">
      <c s="2" r="D491"/>
      <c s="2" r="F491"/>
    </row>
    <row r="492">
      <c s="2" r="D492"/>
      <c s="2" r="F492"/>
    </row>
    <row r="493">
      <c s="2" r="D493"/>
      <c s="2" r="F493"/>
    </row>
    <row r="494">
      <c s="2" r="D494"/>
      <c s="2" r="F494"/>
    </row>
    <row r="495">
      <c s="2" r="D495"/>
      <c s="2" r="F495"/>
    </row>
    <row r="496">
      <c s="2" r="D496"/>
      <c s="2" r="F496"/>
    </row>
    <row r="497">
      <c s="2" r="D497"/>
      <c s="2" r="F497"/>
    </row>
    <row r="498">
      <c s="2" r="D498"/>
      <c s="2" r="F498"/>
    </row>
    <row r="499">
      <c s="2" r="D499"/>
      <c s="2" r="F499"/>
    </row>
    <row r="500">
      <c s="2" r="D500"/>
      <c s="2" r="F500"/>
    </row>
    <row r="501">
      <c s="2" r="D501"/>
      <c s="2" r="F501"/>
    </row>
    <row r="502">
      <c s="2" r="D502"/>
      <c s="2" r="F502"/>
    </row>
    <row r="503">
      <c s="2" r="D503"/>
      <c s="2" r="F503"/>
    </row>
    <row r="504">
      <c s="2" r="D504"/>
      <c s="2" r="F504"/>
    </row>
    <row r="505">
      <c s="2" r="D505"/>
      <c s="2" r="F505"/>
    </row>
    <row r="506">
      <c s="2" r="D506"/>
      <c s="2" r="F506"/>
    </row>
    <row r="507">
      <c s="2" r="D507"/>
      <c s="2" r="F507"/>
    </row>
    <row r="508">
      <c s="2" r="D508"/>
      <c s="2" r="F508"/>
    </row>
    <row r="509">
      <c s="2" r="D509"/>
      <c s="2" r="F509"/>
    </row>
    <row r="510">
      <c s="2" r="D510"/>
      <c s="2" r="F510"/>
    </row>
    <row r="511">
      <c s="2" r="D511"/>
      <c s="2" r="F511"/>
    </row>
    <row r="512">
      <c s="2" r="D512"/>
      <c s="2" r="F512"/>
    </row>
    <row r="513">
      <c s="2" r="D513"/>
      <c s="2" r="F513"/>
    </row>
    <row r="514">
      <c s="2" r="D514"/>
      <c s="2" r="F514"/>
    </row>
    <row r="515">
      <c s="2" r="D515"/>
      <c s="2" r="F515"/>
    </row>
    <row r="516">
      <c s="2" r="D516"/>
      <c s="2" r="F516"/>
    </row>
    <row r="517">
      <c s="2" r="D517"/>
      <c s="2" r="F517"/>
    </row>
    <row r="518">
      <c s="2" r="D518"/>
      <c s="2" r="F518"/>
    </row>
    <row r="519">
      <c s="2" r="D519"/>
      <c s="2" r="F519"/>
    </row>
    <row r="520">
      <c s="2" r="D520"/>
      <c s="2" r="F520"/>
    </row>
    <row r="521">
      <c s="2" r="D521"/>
      <c s="2" r="F521"/>
    </row>
    <row r="522">
      <c s="2" r="D522"/>
      <c s="2" r="F522"/>
    </row>
    <row r="523">
      <c s="2" r="D523"/>
      <c s="2" r="F523"/>
    </row>
    <row r="524">
      <c s="2" r="D524"/>
      <c s="2" r="F524"/>
    </row>
    <row r="525">
      <c s="2" r="D525"/>
      <c s="2" r="F525"/>
    </row>
    <row r="526">
      <c s="2" r="D526"/>
      <c s="2" r="F526"/>
    </row>
    <row r="527">
      <c s="2" r="D527"/>
      <c s="2" r="F527"/>
    </row>
    <row r="528">
      <c s="2" r="D528"/>
      <c s="2" r="F528"/>
    </row>
    <row r="529">
      <c s="2" r="D529"/>
      <c s="2" r="F529"/>
    </row>
    <row r="530">
      <c s="2" r="D530"/>
      <c s="2" r="F530"/>
    </row>
    <row r="531">
      <c s="2" r="D531"/>
      <c s="2" r="F531"/>
    </row>
    <row r="532">
      <c s="2" r="D532"/>
      <c s="2" r="F532"/>
    </row>
    <row r="533">
      <c s="2" r="D533"/>
      <c s="2" r="F533"/>
    </row>
    <row r="534">
      <c s="2" r="D534"/>
      <c s="2" r="F534"/>
    </row>
    <row r="535">
      <c s="2" r="D535"/>
      <c s="2" r="F535"/>
    </row>
    <row r="536">
      <c s="2" r="D536"/>
      <c s="2" r="F536"/>
    </row>
    <row r="537">
      <c s="2" r="D537"/>
      <c s="2" r="F537"/>
    </row>
    <row r="538">
      <c s="2" r="D538"/>
      <c s="2" r="F538"/>
    </row>
    <row r="539">
      <c s="2" r="D539"/>
      <c s="2" r="F539"/>
    </row>
    <row r="540">
      <c s="2" r="D540"/>
      <c s="2" r="F540"/>
    </row>
    <row r="541">
      <c s="2" r="D541"/>
      <c s="2" r="F541"/>
    </row>
    <row r="542">
      <c s="2" r="D542"/>
      <c s="2" r="F542"/>
    </row>
    <row r="543">
      <c s="2" r="D543"/>
      <c s="2" r="F543"/>
    </row>
    <row r="544">
      <c s="2" r="D544"/>
      <c s="2" r="F544"/>
    </row>
    <row r="545">
      <c s="2" r="D545"/>
      <c s="2" r="F545"/>
    </row>
    <row r="546">
      <c s="2" r="D546"/>
      <c s="2" r="F546"/>
    </row>
    <row r="547">
      <c s="2" r="D547"/>
      <c s="2" r="F547"/>
    </row>
    <row r="548">
      <c s="2" r="D548"/>
      <c s="2" r="F548"/>
    </row>
    <row r="549">
      <c s="2" r="D549"/>
      <c s="2" r="F549"/>
    </row>
    <row r="550">
      <c s="2" r="D550"/>
      <c s="2" r="F550"/>
    </row>
    <row r="551">
      <c s="2" r="D551"/>
      <c s="2" r="F551"/>
    </row>
    <row r="552">
      <c s="2" r="D552"/>
      <c s="2" r="F552"/>
    </row>
    <row r="553">
      <c s="2" r="D553"/>
      <c s="2" r="F553"/>
    </row>
    <row r="554">
      <c s="2" r="D554"/>
      <c s="2" r="F554"/>
    </row>
    <row r="555">
      <c s="2" r="D555"/>
      <c s="2" r="F555"/>
    </row>
    <row r="556">
      <c s="2" r="D556"/>
      <c s="2" r="F556"/>
    </row>
    <row r="557">
      <c s="2" r="D557"/>
      <c s="2" r="F557"/>
    </row>
    <row r="558">
      <c s="2" r="D558"/>
      <c s="2" r="F558"/>
    </row>
    <row r="559">
      <c s="2" r="D559"/>
      <c s="2" r="F559"/>
    </row>
    <row r="560">
      <c s="2" r="D560"/>
      <c s="2" r="F560"/>
    </row>
    <row r="561">
      <c s="2" r="D561"/>
      <c s="2" r="F561"/>
    </row>
    <row r="562">
      <c s="2" r="D562"/>
      <c s="2" r="F562"/>
    </row>
    <row r="563">
      <c s="2" r="D563"/>
      <c s="2" r="F563"/>
    </row>
    <row r="564">
      <c s="2" r="D564"/>
      <c s="2" r="F564"/>
    </row>
    <row r="565">
      <c s="2" r="D565"/>
      <c s="2" r="F565"/>
    </row>
    <row r="566">
      <c s="2" r="D566"/>
      <c s="2" r="F566"/>
    </row>
    <row r="567">
      <c s="2" r="D567"/>
      <c s="2" r="F567"/>
    </row>
    <row r="568">
      <c s="2" r="D568"/>
      <c s="2" r="F568"/>
    </row>
    <row r="569">
      <c s="2" r="D569"/>
      <c s="2" r="F569"/>
    </row>
    <row r="570">
      <c s="2" r="D570"/>
      <c s="2" r="F570"/>
    </row>
    <row r="571">
      <c s="2" r="D571"/>
      <c s="2" r="F571"/>
    </row>
    <row r="572">
      <c s="2" r="D572"/>
      <c s="2" r="F572"/>
    </row>
    <row r="573">
      <c s="2" r="D573"/>
      <c s="2" r="F573"/>
    </row>
    <row r="574">
      <c s="2" r="D574"/>
      <c s="2" r="F574"/>
    </row>
    <row r="575">
      <c s="2" r="D575"/>
      <c s="2" r="F575"/>
    </row>
    <row r="576">
      <c s="2" r="D576"/>
      <c s="2" r="F576"/>
    </row>
    <row r="577">
      <c s="2" r="D577"/>
      <c s="2" r="F577"/>
    </row>
    <row r="578">
      <c s="2" r="D578"/>
      <c s="2" r="F578"/>
    </row>
    <row r="579">
      <c s="2" r="D579"/>
      <c s="2" r="F579"/>
    </row>
    <row r="580">
      <c s="2" r="D580"/>
      <c s="2" r="F580"/>
    </row>
    <row r="581">
      <c s="2" r="D581"/>
      <c s="2" r="F581"/>
    </row>
    <row r="582">
      <c s="2" r="D582"/>
      <c s="2" r="F582"/>
    </row>
    <row r="583">
      <c s="2" r="D583"/>
      <c s="2" r="F583"/>
    </row>
    <row r="584">
      <c s="2" r="D584"/>
      <c s="2" r="F584"/>
    </row>
    <row r="585">
      <c s="2" r="D585"/>
      <c s="2" r="F585"/>
    </row>
    <row r="586">
      <c s="2" r="D586"/>
      <c s="2" r="F586"/>
    </row>
    <row r="587">
      <c s="2" r="D587"/>
      <c s="2" r="F587"/>
    </row>
    <row r="588">
      <c s="2" r="D588"/>
      <c s="2" r="F588"/>
    </row>
    <row r="589">
      <c s="2" r="D589"/>
      <c s="2" r="F589"/>
    </row>
    <row r="590">
      <c s="2" r="D590"/>
      <c s="2" r="F590"/>
    </row>
    <row r="591">
      <c s="2" r="D591"/>
      <c s="2" r="F591"/>
    </row>
    <row r="592">
      <c s="2" r="D592"/>
      <c s="2" r="F592"/>
    </row>
    <row r="593">
      <c s="2" r="D593"/>
      <c s="2" r="F593"/>
    </row>
    <row r="594">
      <c s="2" r="D594"/>
      <c s="2" r="F594"/>
    </row>
    <row r="595">
      <c s="2" r="D595"/>
      <c s="2" r="F595"/>
    </row>
    <row r="596">
      <c s="2" r="D596"/>
      <c s="2" r="F596"/>
    </row>
    <row r="597">
      <c s="2" r="D597"/>
      <c s="2" r="F597"/>
    </row>
    <row r="598">
      <c s="2" r="D598"/>
      <c s="2" r="F598"/>
    </row>
    <row r="599">
      <c s="2" r="D599"/>
      <c s="2" r="F599"/>
    </row>
    <row r="600">
      <c s="2" r="D600"/>
      <c s="2" r="F600"/>
    </row>
    <row r="601">
      <c s="2" r="D601"/>
      <c s="2" r="F601"/>
    </row>
    <row r="602">
      <c s="2" r="D602"/>
      <c s="2" r="F602"/>
    </row>
    <row r="603">
      <c s="2" r="D603"/>
      <c s="2" r="F603"/>
    </row>
    <row r="604">
      <c s="2" r="D604"/>
      <c s="2" r="F604"/>
    </row>
    <row r="605">
      <c s="2" r="D605"/>
      <c s="2" r="F605"/>
    </row>
    <row r="606">
      <c s="2" r="D606"/>
      <c s="2" r="F606"/>
    </row>
    <row r="607">
      <c s="2" r="D607"/>
      <c s="2" r="F607"/>
    </row>
    <row r="608">
      <c s="2" r="D608"/>
      <c s="2" r="F608"/>
    </row>
    <row r="609">
      <c s="2" r="D609"/>
      <c s="2" r="F609"/>
    </row>
    <row r="610">
      <c s="2" r="D610"/>
      <c s="2" r="F610"/>
    </row>
    <row r="611">
      <c s="2" r="D611"/>
      <c s="2" r="F611"/>
    </row>
    <row r="612">
      <c s="2" r="D612"/>
      <c s="2" r="F612"/>
    </row>
    <row r="613">
      <c s="2" r="D613"/>
      <c s="2" r="F613"/>
    </row>
    <row r="614">
      <c s="2" r="D614"/>
      <c s="2" r="F614"/>
    </row>
    <row r="615">
      <c s="2" r="D615"/>
      <c s="2" r="F615"/>
    </row>
    <row r="616">
      <c s="2" r="D616"/>
      <c s="2" r="F616"/>
    </row>
    <row r="617">
      <c s="2" r="D617"/>
      <c s="2" r="F617"/>
    </row>
    <row r="618">
      <c s="2" r="D618"/>
      <c s="2" r="F618"/>
    </row>
    <row r="619">
      <c s="2" r="D619"/>
      <c s="2" r="F619"/>
    </row>
    <row r="620">
      <c s="2" r="D620"/>
      <c s="2" r="F620"/>
    </row>
    <row r="621">
      <c s="2" r="D621"/>
      <c s="2" r="F621"/>
    </row>
    <row r="622">
      <c s="2" r="D622"/>
      <c s="2" r="F622"/>
    </row>
    <row r="623">
      <c s="2" r="D623"/>
      <c s="2" r="F623"/>
    </row>
    <row r="624">
      <c s="2" r="D624"/>
      <c s="2" r="F624"/>
    </row>
    <row r="625">
      <c s="2" r="D625"/>
      <c s="2" r="F625"/>
    </row>
    <row r="626">
      <c s="2" r="D626"/>
      <c s="2" r="F626"/>
    </row>
    <row r="627">
      <c s="2" r="D627"/>
      <c s="2" r="F627"/>
    </row>
    <row r="628">
      <c s="2" r="D628"/>
      <c s="2" r="F628"/>
    </row>
    <row r="629">
      <c s="2" r="D629"/>
      <c s="2" r="F629"/>
    </row>
    <row r="630">
      <c s="2" r="D630"/>
      <c s="2" r="F630"/>
    </row>
    <row r="631">
      <c s="2" r="D631"/>
      <c s="2" r="F631"/>
    </row>
    <row r="632">
      <c s="2" r="D632"/>
      <c s="2" r="F632"/>
    </row>
    <row r="633">
      <c s="2" r="D633"/>
      <c s="2" r="F633"/>
    </row>
    <row r="634">
      <c s="2" r="D634"/>
      <c s="2" r="F634"/>
    </row>
    <row r="635">
      <c s="2" r="D635"/>
      <c s="2" r="F635"/>
    </row>
    <row r="636">
      <c s="2" r="D636"/>
      <c s="2" r="F636"/>
    </row>
    <row r="637">
      <c s="2" r="D637"/>
      <c s="2" r="F637"/>
    </row>
    <row r="638">
      <c s="2" r="D638"/>
      <c s="2" r="F638"/>
    </row>
    <row r="639">
      <c s="2" r="D639"/>
      <c s="2" r="F639"/>
    </row>
    <row r="640">
      <c s="2" r="D640"/>
      <c s="2" r="F640"/>
    </row>
    <row r="641">
      <c s="2" r="D641"/>
      <c s="2" r="F641"/>
    </row>
    <row r="642">
      <c s="2" r="D642"/>
      <c s="2" r="F642"/>
    </row>
    <row r="643">
      <c s="2" r="D643"/>
      <c s="2" r="F643"/>
    </row>
    <row r="644">
      <c s="2" r="D644"/>
      <c s="2" r="F644"/>
    </row>
    <row r="645">
      <c s="2" r="D645"/>
      <c s="2" r="F645"/>
    </row>
    <row r="646">
      <c s="2" r="D646"/>
      <c s="2" r="F646"/>
    </row>
    <row r="647">
      <c s="2" r="D647"/>
      <c s="2" r="F647"/>
    </row>
    <row r="648">
      <c s="2" r="D648"/>
      <c s="2" r="F648"/>
    </row>
    <row r="649">
      <c s="2" r="D649"/>
      <c s="2" r="F649"/>
    </row>
    <row r="650">
      <c s="2" r="D650"/>
      <c s="2" r="F650"/>
    </row>
    <row r="651">
      <c s="2" r="D651"/>
      <c s="2" r="F651"/>
    </row>
    <row r="652">
      <c s="2" r="D652"/>
      <c s="2" r="F652"/>
    </row>
    <row r="653">
      <c s="2" r="D653"/>
      <c s="2" r="F653"/>
    </row>
    <row r="654">
      <c s="2" r="D654"/>
      <c s="2" r="F654"/>
    </row>
    <row r="655">
      <c s="2" r="D655"/>
      <c s="2" r="F655"/>
    </row>
    <row r="656">
      <c s="2" r="D656"/>
      <c s="2" r="F656"/>
    </row>
    <row r="657">
      <c s="2" r="D657"/>
      <c s="2" r="F657"/>
    </row>
    <row r="658">
      <c s="2" r="D658"/>
      <c s="2" r="F658"/>
    </row>
    <row r="659">
      <c s="2" r="D659"/>
      <c s="2" r="F659"/>
    </row>
    <row r="660">
      <c s="2" r="D660"/>
      <c s="2" r="F660"/>
    </row>
    <row r="661">
      <c s="2" r="D661"/>
      <c s="2" r="F661"/>
    </row>
    <row r="662">
      <c s="2" r="D662"/>
      <c s="2" r="F662"/>
    </row>
    <row r="663">
      <c s="2" r="D663"/>
      <c s="2" r="F663"/>
    </row>
    <row r="664">
      <c s="2" r="D664"/>
      <c s="2" r="F664"/>
    </row>
    <row r="665">
      <c s="2" r="D665"/>
      <c s="2" r="F665"/>
    </row>
    <row r="666">
      <c s="2" r="D666"/>
      <c s="2" r="F666"/>
    </row>
    <row r="667">
      <c s="2" r="D667"/>
      <c s="2" r="F667"/>
    </row>
    <row r="668">
      <c s="2" r="D668"/>
      <c s="2" r="F668"/>
    </row>
    <row r="669">
      <c s="2" r="D669"/>
      <c s="2" r="F669"/>
    </row>
    <row r="670">
      <c s="2" r="D670"/>
      <c s="2" r="F670"/>
    </row>
    <row r="671">
      <c s="2" r="D671"/>
      <c s="2" r="F671"/>
    </row>
    <row r="672">
      <c s="2" r="D672"/>
      <c s="2" r="F672"/>
    </row>
    <row r="673">
      <c s="2" r="D673"/>
      <c s="2" r="F673"/>
    </row>
    <row r="674">
      <c s="2" r="D674"/>
      <c s="2" r="F674"/>
    </row>
    <row r="675">
      <c s="2" r="D675"/>
      <c s="2" r="F675"/>
    </row>
    <row r="676">
      <c s="2" r="D676"/>
      <c s="2" r="F676"/>
    </row>
    <row r="677">
      <c s="2" r="D677"/>
      <c s="2" r="F677"/>
    </row>
    <row r="678">
      <c s="2" r="D678"/>
      <c s="2" r="F678"/>
    </row>
    <row r="679">
      <c s="2" r="D679"/>
      <c s="2" r="F679"/>
    </row>
    <row r="680">
      <c s="2" r="D680"/>
      <c s="2" r="F680"/>
    </row>
    <row r="681">
      <c s="2" r="D681"/>
      <c s="2" r="F681"/>
    </row>
    <row r="682">
      <c s="2" r="D682"/>
      <c s="2" r="F682"/>
    </row>
    <row r="683">
      <c s="2" r="D683"/>
      <c s="2" r="F683"/>
    </row>
    <row r="684">
      <c s="2" r="D684"/>
      <c s="2" r="F684"/>
    </row>
    <row r="685">
      <c s="2" r="D685"/>
      <c s="2" r="F685"/>
    </row>
    <row r="686">
      <c s="2" r="D686"/>
      <c s="2" r="F686"/>
    </row>
    <row r="687">
      <c s="2" r="D687"/>
      <c s="2" r="F687"/>
    </row>
    <row r="688">
      <c s="2" r="D688"/>
      <c s="2" r="F688"/>
    </row>
    <row r="689">
      <c s="2" r="D689"/>
      <c s="2" r="F689"/>
    </row>
    <row r="690">
      <c s="2" r="D690"/>
      <c s="2" r="F690"/>
    </row>
    <row r="691">
      <c s="2" r="D691"/>
      <c s="2" r="F691"/>
    </row>
    <row r="692">
      <c s="2" r="D692"/>
      <c s="2" r="F692"/>
    </row>
    <row r="693">
      <c s="2" r="D693"/>
      <c s="2" r="F693"/>
    </row>
    <row r="694">
      <c s="2" r="D694"/>
      <c s="2" r="F694"/>
    </row>
    <row r="695">
      <c s="2" r="D695"/>
      <c s="2" r="F695"/>
    </row>
    <row r="696">
      <c s="2" r="D696"/>
      <c s="2" r="F696"/>
    </row>
    <row r="697">
      <c s="2" r="D697"/>
      <c s="2" r="F697"/>
    </row>
    <row r="698">
      <c s="2" r="D698"/>
      <c s="2" r="F698"/>
    </row>
    <row r="699">
      <c s="2" r="D699"/>
      <c s="2" r="F699"/>
    </row>
    <row r="700">
      <c s="2" r="D700"/>
      <c s="2" r="F700"/>
    </row>
    <row r="701">
      <c s="2" r="D701"/>
      <c s="2" r="F701"/>
    </row>
    <row r="702">
      <c s="2" r="D702"/>
      <c s="2" r="F702"/>
    </row>
    <row r="703">
      <c s="2" r="D703"/>
      <c s="2" r="F703"/>
    </row>
    <row r="704">
      <c s="2" r="D704"/>
      <c s="2" r="F704"/>
    </row>
    <row r="705">
      <c s="2" r="D705"/>
      <c s="2" r="F705"/>
    </row>
    <row r="706">
      <c s="2" r="D706"/>
      <c s="2" r="F706"/>
    </row>
    <row r="707">
      <c s="2" r="D707"/>
      <c s="2" r="F707"/>
    </row>
    <row r="708">
      <c s="2" r="D708"/>
      <c s="2" r="F708"/>
    </row>
    <row r="709">
      <c s="2" r="D709"/>
      <c s="2" r="F709"/>
    </row>
    <row r="710">
      <c s="2" r="D710"/>
      <c s="2" r="F710"/>
    </row>
    <row r="711">
      <c s="2" r="D711"/>
      <c s="2" r="F711"/>
    </row>
    <row r="712">
      <c s="2" r="D712"/>
      <c s="2" r="F712"/>
    </row>
    <row r="713">
      <c s="2" r="D713"/>
      <c s="2" r="F713"/>
    </row>
    <row r="714">
      <c s="2" r="D714"/>
      <c s="2" r="F714"/>
    </row>
    <row r="715">
      <c s="2" r="D715"/>
      <c s="2" r="F715"/>
    </row>
    <row r="716">
      <c s="2" r="D716"/>
      <c s="2" r="F716"/>
    </row>
    <row r="717">
      <c s="2" r="D717"/>
      <c s="2" r="F717"/>
    </row>
    <row r="718">
      <c s="2" r="D718"/>
      <c s="2" r="F718"/>
    </row>
    <row r="719">
      <c s="2" r="D719"/>
      <c s="2" r="F719"/>
    </row>
    <row r="720">
      <c s="2" r="D720"/>
      <c s="2" r="F720"/>
    </row>
    <row r="721">
      <c s="2" r="D721"/>
      <c s="2" r="F721"/>
    </row>
    <row r="722">
      <c s="2" r="D722"/>
      <c s="2" r="F722"/>
    </row>
    <row r="723">
      <c s="2" r="D723"/>
      <c s="2" r="F723"/>
    </row>
    <row r="724">
      <c s="2" r="D724"/>
      <c s="2" r="F724"/>
    </row>
    <row r="725">
      <c s="2" r="D725"/>
      <c s="2" r="F725"/>
    </row>
    <row r="726">
      <c s="2" r="D726"/>
      <c s="2" r="F726"/>
    </row>
    <row r="727">
      <c s="2" r="D727"/>
      <c s="2" r="F727"/>
    </row>
    <row r="728">
      <c s="2" r="D728"/>
      <c s="2" r="F728"/>
    </row>
    <row r="729">
      <c s="2" r="D729"/>
      <c s="2" r="F729"/>
    </row>
    <row r="730">
      <c s="2" r="D730"/>
      <c s="2" r="F730"/>
    </row>
    <row r="731">
      <c s="2" r="D731"/>
      <c s="2" r="F731"/>
    </row>
    <row r="732">
      <c s="2" r="D732"/>
      <c s="2" r="F732"/>
    </row>
    <row r="733">
      <c s="2" r="D733"/>
      <c s="2" r="F733"/>
    </row>
    <row r="734">
      <c s="2" r="D734"/>
      <c s="2" r="F734"/>
    </row>
    <row r="735">
      <c s="2" r="D735"/>
      <c s="2" r="F735"/>
    </row>
    <row r="736">
      <c s="2" r="D736"/>
      <c s="2" r="F736"/>
    </row>
    <row r="737">
      <c s="2" r="D737"/>
      <c s="2" r="F737"/>
    </row>
    <row r="738">
      <c s="2" r="D738"/>
      <c s="2" r="F738"/>
    </row>
    <row r="739">
      <c s="2" r="D739"/>
      <c s="2" r="F739"/>
    </row>
    <row r="740">
      <c s="2" r="D740"/>
      <c s="2" r="F740"/>
    </row>
    <row r="741">
      <c s="2" r="D741"/>
      <c s="2" r="F741"/>
    </row>
    <row r="742">
      <c s="2" r="D742"/>
      <c s="2" r="F742"/>
    </row>
    <row r="743">
      <c s="2" r="D743"/>
      <c s="2" r="F743"/>
    </row>
    <row r="744">
      <c s="2" r="D744"/>
      <c s="2" r="F744"/>
    </row>
    <row r="745">
      <c s="2" r="D745"/>
      <c s="2" r="F745"/>
    </row>
    <row r="746">
      <c s="2" r="D746"/>
      <c s="2" r="F746"/>
    </row>
    <row r="747">
      <c s="2" r="D747"/>
      <c s="2" r="F747"/>
    </row>
    <row r="748">
      <c s="2" r="D748"/>
      <c s="2" r="F748"/>
    </row>
    <row r="749">
      <c s="2" r="D749"/>
      <c s="2" r="F749"/>
    </row>
    <row r="750">
      <c s="2" r="D750"/>
      <c s="2" r="F750"/>
    </row>
    <row r="751">
      <c s="2" r="D751"/>
      <c s="2" r="F751"/>
    </row>
    <row r="752">
      <c s="2" r="D752"/>
      <c s="2" r="F752"/>
    </row>
    <row r="753">
      <c s="2" r="D753"/>
      <c s="2" r="F753"/>
    </row>
    <row r="754">
      <c s="2" r="D754"/>
      <c s="2" r="F754"/>
    </row>
    <row r="755">
      <c s="2" r="D755"/>
      <c s="2" r="F755"/>
    </row>
    <row r="756">
      <c s="2" r="D756"/>
      <c s="2" r="F756"/>
    </row>
    <row r="757">
      <c s="2" r="D757"/>
      <c s="2" r="F757"/>
    </row>
    <row r="758">
      <c s="2" r="D758"/>
      <c s="2" r="F758"/>
    </row>
    <row r="759">
      <c s="2" r="D759"/>
      <c s="2" r="F759"/>
    </row>
    <row r="760">
      <c s="2" r="D760"/>
      <c s="2" r="F760"/>
    </row>
    <row r="761">
      <c s="2" r="D761"/>
      <c s="2" r="F761"/>
    </row>
    <row r="762">
      <c s="2" r="D762"/>
      <c s="2" r="F762"/>
    </row>
    <row r="763">
      <c s="2" r="D763"/>
      <c s="2" r="F763"/>
    </row>
    <row r="764">
      <c s="2" r="D764"/>
      <c s="2" r="F764"/>
    </row>
    <row r="765">
      <c s="2" r="D765"/>
      <c s="2" r="F765"/>
    </row>
    <row r="766">
      <c s="2" r="D766"/>
      <c s="2" r="F766"/>
    </row>
    <row r="767">
      <c s="2" r="D767"/>
      <c s="2" r="F767"/>
    </row>
    <row r="768">
      <c s="2" r="D768"/>
      <c s="2" r="F768"/>
    </row>
    <row r="769">
      <c s="2" r="D769"/>
      <c s="2" r="F769"/>
    </row>
    <row r="770">
      <c s="2" r="D770"/>
      <c s="2" r="F770"/>
    </row>
    <row r="771">
      <c s="2" r="D771"/>
      <c s="2" r="F771"/>
    </row>
    <row r="772">
      <c s="2" r="D772"/>
      <c s="2" r="F772"/>
    </row>
    <row r="773">
      <c s="2" r="D773"/>
      <c s="2" r="F773"/>
    </row>
    <row r="774">
      <c s="2" r="D774"/>
      <c s="2" r="F774"/>
    </row>
    <row r="775">
      <c s="2" r="D775"/>
      <c s="2" r="F775"/>
    </row>
    <row r="776">
      <c s="2" r="D776"/>
      <c s="2" r="F776"/>
    </row>
    <row r="777">
      <c s="2" r="D777"/>
      <c s="2" r="F777"/>
    </row>
    <row r="778">
      <c s="2" r="D778"/>
      <c s="2" r="F778"/>
    </row>
    <row r="779">
      <c s="2" r="D779"/>
      <c s="2" r="F779"/>
    </row>
    <row r="780">
      <c s="2" r="D780"/>
      <c s="2" r="F780"/>
    </row>
    <row r="781">
      <c s="2" r="D781"/>
      <c s="2" r="F781"/>
    </row>
    <row r="782">
      <c s="2" r="D782"/>
      <c s="2" r="F782"/>
    </row>
    <row r="783">
      <c s="2" r="D783"/>
      <c s="2" r="F783"/>
    </row>
    <row r="784">
      <c s="2" r="D784"/>
      <c s="2" r="F784"/>
    </row>
    <row r="785">
      <c s="2" r="D785"/>
      <c s="2" r="F785"/>
    </row>
    <row r="786">
      <c s="2" r="D786"/>
      <c s="2" r="F786"/>
    </row>
    <row r="787">
      <c s="2" r="D787"/>
      <c s="2" r="F787"/>
    </row>
    <row r="788">
      <c s="2" r="D788"/>
      <c s="2" r="F788"/>
    </row>
    <row r="789">
      <c s="2" r="D789"/>
      <c s="2" r="F789"/>
    </row>
    <row r="790">
      <c s="2" r="D790"/>
      <c s="2" r="F790"/>
    </row>
    <row r="791">
      <c s="2" r="D791"/>
      <c s="2" r="F791"/>
    </row>
    <row r="792">
      <c s="2" r="D792"/>
      <c s="2" r="F792"/>
    </row>
    <row r="793">
      <c s="2" r="D793"/>
      <c s="2" r="F793"/>
    </row>
    <row r="794">
      <c s="2" r="D794"/>
      <c s="2" r="F794"/>
    </row>
    <row r="795">
      <c s="2" r="D795"/>
      <c s="2" r="F795"/>
    </row>
    <row r="796">
      <c s="2" r="D796"/>
      <c s="2" r="F796"/>
    </row>
    <row r="797">
      <c s="2" r="D797"/>
      <c s="2" r="F797"/>
    </row>
    <row r="798">
      <c s="2" r="D798"/>
      <c s="2" r="F798"/>
    </row>
    <row r="799">
      <c s="2" r="D799"/>
      <c s="2" r="F799"/>
    </row>
    <row r="800">
      <c s="2" r="D800"/>
      <c s="2" r="F800"/>
    </row>
    <row r="801">
      <c s="2" r="D801"/>
      <c s="2" r="F801"/>
    </row>
    <row r="802">
      <c s="2" r="D802"/>
      <c s="2" r="F802"/>
    </row>
    <row r="803">
      <c s="2" r="D803"/>
      <c s="2" r="F803"/>
    </row>
    <row r="804">
      <c s="2" r="D804"/>
      <c s="2" r="F804"/>
    </row>
    <row r="805">
      <c s="2" r="D805"/>
      <c s="2" r="F805"/>
    </row>
    <row r="806">
      <c s="2" r="D806"/>
      <c s="2" r="F806"/>
    </row>
    <row r="807">
      <c s="2" r="D807"/>
      <c s="2" r="F807"/>
    </row>
    <row r="808">
      <c s="2" r="D808"/>
      <c s="2" r="F808"/>
    </row>
    <row r="809">
      <c s="2" r="D809"/>
      <c s="2" r="F809"/>
    </row>
    <row r="810">
      <c s="2" r="D810"/>
      <c s="2" r="F810"/>
    </row>
    <row r="811">
      <c s="2" r="D811"/>
      <c s="2" r="F811"/>
    </row>
    <row r="812">
      <c s="2" r="D812"/>
      <c s="2" r="F812"/>
    </row>
    <row r="813">
      <c s="2" r="D813"/>
      <c s="2" r="F813"/>
    </row>
    <row r="814">
      <c s="2" r="D814"/>
      <c s="2" r="F814"/>
    </row>
    <row r="815">
      <c s="2" r="D815"/>
      <c s="2" r="F815"/>
    </row>
    <row r="816">
      <c s="2" r="D816"/>
      <c s="2" r="F816"/>
    </row>
    <row r="817">
      <c s="2" r="D817"/>
      <c s="2" r="F817"/>
    </row>
    <row r="818">
      <c s="2" r="D818"/>
      <c s="2" r="F818"/>
    </row>
    <row r="819">
      <c s="2" r="D819"/>
      <c s="2" r="F819"/>
    </row>
    <row r="820">
      <c s="2" r="D820"/>
      <c s="2" r="F820"/>
    </row>
    <row r="821">
      <c s="2" r="D821"/>
      <c s="2" r="F821"/>
    </row>
    <row r="822">
      <c s="2" r="D822"/>
      <c s="2" r="F822"/>
    </row>
    <row r="823">
      <c s="2" r="D823"/>
      <c s="2" r="F823"/>
    </row>
    <row r="824">
      <c s="2" r="D824"/>
      <c s="2" r="F824"/>
    </row>
    <row r="825">
      <c s="2" r="D825"/>
      <c s="2" r="F825"/>
    </row>
    <row r="826">
      <c s="2" r="D826"/>
      <c s="2" r="F826"/>
    </row>
    <row r="827">
      <c s="2" r="D827"/>
      <c s="2" r="F827"/>
    </row>
    <row r="828">
      <c s="2" r="D828"/>
      <c s="2" r="F828"/>
    </row>
    <row r="829">
      <c s="2" r="D829"/>
      <c s="2" r="F829"/>
    </row>
    <row r="830">
      <c s="2" r="D830"/>
      <c s="2" r="F830"/>
    </row>
    <row r="831">
      <c s="2" r="D831"/>
      <c s="2" r="F831"/>
    </row>
    <row r="832">
      <c s="2" r="D832"/>
      <c s="2" r="F832"/>
    </row>
    <row r="833">
      <c s="2" r="D833"/>
      <c s="2" r="F833"/>
    </row>
    <row r="834">
      <c s="2" r="D834"/>
      <c s="2" r="F834"/>
    </row>
    <row r="835">
      <c s="2" r="D835"/>
      <c s="2" r="F835"/>
    </row>
    <row r="836">
      <c s="2" r="D836"/>
      <c s="2" r="F836"/>
    </row>
    <row r="837">
      <c s="2" r="D837"/>
      <c s="2" r="F837"/>
    </row>
    <row r="838">
      <c s="2" r="D838"/>
      <c s="2" r="F838"/>
    </row>
    <row r="839">
      <c s="2" r="D839"/>
      <c s="2" r="F839"/>
    </row>
    <row r="840">
      <c s="2" r="D840"/>
      <c s="2" r="F840"/>
    </row>
    <row r="841">
      <c s="2" r="D841"/>
      <c s="2" r="F841"/>
    </row>
    <row r="842">
      <c s="2" r="D842"/>
      <c s="2" r="F842"/>
    </row>
    <row r="843">
      <c s="2" r="D843"/>
      <c s="2" r="F843"/>
    </row>
    <row r="844">
      <c s="2" r="D844"/>
      <c s="2" r="F844"/>
    </row>
    <row r="845">
      <c s="2" r="D845"/>
      <c s="2" r="F845"/>
    </row>
    <row r="846">
      <c s="2" r="D846"/>
      <c s="2" r="F846"/>
    </row>
    <row r="847">
      <c s="2" r="D847"/>
      <c s="2" r="F847"/>
    </row>
    <row r="848">
      <c s="2" r="D848"/>
      <c s="2" r="F848"/>
    </row>
    <row r="849">
      <c s="2" r="D849"/>
      <c s="2" r="F849"/>
    </row>
    <row r="850">
      <c s="2" r="D850"/>
      <c s="2" r="F850"/>
    </row>
    <row r="851">
      <c s="2" r="D851"/>
      <c s="2" r="F851"/>
    </row>
    <row r="852">
      <c s="2" r="D852"/>
      <c s="2" r="F852"/>
    </row>
    <row r="853">
      <c s="2" r="D853"/>
      <c s="2" r="F853"/>
    </row>
    <row r="854">
      <c s="2" r="D854"/>
      <c s="2" r="F854"/>
    </row>
    <row r="855">
      <c s="2" r="D855"/>
      <c s="2" r="F855"/>
    </row>
    <row r="856">
      <c s="2" r="D856"/>
      <c s="2" r="F856"/>
    </row>
    <row r="857">
      <c s="2" r="D857"/>
      <c s="2" r="F857"/>
    </row>
    <row r="858">
      <c s="2" r="D858"/>
      <c s="2" r="F858"/>
    </row>
    <row r="859">
      <c s="2" r="D859"/>
      <c s="2" r="F859"/>
    </row>
    <row r="860">
      <c s="2" r="D860"/>
      <c s="2" r="F860"/>
    </row>
    <row r="861">
      <c s="2" r="D861"/>
      <c s="2" r="F861"/>
    </row>
    <row r="862">
      <c s="2" r="D862"/>
      <c s="2" r="F862"/>
    </row>
    <row r="863">
      <c s="2" r="D863"/>
      <c s="2" r="F863"/>
    </row>
    <row r="864">
      <c s="2" r="D864"/>
      <c s="2" r="F864"/>
    </row>
    <row r="865">
      <c s="2" r="D865"/>
      <c s="2" r="F865"/>
    </row>
    <row r="866">
      <c s="2" r="D866"/>
      <c s="2" r="F866"/>
    </row>
    <row r="867">
      <c s="2" r="D867"/>
      <c s="2" r="F867"/>
    </row>
    <row r="868">
      <c s="2" r="D868"/>
      <c s="2" r="F868"/>
    </row>
    <row r="869">
      <c s="2" r="D869"/>
      <c s="2" r="F869"/>
    </row>
    <row r="870">
      <c s="2" r="D870"/>
      <c s="2" r="F870"/>
    </row>
    <row r="871">
      <c s="2" r="D871"/>
      <c s="2" r="F871"/>
    </row>
    <row r="872">
      <c s="2" r="D872"/>
      <c s="2" r="F872"/>
    </row>
    <row r="873">
      <c s="2" r="D873"/>
      <c s="2" r="F873"/>
    </row>
    <row r="874">
      <c s="2" r="D874"/>
      <c s="2" r="F874"/>
    </row>
    <row r="875">
      <c s="2" r="D875"/>
      <c s="2" r="F875"/>
    </row>
    <row r="876">
      <c s="2" r="D876"/>
      <c s="2" r="F876"/>
    </row>
    <row r="877">
      <c s="2" r="D877"/>
      <c s="2" r="F877"/>
    </row>
    <row r="878">
      <c s="2" r="D878"/>
      <c s="2" r="F878"/>
    </row>
    <row r="879">
      <c s="2" r="D879"/>
      <c s="2" r="F879"/>
    </row>
    <row r="880">
      <c s="2" r="D880"/>
      <c s="2" r="F880"/>
    </row>
    <row r="881">
      <c s="2" r="D881"/>
      <c s="2" r="F881"/>
    </row>
    <row r="882">
      <c s="2" r="D882"/>
      <c s="2" r="F882"/>
    </row>
    <row r="883">
      <c s="2" r="D883"/>
      <c s="2" r="F883"/>
    </row>
    <row r="884">
      <c s="2" r="D884"/>
      <c s="2" r="F884"/>
    </row>
    <row r="885">
      <c s="2" r="D885"/>
      <c s="2" r="F885"/>
    </row>
    <row r="886">
      <c s="2" r="D886"/>
      <c s="2" r="F886"/>
    </row>
    <row r="887">
      <c s="2" r="D887"/>
      <c s="2" r="F887"/>
    </row>
    <row r="888">
      <c s="2" r="D888"/>
      <c s="2" r="F888"/>
    </row>
    <row r="889">
      <c s="2" r="D889"/>
      <c s="2" r="F889"/>
    </row>
    <row r="890">
      <c s="2" r="D890"/>
      <c s="2" r="F890"/>
    </row>
    <row r="891">
      <c s="2" r="D891"/>
      <c s="2" r="F891"/>
    </row>
    <row r="892">
      <c s="2" r="D892"/>
      <c s="2" r="F892"/>
    </row>
    <row r="893">
      <c s="2" r="D893"/>
      <c s="2" r="F893"/>
    </row>
    <row r="894">
      <c s="2" r="D894"/>
      <c s="2" r="F894"/>
    </row>
    <row r="895">
      <c s="2" r="D895"/>
      <c s="2" r="F895"/>
    </row>
    <row r="896">
      <c s="2" r="D896"/>
      <c s="2" r="F896"/>
    </row>
    <row r="897">
      <c s="2" r="D897"/>
      <c s="2" r="F897"/>
    </row>
    <row r="898">
      <c s="2" r="D898"/>
      <c s="2" r="F898"/>
    </row>
    <row r="899">
      <c s="2" r="D899"/>
      <c s="2" r="F899"/>
    </row>
    <row r="900">
      <c s="2" r="D900"/>
      <c s="2" r="F900"/>
    </row>
    <row r="901">
      <c s="2" r="D901"/>
      <c s="2" r="F901"/>
    </row>
    <row r="902">
      <c s="2" r="D902"/>
      <c s="2" r="F902"/>
    </row>
    <row r="903">
      <c s="2" r="D903"/>
      <c s="2" r="F903"/>
    </row>
    <row r="904">
      <c s="2" r="D904"/>
      <c s="2" r="F904"/>
    </row>
    <row r="905">
      <c s="2" r="D905"/>
      <c s="2" r="F905"/>
    </row>
    <row r="906">
      <c s="2" r="D906"/>
      <c s="2" r="F906"/>
    </row>
    <row r="907">
      <c s="2" r="D907"/>
      <c s="2" r="F907"/>
    </row>
    <row r="908">
      <c s="2" r="D908"/>
      <c s="2" r="F908"/>
    </row>
    <row r="909">
      <c s="2" r="D909"/>
      <c s="2" r="F909"/>
    </row>
    <row r="910">
      <c s="2" r="D910"/>
      <c s="2" r="F910"/>
    </row>
    <row r="911">
      <c s="2" r="D911"/>
      <c s="2" r="F911"/>
    </row>
    <row r="912">
      <c s="2" r="D912"/>
      <c s="2" r="F912"/>
    </row>
    <row r="913">
      <c s="2" r="D913"/>
      <c s="2" r="F913"/>
    </row>
    <row r="914">
      <c s="2" r="D914"/>
      <c s="2" r="F914"/>
    </row>
    <row r="915">
      <c s="2" r="D915"/>
      <c s="2" r="F915"/>
    </row>
    <row r="916">
      <c s="2" r="D916"/>
      <c s="2" r="F916"/>
    </row>
    <row r="917">
      <c s="2" r="D917"/>
      <c s="2" r="F917"/>
    </row>
    <row r="918">
      <c s="2" r="D918"/>
      <c s="2" r="F918"/>
    </row>
    <row r="919">
      <c s="2" r="D919"/>
      <c s="2" r="F919"/>
    </row>
    <row r="920">
      <c s="2" r="D920"/>
      <c s="2" r="F920"/>
    </row>
    <row r="921">
      <c s="2" r="D921"/>
      <c s="2" r="F921"/>
    </row>
    <row r="922">
      <c s="2" r="D922"/>
      <c s="2" r="F922"/>
    </row>
    <row r="923">
      <c s="2" r="D923"/>
      <c s="2" r="F923"/>
    </row>
    <row r="924">
      <c s="2" r="D924"/>
      <c s="2" r="F924"/>
    </row>
    <row r="925">
      <c s="2" r="D925"/>
      <c s="2" r="F925"/>
    </row>
    <row r="926">
      <c s="2" r="D926"/>
      <c s="2" r="F926"/>
    </row>
    <row r="927">
      <c s="2" r="D927"/>
      <c s="2" r="F927"/>
    </row>
    <row r="928">
      <c s="2" r="D928"/>
      <c s="2" r="F928"/>
    </row>
    <row r="929">
      <c s="2" r="D929"/>
      <c s="2" r="F929"/>
    </row>
    <row r="930">
      <c s="2" r="D930"/>
      <c s="2" r="F930"/>
    </row>
    <row r="931">
      <c s="2" r="D931"/>
      <c s="2" r="F931"/>
    </row>
    <row r="932">
      <c s="2" r="D932"/>
      <c s="2" r="F932"/>
    </row>
    <row r="933">
      <c s="2" r="D933"/>
      <c s="2" r="F933"/>
    </row>
    <row r="934">
      <c s="2" r="D934"/>
      <c s="2" r="F934"/>
    </row>
    <row r="935">
      <c s="2" r="D935"/>
      <c s="2" r="F935"/>
    </row>
    <row r="936">
      <c s="2" r="D936"/>
      <c s="2" r="F936"/>
    </row>
    <row r="937">
      <c s="2" r="D937"/>
      <c s="2" r="F937"/>
    </row>
    <row r="938">
      <c s="2" r="D938"/>
      <c s="2" r="F938"/>
    </row>
    <row r="939">
      <c s="2" r="D939"/>
      <c s="2" r="F939"/>
    </row>
    <row r="940">
      <c s="2" r="D940"/>
      <c s="2" r="F940"/>
    </row>
    <row r="941">
      <c s="2" r="D941"/>
      <c s="2" r="F941"/>
    </row>
    <row r="942">
      <c s="2" r="D942"/>
      <c s="2" r="F942"/>
    </row>
    <row r="943">
      <c s="2" r="D943"/>
      <c s="2" r="F943"/>
    </row>
    <row r="944">
      <c s="2" r="D944"/>
      <c s="2" r="F944"/>
    </row>
    <row r="945">
      <c s="2" r="D945"/>
      <c s="2" r="F945"/>
    </row>
    <row r="946">
      <c s="2" r="D946"/>
      <c s="2" r="F946"/>
    </row>
    <row r="947">
      <c s="2" r="D947"/>
      <c s="2" r="F947"/>
    </row>
    <row r="948">
      <c s="2" r="D948"/>
      <c s="2" r="F948"/>
    </row>
    <row r="949">
      <c s="2" r="D949"/>
      <c s="2" r="F949"/>
    </row>
    <row r="950">
      <c s="2" r="D950"/>
      <c s="2" r="F950"/>
    </row>
    <row r="951">
      <c s="2" r="D951"/>
      <c s="2" r="F951"/>
    </row>
    <row r="952">
      <c s="2" r="D952"/>
      <c s="2" r="F952"/>
    </row>
    <row r="953">
      <c s="2" r="D953"/>
      <c s="2" r="F953"/>
    </row>
    <row r="954">
      <c s="2" r="D954"/>
      <c s="2" r="F954"/>
    </row>
    <row r="955">
      <c s="2" r="D955"/>
      <c s="2" r="F955"/>
    </row>
    <row r="956">
      <c s="2" r="D956"/>
      <c s="2" r="F956"/>
    </row>
    <row r="957">
      <c s="2" r="D957"/>
      <c s="2" r="F957"/>
    </row>
    <row r="958">
      <c s="2" r="D958"/>
      <c s="2" r="F958"/>
    </row>
    <row r="959">
      <c s="2" r="D959"/>
      <c s="2" r="F959"/>
    </row>
    <row r="960">
      <c s="2" r="D960"/>
      <c s="2" r="F960"/>
    </row>
    <row r="961">
      <c s="2" r="D961"/>
      <c s="2" r="F961"/>
    </row>
    <row r="962">
      <c s="2" r="D962"/>
      <c s="2" r="F962"/>
    </row>
    <row r="963">
      <c s="2" r="D963"/>
      <c s="2" r="F963"/>
    </row>
    <row r="964">
      <c s="2" r="D964"/>
      <c s="2" r="F964"/>
    </row>
    <row r="965">
      <c s="2" r="D965"/>
      <c s="2" r="F965"/>
    </row>
    <row r="966">
      <c s="2" r="D966"/>
      <c s="2" r="F966"/>
    </row>
    <row r="967">
      <c s="2" r="D967"/>
      <c s="2" r="F967"/>
    </row>
    <row r="968">
      <c s="2" r="D968"/>
      <c s="2" r="F968"/>
    </row>
    <row r="969">
      <c s="2" r="D969"/>
      <c s="2" r="F969"/>
    </row>
    <row r="970">
      <c s="2" r="D970"/>
      <c s="2" r="F970"/>
    </row>
    <row r="971">
      <c s="2" r="D971"/>
      <c s="2" r="F971"/>
    </row>
    <row r="972">
      <c s="2" r="D972"/>
      <c s="2" r="F972"/>
    </row>
    <row r="973">
      <c s="2" r="D973"/>
      <c s="2" r="F973"/>
    </row>
    <row r="974">
      <c s="2" r="D974"/>
      <c s="2" r="F974"/>
    </row>
    <row r="975">
      <c s="2" r="D975"/>
      <c s="2" r="F975"/>
    </row>
    <row r="976">
      <c s="2" r="D976"/>
      <c s="2" r="F976"/>
    </row>
    <row r="977">
      <c s="2" r="D977"/>
      <c s="2" r="F977"/>
    </row>
    <row r="978">
      <c s="2" r="D978"/>
      <c s="2" r="F978"/>
    </row>
    <row r="979">
      <c s="2" r="D979"/>
      <c s="2" r="F979"/>
    </row>
    <row r="980">
      <c s="2" r="D980"/>
      <c s="2" r="F980"/>
    </row>
    <row r="981">
      <c s="2" r="D981"/>
      <c s="2" r="F981"/>
    </row>
    <row r="982">
      <c s="2" r="D982"/>
      <c s="2" r="F982"/>
    </row>
    <row r="983">
      <c s="2" r="D983"/>
      <c s="2" r="F983"/>
    </row>
    <row r="984">
      <c s="2" r="D984"/>
      <c s="2" r="F984"/>
    </row>
    <row r="985">
      <c s="2" r="D985"/>
      <c s="2" r="F985"/>
    </row>
    <row r="986">
      <c s="2" r="D986"/>
      <c s="2" r="F986"/>
    </row>
    <row r="987">
      <c s="2" r="D987"/>
      <c s="2" r="F987"/>
    </row>
    <row r="988">
      <c s="2" r="D988"/>
      <c s="2" r="F988"/>
    </row>
    <row r="989">
      <c s="2" r="D989"/>
      <c s="2" r="F989"/>
    </row>
    <row r="990">
      <c s="2" r="D990"/>
      <c s="2" r="F990"/>
    </row>
    <row r="991">
      <c s="2" r="D991"/>
      <c s="2" r="F991"/>
    </row>
    <row r="992">
      <c s="2" r="D992"/>
      <c s="2" r="F992"/>
    </row>
    <row r="993">
      <c s="2" r="D993"/>
      <c s="2" r="F993"/>
    </row>
    <row r="994">
      <c s="2" r="D994"/>
      <c s="2" r="F994"/>
    </row>
    <row r="995">
      <c s="2" r="D995"/>
      <c s="2" r="F995"/>
    </row>
    <row r="996">
      <c s="2" r="D996"/>
      <c s="2" r="F996"/>
    </row>
    <row r="997">
      <c s="2" r="D997"/>
      <c s="2" r="F997"/>
    </row>
    <row r="998">
      <c s="2" r="D998"/>
      <c s="2" r="F998"/>
    </row>
    <row r="999">
      <c s="2" r="D999"/>
      <c s="2" r="F999"/>
    </row>
    <row r="1000">
      <c s="2" r="D1000"/>
      <c s="2" r="F1000"/>
    </row>
    <row r="1001">
      <c s="2" r="D1001"/>
      <c s="2" r="F1001"/>
    </row>
    <row r="1002">
      <c s="2" r="D1002"/>
      <c s="2" r="F1002"/>
    </row>
    <row r="1003">
      <c s="2" r="D1003"/>
      <c s="2" r="F1003"/>
    </row>
    <row r="1004">
      <c s="2" r="D1004"/>
      <c s="2" r="F1004"/>
    </row>
    <row r="1005">
      <c s="2" r="D1005"/>
      <c s="2" r="F1005"/>
    </row>
    <row r="1006">
      <c s="2" r="D1006"/>
      <c s="2" r="F1006"/>
    </row>
    <row r="1007">
      <c s="2" r="D1007"/>
      <c s="2" r="F1007"/>
    </row>
    <row r="1008">
      <c s="2" r="D1008"/>
      <c s="2" r="F1008"/>
    </row>
    <row r="1009">
      <c s="2" r="D1009"/>
      <c s="2" r="F1009"/>
    </row>
    <row r="1010">
      <c s="2" r="D1010"/>
      <c s="2" r="F1010"/>
    </row>
    <row r="1011">
      <c s="2" r="D1011"/>
      <c s="2" r="F1011"/>
    </row>
    <row r="1012">
      <c s="2" r="D1012"/>
      <c s="2" r="F1012"/>
    </row>
    <row r="1013">
      <c s="2" r="D1013"/>
      <c s="2" r="F1013"/>
    </row>
    <row r="1014">
      <c s="2" r="D1014"/>
      <c s="2" r="F1014"/>
    </row>
    <row r="1015">
      <c s="2" r="D1015"/>
      <c s="2" r="F1015"/>
    </row>
    <row r="1016">
      <c s="2" r="D1016"/>
      <c s="2" r="F1016"/>
    </row>
    <row r="1017">
      <c s="2" r="D1017"/>
      <c s="2" r="F1017"/>
    </row>
    <row r="1018">
      <c s="2" r="D1018"/>
      <c s="2" r="F1018"/>
    </row>
    <row r="1019">
      <c s="2" r="D1019"/>
      <c s="2" r="F1019"/>
    </row>
    <row r="1020">
      <c s="2" r="D1020"/>
      <c s="2" r="F1020"/>
    </row>
    <row r="1021">
      <c s="2" r="D1021"/>
      <c s="2" r="F1021"/>
    </row>
    <row r="1022">
      <c s="2" r="D1022"/>
      <c s="2" r="F1022"/>
    </row>
    <row r="1023">
      <c s="2" r="D1023"/>
      <c s="2" r="F1023"/>
    </row>
    <row r="1024">
      <c s="2" r="D1024"/>
      <c s="2" r="F1024"/>
    </row>
    <row r="1025">
      <c s="2" r="D1025"/>
      <c s="2" r="F1025"/>
    </row>
    <row r="1026">
      <c s="2" r="D1026"/>
      <c s="2" r="F1026"/>
    </row>
    <row r="1027">
      <c s="2" r="D1027"/>
      <c s="2" r="F1027"/>
    </row>
    <row r="1028">
      <c s="2" r="D1028"/>
      <c s="2" r="F1028"/>
    </row>
    <row r="1029">
      <c s="2" r="D1029"/>
      <c s="2" r="F1029"/>
    </row>
    <row r="1030">
      <c s="2" r="D1030"/>
      <c s="2" r="F1030"/>
    </row>
    <row r="1031">
      <c s="2" r="D1031"/>
      <c s="2" r="F1031"/>
    </row>
    <row r="1032">
      <c s="2" r="D1032"/>
      <c s="2" r="F1032"/>
    </row>
    <row r="1033">
      <c s="2" r="D1033"/>
      <c s="2" r="F1033"/>
    </row>
    <row r="1034">
      <c s="2" r="D1034"/>
      <c s="2" r="F1034"/>
    </row>
    <row r="1035">
      <c s="2" r="D1035"/>
      <c s="2" r="F1035"/>
    </row>
    <row r="1036">
      <c s="2" r="D1036"/>
      <c s="2" r="F1036"/>
    </row>
    <row r="1037">
      <c s="2" r="D1037"/>
      <c s="2" r="F1037"/>
    </row>
    <row r="1038">
      <c s="2" r="D1038"/>
      <c s="2" r="F1038"/>
    </row>
    <row r="1039">
      <c s="2" r="D1039"/>
      <c s="2" r="F1039"/>
    </row>
    <row r="1040">
      <c s="2" r="D1040"/>
      <c s="2" r="F1040"/>
    </row>
    <row r="1041">
      <c s="2" r="D1041"/>
      <c s="2" r="F1041"/>
    </row>
    <row r="1042">
      <c s="2" r="D1042"/>
      <c s="2" r="F1042"/>
    </row>
    <row r="1043">
      <c s="2" r="D1043"/>
      <c s="2" r="F1043"/>
    </row>
    <row r="1044">
      <c s="2" r="D1044"/>
      <c s="2" r="F1044"/>
    </row>
    <row r="1045">
      <c s="2" r="D1045"/>
      <c s="2" r="F1045"/>
    </row>
    <row r="1046">
      <c s="2" r="D1046"/>
      <c s="2" r="F1046"/>
    </row>
    <row r="1047">
      <c s="2" r="D1047"/>
      <c s="2" r="F1047"/>
    </row>
    <row r="1048">
      <c s="2" r="D1048"/>
      <c s="2" r="F1048"/>
    </row>
    <row r="1049">
      <c s="2" r="D1049"/>
      <c s="2" r="F1049"/>
    </row>
    <row r="1050">
      <c s="2" r="D1050"/>
      <c s="2" r="F1050"/>
    </row>
    <row r="1051">
      <c s="2" r="D1051"/>
      <c s="2" r="F1051"/>
    </row>
    <row r="1052">
      <c s="2" r="D1052"/>
      <c s="2" r="F1052"/>
    </row>
    <row r="1053">
      <c s="2" r="D1053"/>
      <c s="2" r="F1053"/>
    </row>
    <row r="1054">
      <c s="2" r="D1054"/>
      <c s="2" r="F1054"/>
    </row>
    <row r="1055">
      <c s="2" r="D1055"/>
      <c s="2" r="F1055"/>
    </row>
    <row r="1056">
      <c s="2" r="D1056"/>
      <c s="2" r="F1056"/>
    </row>
    <row r="1057">
      <c s="2" r="D1057"/>
      <c s="2" r="F1057"/>
    </row>
    <row r="1058">
      <c s="2" r="D1058"/>
      <c s="2" r="F1058"/>
    </row>
    <row r="1059">
      <c s="2" r="D1059"/>
      <c s="2" r="F1059"/>
    </row>
    <row r="1060">
      <c s="2" r="D1060"/>
      <c s="2" r="F1060"/>
    </row>
    <row r="1061">
      <c s="2" r="D1061"/>
      <c s="2" r="F1061"/>
    </row>
    <row r="1062">
      <c s="2" r="D1062"/>
      <c s="2" r="F1062"/>
    </row>
    <row r="1063">
      <c s="2" r="D1063"/>
      <c s="2" r="F1063"/>
    </row>
    <row r="1064">
      <c s="2" r="D1064"/>
      <c s="2" r="F1064"/>
    </row>
    <row r="1065">
      <c s="2" r="D1065"/>
      <c s="2" r="F1065"/>
    </row>
    <row r="1066">
      <c s="2" r="D1066"/>
      <c s="2" r="F1066"/>
    </row>
    <row r="1067">
      <c s="2" r="D1067"/>
      <c s="2" r="F1067"/>
    </row>
    <row r="1068">
      <c s="2" r="D1068"/>
      <c s="2" r="F1068"/>
    </row>
    <row r="1069">
      <c s="2" r="D1069"/>
      <c s="2" r="F1069"/>
    </row>
    <row r="1070">
      <c s="2" r="D1070"/>
      <c s="2" r="F1070"/>
    </row>
    <row r="1071">
      <c s="2" r="D1071"/>
      <c s="2" r="F1071"/>
    </row>
    <row r="1072">
      <c s="2" r="D1072"/>
      <c s="2" r="F1072"/>
    </row>
    <row r="1073">
      <c s="2" r="D1073"/>
      <c s="2" r="F1073"/>
    </row>
    <row r="1074">
      <c s="2" r="D1074"/>
      <c s="2" r="F1074"/>
    </row>
    <row r="1075">
      <c s="2" r="D1075"/>
      <c s="2" r="F1075"/>
    </row>
    <row r="1076">
      <c s="2" r="D1076"/>
      <c s="2" r="F1076"/>
    </row>
    <row r="1077">
      <c s="2" r="D1077"/>
      <c s="2" r="F1077"/>
    </row>
    <row r="1078">
      <c s="2" r="D1078"/>
      <c s="2" r="F1078"/>
    </row>
    <row r="1079">
      <c s="2" r="D1079"/>
      <c s="2" r="F1079"/>
    </row>
    <row r="1080">
      <c s="2" r="D1080"/>
      <c s="2" r="F1080"/>
    </row>
    <row r="1081">
      <c s="2" r="D1081"/>
      <c s="2" r="F1081"/>
    </row>
    <row r="1082">
      <c s="2" r="D1082"/>
      <c s="2" r="F1082"/>
    </row>
    <row r="1083">
      <c s="2" r="D1083"/>
      <c s="2" r="F1083"/>
    </row>
    <row r="1084">
      <c s="2" r="D1084"/>
      <c s="2" r="F1084"/>
    </row>
    <row r="1085">
      <c s="2" r="D1085"/>
      <c s="2" r="F1085"/>
    </row>
    <row r="1086">
      <c s="2" r="D1086"/>
      <c s="2" r="F1086"/>
    </row>
    <row r="1087">
      <c s="2" r="D1087"/>
      <c s="2" r="F1087"/>
    </row>
    <row r="1088">
      <c s="2" r="D1088"/>
      <c s="2" r="F1088"/>
    </row>
    <row r="1089">
      <c s="2" r="D1089"/>
      <c s="2" r="F1089"/>
    </row>
    <row r="1090">
      <c s="2" r="D1090"/>
      <c s="2" r="F1090"/>
    </row>
    <row r="1091">
      <c s="2" r="D1091"/>
      <c s="2" r="F1091"/>
    </row>
    <row r="1092">
      <c s="2" r="D1092"/>
      <c s="2" r="F1092"/>
    </row>
    <row r="1093">
      <c s="2" r="D1093"/>
      <c s="2" r="F1093"/>
    </row>
    <row r="1094">
      <c s="2" r="D1094"/>
      <c s="2" r="F1094"/>
    </row>
    <row r="1095">
      <c s="2" r="D1095"/>
      <c s="2" r="F1095"/>
    </row>
    <row r="1096">
      <c s="2" r="D1096"/>
      <c s="2" r="F1096"/>
    </row>
    <row r="1097">
      <c s="2" r="D1097"/>
      <c s="2" r="F1097"/>
    </row>
    <row r="1098">
      <c s="2" r="D1098"/>
      <c s="2" r="F1098"/>
    </row>
    <row r="1099">
      <c s="2" r="D1099"/>
      <c s="2" r="F1099"/>
    </row>
    <row r="1100">
      <c s="2" r="D1100"/>
      <c s="2" r="F1100"/>
    </row>
    <row r="1101">
      <c s="2" r="D1101"/>
      <c s="2" r="F1101"/>
    </row>
    <row r="1102">
      <c s="2" r="D1102"/>
      <c s="2" r="F1102"/>
    </row>
    <row r="1103">
      <c s="2" r="D1103"/>
      <c s="2" r="F1103"/>
    </row>
    <row r="1104">
      <c s="2" r="D1104"/>
      <c s="2" r="F1104"/>
    </row>
    <row r="1105">
      <c s="2" r="D1105"/>
      <c s="2" r="F1105"/>
    </row>
    <row r="1106">
      <c s="2" r="D1106"/>
      <c s="2" r="F1106"/>
    </row>
    <row r="1107">
      <c s="2" r="D1107"/>
      <c s="2" r="F1107"/>
    </row>
    <row r="1108">
      <c s="2" r="D1108"/>
      <c s="2" r="F1108"/>
    </row>
    <row r="1109">
      <c s="2" r="D1109"/>
      <c s="2" r="F1109"/>
    </row>
    <row r="1110">
      <c s="2" r="D1110"/>
      <c s="2" r="F1110"/>
    </row>
    <row r="1111">
      <c s="2" r="D1111"/>
      <c s="2" r="F1111"/>
    </row>
    <row r="1112">
      <c s="2" r="D1112"/>
      <c s="2" r="F1112"/>
    </row>
    <row r="1113">
      <c s="2" r="D1113"/>
      <c s="2" r="F1113"/>
    </row>
    <row r="1114">
      <c s="2" r="D1114"/>
      <c s="2" r="F1114"/>
    </row>
    <row r="1115">
      <c s="2" r="D1115"/>
      <c s="2" r="F1115"/>
    </row>
    <row r="1116">
      <c s="2" r="D1116"/>
      <c s="2" r="F1116"/>
    </row>
    <row r="1117">
      <c s="2" r="D1117"/>
      <c s="2" r="F1117"/>
    </row>
    <row r="1118">
      <c s="2" r="D1118"/>
      <c s="2" r="F1118"/>
    </row>
    <row r="1119">
      <c s="2" r="D1119"/>
      <c s="2" r="F1119"/>
    </row>
    <row r="1120">
      <c s="2" r="D1120"/>
      <c s="2" r="F1120"/>
    </row>
    <row r="1121">
      <c s="2" r="D1121"/>
      <c s="2" r="F1121"/>
    </row>
    <row r="1122">
      <c s="2" r="D1122"/>
      <c s="2" r="F1122"/>
    </row>
    <row r="1123">
      <c s="2" r="D1123"/>
      <c s="2" r="F1123"/>
    </row>
    <row r="1124">
      <c s="2" r="D1124"/>
      <c s="2" r="F1124"/>
    </row>
    <row r="1125">
      <c s="2" r="D1125"/>
      <c s="2" r="F1125"/>
    </row>
    <row r="1126">
      <c s="2" r="D1126"/>
      <c s="2" r="F1126"/>
    </row>
    <row r="1127">
      <c s="2" r="D1127"/>
      <c s="2" r="F1127"/>
    </row>
    <row r="1128">
      <c s="2" r="D1128"/>
      <c s="2" r="F1128"/>
    </row>
    <row r="1129">
      <c s="2" r="D1129"/>
      <c s="2" r="F1129"/>
    </row>
    <row r="1130">
      <c s="2" r="D1130"/>
      <c s="2" r="F1130"/>
    </row>
    <row r="1131">
      <c s="2" r="D1131"/>
      <c s="2" r="F1131"/>
    </row>
    <row r="1132">
      <c s="2" r="D1132"/>
      <c s="2" r="F1132"/>
    </row>
    <row r="1133">
      <c s="2" r="D1133"/>
      <c s="2" r="F1133"/>
    </row>
    <row r="1134">
      <c s="2" r="D1134"/>
      <c s="2" r="F1134"/>
    </row>
    <row r="1135">
      <c s="2" r="D1135"/>
      <c s="2" r="F1135"/>
    </row>
    <row r="1136">
      <c s="2" r="D1136"/>
      <c s="2" r="F1136"/>
    </row>
    <row r="1137">
      <c s="2" r="D1137"/>
      <c s="2" r="F1137"/>
    </row>
    <row r="1138">
      <c s="2" r="D1138"/>
      <c s="2" r="F1138"/>
    </row>
    <row r="1139">
      <c s="2" r="D1139"/>
      <c s="2" r="F1139"/>
    </row>
    <row r="1140">
      <c s="2" r="D1140"/>
      <c s="2" r="F1140"/>
    </row>
    <row r="1141">
      <c s="2" r="D1141"/>
      <c s="2" r="F1141"/>
    </row>
    <row r="1142">
      <c s="2" r="D1142"/>
      <c s="2" r="F1142"/>
    </row>
    <row r="1143">
      <c s="2" r="D1143"/>
      <c s="2" r="F1143"/>
    </row>
    <row r="1144">
      <c s="2" r="D1144"/>
      <c s="2" r="F1144"/>
    </row>
    <row r="1145">
      <c s="2" r="D1145"/>
      <c s="2" r="F1145"/>
    </row>
    <row r="1146">
      <c s="2" r="D1146"/>
      <c s="2" r="F1146"/>
    </row>
    <row r="1147">
      <c s="2" r="D1147"/>
      <c s="2" r="F1147"/>
    </row>
    <row r="1148">
      <c s="2" r="D1148"/>
      <c s="2" r="F1148"/>
    </row>
    <row r="1149">
      <c s="2" r="D1149"/>
      <c s="2" r="F1149"/>
    </row>
    <row r="1150">
      <c s="2" r="D1150"/>
      <c s="2" r="F1150"/>
    </row>
    <row r="1151">
      <c s="2" r="D1151"/>
      <c s="2" r="F1151"/>
    </row>
    <row r="1152">
      <c s="2" r="D1152"/>
      <c s="2" r="F1152"/>
    </row>
    <row r="1153">
      <c s="2" r="D1153"/>
      <c s="2" r="F1153"/>
    </row>
    <row r="1154">
      <c s="2" r="D1154"/>
      <c s="2" r="F1154"/>
    </row>
    <row r="1155">
      <c s="2" r="D1155"/>
      <c s="2" r="F1155"/>
    </row>
    <row r="1156">
      <c s="2" r="D1156"/>
      <c s="2" r="F1156"/>
    </row>
    <row r="1157">
      <c s="2" r="D1157"/>
      <c s="2" r="F1157"/>
    </row>
    <row r="1158">
      <c s="2" r="D1158"/>
      <c s="2" r="F1158"/>
    </row>
    <row r="1159">
      <c s="2" r="D1159"/>
      <c s="2" r="F1159"/>
    </row>
    <row r="1160">
      <c s="2" r="D1160"/>
      <c s="2" r="F1160"/>
    </row>
    <row r="1161">
      <c s="2" r="D1161"/>
      <c s="2" r="F1161"/>
    </row>
    <row r="1162">
      <c s="2" r="D1162"/>
      <c s="2" r="F1162"/>
    </row>
    <row r="1163">
      <c s="2" r="D1163"/>
      <c s="2" r="F1163"/>
    </row>
    <row r="1164">
      <c s="2" r="D1164"/>
      <c s="2" r="F1164"/>
    </row>
    <row r="1165">
      <c s="2" r="D1165"/>
      <c s="2" r="F1165"/>
    </row>
    <row r="1166">
      <c s="2" r="D1166"/>
      <c s="2" r="F1166"/>
    </row>
    <row r="1167">
      <c s="2" r="D1167"/>
      <c s="2" r="F1167"/>
    </row>
    <row r="1168">
      <c s="2" r="D1168"/>
      <c s="2" r="F1168"/>
    </row>
    <row r="1169">
      <c s="2" r="D1169"/>
      <c s="2" r="F1169"/>
    </row>
    <row r="1170">
      <c s="2" r="D1170"/>
      <c s="2" r="F1170"/>
    </row>
    <row r="1171">
      <c s="2" r="D1171"/>
      <c s="2" r="F1171"/>
    </row>
    <row r="1172">
      <c s="2" r="D1172"/>
      <c s="2" r="F1172"/>
    </row>
    <row r="1173">
      <c s="2" r="D1173"/>
      <c s="2" r="F1173"/>
    </row>
    <row r="1174">
      <c s="2" r="D1174"/>
      <c s="2" r="F1174"/>
    </row>
    <row r="1175">
      <c s="2" r="D1175"/>
      <c s="2" r="F1175"/>
    </row>
    <row r="1176">
      <c s="2" r="D1176"/>
      <c s="2" r="F1176"/>
    </row>
    <row r="1177">
      <c s="2" r="D1177"/>
      <c s="2" r="F1177"/>
    </row>
    <row r="1178">
      <c s="2" r="D1178"/>
      <c s="2" r="F1178"/>
    </row>
    <row r="1179">
      <c s="2" r="D1179"/>
      <c s="2" r="F1179"/>
    </row>
    <row r="1180">
      <c s="2" r="D1180"/>
      <c s="2" r="F1180"/>
    </row>
    <row r="1181">
      <c s="2" r="D1181"/>
      <c s="2" r="F1181"/>
    </row>
    <row r="1182">
      <c s="2" r="D1182"/>
      <c s="2" r="F1182"/>
    </row>
    <row r="1183">
      <c s="2" r="D1183"/>
      <c s="2" r="F1183"/>
    </row>
    <row r="1184">
      <c s="2" r="D1184"/>
      <c s="2" r="F1184"/>
    </row>
    <row r="1185">
      <c s="2" r="D1185"/>
      <c s="2" r="F1185"/>
    </row>
    <row r="1186">
      <c s="2" r="D1186"/>
      <c s="2" r="F1186"/>
    </row>
    <row r="1187">
      <c s="2" r="D1187"/>
      <c s="2" r="F1187"/>
    </row>
    <row r="1188">
      <c s="2" r="D1188"/>
      <c s="2" r="F1188"/>
    </row>
    <row r="1189">
      <c s="2" r="D1189"/>
      <c s="2" r="F1189"/>
    </row>
    <row r="1190">
      <c s="2" r="D1190"/>
      <c s="2" r="F1190"/>
    </row>
    <row r="1191">
      <c s="2" r="D1191"/>
      <c s="2" r="F1191"/>
    </row>
    <row r="1192">
      <c s="2" r="D1192"/>
      <c s="2" r="F1192"/>
    </row>
    <row r="1193">
      <c s="2" r="D1193"/>
      <c s="2" r="F1193"/>
    </row>
    <row r="1194">
      <c s="2" r="D1194"/>
      <c s="2" r="F1194"/>
    </row>
    <row r="1195">
      <c s="2" r="D1195"/>
      <c s="2" r="F1195"/>
    </row>
    <row r="1196">
      <c s="2" r="D1196"/>
      <c s="2" r="F1196"/>
    </row>
    <row r="1197">
      <c s="2" r="D1197"/>
      <c s="2" r="F1197"/>
    </row>
    <row r="1198">
      <c s="2" r="D1198"/>
      <c s="2" r="F1198"/>
    </row>
    <row r="1199">
      <c s="2" r="D1199"/>
      <c s="2" r="F1199"/>
    </row>
    <row r="1200">
      <c s="2" r="D1200"/>
      <c s="2" r="F1200"/>
    </row>
    <row r="1201">
      <c s="2" r="D1201"/>
      <c s="2" r="F1201"/>
    </row>
    <row r="1202">
      <c s="2" r="D1202"/>
      <c s="2" r="F1202"/>
    </row>
    <row r="1203">
      <c s="2" r="D1203"/>
      <c s="2" r="F1203"/>
    </row>
    <row r="1204">
      <c s="2" r="D1204"/>
      <c s="2" r="F1204"/>
    </row>
    <row r="1205">
      <c s="2" r="D1205"/>
      <c s="2" r="F1205"/>
    </row>
    <row r="1206">
      <c s="2" r="D1206"/>
      <c s="2" r="F1206"/>
    </row>
    <row r="1207">
      <c s="2" r="D1207"/>
      <c s="2" r="F1207"/>
    </row>
    <row r="1208">
      <c s="2" r="D1208"/>
      <c s="2" r="F1208"/>
    </row>
    <row r="1209">
      <c s="2" r="D1209"/>
      <c s="2" r="F1209"/>
    </row>
    <row r="1210">
      <c s="2" r="D1210"/>
      <c s="2" r="F1210"/>
    </row>
    <row r="1211">
      <c s="2" r="D1211"/>
      <c s="2" r="F1211"/>
    </row>
    <row r="1212">
      <c s="2" r="D1212"/>
      <c s="2" r="F1212"/>
    </row>
    <row r="1213">
      <c s="2" r="D1213"/>
      <c s="2" r="F1213"/>
    </row>
    <row r="1214">
      <c s="2" r="D1214"/>
      <c s="2" r="F1214"/>
    </row>
    <row r="1215">
      <c s="2" r="D1215"/>
      <c s="2" r="F1215"/>
    </row>
    <row r="1216">
      <c s="2" r="D1216"/>
      <c s="2" r="F1216"/>
    </row>
    <row r="1217">
      <c s="2" r="D1217"/>
      <c s="2" r="F1217"/>
    </row>
    <row r="1218">
      <c s="2" r="D1218"/>
      <c s="2" r="F1218"/>
    </row>
    <row r="1219">
      <c s="2" r="D1219"/>
      <c s="2" r="F1219"/>
    </row>
    <row r="1220">
      <c s="2" r="D1220"/>
      <c s="2" r="F1220"/>
    </row>
    <row r="1221">
      <c s="2" r="D1221"/>
      <c s="2" r="F1221"/>
    </row>
    <row r="1222">
      <c s="2" r="D1222"/>
      <c s="2" r="F1222"/>
    </row>
    <row r="1223">
      <c s="2" r="D1223"/>
      <c s="2" r="F1223"/>
    </row>
    <row r="1224">
      <c s="2" r="D1224"/>
      <c s="2" r="F1224"/>
    </row>
    <row r="1225">
      <c s="2" r="D1225"/>
      <c s="2" r="F1225"/>
    </row>
    <row r="1226">
      <c s="2" r="D1226"/>
      <c s="2" r="F1226"/>
    </row>
    <row r="1227">
      <c s="2" r="D1227"/>
      <c s="2" r="F1227"/>
    </row>
    <row r="1228">
      <c s="2" r="D1228"/>
      <c s="2" r="F1228"/>
    </row>
    <row r="1229">
      <c s="2" r="D1229"/>
      <c s="2" r="F1229"/>
    </row>
    <row r="1230">
      <c s="2" r="D1230"/>
      <c s="2" r="F1230"/>
    </row>
    <row r="1231">
      <c s="2" r="D1231"/>
      <c s="2" r="F1231"/>
    </row>
    <row r="1232">
      <c s="2" r="D1232"/>
      <c s="2" r="F1232"/>
    </row>
    <row r="1233">
      <c s="2" r="D1233"/>
      <c s="2" r="F1233"/>
    </row>
    <row r="1234">
      <c s="2" r="D1234"/>
      <c s="2" r="F1234"/>
    </row>
    <row r="1235">
      <c s="2" r="D1235"/>
      <c s="2" r="F1235"/>
    </row>
    <row r="1236">
      <c s="2" r="D1236"/>
      <c s="2" r="F1236"/>
    </row>
    <row r="1237">
      <c s="2" r="D1237"/>
      <c s="2" r="F1237"/>
    </row>
    <row r="1238">
      <c s="2" r="D1238"/>
      <c s="2" r="F1238"/>
    </row>
    <row r="1239">
      <c s="2" r="D1239"/>
      <c s="2" r="F1239"/>
    </row>
    <row r="1240">
      <c s="2" r="D1240"/>
      <c s="2" r="F1240"/>
    </row>
    <row r="1241">
      <c s="2" r="D1241"/>
      <c s="2" r="F1241"/>
    </row>
    <row r="1242">
      <c s="2" r="D1242"/>
      <c s="2" r="F1242"/>
    </row>
    <row r="1243">
      <c s="2" r="D1243"/>
      <c s="2" r="F1243"/>
    </row>
    <row r="1244">
      <c s="2" r="D1244"/>
      <c s="2" r="F1244"/>
    </row>
    <row r="1245">
      <c s="2" r="D1245"/>
      <c s="2" r="F1245"/>
    </row>
    <row r="1246">
      <c s="2" r="D1246"/>
      <c s="2" r="F1246"/>
    </row>
    <row r="1247">
      <c s="2" r="D1247"/>
      <c s="2" r="F1247"/>
    </row>
    <row r="1248">
      <c s="2" r="D1248"/>
      <c s="2" r="F1248"/>
    </row>
    <row r="1249">
      <c s="2" r="D1249"/>
      <c s="2" r="F1249"/>
    </row>
    <row r="1250">
      <c s="2" r="D1250"/>
      <c s="2" r="F1250"/>
    </row>
    <row r="1251">
      <c s="2" r="D1251"/>
      <c s="2" r="F1251"/>
    </row>
    <row r="1252">
      <c s="2" r="D1252"/>
      <c s="2" r="F1252"/>
    </row>
    <row r="1253">
      <c s="2" r="D1253"/>
      <c s="2" r="F1253"/>
    </row>
    <row r="1254">
      <c s="2" r="D1254"/>
      <c s="2" r="F1254"/>
    </row>
    <row r="1255">
      <c s="2" r="D1255"/>
      <c s="2" r="F1255"/>
    </row>
    <row r="1256">
      <c s="2" r="D1256"/>
      <c s="2" r="F1256"/>
    </row>
    <row r="1257">
      <c s="2" r="D1257"/>
      <c s="2" r="F1257"/>
    </row>
    <row r="1258">
      <c s="2" r="D1258"/>
      <c s="2" r="F1258"/>
    </row>
    <row r="1259">
      <c s="2" r="D1259"/>
      <c s="2" r="F1259"/>
    </row>
    <row r="1260">
      <c s="2" r="D1260"/>
      <c s="2" r="F1260"/>
    </row>
    <row r="1261">
      <c s="2" r="D1261"/>
      <c s="2" r="F1261"/>
    </row>
    <row r="1262">
      <c s="2" r="D1262"/>
      <c s="2" r="F1262"/>
    </row>
    <row r="1263">
      <c s="2" r="D1263"/>
      <c s="2" r="F1263"/>
    </row>
    <row r="1264">
      <c s="2" r="D1264"/>
      <c s="2" r="F1264"/>
    </row>
    <row r="1265">
      <c s="2" r="D1265"/>
      <c s="2" r="F1265"/>
    </row>
    <row r="1266">
      <c s="2" r="D1266"/>
      <c s="2" r="F1266"/>
    </row>
    <row r="1267">
      <c s="2" r="D1267"/>
      <c s="2" r="F1267"/>
    </row>
    <row r="1268">
      <c s="2" r="D1268"/>
      <c s="2" r="F1268"/>
    </row>
    <row r="1269">
      <c s="2" r="D1269"/>
      <c s="2" r="F1269"/>
    </row>
    <row r="1270">
      <c s="2" r="D1270"/>
      <c s="2" r="F1270"/>
    </row>
    <row r="1271">
      <c s="2" r="D1271"/>
      <c s="2" r="F1271"/>
    </row>
    <row r="1272">
      <c s="2" r="D1272"/>
      <c s="2" r="F1272"/>
    </row>
    <row r="1273">
      <c s="2" r="D1273"/>
      <c s="2" r="F1273"/>
    </row>
    <row r="1274">
      <c s="2" r="D1274"/>
      <c s="2" r="F1274"/>
    </row>
    <row r="1275">
      <c s="2" r="D1275"/>
      <c s="2" r="F1275"/>
    </row>
    <row r="1276">
      <c s="2" r="D1276"/>
      <c s="2" r="F1276"/>
    </row>
    <row r="1277">
      <c s="2" r="D1277"/>
      <c s="2" r="F1277"/>
    </row>
    <row r="1278">
      <c s="2" r="D1278"/>
      <c s="2" r="F1278"/>
    </row>
    <row r="1279">
      <c s="2" r="D1279"/>
      <c s="2" r="F1279"/>
    </row>
    <row r="1280">
      <c s="2" r="D1280"/>
      <c s="2" r="F1280"/>
    </row>
    <row r="1281">
      <c s="2" r="D1281"/>
      <c s="2" r="F1281"/>
    </row>
    <row r="1282">
      <c s="2" r="D1282"/>
      <c s="2" r="F1282"/>
    </row>
    <row r="1283">
      <c s="2" r="D1283"/>
      <c s="2" r="F1283"/>
    </row>
    <row r="1284">
      <c s="2" r="D1284"/>
      <c s="2" r="F1284"/>
    </row>
    <row r="1285">
      <c s="2" r="D1285"/>
      <c s="2" r="F1285"/>
    </row>
    <row r="1286">
      <c s="2" r="D1286"/>
      <c s="2" r="F1286"/>
    </row>
    <row r="1287">
      <c s="2" r="D1287"/>
      <c s="2" r="F1287"/>
    </row>
    <row r="1288">
      <c s="2" r="D1288"/>
      <c s="2" r="F1288"/>
    </row>
    <row r="1289">
      <c s="2" r="D1289"/>
      <c s="2" r="F1289"/>
    </row>
    <row r="1290">
      <c s="2" r="D1290"/>
      <c s="2" r="F1290"/>
    </row>
    <row r="1291">
      <c s="2" r="D1291"/>
      <c s="2" r="F1291"/>
    </row>
    <row r="1292">
      <c s="2" r="D1292"/>
      <c s="2" r="F1292"/>
    </row>
    <row r="1293">
      <c s="2" r="D1293"/>
      <c s="2" r="F1293"/>
    </row>
    <row r="1294">
      <c s="2" r="D1294"/>
      <c s="2" r="F1294"/>
    </row>
    <row r="1295">
      <c s="2" r="D1295"/>
      <c s="2" r="F1295"/>
    </row>
    <row r="1296">
      <c s="2" r="D1296"/>
      <c s="2" r="F1296"/>
    </row>
    <row r="1297">
      <c s="2" r="D1297"/>
      <c s="2" r="F1297"/>
    </row>
    <row r="1298">
      <c s="2" r="D1298"/>
      <c s="2" r="F1298"/>
    </row>
    <row r="1299">
      <c s="2" r="D1299"/>
      <c s="2" r="F1299"/>
    </row>
    <row r="1300">
      <c s="2" r="D1300"/>
      <c s="2" r="F1300"/>
    </row>
    <row r="1301">
      <c s="2" r="D1301"/>
      <c s="2" r="F1301"/>
    </row>
    <row r="1302">
      <c s="2" r="D1302"/>
      <c s="2" r="F1302"/>
    </row>
    <row r="1303">
      <c s="2" r="D1303"/>
      <c s="2" r="F1303"/>
    </row>
    <row r="1304">
      <c s="2" r="D1304"/>
      <c s="2" r="F1304"/>
    </row>
    <row r="1305">
      <c s="2" r="D1305"/>
      <c s="2" r="F1305"/>
    </row>
    <row r="1306">
      <c s="2" r="D1306"/>
      <c s="2" r="F1306"/>
    </row>
    <row r="1307">
      <c s="2" r="D1307"/>
      <c s="2" r="F1307"/>
    </row>
    <row r="1308">
      <c s="2" r="D1308"/>
      <c s="2" r="F1308"/>
    </row>
    <row r="1309">
      <c s="2" r="D1309"/>
      <c s="2" r="F1309"/>
    </row>
    <row r="1310">
      <c s="2" r="D1310"/>
      <c s="2" r="F1310"/>
    </row>
    <row r="1311">
      <c s="2" r="D1311"/>
      <c s="2" r="F1311"/>
    </row>
    <row r="1312">
      <c s="2" r="D1312"/>
      <c s="2" r="F1312"/>
    </row>
    <row r="1313">
      <c s="2" r="D1313"/>
      <c s="2" r="F1313"/>
    </row>
    <row r="1314">
      <c s="2" r="D1314"/>
      <c s="2" r="F1314"/>
    </row>
    <row r="1315">
      <c s="2" r="D1315"/>
      <c s="2" r="F1315"/>
    </row>
    <row r="1316">
      <c s="2" r="D1316"/>
      <c s="2" r="F1316"/>
    </row>
    <row r="1317">
      <c s="2" r="D1317"/>
      <c s="2" r="F1317"/>
    </row>
    <row r="1318">
      <c s="2" r="D1318"/>
      <c s="2" r="F1318"/>
    </row>
    <row r="1319">
      <c s="2" r="D1319"/>
      <c s="2" r="F1319"/>
    </row>
    <row r="1320">
      <c s="2" r="D1320"/>
      <c s="2" r="F1320"/>
    </row>
    <row r="1321">
      <c s="2" r="D1321"/>
      <c s="2" r="F1321"/>
    </row>
    <row r="1322">
      <c s="2" r="D1322"/>
      <c s="2" r="F1322"/>
    </row>
    <row r="1323">
      <c s="2" r="D1323"/>
      <c s="2" r="F1323"/>
    </row>
    <row r="1324">
      <c s="2" r="D1324"/>
      <c s="2" r="F1324"/>
    </row>
    <row r="1325">
      <c s="2" r="D1325"/>
      <c s="2" r="F1325"/>
    </row>
    <row r="1326">
      <c s="2" r="D1326"/>
      <c s="2" r="F1326"/>
    </row>
    <row r="1327">
      <c s="2" r="D1327"/>
      <c s="2" r="F1327"/>
    </row>
    <row r="1328">
      <c s="2" r="D1328"/>
      <c s="2" r="F1328"/>
    </row>
    <row r="1329">
      <c s="2" r="D1329"/>
      <c s="2" r="F1329"/>
    </row>
    <row r="1330">
      <c s="2" r="D1330"/>
      <c s="2" r="F1330"/>
    </row>
    <row r="1331">
      <c s="2" r="D1331"/>
      <c s="2" r="F1331"/>
    </row>
    <row r="1332">
      <c s="2" r="D1332"/>
      <c s="2" r="F1332"/>
    </row>
    <row r="1333">
      <c s="2" r="D1333"/>
      <c s="2" r="F1333"/>
    </row>
    <row r="1334">
      <c s="2" r="D1334"/>
      <c s="2" r="F1334"/>
    </row>
    <row r="1335">
      <c s="2" r="D1335"/>
      <c s="2" r="F1335"/>
    </row>
    <row r="1336">
      <c s="2" r="D1336"/>
      <c s="2" r="F1336"/>
    </row>
    <row r="1337">
      <c s="2" r="D1337"/>
      <c s="2" r="F1337"/>
    </row>
    <row r="1338">
      <c s="2" r="D1338"/>
      <c s="2" r="F1338"/>
    </row>
    <row r="1339">
      <c s="2" r="D1339"/>
      <c s="2" r="F1339"/>
    </row>
    <row r="1340">
      <c s="2" r="D1340"/>
      <c s="2" r="F1340"/>
    </row>
    <row r="1341">
      <c s="2" r="D1341"/>
      <c s="2" r="F1341"/>
    </row>
    <row r="1342">
      <c s="2" r="D1342"/>
      <c s="2" r="F1342"/>
    </row>
    <row r="1343">
      <c s="2" r="D1343"/>
      <c s="2" r="F1343"/>
    </row>
    <row r="1344">
      <c s="2" r="D1344"/>
      <c s="2" r="F1344"/>
    </row>
    <row r="1345">
      <c s="2" r="D1345"/>
      <c s="2" r="F1345"/>
    </row>
    <row r="1346">
      <c s="2" r="D1346"/>
      <c s="2" r="F1346"/>
    </row>
    <row r="1347">
      <c s="2" r="D1347"/>
      <c s="2" r="F1347"/>
    </row>
    <row r="1348">
      <c s="2" r="D1348"/>
      <c s="2" r="F1348"/>
    </row>
    <row r="1349">
      <c s="2" r="D1349"/>
      <c s="2" r="F1349"/>
    </row>
    <row r="1350">
      <c s="2" r="D1350"/>
      <c s="2" r="F1350"/>
    </row>
    <row r="1351">
      <c s="2" r="D1351"/>
      <c s="2" r="F1351"/>
    </row>
    <row r="1352">
      <c s="2" r="D1352"/>
      <c s="2" r="F1352"/>
    </row>
    <row r="1353">
      <c s="2" r="D1353"/>
      <c s="2" r="F1353"/>
    </row>
    <row r="1354">
      <c s="2" r="D1354"/>
      <c s="2" r="F1354"/>
    </row>
    <row r="1355">
      <c s="2" r="D1355"/>
      <c s="2" r="F1355"/>
    </row>
    <row r="1356">
      <c s="2" r="D1356"/>
      <c s="2" r="F1356"/>
    </row>
    <row r="1357">
      <c s="2" r="D1357"/>
      <c s="2" r="F1357"/>
    </row>
    <row r="1358">
      <c s="2" r="D1358"/>
      <c s="2" r="F1358"/>
    </row>
    <row r="1359">
      <c s="2" r="D1359"/>
      <c s="2" r="F1359"/>
    </row>
    <row r="1360">
      <c s="2" r="D1360"/>
      <c s="2" r="F1360"/>
    </row>
    <row r="1361">
      <c s="2" r="D1361"/>
      <c s="2" r="F1361"/>
    </row>
    <row r="1362">
      <c s="2" r="D1362"/>
      <c s="2" r="F1362"/>
    </row>
    <row r="1363">
      <c s="2" r="D1363"/>
      <c s="2" r="F1363"/>
    </row>
    <row r="1364">
      <c s="2" r="D1364"/>
      <c s="2" r="F1364"/>
    </row>
    <row r="1365">
      <c s="2" r="D1365"/>
      <c s="2" r="F1365"/>
    </row>
    <row r="1366">
      <c s="2" r="D1366"/>
      <c s="2" r="F1366"/>
    </row>
    <row r="1367">
      <c s="2" r="D1367"/>
      <c s="2" r="F1367"/>
    </row>
    <row r="1368">
      <c s="2" r="D1368"/>
      <c s="2" r="F1368"/>
    </row>
    <row r="1369">
      <c s="2" r="D1369"/>
      <c s="2" r="F1369"/>
    </row>
    <row r="1370">
      <c s="2" r="D1370"/>
      <c s="2" r="F1370"/>
    </row>
    <row r="1371">
      <c s="2" r="D1371"/>
      <c s="2" r="F1371"/>
    </row>
    <row r="1372">
      <c s="2" r="D1372"/>
      <c s="2" r="F1372"/>
    </row>
    <row r="1373">
      <c s="2" r="D1373"/>
      <c s="2" r="F1373"/>
    </row>
    <row r="1374">
      <c s="2" r="D1374"/>
      <c s="2" r="F1374"/>
    </row>
    <row r="1375">
      <c s="2" r="D1375"/>
      <c s="2" r="F1375"/>
    </row>
    <row r="1376">
      <c s="2" r="D1376"/>
      <c s="2" r="F1376"/>
    </row>
    <row r="1377">
      <c s="2" r="D1377"/>
      <c s="2" r="F1377"/>
    </row>
    <row r="1378">
      <c s="2" r="D1378"/>
      <c s="2" r="F1378"/>
    </row>
    <row r="1379">
      <c s="2" r="D1379"/>
      <c s="2" r="F1379"/>
    </row>
    <row r="1380">
      <c s="2" r="D1380"/>
      <c s="2" r="F1380"/>
    </row>
    <row r="1381">
      <c s="2" r="D1381"/>
      <c s="2" r="F1381"/>
    </row>
    <row r="1382">
      <c s="2" r="D1382"/>
      <c s="2" r="F1382"/>
    </row>
    <row r="1383">
      <c s="2" r="D1383"/>
      <c s="2" r="F1383"/>
    </row>
    <row r="1384">
      <c s="2" r="D1384"/>
      <c s="2" r="F1384"/>
    </row>
    <row r="1385">
      <c s="2" r="D1385"/>
      <c s="2" r="F1385"/>
    </row>
    <row r="1386">
      <c s="2" r="D1386"/>
      <c s="2" r="F1386"/>
    </row>
    <row r="1387">
      <c s="2" r="D1387"/>
      <c s="2" r="F1387"/>
    </row>
    <row r="1388">
      <c s="2" r="D1388"/>
      <c s="2" r="F1388"/>
    </row>
    <row r="1389">
      <c s="2" r="D1389"/>
      <c s="2" r="F1389"/>
    </row>
    <row r="1390">
      <c s="2" r="D1390"/>
      <c s="2" r="F1390"/>
    </row>
    <row r="1391">
      <c s="2" r="D1391"/>
      <c s="2" r="F1391"/>
    </row>
    <row r="1392">
      <c s="2" r="D1392"/>
      <c s="2" r="F1392"/>
    </row>
    <row r="1393">
      <c s="2" r="D1393"/>
      <c s="2" r="F1393"/>
    </row>
    <row r="1394">
      <c s="2" r="D1394"/>
      <c s="2" r="F1394"/>
    </row>
    <row r="1395">
      <c s="2" r="D1395"/>
      <c s="2" r="F1395"/>
    </row>
    <row r="1396">
      <c s="2" r="D1396"/>
      <c s="2" r="F1396"/>
    </row>
    <row r="1397">
      <c s="2" r="D1397"/>
      <c s="2" r="F1397"/>
    </row>
    <row r="1398">
      <c s="2" r="D1398"/>
      <c s="2" r="F1398"/>
    </row>
    <row r="1399">
      <c s="2" r="D1399"/>
      <c s="2" r="F1399"/>
    </row>
    <row r="1400">
      <c s="2" r="D1400"/>
      <c s="2" r="F1400"/>
    </row>
    <row r="1401">
      <c s="2" r="D1401"/>
      <c s="2" r="F1401"/>
    </row>
    <row r="1402">
      <c s="2" r="D1402"/>
      <c s="2" r="F1402"/>
    </row>
    <row r="1403">
      <c s="2" r="D1403"/>
      <c s="2" r="F1403"/>
    </row>
    <row r="1404">
      <c s="2" r="D1404"/>
      <c s="2" r="F1404"/>
    </row>
    <row r="1405">
      <c s="2" r="D1405"/>
      <c s="2" r="F1405"/>
    </row>
    <row r="1406">
      <c s="2" r="D1406"/>
      <c s="2" r="F1406"/>
    </row>
    <row r="1407">
      <c s="2" r="D1407"/>
      <c s="2" r="F1407"/>
    </row>
    <row r="1408">
      <c s="2" r="D1408"/>
      <c s="2" r="F1408"/>
    </row>
    <row r="1409">
      <c s="2" r="D1409"/>
      <c s="2" r="F1409"/>
    </row>
    <row r="1410">
      <c s="2" r="D1410"/>
      <c s="2" r="F1410"/>
    </row>
    <row r="1411">
      <c s="2" r="D1411"/>
      <c s="2" r="F1411"/>
    </row>
    <row r="1412">
      <c s="2" r="D1412"/>
      <c s="2" r="F1412"/>
    </row>
    <row r="1413">
      <c s="2" r="D1413"/>
      <c s="2" r="F1413"/>
    </row>
    <row r="1414">
      <c s="2" r="D1414"/>
      <c s="2" r="F1414"/>
    </row>
    <row r="1415">
      <c s="2" r="D1415"/>
      <c s="2" r="F1415"/>
    </row>
    <row r="1416">
      <c s="2" r="D1416"/>
      <c s="2" r="F1416"/>
    </row>
    <row r="1417">
      <c s="2" r="D1417"/>
      <c s="2" r="F1417"/>
    </row>
    <row r="1418">
      <c s="2" r="D1418"/>
      <c s="2" r="F1418"/>
    </row>
    <row r="1419">
      <c s="2" r="D1419"/>
      <c s="2" r="F1419"/>
    </row>
    <row r="1420">
      <c s="2" r="D1420"/>
      <c s="2" r="F1420"/>
    </row>
    <row r="1421">
      <c s="2" r="D1421"/>
      <c s="2" r="F1421"/>
    </row>
    <row r="1422">
      <c s="2" r="D1422"/>
      <c s="2" r="F1422"/>
    </row>
    <row r="1423">
      <c s="2" r="D1423"/>
      <c s="2" r="F1423"/>
    </row>
    <row r="1424">
      <c s="2" r="D1424"/>
      <c s="2" r="F1424"/>
    </row>
    <row r="1425">
      <c s="2" r="D1425"/>
      <c s="2" r="F1425"/>
    </row>
    <row r="1426">
      <c s="2" r="D1426"/>
      <c s="2" r="F1426"/>
    </row>
    <row r="1427">
      <c s="2" r="D1427"/>
      <c s="2" r="F1427"/>
    </row>
    <row r="1428">
      <c s="2" r="D1428"/>
      <c s="2" r="F1428"/>
    </row>
    <row r="1429">
      <c s="2" r="D1429"/>
      <c s="2" r="F1429"/>
    </row>
    <row r="1430">
      <c s="2" r="D1430"/>
      <c s="2" r="F1430"/>
    </row>
    <row r="1431">
      <c s="2" r="D1431"/>
      <c s="2" r="F1431"/>
    </row>
    <row r="1432">
      <c s="2" r="D1432"/>
      <c s="2" r="F1432"/>
    </row>
    <row r="1433">
      <c s="2" r="D1433"/>
      <c s="2" r="F1433"/>
    </row>
    <row r="1434">
      <c s="2" r="D1434"/>
      <c s="2" r="F1434"/>
    </row>
    <row r="1435">
      <c s="2" r="D1435"/>
      <c s="2" r="F1435"/>
    </row>
    <row r="1436">
      <c s="2" r="D1436"/>
      <c s="2" r="F1436"/>
    </row>
    <row r="1437">
      <c s="2" r="D1437"/>
      <c s="2" r="F1437"/>
    </row>
    <row r="1438">
      <c s="2" r="D1438"/>
      <c s="2" r="F1438"/>
    </row>
    <row r="1439">
      <c s="2" r="D1439"/>
      <c s="2" r="F1439"/>
    </row>
    <row r="1440">
      <c s="2" r="D1440"/>
      <c s="2" r="F1440"/>
    </row>
    <row r="1441">
      <c s="2" r="D1441"/>
      <c s="2" r="F1441"/>
    </row>
    <row r="1442">
      <c s="2" r="D1442"/>
      <c s="2" r="F1442"/>
    </row>
    <row r="1443">
      <c s="2" r="D1443"/>
      <c s="2" r="F1443"/>
    </row>
    <row r="1444">
      <c s="2" r="D1444"/>
      <c s="2" r="F1444"/>
    </row>
    <row r="1445">
      <c s="2" r="D1445"/>
      <c s="2" r="F1445"/>
    </row>
    <row r="1446">
      <c s="2" r="D1446"/>
      <c s="2" r="F1446"/>
    </row>
    <row r="1447">
      <c s="2" r="D1447"/>
      <c s="2" r="F1447"/>
    </row>
    <row r="1448">
      <c s="2" r="D1448"/>
      <c s="2" r="F1448"/>
    </row>
    <row r="1449">
      <c s="2" r="D1449"/>
      <c s="2" r="F1449"/>
    </row>
    <row r="1450">
      <c s="2" r="D1450"/>
      <c s="2" r="F1450"/>
    </row>
    <row r="1451">
      <c s="2" r="D1451"/>
      <c s="2" r="F1451"/>
    </row>
    <row r="1452">
      <c s="2" r="D1452"/>
      <c s="2" r="F1452"/>
    </row>
    <row r="1453">
      <c s="2" r="D1453"/>
      <c s="2" r="F1453"/>
    </row>
    <row r="1454">
      <c s="2" r="D1454"/>
      <c s="2" r="F1454"/>
    </row>
    <row r="1455">
      <c s="2" r="D1455"/>
      <c s="2" r="F1455"/>
    </row>
    <row r="1456">
      <c s="2" r="D1456"/>
      <c s="2" r="F1456"/>
    </row>
    <row r="1457">
      <c s="2" r="D1457"/>
      <c s="2" r="F1457"/>
    </row>
    <row r="1458">
      <c s="2" r="D1458"/>
      <c s="2" r="F1458"/>
    </row>
    <row r="1459">
      <c s="2" r="D1459"/>
      <c s="2" r="F1459"/>
    </row>
    <row r="1460">
      <c s="2" r="D1460"/>
      <c s="2" r="F1460"/>
    </row>
    <row r="1461">
      <c s="2" r="D1461"/>
      <c s="2" r="F1461"/>
    </row>
    <row r="1462">
      <c s="2" r="D1462"/>
      <c s="2" r="F1462"/>
    </row>
    <row r="1463">
      <c s="2" r="D1463"/>
      <c s="2" r="F1463"/>
    </row>
    <row r="1464">
      <c s="2" r="D1464"/>
      <c s="2" r="F1464"/>
    </row>
    <row r="1465">
      <c s="2" r="D1465"/>
      <c s="2" r="F1465"/>
    </row>
    <row r="1466">
      <c s="2" r="D1466"/>
      <c s="2" r="F1466"/>
    </row>
    <row r="1467">
      <c s="2" r="D1467"/>
      <c s="2" r="F1467"/>
    </row>
    <row r="1468">
      <c s="2" r="D1468"/>
      <c s="2" r="F1468"/>
    </row>
    <row r="1469">
      <c s="2" r="D1469"/>
      <c s="2" r="F1469"/>
    </row>
    <row r="1470">
      <c s="2" r="D1470"/>
      <c s="2" r="F1470"/>
    </row>
    <row r="1471">
      <c s="2" r="D1471"/>
      <c s="2" r="F1471"/>
    </row>
    <row r="1472">
      <c s="2" r="D1472"/>
      <c s="2" r="F1472"/>
    </row>
    <row r="1473">
      <c s="2" r="D1473"/>
      <c s="2" r="F1473"/>
    </row>
    <row r="1474">
      <c s="2" r="D1474"/>
      <c s="2" r="F1474"/>
    </row>
    <row r="1475">
      <c s="2" r="D1475"/>
      <c s="2" r="F1475"/>
    </row>
    <row r="1476">
      <c s="2" r="D1476"/>
      <c s="2" r="F1476"/>
    </row>
    <row r="1477">
      <c s="2" r="D1477"/>
      <c s="2" r="F1477"/>
    </row>
    <row r="1478">
      <c s="2" r="D1478"/>
      <c s="2" r="F1478"/>
    </row>
    <row r="1479">
      <c s="2" r="D1479"/>
      <c s="2" r="F1479"/>
    </row>
    <row r="1480">
      <c s="2" r="D1480"/>
      <c s="2" r="F1480"/>
    </row>
    <row r="1481">
      <c s="2" r="D1481"/>
      <c s="2" r="F1481"/>
    </row>
    <row r="1482">
      <c s="2" r="D1482"/>
      <c s="2" r="F1482"/>
    </row>
    <row r="1483">
      <c s="2" r="D1483"/>
      <c s="2" r="F1483"/>
    </row>
    <row r="1484">
      <c s="2" r="D1484"/>
      <c s="2" r="F1484"/>
    </row>
    <row r="1485">
      <c s="2" r="D1485"/>
      <c s="2" r="F1485"/>
    </row>
    <row r="1486">
      <c s="2" r="D1486"/>
      <c s="2" r="F1486"/>
    </row>
    <row r="1487">
      <c s="2" r="D1487"/>
      <c s="2" r="F1487"/>
    </row>
    <row r="1488">
      <c s="2" r="D1488"/>
      <c s="2" r="F1488"/>
    </row>
    <row r="1489">
      <c s="2" r="D1489"/>
      <c s="2" r="F1489"/>
    </row>
    <row r="1490">
      <c s="2" r="D1490"/>
      <c s="2" r="F1490"/>
    </row>
    <row r="1491">
      <c s="2" r="D1491"/>
      <c s="2" r="F1491"/>
    </row>
    <row r="1492">
      <c s="2" r="D1492"/>
      <c s="2" r="F1492"/>
    </row>
    <row r="1493">
      <c s="2" r="D1493"/>
      <c s="2" r="F1493"/>
    </row>
    <row r="1494">
      <c s="2" r="D1494"/>
      <c s="2" r="F1494"/>
    </row>
    <row r="1495">
      <c s="2" r="D1495"/>
      <c s="2" r="F1495"/>
    </row>
    <row r="1496">
      <c s="2" r="D1496"/>
      <c s="2" r="F1496"/>
    </row>
    <row r="1497">
      <c s="2" r="D1497"/>
      <c s="2" r="F1497"/>
    </row>
    <row r="1498">
      <c s="2" r="D1498"/>
      <c s="2" r="F1498"/>
    </row>
    <row r="1499">
      <c s="2" r="D1499"/>
      <c s="2" r="F1499"/>
    </row>
    <row r="1500">
      <c s="2" r="D1500"/>
      <c s="2" r="F1500"/>
    </row>
    <row r="1501">
      <c s="2" r="D1501"/>
      <c s="2" r="F1501"/>
    </row>
    <row r="1502">
      <c s="2" r="D1502"/>
      <c s="2" r="F1502"/>
    </row>
    <row r="1503">
      <c s="2" r="D1503"/>
      <c s="2" r="F1503"/>
    </row>
    <row r="1504">
      <c s="2" r="D1504"/>
      <c s="2" r="F1504"/>
    </row>
    <row r="1505">
      <c s="2" r="D1505"/>
      <c s="2" r="F1505"/>
    </row>
    <row r="1506">
      <c s="2" r="D1506"/>
      <c s="2" r="F1506"/>
    </row>
    <row r="1507">
      <c s="2" r="D1507"/>
      <c s="2" r="F1507"/>
    </row>
    <row r="1508">
      <c s="2" r="D1508"/>
      <c s="2" r="F1508"/>
    </row>
    <row r="1509">
      <c s="2" r="D1509"/>
      <c s="2" r="F1509"/>
    </row>
    <row r="1510">
      <c s="2" r="D1510"/>
      <c s="2" r="F1510"/>
    </row>
    <row r="1511">
      <c s="2" r="D1511"/>
      <c s="2" r="F1511"/>
    </row>
    <row r="1512">
      <c s="2" r="D1512"/>
      <c s="2" r="F1512"/>
    </row>
    <row r="1513">
      <c s="2" r="D1513"/>
      <c s="2" r="F1513"/>
    </row>
    <row r="1514">
      <c s="2" r="D1514"/>
      <c s="2" r="F1514"/>
    </row>
    <row r="1515">
      <c s="2" r="D1515"/>
      <c s="2" r="F1515"/>
    </row>
    <row r="1516">
      <c s="2" r="D1516"/>
      <c s="2" r="F1516"/>
    </row>
    <row r="1517">
      <c s="2" r="D1517"/>
      <c s="2" r="F1517"/>
    </row>
    <row r="1518">
      <c s="2" r="D1518"/>
      <c s="2" r="F1518"/>
    </row>
    <row r="1519">
      <c s="2" r="D1519"/>
      <c s="2" r="F1519"/>
    </row>
    <row r="1520">
      <c s="2" r="D1520"/>
      <c s="2" r="F1520"/>
    </row>
    <row r="1521">
      <c s="2" r="D1521"/>
      <c s="2" r="F1521"/>
    </row>
    <row r="1522">
      <c s="2" r="D1522"/>
      <c s="2" r="F1522"/>
    </row>
    <row r="1523">
      <c s="2" r="D1523"/>
      <c s="2" r="F1523"/>
    </row>
    <row r="1524">
      <c s="2" r="D1524"/>
      <c s="2" r="F1524"/>
    </row>
    <row r="1525">
      <c s="2" r="D1525"/>
      <c s="2" r="F1525"/>
    </row>
    <row r="1526">
      <c s="2" r="D1526"/>
      <c s="2" r="F1526"/>
    </row>
    <row r="1527">
      <c s="2" r="D1527"/>
      <c s="2" r="F1527"/>
    </row>
    <row r="1528">
      <c s="2" r="D1528"/>
      <c s="2" r="F1528"/>
    </row>
    <row r="1529">
      <c s="2" r="D1529"/>
      <c s="2" r="F1529"/>
    </row>
    <row r="1530">
      <c s="2" r="D1530"/>
      <c s="2" r="F1530"/>
    </row>
    <row r="1531">
      <c s="2" r="D1531"/>
      <c s="2" r="F1531"/>
    </row>
    <row r="1532">
      <c s="2" r="D1532"/>
      <c s="2" r="F1532"/>
    </row>
    <row r="1533">
      <c s="2" r="D1533"/>
      <c s="2" r="F1533"/>
    </row>
    <row r="1534">
      <c s="2" r="D1534"/>
      <c s="2" r="F1534"/>
    </row>
    <row r="1535">
      <c s="2" r="D1535"/>
      <c s="2" r="F1535"/>
    </row>
    <row r="1536">
      <c s="2" r="D1536"/>
      <c s="2" r="F1536"/>
    </row>
    <row r="1537">
      <c s="2" r="D1537"/>
      <c s="2" r="F1537"/>
    </row>
    <row r="1538">
      <c s="2" r="D1538"/>
      <c s="2" r="F1538"/>
    </row>
    <row r="1539">
      <c s="2" r="D1539"/>
      <c s="2" r="F1539"/>
    </row>
    <row r="1540">
      <c s="2" r="D1540"/>
      <c s="2" r="F1540"/>
    </row>
    <row r="1541">
      <c s="2" r="D1541"/>
      <c s="2" r="F1541"/>
    </row>
    <row r="1542">
      <c s="2" r="D1542"/>
      <c s="2" r="F1542"/>
    </row>
    <row r="1543">
      <c s="2" r="D1543"/>
      <c s="2" r="F1543"/>
    </row>
    <row r="1544">
      <c s="2" r="D1544"/>
      <c s="2" r="F1544"/>
    </row>
    <row r="1545">
      <c s="2" r="D1545"/>
      <c s="2" r="F1545"/>
    </row>
    <row r="1546">
      <c s="2" r="D1546"/>
      <c s="2" r="F1546"/>
    </row>
    <row r="1547">
      <c s="2" r="D1547"/>
      <c s="2" r="F1547"/>
    </row>
    <row r="1548">
      <c s="2" r="D1548"/>
      <c s="2" r="F1548"/>
    </row>
    <row r="1549">
      <c s="2" r="D1549"/>
      <c s="2" r="F1549"/>
    </row>
    <row r="1550">
      <c s="2" r="D1550"/>
      <c s="2" r="F1550"/>
    </row>
    <row r="1551">
      <c s="2" r="D1551"/>
      <c s="2" r="F1551"/>
    </row>
    <row r="1552">
      <c s="2" r="D1552"/>
      <c s="2" r="F1552"/>
    </row>
    <row r="1553">
      <c s="2" r="D1553"/>
      <c s="2" r="F1553"/>
    </row>
    <row r="1554">
      <c s="2" r="D1554"/>
      <c s="2" r="F1554"/>
    </row>
    <row r="1555">
      <c s="2" r="D1555"/>
      <c s="2" r="F1555"/>
    </row>
    <row r="1556">
      <c s="2" r="D1556"/>
      <c s="2" r="F1556"/>
    </row>
    <row r="1557">
      <c s="2" r="D1557"/>
      <c s="2" r="F1557"/>
    </row>
    <row r="1558">
      <c s="2" r="D1558"/>
      <c s="2" r="F1558"/>
    </row>
    <row r="1559">
      <c s="2" r="D1559"/>
      <c s="2" r="F1559"/>
    </row>
    <row r="1560">
      <c s="2" r="D1560"/>
      <c s="2" r="F1560"/>
    </row>
    <row r="1561">
      <c s="2" r="D1561"/>
      <c s="2" r="F1561"/>
    </row>
    <row r="1562">
      <c s="2" r="D1562"/>
      <c s="2" r="F1562"/>
    </row>
    <row r="1563">
      <c s="2" r="D1563"/>
      <c s="2" r="F1563"/>
    </row>
    <row r="1564">
      <c s="2" r="D1564"/>
      <c s="2" r="F1564"/>
    </row>
    <row r="1565">
      <c s="2" r="D1565"/>
      <c s="2" r="F1565"/>
    </row>
    <row r="1566">
      <c s="2" r="D1566"/>
      <c s="2" r="F1566"/>
    </row>
    <row r="1567">
      <c s="2" r="D1567"/>
      <c s="2" r="F1567"/>
    </row>
    <row r="1568">
      <c s="2" r="D1568"/>
      <c s="2" r="F1568"/>
    </row>
    <row r="1569">
      <c s="2" r="D1569"/>
      <c s="2" r="F1569"/>
    </row>
    <row r="1570">
      <c s="2" r="D1570"/>
      <c s="2" r="F1570"/>
    </row>
    <row r="1571">
      <c s="2" r="D1571"/>
      <c s="2" r="F1571"/>
    </row>
    <row r="1572">
      <c s="2" r="D1572"/>
      <c s="2" r="F1572"/>
    </row>
    <row r="1573">
      <c s="2" r="D1573"/>
      <c s="2" r="F1573"/>
    </row>
    <row r="1574">
      <c s="2" r="D1574"/>
      <c s="2" r="F1574"/>
    </row>
    <row r="1575">
      <c s="2" r="D1575"/>
      <c s="2" r="F1575"/>
    </row>
    <row r="1576">
      <c s="2" r="D1576"/>
      <c s="2" r="F1576"/>
    </row>
    <row r="1577">
      <c s="2" r="D1577"/>
      <c s="2" r="F1577"/>
    </row>
    <row r="1578">
      <c s="2" r="D1578"/>
      <c s="2" r="F1578"/>
    </row>
    <row r="1579">
      <c s="2" r="D1579"/>
      <c s="2" r="F1579"/>
    </row>
    <row r="1580">
      <c s="2" r="D1580"/>
      <c s="2" r="F1580"/>
    </row>
    <row r="1581">
      <c s="2" r="D1581"/>
      <c s="2" r="F1581"/>
    </row>
    <row r="1582">
      <c s="2" r="D1582"/>
      <c s="2" r="F1582"/>
    </row>
    <row r="1583">
      <c s="2" r="D1583"/>
      <c s="2" r="F1583"/>
    </row>
    <row r="1584">
      <c s="2" r="D1584"/>
      <c s="2" r="F1584"/>
    </row>
    <row r="1585">
      <c s="2" r="D1585"/>
      <c s="2" r="F1585"/>
    </row>
    <row r="1586">
      <c s="2" r="D1586"/>
      <c s="2" r="F1586"/>
    </row>
    <row r="1587">
      <c s="2" r="D1587"/>
      <c s="2" r="F1587"/>
    </row>
    <row r="1588">
      <c s="2" r="D1588"/>
      <c s="2" r="F1588"/>
    </row>
    <row r="1589">
      <c s="2" r="D1589"/>
      <c s="2" r="F1589"/>
    </row>
    <row r="1590">
      <c s="2" r="D1590"/>
      <c s="2" r="F1590"/>
    </row>
    <row r="1591">
      <c s="2" r="D1591"/>
      <c s="2" r="F1591"/>
    </row>
    <row r="1592">
      <c s="2" r="D1592"/>
      <c s="2" r="F1592"/>
    </row>
    <row r="1593">
      <c s="2" r="D1593"/>
      <c s="2" r="F1593"/>
    </row>
    <row r="1594">
      <c s="2" r="D1594"/>
      <c s="2" r="F1594"/>
    </row>
    <row r="1595">
      <c s="2" r="D1595"/>
      <c s="2" r="F1595"/>
    </row>
    <row r="1596">
      <c s="2" r="D1596"/>
      <c s="2" r="F1596"/>
    </row>
    <row r="1597">
      <c s="2" r="D1597"/>
      <c s="2" r="F1597"/>
    </row>
    <row r="1598">
      <c s="2" r="D1598"/>
      <c s="2" r="F1598"/>
    </row>
    <row r="1599">
      <c s="2" r="D1599"/>
      <c s="2" r="F1599"/>
    </row>
    <row r="1600">
      <c s="2" r="D1600"/>
      <c s="2" r="F1600"/>
    </row>
    <row r="1601">
      <c s="2" r="D1601"/>
      <c s="2" r="F1601"/>
    </row>
    <row r="1602">
      <c s="2" r="D1602"/>
      <c s="2" r="F1602"/>
    </row>
    <row r="1603">
      <c s="2" r="D1603"/>
      <c s="2" r="F1603"/>
    </row>
    <row r="1604">
      <c s="2" r="D1604"/>
      <c s="2" r="F1604"/>
    </row>
    <row r="1605">
      <c s="2" r="D1605"/>
      <c s="2" r="F1605"/>
    </row>
    <row r="1606">
      <c s="2" r="D1606"/>
      <c s="2" r="F1606"/>
    </row>
    <row r="1607">
      <c s="2" r="D1607"/>
      <c s="2" r="F1607"/>
    </row>
    <row r="1608">
      <c s="2" r="D1608"/>
      <c s="2" r="F1608"/>
    </row>
    <row r="1609">
      <c s="2" r="D1609"/>
      <c s="2" r="F1609"/>
    </row>
    <row r="1610">
      <c s="2" r="D1610"/>
      <c s="2" r="F1610"/>
    </row>
    <row r="1611">
      <c s="2" r="D1611"/>
      <c s="2" r="F1611"/>
    </row>
    <row r="1612">
      <c s="2" r="D1612"/>
      <c s="2" r="F1612"/>
    </row>
    <row r="1613">
      <c s="2" r="D1613"/>
      <c s="2" r="F1613"/>
    </row>
    <row r="1614">
      <c s="2" r="D1614"/>
      <c s="2" r="F1614"/>
    </row>
    <row r="1615">
      <c s="2" r="D1615"/>
      <c s="2" r="F1615"/>
    </row>
    <row r="1616">
      <c s="2" r="D1616"/>
      <c s="2" r="F1616"/>
    </row>
    <row r="1617">
      <c s="2" r="D1617"/>
      <c s="2" r="F1617"/>
    </row>
    <row r="1618">
      <c s="2" r="D1618"/>
      <c s="2" r="F1618"/>
    </row>
    <row r="1619">
      <c s="2" r="D1619"/>
      <c s="2" r="F1619"/>
    </row>
    <row r="1620">
      <c s="2" r="D1620"/>
      <c s="2" r="F1620"/>
    </row>
    <row r="1621">
      <c s="2" r="D1621"/>
      <c s="2" r="F1621"/>
    </row>
    <row r="1622">
      <c s="2" r="D1622"/>
      <c s="2" r="F1622"/>
    </row>
    <row r="1623">
      <c s="2" r="D1623"/>
      <c s="2" r="F1623"/>
    </row>
    <row r="1624">
      <c s="2" r="D1624"/>
      <c s="2" r="F1624"/>
    </row>
    <row r="1625">
      <c s="2" r="D1625"/>
      <c s="2" r="F1625"/>
    </row>
    <row r="1626">
      <c s="2" r="D1626"/>
      <c s="2" r="F1626"/>
    </row>
    <row r="1627">
      <c s="2" r="D1627"/>
      <c s="2" r="F1627"/>
    </row>
    <row r="1628">
      <c s="2" r="D1628"/>
      <c s="2" r="F1628"/>
    </row>
    <row r="1629">
      <c s="2" r="D1629"/>
      <c s="2" r="F1629"/>
    </row>
    <row r="1630">
      <c s="2" r="D1630"/>
      <c s="2" r="F1630"/>
    </row>
    <row r="1631">
      <c s="2" r="D1631"/>
      <c s="2" r="F1631"/>
    </row>
    <row r="1632">
      <c s="2" r="D1632"/>
      <c s="2" r="F1632"/>
    </row>
    <row r="1633">
      <c s="2" r="D1633"/>
      <c s="2" r="F1633"/>
    </row>
    <row r="1634">
      <c s="2" r="D1634"/>
      <c s="2" r="F1634"/>
    </row>
    <row r="1635">
      <c s="2" r="D1635"/>
      <c s="2" r="F1635"/>
    </row>
    <row r="1636">
      <c s="2" r="D1636"/>
      <c s="2" r="F1636"/>
    </row>
    <row r="1637">
      <c s="2" r="D1637"/>
      <c s="2" r="F1637"/>
    </row>
    <row r="1638">
      <c s="2" r="D1638"/>
      <c s="2" r="F1638"/>
    </row>
    <row r="1639">
      <c s="2" r="D1639"/>
      <c s="2" r="F1639"/>
    </row>
    <row r="1640">
      <c s="2" r="D1640"/>
      <c s="2" r="F1640"/>
    </row>
    <row r="1641">
      <c s="2" r="D1641"/>
      <c s="2" r="F1641"/>
    </row>
    <row r="1642">
      <c s="2" r="D1642"/>
      <c s="2" r="F1642"/>
    </row>
    <row r="1643">
      <c s="2" r="D1643"/>
      <c s="2" r="F1643"/>
    </row>
    <row r="1644">
      <c s="2" r="D1644"/>
      <c s="2" r="F1644"/>
    </row>
    <row r="1645">
      <c s="2" r="D1645"/>
      <c s="2" r="F1645"/>
    </row>
    <row r="1646">
      <c s="2" r="D1646"/>
      <c s="2" r="F1646"/>
    </row>
    <row r="1647">
      <c s="2" r="D1647"/>
      <c s="2" r="F1647"/>
    </row>
    <row r="1648">
      <c s="2" r="D1648"/>
      <c s="2" r="F1648"/>
    </row>
    <row r="1649">
      <c s="2" r="D1649"/>
      <c s="2" r="F1649"/>
    </row>
    <row r="1650">
      <c s="2" r="D1650"/>
      <c s="2" r="F1650"/>
    </row>
    <row r="1651">
      <c s="2" r="D1651"/>
      <c s="2" r="F1651"/>
    </row>
    <row r="1652">
      <c s="2" r="D1652"/>
      <c s="2" r="F1652"/>
    </row>
    <row r="1653">
      <c s="2" r="D1653"/>
      <c s="2" r="F1653"/>
    </row>
    <row r="1654">
      <c s="2" r="D1654"/>
      <c s="2" r="F1654"/>
    </row>
    <row r="1655">
      <c s="2" r="D1655"/>
      <c s="2" r="F1655"/>
    </row>
    <row r="1656">
      <c s="2" r="D1656"/>
      <c s="2" r="F1656"/>
    </row>
    <row r="1657">
      <c s="2" r="D1657"/>
      <c s="2" r="F1657"/>
    </row>
    <row r="1658">
      <c s="2" r="D1658"/>
      <c s="2" r="F1658"/>
    </row>
    <row r="1659">
      <c s="2" r="D1659"/>
      <c s="2" r="F1659"/>
    </row>
    <row r="1660">
      <c s="2" r="D1660"/>
      <c s="2" r="F1660"/>
    </row>
    <row r="1661">
      <c s="2" r="D1661"/>
      <c s="2" r="F1661"/>
    </row>
    <row r="1662">
      <c s="2" r="D1662"/>
      <c s="2" r="F1662"/>
    </row>
    <row r="1663">
      <c s="2" r="D1663"/>
      <c s="2" r="F1663"/>
    </row>
    <row r="1664">
      <c s="2" r="D1664"/>
      <c s="2" r="F1664"/>
    </row>
    <row r="1665">
      <c s="2" r="D1665"/>
      <c s="2" r="F1665"/>
    </row>
    <row r="1666">
      <c s="2" r="D1666"/>
      <c s="2" r="F1666"/>
    </row>
    <row r="1667">
      <c s="2" r="D1667"/>
      <c s="2" r="F1667"/>
    </row>
    <row r="1668">
      <c s="2" r="D1668"/>
      <c s="2" r="F1668"/>
    </row>
    <row r="1669">
      <c s="2" r="D1669"/>
      <c s="2" r="F1669"/>
    </row>
    <row r="1670">
      <c s="2" r="D1670"/>
      <c s="2" r="F1670"/>
    </row>
    <row r="1671">
      <c s="2" r="D1671"/>
      <c s="2" r="F1671"/>
    </row>
    <row r="1672">
      <c s="2" r="D1672"/>
      <c s="2" r="F1672"/>
    </row>
    <row r="1673">
      <c s="2" r="D1673"/>
      <c s="2" r="F1673"/>
    </row>
    <row r="1674">
      <c s="2" r="D1674"/>
      <c s="2" r="F1674"/>
    </row>
    <row r="1675">
      <c s="2" r="D1675"/>
      <c s="2" r="F1675"/>
    </row>
    <row r="1676">
      <c s="2" r="D1676"/>
      <c s="2" r="F1676"/>
    </row>
    <row r="1677">
      <c s="2" r="D1677"/>
      <c s="2" r="F1677"/>
    </row>
    <row r="1678">
      <c s="2" r="D1678"/>
      <c s="2" r="F1678"/>
    </row>
    <row r="1679">
      <c s="2" r="D1679"/>
      <c s="2" r="F1679"/>
    </row>
    <row r="1680">
      <c s="2" r="D1680"/>
      <c s="2" r="F1680"/>
    </row>
    <row r="1681">
      <c s="2" r="D1681"/>
      <c s="2" r="F1681"/>
    </row>
    <row r="1682">
      <c s="2" r="D1682"/>
      <c s="2" r="F1682"/>
    </row>
    <row r="1683">
      <c s="2" r="D1683"/>
      <c s="2" r="F1683"/>
    </row>
    <row r="1684">
      <c s="2" r="D1684"/>
      <c s="2" r="F1684"/>
    </row>
    <row r="1685">
      <c s="2" r="D1685"/>
      <c s="2" r="F1685"/>
    </row>
    <row r="1686">
      <c s="2" r="D1686"/>
      <c s="2" r="F1686"/>
    </row>
    <row r="1687">
      <c s="2" r="D1687"/>
      <c s="2" r="F1687"/>
    </row>
    <row r="1688">
      <c s="2" r="D1688"/>
      <c s="2" r="F1688"/>
    </row>
    <row r="1689">
      <c s="2" r="D1689"/>
      <c s="2" r="F1689"/>
    </row>
    <row r="1690">
      <c s="2" r="D1690"/>
      <c s="2" r="F1690"/>
    </row>
    <row r="1691">
      <c s="2" r="D1691"/>
      <c s="2" r="F1691"/>
    </row>
    <row r="1692">
      <c s="2" r="D1692"/>
      <c s="2" r="F1692"/>
    </row>
    <row r="1693">
      <c s="2" r="D1693"/>
      <c s="2" r="F1693"/>
    </row>
    <row r="1694">
      <c s="2" r="D1694"/>
      <c s="2" r="F1694"/>
    </row>
    <row r="1695">
      <c s="2" r="D1695"/>
      <c s="2" r="F1695"/>
    </row>
    <row r="1696">
      <c s="2" r="D1696"/>
      <c s="2" r="F1696"/>
    </row>
    <row r="1697">
      <c s="2" r="D1697"/>
      <c s="2" r="F1697"/>
    </row>
    <row r="1698">
      <c s="2" r="D1698"/>
      <c s="2" r="F1698"/>
    </row>
    <row r="1699">
      <c s="2" r="D1699"/>
      <c s="2" r="F1699"/>
    </row>
    <row r="1700">
      <c s="2" r="D1700"/>
      <c s="2" r="F1700"/>
    </row>
    <row r="1701">
      <c s="2" r="D1701"/>
      <c s="2" r="F1701"/>
    </row>
    <row r="1702">
      <c s="2" r="D1702"/>
      <c s="2" r="F1702"/>
    </row>
    <row r="1703">
      <c s="2" r="D1703"/>
      <c s="2" r="F1703"/>
    </row>
    <row r="1704">
      <c s="2" r="D1704"/>
      <c s="2" r="F1704"/>
    </row>
    <row r="1705">
      <c s="2" r="D1705"/>
      <c s="2" r="F1705"/>
    </row>
    <row r="1706">
      <c s="2" r="D1706"/>
      <c s="2" r="F1706"/>
    </row>
    <row r="1707">
      <c s="2" r="D1707"/>
      <c s="2" r="F1707"/>
    </row>
    <row r="1708">
      <c s="2" r="D1708"/>
      <c s="2" r="F1708"/>
    </row>
    <row r="1709">
      <c s="2" r="D1709"/>
      <c s="2" r="F1709"/>
    </row>
    <row r="1710">
      <c s="2" r="D1710"/>
      <c s="2" r="F1710"/>
    </row>
    <row r="1711">
      <c s="2" r="D1711"/>
      <c s="2" r="F1711"/>
    </row>
    <row r="1712">
      <c s="2" r="D1712"/>
      <c s="2" r="F1712"/>
    </row>
    <row r="1713">
      <c s="2" r="D1713"/>
      <c s="2" r="F1713"/>
    </row>
    <row r="1714">
      <c s="2" r="D1714"/>
      <c s="2" r="F1714"/>
    </row>
    <row r="1715">
      <c s="2" r="D1715"/>
      <c s="2" r="F1715"/>
    </row>
    <row r="1716">
      <c s="2" r="D1716"/>
      <c s="2" r="F1716"/>
    </row>
    <row r="1717">
      <c s="2" r="D1717"/>
      <c s="2" r="F1717"/>
    </row>
    <row r="1718">
      <c s="2" r="D1718"/>
      <c s="2" r="F1718"/>
    </row>
    <row r="1719">
      <c s="2" r="D1719"/>
      <c s="2" r="F1719"/>
    </row>
    <row r="1720">
      <c s="2" r="D1720"/>
      <c s="2" r="F1720"/>
    </row>
    <row r="1721">
      <c s="2" r="D1721"/>
      <c s="2" r="F1721"/>
    </row>
    <row r="1722">
      <c s="2" r="D1722"/>
      <c s="2" r="F1722"/>
    </row>
    <row r="1723">
      <c s="2" r="D1723"/>
      <c s="2" r="F1723"/>
    </row>
    <row r="1724">
      <c s="2" r="D1724"/>
      <c s="2" r="F1724"/>
    </row>
    <row r="1725">
      <c s="2" r="D1725"/>
      <c s="2" r="F1725"/>
    </row>
    <row r="1726">
      <c s="2" r="D1726"/>
      <c s="2" r="F1726"/>
    </row>
    <row r="1727">
      <c s="2" r="D1727"/>
      <c s="2" r="F1727"/>
    </row>
    <row r="1728">
      <c s="2" r="D1728"/>
      <c s="2" r="F1728"/>
    </row>
    <row r="1729">
      <c s="2" r="D1729"/>
      <c s="2" r="F1729"/>
    </row>
    <row r="1730">
      <c s="2" r="D1730"/>
      <c s="2" r="F1730"/>
    </row>
    <row r="1731">
      <c s="2" r="D1731"/>
      <c s="2" r="F1731"/>
    </row>
    <row r="1732">
      <c s="2" r="D1732"/>
      <c s="2" r="F1732"/>
    </row>
    <row r="1733">
      <c s="2" r="D1733"/>
      <c s="2" r="F1733"/>
    </row>
    <row r="1734">
      <c s="2" r="D1734"/>
      <c s="2" r="F1734"/>
    </row>
    <row r="1735">
      <c s="2" r="D1735"/>
      <c s="2" r="F1735"/>
    </row>
    <row r="1736">
      <c s="2" r="D1736"/>
      <c s="2" r="F1736"/>
    </row>
    <row r="1737">
      <c s="2" r="D1737"/>
      <c s="2" r="F1737"/>
    </row>
    <row r="1738">
      <c s="2" r="D1738"/>
      <c s="2" r="F1738"/>
    </row>
    <row r="1739">
      <c s="2" r="D1739"/>
      <c s="2" r="F1739"/>
    </row>
    <row r="1740">
      <c s="2" r="D1740"/>
      <c s="2" r="F1740"/>
    </row>
    <row r="1741">
      <c s="2" r="D1741"/>
      <c s="2" r="F1741"/>
    </row>
    <row r="1742">
      <c s="2" r="D1742"/>
      <c s="2" r="F1742"/>
    </row>
    <row r="1743">
      <c s="2" r="D1743"/>
      <c s="2" r="F1743"/>
    </row>
    <row r="1744">
      <c s="2" r="D1744"/>
      <c s="2" r="F1744"/>
    </row>
    <row r="1745">
      <c s="2" r="D1745"/>
      <c s="2" r="F1745"/>
    </row>
    <row r="1746">
      <c s="2" r="D1746"/>
      <c s="2" r="F1746"/>
    </row>
    <row r="1747">
      <c s="2" r="D1747"/>
      <c s="2" r="F1747"/>
    </row>
    <row r="1748">
      <c s="2" r="D1748"/>
      <c s="2" r="F1748"/>
    </row>
    <row r="1749">
      <c s="2" r="D1749"/>
      <c s="2" r="F1749"/>
    </row>
    <row r="1750">
      <c s="2" r="D1750"/>
      <c s="2" r="F1750"/>
    </row>
    <row r="1751">
      <c s="2" r="D1751"/>
      <c s="2" r="F1751"/>
    </row>
    <row r="1752">
      <c s="2" r="D1752"/>
      <c s="2" r="F1752"/>
    </row>
    <row r="1753">
      <c s="2" r="D1753"/>
      <c s="2" r="F1753"/>
    </row>
    <row r="1754">
      <c s="2" r="D1754"/>
      <c s="2" r="F1754"/>
    </row>
    <row r="1755">
      <c s="2" r="D1755"/>
      <c s="2" r="F1755"/>
    </row>
    <row r="1756">
      <c s="2" r="D1756"/>
      <c s="2" r="F1756"/>
    </row>
    <row r="1757">
      <c s="2" r="D1757"/>
      <c s="2" r="F1757"/>
    </row>
    <row r="1758">
      <c s="2" r="D1758"/>
      <c s="2" r="F1758"/>
    </row>
    <row r="1759">
      <c s="2" r="D1759"/>
      <c s="2" r="F1759"/>
    </row>
    <row r="1760">
      <c s="2" r="D1760"/>
      <c s="2" r="F1760"/>
    </row>
    <row r="1761">
      <c s="2" r="D1761"/>
      <c s="2" r="F1761"/>
    </row>
    <row r="1762">
      <c s="2" r="D1762"/>
      <c s="2" r="F1762"/>
    </row>
    <row r="1763">
      <c s="2" r="D1763"/>
      <c s="2" r="F1763"/>
    </row>
    <row r="1764">
      <c s="2" r="D1764"/>
      <c s="2" r="F1764"/>
    </row>
    <row r="1765">
      <c s="2" r="D1765"/>
      <c s="2" r="F1765"/>
    </row>
    <row r="1766">
      <c s="2" r="D1766"/>
      <c s="2" r="F1766"/>
    </row>
    <row r="1767">
      <c s="2" r="D1767"/>
      <c s="2" r="F1767"/>
    </row>
    <row r="1768">
      <c s="2" r="D1768"/>
      <c s="2" r="F1768"/>
    </row>
    <row r="1769">
      <c s="2" r="D1769"/>
      <c s="2" r="F1769"/>
    </row>
    <row r="1770">
      <c s="2" r="D1770"/>
      <c s="2" r="F1770"/>
    </row>
    <row r="1771">
      <c s="2" r="D1771"/>
      <c s="2" r="F1771"/>
    </row>
    <row r="1772">
      <c s="2" r="D1772"/>
      <c s="2" r="F1772"/>
    </row>
    <row r="1773">
      <c s="2" r="D1773"/>
      <c s="2" r="F1773"/>
    </row>
    <row r="1774">
      <c s="2" r="D1774"/>
      <c s="2" r="F1774"/>
    </row>
    <row r="1775">
      <c s="2" r="D1775"/>
      <c s="2" r="F1775"/>
    </row>
    <row r="1776">
      <c s="2" r="D1776"/>
      <c s="2" r="F1776"/>
    </row>
    <row r="1777">
      <c s="2" r="D1777"/>
      <c s="2" r="F1777"/>
    </row>
    <row r="1778">
      <c s="2" r="D1778"/>
      <c s="2" r="F1778"/>
    </row>
    <row r="1779">
      <c s="2" r="D1779"/>
      <c s="2" r="F1779"/>
    </row>
    <row r="1780">
      <c s="2" r="D1780"/>
      <c s="2" r="F1780"/>
    </row>
    <row r="1781">
      <c s="2" r="D1781"/>
      <c s="2" r="F1781"/>
    </row>
    <row r="1782">
      <c s="2" r="D1782"/>
      <c s="2" r="F1782"/>
    </row>
    <row r="1783">
      <c s="2" r="D1783"/>
      <c s="2" r="F1783"/>
    </row>
    <row r="1784">
      <c s="2" r="D1784"/>
      <c s="2" r="F1784"/>
    </row>
    <row r="1785">
      <c s="2" r="D1785"/>
      <c s="2" r="F1785"/>
    </row>
    <row r="1786">
      <c s="2" r="D1786"/>
      <c s="2" r="F1786"/>
    </row>
    <row r="1787">
      <c s="2" r="D1787"/>
      <c s="2" r="F1787"/>
    </row>
    <row r="1788">
      <c s="2" r="D1788"/>
      <c s="2" r="F1788"/>
    </row>
    <row r="1789">
      <c s="2" r="D1789"/>
      <c s="2" r="F1789"/>
    </row>
    <row r="1790">
      <c s="2" r="D1790"/>
      <c s="2" r="F1790"/>
    </row>
    <row r="1791">
      <c s="2" r="D1791"/>
      <c s="2" r="F1791"/>
    </row>
    <row r="1792">
      <c s="2" r="D1792"/>
      <c s="2" r="F1792"/>
    </row>
    <row r="1793">
      <c s="2" r="D1793"/>
      <c s="2" r="F1793"/>
    </row>
    <row r="1794">
      <c s="2" r="D1794"/>
      <c s="2" r="F1794"/>
    </row>
    <row r="1795">
      <c s="2" r="D1795"/>
      <c s="2" r="F1795"/>
    </row>
    <row r="1796">
      <c s="2" r="D1796"/>
      <c s="2" r="F1796"/>
    </row>
    <row r="1797">
      <c s="2" r="D1797"/>
      <c s="2" r="F1797"/>
    </row>
    <row r="1798">
      <c s="2" r="D1798"/>
      <c s="2" r="F1798"/>
    </row>
    <row r="1799">
      <c s="2" r="D1799"/>
      <c s="2" r="F1799"/>
    </row>
    <row r="1800">
      <c s="2" r="D1800"/>
      <c s="2" r="F1800"/>
    </row>
    <row r="1801">
      <c s="2" r="D1801"/>
      <c s="2" r="F1801"/>
    </row>
    <row r="1802">
      <c s="2" r="D1802"/>
      <c s="2" r="F1802"/>
    </row>
    <row r="1803">
      <c s="2" r="D1803"/>
      <c s="2" r="F1803"/>
    </row>
    <row r="1804">
      <c s="2" r="D1804"/>
      <c s="2" r="F1804"/>
    </row>
    <row r="1805">
      <c s="2" r="D1805"/>
      <c s="2" r="F1805"/>
    </row>
    <row r="1806">
      <c s="2" r="D1806"/>
      <c s="2" r="F1806"/>
    </row>
    <row r="1807">
      <c s="2" r="D1807"/>
      <c s="2" r="F1807"/>
    </row>
    <row r="1808">
      <c s="2" r="D1808"/>
      <c s="2" r="F1808"/>
    </row>
    <row r="1809">
      <c s="2" r="D1809"/>
      <c s="2" r="F1809"/>
    </row>
    <row r="1810">
      <c s="2" r="D1810"/>
      <c s="2" r="F1810"/>
    </row>
    <row r="1811">
      <c s="2" r="D1811"/>
      <c s="2" r="F1811"/>
    </row>
    <row r="1812">
      <c s="2" r="D1812"/>
      <c s="2" r="F1812"/>
    </row>
    <row r="1813">
      <c s="2" r="D1813"/>
      <c s="2" r="F1813"/>
    </row>
    <row r="1814">
      <c s="2" r="D1814"/>
      <c s="2" r="F1814"/>
    </row>
    <row r="1815">
      <c s="2" r="D1815"/>
      <c s="2" r="F1815"/>
    </row>
    <row r="1816">
      <c s="2" r="D1816"/>
      <c s="2" r="F1816"/>
    </row>
    <row r="1817">
      <c s="2" r="D1817"/>
      <c s="2" r="F1817"/>
    </row>
    <row r="1818">
      <c s="2" r="D1818"/>
      <c s="2" r="F1818"/>
    </row>
    <row r="1819">
      <c s="2" r="D1819"/>
      <c s="2" r="F1819"/>
    </row>
    <row r="1820">
      <c s="2" r="D1820"/>
      <c s="2" r="F1820"/>
    </row>
    <row r="1821">
      <c s="2" r="D1821"/>
      <c s="2" r="F1821"/>
    </row>
    <row r="1822">
      <c s="2" r="D1822"/>
      <c s="2" r="F1822"/>
    </row>
    <row r="1823">
      <c s="2" r="D1823"/>
      <c s="2" r="F1823"/>
    </row>
    <row r="1824">
      <c s="2" r="D1824"/>
      <c s="2" r="F1824"/>
    </row>
    <row r="1825">
      <c s="2" r="D1825"/>
      <c s="2" r="F1825"/>
    </row>
    <row r="1826">
      <c s="2" r="D1826"/>
      <c s="2" r="F1826"/>
    </row>
    <row r="1827">
      <c s="2" r="D1827"/>
      <c s="2" r="F1827"/>
    </row>
    <row r="1828">
      <c s="2" r="D1828"/>
      <c s="2" r="F1828"/>
    </row>
    <row r="1829">
      <c s="2" r="D1829"/>
      <c s="2" r="F1829"/>
    </row>
    <row r="1830">
      <c s="2" r="D1830"/>
      <c s="2" r="F1830"/>
    </row>
    <row r="1831">
      <c s="2" r="D1831"/>
      <c s="2" r="F1831"/>
    </row>
    <row r="1832">
      <c s="2" r="D1832"/>
      <c s="2" r="F1832"/>
    </row>
    <row r="1833">
      <c s="2" r="D1833"/>
      <c s="2" r="F1833"/>
    </row>
    <row r="1834">
      <c s="2" r="D1834"/>
      <c s="2" r="F1834"/>
    </row>
    <row r="1835">
      <c s="2" r="D1835"/>
      <c s="2" r="F1835"/>
    </row>
    <row r="1836">
      <c s="2" r="D1836"/>
      <c s="2" r="F1836"/>
    </row>
    <row r="1837">
      <c s="2" r="D1837"/>
      <c s="2" r="F1837"/>
    </row>
    <row r="1838">
      <c s="2" r="D1838"/>
      <c s="2" r="F1838"/>
    </row>
    <row r="1839">
      <c s="2" r="D1839"/>
      <c s="2" r="F1839"/>
    </row>
    <row r="1840">
      <c s="2" r="D1840"/>
      <c s="2" r="F1840"/>
    </row>
    <row r="1841">
      <c s="2" r="D1841"/>
      <c s="2" r="F1841"/>
    </row>
    <row r="1842">
      <c s="2" r="D1842"/>
      <c s="2" r="F1842"/>
    </row>
    <row r="1843">
      <c s="2" r="D1843"/>
      <c s="2" r="F1843"/>
    </row>
    <row r="1844">
      <c s="2" r="D1844"/>
      <c s="2" r="F1844"/>
    </row>
    <row r="1845">
      <c s="2" r="D1845"/>
      <c s="2" r="F1845"/>
    </row>
    <row r="1846">
      <c s="2" r="D1846"/>
      <c s="2" r="F1846"/>
    </row>
    <row r="1847">
      <c s="2" r="D1847"/>
      <c s="2" r="F1847"/>
    </row>
    <row r="1848">
      <c s="2" r="D1848"/>
      <c s="2" r="F1848"/>
    </row>
    <row r="1849">
      <c s="2" r="D1849"/>
      <c s="2" r="F1849"/>
    </row>
    <row r="1850">
      <c s="2" r="D1850"/>
      <c s="2" r="F1850"/>
    </row>
    <row r="1851">
      <c s="2" r="D1851"/>
      <c s="2" r="F1851"/>
    </row>
    <row r="1852">
      <c s="2" r="D1852"/>
      <c s="2" r="F1852"/>
    </row>
    <row r="1853">
      <c s="2" r="D1853"/>
      <c s="2" r="F1853"/>
    </row>
    <row r="1854">
      <c s="2" r="D1854"/>
      <c s="2" r="F1854"/>
    </row>
    <row r="1855">
      <c s="2" r="D1855"/>
      <c s="2" r="F1855"/>
    </row>
    <row r="1856">
      <c s="2" r="D1856"/>
      <c s="2" r="F1856"/>
    </row>
    <row r="1857">
      <c s="2" r="D1857"/>
      <c s="2" r="F1857"/>
    </row>
    <row r="1858">
      <c s="2" r="D1858"/>
      <c s="2" r="F1858"/>
    </row>
    <row r="1859">
      <c s="2" r="D1859"/>
      <c s="2" r="F1859"/>
    </row>
    <row r="1860">
      <c s="2" r="D1860"/>
      <c s="2" r="F1860"/>
    </row>
    <row r="1861">
      <c s="2" r="D1861"/>
      <c s="2" r="F1861"/>
    </row>
    <row r="1862">
      <c s="2" r="D1862"/>
      <c s="2" r="F1862"/>
    </row>
    <row r="1863">
      <c s="2" r="D1863"/>
      <c s="2" r="F1863"/>
    </row>
    <row r="1864">
      <c s="2" r="D1864"/>
      <c s="2" r="F1864"/>
    </row>
    <row r="1865">
      <c s="2" r="D1865"/>
      <c s="2" r="F1865"/>
    </row>
    <row r="1866">
      <c s="2" r="D1866"/>
      <c s="2" r="F1866"/>
    </row>
    <row r="1867">
      <c s="2" r="D1867"/>
      <c s="2" r="F1867"/>
    </row>
    <row r="1868">
      <c s="2" r="D1868"/>
      <c s="2" r="F1868"/>
    </row>
    <row r="1869">
      <c s="2" r="D1869"/>
      <c s="2" r="F1869"/>
    </row>
    <row r="1870">
      <c s="2" r="D1870"/>
      <c s="2" r="F1870"/>
    </row>
    <row r="1871">
      <c s="2" r="D1871"/>
      <c s="2" r="F1871"/>
    </row>
    <row r="1872">
      <c s="2" r="D1872"/>
      <c s="2" r="F1872"/>
    </row>
    <row r="1873">
      <c s="2" r="D1873"/>
      <c s="2" r="F1873"/>
    </row>
    <row r="1874">
      <c s="2" r="D1874"/>
      <c s="2" r="F1874"/>
    </row>
    <row r="1875">
      <c s="2" r="D1875"/>
      <c s="2" r="F1875"/>
    </row>
    <row r="1876">
      <c s="2" r="D1876"/>
      <c s="2" r="F1876"/>
    </row>
    <row r="1877">
      <c s="2" r="D1877"/>
      <c s="2" r="F1877"/>
    </row>
    <row r="1878">
      <c s="2" r="D1878"/>
      <c s="2" r="F1878"/>
    </row>
    <row r="1879">
      <c s="2" r="D1879"/>
      <c s="2" r="F1879"/>
    </row>
    <row r="1880">
      <c s="2" r="D1880"/>
      <c s="2" r="F1880"/>
    </row>
    <row r="1881">
      <c s="2" r="D1881"/>
      <c s="2" r="F1881"/>
    </row>
    <row r="1882">
      <c s="2" r="D1882"/>
      <c s="2" r="F1882"/>
    </row>
    <row r="1883">
      <c s="2" r="D1883"/>
      <c s="2" r="F1883"/>
    </row>
    <row r="1884">
      <c s="2" r="D1884"/>
      <c s="2" r="F1884"/>
    </row>
    <row r="1885">
      <c s="2" r="D1885"/>
      <c s="2" r="F1885"/>
    </row>
    <row r="1886">
      <c s="2" r="D1886"/>
      <c s="2" r="F1886"/>
    </row>
    <row r="1887">
      <c s="2" r="D1887"/>
      <c s="2" r="F1887"/>
    </row>
    <row r="1888">
      <c s="2" r="D1888"/>
      <c s="2" r="F1888"/>
    </row>
    <row r="1889">
      <c s="2" r="D1889"/>
      <c s="2" r="F1889"/>
    </row>
    <row r="1890">
      <c s="2" r="D1890"/>
      <c s="2" r="F1890"/>
    </row>
    <row r="1891">
      <c s="2" r="D1891"/>
      <c s="2" r="F1891"/>
    </row>
    <row r="1892">
      <c s="2" r="D1892"/>
      <c s="2" r="F1892"/>
    </row>
    <row r="1893">
      <c s="2" r="D1893"/>
      <c s="2" r="F1893"/>
    </row>
    <row r="1894">
      <c s="2" r="D1894"/>
      <c s="2" r="F1894"/>
    </row>
    <row r="1895">
      <c s="2" r="D1895"/>
      <c s="2" r="F1895"/>
    </row>
    <row r="1896">
      <c s="2" r="D1896"/>
      <c s="2" r="F1896"/>
    </row>
    <row r="1897">
      <c s="2" r="D1897"/>
      <c s="2" r="F1897"/>
    </row>
    <row r="1898">
      <c s="2" r="D1898"/>
      <c s="2" r="F1898"/>
    </row>
    <row r="1899">
      <c s="2" r="D1899"/>
      <c s="2" r="F1899"/>
    </row>
    <row r="1900">
      <c s="2" r="D1900"/>
      <c s="2" r="F1900"/>
    </row>
    <row r="1901">
      <c s="2" r="D1901"/>
      <c s="2" r="F1901"/>
    </row>
    <row r="1902">
      <c s="2" r="D1902"/>
      <c s="2" r="F1902"/>
    </row>
    <row r="1903">
      <c s="2" r="D1903"/>
      <c s="2" r="F1903"/>
    </row>
    <row r="1904">
      <c s="2" r="D1904"/>
      <c s="2" r="F1904"/>
    </row>
    <row r="1905">
      <c s="2" r="D1905"/>
      <c s="2" r="F1905"/>
    </row>
    <row r="1906">
      <c s="2" r="D1906"/>
      <c s="2" r="F1906"/>
    </row>
    <row r="1907">
      <c s="2" r="D1907"/>
      <c s="2" r="F1907"/>
    </row>
    <row r="1908">
      <c s="2" r="D1908"/>
      <c s="2" r="F1908"/>
    </row>
    <row r="1909">
      <c s="2" r="D1909"/>
      <c s="2" r="F1909"/>
    </row>
    <row r="1910">
      <c s="2" r="D1910"/>
      <c s="2" r="F1910"/>
    </row>
    <row r="1911">
      <c s="2" r="D1911"/>
      <c s="2" r="F1911"/>
    </row>
    <row r="1912">
      <c s="2" r="D1912"/>
      <c s="2" r="F1912"/>
    </row>
    <row r="1913">
      <c s="2" r="D1913"/>
      <c s="2" r="F1913"/>
    </row>
    <row r="1914">
      <c s="2" r="D1914"/>
      <c s="2" r="F1914"/>
    </row>
    <row r="1915">
      <c s="2" r="D1915"/>
      <c s="2" r="F1915"/>
    </row>
    <row r="1916">
      <c s="2" r="D1916"/>
      <c s="2" r="F1916"/>
    </row>
    <row r="1917">
      <c s="2" r="D1917"/>
      <c s="2" r="F1917"/>
    </row>
    <row r="1918">
      <c s="2" r="D1918"/>
      <c s="2" r="F1918"/>
    </row>
    <row r="1919">
      <c s="2" r="D1919"/>
      <c s="2" r="F1919"/>
    </row>
    <row r="1920">
      <c s="2" r="D1920"/>
      <c s="2" r="F1920"/>
    </row>
    <row r="1921">
      <c s="2" r="D1921"/>
      <c s="2" r="F1921"/>
    </row>
    <row r="1922">
      <c s="2" r="D1922"/>
      <c s="2" r="F1922"/>
    </row>
    <row r="1923">
      <c s="2" r="D1923"/>
      <c s="2" r="F1923"/>
    </row>
    <row r="1924">
      <c s="2" r="D1924"/>
      <c s="2" r="F1924"/>
    </row>
    <row r="1925">
      <c s="2" r="D1925"/>
      <c s="2" r="F1925"/>
    </row>
    <row r="1926">
      <c s="2" r="D1926"/>
      <c s="2" r="F1926"/>
    </row>
    <row r="1927">
      <c s="2" r="D1927"/>
      <c s="2" r="F1927"/>
    </row>
    <row r="1928">
      <c s="2" r="D1928"/>
      <c s="2" r="F1928"/>
    </row>
    <row r="1929">
      <c s="2" r="D1929"/>
      <c s="2" r="F1929"/>
    </row>
    <row r="1930">
      <c s="2" r="D1930"/>
      <c s="2" r="F1930"/>
    </row>
    <row r="1931">
      <c s="2" r="D1931"/>
      <c s="2" r="F1931"/>
    </row>
    <row r="1932">
      <c s="2" r="D1932"/>
      <c s="2" r="F1932"/>
    </row>
    <row r="1933">
      <c s="2" r="D1933"/>
      <c s="2" r="F1933"/>
    </row>
    <row r="1934">
      <c s="2" r="D1934"/>
      <c s="2" r="F1934"/>
    </row>
    <row r="1935">
      <c s="2" r="D1935"/>
      <c s="2" r="F1935"/>
    </row>
    <row r="1936">
      <c s="2" r="D1936"/>
      <c s="2" r="F1936"/>
    </row>
    <row r="1937">
      <c s="2" r="D1937"/>
      <c s="2" r="F1937"/>
    </row>
    <row r="1938">
      <c s="2" r="D1938"/>
      <c s="2" r="F1938"/>
    </row>
    <row r="1939">
      <c s="2" r="D1939"/>
      <c s="2" r="F1939"/>
    </row>
    <row r="1940">
      <c s="2" r="D1940"/>
      <c s="2" r="F1940"/>
    </row>
    <row r="1941">
      <c s="2" r="D1941"/>
      <c s="2" r="F1941"/>
    </row>
    <row r="1942">
      <c s="2" r="D1942"/>
      <c s="2" r="F1942"/>
    </row>
    <row r="1943">
      <c s="2" r="D1943"/>
      <c s="2" r="F1943"/>
    </row>
    <row r="1944">
      <c s="2" r="D1944"/>
      <c s="2" r="F1944"/>
    </row>
    <row r="1945">
      <c s="2" r="D1945"/>
      <c s="2" r="F1945"/>
    </row>
    <row r="1946">
      <c s="2" r="D1946"/>
      <c s="2" r="F1946"/>
    </row>
    <row r="1947">
      <c s="2" r="D1947"/>
      <c s="2" r="F1947"/>
    </row>
    <row r="1948">
      <c s="2" r="D1948"/>
      <c s="2" r="F1948"/>
    </row>
    <row r="1949">
      <c s="2" r="D1949"/>
      <c s="2" r="F1949"/>
    </row>
    <row r="1950">
      <c s="2" r="D1950"/>
      <c s="2" r="F1950"/>
    </row>
    <row r="1951">
      <c s="2" r="D1951"/>
      <c s="2" r="F1951"/>
    </row>
    <row r="1952">
      <c s="2" r="D1952"/>
      <c s="2" r="F1952"/>
    </row>
    <row r="1953">
      <c s="2" r="D1953"/>
      <c s="2" r="F1953"/>
    </row>
    <row r="1954">
      <c s="2" r="D1954"/>
      <c s="2" r="F1954"/>
    </row>
    <row r="1955">
      <c s="2" r="D1955"/>
      <c s="2" r="F1955"/>
    </row>
    <row r="1956">
      <c s="2" r="D1956"/>
      <c s="2" r="F1956"/>
    </row>
    <row r="1957">
      <c s="2" r="D1957"/>
      <c s="2" r="F1957"/>
    </row>
    <row r="1958">
      <c s="2" r="D1958"/>
      <c s="2" r="F1958"/>
    </row>
    <row r="1959">
      <c s="2" r="D1959"/>
      <c s="2" r="F1959"/>
    </row>
    <row r="1960">
      <c s="2" r="D1960"/>
      <c s="2" r="F1960"/>
    </row>
    <row r="1961">
      <c s="2" r="D1961"/>
      <c s="2" r="F1961"/>
    </row>
    <row r="1962">
      <c s="2" r="D1962"/>
      <c s="2" r="F1962"/>
    </row>
    <row r="1963">
      <c s="2" r="D1963"/>
      <c s="2" r="F1963"/>
    </row>
    <row r="1964">
      <c s="2" r="D1964"/>
      <c s="2" r="F1964"/>
    </row>
    <row r="1965">
      <c s="2" r="D1965"/>
      <c s="2" r="F1965"/>
    </row>
    <row r="1966">
      <c s="2" r="D1966"/>
      <c s="2" r="F1966"/>
    </row>
    <row r="1967">
      <c s="2" r="D1967"/>
      <c s="2" r="F1967"/>
    </row>
    <row r="1968">
      <c s="2" r="D1968"/>
      <c s="2" r="F1968"/>
    </row>
    <row r="1969">
      <c s="2" r="D1969"/>
      <c s="2" r="F1969"/>
    </row>
    <row r="1970">
      <c s="2" r="D1970"/>
      <c s="2" r="F1970"/>
    </row>
    <row r="1971">
      <c s="2" r="D1971"/>
      <c s="2" r="F1971"/>
    </row>
    <row r="1972">
      <c s="2" r="D1972"/>
      <c s="2" r="F1972"/>
    </row>
    <row r="1973">
      <c s="2" r="D1973"/>
      <c s="2" r="F1973"/>
    </row>
    <row r="1974">
      <c s="2" r="D1974"/>
      <c s="2" r="F1974"/>
    </row>
    <row r="1975">
      <c s="2" r="D1975"/>
      <c s="2" r="F1975"/>
    </row>
    <row r="1976">
      <c s="2" r="D1976"/>
      <c s="2" r="F1976"/>
    </row>
    <row r="1977">
      <c s="2" r="D1977"/>
      <c s="2" r="F1977"/>
    </row>
    <row r="1978">
      <c s="2" r="D1978"/>
      <c s="2" r="F1978"/>
    </row>
    <row r="1979">
      <c s="2" r="D1979"/>
      <c s="2" r="F1979"/>
    </row>
    <row r="1980">
      <c s="2" r="D1980"/>
      <c s="2" r="F1980"/>
    </row>
    <row r="1981">
      <c s="2" r="D1981"/>
      <c s="2" r="F1981"/>
    </row>
    <row r="1982">
      <c s="2" r="D1982"/>
      <c s="2" r="F1982"/>
    </row>
    <row r="1983">
      <c s="2" r="D1983"/>
      <c s="2" r="F1983"/>
    </row>
    <row r="1984">
      <c s="2" r="D1984"/>
      <c s="2" r="F1984"/>
    </row>
    <row r="1985">
      <c s="2" r="D1985"/>
      <c s="2" r="F1985"/>
    </row>
    <row r="1986">
      <c s="2" r="D1986"/>
      <c s="2" r="F1986"/>
    </row>
    <row r="1987">
      <c s="2" r="D1987"/>
      <c s="2" r="F1987"/>
    </row>
    <row r="1988">
      <c s="2" r="D1988"/>
      <c s="2" r="F1988"/>
    </row>
    <row r="1989">
      <c s="2" r="D1989"/>
      <c s="2" r="F1989"/>
    </row>
    <row r="1990">
      <c s="2" r="D1990"/>
      <c s="2" r="F1990"/>
    </row>
    <row r="1991">
      <c s="2" r="D1991"/>
      <c s="2" r="F1991"/>
    </row>
    <row r="1992">
      <c s="2" r="D1992"/>
      <c s="2" r="F1992"/>
    </row>
    <row r="1993">
      <c s="2" r="D1993"/>
      <c s="2" r="F1993"/>
    </row>
    <row r="1994">
      <c s="2" r="D1994"/>
      <c s="2" r="F1994"/>
    </row>
    <row r="1995">
      <c s="2" r="D1995"/>
      <c s="2" r="F1995"/>
    </row>
    <row r="1996">
      <c s="2" r="D1996"/>
      <c s="2" r="F1996"/>
    </row>
    <row r="1997">
      <c s="2" r="D1997"/>
      <c s="2" r="F1997"/>
    </row>
    <row r="1998">
      <c s="2" r="D1998"/>
      <c s="2" r="F1998"/>
    </row>
    <row r="1999">
      <c s="2" r="D1999"/>
      <c s="2" r="F1999"/>
    </row>
    <row r="2000">
      <c s="2" r="D2000"/>
      <c s="2" r="F2000"/>
    </row>
    <row r="2001">
      <c s="2" r="D2001"/>
      <c s="2" r="F2001"/>
    </row>
    <row r="2002">
      <c s="2" r="D2002"/>
      <c s="2" r="F2002"/>
    </row>
    <row r="2003">
      <c s="2" r="D2003"/>
      <c s="2" r="F2003"/>
    </row>
    <row r="2004">
      <c s="2" r="D2004"/>
      <c s="2" r="F2004"/>
    </row>
    <row r="2005">
      <c s="2" r="D2005"/>
      <c s="2" r="F2005"/>
    </row>
    <row r="2006">
      <c s="2" r="D2006"/>
      <c s="2" r="F2006"/>
    </row>
    <row r="2007">
      <c s="2" r="D2007"/>
      <c s="2" r="F2007"/>
    </row>
    <row r="2008">
      <c s="2" r="D2008"/>
      <c s="2" r="F2008"/>
    </row>
    <row r="2009">
      <c s="2" r="D2009"/>
      <c s="2" r="F2009"/>
    </row>
    <row r="2010">
      <c s="2" r="D2010"/>
      <c s="2" r="F2010"/>
    </row>
    <row r="2011">
      <c s="2" r="D2011"/>
      <c s="2" r="F2011"/>
    </row>
    <row r="2012">
      <c s="2" r="D2012"/>
      <c s="2" r="F2012"/>
    </row>
    <row r="2013">
      <c s="2" r="D2013"/>
      <c s="2" r="F2013"/>
    </row>
    <row r="2014">
      <c s="2" r="D2014"/>
      <c s="2" r="F2014"/>
    </row>
    <row r="2015">
      <c s="2" r="D2015"/>
      <c s="2" r="F2015"/>
    </row>
    <row r="2016">
      <c s="2" r="D2016"/>
      <c s="2" r="F2016"/>
    </row>
    <row r="2017">
      <c s="2" r="D2017"/>
      <c s="2" r="F2017"/>
    </row>
    <row r="2018">
      <c s="2" r="D2018"/>
      <c s="2" r="F2018"/>
    </row>
    <row r="2019">
      <c s="2" r="D2019"/>
      <c s="2" r="F2019"/>
    </row>
    <row r="2020">
      <c s="2" r="D2020"/>
      <c s="2" r="F2020"/>
    </row>
    <row r="2021">
      <c s="2" r="D2021"/>
      <c s="2" r="F2021"/>
    </row>
    <row r="2022">
      <c s="2" r="D2022"/>
      <c s="2" r="F2022"/>
    </row>
    <row r="2023">
      <c s="2" r="D2023"/>
      <c s="2" r="F2023"/>
    </row>
    <row r="2024">
      <c s="2" r="D2024"/>
      <c s="2" r="F2024"/>
    </row>
    <row r="2025">
      <c s="2" r="D2025"/>
      <c s="2" r="F2025"/>
    </row>
    <row r="2026">
      <c s="2" r="D2026"/>
      <c s="2" r="F2026"/>
    </row>
    <row r="2027">
      <c s="2" r="D2027"/>
      <c s="2" r="F2027"/>
    </row>
    <row r="2028">
      <c s="2" r="D2028"/>
      <c s="2" r="F2028"/>
    </row>
    <row r="2029">
      <c s="2" r="D2029"/>
      <c s="2" r="F2029"/>
    </row>
    <row r="2030">
      <c s="2" r="D2030"/>
      <c s="2" r="F2030"/>
    </row>
    <row r="2031">
      <c s="2" r="D2031"/>
      <c s="2" r="F2031"/>
    </row>
    <row r="2032">
      <c s="2" r="D2032"/>
      <c s="2" r="F2032"/>
    </row>
    <row r="2033">
      <c s="2" r="D2033"/>
      <c s="2" r="F2033"/>
    </row>
    <row r="2034">
      <c s="2" r="D2034"/>
      <c s="2" r="F2034"/>
    </row>
    <row r="2035">
      <c s="2" r="D2035"/>
      <c s="2" r="F2035"/>
    </row>
    <row r="2036">
      <c s="2" r="D2036"/>
      <c s="2" r="F2036"/>
    </row>
    <row r="2037">
      <c s="2" r="D2037"/>
      <c s="2" r="F2037"/>
    </row>
    <row r="2038">
      <c s="2" r="D2038"/>
      <c s="2" r="F2038"/>
    </row>
    <row r="2039">
      <c s="2" r="D2039"/>
      <c s="2" r="F2039"/>
    </row>
    <row r="2040">
      <c s="2" r="D2040"/>
      <c s="2" r="F2040"/>
    </row>
    <row r="2041">
      <c s="2" r="D2041"/>
      <c s="2" r="F2041"/>
    </row>
    <row r="2042">
      <c s="2" r="D2042"/>
      <c s="2" r="F2042"/>
    </row>
    <row r="2043">
      <c s="2" r="D2043"/>
      <c s="2" r="F2043"/>
    </row>
    <row r="2044">
      <c s="2" r="D2044"/>
      <c s="2" r="F2044"/>
    </row>
    <row r="2045">
      <c s="2" r="D2045"/>
      <c s="2" r="F2045"/>
    </row>
    <row r="2046">
      <c s="2" r="D2046"/>
      <c s="2" r="F2046"/>
    </row>
    <row r="2047">
      <c s="2" r="D2047"/>
      <c s="2" r="F2047"/>
    </row>
    <row r="2048">
      <c s="2" r="D2048"/>
      <c s="2" r="F2048"/>
    </row>
    <row r="2049">
      <c s="2" r="D2049"/>
      <c s="2" r="F2049"/>
    </row>
    <row r="2050">
      <c s="2" r="D2050"/>
      <c s="2" r="F2050"/>
    </row>
    <row r="2051">
      <c s="2" r="D2051"/>
      <c s="2" r="F2051"/>
    </row>
    <row r="2052">
      <c s="2" r="D2052"/>
      <c s="2" r="F2052"/>
    </row>
    <row r="2053">
      <c s="2" r="D2053"/>
      <c s="2" r="F2053"/>
    </row>
    <row r="2054">
      <c s="2" r="D2054"/>
      <c s="2" r="F2054"/>
    </row>
    <row r="2055">
      <c s="2" r="D2055"/>
      <c s="2" r="F2055"/>
    </row>
    <row r="2056">
      <c s="2" r="D2056"/>
      <c s="2" r="F2056"/>
    </row>
    <row r="2057">
      <c s="2" r="D2057"/>
      <c s="2" r="F2057"/>
    </row>
    <row r="2058">
      <c s="2" r="D2058"/>
      <c s="2" r="F2058"/>
    </row>
    <row r="2059">
      <c s="2" r="D2059"/>
      <c s="2" r="F2059"/>
    </row>
    <row r="2060">
      <c s="2" r="D2060"/>
      <c s="2" r="F2060"/>
    </row>
    <row r="2061">
      <c s="2" r="D2061"/>
      <c s="2" r="F2061"/>
    </row>
    <row r="2062">
      <c s="2" r="D2062"/>
      <c s="2" r="F2062"/>
    </row>
    <row r="2063">
      <c s="2" r="D2063"/>
      <c s="2" r="F2063"/>
    </row>
    <row r="2064">
      <c s="2" r="D2064"/>
      <c s="2" r="F2064"/>
    </row>
    <row r="2065">
      <c s="2" r="D2065"/>
      <c s="2" r="F2065"/>
    </row>
    <row r="2066">
      <c s="2" r="D2066"/>
      <c s="2" r="F2066"/>
    </row>
    <row r="2067">
      <c s="2" r="D2067"/>
      <c s="2" r="F2067"/>
    </row>
    <row r="2068">
      <c s="2" r="D2068"/>
      <c s="2" r="F2068"/>
    </row>
    <row r="2069">
      <c s="2" r="D2069"/>
      <c s="2" r="F2069"/>
    </row>
    <row r="2070">
      <c s="2" r="D2070"/>
      <c s="2" r="F2070"/>
    </row>
    <row r="2071">
      <c s="2" r="D2071"/>
      <c s="2" r="F2071"/>
    </row>
    <row r="2072">
      <c s="2" r="D2072"/>
      <c s="2" r="F2072"/>
    </row>
    <row r="2073">
      <c s="2" r="D2073"/>
      <c s="2" r="F2073"/>
    </row>
    <row r="2074">
      <c s="2" r="D2074"/>
      <c s="2" r="F2074"/>
    </row>
    <row r="2075">
      <c s="2" r="D2075"/>
      <c s="2" r="F2075"/>
    </row>
    <row r="2076">
      <c s="2" r="D2076"/>
      <c s="2" r="F2076"/>
    </row>
    <row r="2077">
      <c s="2" r="D2077"/>
      <c s="2" r="F2077"/>
    </row>
    <row r="2078">
      <c s="2" r="D2078"/>
      <c s="2" r="F2078"/>
    </row>
    <row r="2079">
      <c s="2" r="D2079"/>
      <c s="2" r="F2079"/>
    </row>
    <row r="2080">
      <c s="2" r="D2080"/>
      <c s="2" r="F2080"/>
    </row>
    <row r="2081">
      <c s="2" r="D2081"/>
      <c s="2" r="F2081"/>
    </row>
    <row r="2082">
      <c s="2" r="D2082"/>
      <c s="2" r="F2082"/>
    </row>
    <row r="2083">
      <c s="2" r="D2083"/>
      <c s="2" r="F2083"/>
    </row>
    <row r="2084">
      <c s="2" r="D2084"/>
      <c s="2" r="F2084"/>
    </row>
    <row r="2085">
      <c s="2" r="D2085"/>
      <c s="2" r="F2085"/>
    </row>
    <row r="2086">
      <c s="2" r="D2086"/>
      <c s="2" r="F2086"/>
    </row>
    <row r="2087">
      <c s="2" r="D2087"/>
      <c s="2" r="F2087"/>
    </row>
    <row r="2088">
      <c s="2" r="D2088"/>
      <c s="2" r="F2088"/>
    </row>
    <row r="2089">
      <c s="2" r="D2089"/>
      <c s="2" r="F2089"/>
    </row>
    <row r="2090">
      <c s="2" r="D2090"/>
      <c s="2" r="F2090"/>
    </row>
    <row r="2091">
      <c s="2" r="D2091"/>
      <c s="2" r="F2091"/>
    </row>
    <row r="2092">
      <c s="2" r="D2092"/>
      <c s="2" r="F2092"/>
    </row>
    <row r="2093">
      <c s="2" r="D2093"/>
      <c s="2" r="F2093"/>
    </row>
    <row r="2094">
      <c s="2" r="D2094"/>
      <c s="2" r="F2094"/>
    </row>
    <row r="2095">
      <c s="2" r="D2095"/>
      <c s="2" r="F2095"/>
    </row>
    <row r="2096">
      <c s="2" r="D2096"/>
      <c s="2" r="F2096"/>
    </row>
    <row r="2097">
      <c s="2" r="D2097"/>
      <c s="2" r="F2097"/>
    </row>
    <row r="2098">
      <c s="2" r="D2098"/>
      <c s="2" r="F2098"/>
    </row>
    <row r="2099">
      <c s="2" r="D2099"/>
      <c s="2" r="F2099"/>
    </row>
    <row r="2100">
      <c s="2" r="D2100"/>
      <c s="2" r="F2100"/>
    </row>
    <row r="2101">
      <c s="2" r="D2101"/>
      <c s="2" r="F2101"/>
    </row>
    <row r="2102">
      <c s="2" r="D2102"/>
      <c s="2" r="F2102"/>
    </row>
    <row r="2103">
      <c s="2" r="D2103"/>
      <c s="2" r="F2103"/>
    </row>
    <row r="2104">
      <c s="2" r="D2104"/>
      <c s="2" r="F2104"/>
    </row>
    <row r="2105">
      <c s="2" r="D2105"/>
      <c s="2" r="F2105"/>
    </row>
    <row r="2106">
      <c s="2" r="D2106"/>
      <c s="2" r="F2106"/>
    </row>
    <row r="2107">
      <c s="2" r="D2107"/>
      <c s="2" r="F2107"/>
    </row>
    <row r="2108">
      <c s="2" r="D2108"/>
      <c s="2" r="F2108"/>
    </row>
    <row r="2109">
      <c s="2" r="D2109"/>
      <c s="2" r="F2109"/>
    </row>
    <row r="2110">
      <c s="2" r="D2110"/>
      <c s="2" r="F2110"/>
    </row>
    <row r="2111">
      <c s="2" r="D2111"/>
      <c s="2" r="F2111"/>
    </row>
    <row r="2112">
      <c s="2" r="D2112"/>
      <c s="2" r="F2112"/>
    </row>
    <row r="2113">
      <c s="2" r="D2113"/>
      <c s="2" r="F2113"/>
    </row>
    <row r="2114">
      <c s="2" r="D2114"/>
      <c s="2" r="F2114"/>
    </row>
    <row r="2115">
      <c s="2" r="D2115"/>
      <c s="2" r="F2115"/>
    </row>
    <row r="2116">
      <c s="2" r="D2116"/>
      <c s="2" r="F2116"/>
    </row>
    <row r="2117">
      <c s="2" r="D2117"/>
      <c s="2" r="F2117"/>
    </row>
    <row r="2118">
      <c s="2" r="D2118"/>
      <c s="2" r="F2118"/>
    </row>
    <row r="2119">
      <c s="2" r="D2119"/>
      <c s="2" r="F2119"/>
    </row>
    <row r="2120">
      <c s="2" r="D2120"/>
      <c s="2" r="F2120"/>
    </row>
    <row r="2121">
      <c s="2" r="D2121"/>
      <c s="2" r="F2121"/>
    </row>
    <row r="2122">
      <c s="2" r="D2122"/>
      <c s="2" r="F2122"/>
    </row>
    <row r="2123">
      <c s="2" r="D2123"/>
      <c s="2" r="F2123"/>
    </row>
    <row r="2124">
      <c s="2" r="D2124"/>
      <c s="2" r="F2124"/>
    </row>
    <row r="2125">
      <c s="2" r="D2125"/>
      <c s="2" r="F2125"/>
    </row>
    <row r="2126">
      <c s="2" r="D2126"/>
      <c s="2" r="F2126"/>
    </row>
    <row r="2127">
      <c s="2" r="D2127"/>
      <c s="2" r="F2127"/>
    </row>
    <row r="2128">
      <c s="2" r="D2128"/>
      <c s="2" r="F2128"/>
    </row>
    <row r="2129">
      <c s="2" r="D2129"/>
      <c s="2" r="F2129"/>
    </row>
    <row r="2130">
      <c s="2" r="D2130"/>
      <c s="2" r="F2130"/>
    </row>
    <row r="2131">
      <c s="2" r="D2131"/>
      <c s="2" r="F2131"/>
    </row>
    <row r="2132">
      <c s="2" r="D2132"/>
      <c s="2" r="F2132"/>
    </row>
    <row r="2133">
      <c s="2" r="D2133"/>
      <c s="2" r="F2133"/>
    </row>
    <row r="2134">
      <c s="2" r="D2134"/>
      <c s="2" r="F2134"/>
    </row>
    <row r="2135">
      <c s="2" r="D2135"/>
      <c s="2" r="F2135"/>
    </row>
    <row r="2136">
      <c s="2" r="D2136"/>
      <c s="2" r="F2136"/>
    </row>
    <row r="2137">
      <c s="2" r="D2137"/>
      <c s="2" r="F2137"/>
    </row>
    <row r="2138">
      <c s="2" r="D2138"/>
      <c s="2" r="F2138"/>
    </row>
    <row r="2139">
      <c s="2" r="D2139"/>
      <c s="2" r="F2139"/>
    </row>
    <row r="2140">
      <c s="2" r="D2140"/>
      <c s="2" r="F2140"/>
    </row>
    <row r="2141">
      <c s="2" r="D2141"/>
      <c s="2" r="F2141"/>
    </row>
    <row r="2142">
      <c s="2" r="D2142"/>
      <c s="2" r="F2142"/>
    </row>
    <row r="2143">
      <c s="2" r="D2143"/>
      <c s="2" r="F2143"/>
    </row>
    <row r="2144">
      <c s="2" r="D2144"/>
      <c s="2" r="F2144"/>
    </row>
    <row r="2145">
      <c s="2" r="D2145"/>
      <c s="2" r="F2145"/>
    </row>
    <row r="2146">
      <c s="2" r="D2146"/>
      <c s="2" r="F2146"/>
    </row>
    <row r="2147">
      <c s="2" r="D2147"/>
      <c s="2" r="F2147"/>
    </row>
    <row r="2148">
      <c s="2" r="D2148"/>
      <c s="2" r="F2148"/>
    </row>
    <row r="2149">
      <c s="2" r="D2149"/>
      <c s="2" r="F2149"/>
    </row>
    <row r="2150">
      <c s="2" r="D2150"/>
      <c s="2" r="F2150"/>
    </row>
    <row r="2151">
      <c s="2" r="D2151"/>
      <c s="2" r="F2151"/>
    </row>
    <row r="2152">
      <c s="2" r="D2152"/>
      <c s="2" r="F2152"/>
    </row>
    <row r="2153">
      <c s="2" r="D2153"/>
      <c s="2" r="F2153"/>
    </row>
    <row r="2154">
      <c s="2" r="D2154"/>
      <c s="2" r="F2154"/>
    </row>
    <row r="2155">
      <c s="2" r="D2155"/>
      <c s="2" r="F2155"/>
    </row>
    <row r="2156">
      <c s="2" r="D2156"/>
      <c s="2" r="F2156"/>
    </row>
    <row r="2157">
      <c s="2" r="D2157"/>
      <c s="2" r="F2157"/>
    </row>
    <row r="2158">
      <c s="2" r="D2158"/>
      <c s="2" r="F2158"/>
    </row>
    <row r="2159">
      <c s="2" r="D2159"/>
      <c s="2" r="F2159"/>
    </row>
    <row r="2160">
      <c s="2" r="D2160"/>
      <c s="2" r="F2160"/>
    </row>
    <row r="2161">
      <c s="2" r="D2161"/>
      <c s="2" r="F2161"/>
    </row>
    <row r="2162">
      <c s="2" r="D2162"/>
      <c s="2" r="F2162"/>
    </row>
    <row r="2163">
      <c s="2" r="D2163"/>
      <c s="2" r="F2163"/>
    </row>
    <row r="2164">
      <c s="2" r="D2164"/>
      <c s="2" r="F2164"/>
    </row>
    <row r="2165">
      <c s="2" r="D2165"/>
      <c s="2" r="F2165"/>
    </row>
    <row r="2166">
      <c s="2" r="D2166"/>
      <c s="2" r="F2166"/>
    </row>
    <row r="2167">
      <c s="2" r="D2167"/>
      <c s="2" r="F2167"/>
    </row>
    <row r="2168">
      <c s="2" r="D2168"/>
      <c s="2" r="F2168"/>
    </row>
    <row r="2169">
      <c s="2" r="D2169"/>
      <c s="2" r="F2169"/>
    </row>
    <row r="2170">
      <c s="2" r="D2170"/>
      <c s="2" r="F2170"/>
    </row>
    <row r="2171">
      <c s="2" r="D2171"/>
      <c s="2" r="F2171"/>
    </row>
    <row r="2172">
      <c s="2" r="D2172"/>
      <c s="2" r="F2172"/>
    </row>
    <row r="2173">
      <c s="2" r="D2173"/>
      <c s="2" r="F2173"/>
    </row>
    <row r="2174">
      <c s="2" r="D2174"/>
      <c s="2" r="F2174"/>
    </row>
    <row r="2175">
      <c s="2" r="D2175"/>
      <c s="2" r="F2175"/>
    </row>
    <row r="2176">
      <c s="2" r="D2176"/>
      <c s="2" r="F2176"/>
    </row>
    <row r="2177">
      <c s="2" r="D2177"/>
      <c s="2" r="F2177"/>
    </row>
    <row r="2178">
      <c s="2" r="D2178"/>
      <c s="2" r="F2178"/>
    </row>
    <row r="2179">
      <c s="2" r="D2179"/>
      <c s="2" r="F2179"/>
    </row>
    <row r="2180">
      <c s="2" r="D2180"/>
      <c s="2" r="F2180"/>
    </row>
    <row r="2181">
      <c s="2" r="D2181"/>
      <c s="2" r="F2181"/>
    </row>
    <row r="2182">
      <c s="2" r="D2182"/>
      <c s="2" r="F2182"/>
    </row>
    <row r="2183">
      <c s="2" r="D2183"/>
      <c s="2" r="F2183"/>
    </row>
    <row r="2184">
      <c s="2" r="D2184"/>
      <c s="2" r="F2184"/>
    </row>
    <row r="2185">
      <c s="2" r="D2185"/>
      <c s="2" r="F2185"/>
    </row>
    <row r="2186">
      <c s="2" r="D2186"/>
      <c s="2" r="F2186"/>
    </row>
    <row r="2187">
      <c s="2" r="D2187"/>
      <c s="2" r="F2187"/>
    </row>
    <row r="2188">
      <c s="2" r="D2188"/>
      <c s="2" r="F2188"/>
    </row>
    <row r="2189">
      <c s="2" r="D2189"/>
      <c s="2" r="F2189"/>
    </row>
    <row r="2190">
      <c s="2" r="D2190"/>
      <c s="2" r="F2190"/>
    </row>
    <row r="2191">
      <c s="2" r="D2191"/>
      <c s="2" r="F2191"/>
    </row>
    <row r="2192">
      <c s="2" r="D2192"/>
      <c s="2" r="F2192"/>
    </row>
    <row r="2193">
      <c s="2" r="D2193"/>
      <c s="2" r="F2193"/>
    </row>
    <row r="2194">
      <c s="2" r="D2194"/>
      <c s="2" r="F2194"/>
    </row>
    <row r="2195">
      <c s="2" r="D2195"/>
      <c s="2" r="F2195"/>
    </row>
    <row r="2196">
      <c s="2" r="D2196"/>
      <c s="2" r="F2196"/>
    </row>
    <row r="2197">
      <c s="2" r="D2197"/>
      <c s="2" r="F2197"/>
    </row>
    <row r="2198">
      <c s="2" r="D2198"/>
      <c s="2" r="F2198"/>
    </row>
    <row r="2199">
      <c s="2" r="D2199"/>
      <c s="2" r="F2199"/>
    </row>
    <row r="2200">
      <c s="2" r="D2200"/>
      <c s="2" r="F2200"/>
    </row>
    <row r="2201">
      <c s="2" r="D2201"/>
      <c s="2" r="F2201"/>
    </row>
    <row r="2202">
      <c s="2" r="D2202"/>
      <c s="2" r="F2202"/>
    </row>
    <row r="2203">
      <c s="2" r="D2203"/>
      <c s="2" r="F2203"/>
    </row>
    <row r="2204">
      <c s="2" r="D2204"/>
      <c s="2" r="F2204"/>
    </row>
    <row r="2205">
      <c s="2" r="D2205"/>
      <c s="2" r="F2205"/>
    </row>
    <row r="2206">
      <c s="2" r="D2206"/>
      <c s="2" r="F2206"/>
    </row>
    <row r="2207">
      <c s="2" r="D2207"/>
      <c s="2" r="F2207"/>
    </row>
    <row r="2208">
      <c s="2" r="D2208"/>
      <c s="2" r="F2208"/>
    </row>
    <row r="2209">
      <c s="2" r="D2209"/>
      <c s="2" r="F2209"/>
    </row>
    <row r="2210">
      <c s="2" r="D2210"/>
      <c s="2" r="F2210"/>
    </row>
    <row r="2211">
      <c s="2" r="D2211"/>
      <c s="2" r="F2211"/>
    </row>
    <row r="2212">
      <c s="2" r="D2212"/>
      <c s="2" r="F2212"/>
    </row>
    <row r="2213">
      <c s="2" r="D2213"/>
      <c s="2" r="F2213"/>
    </row>
    <row r="2214">
      <c s="2" r="D2214"/>
      <c s="2" r="F2214"/>
    </row>
    <row r="2215">
      <c s="2" r="D2215"/>
      <c s="2" r="F2215"/>
    </row>
    <row r="2216">
      <c s="2" r="D2216"/>
      <c s="2" r="F2216"/>
    </row>
    <row r="2217">
      <c s="2" r="D2217"/>
      <c s="2" r="F2217"/>
    </row>
    <row r="2218">
      <c s="2" r="D2218"/>
      <c s="2" r="F2218"/>
    </row>
    <row r="2219">
      <c s="2" r="D2219"/>
      <c s="2" r="F2219"/>
    </row>
    <row r="2220">
      <c s="2" r="D2220"/>
      <c s="2" r="F2220"/>
    </row>
    <row r="2221">
      <c s="2" r="D2221"/>
      <c s="2" r="F2221"/>
    </row>
    <row r="2222">
      <c s="2" r="D2222"/>
      <c s="2" r="F2222"/>
    </row>
    <row r="2223">
      <c s="2" r="D2223"/>
      <c s="2" r="F2223"/>
    </row>
    <row r="2224">
      <c s="2" r="D2224"/>
      <c s="2" r="F2224"/>
    </row>
    <row r="2225">
      <c s="2" r="D2225"/>
      <c s="2" r="F2225"/>
    </row>
    <row r="2226">
      <c s="2" r="D2226"/>
      <c s="2" r="F2226"/>
    </row>
    <row r="2227">
      <c s="2" r="D2227"/>
      <c s="2" r="F2227"/>
    </row>
    <row r="2228">
      <c s="2" r="D2228"/>
      <c s="2" r="F2228"/>
    </row>
    <row r="2229">
      <c s="2" r="D2229"/>
      <c s="2" r="F2229"/>
    </row>
    <row r="2230">
      <c s="2" r="D2230"/>
      <c s="2" r="F2230"/>
    </row>
    <row r="2231">
      <c s="2" r="D2231"/>
      <c s="2" r="F2231"/>
    </row>
    <row r="2232">
      <c s="2" r="D2232"/>
      <c s="2" r="F2232"/>
    </row>
    <row r="2233">
      <c s="2" r="D2233"/>
      <c s="2" r="F2233"/>
    </row>
    <row r="2234">
      <c s="2" r="D2234"/>
      <c s="2" r="F2234"/>
    </row>
    <row r="2235">
      <c s="2" r="D2235"/>
      <c s="2" r="F2235"/>
    </row>
    <row r="2236">
      <c s="2" r="D2236"/>
      <c s="2" r="F2236"/>
    </row>
    <row r="2237">
      <c s="2" r="D2237"/>
      <c s="2" r="F2237"/>
    </row>
    <row r="2238">
      <c s="2" r="D2238"/>
      <c s="2" r="F2238"/>
    </row>
    <row r="2239">
      <c s="2" r="D2239"/>
      <c s="2" r="F2239"/>
    </row>
    <row r="2240">
      <c s="2" r="D2240"/>
      <c s="2" r="F2240"/>
    </row>
    <row r="2241">
      <c s="2" r="D2241"/>
      <c s="2" r="F2241"/>
    </row>
    <row r="2242">
      <c s="2" r="D2242"/>
      <c s="2" r="F2242"/>
    </row>
    <row r="2243">
      <c s="2" r="D2243"/>
      <c s="2" r="F2243"/>
    </row>
    <row r="2244">
      <c s="2" r="D2244"/>
      <c s="2" r="F2244"/>
    </row>
    <row r="2245">
      <c s="2" r="D2245"/>
      <c s="2" r="F2245"/>
    </row>
    <row r="2246">
      <c s="2" r="D2246"/>
      <c s="2" r="F2246"/>
    </row>
    <row r="2247">
      <c s="2" r="D2247"/>
      <c s="2" r="F2247"/>
    </row>
    <row r="2248">
      <c s="2" r="D2248"/>
      <c s="2" r="F2248"/>
    </row>
    <row r="2249">
      <c s="2" r="D2249"/>
      <c s="2" r="F2249"/>
    </row>
    <row r="2250">
      <c s="2" r="D2250"/>
      <c s="2" r="F2250"/>
    </row>
    <row r="2251">
      <c s="2" r="D2251"/>
      <c s="2" r="F2251"/>
    </row>
    <row r="2252">
      <c s="2" r="D2252"/>
      <c s="2" r="F2252"/>
    </row>
    <row r="2253">
      <c s="2" r="D2253"/>
      <c s="2" r="F2253"/>
    </row>
    <row r="2254">
      <c s="2" r="D2254"/>
      <c s="2" r="F2254"/>
    </row>
    <row r="2255">
      <c s="2" r="D2255"/>
      <c s="2" r="F2255"/>
    </row>
    <row r="2256">
      <c s="2" r="D2256"/>
      <c s="2" r="F2256"/>
    </row>
    <row r="2257">
      <c s="2" r="D2257"/>
      <c s="2" r="F2257"/>
    </row>
    <row r="2258">
      <c s="2" r="D2258"/>
      <c s="2" r="F2258"/>
    </row>
    <row r="2259">
      <c s="2" r="D2259"/>
      <c s="2" r="F2259"/>
    </row>
    <row r="2260">
      <c s="2" r="D2260"/>
      <c s="2" r="F2260"/>
    </row>
    <row r="2261">
      <c s="2" r="D2261"/>
      <c s="2" r="F2261"/>
    </row>
    <row r="2262">
      <c s="2" r="D2262"/>
      <c s="2" r="F2262"/>
    </row>
    <row r="2263">
      <c s="2" r="D2263"/>
      <c s="2" r="F2263"/>
    </row>
    <row r="2264">
      <c s="2" r="D2264"/>
      <c s="2" r="F2264"/>
    </row>
    <row r="2265">
      <c s="2" r="D2265"/>
      <c s="2" r="F2265"/>
    </row>
    <row r="2266">
      <c s="2" r="D2266"/>
      <c s="2" r="F2266"/>
    </row>
    <row r="2267">
      <c s="2" r="D2267"/>
      <c s="2" r="F2267"/>
    </row>
    <row r="2268">
      <c s="2" r="D2268"/>
      <c s="2" r="F2268"/>
    </row>
    <row r="2269">
      <c s="2" r="D2269"/>
      <c s="2" r="F2269"/>
    </row>
    <row r="2270">
      <c s="2" r="D2270"/>
      <c s="2" r="F2270"/>
    </row>
    <row r="2271">
      <c s="2" r="D2271"/>
      <c s="2" r="F2271"/>
    </row>
    <row r="2272">
      <c s="2" r="D2272"/>
      <c s="2" r="F2272"/>
    </row>
    <row r="2273">
      <c s="2" r="D2273"/>
      <c s="2" r="F2273"/>
    </row>
    <row r="2274">
      <c s="2" r="D2274"/>
      <c s="2" r="F2274"/>
    </row>
    <row r="2275">
      <c s="2" r="D2275"/>
      <c s="2" r="F2275"/>
    </row>
    <row r="2276">
      <c s="2" r="D2276"/>
      <c s="2" r="F2276"/>
    </row>
    <row r="2277">
      <c s="2" r="D2277"/>
      <c s="2" r="F2277"/>
    </row>
    <row r="2278">
      <c s="2" r="D2278"/>
      <c s="2" r="F2278"/>
    </row>
    <row r="2279">
      <c s="2" r="D2279"/>
      <c s="2" r="F2279"/>
    </row>
    <row r="2280">
      <c s="2" r="D2280"/>
      <c s="2" r="F2280"/>
    </row>
    <row r="2281">
      <c s="2" r="D2281"/>
      <c s="2" r="F2281"/>
    </row>
    <row r="2282">
      <c s="2" r="D2282"/>
      <c s="2" r="F2282"/>
    </row>
    <row r="2283">
      <c s="2" r="D2283"/>
      <c s="2" r="F2283"/>
    </row>
    <row r="2284">
      <c s="2" r="D2284"/>
      <c s="2" r="F2284"/>
    </row>
    <row r="2285">
      <c s="2" r="D2285"/>
      <c s="2" r="F2285"/>
    </row>
    <row r="2286">
      <c s="2" r="D2286"/>
      <c s="2" r="F2286"/>
    </row>
    <row r="2287">
      <c s="2" r="D2287"/>
      <c s="2" r="F2287"/>
    </row>
    <row r="2288">
      <c s="2" r="D2288"/>
      <c s="2" r="F2288"/>
    </row>
    <row r="2289">
      <c s="2" r="D2289"/>
      <c s="2" r="F2289"/>
    </row>
    <row r="2290">
      <c s="2" r="D2290"/>
      <c s="2" r="F2290"/>
    </row>
    <row r="2291">
      <c s="2" r="D2291"/>
      <c s="2" r="F2291"/>
    </row>
    <row r="2292">
      <c s="2" r="D2292"/>
      <c s="2" r="F2292"/>
    </row>
    <row r="2293">
      <c s="2" r="D2293"/>
      <c s="2" r="F2293"/>
    </row>
    <row r="2294">
      <c s="2" r="D2294"/>
      <c s="2" r="F2294"/>
    </row>
    <row r="2295">
      <c s="2" r="D2295"/>
      <c s="2" r="F2295"/>
    </row>
    <row r="2296">
      <c s="2" r="D2296"/>
      <c s="2" r="F2296"/>
    </row>
    <row r="2297">
      <c s="2" r="D2297"/>
      <c s="2" r="F2297"/>
    </row>
    <row r="2298">
      <c s="2" r="D2298"/>
      <c s="2" r="F2298"/>
    </row>
    <row r="2299">
      <c s="2" r="D2299"/>
      <c s="2" r="F2299"/>
    </row>
    <row r="2300">
      <c s="2" r="D2300"/>
      <c s="2" r="F2300"/>
    </row>
    <row r="2301">
      <c s="2" r="D2301"/>
      <c s="2" r="F2301"/>
    </row>
    <row r="2302">
      <c s="2" r="D2302"/>
      <c s="2" r="F2302"/>
    </row>
    <row r="2303">
      <c s="2" r="D2303"/>
      <c s="2" r="F2303"/>
    </row>
    <row r="2304">
      <c s="2" r="D2304"/>
      <c s="2" r="F2304"/>
    </row>
    <row r="2305">
      <c s="2" r="D2305"/>
      <c s="2" r="F2305"/>
    </row>
    <row r="2306">
      <c s="2" r="D2306"/>
      <c s="2" r="F2306"/>
    </row>
    <row r="2307">
      <c s="2" r="D2307"/>
      <c s="2" r="F2307"/>
    </row>
    <row r="2308">
      <c s="2" r="D2308"/>
      <c s="2" r="F2308"/>
    </row>
    <row r="2309">
      <c s="2" r="D2309"/>
      <c s="2" r="F2309"/>
    </row>
    <row r="2310">
      <c s="2" r="D2310"/>
      <c s="2" r="F2310"/>
    </row>
    <row r="2311">
      <c s="2" r="D2311"/>
      <c s="2" r="F2311"/>
    </row>
    <row r="2312">
      <c s="2" r="D2312"/>
      <c s="2" r="F2312"/>
    </row>
    <row r="2313">
      <c s="2" r="D2313"/>
      <c s="2" r="F2313"/>
    </row>
    <row r="2314">
      <c s="2" r="D2314"/>
      <c s="2" r="F2314"/>
    </row>
    <row r="2315">
      <c s="2" r="D2315"/>
      <c s="2" r="F2315"/>
    </row>
    <row r="2316">
      <c s="2" r="D2316"/>
      <c s="2" r="F2316"/>
    </row>
    <row r="2317">
      <c s="2" r="D2317"/>
      <c s="2" r="F2317"/>
    </row>
    <row r="2318">
      <c s="2" r="D2318"/>
      <c s="2" r="F2318"/>
    </row>
    <row r="2319">
      <c s="2" r="D2319"/>
      <c s="2" r="F2319"/>
    </row>
    <row r="2320">
      <c s="2" r="D2320"/>
      <c s="2" r="F2320"/>
    </row>
    <row r="2321">
      <c s="2" r="D2321"/>
      <c s="2" r="F2321"/>
    </row>
    <row r="2322">
      <c s="2" r="D2322"/>
      <c s="2" r="F2322"/>
    </row>
    <row r="2323">
      <c s="2" r="D2323"/>
      <c s="2" r="F2323"/>
    </row>
    <row r="2324">
      <c s="2" r="D2324"/>
      <c s="2" r="F2324"/>
    </row>
    <row r="2325">
      <c s="2" r="D2325"/>
      <c s="2" r="F2325"/>
    </row>
    <row r="2326">
      <c s="2" r="D2326"/>
      <c s="2" r="F2326"/>
    </row>
    <row r="2327">
      <c s="2" r="D2327"/>
      <c s="2" r="F2327"/>
    </row>
    <row r="2328">
      <c s="2" r="D2328"/>
      <c s="2" r="F2328"/>
    </row>
    <row r="2329">
      <c s="2" r="D2329"/>
      <c s="2" r="F2329"/>
    </row>
    <row r="2330">
      <c s="2" r="D2330"/>
      <c s="2" r="F2330"/>
    </row>
    <row r="2331">
      <c s="2" r="D2331"/>
      <c s="2" r="F2331"/>
    </row>
    <row r="2332">
      <c s="2" r="D2332"/>
      <c s="2" r="F2332"/>
    </row>
    <row r="2333">
      <c s="2" r="D2333"/>
      <c s="2" r="F2333"/>
    </row>
    <row r="2334">
      <c s="2" r="D2334"/>
      <c s="2" r="F2334"/>
    </row>
    <row r="2335">
      <c s="2" r="D2335"/>
      <c s="2" r="F2335"/>
    </row>
    <row r="2336">
      <c s="2" r="D2336"/>
      <c s="2" r="F2336"/>
    </row>
    <row r="2337">
      <c s="2" r="D2337"/>
      <c s="2" r="F2337"/>
    </row>
    <row r="2338">
      <c s="2" r="D2338"/>
      <c s="2" r="F2338"/>
    </row>
    <row r="2339">
      <c s="2" r="D2339"/>
      <c s="2" r="F2339"/>
    </row>
    <row r="2340">
      <c s="2" r="D2340"/>
      <c s="2" r="F2340"/>
    </row>
    <row r="2341">
      <c s="2" r="D2341"/>
      <c s="2" r="F2341"/>
    </row>
    <row r="2342">
      <c s="2" r="D2342"/>
      <c s="2" r="F2342"/>
    </row>
    <row r="2343">
      <c s="2" r="D2343"/>
      <c s="2" r="F2343"/>
    </row>
    <row r="2344">
      <c s="2" r="D2344"/>
      <c s="2" r="F2344"/>
    </row>
    <row r="2345">
      <c s="2" r="D2345"/>
      <c s="2" r="F2345"/>
    </row>
    <row r="2346">
      <c s="2" r="D2346"/>
      <c s="2" r="F2346"/>
    </row>
    <row r="2347">
      <c s="2" r="D2347"/>
      <c s="2" r="F2347"/>
    </row>
    <row r="2348">
      <c s="2" r="D2348"/>
      <c s="2" r="F2348"/>
    </row>
    <row r="2349">
      <c s="2" r="D2349"/>
      <c s="2" r="F2349"/>
    </row>
    <row r="2350">
      <c s="2" r="D2350"/>
      <c s="2" r="F2350"/>
    </row>
    <row r="2351">
      <c s="2" r="D2351"/>
      <c s="2" r="F2351"/>
    </row>
    <row r="2352">
      <c s="2" r="D2352"/>
      <c s="2" r="F2352"/>
    </row>
    <row r="2353">
      <c s="2" r="D2353"/>
      <c s="2" r="F2353"/>
    </row>
    <row r="2354">
      <c s="2" r="D2354"/>
      <c s="2" r="F2354"/>
    </row>
    <row r="2355">
      <c s="2" r="D2355"/>
      <c s="2" r="F2355"/>
    </row>
    <row r="2356">
      <c s="2" r="D2356"/>
      <c s="2" r="F2356"/>
    </row>
    <row r="2357">
      <c s="2" r="D2357"/>
      <c s="2" r="F2357"/>
    </row>
    <row r="2358">
      <c s="2" r="D2358"/>
      <c s="2" r="F2358"/>
    </row>
    <row r="2359">
      <c s="2" r="D2359"/>
      <c s="2" r="F2359"/>
    </row>
    <row r="2360">
      <c s="2" r="D2360"/>
      <c s="2" r="F2360"/>
    </row>
    <row r="2361">
      <c s="2" r="D2361"/>
      <c s="2" r="F2361"/>
    </row>
    <row r="2362">
      <c s="2" r="D2362"/>
      <c s="2" r="F2362"/>
    </row>
    <row r="2363">
      <c s="2" r="D2363"/>
      <c s="2" r="F2363"/>
    </row>
    <row r="2364">
      <c s="2" r="D2364"/>
      <c s="2" r="F2364"/>
    </row>
    <row r="2365">
      <c s="2" r="D2365"/>
      <c s="2" r="F2365"/>
    </row>
    <row r="2366">
      <c s="2" r="D2366"/>
      <c s="2" r="F2366"/>
    </row>
    <row r="2367">
      <c s="2" r="D2367"/>
      <c s="2" r="F2367"/>
    </row>
    <row r="2368">
      <c s="2" r="D2368"/>
      <c s="2" r="F2368"/>
    </row>
    <row r="2369">
      <c s="2" r="D2369"/>
      <c s="2" r="F2369"/>
    </row>
    <row r="2370">
      <c s="2" r="D2370"/>
      <c s="2" r="F2370"/>
    </row>
    <row r="2371">
      <c s="2" r="D2371"/>
      <c s="2" r="F2371"/>
    </row>
    <row r="2372">
      <c s="2" r="D2372"/>
      <c s="2" r="F2372"/>
    </row>
    <row r="2373">
      <c s="2" r="D2373"/>
      <c s="2" r="F2373"/>
    </row>
    <row r="2374">
      <c s="2" r="D2374"/>
      <c s="2" r="F2374"/>
    </row>
    <row r="2375">
      <c s="2" r="D2375"/>
      <c s="2" r="F2375"/>
    </row>
    <row r="2376">
      <c s="2" r="D2376"/>
      <c s="2" r="F2376"/>
    </row>
    <row r="2377">
      <c s="2" r="D2377"/>
      <c s="2" r="F2377"/>
    </row>
    <row r="2378">
      <c s="2" r="D2378"/>
      <c s="2" r="F2378"/>
    </row>
    <row r="2379">
      <c s="2" r="D2379"/>
      <c s="2" r="F2379"/>
    </row>
    <row r="2380">
      <c s="2" r="D2380"/>
      <c s="2" r="F2380"/>
    </row>
    <row r="2381">
      <c s="2" r="D2381"/>
      <c s="2" r="F2381"/>
    </row>
    <row r="2382">
      <c s="2" r="D2382"/>
      <c s="2" r="F2382"/>
    </row>
    <row r="2383">
      <c s="2" r="D2383"/>
      <c s="2" r="F2383"/>
    </row>
    <row r="2384">
      <c s="2" r="D2384"/>
      <c s="2" r="F2384"/>
    </row>
    <row r="2385">
      <c s="2" r="D2385"/>
      <c s="2" r="F2385"/>
    </row>
    <row r="2386">
      <c s="2" r="D2386"/>
      <c s="2" r="F2386"/>
    </row>
    <row r="2387">
      <c s="2" r="D2387"/>
      <c s="2" r="F2387"/>
    </row>
    <row r="2388">
      <c s="2" r="D2388"/>
      <c s="2" r="F2388"/>
    </row>
    <row r="2389">
      <c s="2" r="D2389"/>
      <c s="2" r="F2389"/>
    </row>
    <row r="2390">
      <c s="2" r="D2390"/>
      <c s="2" r="F2390"/>
    </row>
    <row r="2391">
      <c s="2" r="D2391"/>
      <c s="2" r="F2391"/>
    </row>
    <row r="2392">
      <c s="2" r="D2392"/>
      <c s="2" r="F2392"/>
    </row>
    <row r="2393">
      <c s="2" r="D2393"/>
      <c s="2" r="F2393"/>
    </row>
    <row r="2394">
      <c s="2" r="D2394"/>
      <c s="2" r="F2394"/>
    </row>
    <row r="2395">
      <c s="2" r="D2395"/>
      <c s="2" r="F2395"/>
    </row>
    <row r="2396">
      <c s="2" r="D2396"/>
      <c s="2" r="F2396"/>
    </row>
    <row r="2397">
      <c s="2" r="D2397"/>
      <c s="2" r="F2397"/>
    </row>
    <row r="2398">
      <c s="2" r="D2398"/>
      <c s="2" r="F2398"/>
    </row>
    <row r="2399">
      <c s="2" r="D2399"/>
      <c s="2" r="F2399"/>
    </row>
    <row r="2400">
      <c s="2" r="D2400"/>
      <c s="2" r="F2400"/>
    </row>
    <row r="2401">
      <c s="2" r="D2401"/>
      <c s="2" r="F2401"/>
    </row>
    <row r="2402">
      <c s="2" r="D2402"/>
      <c s="2" r="F2402"/>
    </row>
    <row r="2403">
      <c s="2" r="D2403"/>
      <c s="2" r="F2403"/>
    </row>
    <row r="2404">
      <c s="2" r="D2404"/>
      <c s="2" r="F2404"/>
    </row>
    <row r="2405">
      <c s="2" r="D2405"/>
      <c s="2" r="F2405"/>
    </row>
    <row r="2406">
      <c s="2" r="D2406"/>
      <c s="2" r="F2406"/>
    </row>
    <row r="2407">
      <c s="2" r="D2407"/>
      <c s="2" r="F2407"/>
    </row>
    <row r="2408">
      <c s="2" r="D2408"/>
      <c s="2" r="F2408"/>
    </row>
    <row r="2409">
      <c s="2" r="D2409"/>
      <c s="2" r="F2409"/>
    </row>
    <row r="2410">
      <c s="2" r="D2410"/>
      <c s="2" r="F2410"/>
    </row>
    <row r="2411">
      <c s="2" r="D2411"/>
      <c s="2" r="F2411"/>
    </row>
    <row r="2412">
      <c s="2" r="D2412"/>
      <c s="2" r="F2412"/>
    </row>
    <row r="2413">
      <c s="2" r="D2413"/>
      <c s="2" r="F2413"/>
    </row>
    <row r="2414">
      <c s="2" r="D2414"/>
      <c s="2" r="F2414"/>
    </row>
    <row r="2415">
      <c s="2" r="D2415"/>
      <c s="2" r="F2415"/>
    </row>
    <row r="2416">
      <c s="2" r="D2416"/>
      <c s="2" r="F2416"/>
    </row>
    <row r="2417">
      <c s="2" r="D2417"/>
      <c s="2" r="F2417"/>
    </row>
    <row r="2418">
      <c s="2" r="D2418"/>
      <c s="2" r="F2418"/>
    </row>
    <row r="2419">
      <c s="2" r="D2419"/>
      <c s="2" r="F2419"/>
    </row>
    <row r="2420">
      <c s="2" r="D2420"/>
      <c s="2" r="F2420"/>
    </row>
    <row r="2421">
      <c s="2" r="D2421"/>
      <c s="2" r="F2421"/>
    </row>
    <row r="2422">
      <c s="2" r="D2422"/>
      <c s="2" r="F2422"/>
    </row>
    <row r="2423">
      <c s="2" r="D2423"/>
      <c s="2" r="F2423"/>
    </row>
    <row r="2424">
      <c s="2" r="D2424"/>
      <c s="2" r="F2424"/>
    </row>
    <row r="2425">
      <c s="2" r="D2425"/>
      <c s="2" r="F2425"/>
    </row>
    <row r="2426">
      <c s="2" r="D2426"/>
      <c s="2" r="F2426"/>
    </row>
    <row r="2427">
      <c s="2" r="D2427"/>
      <c s="2" r="F2427"/>
    </row>
    <row r="2428">
      <c s="2" r="D2428"/>
      <c s="2" r="F2428"/>
    </row>
    <row r="2429">
      <c s="2" r="D2429"/>
      <c s="2" r="F2429"/>
    </row>
    <row r="2430">
      <c s="2" r="D2430"/>
      <c s="2" r="F2430"/>
    </row>
    <row r="2431">
      <c s="2" r="D2431"/>
      <c s="2" r="F2431"/>
    </row>
    <row r="2432">
      <c s="2" r="D2432"/>
      <c s="2" r="F2432"/>
    </row>
    <row r="2433">
      <c s="2" r="D2433"/>
      <c s="2" r="F2433"/>
    </row>
    <row r="2434">
      <c s="2" r="D2434"/>
      <c s="2" r="F2434"/>
    </row>
    <row r="2435">
      <c s="2" r="D2435"/>
      <c s="2" r="F2435"/>
    </row>
    <row r="2436">
      <c s="2" r="D2436"/>
      <c s="2" r="F2436"/>
    </row>
    <row r="2437">
      <c s="2" r="D2437"/>
      <c s="2" r="F2437"/>
    </row>
    <row r="2438">
      <c s="2" r="D2438"/>
      <c s="2" r="F2438"/>
    </row>
    <row r="2439">
      <c s="2" r="D2439"/>
      <c s="2" r="F2439"/>
    </row>
    <row r="2440">
      <c s="2" r="D2440"/>
      <c s="2" r="F2440"/>
    </row>
    <row r="2441">
      <c s="2" r="D2441"/>
      <c s="2" r="F2441"/>
    </row>
    <row r="2442">
      <c s="2" r="D2442"/>
      <c s="2" r="F2442"/>
    </row>
    <row r="2443">
      <c s="2" r="D2443"/>
      <c s="2" r="F2443"/>
    </row>
    <row r="2444">
      <c s="2" r="D2444"/>
      <c s="2" r="F2444"/>
    </row>
    <row r="2445">
      <c s="2" r="D2445"/>
      <c s="2" r="F2445"/>
    </row>
    <row r="2446">
      <c s="2" r="D2446"/>
      <c s="2" r="F2446"/>
    </row>
    <row r="2447">
      <c s="2" r="D2447"/>
      <c s="2" r="F2447"/>
    </row>
    <row r="2448">
      <c s="2" r="D2448"/>
      <c s="2" r="F2448"/>
    </row>
    <row r="2449">
      <c s="2" r="D2449"/>
      <c s="2" r="F2449"/>
    </row>
    <row r="2450">
      <c s="2" r="D2450"/>
      <c s="2" r="F2450"/>
    </row>
    <row r="2451">
      <c s="2" r="D2451"/>
      <c s="2" r="F2451"/>
    </row>
    <row r="2452">
      <c s="2" r="D2452"/>
      <c s="2" r="F2452"/>
    </row>
    <row r="2453">
      <c s="2" r="D2453"/>
      <c s="2" r="F2453"/>
    </row>
    <row r="2454">
      <c s="2" r="D2454"/>
      <c s="2" r="F2454"/>
    </row>
    <row r="2455">
      <c s="2" r="D2455"/>
      <c s="2" r="F2455"/>
    </row>
    <row r="2456">
      <c s="2" r="D2456"/>
      <c s="2" r="F2456"/>
    </row>
    <row r="2457">
      <c s="2" r="D2457"/>
      <c s="2" r="F2457"/>
    </row>
    <row r="2458">
      <c s="2" r="D2458"/>
      <c s="2" r="F2458"/>
    </row>
    <row r="2459">
      <c s="2" r="D2459"/>
      <c s="2" r="F2459"/>
    </row>
    <row r="2460">
      <c s="2" r="D2460"/>
      <c s="2" r="F2460"/>
    </row>
    <row r="2461">
      <c s="2" r="D2461"/>
      <c s="2" r="F2461"/>
    </row>
    <row r="2462">
      <c s="2" r="D2462"/>
      <c s="2" r="F2462"/>
    </row>
    <row r="2463">
      <c s="2" r="D2463"/>
      <c s="2" r="F2463"/>
    </row>
    <row r="2464">
      <c s="2" r="D2464"/>
      <c s="2" r="F2464"/>
    </row>
    <row r="2465">
      <c s="2" r="D2465"/>
      <c s="2" r="F2465"/>
    </row>
    <row r="2466">
      <c s="2" r="D2466"/>
      <c s="2" r="F2466"/>
    </row>
    <row r="2467">
      <c s="2" r="D2467"/>
      <c s="2" r="F2467"/>
    </row>
    <row r="2468">
      <c s="2" r="D2468"/>
      <c s="2" r="F2468"/>
    </row>
    <row r="2469">
      <c s="2" r="D2469"/>
      <c s="2" r="F2469"/>
    </row>
    <row r="2470">
      <c s="2" r="D2470"/>
      <c s="2" r="F2470"/>
    </row>
    <row r="2471">
      <c s="2" r="D2471"/>
      <c s="2" r="F2471"/>
    </row>
    <row r="2472">
      <c s="2" r="D2472"/>
      <c s="2" r="F2472"/>
    </row>
    <row r="2473">
      <c s="2" r="D2473"/>
      <c s="2" r="F2473"/>
    </row>
    <row r="2474">
      <c s="2" r="D2474"/>
      <c s="2" r="F2474"/>
    </row>
    <row r="2475">
      <c s="2" r="D2475"/>
      <c s="2" r="F2475"/>
    </row>
    <row r="2476">
      <c s="2" r="D2476"/>
      <c s="2" r="F2476"/>
    </row>
    <row r="2477">
      <c s="2" r="D2477"/>
      <c s="2" r="F2477"/>
    </row>
    <row r="2478">
      <c s="2" r="D2478"/>
      <c s="2" r="F2478"/>
    </row>
    <row r="2479">
      <c s="2" r="D2479"/>
      <c s="2" r="F2479"/>
    </row>
    <row r="2480">
      <c s="2" r="D2480"/>
      <c s="2" r="F2480"/>
    </row>
    <row r="2481">
      <c s="2" r="D2481"/>
      <c s="2" r="F2481"/>
    </row>
    <row r="2482">
      <c s="2" r="D2482"/>
      <c s="2" r="F2482"/>
    </row>
    <row r="2483">
      <c s="2" r="D2483"/>
      <c s="2" r="F2483"/>
    </row>
    <row r="2484">
      <c s="2" r="D2484"/>
      <c s="2" r="F2484"/>
    </row>
    <row r="2485">
      <c s="2" r="D2485"/>
      <c s="2" r="F2485"/>
    </row>
    <row r="2486">
      <c s="2" r="D2486"/>
      <c s="2" r="F2486"/>
    </row>
    <row r="2487">
      <c s="2" r="D2487"/>
      <c s="2" r="F2487"/>
    </row>
    <row r="2488">
      <c s="2" r="D2488"/>
      <c s="2" r="F2488"/>
    </row>
    <row r="2489">
      <c s="2" r="D2489"/>
      <c s="2" r="F2489"/>
    </row>
    <row r="2490">
      <c s="2" r="D2490"/>
      <c s="2" r="F2490"/>
    </row>
    <row r="2491">
      <c s="2" r="D2491"/>
      <c s="2" r="F2491"/>
    </row>
    <row r="2492">
      <c s="2" r="D2492"/>
      <c s="2" r="F2492"/>
    </row>
    <row r="2493">
      <c s="2" r="D2493"/>
      <c s="2" r="F2493"/>
    </row>
    <row r="2494">
      <c s="2" r="D2494"/>
      <c s="2" r="F2494"/>
    </row>
    <row r="2495">
      <c s="2" r="D2495"/>
      <c s="2" r="F2495"/>
    </row>
    <row r="2496">
      <c s="2" r="D2496"/>
      <c s="2" r="F2496"/>
    </row>
    <row r="2497">
      <c s="2" r="D2497"/>
      <c s="2" r="F2497"/>
    </row>
    <row r="2498">
      <c s="2" r="D2498"/>
      <c s="2" r="F2498"/>
    </row>
    <row r="2499">
      <c s="2" r="D2499"/>
      <c s="2" r="F2499"/>
    </row>
    <row r="2500">
      <c s="2" r="D2500"/>
      <c s="2" r="F2500"/>
    </row>
    <row r="2501">
      <c s="2" r="D2501"/>
      <c s="2" r="F2501"/>
    </row>
    <row r="2502">
      <c s="2" r="D2502"/>
      <c s="2" r="F2502"/>
    </row>
    <row r="2503">
      <c s="2" r="D2503"/>
      <c s="2" r="F2503"/>
    </row>
    <row r="2504">
      <c s="2" r="D2504"/>
      <c s="2" r="F2504"/>
    </row>
    <row r="2505">
      <c s="2" r="D2505"/>
      <c s="2" r="F2505"/>
    </row>
    <row r="2506">
      <c s="2" r="D2506"/>
      <c s="2" r="F2506"/>
    </row>
    <row r="2507">
      <c s="2" r="D2507"/>
      <c s="2" r="F2507"/>
    </row>
    <row r="2508">
      <c s="2" r="D2508"/>
      <c s="2" r="F2508"/>
    </row>
    <row r="2509">
      <c s="2" r="D2509"/>
      <c s="2" r="F2509"/>
    </row>
    <row r="2510">
      <c s="2" r="D2510"/>
      <c s="2" r="F2510"/>
    </row>
    <row r="2511">
      <c s="2" r="D2511"/>
      <c s="2" r="F2511"/>
    </row>
    <row r="2512">
      <c s="2" r="D2512"/>
      <c s="2" r="F2512"/>
    </row>
    <row r="2513">
      <c s="2" r="D2513"/>
      <c s="2" r="F2513"/>
    </row>
    <row r="2514">
      <c s="2" r="D2514"/>
      <c s="2" r="F2514"/>
    </row>
    <row r="2515">
      <c s="2" r="D2515"/>
      <c s="2" r="F2515"/>
    </row>
    <row r="2516">
      <c s="2" r="D2516"/>
      <c s="2" r="F2516"/>
    </row>
    <row r="2517">
      <c s="2" r="D2517"/>
      <c s="2" r="F2517"/>
    </row>
    <row r="2518">
      <c s="2" r="D2518"/>
      <c s="2" r="F2518"/>
    </row>
    <row r="2519">
      <c s="2" r="D2519"/>
      <c s="2" r="F2519"/>
    </row>
    <row r="2520">
      <c s="2" r="D2520"/>
      <c s="2" r="F2520"/>
    </row>
    <row r="2521">
      <c s="2" r="D2521"/>
      <c s="2" r="F2521"/>
    </row>
    <row r="2522">
      <c s="2" r="D2522"/>
      <c s="2" r="F2522"/>
    </row>
    <row r="2523">
      <c s="2" r="D2523"/>
      <c s="2" r="F2523"/>
    </row>
    <row r="2524">
      <c s="2" r="D2524"/>
      <c s="2" r="F2524"/>
    </row>
    <row r="2525">
      <c s="2" r="D2525"/>
      <c s="2" r="F2525"/>
    </row>
    <row r="2526">
      <c s="2" r="D2526"/>
      <c s="2" r="F2526"/>
    </row>
    <row r="2527">
      <c s="2" r="D2527"/>
      <c s="2" r="F2527"/>
    </row>
    <row r="2528">
      <c s="2" r="D2528"/>
      <c s="2" r="F2528"/>
    </row>
    <row r="2529">
      <c s="2" r="D2529"/>
      <c s="2" r="F2529"/>
    </row>
    <row r="2530">
      <c s="2" r="D2530"/>
      <c s="2" r="F2530"/>
    </row>
    <row r="2531">
      <c s="2" r="D2531"/>
      <c s="2" r="F2531"/>
    </row>
    <row r="2532">
      <c s="2" r="D2532"/>
      <c s="2" r="F2532"/>
    </row>
    <row r="2533">
      <c s="2" r="D2533"/>
      <c s="2" r="F2533"/>
    </row>
    <row r="2534">
      <c s="2" r="D2534"/>
      <c s="2" r="F2534"/>
    </row>
    <row r="2535">
      <c s="2" r="D2535"/>
      <c s="2" r="F2535"/>
    </row>
    <row r="2536">
      <c s="2" r="D2536"/>
      <c s="2" r="F2536"/>
    </row>
    <row r="2537">
      <c s="2" r="D2537"/>
      <c s="2" r="F2537"/>
    </row>
    <row r="2538">
      <c s="2" r="D2538"/>
      <c s="2" r="F2538"/>
    </row>
    <row r="2539">
      <c s="2" r="D2539"/>
      <c s="2" r="F2539"/>
    </row>
    <row r="2540">
      <c s="2" r="D2540"/>
      <c s="2" r="F2540"/>
    </row>
    <row r="2541">
      <c s="2" r="D2541"/>
      <c s="2" r="F2541"/>
    </row>
    <row r="2542">
      <c s="2" r="D2542"/>
      <c s="2" r="F2542"/>
    </row>
    <row r="2543">
      <c s="2" r="D2543"/>
      <c s="2" r="F2543"/>
    </row>
    <row r="2544">
      <c s="2" r="D2544"/>
      <c s="2" r="F2544"/>
    </row>
    <row r="2545">
      <c s="2" r="D2545"/>
      <c s="2" r="F2545"/>
    </row>
    <row r="2546">
      <c s="2" r="D2546"/>
      <c s="2" r="F2546"/>
    </row>
    <row r="2547">
      <c s="2" r="D2547"/>
      <c s="2" r="F2547"/>
    </row>
    <row r="2548">
      <c s="2" r="D2548"/>
      <c s="2" r="F2548"/>
    </row>
    <row r="2549">
      <c s="2" r="D2549"/>
      <c s="2" r="F2549"/>
    </row>
    <row r="2550">
      <c s="2" r="D2550"/>
      <c s="2" r="F2550"/>
    </row>
    <row r="2551">
      <c s="2" r="D2551"/>
      <c s="2" r="F2551"/>
    </row>
    <row r="2552">
      <c s="2" r="D2552"/>
      <c s="2" r="F2552"/>
    </row>
    <row r="2553">
      <c s="2" r="D2553"/>
      <c s="2" r="F2553"/>
    </row>
    <row r="2554">
      <c s="2" r="D2554"/>
      <c s="2" r="F2554"/>
    </row>
    <row r="2555">
      <c s="2" r="D2555"/>
      <c s="2" r="F2555"/>
    </row>
    <row r="2556">
      <c s="2" r="D2556"/>
      <c s="2" r="F2556"/>
    </row>
    <row r="2557">
      <c s="2" r="D2557"/>
      <c s="2" r="F2557"/>
    </row>
    <row r="2558">
      <c s="2" r="D2558"/>
      <c s="2" r="F2558"/>
    </row>
    <row r="2559">
      <c s="2" r="D2559"/>
      <c s="2" r="F2559"/>
    </row>
    <row r="2560">
      <c s="2" r="D2560"/>
      <c s="2" r="F2560"/>
    </row>
    <row r="2561">
      <c s="2" r="D2561"/>
      <c s="2" r="F2561"/>
    </row>
    <row r="2562">
      <c s="2" r="D2562"/>
      <c s="2" r="F2562"/>
    </row>
    <row r="2563">
      <c s="2" r="D2563"/>
      <c s="2" r="F2563"/>
    </row>
    <row r="2564">
      <c s="2" r="D2564"/>
      <c s="2" r="F2564"/>
    </row>
    <row r="2565">
      <c s="2" r="D2565"/>
      <c s="2" r="F2565"/>
    </row>
    <row r="2566">
      <c s="2" r="D2566"/>
      <c s="2" r="F2566"/>
    </row>
    <row r="2567">
      <c s="2" r="D2567"/>
      <c s="2" r="F2567"/>
    </row>
    <row r="2568">
      <c s="2" r="D2568"/>
      <c s="2" r="F2568"/>
    </row>
    <row r="2569">
      <c s="2" r="D2569"/>
      <c s="2" r="F2569"/>
    </row>
    <row r="2570">
      <c s="2" r="D2570"/>
      <c s="2" r="F2570"/>
    </row>
    <row r="2571">
      <c s="2" r="D2571"/>
      <c s="2" r="F2571"/>
    </row>
    <row r="2572">
      <c s="2" r="D2572"/>
      <c s="2" r="F2572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62.71"/>
  </cols>
  <sheetData>
    <row r="1">
      <c s="9" r="A1">
        <v>41697</v>
      </c>
      <c t="s" r="B1">
        <v>73</v>
      </c>
      <c t="s" s="18" r="C1">
        <v>74</v>
      </c>
    </row>
    <row r="2">
      <c s="9" r="A2">
        <v>41667</v>
      </c>
      <c t="s" r="B2">
        <v>75</v>
      </c>
      <c s="18" r="C2">
        <v>1000</v>
      </c>
    </row>
    <row r="3">
      <c s="9" r="A3">
        <v>41667</v>
      </c>
      <c t="s" r="B3">
        <v>76</v>
      </c>
      <c s="18" r="C3">
        <v>2000</v>
      </c>
    </row>
    <row r="4">
      <c s="9" r="A4">
        <v>41666</v>
      </c>
      <c t="s" r="B4">
        <v>77</v>
      </c>
      <c s="18" r="C4">
        <v>8000</v>
      </c>
    </row>
    <row r="5">
      <c s="9" r="A5">
        <v>41653</v>
      </c>
      <c t="s" r="B5">
        <v>78</v>
      </c>
      <c s="18" r="C5">
        <v>3500</v>
      </c>
    </row>
    <row r="6">
      <c s="9" r="A6">
        <v>41547</v>
      </c>
      <c t="s" r="B6">
        <v>79</v>
      </c>
      <c s="18" r="C6">
        <v>18240.62</v>
      </c>
    </row>
    <row r="7">
      <c s="9" r="A7">
        <v>41409</v>
      </c>
      <c t="s" r="B7">
        <v>80</v>
      </c>
      <c s="18" r="C7">
        <v>1500</v>
      </c>
    </row>
    <row r="8">
      <c s="9" r="A8">
        <v>41402</v>
      </c>
      <c t="s" r="B8">
        <v>81</v>
      </c>
      <c s="18" r="C8">
        <v>11850</v>
      </c>
    </row>
    <row r="9">
      <c s="9" r="A9">
        <v>41374</v>
      </c>
      <c t="s" r="B9">
        <v>82</v>
      </c>
      <c s="18" r="C9">
        <v>3300</v>
      </c>
    </row>
    <row r="10">
      <c s="9" r="A10">
        <v>41360</v>
      </c>
      <c t="s" r="B10">
        <v>83</v>
      </c>
      <c s="18" r="C10">
        <v>19000</v>
      </c>
    </row>
    <row r="11">
      <c s="9" r="A11">
        <v>41339</v>
      </c>
      <c t="s" r="B11">
        <v>84</v>
      </c>
      <c s="18" r="C11">
        <v>20000</v>
      </c>
    </row>
    <row r="12">
      <c s="9" r="A12">
        <v>41318</v>
      </c>
      <c t="s" r="B12">
        <v>85</v>
      </c>
      <c s="18" r="C12">
        <v>7600</v>
      </c>
    </row>
    <row r="13">
      <c s="9" r="A13">
        <v>41311</v>
      </c>
      <c t="s" r="B13">
        <v>86</v>
      </c>
      <c s="18" r="C13">
        <v>1000</v>
      </c>
    </row>
    <row r="14">
      <c s="9" r="A14">
        <v>41311</v>
      </c>
      <c t="s" r="B14">
        <v>76</v>
      </c>
      <c s="18" r="C14">
        <v>2000</v>
      </c>
    </row>
    <row r="15">
      <c s="9" r="A15">
        <v>41241</v>
      </c>
      <c t="s" r="B15">
        <v>87</v>
      </c>
      <c s="18" r="C15">
        <v>17761</v>
      </c>
    </row>
    <row r="16">
      <c s="9" r="A16">
        <v>41066</v>
      </c>
      <c t="s" r="B16">
        <v>88</v>
      </c>
      <c s="18" r="C16">
        <v>6000</v>
      </c>
    </row>
    <row r="17">
      <c s="9" r="A17">
        <v>41052</v>
      </c>
      <c t="s" r="B17">
        <v>89</v>
      </c>
      <c s="18" r="C17">
        <v>1000</v>
      </c>
    </row>
    <row r="18">
      <c s="9" r="A18">
        <v>41010</v>
      </c>
      <c t="s" r="B18">
        <v>90</v>
      </c>
      <c s="18" r="C18">
        <v>14000</v>
      </c>
    </row>
    <row r="19">
      <c s="9" r="A19">
        <v>41010</v>
      </c>
      <c t="s" r="B19">
        <v>83</v>
      </c>
      <c s="18" r="C19">
        <v>19000</v>
      </c>
    </row>
    <row r="20">
      <c s="9" r="A20">
        <v>40981</v>
      </c>
      <c t="s" r="B20">
        <v>82</v>
      </c>
      <c s="18" r="C20">
        <v>3000</v>
      </c>
    </row>
    <row r="21">
      <c s="9" r="A21">
        <v>40975</v>
      </c>
      <c t="s" r="B21">
        <v>91</v>
      </c>
      <c s="18" r="C21">
        <v>8000</v>
      </c>
    </row>
    <row r="22">
      <c s="9" r="A22">
        <v>40968</v>
      </c>
      <c t="s" r="B22">
        <v>80</v>
      </c>
      <c s="18" r="C22">
        <v>1225</v>
      </c>
    </row>
    <row r="23">
      <c s="9" r="A23">
        <v>40940</v>
      </c>
      <c t="s" r="B23">
        <v>92</v>
      </c>
      <c s="18" r="C23">
        <v>10000</v>
      </c>
    </row>
    <row r="24">
      <c s="9" r="A24">
        <v>40933</v>
      </c>
      <c t="s" r="B24">
        <v>76</v>
      </c>
      <c s="18" r="C24">
        <v>2000</v>
      </c>
    </row>
    <row r="25">
      <c s="9" r="A25">
        <v>40933</v>
      </c>
      <c t="s" r="B25">
        <v>93</v>
      </c>
      <c s="18" r="C25">
        <v>1000</v>
      </c>
    </row>
    <row r="26">
      <c s="9" r="A26">
        <v>40875</v>
      </c>
      <c t="s" r="B26">
        <v>94</v>
      </c>
      <c s="18" r="C26">
        <v>4000</v>
      </c>
    </row>
    <row r="27">
      <c s="9" r="A27">
        <v>40793</v>
      </c>
      <c t="s" r="B27">
        <v>95</v>
      </c>
      <c s="18" r="C27">
        <v>16000</v>
      </c>
    </row>
    <row r="28">
      <c s="9" r="A28">
        <v>40679</v>
      </c>
      <c t="s" r="B28">
        <v>96</v>
      </c>
      <c s="18" r="C28">
        <v>11800</v>
      </c>
    </row>
    <row r="29">
      <c s="9" r="A29">
        <v>40674</v>
      </c>
      <c t="s" r="B29">
        <v>80</v>
      </c>
      <c s="18" r="C29">
        <v>1225</v>
      </c>
    </row>
    <row r="30">
      <c s="9" r="A30">
        <v>40667</v>
      </c>
      <c t="s" r="B30">
        <v>90</v>
      </c>
      <c s="18" r="C30">
        <v>13600</v>
      </c>
    </row>
    <row r="31">
      <c s="9" r="A31">
        <v>40653</v>
      </c>
      <c t="s" r="B31">
        <v>97</v>
      </c>
      <c s="18" r="C31">
        <v>19000</v>
      </c>
    </row>
    <row r="32">
      <c s="9" r="A32">
        <v>40597</v>
      </c>
      <c t="s" r="B32">
        <v>76</v>
      </c>
      <c s="18" r="C32">
        <v>2000</v>
      </c>
    </row>
    <row r="33">
      <c s="9" r="A33">
        <v>40597</v>
      </c>
      <c t="s" r="B33">
        <v>98</v>
      </c>
      <c s="18" r="C33">
        <v>1200</v>
      </c>
    </row>
    <row r="34">
      <c s="18" r="C34"/>
    </row>
    <row r="35">
      <c s="18" r="C35"/>
    </row>
    <row r="36">
      <c s="18" r="C36"/>
    </row>
    <row r="37">
      <c s="18" r="C37"/>
    </row>
    <row r="38">
      <c s="18" r="C38"/>
    </row>
    <row r="39">
      <c s="18" r="C39"/>
    </row>
    <row r="40">
      <c s="18" r="C40"/>
    </row>
    <row r="41">
      <c s="18" r="C41"/>
    </row>
    <row r="42">
      <c s="18" r="C42"/>
    </row>
    <row r="43">
      <c s="18" r="C43"/>
    </row>
    <row r="44">
      <c s="18" r="C44"/>
    </row>
    <row r="45">
      <c s="18" r="C45"/>
    </row>
    <row r="46">
      <c s="18" r="C46"/>
    </row>
    <row r="47">
      <c s="18" r="C47"/>
    </row>
    <row r="48">
      <c s="18" r="C48"/>
    </row>
    <row r="49">
      <c s="18" r="C49"/>
    </row>
    <row r="50">
      <c s="18" r="C50"/>
    </row>
    <row r="51">
      <c s="18" r="C51"/>
    </row>
    <row r="52">
      <c s="18" r="C52"/>
    </row>
    <row r="53">
      <c s="18" r="C53"/>
    </row>
    <row r="54">
      <c s="18" r="C54"/>
    </row>
    <row r="55">
      <c s="18" r="C55"/>
    </row>
    <row r="56">
      <c s="18" r="C56"/>
    </row>
    <row r="57">
      <c s="18" r="C57"/>
    </row>
    <row r="58">
      <c s="18" r="C58"/>
    </row>
    <row r="59">
      <c s="18" r="C59"/>
    </row>
    <row r="60">
      <c s="18" r="C60"/>
    </row>
    <row r="61">
      <c s="18" r="C61"/>
    </row>
    <row r="62">
      <c s="18" r="C62"/>
    </row>
    <row r="63">
      <c s="18" r="C63"/>
    </row>
    <row r="64">
      <c s="18" r="C64"/>
    </row>
    <row r="65">
      <c s="18" r="C65"/>
    </row>
    <row r="66">
      <c s="18" r="C66"/>
    </row>
    <row r="67">
      <c s="18" r="C67"/>
    </row>
    <row r="68">
      <c s="18" r="C68"/>
    </row>
    <row r="69">
      <c s="18" r="C69"/>
    </row>
    <row r="70">
      <c s="18" r="C70"/>
    </row>
    <row r="71">
      <c s="18" r="C71"/>
    </row>
    <row r="72">
      <c s="18" r="C72"/>
    </row>
    <row r="73">
      <c s="18" r="C73"/>
    </row>
    <row r="74">
      <c s="18" r="C74"/>
    </row>
    <row r="75">
      <c s="18" r="C75"/>
    </row>
    <row r="76">
      <c s="18" r="C76"/>
    </row>
    <row r="77">
      <c s="18" r="C77"/>
    </row>
    <row r="78">
      <c s="18" r="C78"/>
    </row>
    <row r="79">
      <c s="18" r="C79"/>
    </row>
    <row r="80">
      <c s="18" r="C80"/>
    </row>
    <row r="81">
      <c s="18" r="C81"/>
    </row>
    <row r="82">
      <c s="18" r="C82"/>
    </row>
    <row r="83">
      <c s="18" r="C83"/>
    </row>
    <row r="84">
      <c s="18" r="C84"/>
    </row>
    <row r="85">
      <c s="18" r="C85"/>
    </row>
    <row r="86">
      <c s="18" r="C86"/>
    </row>
    <row r="87">
      <c s="18" r="C87"/>
    </row>
    <row r="88">
      <c s="18" r="C88"/>
    </row>
    <row r="89">
      <c s="18" r="C89"/>
    </row>
    <row r="90">
      <c s="18" r="C90"/>
    </row>
    <row r="91">
      <c s="18" r="C91"/>
    </row>
    <row r="92">
      <c s="18" r="C92"/>
    </row>
    <row r="93">
      <c s="18" r="C93"/>
    </row>
    <row r="94">
      <c s="18" r="C94"/>
    </row>
    <row r="95">
      <c s="18" r="C95"/>
    </row>
    <row r="96">
      <c s="18" r="C96"/>
    </row>
    <row r="97">
      <c s="18" r="C97"/>
    </row>
    <row r="98">
      <c s="18" r="C98"/>
    </row>
    <row r="99">
      <c s="18" r="C99"/>
    </row>
    <row r="100">
      <c s="18" r="C10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49.0"/>
  </cols>
  <sheetData>
    <row r="1">
      <c s="9" r="A1">
        <v>41346</v>
      </c>
      <c t="s" r="B1">
        <v>99</v>
      </c>
      <c s="7" r="C1">
        <v>11000</v>
      </c>
    </row>
    <row r="2">
      <c s="9" r="A2">
        <v>41311</v>
      </c>
      <c t="s" r="B2">
        <v>100</v>
      </c>
      <c s="7" r="C2">
        <v>700</v>
      </c>
    </row>
    <row r="3">
      <c s="9" r="A3">
        <v>41311</v>
      </c>
      <c t="s" r="B3">
        <v>101</v>
      </c>
      <c s="7" r="C3">
        <v>700</v>
      </c>
    </row>
    <row r="4">
      <c s="9" r="A4">
        <v>41311</v>
      </c>
      <c t="s" r="B4">
        <v>102</v>
      </c>
      <c s="7" r="C4">
        <v>700</v>
      </c>
    </row>
    <row r="5">
      <c s="9" r="A5">
        <v>41311</v>
      </c>
      <c t="s" r="B5">
        <v>103</v>
      </c>
      <c s="7" r="C5">
        <v>700</v>
      </c>
    </row>
    <row r="6">
      <c s="9" r="A6">
        <v>41311</v>
      </c>
      <c t="s" r="B6">
        <v>104</v>
      </c>
      <c s="7" r="C6">
        <v>2700</v>
      </c>
    </row>
    <row r="7">
      <c s="9" r="A7">
        <v>41052</v>
      </c>
      <c t="s" r="B7">
        <v>105</v>
      </c>
      <c s="7" r="C7">
        <v>1000</v>
      </c>
    </row>
    <row r="8">
      <c s="9" r="A8">
        <v>40933</v>
      </c>
      <c t="s" r="B8">
        <v>99</v>
      </c>
      <c s="7" r="C8">
        <v>9000</v>
      </c>
    </row>
    <row r="9">
      <c s="9" r="A9">
        <v>40877</v>
      </c>
      <c t="s" r="B9">
        <v>105</v>
      </c>
      <c s="7" r="C9">
        <v>1000</v>
      </c>
    </row>
    <row r="10">
      <c s="13" r="A10">
        <v>40825</v>
      </c>
      <c t="s" r="B10">
        <v>104</v>
      </c>
      <c s="7" r="C10">
        <v>2700</v>
      </c>
    </row>
    <row r="11">
      <c s="13" r="A11">
        <v>40825</v>
      </c>
      <c t="s" r="B11">
        <v>100</v>
      </c>
      <c s="7" r="C11">
        <v>700</v>
      </c>
    </row>
    <row r="12">
      <c s="13" r="A12">
        <v>40825</v>
      </c>
      <c t="s" r="B12">
        <v>101</v>
      </c>
      <c s="7" r="C12">
        <v>700</v>
      </c>
    </row>
    <row r="13">
      <c s="13" r="A13">
        <v>40825</v>
      </c>
      <c t="s" r="B13">
        <v>102</v>
      </c>
      <c s="7" r="C13">
        <v>700</v>
      </c>
    </row>
    <row r="14">
      <c s="13" r="A14">
        <v>40825</v>
      </c>
      <c t="s" r="B14">
        <v>103</v>
      </c>
      <c s="7" r="C14">
        <v>700</v>
      </c>
    </row>
    <row r="15">
      <c s="9" r="A15">
        <v>40651</v>
      </c>
      <c t="s" r="B15">
        <v>106</v>
      </c>
      <c s="7" r="C15">
        <v>4000</v>
      </c>
    </row>
    <row r="16">
      <c s="9" r="A16">
        <v>40597</v>
      </c>
      <c t="s" r="B16">
        <v>99</v>
      </c>
      <c s="7" r="C16">
        <v>9000</v>
      </c>
    </row>
    <row r="17">
      <c s="9" r="A17">
        <v>40563</v>
      </c>
      <c t="s" r="B17">
        <v>106</v>
      </c>
      <c s="7" r="C17">
        <v>4000</v>
      </c>
    </row>
    <row r="18">
      <c s="7" r="C18"/>
    </row>
    <row r="19">
      <c s="7" r="C19"/>
    </row>
    <row r="20">
      <c s="7" r="C20"/>
    </row>
    <row r="21">
      <c s="7" r="C21"/>
    </row>
    <row r="22">
      <c s="7" r="C22"/>
    </row>
    <row r="23">
      <c s="7" r="C23"/>
    </row>
    <row r="24">
      <c s="7" r="C24"/>
    </row>
    <row r="25">
      <c s="7" r="C25"/>
    </row>
    <row r="26">
      <c s="7" r="C26"/>
    </row>
    <row r="27">
      <c s="7" r="C27"/>
    </row>
    <row r="28">
      <c s="7" r="C28"/>
    </row>
    <row r="29">
      <c s="7" r="C29"/>
    </row>
    <row r="30">
      <c s="7" r="C30"/>
    </row>
    <row r="31">
      <c s="7" r="C31"/>
    </row>
    <row r="32">
      <c s="7" r="C32"/>
    </row>
    <row r="33">
      <c s="7" r="C33"/>
    </row>
    <row r="34">
      <c s="7" r="C34"/>
    </row>
    <row r="35">
      <c s="7" r="C35"/>
    </row>
    <row r="36">
      <c s="7" r="C36"/>
    </row>
    <row r="37">
      <c s="7" r="C37"/>
    </row>
    <row r="38">
      <c s="7" r="C38"/>
    </row>
    <row r="39">
      <c s="7" r="C39"/>
    </row>
    <row r="40">
      <c s="7" r="C40"/>
    </row>
    <row r="41">
      <c s="7" r="C41"/>
    </row>
    <row r="42">
      <c s="7" r="C42"/>
    </row>
    <row r="43">
      <c s="7" r="C43"/>
    </row>
    <row r="44">
      <c s="7" r="C44"/>
    </row>
    <row r="45">
      <c s="7" r="C45"/>
    </row>
    <row r="46">
      <c s="7" r="C46"/>
    </row>
    <row r="47">
      <c s="7" r="C47"/>
    </row>
    <row r="48">
      <c s="7" r="C48"/>
    </row>
    <row r="49">
      <c s="7" r="C49"/>
    </row>
    <row r="50">
      <c s="7" r="C50"/>
    </row>
    <row r="51">
      <c s="7" r="C51"/>
    </row>
    <row r="52">
      <c s="7" r="C52"/>
    </row>
    <row r="53">
      <c s="7" r="C53"/>
    </row>
    <row r="54">
      <c s="7" r="C54"/>
    </row>
    <row r="55">
      <c s="7" r="C55"/>
    </row>
    <row r="56">
      <c s="7" r="C56"/>
    </row>
    <row r="57">
      <c s="7" r="C57"/>
    </row>
    <row r="58">
      <c s="7" r="C58"/>
    </row>
    <row r="59">
      <c s="7" r="C59"/>
    </row>
    <row r="60">
      <c s="7" r="C60"/>
    </row>
    <row r="61">
      <c s="7" r="C61"/>
    </row>
    <row r="62">
      <c s="7" r="C62"/>
    </row>
    <row r="63">
      <c s="7" r="C63"/>
    </row>
    <row r="64">
      <c s="7" r="C64"/>
    </row>
    <row r="65">
      <c s="7" r="C65"/>
    </row>
    <row r="66">
      <c s="7" r="C66"/>
    </row>
    <row r="67">
      <c s="7" r="C67"/>
    </row>
    <row r="68">
      <c s="7" r="C68"/>
    </row>
    <row r="69">
      <c s="7" r="C69"/>
    </row>
    <row r="70">
      <c s="7" r="C70"/>
    </row>
    <row r="71">
      <c s="7" r="C71"/>
    </row>
    <row r="72">
      <c s="7" r="C72"/>
    </row>
    <row r="73">
      <c s="7" r="C73"/>
    </row>
    <row r="74">
      <c s="7" r="C74"/>
    </row>
    <row r="75">
      <c s="7" r="C75"/>
    </row>
    <row r="76">
      <c s="7" r="C76"/>
    </row>
    <row r="77">
      <c s="7" r="C77"/>
    </row>
    <row r="78">
      <c s="7" r="C78"/>
    </row>
    <row r="79">
      <c s="7" r="C79"/>
    </row>
    <row r="80">
      <c s="7" r="C80"/>
    </row>
    <row r="81">
      <c s="7" r="C81"/>
    </row>
    <row r="82">
      <c s="7" r="C82"/>
    </row>
    <row r="83">
      <c s="7" r="C83"/>
    </row>
    <row r="84">
      <c s="7" r="C84"/>
    </row>
    <row r="85">
      <c s="7" r="C85"/>
    </row>
    <row r="86">
      <c s="7" r="C86"/>
    </row>
    <row r="87">
      <c s="7" r="C87"/>
    </row>
    <row r="88">
      <c s="7" r="C88"/>
    </row>
    <row r="89">
      <c s="7" r="C89"/>
    </row>
    <row r="90">
      <c s="7" r="C90"/>
    </row>
    <row r="91">
      <c s="7" r="C91"/>
    </row>
    <row r="92">
      <c s="7" r="C92"/>
    </row>
    <row r="93">
      <c s="7" r="C93"/>
    </row>
    <row r="94">
      <c s="7" r="C94"/>
    </row>
    <row r="95">
      <c s="7" r="C95"/>
    </row>
    <row r="96">
      <c s="7" r="C96"/>
    </row>
    <row r="97">
      <c s="7" r="C97"/>
    </row>
    <row r="98">
      <c s="7" r="C98"/>
    </row>
    <row r="99">
      <c s="7" r="C99"/>
    </row>
    <row r="100">
      <c s="7" r="C100"/>
    </row>
    <row r="101">
      <c s="7" r="C101"/>
    </row>
    <row r="102">
      <c s="7" r="C10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32.71"/>
  </cols>
  <sheetData>
    <row r="1">
      <c s="9" r="A1">
        <v>41390</v>
      </c>
      <c t="s" r="B1">
        <v>107</v>
      </c>
      <c s="7" r="C1">
        <v>475</v>
      </c>
    </row>
    <row r="2">
      <c s="9" r="A2">
        <v>41389</v>
      </c>
      <c t="s" r="B2">
        <v>108</v>
      </c>
      <c s="7" r="C2">
        <v>475</v>
      </c>
    </row>
    <row r="3">
      <c s="9" r="A3">
        <v>41389</v>
      </c>
      <c t="s" r="B3">
        <v>109</v>
      </c>
      <c s="7" r="C3">
        <v>475</v>
      </c>
    </row>
    <row r="4">
      <c s="9" r="A4">
        <v>41389</v>
      </c>
      <c t="s" r="B4">
        <v>110</v>
      </c>
      <c s="7" r="C4">
        <v>475</v>
      </c>
    </row>
    <row r="5">
      <c s="9" r="A5">
        <v>41389</v>
      </c>
      <c t="s" r="B5">
        <v>111</v>
      </c>
      <c s="7" r="C5">
        <v>475</v>
      </c>
    </row>
    <row r="6">
      <c s="9" r="A6">
        <v>41389</v>
      </c>
      <c t="s" r="B6">
        <v>112</v>
      </c>
      <c s="7" r="C6">
        <v>475</v>
      </c>
    </row>
    <row r="7">
      <c s="9" r="A7">
        <v>41389</v>
      </c>
      <c t="s" r="B7">
        <v>113</v>
      </c>
      <c s="7" r="C7">
        <v>800</v>
      </c>
    </row>
    <row r="8">
      <c s="9" r="A8">
        <v>41389</v>
      </c>
      <c t="s" r="B8">
        <v>114</v>
      </c>
      <c s="7" r="C8">
        <v>475</v>
      </c>
    </row>
    <row r="9">
      <c s="9" r="A9">
        <v>41389</v>
      </c>
      <c t="s" r="B9">
        <v>115</v>
      </c>
      <c s="7" r="C9">
        <v>475</v>
      </c>
    </row>
    <row r="10">
      <c s="9" r="A10">
        <v>41388</v>
      </c>
      <c t="s" r="B10">
        <v>116</v>
      </c>
      <c s="7" r="C10">
        <v>475</v>
      </c>
    </row>
    <row r="11">
      <c s="9" r="A11">
        <v>41225</v>
      </c>
      <c t="s" r="B11">
        <v>117</v>
      </c>
      <c s="7" r="C11">
        <v>150</v>
      </c>
    </row>
    <row r="12">
      <c s="9" r="A12">
        <v>41059</v>
      </c>
      <c t="s" r="B12">
        <v>118</v>
      </c>
      <c r="C12">
        <v>200</v>
      </c>
    </row>
    <row r="13">
      <c s="9" r="A13">
        <v>41059</v>
      </c>
      <c t="s" r="B13">
        <v>119</v>
      </c>
      <c s="7" r="C13">
        <v>6000</v>
      </c>
    </row>
    <row r="14">
      <c s="9" r="A14">
        <v>41053</v>
      </c>
      <c t="s" r="B14">
        <v>120</v>
      </c>
      <c r="C14">
        <v>400</v>
      </c>
    </row>
    <row r="15">
      <c s="9" r="A15">
        <v>41033</v>
      </c>
      <c t="s" r="B15">
        <v>107</v>
      </c>
      <c r="C15">
        <v>595</v>
      </c>
    </row>
    <row r="16">
      <c s="9" r="A16">
        <v>41033</v>
      </c>
      <c t="s" r="B16">
        <v>109</v>
      </c>
      <c s="7" r="C16">
        <v>475</v>
      </c>
    </row>
    <row r="17">
      <c s="9" r="A17">
        <v>41033</v>
      </c>
      <c t="s" r="B17">
        <v>116</v>
      </c>
      <c s="7" r="C17">
        <v>475</v>
      </c>
    </row>
    <row r="18">
      <c s="9" r="A18">
        <v>41033</v>
      </c>
      <c t="s" r="B18">
        <v>108</v>
      </c>
      <c s="7" r="C18">
        <v>475</v>
      </c>
    </row>
    <row r="19">
      <c s="9" r="A19">
        <v>41033</v>
      </c>
      <c t="s" r="B19">
        <v>114</v>
      </c>
      <c s="7" r="C19">
        <v>475</v>
      </c>
    </row>
    <row r="20">
      <c s="9" r="A20">
        <v>41025</v>
      </c>
      <c t="s" r="B20">
        <v>121</v>
      </c>
      <c s="7" r="C20">
        <v>775</v>
      </c>
    </row>
    <row r="21">
      <c s="9" r="A21">
        <v>41025</v>
      </c>
      <c t="s" r="B21">
        <v>122</v>
      </c>
      <c s="7" r="C21">
        <v>800</v>
      </c>
    </row>
    <row r="22">
      <c s="9" r="A22">
        <v>41015</v>
      </c>
      <c t="s" r="B22">
        <v>123</v>
      </c>
      <c r="C22">
        <v>475</v>
      </c>
    </row>
    <row r="23">
      <c s="9" r="A23">
        <v>41015</v>
      </c>
      <c t="s" r="B23">
        <v>124</v>
      </c>
      <c r="C23">
        <v>475</v>
      </c>
    </row>
    <row r="24">
      <c s="9" r="A24">
        <v>41015</v>
      </c>
      <c t="s" r="B24">
        <v>125</v>
      </c>
      <c r="C24">
        <v>475</v>
      </c>
    </row>
    <row r="25">
      <c s="9" r="A25">
        <v>41015</v>
      </c>
      <c t="s" r="B25">
        <v>126</v>
      </c>
      <c r="C25">
        <v>150</v>
      </c>
    </row>
    <row r="26">
      <c s="9" r="A26">
        <v>40823</v>
      </c>
      <c t="s" r="B26">
        <v>127</v>
      </c>
      <c s="7" r="C26">
        <v>150</v>
      </c>
    </row>
    <row r="27">
      <c s="9" r="A27">
        <v>40732</v>
      </c>
      <c t="s" r="B27">
        <v>128</v>
      </c>
      <c s="7" r="C27">
        <v>400</v>
      </c>
    </row>
    <row r="28">
      <c s="9" r="A28">
        <v>40700</v>
      </c>
      <c t="s" r="B28">
        <v>129</v>
      </c>
      <c s="7" r="C28">
        <v>150</v>
      </c>
    </row>
    <row r="29">
      <c s="9" r="A29">
        <v>40688</v>
      </c>
      <c t="s" r="B29">
        <v>130</v>
      </c>
      <c s="7" r="C29">
        <v>400</v>
      </c>
    </row>
    <row r="30">
      <c s="9" r="A30">
        <v>40688</v>
      </c>
      <c t="s" r="B30">
        <v>119</v>
      </c>
      <c s="7" r="C30">
        <v>5825.03</v>
      </c>
    </row>
    <row r="31">
      <c s="9" r="A31">
        <v>40676</v>
      </c>
      <c t="s" r="B31">
        <v>131</v>
      </c>
      <c s="7" r="C31">
        <v>150</v>
      </c>
    </row>
    <row r="32">
      <c s="9" r="A32">
        <v>40675</v>
      </c>
      <c t="s" r="B32">
        <v>132</v>
      </c>
      <c s="7" r="C32">
        <v>150</v>
      </c>
    </row>
    <row r="33">
      <c s="9" r="A33">
        <v>40675</v>
      </c>
      <c t="s" r="B33">
        <v>133</v>
      </c>
      <c s="7" r="C33">
        <v>400</v>
      </c>
    </row>
    <row r="34">
      <c s="9" r="A34">
        <v>40674</v>
      </c>
      <c t="s" r="B34">
        <v>134</v>
      </c>
      <c s="7" r="C34">
        <v>475</v>
      </c>
    </row>
    <row r="35">
      <c s="9" r="A35">
        <v>40674</v>
      </c>
      <c t="s" r="B35">
        <v>109</v>
      </c>
      <c s="7" r="C35">
        <v>475</v>
      </c>
    </row>
    <row r="36">
      <c s="9" r="A36">
        <v>40672</v>
      </c>
      <c t="s" r="B36">
        <v>135</v>
      </c>
      <c s="7" r="C36">
        <v>475</v>
      </c>
      <c s="18" r="D36"/>
      <c s="18" r="E36"/>
    </row>
    <row r="37">
      <c s="9" r="A37">
        <v>40672</v>
      </c>
      <c t="s" r="B37">
        <v>136</v>
      </c>
      <c s="7" r="C37">
        <v>475</v>
      </c>
    </row>
    <row r="38">
      <c s="9" r="A38">
        <v>40672</v>
      </c>
      <c t="s" r="B38">
        <v>114</v>
      </c>
      <c s="7" r="C38">
        <v>475</v>
      </c>
    </row>
    <row r="39">
      <c s="9" r="A39">
        <v>40672</v>
      </c>
      <c t="s" r="B39">
        <v>112</v>
      </c>
      <c s="7" r="C39">
        <v>475</v>
      </c>
    </row>
    <row r="40">
      <c s="9" r="A40">
        <v>40672</v>
      </c>
      <c t="s" r="B40">
        <v>108</v>
      </c>
      <c s="7" r="C40">
        <v>475</v>
      </c>
    </row>
    <row r="41">
      <c s="9" r="A41">
        <v>40672</v>
      </c>
      <c t="s" r="B41">
        <v>137</v>
      </c>
      <c s="7" r="C41">
        <v>475</v>
      </c>
    </row>
    <row r="42">
      <c s="9" r="A42">
        <v>40667</v>
      </c>
      <c t="s" r="B42">
        <v>116</v>
      </c>
      <c s="7" r="C42">
        <v>475</v>
      </c>
    </row>
    <row r="43">
      <c s="9" r="A43">
        <v>40667</v>
      </c>
      <c t="s" r="B43">
        <v>107</v>
      </c>
      <c s="7" r="C43">
        <v>475</v>
      </c>
    </row>
    <row r="44">
      <c s="7" r="C44"/>
    </row>
    <row r="45">
      <c s="7" r="C45"/>
    </row>
    <row r="46">
      <c s="7" r="C46"/>
    </row>
    <row r="47">
      <c s="7" r="C47"/>
    </row>
    <row r="48">
      <c s="7" r="C48"/>
    </row>
    <row r="49">
      <c s="7" r="C49"/>
    </row>
    <row r="50">
      <c s="7" r="C50"/>
    </row>
    <row r="51">
      <c s="7" r="C51"/>
    </row>
    <row r="52">
      <c s="7" r="C52"/>
    </row>
    <row r="53">
      <c s="7" r="C53"/>
    </row>
    <row r="54">
      <c s="7" r="C54"/>
    </row>
    <row r="55">
      <c s="7" r="C55"/>
    </row>
    <row r="56">
      <c s="7" r="C56"/>
    </row>
    <row r="57">
      <c s="7" r="C57"/>
    </row>
    <row r="58">
      <c s="7" r="C58"/>
    </row>
    <row r="59">
      <c s="7" r="C59"/>
    </row>
    <row r="60">
      <c s="7" r="C60"/>
    </row>
    <row r="61">
      <c s="7" r="C61"/>
    </row>
    <row r="62">
      <c s="7" r="C62"/>
    </row>
    <row r="63">
      <c s="7" r="C63"/>
    </row>
    <row r="64">
      <c s="7" r="C64"/>
    </row>
    <row r="65">
      <c s="7" r="C65"/>
    </row>
    <row r="66">
      <c s="7" r="C66"/>
    </row>
    <row r="67">
      <c s="7" r="C67"/>
    </row>
    <row r="68">
      <c s="7" r="C68"/>
    </row>
    <row r="69">
      <c s="7" r="C69"/>
    </row>
    <row r="70">
      <c s="7" r="C70"/>
    </row>
    <row r="71">
      <c s="7" r="C71"/>
    </row>
    <row r="72">
      <c s="7" r="C72"/>
    </row>
    <row r="73">
      <c s="7" r="C73"/>
    </row>
    <row r="74">
      <c s="7" r="C74"/>
    </row>
    <row r="75">
      <c s="7" r="C75"/>
    </row>
    <row r="76">
      <c s="7" r="C76"/>
    </row>
    <row r="77">
      <c s="7" r="C77"/>
    </row>
    <row r="78">
      <c s="7" r="C78"/>
    </row>
    <row r="79">
      <c s="7" r="C79"/>
    </row>
    <row r="80">
      <c s="7" r="C80"/>
    </row>
    <row r="81">
      <c s="7" r="C81"/>
    </row>
    <row r="82">
      <c s="7" r="C82"/>
    </row>
    <row r="83">
      <c s="7" r="C83"/>
    </row>
    <row r="84">
      <c s="7" r="C84"/>
    </row>
    <row r="85">
      <c s="7" r="C85"/>
    </row>
    <row r="86">
      <c s="7" r="C86"/>
    </row>
    <row r="87">
      <c s="7" r="C87"/>
    </row>
    <row r="88">
      <c s="7" r="C88"/>
    </row>
    <row r="89">
      <c s="7" r="C89"/>
    </row>
    <row r="90">
      <c s="7" r="C90"/>
    </row>
    <row r="91">
      <c s="7" r="C91"/>
    </row>
    <row r="92">
      <c s="7" r="C92"/>
    </row>
    <row r="93">
      <c s="7" r="C93"/>
    </row>
    <row r="94">
      <c s="7" r="C94"/>
    </row>
    <row r="95">
      <c s="7" r="C95"/>
    </row>
    <row r="96">
      <c s="7" r="C96"/>
    </row>
    <row r="97">
      <c s="7" r="C97"/>
    </row>
    <row r="98">
      <c s="7" r="C98"/>
    </row>
    <row r="99">
      <c s="7" r="C99"/>
    </row>
    <row r="100">
      <c s="7" r="C100"/>
    </row>
    <row r="101">
      <c s="7" r="C101"/>
    </row>
    <row r="102">
      <c s="7" r="C102"/>
    </row>
    <row r="103">
      <c s="7" r="C103"/>
    </row>
    <row r="104">
      <c s="7" r="C104"/>
    </row>
    <row r="105">
      <c s="7" r="C105"/>
    </row>
    <row r="106">
      <c s="7" r="C106"/>
    </row>
    <row r="107">
      <c s="7" r="C107"/>
    </row>
    <row r="108">
      <c s="7" r="C108"/>
    </row>
    <row r="109">
      <c s="7" r="C109"/>
    </row>
    <row r="110">
      <c s="7" r="C110"/>
    </row>
    <row r="111">
      <c s="7" r="C11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41.43"/>
  </cols>
  <sheetData>
    <row r="1">
      <c s="9" r="A1">
        <v>41668</v>
      </c>
      <c t="s" r="B1">
        <v>138</v>
      </c>
      <c s="18" r="C1">
        <v>22000</v>
      </c>
    </row>
    <row r="2">
      <c s="9" r="A2">
        <v>41640</v>
      </c>
      <c t="s" r="B2">
        <v>139</v>
      </c>
      <c s="18" r="C2">
        <v>2500</v>
      </c>
    </row>
    <row r="3">
      <c s="9" r="A3">
        <v>41640</v>
      </c>
      <c t="s" r="B3">
        <v>140</v>
      </c>
      <c s="18" r="C3">
        <v>5000</v>
      </c>
    </row>
    <row r="4">
      <c s="9" r="A4">
        <v>41640</v>
      </c>
      <c t="s" r="B4">
        <v>141</v>
      </c>
      <c s="18" r="C4">
        <v>3500</v>
      </c>
    </row>
    <row r="5">
      <c s="9" r="A5">
        <v>41640</v>
      </c>
      <c t="s" r="B5">
        <v>142</v>
      </c>
      <c s="18" r="C5">
        <v>4500</v>
      </c>
    </row>
    <row r="6">
      <c s="9" r="A6">
        <v>41640</v>
      </c>
      <c t="s" r="B6">
        <v>143</v>
      </c>
      <c s="18" r="C6">
        <v>10000</v>
      </c>
    </row>
    <row r="7">
      <c s="9" r="A7">
        <v>41640</v>
      </c>
      <c t="s" r="B7">
        <v>144</v>
      </c>
      <c s="18" r="C7">
        <v>15000</v>
      </c>
    </row>
    <row r="8">
      <c s="9" r="A8">
        <v>41640</v>
      </c>
      <c t="s" r="B8">
        <v>145</v>
      </c>
      <c s="18" r="C8">
        <v>15000</v>
      </c>
    </row>
    <row r="9">
      <c s="9" r="A9">
        <v>41640</v>
      </c>
      <c t="s" r="B9">
        <v>146</v>
      </c>
      <c s="18" r="C9">
        <v>1000</v>
      </c>
    </row>
    <row r="10">
      <c s="9" r="A10">
        <v>41626</v>
      </c>
      <c t="s" r="B10">
        <v>147</v>
      </c>
      <c s="18" r="C10">
        <v>1500</v>
      </c>
    </row>
    <row r="11">
      <c s="9" r="A11">
        <v>41451</v>
      </c>
      <c t="s" r="B11">
        <v>148</v>
      </c>
      <c s="18" r="C11">
        <v>5595.44</v>
      </c>
    </row>
    <row r="12">
      <c s="9" r="A12">
        <v>41451</v>
      </c>
      <c t="s" r="B12">
        <v>149</v>
      </c>
      <c s="18" r="C12">
        <v>369.4</v>
      </c>
    </row>
    <row r="13">
      <c s="9" r="A13">
        <v>41451</v>
      </c>
      <c t="s" r="B13">
        <v>150</v>
      </c>
      <c s="18" r="C13">
        <v>733.08</v>
      </c>
    </row>
    <row r="14">
      <c s="9" r="A14">
        <v>41451</v>
      </c>
      <c t="s" r="B14">
        <v>151</v>
      </c>
      <c s="18" r="C14">
        <v>2110.21</v>
      </c>
    </row>
    <row r="15">
      <c s="9" r="A15">
        <v>41451</v>
      </c>
      <c t="s" r="B15">
        <v>152</v>
      </c>
      <c s="18" r="C15">
        <v>615.31</v>
      </c>
    </row>
    <row r="16">
      <c s="9" r="A16">
        <v>41451</v>
      </c>
      <c t="s" r="B16">
        <v>153</v>
      </c>
      <c s="18" r="C16">
        <v>735.48</v>
      </c>
    </row>
    <row r="17">
      <c s="9" r="A17">
        <v>41451</v>
      </c>
      <c t="s" r="B17">
        <v>154</v>
      </c>
      <c s="18" r="C17">
        <v>834.75</v>
      </c>
    </row>
    <row r="18">
      <c s="9" r="A18">
        <v>41451</v>
      </c>
      <c t="s" r="B18">
        <v>155</v>
      </c>
      <c s="18" r="C18">
        <v>5155.59</v>
      </c>
    </row>
    <row r="19">
      <c s="9" r="A19">
        <v>41451</v>
      </c>
      <c t="s" r="B19">
        <v>156</v>
      </c>
      <c s="18" r="C19">
        <v>10575.56</v>
      </c>
    </row>
    <row r="20">
      <c s="9" r="A20">
        <v>41451</v>
      </c>
      <c t="s" r="B20">
        <v>157</v>
      </c>
      <c s="18" r="C20">
        <v>2416.17</v>
      </c>
    </row>
    <row r="21">
      <c s="9" r="A21">
        <v>41451</v>
      </c>
      <c t="s" r="B21">
        <v>158</v>
      </c>
      <c s="18" r="C21">
        <v>2560.97</v>
      </c>
    </row>
    <row r="22">
      <c s="9" r="A22">
        <v>41451</v>
      </c>
      <c t="s" r="B22">
        <v>159</v>
      </c>
      <c s="18" r="C22">
        <v>1174.13</v>
      </c>
    </row>
    <row r="23">
      <c s="9" r="A23">
        <v>41451</v>
      </c>
      <c t="s" r="B23">
        <v>160</v>
      </c>
      <c s="18" r="C23">
        <v>955.41</v>
      </c>
    </row>
    <row r="24">
      <c s="9" r="A24">
        <v>41451</v>
      </c>
      <c t="s" r="B24">
        <v>161</v>
      </c>
      <c s="18" r="C24">
        <v>1043.14</v>
      </c>
    </row>
    <row r="25">
      <c s="9" r="A25">
        <v>41451</v>
      </c>
      <c t="s" r="B25">
        <v>162</v>
      </c>
      <c s="18" r="C25">
        <v>1313.53</v>
      </c>
    </row>
    <row r="26">
      <c s="9" r="A26">
        <v>41451</v>
      </c>
      <c t="s" r="B26">
        <v>163</v>
      </c>
      <c s="18" r="C26">
        <v>3364.95</v>
      </c>
    </row>
    <row r="27">
      <c s="9" r="A27">
        <v>41451</v>
      </c>
      <c t="s" r="B27">
        <v>164</v>
      </c>
      <c s="18" r="C27">
        <v>364.14</v>
      </c>
    </row>
    <row r="28">
      <c s="9" r="A28">
        <v>41451</v>
      </c>
      <c t="s" r="B28">
        <v>165</v>
      </c>
      <c s="18" r="C28">
        <v>3521.18</v>
      </c>
    </row>
    <row r="29">
      <c s="9" r="A29">
        <v>41451</v>
      </c>
      <c t="s" r="B29">
        <v>166</v>
      </c>
      <c s="18" r="C29">
        <v>2246.11</v>
      </c>
    </row>
    <row r="30">
      <c s="9" r="A30">
        <v>41451</v>
      </c>
      <c t="s" r="B30">
        <v>167</v>
      </c>
      <c s="18" r="C30">
        <v>1535.86</v>
      </c>
    </row>
    <row r="31">
      <c s="9" r="A31">
        <v>41451</v>
      </c>
      <c t="s" r="B31">
        <v>168</v>
      </c>
      <c s="18" r="C31">
        <v>9253.62</v>
      </c>
    </row>
    <row r="32">
      <c s="9" r="A32">
        <v>41451</v>
      </c>
      <c t="s" r="B32">
        <v>169</v>
      </c>
      <c s="18" r="C32">
        <v>1704.11</v>
      </c>
    </row>
    <row r="33">
      <c s="9" r="A33">
        <v>41451</v>
      </c>
      <c t="s" r="B33">
        <v>170</v>
      </c>
      <c s="18" r="C33">
        <v>1821.88</v>
      </c>
    </row>
    <row r="34">
      <c s="9" r="A34">
        <v>41417</v>
      </c>
      <c t="s" r="B34">
        <v>171</v>
      </c>
      <c s="18" r="C34">
        <v>2500</v>
      </c>
    </row>
    <row r="35">
      <c s="9" r="A35">
        <v>41409</v>
      </c>
      <c t="s" r="B35">
        <v>172</v>
      </c>
      <c s="18" r="C35">
        <v>3500</v>
      </c>
    </row>
    <row r="36">
      <c s="9" r="A36">
        <v>41381</v>
      </c>
      <c t="s" r="B36">
        <v>173</v>
      </c>
      <c s="18" r="C36">
        <v>4500</v>
      </c>
    </row>
    <row r="37">
      <c s="9" r="A37">
        <v>41353</v>
      </c>
      <c t="s" r="B37">
        <v>174</v>
      </c>
      <c s="18" r="C37">
        <v>15000</v>
      </c>
    </row>
    <row r="38">
      <c s="9" r="A38">
        <v>41339</v>
      </c>
      <c t="s" r="B38">
        <v>175</v>
      </c>
      <c s="18" r="C38">
        <v>21500</v>
      </c>
    </row>
    <row r="39">
      <c s="9" r="A39">
        <v>41339</v>
      </c>
      <c t="s" r="B39">
        <v>176</v>
      </c>
      <c s="18" r="C39">
        <v>15000</v>
      </c>
    </row>
    <row r="40">
      <c s="9" r="A40">
        <v>41325</v>
      </c>
      <c t="s" r="B40">
        <v>177</v>
      </c>
      <c s="18" r="C40">
        <v>5000</v>
      </c>
    </row>
    <row r="41">
      <c s="9" r="A41">
        <v>41208</v>
      </c>
      <c t="s" r="B41">
        <v>178</v>
      </c>
      <c s="18" r="C41">
        <v>1087.86</v>
      </c>
    </row>
    <row r="42">
      <c s="9" r="A42">
        <v>41208</v>
      </c>
      <c t="s" r="B42">
        <v>179</v>
      </c>
      <c s="18" r="C42">
        <v>419.74</v>
      </c>
    </row>
    <row r="43">
      <c s="9" r="A43">
        <v>41208</v>
      </c>
      <c t="s" r="B43">
        <v>180</v>
      </c>
      <c s="18" r="C43">
        <v>405.54</v>
      </c>
    </row>
    <row r="44">
      <c s="9" r="A44">
        <v>41208</v>
      </c>
      <c t="s" r="B44">
        <v>181</v>
      </c>
      <c s="18" r="C44">
        <v>9530.22</v>
      </c>
    </row>
    <row r="45">
      <c s="9" r="A45">
        <v>41208</v>
      </c>
      <c t="s" r="B45">
        <v>182</v>
      </c>
      <c s="18" r="C45">
        <v>6640.74</v>
      </c>
    </row>
    <row r="46">
      <c s="9" r="A46">
        <v>41208</v>
      </c>
      <c t="s" r="B46">
        <v>183</v>
      </c>
      <c s="18" r="C46">
        <v>506.93</v>
      </c>
    </row>
    <row r="47">
      <c s="9" r="A47">
        <v>41208</v>
      </c>
      <c t="s" r="B47">
        <v>184</v>
      </c>
      <c s="18" r="C47">
        <v>912.47</v>
      </c>
    </row>
    <row r="48">
      <c s="9" r="A48">
        <v>41208</v>
      </c>
      <c t="s" r="B48">
        <v>185</v>
      </c>
      <c s="18" r="C48">
        <v>4866.49</v>
      </c>
    </row>
    <row r="49">
      <c s="9" r="A49">
        <v>41208</v>
      </c>
      <c t="s" r="B49">
        <v>186</v>
      </c>
      <c s="18" r="C49">
        <v>209.87</v>
      </c>
    </row>
    <row r="50">
      <c s="9" r="A50">
        <v>41208</v>
      </c>
      <c t="s" r="B50">
        <v>187</v>
      </c>
      <c s="18" r="C50">
        <v>686.38</v>
      </c>
    </row>
    <row r="51">
      <c s="9" r="A51">
        <v>41208</v>
      </c>
      <c t="s" r="B51">
        <v>188</v>
      </c>
      <c s="18" r="C51">
        <v>786.75</v>
      </c>
    </row>
    <row r="52">
      <c s="9" r="A52">
        <v>41208</v>
      </c>
      <c t="s" r="B52">
        <v>189</v>
      </c>
      <c s="18" r="C52">
        <v>3447.1</v>
      </c>
    </row>
    <row r="53">
      <c s="9" r="A53">
        <v>41208</v>
      </c>
      <c t="s" r="B53">
        <v>190</v>
      </c>
      <c s="18" r="C53">
        <v>1622.16</v>
      </c>
    </row>
    <row r="54">
      <c s="9" r="A54">
        <v>41208</v>
      </c>
      <c t="s" r="B54">
        <v>191</v>
      </c>
      <c s="18" r="C54">
        <v>727.95</v>
      </c>
    </row>
    <row r="55">
      <c s="9" r="A55">
        <v>41208</v>
      </c>
      <c t="s" r="B55">
        <v>192</v>
      </c>
      <c s="18" r="C55">
        <v>1338.29</v>
      </c>
    </row>
    <row r="56">
      <c s="9" r="A56">
        <v>41208</v>
      </c>
      <c t="s" r="B56">
        <v>193</v>
      </c>
      <c s="18" r="C56">
        <v>651.91</v>
      </c>
    </row>
    <row r="57">
      <c s="9" r="A57">
        <v>41208</v>
      </c>
      <c t="s" r="B57">
        <v>194</v>
      </c>
      <c s="18" r="C57">
        <v>6792.81</v>
      </c>
    </row>
    <row r="58">
      <c s="9" r="A58">
        <v>41208</v>
      </c>
      <c t="s" r="B58">
        <v>195</v>
      </c>
      <c s="18" r="C58">
        <v>5474.81</v>
      </c>
    </row>
    <row r="59">
      <c s="9" r="A59">
        <v>41208</v>
      </c>
      <c t="s" r="B59">
        <v>196</v>
      </c>
      <c s="18" r="C59">
        <v>506.93</v>
      </c>
    </row>
    <row r="60">
      <c s="9" r="A60">
        <v>41208</v>
      </c>
      <c t="s" r="B60">
        <v>197</v>
      </c>
      <c s="18" r="C60">
        <v>1866.48</v>
      </c>
    </row>
    <row r="61">
      <c s="9" r="A61">
        <v>41208</v>
      </c>
      <c t="s" r="B61">
        <v>198</v>
      </c>
      <c s="18" r="C61">
        <v>1013.85</v>
      </c>
    </row>
    <row r="62">
      <c s="9" r="A62">
        <v>41197</v>
      </c>
      <c t="s" r="B62">
        <v>199</v>
      </c>
      <c s="18" r="C62">
        <v>506.93</v>
      </c>
    </row>
    <row r="63">
      <c s="9" r="A63">
        <v>41197</v>
      </c>
      <c t="s" r="B63">
        <v>200</v>
      </c>
      <c s="18" r="C63">
        <v>3497.79</v>
      </c>
    </row>
    <row r="64">
      <c s="9" r="A64">
        <v>41121</v>
      </c>
      <c t="s" r="B64">
        <v>201</v>
      </c>
      <c s="18" r="C64">
        <v>21000</v>
      </c>
    </row>
    <row r="65">
      <c s="9" r="A65">
        <v>41088</v>
      </c>
      <c t="s" r="B65">
        <v>202</v>
      </c>
      <c s="18" r="C65">
        <v>400</v>
      </c>
    </row>
    <row r="66">
      <c s="9" r="A66">
        <v>41080</v>
      </c>
      <c t="s" r="B66">
        <v>203</v>
      </c>
      <c s="18" r="C66">
        <v>21640</v>
      </c>
    </row>
    <row r="67">
      <c s="9" r="A67">
        <v>41080</v>
      </c>
      <c t="s" r="B67">
        <v>204</v>
      </c>
      <c s="18" r="C67">
        <v>200</v>
      </c>
    </row>
    <row r="68">
      <c s="9" r="A68">
        <v>41023</v>
      </c>
      <c t="s" r="B68">
        <v>205</v>
      </c>
      <c s="18" r="C68">
        <v>400</v>
      </c>
    </row>
    <row r="69">
      <c s="9" r="A69">
        <v>41023</v>
      </c>
      <c t="s" r="B69">
        <v>206</v>
      </c>
      <c s="18" r="C69">
        <v>1500</v>
      </c>
    </row>
    <row r="70">
      <c s="9" r="A70">
        <v>40975</v>
      </c>
      <c t="s" r="B70">
        <v>171</v>
      </c>
      <c s="18" r="C70">
        <v>2500</v>
      </c>
    </row>
    <row r="71">
      <c s="9" r="A71">
        <v>40975</v>
      </c>
      <c t="s" r="B71">
        <v>172</v>
      </c>
      <c s="18" r="C71">
        <v>3500</v>
      </c>
    </row>
    <row r="72">
      <c s="9" r="A72">
        <v>40975</v>
      </c>
      <c t="s" r="B72">
        <v>174</v>
      </c>
      <c s="18" r="C72">
        <v>15000</v>
      </c>
    </row>
    <row r="73">
      <c s="9" r="A73">
        <v>40961</v>
      </c>
      <c t="s" r="B73">
        <v>176</v>
      </c>
      <c s="18" r="C73">
        <v>15000</v>
      </c>
    </row>
    <row r="74">
      <c s="9" r="A74">
        <v>40961</v>
      </c>
      <c t="s" r="B74">
        <v>173</v>
      </c>
      <c s="18" r="C74">
        <v>4500</v>
      </c>
    </row>
    <row r="75">
      <c s="9" r="A75">
        <v>40961</v>
      </c>
      <c t="s" r="B75">
        <v>177</v>
      </c>
      <c s="18" r="C75">
        <v>5000</v>
      </c>
    </row>
    <row r="76">
      <c s="9" r="A76">
        <v>40961</v>
      </c>
      <c t="s" r="B76">
        <v>207</v>
      </c>
      <c s="18" r="C76">
        <v>21000</v>
      </c>
    </row>
    <row r="77">
      <c s="9" r="A77">
        <v>40716</v>
      </c>
      <c t="s" r="B77">
        <v>207</v>
      </c>
      <c s="18" r="C77">
        <v>21000</v>
      </c>
    </row>
    <row r="78">
      <c s="9" r="A78">
        <v>40715</v>
      </c>
      <c t="s" r="B78">
        <v>208</v>
      </c>
      <c s="18" r="C78">
        <v>1312.5</v>
      </c>
    </row>
    <row r="79">
      <c s="9" r="A79">
        <v>40715</v>
      </c>
      <c t="s" r="B79">
        <v>209</v>
      </c>
      <c s="18" r="C79">
        <v>702</v>
      </c>
    </row>
    <row r="80">
      <c s="9" r="A80">
        <v>40715</v>
      </c>
      <c t="s" r="B80">
        <v>210</v>
      </c>
      <c s="18" r="C80">
        <v>6000</v>
      </c>
    </row>
    <row r="81">
      <c s="9" r="A81">
        <v>40715</v>
      </c>
      <c t="s" r="B81">
        <v>211</v>
      </c>
      <c s="18" r="C81">
        <v>6218.1</v>
      </c>
    </row>
    <row r="82">
      <c s="9" r="A82">
        <v>40715</v>
      </c>
      <c t="s" r="B82">
        <v>212</v>
      </c>
      <c s="18" r="C82">
        <v>434.5</v>
      </c>
    </row>
    <row r="83">
      <c s="9" r="A83">
        <v>40715</v>
      </c>
      <c t="s" r="B83">
        <v>213</v>
      </c>
      <c s="18" r="C83">
        <v>980</v>
      </c>
    </row>
    <row r="84">
      <c s="9" r="A84">
        <v>40715</v>
      </c>
      <c t="s" r="B84">
        <v>214</v>
      </c>
      <c s="18" r="C84">
        <v>711.63</v>
      </c>
    </row>
    <row r="85">
      <c s="9" r="A85">
        <v>40715</v>
      </c>
      <c t="s" r="B85">
        <v>215</v>
      </c>
      <c s="18" r="C85">
        <v>1726.35</v>
      </c>
    </row>
    <row r="86">
      <c s="9" r="A86">
        <v>40715</v>
      </c>
      <c t="s" r="B86">
        <v>216</v>
      </c>
      <c s="18" r="C86">
        <v>472.35</v>
      </c>
    </row>
    <row r="87">
      <c s="9" r="A87">
        <v>40715</v>
      </c>
      <c t="s" r="B87">
        <v>217</v>
      </c>
      <c s="18" r="C87">
        <v>960.96</v>
      </c>
    </row>
    <row r="88">
      <c s="9" r="A88">
        <v>40715</v>
      </c>
      <c t="s" r="B88">
        <v>218</v>
      </c>
      <c s="18" r="C88">
        <v>960.96</v>
      </c>
    </row>
    <row r="89">
      <c s="9" r="A89">
        <v>40715</v>
      </c>
      <c t="s" r="B89">
        <v>219</v>
      </c>
      <c s="18" r="C89">
        <v>913.71</v>
      </c>
    </row>
    <row r="90">
      <c s="9" r="A90">
        <v>40715</v>
      </c>
      <c t="s" r="B90">
        <v>220</v>
      </c>
      <c s="18" r="C90">
        <v>360</v>
      </c>
    </row>
    <row r="91">
      <c s="9" r="A91">
        <v>40715</v>
      </c>
      <c t="s" r="B91">
        <v>221</v>
      </c>
      <c s="18" r="C91">
        <v>2427.75</v>
      </c>
    </row>
    <row r="92">
      <c s="9" r="A92">
        <v>40715</v>
      </c>
      <c t="s" r="B92">
        <v>222</v>
      </c>
      <c s="18" r="C92">
        <v>308</v>
      </c>
    </row>
    <row r="93">
      <c s="9" r="A93">
        <v>40715</v>
      </c>
      <c t="s" r="B93">
        <v>223</v>
      </c>
      <c s="18" r="C93">
        <v>6221.25</v>
      </c>
    </row>
    <row r="94">
      <c s="9" r="A94">
        <v>40715</v>
      </c>
      <c t="s" r="B94">
        <v>224</v>
      </c>
      <c s="18" r="C94">
        <v>10065</v>
      </c>
    </row>
    <row r="95">
      <c s="9" r="A95">
        <v>40715</v>
      </c>
      <c t="s" r="B95">
        <v>225</v>
      </c>
      <c s="18" r="C95">
        <v>300</v>
      </c>
    </row>
    <row r="96">
      <c s="9" r="A96">
        <v>40715</v>
      </c>
      <c t="s" r="B96">
        <v>226</v>
      </c>
      <c s="18" r="C96">
        <v>2923</v>
      </c>
    </row>
    <row r="97">
      <c s="9" r="A97">
        <v>40715</v>
      </c>
      <c t="s" r="B97">
        <v>227</v>
      </c>
      <c s="18" r="C97">
        <v>1631.17</v>
      </c>
    </row>
    <row r="98">
      <c s="9" r="A98">
        <v>40715</v>
      </c>
      <c t="s" r="B98">
        <v>228</v>
      </c>
      <c s="18" r="C98">
        <v>1003.4</v>
      </c>
    </row>
    <row r="99">
      <c s="9" r="A99">
        <v>40715</v>
      </c>
      <c t="s" r="B99">
        <v>229</v>
      </c>
      <c s="18" r="C99">
        <v>280</v>
      </c>
    </row>
    <row r="100">
      <c s="9" r="A100">
        <v>40704</v>
      </c>
      <c t="s" r="B100">
        <v>230</v>
      </c>
      <c s="18" r="C100">
        <v>400</v>
      </c>
    </row>
    <row r="101">
      <c s="9" r="A101">
        <v>40676</v>
      </c>
      <c t="s" r="B101">
        <v>231</v>
      </c>
      <c s="18" r="C101">
        <v>400</v>
      </c>
    </row>
    <row r="102">
      <c s="9" r="A102">
        <v>40676</v>
      </c>
      <c t="s" r="B102">
        <v>232</v>
      </c>
      <c s="18" r="C102">
        <v>1500</v>
      </c>
    </row>
    <row r="103">
      <c s="9" r="A103">
        <v>40590</v>
      </c>
      <c t="s" r="B103">
        <v>176</v>
      </c>
      <c s="18" r="C103">
        <v>15000</v>
      </c>
    </row>
    <row r="104">
      <c s="9" r="A104">
        <v>40590</v>
      </c>
      <c t="s" r="B104">
        <v>171</v>
      </c>
      <c s="18" r="C104">
        <v>2500</v>
      </c>
    </row>
    <row r="105">
      <c s="9" r="A105">
        <v>40590</v>
      </c>
      <c t="s" r="B105">
        <v>173</v>
      </c>
      <c s="18" r="C105">
        <v>4500</v>
      </c>
    </row>
    <row r="106">
      <c s="9" r="A106">
        <v>40590</v>
      </c>
      <c t="s" r="B106">
        <v>172</v>
      </c>
      <c s="18" r="C106">
        <v>3500</v>
      </c>
    </row>
    <row r="107">
      <c s="9" r="A107">
        <v>40590</v>
      </c>
      <c t="s" r="B107">
        <v>177</v>
      </c>
      <c s="18" r="C107">
        <v>5000</v>
      </c>
    </row>
    <row r="108">
      <c s="9" r="A108">
        <v>40590</v>
      </c>
      <c t="s" r="B108">
        <v>174</v>
      </c>
      <c s="18" r="C108">
        <v>15000</v>
      </c>
    </row>
    <row r="109">
      <c s="18" r="C109"/>
    </row>
    <row r="110">
      <c s="18" r="C110"/>
    </row>
    <row r="111">
      <c s="18" r="C111"/>
    </row>
    <row r="112">
      <c s="18" r="C112"/>
    </row>
    <row r="113">
      <c s="18" r="C113"/>
    </row>
    <row r="114">
      <c s="18" r="C114"/>
    </row>
    <row r="115">
      <c s="18" r="C115"/>
    </row>
    <row r="116">
      <c s="18" r="C116"/>
    </row>
    <row r="117">
      <c s="18" r="C117"/>
    </row>
    <row r="118">
      <c s="18" r="C118"/>
    </row>
    <row r="119">
      <c s="18" r="C119"/>
    </row>
    <row r="120">
      <c s="18" r="C120"/>
    </row>
    <row r="121">
      <c s="18" r="C121"/>
    </row>
    <row r="122">
      <c s="18" r="C122"/>
    </row>
    <row r="123">
      <c s="18" r="C123"/>
    </row>
    <row r="124">
      <c s="18" r="C124"/>
    </row>
    <row r="125">
      <c s="18" r="C125"/>
    </row>
    <row r="126">
      <c s="18" r="C126"/>
    </row>
    <row r="127">
      <c s="18" r="C127"/>
    </row>
    <row r="128">
      <c s="18" r="C128"/>
    </row>
    <row r="129">
      <c s="18" r="C129"/>
    </row>
    <row r="130">
      <c s="18" r="C130"/>
    </row>
    <row r="131">
      <c s="18" r="C131"/>
    </row>
    <row r="132">
      <c s="18" r="C132"/>
    </row>
    <row r="133">
      <c s="18" r="C133"/>
    </row>
    <row r="134">
      <c s="18" r="C134"/>
    </row>
    <row r="135">
      <c s="18" r="C135"/>
    </row>
    <row r="136">
      <c s="18" r="C136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61.29"/>
  </cols>
  <sheetData>
    <row r="1">
      <c s="9" r="A1">
        <v>41710</v>
      </c>
      <c t="s" r="B1">
        <v>233</v>
      </c>
      <c s="18" r="C1">
        <v>1100</v>
      </c>
    </row>
    <row r="2">
      <c s="9" r="A2">
        <v>41697</v>
      </c>
      <c t="s" r="B2">
        <v>234</v>
      </c>
      <c s="18" r="C2">
        <v>56500</v>
      </c>
    </row>
    <row r="3">
      <c s="9" r="A3">
        <v>41697</v>
      </c>
      <c t="s" r="B3">
        <v>235</v>
      </c>
      <c s="18" r="C3">
        <v>800</v>
      </c>
    </row>
    <row r="4">
      <c s="9" r="A4">
        <v>41697</v>
      </c>
      <c t="s" r="B4">
        <v>236</v>
      </c>
      <c s="18" r="C4">
        <v>1200</v>
      </c>
    </row>
    <row r="5">
      <c s="9" r="A5">
        <v>41697</v>
      </c>
      <c t="s" r="B5">
        <v>237</v>
      </c>
      <c s="18" r="C5">
        <v>3000</v>
      </c>
    </row>
    <row r="6">
      <c s="9" r="A6">
        <v>41675</v>
      </c>
      <c t="s" r="B6">
        <v>238</v>
      </c>
      <c s="18" r="C6">
        <v>2200</v>
      </c>
    </row>
    <row r="7">
      <c s="9" r="A7">
        <v>41675</v>
      </c>
      <c t="s" r="B7">
        <v>239</v>
      </c>
      <c s="18" r="C7">
        <v>25000</v>
      </c>
    </row>
    <row r="8">
      <c s="9" r="A8">
        <v>41667</v>
      </c>
      <c t="s" r="B8">
        <v>240</v>
      </c>
      <c s="18" r="C8">
        <v>60000</v>
      </c>
    </row>
    <row r="9">
      <c s="9" r="A9">
        <v>41640</v>
      </c>
      <c t="s" r="B9">
        <v>241</v>
      </c>
      <c s="18" r="C9">
        <v>100</v>
      </c>
    </row>
    <row r="10">
      <c s="9" r="A10">
        <v>41640</v>
      </c>
      <c t="s" r="B10">
        <v>242</v>
      </c>
      <c s="18" r="C10">
        <v>18000</v>
      </c>
    </row>
    <row r="11">
      <c s="9" r="A11">
        <v>41639</v>
      </c>
      <c t="s" r="B11">
        <v>243</v>
      </c>
      <c s="18" r="C11">
        <v>400</v>
      </c>
    </row>
    <row r="12">
      <c s="9" r="A12">
        <v>41639</v>
      </c>
      <c t="s" r="B12">
        <v>244</v>
      </c>
      <c s="18" r="C12">
        <v>11938.5</v>
      </c>
    </row>
    <row r="13">
      <c s="9" r="A13">
        <v>41570</v>
      </c>
      <c t="s" r="B13">
        <v>245</v>
      </c>
      <c s="18" r="C13">
        <v>11939</v>
      </c>
    </row>
    <row r="14">
      <c s="9" r="A14">
        <v>41570</v>
      </c>
      <c t="s" r="B14">
        <v>246</v>
      </c>
      <c s="18" r="C14">
        <v>4550</v>
      </c>
    </row>
    <row r="15">
      <c s="9" r="A15">
        <v>41563</v>
      </c>
      <c t="s" r="B15">
        <v>247</v>
      </c>
      <c s="18" r="C15">
        <v>5400</v>
      </c>
    </row>
    <row r="16">
      <c s="9" r="A16">
        <v>41535</v>
      </c>
      <c t="s" r="B16">
        <v>248</v>
      </c>
      <c s="18" r="C16">
        <v>3000</v>
      </c>
    </row>
    <row r="17">
      <c s="9" r="A17">
        <v>41472</v>
      </c>
      <c t="s" r="B17">
        <v>249</v>
      </c>
      <c s="18" r="C17">
        <v>4550</v>
      </c>
    </row>
    <row r="18">
      <c s="9" r="A18">
        <v>41465</v>
      </c>
      <c t="s" r="B18">
        <v>250</v>
      </c>
      <c s="18" r="C18">
        <v>11939</v>
      </c>
    </row>
    <row r="19">
      <c s="9" r="A19">
        <v>41451</v>
      </c>
      <c t="s" r="B19">
        <v>251</v>
      </c>
      <c s="18" r="C19">
        <v>20000</v>
      </c>
    </row>
    <row r="20">
      <c s="9" r="A20">
        <v>41451</v>
      </c>
      <c t="s" r="B20">
        <v>252</v>
      </c>
      <c s="18" r="C20">
        <v>1432.63</v>
      </c>
    </row>
    <row r="21">
      <c s="9" r="A21">
        <v>41451</v>
      </c>
      <c t="s" r="B21">
        <v>253</v>
      </c>
      <c s="18" r="C21">
        <v>610.89</v>
      </c>
    </row>
    <row r="22">
      <c s="9" r="A22">
        <v>41451</v>
      </c>
      <c t="s" r="B22">
        <v>254</v>
      </c>
      <c s="18" r="C22">
        <v>1311.52</v>
      </c>
    </row>
    <row r="23">
      <c s="9" r="A23">
        <v>41451</v>
      </c>
      <c t="s" r="B23">
        <v>255</v>
      </c>
      <c s="18" r="C23">
        <v>1566.22</v>
      </c>
    </row>
    <row r="24">
      <c s="9" r="A24">
        <v>41451</v>
      </c>
      <c t="s" r="B24">
        <v>256</v>
      </c>
      <c s="18" r="C24">
        <v>611.44</v>
      </c>
    </row>
    <row r="25">
      <c s="9" r="A25">
        <v>41451</v>
      </c>
      <c t="s" r="B25">
        <v>257</v>
      </c>
      <c s="18" r="C25">
        <v>218.65</v>
      </c>
    </row>
    <row r="26">
      <c s="9" r="A26">
        <v>41451</v>
      </c>
      <c t="s" r="B26">
        <v>258</v>
      </c>
      <c s="18" r="C26">
        <v>395.41</v>
      </c>
    </row>
    <row r="27">
      <c s="9" r="A27">
        <v>41451</v>
      </c>
      <c t="s" r="B27">
        <v>259</v>
      </c>
      <c s="18" r="C27">
        <v>653.25</v>
      </c>
    </row>
    <row r="28">
      <c s="9" r="A28">
        <v>41417</v>
      </c>
      <c t="s" r="B28">
        <v>260</v>
      </c>
      <c s="18" r="C28">
        <v>2692.25</v>
      </c>
    </row>
    <row r="29">
      <c s="9" r="A29">
        <v>41417</v>
      </c>
      <c t="s" r="B29">
        <v>261</v>
      </c>
      <c s="18" r="C29">
        <v>570</v>
      </c>
    </row>
    <row r="30">
      <c s="9" r="A30">
        <v>41409</v>
      </c>
      <c t="s" r="B30">
        <v>262</v>
      </c>
      <c s="18" r="C30">
        <v>5000</v>
      </c>
    </row>
    <row r="31">
      <c s="9" r="A31">
        <v>41374</v>
      </c>
      <c t="s" r="B31">
        <v>263</v>
      </c>
      <c s="18" r="C31">
        <v>1700</v>
      </c>
    </row>
    <row r="32">
      <c s="9" r="A32">
        <v>41325</v>
      </c>
      <c t="s" r="B32">
        <v>235</v>
      </c>
      <c s="18" r="C32">
        <v>800</v>
      </c>
    </row>
    <row r="33">
      <c s="9" r="A33">
        <v>41325</v>
      </c>
      <c t="s" r="B33">
        <v>236</v>
      </c>
      <c s="18" r="C33">
        <v>1200</v>
      </c>
    </row>
    <row r="34">
      <c s="9" r="A34">
        <v>41318</v>
      </c>
      <c t="s" r="B34">
        <v>237</v>
      </c>
      <c s="18" r="C34">
        <v>3000</v>
      </c>
    </row>
    <row r="35">
      <c s="9" r="A35">
        <v>41318</v>
      </c>
      <c t="s" r="B35">
        <v>233</v>
      </c>
      <c s="18" r="C35">
        <v>1100</v>
      </c>
    </row>
    <row r="36">
      <c s="9" r="A36">
        <v>41318</v>
      </c>
      <c t="s" r="B36">
        <v>264</v>
      </c>
      <c s="18" r="C36">
        <v>800</v>
      </c>
    </row>
    <row r="37">
      <c s="9" r="A37">
        <v>41290</v>
      </c>
      <c t="s" r="B37">
        <v>234</v>
      </c>
      <c s="18" r="C37">
        <v>56500</v>
      </c>
    </row>
    <row r="38">
      <c s="9" r="A38">
        <v>41197</v>
      </c>
      <c t="s" r="B38">
        <v>265</v>
      </c>
      <c s="18" r="C38">
        <v>650</v>
      </c>
    </row>
    <row r="39">
      <c s="9" r="A39">
        <v>41171</v>
      </c>
      <c t="s" r="B39">
        <v>266</v>
      </c>
      <c s="18" r="C39">
        <v>645</v>
      </c>
    </row>
    <row r="40">
      <c s="9" r="A40">
        <v>41171</v>
      </c>
      <c t="s" r="B40">
        <v>267</v>
      </c>
      <c s="18" r="C40">
        <v>411.71</v>
      </c>
    </row>
    <row r="41">
      <c s="9" r="A41">
        <v>41171</v>
      </c>
      <c t="s" r="B41">
        <v>268</v>
      </c>
      <c s="18" r="C41">
        <v>689.55</v>
      </c>
    </row>
    <row r="42">
      <c s="9" r="A42">
        <v>41171</v>
      </c>
      <c t="s" r="B42">
        <v>269</v>
      </c>
      <c s="18" r="C42">
        <v>1537.5</v>
      </c>
    </row>
    <row r="43">
      <c s="9" r="A43">
        <v>41171</v>
      </c>
      <c t="s" r="B43">
        <v>270</v>
      </c>
      <c s="18" r="C43">
        <v>564.86</v>
      </c>
    </row>
    <row r="44">
      <c s="9" r="A44">
        <v>41171</v>
      </c>
      <c t="s" r="B44">
        <v>271</v>
      </c>
      <c s="18" r="C44">
        <v>622.16</v>
      </c>
    </row>
    <row r="45">
      <c s="9" r="A45">
        <v>41171</v>
      </c>
      <c t="s" r="B45">
        <v>272</v>
      </c>
      <c s="18" r="C45">
        <v>466.72</v>
      </c>
    </row>
    <row r="46">
      <c s="9" r="A46">
        <v>41171</v>
      </c>
      <c t="s" r="B46">
        <v>259</v>
      </c>
      <c s="18" r="C46">
        <v>600</v>
      </c>
    </row>
    <row r="47">
      <c s="9" r="A47">
        <v>41165</v>
      </c>
      <c t="s" r="B47">
        <v>273</v>
      </c>
      <c s="18" r="C47">
        <v>2000</v>
      </c>
    </row>
    <row r="48">
      <c s="9" r="A48">
        <v>41164</v>
      </c>
      <c t="s" r="B48">
        <v>274</v>
      </c>
      <c s="18" r="C48">
        <v>18000</v>
      </c>
    </row>
    <row r="49">
      <c s="9" r="A49">
        <v>41121</v>
      </c>
      <c t="s" r="B49">
        <v>275</v>
      </c>
      <c s="18" r="C49">
        <v>1747.65</v>
      </c>
    </row>
    <row r="50">
      <c s="9" r="A50">
        <v>41121</v>
      </c>
      <c t="s" r="B50">
        <v>276</v>
      </c>
      <c s="18" r="C50">
        <v>701.61</v>
      </c>
    </row>
    <row r="51">
      <c s="9" r="A51">
        <v>41121</v>
      </c>
      <c t="s" r="B51">
        <v>277</v>
      </c>
      <c s="18" r="C51">
        <v>1747.65</v>
      </c>
    </row>
    <row r="52">
      <c s="11" r="A52">
        <v>41115</v>
      </c>
      <c t="s" r="B52">
        <v>278</v>
      </c>
      <c s="18" r="C52">
        <v>46500</v>
      </c>
    </row>
    <row r="53">
      <c s="9" r="A53">
        <v>41088</v>
      </c>
      <c t="s" r="B53">
        <v>279</v>
      </c>
      <c s="18" r="C53">
        <v>150</v>
      </c>
    </row>
    <row r="54">
      <c s="9" r="A54">
        <v>41080</v>
      </c>
      <c t="s" r="B54">
        <v>280</v>
      </c>
      <c s="18" r="C54">
        <v>650</v>
      </c>
    </row>
    <row r="55">
      <c s="11" r="A55">
        <v>41047</v>
      </c>
      <c t="s" r="B55">
        <v>281</v>
      </c>
      <c s="18" r="C55">
        <v>200</v>
      </c>
    </row>
    <row r="56">
      <c s="9" r="A56">
        <v>41017</v>
      </c>
      <c t="s" r="B56">
        <v>282</v>
      </c>
      <c s="18" r="C56">
        <v>2000</v>
      </c>
    </row>
    <row r="57">
      <c s="9" r="A57">
        <v>41017</v>
      </c>
      <c t="s" r="B57">
        <v>283</v>
      </c>
      <c s="18" r="C57">
        <v>2000</v>
      </c>
    </row>
    <row r="58">
      <c s="9" r="A58">
        <v>41010</v>
      </c>
      <c t="s" r="B58">
        <v>284</v>
      </c>
      <c s="18" r="C58">
        <v>18200</v>
      </c>
    </row>
    <row r="59">
      <c s="9" r="A59">
        <v>41010</v>
      </c>
      <c t="s" r="B59">
        <v>239</v>
      </c>
      <c s="18" r="C59">
        <v>15900</v>
      </c>
    </row>
    <row r="60">
      <c s="9" r="A60">
        <v>40972</v>
      </c>
      <c t="s" r="B60">
        <v>263</v>
      </c>
      <c s="18" r="C60">
        <v>1700</v>
      </c>
    </row>
    <row r="61">
      <c s="9" r="A61">
        <v>40968</v>
      </c>
      <c t="s" r="B61">
        <v>264</v>
      </c>
      <c s="18" r="C61">
        <v>600</v>
      </c>
    </row>
    <row r="62">
      <c s="9" r="A62">
        <v>40961</v>
      </c>
      <c t="s" r="B62">
        <v>235</v>
      </c>
      <c s="18" r="C62">
        <v>600</v>
      </c>
    </row>
    <row r="63">
      <c s="9" r="A63">
        <v>40961</v>
      </c>
      <c t="s" r="B63">
        <v>233</v>
      </c>
      <c s="18" r="C63">
        <v>1100</v>
      </c>
    </row>
    <row r="64">
      <c s="9" r="A64">
        <v>40961</v>
      </c>
      <c t="s" r="B64">
        <v>236</v>
      </c>
      <c s="18" r="C64">
        <v>1200</v>
      </c>
    </row>
    <row r="65">
      <c s="9" r="A65">
        <v>40954</v>
      </c>
      <c t="s" r="B65">
        <v>237</v>
      </c>
      <c s="18" r="C65">
        <v>3000</v>
      </c>
    </row>
    <row r="66">
      <c s="9" r="A66">
        <v>40954</v>
      </c>
      <c t="s" r="B66">
        <v>285</v>
      </c>
      <c s="18" r="C66">
        <v>40000</v>
      </c>
    </row>
    <row r="67">
      <c s="9" r="A67">
        <v>40954</v>
      </c>
      <c t="s" r="B67">
        <v>234</v>
      </c>
      <c s="18" r="C67">
        <v>56500</v>
      </c>
    </row>
    <row r="68">
      <c s="9" r="A68">
        <v>40947</v>
      </c>
      <c t="s" r="B68">
        <v>286</v>
      </c>
      <c s="18" r="C68">
        <v>4000</v>
      </c>
    </row>
    <row r="69">
      <c s="9" r="A69">
        <v>40907</v>
      </c>
      <c t="s" r="B69">
        <v>273</v>
      </c>
      <c s="18" r="C69">
        <v>2000</v>
      </c>
    </row>
    <row r="70">
      <c s="9" r="A70">
        <v>40907</v>
      </c>
      <c t="s" r="B70">
        <v>287</v>
      </c>
      <c s="18" r="C70">
        <v>2943.73</v>
      </c>
    </row>
    <row r="71">
      <c s="9" r="A71">
        <v>40907</v>
      </c>
      <c t="s" r="B71">
        <v>288</v>
      </c>
      <c s="18" r="C71">
        <v>3626.56</v>
      </c>
    </row>
    <row r="72">
      <c s="9" r="A72">
        <v>40875</v>
      </c>
      <c t="s" r="B72">
        <v>289</v>
      </c>
      <c s="18" r="C72">
        <v>150</v>
      </c>
    </row>
    <row r="73">
      <c s="9" r="A73">
        <v>40872</v>
      </c>
      <c t="s" r="B73">
        <v>290</v>
      </c>
      <c s="18" r="C73">
        <v>10779.68</v>
      </c>
    </row>
    <row r="74">
      <c s="13" r="A74">
        <v>40842</v>
      </c>
      <c t="s" r="B74">
        <v>291</v>
      </c>
      <c s="18" r="C74">
        <v>4000</v>
      </c>
    </row>
    <row r="75">
      <c s="9" r="A75">
        <v>40842</v>
      </c>
      <c t="s" r="B75">
        <v>292</v>
      </c>
      <c s="18" r="C75">
        <v>2000</v>
      </c>
    </row>
    <row r="76">
      <c s="13" r="A76">
        <v>40826</v>
      </c>
      <c t="s" r="B76">
        <v>293</v>
      </c>
      <c s="18" r="C76">
        <v>2000</v>
      </c>
    </row>
    <row r="77">
      <c s="9" r="A77">
        <v>40826</v>
      </c>
      <c t="s" r="B77">
        <v>294</v>
      </c>
      <c s="18" r="C77">
        <v>10779.68</v>
      </c>
    </row>
    <row r="78">
      <c s="13" r="A78">
        <v>40793</v>
      </c>
      <c t="s" r="B78">
        <v>295</v>
      </c>
      <c s="18" r="C78">
        <v>3465</v>
      </c>
    </row>
    <row r="79">
      <c s="9" r="A79">
        <v>40715</v>
      </c>
      <c t="s" r="B79">
        <v>296</v>
      </c>
      <c s="18" r="C79">
        <v>1750</v>
      </c>
    </row>
    <row r="80">
      <c s="9" r="A80">
        <v>40715</v>
      </c>
      <c t="s" r="B80">
        <v>297</v>
      </c>
      <c s="18" r="C80">
        <v>1576</v>
      </c>
    </row>
    <row r="81">
      <c s="9" r="A81">
        <v>40715</v>
      </c>
      <c t="s" r="B81">
        <v>298</v>
      </c>
      <c s="18" r="C81">
        <v>1266.14</v>
      </c>
    </row>
    <row r="82">
      <c s="9" r="A82">
        <v>40715</v>
      </c>
      <c t="s" r="B82">
        <v>299</v>
      </c>
      <c s="18" r="C82">
        <v>1144</v>
      </c>
    </row>
    <row r="83">
      <c s="9" r="A83">
        <v>40715</v>
      </c>
      <c t="s" r="B83">
        <v>300</v>
      </c>
      <c s="18" r="C83">
        <v>752.5</v>
      </c>
    </row>
    <row r="84">
      <c s="9" r="A84">
        <v>40715</v>
      </c>
      <c t="s" r="B84">
        <v>301</v>
      </c>
      <c s="18" r="C84">
        <v>745</v>
      </c>
    </row>
    <row r="85">
      <c s="9" r="A85">
        <v>40715</v>
      </c>
      <c t="s" r="B85">
        <v>302</v>
      </c>
      <c s="18" r="C85">
        <v>672</v>
      </c>
    </row>
    <row r="86">
      <c s="9" r="A86">
        <v>40715</v>
      </c>
      <c t="s" r="B86">
        <v>303</v>
      </c>
      <c s="18" r="C86">
        <v>512.6</v>
      </c>
    </row>
    <row r="87">
      <c s="9" r="A87">
        <v>40715</v>
      </c>
      <c t="s" r="B87">
        <v>304</v>
      </c>
      <c s="18" r="C87">
        <v>399</v>
      </c>
    </row>
    <row r="88">
      <c s="9" r="A88">
        <v>40715</v>
      </c>
      <c t="s" r="B88">
        <v>305</v>
      </c>
      <c s="18" r="C88">
        <v>396.5</v>
      </c>
    </row>
    <row r="89">
      <c s="9" r="A89">
        <v>40715</v>
      </c>
      <c t="s" r="B89">
        <v>306</v>
      </c>
      <c s="18" r="C89">
        <v>1200</v>
      </c>
    </row>
    <row r="90">
      <c s="9" r="A90">
        <v>40695</v>
      </c>
      <c t="s" r="B90">
        <v>307</v>
      </c>
      <c s="18" r="C90">
        <v>200</v>
      </c>
    </row>
    <row r="91">
      <c s="9" r="A91">
        <v>40676</v>
      </c>
      <c t="s" r="B91">
        <v>308</v>
      </c>
      <c s="18" r="C91">
        <v>1641.06</v>
      </c>
    </row>
    <row r="92">
      <c s="9" r="A92">
        <v>40653</v>
      </c>
      <c t="s" r="B92">
        <v>309</v>
      </c>
      <c s="18" r="C92">
        <v>1121.4</v>
      </c>
    </row>
    <row r="93">
      <c s="9" r="A93">
        <v>40653</v>
      </c>
      <c t="s" r="B93">
        <v>310</v>
      </c>
      <c s="18" r="C93">
        <v>1110.4</v>
      </c>
    </row>
    <row r="94">
      <c s="9" r="A94">
        <v>40653</v>
      </c>
      <c t="s" r="B94">
        <v>311</v>
      </c>
      <c s="18" r="C94">
        <v>1080</v>
      </c>
    </row>
    <row r="95">
      <c s="9" r="A95">
        <v>40653</v>
      </c>
      <c t="s" r="B95">
        <v>312</v>
      </c>
      <c s="18" r="C95">
        <v>17000</v>
      </c>
    </row>
    <row r="96">
      <c s="9" r="A96">
        <v>40632</v>
      </c>
      <c t="s" r="B96">
        <v>313</v>
      </c>
      <c s="18" r="C96">
        <v>56500</v>
      </c>
    </row>
    <row r="97">
      <c s="9" r="A97">
        <v>40583</v>
      </c>
      <c t="s" r="B97">
        <v>314</v>
      </c>
      <c s="18" r="C97">
        <v>40000</v>
      </c>
    </row>
    <row r="98">
      <c s="18" r="C98"/>
    </row>
    <row r="99">
      <c s="18" r="C99"/>
    </row>
    <row r="100">
      <c s="18" r="C100"/>
    </row>
    <row r="101">
      <c s="18" r="C101"/>
    </row>
    <row r="102">
      <c s="18" r="C102"/>
    </row>
    <row r="103">
      <c s="18" r="C103"/>
    </row>
    <row r="104">
      <c s="18" r="C104"/>
    </row>
    <row r="105">
      <c s="18" r="C105"/>
    </row>
    <row r="106">
      <c s="18" r="C106"/>
    </row>
    <row r="107">
      <c s="18" r="C107"/>
    </row>
    <row r="108">
      <c s="18" r="C108"/>
    </row>
    <row r="109">
      <c s="18" r="C109"/>
    </row>
    <row r="110">
      <c s="18" r="C110"/>
    </row>
    <row r="111">
      <c s="18" r="C111"/>
    </row>
    <row r="112">
      <c s="18" r="C112"/>
    </row>
    <row r="113">
      <c s="18" r="C113"/>
    </row>
    <row r="114">
      <c s="18" r="C114"/>
    </row>
    <row r="115">
      <c s="18" r="C115"/>
    </row>
    <row r="116">
      <c s="18" r="C116"/>
    </row>
    <row r="117">
      <c s="18" r="C117"/>
    </row>
    <row r="118">
      <c s="18" r="C118"/>
    </row>
    <row r="119">
      <c s="18" r="C119"/>
    </row>
    <row r="120">
      <c s="18" r="C120"/>
    </row>
    <row r="121">
      <c s="18" r="C121"/>
    </row>
    <row r="122">
      <c s="18" r="C122"/>
    </row>
    <row r="123">
      <c s="18" r="C123"/>
    </row>
    <row r="124">
      <c s="18" r="C124"/>
    </row>
    <row r="125">
      <c s="18" r="C125"/>
    </row>
    <row r="126">
      <c s="18" r="C126"/>
    </row>
    <row r="127">
      <c s="18" r="C127"/>
    </row>
    <row r="128">
      <c s="18" r="C128"/>
    </row>
    <row r="129">
      <c s="18" r="C129"/>
    </row>
    <row r="130">
      <c s="18" r="C130"/>
    </row>
    <row r="131">
      <c s="18" r="C131"/>
    </row>
    <row r="132">
      <c s="18" r="C132"/>
    </row>
    <row r="133">
      <c s="18" r="C133"/>
    </row>
    <row r="134">
      <c s="18" r="C134"/>
    </row>
    <row r="135">
      <c s="18" r="C135"/>
    </row>
    <row r="136">
      <c s="18" r="C136"/>
    </row>
    <row r="137">
      <c s="18" r="C137"/>
    </row>
    <row r="138">
      <c s="18" r="C138"/>
    </row>
    <row r="139">
      <c s="18" r="C139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63.14"/>
  </cols>
  <sheetData>
    <row r="1">
      <c s="11" r="A1">
        <v>41723</v>
      </c>
      <c t="s" r="B1">
        <v>315</v>
      </c>
      <c s="18" r="C1">
        <v>53284.17</v>
      </c>
    </row>
    <row r="2">
      <c s="9" r="A2">
        <v>41718</v>
      </c>
      <c t="s" r="B2">
        <v>316</v>
      </c>
      <c s="7" r="C2">
        <v>6679.2</v>
      </c>
    </row>
    <row r="3">
      <c s="9" r="A3">
        <v>41718</v>
      </c>
      <c t="s" r="B3">
        <v>317</v>
      </c>
      <c s="7" r="C3">
        <v>5889.8</v>
      </c>
    </row>
    <row r="4">
      <c s="9" r="A4">
        <v>41697</v>
      </c>
      <c t="s" r="B4">
        <v>318</v>
      </c>
      <c s="18" r="C4">
        <v>15000</v>
      </c>
    </row>
    <row r="5">
      <c s="9" r="A5">
        <v>41626</v>
      </c>
      <c t="s" r="B5">
        <v>319</v>
      </c>
      <c s="18" r="C5">
        <v>53284.17</v>
      </c>
    </row>
    <row r="6">
      <c s="9" r="A6">
        <v>41626</v>
      </c>
      <c t="s" r="B6">
        <v>320</v>
      </c>
      <c s="18" r="C6">
        <v>15000</v>
      </c>
    </row>
    <row r="7">
      <c s="9" r="A7">
        <v>41626</v>
      </c>
      <c t="s" r="B7">
        <v>321</v>
      </c>
      <c s="18" r="C7">
        <v>5874.49</v>
      </c>
    </row>
    <row r="8">
      <c s="9" r="A8">
        <v>41621</v>
      </c>
      <c t="s" r="B8">
        <v>322</v>
      </c>
      <c s="7" r="C8">
        <v>15000</v>
      </c>
    </row>
    <row r="9">
      <c s="9" r="A9">
        <v>41620</v>
      </c>
      <c t="s" r="B9">
        <v>323</v>
      </c>
      <c s="7" r="C9">
        <v>15000</v>
      </c>
    </row>
    <row r="10">
      <c s="9" r="A10">
        <v>41612</v>
      </c>
      <c t="s" r="B10">
        <v>324</v>
      </c>
      <c s="18" r="C10">
        <v>31339</v>
      </c>
    </row>
    <row r="11">
      <c s="9" r="A11">
        <v>41612</v>
      </c>
      <c t="s" r="B11">
        <v>325</v>
      </c>
      <c s="18" r="C11">
        <v>14125.5</v>
      </c>
    </row>
    <row r="12">
      <c s="9" r="A12">
        <v>41612</v>
      </c>
      <c t="s" r="B12">
        <v>326</v>
      </c>
      <c s="18" r="C12">
        <v>9048.38</v>
      </c>
    </row>
    <row r="13">
      <c s="9" r="A13">
        <v>41584</v>
      </c>
      <c t="s" r="B13">
        <v>327</v>
      </c>
      <c s="18" r="C13">
        <v>8582.53</v>
      </c>
    </row>
    <row r="14">
      <c s="9" r="A14">
        <v>41584</v>
      </c>
      <c t="s" r="B14">
        <v>328</v>
      </c>
      <c s="18" r="C14">
        <v>184110.44</v>
      </c>
    </row>
    <row r="15">
      <c s="9" r="A15">
        <v>41577</v>
      </c>
      <c t="s" r="B15">
        <v>329</v>
      </c>
      <c s="18" r="C15">
        <v>69948.27</v>
      </c>
    </row>
    <row r="16">
      <c s="9" r="A16">
        <v>41575</v>
      </c>
      <c t="s" r="B16">
        <v>330</v>
      </c>
      <c s="7" r="C16">
        <v>69948.27</v>
      </c>
    </row>
    <row r="17">
      <c s="9" r="A17">
        <v>41557</v>
      </c>
      <c t="s" r="B17">
        <v>331</v>
      </c>
      <c s="18" r="C17">
        <v>834854.66</v>
      </c>
    </row>
    <row r="18">
      <c s="9" r="A18">
        <v>41557</v>
      </c>
      <c t="s" r="B18">
        <v>332</v>
      </c>
      <c s="18" r="C18">
        <v>29295.48</v>
      </c>
    </row>
    <row r="19">
      <c s="9" r="A19">
        <v>41542</v>
      </c>
      <c t="s" r="B19">
        <v>333</v>
      </c>
      <c s="18" r="C19">
        <v>37507.45</v>
      </c>
    </row>
    <row r="20">
      <c s="9" r="A20">
        <v>41535</v>
      </c>
      <c t="s" r="B20">
        <v>334</v>
      </c>
      <c s="7" r="C20">
        <v>38247.81</v>
      </c>
    </row>
    <row r="21">
      <c s="9" r="A21">
        <v>41521</v>
      </c>
      <c t="s" r="B21">
        <v>335</v>
      </c>
      <c s="18" r="C21">
        <v>5127.7</v>
      </c>
    </row>
    <row r="22">
      <c s="9" r="A22">
        <v>41521</v>
      </c>
      <c t="s" r="B22">
        <v>336</v>
      </c>
      <c s="7" r="C22">
        <v>5648.28</v>
      </c>
    </row>
    <row r="23">
      <c s="9" r="A23">
        <v>41430</v>
      </c>
      <c t="s" r="B23">
        <v>337</v>
      </c>
      <c s="7" r="C23">
        <v>11612.37</v>
      </c>
    </row>
    <row r="24">
      <c s="9" r="A24">
        <v>41417</v>
      </c>
      <c t="s" r="B24">
        <v>338</v>
      </c>
      <c s="7" r="C24">
        <v>353231.13</v>
      </c>
    </row>
    <row r="25">
      <c s="9" r="A25">
        <v>41409</v>
      </c>
      <c t="s" r="B25">
        <v>339</v>
      </c>
      <c s="7" r="C25">
        <v>4686.2</v>
      </c>
    </row>
    <row r="26">
      <c s="9" r="A26">
        <v>41409</v>
      </c>
      <c t="s" r="B26">
        <v>340</v>
      </c>
      <c s="7" r="C26">
        <v>4743.2</v>
      </c>
    </row>
    <row r="27">
      <c s="9" r="A27">
        <v>41409</v>
      </c>
      <c t="s" r="B27">
        <v>341</v>
      </c>
      <c s="7" r="C27">
        <v>10272.9</v>
      </c>
    </row>
    <row r="28">
      <c s="9" r="A28">
        <v>41409</v>
      </c>
      <c t="s" r="B28">
        <v>342</v>
      </c>
      <c s="7" r="C28">
        <v>6226.66</v>
      </c>
    </row>
    <row r="29">
      <c s="11" r="A29">
        <v>41402</v>
      </c>
      <c t="s" r="B29">
        <v>343</v>
      </c>
      <c s="7" r="C29">
        <v>3630</v>
      </c>
    </row>
    <row r="30">
      <c s="9" r="A30">
        <v>41402</v>
      </c>
      <c t="s" r="B30">
        <v>344</v>
      </c>
      <c s="7" r="C30">
        <v>11036.29</v>
      </c>
    </row>
    <row r="31">
      <c s="9" r="A31">
        <v>41394</v>
      </c>
      <c t="s" r="B31">
        <v>345</v>
      </c>
      <c s="7" r="C31">
        <v>4065.8</v>
      </c>
    </row>
    <row r="32">
      <c s="9" r="A32">
        <v>41381</v>
      </c>
      <c t="s" r="B32">
        <v>346</v>
      </c>
      <c s="7" r="C32">
        <v>3339.6</v>
      </c>
    </row>
    <row r="33">
      <c s="9" r="A33">
        <v>41381</v>
      </c>
      <c t="s" r="B33">
        <v>347</v>
      </c>
      <c s="7" r="C33">
        <v>3920.4</v>
      </c>
    </row>
    <row r="34">
      <c s="9" r="A34">
        <v>41360</v>
      </c>
      <c t="s" r="B34">
        <v>348</v>
      </c>
      <c s="7" r="C34">
        <v>7940.63</v>
      </c>
    </row>
    <row r="35">
      <c s="9" r="A35">
        <v>41356</v>
      </c>
      <c t="s" r="B35">
        <v>349</v>
      </c>
      <c s="7" r="C35">
        <v>60429.8</v>
      </c>
    </row>
    <row r="36">
      <c s="9" r="A36">
        <v>41353</v>
      </c>
      <c t="s" r="B36">
        <v>350</v>
      </c>
      <c s="7" r="C36">
        <v>4540.96</v>
      </c>
    </row>
    <row r="37">
      <c s="9" r="A37">
        <v>41346</v>
      </c>
      <c t="s" r="B37">
        <v>351</v>
      </c>
      <c s="7" r="C37">
        <v>1452</v>
      </c>
    </row>
    <row r="38">
      <c s="9" r="A38">
        <v>41346</v>
      </c>
      <c t="s" r="B38">
        <v>352</v>
      </c>
      <c s="7" r="C38">
        <v>1452</v>
      </c>
    </row>
    <row r="39">
      <c s="9" r="A39">
        <v>41332</v>
      </c>
      <c t="s" r="B39">
        <v>353</v>
      </c>
      <c s="7" r="C39">
        <v>3549.61</v>
      </c>
    </row>
    <row r="40">
      <c s="9" r="A40">
        <v>41332</v>
      </c>
      <c t="s" r="B40">
        <v>354</v>
      </c>
      <c s="7" r="C40">
        <v>4235</v>
      </c>
    </row>
    <row r="41">
      <c s="11" r="A41">
        <v>41325</v>
      </c>
      <c t="s" r="B41">
        <v>355</v>
      </c>
      <c s="7" r="C41">
        <v>540458.25</v>
      </c>
    </row>
    <row r="42">
      <c s="9" r="A42">
        <v>41311</v>
      </c>
      <c t="s" r="B42">
        <v>356</v>
      </c>
      <c s="7" r="C42">
        <v>12615.21</v>
      </c>
    </row>
    <row r="43">
      <c s="9" r="A43">
        <v>41270</v>
      </c>
      <c t="s" r="B43">
        <v>357</v>
      </c>
      <c s="7" r="C43">
        <v>5927.2</v>
      </c>
    </row>
    <row r="44">
      <c s="9" r="A44">
        <v>41255</v>
      </c>
      <c t="s" r="B44">
        <v>358</v>
      </c>
      <c s="7" r="C44">
        <v>9072.8</v>
      </c>
    </row>
    <row r="45">
      <c s="11" r="A45">
        <v>41255</v>
      </c>
      <c t="s" r="B45">
        <v>359</v>
      </c>
      <c s="7" r="C45">
        <v>4641.2</v>
      </c>
    </row>
    <row r="46">
      <c s="9" r="A46">
        <v>41248</v>
      </c>
      <c t="s" r="B46">
        <v>360</v>
      </c>
      <c s="7" r="C46">
        <v>18537.13</v>
      </c>
    </row>
    <row r="47">
      <c s="9" r="A47">
        <v>41241</v>
      </c>
      <c t="s" r="B47">
        <v>361</v>
      </c>
      <c s="7" r="C47">
        <v>534233.27</v>
      </c>
    </row>
    <row r="48">
      <c s="9" r="A48">
        <v>41241</v>
      </c>
      <c t="s" r="B48">
        <v>362</v>
      </c>
      <c s="7" r="C48">
        <v>782808.76</v>
      </c>
    </row>
    <row r="49">
      <c s="9" r="A49">
        <v>41241</v>
      </c>
      <c t="s" r="B49">
        <v>360</v>
      </c>
      <c s="7" r="C49">
        <v>27163.56</v>
      </c>
    </row>
    <row r="50">
      <c s="11" r="A50">
        <v>41197</v>
      </c>
      <c t="s" r="B50">
        <v>360</v>
      </c>
      <c s="7" r="C50">
        <v>15633.54</v>
      </c>
    </row>
    <row r="51">
      <c s="11" r="A51">
        <v>41197</v>
      </c>
      <c t="s" r="B51">
        <v>363</v>
      </c>
      <c s="7" r="C51">
        <v>450532.84</v>
      </c>
    </row>
    <row r="52">
      <c s="11" r="A52">
        <v>41178</v>
      </c>
      <c t="s" r="B52">
        <v>364</v>
      </c>
      <c s="7" r="C52">
        <v>5467.22</v>
      </c>
    </row>
    <row r="53">
      <c s="11" r="A53">
        <v>41178</v>
      </c>
      <c t="s" r="B53">
        <v>365</v>
      </c>
      <c s="7" r="C53">
        <v>15000</v>
      </c>
    </row>
    <row r="54">
      <c s="11" r="A54">
        <v>41178</v>
      </c>
      <c t="s" r="B54">
        <v>366</v>
      </c>
      <c s="7" r="C54">
        <v>15000</v>
      </c>
    </row>
    <row r="55">
      <c s="9" r="A55">
        <v>41171</v>
      </c>
      <c t="s" r="B55">
        <v>367</v>
      </c>
      <c s="7" r="C55">
        <v>360890.53</v>
      </c>
    </row>
    <row r="56">
      <c s="11" r="A56">
        <v>41170</v>
      </c>
      <c t="s" r="B56">
        <v>368</v>
      </c>
      <c s="7" r="C56">
        <v>12522.94</v>
      </c>
    </row>
    <row r="57">
      <c s="11" r="A57">
        <v>41170</v>
      </c>
      <c t="s" r="B57">
        <v>368</v>
      </c>
      <c s="7" r="C57">
        <v>10709.43</v>
      </c>
    </row>
    <row r="58">
      <c s="9" r="A58">
        <v>41164</v>
      </c>
      <c t="s" r="B58">
        <v>369</v>
      </c>
      <c s="7" r="C58">
        <v>11247.17</v>
      </c>
    </row>
    <row r="59">
      <c s="9" r="A59">
        <v>41164</v>
      </c>
      <c t="s" r="B59">
        <v>370</v>
      </c>
      <c s="7" r="C59">
        <v>285044.83</v>
      </c>
    </row>
    <row r="60">
      <c s="9" r="A60">
        <v>41157</v>
      </c>
      <c t="s" r="B60">
        <v>371</v>
      </c>
      <c s="7" r="C60">
        <v>308628.41</v>
      </c>
    </row>
    <row r="61">
      <c s="9" r="A61">
        <v>41157</v>
      </c>
      <c t="s" r="B61">
        <v>372</v>
      </c>
      <c s="7" r="C61">
        <v>20000</v>
      </c>
    </row>
    <row r="62">
      <c s="9" r="A62">
        <v>41121</v>
      </c>
      <c t="s" r="B62">
        <v>373</v>
      </c>
      <c s="7" r="C62">
        <v>433916.82</v>
      </c>
    </row>
    <row r="63">
      <c s="9" r="A63">
        <v>41115</v>
      </c>
      <c t="s" r="B63">
        <v>374</v>
      </c>
      <c s="7" r="C63">
        <v>4248</v>
      </c>
    </row>
    <row r="64">
      <c s="9" r="A64">
        <v>41115</v>
      </c>
      <c t="s" r="B64">
        <v>375</v>
      </c>
      <c s="7" r="C64">
        <v>12653.03</v>
      </c>
    </row>
    <row r="65">
      <c s="9" r="A65">
        <v>41115</v>
      </c>
      <c t="s" r="B65">
        <v>376</v>
      </c>
      <c s="7" r="C65">
        <v>3759.56</v>
      </c>
    </row>
    <row r="66">
      <c s="9" r="A66">
        <v>41108</v>
      </c>
      <c t="s" r="B66">
        <v>377</v>
      </c>
      <c s="7" r="C66">
        <v>11247.17</v>
      </c>
    </row>
    <row r="67">
      <c s="9" r="A67">
        <v>41108</v>
      </c>
      <c t="s" r="B67">
        <v>364</v>
      </c>
      <c s="7" r="C67">
        <v>13733.77</v>
      </c>
    </row>
    <row r="68">
      <c s="9" r="A68">
        <v>41108</v>
      </c>
      <c t="s" r="B68">
        <v>378</v>
      </c>
      <c s="7" r="C68">
        <v>56999.99</v>
      </c>
    </row>
    <row r="69">
      <c s="9" r="A69">
        <v>41108</v>
      </c>
      <c t="s" r="B69">
        <v>379</v>
      </c>
      <c s="7" r="C69">
        <v>39067.27</v>
      </c>
    </row>
    <row r="70">
      <c s="9" r="A70">
        <v>41095</v>
      </c>
      <c t="s" r="B70">
        <v>380</v>
      </c>
      <c s="7" r="C70">
        <v>8473</v>
      </c>
    </row>
    <row r="71">
      <c s="9" r="A71">
        <v>41095</v>
      </c>
      <c t="s" r="B71">
        <v>381</v>
      </c>
      <c s="7" r="C71">
        <v>1201.9</v>
      </c>
    </row>
    <row r="72">
      <c s="9" r="A72">
        <v>41095</v>
      </c>
      <c t="s" r="B72">
        <v>382</v>
      </c>
      <c s="7" r="C72">
        <v>458.51</v>
      </c>
    </row>
    <row r="73">
      <c s="9" r="A73">
        <v>41094</v>
      </c>
      <c t="s" r="B73">
        <v>383</v>
      </c>
      <c s="7" r="C73">
        <v>11948.48</v>
      </c>
    </row>
    <row r="74">
      <c s="9" r="A74">
        <v>41087</v>
      </c>
      <c t="s" r="B74">
        <v>384</v>
      </c>
      <c s="7" r="C74">
        <v>364.62</v>
      </c>
    </row>
    <row r="75">
      <c s="9" r="A75">
        <v>41087</v>
      </c>
      <c t="s" r="B75">
        <v>385</v>
      </c>
      <c s="7" r="C75">
        <v>509.94</v>
      </c>
    </row>
    <row r="76">
      <c s="9" r="A76">
        <v>41087</v>
      </c>
      <c t="s" r="B76">
        <v>386</v>
      </c>
      <c s="7" r="C76">
        <v>152.98</v>
      </c>
    </row>
    <row r="77">
      <c s="9" r="A77">
        <v>41031</v>
      </c>
      <c t="s" r="B77">
        <v>387</v>
      </c>
      <c s="7" r="C77">
        <v>3929.27</v>
      </c>
    </row>
    <row r="78">
      <c s="9" r="A78">
        <v>41031</v>
      </c>
      <c t="s" r="B78">
        <v>387</v>
      </c>
      <c s="7" r="C78">
        <v>3932.14</v>
      </c>
    </row>
    <row r="79">
      <c s="11" r="A79">
        <v>41029</v>
      </c>
      <c t="s" s="6" r="B79">
        <v>388</v>
      </c>
      <c s="10" r="C79">
        <v>993.64</v>
      </c>
    </row>
    <row r="80">
      <c s="11" r="A80">
        <v>41029</v>
      </c>
      <c t="s" s="6" r="B80">
        <v>389</v>
      </c>
      <c s="10" r="C80">
        <v>582.18</v>
      </c>
    </row>
    <row r="81">
      <c s="11" r="A81">
        <v>41029</v>
      </c>
      <c t="s" r="B81">
        <v>390</v>
      </c>
      <c s="7" r="C81">
        <v>669.67</v>
      </c>
    </row>
    <row r="82">
      <c s="11" r="A82">
        <v>41029</v>
      </c>
      <c t="s" r="B82">
        <v>391</v>
      </c>
      <c s="7" r="C82">
        <v>1976.94</v>
      </c>
    </row>
    <row r="83">
      <c s="11" r="A83">
        <v>41029</v>
      </c>
      <c t="s" r="B83">
        <v>392</v>
      </c>
      <c s="7" r="C83">
        <v>1115.86</v>
      </c>
    </row>
    <row r="84">
      <c s="11" r="A84">
        <v>41029</v>
      </c>
      <c t="s" r="B84">
        <v>393</v>
      </c>
      <c s="7" r="C84">
        <v>1085.6</v>
      </c>
    </row>
    <row r="85">
      <c s="11" r="A85">
        <v>41025</v>
      </c>
      <c t="s" s="6" r="B85">
        <v>394</v>
      </c>
      <c s="10" r="C85">
        <v>2197.16</v>
      </c>
    </row>
    <row r="86">
      <c s="9" r="A86">
        <v>41012</v>
      </c>
      <c t="s" r="B86">
        <v>395</v>
      </c>
      <c s="7" r="C86">
        <v>560.24</v>
      </c>
    </row>
    <row r="87">
      <c s="9" r="A87">
        <v>41012</v>
      </c>
      <c t="s" r="B87">
        <v>396</v>
      </c>
      <c s="7" r="C87">
        <v>940.36</v>
      </c>
    </row>
    <row r="88">
      <c s="9" r="A88">
        <v>41012</v>
      </c>
      <c t="s" r="B88">
        <v>397</v>
      </c>
      <c s="7" r="C88">
        <v>1793.6</v>
      </c>
    </row>
    <row r="89">
      <c s="9" r="A89">
        <v>41009</v>
      </c>
      <c t="s" r="B89">
        <v>398</v>
      </c>
      <c s="7" r="C89">
        <v>1599.2</v>
      </c>
    </row>
    <row r="90">
      <c s="9" r="A90">
        <v>41009</v>
      </c>
      <c t="s" r="B90">
        <v>399</v>
      </c>
      <c s="7" r="C90">
        <v>641.65</v>
      </c>
    </row>
    <row r="91">
      <c s="9" r="A91">
        <v>41009</v>
      </c>
      <c t="s" r="B91">
        <v>400</v>
      </c>
      <c s="7" r="C91">
        <v>908.6</v>
      </c>
    </row>
    <row r="92">
      <c s="9" r="A92">
        <v>41009</v>
      </c>
      <c t="s" r="B92">
        <v>401</v>
      </c>
      <c s="7" r="C92">
        <v>865.98</v>
      </c>
    </row>
    <row r="93">
      <c s="11" r="A93">
        <v>41001</v>
      </c>
      <c t="s" s="6" r="B93">
        <v>402</v>
      </c>
      <c s="10" r="C93">
        <v>1017.16</v>
      </c>
    </row>
    <row r="94">
      <c s="9" r="A94">
        <v>40996</v>
      </c>
      <c t="s" r="B94">
        <v>403</v>
      </c>
      <c s="7" r="C94">
        <v>4860.42</v>
      </c>
    </row>
    <row r="95">
      <c s="9" r="A95">
        <v>40996</v>
      </c>
      <c t="s" r="B95">
        <v>404</v>
      </c>
      <c s="7" r="C95">
        <v>3473.92</v>
      </c>
    </row>
    <row r="96">
      <c s="9" r="A96">
        <v>40996</v>
      </c>
      <c t="s" r="B96">
        <v>405</v>
      </c>
      <c s="7" r="C96">
        <v>6140.13</v>
      </c>
    </row>
    <row r="97">
      <c s="9" r="A97">
        <v>40988</v>
      </c>
      <c t="s" r="B97">
        <v>406</v>
      </c>
      <c s="7" r="C97">
        <v>3829.41</v>
      </c>
    </row>
    <row r="98">
      <c s="9" r="A98">
        <v>40976</v>
      </c>
      <c t="s" r="B98">
        <v>407</v>
      </c>
      <c s="7" r="C98">
        <v>862.8</v>
      </c>
    </row>
    <row r="99">
      <c s="9" r="A99">
        <v>40975</v>
      </c>
      <c t="s" r="B99">
        <v>408</v>
      </c>
      <c s="7" r="C99">
        <v>95873.11</v>
      </c>
    </row>
    <row r="100">
      <c s="9" r="A100">
        <v>40975</v>
      </c>
      <c t="s" r="B100">
        <v>409</v>
      </c>
      <c s="7" r="C100">
        <v>42826.2</v>
      </c>
    </row>
    <row r="101">
      <c s="9" r="A101">
        <v>40975</v>
      </c>
      <c t="s" r="B101">
        <v>410</v>
      </c>
      <c s="7" r="C101">
        <v>21295.98</v>
      </c>
    </row>
    <row r="102">
      <c s="9" r="A102">
        <v>40975</v>
      </c>
      <c t="s" r="B102">
        <v>411</v>
      </c>
      <c s="7" r="C102">
        <v>8260</v>
      </c>
    </row>
    <row r="103">
      <c s="9" r="A103">
        <v>40975</v>
      </c>
      <c t="s" r="B103">
        <v>412</v>
      </c>
      <c s="7" r="C103">
        <v>3326.81</v>
      </c>
    </row>
    <row r="104">
      <c s="9" r="A104">
        <v>40969</v>
      </c>
      <c t="s" r="B104">
        <v>413</v>
      </c>
      <c s="7" r="C104">
        <v>1256.63</v>
      </c>
    </row>
    <row r="105">
      <c s="9" r="A105">
        <v>40969</v>
      </c>
      <c t="s" r="B105">
        <v>414</v>
      </c>
      <c s="7" r="C105">
        <v>1363.06</v>
      </c>
    </row>
    <row r="106">
      <c s="9" r="A106">
        <v>40969</v>
      </c>
      <c t="s" r="B106">
        <v>415</v>
      </c>
      <c s="7" r="C106">
        <v>1307.74</v>
      </c>
    </row>
    <row r="107">
      <c s="9" r="A107">
        <v>40969</v>
      </c>
      <c t="s" r="B107">
        <v>416</v>
      </c>
      <c s="7" r="C107">
        <v>1029.99</v>
      </c>
    </row>
    <row r="108">
      <c s="9" r="A108">
        <v>40969</v>
      </c>
      <c t="s" r="B108">
        <v>417</v>
      </c>
      <c s="7" r="C108">
        <v>908.55</v>
      </c>
    </row>
    <row r="109">
      <c s="9" r="A109">
        <v>40968</v>
      </c>
      <c t="s" r="B109">
        <v>418</v>
      </c>
      <c s="7" r="C109">
        <v>176948.45</v>
      </c>
    </row>
    <row r="110">
      <c s="9" r="A110">
        <v>40947</v>
      </c>
      <c t="s" r="B110">
        <v>419</v>
      </c>
      <c s="7" r="C110">
        <v>24864.58</v>
      </c>
    </row>
    <row r="111">
      <c s="9" r="A111">
        <v>40947</v>
      </c>
      <c t="s" r="B111">
        <v>420</v>
      </c>
      <c s="7" r="C111">
        <v>6497.79</v>
      </c>
    </row>
    <row r="112">
      <c s="9" r="A112">
        <v>40947</v>
      </c>
      <c t="s" r="B112">
        <v>421</v>
      </c>
      <c s="7" r="C112">
        <v>2271.8</v>
      </c>
    </row>
    <row r="113">
      <c s="9" r="A113">
        <v>40947</v>
      </c>
      <c t="s" r="B113">
        <v>422</v>
      </c>
      <c s="7" r="C113">
        <v>1590.22</v>
      </c>
    </row>
    <row r="114">
      <c s="9" r="A114">
        <v>40947</v>
      </c>
      <c t="s" r="B114">
        <v>423</v>
      </c>
      <c s="7" r="C114">
        <v>2577.12</v>
      </c>
    </row>
    <row r="115">
      <c s="9" r="A115">
        <v>40919</v>
      </c>
      <c t="s" r="B115">
        <v>424</v>
      </c>
      <c s="7" r="C115">
        <v>8451.55</v>
      </c>
    </row>
    <row r="116">
      <c s="9" r="A116">
        <v>40907</v>
      </c>
      <c t="s" r="B116">
        <v>425</v>
      </c>
      <c s="7" r="C116">
        <v>2999.21</v>
      </c>
    </row>
    <row r="117">
      <c s="9" r="A117">
        <v>40907</v>
      </c>
      <c t="s" r="B117">
        <v>426</v>
      </c>
      <c s="7" r="C117">
        <v>2854.34</v>
      </c>
    </row>
    <row r="118">
      <c s="9" r="A118">
        <v>40905</v>
      </c>
      <c t="s" r="B118">
        <v>427</v>
      </c>
      <c s="7" r="C118">
        <v>2199.87</v>
      </c>
    </row>
    <row r="119">
      <c s="9" r="A119">
        <v>40870</v>
      </c>
      <c t="s" r="B119">
        <v>428</v>
      </c>
      <c s="7" r="C119">
        <v>1770</v>
      </c>
    </row>
    <row r="120">
      <c s="9" r="A120">
        <v>40870</v>
      </c>
      <c t="s" r="B120">
        <v>429</v>
      </c>
      <c s="7" r="C120">
        <v>1433</v>
      </c>
    </row>
    <row r="121">
      <c s="9" r="A121">
        <v>40863</v>
      </c>
      <c t="s" r="B121">
        <v>430</v>
      </c>
      <c s="7" r="C121">
        <v>46933.76</v>
      </c>
    </row>
    <row r="122">
      <c s="9" r="A122">
        <v>40863</v>
      </c>
      <c t="s" r="B122">
        <v>431</v>
      </c>
      <c s="7" r="C122">
        <v>36505.49</v>
      </c>
    </row>
    <row r="123">
      <c s="9" r="A123">
        <v>40856</v>
      </c>
      <c t="s" r="B123">
        <v>432</v>
      </c>
      <c s="7" r="C123">
        <v>1175.23</v>
      </c>
    </row>
    <row r="124">
      <c s="9" r="A124">
        <v>40856</v>
      </c>
      <c t="s" r="B124">
        <v>433</v>
      </c>
      <c s="7" r="C124">
        <v>4985.5</v>
      </c>
    </row>
    <row r="125">
      <c s="9" r="A125">
        <v>40856</v>
      </c>
      <c t="s" r="B125">
        <v>434</v>
      </c>
      <c s="7" r="C125">
        <v>3156.72</v>
      </c>
    </row>
    <row r="126">
      <c s="9" r="A126">
        <v>40842</v>
      </c>
      <c t="s" r="B126">
        <v>435</v>
      </c>
      <c s="7" r="C126">
        <v>37463.81</v>
      </c>
    </row>
    <row r="127">
      <c s="9" r="A127">
        <v>40842</v>
      </c>
      <c t="s" r="B127">
        <v>436</v>
      </c>
      <c s="7" r="C127">
        <v>32102.55</v>
      </c>
    </row>
    <row r="128">
      <c s="9" r="A128">
        <v>40835</v>
      </c>
      <c t="s" r="B128">
        <v>437</v>
      </c>
      <c s="7" r="C128">
        <v>15000</v>
      </c>
    </row>
    <row r="129">
      <c s="9" r="A129">
        <v>40835</v>
      </c>
      <c t="s" r="B129">
        <v>438</v>
      </c>
      <c s="7" r="C129">
        <v>20000</v>
      </c>
    </row>
    <row r="130">
      <c s="9" r="A130">
        <v>40815</v>
      </c>
      <c t="s" r="B130">
        <v>439</v>
      </c>
      <c s="7" r="C130">
        <v>24348.12</v>
      </c>
    </row>
    <row r="131">
      <c s="9" r="A131">
        <v>40815</v>
      </c>
      <c t="s" r="B131">
        <v>436</v>
      </c>
      <c s="7" r="C131">
        <v>32102.55</v>
      </c>
    </row>
    <row r="132">
      <c s="9" r="A132">
        <v>40815</v>
      </c>
      <c t="s" r="B132">
        <v>440</v>
      </c>
      <c s="7" r="C132">
        <v>25815.91</v>
      </c>
    </row>
    <row r="133">
      <c s="9" r="A133">
        <v>40807</v>
      </c>
      <c t="s" r="B133">
        <v>441</v>
      </c>
      <c s="7" r="C133">
        <v>7239</v>
      </c>
    </row>
    <row r="134">
      <c s="13" r="A134">
        <v>40802</v>
      </c>
      <c t="s" r="B134">
        <v>442</v>
      </c>
      <c s="7" r="C134">
        <v>2909.24</v>
      </c>
    </row>
    <row r="135">
      <c s="9" r="A135">
        <v>40800</v>
      </c>
      <c t="s" r="B135">
        <v>443</v>
      </c>
      <c s="7" r="C135">
        <v>29500</v>
      </c>
    </row>
    <row r="136">
      <c s="9" r="A136">
        <v>40800</v>
      </c>
      <c t="s" r="B136">
        <v>444</v>
      </c>
      <c s="7" r="C136">
        <v>22666.4</v>
      </c>
    </row>
    <row r="137">
      <c s="9" r="A137">
        <v>40800</v>
      </c>
      <c t="s" r="B137">
        <v>445</v>
      </c>
      <c s="7" r="C137">
        <v>8694.15</v>
      </c>
    </row>
    <row r="138">
      <c s="9" r="A138">
        <v>40800</v>
      </c>
      <c t="s" r="B138">
        <v>446</v>
      </c>
      <c s="7" r="C138">
        <v>53834.94</v>
      </c>
    </row>
    <row r="139">
      <c s="9" r="A139">
        <v>40800</v>
      </c>
      <c t="s" r="B139">
        <v>447</v>
      </c>
      <c s="7" r="C139">
        <v>76179.97</v>
      </c>
    </row>
    <row r="140">
      <c s="9" r="A140">
        <v>40793</v>
      </c>
      <c t="s" r="B140">
        <v>448</v>
      </c>
      <c s="7" r="C140">
        <v>141514.66</v>
      </c>
    </row>
    <row r="141">
      <c s="9" r="A141">
        <v>40786</v>
      </c>
      <c t="s" r="B141">
        <v>449</v>
      </c>
      <c s="7" r="C141">
        <v>3174.01</v>
      </c>
    </row>
    <row r="142">
      <c s="9" r="A142">
        <v>40786</v>
      </c>
      <c t="s" r="B142">
        <v>450</v>
      </c>
      <c s="7" r="C142">
        <v>6806.24</v>
      </c>
    </row>
    <row r="143">
      <c s="9" r="A143">
        <v>40751</v>
      </c>
      <c t="s" r="B143">
        <v>451</v>
      </c>
      <c s="7" r="C143">
        <v>36232.04</v>
      </c>
    </row>
    <row r="144">
      <c s="9" r="A144">
        <v>40723</v>
      </c>
      <c t="s" r="B144">
        <v>452</v>
      </c>
      <c s="7" r="C144">
        <v>37417.4</v>
      </c>
    </row>
    <row r="145">
      <c s="9" r="A145">
        <v>40723</v>
      </c>
      <c t="s" r="B145">
        <v>453</v>
      </c>
      <c s="7" r="C145">
        <v>45345.59</v>
      </c>
    </row>
    <row r="146">
      <c s="9" r="A146">
        <v>40696</v>
      </c>
      <c t="s" r="B146">
        <v>454</v>
      </c>
      <c s="7" r="C146">
        <v>1475</v>
      </c>
    </row>
    <row r="147">
      <c s="9" r="A147">
        <v>40688</v>
      </c>
      <c t="s" r="B147">
        <v>455</v>
      </c>
      <c s="7" r="C147">
        <v>24781.95</v>
      </c>
    </row>
    <row r="148">
      <c s="9" r="A148">
        <v>40681</v>
      </c>
      <c t="s" r="B148">
        <v>456</v>
      </c>
      <c s="7" r="C148">
        <v>124764.88</v>
      </c>
    </row>
    <row r="149">
      <c s="9" r="A149">
        <v>40681</v>
      </c>
      <c t="s" r="B149">
        <v>457</v>
      </c>
      <c s="7" r="C149">
        <v>192682.61</v>
      </c>
    </row>
    <row r="150">
      <c s="9" r="A150">
        <v>40679</v>
      </c>
      <c t="s" r="B150">
        <v>458</v>
      </c>
      <c s="7" r="C150">
        <v>118927.16</v>
      </c>
    </row>
    <row r="151">
      <c s="9" r="A151">
        <v>40679</v>
      </c>
      <c t="s" r="B151">
        <v>459</v>
      </c>
      <c s="7" r="C151">
        <v>12135.05</v>
      </c>
    </row>
    <row r="152">
      <c s="9" r="A152">
        <v>40679</v>
      </c>
      <c t="s" r="B152">
        <v>460</v>
      </c>
      <c s="7" r="C152">
        <v>27146.96</v>
      </c>
    </row>
    <row r="153">
      <c s="9" r="A153">
        <v>40679</v>
      </c>
      <c t="s" r="B153">
        <v>461</v>
      </c>
      <c s="7" r="C153">
        <v>334183.93</v>
      </c>
    </row>
    <row r="154">
      <c s="9" r="A154">
        <v>40674</v>
      </c>
      <c t="s" r="B154">
        <v>462</v>
      </c>
      <c s="7" r="C154">
        <v>29430</v>
      </c>
    </row>
    <row r="155">
      <c s="9" r="A155">
        <v>40646</v>
      </c>
      <c t="s" r="B155">
        <v>463</v>
      </c>
      <c s="7" r="C155">
        <v>169598.03</v>
      </c>
    </row>
    <row r="156">
      <c s="9" r="A156">
        <v>40639</v>
      </c>
      <c t="s" r="B156">
        <v>457</v>
      </c>
      <c s="7" r="C156">
        <v>85849.76</v>
      </c>
    </row>
    <row r="157">
      <c s="9" r="A157">
        <v>40639</v>
      </c>
      <c t="s" r="B157">
        <v>464</v>
      </c>
      <c s="7" r="C157">
        <v>67908.87</v>
      </c>
    </row>
    <row r="158">
      <c s="9" r="A158">
        <v>40639</v>
      </c>
      <c t="s" r="B158">
        <v>465</v>
      </c>
      <c s="7" r="C158">
        <v>66883.34</v>
      </c>
    </row>
    <row r="159">
      <c s="9" r="A159">
        <v>40625</v>
      </c>
      <c t="s" r="B159">
        <v>466</v>
      </c>
      <c s="7" r="C159">
        <v>12745.09</v>
      </c>
    </row>
    <row r="160">
      <c s="9" r="A160">
        <v>40625</v>
      </c>
      <c t="s" r="B160">
        <v>467</v>
      </c>
      <c s="7" r="C160">
        <v>35617.05</v>
      </c>
    </row>
    <row r="161">
      <c s="9" r="A161">
        <v>40618</v>
      </c>
      <c t="s" r="B161">
        <v>468</v>
      </c>
      <c s="7" r="C161">
        <v>219862.05</v>
      </c>
    </row>
    <row r="162">
      <c s="9" r="A162">
        <v>40618</v>
      </c>
      <c t="s" r="B162">
        <v>469</v>
      </c>
      <c s="7" r="C162">
        <v>260158.6</v>
      </c>
    </row>
    <row r="163">
      <c s="9" r="A163">
        <v>40618</v>
      </c>
      <c t="s" r="B163">
        <v>470</v>
      </c>
      <c s="7" r="C163">
        <v>233161.55</v>
      </c>
    </row>
    <row r="164">
      <c s="9" r="A164">
        <v>40611</v>
      </c>
      <c t="s" r="B164">
        <v>471</v>
      </c>
      <c s="7" r="C164">
        <v>40007.35</v>
      </c>
    </row>
    <row r="165">
      <c s="9" r="A165">
        <v>40611</v>
      </c>
      <c t="s" r="B165">
        <v>472</v>
      </c>
      <c s="7" r="C165">
        <v>9582.82</v>
      </c>
    </row>
    <row r="166">
      <c s="9" r="A166">
        <v>40604</v>
      </c>
      <c t="s" r="B166">
        <v>473</v>
      </c>
      <c s="7" r="C166">
        <v>16823.39</v>
      </c>
    </row>
    <row r="167">
      <c s="9" r="A167">
        <v>40597</v>
      </c>
      <c t="s" r="B167">
        <v>474</v>
      </c>
      <c s="7" r="C167">
        <v>42272.43</v>
      </c>
    </row>
    <row r="168">
      <c s="9" r="A168">
        <v>40590</v>
      </c>
      <c t="s" r="B168">
        <v>475</v>
      </c>
      <c s="7" r="C168">
        <v>65860.48</v>
      </c>
    </row>
    <row r="169">
      <c s="9" r="A169">
        <v>40590</v>
      </c>
      <c t="s" r="B169">
        <v>476</v>
      </c>
      <c s="7" r="C169">
        <v>96600.49</v>
      </c>
    </row>
    <row r="170">
      <c s="9" r="A170">
        <v>40590</v>
      </c>
      <c t="s" r="B170">
        <v>477</v>
      </c>
      <c s="7" r="C170">
        <v>41614.27</v>
      </c>
    </row>
    <row r="171">
      <c s="9" r="A171">
        <v>40583</v>
      </c>
      <c t="s" r="B171">
        <v>478</v>
      </c>
      <c s="7" r="C171">
        <v>70049.92</v>
      </c>
    </row>
    <row r="172">
      <c s="9" r="A172">
        <v>40583</v>
      </c>
      <c t="s" r="B172">
        <v>479</v>
      </c>
      <c s="7" r="C172">
        <v>3340.86</v>
      </c>
    </row>
    <row r="173">
      <c s="9" r="A173">
        <v>40563</v>
      </c>
      <c t="s" r="B173">
        <v>480</v>
      </c>
      <c s="7" r="C173">
        <v>27293.23</v>
      </c>
    </row>
    <row r="174">
      <c s="9" r="A174">
        <v>40563</v>
      </c>
      <c t="s" r="B174">
        <v>481</v>
      </c>
      <c s="7" r="C174">
        <v>7982.76</v>
      </c>
    </row>
    <row r="175">
      <c s="9" r="A175">
        <v>40563</v>
      </c>
      <c t="s" r="B175">
        <v>482</v>
      </c>
      <c s="7" r="C175">
        <v>41655.83</v>
      </c>
    </row>
    <row r="176">
      <c t="s" r="B176">
        <v>483</v>
      </c>
      <c s="8" r="C176">
        <v>321377</v>
      </c>
    </row>
    <row r="177">
      <c t="s" r="B177">
        <v>484</v>
      </c>
      <c s="8" r="C177">
        <v>40422</v>
      </c>
    </row>
    <row r="178">
      <c t="s" r="B178">
        <v>485</v>
      </c>
      <c s="8" r="C178">
        <v>5734.18</v>
      </c>
    </row>
    <row r="179">
      <c t="s" r="B179">
        <v>486</v>
      </c>
      <c s="8" r="C179">
        <v>26917.92</v>
      </c>
    </row>
    <row r="180">
      <c t="s" r="B180">
        <v>487</v>
      </c>
      <c s="8" r="C180">
        <v>5354.65</v>
      </c>
    </row>
    <row r="181">
      <c t="s" r="B181">
        <v>488</v>
      </c>
      <c t="s" s="8" r="C181">
        <v>489</v>
      </c>
    </row>
    <row r="182">
      <c t="s" r="B182">
        <v>490</v>
      </c>
      <c s="8" r="C182">
        <v>55207.5</v>
      </c>
    </row>
    <row r="183">
      <c t="s" r="B183">
        <v>491</v>
      </c>
      <c s="8" r="C183">
        <v>292320</v>
      </c>
    </row>
    <row r="184">
      <c t="s" r="B184">
        <v>492</v>
      </c>
      <c t="s" s="8" r="C184">
        <v>493</v>
      </c>
    </row>
    <row r="185">
      <c s="7" r="C185"/>
    </row>
    <row r="186">
      <c s="7" r="C186"/>
    </row>
    <row r="187">
      <c s="7" r="C187"/>
    </row>
    <row r="188">
      <c s="7" r="C188"/>
    </row>
    <row r="189">
      <c s="7" r="C189"/>
    </row>
    <row r="190">
      <c s="7" r="C190"/>
    </row>
    <row r="191">
      <c s="7" r="C191"/>
    </row>
    <row r="192">
      <c s="7" r="C192"/>
    </row>
    <row r="193">
      <c s="7" r="C193"/>
    </row>
    <row r="194">
      <c s="7" r="C194"/>
    </row>
    <row r="195">
      <c s="7" r="C195"/>
    </row>
    <row r="196">
      <c s="7" r="C196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7.71"/>
    <col min="2" customWidth="1" max="2" width="65.71"/>
  </cols>
  <sheetData>
    <row r="1">
      <c s="11" r="A1">
        <v>41764</v>
      </c>
      <c t="s" r="B1">
        <v>494</v>
      </c>
      <c s="18" r="C1">
        <v>5831.67</v>
      </c>
    </row>
    <row r="2">
      <c s="11" r="A2">
        <v>41764</v>
      </c>
      <c t="s" r="B2">
        <v>495</v>
      </c>
      <c s="18" r="C2">
        <v>4400</v>
      </c>
    </row>
    <row r="3">
      <c s="11" r="A3">
        <v>41764</v>
      </c>
      <c t="s" r="B3">
        <v>496</v>
      </c>
      <c s="18" r="C3">
        <v>4503</v>
      </c>
    </row>
    <row r="4">
      <c s="11" r="A4">
        <v>41723</v>
      </c>
      <c t="s" r="B4">
        <v>497</v>
      </c>
      <c s="18" r="C4">
        <v>10018.8</v>
      </c>
    </row>
    <row r="5">
      <c s="11" r="A5">
        <v>41723</v>
      </c>
      <c t="s" r="B5">
        <v>498</v>
      </c>
      <c s="18" r="C5">
        <v>79752.11</v>
      </c>
    </row>
    <row r="6">
      <c s="11" r="A6">
        <v>41723</v>
      </c>
      <c t="s" r="B6">
        <v>499</v>
      </c>
      <c s="18" r="C6">
        <v>6600</v>
      </c>
    </row>
    <row r="7">
      <c s="11" r="A7">
        <v>41718</v>
      </c>
      <c t="s" r="B7">
        <v>500</v>
      </c>
      <c s="18" r="C7">
        <v>4829.92</v>
      </c>
    </row>
    <row r="8">
      <c s="11" r="A8">
        <v>41718</v>
      </c>
      <c t="s" r="B8">
        <v>501</v>
      </c>
      <c s="18" r="C8">
        <v>4804.97</v>
      </c>
    </row>
    <row r="9">
      <c s="11" r="A9">
        <v>41718</v>
      </c>
      <c t="s" r="B9">
        <v>502</v>
      </c>
      <c s="18" r="C9">
        <v>3386.66</v>
      </c>
    </row>
    <row r="10">
      <c s="11" r="A10">
        <v>41718</v>
      </c>
      <c t="s" r="B10">
        <v>503</v>
      </c>
      <c s="18" r="C10">
        <v>2900</v>
      </c>
    </row>
    <row r="11">
      <c s="11" r="A11">
        <v>41710</v>
      </c>
      <c t="s" r="B11">
        <v>504</v>
      </c>
      <c s="18" r="C11">
        <v>7418.32</v>
      </c>
    </row>
    <row r="12">
      <c s="11" r="A12">
        <v>41710</v>
      </c>
      <c t="s" r="B12">
        <v>505</v>
      </c>
      <c s="18" r="C12">
        <v>6593.6</v>
      </c>
    </row>
    <row r="13">
      <c s="11" r="A13">
        <v>41710</v>
      </c>
      <c t="s" r="B13">
        <v>506</v>
      </c>
      <c s="18" r="C13">
        <v>8261</v>
      </c>
    </row>
    <row r="14">
      <c s="11" r="A14">
        <v>41710</v>
      </c>
      <c t="s" r="B14">
        <v>507</v>
      </c>
      <c s="18" r="C14">
        <v>3885.9</v>
      </c>
    </row>
    <row r="15">
      <c s="11" r="A15">
        <v>41710</v>
      </c>
      <c t="s" r="B15">
        <v>508</v>
      </c>
      <c s="18" r="C15">
        <v>18211.59</v>
      </c>
    </row>
    <row r="16">
      <c s="11" r="A16">
        <v>41710</v>
      </c>
      <c t="s" r="B16">
        <v>509</v>
      </c>
      <c s="18" r="C16">
        <v>12100</v>
      </c>
    </row>
    <row r="17">
      <c s="11" r="A17">
        <v>41697</v>
      </c>
      <c t="s" r="B17">
        <v>510</v>
      </c>
      <c s="18" r="C17">
        <v>4066.2</v>
      </c>
    </row>
    <row r="18">
      <c s="11" r="A18">
        <v>41697</v>
      </c>
      <c t="s" r="B18">
        <v>511</v>
      </c>
      <c s="18" r="C18">
        <v>4250</v>
      </c>
    </row>
    <row r="19">
      <c s="11" r="A19">
        <v>41697</v>
      </c>
      <c t="s" r="B19">
        <v>512</v>
      </c>
      <c s="18" r="C19">
        <v>3992.44</v>
      </c>
    </row>
    <row r="20">
      <c s="11" r="A20">
        <v>41697</v>
      </c>
      <c t="s" r="B20">
        <v>502</v>
      </c>
      <c s="18" r="C20">
        <v>3386.66</v>
      </c>
    </row>
    <row r="21">
      <c s="11" r="A21">
        <v>41697</v>
      </c>
      <c t="s" r="B21">
        <v>506</v>
      </c>
      <c s="18" r="C21">
        <v>8261</v>
      </c>
    </row>
    <row r="22">
      <c s="11" r="A22">
        <v>41697</v>
      </c>
      <c t="s" r="B22">
        <v>513</v>
      </c>
      <c s="18" r="C22">
        <v>3303.3</v>
      </c>
    </row>
    <row r="23">
      <c s="11" r="A23">
        <v>41697</v>
      </c>
      <c t="s" r="B23">
        <v>514</v>
      </c>
      <c s="18" r="C23">
        <v>4627.41</v>
      </c>
    </row>
    <row r="24">
      <c s="11" r="A24">
        <v>41697</v>
      </c>
      <c t="s" r="B24">
        <v>515</v>
      </c>
      <c s="18" r="C24">
        <v>4940.82</v>
      </c>
    </row>
    <row r="25">
      <c s="11" r="A25">
        <v>41697</v>
      </c>
      <c t="s" r="B25">
        <v>516</v>
      </c>
      <c s="18" r="C25">
        <v>53382</v>
      </c>
    </row>
    <row r="26">
      <c s="11" r="A26">
        <v>41697</v>
      </c>
      <c t="s" r="B26">
        <v>517</v>
      </c>
      <c s="18" r="C26">
        <v>18706</v>
      </c>
    </row>
    <row r="27">
      <c s="11" r="A27">
        <v>41697</v>
      </c>
      <c t="s" r="B27">
        <v>518</v>
      </c>
      <c s="18" r="C27">
        <v>4877.7</v>
      </c>
    </row>
    <row r="28">
      <c s="11" r="A28">
        <v>41697</v>
      </c>
      <c t="s" r="B28">
        <v>519</v>
      </c>
      <c s="18" r="C28">
        <v>9552.27</v>
      </c>
    </row>
    <row r="29">
      <c s="11" r="A29">
        <v>41697</v>
      </c>
      <c t="s" r="B29">
        <v>501</v>
      </c>
      <c s="18" r="C29">
        <v>4804.97</v>
      </c>
    </row>
    <row r="30">
      <c s="11" r="A30">
        <v>41697</v>
      </c>
      <c t="s" r="B30">
        <v>520</v>
      </c>
      <c s="18" r="C30">
        <v>79752.11</v>
      </c>
    </row>
    <row r="31">
      <c s="11" r="A31">
        <v>41689</v>
      </c>
      <c t="s" r="B31">
        <v>521</v>
      </c>
      <c s="18" r="C31">
        <v>3630</v>
      </c>
    </row>
    <row r="32">
      <c s="11" r="A32">
        <v>41689</v>
      </c>
      <c t="s" r="B32">
        <v>522</v>
      </c>
      <c s="18" r="C32">
        <v>7418.32</v>
      </c>
    </row>
    <row r="33">
      <c s="11" r="A33">
        <v>41689</v>
      </c>
      <c t="s" r="B33">
        <v>523</v>
      </c>
      <c s="18" r="C33">
        <v>4829.92</v>
      </c>
    </row>
    <row r="34">
      <c s="11" r="A34">
        <v>41689</v>
      </c>
      <c t="s" r="B34">
        <v>524</v>
      </c>
      <c s="18" r="C34">
        <v>4423.08</v>
      </c>
    </row>
    <row r="35">
      <c s="11" r="A35">
        <v>41689</v>
      </c>
      <c t="s" r="B35">
        <v>525</v>
      </c>
      <c s="18" r="C35">
        <v>8548.45</v>
      </c>
    </row>
    <row r="36">
      <c s="11" r="A36">
        <v>41689</v>
      </c>
      <c t="s" r="B36">
        <v>505</v>
      </c>
      <c s="18" r="C36">
        <v>6593.6</v>
      </c>
    </row>
    <row r="37">
      <c s="11" r="A37">
        <v>41675</v>
      </c>
      <c t="s" r="B37">
        <v>526</v>
      </c>
      <c s="18" r="C37">
        <v>12700</v>
      </c>
    </row>
    <row r="38">
      <c s="11" r="A38">
        <v>41675</v>
      </c>
      <c t="s" r="B38">
        <v>527</v>
      </c>
      <c s="18" r="C38">
        <v>6025.78</v>
      </c>
    </row>
    <row r="39">
      <c s="11" r="A39">
        <v>41675</v>
      </c>
      <c t="s" r="B39">
        <v>528</v>
      </c>
      <c s="18" r="C39">
        <v>79752.11</v>
      </c>
    </row>
    <row r="40">
      <c s="11" r="A40">
        <v>41675</v>
      </c>
      <c t="s" r="B40">
        <v>529</v>
      </c>
      <c s="18" r="C40">
        <v>5835</v>
      </c>
    </row>
    <row r="41">
      <c s="11" r="A41">
        <v>41675</v>
      </c>
      <c t="s" r="B41">
        <v>530</v>
      </c>
      <c s="18" r="C41">
        <v>4250</v>
      </c>
    </row>
    <row r="42">
      <c s="11" r="A42">
        <v>41675</v>
      </c>
      <c t="s" r="B42">
        <v>531</v>
      </c>
      <c s="18" r="C42">
        <v>5445</v>
      </c>
    </row>
    <row r="43">
      <c s="11" r="A43">
        <v>41675</v>
      </c>
      <c t="s" r="B43">
        <v>515</v>
      </c>
      <c s="18" r="C43">
        <v>4940.82</v>
      </c>
    </row>
    <row r="44">
      <c s="11" r="A44">
        <v>41675</v>
      </c>
      <c t="s" r="B44">
        <v>502</v>
      </c>
      <c s="18" r="C44">
        <v>3386.66</v>
      </c>
    </row>
    <row r="45">
      <c s="11" r="A45">
        <v>41675</v>
      </c>
      <c t="s" r="B45">
        <v>532</v>
      </c>
      <c s="18" r="C45">
        <v>5432.9</v>
      </c>
    </row>
    <row r="46">
      <c s="11" r="A46">
        <v>41669</v>
      </c>
      <c t="s" r="B46">
        <v>533</v>
      </c>
      <c s="18" r="C46">
        <v>1720.2</v>
      </c>
    </row>
    <row r="47">
      <c s="11" r="A47">
        <v>41669</v>
      </c>
      <c t="s" r="B47">
        <v>534</v>
      </c>
      <c s="18" r="C47">
        <v>1036.06</v>
      </c>
    </row>
    <row r="48">
      <c s="11" r="A48">
        <v>41669</v>
      </c>
      <c t="s" r="B48">
        <v>535</v>
      </c>
      <c s="18" r="C48"/>
    </row>
    <row r="49">
      <c s="11" r="A49">
        <v>41669</v>
      </c>
      <c t="s" r="B49">
        <v>536</v>
      </c>
      <c s="18" r="C49">
        <v>2420</v>
      </c>
    </row>
    <row r="50">
      <c s="11" r="A50">
        <v>41668</v>
      </c>
      <c t="s" r="B50">
        <v>537</v>
      </c>
      <c s="18" r="C50">
        <v>1815</v>
      </c>
    </row>
    <row r="51">
      <c s="11" r="A51">
        <v>41668</v>
      </c>
      <c t="s" r="B51">
        <v>538</v>
      </c>
      <c s="18" r="C51">
        <v>2541</v>
      </c>
    </row>
    <row r="52">
      <c s="11" r="A52">
        <v>41668</v>
      </c>
      <c t="s" r="B52">
        <v>539</v>
      </c>
      <c s="18" r="C52">
        <v>12000</v>
      </c>
    </row>
    <row r="53">
      <c s="11" r="A53">
        <v>41668</v>
      </c>
      <c t="s" r="B53">
        <v>540</v>
      </c>
      <c s="18" r="C53">
        <v>3090</v>
      </c>
    </row>
    <row r="54">
      <c s="11" r="A54">
        <v>41668</v>
      </c>
      <c t="s" r="B54">
        <v>541</v>
      </c>
      <c s="18" r="C54">
        <v>5445</v>
      </c>
    </row>
    <row r="55">
      <c s="11" r="A55">
        <v>41668</v>
      </c>
      <c t="s" r="B55">
        <v>542</v>
      </c>
      <c s="18" r="C55">
        <v>4000</v>
      </c>
    </row>
    <row r="56">
      <c s="11" r="A56">
        <v>41668</v>
      </c>
      <c t="s" r="B56">
        <v>543</v>
      </c>
      <c s="18" r="C56">
        <v>2300</v>
      </c>
    </row>
    <row r="57">
      <c s="11" r="A57">
        <v>41668</v>
      </c>
      <c t="s" r="B57">
        <v>544</v>
      </c>
      <c s="18" r="C57">
        <v>726</v>
      </c>
    </row>
    <row r="58">
      <c s="11" r="A58">
        <v>41668</v>
      </c>
      <c t="s" r="B58">
        <v>545</v>
      </c>
      <c s="18" r="C58">
        <v>2100</v>
      </c>
    </row>
    <row r="59">
      <c s="11" r="A59">
        <v>41668</v>
      </c>
      <c t="s" r="B59">
        <v>546</v>
      </c>
      <c s="18" r="C59">
        <v>2500</v>
      </c>
    </row>
    <row r="60">
      <c s="11" r="A60">
        <v>41668</v>
      </c>
      <c t="s" r="B60">
        <v>547</v>
      </c>
      <c s="18" r="C60">
        <v>5700</v>
      </c>
    </row>
    <row r="61">
      <c s="11" r="A61">
        <v>41668</v>
      </c>
      <c t="s" r="B61">
        <v>548</v>
      </c>
      <c s="18" r="C61">
        <v>3796.96</v>
      </c>
    </row>
    <row r="62">
      <c s="11" r="A62">
        <v>41668</v>
      </c>
      <c t="s" r="B62">
        <v>549</v>
      </c>
      <c s="18" r="C62">
        <v>3993</v>
      </c>
    </row>
    <row r="63">
      <c s="11" r="A63">
        <v>41668</v>
      </c>
      <c t="s" r="B63">
        <v>550</v>
      </c>
      <c s="18" r="C63">
        <v>8548.45</v>
      </c>
    </row>
    <row r="64">
      <c s="11" r="A64">
        <v>41668</v>
      </c>
      <c t="s" r="B64">
        <v>551</v>
      </c>
      <c s="18" r="C64">
        <v>9910.37</v>
      </c>
    </row>
    <row r="65">
      <c s="11" r="A65">
        <v>41668</v>
      </c>
      <c t="s" r="B65">
        <v>514</v>
      </c>
      <c s="18" r="C65">
        <v>4597.04</v>
      </c>
    </row>
    <row r="66">
      <c s="11" r="A66">
        <v>41668</v>
      </c>
      <c t="s" r="B66">
        <v>552</v>
      </c>
      <c s="18" r="C66">
        <v>19779.99</v>
      </c>
    </row>
    <row r="67">
      <c s="11" r="A67">
        <v>41668</v>
      </c>
      <c t="s" r="B67">
        <v>553</v>
      </c>
      <c s="18" r="C67">
        <v>5236</v>
      </c>
    </row>
    <row r="68">
      <c s="11" r="A68">
        <v>41668</v>
      </c>
      <c t="s" r="B68">
        <v>529</v>
      </c>
      <c s="18" r="C68">
        <v>12700</v>
      </c>
    </row>
    <row r="69">
      <c s="11" r="A69">
        <v>41668</v>
      </c>
      <c t="s" r="B69">
        <v>554</v>
      </c>
      <c s="18" r="C69">
        <v>5882</v>
      </c>
    </row>
    <row r="70">
      <c s="11" r="A70">
        <v>41667</v>
      </c>
      <c t="s" r="B70">
        <v>555</v>
      </c>
      <c s="18" r="C70">
        <v>12987.83</v>
      </c>
    </row>
    <row r="71">
      <c s="11" r="A71">
        <v>41661</v>
      </c>
      <c t="s" r="B71">
        <v>556</v>
      </c>
      <c s="18" r="C71">
        <v>2156.22</v>
      </c>
    </row>
    <row r="72">
      <c s="11" r="A72">
        <v>41661</v>
      </c>
      <c t="s" r="B72">
        <v>557</v>
      </c>
      <c s="18" r="C72">
        <v>239.58</v>
      </c>
    </row>
    <row r="73">
      <c s="11" r="A73">
        <v>41661</v>
      </c>
      <c t="s" r="B73">
        <v>558</v>
      </c>
      <c s="18" r="C73">
        <v>1297.34</v>
      </c>
    </row>
    <row r="74">
      <c s="11" r="A74">
        <v>41661</v>
      </c>
      <c t="s" r="B74">
        <v>559</v>
      </c>
      <c s="18" r="C74">
        <v>189.97</v>
      </c>
    </row>
    <row r="75">
      <c s="11" r="A75">
        <v>41660</v>
      </c>
      <c t="s" r="B75">
        <v>560</v>
      </c>
      <c s="18" r="C75">
        <v>5671.6</v>
      </c>
    </row>
    <row r="76">
      <c s="11" r="A76">
        <v>41660</v>
      </c>
      <c t="s" r="B76">
        <v>506</v>
      </c>
      <c s="18" r="C76">
        <v>8261</v>
      </c>
    </row>
    <row r="77">
      <c s="11" r="A77">
        <v>41660</v>
      </c>
      <c t="s" r="B77">
        <v>511</v>
      </c>
      <c s="18" r="C77">
        <v>4250</v>
      </c>
    </row>
    <row r="78">
      <c s="11" r="A78">
        <v>41660</v>
      </c>
      <c t="s" r="B78">
        <v>524</v>
      </c>
      <c s="18" r="C78">
        <v>4423.08</v>
      </c>
    </row>
    <row r="79">
      <c s="11" r="A79">
        <v>41660</v>
      </c>
      <c t="s" r="B79">
        <v>508</v>
      </c>
      <c s="18" r="C79">
        <v>18211.59</v>
      </c>
    </row>
    <row r="80">
      <c s="11" r="A80">
        <v>41660</v>
      </c>
      <c t="s" r="B80">
        <v>561</v>
      </c>
      <c s="18" r="C80">
        <v>4940.82</v>
      </c>
    </row>
    <row r="81">
      <c s="11" r="A81">
        <v>41656</v>
      </c>
      <c t="s" r="B81">
        <v>562</v>
      </c>
      <c s="18" r="C81">
        <v>1500</v>
      </c>
    </row>
    <row r="82">
      <c s="11" r="A82">
        <v>41656</v>
      </c>
      <c t="s" r="B82">
        <v>563</v>
      </c>
      <c s="18" r="C82">
        <v>1815</v>
      </c>
    </row>
    <row r="83">
      <c s="11" r="A83">
        <v>41656</v>
      </c>
      <c t="s" r="B83">
        <v>564</v>
      </c>
      <c s="18" r="C83">
        <v>2178</v>
      </c>
    </row>
    <row r="84">
      <c s="11" r="A84">
        <v>41656</v>
      </c>
      <c t="s" r="B84">
        <v>565</v>
      </c>
      <c s="18" r="C84">
        <v>490</v>
      </c>
    </row>
    <row r="85">
      <c s="11" r="A85">
        <v>41656</v>
      </c>
      <c t="s" r="B85">
        <v>566</v>
      </c>
      <c s="18" r="C85">
        <v>283.6</v>
      </c>
    </row>
    <row r="86">
      <c s="11" r="A86">
        <v>41656</v>
      </c>
      <c t="s" r="B86">
        <v>567</v>
      </c>
      <c s="18" r="C86">
        <v>1633.5</v>
      </c>
    </row>
    <row r="87">
      <c s="11" r="A87">
        <v>41656</v>
      </c>
      <c t="s" r="B87">
        <v>568</v>
      </c>
      <c s="18" r="C87">
        <v>780.76</v>
      </c>
    </row>
    <row r="88">
      <c s="11" r="A88">
        <v>41656</v>
      </c>
      <c t="s" r="B88">
        <v>569</v>
      </c>
      <c s="18" r="C88">
        <v>74.5</v>
      </c>
    </row>
    <row r="89">
      <c s="11" r="A89">
        <v>41656</v>
      </c>
      <c t="s" r="B89">
        <v>570</v>
      </c>
      <c s="18" r="C89">
        <v>21.45</v>
      </c>
    </row>
    <row r="90">
      <c s="11" r="A90">
        <v>41656</v>
      </c>
      <c t="s" r="B90">
        <v>571</v>
      </c>
      <c s="18" r="C90">
        <v>228.8</v>
      </c>
    </row>
    <row r="91">
      <c s="11" r="A91">
        <v>41656</v>
      </c>
      <c t="s" r="B91">
        <v>572</v>
      </c>
      <c s="18" r="C91">
        <v>151.25</v>
      </c>
    </row>
    <row r="92">
      <c s="11" r="A92">
        <v>41656</v>
      </c>
      <c t="s" r="B92">
        <v>573</v>
      </c>
      <c s="18" r="C92">
        <v>423.5</v>
      </c>
    </row>
    <row r="93">
      <c s="11" r="A93">
        <v>41647</v>
      </c>
      <c t="s" r="B93">
        <v>574</v>
      </c>
      <c s="18" r="C93">
        <v>29781.73</v>
      </c>
    </row>
    <row r="94">
      <c s="11" r="A94">
        <v>41647</v>
      </c>
      <c t="s" r="B94">
        <v>575</v>
      </c>
      <c s="18" r="C94">
        <v>21758</v>
      </c>
    </row>
    <row r="95">
      <c s="11" r="A95">
        <v>41639</v>
      </c>
      <c t="s" r="B95">
        <v>576</v>
      </c>
      <c s="18" r="C95">
        <v>4597.04</v>
      </c>
    </row>
    <row r="96">
      <c s="11" r="A96">
        <v>41639</v>
      </c>
      <c t="s" r="B96">
        <v>577</v>
      </c>
      <c s="18" r="C96">
        <v>3950</v>
      </c>
    </row>
    <row r="97">
      <c s="11" r="A97">
        <v>41639</v>
      </c>
      <c t="s" r="B97">
        <v>578</v>
      </c>
      <c s="18" r="C97">
        <v>3000</v>
      </c>
    </row>
    <row r="98">
      <c s="11" r="A98">
        <v>41639</v>
      </c>
      <c t="s" r="B98">
        <v>579</v>
      </c>
      <c s="18" r="C98">
        <v>140.48</v>
      </c>
    </row>
    <row r="99">
      <c s="11" r="A99">
        <v>41639</v>
      </c>
      <c t="s" r="B99">
        <v>580</v>
      </c>
      <c s="18" r="C99">
        <v>140.48</v>
      </c>
    </row>
    <row r="100">
      <c s="11" r="A100">
        <v>41639</v>
      </c>
      <c t="s" r="B100">
        <v>581</v>
      </c>
      <c s="18" r="C100">
        <v>140.48</v>
      </c>
    </row>
    <row r="101">
      <c s="11" r="A101">
        <v>41639</v>
      </c>
      <c t="s" r="B101">
        <v>582</v>
      </c>
      <c s="18" r="C101">
        <v>1472.61</v>
      </c>
    </row>
    <row r="102">
      <c s="11" r="A102">
        <v>41639</v>
      </c>
      <c t="s" r="B102">
        <v>583</v>
      </c>
      <c s="18" r="C102">
        <v>1974.14</v>
      </c>
    </row>
    <row r="103">
      <c s="11" r="A103">
        <v>41639</v>
      </c>
      <c t="s" r="B103">
        <v>584</v>
      </c>
      <c s="18" r="C103">
        <v>1500</v>
      </c>
    </row>
    <row r="104">
      <c s="11" r="A104">
        <v>41639</v>
      </c>
      <c t="s" r="B104">
        <v>585</v>
      </c>
      <c s="18" r="C104">
        <v>1000</v>
      </c>
    </row>
    <row r="105">
      <c s="11" r="A105">
        <v>41639</v>
      </c>
      <c t="s" r="B105">
        <v>586</v>
      </c>
      <c s="18" r="C105">
        <v>1500</v>
      </c>
    </row>
    <row r="106">
      <c s="11" r="A106">
        <v>41639</v>
      </c>
      <c t="s" r="B106">
        <v>587</v>
      </c>
      <c s="18" r="C106">
        <v>62.67</v>
      </c>
    </row>
    <row r="107">
      <c s="11" r="A107">
        <v>41639</v>
      </c>
      <c t="s" r="B107">
        <v>588</v>
      </c>
      <c s="18" r="C107">
        <v>125.02</v>
      </c>
    </row>
    <row r="108">
      <c s="11" r="A108">
        <v>41639</v>
      </c>
      <c t="s" r="B108">
        <v>589</v>
      </c>
      <c s="18" r="C108">
        <v>175.02</v>
      </c>
    </row>
    <row r="109">
      <c s="11" r="A109">
        <v>41639</v>
      </c>
      <c t="s" r="B109">
        <v>590</v>
      </c>
      <c s="18" r="C109">
        <v>26255.53</v>
      </c>
    </row>
    <row r="110">
      <c s="11" r="A110">
        <v>41639</v>
      </c>
      <c t="s" r="B110">
        <v>591</v>
      </c>
      <c s="18" r="C110">
        <v>318.8</v>
      </c>
    </row>
    <row r="111">
      <c s="11" r="A111">
        <v>41639</v>
      </c>
      <c t="s" r="B111">
        <v>592</v>
      </c>
      <c s="18" r="C111">
        <v>39.8</v>
      </c>
    </row>
    <row r="112">
      <c s="11" r="A112">
        <v>41639</v>
      </c>
      <c t="s" r="B112">
        <v>593</v>
      </c>
      <c s="18" r="C112">
        <v>2012.23</v>
      </c>
    </row>
    <row r="113">
      <c s="9" r="A113">
        <v>41639</v>
      </c>
      <c t="s" r="B113">
        <v>594</v>
      </c>
      <c s="18" r="C113">
        <v>2000</v>
      </c>
    </row>
    <row r="114">
      <c s="11" r="A114">
        <v>41639</v>
      </c>
      <c t="s" r="B114">
        <v>595</v>
      </c>
      <c s="18" r="C114">
        <v>3885.9</v>
      </c>
    </row>
    <row r="115">
      <c s="11" r="A115">
        <v>41639</v>
      </c>
      <c t="s" r="B115">
        <v>596</v>
      </c>
      <c s="18" r="C115">
        <v>4829.92</v>
      </c>
    </row>
    <row r="116">
      <c s="11" r="A116">
        <v>41639</v>
      </c>
      <c t="s" r="B116">
        <v>597</v>
      </c>
      <c s="18" r="C116">
        <v>4400</v>
      </c>
    </row>
    <row r="117">
      <c s="11" r="A117">
        <v>41639</v>
      </c>
      <c t="s" r="B117">
        <v>598</v>
      </c>
      <c s="18" r="C117">
        <v>1380.09</v>
      </c>
    </row>
    <row r="118">
      <c s="11" r="A118">
        <v>41639</v>
      </c>
      <c t="s" r="B118">
        <v>599</v>
      </c>
      <c s="18" r="C118">
        <v>750.16</v>
      </c>
    </row>
    <row r="119">
      <c s="11" r="A119">
        <v>41639</v>
      </c>
      <c t="s" r="B119">
        <v>600</v>
      </c>
      <c s="18" r="C119">
        <v>2224.84</v>
      </c>
    </row>
    <row r="120">
      <c s="11" r="A120">
        <v>41639</v>
      </c>
      <c t="s" r="B120">
        <v>601</v>
      </c>
      <c s="18" r="C120">
        <v>1500.17</v>
      </c>
    </row>
    <row r="121">
      <c s="11" r="A121">
        <v>41639</v>
      </c>
      <c t="s" r="B121">
        <v>602</v>
      </c>
      <c s="18" r="C121">
        <v>379.4</v>
      </c>
    </row>
    <row r="122">
      <c s="11" r="A122">
        <v>41639</v>
      </c>
      <c t="s" r="B122">
        <v>603</v>
      </c>
      <c s="18" r="C122">
        <v>3595.58</v>
      </c>
    </row>
    <row r="123">
      <c s="11" r="A123">
        <v>41639</v>
      </c>
      <c t="s" r="B123">
        <v>604</v>
      </c>
      <c s="18" r="C123">
        <v>232.9</v>
      </c>
    </row>
    <row r="124">
      <c s="11" r="A124">
        <v>41639</v>
      </c>
      <c t="s" r="B124">
        <v>605</v>
      </c>
      <c s="18" r="C124">
        <v>1986.03</v>
      </c>
    </row>
    <row r="125">
      <c s="11" r="A125">
        <v>41639</v>
      </c>
      <c t="s" r="B125">
        <v>606</v>
      </c>
      <c s="18" r="C125">
        <v>423.5</v>
      </c>
    </row>
    <row r="126">
      <c s="11" r="A126">
        <v>41639</v>
      </c>
      <c t="s" r="B126">
        <v>607</v>
      </c>
      <c s="18" r="C126">
        <v>6190.95</v>
      </c>
    </row>
    <row r="127">
      <c s="11" r="A127">
        <v>41639</v>
      </c>
      <c t="s" r="B127">
        <v>608</v>
      </c>
      <c s="18" r="C127">
        <v>11182.46</v>
      </c>
    </row>
    <row r="128">
      <c s="11" r="A128">
        <v>41639</v>
      </c>
      <c t="s" r="B128">
        <v>609</v>
      </c>
      <c s="18" r="C128">
        <v>54.9</v>
      </c>
    </row>
    <row r="129">
      <c s="11" r="A129">
        <v>41639</v>
      </c>
      <c t="s" r="B129">
        <v>610</v>
      </c>
      <c s="18" r="C129">
        <v>1187.74</v>
      </c>
    </row>
    <row r="130">
      <c s="11" r="A130">
        <v>41639</v>
      </c>
      <c t="s" r="B130">
        <v>611</v>
      </c>
      <c s="18" r="C130">
        <v>1995</v>
      </c>
    </row>
    <row r="131">
      <c s="11" r="A131">
        <v>41639</v>
      </c>
      <c t="s" r="B131">
        <v>612</v>
      </c>
      <c s="18" r="C131">
        <v>2663.17</v>
      </c>
    </row>
    <row r="132">
      <c s="11" r="A132">
        <v>41639</v>
      </c>
      <c t="s" r="B132">
        <v>613</v>
      </c>
      <c s="18" r="C132">
        <v>20062.99</v>
      </c>
    </row>
    <row r="133">
      <c s="11" r="A133">
        <v>41639</v>
      </c>
      <c t="s" r="B133">
        <v>614</v>
      </c>
      <c s="18" r="C133">
        <v>13540.3</v>
      </c>
    </row>
    <row r="134">
      <c s="11" r="A134">
        <v>41639</v>
      </c>
      <c t="s" r="B134">
        <v>615</v>
      </c>
      <c s="18" r="C134">
        <v>1113.75</v>
      </c>
    </row>
    <row r="135">
      <c s="11" r="A135">
        <v>41639</v>
      </c>
      <c t="s" r="B135">
        <v>616</v>
      </c>
      <c s="18" r="C135">
        <v>933.62</v>
      </c>
    </row>
    <row r="136">
      <c s="11" r="A136">
        <v>41639</v>
      </c>
      <c t="s" r="B136">
        <v>617</v>
      </c>
      <c s="18" r="C136">
        <v>1815</v>
      </c>
    </row>
    <row r="137">
      <c s="11" r="A137">
        <v>41639</v>
      </c>
      <c t="s" r="B137">
        <v>618</v>
      </c>
      <c s="18" r="C137">
        <v>600</v>
      </c>
    </row>
    <row r="138">
      <c s="11" r="A138">
        <v>41639</v>
      </c>
      <c t="s" r="B138">
        <v>619</v>
      </c>
      <c s="18" r="C138">
        <v>423.5</v>
      </c>
    </row>
    <row r="139">
      <c s="11" r="A139">
        <v>41639</v>
      </c>
      <c t="s" r="B139">
        <v>620</v>
      </c>
      <c s="18" r="C139">
        <v>2574.55</v>
      </c>
    </row>
    <row r="140">
      <c s="11" r="A140">
        <v>41639</v>
      </c>
      <c t="s" r="B140">
        <v>621</v>
      </c>
      <c s="18" r="C140">
        <v>700</v>
      </c>
    </row>
    <row r="141">
      <c s="11" r="A141">
        <v>41639</v>
      </c>
      <c t="s" r="B141">
        <v>622</v>
      </c>
      <c s="18" r="C141">
        <v>521</v>
      </c>
    </row>
    <row r="142">
      <c s="11" r="A142">
        <v>41639</v>
      </c>
      <c t="s" r="B142">
        <v>623</v>
      </c>
      <c s="18" r="C142">
        <v>144.4</v>
      </c>
    </row>
    <row r="143">
      <c s="11" r="A143">
        <v>41639</v>
      </c>
      <c t="s" r="B143">
        <v>624</v>
      </c>
      <c s="18" r="C143">
        <v>495</v>
      </c>
    </row>
    <row r="144">
      <c s="11" r="A144">
        <v>41639</v>
      </c>
      <c t="s" r="B144">
        <v>625</v>
      </c>
      <c s="18" r="C144">
        <v>1089</v>
      </c>
    </row>
    <row r="145">
      <c s="11" r="A145">
        <v>41638</v>
      </c>
      <c t="s" r="B145">
        <v>626</v>
      </c>
      <c s="18" r="C145">
        <v>634.05</v>
      </c>
    </row>
    <row r="146">
      <c s="11" r="A146">
        <v>41635</v>
      </c>
      <c t="s" r="B146">
        <v>501</v>
      </c>
      <c s="18" r="C146">
        <v>4804.97</v>
      </c>
    </row>
    <row r="147">
      <c s="11" r="A147">
        <v>41635</v>
      </c>
      <c t="s" r="B147">
        <v>627</v>
      </c>
      <c s="18" r="C147">
        <v>8548.65</v>
      </c>
    </row>
    <row r="148">
      <c s="11" r="A148">
        <v>41635</v>
      </c>
      <c t="s" r="B148">
        <v>628</v>
      </c>
      <c s="18" r="C148">
        <v>3885.9</v>
      </c>
    </row>
    <row r="149">
      <c s="11" r="A149">
        <v>41635</v>
      </c>
      <c t="s" r="B149">
        <v>629</v>
      </c>
      <c s="18" r="C149">
        <v>10890</v>
      </c>
    </row>
    <row r="150">
      <c s="11" r="A150">
        <v>41635</v>
      </c>
      <c t="s" r="B150">
        <v>630</v>
      </c>
      <c s="18" r="C150">
        <v>33880</v>
      </c>
    </row>
    <row r="151">
      <c s="11" r="A151">
        <v>41628</v>
      </c>
      <c t="s" r="B151">
        <v>631</v>
      </c>
      <c s="18" r="C151">
        <v>1724.25</v>
      </c>
    </row>
    <row r="152">
      <c s="11" r="A152">
        <v>41628</v>
      </c>
      <c t="s" r="B152">
        <v>632</v>
      </c>
      <c s="18" r="C152">
        <v>480</v>
      </c>
    </row>
    <row r="153">
      <c s="11" r="A153">
        <v>41627</v>
      </c>
      <c t="s" r="B153">
        <v>633</v>
      </c>
      <c s="18" r="C153">
        <v>143</v>
      </c>
    </row>
    <row r="154">
      <c s="11" r="A154">
        <v>41627</v>
      </c>
      <c t="s" r="B154">
        <v>634</v>
      </c>
      <c s="18" r="C154">
        <v>605</v>
      </c>
    </row>
    <row r="155">
      <c s="11" r="A155">
        <v>41626</v>
      </c>
      <c t="s" r="B155">
        <v>635</v>
      </c>
      <c s="18" r="C155">
        <v>4235</v>
      </c>
    </row>
    <row r="156">
      <c s="11" r="A156">
        <v>41626</v>
      </c>
      <c t="s" r="B156">
        <v>508</v>
      </c>
      <c s="18" r="C156">
        <v>18135.73</v>
      </c>
    </row>
    <row r="157">
      <c s="11" r="A157">
        <v>41626</v>
      </c>
      <c t="s" r="B157">
        <v>502</v>
      </c>
      <c s="18" r="C157">
        <v>3386.66</v>
      </c>
    </row>
    <row r="158">
      <c s="11" r="A158">
        <v>41626</v>
      </c>
      <c t="s" r="B158">
        <v>506</v>
      </c>
      <c s="18" r="C158">
        <v>8261</v>
      </c>
    </row>
    <row r="159">
      <c s="11" r="A159">
        <v>41626</v>
      </c>
      <c t="s" r="B159">
        <v>636</v>
      </c>
      <c s="18" r="C159">
        <v>4762</v>
      </c>
    </row>
    <row r="160">
      <c s="11" r="A160">
        <v>41626</v>
      </c>
      <c t="s" r="B160">
        <v>637</v>
      </c>
      <c s="18" r="C160">
        <v>5929</v>
      </c>
    </row>
    <row r="161">
      <c s="11" r="A161">
        <v>41626</v>
      </c>
      <c t="s" r="B161">
        <v>638</v>
      </c>
      <c s="18" r="C161">
        <v>5544.06</v>
      </c>
    </row>
    <row r="162">
      <c s="11" r="A162">
        <v>41626</v>
      </c>
      <c t="s" r="B162">
        <v>639</v>
      </c>
      <c s="18" r="C162">
        <v>27738.08</v>
      </c>
    </row>
    <row r="163">
      <c s="11" r="A163">
        <v>41626</v>
      </c>
      <c t="s" r="B163">
        <v>640</v>
      </c>
      <c s="18" r="C163">
        <v>79592.91</v>
      </c>
    </row>
    <row r="164">
      <c s="11" r="A164">
        <v>41626</v>
      </c>
      <c t="s" r="B164">
        <v>641</v>
      </c>
      <c s="18" r="C164">
        <v>9945</v>
      </c>
    </row>
    <row r="165">
      <c s="11" r="A165">
        <v>41626</v>
      </c>
      <c t="s" r="B165">
        <v>642</v>
      </c>
      <c s="18" r="C165">
        <v>8823.1</v>
      </c>
    </row>
    <row r="166">
      <c s="11" r="A166">
        <v>41625</v>
      </c>
      <c t="s" r="B166">
        <v>643</v>
      </c>
      <c s="18" r="C166">
        <v>1210</v>
      </c>
    </row>
    <row r="167">
      <c s="11" r="A167">
        <v>41625</v>
      </c>
      <c t="s" r="B167">
        <v>644</v>
      </c>
      <c s="18" r="C167">
        <v>484</v>
      </c>
    </row>
    <row r="168">
      <c s="11" r="A168">
        <v>41625</v>
      </c>
      <c t="s" r="B168">
        <v>645</v>
      </c>
      <c s="18" r="C168">
        <v>1706.1</v>
      </c>
    </row>
    <row r="169">
      <c s="11" r="A169">
        <v>41625</v>
      </c>
      <c t="s" r="B169">
        <v>646</v>
      </c>
      <c s="18" r="C169">
        <v>1188.07</v>
      </c>
    </row>
    <row r="170">
      <c s="11" r="A170">
        <v>41625</v>
      </c>
      <c t="s" r="B170">
        <v>647</v>
      </c>
      <c s="18" r="C170">
        <v>828.05</v>
      </c>
    </row>
    <row r="171">
      <c s="11" r="A171">
        <v>41625</v>
      </c>
      <c t="s" r="B171">
        <v>648</v>
      </c>
      <c s="18" r="C171">
        <v>124.09</v>
      </c>
    </row>
    <row r="172">
      <c s="11" r="A172">
        <v>41625</v>
      </c>
      <c t="s" r="B172">
        <v>649</v>
      </c>
      <c s="18" r="C172">
        <v>260.15</v>
      </c>
    </row>
    <row r="173">
      <c s="11" r="A173">
        <v>41625</v>
      </c>
      <c t="s" r="B173">
        <v>650</v>
      </c>
      <c s="18" r="C173">
        <v>382.89</v>
      </c>
    </row>
    <row r="174">
      <c s="11" r="A174">
        <v>41625</v>
      </c>
      <c t="s" r="B174">
        <v>651</v>
      </c>
      <c s="18" r="C174">
        <v>1300</v>
      </c>
    </row>
    <row r="175">
      <c s="11" r="A175">
        <v>41625</v>
      </c>
      <c t="s" r="B175">
        <v>652</v>
      </c>
      <c s="18" r="C175">
        <v>2770.9</v>
      </c>
    </row>
    <row r="176">
      <c s="11" r="A176">
        <v>41625</v>
      </c>
      <c t="s" r="B176">
        <v>653</v>
      </c>
      <c s="18" r="C176">
        <v>151.25</v>
      </c>
    </row>
    <row r="177">
      <c s="11" r="A177">
        <v>41625</v>
      </c>
      <c t="s" r="B177">
        <v>654</v>
      </c>
      <c s="18" r="C177">
        <v>77</v>
      </c>
    </row>
    <row r="178">
      <c s="11" r="A178">
        <v>41625</v>
      </c>
      <c t="s" r="B178">
        <v>655</v>
      </c>
      <c s="18" r="C178">
        <v>39.6</v>
      </c>
    </row>
    <row r="179">
      <c s="11" r="A179">
        <v>41625</v>
      </c>
      <c t="s" r="B179">
        <v>656</v>
      </c>
      <c s="18" r="C179">
        <v>98.45</v>
      </c>
    </row>
    <row r="180">
      <c s="11" r="A180">
        <v>41625</v>
      </c>
      <c t="s" r="B180">
        <v>657</v>
      </c>
      <c s="18" r="C180">
        <v>291.83</v>
      </c>
    </row>
    <row r="181">
      <c s="11" r="A181">
        <v>41625</v>
      </c>
      <c t="s" r="B181">
        <v>658</v>
      </c>
      <c s="18" r="C181">
        <v>40.59</v>
      </c>
    </row>
    <row r="182">
      <c s="11" r="A182">
        <v>41625</v>
      </c>
      <c t="s" r="B182">
        <v>659</v>
      </c>
      <c s="18" r="C182">
        <v>398.01</v>
      </c>
    </row>
    <row r="183">
      <c s="11" r="A183">
        <v>41625</v>
      </c>
      <c t="s" r="B183">
        <v>660</v>
      </c>
      <c s="18" r="C183">
        <v>847</v>
      </c>
    </row>
    <row r="184">
      <c s="11" r="A184">
        <v>41622</v>
      </c>
      <c t="s" r="B184">
        <v>661</v>
      </c>
      <c s="18" r="C184">
        <v>2511.66</v>
      </c>
    </row>
    <row r="185">
      <c s="11" r="A185">
        <v>41622</v>
      </c>
      <c t="s" r="B185">
        <v>662</v>
      </c>
      <c s="18" r="C185">
        <v>2350</v>
      </c>
    </row>
    <row r="186">
      <c s="11" r="A186">
        <v>41622</v>
      </c>
      <c t="s" r="B186">
        <v>663</v>
      </c>
      <c s="18" r="C186">
        <v>1470.15</v>
      </c>
    </row>
    <row r="187">
      <c s="11" r="A187">
        <v>41619</v>
      </c>
      <c t="s" r="B187">
        <v>524</v>
      </c>
      <c s="18" r="C187">
        <v>4323.083</v>
      </c>
    </row>
    <row r="188">
      <c s="11" r="A188">
        <v>41619</v>
      </c>
      <c t="s" r="B188">
        <v>664</v>
      </c>
      <c s="18" r="C188">
        <v>6593.6</v>
      </c>
    </row>
    <row r="189">
      <c s="11" r="A189">
        <v>41619</v>
      </c>
      <c t="s" r="B189">
        <v>665</v>
      </c>
      <c s="18" r="C189">
        <v>116.22</v>
      </c>
    </row>
    <row r="190">
      <c s="11" r="A190">
        <v>41619</v>
      </c>
      <c t="s" r="B190">
        <v>666</v>
      </c>
      <c s="18" r="C190">
        <v>888.1</v>
      </c>
    </row>
    <row r="191">
      <c s="11" r="A191">
        <v>41618</v>
      </c>
      <c t="s" r="B191">
        <v>667</v>
      </c>
      <c s="18" r="C191">
        <v>41.8</v>
      </c>
    </row>
    <row r="192">
      <c s="11" r="A192">
        <v>41618</v>
      </c>
      <c t="s" r="B192">
        <v>668</v>
      </c>
      <c s="18" r="C192">
        <v>200</v>
      </c>
    </row>
    <row r="193">
      <c s="11" r="A193">
        <v>41613</v>
      </c>
      <c t="s" r="B193">
        <v>669</v>
      </c>
      <c s="18" r="C193">
        <v>2578.75</v>
      </c>
    </row>
    <row r="194">
      <c s="11" r="A194">
        <v>41613</v>
      </c>
      <c t="s" r="B194">
        <v>670</v>
      </c>
      <c s="18" r="C194">
        <v>190.94</v>
      </c>
    </row>
    <row r="195">
      <c s="11" r="A195">
        <v>41612</v>
      </c>
      <c t="s" r="B195">
        <v>671</v>
      </c>
      <c s="18" r="C195">
        <v>3874.86</v>
      </c>
    </row>
    <row r="196">
      <c s="11" r="A196">
        <v>41612</v>
      </c>
      <c t="s" r="B196">
        <v>672</v>
      </c>
      <c s="18" r="C196">
        <v>5010.17</v>
      </c>
    </row>
    <row r="197">
      <c s="11" r="A197">
        <v>41612</v>
      </c>
      <c t="s" r="B197">
        <v>673</v>
      </c>
      <c s="18" r="C197">
        <v>14875</v>
      </c>
    </row>
    <row r="198">
      <c s="11" r="A198">
        <v>41612</v>
      </c>
      <c t="s" r="B198">
        <v>674</v>
      </c>
      <c s="18" r="C198">
        <v>4840</v>
      </c>
    </row>
    <row r="199">
      <c s="11" r="A199">
        <v>41612</v>
      </c>
      <c t="s" r="B199">
        <v>675</v>
      </c>
      <c s="18" r="C199">
        <v>6538.3</v>
      </c>
    </row>
    <row r="200">
      <c s="11" r="A200">
        <v>41612</v>
      </c>
      <c t="s" r="B200">
        <v>561</v>
      </c>
      <c s="18" r="C200">
        <v>4940.82</v>
      </c>
    </row>
    <row r="201">
      <c s="11" r="A201">
        <v>41612</v>
      </c>
      <c t="s" r="B201">
        <v>676</v>
      </c>
      <c s="18" r="C201">
        <v>21780</v>
      </c>
    </row>
    <row r="202">
      <c s="11" r="A202">
        <v>41612</v>
      </c>
      <c t="s" r="B202">
        <v>677</v>
      </c>
      <c s="18" r="C202">
        <v>2420</v>
      </c>
    </row>
    <row r="203">
      <c s="11" r="A203">
        <v>41605</v>
      </c>
      <c t="s" r="B203">
        <v>640</v>
      </c>
      <c s="18" r="C203">
        <v>79592.91</v>
      </c>
    </row>
    <row r="204">
      <c s="11" r="A204">
        <v>41605</v>
      </c>
      <c t="s" r="B204">
        <v>678</v>
      </c>
      <c s="18" r="C204">
        <v>50571.95</v>
      </c>
    </row>
    <row r="205">
      <c s="11" r="A205">
        <v>41604</v>
      </c>
      <c t="s" r="B205">
        <v>679</v>
      </c>
      <c s="18" r="C205">
        <v>1815</v>
      </c>
    </row>
    <row r="206">
      <c s="11" r="A206">
        <v>41604</v>
      </c>
      <c t="s" r="B206">
        <v>680</v>
      </c>
      <c s="18" r="C206">
        <v>578.82</v>
      </c>
    </row>
    <row r="207">
      <c s="11" r="A207">
        <v>41603</v>
      </c>
      <c t="s" r="B207">
        <v>681</v>
      </c>
      <c s="18" r="C207">
        <v>192.5</v>
      </c>
    </row>
    <row r="208">
      <c s="11" r="A208">
        <v>41603</v>
      </c>
      <c t="s" r="B208">
        <v>682</v>
      </c>
      <c s="18" r="C208">
        <v>1324.95</v>
      </c>
    </row>
    <row r="209">
      <c s="11" r="A209">
        <v>41603</v>
      </c>
      <c t="s" r="B209">
        <v>683</v>
      </c>
      <c s="18" r="C209">
        <v>239.58</v>
      </c>
    </row>
    <row r="210">
      <c s="11" r="A210">
        <v>41603</v>
      </c>
      <c t="s" r="B210">
        <v>684</v>
      </c>
      <c s="18" r="C210">
        <v>1047.62</v>
      </c>
    </row>
    <row r="211">
      <c s="11" r="A211">
        <v>41603</v>
      </c>
      <c t="s" r="B211">
        <v>685</v>
      </c>
      <c s="18" r="C211">
        <v>1200.01</v>
      </c>
    </row>
    <row r="212">
      <c s="11" r="A212">
        <v>41603</v>
      </c>
      <c t="s" r="B212">
        <v>686</v>
      </c>
      <c s="18" r="C212">
        <v>2178</v>
      </c>
    </row>
    <row r="213">
      <c s="11" r="A213">
        <v>41600</v>
      </c>
      <c t="s" r="B213">
        <v>687</v>
      </c>
      <c s="18" r="C213">
        <v>459.8</v>
      </c>
    </row>
    <row r="214">
      <c s="11" r="A214">
        <v>41593</v>
      </c>
      <c t="s" r="B214">
        <v>688</v>
      </c>
      <c s="18" r="C214">
        <v>418</v>
      </c>
    </row>
    <row r="215">
      <c s="11" r="A215">
        <v>41591</v>
      </c>
      <c t="s" r="B215">
        <v>689</v>
      </c>
      <c s="18" r="C215">
        <v>389.08</v>
      </c>
    </row>
    <row r="216">
      <c s="11" r="A216">
        <v>41591</v>
      </c>
      <c t="s" r="B216">
        <v>690</v>
      </c>
      <c s="18" r="C216">
        <v>997.77</v>
      </c>
    </row>
    <row r="217">
      <c s="11" r="A217">
        <v>41591</v>
      </c>
      <c t="s" r="B217">
        <v>691</v>
      </c>
      <c s="18" r="C217">
        <v>40</v>
      </c>
    </row>
    <row r="218">
      <c s="11" r="A218">
        <v>41591</v>
      </c>
      <c t="s" r="B218">
        <v>692</v>
      </c>
      <c s="18" r="C218">
        <v>124.48</v>
      </c>
    </row>
    <row r="219">
      <c s="11" r="A219">
        <v>41591</v>
      </c>
      <c t="s" r="B219">
        <v>693</v>
      </c>
      <c s="18" r="C219">
        <v>132</v>
      </c>
    </row>
    <row r="220">
      <c s="9" r="A220">
        <v>41584</v>
      </c>
      <c t="s" r="B220">
        <v>694</v>
      </c>
      <c s="18" r="C220">
        <v>4940.82</v>
      </c>
    </row>
    <row r="221">
      <c s="9" r="A221">
        <v>41584</v>
      </c>
      <c t="s" r="B221">
        <v>695</v>
      </c>
      <c s="18" r="C221">
        <v>18706</v>
      </c>
    </row>
    <row r="222">
      <c s="11" r="A222">
        <v>41578</v>
      </c>
      <c t="s" r="B222">
        <v>696</v>
      </c>
      <c s="18" r="C222">
        <v>836.83</v>
      </c>
    </row>
    <row r="223">
      <c s="11" r="A223">
        <v>41578</v>
      </c>
      <c t="s" r="B223">
        <v>697</v>
      </c>
      <c s="18" r="C223">
        <v>1507.44</v>
      </c>
    </row>
    <row r="224">
      <c s="11" r="A224">
        <v>41578</v>
      </c>
      <c t="s" r="B224">
        <v>698</v>
      </c>
      <c s="18" r="C224">
        <v>302.5</v>
      </c>
    </row>
    <row r="225">
      <c s="11" r="A225">
        <v>41578</v>
      </c>
      <c t="s" r="B225">
        <v>699</v>
      </c>
      <c s="18" r="C225">
        <v>157.3</v>
      </c>
    </row>
    <row r="226">
      <c s="9" r="A226">
        <v>41577</v>
      </c>
      <c t="s" r="B226">
        <v>700</v>
      </c>
      <c s="18" r="C226">
        <v>3509</v>
      </c>
    </row>
    <row r="227">
      <c s="9" r="A227">
        <v>41577</v>
      </c>
      <c t="s" r="B227">
        <v>701</v>
      </c>
      <c s="18" r="C227">
        <v>2904</v>
      </c>
    </row>
    <row r="228">
      <c s="9" r="A228">
        <v>41577</v>
      </c>
      <c t="s" r="B228">
        <v>702</v>
      </c>
      <c s="18" r="C228">
        <v>2873</v>
      </c>
    </row>
    <row r="229">
      <c s="9" r="A229">
        <v>41577</v>
      </c>
      <c t="s" r="B229">
        <v>703</v>
      </c>
      <c s="18" r="C229">
        <v>1000</v>
      </c>
    </row>
    <row r="230">
      <c s="9" r="A230">
        <v>41577</v>
      </c>
      <c t="s" r="B230">
        <v>704</v>
      </c>
      <c s="18" r="C230">
        <v>4000</v>
      </c>
    </row>
    <row r="231">
      <c s="11" r="A231">
        <v>41576</v>
      </c>
      <c t="s" r="B231">
        <v>705</v>
      </c>
      <c s="18" r="C231">
        <v>600.16</v>
      </c>
    </row>
    <row r="232">
      <c s="11" r="A232">
        <v>41576</v>
      </c>
      <c t="s" r="B232">
        <v>706</v>
      </c>
      <c s="18" r="C232">
        <v>568.8</v>
      </c>
    </row>
    <row r="233">
      <c s="11" r="A233">
        <v>41571</v>
      </c>
      <c t="s" r="B233">
        <v>707</v>
      </c>
      <c s="18" r="C233">
        <v>330</v>
      </c>
    </row>
    <row r="234">
      <c s="11" r="A234">
        <v>41571</v>
      </c>
      <c t="s" r="B234">
        <v>708</v>
      </c>
      <c s="18" r="C234">
        <v>886.08</v>
      </c>
    </row>
    <row r="235">
      <c s="11" r="A235">
        <v>41571</v>
      </c>
      <c t="s" r="B235">
        <v>709</v>
      </c>
      <c s="18" r="C235">
        <v>1235.76</v>
      </c>
    </row>
    <row r="236">
      <c s="11" r="A236">
        <v>41571</v>
      </c>
      <c t="s" r="B236">
        <v>710</v>
      </c>
      <c s="18" r="C236">
        <v>623.15</v>
      </c>
    </row>
    <row r="237">
      <c s="11" r="A237">
        <v>41571</v>
      </c>
      <c t="s" r="B237">
        <v>711</v>
      </c>
      <c s="18" r="C237">
        <v>907.5</v>
      </c>
    </row>
    <row r="238">
      <c s="11" r="A238">
        <v>41571</v>
      </c>
      <c t="s" r="B238">
        <v>712</v>
      </c>
      <c s="18" r="C238">
        <v>130.68</v>
      </c>
    </row>
    <row r="239">
      <c s="11" r="A239">
        <v>41571</v>
      </c>
      <c t="s" r="B239">
        <v>713</v>
      </c>
      <c s="18" r="C239">
        <v>1210</v>
      </c>
    </row>
    <row r="240">
      <c s="11" r="A240">
        <v>41571</v>
      </c>
      <c t="s" r="B240">
        <v>714</v>
      </c>
      <c s="18" r="C240">
        <v>288</v>
      </c>
    </row>
    <row r="241">
      <c s="11" r="A241">
        <v>41571</v>
      </c>
      <c t="s" r="B241">
        <v>715</v>
      </c>
      <c s="18" r="C241">
        <v>354.25</v>
      </c>
    </row>
    <row r="242">
      <c s="9" r="A242">
        <v>41570</v>
      </c>
      <c t="s" r="B242">
        <v>502</v>
      </c>
      <c s="18" r="C242">
        <v>3386.66</v>
      </c>
    </row>
    <row r="243">
      <c s="9" r="A243">
        <v>41570</v>
      </c>
      <c t="s" r="B243">
        <v>506</v>
      </c>
      <c s="18" r="C243">
        <v>8261</v>
      </c>
    </row>
    <row r="244">
      <c s="9" r="A244">
        <v>41570</v>
      </c>
      <c t="s" r="B244">
        <v>716</v>
      </c>
      <c s="18" r="C244">
        <v>4804.97</v>
      </c>
    </row>
    <row r="245">
      <c s="9" r="A245">
        <v>41570</v>
      </c>
      <c t="s" r="B245">
        <v>717</v>
      </c>
      <c s="18" r="C245">
        <v>30000</v>
      </c>
    </row>
    <row r="246">
      <c s="9" r="A246">
        <v>41570</v>
      </c>
      <c t="s" r="B246">
        <v>636</v>
      </c>
      <c s="18" r="C246">
        <v>4762</v>
      </c>
    </row>
    <row r="247">
      <c s="11" r="A247">
        <v>41568</v>
      </c>
      <c t="s" r="B247">
        <v>718</v>
      </c>
      <c s="18" r="C247">
        <v>47</v>
      </c>
    </row>
    <row r="248">
      <c s="11" r="A248">
        <v>41568</v>
      </c>
      <c t="s" r="B248">
        <v>719</v>
      </c>
      <c s="18" r="C248">
        <v>1441.12</v>
      </c>
    </row>
    <row r="249">
      <c s="11" r="A249">
        <v>41568</v>
      </c>
      <c t="s" r="B249">
        <v>720</v>
      </c>
      <c s="18" r="C249">
        <v>518.37</v>
      </c>
    </row>
    <row r="250">
      <c s="11" r="A250">
        <v>41568</v>
      </c>
      <c t="s" r="B250">
        <v>721</v>
      </c>
      <c s="18" r="C250">
        <v>516.8</v>
      </c>
    </row>
    <row r="251">
      <c s="11" r="A251">
        <v>41568</v>
      </c>
      <c t="s" r="B251">
        <v>722</v>
      </c>
      <c s="18" r="C251">
        <v>918.02</v>
      </c>
    </row>
    <row r="252">
      <c s="11" r="A252">
        <v>41568</v>
      </c>
      <c t="s" r="B252">
        <v>723</v>
      </c>
      <c s="18" r="C252">
        <v>435.6</v>
      </c>
    </row>
    <row r="253">
      <c s="11" r="A253">
        <v>41568</v>
      </c>
      <c t="s" r="B253">
        <v>724</v>
      </c>
      <c s="18" r="C253">
        <v>518.37</v>
      </c>
    </row>
    <row r="254">
      <c s="11" r="A254">
        <v>41568</v>
      </c>
      <c t="s" r="B254">
        <v>725</v>
      </c>
      <c s="18" r="C254">
        <v>516.8</v>
      </c>
    </row>
    <row r="255">
      <c s="11" r="A255">
        <v>41564</v>
      </c>
      <c t="s" r="B255">
        <v>726</v>
      </c>
      <c s="18" r="C255">
        <v>7133.28</v>
      </c>
    </row>
    <row r="256">
      <c s="9" r="A256">
        <v>41563</v>
      </c>
      <c t="s" r="B256">
        <v>727</v>
      </c>
      <c s="18" r="C256">
        <v>2588.3</v>
      </c>
    </row>
    <row r="257">
      <c s="11" r="A257">
        <v>41561</v>
      </c>
      <c t="s" r="B257">
        <v>728</v>
      </c>
      <c s="18" r="C257">
        <v>2402.4</v>
      </c>
    </row>
    <row r="258">
      <c s="11" r="A258">
        <v>41561</v>
      </c>
      <c t="s" r="B258">
        <v>729</v>
      </c>
      <c s="18" r="C258">
        <v>952.88</v>
      </c>
    </row>
    <row r="259">
      <c s="11" r="A259">
        <v>41561</v>
      </c>
      <c t="s" r="B259">
        <v>730</v>
      </c>
      <c s="18" r="C259">
        <v>804.65</v>
      </c>
    </row>
    <row r="260">
      <c s="11" r="A260">
        <v>41558</v>
      </c>
      <c t="s" r="B260">
        <v>731</v>
      </c>
      <c s="18" r="C260">
        <v>400</v>
      </c>
    </row>
    <row r="261">
      <c s="11" r="A261">
        <v>41558</v>
      </c>
      <c t="s" r="B261">
        <v>732</v>
      </c>
      <c s="18" r="C261">
        <v>213.07</v>
      </c>
    </row>
    <row r="262">
      <c s="9" r="A262">
        <v>41557</v>
      </c>
      <c t="s" r="B262">
        <v>733</v>
      </c>
      <c s="18" r="C262">
        <v>6000</v>
      </c>
    </row>
    <row r="263">
      <c s="9" r="A263">
        <v>41557</v>
      </c>
      <c t="s" r="B263">
        <v>508</v>
      </c>
      <c s="18" r="C263">
        <v>18135.73</v>
      </c>
    </row>
    <row r="264">
      <c s="11" r="A264">
        <v>41555</v>
      </c>
      <c t="s" r="B264">
        <v>734</v>
      </c>
      <c s="18" r="C264">
        <v>314.7</v>
      </c>
    </row>
    <row r="265">
      <c s="11" r="A265">
        <v>41555</v>
      </c>
      <c t="s" r="B265">
        <v>735</v>
      </c>
      <c s="18" r="C265">
        <v>436.26</v>
      </c>
    </row>
    <row r="266">
      <c s="11" r="A266">
        <v>41555</v>
      </c>
      <c t="s" r="B266">
        <v>736</v>
      </c>
      <c s="18" r="C266">
        <v>268.62</v>
      </c>
    </row>
    <row r="267">
      <c s="11" r="A267">
        <v>41555</v>
      </c>
      <c t="s" r="B267">
        <v>737</v>
      </c>
      <c s="18" r="C267">
        <v>2541</v>
      </c>
    </row>
    <row r="268">
      <c s="9" r="A268">
        <v>41547</v>
      </c>
      <c t="s" r="B268">
        <v>738</v>
      </c>
      <c s="18" r="C268">
        <v>79138.47</v>
      </c>
    </row>
    <row r="269">
      <c s="9" r="A269">
        <v>41547</v>
      </c>
      <c t="s" r="B269">
        <v>502</v>
      </c>
      <c s="18" r="C269">
        <v>3386.66</v>
      </c>
    </row>
    <row r="270">
      <c s="9" r="A270">
        <v>41547</v>
      </c>
      <c t="s" r="B270">
        <v>506</v>
      </c>
      <c s="18" r="C270">
        <v>8261</v>
      </c>
    </row>
    <row r="271">
      <c s="9" r="A271">
        <v>41547</v>
      </c>
      <c t="s" r="B271">
        <v>739</v>
      </c>
      <c s="18" r="C271">
        <v>3112</v>
      </c>
    </row>
    <row r="272">
      <c s="9" r="A272">
        <v>41547</v>
      </c>
      <c t="s" r="B272">
        <v>740</v>
      </c>
      <c s="18" r="C272">
        <v>4683.73</v>
      </c>
    </row>
    <row r="273">
      <c s="9" r="A273">
        <v>41547</v>
      </c>
      <c t="s" r="B273">
        <v>741</v>
      </c>
      <c s="18" r="C273">
        <v>4940.82</v>
      </c>
    </row>
    <row r="274">
      <c s="9" r="A274">
        <v>41547</v>
      </c>
      <c t="s" r="B274">
        <v>511</v>
      </c>
      <c s="18" r="C274">
        <v>4250</v>
      </c>
    </row>
    <row r="275">
      <c s="9" r="A275">
        <v>41547</v>
      </c>
      <c t="s" r="B275">
        <v>524</v>
      </c>
      <c s="18" r="C275">
        <v>4323.083</v>
      </c>
    </row>
    <row r="276">
      <c s="11" r="A276">
        <v>41547</v>
      </c>
      <c t="s" r="B276">
        <v>742</v>
      </c>
      <c s="18" r="C276">
        <v>88</v>
      </c>
    </row>
    <row r="277">
      <c s="11" r="A277">
        <v>41547</v>
      </c>
      <c t="s" r="B277">
        <v>743</v>
      </c>
      <c s="18" r="C277">
        <v>165</v>
      </c>
    </row>
    <row r="278">
      <c s="11" r="A278">
        <v>41547</v>
      </c>
      <c t="s" r="B278">
        <v>744</v>
      </c>
      <c s="18" r="C278">
        <v>132</v>
      </c>
    </row>
    <row r="279">
      <c s="11" r="A279">
        <v>41547</v>
      </c>
      <c t="s" r="B279">
        <v>745</v>
      </c>
      <c s="18" r="C279">
        <v>258.5</v>
      </c>
    </row>
    <row r="280">
      <c s="11" r="A280">
        <v>41547</v>
      </c>
      <c t="s" r="B280">
        <v>746</v>
      </c>
      <c s="18" r="C280">
        <v>1009.8</v>
      </c>
    </row>
    <row r="281">
      <c s="11" r="A281">
        <v>41543</v>
      </c>
      <c t="s" r="B281">
        <v>747</v>
      </c>
      <c s="18" r="C281">
        <v>900</v>
      </c>
    </row>
    <row r="282">
      <c s="11" r="A282">
        <v>41543</v>
      </c>
      <c t="s" r="B282">
        <v>748</v>
      </c>
      <c s="18" r="C282">
        <v>120.52</v>
      </c>
    </row>
    <row r="283">
      <c s="11" r="A283">
        <v>41543</v>
      </c>
      <c t="s" r="B283">
        <v>749</v>
      </c>
      <c s="18" r="C283">
        <v>269.65</v>
      </c>
    </row>
    <row r="284">
      <c s="11" r="A284">
        <v>41543</v>
      </c>
      <c t="s" r="B284">
        <v>750</v>
      </c>
      <c s="18" r="C284">
        <v>115.5</v>
      </c>
    </row>
    <row r="285">
      <c s="11" r="A285">
        <v>41543</v>
      </c>
      <c t="s" r="B285">
        <v>751</v>
      </c>
      <c s="18" r="C285">
        <v>88.3</v>
      </c>
    </row>
    <row r="286">
      <c s="9" r="A286">
        <v>41542</v>
      </c>
      <c t="s" r="B286">
        <v>752</v>
      </c>
      <c s="18" r="C286">
        <v>5600</v>
      </c>
    </row>
    <row r="287">
      <c s="9" r="A287">
        <v>41542</v>
      </c>
      <c t="s" r="B287">
        <v>753</v>
      </c>
      <c s="18" r="C287">
        <v>3000</v>
      </c>
    </row>
    <row r="288">
      <c s="9" r="A288">
        <v>41542</v>
      </c>
      <c t="s" r="B288">
        <v>754</v>
      </c>
      <c s="18" r="C288">
        <v>1815</v>
      </c>
    </row>
    <row r="289">
      <c s="9" r="A289">
        <v>41542</v>
      </c>
      <c t="s" r="B289">
        <v>755</v>
      </c>
      <c s="18" r="C289">
        <v>1500</v>
      </c>
    </row>
    <row r="290">
      <c s="9" r="A290">
        <v>41542</v>
      </c>
      <c t="s" r="B290">
        <v>756</v>
      </c>
      <c s="18" r="C290">
        <v>3500</v>
      </c>
    </row>
    <row r="291">
      <c s="9" r="A291">
        <v>41542</v>
      </c>
      <c t="s" r="B291">
        <v>514</v>
      </c>
      <c s="18" r="C291">
        <v>4840</v>
      </c>
    </row>
    <row r="292">
      <c s="9" r="A292">
        <v>41542</v>
      </c>
      <c t="s" r="B292">
        <v>757</v>
      </c>
      <c s="18" r="C292">
        <v>8437</v>
      </c>
    </row>
    <row r="293">
      <c s="11" r="A293">
        <v>41542</v>
      </c>
      <c t="s" r="B293">
        <v>758</v>
      </c>
      <c s="18" r="C293">
        <v>171.19</v>
      </c>
    </row>
    <row r="294">
      <c s="11" r="A294">
        <v>41542</v>
      </c>
      <c t="s" r="B294">
        <v>759</v>
      </c>
      <c s="18" r="C294">
        <v>38.29</v>
      </c>
    </row>
    <row r="295">
      <c s="11" r="A295">
        <v>41542</v>
      </c>
      <c t="s" r="B295">
        <v>760</v>
      </c>
      <c s="18" r="C295">
        <v>498.8</v>
      </c>
    </row>
    <row r="296">
      <c s="11" r="A296">
        <v>41542</v>
      </c>
      <c t="s" r="B296">
        <v>761</v>
      </c>
      <c s="18" r="C296">
        <v>577</v>
      </c>
    </row>
    <row r="297">
      <c s="11" r="A297">
        <v>41542</v>
      </c>
      <c t="s" r="B297">
        <v>762</v>
      </c>
      <c s="18" r="C297">
        <v>577</v>
      </c>
    </row>
    <row r="298">
      <c s="11" r="A298">
        <v>41536</v>
      </c>
      <c t="s" r="B298">
        <v>763</v>
      </c>
      <c s="18" r="C298">
        <v>499.73</v>
      </c>
    </row>
    <row r="299">
      <c s="11" r="A299">
        <v>41536</v>
      </c>
      <c t="s" r="B299">
        <v>764</v>
      </c>
      <c s="18" r="C299">
        <v>891</v>
      </c>
    </row>
    <row r="300">
      <c s="11" r="A300">
        <v>41536</v>
      </c>
      <c t="s" r="B300">
        <v>765</v>
      </c>
      <c s="18" r="C300">
        <v>380.6</v>
      </c>
    </row>
    <row r="301">
      <c s="11" r="A301">
        <v>41536</v>
      </c>
      <c t="s" r="B301">
        <v>766</v>
      </c>
      <c s="18" r="C301">
        <v>796.4</v>
      </c>
    </row>
    <row r="302">
      <c s="11" r="A302">
        <v>41536</v>
      </c>
      <c t="s" r="B302">
        <v>767</v>
      </c>
      <c s="18" r="C302">
        <v>924</v>
      </c>
    </row>
    <row r="303">
      <c s="11" r="A303">
        <v>41536</v>
      </c>
      <c t="s" r="B303">
        <v>768</v>
      </c>
      <c s="18" r="C303">
        <v>1056</v>
      </c>
    </row>
    <row r="304">
      <c s="11" r="A304">
        <v>41536</v>
      </c>
      <c t="s" r="B304">
        <v>769</v>
      </c>
      <c s="18" r="C304">
        <v>88</v>
      </c>
    </row>
    <row r="305">
      <c s="11" r="A305">
        <v>41536</v>
      </c>
      <c t="s" r="B305">
        <v>770</v>
      </c>
      <c s="18" r="C305">
        <v>19.8</v>
      </c>
    </row>
    <row r="306">
      <c s="11" r="A306">
        <v>41536</v>
      </c>
      <c t="s" r="B306">
        <v>771</v>
      </c>
      <c s="18" r="C306">
        <v>82.5</v>
      </c>
    </row>
    <row r="307">
      <c s="11" r="A307">
        <v>41536</v>
      </c>
      <c t="s" r="B307">
        <v>772</v>
      </c>
      <c s="18" r="C307">
        <v>137.5</v>
      </c>
    </row>
    <row r="308">
      <c s="11" r="A308">
        <v>41536</v>
      </c>
      <c t="s" r="B308">
        <v>773</v>
      </c>
      <c s="18" r="C308">
        <v>16.06</v>
      </c>
    </row>
    <row r="309">
      <c s="11" r="A309">
        <v>41536</v>
      </c>
      <c t="s" r="B309">
        <v>774</v>
      </c>
      <c s="18" r="C309">
        <v>77</v>
      </c>
    </row>
    <row r="310">
      <c s="11" r="A310">
        <v>41536</v>
      </c>
      <c t="s" r="B310">
        <v>775</v>
      </c>
      <c s="18" r="C310">
        <v>114.4</v>
      </c>
    </row>
    <row r="311">
      <c s="11" r="A311">
        <v>41535</v>
      </c>
      <c t="s" r="B311">
        <v>776</v>
      </c>
      <c s="18" r="C311">
        <v>28100.07</v>
      </c>
    </row>
    <row r="312">
      <c s="9" r="A312">
        <v>41535</v>
      </c>
      <c t="s" r="B312">
        <v>777</v>
      </c>
      <c s="18" r="C312">
        <v>3192</v>
      </c>
    </row>
    <row r="313">
      <c s="9" r="A313">
        <v>41535</v>
      </c>
      <c t="s" r="B313">
        <v>778</v>
      </c>
      <c s="18" r="C313">
        <v>24733.72</v>
      </c>
    </row>
    <row r="314">
      <c s="9" r="A314">
        <v>41535</v>
      </c>
      <c t="s" r="B314">
        <v>779</v>
      </c>
      <c s="18" r="C314">
        <v>5471.14</v>
      </c>
    </row>
    <row r="315">
      <c s="9" r="A315">
        <v>41535</v>
      </c>
      <c t="s" r="B315">
        <v>780</v>
      </c>
      <c s="18" r="C315">
        <v>4940.82</v>
      </c>
    </row>
    <row r="316">
      <c s="9" r="A316">
        <v>41535</v>
      </c>
      <c t="s" r="B316">
        <v>781</v>
      </c>
      <c s="18" r="C316">
        <v>10725</v>
      </c>
    </row>
    <row r="317">
      <c s="9" r="A317">
        <v>41535</v>
      </c>
      <c t="s" r="B317">
        <v>782</v>
      </c>
      <c s="18" r="C317">
        <v>3411.98</v>
      </c>
    </row>
    <row r="318">
      <c s="9" r="A318">
        <v>41535</v>
      </c>
      <c t="s" r="B318">
        <v>783</v>
      </c>
      <c s="18" r="C318">
        <v>18706</v>
      </c>
    </row>
    <row r="319">
      <c s="9" r="A319">
        <v>41535</v>
      </c>
      <c t="s" r="B319">
        <v>627</v>
      </c>
      <c s="18" r="C319">
        <v>8548.65</v>
      </c>
    </row>
    <row r="320">
      <c s="9" r="A320">
        <v>41535</v>
      </c>
      <c t="s" r="B320">
        <v>784</v>
      </c>
      <c s="18" r="C320">
        <v>12357.83</v>
      </c>
    </row>
    <row r="321">
      <c s="11" r="A321">
        <v>41534</v>
      </c>
      <c t="s" r="B321">
        <v>785</v>
      </c>
      <c s="18" r="C321">
        <v>317</v>
      </c>
    </row>
    <row r="322">
      <c s="11" r="A322">
        <v>41534</v>
      </c>
      <c t="s" r="B322">
        <v>786</v>
      </c>
      <c s="18" r="C322">
        <v>1180.96</v>
      </c>
    </row>
    <row r="323">
      <c s="11" r="A323">
        <v>41534</v>
      </c>
      <c t="s" r="B323">
        <v>787</v>
      </c>
      <c s="18" r="C323">
        <v>2400</v>
      </c>
    </row>
    <row r="324">
      <c s="11" r="A324">
        <v>41534</v>
      </c>
      <c t="s" r="B324">
        <v>788</v>
      </c>
      <c s="18" r="C324">
        <v>2000</v>
      </c>
    </row>
    <row r="325">
      <c s="11" r="A325">
        <v>41533</v>
      </c>
      <c t="s" r="B325">
        <v>789</v>
      </c>
      <c s="18" r="C325">
        <v>423.5</v>
      </c>
    </row>
    <row r="326">
      <c s="11" r="A326">
        <v>41533</v>
      </c>
      <c t="s" r="B326">
        <v>790</v>
      </c>
      <c s="18" r="C326">
        <v>519.97</v>
      </c>
    </row>
    <row r="327">
      <c s="11" r="A327">
        <v>41533</v>
      </c>
      <c t="s" r="B327">
        <v>791</v>
      </c>
      <c s="18" r="C327">
        <v>165.21</v>
      </c>
    </row>
    <row r="328">
      <c s="11" r="A328">
        <v>41530</v>
      </c>
      <c t="s" r="B328">
        <v>792</v>
      </c>
      <c s="18" r="C328">
        <v>1915.83</v>
      </c>
    </row>
    <row r="329">
      <c s="11" r="A329">
        <v>41530</v>
      </c>
      <c t="s" r="B329">
        <v>793</v>
      </c>
      <c s="18" r="C329">
        <v>374.43</v>
      </c>
    </row>
    <row r="330">
      <c s="11" r="A330">
        <v>41530</v>
      </c>
      <c t="s" r="B330">
        <v>794</v>
      </c>
      <c s="18" r="C330">
        <v>2749.31</v>
      </c>
    </row>
    <row r="331">
      <c s="11" r="A331">
        <v>41529</v>
      </c>
      <c t="s" r="B331">
        <v>795</v>
      </c>
      <c s="18" r="C331">
        <v>1633.5</v>
      </c>
    </row>
    <row r="332">
      <c s="11" r="A332">
        <v>41523</v>
      </c>
      <c t="s" r="B332">
        <v>796</v>
      </c>
      <c s="18" r="C332">
        <v>803</v>
      </c>
    </row>
    <row r="333">
      <c s="11" r="A333">
        <v>41523</v>
      </c>
      <c t="s" r="B333">
        <v>797</v>
      </c>
      <c s="18" r="C333">
        <v>1013.71</v>
      </c>
    </row>
    <row r="334">
      <c s="11" r="A334">
        <v>41523</v>
      </c>
      <c t="s" r="B334">
        <v>798</v>
      </c>
      <c s="18" r="C334">
        <v>1550</v>
      </c>
    </row>
    <row r="335">
      <c s="11" r="A335">
        <v>41523</v>
      </c>
      <c t="s" r="B335">
        <v>799</v>
      </c>
      <c s="18" r="C335">
        <v>535</v>
      </c>
    </row>
    <row r="336">
      <c s="11" r="A336">
        <v>41523</v>
      </c>
      <c t="s" r="B336">
        <v>800</v>
      </c>
      <c s="18" r="C336">
        <v>1013.71</v>
      </c>
    </row>
    <row r="337">
      <c s="11" r="A337">
        <v>41523</v>
      </c>
      <c t="s" r="B337">
        <v>801</v>
      </c>
      <c s="18" r="C337">
        <v>1500</v>
      </c>
    </row>
    <row r="338">
      <c s="11" r="A338">
        <v>41523</v>
      </c>
      <c t="s" r="B338">
        <v>802</v>
      </c>
      <c s="18" r="C338">
        <v>173.9</v>
      </c>
    </row>
    <row r="339">
      <c s="11" r="A339">
        <v>41523</v>
      </c>
      <c t="s" r="B339">
        <v>803</v>
      </c>
      <c s="18" r="C339">
        <v>245.33</v>
      </c>
    </row>
    <row r="340">
      <c s="11" r="A340">
        <v>41523</v>
      </c>
      <c t="s" r="B340">
        <v>804</v>
      </c>
      <c s="18" r="C340">
        <v>1355.2</v>
      </c>
    </row>
    <row r="341">
      <c s="11" r="A341">
        <v>41522</v>
      </c>
      <c t="s" r="B341">
        <v>805</v>
      </c>
      <c s="18" r="C341">
        <v>63.29</v>
      </c>
    </row>
    <row r="342">
      <c s="9" r="A342">
        <v>41521</v>
      </c>
      <c t="s" r="B342">
        <v>806</v>
      </c>
      <c s="18" r="C342">
        <v>4827.9</v>
      </c>
    </row>
    <row r="343">
      <c s="9" r="A343">
        <v>41521</v>
      </c>
      <c t="s" r="B343">
        <v>807</v>
      </c>
      <c s="18" r="C343">
        <v>3984.97</v>
      </c>
    </row>
    <row r="344">
      <c s="9" r="A344">
        <v>41521</v>
      </c>
      <c t="s" r="B344">
        <v>502</v>
      </c>
      <c s="18" r="C344">
        <v>5648.28</v>
      </c>
    </row>
    <row r="345">
      <c s="9" r="A345">
        <v>41521</v>
      </c>
      <c t="s" r="B345">
        <v>506</v>
      </c>
      <c s="18" r="C345">
        <v>8261</v>
      </c>
    </row>
    <row r="346">
      <c s="9" r="A346">
        <v>41521</v>
      </c>
      <c t="s" r="B346">
        <v>511</v>
      </c>
      <c s="18" r="C346">
        <v>4250</v>
      </c>
    </row>
    <row r="347">
      <c s="9" r="A347">
        <v>41521</v>
      </c>
      <c t="s" r="B347">
        <v>636</v>
      </c>
      <c s="18" r="C347">
        <v>4762</v>
      </c>
    </row>
    <row r="348">
      <c s="9" r="A348">
        <v>41521</v>
      </c>
      <c t="s" r="B348">
        <v>808</v>
      </c>
      <c s="18" r="C348">
        <v>3225.66</v>
      </c>
    </row>
    <row r="349">
      <c s="9" r="A349">
        <v>41521</v>
      </c>
      <c t="s" r="B349">
        <v>809</v>
      </c>
      <c s="18" r="C349">
        <v>7418.32</v>
      </c>
    </row>
    <row r="350">
      <c s="9" r="A350">
        <v>41521</v>
      </c>
      <c t="s" r="B350">
        <v>810</v>
      </c>
      <c s="18" r="C350">
        <v>3917.5</v>
      </c>
    </row>
    <row r="351">
      <c s="9" r="A351">
        <v>41521</v>
      </c>
      <c t="s" r="B351">
        <v>811</v>
      </c>
      <c s="18" r="C351">
        <v>3388</v>
      </c>
    </row>
    <row r="352">
      <c s="9" r="A352">
        <v>41521</v>
      </c>
      <c t="s" r="B352">
        <v>812</v>
      </c>
      <c s="18" r="C352">
        <v>5648.28</v>
      </c>
    </row>
    <row r="353">
      <c s="9" r="A353">
        <v>41521</v>
      </c>
      <c t="s" r="B353">
        <v>813</v>
      </c>
      <c s="18" r="C353">
        <v>8261</v>
      </c>
    </row>
    <row r="354">
      <c s="9" r="A354">
        <v>41521</v>
      </c>
      <c t="s" r="B354">
        <v>524</v>
      </c>
      <c s="18" r="C354">
        <v>4356.43</v>
      </c>
    </row>
    <row r="355">
      <c s="9" r="A355">
        <v>41521</v>
      </c>
      <c t="s" r="B355">
        <v>814</v>
      </c>
      <c s="18" r="C355">
        <v>79138.47</v>
      </c>
    </row>
    <row r="356">
      <c s="11" r="A356">
        <v>41521</v>
      </c>
      <c t="s" r="B356">
        <v>815</v>
      </c>
      <c s="18" r="C356">
        <v>126.61</v>
      </c>
    </row>
    <row r="357">
      <c s="11" r="A357">
        <v>41521</v>
      </c>
      <c t="s" r="B357">
        <v>816</v>
      </c>
      <c s="18" r="C357">
        <v>126.61</v>
      </c>
    </row>
    <row r="358">
      <c s="11" r="A358">
        <v>41521</v>
      </c>
      <c t="s" r="B358">
        <v>817</v>
      </c>
      <c s="18" r="C358">
        <v>126.61</v>
      </c>
    </row>
    <row r="359">
      <c s="11" r="A359">
        <v>41520</v>
      </c>
      <c t="s" r="B359">
        <v>818</v>
      </c>
      <c s="18" r="C359">
        <v>2266.66</v>
      </c>
    </row>
    <row r="360">
      <c s="11" r="A360">
        <v>41520</v>
      </c>
      <c t="s" r="B360">
        <v>819</v>
      </c>
      <c s="18" r="C360">
        <v>740.52</v>
      </c>
    </row>
    <row r="361">
      <c s="11" r="A361">
        <v>41520</v>
      </c>
      <c t="s" r="B361">
        <v>820</v>
      </c>
      <c s="18" r="C361">
        <v>306.5</v>
      </c>
    </row>
    <row r="362">
      <c s="9" r="A362">
        <v>41519</v>
      </c>
      <c t="s" r="B362">
        <v>716</v>
      </c>
      <c s="18" r="C362">
        <v>4804.97</v>
      </c>
    </row>
    <row r="363">
      <c s="9" r="A363">
        <v>41519</v>
      </c>
      <c t="s" r="B363">
        <v>821</v>
      </c>
      <c s="18" r="C363">
        <v>6017.41</v>
      </c>
    </row>
    <row r="364">
      <c s="9" r="A364">
        <v>41519</v>
      </c>
      <c t="s" r="B364">
        <v>822</v>
      </c>
      <c s="18" r="C364">
        <v>4762</v>
      </c>
    </row>
    <row r="365">
      <c s="9" r="A365">
        <v>41519</v>
      </c>
      <c t="s" r="B365">
        <v>823</v>
      </c>
      <c s="18" r="C365">
        <v>4804.97</v>
      </c>
    </row>
    <row r="366">
      <c s="9" r="A366">
        <v>41519</v>
      </c>
      <c t="s" r="B366">
        <v>824</v>
      </c>
      <c s="18" r="C366">
        <v>15500</v>
      </c>
    </row>
    <row r="367">
      <c s="9" r="A367">
        <v>41519</v>
      </c>
      <c t="s" r="B367">
        <v>825</v>
      </c>
      <c s="18" r="C367">
        <v>4250</v>
      </c>
    </row>
    <row r="368">
      <c s="9" r="A368">
        <v>41519</v>
      </c>
      <c t="s" r="B368">
        <v>826</v>
      </c>
      <c s="18" r="C368">
        <v>4356.43</v>
      </c>
    </row>
    <row r="369">
      <c s="9" r="A369">
        <v>41519</v>
      </c>
      <c t="s" r="B369">
        <v>827</v>
      </c>
      <c s="18" r="C369">
        <v>6593.6</v>
      </c>
    </row>
    <row r="370">
      <c s="9" r="A370">
        <v>41519</v>
      </c>
      <c t="s" r="B370">
        <v>828</v>
      </c>
      <c s="18" r="C370">
        <v>9618</v>
      </c>
    </row>
    <row r="371">
      <c s="11" r="A371">
        <v>41519</v>
      </c>
      <c t="s" r="B371">
        <v>829</v>
      </c>
      <c s="18" r="C371">
        <v>2470.6</v>
      </c>
    </row>
    <row r="372">
      <c s="11" r="A372">
        <v>41519</v>
      </c>
      <c t="s" r="B372">
        <v>830</v>
      </c>
      <c s="18" r="C372">
        <v>1537.44</v>
      </c>
    </row>
    <row r="373">
      <c s="11" r="A373">
        <v>41519</v>
      </c>
      <c t="s" r="B373">
        <v>831</v>
      </c>
      <c s="18" r="C373">
        <v>1915.83</v>
      </c>
    </row>
    <row r="374">
      <c s="11" r="A374">
        <v>41519</v>
      </c>
      <c t="s" r="B374">
        <v>832</v>
      </c>
      <c s="18" r="C374">
        <v>455.16</v>
      </c>
    </row>
    <row r="375">
      <c s="11" r="A375">
        <v>41519</v>
      </c>
      <c t="s" r="B375">
        <v>833</v>
      </c>
      <c s="18" r="C375">
        <v>30.25</v>
      </c>
    </row>
    <row r="376">
      <c s="11" r="A376">
        <v>41513</v>
      </c>
      <c t="s" r="B376">
        <v>834</v>
      </c>
      <c s="18" r="C376">
        <v>18135.73</v>
      </c>
    </row>
    <row r="377">
      <c s="11" r="A377">
        <v>41513</v>
      </c>
      <c t="s" r="B377">
        <v>835</v>
      </c>
      <c s="18" r="C377">
        <v>4940.82</v>
      </c>
    </row>
    <row r="378">
      <c s="11" r="A378">
        <v>41513</v>
      </c>
      <c t="s" r="B378">
        <v>836</v>
      </c>
      <c s="18" r="C378">
        <v>8548.65</v>
      </c>
    </row>
    <row r="379">
      <c s="11" r="A379">
        <v>41513</v>
      </c>
      <c t="s" r="B379">
        <v>837</v>
      </c>
      <c s="18" r="C379">
        <v>8548.65</v>
      </c>
    </row>
    <row r="380">
      <c s="11" r="A380">
        <v>41512</v>
      </c>
      <c t="s" r="B380">
        <v>838</v>
      </c>
      <c s="18" r="C380">
        <v>79138.47</v>
      </c>
    </row>
    <row r="381">
      <c s="11" r="A381">
        <v>41502</v>
      </c>
      <c t="s" r="B381">
        <v>839</v>
      </c>
      <c s="18" r="C381">
        <v>206.64</v>
      </c>
    </row>
    <row r="382">
      <c s="11" r="A382">
        <v>41502</v>
      </c>
      <c t="s" r="B382">
        <v>840</v>
      </c>
      <c s="18" r="C382">
        <v>2922.15</v>
      </c>
    </row>
    <row r="383">
      <c s="11" r="A383">
        <v>41502</v>
      </c>
      <c t="s" r="B383">
        <v>841</v>
      </c>
      <c s="18" r="C383">
        <v>484</v>
      </c>
    </row>
    <row r="384">
      <c s="11" r="A384">
        <v>41502</v>
      </c>
      <c t="s" r="B384">
        <v>842</v>
      </c>
      <c s="18" r="C384">
        <v>735.3</v>
      </c>
    </row>
    <row r="385">
      <c s="11" r="A385">
        <v>41502</v>
      </c>
      <c t="s" r="B385">
        <v>843</v>
      </c>
      <c s="18" r="C385">
        <v>1126.51</v>
      </c>
    </row>
    <row r="386">
      <c s="11" r="A386">
        <v>41502</v>
      </c>
      <c t="s" r="B386">
        <v>844</v>
      </c>
      <c s="18" r="C386">
        <v>110</v>
      </c>
    </row>
    <row r="387">
      <c s="9" r="A387">
        <v>41486</v>
      </c>
      <c t="s" r="B387">
        <v>845</v>
      </c>
      <c s="18" r="C387">
        <v>17983.86</v>
      </c>
    </row>
    <row r="388">
      <c s="9" r="A388">
        <v>41486</v>
      </c>
      <c t="s" r="B388">
        <v>846</v>
      </c>
      <c s="18" r="C388">
        <v>4762</v>
      </c>
    </row>
    <row r="389">
      <c s="9" r="A389">
        <v>41486</v>
      </c>
      <c t="s" r="B389">
        <v>847</v>
      </c>
      <c s="18" r="C389">
        <v>4840</v>
      </c>
    </row>
    <row r="390">
      <c s="9" r="A390">
        <v>41486</v>
      </c>
      <c t="s" r="B390">
        <v>848</v>
      </c>
      <c s="18" r="C390">
        <v>7018</v>
      </c>
    </row>
    <row r="391">
      <c s="9" r="A391">
        <v>41486</v>
      </c>
      <c t="s" r="B391">
        <v>849</v>
      </c>
      <c s="18" r="C391">
        <v>6593.6</v>
      </c>
    </row>
    <row r="392">
      <c s="9" r="A392">
        <v>41486</v>
      </c>
      <c t="s" r="B392">
        <v>850</v>
      </c>
      <c s="18" r="C392">
        <v>11939</v>
      </c>
    </row>
    <row r="393">
      <c s="9" r="A393">
        <v>41486</v>
      </c>
      <c t="s" r="B393">
        <v>851</v>
      </c>
      <c s="18" r="C393">
        <v>11701.49</v>
      </c>
    </row>
    <row r="394">
      <c s="9" r="A394">
        <v>41486</v>
      </c>
      <c t="s" r="B394">
        <v>851</v>
      </c>
      <c s="18" r="C394">
        <v>14842.67</v>
      </c>
    </row>
    <row r="395">
      <c s="9" r="A395">
        <v>41486</v>
      </c>
      <c t="s" r="B395">
        <v>852</v>
      </c>
      <c s="18" r="C395">
        <v>4840</v>
      </c>
    </row>
    <row r="396">
      <c s="11" r="A396">
        <v>41485</v>
      </c>
      <c t="s" r="B396">
        <v>853</v>
      </c>
      <c s="18" r="C396">
        <v>244.99</v>
      </c>
    </row>
    <row r="397">
      <c s="11" r="A397">
        <v>41485</v>
      </c>
      <c t="s" r="B397">
        <v>854</v>
      </c>
      <c s="18" r="C397">
        <v>400</v>
      </c>
    </row>
    <row r="398">
      <c s="11" r="A398">
        <v>41485</v>
      </c>
      <c t="s" r="B398">
        <v>855</v>
      </c>
      <c s="18" r="C398">
        <v>2196.15</v>
      </c>
    </row>
    <row r="399">
      <c s="11" r="A399">
        <v>41485</v>
      </c>
      <c t="s" r="B399">
        <v>856</v>
      </c>
      <c s="18" r="C399">
        <v>649</v>
      </c>
    </row>
    <row r="400">
      <c s="11" r="A400">
        <v>41485</v>
      </c>
      <c t="s" r="B400">
        <v>857</v>
      </c>
      <c s="18" r="C400">
        <v>605</v>
      </c>
    </row>
    <row r="401">
      <c s="11" r="A401">
        <v>41485</v>
      </c>
      <c t="s" r="B401">
        <v>858</v>
      </c>
      <c s="18" r="C401">
        <v>638.88</v>
      </c>
    </row>
    <row r="402">
      <c s="11" r="A402">
        <v>41481</v>
      </c>
      <c t="s" r="B402">
        <v>859</v>
      </c>
      <c s="18" r="C402">
        <v>176.9</v>
      </c>
    </row>
    <row r="403">
      <c s="11" r="A403">
        <v>41481</v>
      </c>
      <c t="s" r="B403">
        <v>860</v>
      </c>
      <c s="18" r="C403">
        <v>1703.86</v>
      </c>
    </row>
    <row r="404">
      <c s="11" r="A404">
        <v>41480</v>
      </c>
      <c t="s" r="B404">
        <v>861</v>
      </c>
      <c s="18" r="C404">
        <v>500</v>
      </c>
    </row>
    <row r="405">
      <c s="11" r="A405">
        <v>41480</v>
      </c>
      <c t="s" r="B405">
        <v>862</v>
      </c>
      <c s="18" r="C405">
        <v>302.5</v>
      </c>
    </row>
    <row r="406">
      <c s="11" r="A406">
        <v>41480</v>
      </c>
      <c t="s" r="B406">
        <v>863</v>
      </c>
      <c s="18" r="C406">
        <v>1013.71</v>
      </c>
    </row>
    <row r="407">
      <c s="11" r="A407">
        <v>41480</v>
      </c>
      <c t="s" r="B407">
        <v>864</v>
      </c>
      <c r="C407">
        <v>127.05</v>
      </c>
    </row>
    <row r="408">
      <c s="11" r="A408">
        <v>41480</v>
      </c>
      <c t="s" r="B408">
        <v>865</v>
      </c>
      <c s="18" r="C408">
        <v>1449.01</v>
      </c>
    </row>
    <row r="409">
      <c s="11" r="A409">
        <v>41480</v>
      </c>
      <c t="s" r="B409">
        <v>866</v>
      </c>
      <c s="18" r="C409">
        <v>2890</v>
      </c>
    </row>
    <row r="410">
      <c s="11" r="A410">
        <v>41480</v>
      </c>
      <c t="s" r="B410">
        <v>867</v>
      </c>
      <c s="18" r="C410">
        <v>298.36</v>
      </c>
    </row>
    <row r="411">
      <c s="11" r="A411">
        <v>41480</v>
      </c>
      <c t="s" r="B411">
        <v>868</v>
      </c>
      <c s="18" r="C411">
        <v>1500</v>
      </c>
    </row>
    <row r="412">
      <c s="11" r="A412">
        <v>41480</v>
      </c>
      <c t="s" r="B412">
        <v>869</v>
      </c>
      <c s="18" r="C412">
        <v>544.5</v>
      </c>
    </row>
    <row r="413">
      <c s="11" r="A413">
        <v>41480</v>
      </c>
      <c t="s" r="B413">
        <v>870</v>
      </c>
      <c s="18" r="C413">
        <v>544.5</v>
      </c>
    </row>
    <row r="414">
      <c s="11" r="A414">
        <v>41477</v>
      </c>
      <c t="s" r="B414">
        <v>871</v>
      </c>
      <c s="18" r="C414">
        <v>1983.25</v>
      </c>
    </row>
    <row r="415">
      <c s="11" r="A415">
        <v>41473</v>
      </c>
      <c t="s" r="B415">
        <v>872</v>
      </c>
      <c s="18" r="C415">
        <v>290.4</v>
      </c>
    </row>
    <row r="416">
      <c s="11" r="A416">
        <v>41473</v>
      </c>
      <c t="s" r="B416">
        <v>873</v>
      </c>
      <c s="18" r="C416">
        <v>605</v>
      </c>
    </row>
    <row r="417">
      <c s="9" r="A417">
        <v>41472</v>
      </c>
      <c t="s" r="B417">
        <v>874</v>
      </c>
      <c s="18" r="C417">
        <v>7524.99</v>
      </c>
    </row>
    <row r="418">
      <c s="11" r="A418">
        <v>41471</v>
      </c>
      <c t="s" r="B418">
        <v>875</v>
      </c>
      <c s="18" r="C418">
        <v>250</v>
      </c>
    </row>
    <row r="419">
      <c s="11" r="A419">
        <v>41471</v>
      </c>
      <c t="s" r="B419">
        <v>876</v>
      </c>
      <c s="18" r="C419">
        <v>1144</v>
      </c>
    </row>
    <row r="420">
      <c s="11" r="A420">
        <v>41470</v>
      </c>
      <c t="s" r="B420">
        <v>877</v>
      </c>
      <c s="18" r="C420">
        <v>147.45</v>
      </c>
    </row>
    <row r="421">
      <c s="11" r="A421">
        <v>41470</v>
      </c>
      <c t="s" r="B421">
        <v>878</v>
      </c>
      <c s="18" r="C421">
        <v>1292.93</v>
      </c>
    </row>
    <row r="422">
      <c s="9" r="A422">
        <v>41469</v>
      </c>
      <c t="s" r="B422">
        <v>879</v>
      </c>
      <c s="18" r="C422">
        <v>11850</v>
      </c>
    </row>
    <row r="423">
      <c s="9" r="A423">
        <v>41469</v>
      </c>
      <c t="s" r="B423">
        <v>880</v>
      </c>
      <c s="18" r="C423">
        <v>7940.63</v>
      </c>
    </row>
    <row r="424">
      <c s="9" r="A424">
        <v>41469</v>
      </c>
      <c t="s" r="B424">
        <v>881</v>
      </c>
      <c s="18" r="C424">
        <v>19999.98</v>
      </c>
    </row>
    <row r="425">
      <c s="11" r="A425">
        <v>41466</v>
      </c>
      <c t="s" r="B425">
        <v>882</v>
      </c>
      <c s="18" r="C425">
        <v>968</v>
      </c>
    </row>
    <row r="426">
      <c s="11" r="A426">
        <v>41466</v>
      </c>
      <c t="s" r="B426">
        <v>883</v>
      </c>
      <c s="18" r="C426">
        <v>1500</v>
      </c>
    </row>
    <row r="427">
      <c s="11" r="A427">
        <v>41466</v>
      </c>
      <c t="s" r="B427">
        <v>884</v>
      </c>
      <c s="18" r="C427">
        <v>2224.57</v>
      </c>
    </row>
    <row r="428">
      <c s="9" r="A428">
        <v>41466</v>
      </c>
      <c t="s" r="B428">
        <v>885</v>
      </c>
      <c s="18" r="C428">
        <v>1270.5</v>
      </c>
    </row>
    <row r="429">
      <c s="9" r="A429">
        <v>41466</v>
      </c>
      <c t="s" r="B429">
        <v>886</v>
      </c>
      <c s="18" r="C429">
        <v>586.85</v>
      </c>
    </row>
    <row r="430">
      <c s="9" r="A430">
        <v>41466</v>
      </c>
      <c t="s" r="B430">
        <v>887</v>
      </c>
      <c s="18" r="C430">
        <v>13.31</v>
      </c>
    </row>
    <row r="431">
      <c s="9" r="A431">
        <v>41465</v>
      </c>
      <c t="s" r="B431">
        <v>888</v>
      </c>
      <c s="18" r="C431">
        <v>18135.73</v>
      </c>
    </row>
    <row r="432">
      <c s="9" r="A432">
        <v>41465</v>
      </c>
      <c t="s" r="B432">
        <v>889</v>
      </c>
      <c s="18" r="C432">
        <v>4249.89</v>
      </c>
    </row>
    <row r="433">
      <c s="9" r="A433">
        <v>41465</v>
      </c>
      <c t="s" r="B433">
        <v>890</v>
      </c>
      <c s="18" r="C433">
        <v>4356.43</v>
      </c>
    </row>
    <row r="434">
      <c s="9" r="A434">
        <v>41465</v>
      </c>
      <c t="s" r="B434">
        <v>891</v>
      </c>
      <c s="18" r="C434">
        <v>4804.97</v>
      </c>
    </row>
    <row r="435">
      <c s="9" r="A435">
        <v>41459</v>
      </c>
      <c t="s" r="B435">
        <v>892</v>
      </c>
      <c s="18" r="C435">
        <v>514.8</v>
      </c>
    </row>
    <row r="436">
      <c s="9" r="A436">
        <v>41459</v>
      </c>
      <c t="s" r="B436">
        <v>893</v>
      </c>
      <c s="18" r="C436">
        <v>220</v>
      </c>
    </row>
    <row r="437">
      <c s="9" r="A437">
        <v>41459</v>
      </c>
      <c t="s" r="B437">
        <v>894</v>
      </c>
      <c s="18" r="C437">
        <v>110</v>
      </c>
    </row>
    <row r="438">
      <c s="9" r="A438">
        <v>41459</v>
      </c>
      <c t="s" r="B438">
        <v>895</v>
      </c>
      <c s="18" r="C438">
        <v>1980</v>
      </c>
    </row>
    <row r="439">
      <c s="9" r="A439">
        <v>41459</v>
      </c>
      <c t="s" r="B439">
        <v>896</v>
      </c>
      <c s="18" r="C439">
        <v>16909.75</v>
      </c>
    </row>
    <row r="440">
      <c s="9" r="A440">
        <v>41459</v>
      </c>
      <c t="s" r="B440">
        <v>897</v>
      </c>
      <c s="18" r="C440">
        <v>750</v>
      </c>
    </row>
    <row r="441">
      <c s="9" r="A441">
        <v>41459</v>
      </c>
      <c t="s" r="B441">
        <v>898</v>
      </c>
      <c s="18" r="C441">
        <v>750</v>
      </c>
    </row>
    <row r="442">
      <c s="9" r="A442">
        <v>41458</v>
      </c>
      <c t="s" r="B442">
        <v>899</v>
      </c>
      <c s="18" r="C442">
        <v>15730</v>
      </c>
    </row>
    <row r="443">
      <c s="9" r="A443">
        <v>41458</v>
      </c>
      <c t="s" r="B443">
        <v>900</v>
      </c>
      <c s="18" r="C443">
        <v>5408</v>
      </c>
    </row>
    <row r="444">
      <c s="9" r="A444">
        <v>41458</v>
      </c>
      <c t="s" r="B444">
        <v>901</v>
      </c>
      <c s="18" r="C444">
        <v>66000</v>
      </c>
    </row>
    <row r="445">
      <c s="9" r="A445">
        <v>41457</v>
      </c>
      <c t="s" r="B445">
        <v>902</v>
      </c>
      <c s="18" r="C445">
        <v>800</v>
      </c>
    </row>
    <row r="446">
      <c s="9" r="A446">
        <v>41457</v>
      </c>
      <c t="s" r="B446">
        <v>903</v>
      </c>
      <c s="18" r="C446">
        <v>150</v>
      </c>
    </row>
    <row r="447">
      <c s="11" r="A447">
        <v>41452</v>
      </c>
      <c t="s" r="B447">
        <v>904</v>
      </c>
      <c s="18" r="C447">
        <v>330</v>
      </c>
    </row>
    <row r="448">
      <c s="11" r="A448">
        <v>41452</v>
      </c>
      <c t="s" r="B448">
        <v>905</v>
      </c>
      <c s="18" r="C448">
        <v>584.1</v>
      </c>
    </row>
    <row r="449">
      <c s="11" r="A449">
        <v>41452</v>
      </c>
      <c t="s" r="B449">
        <v>906</v>
      </c>
      <c s="18" r="C449">
        <v>77</v>
      </c>
    </row>
    <row r="450">
      <c s="11" r="A450">
        <v>41452</v>
      </c>
      <c t="s" r="B450">
        <v>907</v>
      </c>
      <c s="18" r="C450">
        <v>55</v>
      </c>
    </row>
    <row r="451">
      <c s="11" r="A451">
        <v>41452</v>
      </c>
      <c t="s" r="B451">
        <v>908</v>
      </c>
      <c s="18" r="C451">
        <v>462</v>
      </c>
    </row>
    <row r="452">
      <c s="11" r="A452">
        <v>41452</v>
      </c>
      <c t="s" r="B452">
        <v>909</v>
      </c>
      <c s="18" r="C452">
        <v>979</v>
      </c>
    </row>
    <row r="453">
      <c s="11" r="A453">
        <v>41452</v>
      </c>
      <c t="s" r="B453">
        <v>910</v>
      </c>
      <c s="18" r="C453">
        <v>435</v>
      </c>
    </row>
    <row r="454">
      <c s="11" r="A454">
        <v>41451</v>
      </c>
      <c t="s" r="B454">
        <v>911</v>
      </c>
      <c s="18" r="C454">
        <v>4395.73</v>
      </c>
    </row>
    <row r="455">
      <c s="11" r="A455">
        <v>41451</v>
      </c>
      <c t="s" r="B455">
        <v>912</v>
      </c>
      <c s="18" r="C455">
        <v>33199.57</v>
      </c>
    </row>
    <row r="456">
      <c s="11" r="A456">
        <v>41450</v>
      </c>
      <c t="s" r="B456">
        <v>913</v>
      </c>
      <c s="18" r="C456">
        <v>600</v>
      </c>
    </row>
    <row r="457">
      <c s="11" r="A457">
        <v>41445</v>
      </c>
      <c t="s" r="B457">
        <v>914</v>
      </c>
      <c s="18" r="C457">
        <v>61.5</v>
      </c>
    </row>
    <row r="458">
      <c s="11" r="A458">
        <v>41444</v>
      </c>
      <c t="s" r="B458">
        <v>915</v>
      </c>
      <c s="18" r="C458">
        <v>4804.97</v>
      </c>
    </row>
    <row r="459">
      <c s="11" r="A459">
        <v>41444</v>
      </c>
      <c t="s" r="B459">
        <v>502</v>
      </c>
      <c s="18" r="C459">
        <v>3386.66</v>
      </c>
    </row>
    <row r="460">
      <c s="11" r="A460">
        <v>41444</v>
      </c>
      <c t="s" r="B460">
        <v>916</v>
      </c>
      <c s="18" r="C460">
        <v>5900</v>
      </c>
    </row>
    <row r="461">
      <c s="11" r="A461">
        <v>41444</v>
      </c>
      <c t="s" r="B461">
        <v>506</v>
      </c>
      <c s="18" r="C461">
        <v>8261</v>
      </c>
    </row>
    <row r="462">
      <c s="11" r="A462">
        <v>41444</v>
      </c>
      <c t="s" r="B462">
        <v>917</v>
      </c>
      <c s="18" r="C462">
        <v>3411.98</v>
      </c>
    </row>
    <row r="463">
      <c s="11" r="A463">
        <v>41444</v>
      </c>
      <c t="s" r="B463">
        <v>918</v>
      </c>
      <c s="18" r="C463">
        <v>13431</v>
      </c>
    </row>
    <row r="464">
      <c s="11" r="A464">
        <v>41444</v>
      </c>
      <c t="s" r="B464">
        <v>919</v>
      </c>
      <c s="18" r="C464">
        <v>8237.92</v>
      </c>
    </row>
    <row r="465">
      <c s="11" r="A465">
        <v>41444</v>
      </c>
      <c t="s" r="B465">
        <v>828</v>
      </c>
      <c s="18" r="C465">
        <v>30613.28</v>
      </c>
    </row>
    <row r="466">
      <c s="11" r="A466">
        <v>41444</v>
      </c>
      <c t="s" r="B466">
        <v>828</v>
      </c>
      <c s="18" r="C466">
        <v>23404.62</v>
      </c>
    </row>
    <row r="467">
      <c s="11" r="A467">
        <v>41442</v>
      </c>
      <c t="s" r="B467">
        <v>920</v>
      </c>
      <c s="18" r="C467">
        <v>182.9</v>
      </c>
    </row>
    <row r="468">
      <c s="11" r="A468">
        <v>41442</v>
      </c>
      <c t="s" r="B468">
        <v>921</v>
      </c>
      <c s="18" r="C468">
        <v>88</v>
      </c>
    </row>
    <row r="469">
      <c s="11" r="A469">
        <v>41442</v>
      </c>
      <c t="s" r="B469">
        <v>922</v>
      </c>
      <c s="18" r="C469">
        <v>2722</v>
      </c>
    </row>
    <row r="470">
      <c s="11" r="A470">
        <v>41438</v>
      </c>
      <c t="s" r="B470">
        <v>923</v>
      </c>
      <c s="18" r="C470">
        <v>4000</v>
      </c>
    </row>
    <row r="471">
      <c s="11" r="A471">
        <v>41438</v>
      </c>
      <c t="s" r="B471">
        <v>924</v>
      </c>
      <c s="18" r="C471">
        <v>4940.82</v>
      </c>
    </row>
    <row r="472">
      <c s="11" r="A472">
        <v>41438</v>
      </c>
      <c t="s" r="B472">
        <v>925</v>
      </c>
      <c s="18" r="C472">
        <v>18135.73</v>
      </c>
    </row>
    <row r="473">
      <c s="11" r="A473">
        <v>41438</v>
      </c>
      <c t="s" r="B473">
        <v>926</v>
      </c>
      <c s="18" r="C473">
        <v>8548.65</v>
      </c>
    </row>
    <row r="474">
      <c s="11" r="A474">
        <v>41438</v>
      </c>
      <c t="s" r="B474">
        <v>927</v>
      </c>
      <c s="18" r="C474">
        <v>7418.32</v>
      </c>
    </row>
    <row r="475">
      <c s="11" r="A475">
        <v>41438</v>
      </c>
      <c t="s" r="B475">
        <v>846</v>
      </c>
      <c s="18" r="C475">
        <v>4762</v>
      </c>
    </row>
    <row r="476">
      <c s="9" r="A476">
        <v>41435</v>
      </c>
      <c t="s" r="B476">
        <v>928</v>
      </c>
      <c s="18" r="C476">
        <v>152.46</v>
      </c>
    </row>
    <row r="477">
      <c s="9" r="A477">
        <v>41435</v>
      </c>
      <c t="s" r="B477">
        <v>929</v>
      </c>
      <c s="18" r="C477">
        <v>21.98</v>
      </c>
    </row>
    <row r="478">
      <c s="9" r="A478">
        <v>41435</v>
      </c>
      <c t="s" r="B478">
        <v>930</v>
      </c>
      <c s="18" r="C478">
        <v>685.94</v>
      </c>
    </row>
    <row r="479">
      <c s="9" r="A479">
        <v>41435</v>
      </c>
      <c t="s" r="B479">
        <v>931</v>
      </c>
      <c s="18" r="C479">
        <v>423.85</v>
      </c>
    </row>
    <row r="480">
      <c s="9" r="A480">
        <v>41435</v>
      </c>
      <c t="s" r="B480">
        <v>931</v>
      </c>
      <c s="18" r="C480">
        <v>607.48</v>
      </c>
    </row>
    <row r="481">
      <c s="9" r="A481">
        <v>41435</v>
      </c>
      <c t="s" r="B481">
        <v>932</v>
      </c>
      <c s="18" r="C481">
        <v>99</v>
      </c>
    </row>
    <row r="482">
      <c s="11" r="A482">
        <v>41435</v>
      </c>
      <c t="s" r="B482">
        <v>933</v>
      </c>
      <c s="18" r="C482">
        <v>99</v>
      </c>
    </row>
    <row r="483">
      <c s="11" r="A483">
        <v>41435</v>
      </c>
      <c t="s" r="B483">
        <v>934</v>
      </c>
      <c s="18" r="C483">
        <v>1095.6</v>
      </c>
    </row>
    <row r="484">
      <c s="11" r="A484">
        <v>41435</v>
      </c>
      <c t="s" r="B484">
        <v>935</v>
      </c>
      <c s="18" r="C484">
        <v>1155</v>
      </c>
    </row>
    <row r="485">
      <c s="11" r="A485">
        <v>41435</v>
      </c>
      <c t="s" r="B485">
        <v>936</v>
      </c>
      <c s="18" r="C485">
        <v>302.5</v>
      </c>
    </row>
    <row r="486">
      <c s="9" r="A486">
        <v>41430</v>
      </c>
      <c t="s" r="B486">
        <v>814</v>
      </c>
      <c s="18" r="C486">
        <v>79592.91</v>
      </c>
    </row>
    <row r="487">
      <c s="11" r="A487">
        <v>41430</v>
      </c>
      <c t="s" r="B487">
        <v>937</v>
      </c>
      <c s="18" r="C487">
        <v>3580.75</v>
      </c>
    </row>
    <row r="488">
      <c s="11" r="A488">
        <v>41430</v>
      </c>
      <c t="s" r="B488">
        <v>938</v>
      </c>
      <c s="18" r="C488">
        <v>4428.6</v>
      </c>
    </row>
    <row r="489">
      <c s="11" r="A489">
        <v>41430</v>
      </c>
      <c t="s" r="B489">
        <v>939</v>
      </c>
      <c s="18" r="C489">
        <v>3392.38</v>
      </c>
    </row>
    <row r="490">
      <c s="11" r="A490">
        <v>41428</v>
      </c>
      <c t="s" r="B490">
        <v>940</v>
      </c>
      <c s="18" r="C490">
        <v>296.45</v>
      </c>
    </row>
    <row r="491">
      <c s="11" r="A491">
        <v>41428</v>
      </c>
      <c t="s" r="B491">
        <v>941</v>
      </c>
      <c s="18" r="C491">
        <v>1207.58</v>
      </c>
    </row>
    <row r="492">
      <c s="11" r="A492">
        <v>41428</v>
      </c>
      <c t="s" r="B492">
        <v>942</v>
      </c>
      <c s="18" r="C492">
        <v>1980</v>
      </c>
    </row>
    <row r="493">
      <c s="11" r="A493">
        <v>41428</v>
      </c>
      <c t="s" r="B493">
        <v>943</v>
      </c>
      <c s="18" r="C493">
        <v>225</v>
      </c>
    </row>
    <row r="494">
      <c s="11" r="A494">
        <v>41428</v>
      </c>
      <c t="s" r="B494">
        <v>944</v>
      </c>
      <c s="18" r="C494">
        <v>1200</v>
      </c>
    </row>
    <row r="495">
      <c s="11" r="A495">
        <v>41428</v>
      </c>
      <c t="s" r="B495">
        <v>945</v>
      </c>
      <c s="18" r="C495">
        <v>2172.85</v>
      </c>
    </row>
    <row r="496">
      <c s="11" r="A496">
        <v>41428</v>
      </c>
      <c t="s" r="B496">
        <v>946</v>
      </c>
      <c s="18" r="C496">
        <v>63.5</v>
      </c>
    </row>
    <row r="497">
      <c s="11" r="A497">
        <v>41428</v>
      </c>
      <c t="s" r="B497">
        <v>947</v>
      </c>
      <c s="18" r="C497">
        <v>1573</v>
      </c>
    </row>
    <row r="498">
      <c s="11" r="A498">
        <v>41428</v>
      </c>
      <c t="s" r="B498">
        <v>948</v>
      </c>
      <c s="18" r="C498">
        <v>1700.32</v>
      </c>
    </row>
    <row r="499">
      <c s="11" r="A499">
        <v>41428</v>
      </c>
      <c t="s" r="B499">
        <v>949</v>
      </c>
      <c s="18" r="C499">
        <v>503.8</v>
      </c>
    </row>
    <row r="500">
      <c s="11" r="A500">
        <v>41428</v>
      </c>
      <c t="s" r="B500">
        <v>950</v>
      </c>
      <c s="18" r="C500">
        <v>640.28</v>
      </c>
    </row>
    <row r="501">
      <c s="11" r="A501">
        <v>41428</v>
      </c>
      <c t="s" r="B501">
        <v>951</v>
      </c>
      <c s="18" r="C501">
        <v>787.71</v>
      </c>
    </row>
    <row r="502">
      <c s="11" r="A502">
        <v>41428</v>
      </c>
      <c t="s" r="B502">
        <v>952</v>
      </c>
      <c s="18" r="C502">
        <v>475.2</v>
      </c>
    </row>
    <row r="503">
      <c s="11" r="A503">
        <v>41428</v>
      </c>
      <c t="s" r="B503">
        <v>953</v>
      </c>
      <c s="18" r="C503">
        <v>22</v>
      </c>
    </row>
    <row r="504">
      <c s="11" r="A504">
        <v>41428</v>
      </c>
      <c t="s" r="B504">
        <v>954</v>
      </c>
      <c s="18" r="C504">
        <v>572</v>
      </c>
    </row>
    <row r="505">
      <c s="11" r="A505">
        <v>41428</v>
      </c>
      <c t="s" r="B505">
        <v>955</v>
      </c>
      <c s="18" r="C505">
        <v>24.2</v>
      </c>
    </row>
    <row r="506">
      <c s="11" r="A506">
        <v>41428</v>
      </c>
      <c t="s" r="B506">
        <v>956</v>
      </c>
      <c s="18" r="C506">
        <v>16.5</v>
      </c>
    </row>
    <row r="507">
      <c s="11" r="A507">
        <v>41421</v>
      </c>
      <c t="s" r="B507">
        <v>957</v>
      </c>
      <c s="18" r="C507">
        <v>973.5</v>
      </c>
    </row>
    <row r="508">
      <c s="11" r="A508">
        <v>41421</v>
      </c>
      <c t="s" r="B508">
        <v>958</v>
      </c>
      <c s="18" r="C508">
        <v>8999.95</v>
      </c>
    </row>
    <row r="509">
      <c s="11" r="A509">
        <v>41418</v>
      </c>
      <c t="s" r="B509">
        <v>959</v>
      </c>
      <c s="18" r="C509">
        <v>2000</v>
      </c>
    </row>
    <row r="510">
      <c s="11" r="A510">
        <v>41418</v>
      </c>
      <c t="s" r="B510">
        <v>960</v>
      </c>
      <c s="18" r="C510">
        <v>136.4</v>
      </c>
    </row>
    <row r="511">
      <c s="11" r="A511">
        <v>41418</v>
      </c>
      <c t="s" r="B511">
        <v>961</v>
      </c>
      <c s="18" r="C511">
        <v>137.06</v>
      </c>
    </row>
    <row r="512">
      <c s="11" r="A512">
        <v>41418</v>
      </c>
      <c t="s" r="B512">
        <v>962</v>
      </c>
      <c s="18" r="C512">
        <v>181.5</v>
      </c>
    </row>
    <row r="513">
      <c s="11" r="A513">
        <v>41418</v>
      </c>
      <c t="s" r="B513">
        <v>963</v>
      </c>
      <c s="18" r="C513">
        <v>544.5</v>
      </c>
    </row>
    <row r="514">
      <c s="11" r="A514">
        <v>41418</v>
      </c>
      <c t="s" r="B514">
        <v>964</v>
      </c>
      <c s="18" r="C514">
        <v>1694</v>
      </c>
    </row>
    <row r="515">
      <c s="11" r="A515">
        <v>41418</v>
      </c>
      <c t="s" r="B515">
        <v>965</v>
      </c>
      <c s="18" r="C515">
        <v>605</v>
      </c>
    </row>
    <row r="516">
      <c s="11" r="A516">
        <v>41418</v>
      </c>
      <c t="s" r="B516">
        <v>966</v>
      </c>
      <c s="18" r="C516">
        <v>556.6</v>
      </c>
    </row>
    <row r="517">
      <c s="11" r="A517">
        <v>41418</v>
      </c>
      <c t="s" r="B517">
        <v>967</v>
      </c>
      <c s="18" r="C517">
        <v>338.8</v>
      </c>
    </row>
    <row r="518">
      <c s="11" r="A518">
        <v>41418</v>
      </c>
      <c t="s" r="B518">
        <v>968</v>
      </c>
      <c s="18" r="C518">
        <v>500</v>
      </c>
    </row>
    <row r="519">
      <c s="11" r="A519">
        <v>41418</v>
      </c>
      <c t="s" r="B519">
        <v>969</v>
      </c>
      <c s="18" r="C519">
        <v>1000</v>
      </c>
    </row>
    <row r="520">
      <c s="11" r="A520">
        <v>41418</v>
      </c>
      <c t="s" r="B520">
        <v>970</v>
      </c>
      <c s="18" r="C520">
        <v>1000</v>
      </c>
    </row>
    <row r="521">
      <c s="11" r="A521">
        <v>41418</v>
      </c>
      <c t="s" r="B521">
        <v>971</v>
      </c>
      <c s="18" r="C521">
        <v>332.21</v>
      </c>
    </row>
    <row r="522">
      <c s="11" r="A522">
        <v>41417</v>
      </c>
      <c t="s" r="B522">
        <v>972</v>
      </c>
      <c s="18" r="C522">
        <v>2803.86</v>
      </c>
    </row>
    <row r="523">
      <c s="11" r="A523">
        <v>41416</v>
      </c>
      <c t="s" r="B523">
        <v>911</v>
      </c>
      <c s="18" r="C523">
        <v>4395.73</v>
      </c>
    </row>
    <row r="524">
      <c s="11" r="A524">
        <v>41416</v>
      </c>
      <c t="s" r="B524">
        <v>973</v>
      </c>
      <c s="18" r="C524">
        <v>3886.6</v>
      </c>
    </row>
    <row r="525">
      <c s="11" r="A525">
        <v>41416</v>
      </c>
      <c t="s" r="B525">
        <v>974</v>
      </c>
      <c s="18" r="C525">
        <v>8261</v>
      </c>
    </row>
    <row r="526">
      <c s="11" r="A526">
        <v>41416</v>
      </c>
      <c t="s" r="B526">
        <v>975</v>
      </c>
      <c s="18" r="C526">
        <v>4940.82</v>
      </c>
    </row>
    <row r="527">
      <c s="11" r="A527">
        <v>41416</v>
      </c>
      <c t="s" r="B527">
        <v>976</v>
      </c>
      <c s="18" r="C527">
        <v>18135.73</v>
      </c>
    </row>
    <row r="528">
      <c s="11" r="A528">
        <v>41416</v>
      </c>
      <c t="s" r="B528">
        <v>977</v>
      </c>
      <c s="18" r="C528">
        <v>5655.45</v>
      </c>
    </row>
    <row r="529">
      <c s="11" r="A529">
        <v>41416</v>
      </c>
      <c t="s" r="B529">
        <v>978</v>
      </c>
      <c s="18" r="C529">
        <v>4840</v>
      </c>
    </row>
    <row r="530">
      <c s="11" r="A530">
        <v>41416</v>
      </c>
      <c t="s" r="B530">
        <v>979</v>
      </c>
      <c s="18" r="C530">
        <v>3780</v>
      </c>
    </row>
    <row r="531">
      <c s="11" r="A531">
        <v>41409</v>
      </c>
      <c t="s" r="B531">
        <v>727</v>
      </c>
      <c s="18" r="C531">
        <v>3002.31</v>
      </c>
    </row>
    <row r="532">
      <c s="11" r="A532">
        <v>41409</v>
      </c>
      <c t="s" r="B532">
        <v>980</v>
      </c>
      <c s="18" r="C532">
        <v>4804.97</v>
      </c>
    </row>
    <row r="533">
      <c s="11" r="A533">
        <v>41409</v>
      </c>
      <c t="s" r="B533">
        <v>981</v>
      </c>
      <c s="18" r="C533">
        <v>4762</v>
      </c>
    </row>
    <row r="534">
      <c s="11" r="A534">
        <v>41409</v>
      </c>
      <c t="s" r="B534">
        <v>982</v>
      </c>
      <c s="18" r="C534">
        <v>8548.65</v>
      </c>
    </row>
    <row r="535">
      <c s="11" r="A535">
        <v>41409</v>
      </c>
      <c t="s" r="B535">
        <v>983</v>
      </c>
      <c s="18" r="C535">
        <v>4356.43</v>
      </c>
    </row>
    <row r="536">
      <c s="11" r="A536">
        <v>41409</v>
      </c>
      <c t="s" r="B536">
        <v>984</v>
      </c>
      <c s="18" r="C536">
        <v>4249.89</v>
      </c>
    </row>
    <row r="537">
      <c s="11" r="A537">
        <v>41407</v>
      </c>
      <c t="s" r="B537">
        <v>985</v>
      </c>
      <c s="18" r="C537">
        <v>3220.9</v>
      </c>
    </row>
    <row r="538">
      <c s="11" r="A538">
        <v>41404</v>
      </c>
      <c t="s" r="B538">
        <v>986</v>
      </c>
      <c s="18" r="C538">
        <v>7.7</v>
      </c>
    </row>
    <row r="539">
      <c s="11" r="A539">
        <v>41404</v>
      </c>
      <c t="s" r="B539">
        <v>987</v>
      </c>
      <c s="18" r="C539">
        <v>137.5</v>
      </c>
    </row>
    <row r="540">
      <c s="11" r="A540">
        <v>41404</v>
      </c>
      <c t="s" r="B540">
        <v>988</v>
      </c>
      <c s="18" r="C540">
        <v>72.6</v>
      </c>
    </row>
    <row r="541">
      <c s="11" r="A541">
        <v>41404</v>
      </c>
      <c t="s" r="B541">
        <v>989</v>
      </c>
      <c s="18" r="C541">
        <v>193.6</v>
      </c>
    </row>
    <row r="542">
      <c s="11" r="A542">
        <v>41404</v>
      </c>
      <c t="s" r="B542">
        <v>990</v>
      </c>
      <c s="18" r="C542">
        <v>643.5</v>
      </c>
    </row>
    <row r="543">
      <c s="11" r="A543">
        <v>41404</v>
      </c>
      <c t="s" r="B543">
        <v>991</v>
      </c>
      <c s="18" r="C543">
        <v>53.9</v>
      </c>
    </row>
    <row r="544">
      <c s="11" r="A544">
        <v>41404</v>
      </c>
      <c t="s" r="B544">
        <v>992</v>
      </c>
      <c s="18" r="C544">
        <v>234.3</v>
      </c>
    </row>
    <row r="545">
      <c s="11" r="A545">
        <v>41404</v>
      </c>
      <c t="s" r="B545">
        <v>993</v>
      </c>
      <c s="18" r="C545">
        <v>553.96</v>
      </c>
    </row>
    <row r="546">
      <c s="11" r="A546">
        <v>41404</v>
      </c>
      <c t="s" r="B546">
        <v>994</v>
      </c>
      <c s="18" r="C546">
        <v>704</v>
      </c>
    </row>
    <row r="547">
      <c s="11" r="A547">
        <v>41404</v>
      </c>
      <c t="s" r="B547">
        <v>995</v>
      </c>
      <c s="18" r="C547">
        <v>37.4</v>
      </c>
    </row>
    <row r="548">
      <c s="11" r="A548">
        <v>41404</v>
      </c>
      <c t="s" r="B548">
        <v>996</v>
      </c>
      <c s="18" r="C548">
        <v>1076.3</v>
      </c>
    </row>
    <row r="549">
      <c s="11" r="A549">
        <v>41404</v>
      </c>
      <c t="s" r="B549">
        <v>997</v>
      </c>
      <c s="18" r="C549">
        <v>82.28</v>
      </c>
    </row>
    <row r="550">
      <c s="11" r="A550">
        <v>41404</v>
      </c>
      <c t="s" r="B550">
        <v>998</v>
      </c>
      <c s="18" r="C550">
        <v>629.79</v>
      </c>
    </row>
    <row r="551">
      <c s="11" r="A551">
        <v>41404</v>
      </c>
      <c t="s" r="B551">
        <v>999</v>
      </c>
      <c s="18" r="C551">
        <v>250</v>
      </c>
    </row>
    <row r="552">
      <c s="11" r="A552">
        <v>41404</v>
      </c>
      <c t="s" r="B552">
        <v>1000</v>
      </c>
      <c s="18" r="C552">
        <v>530.6</v>
      </c>
    </row>
    <row r="553">
      <c s="11" r="A553">
        <v>41404</v>
      </c>
      <c t="s" r="B553">
        <v>1001</v>
      </c>
      <c s="18" r="C553">
        <v>700</v>
      </c>
    </row>
    <row r="554">
      <c s="11" r="A554">
        <v>41404</v>
      </c>
      <c t="s" r="B554">
        <v>1002</v>
      </c>
      <c s="18" r="C554">
        <v>1500</v>
      </c>
    </row>
    <row r="555">
      <c s="11" r="A555">
        <v>41404</v>
      </c>
      <c t="s" r="B555">
        <v>1003</v>
      </c>
      <c s="18" r="C555">
        <v>573.4</v>
      </c>
    </row>
    <row r="556">
      <c s="11" r="A556">
        <v>41404</v>
      </c>
      <c t="s" r="B556">
        <v>1004</v>
      </c>
      <c s="18" r="C556">
        <v>1013.71</v>
      </c>
    </row>
    <row r="557">
      <c s="11" r="A557">
        <v>41404</v>
      </c>
      <c t="s" r="B557">
        <v>1005</v>
      </c>
      <c s="18" r="C557">
        <v>232.32</v>
      </c>
    </row>
    <row r="558">
      <c s="11" r="A558">
        <v>41404</v>
      </c>
      <c t="s" r="B558">
        <v>1006</v>
      </c>
      <c s="18" r="C558">
        <v>124.65</v>
      </c>
    </row>
    <row r="559">
      <c s="11" r="A559">
        <v>41404</v>
      </c>
      <c t="s" r="B559">
        <v>1007</v>
      </c>
      <c s="18" r="C559">
        <v>133.1</v>
      </c>
    </row>
    <row r="560">
      <c s="11" r="A560">
        <v>41402</v>
      </c>
      <c t="s" r="B560">
        <v>1008</v>
      </c>
      <c s="18" r="C560">
        <v>11939</v>
      </c>
    </row>
    <row r="561">
      <c s="11" r="A561">
        <v>41397</v>
      </c>
      <c t="s" r="B561">
        <v>1009</v>
      </c>
      <c s="18" r="C561">
        <v>440</v>
      </c>
    </row>
    <row r="562">
      <c s="11" r="A562">
        <v>41397</v>
      </c>
      <c t="s" r="B562">
        <v>1010</v>
      </c>
      <c s="18" r="C562">
        <v>1309.2</v>
      </c>
    </row>
    <row r="563">
      <c s="9" r="A563">
        <v>41394</v>
      </c>
      <c t="s" r="B563">
        <v>1011</v>
      </c>
      <c s="18" r="C563">
        <v>79592.91</v>
      </c>
    </row>
    <row r="564">
      <c s="11" r="A564">
        <v>41394</v>
      </c>
      <c t="s" r="B564">
        <v>978</v>
      </c>
      <c s="18" r="C564">
        <v>4840</v>
      </c>
    </row>
    <row r="565">
      <c s="11" r="A565">
        <v>41394</v>
      </c>
      <c t="s" r="B565">
        <v>1012</v>
      </c>
      <c s="18" r="C565">
        <v>3425</v>
      </c>
    </row>
    <row r="566">
      <c s="11" r="A566">
        <v>41394</v>
      </c>
      <c t="s" r="B566">
        <v>1013</v>
      </c>
      <c s="18" r="C566">
        <v>10296.6</v>
      </c>
    </row>
    <row r="567">
      <c s="11" r="A567">
        <v>41394</v>
      </c>
      <c t="s" r="B567">
        <v>1014</v>
      </c>
      <c s="18" r="C567">
        <v>3923.79</v>
      </c>
    </row>
    <row r="568">
      <c s="11" r="A568">
        <v>41390</v>
      </c>
      <c t="s" r="B568">
        <v>1015</v>
      </c>
      <c s="18" r="C568">
        <v>326.7</v>
      </c>
    </row>
    <row r="569">
      <c s="11" r="A569">
        <v>41390</v>
      </c>
      <c t="s" r="B569">
        <v>1016</v>
      </c>
      <c s="18" r="C569">
        <v>222.64</v>
      </c>
    </row>
    <row r="570">
      <c s="11" r="A570">
        <v>41390</v>
      </c>
      <c t="s" r="B570">
        <v>1017</v>
      </c>
      <c s="18" r="C570">
        <v>90.75</v>
      </c>
    </row>
    <row r="571">
      <c s="11" r="A571">
        <v>41390</v>
      </c>
      <c t="s" r="B571">
        <v>1018</v>
      </c>
      <c s="18" r="C571">
        <v>1531.62</v>
      </c>
    </row>
    <row r="572">
      <c s="11" r="A572">
        <v>41390</v>
      </c>
      <c t="s" r="B572">
        <v>1019</v>
      </c>
      <c s="18" r="C572">
        <v>425.69</v>
      </c>
    </row>
    <row r="573">
      <c s="11" r="A573">
        <v>41390</v>
      </c>
      <c t="s" r="B573">
        <v>1020</v>
      </c>
      <c s="18" r="C573">
        <v>1608.86</v>
      </c>
    </row>
    <row r="574">
      <c s="11" r="A574">
        <v>41390</v>
      </c>
      <c t="s" r="B574">
        <v>1021</v>
      </c>
      <c s="18" r="C574">
        <v>254.1</v>
      </c>
    </row>
    <row r="575">
      <c s="11" r="A575">
        <v>41389</v>
      </c>
      <c t="s" r="B575">
        <v>1022</v>
      </c>
      <c s="18" r="C575">
        <v>1189.93</v>
      </c>
    </row>
    <row r="576">
      <c s="11" r="A576">
        <v>41389</v>
      </c>
      <c t="s" r="B576">
        <v>1023</v>
      </c>
      <c s="18" r="C576">
        <v>869.07</v>
      </c>
    </row>
    <row r="577">
      <c s="11" r="A577">
        <v>41389</v>
      </c>
      <c t="s" r="B577">
        <v>1024</v>
      </c>
      <c s="18" r="C577">
        <v>484</v>
      </c>
    </row>
    <row r="578">
      <c s="11" r="A578">
        <v>41389</v>
      </c>
      <c t="s" r="B578">
        <v>1025</v>
      </c>
      <c s="18" r="C578">
        <v>2340.2</v>
      </c>
    </row>
    <row r="579">
      <c s="11" r="A579">
        <v>41389</v>
      </c>
      <c t="s" r="B579">
        <v>1026</v>
      </c>
      <c s="18" r="C579">
        <v>140</v>
      </c>
    </row>
    <row r="580">
      <c s="9" r="A580">
        <v>41388</v>
      </c>
      <c t="s" r="B580">
        <v>1027</v>
      </c>
      <c s="18" r="C580">
        <v>7629.05</v>
      </c>
    </row>
    <row r="581">
      <c s="9" r="A581">
        <v>41387</v>
      </c>
      <c t="s" r="B581">
        <v>1028</v>
      </c>
      <c s="18" r="C581">
        <v>959.53</v>
      </c>
    </row>
    <row r="582">
      <c s="9" r="A582">
        <v>41387</v>
      </c>
      <c t="s" r="B582">
        <v>1029</v>
      </c>
      <c s="18" r="C582">
        <v>845.54</v>
      </c>
    </row>
    <row r="583">
      <c s="9" r="A583">
        <v>41387</v>
      </c>
      <c t="s" r="B583">
        <v>1030</v>
      </c>
      <c s="18" r="C583">
        <v>1017.73</v>
      </c>
    </row>
    <row r="584">
      <c s="9" r="A584">
        <v>41387</v>
      </c>
      <c t="s" r="B584">
        <v>1031</v>
      </c>
      <c s="18" r="C584">
        <v>610.64</v>
      </c>
    </row>
    <row r="585">
      <c s="9" r="A585">
        <v>41387</v>
      </c>
      <c t="s" r="B585">
        <v>1032</v>
      </c>
      <c s="18" r="C585">
        <v>600</v>
      </c>
    </row>
    <row r="586">
      <c s="9" r="A586">
        <v>41381</v>
      </c>
      <c t="s" r="B586">
        <v>1033</v>
      </c>
      <c s="18" r="C586">
        <v>3360</v>
      </c>
    </row>
    <row r="587">
      <c s="9" r="A587">
        <v>41381</v>
      </c>
      <c t="s" r="B587">
        <v>1034</v>
      </c>
      <c s="18" r="C587">
        <v>29990</v>
      </c>
    </row>
    <row r="588">
      <c s="9" r="A588">
        <v>41381</v>
      </c>
      <c t="s" r="B588">
        <v>1035</v>
      </c>
      <c s="18" r="C588">
        <v>4894.45</v>
      </c>
    </row>
    <row r="589">
      <c s="9" r="A589">
        <v>41381</v>
      </c>
      <c t="s" r="B589">
        <v>1035</v>
      </c>
      <c s="18" r="C589">
        <v>4894.45</v>
      </c>
    </row>
    <row r="590">
      <c s="9" r="A590">
        <v>41381</v>
      </c>
      <c t="s" r="B590">
        <v>1036</v>
      </c>
      <c s="18" r="C590">
        <v>3886.6</v>
      </c>
    </row>
    <row r="591">
      <c s="9" r="A591">
        <v>41381</v>
      </c>
      <c t="s" r="B591">
        <v>1037</v>
      </c>
      <c s="18" r="C591">
        <v>8261</v>
      </c>
    </row>
    <row r="592">
      <c s="9" r="A592">
        <v>41381</v>
      </c>
      <c t="s" r="B592">
        <v>1038</v>
      </c>
      <c s="18" r="C592">
        <v>8548.65</v>
      </c>
    </row>
    <row r="593">
      <c s="9" r="A593">
        <v>41381</v>
      </c>
      <c t="s" r="B593">
        <v>1039</v>
      </c>
      <c s="18" r="C593">
        <v>8933.94</v>
      </c>
    </row>
    <row r="594">
      <c s="9" r="A594">
        <v>41381</v>
      </c>
      <c t="s" r="B594">
        <v>1040</v>
      </c>
      <c s="18" r="C594">
        <v>7304.42</v>
      </c>
    </row>
    <row r="595">
      <c s="9" r="A595">
        <v>41381</v>
      </c>
      <c t="s" r="B595">
        <v>1041</v>
      </c>
      <c s="18" r="C595">
        <v>4762</v>
      </c>
    </row>
    <row r="596">
      <c s="9" r="A596">
        <v>41381</v>
      </c>
      <c t="s" r="B596">
        <v>1042</v>
      </c>
      <c s="18" r="C596">
        <v>4804.97</v>
      </c>
    </row>
    <row r="597">
      <c s="9" r="A597">
        <v>41381</v>
      </c>
      <c t="s" r="B597">
        <v>1043</v>
      </c>
      <c s="18" r="C597">
        <v>3576.2</v>
      </c>
    </row>
    <row r="598">
      <c s="9" r="A598">
        <v>41379</v>
      </c>
      <c t="s" r="B598">
        <v>1044</v>
      </c>
      <c s="18" r="C598">
        <v>1013.05</v>
      </c>
    </row>
    <row r="599">
      <c s="9" r="A599">
        <v>41379</v>
      </c>
      <c t="s" r="B599">
        <v>1045</v>
      </c>
      <c s="18" r="C599">
        <v>339.67</v>
      </c>
    </row>
    <row r="600">
      <c s="9" r="A600">
        <v>41379</v>
      </c>
      <c t="s" r="B600">
        <v>1046</v>
      </c>
      <c s="18" r="C600">
        <v>877.2</v>
      </c>
    </row>
    <row r="601">
      <c s="9" r="A601">
        <v>41379</v>
      </c>
      <c t="s" r="B601">
        <v>1047</v>
      </c>
      <c s="18" r="C601">
        <v>435.07</v>
      </c>
    </row>
    <row r="602">
      <c s="9" r="A602">
        <v>41379</v>
      </c>
      <c t="s" r="B602">
        <v>1048</v>
      </c>
      <c s="18" r="C602">
        <v>1845.76</v>
      </c>
    </row>
    <row r="603">
      <c s="9" r="A603">
        <v>41379</v>
      </c>
      <c t="s" r="B603">
        <v>1049</v>
      </c>
      <c s="18" r="C603">
        <v>1845.76</v>
      </c>
    </row>
    <row r="604">
      <c s="9" r="A604">
        <v>41379</v>
      </c>
      <c t="s" r="B604">
        <v>1050</v>
      </c>
      <c s="18" r="C604">
        <v>1537.44</v>
      </c>
    </row>
    <row r="605">
      <c s="9" r="A605">
        <v>41379</v>
      </c>
      <c t="s" r="B605">
        <v>1051</v>
      </c>
      <c s="18" r="C605">
        <v>1315.88</v>
      </c>
    </row>
    <row r="606">
      <c s="9" r="A606">
        <v>41379</v>
      </c>
      <c t="s" r="B606">
        <v>1052</v>
      </c>
      <c s="18" r="C606">
        <v>269.28</v>
      </c>
    </row>
    <row r="607">
      <c s="9" r="A607">
        <v>41379</v>
      </c>
      <c t="s" r="B607">
        <v>1053</v>
      </c>
      <c s="18" r="C607">
        <v>469.24</v>
      </c>
    </row>
    <row r="608">
      <c s="9" r="A608">
        <v>41379</v>
      </c>
      <c t="s" r="B608">
        <v>1054</v>
      </c>
      <c s="18" r="C608">
        <v>411.4</v>
      </c>
    </row>
    <row r="609">
      <c s="9" r="A609">
        <v>41379</v>
      </c>
      <c t="s" r="B609">
        <v>1055</v>
      </c>
      <c s="18" r="C609">
        <v>871.2</v>
      </c>
    </row>
    <row r="610">
      <c s="9" r="A610">
        <v>41379</v>
      </c>
      <c t="s" r="B610">
        <v>1056</v>
      </c>
      <c s="18" r="C610">
        <v>230.54</v>
      </c>
    </row>
    <row r="611">
      <c s="9" r="A611">
        <v>41375</v>
      </c>
      <c t="s" r="B611">
        <v>1057</v>
      </c>
      <c s="18" r="C611">
        <v>1207.58</v>
      </c>
    </row>
    <row r="612">
      <c s="9" r="A612">
        <v>41375</v>
      </c>
      <c t="s" r="B612">
        <v>1058</v>
      </c>
      <c s="18" r="C612">
        <v>1099.53</v>
      </c>
    </row>
    <row r="613">
      <c s="9" r="A613">
        <v>41375</v>
      </c>
      <c t="s" r="B613">
        <v>1059</v>
      </c>
      <c s="18" r="C613">
        <v>302.5</v>
      </c>
    </row>
    <row r="614">
      <c s="9" r="A614">
        <v>41375</v>
      </c>
      <c t="s" r="B614">
        <v>1060</v>
      </c>
      <c s="18" r="C614">
        <v>726</v>
      </c>
    </row>
    <row r="615">
      <c s="11" r="A615">
        <v>41374</v>
      </c>
      <c t="s" r="B615">
        <v>978</v>
      </c>
      <c s="18" r="C615">
        <v>4840</v>
      </c>
    </row>
    <row r="616">
      <c s="11" r="A616">
        <v>41374</v>
      </c>
      <c t="s" r="B616">
        <v>1061</v>
      </c>
      <c s="18" r="C616">
        <v>18135.73</v>
      </c>
    </row>
    <row r="617">
      <c s="11" r="A617">
        <v>41374</v>
      </c>
      <c t="s" r="B617">
        <v>1062</v>
      </c>
      <c s="18" r="C617">
        <v>4940.82</v>
      </c>
    </row>
    <row r="618">
      <c s="11" r="A618">
        <v>41374</v>
      </c>
      <c t="s" r="B618">
        <v>1063</v>
      </c>
      <c s="18" r="C618">
        <v>4356.43</v>
      </c>
    </row>
    <row r="619">
      <c s="11" r="A619">
        <v>41374</v>
      </c>
      <c t="s" r="B619">
        <v>1064</v>
      </c>
      <c s="18" r="C619">
        <v>4249.89</v>
      </c>
    </row>
    <row r="620">
      <c s="11" r="A620">
        <v>41374</v>
      </c>
      <c t="s" r="B620">
        <v>1065</v>
      </c>
      <c s="18" r="C620">
        <v>6301.06</v>
      </c>
    </row>
    <row r="621">
      <c s="11" r="A621">
        <v>41374</v>
      </c>
      <c t="s" r="B621">
        <v>1066</v>
      </c>
      <c s="18" r="C621">
        <v>4323.6</v>
      </c>
    </row>
    <row r="622">
      <c s="11" r="A622">
        <v>41374</v>
      </c>
      <c t="s" r="B622">
        <v>1067</v>
      </c>
      <c s="18" r="C622">
        <v>3002.31</v>
      </c>
    </row>
    <row r="623">
      <c s="11" r="A623">
        <v>41374</v>
      </c>
      <c t="s" r="B623">
        <v>1068</v>
      </c>
      <c s="18" r="C623">
        <v>3780</v>
      </c>
    </row>
    <row r="624">
      <c s="9" r="A624">
        <v>41368</v>
      </c>
      <c t="s" r="B624">
        <v>1069</v>
      </c>
      <c r="C624">
        <v>1433</v>
      </c>
    </row>
    <row r="625">
      <c s="9" r="A625">
        <v>41368</v>
      </c>
      <c t="s" r="B625">
        <v>1070</v>
      </c>
      <c r="C625">
        <v>304.92</v>
      </c>
    </row>
    <row r="626">
      <c s="9" r="A626">
        <v>41368</v>
      </c>
      <c t="s" r="B626">
        <v>1071</v>
      </c>
      <c r="C626">
        <v>1655.28</v>
      </c>
    </row>
    <row r="627">
      <c s="9" r="A627">
        <v>41368</v>
      </c>
      <c t="s" r="B627">
        <v>1072</v>
      </c>
      <c s="18" r="C627">
        <v>1500</v>
      </c>
    </row>
    <row r="628">
      <c s="9" r="A628">
        <v>41368</v>
      </c>
      <c t="s" r="B628">
        <v>1073</v>
      </c>
      <c s="18" r="C628">
        <v>363</v>
      </c>
    </row>
    <row r="629">
      <c s="9" r="A629">
        <v>41368</v>
      </c>
      <c t="s" r="B629">
        <v>1074</v>
      </c>
      <c s="18" r="C629">
        <v>2541</v>
      </c>
    </row>
    <row r="630">
      <c s="9" r="A630">
        <v>41368</v>
      </c>
      <c t="s" r="B630">
        <v>1075</v>
      </c>
      <c s="18" r="C630">
        <v>30</v>
      </c>
    </row>
    <row r="631">
      <c s="9" r="A631">
        <v>41368</v>
      </c>
      <c t="s" r="B631">
        <v>1076</v>
      </c>
      <c s="18" r="C631">
        <v>180</v>
      </c>
    </row>
    <row r="632">
      <c s="9" r="A632">
        <v>41368</v>
      </c>
      <c t="s" r="B632">
        <v>1077</v>
      </c>
      <c s="18" r="C632">
        <v>108.6</v>
      </c>
    </row>
    <row r="633">
      <c s="9" r="A633">
        <v>41367</v>
      </c>
      <c t="s" r="B633">
        <v>1078</v>
      </c>
      <c s="18" r="C633">
        <v>735.3</v>
      </c>
    </row>
    <row r="634">
      <c s="9" r="A634">
        <v>41367</v>
      </c>
      <c t="s" r="B634">
        <v>1079</v>
      </c>
      <c s="18" r="C634">
        <v>484</v>
      </c>
    </row>
    <row r="635">
      <c s="9" r="A635">
        <v>41361</v>
      </c>
      <c t="s" r="B635">
        <v>1080</v>
      </c>
      <c s="18" r="C635">
        <v>1147.76</v>
      </c>
    </row>
    <row r="636">
      <c s="9" r="A636">
        <v>41360</v>
      </c>
      <c t="s" r="B636">
        <v>1081</v>
      </c>
      <c s="18" r="C636">
        <v>7043.68</v>
      </c>
    </row>
    <row r="637">
      <c s="9" r="A637">
        <v>41360</v>
      </c>
      <c t="s" r="B637">
        <v>1082</v>
      </c>
      <c s="18" r="C637">
        <v>3357.75</v>
      </c>
    </row>
    <row r="638">
      <c s="9" r="A638">
        <v>41360</v>
      </c>
      <c t="s" r="B638">
        <v>1083</v>
      </c>
      <c s="18" r="C638">
        <v>17576</v>
      </c>
    </row>
    <row r="639">
      <c s="9" r="A639">
        <v>41360</v>
      </c>
      <c t="s" r="B639">
        <v>1084</v>
      </c>
      <c s="18" r="C639">
        <v>54064.53</v>
      </c>
    </row>
    <row r="640">
      <c s="9" r="A640">
        <v>41360</v>
      </c>
      <c t="s" r="B640">
        <v>1011</v>
      </c>
      <c s="18" r="C640">
        <v>79592.91</v>
      </c>
    </row>
    <row r="641">
      <c s="9" r="A641">
        <v>41360</v>
      </c>
      <c t="s" r="B641">
        <v>1085</v>
      </c>
      <c s="18" r="C641">
        <v>6544.04</v>
      </c>
    </row>
    <row r="642">
      <c s="9" r="A642">
        <v>41359</v>
      </c>
      <c t="s" r="B642">
        <v>1086</v>
      </c>
      <c s="18" r="C642">
        <v>1018.44</v>
      </c>
    </row>
    <row r="643">
      <c s="9" r="A643">
        <v>41359</v>
      </c>
      <c t="s" r="B643">
        <v>1087</v>
      </c>
      <c s="18" r="C643">
        <v>605</v>
      </c>
    </row>
    <row r="644">
      <c s="9" r="A644">
        <v>41359</v>
      </c>
      <c t="s" r="B644">
        <v>1088</v>
      </c>
      <c s="18" r="C644">
        <v>150</v>
      </c>
    </row>
    <row r="645">
      <c s="9" r="A645">
        <v>41358</v>
      </c>
      <c t="s" r="B645">
        <v>1089</v>
      </c>
      <c s="18" r="C645">
        <v>531.3</v>
      </c>
    </row>
    <row r="646">
      <c s="9" r="A646">
        <v>41358</v>
      </c>
      <c t="s" r="B646">
        <v>1090</v>
      </c>
      <c s="18" r="C646">
        <v>589.02</v>
      </c>
    </row>
    <row r="647">
      <c s="9" r="A647">
        <v>41358</v>
      </c>
      <c t="s" r="B647">
        <v>1091</v>
      </c>
      <c s="18" r="C647">
        <v>639.42</v>
      </c>
    </row>
    <row r="648">
      <c s="9" r="A648">
        <v>41358</v>
      </c>
      <c t="s" r="B648">
        <v>1092</v>
      </c>
      <c s="18" r="C648">
        <v>907.5</v>
      </c>
    </row>
    <row r="649">
      <c s="9" r="A649">
        <v>41358</v>
      </c>
      <c t="s" r="B649">
        <v>1093</v>
      </c>
      <c s="18" r="C649">
        <v>340.31</v>
      </c>
    </row>
    <row r="650">
      <c s="9" r="A650">
        <v>41358</v>
      </c>
      <c t="s" r="B650">
        <v>1094</v>
      </c>
      <c s="18" r="C650">
        <v>627.22</v>
      </c>
    </row>
    <row r="651">
      <c s="9" r="A651">
        <v>41358</v>
      </c>
      <c t="s" r="B651">
        <v>1095</v>
      </c>
      <c s="18" r="C651">
        <v>181.5</v>
      </c>
    </row>
    <row r="652">
      <c s="9" r="A652">
        <v>41358</v>
      </c>
      <c t="s" r="B652">
        <v>1096</v>
      </c>
      <c s="18" r="C652">
        <v>306</v>
      </c>
    </row>
    <row r="653">
      <c s="9" r="A653">
        <v>41358</v>
      </c>
      <c t="s" r="B653">
        <v>1097</v>
      </c>
      <c s="18" r="C653">
        <v>2235.7</v>
      </c>
    </row>
    <row r="654">
      <c s="9" r="A654">
        <v>41355</v>
      </c>
      <c t="s" r="B654">
        <v>1098</v>
      </c>
      <c s="18" r="C654">
        <v>201.22</v>
      </c>
    </row>
    <row r="655">
      <c s="9" r="A655">
        <v>41355</v>
      </c>
      <c t="s" r="B655">
        <v>1099</v>
      </c>
      <c s="18" r="C655">
        <v>871.2</v>
      </c>
    </row>
    <row r="656">
      <c s="9" r="A656">
        <v>41353</v>
      </c>
      <c t="s" r="B656">
        <v>1100</v>
      </c>
      <c s="18" r="C656">
        <v>4940.82</v>
      </c>
    </row>
    <row r="657">
      <c s="9" r="A657">
        <v>41353</v>
      </c>
      <c t="s" r="B657">
        <v>1101</v>
      </c>
      <c s="18" r="C657">
        <v>4804.97</v>
      </c>
    </row>
    <row r="658">
      <c s="9" r="A658">
        <v>41353</v>
      </c>
      <c t="s" r="B658">
        <v>1102</v>
      </c>
      <c s="18" r="C658">
        <v>2500</v>
      </c>
    </row>
    <row r="659">
      <c s="9" r="A659">
        <v>41353</v>
      </c>
      <c t="s" r="B659">
        <v>1103</v>
      </c>
      <c s="18" r="C659">
        <v>1531.62</v>
      </c>
    </row>
    <row r="660">
      <c s="9" r="A660">
        <v>41353</v>
      </c>
      <c t="s" r="B660">
        <v>1104</v>
      </c>
      <c s="18" r="C660">
        <v>551.81</v>
      </c>
    </row>
    <row r="661">
      <c s="9" r="A661">
        <v>41353</v>
      </c>
      <c t="s" r="B661">
        <v>1105</v>
      </c>
      <c s="18" r="C661">
        <v>217.8</v>
      </c>
    </row>
    <row r="662">
      <c s="9" r="A662">
        <v>41348</v>
      </c>
      <c t="s" r="B662">
        <v>1106</v>
      </c>
      <c s="18" r="C662">
        <v>1596.56</v>
      </c>
    </row>
    <row r="663">
      <c s="9" r="A663">
        <v>41348</v>
      </c>
      <c t="s" r="B663">
        <v>1107</v>
      </c>
      <c s="18" r="C663">
        <v>359</v>
      </c>
    </row>
    <row r="664">
      <c s="9" r="A664">
        <v>41348</v>
      </c>
      <c t="s" r="B664">
        <v>1107</v>
      </c>
      <c s="18" r="C664">
        <v>28.9</v>
      </c>
    </row>
    <row r="665">
      <c s="9" r="A665">
        <v>41348</v>
      </c>
      <c t="s" r="B665">
        <v>1107</v>
      </c>
      <c s="18" r="C665">
        <v>70</v>
      </c>
    </row>
    <row r="666">
      <c s="9" r="A666">
        <v>41348</v>
      </c>
      <c t="s" r="B666">
        <v>1107</v>
      </c>
      <c s="18" r="C666">
        <v>138</v>
      </c>
    </row>
    <row r="667">
      <c s="9" r="A667">
        <v>41347</v>
      </c>
      <c t="s" r="B667">
        <v>1108</v>
      </c>
      <c s="18" r="C667">
        <v>735.3</v>
      </c>
    </row>
    <row r="668">
      <c s="9" r="A668">
        <v>41346</v>
      </c>
      <c t="s" r="B668">
        <v>1109</v>
      </c>
      <c s="18" r="C668">
        <v>5648.82</v>
      </c>
    </row>
    <row r="669">
      <c s="9" r="A669">
        <v>41346</v>
      </c>
      <c t="s" r="B669">
        <v>1110</v>
      </c>
      <c s="18" r="C669">
        <v>4356.43</v>
      </c>
    </row>
    <row r="670">
      <c s="9" r="A670">
        <v>41346</v>
      </c>
      <c t="s" r="B670">
        <v>1111</v>
      </c>
      <c s="18" r="C670">
        <v>4762</v>
      </c>
    </row>
    <row r="671">
      <c s="9" r="A671">
        <v>41346</v>
      </c>
      <c t="s" r="B671">
        <v>1112</v>
      </c>
      <c s="18" r="C671">
        <v>8548.65</v>
      </c>
    </row>
    <row r="672">
      <c s="9" r="A672">
        <v>41346</v>
      </c>
      <c t="s" r="B672">
        <v>1113</v>
      </c>
      <c s="18" r="C672">
        <v>3886.6</v>
      </c>
    </row>
    <row r="673">
      <c s="9" r="A673">
        <v>41346</v>
      </c>
      <c t="s" r="B673">
        <v>1037</v>
      </c>
      <c s="18" r="C673">
        <v>4310.5</v>
      </c>
    </row>
    <row r="674">
      <c s="9" r="A674">
        <v>41346</v>
      </c>
      <c t="s" r="B674">
        <v>1037</v>
      </c>
      <c s="18" r="C674">
        <v>3889.05</v>
      </c>
    </row>
    <row r="675">
      <c s="9" r="A675">
        <v>41346</v>
      </c>
      <c t="s" r="B675">
        <v>1114</v>
      </c>
      <c s="18" r="C675">
        <v>1433</v>
      </c>
    </row>
    <row r="676">
      <c s="9" r="A676">
        <v>41346</v>
      </c>
      <c t="s" r="B676">
        <v>1115</v>
      </c>
      <c s="18" r="C676">
        <v>174.24</v>
      </c>
    </row>
    <row r="677">
      <c s="9" r="A677">
        <v>41346</v>
      </c>
      <c t="s" r="B677">
        <v>1116</v>
      </c>
      <c s="18" r="C677">
        <v>38.72</v>
      </c>
    </row>
    <row r="678">
      <c s="9" r="A678">
        <v>41346</v>
      </c>
      <c t="s" r="B678">
        <v>1117</v>
      </c>
      <c s="18" r="C678">
        <v>1275.97</v>
      </c>
    </row>
    <row r="679">
      <c s="9" r="A679">
        <v>41346</v>
      </c>
      <c t="s" r="B679">
        <v>1118</v>
      </c>
      <c s="18" r="C679">
        <v>1883.53</v>
      </c>
    </row>
    <row r="680">
      <c s="9" r="A680">
        <v>41346</v>
      </c>
      <c t="s" r="B680">
        <v>1119</v>
      </c>
      <c s="18" r="C680">
        <v>360</v>
      </c>
    </row>
    <row r="681">
      <c s="9" r="A681">
        <v>41346</v>
      </c>
      <c t="s" r="B681">
        <v>1120</v>
      </c>
      <c s="18" r="C681">
        <v>605</v>
      </c>
    </row>
    <row r="682">
      <c s="11" r="A682">
        <v>41346</v>
      </c>
      <c t="s" r="B682">
        <v>1121</v>
      </c>
      <c s="18" r="C682">
        <v>1716</v>
      </c>
    </row>
    <row r="683">
      <c s="11" r="A683">
        <v>41346</v>
      </c>
      <c t="s" r="B683">
        <v>1122</v>
      </c>
      <c s="18" r="C683">
        <v>26.4</v>
      </c>
    </row>
    <row r="684">
      <c s="11" r="A684">
        <v>41346</v>
      </c>
      <c t="s" r="B684">
        <v>1123</v>
      </c>
      <c s="18" r="C684">
        <v>25.3</v>
      </c>
    </row>
    <row r="685">
      <c s="11" r="A685">
        <v>41346</v>
      </c>
      <c t="s" r="B685">
        <v>1124</v>
      </c>
      <c s="18" r="C685">
        <v>214.5</v>
      </c>
    </row>
    <row r="686">
      <c s="11" r="A686">
        <v>41346</v>
      </c>
      <c t="s" r="B686">
        <v>1125</v>
      </c>
      <c s="18" r="C686">
        <v>495</v>
      </c>
    </row>
    <row r="687">
      <c s="11" r="A687">
        <v>41345</v>
      </c>
      <c t="s" r="B687">
        <v>1126</v>
      </c>
      <c s="18" r="C687">
        <v>330.33</v>
      </c>
    </row>
    <row r="688">
      <c s="11" r="A688">
        <v>41341</v>
      </c>
      <c t="s" r="B688">
        <v>1127</v>
      </c>
      <c s="18" r="C688">
        <v>1930</v>
      </c>
    </row>
    <row r="689">
      <c s="11" r="A689">
        <v>41339</v>
      </c>
      <c t="s" r="B689">
        <v>1064</v>
      </c>
      <c s="18" r="C689">
        <v>4249.89</v>
      </c>
    </row>
    <row r="690">
      <c s="11" r="A690">
        <v>41339</v>
      </c>
      <c t="s" r="B690">
        <v>1128</v>
      </c>
      <c s="18" r="C690">
        <v>7000</v>
      </c>
    </row>
    <row r="691">
      <c s="11" r="A691">
        <v>41339</v>
      </c>
      <c t="s" r="B691">
        <v>1040</v>
      </c>
      <c s="18" r="C691">
        <v>7304.42</v>
      </c>
    </row>
    <row r="692">
      <c s="11" r="A692">
        <v>41339</v>
      </c>
      <c t="s" r="B692">
        <v>504</v>
      </c>
      <c s="18" r="C692">
        <v>7418.32</v>
      </c>
    </row>
    <row r="693">
      <c s="11" r="A693">
        <v>41339</v>
      </c>
      <c t="s" r="B693">
        <v>1129</v>
      </c>
      <c s="18" r="C693">
        <v>18135.73</v>
      </c>
    </row>
    <row r="694">
      <c s="11" r="A694">
        <v>41339</v>
      </c>
      <c t="s" r="B694">
        <v>1130</v>
      </c>
      <c s="18" r="C694">
        <v>15680</v>
      </c>
    </row>
    <row r="695">
      <c s="11" r="A695">
        <v>41339</v>
      </c>
      <c t="s" r="B695">
        <v>1131</v>
      </c>
      <c s="18" r="C695">
        <v>12100</v>
      </c>
    </row>
    <row r="696">
      <c s="11" r="A696">
        <v>41339</v>
      </c>
      <c t="s" r="B696">
        <v>1132</v>
      </c>
      <c s="18" r="C696">
        <v>3905.95</v>
      </c>
    </row>
    <row r="697">
      <c s="11" r="A697">
        <v>41339</v>
      </c>
      <c t="s" r="B697">
        <v>1133</v>
      </c>
      <c s="18" r="C697">
        <v>79592.91</v>
      </c>
    </row>
    <row r="698">
      <c s="11" r="A698">
        <v>41339</v>
      </c>
      <c t="s" r="B698">
        <v>1134</v>
      </c>
      <c s="18" r="C698">
        <v>1052.6</v>
      </c>
    </row>
    <row r="699">
      <c s="11" r="A699">
        <v>41339</v>
      </c>
      <c t="s" r="B699">
        <v>1135</v>
      </c>
      <c s="18" r="C699">
        <v>242</v>
      </c>
    </row>
    <row r="700">
      <c s="11" r="A700">
        <v>41339</v>
      </c>
      <c t="s" r="B700">
        <v>1136</v>
      </c>
      <c s="18" r="C700">
        <v>484</v>
      </c>
    </row>
    <row r="701">
      <c s="11" r="A701">
        <v>41339</v>
      </c>
      <c t="s" r="B701">
        <v>1137</v>
      </c>
      <c s="18" r="C701">
        <v>535.56</v>
      </c>
    </row>
    <row r="702">
      <c s="11" r="A702">
        <v>41337</v>
      </c>
      <c t="s" r="B702">
        <v>1138</v>
      </c>
      <c s="18" r="C702">
        <v>727.78</v>
      </c>
    </row>
    <row r="703">
      <c s="11" r="A703">
        <v>41337</v>
      </c>
      <c t="s" r="B703">
        <v>1139</v>
      </c>
      <c s="18" r="C703">
        <v>1950.52</v>
      </c>
    </row>
    <row r="704">
      <c s="11" r="A704">
        <v>41337</v>
      </c>
      <c t="s" r="B704">
        <v>1140</v>
      </c>
      <c s="18" r="C704">
        <v>2999.47</v>
      </c>
    </row>
    <row r="705">
      <c s="11" r="A705">
        <v>41337</v>
      </c>
      <c t="s" r="B705">
        <v>1141</v>
      </c>
      <c s="18" r="C705">
        <v>859.54</v>
      </c>
    </row>
    <row r="706">
      <c s="11" r="A706">
        <v>41337</v>
      </c>
      <c t="s" r="B706">
        <v>1142</v>
      </c>
      <c s="18" r="C706">
        <v>1500.22</v>
      </c>
    </row>
    <row r="707">
      <c s="11" r="A707">
        <v>41334</v>
      </c>
      <c t="s" r="B707">
        <v>1143</v>
      </c>
      <c s="18" r="C707">
        <v>710.04</v>
      </c>
    </row>
    <row r="708">
      <c s="9" r="A708">
        <v>41333</v>
      </c>
      <c t="s" r="B708">
        <v>1144</v>
      </c>
      <c s="18" r="C708">
        <v>423.5</v>
      </c>
    </row>
    <row r="709">
      <c s="9" r="A709">
        <v>41333</v>
      </c>
      <c t="s" r="B709">
        <v>1145</v>
      </c>
      <c s="18" r="C709">
        <v>423.5</v>
      </c>
    </row>
    <row r="710">
      <c s="9" r="A710">
        <v>41333</v>
      </c>
      <c t="s" r="B710">
        <v>1146</v>
      </c>
      <c s="18" r="C710">
        <v>1815</v>
      </c>
    </row>
    <row r="711">
      <c s="9" r="A711">
        <v>41333</v>
      </c>
      <c t="s" r="B711">
        <v>1147</v>
      </c>
      <c s="18" r="C711">
        <v>40</v>
      </c>
    </row>
    <row r="712">
      <c s="9" r="A712">
        <v>41333</v>
      </c>
      <c t="s" r="B712">
        <v>1148</v>
      </c>
      <c s="18" r="C712">
        <v>137.5</v>
      </c>
    </row>
    <row r="713">
      <c s="9" r="A713">
        <v>41333</v>
      </c>
      <c t="s" r="B713">
        <v>1149</v>
      </c>
      <c s="18" r="C713">
        <v>308</v>
      </c>
    </row>
    <row r="714">
      <c s="9" r="A714">
        <v>41333</v>
      </c>
      <c t="s" r="B714">
        <v>1150</v>
      </c>
      <c s="18" r="C714">
        <v>96.8</v>
      </c>
    </row>
    <row r="715">
      <c s="9" r="A715">
        <v>41333</v>
      </c>
      <c t="s" r="B715">
        <v>1151</v>
      </c>
      <c s="18" r="C715">
        <v>262.35</v>
      </c>
    </row>
    <row r="716">
      <c s="9" r="A716">
        <v>41333</v>
      </c>
      <c t="s" r="B716">
        <v>1152</v>
      </c>
      <c s="18" r="C716">
        <v>26.4</v>
      </c>
    </row>
    <row r="717">
      <c s="9" r="A717">
        <v>41333</v>
      </c>
      <c t="s" r="B717">
        <v>1153</v>
      </c>
      <c s="18" r="C717">
        <v>1108.8</v>
      </c>
    </row>
    <row r="718">
      <c s="11" r="A718">
        <v>41332</v>
      </c>
      <c t="s" r="B718">
        <v>1154</v>
      </c>
      <c s="18" r="C718">
        <v>19676.71</v>
      </c>
    </row>
    <row r="719">
      <c s="11" r="A719">
        <v>41332</v>
      </c>
      <c t="s" r="B719">
        <v>1155</v>
      </c>
      <c s="18" r="C719">
        <v>9391.46</v>
      </c>
    </row>
    <row r="720">
      <c s="11" r="A720">
        <v>41332</v>
      </c>
      <c t="s" r="B720">
        <v>1156</v>
      </c>
      <c s="18" r="C720">
        <v>3010.78</v>
      </c>
    </row>
    <row r="721">
      <c s="11" r="A721">
        <v>41332</v>
      </c>
      <c t="s" r="B721">
        <v>1157</v>
      </c>
      <c s="18" r="C721">
        <v>7865</v>
      </c>
    </row>
    <row r="722">
      <c s="11" r="A722">
        <v>41332</v>
      </c>
      <c t="s" r="B722">
        <v>1158</v>
      </c>
      <c s="18" r="C722">
        <v>4440.7</v>
      </c>
    </row>
    <row r="723">
      <c s="11" r="A723">
        <v>41332</v>
      </c>
      <c t="s" r="B723">
        <v>1159</v>
      </c>
      <c s="18" r="C723">
        <v>6573.6</v>
      </c>
    </row>
    <row r="724">
      <c s="9" r="A724">
        <v>41330</v>
      </c>
      <c t="s" r="B724">
        <v>1160</v>
      </c>
      <c s="18" r="C724">
        <v>278.85</v>
      </c>
    </row>
    <row r="725">
      <c s="9" r="A725">
        <v>41330</v>
      </c>
      <c t="s" r="B725">
        <v>1161</v>
      </c>
      <c s="18" r="C725">
        <v>44</v>
      </c>
    </row>
    <row r="726">
      <c s="9" r="A726">
        <v>41330</v>
      </c>
      <c t="s" r="B726">
        <v>1162</v>
      </c>
      <c s="18" r="C726">
        <v>75.9</v>
      </c>
    </row>
    <row r="727">
      <c s="9" r="A727">
        <v>41330</v>
      </c>
      <c t="s" r="B727">
        <v>1163</v>
      </c>
      <c s="18" r="C727">
        <v>66</v>
      </c>
    </row>
    <row r="728">
      <c s="9" r="A728">
        <v>41330</v>
      </c>
      <c t="s" r="B728">
        <v>1164</v>
      </c>
      <c s="18" r="C728">
        <v>448.8</v>
      </c>
    </row>
    <row r="729">
      <c s="9" r="A729">
        <v>41330</v>
      </c>
      <c t="s" r="B729">
        <v>1165</v>
      </c>
      <c s="18" r="C729">
        <v>380</v>
      </c>
    </row>
    <row r="730">
      <c s="9" r="A730">
        <v>41330</v>
      </c>
      <c t="s" r="B730">
        <v>1166</v>
      </c>
      <c s="18" r="C730">
        <v>390</v>
      </c>
    </row>
    <row r="731">
      <c s="9" r="A731">
        <v>41330</v>
      </c>
      <c t="s" r="B731">
        <v>1167</v>
      </c>
      <c s="18" r="C731">
        <v>743.5</v>
      </c>
    </row>
    <row r="732">
      <c s="9" r="A732">
        <v>41330</v>
      </c>
      <c t="s" r="B732">
        <v>1168</v>
      </c>
      <c s="18" r="C732">
        <v>1053.75</v>
      </c>
    </row>
    <row r="733">
      <c s="11" r="A733">
        <v>41330</v>
      </c>
      <c t="s" r="B733">
        <v>1169</v>
      </c>
      <c s="18" r="C733">
        <v>5147.9</v>
      </c>
    </row>
    <row r="734">
      <c s="11" r="A734">
        <v>41327</v>
      </c>
      <c t="s" r="B734">
        <v>1170</v>
      </c>
      <c s="18" r="C734">
        <v>1997.37</v>
      </c>
    </row>
    <row r="735">
      <c s="11" r="A735">
        <v>41327</v>
      </c>
      <c t="s" r="B735">
        <v>1171</v>
      </c>
      <c s="18" r="C735">
        <v>1647.28</v>
      </c>
    </row>
    <row r="736">
      <c s="11" r="A736">
        <v>41326</v>
      </c>
      <c t="s" r="B736">
        <v>1172</v>
      </c>
      <c s="18" r="C736">
        <v>2431.27</v>
      </c>
    </row>
    <row r="737">
      <c s="11" r="A737">
        <v>41326</v>
      </c>
      <c t="s" r="B737">
        <v>1173</v>
      </c>
      <c s="18" r="C737">
        <v>1000</v>
      </c>
    </row>
    <row r="738">
      <c s="11" r="A738">
        <v>41326</v>
      </c>
      <c t="s" r="B738">
        <v>1174</v>
      </c>
      <c s="18" r="C738">
        <v>1800</v>
      </c>
    </row>
    <row r="739">
      <c s="11" r="A739">
        <v>41326</v>
      </c>
      <c t="s" r="B739">
        <v>1175</v>
      </c>
      <c s="18" r="C739">
        <v>1800</v>
      </c>
    </row>
    <row r="740">
      <c s="11" r="A740">
        <v>41326</v>
      </c>
      <c t="s" r="B740">
        <v>1176</v>
      </c>
      <c s="18" r="C740">
        <v>1800</v>
      </c>
    </row>
    <row r="741">
      <c s="11" r="A741">
        <v>41325</v>
      </c>
      <c t="s" r="B741">
        <v>1177</v>
      </c>
      <c s="18" r="C741">
        <v>289.55</v>
      </c>
    </row>
    <row r="742">
      <c s="11" r="A742">
        <v>41325</v>
      </c>
      <c t="s" r="B742">
        <v>1178</v>
      </c>
      <c s="18" r="C742">
        <v>14188.71</v>
      </c>
    </row>
    <row r="743">
      <c s="11" r="A743">
        <v>41325</v>
      </c>
      <c t="s" r="B743">
        <v>1179</v>
      </c>
      <c s="18" r="C743">
        <v>5445</v>
      </c>
    </row>
    <row r="744">
      <c s="11" r="A744">
        <v>41325</v>
      </c>
      <c t="s" r="B744">
        <v>1180</v>
      </c>
      <c s="18" r="C744">
        <v>4762</v>
      </c>
    </row>
    <row r="745">
      <c s="11" r="A745">
        <v>41325</v>
      </c>
      <c t="s" r="B745">
        <v>1042</v>
      </c>
      <c s="18" r="C745">
        <v>4804.97</v>
      </c>
    </row>
    <row r="746">
      <c s="11" r="A746">
        <v>41325</v>
      </c>
      <c t="s" r="B746">
        <v>1181</v>
      </c>
      <c s="18" r="C746">
        <v>4171.34</v>
      </c>
    </row>
    <row r="747">
      <c s="11" r="A747">
        <v>41325</v>
      </c>
      <c t="s" r="B747">
        <v>1182</v>
      </c>
      <c s="18" r="C747">
        <v>298.55</v>
      </c>
    </row>
    <row r="748">
      <c s="9" r="A748">
        <v>41323</v>
      </c>
      <c t="s" r="B748">
        <v>1183</v>
      </c>
      <c s="18" r="C748">
        <v>1046.8</v>
      </c>
    </row>
    <row r="749">
      <c s="9" r="A749">
        <v>41323</v>
      </c>
      <c t="s" r="B749">
        <v>1184</v>
      </c>
      <c s="18" r="C749">
        <v>4249.52</v>
      </c>
    </row>
    <row r="750">
      <c s="9" r="A750">
        <v>41323</v>
      </c>
      <c t="s" r="B750">
        <v>1185</v>
      </c>
      <c s="18" r="C750">
        <v>23552.99</v>
      </c>
    </row>
    <row r="751">
      <c s="9" r="A751">
        <v>41323</v>
      </c>
      <c t="s" r="B751">
        <v>1186</v>
      </c>
      <c s="18" r="C751">
        <v>2247.38</v>
      </c>
    </row>
    <row r="752">
      <c s="9" r="A752">
        <v>41323</v>
      </c>
      <c t="s" r="B752">
        <v>1187</v>
      </c>
      <c s="18" r="C752">
        <v>334.59</v>
      </c>
    </row>
    <row r="753">
      <c s="9" r="A753">
        <v>41323</v>
      </c>
      <c t="s" r="B753">
        <v>1188</v>
      </c>
      <c s="18" r="C753">
        <v>946.83</v>
      </c>
    </row>
    <row r="754">
      <c s="9" r="A754">
        <v>41323</v>
      </c>
      <c t="s" r="B754">
        <v>1189</v>
      </c>
      <c s="18" r="C754">
        <v>129.6</v>
      </c>
    </row>
    <row r="755">
      <c s="9" r="A755">
        <v>41323</v>
      </c>
      <c t="s" r="B755">
        <v>1190</v>
      </c>
      <c s="18" r="C755">
        <v>7644.82</v>
      </c>
    </row>
    <row r="756">
      <c s="9" r="A756">
        <v>41323</v>
      </c>
      <c t="s" r="B756">
        <v>1191</v>
      </c>
      <c s="18" r="C756">
        <v>4086</v>
      </c>
    </row>
    <row r="757">
      <c s="9" r="A757">
        <v>41323</v>
      </c>
      <c t="s" r="B757">
        <v>1192</v>
      </c>
      <c s="18" r="C757">
        <v>227.76</v>
      </c>
    </row>
    <row r="758">
      <c s="9" r="A758">
        <v>41323</v>
      </c>
      <c t="s" r="B758">
        <v>1193</v>
      </c>
      <c s="18" r="C758">
        <v>1248.09</v>
      </c>
    </row>
    <row r="759">
      <c s="9" r="A759">
        <v>41323</v>
      </c>
      <c t="s" r="B759">
        <v>1194</v>
      </c>
      <c s="18" r="C759">
        <v>4491.74</v>
      </c>
    </row>
    <row r="760">
      <c s="9" r="A760">
        <v>41323</v>
      </c>
      <c t="s" r="B760">
        <v>1195</v>
      </c>
      <c s="18" r="C760">
        <v>9001.25</v>
      </c>
    </row>
    <row r="761">
      <c s="9" r="A761">
        <v>41323</v>
      </c>
      <c t="s" r="B761">
        <v>1195</v>
      </c>
      <c s="18" r="C761">
        <v>1652.24</v>
      </c>
    </row>
    <row r="762">
      <c s="9" r="A762">
        <v>41323</v>
      </c>
      <c t="s" r="B762">
        <v>1196</v>
      </c>
      <c s="18" r="C762">
        <v>4800</v>
      </c>
    </row>
    <row r="763">
      <c s="9" r="A763">
        <v>41323</v>
      </c>
      <c t="s" r="B763">
        <v>1197</v>
      </c>
      <c s="18" r="C763">
        <v>229.04</v>
      </c>
    </row>
    <row r="764">
      <c s="9" r="A764">
        <v>41323</v>
      </c>
      <c t="s" r="B764">
        <v>1198</v>
      </c>
      <c s="18" r="C764">
        <v>888.14</v>
      </c>
    </row>
    <row r="765">
      <c s="9" r="A765">
        <v>41323</v>
      </c>
      <c t="s" r="B765">
        <v>1199</v>
      </c>
      <c s="18" r="C765">
        <v>710.5</v>
      </c>
    </row>
    <row r="766">
      <c s="9" r="A766">
        <v>41323</v>
      </c>
      <c t="s" r="B766">
        <v>1200</v>
      </c>
      <c s="18" r="C766">
        <v>1936</v>
      </c>
    </row>
    <row r="767">
      <c s="9" r="A767">
        <v>41323</v>
      </c>
      <c t="s" r="B767">
        <v>1201</v>
      </c>
      <c s="18" r="C767">
        <v>392.52</v>
      </c>
    </row>
    <row r="768">
      <c s="9" r="A768">
        <v>41323</v>
      </c>
      <c t="s" r="B768">
        <v>1202</v>
      </c>
      <c s="18" r="C768">
        <v>1089</v>
      </c>
    </row>
    <row r="769">
      <c s="9" r="A769">
        <v>41323</v>
      </c>
      <c t="s" r="B769">
        <v>1203</v>
      </c>
      <c s="18" r="C769">
        <v>2204.74</v>
      </c>
    </row>
    <row r="770">
      <c s="9" r="A770">
        <v>41323</v>
      </c>
      <c t="s" r="B770">
        <v>1204</v>
      </c>
      <c s="18" r="C770">
        <v>23976.62</v>
      </c>
    </row>
    <row r="771">
      <c s="9" r="A771">
        <v>41323</v>
      </c>
      <c t="s" r="B771">
        <v>1205</v>
      </c>
      <c s="18" r="C771">
        <v>536.3</v>
      </c>
    </row>
    <row r="772">
      <c s="9" r="A772">
        <v>41323</v>
      </c>
      <c t="s" r="B772">
        <v>1206</v>
      </c>
      <c s="18" r="C772">
        <v>310.75</v>
      </c>
    </row>
    <row r="773">
      <c s="9" r="A773">
        <v>41323</v>
      </c>
      <c t="s" r="B773">
        <v>1207</v>
      </c>
      <c s="18" r="C773">
        <v>52.25</v>
      </c>
    </row>
    <row r="774">
      <c s="9" r="A774">
        <v>41323</v>
      </c>
      <c t="s" r="B774">
        <v>1208</v>
      </c>
      <c s="18" r="C774">
        <v>77</v>
      </c>
    </row>
    <row r="775">
      <c s="9" r="A775">
        <v>41323</v>
      </c>
      <c t="s" r="B775">
        <v>1209</v>
      </c>
      <c s="18" r="C775">
        <v>447.37</v>
      </c>
    </row>
    <row r="776">
      <c s="9" r="A776">
        <v>41323</v>
      </c>
      <c t="s" r="B776">
        <v>1210</v>
      </c>
      <c s="18" r="C776">
        <v>314.7</v>
      </c>
    </row>
    <row r="777">
      <c s="9" r="A777">
        <v>41323</v>
      </c>
      <c t="s" r="B777">
        <v>1211</v>
      </c>
      <c s="18" r="C777">
        <v>900.24</v>
      </c>
    </row>
    <row r="778">
      <c s="9" r="A778">
        <v>41323</v>
      </c>
      <c t="s" r="B778">
        <v>1212</v>
      </c>
      <c s="18" r="C778">
        <v>328.13</v>
      </c>
    </row>
    <row r="779">
      <c s="9" r="A779">
        <v>41323</v>
      </c>
      <c t="s" r="B779">
        <v>1213</v>
      </c>
      <c s="18" r="C779">
        <v>6986.4</v>
      </c>
    </row>
    <row r="780">
      <c s="9" r="A780">
        <v>41323</v>
      </c>
      <c t="s" r="B780">
        <v>1214</v>
      </c>
      <c s="18" r="C780">
        <v>3291.2</v>
      </c>
    </row>
    <row r="781">
      <c s="9" r="A781">
        <v>41323</v>
      </c>
      <c t="s" r="B781">
        <v>1215</v>
      </c>
      <c s="18" r="C781">
        <v>13495.67</v>
      </c>
    </row>
    <row r="782">
      <c s="9" r="A782">
        <v>41323</v>
      </c>
      <c t="s" r="B782">
        <v>1216</v>
      </c>
      <c s="18" r="C782">
        <v>4762</v>
      </c>
    </row>
    <row r="783">
      <c s="9" r="A783">
        <v>41323</v>
      </c>
      <c t="s" r="B783">
        <v>1217</v>
      </c>
      <c s="18" r="C783">
        <v>8548.65</v>
      </c>
    </row>
    <row r="784">
      <c s="9" r="A784">
        <v>41323</v>
      </c>
      <c t="s" r="B784">
        <v>1218</v>
      </c>
      <c s="18" r="C784">
        <v>5217.82</v>
      </c>
    </row>
    <row r="785">
      <c s="9" r="A785">
        <v>41323</v>
      </c>
      <c t="s" r="B785">
        <v>1219</v>
      </c>
      <c s="18" r="C785">
        <v>3242.19</v>
      </c>
    </row>
    <row r="786">
      <c s="9" r="A786">
        <v>41323</v>
      </c>
      <c t="s" r="B786">
        <v>1220</v>
      </c>
      <c s="18" r="C786">
        <v>3334.58</v>
      </c>
    </row>
    <row r="787">
      <c s="9" r="A787">
        <v>41323</v>
      </c>
      <c t="s" r="B787">
        <v>1221</v>
      </c>
      <c s="18" r="C787">
        <v>3502.01</v>
      </c>
    </row>
    <row r="788">
      <c s="9" r="A788">
        <v>41323</v>
      </c>
      <c t="s" r="B788">
        <v>1222</v>
      </c>
      <c s="18" r="C788">
        <v>3035.64</v>
      </c>
    </row>
    <row r="789">
      <c s="9" r="A789">
        <v>41323</v>
      </c>
      <c t="s" r="B789">
        <v>1223</v>
      </c>
      <c s="18" r="C789">
        <v>284.63</v>
      </c>
    </row>
    <row r="790">
      <c s="9" r="A790">
        <v>41323</v>
      </c>
      <c t="s" r="B790">
        <v>1224</v>
      </c>
      <c s="18" r="C790">
        <v>32.08</v>
      </c>
    </row>
    <row r="791">
      <c s="9" r="A791">
        <v>41323</v>
      </c>
      <c t="s" r="B791">
        <v>1225</v>
      </c>
      <c s="18" r="C791">
        <v>2337.24</v>
      </c>
    </row>
    <row r="792">
      <c s="9" r="A792">
        <v>41323</v>
      </c>
      <c t="s" r="B792">
        <v>1226</v>
      </c>
      <c s="18" r="C792">
        <v>1178</v>
      </c>
    </row>
    <row r="793">
      <c s="9" r="A793">
        <v>41323</v>
      </c>
      <c t="s" r="B793">
        <v>1227</v>
      </c>
      <c s="18" r="C793">
        <v>4670.01</v>
      </c>
    </row>
    <row r="794">
      <c s="9" r="A794">
        <v>41323</v>
      </c>
      <c t="s" r="B794">
        <v>1228</v>
      </c>
      <c s="18" r="C794">
        <v>1155</v>
      </c>
    </row>
    <row r="795">
      <c s="9" r="A795">
        <v>41323</v>
      </c>
      <c t="s" r="B795">
        <v>1229</v>
      </c>
      <c s="18" r="C795">
        <v>1000</v>
      </c>
    </row>
    <row r="796">
      <c s="9" r="A796">
        <v>41323</v>
      </c>
      <c t="s" r="B796">
        <v>1230</v>
      </c>
      <c s="18" r="C796">
        <v>1000</v>
      </c>
    </row>
    <row r="797">
      <c s="9" r="A797">
        <v>41323</v>
      </c>
      <c t="s" r="B797">
        <v>1231</v>
      </c>
      <c s="18" r="C797">
        <v>1700</v>
      </c>
    </row>
    <row r="798">
      <c s="9" r="A798">
        <v>41323</v>
      </c>
      <c t="s" r="B798">
        <v>1232</v>
      </c>
      <c s="18" r="C798">
        <v>1948.1</v>
      </c>
    </row>
    <row r="799">
      <c s="9" r="A799">
        <v>41323</v>
      </c>
      <c t="s" r="B799">
        <v>1233</v>
      </c>
      <c s="18" r="C799">
        <v>3734.66</v>
      </c>
    </row>
    <row r="800">
      <c s="9" r="A800">
        <v>41323</v>
      </c>
      <c t="s" r="B800">
        <v>1234</v>
      </c>
      <c s="18" r="C800">
        <v>18754.37</v>
      </c>
    </row>
    <row r="801">
      <c s="9" r="A801">
        <v>41323</v>
      </c>
      <c t="s" r="B801">
        <v>1235</v>
      </c>
      <c s="18" r="C801">
        <v>660</v>
      </c>
    </row>
    <row r="802">
      <c s="9" r="A802">
        <v>41323</v>
      </c>
      <c t="s" r="B802">
        <v>1236</v>
      </c>
      <c s="18" r="C802">
        <v>264</v>
      </c>
    </row>
    <row r="803">
      <c s="9" r="A803">
        <v>41323</v>
      </c>
      <c t="s" r="B803">
        <v>1237</v>
      </c>
      <c s="18" r="C803">
        <v>586</v>
      </c>
    </row>
    <row r="804">
      <c s="9" r="A804">
        <v>41323</v>
      </c>
      <c t="s" r="B804">
        <v>1238</v>
      </c>
      <c s="18" r="C804">
        <v>459.8</v>
      </c>
    </row>
    <row r="805">
      <c s="9" r="A805">
        <v>41323</v>
      </c>
      <c t="s" r="B805">
        <v>1239</v>
      </c>
      <c s="18" r="C805">
        <v>5239.3</v>
      </c>
    </row>
    <row r="806">
      <c s="9" r="A806">
        <v>41323</v>
      </c>
      <c t="s" r="B806">
        <v>1240</v>
      </c>
      <c s="18" r="C806">
        <v>1202.98</v>
      </c>
    </row>
    <row r="807">
      <c s="9" r="A807">
        <v>41323</v>
      </c>
      <c t="s" r="B807">
        <v>1241</v>
      </c>
      <c s="18" r="C807">
        <v>1888.74</v>
      </c>
    </row>
    <row r="808">
      <c s="9" r="A808">
        <v>41323</v>
      </c>
      <c t="s" r="B808">
        <v>1241</v>
      </c>
      <c s="18" r="C808">
        <v>7891.03</v>
      </c>
    </row>
    <row r="809">
      <c s="9" r="A809">
        <v>41323</v>
      </c>
      <c t="s" r="B809">
        <v>1242</v>
      </c>
      <c s="18" r="C809">
        <v>1682.5</v>
      </c>
    </row>
    <row r="810">
      <c s="9" r="A810">
        <v>41323</v>
      </c>
      <c t="s" r="B810">
        <v>1243</v>
      </c>
      <c s="18" r="C810">
        <v>282.66</v>
      </c>
    </row>
    <row r="811">
      <c s="9" r="A811">
        <v>41323</v>
      </c>
      <c t="s" r="B811">
        <v>1244</v>
      </c>
      <c s="18" r="C811">
        <v>346.08</v>
      </c>
    </row>
    <row r="812">
      <c s="9" r="A812">
        <v>41323</v>
      </c>
      <c t="s" r="B812">
        <v>1245</v>
      </c>
      <c s="18" r="C812">
        <v>26.77</v>
      </c>
    </row>
    <row r="813">
      <c s="9" r="A813">
        <v>41323</v>
      </c>
      <c t="s" r="B813">
        <v>1245</v>
      </c>
      <c s="18" r="C813">
        <v>120.71</v>
      </c>
    </row>
    <row r="814">
      <c s="9" r="A814">
        <v>41323</v>
      </c>
      <c t="s" r="B814">
        <v>1246</v>
      </c>
      <c s="18" r="C814">
        <v>2032.8</v>
      </c>
    </row>
    <row r="815">
      <c s="9" r="A815">
        <v>41323</v>
      </c>
      <c t="s" r="B815">
        <v>1247</v>
      </c>
      <c s="18" r="C815">
        <v>181.5</v>
      </c>
    </row>
    <row r="816">
      <c s="9" r="A816">
        <v>41323</v>
      </c>
      <c t="s" r="B816">
        <v>1248</v>
      </c>
      <c s="18" r="C816">
        <v>174.24</v>
      </c>
    </row>
    <row r="817">
      <c s="9" r="A817">
        <v>41323</v>
      </c>
      <c t="s" r="B817">
        <v>1249</v>
      </c>
      <c s="18" r="C817">
        <v>220.22</v>
      </c>
    </row>
    <row r="818">
      <c s="9" r="A818">
        <v>41323</v>
      </c>
      <c t="s" r="B818">
        <v>1250</v>
      </c>
      <c s="18" r="C818">
        <v>343.76</v>
      </c>
    </row>
    <row r="819">
      <c s="9" r="A819">
        <v>41323</v>
      </c>
      <c t="s" r="B819">
        <v>1251</v>
      </c>
      <c s="18" r="C819">
        <v>181.17</v>
      </c>
    </row>
    <row r="820">
      <c s="9" r="A820">
        <v>41323</v>
      </c>
      <c t="s" r="B820">
        <v>1251</v>
      </c>
      <c s="18" r="C820">
        <v>181.17</v>
      </c>
    </row>
    <row r="821">
      <c s="11" r="A821">
        <v>41323</v>
      </c>
      <c t="s" r="B821">
        <v>1252</v>
      </c>
      <c s="18" r="C821">
        <v>125</v>
      </c>
    </row>
    <row r="822">
      <c s="11" r="A822">
        <v>41323</v>
      </c>
      <c t="s" r="B822">
        <v>1253</v>
      </c>
      <c s="18" r="C822">
        <v>175</v>
      </c>
    </row>
    <row r="823">
      <c s="11" r="A823">
        <v>41323</v>
      </c>
      <c t="s" r="B823">
        <v>1254</v>
      </c>
      <c s="18" r="C823">
        <v>281.57</v>
      </c>
    </row>
    <row r="824">
      <c s="11" r="A824">
        <v>41323</v>
      </c>
      <c t="s" r="B824">
        <v>1255</v>
      </c>
      <c s="18" r="C824">
        <v>133.1</v>
      </c>
    </row>
    <row r="825">
      <c s="11" r="A825">
        <v>41323</v>
      </c>
      <c t="s" r="B825">
        <v>1256</v>
      </c>
      <c s="18" r="C825">
        <v>1037.5</v>
      </c>
    </row>
    <row r="826">
      <c s="11" r="A826">
        <v>41323</v>
      </c>
      <c t="s" r="B826">
        <v>1257</v>
      </c>
      <c s="18" r="C826">
        <v>725.42</v>
      </c>
    </row>
    <row r="827">
      <c s="11" r="A827">
        <v>41323</v>
      </c>
      <c t="s" r="B827">
        <v>1258</v>
      </c>
      <c s="18" r="C827">
        <v>130.68</v>
      </c>
    </row>
    <row r="828">
      <c s="11" r="A828">
        <v>41319</v>
      </c>
      <c t="s" r="B828">
        <v>1259</v>
      </c>
      <c s="18" r="C828">
        <v>380</v>
      </c>
    </row>
    <row r="829">
      <c s="11" r="A829">
        <v>41319</v>
      </c>
      <c t="s" r="B829">
        <v>1260</v>
      </c>
      <c s="18" r="C829">
        <v>530.6</v>
      </c>
    </row>
    <row r="830">
      <c s="11" r="A830">
        <v>41319</v>
      </c>
      <c t="s" r="B830">
        <v>1261</v>
      </c>
      <c s="18" r="C830">
        <v>1433</v>
      </c>
    </row>
    <row r="831">
      <c s="11" r="A831">
        <v>41319</v>
      </c>
      <c t="s" r="B831">
        <v>1262</v>
      </c>
      <c s="18" r="C831">
        <v>2783</v>
      </c>
    </row>
    <row r="832">
      <c s="11" r="A832">
        <v>41319</v>
      </c>
      <c t="s" r="B832">
        <v>1263</v>
      </c>
      <c s="18" r="C832">
        <v>700</v>
      </c>
    </row>
    <row r="833">
      <c s="11" r="A833">
        <v>41318</v>
      </c>
      <c t="s" r="B833">
        <v>1264</v>
      </c>
      <c s="18" r="C833">
        <v>3652.2</v>
      </c>
    </row>
    <row r="834">
      <c s="11" r="A834">
        <v>41318</v>
      </c>
      <c t="s" r="B834">
        <v>1265</v>
      </c>
      <c s="18" r="C834">
        <v>4356.43</v>
      </c>
    </row>
    <row r="835">
      <c s="11" r="A835">
        <v>41318</v>
      </c>
      <c t="s" r="B835">
        <v>1266</v>
      </c>
      <c s="18" r="C835">
        <v>7418.32</v>
      </c>
    </row>
    <row r="836">
      <c s="11" r="A836">
        <v>41318</v>
      </c>
      <c t="s" r="B836">
        <v>1267</v>
      </c>
      <c s="18" r="C836">
        <v>60580.8</v>
      </c>
    </row>
    <row r="837">
      <c s="11" r="A837">
        <v>41318</v>
      </c>
      <c t="s" r="B837">
        <v>1268</v>
      </c>
      <c s="18" r="C837">
        <v>3334.58</v>
      </c>
    </row>
    <row r="838">
      <c s="11" r="A838">
        <v>41318</v>
      </c>
      <c t="s" r="B838">
        <v>1221</v>
      </c>
      <c s="18" r="C838">
        <v>3024.54</v>
      </c>
    </row>
    <row r="839">
      <c s="11" r="A839">
        <v>41318</v>
      </c>
      <c t="s" r="B839">
        <v>1222</v>
      </c>
      <c s="18" r="C839">
        <v>3275.64</v>
      </c>
    </row>
    <row r="840">
      <c s="11" r="A840">
        <v>41318</v>
      </c>
      <c t="s" r="B840">
        <v>1269</v>
      </c>
      <c s="18" r="C840">
        <v>1727.88</v>
      </c>
    </row>
    <row r="841">
      <c s="11" r="A841">
        <v>41318</v>
      </c>
      <c t="s" r="B841">
        <v>1270</v>
      </c>
      <c s="18" r="C841">
        <v>408.98</v>
      </c>
    </row>
    <row r="842">
      <c s="11" r="A842">
        <v>41318</v>
      </c>
      <c t="s" r="B842">
        <v>1271</v>
      </c>
      <c s="18" r="C842">
        <v>1565.35</v>
      </c>
    </row>
    <row r="843">
      <c s="11" r="A843">
        <v>41311</v>
      </c>
      <c t="s" r="B843">
        <v>527</v>
      </c>
      <c s="18" r="C843">
        <v>5184.02</v>
      </c>
    </row>
    <row r="844">
      <c s="11" r="A844">
        <v>41311</v>
      </c>
      <c t="s" r="B844">
        <v>527</v>
      </c>
      <c s="18" r="C844">
        <v>3722.49</v>
      </c>
    </row>
    <row r="845">
      <c s="11" r="A845">
        <v>41311</v>
      </c>
      <c t="s" r="B845">
        <v>1272</v>
      </c>
      <c s="18" r="C845">
        <v>5048</v>
      </c>
    </row>
    <row r="846">
      <c s="11" r="A846">
        <v>41311</v>
      </c>
      <c t="s" r="B846">
        <v>512</v>
      </c>
      <c s="18" r="C846">
        <v>3992.44</v>
      </c>
    </row>
    <row r="847">
      <c s="11" r="A847">
        <v>41311</v>
      </c>
      <c t="s" r="B847">
        <v>1273</v>
      </c>
      <c s="18" r="C847">
        <v>9910.37</v>
      </c>
    </row>
    <row r="848">
      <c s="11" r="A848">
        <v>41311</v>
      </c>
      <c t="s" r="B848">
        <v>1274</v>
      </c>
      <c s="18" r="C848">
        <v>4249.89</v>
      </c>
    </row>
    <row r="849">
      <c s="11" r="A849">
        <v>41311</v>
      </c>
      <c t="s" r="B849">
        <v>1275</v>
      </c>
      <c s="18" r="C849">
        <v>17576</v>
      </c>
    </row>
    <row r="850">
      <c s="11" r="A850">
        <v>41311</v>
      </c>
      <c t="s" r="B850">
        <v>1276</v>
      </c>
      <c s="18" r="C850">
        <v>6844.35</v>
      </c>
    </row>
    <row r="851">
      <c s="11" r="A851">
        <v>41311</v>
      </c>
      <c t="s" r="B851">
        <v>1277</v>
      </c>
      <c s="18" r="C851">
        <v>5704.62</v>
      </c>
    </row>
    <row r="852">
      <c s="11" r="A852">
        <v>41311</v>
      </c>
      <c t="s" r="B852">
        <v>1036</v>
      </c>
      <c s="18" r="C852">
        <v>3886.6</v>
      </c>
    </row>
    <row r="853">
      <c s="11" r="A853">
        <v>41311</v>
      </c>
      <c t="s" r="B853">
        <v>1037</v>
      </c>
      <c s="18" r="C853">
        <v>7779.08</v>
      </c>
    </row>
    <row r="854">
      <c s="11" r="A854">
        <v>41311</v>
      </c>
      <c t="s" r="B854">
        <v>1278</v>
      </c>
      <c s="18" r="C854">
        <v>18135.73</v>
      </c>
    </row>
    <row r="855">
      <c s="11" r="A855">
        <v>41311</v>
      </c>
      <c t="s" r="B855">
        <v>1279</v>
      </c>
      <c s="18" r="C855">
        <v>4940.82</v>
      </c>
    </row>
    <row r="856">
      <c s="11" r="A856">
        <v>41311</v>
      </c>
      <c t="s" r="B856">
        <v>1280</v>
      </c>
      <c s="18" r="C856">
        <v>4837.05</v>
      </c>
    </row>
    <row r="857">
      <c s="11" r="A857">
        <v>41311</v>
      </c>
      <c t="s" r="B857">
        <v>1281</v>
      </c>
      <c s="18" r="C857">
        <v>17880.34</v>
      </c>
    </row>
    <row r="858">
      <c s="11" r="A858">
        <v>41309</v>
      </c>
      <c t="s" r="B858">
        <v>1282</v>
      </c>
      <c s="18" r="C858">
        <v>1537.44</v>
      </c>
    </row>
    <row r="859">
      <c s="11" r="A859">
        <v>41309</v>
      </c>
      <c t="s" r="B859">
        <v>1283</v>
      </c>
      <c s="18" r="C859">
        <v>1551.67</v>
      </c>
    </row>
    <row r="860">
      <c s="11" r="A860">
        <v>41309</v>
      </c>
      <c t="s" r="B860">
        <v>1284</v>
      </c>
      <c s="18" r="C860">
        <v>210.01</v>
      </c>
    </row>
    <row r="861">
      <c s="11" r="A861">
        <v>41309</v>
      </c>
      <c t="s" r="B861">
        <v>1285</v>
      </c>
      <c s="18" r="C861">
        <v>1433</v>
      </c>
    </row>
    <row r="862">
      <c s="11" r="A862">
        <v>41309</v>
      </c>
      <c t="s" r="B862">
        <v>1286</v>
      </c>
      <c s="18" r="C862">
        <v>754.18</v>
      </c>
    </row>
    <row r="863">
      <c s="11" r="A863">
        <v>41309</v>
      </c>
      <c t="s" r="B863">
        <v>1287</v>
      </c>
      <c s="18" r="C863">
        <v>2615.49</v>
      </c>
    </row>
    <row r="864">
      <c s="11" r="A864">
        <v>41309</v>
      </c>
      <c t="s" r="B864">
        <v>1288</v>
      </c>
      <c s="18" r="C864">
        <v>1361.79</v>
      </c>
    </row>
    <row r="865">
      <c s="11" r="A865">
        <v>41309</v>
      </c>
      <c t="s" r="B865">
        <v>1289</v>
      </c>
      <c s="18" r="C865">
        <v>726</v>
      </c>
    </row>
    <row r="866">
      <c s="11" r="A866">
        <v>41309</v>
      </c>
      <c t="s" r="B866">
        <v>1290</v>
      </c>
      <c s="18" r="C866">
        <v>155.53</v>
      </c>
    </row>
    <row r="867">
      <c s="11" r="A867">
        <v>41309</v>
      </c>
      <c t="s" r="B867">
        <v>1291</v>
      </c>
      <c s="18" r="C867">
        <v>2156.22</v>
      </c>
    </row>
    <row r="868">
      <c s="11" r="A868">
        <v>41309</v>
      </c>
      <c t="s" r="B868">
        <v>1292</v>
      </c>
      <c s="18" r="C868">
        <v>450</v>
      </c>
    </row>
    <row r="869">
      <c s="11" r="A869">
        <v>41309</v>
      </c>
      <c t="s" r="B869">
        <v>1293</v>
      </c>
      <c s="18" r="C869">
        <v>700</v>
      </c>
    </row>
    <row r="870">
      <c s="11" r="A870">
        <v>41309</v>
      </c>
      <c t="s" r="B870">
        <v>1294</v>
      </c>
      <c s="18" r="C870">
        <v>2860</v>
      </c>
    </row>
    <row r="871">
      <c s="11" r="A871">
        <v>41305</v>
      </c>
      <c t="s" r="B871">
        <v>1295</v>
      </c>
      <c s="18" r="C871">
        <v>956.71</v>
      </c>
    </row>
    <row r="872">
      <c s="11" r="A872">
        <v>41305</v>
      </c>
      <c t="s" r="B872">
        <v>1296</v>
      </c>
      <c s="18" r="C872">
        <v>1452</v>
      </c>
    </row>
    <row r="873">
      <c s="11" r="A873">
        <v>41305</v>
      </c>
      <c t="s" r="B873">
        <v>1297</v>
      </c>
      <c s="18" r="C873">
        <v>1391.5</v>
      </c>
    </row>
    <row r="874">
      <c s="11" r="A874">
        <v>41305</v>
      </c>
      <c t="s" r="B874">
        <v>1298</v>
      </c>
      <c s="18" r="C874">
        <v>1984.4</v>
      </c>
    </row>
    <row r="875">
      <c s="11" r="A875">
        <v>41305</v>
      </c>
      <c t="s" r="B875">
        <v>1299</v>
      </c>
      <c s="18" r="C875">
        <v>314.6</v>
      </c>
    </row>
    <row r="876">
      <c s="11" r="A876">
        <v>41305</v>
      </c>
      <c t="s" r="B876">
        <v>1300</v>
      </c>
      <c s="18" r="C876">
        <v>338.8</v>
      </c>
    </row>
    <row r="877">
      <c s="11" r="A877">
        <v>41303</v>
      </c>
      <c t="s" r="B877">
        <v>1301</v>
      </c>
      <c s="18" r="C877">
        <v>76886.8</v>
      </c>
    </row>
    <row r="878">
      <c s="11" r="A878">
        <v>41303</v>
      </c>
      <c t="s" r="B878">
        <v>1302</v>
      </c>
      <c s="18" r="C878">
        <v>5665.8</v>
      </c>
    </row>
    <row r="879">
      <c s="11" r="A879">
        <v>41303</v>
      </c>
      <c t="s" r="B879">
        <v>1303</v>
      </c>
      <c s="18" r="C879">
        <v>4940.82</v>
      </c>
    </row>
    <row r="880">
      <c s="11" r="A880">
        <v>41303</v>
      </c>
      <c t="s" r="B880">
        <v>1304</v>
      </c>
      <c s="18" r="C880">
        <v>4356.43</v>
      </c>
    </row>
    <row r="881">
      <c s="11" r="A881">
        <v>41303</v>
      </c>
      <c t="s" r="B881">
        <v>1305</v>
      </c>
      <c s="18" r="C881">
        <v>4249.89</v>
      </c>
    </row>
    <row r="882">
      <c s="11" r="A882">
        <v>41303</v>
      </c>
      <c t="s" r="B882">
        <v>1306</v>
      </c>
      <c s="18" r="C882">
        <v>18135.73</v>
      </c>
    </row>
    <row r="883">
      <c s="11" r="A883">
        <v>41303</v>
      </c>
      <c t="s" r="B883">
        <v>1307</v>
      </c>
      <c s="18" r="C883">
        <v>4247.1</v>
      </c>
    </row>
    <row r="884">
      <c s="11" r="A884">
        <v>41290</v>
      </c>
      <c t="s" r="B884">
        <v>1308</v>
      </c>
      <c s="18" r="C884">
        <v>3500</v>
      </c>
    </row>
    <row r="885">
      <c s="11" r="A885">
        <v>41290</v>
      </c>
      <c t="s" r="B885">
        <v>1309</v>
      </c>
      <c s="18" r="C885">
        <v>2783</v>
      </c>
    </row>
    <row r="886">
      <c s="11" r="A886">
        <v>41290</v>
      </c>
      <c t="s" r="B886">
        <v>1310</v>
      </c>
      <c s="18" r="C886">
        <v>2500</v>
      </c>
    </row>
    <row r="887">
      <c s="11" r="A887">
        <v>41290</v>
      </c>
      <c t="s" r="B887">
        <v>1311</v>
      </c>
      <c s="18" r="C887">
        <v>4600</v>
      </c>
    </row>
    <row r="888">
      <c s="11" r="A888">
        <v>41290</v>
      </c>
      <c t="s" r="B888">
        <v>1312</v>
      </c>
      <c s="18" r="C888">
        <v>2904</v>
      </c>
    </row>
    <row r="889">
      <c s="11" r="A889">
        <v>41290</v>
      </c>
      <c t="s" r="B889">
        <v>1313</v>
      </c>
      <c s="18" r="C889">
        <v>2662</v>
      </c>
    </row>
    <row r="890">
      <c s="11" r="A890">
        <v>41290</v>
      </c>
      <c t="s" r="B890">
        <v>1314</v>
      </c>
      <c s="18" r="C890">
        <v>4840</v>
      </c>
    </row>
    <row r="891">
      <c s="11" r="A891">
        <v>41290</v>
      </c>
      <c t="s" r="B891">
        <v>1315</v>
      </c>
      <c s="18" r="C891">
        <v>1361.25</v>
      </c>
    </row>
    <row r="892">
      <c s="11" r="A892">
        <v>41290</v>
      </c>
      <c t="s" r="B892">
        <v>1316</v>
      </c>
      <c s="18" r="C892">
        <v>4400</v>
      </c>
    </row>
    <row r="893">
      <c s="11" r="A893">
        <v>41290</v>
      </c>
      <c t="s" r="B893">
        <v>1317</v>
      </c>
      <c s="18" r="C893">
        <v>5868.5</v>
      </c>
    </row>
    <row r="894">
      <c s="11" r="A894">
        <v>41290</v>
      </c>
      <c t="s" r="B894">
        <v>1318</v>
      </c>
      <c s="18" r="C894">
        <v>2500</v>
      </c>
    </row>
    <row r="895">
      <c s="11" r="A895">
        <v>41290</v>
      </c>
      <c t="s" r="B895">
        <v>1319</v>
      </c>
      <c s="18" r="C895">
        <v>12000</v>
      </c>
    </row>
    <row r="896">
      <c s="11" r="A896">
        <v>41290</v>
      </c>
      <c t="s" r="B896">
        <v>1320</v>
      </c>
      <c s="18" r="C896">
        <v>1699.95</v>
      </c>
    </row>
    <row r="897">
      <c s="11" r="A897">
        <v>41285</v>
      </c>
      <c t="s" r="B897">
        <v>1321</v>
      </c>
      <c s="18" r="C897">
        <v>5005</v>
      </c>
    </row>
    <row r="898">
      <c s="11" r="A898">
        <v>41271</v>
      </c>
      <c t="s" r="B898">
        <v>1322</v>
      </c>
      <c s="18" r="C898">
        <v>718.8</v>
      </c>
    </row>
    <row r="899">
      <c s="11" r="A899">
        <v>41271</v>
      </c>
      <c t="s" r="B899">
        <v>1323</v>
      </c>
      <c s="18" r="C899">
        <v>100</v>
      </c>
    </row>
    <row r="900">
      <c s="9" r="A900">
        <v>41270</v>
      </c>
      <c t="s" r="B900">
        <v>1324</v>
      </c>
      <c s="18" r="C900">
        <v>4940.82</v>
      </c>
    </row>
    <row r="901">
      <c s="9" r="A901">
        <v>41270</v>
      </c>
      <c t="s" r="B901">
        <v>1325</v>
      </c>
      <c s="18" r="C901">
        <v>4356.43</v>
      </c>
    </row>
    <row r="902">
      <c s="9" r="A902">
        <v>41270</v>
      </c>
      <c t="s" r="B902">
        <v>1326</v>
      </c>
      <c s="18" r="C902">
        <v>18135.73</v>
      </c>
    </row>
    <row r="903">
      <c s="9" r="A903">
        <v>41270</v>
      </c>
      <c t="s" r="B903">
        <v>1327</v>
      </c>
      <c s="18" r="C903">
        <v>4762</v>
      </c>
    </row>
    <row r="904">
      <c s="9" r="A904">
        <v>41270</v>
      </c>
      <c t="s" r="B904">
        <v>1328</v>
      </c>
      <c s="18" r="C904">
        <v>8548.45</v>
      </c>
    </row>
    <row r="905">
      <c s="9" r="A905">
        <v>41270</v>
      </c>
      <c t="s" r="B905">
        <v>1329</v>
      </c>
      <c s="18" r="C905">
        <v>6000</v>
      </c>
    </row>
    <row r="906">
      <c s="9" r="A906">
        <v>41270</v>
      </c>
      <c t="s" r="B906">
        <v>1330</v>
      </c>
      <c s="18" r="C906">
        <v>3252.48</v>
      </c>
    </row>
    <row r="907">
      <c s="9" r="A907">
        <v>41270</v>
      </c>
      <c t="s" r="B907">
        <v>1331</v>
      </c>
      <c s="18" r="C907">
        <v>5217.82</v>
      </c>
    </row>
    <row r="908">
      <c s="9" r="A908">
        <v>41270</v>
      </c>
      <c t="s" r="B908">
        <v>1332</v>
      </c>
      <c s="18" r="C908">
        <v>10071.83</v>
      </c>
    </row>
    <row r="909">
      <c s="9" r="A909">
        <v>41270</v>
      </c>
      <c t="s" r="B909">
        <v>1333</v>
      </c>
      <c s="18" r="C909">
        <v>3271.84</v>
      </c>
    </row>
    <row r="910">
      <c s="11" r="A910">
        <v>41263</v>
      </c>
      <c t="s" r="B910">
        <v>1334</v>
      </c>
      <c s="18" r="C910">
        <v>225</v>
      </c>
    </row>
    <row r="911">
      <c s="11" r="A911">
        <v>41263</v>
      </c>
      <c t="s" r="B911">
        <v>1335</v>
      </c>
      <c s="18" r="C911">
        <v>740.52</v>
      </c>
    </row>
    <row r="912">
      <c s="11" r="A912">
        <v>41263</v>
      </c>
      <c t="s" r="B912">
        <v>1336</v>
      </c>
      <c s="18" r="C912">
        <v>430.52</v>
      </c>
    </row>
    <row r="913">
      <c s="9" r="A913">
        <v>41262</v>
      </c>
      <c t="s" r="B913">
        <v>1337</v>
      </c>
      <c s="18" r="C913">
        <v>12191</v>
      </c>
    </row>
    <row r="914">
      <c s="9" r="A914">
        <v>41262</v>
      </c>
      <c t="s" r="B914">
        <v>1338</v>
      </c>
      <c s="18" r="C914">
        <v>14100</v>
      </c>
    </row>
    <row r="915">
      <c s="11" r="A915">
        <v>41262</v>
      </c>
      <c t="s" r="B915">
        <v>1339</v>
      </c>
      <c s="18" r="C915">
        <v>1341.2</v>
      </c>
    </row>
    <row r="916">
      <c s="11" r="A916">
        <v>41262</v>
      </c>
      <c t="s" r="B916">
        <v>1340</v>
      </c>
      <c s="18" r="C916">
        <v>2904</v>
      </c>
    </row>
    <row r="917">
      <c s="11" r="A917">
        <v>41262</v>
      </c>
      <c t="s" r="B917">
        <v>1341</v>
      </c>
      <c s="18" r="C917">
        <v>1452</v>
      </c>
    </row>
    <row r="918">
      <c s="11" r="A918">
        <v>41262</v>
      </c>
      <c t="s" r="B918">
        <v>1342</v>
      </c>
      <c s="18" r="C918">
        <v>2420</v>
      </c>
    </row>
    <row r="919">
      <c s="11" r="A919">
        <v>41262</v>
      </c>
      <c t="s" r="B919">
        <v>1343</v>
      </c>
      <c s="18" r="C919">
        <v>302.5</v>
      </c>
    </row>
    <row r="920">
      <c s="11" r="A920">
        <v>41262</v>
      </c>
      <c t="s" r="B920">
        <v>1344</v>
      </c>
      <c s="18" r="C920">
        <v>2367.03</v>
      </c>
    </row>
    <row r="921">
      <c s="11" r="A921">
        <v>41262</v>
      </c>
      <c t="s" r="B921">
        <v>1345</v>
      </c>
      <c s="18" r="C921">
        <v>2353.54</v>
      </c>
    </row>
    <row r="922">
      <c s="11" r="A922">
        <v>41262</v>
      </c>
      <c t="s" r="B922">
        <v>1346</v>
      </c>
      <c s="18" r="C922">
        <v>2001.34</v>
      </c>
    </row>
    <row r="923">
      <c s="9" r="A923">
        <v>41261</v>
      </c>
      <c t="s" r="B923">
        <v>1178</v>
      </c>
      <c s="18" r="C923">
        <v>22689.3</v>
      </c>
    </row>
    <row r="924">
      <c s="9" r="A924">
        <v>41261</v>
      </c>
      <c t="s" r="B924">
        <v>1347</v>
      </c>
      <c s="18" r="C924">
        <v>3886.6</v>
      </c>
    </row>
    <row r="925">
      <c s="9" r="A925">
        <v>41261</v>
      </c>
      <c t="s" r="B925">
        <v>1348</v>
      </c>
      <c s="18" r="C925">
        <v>7779.08</v>
      </c>
    </row>
    <row r="926">
      <c s="9" r="A926">
        <v>41261</v>
      </c>
      <c t="s" r="B926">
        <v>1349</v>
      </c>
      <c s="18" r="C926">
        <v>4670.01</v>
      </c>
    </row>
    <row r="927">
      <c s="9" r="A927">
        <v>41261</v>
      </c>
      <c t="s" r="B927">
        <v>1350</v>
      </c>
      <c s="18" r="C927">
        <v>3025</v>
      </c>
    </row>
    <row r="928">
      <c s="9" r="A928">
        <v>41261</v>
      </c>
      <c t="s" r="B928">
        <v>1351</v>
      </c>
      <c s="18" r="C928">
        <v>3747.99</v>
      </c>
    </row>
    <row r="929">
      <c s="11" r="A929">
        <v>41261</v>
      </c>
      <c t="s" r="B929">
        <v>1352</v>
      </c>
      <c s="18" r="C929">
        <v>701.36</v>
      </c>
    </row>
    <row r="930">
      <c s="11" r="A930">
        <v>41261</v>
      </c>
      <c t="s" r="B930">
        <v>1353</v>
      </c>
      <c s="18" r="C930">
        <v>919.6</v>
      </c>
    </row>
    <row r="931">
      <c s="11" r="A931">
        <v>41261</v>
      </c>
      <c t="s" r="B931">
        <v>1354</v>
      </c>
      <c s="18" r="C931">
        <v>490</v>
      </c>
    </row>
    <row r="932">
      <c s="11" r="A932">
        <v>41261</v>
      </c>
      <c t="s" r="B932">
        <v>1355</v>
      </c>
      <c s="18" r="C932">
        <v>984</v>
      </c>
    </row>
    <row r="933">
      <c s="11" r="A933">
        <v>41261</v>
      </c>
      <c t="s" r="B933">
        <v>1356</v>
      </c>
      <c s="18" r="C933">
        <v>828.11</v>
      </c>
    </row>
    <row r="934">
      <c s="11" r="A934">
        <v>41260</v>
      </c>
      <c t="s" r="B934">
        <v>1357</v>
      </c>
      <c s="18" r="C934">
        <v>209</v>
      </c>
    </row>
    <row r="935">
      <c s="9" r="A935">
        <v>41255</v>
      </c>
      <c t="s" r="B935">
        <v>1358</v>
      </c>
      <c s="18" r="C935">
        <v>4249.89</v>
      </c>
    </row>
    <row r="936">
      <c s="9" r="A936">
        <v>41255</v>
      </c>
      <c t="s" r="B936">
        <v>1359</v>
      </c>
      <c s="18" r="C936">
        <v>3334.38</v>
      </c>
    </row>
    <row r="937">
      <c s="9" r="A937">
        <v>41255</v>
      </c>
      <c t="s" r="B937">
        <v>1360</v>
      </c>
      <c s="18" r="C937">
        <v>77349.8</v>
      </c>
    </row>
    <row r="938">
      <c s="9" r="A938">
        <v>41248</v>
      </c>
      <c t="s" r="B938">
        <v>1361</v>
      </c>
      <c s="18" r="C938">
        <v>3949.43</v>
      </c>
    </row>
    <row r="939">
      <c s="11" r="A939">
        <v>41243</v>
      </c>
      <c t="s" r="B939">
        <v>1362</v>
      </c>
      <c s="18" r="C939">
        <v>2739.44</v>
      </c>
    </row>
    <row r="940">
      <c s="11" r="A940">
        <v>41242</v>
      </c>
      <c t="s" r="B940">
        <v>1363</v>
      </c>
      <c s="18" r="C940">
        <v>2070.92</v>
      </c>
    </row>
    <row r="941">
      <c s="11" r="A941">
        <v>41242</v>
      </c>
      <c t="s" r="B941">
        <v>1364</v>
      </c>
      <c s="18" r="C941">
        <v>161.46</v>
      </c>
    </row>
    <row r="942">
      <c s="11" r="A942">
        <v>41242</v>
      </c>
      <c t="s" r="B942">
        <v>1365</v>
      </c>
      <c s="18" r="C942">
        <v>663.08</v>
      </c>
    </row>
    <row r="943">
      <c s="9" r="A943">
        <v>41241</v>
      </c>
      <c t="s" r="B943">
        <v>1366</v>
      </c>
      <c s="18" r="C943">
        <v>8336.7</v>
      </c>
    </row>
    <row r="944">
      <c s="9" r="A944">
        <v>41241</v>
      </c>
      <c t="s" r="B944">
        <v>1100</v>
      </c>
      <c s="18" r="C944">
        <v>4940.82</v>
      </c>
    </row>
    <row r="945">
      <c s="9" r="A945">
        <v>41241</v>
      </c>
      <c t="s" r="B945">
        <v>1325</v>
      </c>
      <c s="18" r="C945">
        <v>4356.43</v>
      </c>
    </row>
    <row r="946">
      <c s="9" r="A946">
        <v>41241</v>
      </c>
      <c t="s" r="B946">
        <v>1367</v>
      </c>
      <c s="18" r="C946">
        <v>18135.73</v>
      </c>
    </row>
    <row r="947">
      <c s="9" r="A947">
        <v>41241</v>
      </c>
      <c t="s" r="B947">
        <v>1368</v>
      </c>
      <c s="18" r="C947">
        <v>3428.34</v>
      </c>
    </row>
    <row r="948">
      <c s="9" r="A948">
        <v>41241</v>
      </c>
      <c t="s" r="B948">
        <v>1369</v>
      </c>
      <c s="18" r="C948">
        <v>3993</v>
      </c>
    </row>
    <row r="949">
      <c s="9" r="A949">
        <v>41241</v>
      </c>
      <c t="s" r="B949">
        <v>1370</v>
      </c>
      <c s="18" r="C949">
        <v>1500.08</v>
      </c>
    </row>
    <row r="950">
      <c s="11" r="A950">
        <v>41241</v>
      </c>
      <c t="s" r="B950">
        <v>1371</v>
      </c>
      <c s="18" r="C950">
        <v>2090.88</v>
      </c>
    </row>
    <row r="951">
      <c s="11" r="A951">
        <v>41241</v>
      </c>
      <c t="s" r="B951">
        <v>1372</v>
      </c>
      <c s="18" r="C951">
        <v>1187.98</v>
      </c>
    </row>
    <row r="952">
      <c s="9" r="A952">
        <v>41234</v>
      </c>
      <c t="s" r="B952">
        <v>1373</v>
      </c>
      <c s="18" r="C952">
        <v>2522.84</v>
      </c>
    </row>
    <row r="953">
      <c s="9" r="A953">
        <v>41234</v>
      </c>
      <c t="s" r="B953">
        <v>1374</v>
      </c>
      <c s="18" r="C953">
        <v>7865</v>
      </c>
    </row>
    <row r="954">
      <c s="9" r="A954">
        <v>41234</v>
      </c>
      <c t="s" r="B954">
        <v>1375</v>
      </c>
      <c s="18" r="C954">
        <v>4670.01</v>
      </c>
    </row>
    <row r="955">
      <c s="9" r="A955">
        <v>41226</v>
      </c>
      <c t="s" r="B955">
        <v>1376</v>
      </c>
      <c s="18" r="C955">
        <v>3886.6</v>
      </c>
    </row>
    <row r="956">
      <c s="9" r="A956">
        <v>41226</v>
      </c>
      <c t="s" r="B956">
        <v>1377</v>
      </c>
      <c s="18" r="C956">
        <v>7779.08</v>
      </c>
    </row>
    <row r="957">
      <c s="9" r="A957">
        <v>41226</v>
      </c>
      <c t="s" r="B957">
        <v>1378</v>
      </c>
      <c s="18" r="C957">
        <v>4762</v>
      </c>
      <c s="7" r="D957"/>
    </row>
    <row r="958">
      <c s="9" r="A958">
        <v>41226</v>
      </c>
      <c t="s" r="B958">
        <v>1331</v>
      </c>
      <c s="18" r="C958">
        <v>5217.82</v>
      </c>
    </row>
    <row r="959">
      <c s="9" r="A959">
        <v>41226</v>
      </c>
      <c t="s" r="B959">
        <v>1379</v>
      </c>
      <c s="18" r="C959">
        <v>3391.17</v>
      </c>
    </row>
    <row r="960">
      <c s="9" r="A960">
        <v>41226</v>
      </c>
      <c t="s" r="B960">
        <v>1351</v>
      </c>
      <c s="18" r="C960">
        <v>5217.02</v>
      </c>
    </row>
    <row r="961">
      <c s="11" r="A961">
        <v>41222</v>
      </c>
      <c t="s" r="B961">
        <v>1380</v>
      </c>
      <c s="18" r="C961">
        <v>808.5</v>
      </c>
    </row>
    <row r="962">
      <c s="11" r="A962">
        <v>41222</v>
      </c>
      <c t="s" r="B962">
        <v>1381</v>
      </c>
      <c s="18" r="C962">
        <v>114.4</v>
      </c>
    </row>
    <row r="963">
      <c s="11" r="A963">
        <v>41222</v>
      </c>
      <c t="s" r="B963">
        <v>1382</v>
      </c>
      <c s="18" r="C963">
        <v>154</v>
      </c>
    </row>
    <row r="964">
      <c s="11" r="A964">
        <v>41222</v>
      </c>
      <c t="s" r="B964">
        <v>1383</v>
      </c>
      <c s="18" r="C964">
        <v>132</v>
      </c>
    </row>
    <row r="965">
      <c s="11" r="A965">
        <v>41222</v>
      </c>
      <c t="s" r="B965">
        <v>1384</v>
      </c>
      <c s="18" r="C965">
        <v>110</v>
      </c>
    </row>
    <row r="966">
      <c s="11" r="A966">
        <v>41222</v>
      </c>
      <c t="s" r="B966">
        <v>1385</v>
      </c>
      <c s="18" r="C966">
        <v>145.2</v>
      </c>
    </row>
    <row r="967">
      <c s="11" r="A967">
        <v>41221</v>
      </c>
      <c t="s" r="B967">
        <v>1386</v>
      </c>
      <c s="18" r="C967"/>
    </row>
    <row r="968">
      <c s="11" r="A968">
        <v>41221</v>
      </c>
      <c t="s" r="B968">
        <v>1387</v>
      </c>
      <c s="18" r="C968">
        <v>443.68</v>
      </c>
    </row>
    <row r="969">
      <c s="11" r="A969">
        <v>41221</v>
      </c>
      <c t="s" r="B969">
        <v>1388</v>
      </c>
      <c s="18" r="C969">
        <v>1228.38</v>
      </c>
    </row>
    <row r="970">
      <c s="11" r="A970">
        <v>41221</v>
      </c>
      <c t="s" r="B970">
        <v>1389</v>
      </c>
      <c s="18" r="C970">
        <v>933.81</v>
      </c>
    </row>
    <row r="971">
      <c s="11" r="A971">
        <v>41221</v>
      </c>
      <c t="s" r="B971">
        <v>1390</v>
      </c>
      <c s="18" r="C971">
        <v>1936</v>
      </c>
    </row>
    <row r="972">
      <c s="11" r="A972">
        <v>41221</v>
      </c>
      <c t="s" r="B972">
        <v>1391</v>
      </c>
      <c s="18" r="C972">
        <v>300</v>
      </c>
    </row>
    <row r="973">
      <c s="11" r="A973">
        <v>41221</v>
      </c>
      <c t="s" r="B973">
        <v>1392</v>
      </c>
      <c s="18" r="C973">
        <v>132.3</v>
      </c>
    </row>
    <row r="974">
      <c s="11" r="A974">
        <v>41221</v>
      </c>
      <c t="s" r="B974">
        <v>1393</v>
      </c>
      <c s="18" r="C974">
        <v>388.8</v>
      </c>
    </row>
    <row r="975">
      <c s="11" r="A975">
        <v>41221</v>
      </c>
      <c t="s" r="B975">
        <v>1394</v>
      </c>
      <c s="18" r="C975">
        <v>82.08</v>
      </c>
    </row>
    <row r="976">
      <c s="11" r="A976">
        <v>41221</v>
      </c>
      <c t="s" r="B976">
        <v>1395</v>
      </c>
      <c s="18" r="C976">
        <v>100.98</v>
      </c>
    </row>
    <row r="977">
      <c s="11" r="A977">
        <v>41221</v>
      </c>
      <c t="s" r="B977">
        <v>1396</v>
      </c>
      <c s="18" r="C977">
        <v>43.2</v>
      </c>
    </row>
    <row r="978">
      <c s="11" r="A978">
        <v>41221</v>
      </c>
      <c t="s" r="B978">
        <v>1397</v>
      </c>
      <c s="18" r="C978">
        <v>259.2</v>
      </c>
    </row>
    <row r="979">
      <c s="11" r="A979">
        <v>41221</v>
      </c>
      <c t="s" r="B979">
        <v>1398</v>
      </c>
      <c s="18" r="C979">
        <v>440</v>
      </c>
    </row>
    <row r="980">
      <c s="11" r="A980">
        <v>41221</v>
      </c>
      <c t="s" r="B980">
        <v>1399</v>
      </c>
      <c s="18" r="C980">
        <v>1433</v>
      </c>
    </row>
    <row r="981">
      <c s="11" r="A981">
        <v>41220</v>
      </c>
      <c t="s" r="B981">
        <v>1400</v>
      </c>
      <c s="18" r="C981">
        <v>4249.89</v>
      </c>
    </row>
    <row r="982">
      <c s="11" r="A982">
        <v>41220</v>
      </c>
      <c t="s" r="B982">
        <v>1401</v>
      </c>
      <c s="18" r="C982">
        <v>4670.01</v>
      </c>
    </row>
    <row r="983">
      <c s="11" r="A983">
        <v>41220</v>
      </c>
      <c t="s" r="B983">
        <v>1402</v>
      </c>
      <c s="18" r="C983">
        <v>7865</v>
      </c>
    </row>
    <row r="984">
      <c s="11" r="A984">
        <v>41220</v>
      </c>
      <c t="s" r="B984">
        <v>977</v>
      </c>
      <c s="18" r="C984">
        <v>5671.39</v>
      </c>
    </row>
    <row r="985">
      <c s="11" r="A985">
        <v>41220</v>
      </c>
      <c t="s" r="B985">
        <v>1403</v>
      </c>
      <c s="18" r="C985">
        <v>3630</v>
      </c>
    </row>
    <row r="986">
      <c s="11" r="A986">
        <v>41220</v>
      </c>
      <c t="s" r="B986">
        <v>1404</v>
      </c>
      <c s="18" r="C986">
        <v>17246</v>
      </c>
    </row>
    <row r="987">
      <c s="9" r="A987">
        <v>41218</v>
      </c>
      <c t="s" r="B987">
        <v>1405</v>
      </c>
      <c s="18" r="C987">
        <v>400</v>
      </c>
    </row>
    <row r="988">
      <c s="9" r="A988">
        <v>41218</v>
      </c>
      <c t="s" r="B988">
        <v>1406</v>
      </c>
      <c s="18" r="C988">
        <v>2360</v>
      </c>
    </row>
    <row r="989">
      <c s="9" r="A989">
        <v>41218</v>
      </c>
      <c t="s" r="B989">
        <v>1407</v>
      </c>
      <c s="18" r="C989">
        <v>129.6</v>
      </c>
    </row>
    <row r="990">
      <c s="9" r="A990">
        <v>41218</v>
      </c>
      <c t="s" r="B990">
        <v>1408</v>
      </c>
      <c s="18" r="C990">
        <v>665.5</v>
      </c>
    </row>
    <row r="991">
      <c s="9" r="A991">
        <v>41218</v>
      </c>
      <c t="s" r="B991">
        <v>1409</v>
      </c>
      <c s="18" r="C991">
        <v>434.51</v>
      </c>
    </row>
    <row r="992">
      <c s="9" r="A992">
        <v>41218</v>
      </c>
      <c t="s" r="B992">
        <v>1410</v>
      </c>
      <c s="18" r="C992">
        <v>2423.5</v>
      </c>
    </row>
    <row r="993">
      <c s="9" r="A993">
        <v>41218</v>
      </c>
      <c t="s" r="B993">
        <v>1411</v>
      </c>
      <c s="18" r="C993">
        <v>1724.25</v>
      </c>
    </row>
    <row r="994">
      <c s="9" r="A994">
        <v>41218</v>
      </c>
      <c t="s" r="B994">
        <v>1412</v>
      </c>
      <c s="18" r="C994">
        <v>648.2</v>
      </c>
    </row>
    <row r="995">
      <c s="9" r="A995">
        <v>41218</v>
      </c>
      <c t="s" r="B995">
        <v>1413</v>
      </c>
      <c s="18" r="C995">
        <v>1531.62</v>
      </c>
    </row>
    <row r="996">
      <c s="9" r="A996">
        <v>41218</v>
      </c>
      <c t="s" r="B996">
        <v>1414</v>
      </c>
      <c s="18" r="C996">
        <v>847</v>
      </c>
    </row>
    <row r="997">
      <c s="9" r="A997">
        <v>41218</v>
      </c>
      <c t="s" r="B997">
        <v>1415</v>
      </c>
      <c s="18" r="C997">
        <v>428</v>
      </c>
    </row>
    <row r="998">
      <c s="9" r="A998">
        <v>41218</v>
      </c>
      <c t="s" r="B998">
        <v>1416</v>
      </c>
      <c s="18" r="C998">
        <v>847</v>
      </c>
    </row>
    <row r="999">
      <c s="9" r="A999">
        <v>41218</v>
      </c>
      <c t="s" r="B999">
        <v>1417</v>
      </c>
      <c s="18" r="C999">
        <v>605</v>
      </c>
    </row>
    <row r="1000">
      <c s="9" r="A1000">
        <v>41218</v>
      </c>
      <c t="s" r="B1000">
        <v>1418</v>
      </c>
      <c s="18" r="C1000">
        <v>1433</v>
      </c>
    </row>
    <row r="1001">
      <c s="9" r="A1001">
        <v>41218</v>
      </c>
      <c t="s" r="B1001">
        <v>1419</v>
      </c>
      <c s="18" r="C1001">
        <v>1210</v>
      </c>
    </row>
    <row r="1002">
      <c s="9" r="A1002">
        <v>41211</v>
      </c>
      <c t="s" r="B1002">
        <v>1420</v>
      </c>
      <c s="18" r="C1002">
        <v>20054.56</v>
      </c>
    </row>
    <row r="1003">
      <c s="9" r="A1003">
        <v>41211</v>
      </c>
      <c t="s" r="B1003">
        <v>1421</v>
      </c>
      <c s="18" r="C1003">
        <v>994.33</v>
      </c>
    </row>
    <row r="1004">
      <c s="9" r="A1004">
        <v>41208</v>
      </c>
      <c t="s" r="B1004">
        <v>1422</v>
      </c>
      <c s="18" r="C1004">
        <v>77349.8</v>
      </c>
    </row>
    <row r="1005">
      <c s="11" r="A1005">
        <v>41208</v>
      </c>
      <c t="s" r="B1005">
        <v>1423</v>
      </c>
      <c s="18" r="C1005">
        <v>3886.6</v>
      </c>
    </row>
    <row r="1006">
      <c s="11" r="A1006">
        <v>41208</v>
      </c>
      <c t="s" r="B1006">
        <v>1424</v>
      </c>
      <c s="18" r="C1006">
        <v>7779.08</v>
      </c>
    </row>
    <row r="1007">
      <c s="11" r="A1007">
        <v>41208</v>
      </c>
      <c t="s" r="B1007">
        <v>1368</v>
      </c>
      <c s="18" r="C1007">
        <v>4235</v>
      </c>
    </row>
    <row r="1008">
      <c s="11" r="A1008">
        <v>41208</v>
      </c>
      <c t="s" r="B1008">
        <v>1156</v>
      </c>
      <c s="18" r="C1008">
        <v>4507.25</v>
      </c>
    </row>
    <row r="1009">
      <c s="11" r="A1009">
        <v>41208</v>
      </c>
      <c t="s" r="B1009">
        <v>1379</v>
      </c>
      <c s="18" r="C1009">
        <v>4570.4</v>
      </c>
    </row>
    <row r="1010">
      <c s="11" r="A1010">
        <v>41208</v>
      </c>
      <c t="s" r="B1010">
        <v>1351</v>
      </c>
      <c s="18" r="C1010">
        <v>5682.63</v>
      </c>
    </row>
    <row r="1011">
      <c s="11" r="A1011">
        <v>41199</v>
      </c>
      <c t="s" r="B1011">
        <v>1425</v>
      </c>
      <c s="18" r="C1011">
        <v>2333.34</v>
      </c>
    </row>
    <row r="1012">
      <c s="11" r="A1012">
        <v>41198</v>
      </c>
      <c t="s" r="B1012">
        <v>1426</v>
      </c>
      <c s="18" r="C1012">
        <v>291.01</v>
      </c>
    </row>
    <row r="1013">
      <c s="11" r="A1013">
        <v>41198</v>
      </c>
      <c t="s" r="B1013">
        <v>1427</v>
      </c>
      <c s="18" r="C1013">
        <v>1308.11</v>
      </c>
    </row>
    <row r="1014">
      <c s="11" r="A1014">
        <v>41198</v>
      </c>
      <c t="s" r="B1014">
        <v>1428</v>
      </c>
      <c s="18" r="C1014">
        <v>302.5</v>
      </c>
    </row>
    <row r="1015">
      <c s="11" r="A1015">
        <v>41198</v>
      </c>
      <c t="s" r="B1015">
        <v>1429</v>
      </c>
      <c s="18" r="C1015">
        <v>2350</v>
      </c>
    </row>
    <row r="1016">
      <c s="11" r="A1016">
        <v>41198</v>
      </c>
      <c t="s" r="B1016">
        <v>1430</v>
      </c>
      <c s="18" r="C1016">
        <v>652.54</v>
      </c>
    </row>
    <row r="1017">
      <c s="11" r="A1017">
        <v>41198</v>
      </c>
      <c t="s" r="B1017">
        <v>1431</v>
      </c>
      <c s="18" r="C1017">
        <v>842.16</v>
      </c>
    </row>
    <row r="1018">
      <c s="11" r="A1018">
        <v>41197</v>
      </c>
      <c t="s" r="B1018">
        <v>1432</v>
      </c>
      <c s="18" r="C1018">
        <v>6660.1</v>
      </c>
    </row>
    <row r="1019">
      <c s="11" r="A1019">
        <v>41197</v>
      </c>
      <c t="s" r="B1019">
        <v>1433</v>
      </c>
      <c s="18" r="C1019">
        <v>3330.37</v>
      </c>
    </row>
    <row r="1020">
      <c s="11" r="A1020">
        <v>41197</v>
      </c>
      <c t="s" r="B1020">
        <v>1434</v>
      </c>
      <c s="18" r="C1020">
        <v>5997.8</v>
      </c>
    </row>
    <row r="1021">
      <c s="11" r="A1021">
        <v>41197</v>
      </c>
      <c t="s" r="B1021">
        <v>1435</v>
      </c>
      <c s="18" r="C1021">
        <v>7865</v>
      </c>
    </row>
    <row r="1022">
      <c s="11" r="A1022">
        <v>41197</v>
      </c>
      <c t="s" r="B1022">
        <v>1436</v>
      </c>
      <c s="18" r="C1022">
        <v>29620.98</v>
      </c>
    </row>
    <row r="1023">
      <c s="11" r="A1023">
        <v>41197</v>
      </c>
      <c t="s" r="B1023">
        <v>1437</v>
      </c>
      <c s="18" r="C1023">
        <v>5747.5</v>
      </c>
    </row>
    <row r="1024">
      <c s="11" r="A1024">
        <v>41197</v>
      </c>
      <c t="s" r="B1024">
        <v>1438</v>
      </c>
      <c s="18" r="C1024">
        <v>21570.87</v>
      </c>
    </row>
    <row r="1025">
      <c s="11" r="A1025">
        <v>41197</v>
      </c>
      <c t="s" r="B1025">
        <v>1100</v>
      </c>
      <c s="18" r="C1025">
        <v>4940.82</v>
      </c>
    </row>
    <row r="1026">
      <c s="11" r="A1026">
        <v>41197</v>
      </c>
      <c t="s" r="B1026">
        <v>1439</v>
      </c>
      <c s="18" r="C1026">
        <v>4762</v>
      </c>
    </row>
    <row r="1027">
      <c s="11" r="A1027">
        <v>41197</v>
      </c>
      <c t="s" r="B1027">
        <v>1440</v>
      </c>
      <c s="18" r="C1027">
        <v>2646.69</v>
      </c>
    </row>
    <row r="1028">
      <c s="11" r="A1028">
        <v>41197</v>
      </c>
      <c t="s" r="B1028">
        <v>1441</v>
      </c>
      <c s="18" r="C1028">
        <v>1816.21</v>
      </c>
    </row>
    <row r="1029">
      <c s="11" r="A1029">
        <v>41197</v>
      </c>
      <c t="s" r="B1029">
        <v>1442</v>
      </c>
      <c s="18" r="C1029">
        <v>2390.96</v>
      </c>
    </row>
    <row r="1030">
      <c s="11" r="A1030">
        <v>41197</v>
      </c>
      <c t="s" r="B1030">
        <v>1443</v>
      </c>
      <c s="18" r="C1030">
        <v>2643.2</v>
      </c>
    </row>
    <row r="1031">
      <c s="11" r="A1031">
        <v>41197</v>
      </c>
      <c t="s" r="B1031">
        <v>1444</v>
      </c>
      <c s="18" r="C1031">
        <v>840.28</v>
      </c>
    </row>
    <row r="1032">
      <c s="11" r="A1032">
        <v>41197</v>
      </c>
      <c t="s" r="B1032">
        <v>1445</v>
      </c>
      <c s="18" r="C1032">
        <v>2942.72</v>
      </c>
    </row>
    <row r="1033">
      <c s="11" r="A1033">
        <v>41197</v>
      </c>
      <c t="s" r="B1033">
        <v>1446</v>
      </c>
      <c s="18" r="C1033">
        <v>30</v>
      </c>
    </row>
    <row r="1034">
      <c s="11" r="A1034">
        <v>41197</v>
      </c>
      <c t="s" r="B1034">
        <v>1447</v>
      </c>
      <c s="18" r="C1034">
        <v>1706.35</v>
      </c>
    </row>
    <row r="1035">
      <c s="11" r="A1035">
        <v>41197</v>
      </c>
      <c t="s" r="B1035">
        <v>1448</v>
      </c>
      <c s="18" r="C1035">
        <v>803.24</v>
      </c>
    </row>
    <row r="1036">
      <c s="11" r="A1036">
        <v>41197</v>
      </c>
      <c t="s" r="B1036">
        <v>1449</v>
      </c>
      <c s="18" r="C1036">
        <v>312.44</v>
      </c>
    </row>
    <row r="1037">
      <c s="9" r="A1037">
        <v>41193</v>
      </c>
      <c t="s" r="B1037">
        <v>1450</v>
      </c>
      <c s="18" r="C1037">
        <v>180</v>
      </c>
    </row>
    <row r="1038">
      <c s="9" r="A1038">
        <v>41193</v>
      </c>
      <c t="s" r="B1038">
        <v>1451</v>
      </c>
      <c s="18" r="C1038">
        <v>1274.4</v>
      </c>
    </row>
    <row r="1039">
      <c s="9" r="A1039">
        <v>41193</v>
      </c>
      <c t="s" r="B1039">
        <v>1452</v>
      </c>
      <c s="18" r="C1039">
        <v>705.58</v>
      </c>
    </row>
    <row r="1040">
      <c s="9" r="A1040">
        <v>41193</v>
      </c>
      <c t="s" r="B1040">
        <v>1453</v>
      </c>
      <c s="18" r="C1040">
        <v>605</v>
      </c>
    </row>
    <row r="1041">
      <c s="9" r="A1041">
        <v>41193</v>
      </c>
      <c t="s" r="B1041">
        <v>1454</v>
      </c>
      <c s="18" r="C1041">
        <v>718.8</v>
      </c>
    </row>
    <row r="1042">
      <c s="11" r="A1042">
        <v>41192</v>
      </c>
      <c t="s" r="B1042">
        <v>1455</v>
      </c>
      <c s="18" r="C1042">
        <v>4249.89</v>
      </c>
    </row>
    <row r="1043">
      <c s="11" r="A1043">
        <v>41192</v>
      </c>
      <c t="s" r="B1043">
        <v>1456</v>
      </c>
      <c s="18" r="C1043">
        <v>8923.2</v>
      </c>
    </row>
    <row r="1044">
      <c s="11" r="A1044">
        <v>41192</v>
      </c>
      <c t="s" r="B1044">
        <v>1457</v>
      </c>
      <c s="18" r="C1044">
        <v>6000</v>
      </c>
    </row>
    <row r="1045">
      <c s="11" r="A1045">
        <v>41192</v>
      </c>
      <c t="s" r="B1045">
        <v>1458</v>
      </c>
      <c s="18" r="C1045">
        <v>8090</v>
      </c>
    </row>
    <row r="1046">
      <c s="11" r="A1046">
        <v>41192</v>
      </c>
      <c t="s" r="B1046">
        <v>1459</v>
      </c>
      <c s="18" r="C1046">
        <v>5122.95</v>
      </c>
    </row>
    <row r="1047">
      <c s="11" r="A1047">
        <v>41192</v>
      </c>
      <c t="s" r="B1047">
        <v>1460</v>
      </c>
      <c s="18" r="C1047">
        <v>5217.82</v>
      </c>
    </row>
    <row r="1048">
      <c s="11" r="A1048">
        <v>41185</v>
      </c>
      <c t="s" r="B1048">
        <v>1461</v>
      </c>
      <c s="18" r="C1048">
        <v>1500</v>
      </c>
    </row>
    <row r="1049">
      <c s="11" r="A1049">
        <v>41185</v>
      </c>
      <c t="s" r="B1049">
        <v>1462</v>
      </c>
      <c s="18" r="C1049">
        <v>5013.34</v>
      </c>
    </row>
    <row r="1050">
      <c s="11" r="A1050">
        <v>41185</v>
      </c>
      <c t="s" r="B1050">
        <v>1462</v>
      </c>
      <c s="18" r="C1050">
        <v>5250.67</v>
      </c>
    </row>
    <row r="1051">
      <c s="11" r="A1051">
        <v>41185</v>
      </c>
      <c t="s" r="B1051">
        <v>1463</v>
      </c>
      <c s="18" r="C1051">
        <v>8900</v>
      </c>
    </row>
    <row r="1052">
      <c s="11" r="A1052">
        <v>41185</v>
      </c>
      <c t="s" r="B1052">
        <v>1464</v>
      </c>
      <c s="18" r="C1052">
        <v>5500</v>
      </c>
    </row>
    <row r="1053">
      <c s="11" r="A1053">
        <v>41171</v>
      </c>
      <c t="s" r="B1053">
        <v>1465</v>
      </c>
      <c s="18" r="C1053">
        <v>1900.83</v>
      </c>
    </row>
    <row r="1054">
      <c s="11" r="A1054">
        <v>41171</v>
      </c>
      <c t="s" r="B1054">
        <v>1466</v>
      </c>
      <c s="18" r="C1054">
        <v>2500</v>
      </c>
    </row>
    <row r="1055">
      <c s="11" r="A1055">
        <v>41171</v>
      </c>
      <c t="s" r="B1055">
        <v>1467</v>
      </c>
      <c s="18" r="C1055">
        <v>5000</v>
      </c>
    </row>
    <row r="1056">
      <c s="11" r="A1056">
        <v>41171</v>
      </c>
      <c t="s" r="B1056">
        <v>1468</v>
      </c>
      <c s="18" r="C1056">
        <v>2892.56</v>
      </c>
    </row>
    <row r="1057">
      <c s="11" r="A1057">
        <v>41171</v>
      </c>
      <c t="s" r="B1057">
        <v>1469</v>
      </c>
      <c s="18" r="C1057">
        <v>1650</v>
      </c>
    </row>
    <row r="1058">
      <c s="11" r="A1058">
        <v>41171</v>
      </c>
      <c t="s" r="B1058">
        <v>1470</v>
      </c>
      <c s="18" r="C1058">
        <v>2300</v>
      </c>
    </row>
    <row r="1059">
      <c s="11" r="A1059">
        <v>41171</v>
      </c>
      <c t="s" r="B1059">
        <v>1471</v>
      </c>
      <c s="18" r="C1059">
        <v>6400</v>
      </c>
    </row>
    <row r="1060">
      <c s="11" r="A1060">
        <v>41171</v>
      </c>
      <c t="s" r="B1060">
        <v>1472</v>
      </c>
      <c s="18" r="C1060">
        <v>2750</v>
      </c>
    </row>
    <row r="1061">
      <c s="11" r="A1061">
        <v>41171</v>
      </c>
      <c t="s" r="B1061">
        <v>1473</v>
      </c>
      <c s="18" r="C1061">
        <v>3500</v>
      </c>
    </row>
    <row r="1062">
      <c s="11" r="A1062">
        <v>41171</v>
      </c>
      <c t="s" r="B1062">
        <v>1474</v>
      </c>
      <c s="18" r="C1062">
        <v>77349.8</v>
      </c>
    </row>
    <row r="1063">
      <c s="11" r="A1063">
        <v>41170</v>
      </c>
      <c t="s" r="B1063">
        <v>1475</v>
      </c>
      <c s="18" r="C1063">
        <v>3043.61</v>
      </c>
    </row>
    <row r="1064">
      <c s="11" r="A1064">
        <v>41170</v>
      </c>
      <c t="s" r="B1064">
        <v>1476</v>
      </c>
      <c s="18" r="C1064">
        <v>4100</v>
      </c>
    </row>
    <row r="1065">
      <c s="11" r="A1065">
        <v>41170</v>
      </c>
      <c t="s" r="B1065">
        <v>1439</v>
      </c>
      <c s="18" r="C1065">
        <v>4755.9</v>
      </c>
    </row>
    <row r="1066">
      <c s="11" r="A1066">
        <v>41170</v>
      </c>
      <c t="s" r="B1066">
        <v>1477</v>
      </c>
      <c s="18" r="C1066">
        <v>4554.22</v>
      </c>
    </row>
    <row r="1067">
      <c s="11" r="A1067">
        <v>41170</v>
      </c>
      <c t="s" r="B1067">
        <v>1478</v>
      </c>
      <c s="18" r="C1067">
        <v>5122.95</v>
      </c>
    </row>
    <row r="1068">
      <c s="11" r="A1068">
        <v>41170</v>
      </c>
      <c t="s" r="B1068">
        <v>1435</v>
      </c>
      <c s="18" r="C1068">
        <v>7670</v>
      </c>
    </row>
    <row r="1069">
      <c s="11" r="A1069">
        <v>41170</v>
      </c>
      <c t="s" r="B1069">
        <v>1479</v>
      </c>
      <c s="18" r="C1069">
        <v>14474.66</v>
      </c>
    </row>
    <row r="1070">
      <c s="11" r="A1070">
        <v>41170</v>
      </c>
      <c t="s" r="B1070">
        <v>1480</v>
      </c>
      <c s="18" r="C1070">
        <v>8336.7</v>
      </c>
    </row>
    <row r="1071">
      <c s="11" r="A1071">
        <v>41170</v>
      </c>
      <c t="s" r="B1071">
        <v>1481</v>
      </c>
      <c s="18" r="C1071">
        <v>8336.7</v>
      </c>
    </row>
    <row r="1072">
      <c s="11" r="A1072">
        <v>41170</v>
      </c>
      <c t="s" r="B1072">
        <v>1482</v>
      </c>
      <c s="18" r="C1072">
        <v>8326.23</v>
      </c>
    </row>
    <row r="1073">
      <c s="11" r="A1073">
        <v>41170</v>
      </c>
      <c t="s" r="B1073">
        <v>1483</v>
      </c>
      <c s="18" r="C1073">
        <v>4713</v>
      </c>
    </row>
    <row r="1074">
      <c s="11" r="A1074">
        <v>41170</v>
      </c>
      <c t="s" r="B1074">
        <v>1484</v>
      </c>
      <c s="18" r="C1074">
        <v>4755.9</v>
      </c>
    </row>
    <row r="1075">
      <c s="11" r="A1075">
        <v>41170</v>
      </c>
      <c t="s" r="B1075">
        <v>1485</v>
      </c>
      <c s="18" r="C1075">
        <v>7605.63</v>
      </c>
    </row>
    <row r="1076">
      <c s="11" r="A1076">
        <v>41170</v>
      </c>
      <c t="s" r="B1076">
        <v>1486</v>
      </c>
      <c s="18" r="C1076">
        <v>3619.56</v>
      </c>
    </row>
    <row r="1077">
      <c s="11" r="A1077">
        <v>41170</v>
      </c>
      <c t="s" r="B1077">
        <v>1487</v>
      </c>
      <c s="18" r="C1077">
        <v>7280</v>
      </c>
    </row>
    <row r="1078">
      <c s="11" r="A1078">
        <v>41170</v>
      </c>
      <c t="s" r="B1078">
        <v>1488</v>
      </c>
      <c s="18" r="C1078">
        <v>4249.89</v>
      </c>
    </row>
    <row r="1079">
      <c s="11" r="A1079">
        <v>41170</v>
      </c>
      <c t="s" r="B1079">
        <v>1478</v>
      </c>
      <c s="18" r="C1079">
        <v>5122.95</v>
      </c>
    </row>
    <row r="1080">
      <c s="11" r="A1080">
        <v>41170</v>
      </c>
      <c t="s" r="B1080">
        <v>1489</v>
      </c>
      <c s="18" r="C1080">
        <v>39997.81</v>
      </c>
    </row>
    <row r="1081">
      <c s="11" r="A1081">
        <v>41170</v>
      </c>
      <c t="s" r="B1081">
        <v>1490</v>
      </c>
      <c s="18" r="C1081">
        <v>5900</v>
      </c>
    </row>
    <row r="1082">
      <c s="11" r="A1082">
        <v>41169</v>
      </c>
      <c t="s" r="B1082">
        <v>1491</v>
      </c>
      <c s="18" r="C1082">
        <v>1449.04</v>
      </c>
    </row>
    <row r="1083">
      <c s="11" r="A1083">
        <v>41169</v>
      </c>
      <c t="s" r="B1083">
        <v>1492</v>
      </c>
      <c s="18" r="C1083">
        <v>660.8</v>
      </c>
    </row>
    <row r="1084">
      <c s="11" r="A1084">
        <v>41169</v>
      </c>
      <c t="s" r="B1084">
        <v>1493</v>
      </c>
      <c s="18" r="C1084">
        <v>802.87</v>
      </c>
    </row>
    <row r="1085">
      <c s="11" r="A1085">
        <v>41169</v>
      </c>
      <c t="s" r="B1085">
        <v>1494</v>
      </c>
      <c s="18" r="C1085">
        <v>995</v>
      </c>
    </row>
    <row r="1086">
      <c s="11" r="A1086">
        <v>41169</v>
      </c>
      <c t="s" r="B1086">
        <v>1495</v>
      </c>
      <c s="18" r="C1086">
        <v>2761.2</v>
      </c>
    </row>
    <row r="1087">
      <c s="11" r="A1087">
        <v>41169</v>
      </c>
      <c t="s" r="B1087">
        <v>1496</v>
      </c>
      <c s="18" r="C1087">
        <v>948.72</v>
      </c>
    </row>
    <row r="1088">
      <c s="11" r="A1088">
        <v>41165</v>
      </c>
      <c t="s" r="B1088">
        <v>1497</v>
      </c>
      <c s="18" r="C1088">
        <v>2409.15</v>
      </c>
    </row>
    <row r="1089">
      <c s="11" r="A1089">
        <v>41165</v>
      </c>
      <c t="s" r="B1089">
        <v>1498</v>
      </c>
      <c s="18" r="C1089">
        <v>1680.23</v>
      </c>
    </row>
    <row r="1090">
      <c s="11" r="A1090">
        <v>41165</v>
      </c>
      <c t="s" r="B1090">
        <v>1499</v>
      </c>
      <c s="18" r="C1090">
        <v>30.75</v>
      </c>
    </row>
    <row r="1091">
      <c s="11" r="A1091">
        <v>41165</v>
      </c>
      <c t="s" r="B1091">
        <v>1500</v>
      </c>
      <c s="18" r="C1091">
        <v>1770</v>
      </c>
    </row>
    <row r="1092">
      <c s="11" r="A1092">
        <v>41165</v>
      </c>
      <c t="s" r="B1092">
        <v>1501</v>
      </c>
      <c s="18" r="C1092">
        <v>885</v>
      </c>
    </row>
    <row r="1093">
      <c s="11" r="A1093">
        <v>41165</v>
      </c>
      <c t="s" r="B1093">
        <v>1502</v>
      </c>
      <c s="18" r="C1093">
        <v>296</v>
      </c>
    </row>
    <row r="1094">
      <c s="11" r="A1094">
        <v>41165</v>
      </c>
      <c t="s" r="B1094">
        <v>1503</v>
      </c>
      <c s="18" r="C1094">
        <v>1829</v>
      </c>
    </row>
    <row r="1095">
      <c s="11" r="A1095">
        <v>41165</v>
      </c>
      <c t="s" r="B1095">
        <v>1504</v>
      </c>
      <c s="18" r="C1095">
        <v>1168.2</v>
      </c>
    </row>
    <row r="1096">
      <c s="11" r="A1096">
        <v>41165</v>
      </c>
      <c t="s" r="B1096">
        <v>1505</v>
      </c>
      <c s="18" r="C1096">
        <v>1262.01</v>
      </c>
    </row>
    <row r="1097">
      <c s="11" r="A1097">
        <v>41165</v>
      </c>
      <c t="s" r="B1097">
        <v>1506</v>
      </c>
      <c s="18" r="C1097">
        <v>566.4</v>
      </c>
    </row>
    <row r="1098">
      <c s="11" r="A1098">
        <v>41164</v>
      </c>
      <c t="s" r="B1098">
        <v>1507</v>
      </c>
      <c s="18" r="C1098">
        <v>7605.63</v>
      </c>
    </row>
    <row r="1099">
      <c s="11" r="A1099">
        <v>41164</v>
      </c>
      <c t="s" r="B1099">
        <v>1508</v>
      </c>
      <c s="18" r="C1099">
        <v>3619.56</v>
      </c>
    </row>
    <row r="1100">
      <c s="11" r="A1100">
        <v>41164</v>
      </c>
      <c t="s" r="B1100">
        <v>1509</v>
      </c>
      <c s="18" r="C1100">
        <v>12923.52</v>
      </c>
    </row>
    <row r="1101">
      <c s="11" r="A1101">
        <v>41164</v>
      </c>
      <c t="s" r="B1101">
        <v>1510</v>
      </c>
      <c s="18" r="C1101">
        <v>5900</v>
      </c>
    </row>
    <row r="1102">
      <c s="11" r="A1102">
        <v>41164</v>
      </c>
      <c t="s" r="B1102">
        <v>1511</v>
      </c>
      <c s="18" r="C1102">
        <v>6475</v>
      </c>
    </row>
    <row r="1103">
      <c s="11" r="A1103">
        <v>41164</v>
      </c>
      <c t="s" r="B1103">
        <v>1512</v>
      </c>
      <c s="18" r="C1103">
        <v>6549</v>
      </c>
    </row>
    <row r="1104">
      <c s="11" r="A1104">
        <v>41164</v>
      </c>
      <c t="s" r="B1104">
        <v>575</v>
      </c>
      <c s="18" r="C1104">
        <v>60000</v>
      </c>
    </row>
    <row r="1105">
      <c s="11" r="A1105">
        <v>41164</v>
      </c>
      <c t="s" r="B1105">
        <v>1513</v>
      </c>
      <c s="18" r="C1105">
        <v>17741</v>
      </c>
    </row>
    <row r="1106">
      <c s="11" r="A1106">
        <v>41164</v>
      </c>
      <c t="s" r="B1106">
        <v>1514</v>
      </c>
      <c s="18" r="C1106">
        <v>4818.33</v>
      </c>
    </row>
    <row r="1107">
      <c s="11" r="A1107">
        <v>41164</v>
      </c>
      <c t="s" r="B1107">
        <v>1515</v>
      </c>
      <c s="18" r="C1107">
        <v>4818.33</v>
      </c>
    </row>
    <row r="1108">
      <c s="11" r="A1108">
        <v>41164</v>
      </c>
      <c t="s" r="B1108">
        <v>1367</v>
      </c>
      <c s="18" r="C1108">
        <v>17499.98</v>
      </c>
    </row>
    <row r="1109">
      <c s="11" r="A1109">
        <v>41164</v>
      </c>
      <c t="s" r="B1109">
        <v>1325</v>
      </c>
      <c s="18" r="C1109">
        <v>4356.43</v>
      </c>
    </row>
    <row r="1110">
      <c s="11" r="A1110">
        <v>41163</v>
      </c>
      <c t="s" r="B1110">
        <v>1516</v>
      </c>
      <c s="18" r="C1110">
        <v>2111.3</v>
      </c>
    </row>
    <row r="1111">
      <c s="11" r="A1111">
        <v>41158</v>
      </c>
      <c t="s" r="B1111">
        <v>1517</v>
      </c>
      <c s="18" r="C1111">
        <v>330.4</v>
      </c>
    </row>
    <row r="1112">
      <c s="11" r="A1112">
        <v>41158</v>
      </c>
      <c t="s" r="B1112">
        <v>1518</v>
      </c>
      <c s="18" r="C1112">
        <v>632.48</v>
      </c>
    </row>
    <row r="1113">
      <c s="9" r="A1113">
        <v>41157</v>
      </c>
      <c t="s" r="B1113">
        <v>1519</v>
      </c>
      <c s="18" r="C1113">
        <v>75943.44</v>
      </c>
    </row>
    <row r="1114">
      <c s="11" r="A1114">
        <v>41157</v>
      </c>
      <c t="s" r="B1114">
        <v>1520</v>
      </c>
      <c t="s" s="18" r="C1114">
        <v>1521</v>
      </c>
    </row>
    <row r="1115">
      <c s="11" r="A1115">
        <v>41156</v>
      </c>
      <c t="s" r="B1115">
        <v>1522</v>
      </c>
      <c s="18" r="C1115">
        <v>2196.5</v>
      </c>
    </row>
    <row r="1116">
      <c s="11" r="A1116">
        <v>41156</v>
      </c>
      <c t="s" r="B1116">
        <v>1523</v>
      </c>
      <c s="18" r="C1116">
        <v>287.36</v>
      </c>
    </row>
    <row r="1117">
      <c s="11" r="A1117">
        <v>41155</v>
      </c>
      <c t="s" r="B1117">
        <v>1524</v>
      </c>
      <c s="18" r="C1117">
        <v>5997.8</v>
      </c>
    </row>
    <row r="1118">
      <c s="11" r="A1118">
        <v>41123</v>
      </c>
      <c t="s" r="B1118">
        <v>1525</v>
      </c>
      <c s="18" r="C1118">
        <v>1534</v>
      </c>
    </row>
    <row r="1119">
      <c s="11" r="A1119">
        <v>41123</v>
      </c>
      <c t="s" r="B1119">
        <v>1526</v>
      </c>
      <c s="18" r="C1119">
        <v>1416</v>
      </c>
    </row>
    <row r="1120">
      <c s="11" r="A1120">
        <v>41123</v>
      </c>
      <c t="s" r="B1120">
        <v>1527</v>
      </c>
      <c s="18" r="C1120">
        <v>2775</v>
      </c>
    </row>
    <row r="1121">
      <c s="9" r="A1121">
        <v>41121</v>
      </c>
      <c t="s" r="B1121">
        <v>1528</v>
      </c>
      <c s="18" r="C1121">
        <v>4480.46</v>
      </c>
    </row>
    <row r="1122">
      <c s="11" r="A1122">
        <v>41117</v>
      </c>
      <c t="s" r="B1122">
        <v>1529</v>
      </c>
      <c s="18" r="C1122">
        <v>1123.36</v>
      </c>
    </row>
    <row r="1123">
      <c s="11" r="A1123">
        <v>41116</v>
      </c>
      <c t="s" r="B1123">
        <v>1530</v>
      </c>
      <c s="18" r="C1123">
        <v>705.73</v>
      </c>
    </row>
    <row r="1124">
      <c s="11" r="A1124">
        <v>41116</v>
      </c>
      <c t="s" r="B1124">
        <v>1531</v>
      </c>
      <c t="s" s="18" r="C1124">
        <v>1532</v>
      </c>
    </row>
    <row r="1125">
      <c s="11" r="A1125">
        <v>41116</v>
      </c>
      <c t="s" r="B1125">
        <v>1533</v>
      </c>
      <c s="18" r="C1125">
        <v>1457.07</v>
      </c>
    </row>
    <row r="1126">
      <c s="11" r="A1126">
        <v>41116</v>
      </c>
      <c t="s" r="B1126">
        <v>1534</v>
      </c>
      <c s="18" r="C1126">
        <v>2107</v>
      </c>
    </row>
    <row r="1127">
      <c s="11" r="A1127">
        <v>41116</v>
      </c>
      <c t="s" r="B1127">
        <v>1535</v>
      </c>
      <c s="18" r="C1127">
        <v>1433</v>
      </c>
    </row>
    <row r="1128">
      <c s="11" r="A1128">
        <v>41116</v>
      </c>
      <c t="s" r="B1128">
        <v>1536</v>
      </c>
      <c s="18" r="C1128">
        <v>2500</v>
      </c>
    </row>
    <row r="1129">
      <c s="11" r="A1129">
        <v>41116</v>
      </c>
      <c t="s" r="B1129">
        <v>1537</v>
      </c>
      <c s="18" r="C1129">
        <v>785.97</v>
      </c>
    </row>
    <row r="1130">
      <c s="11" r="A1130">
        <v>41116</v>
      </c>
      <c t="s" r="B1130">
        <v>1538</v>
      </c>
      <c s="18" r="C1130">
        <v>625.03</v>
      </c>
    </row>
    <row r="1131">
      <c s="11" r="A1131">
        <v>41116</v>
      </c>
      <c t="s" r="B1131">
        <v>1539</v>
      </c>
      <c s="18" r="C1131">
        <v>807.78</v>
      </c>
    </row>
    <row r="1132">
      <c s="11" r="A1132">
        <v>41116</v>
      </c>
      <c t="s" r="B1132">
        <v>1540</v>
      </c>
      <c s="18" r="C1132">
        <v>1006.54</v>
      </c>
    </row>
    <row r="1133">
      <c s="11" r="A1133">
        <v>41116</v>
      </c>
      <c t="s" r="B1133">
        <v>1541</v>
      </c>
      <c s="18" r="C1133">
        <v>954</v>
      </c>
    </row>
    <row r="1134">
      <c s="11" r="A1134">
        <v>41115</v>
      </c>
      <c t="s" r="B1134">
        <v>1542</v>
      </c>
      <c s="18" r="C1134">
        <v>1888</v>
      </c>
    </row>
    <row r="1135">
      <c s="11" r="A1135">
        <v>41115</v>
      </c>
      <c t="s" r="B1135">
        <v>1543</v>
      </c>
      <c s="18" r="C1135">
        <v>1536</v>
      </c>
    </row>
    <row r="1136">
      <c s="11" r="A1136">
        <v>41115</v>
      </c>
      <c t="s" r="B1136">
        <v>1544</v>
      </c>
      <c s="18" r="C1136">
        <v>6415.2</v>
      </c>
    </row>
    <row r="1137">
      <c s="11" r="A1137">
        <v>41115</v>
      </c>
      <c t="s" r="B1137">
        <v>1545</v>
      </c>
      <c s="18" r="C1137">
        <v>34999.98</v>
      </c>
    </row>
    <row r="1138">
      <c s="11" r="A1138">
        <v>41115</v>
      </c>
      <c t="s" r="B1138">
        <v>1546</v>
      </c>
      <c s="18" r="C1138">
        <v>8171.87</v>
      </c>
    </row>
    <row r="1139">
      <c s="11" r="A1139">
        <v>41115</v>
      </c>
      <c t="s" r="B1139">
        <v>1547</v>
      </c>
      <c s="18" r="C1139">
        <v>4249.82</v>
      </c>
    </row>
    <row r="1140">
      <c s="11" r="A1140">
        <v>41115</v>
      </c>
      <c t="s" r="B1140">
        <v>1548</v>
      </c>
      <c s="18" r="C1140">
        <v>4276.46</v>
      </c>
    </row>
    <row r="1141">
      <c s="9" r="A1141">
        <v>41115</v>
      </c>
      <c t="s" r="B1141">
        <v>1549</v>
      </c>
      <c s="18" r="C1141">
        <v>4306.53</v>
      </c>
    </row>
    <row r="1142">
      <c s="9" r="A1142">
        <v>41115</v>
      </c>
      <c t="s" r="B1142">
        <v>1550</v>
      </c>
      <c s="18" r="C1142">
        <v>5627.15</v>
      </c>
    </row>
    <row r="1143">
      <c s="9" r="A1143">
        <v>41115</v>
      </c>
      <c t="s" r="B1143">
        <v>1488</v>
      </c>
      <c s="18" r="C1143">
        <v>4249.89</v>
      </c>
    </row>
    <row r="1144">
      <c s="9" r="A1144">
        <v>41115</v>
      </c>
      <c t="s" r="B1144">
        <v>1551</v>
      </c>
      <c s="18" r="C1144">
        <v>24225</v>
      </c>
    </row>
    <row r="1145">
      <c s="9" r="A1145">
        <v>41115</v>
      </c>
      <c t="s" r="B1145">
        <v>1552</v>
      </c>
      <c s="18" r="C1145">
        <v>7670</v>
      </c>
    </row>
    <row r="1146">
      <c s="9" r="A1146">
        <v>41115</v>
      </c>
      <c t="s" r="B1146">
        <v>1553</v>
      </c>
      <c s="18" r="C1146">
        <v>4569.31</v>
      </c>
    </row>
    <row r="1147">
      <c s="9" r="A1147">
        <v>41115</v>
      </c>
      <c t="s" r="B1147">
        <v>1554</v>
      </c>
      <c s="18" r="C1147">
        <v>18999.36</v>
      </c>
    </row>
    <row r="1148">
      <c s="9" r="A1148">
        <v>41115</v>
      </c>
      <c t="s" r="B1148">
        <v>1555</v>
      </c>
      <c s="18" r="C1148">
        <v>14474.67</v>
      </c>
    </row>
    <row r="1149">
      <c s="11" r="A1149">
        <v>41113</v>
      </c>
      <c t="s" r="B1149">
        <v>1556</v>
      </c>
      <c s="18" r="C1149">
        <v>2842.4</v>
      </c>
    </row>
    <row r="1150">
      <c s="11" r="A1150">
        <v>41113</v>
      </c>
      <c t="s" r="B1150">
        <v>1557</v>
      </c>
      <c s="18" r="C1150">
        <v>579.48</v>
      </c>
    </row>
    <row r="1151">
      <c s="11" r="A1151">
        <v>41113</v>
      </c>
      <c t="s" r="B1151">
        <v>1558</v>
      </c>
      <c s="18" r="C1151">
        <v>279.41</v>
      </c>
    </row>
    <row r="1152">
      <c s="9" r="A1152">
        <v>41108</v>
      </c>
      <c t="s" r="B1152">
        <v>1559</v>
      </c>
      <c s="18" r="C1152">
        <v>7517.91</v>
      </c>
    </row>
    <row r="1153">
      <c s="11" r="A1153">
        <v>41101</v>
      </c>
      <c t="s" r="B1153">
        <v>1560</v>
      </c>
      <c s="18" r="C1153">
        <v>42480</v>
      </c>
    </row>
    <row r="1154">
      <c s="11" r="A1154">
        <v>41101</v>
      </c>
      <c t="s" r="B1154">
        <v>1519</v>
      </c>
      <c s="18" r="C1154">
        <v>75943.44</v>
      </c>
    </row>
    <row r="1155">
      <c s="9" r="A1155">
        <v>41101</v>
      </c>
      <c t="s" r="B1155">
        <v>1508</v>
      </c>
      <c s="18" r="C1155">
        <v>3619.56</v>
      </c>
    </row>
    <row r="1156">
      <c s="9" r="A1156">
        <v>41101</v>
      </c>
      <c t="s" r="B1156">
        <v>1561</v>
      </c>
      <c s="18" r="C1156">
        <v>3304</v>
      </c>
    </row>
    <row r="1157">
      <c s="9" r="A1157">
        <v>41101</v>
      </c>
      <c t="s" r="B1157">
        <v>1562</v>
      </c>
      <c s="18" r="C1157">
        <v>7605.63</v>
      </c>
    </row>
    <row r="1158">
      <c s="9" r="A1158">
        <v>41101</v>
      </c>
      <c t="s" r="B1158">
        <v>1555</v>
      </c>
      <c s="18" r="C1158">
        <v>14474.67</v>
      </c>
    </row>
    <row r="1159">
      <c s="9" r="A1159">
        <v>41101</v>
      </c>
      <c t="s" r="B1159">
        <v>1563</v>
      </c>
      <c s="18" r="C1159">
        <v>4321.16</v>
      </c>
    </row>
    <row r="1160">
      <c s="9" r="A1160">
        <v>41101</v>
      </c>
      <c t="s" r="B1160">
        <v>1564</v>
      </c>
      <c s="18" r="C1160">
        <v>3621</v>
      </c>
    </row>
    <row r="1161">
      <c s="9" r="A1161">
        <v>41101</v>
      </c>
      <c t="s" r="B1161">
        <v>1478</v>
      </c>
      <c s="18" r="C1161">
        <v>5122.95</v>
      </c>
    </row>
    <row r="1162">
      <c s="11" r="A1162">
        <v>41100</v>
      </c>
      <c t="s" r="B1162">
        <v>1565</v>
      </c>
      <c s="18" r="C1162">
        <v>237.6</v>
      </c>
    </row>
    <row r="1163">
      <c s="11" r="A1163">
        <v>41100</v>
      </c>
      <c t="s" r="B1163">
        <v>1566</v>
      </c>
      <c s="18" r="C1163">
        <v>259.2</v>
      </c>
    </row>
    <row r="1164">
      <c s="11" r="A1164">
        <v>41100</v>
      </c>
      <c t="s" r="B1164">
        <v>1567</v>
      </c>
      <c s="18" r="C1164">
        <v>1155.44</v>
      </c>
    </row>
    <row r="1165">
      <c s="11" r="A1165">
        <v>41100</v>
      </c>
      <c t="s" r="B1165">
        <v>1568</v>
      </c>
      <c s="18" r="C1165">
        <v>2900</v>
      </c>
    </row>
    <row r="1166">
      <c s="11" r="A1166">
        <v>41100</v>
      </c>
      <c t="s" r="B1166">
        <v>1569</v>
      </c>
      <c s="18" r="C1166">
        <v>155.76</v>
      </c>
    </row>
    <row r="1167">
      <c s="11" r="A1167">
        <v>41100</v>
      </c>
      <c t="s" r="B1167">
        <v>1570</v>
      </c>
      <c s="18" r="C1167">
        <v>1018.5</v>
      </c>
    </row>
    <row r="1168">
      <c s="11" r="A1168">
        <v>41100</v>
      </c>
      <c t="s" r="B1168">
        <v>1571</v>
      </c>
      <c s="18" r="C1168">
        <v>2989.2</v>
      </c>
    </row>
    <row r="1169">
      <c s="11" r="A1169">
        <v>41100</v>
      </c>
      <c t="s" r="B1169">
        <v>1572</v>
      </c>
      <c s="18" r="C1169">
        <v>216</v>
      </c>
    </row>
    <row r="1170">
      <c s="11" r="A1170">
        <v>41100</v>
      </c>
      <c t="s" r="B1170">
        <v>1573</v>
      </c>
      <c s="18" r="C1170">
        <v>216</v>
      </c>
    </row>
    <row r="1171">
      <c s="11" r="A1171">
        <v>41100</v>
      </c>
      <c t="s" r="B1171">
        <v>1574</v>
      </c>
      <c s="18" r="C1171">
        <v>594</v>
      </c>
    </row>
    <row r="1172">
      <c s="11" r="A1172">
        <v>41100</v>
      </c>
      <c t="s" r="B1172">
        <v>1575</v>
      </c>
      <c s="18" r="C1172">
        <v>146.44</v>
      </c>
    </row>
    <row r="1173">
      <c s="11" r="A1173">
        <v>41100</v>
      </c>
      <c t="s" r="B1173">
        <v>1576</v>
      </c>
      <c s="18" r="C1173">
        <v>11.61</v>
      </c>
    </row>
    <row r="1174">
      <c s="11" r="A1174">
        <v>41100</v>
      </c>
      <c t="s" r="B1174">
        <v>1577</v>
      </c>
      <c s="18" r="C1174">
        <v>874.8</v>
      </c>
    </row>
    <row r="1175">
      <c s="11" r="A1175">
        <v>41100</v>
      </c>
      <c t="s" r="B1175">
        <v>1578</v>
      </c>
      <c s="18" r="C1175">
        <v>1067.81</v>
      </c>
    </row>
    <row r="1176">
      <c s="11" r="A1176">
        <v>41099</v>
      </c>
      <c t="s" r="B1176">
        <v>1579</v>
      </c>
      <c s="18" r="C1176">
        <v>298.08</v>
      </c>
    </row>
    <row r="1177">
      <c s="11" r="A1177">
        <v>41096</v>
      </c>
      <c t="s" r="B1177">
        <v>1580</v>
      </c>
      <c s="18" r="C1177">
        <v>542.8</v>
      </c>
    </row>
    <row r="1178">
      <c s="11" r="A1178">
        <v>41095</v>
      </c>
      <c t="s" r="B1178">
        <v>1581</v>
      </c>
      <c s="18" r="C1178">
        <v>5869.27</v>
      </c>
    </row>
    <row r="1179">
      <c s="11" r="A1179">
        <v>41095</v>
      </c>
      <c t="s" r="B1179">
        <v>1582</v>
      </c>
      <c s="18" r="C1179">
        <v>5168.96</v>
      </c>
    </row>
    <row r="1180">
      <c s="11" r="A1180">
        <v>41095</v>
      </c>
      <c t="s" r="B1180">
        <v>1583</v>
      </c>
      <c s="18" r="C1180">
        <v>4990.77</v>
      </c>
    </row>
    <row r="1181">
      <c s="11" r="A1181">
        <v>41095</v>
      </c>
      <c t="s" r="B1181">
        <v>1584</v>
      </c>
      <c s="18" r="C1181">
        <v>180</v>
      </c>
    </row>
    <row r="1182">
      <c s="11" r="A1182">
        <v>41095</v>
      </c>
      <c t="s" r="B1182">
        <v>1585</v>
      </c>
      <c s="18" r="C1182">
        <v>2430.8</v>
      </c>
    </row>
    <row r="1183">
      <c s="11" r="A1183">
        <v>41095</v>
      </c>
      <c t="s" r="B1183">
        <v>1586</v>
      </c>
      <c s="18" r="C1183">
        <v>16.2</v>
      </c>
    </row>
    <row r="1184">
      <c s="11" r="A1184">
        <v>41095</v>
      </c>
      <c t="s" r="B1184">
        <v>1587</v>
      </c>
      <c s="18" r="C1184">
        <v>954</v>
      </c>
    </row>
    <row r="1185">
      <c s="11" r="A1185">
        <v>41095</v>
      </c>
      <c t="s" r="B1185">
        <v>1588</v>
      </c>
      <c s="18" r="C1185">
        <v>450.05</v>
      </c>
    </row>
    <row r="1186">
      <c s="11" r="A1186">
        <v>41095</v>
      </c>
      <c t="s" r="B1186">
        <v>1589</v>
      </c>
      <c s="18" r="C1186">
        <v>295</v>
      </c>
    </row>
    <row r="1187">
      <c s="11" r="A1187">
        <v>41095</v>
      </c>
      <c t="s" r="B1187">
        <v>1590</v>
      </c>
      <c s="18" r="C1187">
        <v>1770</v>
      </c>
    </row>
    <row r="1188">
      <c s="11" r="A1188">
        <v>41095</v>
      </c>
      <c t="s" r="B1188">
        <v>1591</v>
      </c>
      <c s="18" r="C1188">
        <v>175.11</v>
      </c>
    </row>
    <row r="1189">
      <c s="11" r="A1189">
        <v>41094</v>
      </c>
      <c t="s" r="B1189">
        <v>1592</v>
      </c>
      <c s="18" r="C1189">
        <v>6017.41</v>
      </c>
    </row>
    <row r="1190">
      <c s="9" r="A1190">
        <v>41094</v>
      </c>
      <c t="s" r="B1190">
        <v>1593</v>
      </c>
      <c s="18" r="C1190">
        <v>3150.67</v>
      </c>
    </row>
    <row r="1191">
      <c s="9" r="A1191">
        <v>41094</v>
      </c>
      <c t="s" r="B1191">
        <v>1594</v>
      </c>
      <c s="18" r="C1191">
        <v>3015</v>
      </c>
    </row>
    <row r="1192">
      <c s="9" r="A1192">
        <v>41094</v>
      </c>
      <c t="s" r="B1192">
        <v>1179</v>
      </c>
      <c s="18" r="C1192">
        <v>4635</v>
      </c>
    </row>
    <row r="1193">
      <c s="9" r="A1193">
        <v>41094</v>
      </c>
      <c t="s" r="B1193">
        <v>1595</v>
      </c>
      <c s="18" r="C1193">
        <v>17741</v>
      </c>
    </row>
    <row r="1194">
      <c s="11" r="A1194">
        <v>41094</v>
      </c>
      <c t="s" r="B1194">
        <v>1596</v>
      </c>
      <c s="18" r="C1194">
        <v>705.73</v>
      </c>
    </row>
    <row r="1195">
      <c s="11" r="A1195">
        <v>41094</v>
      </c>
      <c t="s" r="B1195">
        <v>1597</v>
      </c>
      <c s="18" r="C1195">
        <v>1558.79</v>
      </c>
    </row>
    <row r="1196">
      <c s="11" r="A1196">
        <v>41094</v>
      </c>
      <c t="s" r="B1196">
        <v>1598</v>
      </c>
      <c s="18" r="C1196">
        <v>421.2</v>
      </c>
    </row>
    <row r="1197">
      <c s="11" r="A1197">
        <v>41094</v>
      </c>
      <c t="s" r="B1197">
        <v>1599</v>
      </c>
      <c s="18" r="C1197">
        <v>255</v>
      </c>
    </row>
    <row r="1198">
      <c s="11" r="A1198">
        <v>41093</v>
      </c>
      <c t="s" r="B1198">
        <v>1600</v>
      </c>
      <c s="18" r="C1198">
        <v>1327.5</v>
      </c>
    </row>
    <row r="1199">
      <c s="11" r="A1199">
        <v>41093</v>
      </c>
      <c t="s" r="B1199">
        <v>1601</v>
      </c>
      <c s="18" r="C1199">
        <v>223.96</v>
      </c>
    </row>
    <row r="1200">
      <c s="9" r="A1200">
        <v>41087</v>
      </c>
      <c t="s" r="B1200">
        <v>1602</v>
      </c>
      <c s="18" r="C1200">
        <v>75943.44</v>
      </c>
    </row>
    <row r="1201">
      <c s="11" r="A1201">
        <v>41087</v>
      </c>
      <c t="s" r="B1201">
        <v>1603</v>
      </c>
      <c s="18" r="C1201">
        <v>7670</v>
      </c>
    </row>
    <row r="1202">
      <c s="11" r="A1202">
        <v>41087</v>
      </c>
      <c t="s" r="B1202">
        <v>1604</v>
      </c>
      <c s="18" r="C1202">
        <v>4700</v>
      </c>
    </row>
    <row r="1203">
      <c s="11" r="A1203">
        <v>41087</v>
      </c>
      <c t="s" r="B1203">
        <v>1605</v>
      </c>
      <c s="18" r="C1203">
        <v>2000</v>
      </c>
    </row>
    <row r="1204">
      <c s="11" r="A1204">
        <v>41087</v>
      </c>
      <c t="s" r="B1204">
        <v>1606</v>
      </c>
      <c s="18" r="C1204">
        <v>17.28</v>
      </c>
    </row>
    <row r="1205">
      <c s="11" r="A1205">
        <v>41087</v>
      </c>
      <c t="s" r="B1205">
        <v>1607</v>
      </c>
      <c s="18" r="C1205">
        <v>128.66</v>
      </c>
    </row>
    <row r="1206">
      <c s="11" r="A1206">
        <v>41087</v>
      </c>
      <c t="s" r="B1206">
        <v>1608</v>
      </c>
      <c s="18" r="C1206">
        <v>124.7</v>
      </c>
    </row>
    <row r="1207">
      <c s="11" r="A1207">
        <v>41087</v>
      </c>
      <c t="s" r="B1207">
        <v>1609</v>
      </c>
      <c s="18" r="C1207">
        <v>2908.11</v>
      </c>
    </row>
    <row r="1208">
      <c s="11" r="A1208">
        <v>41087</v>
      </c>
      <c t="s" r="B1208">
        <v>1610</v>
      </c>
      <c s="18" r="C1208">
        <v>1343.9</v>
      </c>
    </row>
    <row r="1209">
      <c s="11" r="A1209">
        <v>41087</v>
      </c>
      <c t="s" r="B1209">
        <v>1611</v>
      </c>
      <c s="18" r="C1209">
        <v>680.46</v>
      </c>
    </row>
    <row r="1210">
      <c s="11" r="A1210">
        <v>41081</v>
      </c>
      <c t="s" r="B1210">
        <v>1612</v>
      </c>
      <c s="18" r="C1210">
        <v>25.92</v>
      </c>
    </row>
    <row r="1211">
      <c s="11" r="A1211">
        <v>41081</v>
      </c>
      <c t="s" r="B1211">
        <v>1613</v>
      </c>
      <c s="18" r="C1211">
        <v>320</v>
      </c>
    </row>
    <row r="1212">
      <c s="11" r="A1212">
        <v>41081</v>
      </c>
      <c t="s" r="B1212">
        <v>1614</v>
      </c>
      <c s="18" r="C1212">
        <v>1113.92</v>
      </c>
    </row>
    <row r="1213">
      <c s="11" r="A1213">
        <v>41081</v>
      </c>
      <c t="s" r="B1213">
        <v>1615</v>
      </c>
      <c s="18" r="C1213">
        <v>472</v>
      </c>
    </row>
    <row r="1214">
      <c s="11" r="A1214">
        <v>41081</v>
      </c>
      <c t="s" r="B1214">
        <v>1616</v>
      </c>
      <c s="18" r="C1214">
        <v>354</v>
      </c>
    </row>
    <row r="1215">
      <c s="11" r="A1215">
        <v>41081</v>
      </c>
      <c t="s" r="B1215">
        <v>1617</v>
      </c>
      <c s="18" r="C1215">
        <v>211.22</v>
      </c>
    </row>
    <row r="1216">
      <c s="11" r="A1216">
        <v>41081</v>
      </c>
      <c t="s" r="B1216">
        <v>1618</v>
      </c>
      <c s="18" r="C1216">
        <v>127.44</v>
      </c>
    </row>
    <row r="1217">
      <c s="11" r="A1217">
        <v>41081</v>
      </c>
      <c t="s" r="B1217">
        <v>1619</v>
      </c>
      <c s="18" r="C1217">
        <v>1180</v>
      </c>
    </row>
    <row r="1218">
      <c s="11" r="A1218">
        <v>41081</v>
      </c>
      <c t="s" r="B1218">
        <v>1620</v>
      </c>
      <c s="18" r="C1218">
        <v>582.92</v>
      </c>
    </row>
    <row r="1219">
      <c s="11" r="A1219">
        <v>41081</v>
      </c>
      <c t="s" r="B1219">
        <v>1621</v>
      </c>
      <c s="18" r="C1219">
        <v>234.82</v>
      </c>
    </row>
    <row r="1220">
      <c s="11" r="A1220">
        <v>41080</v>
      </c>
      <c t="s" r="B1220">
        <v>1622</v>
      </c>
      <c s="18" r="C1220">
        <v>3826.5</v>
      </c>
    </row>
    <row r="1221">
      <c s="11" r="A1221">
        <v>41080</v>
      </c>
      <c t="s" r="B1221">
        <v>1516</v>
      </c>
      <c s="18" r="C1221">
        <v>3051.05</v>
      </c>
    </row>
    <row r="1222">
      <c s="11" r="A1222">
        <v>41080</v>
      </c>
      <c t="s" r="B1222">
        <v>1623</v>
      </c>
      <c s="18" r="C1222">
        <v>405.92</v>
      </c>
    </row>
    <row r="1223">
      <c s="11" r="A1223">
        <v>41080</v>
      </c>
      <c t="s" r="B1223">
        <v>1624</v>
      </c>
      <c s="18" r="C1223">
        <v>55.2</v>
      </c>
    </row>
    <row r="1224">
      <c s="11" r="A1224">
        <v>41080</v>
      </c>
      <c t="s" r="B1224">
        <v>1625</v>
      </c>
      <c s="18" r="C1224">
        <v>75</v>
      </c>
    </row>
    <row r="1225">
      <c s="11" r="A1225">
        <v>41078</v>
      </c>
      <c t="s" r="B1225">
        <v>1626</v>
      </c>
      <c s="18" r="C1225">
        <v>967.6</v>
      </c>
    </row>
    <row r="1226">
      <c s="11" r="A1226">
        <v>41078</v>
      </c>
      <c t="s" r="B1226">
        <v>1627</v>
      </c>
      <c s="18" r="C1226">
        <v>436.01</v>
      </c>
    </row>
    <row r="1227">
      <c s="11" r="A1227">
        <v>41078</v>
      </c>
      <c t="s" r="B1227">
        <v>1628</v>
      </c>
      <c s="18" r="C1227">
        <v>1847.37</v>
      </c>
    </row>
    <row r="1228">
      <c s="11" r="A1228">
        <v>41078</v>
      </c>
      <c t="s" r="B1228">
        <v>1629</v>
      </c>
      <c s="18" r="C1228">
        <v>719.13</v>
      </c>
    </row>
    <row r="1229">
      <c s="11" r="A1229">
        <v>41078</v>
      </c>
      <c t="s" r="B1229">
        <v>1629</v>
      </c>
      <c s="18" r="C1229">
        <v>316.84</v>
      </c>
    </row>
    <row r="1230">
      <c s="11" r="A1230">
        <v>41078</v>
      </c>
      <c t="s" r="B1230">
        <v>1630</v>
      </c>
      <c s="18" r="C1230">
        <v>1230</v>
      </c>
    </row>
    <row r="1231">
      <c s="11" r="A1231">
        <v>41074</v>
      </c>
      <c t="s" r="B1231">
        <v>1631</v>
      </c>
      <c s="18" r="C1231">
        <v>625.4</v>
      </c>
    </row>
    <row r="1232">
      <c s="11" r="A1232">
        <v>41074</v>
      </c>
      <c t="s" r="B1232">
        <v>1632</v>
      </c>
      <c s="18" r="C1232">
        <v>784.46</v>
      </c>
    </row>
    <row r="1233">
      <c s="11" r="A1233">
        <v>41074</v>
      </c>
      <c t="s" r="B1233">
        <v>1633</v>
      </c>
      <c s="18" r="C1233">
        <v>1880</v>
      </c>
    </row>
    <row r="1234">
      <c s="11" r="A1234">
        <v>41074</v>
      </c>
      <c t="s" r="B1234">
        <v>1634</v>
      </c>
      <c s="18" r="C1234">
        <v>944</v>
      </c>
    </row>
    <row r="1235">
      <c s="11" r="A1235">
        <v>41074</v>
      </c>
      <c t="s" r="B1235">
        <v>1635</v>
      </c>
      <c s="18" r="C1235">
        <v>98</v>
      </c>
    </row>
    <row r="1236">
      <c s="11" r="A1236">
        <v>41074</v>
      </c>
      <c t="s" r="B1236">
        <v>1636</v>
      </c>
      <c s="18" r="C1236">
        <v>324</v>
      </c>
    </row>
    <row r="1237">
      <c s="11" r="A1237">
        <v>41074</v>
      </c>
      <c t="s" r="B1237">
        <v>1637</v>
      </c>
      <c s="18" r="C1237">
        <v>2274.48</v>
      </c>
    </row>
    <row r="1238">
      <c s="11" r="A1238">
        <v>41074</v>
      </c>
      <c t="s" r="B1238">
        <v>1638</v>
      </c>
      <c s="18" r="C1238">
        <v>376.92</v>
      </c>
    </row>
    <row r="1239">
      <c s="11" r="A1239">
        <v>41074</v>
      </c>
      <c t="s" r="B1239">
        <v>1639</v>
      </c>
      <c s="18" r="C1239">
        <v>48.71</v>
      </c>
    </row>
    <row r="1240">
      <c s="11" r="A1240">
        <v>41074</v>
      </c>
      <c t="s" r="B1240">
        <v>1640</v>
      </c>
      <c s="18" r="C1240">
        <v>118</v>
      </c>
    </row>
    <row r="1241">
      <c s="11" r="A1241">
        <v>41074</v>
      </c>
      <c t="s" r="B1241">
        <v>1641</v>
      </c>
      <c s="18" r="C1241">
        <v>1770</v>
      </c>
    </row>
    <row r="1242">
      <c s="11" r="A1242">
        <v>41074</v>
      </c>
      <c t="s" r="B1242">
        <v>1642</v>
      </c>
      <c s="18" r="C1242">
        <v>944.08</v>
      </c>
    </row>
    <row r="1243">
      <c s="11" r="A1243">
        <v>41074</v>
      </c>
      <c t="s" r="B1243">
        <v>1643</v>
      </c>
      <c s="18" r="C1243">
        <v>354</v>
      </c>
    </row>
    <row r="1244">
      <c s="11" r="A1244">
        <v>41074</v>
      </c>
      <c t="s" r="B1244">
        <v>1644</v>
      </c>
      <c s="18" r="C1244">
        <v>1677.96</v>
      </c>
    </row>
    <row r="1245">
      <c s="11" r="A1245">
        <v>41074</v>
      </c>
      <c t="s" r="B1245">
        <v>1645</v>
      </c>
      <c s="18" r="C1245">
        <v>542.8</v>
      </c>
    </row>
    <row r="1246">
      <c s="11" r="A1246">
        <v>41074</v>
      </c>
      <c t="s" r="B1246">
        <v>1646</v>
      </c>
      <c s="18" r="C1246">
        <v>151.04</v>
      </c>
    </row>
    <row r="1247">
      <c s="11" r="A1247">
        <v>41074</v>
      </c>
      <c t="s" r="B1247">
        <v>1647</v>
      </c>
      <c s="18" r="C1247">
        <v>84.96</v>
      </c>
    </row>
    <row r="1248">
      <c s="11" r="A1248">
        <v>41073</v>
      </c>
      <c t="s" s="6" r="B1248">
        <v>1648</v>
      </c>
      <c s="4" r="C1248">
        <v>3416.1</v>
      </c>
    </row>
    <row r="1249">
      <c s="11" r="A1249">
        <v>41073</v>
      </c>
      <c t="s" r="B1249">
        <v>1649</v>
      </c>
      <c s="18" r="C1249">
        <v>4061.45</v>
      </c>
    </row>
    <row r="1250">
      <c s="11" r="A1250">
        <v>41073</v>
      </c>
      <c t="s" r="B1250">
        <v>1650</v>
      </c>
      <c s="18" r="C1250">
        <v>4063.8</v>
      </c>
    </row>
    <row r="1251">
      <c s="11" r="A1251">
        <v>41073</v>
      </c>
      <c t="s" r="B1251">
        <v>1651</v>
      </c>
      <c s="18" r="C1251">
        <v>4276.46</v>
      </c>
    </row>
    <row r="1252">
      <c s="11" r="A1252">
        <v>41073</v>
      </c>
      <c t="s" r="B1252">
        <v>1477</v>
      </c>
      <c s="18" r="C1252">
        <v>4554.22</v>
      </c>
    </row>
    <row r="1253">
      <c s="11" r="A1253">
        <v>41073</v>
      </c>
      <c t="s" s="6" r="B1253">
        <v>1652</v>
      </c>
      <c s="4" r="C1253">
        <v>5168.96</v>
      </c>
    </row>
    <row r="1254">
      <c s="11" r="A1254">
        <v>41073</v>
      </c>
      <c t="s" s="6" r="B1254">
        <v>1653</v>
      </c>
      <c s="4" r="C1254">
        <v>5869.23</v>
      </c>
    </row>
    <row r="1255">
      <c s="11" r="A1255">
        <v>41073</v>
      </c>
      <c t="s" r="B1255">
        <v>1654</v>
      </c>
      <c s="18" r="C1255">
        <v>8724.26</v>
      </c>
    </row>
    <row r="1256">
      <c s="9" r="A1256">
        <v>41071</v>
      </c>
      <c t="s" r="B1256">
        <v>293</v>
      </c>
      <c s="18" r="C1256">
        <v>2000</v>
      </c>
    </row>
    <row r="1257">
      <c s="9" r="A1257">
        <v>41071</v>
      </c>
      <c t="s" r="B1257">
        <v>1655</v>
      </c>
      <c s="18" r="C1257">
        <v>1046.58</v>
      </c>
    </row>
    <row r="1258">
      <c s="9" r="A1258">
        <v>41071</v>
      </c>
      <c t="s" r="B1258">
        <v>1656</v>
      </c>
      <c s="18" r="C1258">
        <v>382.18</v>
      </c>
    </row>
    <row r="1259">
      <c s="9" r="A1259">
        <v>41071</v>
      </c>
      <c t="s" r="B1259">
        <v>1657</v>
      </c>
      <c s="18" r="C1259">
        <v>1422.38</v>
      </c>
    </row>
    <row r="1260">
      <c s="9" r="A1260">
        <v>41071</v>
      </c>
      <c t="s" r="B1260">
        <v>1658</v>
      </c>
      <c s="18" r="C1260">
        <v>1433</v>
      </c>
    </row>
    <row r="1261">
      <c s="9" r="A1261">
        <v>41071</v>
      </c>
      <c t="s" r="B1261">
        <v>1659</v>
      </c>
      <c s="18" r="C1261">
        <v>642.68</v>
      </c>
    </row>
    <row r="1262">
      <c s="9" r="A1262">
        <v>41071</v>
      </c>
      <c t="s" r="B1262">
        <v>1660</v>
      </c>
      <c s="18" r="C1262">
        <v>456.54</v>
      </c>
    </row>
    <row r="1263">
      <c s="9" r="A1263">
        <v>41071</v>
      </c>
      <c t="s" r="B1263">
        <v>1661</v>
      </c>
      <c s="18" r="C1263">
        <v>826.91</v>
      </c>
    </row>
    <row r="1264">
      <c s="9" r="A1264">
        <v>41071</v>
      </c>
      <c t="s" r="B1264">
        <v>1662</v>
      </c>
      <c s="18" r="C1264">
        <v>336.21</v>
      </c>
    </row>
    <row r="1265">
      <c s="9" r="A1265">
        <v>41071</v>
      </c>
      <c t="s" r="B1265">
        <v>1663</v>
      </c>
      <c s="18" r="C1265">
        <v>938.87</v>
      </c>
    </row>
    <row r="1266">
      <c s="9" r="A1266">
        <v>41071</v>
      </c>
      <c t="s" r="B1266">
        <v>1664</v>
      </c>
      <c s="18" r="C1266">
        <v>891.71</v>
      </c>
    </row>
    <row r="1267">
      <c s="9" r="A1267">
        <v>41071</v>
      </c>
      <c t="s" r="B1267">
        <v>1665</v>
      </c>
      <c s="18" r="C1267">
        <v>1732.59</v>
      </c>
    </row>
    <row r="1268">
      <c s="9" r="A1268">
        <v>41071</v>
      </c>
      <c t="s" r="B1268">
        <v>1666</v>
      </c>
      <c s="18" r="C1268">
        <v>98.28</v>
      </c>
    </row>
    <row r="1269">
      <c s="9" r="A1269">
        <v>41068</v>
      </c>
      <c t="s" r="B1269">
        <v>1667</v>
      </c>
      <c s="18" r="C1269">
        <v>1582.69</v>
      </c>
    </row>
    <row r="1270">
      <c s="9" r="A1270">
        <v>41068</v>
      </c>
      <c t="s" r="B1270">
        <v>1668</v>
      </c>
      <c s="18" r="C1270">
        <v>590</v>
      </c>
    </row>
    <row r="1271">
      <c s="9" r="A1271">
        <v>41068</v>
      </c>
      <c t="s" r="B1271">
        <v>1669</v>
      </c>
      <c s="18" r="C1271">
        <v>236</v>
      </c>
    </row>
    <row r="1272">
      <c s="9" r="A1272">
        <v>41068</v>
      </c>
      <c t="s" r="B1272">
        <v>1670</v>
      </c>
      <c s="18" r="C1272">
        <v>453.6</v>
      </c>
    </row>
    <row r="1273">
      <c s="9" r="A1273">
        <v>41068</v>
      </c>
      <c t="s" r="B1273">
        <v>1671</v>
      </c>
      <c s="18" r="C1273">
        <v>531</v>
      </c>
    </row>
    <row r="1274">
      <c s="9" r="A1274">
        <v>41068</v>
      </c>
      <c t="s" r="B1274">
        <v>1672</v>
      </c>
      <c s="18" r="C1274">
        <v>295</v>
      </c>
    </row>
    <row r="1275">
      <c s="9" r="A1275">
        <v>41068</v>
      </c>
      <c t="s" r="B1275">
        <v>1673</v>
      </c>
      <c s="18" r="C1275">
        <v>1115.1</v>
      </c>
    </row>
    <row r="1276">
      <c s="9" r="A1276">
        <v>41068</v>
      </c>
      <c t="s" r="B1276">
        <v>1674</v>
      </c>
      <c s="18" r="C1276">
        <v>531</v>
      </c>
    </row>
    <row r="1277">
      <c s="9" r="A1277">
        <v>41068</v>
      </c>
      <c t="s" r="B1277">
        <v>1675</v>
      </c>
      <c s="18" r="C1277">
        <v>954</v>
      </c>
    </row>
    <row r="1278">
      <c s="9" r="A1278">
        <v>41068</v>
      </c>
      <c t="s" r="B1278">
        <v>1676</v>
      </c>
      <c s="18" r="C1278">
        <v>2150</v>
      </c>
    </row>
    <row r="1279">
      <c s="9" r="A1279">
        <v>41068</v>
      </c>
      <c t="s" r="B1279">
        <v>1677</v>
      </c>
      <c s="18" r="C1279">
        <v>748.12</v>
      </c>
    </row>
    <row r="1280">
      <c s="9" r="A1280">
        <v>41068</v>
      </c>
      <c t="s" r="B1280">
        <v>1678</v>
      </c>
      <c s="18" r="C1280">
        <v>590</v>
      </c>
    </row>
    <row r="1281">
      <c s="11" r="A1281">
        <v>41067</v>
      </c>
      <c t="s" r="B1281">
        <v>1679</v>
      </c>
      <c s="18" r="C1281">
        <v>1165.99</v>
      </c>
    </row>
    <row r="1282">
      <c s="11" r="A1282">
        <v>41067</v>
      </c>
      <c t="s" r="B1282">
        <v>1680</v>
      </c>
      <c s="18" r="C1282">
        <v>1165.99</v>
      </c>
    </row>
    <row r="1283">
      <c s="11" r="A1283">
        <v>41067</v>
      </c>
      <c t="s" r="B1283">
        <v>1681</v>
      </c>
      <c s="18" r="C1283">
        <v>14.87</v>
      </c>
    </row>
    <row r="1284">
      <c s="11" r="A1284">
        <v>41067</v>
      </c>
      <c t="s" r="B1284">
        <v>1682</v>
      </c>
      <c s="18" r="C1284">
        <v>117.18</v>
      </c>
    </row>
    <row r="1285">
      <c s="11" r="A1285">
        <v>41067</v>
      </c>
      <c t="s" r="B1285">
        <v>1683</v>
      </c>
      <c s="18" r="C1285">
        <v>479.52</v>
      </c>
    </row>
    <row r="1286">
      <c s="11" r="A1286">
        <v>41067</v>
      </c>
      <c t="s" r="B1286">
        <v>1684</v>
      </c>
      <c s="18" r="C1286">
        <v>1146.39</v>
      </c>
    </row>
    <row r="1287">
      <c s="11" r="A1287">
        <v>41066</v>
      </c>
      <c t="s" r="B1287">
        <v>1508</v>
      </c>
      <c s="18" r="C1287">
        <v>3619.56</v>
      </c>
    </row>
    <row r="1288">
      <c s="11" r="A1288">
        <v>41066</v>
      </c>
      <c t="s" r="B1288">
        <v>1553</v>
      </c>
      <c s="18" r="C1288">
        <v>4569.31</v>
      </c>
    </row>
    <row r="1289">
      <c s="11" r="A1289">
        <v>41066</v>
      </c>
      <c t="s" s="6" r="B1289">
        <v>1685</v>
      </c>
      <c s="4" r="C1289">
        <v>5500</v>
      </c>
    </row>
    <row r="1290">
      <c s="11" r="A1290">
        <v>41066</v>
      </c>
      <c t="s" s="6" r="B1290">
        <v>1686</v>
      </c>
      <c s="4" r="C1290">
        <v>5699.4</v>
      </c>
    </row>
    <row r="1291">
      <c s="11" r="A1291">
        <v>41066</v>
      </c>
      <c t="s" r="B1291">
        <v>1562</v>
      </c>
      <c s="18" r="C1291">
        <v>7605.63</v>
      </c>
    </row>
    <row r="1292">
      <c s="11" r="A1292">
        <v>41066</v>
      </c>
      <c t="s" s="6" r="B1292">
        <v>1687</v>
      </c>
      <c s="4" r="C1292">
        <v>8900</v>
      </c>
    </row>
    <row r="1293">
      <c s="11" r="A1293">
        <v>41066</v>
      </c>
      <c t="s" s="6" r="B1293">
        <v>1688</v>
      </c>
      <c s="4" r="C1293">
        <v>11574</v>
      </c>
    </row>
    <row r="1294">
      <c s="11" r="A1294">
        <v>41066</v>
      </c>
      <c t="s" r="B1294">
        <v>1689</v>
      </c>
      <c s="18" r="C1294">
        <v>1401.24</v>
      </c>
    </row>
    <row r="1295">
      <c s="11" r="A1295">
        <v>41066</v>
      </c>
      <c t="s" r="B1295">
        <v>1690</v>
      </c>
      <c s="18" r="C1295">
        <v>2500</v>
      </c>
    </row>
    <row r="1296">
      <c s="11" r="A1296">
        <v>41066</v>
      </c>
      <c t="s" r="B1296">
        <v>1691</v>
      </c>
      <c s="18" r="C1296">
        <v>297.95</v>
      </c>
    </row>
    <row r="1297">
      <c s="11" r="A1297">
        <v>41061</v>
      </c>
      <c t="s" r="B1297">
        <v>1692</v>
      </c>
      <c s="18" r="C1297">
        <v>310.95</v>
      </c>
    </row>
    <row r="1298">
      <c s="11" r="A1298">
        <v>41061</v>
      </c>
      <c t="s" r="B1298">
        <v>1693</v>
      </c>
      <c s="18" r="C1298">
        <v>1371.16</v>
      </c>
    </row>
    <row r="1299">
      <c s="11" r="A1299">
        <v>41061</v>
      </c>
      <c t="s" r="B1299">
        <v>1694</v>
      </c>
      <c s="18" r="C1299">
        <v>21.24</v>
      </c>
    </row>
    <row r="1300">
      <c s="11" r="A1300">
        <v>41061</v>
      </c>
      <c t="s" r="B1300">
        <v>1695</v>
      </c>
      <c s="18" r="C1300">
        <v>739.88</v>
      </c>
    </row>
    <row r="1301">
      <c s="11" r="A1301">
        <v>41061</v>
      </c>
      <c t="s" r="B1301">
        <v>1696</v>
      </c>
      <c s="18" r="C1301">
        <v>450.1</v>
      </c>
    </row>
    <row r="1302">
      <c s="11" r="A1302">
        <v>41061</v>
      </c>
      <c t="s" r="B1302">
        <v>1697</v>
      </c>
      <c s="18" r="C1302">
        <v>531</v>
      </c>
    </row>
    <row r="1303">
      <c s="11" r="A1303">
        <v>41061</v>
      </c>
      <c t="s" r="B1303">
        <v>1698</v>
      </c>
      <c s="18" r="C1303">
        <v>260.28</v>
      </c>
    </row>
    <row r="1304">
      <c s="11" r="A1304">
        <v>41061</v>
      </c>
      <c t="s" r="B1304">
        <v>1699</v>
      </c>
      <c s="18" r="C1304">
        <v>1944</v>
      </c>
    </row>
    <row r="1305">
      <c s="11" r="A1305">
        <v>41059</v>
      </c>
      <c t="s" s="6" r="B1305">
        <v>1700</v>
      </c>
      <c s="4" r="C1305">
        <v>6785</v>
      </c>
    </row>
    <row r="1306">
      <c s="9" r="A1306">
        <v>41059</v>
      </c>
      <c t="s" r="B1306">
        <v>1701</v>
      </c>
      <c s="18" r="C1306">
        <v>75943.44</v>
      </c>
    </row>
    <row r="1307">
      <c s="9" r="A1307">
        <v>41053</v>
      </c>
      <c t="s" r="B1307">
        <v>1702</v>
      </c>
      <c s="18" r="C1307">
        <v>141.6</v>
      </c>
    </row>
    <row r="1308">
      <c s="9" r="A1308">
        <v>41053</v>
      </c>
      <c t="s" r="B1308">
        <v>1703</v>
      </c>
      <c s="18" r="C1308">
        <v>705.73</v>
      </c>
    </row>
    <row r="1309">
      <c s="11" r="A1309">
        <v>41053</v>
      </c>
      <c t="s" r="B1309">
        <v>1704</v>
      </c>
      <c s="18" r="C1309">
        <v>900</v>
      </c>
    </row>
    <row r="1310">
      <c s="11" r="A1310">
        <v>41053</v>
      </c>
      <c t="s" r="B1310">
        <v>1705</v>
      </c>
      <c s="18" r="C1310">
        <v>1000</v>
      </c>
    </row>
    <row r="1311">
      <c s="11" r="A1311">
        <v>41053</v>
      </c>
      <c t="s" r="B1311">
        <v>1706</v>
      </c>
      <c s="18" r="C1311">
        <v>1000</v>
      </c>
    </row>
    <row r="1312">
      <c s="11" r="A1312">
        <v>41053</v>
      </c>
      <c t="s" r="B1312">
        <v>1707</v>
      </c>
      <c s="18" r="C1312">
        <v>1770</v>
      </c>
    </row>
    <row r="1313">
      <c s="11" r="A1313">
        <v>41053</v>
      </c>
      <c t="s" r="B1313">
        <v>1708</v>
      </c>
      <c s="18" r="C1313">
        <v>500</v>
      </c>
    </row>
    <row r="1314">
      <c s="11" r="A1314">
        <v>41053</v>
      </c>
      <c t="s" r="B1314">
        <v>1709</v>
      </c>
      <c s="18" r="C1314">
        <v>2795.52</v>
      </c>
    </row>
    <row r="1315">
      <c s="11" r="A1315">
        <v>41053</v>
      </c>
      <c t="s" r="B1315">
        <v>1710</v>
      </c>
      <c s="18" r="C1315">
        <v>590</v>
      </c>
    </row>
    <row r="1316">
      <c s="9" r="A1316">
        <v>41052</v>
      </c>
      <c t="s" r="B1316">
        <v>1711</v>
      </c>
      <c s="18" r="C1316">
        <v>2342.54</v>
      </c>
    </row>
    <row r="1317">
      <c s="9" r="A1317">
        <v>41052</v>
      </c>
      <c t="s" r="B1317">
        <v>1712</v>
      </c>
      <c s="18" r="C1317">
        <v>3500</v>
      </c>
    </row>
    <row r="1318">
      <c s="9" r="A1318">
        <v>41052</v>
      </c>
      <c t="s" r="B1318">
        <v>1713</v>
      </c>
      <c s="18" r="C1318">
        <v>4091.46</v>
      </c>
    </row>
    <row r="1319">
      <c s="9" r="A1319">
        <v>41052</v>
      </c>
      <c t="s" r="B1319">
        <v>1714</v>
      </c>
      <c s="18" r="C1319">
        <v>4163.04</v>
      </c>
    </row>
    <row r="1320">
      <c s="9" r="A1320">
        <v>41052</v>
      </c>
      <c t="s" r="B1320">
        <v>1715</v>
      </c>
      <c s="18" r="C1320">
        <v>4276.46</v>
      </c>
    </row>
    <row r="1321">
      <c s="9" r="A1321">
        <v>41052</v>
      </c>
      <c t="s" r="B1321">
        <v>1716</v>
      </c>
      <c s="18" r="C1321">
        <v>4569.31</v>
      </c>
    </row>
    <row r="1322">
      <c s="9" r="A1322">
        <v>41052</v>
      </c>
      <c t="s" r="B1322">
        <v>1717</v>
      </c>
      <c s="18" r="C1322">
        <v>4761.14</v>
      </c>
    </row>
    <row r="1323">
      <c s="9" r="A1323">
        <v>41052</v>
      </c>
      <c t="s" r="B1323">
        <v>1718</v>
      </c>
      <c s="18" r="C1323">
        <v>7280</v>
      </c>
    </row>
    <row r="1324">
      <c s="9" r="A1324">
        <v>41052</v>
      </c>
      <c t="s" r="B1324">
        <v>1719</v>
      </c>
      <c s="18" r="C1324">
        <v>17499.98</v>
      </c>
    </row>
    <row r="1325">
      <c s="9" r="A1325">
        <v>41052</v>
      </c>
      <c t="s" r="B1325">
        <v>1720</v>
      </c>
      <c s="18" r="C1325">
        <v>17499.98</v>
      </c>
    </row>
    <row r="1326">
      <c s="9" r="A1326">
        <v>41052</v>
      </c>
      <c t="s" r="B1326">
        <v>1721</v>
      </c>
      <c s="18" r="C1326">
        <v>26384.8</v>
      </c>
    </row>
    <row r="1327">
      <c s="11" r="A1327">
        <v>41051</v>
      </c>
      <c t="s" s="6" r="B1327">
        <v>1722</v>
      </c>
      <c s="4" r="C1327">
        <v>1779.13</v>
      </c>
    </row>
    <row r="1328">
      <c s="11" r="A1328">
        <v>41051</v>
      </c>
      <c t="s" s="6" r="B1328">
        <v>1723</v>
      </c>
      <c s="4" r="C1328">
        <v>2995.22</v>
      </c>
    </row>
    <row r="1329">
      <c s="11" r="A1329">
        <v>41051</v>
      </c>
      <c t="s" r="B1329">
        <v>1724</v>
      </c>
      <c s="18" r="C1329">
        <v>2936.71</v>
      </c>
    </row>
    <row r="1330">
      <c s="11" r="A1330">
        <v>41051</v>
      </c>
      <c t="s" r="B1330">
        <v>1725</v>
      </c>
      <c s="18" r="C1330">
        <v>612.89</v>
      </c>
    </row>
    <row r="1331">
      <c s="11" r="A1331">
        <v>41051</v>
      </c>
      <c t="s" r="B1331">
        <v>1726</v>
      </c>
      <c s="18" r="C1331">
        <v>744.95</v>
      </c>
    </row>
    <row r="1332">
      <c s="11" r="A1332">
        <v>41051</v>
      </c>
      <c t="s" r="B1332">
        <v>1727</v>
      </c>
      <c s="18" r="C1332">
        <v>379.64</v>
      </c>
    </row>
    <row r="1333">
      <c s="11" r="A1333">
        <v>41051</v>
      </c>
      <c t="s" r="B1333">
        <v>1728</v>
      </c>
      <c s="18" r="C1333">
        <v>326.29</v>
      </c>
    </row>
    <row r="1334">
      <c s="11" r="A1334">
        <v>41051</v>
      </c>
      <c t="s" r="B1334">
        <v>1729</v>
      </c>
      <c s="18" r="C1334">
        <v>701.68</v>
      </c>
    </row>
    <row r="1335">
      <c s="11" r="A1335">
        <v>41051</v>
      </c>
      <c t="s" r="B1335">
        <v>1730</v>
      </c>
      <c s="18" r="C1335">
        <v>908.42</v>
      </c>
    </row>
    <row r="1336">
      <c s="11" r="A1336">
        <v>41051</v>
      </c>
      <c t="s" r="B1336">
        <v>1731</v>
      </c>
      <c s="18" r="C1336">
        <v>885</v>
      </c>
    </row>
    <row r="1337">
      <c s="11" r="A1337">
        <v>41051</v>
      </c>
      <c t="s" r="B1337">
        <v>1732</v>
      </c>
      <c s="18" r="C1337">
        <v>1239</v>
      </c>
    </row>
    <row r="1338">
      <c s="11" r="A1338">
        <v>41051</v>
      </c>
      <c t="s" r="B1338">
        <v>1733</v>
      </c>
      <c s="18" r="C1338">
        <v>1090.32</v>
      </c>
    </row>
    <row r="1339">
      <c s="11" r="A1339">
        <v>41051</v>
      </c>
      <c t="s" r="B1339">
        <v>1734</v>
      </c>
      <c s="18" r="C1339">
        <v>1258.35</v>
      </c>
    </row>
    <row r="1340">
      <c s="11" r="A1340">
        <v>41051</v>
      </c>
      <c t="s" r="B1340">
        <v>1735</v>
      </c>
      <c s="18" r="C1340">
        <v>1493.64</v>
      </c>
    </row>
    <row r="1341">
      <c s="11" r="A1341">
        <v>41051</v>
      </c>
      <c t="s" r="B1341">
        <v>1736</v>
      </c>
      <c s="18" r="C1341">
        <v>1194.27</v>
      </c>
    </row>
    <row r="1342">
      <c s="11" r="A1342">
        <v>41051</v>
      </c>
      <c t="s" r="B1342">
        <v>1737</v>
      </c>
      <c s="18" r="C1342">
        <v>1792.47</v>
      </c>
    </row>
    <row r="1343">
      <c s="11" r="A1343">
        <v>41051</v>
      </c>
      <c t="s" r="B1343">
        <v>1738</v>
      </c>
      <c s="18" r="C1343">
        <v>2187</v>
      </c>
    </row>
    <row r="1344">
      <c s="11" r="A1344">
        <v>41051</v>
      </c>
      <c t="s" r="B1344">
        <v>1739</v>
      </c>
      <c s="18" r="C1344">
        <v>318.03</v>
      </c>
    </row>
    <row r="1345">
      <c s="11" r="A1345">
        <v>41051</v>
      </c>
      <c t="s" s="6" r="B1345">
        <v>1740</v>
      </c>
      <c s="4" r="C1345">
        <v>665.51</v>
      </c>
    </row>
    <row r="1346">
      <c s="11" r="A1346">
        <v>41050</v>
      </c>
      <c t="s" r="B1346">
        <v>1741</v>
      </c>
      <c s="18" r="C1346">
        <v>116.64</v>
      </c>
    </row>
    <row r="1347">
      <c s="11" r="A1347">
        <v>41050</v>
      </c>
      <c t="s" r="B1347">
        <v>1742</v>
      </c>
      <c s="18" r="C1347">
        <v>1433</v>
      </c>
    </row>
    <row r="1348">
      <c s="9" r="A1348">
        <v>41046</v>
      </c>
      <c t="s" r="B1348">
        <v>1743</v>
      </c>
      <c s="18" r="C1348">
        <v>544.99</v>
      </c>
    </row>
    <row r="1349">
      <c s="9" r="A1349">
        <v>41046</v>
      </c>
      <c t="s" r="B1349">
        <v>1744</v>
      </c>
      <c s="18" r="C1349">
        <v>2737.6</v>
      </c>
    </row>
    <row r="1350">
      <c s="9" r="A1350">
        <v>41046</v>
      </c>
      <c t="s" r="B1350">
        <v>1745</v>
      </c>
      <c s="18" r="C1350">
        <v>102.45</v>
      </c>
    </row>
    <row r="1351">
      <c s="9" r="A1351">
        <v>41046</v>
      </c>
      <c t="s" r="B1351">
        <v>1746</v>
      </c>
      <c s="18" r="C1351">
        <v>175.5</v>
      </c>
    </row>
    <row r="1352">
      <c s="9" r="A1352">
        <v>41046</v>
      </c>
      <c t="s" r="B1352">
        <v>1747</v>
      </c>
      <c s="18" r="C1352">
        <v>944</v>
      </c>
    </row>
    <row r="1353">
      <c s="9" r="A1353">
        <v>41046</v>
      </c>
      <c t="s" r="B1353">
        <v>1748</v>
      </c>
      <c s="18" r="C1353">
        <v>705.73</v>
      </c>
    </row>
    <row r="1354">
      <c s="11" r="A1354">
        <v>41046</v>
      </c>
      <c t="s" r="B1354">
        <v>1749</v>
      </c>
      <c s="18" r="C1354">
        <v>400</v>
      </c>
    </row>
    <row r="1355">
      <c s="11" r="A1355">
        <v>41046</v>
      </c>
      <c t="s" r="B1355">
        <v>1750</v>
      </c>
      <c s="18" r="C1355">
        <v>177</v>
      </c>
    </row>
    <row r="1356">
      <c s="11" r="A1356">
        <v>41046</v>
      </c>
      <c t="s" r="B1356">
        <v>1751</v>
      </c>
      <c s="18" r="C1356">
        <v>1568.98</v>
      </c>
    </row>
    <row r="1357">
      <c s="11" r="A1357">
        <v>41046</v>
      </c>
      <c t="s" r="B1357">
        <v>1752</v>
      </c>
      <c s="18" r="C1357">
        <v>94.4</v>
      </c>
    </row>
    <row r="1358">
      <c s="11" r="A1358">
        <v>41046</v>
      </c>
      <c t="s" r="B1358">
        <v>1753</v>
      </c>
      <c s="18" r="C1358">
        <v>226.56</v>
      </c>
    </row>
    <row r="1359">
      <c s="11" r="A1359">
        <v>41046</v>
      </c>
      <c t="s" r="B1359">
        <v>1754</v>
      </c>
      <c s="18" r="C1359">
        <v>648</v>
      </c>
    </row>
    <row r="1360">
      <c s="11" r="A1360">
        <v>41046</v>
      </c>
      <c t="s" r="B1360">
        <v>1755</v>
      </c>
      <c s="18" r="C1360">
        <v>106.15</v>
      </c>
    </row>
    <row r="1361">
      <c s="11" r="A1361">
        <v>41046</v>
      </c>
      <c t="s" r="B1361">
        <v>1756</v>
      </c>
      <c s="18" r="C1361">
        <v>154.36</v>
      </c>
    </row>
    <row r="1362">
      <c s="9" r="A1362">
        <v>41045</v>
      </c>
      <c t="s" r="B1362">
        <v>1086</v>
      </c>
      <c s="18" r="C1362">
        <v>1837.9</v>
      </c>
    </row>
    <row r="1363">
      <c s="9" r="A1363">
        <v>41045</v>
      </c>
      <c t="s" r="B1363">
        <v>1757</v>
      </c>
      <c s="18" r="C1363">
        <v>1000</v>
      </c>
    </row>
    <row r="1364">
      <c s="9" r="A1364">
        <v>41045</v>
      </c>
      <c t="s" r="B1364">
        <v>1758</v>
      </c>
      <c s="18" r="C1364">
        <v>875.22</v>
      </c>
    </row>
    <row r="1365">
      <c s="9" r="A1365">
        <v>41045</v>
      </c>
      <c t="s" r="B1365">
        <v>1759</v>
      </c>
      <c s="18" r="C1365">
        <v>484.31</v>
      </c>
    </row>
    <row r="1366">
      <c s="9" r="A1366">
        <v>41045</v>
      </c>
      <c t="s" r="B1366">
        <v>1758</v>
      </c>
      <c s="18" r="C1366">
        <v>346.07</v>
      </c>
    </row>
    <row r="1367">
      <c s="9" r="A1367">
        <v>41045</v>
      </c>
      <c t="s" r="B1367">
        <v>1760</v>
      </c>
      <c s="18" r="C1367">
        <v>1904.23</v>
      </c>
    </row>
    <row r="1368">
      <c s="9" r="A1368">
        <v>41045</v>
      </c>
      <c t="s" r="B1368">
        <v>1759</v>
      </c>
      <c s="18" r="C1368">
        <v>1183.52</v>
      </c>
    </row>
    <row r="1369">
      <c s="9" r="A1369">
        <v>41045</v>
      </c>
      <c t="s" r="B1369">
        <v>1761</v>
      </c>
      <c s="18" r="C1369">
        <v>1486.08</v>
      </c>
    </row>
    <row r="1370">
      <c s="9" r="A1370">
        <v>41045</v>
      </c>
      <c t="s" r="B1370">
        <v>1762</v>
      </c>
      <c s="18" r="C1370">
        <v>818.9</v>
      </c>
    </row>
    <row r="1371">
      <c s="9" r="A1371">
        <v>41045</v>
      </c>
      <c t="s" r="B1371">
        <v>1763</v>
      </c>
      <c s="18" r="C1371">
        <v>3400</v>
      </c>
    </row>
    <row r="1372">
      <c s="9" r="A1372">
        <v>41045</v>
      </c>
      <c t="s" r="B1372">
        <v>1764</v>
      </c>
      <c s="18" r="C1372">
        <v>3619.56</v>
      </c>
    </row>
    <row r="1373">
      <c s="9" r="A1373">
        <v>41045</v>
      </c>
      <c t="s" r="B1373">
        <v>1765</v>
      </c>
      <c s="18" r="C1373">
        <v>3900</v>
      </c>
    </row>
    <row r="1374">
      <c s="9" r="A1374">
        <v>41045</v>
      </c>
      <c t="s" r="B1374">
        <v>1766</v>
      </c>
      <c s="18" r="C1374">
        <v>4554.22</v>
      </c>
    </row>
    <row r="1375">
      <c s="9" r="A1375">
        <v>41045</v>
      </c>
      <c t="s" r="B1375">
        <v>1767</v>
      </c>
      <c s="18" r="C1375">
        <v>5262.8</v>
      </c>
    </row>
    <row r="1376">
      <c s="9" r="A1376">
        <v>41045</v>
      </c>
      <c t="s" r="B1376">
        <v>1768</v>
      </c>
      <c s="18" r="C1376">
        <v>7133.28</v>
      </c>
    </row>
    <row r="1377">
      <c s="9" r="A1377">
        <v>41045</v>
      </c>
      <c t="s" r="B1377">
        <v>1769</v>
      </c>
      <c s="18" r="C1377">
        <v>7605.63</v>
      </c>
    </row>
    <row r="1378">
      <c s="9" r="A1378">
        <v>41045</v>
      </c>
      <c t="s" r="B1378">
        <v>1603</v>
      </c>
      <c s="18" r="C1378">
        <v>7670</v>
      </c>
    </row>
    <row r="1379">
      <c s="9" r="A1379">
        <v>41045</v>
      </c>
      <c t="s" r="B1379">
        <v>1770</v>
      </c>
      <c s="18" r="C1379">
        <v>18999.36</v>
      </c>
    </row>
    <row r="1380">
      <c s="9" r="A1380">
        <v>41044</v>
      </c>
      <c t="s" r="B1380">
        <v>1771</v>
      </c>
      <c s="18" r="C1380">
        <v>74.34</v>
      </c>
    </row>
    <row r="1381">
      <c s="9" r="A1381">
        <v>41044</v>
      </c>
      <c t="s" r="B1381">
        <v>1772</v>
      </c>
      <c s="18" r="C1381">
        <v>1231.71</v>
      </c>
    </row>
    <row r="1382">
      <c s="9" r="A1382">
        <v>41044</v>
      </c>
      <c t="s" r="B1382">
        <v>1773</v>
      </c>
      <c s="18" r="C1382">
        <v>369.36</v>
      </c>
    </row>
    <row r="1383">
      <c s="7" r="A1383">
        <v>41044</v>
      </c>
      <c t="s" r="B1383">
        <v>1774</v>
      </c>
      <c s="18" r="C1383">
        <v>396.16</v>
      </c>
    </row>
    <row r="1384">
      <c s="11" r="A1384">
        <v>41038</v>
      </c>
      <c t="s" r="B1384">
        <v>1775</v>
      </c>
      <c s="18" r="C1384">
        <v>833.74</v>
      </c>
    </row>
    <row r="1385">
      <c s="9" r="A1385">
        <v>41037</v>
      </c>
      <c t="s" r="B1385">
        <v>1776</v>
      </c>
      <c s="18" r="C1385">
        <v>4061.45</v>
      </c>
    </row>
    <row r="1386">
      <c s="9" r="A1386">
        <v>41037</v>
      </c>
      <c t="s" r="B1386">
        <v>1777</v>
      </c>
      <c s="18" r="C1386">
        <v>5900</v>
      </c>
    </row>
    <row r="1387">
      <c s="9" r="A1387">
        <v>41037</v>
      </c>
      <c t="s" r="B1387">
        <v>1778</v>
      </c>
      <c s="18" r="C1387">
        <v>7582.97</v>
      </c>
    </row>
    <row r="1388">
      <c s="9" r="A1388">
        <v>41032</v>
      </c>
      <c t="s" r="B1388">
        <v>1779</v>
      </c>
      <c s="18" r="C1388">
        <v>279.54</v>
      </c>
    </row>
    <row r="1389">
      <c s="9" r="A1389">
        <v>41032</v>
      </c>
      <c t="s" r="B1389">
        <v>1780</v>
      </c>
      <c s="18" r="C1389">
        <v>1450</v>
      </c>
    </row>
    <row r="1390">
      <c s="9" r="A1390">
        <v>41032</v>
      </c>
      <c t="s" r="B1390">
        <v>1781</v>
      </c>
      <c s="18" r="C1390">
        <v>424.8</v>
      </c>
    </row>
    <row r="1391">
      <c s="9" r="A1391">
        <v>41032</v>
      </c>
      <c t="s" r="B1391">
        <v>1782</v>
      </c>
      <c s="18" r="C1391">
        <v>2336.4</v>
      </c>
    </row>
    <row r="1392">
      <c s="9" r="A1392">
        <v>41032</v>
      </c>
      <c t="s" r="B1392">
        <v>1783</v>
      </c>
      <c s="18" r="C1392">
        <v>498.78</v>
      </c>
    </row>
    <row r="1393">
      <c s="9" r="A1393">
        <v>41032</v>
      </c>
      <c t="s" r="B1393">
        <v>1784</v>
      </c>
      <c s="18" r="C1393">
        <v>141.6</v>
      </c>
    </row>
    <row r="1394">
      <c s="9" r="A1394">
        <v>41032</v>
      </c>
      <c t="s" r="B1394">
        <v>1785</v>
      </c>
      <c s="18" r="C1394">
        <v>165.2</v>
      </c>
    </row>
    <row r="1395">
      <c s="9" r="A1395">
        <v>41032</v>
      </c>
      <c t="s" r="B1395">
        <v>1786</v>
      </c>
      <c s="18" r="C1395">
        <v>155.76</v>
      </c>
    </row>
    <row r="1396">
      <c s="9" r="A1396">
        <v>41032</v>
      </c>
      <c t="s" r="B1396">
        <v>1787</v>
      </c>
      <c s="18" r="C1396">
        <v>383.5</v>
      </c>
    </row>
    <row r="1397">
      <c s="9" r="A1397">
        <v>41032</v>
      </c>
      <c t="s" r="B1397">
        <v>1788</v>
      </c>
      <c s="18" r="C1397">
        <v>700</v>
      </c>
    </row>
    <row r="1398">
      <c s="9" r="A1398">
        <v>41032</v>
      </c>
      <c t="s" r="B1398">
        <v>1789</v>
      </c>
      <c s="18" r="C1398">
        <v>383.5</v>
      </c>
    </row>
    <row r="1399">
      <c s="9" r="A1399">
        <v>41032</v>
      </c>
      <c t="s" r="B1399">
        <v>1790</v>
      </c>
      <c s="18" r="C1399">
        <v>49.56</v>
      </c>
    </row>
    <row r="1400">
      <c s="9" r="A1400">
        <v>41032</v>
      </c>
      <c t="s" r="B1400">
        <v>1791</v>
      </c>
      <c s="18" r="C1400">
        <v>211.22</v>
      </c>
    </row>
    <row r="1401">
      <c s="9" r="A1401">
        <v>41032</v>
      </c>
      <c t="s" r="B1401">
        <v>1792</v>
      </c>
      <c s="18" r="C1401">
        <v>1023.06</v>
      </c>
    </row>
    <row r="1402">
      <c s="9" r="A1402">
        <v>41032</v>
      </c>
      <c t="s" r="B1402">
        <v>1793</v>
      </c>
      <c s="18" r="C1402">
        <v>1770</v>
      </c>
    </row>
    <row r="1403">
      <c s="9" r="A1403">
        <v>41032</v>
      </c>
      <c t="s" r="B1403">
        <v>1794</v>
      </c>
      <c s="18" r="C1403">
        <v>954</v>
      </c>
    </row>
    <row r="1404">
      <c s="9" r="A1404">
        <v>41031</v>
      </c>
      <c t="s" r="B1404">
        <v>1795</v>
      </c>
      <c s="18" r="C1404">
        <v>12059.6</v>
      </c>
    </row>
    <row r="1405">
      <c s="9" r="A1405">
        <v>41031</v>
      </c>
      <c t="s" r="B1405">
        <v>1796</v>
      </c>
      <c s="18" r="C1405">
        <v>17741</v>
      </c>
    </row>
    <row r="1406">
      <c s="11" r="A1406">
        <v>41031</v>
      </c>
      <c t="s" r="B1406">
        <v>1797</v>
      </c>
      <c s="18" r="C1406">
        <v>1080</v>
      </c>
    </row>
    <row r="1407">
      <c s="11" r="A1407">
        <v>41031</v>
      </c>
      <c t="s" r="B1407">
        <v>1798</v>
      </c>
      <c s="18" r="C1407">
        <v>779.81</v>
      </c>
    </row>
    <row r="1408">
      <c s="11" r="A1408">
        <v>41031</v>
      </c>
      <c t="s" r="B1408">
        <v>1799</v>
      </c>
      <c s="18" r="C1408">
        <v>1180</v>
      </c>
    </row>
    <row r="1409">
      <c s="11" r="A1409">
        <v>41031</v>
      </c>
      <c t="s" r="B1409">
        <v>1800</v>
      </c>
      <c s="18" r="C1409">
        <v>224.64</v>
      </c>
    </row>
    <row r="1410">
      <c s="11" r="A1410">
        <v>41029</v>
      </c>
      <c t="s" s="6" r="B1410">
        <v>1801</v>
      </c>
      <c s="4" r="C1410">
        <v>929.27</v>
      </c>
    </row>
    <row r="1411">
      <c s="11" r="A1411">
        <v>41029</v>
      </c>
      <c t="s" s="6" r="B1411">
        <v>1802</v>
      </c>
      <c s="4" r="C1411">
        <v>1069.08</v>
      </c>
    </row>
    <row r="1412">
      <c s="9" r="A1412">
        <v>41025</v>
      </c>
      <c t="s" s="6" r="B1412">
        <v>1803</v>
      </c>
      <c s="4" r="C1412">
        <v>16.2</v>
      </c>
    </row>
    <row r="1413">
      <c s="9" r="A1413">
        <v>41025</v>
      </c>
      <c t="s" s="6" r="B1413">
        <v>1804</v>
      </c>
      <c s="4" r="C1413">
        <v>22.79</v>
      </c>
    </row>
    <row r="1414">
      <c s="11" r="A1414">
        <v>41025</v>
      </c>
      <c t="s" s="6" r="B1414">
        <v>1805</v>
      </c>
      <c s="4" r="C1414">
        <v>27</v>
      </c>
    </row>
    <row r="1415">
      <c s="9" r="A1415">
        <v>41025</v>
      </c>
      <c t="s" s="6" r="B1415">
        <v>1806</v>
      </c>
      <c s="4" r="C1415">
        <v>28.08</v>
      </c>
    </row>
    <row r="1416">
      <c s="9" r="A1416">
        <v>41025</v>
      </c>
      <c t="s" s="6" r="B1416">
        <v>1807</v>
      </c>
      <c s="4" r="C1416">
        <v>32.4</v>
      </c>
    </row>
    <row r="1417">
      <c s="9" r="A1417">
        <v>41025</v>
      </c>
      <c t="s" s="6" r="B1417">
        <v>1808</v>
      </c>
      <c s="4" r="C1417">
        <v>43.2</v>
      </c>
    </row>
    <row r="1418">
      <c s="9" r="A1418">
        <v>41025</v>
      </c>
      <c t="s" s="6" r="B1418">
        <v>1809</v>
      </c>
      <c s="4" r="C1418">
        <v>54</v>
      </c>
    </row>
    <row r="1419">
      <c s="9" r="A1419">
        <v>41025</v>
      </c>
      <c t="s" s="6" r="B1419">
        <v>1810</v>
      </c>
      <c s="4" r="C1419">
        <v>64.8</v>
      </c>
    </row>
    <row r="1420">
      <c s="9" r="A1420">
        <v>41025</v>
      </c>
      <c t="s" s="6" r="B1420">
        <v>1811</v>
      </c>
      <c s="4" r="C1420">
        <v>137.16</v>
      </c>
    </row>
    <row r="1421">
      <c s="9" r="A1421">
        <v>41025</v>
      </c>
      <c t="s" s="6" r="B1421">
        <v>1812</v>
      </c>
      <c s="4" r="C1421">
        <v>146.88</v>
      </c>
    </row>
    <row r="1422">
      <c s="9" r="A1422">
        <v>41025</v>
      </c>
      <c t="s" s="6" r="B1422">
        <v>1813</v>
      </c>
      <c s="4" r="C1422">
        <v>209.52</v>
      </c>
    </row>
    <row r="1423">
      <c s="9" r="A1423">
        <v>41025</v>
      </c>
      <c t="s" s="6" r="B1423">
        <v>1814</v>
      </c>
      <c s="4" r="C1423">
        <v>226.8</v>
      </c>
    </row>
    <row r="1424">
      <c s="9" r="A1424">
        <v>41025</v>
      </c>
      <c t="s" s="6" r="B1424">
        <v>1815</v>
      </c>
      <c s="4" r="C1424">
        <v>295</v>
      </c>
    </row>
    <row r="1425">
      <c s="9" r="A1425">
        <v>41025</v>
      </c>
      <c t="s" s="6" r="B1425">
        <v>1816</v>
      </c>
      <c s="4" r="C1425">
        <v>500</v>
      </c>
    </row>
    <row r="1426">
      <c s="9" r="A1426">
        <v>41025</v>
      </c>
      <c t="s" s="6" r="B1426">
        <v>1817</v>
      </c>
      <c s="4" r="C1426">
        <v>600.5</v>
      </c>
    </row>
    <row r="1427">
      <c s="9" r="A1427">
        <v>41025</v>
      </c>
      <c t="s" s="6" r="B1427">
        <v>1818</v>
      </c>
      <c s="4" r="C1427">
        <v>703.47</v>
      </c>
    </row>
    <row r="1428">
      <c s="9" r="A1428">
        <v>41025</v>
      </c>
      <c t="s" s="6" r="B1428">
        <v>1819</v>
      </c>
      <c s="4" r="C1428">
        <v>1351.15</v>
      </c>
    </row>
    <row r="1429">
      <c s="9" r="A1429">
        <v>41025</v>
      </c>
      <c t="s" s="6" r="B1429">
        <v>1820</v>
      </c>
      <c s="4" r="C1429">
        <v>2033.96</v>
      </c>
    </row>
    <row r="1430">
      <c s="9" r="A1430">
        <v>41025</v>
      </c>
      <c t="s" s="6" r="B1430">
        <v>1821</v>
      </c>
      <c s="4" r="C1430">
        <v>2033.96</v>
      </c>
    </row>
    <row r="1431">
      <c s="9" r="A1431">
        <v>41024</v>
      </c>
      <c t="s" r="B1431">
        <v>1822</v>
      </c>
      <c s="18" r="C1431">
        <v>303.43</v>
      </c>
    </row>
    <row r="1432">
      <c s="9" r="A1432">
        <v>41022</v>
      </c>
      <c t="s" r="B1432">
        <v>1086</v>
      </c>
      <c s="18" r="C1432">
        <v>656.61</v>
      </c>
    </row>
    <row r="1433">
      <c s="9" r="A1433">
        <v>41022</v>
      </c>
      <c t="s" r="B1433">
        <v>1823</v>
      </c>
      <c s="18" r="C1433">
        <v>1110.83</v>
      </c>
    </row>
    <row r="1434">
      <c s="9" r="A1434">
        <v>41022</v>
      </c>
      <c t="s" r="B1434">
        <v>1824</v>
      </c>
      <c s="18" r="C1434">
        <v>1506.86</v>
      </c>
    </row>
    <row r="1435">
      <c s="9" r="A1435">
        <v>41022</v>
      </c>
      <c t="s" r="B1435">
        <v>1825</v>
      </c>
      <c s="18" r="C1435">
        <v>1595.13</v>
      </c>
    </row>
    <row r="1436">
      <c s="9" r="A1436">
        <v>41022</v>
      </c>
      <c t="s" r="B1436">
        <v>1826</v>
      </c>
      <c s="18" r="C1436">
        <v>2100.4</v>
      </c>
    </row>
    <row r="1437">
      <c s="11" r="A1437">
        <v>41019</v>
      </c>
      <c t="s" s="6" r="B1437">
        <v>1827</v>
      </c>
      <c s="4" r="C1437">
        <v>590</v>
      </c>
    </row>
    <row r="1438">
      <c s="11" r="A1438">
        <v>41019</v>
      </c>
      <c t="s" s="6" r="B1438">
        <v>1828</v>
      </c>
      <c s="4" r="C1438">
        <v>727.67</v>
      </c>
    </row>
    <row r="1439">
      <c s="11" r="A1439">
        <v>41019</v>
      </c>
      <c t="s" s="6" r="B1439">
        <v>1829</v>
      </c>
      <c s="4" r="C1439">
        <v>1457.07</v>
      </c>
    </row>
    <row r="1440">
      <c s="11" r="A1440">
        <v>41019</v>
      </c>
      <c t="s" s="6" r="B1440">
        <v>1830</v>
      </c>
      <c s="4" r="C1440">
        <v>1770</v>
      </c>
    </row>
    <row r="1441">
      <c s="11" r="A1441">
        <v>41019</v>
      </c>
      <c t="s" s="6" r="B1441">
        <v>1831</v>
      </c>
      <c s="4" r="C1441">
        <v>2229.57</v>
      </c>
    </row>
    <row r="1442">
      <c s="11" r="A1442">
        <v>41018</v>
      </c>
      <c t="s" s="6" r="B1442">
        <v>1832</v>
      </c>
      <c s="4" r="C1442">
        <v>488.97</v>
      </c>
    </row>
    <row r="1443">
      <c s="11" r="A1443">
        <v>41018</v>
      </c>
      <c t="s" s="6" r="B1443">
        <v>1833</v>
      </c>
      <c s="4" r="C1443">
        <v>1277.48</v>
      </c>
    </row>
    <row r="1444">
      <c s="11" r="A1444">
        <v>41018</v>
      </c>
      <c t="s" s="6" r="B1444">
        <v>1834</v>
      </c>
      <c s="4" r="C1444">
        <v>1451.47</v>
      </c>
    </row>
    <row r="1445">
      <c s="9" r="A1445">
        <v>41017</v>
      </c>
      <c t="s" s="6" r="B1445">
        <v>1835</v>
      </c>
      <c s="4" r="C1445">
        <v>301.79</v>
      </c>
    </row>
    <row r="1446">
      <c s="9" r="A1446">
        <v>41017</v>
      </c>
      <c t="s" s="6" r="B1446">
        <v>1836</v>
      </c>
      <c s="4" r="C1446">
        <v>415.36</v>
      </c>
    </row>
    <row r="1447">
      <c s="9" r="A1447">
        <v>41017</v>
      </c>
      <c t="s" s="6" r="B1447">
        <v>1837</v>
      </c>
      <c s="4" r="C1447">
        <v>709.05</v>
      </c>
    </row>
    <row r="1448">
      <c s="9" r="A1448">
        <v>41017</v>
      </c>
      <c t="s" s="6" r="B1448">
        <v>1838</v>
      </c>
      <c s="4" r="C1448">
        <v>709.05</v>
      </c>
    </row>
    <row r="1449">
      <c s="9" r="A1449">
        <v>41017</v>
      </c>
      <c t="s" s="6" r="B1449">
        <v>1839</v>
      </c>
      <c s="4" r="C1449">
        <v>745.68</v>
      </c>
    </row>
    <row r="1450">
      <c s="13" r="A1450">
        <v>41017</v>
      </c>
      <c t="s" r="B1450">
        <v>1593</v>
      </c>
      <c s="18" r="C1450">
        <v>3374.14</v>
      </c>
    </row>
    <row r="1451">
      <c s="9" r="A1451">
        <v>41017</v>
      </c>
      <c t="s" r="B1451">
        <v>1036</v>
      </c>
      <c s="18" r="C1451">
        <v>3619.56</v>
      </c>
    </row>
    <row r="1452">
      <c s="13" r="A1452">
        <v>41017</v>
      </c>
      <c t="s" r="B1452">
        <v>1840</v>
      </c>
      <c s="18" r="C1452">
        <v>4062</v>
      </c>
    </row>
    <row r="1453">
      <c s="13" r="A1453">
        <v>41017</v>
      </c>
      <c t="s" r="B1453">
        <v>1841</v>
      </c>
      <c s="18" r="C1453">
        <v>4148.01</v>
      </c>
    </row>
    <row r="1454">
      <c s="13" r="A1454">
        <v>41017</v>
      </c>
      <c t="s" r="B1454">
        <v>1842</v>
      </c>
      <c s="18" r="C1454">
        <v>4148.01</v>
      </c>
    </row>
    <row r="1455">
      <c s="9" r="A1455">
        <v>41017</v>
      </c>
      <c t="s" r="B1455">
        <v>1766</v>
      </c>
      <c s="18" r="C1455">
        <v>4554.22</v>
      </c>
    </row>
    <row r="1456">
      <c s="13" r="A1456">
        <v>41017</v>
      </c>
      <c t="s" r="B1456">
        <v>1843</v>
      </c>
      <c s="18" r="C1456">
        <v>4569.31</v>
      </c>
    </row>
    <row r="1457">
      <c s="9" r="A1457">
        <v>41017</v>
      </c>
      <c t="s" r="B1457">
        <v>1844</v>
      </c>
      <c s="18" r="C1457">
        <v>5143</v>
      </c>
    </row>
    <row r="1458">
      <c s="9" r="A1458">
        <v>41017</v>
      </c>
      <c t="s" r="B1458">
        <v>1845</v>
      </c>
      <c s="18" r="C1458">
        <v>5263</v>
      </c>
    </row>
    <row r="1459">
      <c s="13" r="A1459">
        <v>41017</v>
      </c>
      <c t="s" r="B1459">
        <v>1846</v>
      </c>
      <c s="18" r="C1459">
        <v>7162.31</v>
      </c>
    </row>
    <row r="1460">
      <c s="13" r="A1460">
        <v>41017</v>
      </c>
      <c t="s" r="B1460">
        <v>1847</v>
      </c>
      <c s="18" r="C1460">
        <v>7605.63</v>
      </c>
    </row>
    <row r="1461">
      <c s="13" r="A1461">
        <v>41017</v>
      </c>
      <c t="s" r="B1461">
        <v>1848</v>
      </c>
      <c s="18" r="C1461">
        <v>7670</v>
      </c>
    </row>
    <row r="1462">
      <c s="13" r="A1462">
        <v>41017</v>
      </c>
      <c t="s" r="B1462">
        <v>1849</v>
      </c>
      <c s="18" r="C1462">
        <v>10279.5</v>
      </c>
    </row>
    <row r="1463">
      <c s="9" r="A1463">
        <v>41017</v>
      </c>
      <c t="s" r="B1463">
        <v>1850</v>
      </c>
      <c s="18" r="C1463">
        <v>10620</v>
      </c>
    </row>
    <row r="1464">
      <c s="11" r="A1464">
        <v>41017</v>
      </c>
      <c t="s" r="B1464">
        <v>1851</v>
      </c>
      <c s="18" r="C1464">
        <v>177</v>
      </c>
    </row>
    <row r="1465">
      <c s="11" r="A1465">
        <v>41017</v>
      </c>
      <c t="s" r="B1465">
        <v>1852</v>
      </c>
      <c s="18" r="C1465">
        <v>159.59</v>
      </c>
    </row>
    <row r="1466">
      <c s="11" r="A1466">
        <v>41017</v>
      </c>
      <c t="s" r="B1466">
        <v>1853</v>
      </c>
      <c s="18" r="C1466">
        <v>415</v>
      </c>
    </row>
    <row r="1467">
      <c s="11" r="A1467">
        <v>41017</v>
      </c>
      <c t="s" r="B1467">
        <v>1854</v>
      </c>
      <c s="18" r="C1467">
        <v>1062</v>
      </c>
    </row>
    <row r="1468">
      <c s="11" r="A1468">
        <v>41017</v>
      </c>
      <c t="s" r="B1468">
        <v>1855</v>
      </c>
      <c s="18" r="C1468">
        <v>2383.6</v>
      </c>
    </row>
    <row r="1469">
      <c s="11" r="A1469">
        <v>41017</v>
      </c>
      <c t="s" r="B1469">
        <v>1856</v>
      </c>
      <c s="18" r="C1469">
        <v>1298</v>
      </c>
    </row>
    <row r="1470">
      <c s="11" r="A1470">
        <v>41017</v>
      </c>
      <c t="s" r="B1470">
        <v>1857</v>
      </c>
      <c s="18" r="C1470">
        <v>778.66</v>
      </c>
    </row>
    <row r="1471">
      <c s="11" r="A1471">
        <v>41017</v>
      </c>
      <c t="s" r="B1471">
        <v>1858</v>
      </c>
      <c s="18" r="C1471">
        <v>1706.35</v>
      </c>
    </row>
    <row r="1472">
      <c s="11" r="A1472">
        <v>41017</v>
      </c>
      <c t="s" r="B1472">
        <v>1859</v>
      </c>
      <c s="18" r="C1472">
        <v>437.38</v>
      </c>
    </row>
    <row r="1473">
      <c s="11" r="A1473">
        <v>41017</v>
      </c>
      <c t="s" r="B1473">
        <v>1860</v>
      </c>
      <c s="18" r="C1473">
        <v>1556.54</v>
      </c>
    </row>
    <row r="1474">
      <c s="11" r="A1474">
        <v>41017</v>
      </c>
      <c t="s" r="B1474">
        <v>1861</v>
      </c>
      <c s="18" r="C1474">
        <v>912.56</v>
      </c>
    </row>
    <row r="1475">
      <c s="9" r="A1475">
        <v>41016</v>
      </c>
      <c t="s" r="B1475">
        <v>1862</v>
      </c>
      <c s="18" r="C1475">
        <v>159.59</v>
      </c>
    </row>
    <row r="1476">
      <c s="9" r="A1476">
        <v>41016</v>
      </c>
      <c t="s" r="B1476">
        <v>1863</v>
      </c>
      <c s="18" r="C1476">
        <v>177</v>
      </c>
    </row>
    <row r="1477">
      <c s="9" r="A1477">
        <v>41016</v>
      </c>
      <c t="s" r="B1477">
        <v>1864</v>
      </c>
      <c s="18" r="C1477">
        <v>415</v>
      </c>
    </row>
    <row r="1478">
      <c s="9" r="A1478">
        <v>41016</v>
      </c>
      <c t="s" r="B1478">
        <v>1865</v>
      </c>
      <c s="18" r="C1478">
        <v>437.38</v>
      </c>
    </row>
    <row r="1479">
      <c s="9" r="A1479">
        <v>41016</v>
      </c>
      <c t="s" r="B1479">
        <v>1866</v>
      </c>
      <c s="18" r="C1479">
        <v>778.66</v>
      </c>
    </row>
    <row r="1480">
      <c s="9" r="A1480">
        <v>41016</v>
      </c>
      <c t="s" r="B1480">
        <v>1867</v>
      </c>
      <c s="18" r="C1480">
        <v>912.56</v>
      </c>
    </row>
    <row r="1481">
      <c s="9" r="A1481">
        <v>41016</v>
      </c>
      <c t="s" r="B1481">
        <v>1868</v>
      </c>
      <c s="18" r="C1481">
        <v>1062</v>
      </c>
    </row>
    <row r="1482">
      <c s="9" r="A1482">
        <v>41016</v>
      </c>
      <c t="s" r="B1482">
        <v>1869</v>
      </c>
      <c s="18" r="C1482">
        <v>1298</v>
      </c>
    </row>
    <row r="1483">
      <c s="9" r="A1483">
        <v>41016</v>
      </c>
      <c t="s" r="B1483">
        <v>1870</v>
      </c>
      <c s="18" r="C1483">
        <v>1556.54</v>
      </c>
    </row>
    <row r="1484">
      <c s="9" r="A1484">
        <v>41016</v>
      </c>
      <c t="s" r="B1484">
        <v>1871</v>
      </c>
      <c s="18" r="C1484">
        <v>1706.35</v>
      </c>
    </row>
    <row r="1485">
      <c s="9" r="A1485">
        <v>41016</v>
      </c>
      <c t="s" r="B1485">
        <v>1872</v>
      </c>
      <c s="18" r="C1485">
        <v>2383.6</v>
      </c>
    </row>
    <row r="1486">
      <c s="9" r="A1486">
        <v>41012</v>
      </c>
      <c t="s" r="B1486">
        <v>1873</v>
      </c>
      <c s="18" r="C1486">
        <v>50</v>
      </c>
    </row>
    <row r="1487">
      <c s="9" r="A1487">
        <v>41012</v>
      </c>
      <c t="s" r="B1487">
        <v>1874</v>
      </c>
      <c s="18" r="C1487">
        <v>449.97</v>
      </c>
    </row>
    <row r="1488">
      <c s="9" r="A1488">
        <v>41012</v>
      </c>
      <c t="s" r="B1488">
        <v>1875</v>
      </c>
      <c s="18" r="C1488">
        <v>927</v>
      </c>
    </row>
    <row r="1489">
      <c s="9" r="A1489">
        <v>41012</v>
      </c>
      <c t="s" r="B1489">
        <v>1876</v>
      </c>
      <c s="18" r="C1489">
        <v>1770</v>
      </c>
    </row>
    <row r="1490">
      <c s="9" r="A1490">
        <v>41012</v>
      </c>
      <c t="s" r="B1490">
        <v>1877</v>
      </c>
      <c s="18" r="C1490">
        <v>2185.78</v>
      </c>
    </row>
    <row r="1491">
      <c s="9" r="A1491">
        <v>41011</v>
      </c>
      <c t="s" s="6" r="B1491">
        <v>1878</v>
      </c>
      <c s="4" r="C1491">
        <v>78.34</v>
      </c>
    </row>
    <row r="1492">
      <c s="9" r="A1492">
        <v>41011</v>
      </c>
      <c t="s" r="B1492">
        <v>1879</v>
      </c>
      <c s="18" r="C1492">
        <v>151.04</v>
      </c>
    </row>
    <row r="1493">
      <c s="9" r="A1493">
        <v>41011</v>
      </c>
      <c t="s" r="B1493">
        <v>1880</v>
      </c>
      <c s="18" r="C1493">
        <v>292.79</v>
      </c>
    </row>
    <row r="1494">
      <c s="9" r="A1494">
        <v>41011</v>
      </c>
      <c t="s" r="B1494">
        <v>1881</v>
      </c>
      <c s="18" r="C1494">
        <v>294.55</v>
      </c>
    </row>
    <row r="1495">
      <c s="9" r="A1495">
        <v>41011</v>
      </c>
      <c t="s" s="6" r="B1495">
        <v>1882</v>
      </c>
      <c s="4" r="C1495">
        <v>760.7</v>
      </c>
    </row>
    <row r="1496">
      <c s="9" r="A1496">
        <v>41011</v>
      </c>
      <c t="s" r="B1496">
        <v>1883</v>
      </c>
      <c s="18" r="C1496">
        <v>942.56</v>
      </c>
    </row>
    <row r="1497">
      <c s="9" r="A1497">
        <v>41011</v>
      </c>
      <c t="s" s="6" r="B1497">
        <v>1884</v>
      </c>
      <c s="4" r="C1497">
        <v>1233.24</v>
      </c>
    </row>
    <row r="1498">
      <c s="9" r="A1498">
        <v>41011</v>
      </c>
      <c t="s" r="B1498">
        <v>1885</v>
      </c>
      <c s="18" r="C1498">
        <v>2120.76</v>
      </c>
    </row>
    <row r="1499">
      <c s="9" r="A1499">
        <v>41010</v>
      </c>
      <c t="s" s="6" r="B1499">
        <v>1886</v>
      </c>
      <c s="4" r="C1499">
        <v>108</v>
      </c>
    </row>
    <row r="1500">
      <c s="9" r="A1500">
        <v>41010</v>
      </c>
      <c t="s" r="B1500">
        <v>1887</v>
      </c>
      <c s="18" r="C1500">
        <v>226.56</v>
      </c>
    </row>
    <row r="1501">
      <c s="9" r="A1501">
        <v>41010</v>
      </c>
      <c t="s" r="B1501">
        <v>1888</v>
      </c>
      <c s="18" r="C1501">
        <v>241</v>
      </c>
    </row>
    <row r="1502">
      <c s="9" r="A1502">
        <v>41010</v>
      </c>
      <c t="s" r="B1502">
        <v>1889</v>
      </c>
      <c s="18" r="C1502">
        <v>361</v>
      </c>
    </row>
    <row r="1503">
      <c s="9" r="A1503">
        <v>41010</v>
      </c>
      <c t="s" s="6" r="B1503">
        <v>1890</v>
      </c>
      <c s="4" r="C1503">
        <v>511.16</v>
      </c>
    </row>
    <row r="1504">
      <c s="9" r="A1504">
        <v>41010</v>
      </c>
      <c t="s" s="6" r="B1504">
        <v>1891</v>
      </c>
      <c s="4" r="C1504">
        <v>565.49</v>
      </c>
    </row>
    <row r="1505">
      <c s="9" r="A1505">
        <v>41010</v>
      </c>
      <c t="s" r="B1505">
        <v>1892</v>
      </c>
      <c s="18" r="C1505">
        <v>2006</v>
      </c>
    </row>
    <row r="1506">
      <c s="9" r="A1506">
        <v>41010</v>
      </c>
      <c t="s" s="6" r="B1506">
        <v>1893</v>
      </c>
      <c s="4" r="C1506">
        <v>2500</v>
      </c>
    </row>
    <row r="1507">
      <c s="13" r="A1507">
        <v>41010</v>
      </c>
      <c t="s" r="B1507">
        <v>1776</v>
      </c>
      <c s="18" r="C1507">
        <v>4061.45</v>
      </c>
    </row>
    <row r="1508">
      <c s="13" r="A1508">
        <v>41010</v>
      </c>
      <c t="s" r="B1508">
        <v>1715</v>
      </c>
      <c s="18" r="C1508">
        <v>4276.46</v>
      </c>
    </row>
    <row r="1509">
      <c s="13" r="A1509">
        <v>41010</v>
      </c>
      <c t="s" r="B1509">
        <v>1894</v>
      </c>
      <c s="18" r="C1509">
        <v>17499.98</v>
      </c>
    </row>
    <row r="1510">
      <c s="9" r="A1510">
        <v>41009</v>
      </c>
      <c t="s" r="B1510">
        <v>1895</v>
      </c>
      <c s="18" r="C1510">
        <v>118</v>
      </c>
    </row>
    <row r="1511">
      <c s="9" r="A1511">
        <v>41009</v>
      </c>
      <c t="s" r="B1511">
        <v>1896</v>
      </c>
      <c s="18" r="C1511">
        <v>236</v>
      </c>
    </row>
    <row r="1512">
      <c s="9" r="A1512">
        <v>41009</v>
      </c>
      <c t="s" r="B1512">
        <v>1897</v>
      </c>
      <c s="18" r="C1512">
        <v>295</v>
      </c>
    </row>
    <row r="1513">
      <c s="9" r="A1513">
        <v>41009</v>
      </c>
      <c t="s" r="B1513">
        <v>1898</v>
      </c>
      <c s="18" r="C1513">
        <v>360</v>
      </c>
    </row>
    <row r="1514">
      <c s="9" r="A1514">
        <v>41009</v>
      </c>
      <c t="s" r="B1514">
        <v>1899</v>
      </c>
      <c s="18" r="C1514">
        <v>499.8</v>
      </c>
    </row>
    <row r="1515">
      <c s="9" r="A1515">
        <v>41009</v>
      </c>
      <c t="s" r="B1515">
        <v>1900</v>
      </c>
      <c s="18" r="C1515">
        <v>590</v>
      </c>
    </row>
    <row r="1516">
      <c s="9" r="A1516">
        <v>41009</v>
      </c>
      <c t="s" r="B1516">
        <v>1901</v>
      </c>
      <c s="18" r="C1516">
        <v>665.52</v>
      </c>
    </row>
    <row r="1517">
      <c s="9" r="A1517">
        <v>41009</v>
      </c>
      <c t="s" r="B1517">
        <v>1902</v>
      </c>
      <c s="18" r="C1517">
        <v>691.48</v>
      </c>
    </row>
    <row r="1518">
      <c s="9" r="A1518">
        <v>41009</v>
      </c>
      <c t="s" r="B1518">
        <v>1903</v>
      </c>
      <c s="18" r="C1518">
        <v>954</v>
      </c>
    </row>
    <row r="1519">
      <c s="9" r="A1519">
        <v>41009</v>
      </c>
      <c t="s" r="B1519">
        <v>1904</v>
      </c>
      <c s="18" r="C1519">
        <v>1285.92</v>
      </c>
    </row>
    <row r="1520">
      <c s="9" r="A1520">
        <v>41009</v>
      </c>
      <c t="s" r="B1520">
        <v>1905</v>
      </c>
      <c s="18" r="C1520">
        <v>1433</v>
      </c>
    </row>
    <row r="1521">
      <c s="9" r="A1521">
        <v>41003</v>
      </c>
      <c t="s" r="B1521">
        <v>1906</v>
      </c>
      <c s="18" r="C1521">
        <v>7080</v>
      </c>
    </row>
    <row r="1522">
      <c s="9" r="A1522">
        <v>41003</v>
      </c>
      <c t="s" r="B1522">
        <v>1907</v>
      </c>
      <c s="18" r="C1522">
        <v>8767.4</v>
      </c>
    </row>
    <row r="1523">
      <c s="9" r="A1523">
        <v>41003</v>
      </c>
      <c t="s" r="B1523">
        <v>1908</v>
      </c>
      <c s="18" r="C1523">
        <v>28084</v>
      </c>
    </row>
    <row r="1524">
      <c s="9" r="A1524">
        <v>41003</v>
      </c>
      <c t="s" r="B1524">
        <v>1909</v>
      </c>
      <c s="18" r="C1524">
        <v>60000</v>
      </c>
    </row>
    <row r="1525">
      <c s="9" r="A1525">
        <v>41003</v>
      </c>
      <c t="s" r="B1525">
        <v>1133</v>
      </c>
      <c s="18" r="C1525">
        <v>75943.44</v>
      </c>
    </row>
    <row r="1526">
      <c s="13" r="A1526">
        <v>41002</v>
      </c>
      <c t="s" r="B1526">
        <v>1910</v>
      </c>
      <c s="18" r="C1526">
        <v>3456.22</v>
      </c>
    </row>
    <row r="1527">
      <c s="13" r="A1527">
        <v>41002</v>
      </c>
      <c t="s" r="B1527">
        <v>1715</v>
      </c>
      <c s="18" r="C1527">
        <v>4276.46</v>
      </c>
    </row>
    <row r="1528">
      <c s="13" r="A1528">
        <v>41002</v>
      </c>
      <c t="s" r="B1528">
        <v>1911</v>
      </c>
      <c s="18" r="C1528">
        <v>7280</v>
      </c>
    </row>
    <row r="1529">
      <c s="13" r="A1529">
        <v>41002</v>
      </c>
      <c t="s" r="B1529">
        <v>1912</v>
      </c>
      <c s="18" r="C1529">
        <v>17499.98</v>
      </c>
    </row>
    <row r="1530">
      <c s="9" r="A1530">
        <v>40998</v>
      </c>
      <c t="s" r="B1530">
        <v>1913</v>
      </c>
      <c s="18" r="C1530">
        <v>756.17</v>
      </c>
    </row>
    <row r="1531">
      <c s="9" r="A1531">
        <v>40998</v>
      </c>
      <c t="s" r="B1531">
        <v>1914</v>
      </c>
      <c s="18" r="C1531">
        <v>1770</v>
      </c>
    </row>
    <row r="1532">
      <c s="9" r="A1532">
        <v>40998</v>
      </c>
      <c t="s" r="B1532">
        <v>1915</v>
      </c>
      <c s="18" r="C1532">
        <v>1800</v>
      </c>
    </row>
    <row r="1533">
      <c s="9" r="A1533">
        <v>40997</v>
      </c>
      <c t="s" r="B1533">
        <v>1916</v>
      </c>
      <c s="18" r="C1533">
        <v>26.5</v>
      </c>
    </row>
    <row r="1534">
      <c s="9" r="A1534">
        <v>40997</v>
      </c>
      <c t="s" r="B1534">
        <v>1917</v>
      </c>
      <c s="18" r="C1534">
        <v>59.18</v>
      </c>
    </row>
    <row r="1535">
      <c s="9" r="A1535">
        <v>40997</v>
      </c>
      <c t="s" r="B1535">
        <v>1918</v>
      </c>
      <c s="18" r="C1535">
        <v>132.75</v>
      </c>
    </row>
    <row r="1536">
      <c s="9" r="A1536">
        <v>40997</v>
      </c>
      <c t="s" r="B1536">
        <v>1919</v>
      </c>
      <c s="18" r="C1536">
        <v>177</v>
      </c>
    </row>
    <row r="1537">
      <c s="9" r="A1537">
        <v>40997</v>
      </c>
      <c t="s" r="B1537">
        <v>1920</v>
      </c>
      <c s="18" r="C1537">
        <v>418.9</v>
      </c>
    </row>
    <row r="1538">
      <c s="9" r="A1538">
        <v>40997</v>
      </c>
      <c t="s" r="B1538">
        <v>1921</v>
      </c>
      <c s="18" r="C1538">
        <v>466.56</v>
      </c>
    </row>
    <row r="1539">
      <c s="9" r="A1539">
        <v>40997</v>
      </c>
      <c t="s" r="B1539">
        <v>1922</v>
      </c>
      <c s="18" r="C1539">
        <v>610</v>
      </c>
    </row>
    <row r="1540">
      <c s="9" r="A1540">
        <v>40997</v>
      </c>
      <c t="s" r="B1540">
        <v>1923</v>
      </c>
      <c s="18" r="C1540">
        <v>859.19</v>
      </c>
    </row>
    <row r="1541">
      <c s="9" r="A1541">
        <v>40997</v>
      </c>
      <c t="s" r="B1541">
        <v>1924</v>
      </c>
      <c s="18" r="C1541">
        <v>2122.94</v>
      </c>
    </row>
    <row r="1542">
      <c s="13" r="A1542">
        <v>40996</v>
      </c>
      <c t="s" r="B1542">
        <v>1593</v>
      </c>
      <c s="18" r="C1542">
        <v>3400.44</v>
      </c>
    </row>
    <row r="1543">
      <c s="13" r="A1543">
        <v>40996</v>
      </c>
      <c t="s" r="B1543">
        <v>1925</v>
      </c>
      <c s="18" r="C1543">
        <v>3619.56</v>
      </c>
    </row>
    <row r="1544">
      <c s="13" r="A1544">
        <v>40996</v>
      </c>
      <c t="s" r="B1544">
        <v>1926</v>
      </c>
      <c s="18" r="C1544">
        <v>3899.99</v>
      </c>
    </row>
    <row r="1545">
      <c s="13" r="A1545">
        <v>40996</v>
      </c>
      <c t="s" r="B1545">
        <v>1927</v>
      </c>
      <c s="18" r="C1545">
        <v>3899.99</v>
      </c>
    </row>
    <row r="1546">
      <c s="13" r="A1546">
        <v>40996</v>
      </c>
      <c t="s" r="B1546">
        <v>1928</v>
      </c>
      <c s="18" r="C1546">
        <v>6000</v>
      </c>
    </row>
    <row r="1547">
      <c s="13" r="A1547">
        <v>40996</v>
      </c>
      <c t="s" r="B1547">
        <v>1929</v>
      </c>
      <c s="18" r="C1547">
        <v>6420.87</v>
      </c>
    </row>
    <row r="1548">
      <c s="9" r="A1548">
        <v>40996</v>
      </c>
      <c t="s" r="B1548">
        <v>1930</v>
      </c>
      <c s="18" r="C1548">
        <v>7434</v>
      </c>
    </row>
    <row r="1549">
      <c s="13" r="A1549">
        <v>40996</v>
      </c>
      <c t="s" r="B1549">
        <v>1931</v>
      </c>
      <c s="18" r="C1549">
        <v>7605.63</v>
      </c>
    </row>
    <row r="1550">
      <c s="13" r="A1550">
        <v>40996</v>
      </c>
      <c t="s" r="B1550">
        <v>1932</v>
      </c>
      <c s="18" r="C1550">
        <v>7670</v>
      </c>
    </row>
    <row r="1551">
      <c s="9" r="A1551">
        <v>40994</v>
      </c>
      <c t="s" r="B1551">
        <v>1933</v>
      </c>
      <c s="18" r="C1551">
        <v>28.58</v>
      </c>
    </row>
    <row r="1552">
      <c s="9" r="A1552">
        <v>40994</v>
      </c>
      <c t="s" r="B1552">
        <v>1934</v>
      </c>
      <c s="18" r="C1552">
        <v>265.68</v>
      </c>
    </row>
    <row r="1553">
      <c s="9" r="A1553">
        <v>40994</v>
      </c>
      <c t="s" r="B1553">
        <v>1935</v>
      </c>
      <c s="18" r="C1553">
        <v>680.34</v>
      </c>
    </row>
    <row r="1554">
      <c s="9" r="A1554">
        <v>40991</v>
      </c>
      <c t="s" r="B1554">
        <v>1936</v>
      </c>
      <c s="18" r="C1554">
        <v>323.46</v>
      </c>
    </row>
    <row r="1555">
      <c s="9" r="A1555">
        <v>40991</v>
      </c>
      <c t="s" r="B1555">
        <v>1937</v>
      </c>
      <c s="18" r="C1555">
        <v>1719.15</v>
      </c>
    </row>
    <row r="1556">
      <c s="9" r="A1556">
        <v>40990</v>
      </c>
      <c t="s" r="B1556">
        <v>1938</v>
      </c>
      <c s="18" r="C1556">
        <v>59.18</v>
      </c>
    </row>
    <row r="1557">
      <c s="9" r="A1557">
        <v>40990</v>
      </c>
      <c t="s" r="B1557">
        <v>1939</v>
      </c>
      <c s="18" r="C1557">
        <v>135.02</v>
      </c>
    </row>
    <row r="1558">
      <c s="9" r="A1558">
        <v>40990</v>
      </c>
      <c t="s" r="B1558">
        <v>1940</v>
      </c>
      <c s="18" r="C1558">
        <v>252.59</v>
      </c>
    </row>
    <row r="1559">
      <c s="9" r="A1559">
        <v>40990</v>
      </c>
      <c t="s" r="B1559">
        <v>1941</v>
      </c>
      <c s="18" r="C1559">
        <v>302.5</v>
      </c>
    </row>
    <row r="1560">
      <c s="9" r="A1560">
        <v>40990</v>
      </c>
      <c t="s" r="B1560">
        <v>1942</v>
      </c>
      <c s="18" r="C1560">
        <v>354</v>
      </c>
    </row>
    <row r="1561">
      <c s="9" r="A1561">
        <v>40990</v>
      </c>
      <c t="s" r="B1561">
        <v>1943</v>
      </c>
      <c s="18" r="C1561">
        <v>408.87</v>
      </c>
    </row>
    <row r="1562">
      <c s="9" r="A1562">
        <v>40990</v>
      </c>
      <c t="s" r="B1562">
        <v>1944</v>
      </c>
      <c s="18" r="C1562">
        <v>408.87</v>
      </c>
    </row>
    <row r="1563">
      <c s="9" r="A1563">
        <v>40990</v>
      </c>
      <c t="s" r="B1563">
        <v>1945</v>
      </c>
      <c s="18" r="C1563">
        <v>408.87</v>
      </c>
    </row>
    <row r="1564">
      <c s="9" r="A1564">
        <v>40990</v>
      </c>
      <c t="s" r="B1564">
        <v>1946</v>
      </c>
      <c s="18" r="C1564">
        <v>418.9</v>
      </c>
    </row>
    <row r="1565">
      <c s="9" r="A1565">
        <v>40990</v>
      </c>
      <c t="s" r="B1565">
        <v>1947</v>
      </c>
      <c s="18" r="C1565">
        <v>426.22</v>
      </c>
    </row>
    <row r="1566">
      <c s="9" r="A1566">
        <v>40990</v>
      </c>
      <c t="s" r="B1566">
        <v>1948</v>
      </c>
      <c s="18" r="C1566">
        <v>705.73</v>
      </c>
    </row>
    <row r="1567">
      <c s="9" r="A1567">
        <v>40990</v>
      </c>
      <c t="s" r="B1567">
        <v>1948</v>
      </c>
      <c s="18" r="C1567">
        <v>705.73</v>
      </c>
    </row>
    <row r="1568">
      <c s="9" r="A1568">
        <v>40990</v>
      </c>
      <c t="s" r="B1568">
        <v>1949</v>
      </c>
      <c s="18" r="C1568">
        <v>885</v>
      </c>
    </row>
    <row r="1569">
      <c s="9" r="A1569">
        <v>40990</v>
      </c>
      <c t="s" r="B1569">
        <v>1950</v>
      </c>
      <c s="18" r="C1569">
        <v>891.35</v>
      </c>
    </row>
    <row r="1570">
      <c s="9" r="A1570">
        <v>40990</v>
      </c>
      <c t="s" r="B1570">
        <v>1951</v>
      </c>
      <c s="18" r="C1570">
        <v>920.92</v>
      </c>
    </row>
    <row r="1571">
      <c s="9" r="A1571">
        <v>40990</v>
      </c>
      <c t="s" r="B1571">
        <v>1952</v>
      </c>
      <c s="18" r="C1571">
        <v>1180</v>
      </c>
    </row>
    <row r="1572">
      <c s="9" r="A1572">
        <v>40990</v>
      </c>
      <c t="s" r="B1572">
        <v>1953</v>
      </c>
      <c s="18" r="C1572">
        <v>1247.99</v>
      </c>
    </row>
    <row r="1573">
      <c s="9" r="A1573">
        <v>40990</v>
      </c>
      <c t="s" r="B1573">
        <v>1954</v>
      </c>
      <c s="18" r="C1573">
        <v>1501.38</v>
      </c>
    </row>
    <row r="1574">
      <c s="9" r="A1574">
        <v>40990</v>
      </c>
      <c t="s" r="B1574">
        <v>1955</v>
      </c>
      <c s="18" r="C1574">
        <v>1755</v>
      </c>
    </row>
    <row r="1575">
      <c s="9" r="A1575">
        <v>40990</v>
      </c>
      <c t="s" r="B1575">
        <v>1956</v>
      </c>
      <c s="18" r="C1575">
        <v>1941.88</v>
      </c>
    </row>
    <row r="1576">
      <c s="9" r="A1576">
        <v>40990</v>
      </c>
      <c t="s" r="B1576">
        <v>1957</v>
      </c>
      <c s="18" r="C1576">
        <v>2010.72</v>
      </c>
    </row>
    <row r="1577">
      <c s="9" r="A1577">
        <v>40988</v>
      </c>
      <c t="s" r="B1577">
        <v>1958</v>
      </c>
      <c s="18" r="C1577">
        <v>830.04</v>
      </c>
    </row>
    <row r="1578">
      <c s="9" r="A1578">
        <v>40988</v>
      </c>
      <c t="s" r="B1578">
        <v>1959</v>
      </c>
      <c s="18" r="C1578">
        <v>870.23</v>
      </c>
    </row>
    <row r="1579">
      <c s="9" r="A1579">
        <v>40988</v>
      </c>
      <c t="s" r="B1579">
        <v>1960</v>
      </c>
      <c s="18" r="C1579">
        <v>998.06</v>
      </c>
    </row>
    <row r="1580">
      <c s="9" r="A1580">
        <v>40988</v>
      </c>
      <c t="s" r="B1580">
        <v>1961</v>
      </c>
      <c s="18" r="C1580">
        <v>1046.07</v>
      </c>
    </row>
    <row r="1581">
      <c s="9" r="A1581">
        <v>40988</v>
      </c>
      <c t="s" r="B1581">
        <v>1962</v>
      </c>
      <c s="18" r="C1581">
        <v>1190.57</v>
      </c>
    </row>
    <row r="1582">
      <c s="9" r="A1582">
        <v>40988</v>
      </c>
      <c t="s" r="B1582">
        <v>1963</v>
      </c>
      <c s="18" r="C1582">
        <v>1770</v>
      </c>
    </row>
    <row r="1583">
      <c s="9" r="A1583">
        <v>40988</v>
      </c>
      <c t="s" r="B1583">
        <v>1964</v>
      </c>
      <c s="18" r="C1583">
        <v>1800</v>
      </c>
    </row>
    <row r="1584">
      <c s="9" r="A1584">
        <v>40988</v>
      </c>
      <c t="s" r="B1584">
        <v>1965</v>
      </c>
      <c s="18" r="C1584">
        <v>1800</v>
      </c>
    </row>
    <row r="1585">
      <c s="9" r="A1585">
        <v>40988</v>
      </c>
      <c t="s" r="B1585">
        <v>1966</v>
      </c>
      <c s="18" r="C1585">
        <v>2451.57</v>
      </c>
    </row>
    <row r="1586">
      <c s="13" r="A1586">
        <v>40988</v>
      </c>
      <c t="s" r="B1586">
        <v>1967</v>
      </c>
      <c s="18" r="C1586">
        <v>3492</v>
      </c>
    </row>
    <row r="1587">
      <c s="13" r="A1587">
        <v>40988</v>
      </c>
      <c t="s" r="B1587">
        <v>1968</v>
      </c>
      <c s="18" r="C1587">
        <v>3540</v>
      </c>
    </row>
    <row r="1588">
      <c s="13" r="A1588">
        <v>40988</v>
      </c>
      <c t="s" r="B1588">
        <v>1969</v>
      </c>
      <c s="18" r="C1588">
        <v>9240.92</v>
      </c>
    </row>
    <row r="1589">
      <c s="13" r="A1589">
        <v>40982</v>
      </c>
      <c t="s" r="B1589">
        <v>1970</v>
      </c>
      <c s="18" r="C1589">
        <v>902.7</v>
      </c>
    </row>
    <row r="1590">
      <c s="13" r="A1590">
        <v>40982</v>
      </c>
      <c t="s" r="B1590">
        <v>1971</v>
      </c>
      <c s="18" r="C1590">
        <v>2017.08</v>
      </c>
    </row>
    <row r="1591">
      <c s="13" r="A1591">
        <v>40982</v>
      </c>
      <c t="s" r="B1591">
        <v>1972</v>
      </c>
      <c s="18" r="C1591">
        <v>2411.84</v>
      </c>
    </row>
    <row r="1592">
      <c s="13" r="A1592">
        <v>40982</v>
      </c>
      <c t="s" r="B1592">
        <v>1973</v>
      </c>
      <c s="18" r="C1592">
        <v>2493.52</v>
      </c>
    </row>
    <row r="1593">
      <c s="13" r="A1593">
        <v>40976</v>
      </c>
      <c t="s" r="B1593">
        <v>1974</v>
      </c>
      <c s="18" r="C1593">
        <v>60</v>
      </c>
    </row>
    <row r="1594">
      <c s="13" r="A1594">
        <v>40976</v>
      </c>
      <c t="s" r="B1594">
        <v>1975</v>
      </c>
      <c s="18" r="C1594">
        <v>198.36</v>
      </c>
    </row>
    <row r="1595">
      <c s="13" r="A1595">
        <v>40976</v>
      </c>
      <c t="s" r="B1595">
        <v>1976</v>
      </c>
      <c s="18" r="C1595">
        <v>2332.27</v>
      </c>
    </row>
    <row r="1596">
      <c s="13" r="A1596">
        <v>40976</v>
      </c>
      <c t="s" r="B1596">
        <v>1977</v>
      </c>
      <c s="18" r="C1596">
        <v>4050.94</v>
      </c>
    </row>
    <row r="1597">
      <c s="13" r="A1597">
        <v>40976</v>
      </c>
      <c t="s" r="B1597">
        <v>1978</v>
      </c>
      <c s="18" r="C1597">
        <v>4061.45</v>
      </c>
    </row>
    <row r="1598">
      <c s="13" r="A1598">
        <v>40976</v>
      </c>
      <c t="s" r="B1598">
        <v>1979</v>
      </c>
      <c s="18" r="C1598">
        <v>4554.22</v>
      </c>
    </row>
    <row r="1599">
      <c s="13" r="A1599">
        <v>40976</v>
      </c>
      <c t="s" r="B1599">
        <v>1980</v>
      </c>
      <c s="18" r="C1599">
        <v>4569.31</v>
      </c>
    </row>
    <row r="1600">
      <c s="11" r="A1600">
        <v>40975</v>
      </c>
      <c t="s" s="6" r="B1600">
        <v>1981</v>
      </c>
      <c s="4" r="C1600">
        <v>3300</v>
      </c>
    </row>
    <row r="1601">
      <c s="9" r="A1601">
        <v>40975</v>
      </c>
      <c t="s" r="B1601">
        <v>1982</v>
      </c>
      <c s="18" r="C1601">
        <v>3646.2</v>
      </c>
    </row>
    <row r="1602">
      <c s="9" r="A1602">
        <v>40975</v>
      </c>
      <c t="s" r="B1602">
        <v>1983</v>
      </c>
      <c s="18" r="C1602">
        <v>3992.49</v>
      </c>
    </row>
    <row r="1603">
      <c s="9" r="A1603">
        <v>40975</v>
      </c>
      <c t="s" r="B1603">
        <v>1984</v>
      </c>
      <c s="18" r="C1603">
        <v>6439.26</v>
      </c>
    </row>
    <row r="1604">
      <c s="9" r="A1604">
        <v>40975</v>
      </c>
      <c t="s" r="B1604">
        <v>1985</v>
      </c>
      <c s="18" r="C1604">
        <v>6445.15</v>
      </c>
    </row>
    <row r="1605">
      <c s="9" r="A1605">
        <v>40975</v>
      </c>
      <c t="s" r="B1605">
        <v>1986</v>
      </c>
      <c s="18" r="C1605">
        <v>7670</v>
      </c>
    </row>
    <row r="1606">
      <c s="9" r="A1606">
        <v>40975</v>
      </c>
      <c t="s" r="B1606">
        <v>1987</v>
      </c>
      <c s="18" r="C1606">
        <v>17499.98</v>
      </c>
    </row>
    <row r="1607">
      <c s="9" r="A1607">
        <v>40975</v>
      </c>
      <c t="s" r="B1607">
        <v>1988</v>
      </c>
      <c s="18" r="C1607">
        <v>17741</v>
      </c>
    </row>
    <row r="1608">
      <c s="9" r="A1608">
        <v>40974</v>
      </c>
      <c t="s" r="B1608">
        <v>1989</v>
      </c>
      <c s="18" r="C1608">
        <v>1216.63</v>
      </c>
    </row>
    <row r="1609">
      <c s="9" r="A1609">
        <v>40970</v>
      </c>
      <c t="s" r="B1609">
        <v>1990</v>
      </c>
      <c s="18" r="C1609">
        <v>350</v>
      </c>
    </row>
    <row r="1610">
      <c s="9" r="A1610">
        <v>40970</v>
      </c>
      <c t="s" r="B1610">
        <v>1991</v>
      </c>
      <c s="18" r="C1610">
        <v>1421.88</v>
      </c>
    </row>
    <row r="1611">
      <c s="9" r="A1611">
        <v>40970</v>
      </c>
      <c t="s" r="B1611">
        <v>1992</v>
      </c>
      <c s="18" r="C1611">
        <v>1897.5</v>
      </c>
    </row>
    <row r="1612">
      <c s="9" r="A1612">
        <v>40969</v>
      </c>
      <c t="s" r="B1612">
        <v>1993</v>
      </c>
      <c s="18" r="C1612">
        <v>295</v>
      </c>
    </row>
    <row r="1613">
      <c s="9" r="A1613">
        <v>40969</v>
      </c>
      <c t="s" r="B1613">
        <v>1994</v>
      </c>
      <c s="18" r="C1613">
        <v>499.61</v>
      </c>
    </row>
    <row r="1614">
      <c s="9" r="A1614">
        <v>40969</v>
      </c>
      <c t="s" r="B1614">
        <v>1995</v>
      </c>
      <c s="18" r="C1614">
        <v>900</v>
      </c>
    </row>
    <row r="1615">
      <c s="9" r="A1615">
        <v>40969</v>
      </c>
      <c t="s" r="B1615">
        <v>1996</v>
      </c>
      <c s="18" r="C1615">
        <v>1000</v>
      </c>
    </row>
    <row r="1616">
      <c s="9" r="A1616">
        <v>40969</v>
      </c>
      <c t="s" r="B1616">
        <v>1997</v>
      </c>
      <c s="18" r="C1616">
        <v>1000</v>
      </c>
    </row>
    <row r="1617">
      <c s="9" r="A1617">
        <v>40969</v>
      </c>
      <c t="s" r="B1617">
        <v>1998</v>
      </c>
      <c s="18" r="C1617">
        <v>1180</v>
      </c>
    </row>
    <row r="1618">
      <c s="9" r="A1618">
        <v>40969</v>
      </c>
      <c t="s" r="B1618">
        <v>1999</v>
      </c>
      <c s="18" r="C1618">
        <v>1200</v>
      </c>
    </row>
    <row r="1619">
      <c s="9" r="A1619">
        <v>40969</v>
      </c>
      <c t="s" r="B1619">
        <v>2000</v>
      </c>
      <c s="18" r="C1619">
        <v>1200</v>
      </c>
    </row>
    <row r="1620">
      <c s="9" r="A1620">
        <v>40968</v>
      </c>
      <c t="s" r="B1620">
        <v>1133</v>
      </c>
      <c s="18" r="C1620">
        <v>73803.12</v>
      </c>
    </row>
    <row r="1621">
      <c s="9" r="A1621">
        <v>40962</v>
      </c>
      <c t="s" r="B1621">
        <v>2001</v>
      </c>
      <c s="18" r="C1621">
        <v>1317.86</v>
      </c>
    </row>
    <row r="1622">
      <c s="13" r="A1622">
        <v>40961</v>
      </c>
      <c t="s" r="B1622">
        <v>2002</v>
      </c>
      <c s="18" r="C1622">
        <v>917.8</v>
      </c>
    </row>
    <row r="1623">
      <c s="13" r="A1623">
        <v>40961</v>
      </c>
      <c t="s" r="B1623">
        <v>2003</v>
      </c>
      <c s="18" r="C1623">
        <v>1032.03</v>
      </c>
    </row>
    <row r="1624">
      <c s="13" r="A1624">
        <v>40961</v>
      </c>
      <c t="s" r="B1624">
        <v>2004</v>
      </c>
      <c s="18" r="C1624">
        <v>2617.25</v>
      </c>
    </row>
    <row r="1625">
      <c s="13" r="A1625">
        <v>40961</v>
      </c>
      <c t="s" r="B1625">
        <v>2005</v>
      </c>
      <c s="18" r="C1625">
        <v>2700</v>
      </c>
    </row>
    <row r="1626">
      <c s="13" r="A1626">
        <v>40961</v>
      </c>
      <c t="s" r="B1626">
        <v>2006</v>
      </c>
      <c s="18" r="C1626">
        <v>3000</v>
      </c>
    </row>
    <row r="1627">
      <c s="13" r="A1627">
        <v>40961</v>
      </c>
      <c t="s" r="B1627">
        <v>2007</v>
      </c>
      <c s="18" r="C1627">
        <v>4554.22</v>
      </c>
    </row>
    <row r="1628">
      <c s="13" r="A1628">
        <v>40961</v>
      </c>
      <c t="s" r="B1628">
        <v>2008</v>
      </c>
      <c s="18" r="C1628">
        <v>4569.31</v>
      </c>
    </row>
    <row r="1629">
      <c s="13" r="A1629">
        <v>40961</v>
      </c>
      <c t="s" r="B1629">
        <v>2009</v>
      </c>
      <c s="18" r="C1629">
        <v>4569.31</v>
      </c>
    </row>
    <row r="1630">
      <c s="13" r="A1630">
        <v>40961</v>
      </c>
      <c t="s" r="B1630">
        <v>2010</v>
      </c>
      <c s="18" r="C1630">
        <v>5022.5</v>
      </c>
    </row>
    <row r="1631">
      <c s="13" r="A1631">
        <v>40961</v>
      </c>
      <c t="s" r="B1631">
        <v>2011</v>
      </c>
      <c s="18" r="C1631">
        <v>5398.5</v>
      </c>
    </row>
    <row r="1632">
      <c s="13" r="A1632">
        <v>40961</v>
      </c>
      <c t="s" r="B1632">
        <v>2012</v>
      </c>
      <c s="18" r="C1632">
        <v>7166.53</v>
      </c>
    </row>
    <row r="1633">
      <c s="13" r="A1633">
        <v>40961</v>
      </c>
      <c t="s" r="B1633">
        <v>2013</v>
      </c>
      <c s="18" r="C1633">
        <v>9898.58</v>
      </c>
    </row>
    <row r="1634">
      <c s="13" r="A1634">
        <v>40959</v>
      </c>
      <c t="s" r="B1634">
        <v>2014</v>
      </c>
      <c s="18" r="C1634">
        <v>515.09</v>
      </c>
    </row>
    <row r="1635">
      <c s="13" r="A1635">
        <v>40959</v>
      </c>
      <c t="s" r="B1635">
        <v>2014</v>
      </c>
      <c s="18" r="C1635">
        <v>708.91</v>
      </c>
    </row>
    <row r="1636">
      <c s="13" r="A1636">
        <v>40959</v>
      </c>
      <c t="s" r="B1636">
        <v>2015</v>
      </c>
      <c s="18" r="C1636">
        <v>1245.12</v>
      </c>
    </row>
    <row r="1637">
      <c s="13" r="A1637">
        <v>40959</v>
      </c>
      <c t="s" r="B1637">
        <v>2016</v>
      </c>
      <c s="18" r="C1637">
        <v>1514.26</v>
      </c>
    </row>
    <row r="1638">
      <c s="13" r="A1638">
        <v>40959</v>
      </c>
      <c t="s" r="B1638">
        <v>2017</v>
      </c>
      <c s="18" r="C1638">
        <v>1549.42</v>
      </c>
    </row>
    <row r="1639">
      <c s="13" r="A1639">
        <v>40959</v>
      </c>
      <c t="s" r="B1639">
        <v>2018</v>
      </c>
      <c s="18" r="C1639">
        <v>1940.47</v>
      </c>
    </row>
    <row r="1640">
      <c s="13" r="A1640">
        <v>40959</v>
      </c>
      <c t="s" r="B1640">
        <v>2014</v>
      </c>
      <c s="18" r="C1640">
        <v>2253.27</v>
      </c>
    </row>
    <row r="1641">
      <c s="13" r="A1641">
        <v>40959</v>
      </c>
      <c t="s" r="B1641">
        <v>2017</v>
      </c>
      <c s="18" r="C1641">
        <v>2496.41</v>
      </c>
    </row>
    <row r="1642">
      <c s="13" r="A1642">
        <v>40955</v>
      </c>
      <c t="s" r="B1642">
        <v>2019</v>
      </c>
      <c s="18" r="C1642">
        <v>21.6</v>
      </c>
    </row>
    <row r="1643">
      <c s="13" r="A1643">
        <v>40955</v>
      </c>
      <c t="s" r="B1643">
        <v>2020</v>
      </c>
      <c s="18" r="C1643">
        <v>21.6</v>
      </c>
    </row>
    <row r="1644">
      <c s="13" r="A1644">
        <v>40955</v>
      </c>
      <c t="s" r="B1644">
        <v>2021</v>
      </c>
      <c s="18" r="C1644">
        <v>30.27</v>
      </c>
    </row>
    <row r="1645">
      <c s="13" r="A1645">
        <v>40955</v>
      </c>
      <c t="s" r="B1645">
        <v>2022</v>
      </c>
      <c s="18" r="C1645">
        <v>137.01</v>
      </c>
    </row>
    <row r="1646">
      <c s="13" r="A1646">
        <v>40955</v>
      </c>
      <c t="s" r="B1646">
        <v>2023</v>
      </c>
      <c s="18" r="C1646">
        <v>264.02</v>
      </c>
    </row>
    <row r="1647">
      <c s="13" r="A1647">
        <v>40955</v>
      </c>
      <c t="s" r="B1647">
        <v>2024</v>
      </c>
      <c s="18" r="C1647">
        <v>993.6</v>
      </c>
    </row>
    <row r="1648">
      <c s="13" r="A1648">
        <v>40955</v>
      </c>
      <c t="s" r="B1648">
        <v>2025</v>
      </c>
      <c s="18" r="C1648">
        <v>1134</v>
      </c>
    </row>
    <row r="1649">
      <c s="13" r="A1649">
        <v>40955</v>
      </c>
      <c t="s" r="B1649">
        <v>2026</v>
      </c>
      <c s="18" r="C1649">
        <v>1770</v>
      </c>
    </row>
    <row r="1650">
      <c s="13" r="A1650">
        <v>40955</v>
      </c>
      <c t="s" r="B1650">
        <v>2027</v>
      </c>
      <c s="18" r="C1650">
        <v>1787.16</v>
      </c>
    </row>
    <row r="1651">
      <c s="13" r="A1651">
        <v>40955</v>
      </c>
      <c t="s" r="B1651">
        <v>2028</v>
      </c>
      <c s="18" r="C1651">
        <v>2527.34</v>
      </c>
    </row>
    <row r="1652">
      <c s="13" r="A1652">
        <v>40955</v>
      </c>
      <c t="s" r="B1652">
        <v>2029</v>
      </c>
      <c s="18" r="C1652">
        <v>2549.01</v>
      </c>
    </row>
    <row r="1653">
      <c s="13" r="A1653">
        <v>40954</v>
      </c>
      <c t="s" r="B1653">
        <v>2030</v>
      </c>
      <c s="18" r="C1653">
        <v>250.2</v>
      </c>
    </row>
    <row r="1654">
      <c s="13" r="A1654">
        <v>40954</v>
      </c>
      <c t="s" r="B1654">
        <v>2031</v>
      </c>
      <c s="18" r="C1654">
        <v>295</v>
      </c>
    </row>
    <row r="1655">
      <c s="13" r="A1655">
        <v>40954</v>
      </c>
      <c t="s" r="B1655">
        <v>2032</v>
      </c>
      <c s="18" r="C1655">
        <v>1013.86</v>
      </c>
    </row>
    <row r="1656">
      <c s="13" r="A1656">
        <v>40954</v>
      </c>
      <c t="s" r="B1656">
        <v>2033</v>
      </c>
      <c s="18" r="C1656">
        <v>1433</v>
      </c>
    </row>
    <row r="1657">
      <c s="13" r="A1657">
        <v>40954</v>
      </c>
      <c t="s" r="B1657">
        <v>2034</v>
      </c>
      <c s="18" r="C1657">
        <v>1468.68</v>
      </c>
    </row>
    <row r="1658">
      <c s="13" r="A1658">
        <v>40954</v>
      </c>
      <c t="s" r="B1658">
        <v>2035</v>
      </c>
      <c s="18" r="C1658">
        <v>1770</v>
      </c>
    </row>
    <row r="1659">
      <c s="13" r="A1659">
        <v>40954</v>
      </c>
      <c t="s" r="B1659">
        <v>2036</v>
      </c>
      <c s="18" r="C1659">
        <v>1800</v>
      </c>
    </row>
    <row r="1660">
      <c s="13" r="A1660">
        <v>40954</v>
      </c>
      <c t="s" r="B1660">
        <v>2037</v>
      </c>
      <c s="18" r="C1660">
        <v>1800</v>
      </c>
    </row>
    <row r="1661">
      <c s="13" r="A1661">
        <v>40954</v>
      </c>
      <c t="s" r="B1661">
        <v>2038</v>
      </c>
      <c s="18" r="C1661">
        <v>1800</v>
      </c>
    </row>
    <row r="1662">
      <c s="13" r="A1662">
        <v>40954</v>
      </c>
      <c t="s" r="B1662">
        <v>2039</v>
      </c>
      <c s="18" r="C1662">
        <v>1800</v>
      </c>
    </row>
    <row r="1663">
      <c s="13" r="A1663">
        <v>40954</v>
      </c>
      <c t="s" r="B1663">
        <v>2040</v>
      </c>
      <c s="18" r="C1663">
        <v>2055.56</v>
      </c>
    </row>
    <row r="1664">
      <c s="13" r="A1664">
        <v>40954</v>
      </c>
      <c t="s" r="B1664">
        <v>2041</v>
      </c>
      <c s="18" r="C1664">
        <v>2102.76</v>
      </c>
    </row>
    <row r="1665">
      <c s="13" r="A1665">
        <v>40954</v>
      </c>
      <c t="s" r="B1665">
        <v>2042</v>
      </c>
      <c s="18" r="C1665">
        <v>2910.16</v>
      </c>
    </row>
    <row r="1666">
      <c s="13" r="A1666">
        <v>40954</v>
      </c>
      <c t="s" r="B1666">
        <v>548</v>
      </c>
      <c s="18" r="C1666">
        <v>3527.91</v>
      </c>
    </row>
    <row r="1667">
      <c s="13" r="A1667">
        <v>40954</v>
      </c>
      <c t="s" r="B1667">
        <v>1925</v>
      </c>
      <c s="18" r="C1667">
        <v>3619.56</v>
      </c>
    </row>
    <row r="1668">
      <c s="13" r="A1668">
        <v>40954</v>
      </c>
      <c t="s" r="B1668">
        <v>2043</v>
      </c>
      <c s="18" r="C1668">
        <v>4061.45</v>
      </c>
    </row>
    <row r="1669">
      <c s="13" r="A1669">
        <v>40954</v>
      </c>
      <c t="s" r="B1669">
        <v>2044</v>
      </c>
      <c s="18" r="C1669">
        <v>4061.45</v>
      </c>
    </row>
    <row r="1670">
      <c s="13" r="A1670">
        <v>40954</v>
      </c>
      <c t="s" r="B1670">
        <v>1715</v>
      </c>
      <c s="18" r="C1670">
        <v>4276.46</v>
      </c>
    </row>
    <row r="1671">
      <c s="13" r="A1671">
        <v>40954</v>
      </c>
      <c t="s" r="B1671">
        <v>527</v>
      </c>
      <c s="18" r="C1671">
        <v>4913.61</v>
      </c>
    </row>
    <row r="1672">
      <c s="13" r="A1672">
        <v>40954</v>
      </c>
      <c t="s" r="B1672">
        <v>2045</v>
      </c>
      <c s="18" r="C1672">
        <v>5001.37</v>
      </c>
    </row>
    <row r="1673">
      <c s="13" r="A1673">
        <v>40954</v>
      </c>
      <c t="s" r="B1673">
        <v>2046</v>
      </c>
      <c s="18" r="C1673">
        <v>5112.72</v>
      </c>
    </row>
    <row r="1674">
      <c s="11" r="A1674">
        <v>40954</v>
      </c>
      <c t="s" s="6" r="B1674">
        <v>2047</v>
      </c>
      <c s="4" r="C1674">
        <v>5864.94</v>
      </c>
    </row>
    <row r="1675">
      <c s="13" r="A1675">
        <v>40954</v>
      </c>
      <c t="s" r="B1675">
        <v>1266</v>
      </c>
      <c s="18" r="C1675">
        <v>7280</v>
      </c>
    </row>
    <row r="1676">
      <c s="13" r="A1676">
        <v>40954</v>
      </c>
      <c t="s" r="B1676">
        <v>1931</v>
      </c>
      <c s="18" r="C1676">
        <v>7605.63</v>
      </c>
    </row>
    <row r="1677">
      <c s="13" r="A1677">
        <v>40954</v>
      </c>
      <c t="s" r="B1677">
        <v>2048</v>
      </c>
      <c s="18" r="C1677">
        <v>7670</v>
      </c>
    </row>
    <row r="1678">
      <c s="13" r="A1678">
        <v>40954</v>
      </c>
      <c t="s" r="B1678">
        <v>1273</v>
      </c>
      <c s="18" r="C1678">
        <v>9326.02</v>
      </c>
    </row>
    <row r="1679">
      <c s="13" r="A1679">
        <v>40954</v>
      </c>
      <c t="s" r="B1679">
        <v>2049</v>
      </c>
      <c s="18" r="C1679">
        <v>17499.98</v>
      </c>
    </row>
    <row r="1680">
      <c s="13" r="A1680">
        <v>40954</v>
      </c>
      <c t="s" r="B1680">
        <v>2050</v>
      </c>
      <c s="18" r="C1680">
        <v>17499.98</v>
      </c>
    </row>
    <row r="1681">
      <c s="13" r="A1681">
        <v>40952</v>
      </c>
      <c t="s" r="B1681">
        <v>2051</v>
      </c>
      <c s="18" r="C1681">
        <v>64.8</v>
      </c>
    </row>
    <row r="1682">
      <c s="11" r="A1682">
        <v>40952</v>
      </c>
      <c t="s" s="6" r="B1682">
        <v>2052</v>
      </c>
      <c s="4" r="C1682">
        <v>507.86</v>
      </c>
    </row>
    <row r="1683">
      <c s="13" r="A1683">
        <v>40952</v>
      </c>
      <c t="s" r="B1683">
        <v>2053</v>
      </c>
      <c s="18" r="C1683">
        <v>702.43</v>
      </c>
    </row>
    <row r="1684">
      <c s="11" r="A1684">
        <v>40952</v>
      </c>
      <c t="s" s="6" r="B1684">
        <v>2054</v>
      </c>
      <c s="4" r="C1684">
        <v>1009.8</v>
      </c>
    </row>
    <row r="1685">
      <c s="13" r="A1685">
        <v>40952</v>
      </c>
      <c t="s" r="B1685">
        <v>2055</v>
      </c>
      <c s="18" r="C1685">
        <v>1123.69</v>
      </c>
    </row>
    <row r="1686">
      <c s="13" r="A1686">
        <v>40952</v>
      </c>
      <c t="s" r="B1686">
        <v>2056</v>
      </c>
      <c s="18" r="C1686">
        <v>1742.11</v>
      </c>
    </row>
    <row r="1687">
      <c s="13" r="A1687">
        <v>40949</v>
      </c>
      <c t="s" r="B1687">
        <v>2057</v>
      </c>
      <c s="18" r="C1687">
        <v>3619.56</v>
      </c>
    </row>
    <row r="1688">
      <c s="13" r="A1688">
        <v>40949</v>
      </c>
      <c t="s" r="B1688">
        <v>2058</v>
      </c>
      <c s="18" r="C1688">
        <v>5582.93</v>
      </c>
    </row>
    <row r="1689">
      <c s="13" r="A1689">
        <v>40949</v>
      </c>
      <c t="s" r="B1689">
        <v>2059</v>
      </c>
      <c s="18" r="C1689">
        <v>7280</v>
      </c>
    </row>
    <row r="1690">
      <c s="13" r="A1690">
        <v>40949</v>
      </c>
      <c t="s" r="B1690">
        <v>2060</v>
      </c>
      <c s="18" r="C1690">
        <v>7605.63</v>
      </c>
    </row>
    <row r="1691">
      <c s="13" r="A1691">
        <v>40948</v>
      </c>
      <c t="s" r="B1691">
        <v>2061</v>
      </c>
      <c s="18" r="C1691">
        <v>660.15</v>
      </c>
    </row>
    <row r="1692">
      <c s="13" r="A1692">
        <v>40948</v>
      </c>
      <c t="s" r="B1692">
        <v>2062</v>
      </c>
      <c s="18" r="C1692">
        <v>933</v>
      </c>
    </row>
    <row r="1693">
      <c s="13" r="A1693">
        <v>40948</v>
      </c>
      <c t="s" r="B1693">
        <v>2063</v>
      </c>
      <c s="18" r="C1693">
        <v>944</v>
      </c>
    </row>
    <row r="1694">
      <c s="13" r="A1694">
        <v>40948</v>
      </c>
      <c t="s" r="B1694">
        <v>2064</v>
      </c>
      <c s="18" r="C1694">
        <v>1319</v>
      </c>
    </row>
    <row r="1695">
      <c s="13" r="A1695">
        <v>40948</v>
      </c>
      <c t="s" r="B1695">
        <v>2065</v>
      </c>
      <c s="18" r="C1695">
        <v>5144.8</v>
      </c>
    </row>
    <row r="1696">
      <c s="9" r="A1696">
        <v>40947</v>
      </c>
      <c t="s" r="B1696">
        <v>2066</v>
      </c>
      <c s="18" r="C1696">
        <v>13162.5</v>
      </c>
    </row>
    <row r="1697">
      <c s="11" r="A1697">
        <v>40947</v>
      </c>
      <c t="s" s="6" r="B1697">
        <v>2067</v>
      </c>
      <c s="4" r="C1697">
        <v>42.75</v>
      </c>
    </row>
    <row r="1698">
      <c s="13" r="A1698">
        <v>40947</v>
      </c>
      <c t="s" r="B1698">
        <v>2068</v>
      </c>
      <c s="18" r="C1698">
        <v>162</v>
      </c>
    </row>
    <row r="1699">
      <c s="11" r="A1699">
        <v>40947</v>
      </c>
      <c t="s" s="6" r="B1699">
        <v>2069</v>
      </c>
      <c s="4" r="C1699">
        <v>360</v>
      </c>
    </row>
    <row r="1700">
      <c s="11" r="A1700">
        <v>40947</v>
      </c>
      <c t="s" s="6" r="B1700">
        <v>2070</v>
      </c>
      <c s="4" r="C1700">
        <v>385.5</v>
      </c>
    </row>
    <row r="1701">
      <c s="9" r="A1701">
        <v>40947</v>
      </c>
      <c t="s" r="B1701">
        <v>2071</v>
      </c>
      <c s="18" r="C1701">
        <v>483.21</v>
      </c>
    </row>
    <row r="1702">
      <c s="13" r="A1702">
        <v>40947</v>
      </c>
      <c t="s" r="B1702">
        <v>2072</v>
      </c>
      <c s="18" r="C1702">
        <v>526.45</v>
      </c>
    </row>
    <row r="1703">
      <c s="13" r="A1703">
        <v>40947</v>
      </c>
      <c t="s" r="B1703">
        <v>2073</v>
      </c>
      <c s="18" r="C1703">
        <v>588.94</v>
      </c>
    </row>
    <row r="1704">
      <c s="11" r="A1704">
        <v>40947</v>
      </c>
      <c t="s" s="6" r="B1704">
        <v>2074</v>
      </c>
      <c s="4" r="C1704">
        <v>652.54</v>
      </c>
    </row>
    <row r="1705">
      <c s="11" r="A1705">
        <v>40947</v>
      </c>
      <c t="s" s="6" r="B1705">
        <v>2075</v>
      </c>
      <c s="4" r="C1705">
        <v>778.87</v>
      </c>
    </row>
    <row r="1706">
      <c s="13" r="A1706">
        <v>40947</v>
      </c>
      <c t="s" r="B1706">
        <v>2076</v>
      </c>
      <c s="18" r="C1706">
        <v>1282.37</v>
      </c>
    </row>
    <row r="1707">
      <c s="11" r="A1707">
        <v>40947</v>
      </c>
      <c t="s" s="6" r="B1707">
        <v>2077</v>
      </c>
      <c s="4" r="C1707">
        <v>1312.42</v>
      </c>
    </row>
    <row r="1708">
      <c s="13" r="A1708">
        <v>40947</v>
      </c>
      <c t="s" r="B1708">
        <v>2078</v>
      </c>
      <c s="18" r="C1708">
        <v>1433</v>
      </c>
    </row>
    <row r="1709">
      <c s="13" r="A1709">
        <v>40947</v>
      </c>
      <c t="s" r="B1709">
        <v>2079</v>
      </c>
      <c s="18" r="C1709">
        <v>1982.4</v>
      </c>
    </row>
    <row r="1710">
      <c s="13" r="A1710">
        <v>40947</v>
      </c>
      <c t="s" r="B1710">
        <v>2080</v>
      </c>
      <c s="18" r="C1710">
        <v>2089.66</v>
      </c>
    </row>
    <row r="1711">
      <c s="11" r="A1711">
        <v>40947</v>
      </c>
      <c t="s" s="6" r="B1711">
        <v>2081</v>
      </c>
      <c s="4" r="C1711">
        <v>2141.97</v>
      </c>
    </row>
    <row r="1712">
      <c s="11" r="A1712">
        <v>40947</v>
      </c>
      <c t="s" s="6" r="B1712">
        <v>2082</v>
      </c>
      <c s="4" r="C1712">
        <v>2478</v>
      </c>
    </row>
    <row r="1713">
      <c s="11" r="A1713">
        <v>40947</v>
      </c>
      <c t="s" s="6" r="B1713">
        <v>2083</v>
      </c>
      <c s="4" r="C1713">
        <v>2530.36</v>
      </c>
    </row>
    <row r="1714">
      <c s="13" r="A1714">
        <v>40947</v>
      </c>
      <c t="s" r="B1714">
        <v>2080</v>
      </c>
      <c s="18" r="C1714">
        <v>2656.63</v>
      </c>
    </row>
    <row r="1715">
      <c s="11" r="A1715">
        <v>40947</v>
      </c>
      <c t="s" s="6" r="B1715">
        <v>2084</v>
      </c>
      <c s="4" r="C1715">
        <v>2950</v>
      </c>
    </row>
    <row r="1716">
      <c s="13" r="A1716">
        <v>40942</v>
      </c>
      <c t="s" r="B1716">
        <v>2085</v>
      </c>
      <c s="18" r="C1716">
        <v>3016.08</v>
      </c>
    </row>
    <row r="1717">
      <c s="13" r="A1717">
        <v>40942</v>
      </c>
      <c t="s" r="B1717">
        <v>1715</v>
      </c>
      <c s="18" r="C1717">
        <v>4276.46</v>
      </c>
    </row>
    <row r="1718">
      <c s="13" r="A1718">
        <v>40942</v>
      </c>
      <c t="s" r="B1718">
        <v>2086</v>
      </c>
      <c s="18" r="C1718">
        <v>5139.9</v>
      </c>
    </row>
    <row r="1719">
      <c s="13" r="A1719">
        <v>40942</v>
      </c>
      <c t="s" r="B1719">
        <v>2087</v>
      </c>
      <c s="18" r="C1719">
        <v>5665.8</v>
      </c>
    </row>
    <row r="1720">
      <c s="13" r="A1720">
        <v>40942</v>
      </c>
      <c t="s" r="B1720">
        <v>2088</v>
      </c>
      <c s="18" r="C1720">
        <v>10816.09</v>
      </c>
    </row>
    <row r="1721">
      <c s="13" r="A1721">
        <v>40942</v>
      </c>
      <c t="s" r="B1721">
        <v>2089</v>
      </c>
      <c s="18" r="C1721">
        <v>17741</v>
      </c>
    </row>
    <row r="1722">
      <c s="13" r="A1722">
        <v>40938</v>
      </c>
      <c t="s" r="B1722">
        <v>2090</v>
      </c>
      <c s="18" r="C1722">
        <v>1500</v>
      </c>
    </row>
    <row r="1723">
      <c s="13" r="A1723">
        <v>40933</v>
      </c>
      <c t="s" r="B1723">
        <v>2091</v>
      </c>
      <c s="18" r="C1723">
        <v>900</v>
      </c>
    </row>
    <row r="1724">
      <c s="13" r="A1724">
        <v>40933</v>
      </c>
      <c t="s" r="B1724">
        <v>2092</v>
      </c>
      <c s="18" r="C1724">
        <v>1000</v>
      </c>
    </row>
    <row r="1725">
      <c s="13" r="A1725">
        <v>40933</v>
      </c>
      <c t="s" r="B1725">
        <v>2093</v>
      </c>
      <c s="18" r="C1725">
        <v>1274.4</v>
      </c>
    </row>
    <row r="1726">
      <c s="13" r="A1726">
        <v>40933</v>
      </c>
      <c t="s" r="B1726">
        <v>2094</v>
      </c>
      <c s="18" r="C1726">
        <v>1500</v>
      </c>
    </row>
    <row r="1727">
      <c s="13" r="A1727">
        <v>40933</v>
      </c>
      <c t="s" r="B1727">
        <v>2095</v>
      </c>
      <c s="18" r="C1727">
        <v>2200</v>
      </c>
    </row>
    <row r="1728">
      <c s="13" r="A1728">
        <v>40933</v>
      </c>
      <c t="s" r="B1728">
        <v>2096</v>
      </c>
      <c s="18" r="C1728">
        <v>2400</v>
      </c>
    </row>
    <row r="1729">
      <c s="13" r="A1729">
        <v>40933</v>
      </c>
      <c t="s" r="B1729">
        <v>2097</v>
      </c>
      <c s="18" r="C1729">
        <v>2500</v>
      </c>
    </row>
    <row r="1730">
      <c s="13" r="A1730">
        <v>40933</v>
      </c>
      <c t="s" r="B1730">
        <v>2098</v>
      </c>
      <c s="18" r="C1730">
        <v>2596</v>
      </c>
    </row>
    <row r="1731">
      <c s="13" r="A1731">
        <v>40933</v>
      </c>
      <c t="s" r="B1731">
        <v>2099</v>
      </c>
      <c s="18" r="C1731">
        <v>2655</v>
      </c>
    </row>
    <row r="1732">
      <c s="13" r="A1732">
        <v>40933</v>
      </c>
      <c t="s" r="B1732">
        <v>2100</v>
      </c>
      <c s="18" r="C1732">
        <v>3175</v>
      </c>
    </row>
    <row r="1733">
      <c s="13" r="A1733">
        <v>40933</v>
      </c>
      <c t="s" r="B1733">
        <v>2101</v>
      </c>
      <c s="18" r="C1733">
        <v>3304</v>
      </c>
    </row>
    <row r="1734">
      <c s="13" r="A1734">
        <v>40933</v>
      </c>
      <c t="s" r="B1734">
        <v>2102</v>
      </c>
      <c s="18" r="C1734">
        <v>3540</v>
      </c>
    </row>
    <row r="1735">
      <c s="13" r="A1735">
        <v>40933</v>
      </c>
      <c t="s" r="B1735">
        <v>2103</v>
      </c>
      <c s="18" r="C1735">
        <v>3540</v>
      </c>
    </row>
    <row r="1736">
      <c s="13" r="A1736">
        <v>40933</v>
      </c>
      <c t="s" r="B1736">
        <v>2104</v>
      </c>
      <c s="18" r="C1736">
        <v>11448</v>
      </c>
    </row>
    <row r="1737">
      <c s="13" r="A1737">
        <v>40933</v>
      </c>
      <c t="s" r="B1737">
        <v>1301</v>
      </c>
      <c s="18" r="C1737">
        <v>73803.12</v>
      </c>
    </row>
    <row r="1738">
      <c s="13" r="A1738">
        <v>40933</v>
      </c>
      <c t="s" r="B1738">
        <v>2105</v>
      </c>
      <c s="18" r="C1738">
        <v>81209.38</v>
      </c>
    </row>
    <row r="1739">
      <c s="13" r="A1739">
        <v>40920</v>
      </c>
      <c t="s" r="B1739">
        <v>2106</v>
      </c>
      <c s="18" r="C1739">
        <v>647.82</v>
      </c>
    </row>
    <row r="1740">
      <c s="13" r="A1740">
        <v>40918</v>
      </c>
      <c t="s" r="B1740">
        <v>2107</v>
      </c>
      <c s="18" r="C1740">
        <v>270.45</v>
      </c>
    </row>
    <row r="1741">
      <c s="13" r="A1741">
        <v>40908</v>
      </c>
      <c t="s" r="B1741">
        <v>2108</v>
      </c>
      <c s="18" r="C1741">
        <v>1766.02</v>
      </c>
    </row>
    <row r="1742">
      <c s="13" r="A1742">
        <v>40907</v>
      </c>
      <c t="s" r="B1742">
        <v>2109</v>
      </c>
      <c s="18" r="C1742">
        <v>11.88</v>
      </c>
    </row>
    <row r="1743">
      <c s="13" r="A1743">
        <v>40907</v>
      </c>
      <c t="s" r="B1743">
        <v>2110</v>
      </c>
      <c s="18" r="C1743">
        <v>21.6</v>
      </c>
    </row>
    <row r="1744">
      <c s="13" r="A1744">
        <v>40907</v>
      </c>
      <c t="s" r="B1744">
        <v>2111</v>
      </c>
      <c s="18" r="C1744">
        <v>25.92</v>
      </c>
    </row>
    <row r="1745">
      <c s="13" r="A1745">
        <v>40907</v>
      </c>
      <c t="s" r="B1745">
        <v>2112</v>
      </c>
      <c s="18" r="C1745">
        <v>107.62</v>
      </c>
    </row>
    <row r="1746">
      <c s="13" r="A1746">
        <v>40907</v>
      </c>
      <c t="s" r="B1746">
        <v>2113</v>
      </c>
      <c s="18" r="C1746">
        <v>141.25</v>
      </c>
    </row>
    <row r="1747">
      <c s="13" r="A1747">
        <v>40907</v>
      </c>
      <c t="s" r="B1747">
        <v>2114</v>
      </c>
      <c s="18" r="C1747">
        <v>180</v>
      </c>
    </row>
    <row r="1748">
      <c s="13" r="A1748">
        <v>40907</v>
      </c>
      <c t="s" r="B1748">
        <v>2115</v>
      </c>
      <c s="18" r="C1748">
        <v>197.8</v>
      </c>
    </row>
    <row r="1749">
      <c s="13" r="A1749">
        <v>40907</v>
      </c>
      <c t="s" r="B1749">
        <v>2116</v>
      </c>
      <c s="18" r="C1749">
        <v>265.76</v>
      </c>
    </row>
    <row r="1750">
      <c s="13" r="A1750">
        <v>40907</v>
      </c>
      <c t="s" r="B1750">
        <v>2117</v>
      </c>
      <c s="18" r="C1750">
        <v>294.5</v>
      </c>
    </row>
    <row r="1751">
      <c s="13" r="A1751">
        <v>40907</v>
      </c>
      <c t="s" r="B1751">
        <v>2118</v>
      </c>
      <c s="18" r="C1751">
        <v>300</v>
      </c>
    </row>
    <row r="1752">
      <c s="13" r="A1752">
        <v>40907</v>
      </c>
      <c t="s" r="B1752">
        <v>2119</v>
      </c>
      <c s="18" r="C1752">
        <v>311.4</v>
      </c>
    </row>
    <row r="1753">
      <c s="13" r="A1753">
        <v>40907</v>
      </c>
      <c t="s" r="B1753">
        <v>2120</v>
      </c>
      <c s="18" r="C1753">
        <v>313.22</v>
      </c>
    </row>
    <row r="1754">
      <c s="13" r="A1754">
        <v>40907</v>
      </c>
      <c t="s" r="B1754">
        <v>2121</v>
      </c>
      <c s="18" r="C1754">
        <v>322.26</v>
      </c>
    </row>
    <row r="1755">
      <c s="13" r="A1755">
        <v>40907</v>
      </c>
      <c t="s" r="B1755">
        <v>2122</v>
      </c>
      <c s="18" r="C1755">
        <v>354</v>
      </c>
    </row>
    <row r="1756">
      <c s="13" r="A1756">
        <v>40907</v>
      </c>
      <c t="s" r="B1756">
        <v>2123</v>
      </c>
      <c s="18" r="C1756">
        <v>391.22</v>
      </c>
    </row>
    <row r="1757">
      <c s="13" r="A1757">
        <v>40907</v>
      </c>
      <c t="s" r="B1757">
        <v>2124</v>
      </c>
      <c s="18" r="C1757">
        <v>394.57</v>
      </c>
    </row>
    <row r="1758">
      <c s="13" r="A1758">
        <v>40907</v>
      </c>
      <c t="s" r="B1758">
        <v>2125</v>
      </c>
      <c s="18" r="C1758">
        <v>417.31</v>
      </c>
    </row>
    <row r="1759">
      <c s="13" r="A1759">
        <v>40907</v>
      </c>
      <c t="s" r="B1759">
        <v>2126</v>
      </c>
      <c s="18" r="C1759">
        <v>479.25</v>
      </c>
    </row>
    <row r="1760">
      <c s="13" r="A1760">
        <v>40907</v>
      </c>
      <c t="s" r="B1760">
        <v>2127</v>
      </c>
      <c s="18" r="C1760">
        <v>499.7</v>
      </c>
    </row>
    <row r="1761">
      <c s="13" r="A1761">
        <v>40907</v>
      </c>
      <c t="s" r="B1761">
        <v>2128</v>
      </c>
      <c s="18" r="C1761">
        <v>570.29</v>
      </c>
    </row>
    <row r="1762">
      <c s="13" r="A1762">
        <v>40907</v>
      </c>
      <c t="s" r="B1762">
        <v>2129</v>
      </c>
      <c s="18" r="C1762">
        <v>583.76</v>
      </c>
    </row>
    <row r="1763">
      <c s="13" r="A1763">
        <v>40907</v>
      </c>
      <c t="s" r="B1763">
        <v>2130</v>
      </c>
      <c s="18" r="C1763">
        <v>594</v>
      </c>
    </row>
    <row r="1764">
      <c s="13" r="A1764">
        <v>40907</v>
      </c>
      <c t="s" r="B1764">
        <v>2131</v>
      </c>
      <c s="18" r="C1764">
        <v>597.08</v>
      </c>
    </row>
    <row r="1765">
      <c s="13" r="A1765">
        <v>40907</v>
      </c>
      <c t="s" r="B1765">
        <v>2132</v>
      </c>
      <c s="18" r="C1765">
        <v>616.61</v>
      </c>
    </row>
    <row r="1766">
      <c s="13" r="A1766">
        <v>40907</v>
      </c>
      <c t="s" r="B1766">
        <v>2133</v>
      </c>
      <c s="18" r="C1766">
        <v>636.99</v>
      </c>
    </row>
    <row r="1767">
      <c s="13" r="A1767">
        <v>40907</v>
      </c>
      <c t="s" r="B1767">
        <v>2134</v>
      </c>
      <c s="18" r="C1767">
        <v>649</v>
      </c>
    </row>
    <row r="1768">
      <c s="13" r="A1768">
        <v>40907</v>
      </c>
      <c t="s" r="B1768">
        <v>2135</v>
      </c>
      <c s="18" r="C1768">
        <v>655.8</v>
      </c>
    </row>
    <row r="1769">
      <c s="13" r="A1769">
        <v>40907</v>
      </c>
      <c t="s" r="B1769">
        <v>2136</v>
      </c>
      <c s="18" r="C1769">
        <v>660.8</v>
      </c>
    </row>
    <row r="1770">
      <c s="13" r="A1770">
        <v>40907</v>
      </c>
      <c t="s" r="B1770">
        <v>2137</v>
      </c>
      <c s="18" r="C1770">
        <v>668.8</v>
      </c>
    </row>
    <row r="1771">
      <c s="13" r="A1771">
        <v>40907</v>
      </c>
      <c t="s" r="B1771">
        <v>2138</v>
      </c>
      <c s="18" r="C1771">
        <v>752.98</v>
      </c>
    </row>
    <row r="1772">
      <c s="13" r="A1772">
        <v>40907</v>
      </c>
      <c t="s" r="B1772">
        <v>2139</v>
      </c>
      <c s="18" r="C1772">
        <v>774.2</v>
      </c>
    </row>
    <row r="1773">
      <c s="13" r="A1773">
        <v>40907</v>
      </c>
      <c t="s" r="B1773">
        <v>2140</v>
      </c>
      <c s="18" r="C1773">
        <v>819.53</v>
      </c>
    </row>
    <row r="1774">
      <c s="13" r="A1774">
        <v>40907</v>
      </c>
      <c t="s" r="B1774">
        <v>2141</v>
      </c>
      <c s="18" r="C1774">
        <v>828.6</v>
      </c>
    </row>
    <row r="1775">
      <c s="13" r="A1775">
        <v>40907</v>
      </c>
      <c t="s" r="B1775">
        <v>2142</v>
      </c>
      <c s="18" r="C1775">
        <v>891.35</v>
      </c>
    </row>
    <row r="1776">
      <c s="13" r="A1776">
        <v>40907</v>
      </c>
      <c t="s" r="B1776">
        <v>2143</v>
      </c>
      <c s="18" r="C1776">
        <v>1084.13</v>
      </c>
    </row>
    <row r="1777">
      <c s="13" r="A1777">
        <v>40907</v>
      </c>
      <c t="s" r="B1777">
        <v>2144</v>
      </c>
      <c s="18" r="C1777">
        <v>1184.65</v>
      </c>
    </row>
    <row r="1778">
      <c s="13" r="A1778">
        <v>40907</v>
      </c>
      <c t="s" r="B1778">
        <v>2145</v>
      </c>
      <c s="18" r="C1778">
        <v>1189.58</v>
      </c>
    </row>
    <row r="1779">
      <c s="13" r="A1779">
        <v>40907</v>
      </c>
      <c t="s" r="B1779">
        <v>2146</v>
      </c>
      <c s="18" r="C1779">
        <v>1205.02</v>
      </c>
    </row>
    <row r="1780">
      <c s="13" r="A1780">
        <v>40907</v>
      </c>
      <c t="s" r="B1780">
        <v>2147</v>
      </c>
      <c s="18" r="C1780">
        <v>1284.22</v>
      </c>
    </row>
    <row r="1781">
      <c s="13" r="A1781">
        <v>40907</v>
      </c>
      <c t="s" r="B1781">
        <v>2148</v>
      </c>
      <c s="18" r="C1781">
        <v>1334.58</v>
      </c>
    </row>
    <row r="1782">
      <c s="13" r="A1782">
        <v>40907</v>
      </c>
      <c t="s" r="B1782">
        <v>2149</v>
      </c>
      <c s="18" r="C1782">
        <v>1344.4</v>
      </c>
    </row>
    <row r="1783">
      <c s="13" r="A1783">
        <v>40907</v>
      </c>
      <c t="s" r="B1783">
        <v>2150</v>
      </c>
      <c s="18" r="C1783">
        <v>1351.81</v>
      </c>
    </row>
    <row r="1784">
      <c s="13" r="A1784">
        <v>40907</v>
      </c>
      <c t="s" r="B1784">
        <v>2151</v>
      </c>
      <c s="18" r="C1784">
        <v>1362.27</v>
      </c>
    </row>
    <row r="1785">
      <c s="13" r="A1785">
        <v>40907</v>
      </c>
      <c t="s" r="B1785">
        <v>2152</v>
      </c>
      <c s="18" r="C1785">
        <v>1695.95</v>
      </c>
    </row>
    <row r="1786">
      <c s="13" r="A1786">
        <v>40907</v>
      </c>
      <c t="s" r="B1786">
        <v>2153</v>
      </c>
      <c s="18" r="C1786">
        <v>1770</v>
      </c>
    </row>
    <row r="1787">
      <c s="13" r="A1787">
        <v>40907</v>
      </c>
      <c t="s" r="B1787">
        <v>2154</v>
      </c>
      <c s="18" r="C1787">
        <v>1770</v>
      </c>
    </row>
    <row r="1788">
      <c s="13" r="A1788">
        <v>40907</v>
      </c>
      <c t="s" r="B1788">
        <v>2155</v>
      </c>
      <c s="18" r="C1788">
        <v>1837.18</v>
      </c>
    </row>
    <row r="1789">
      <c s="13" r="A1789">
        <v>40907</v>
      </c>
      <c t="s" r="B1789">
        <v>2156</v>
      </c>
      <c s="18" r="C1789">
        <v>1938.78</v>
      </c>
    </row>
    <row r="1790">
      <c s="13" r="A1790">
        <v>40907</v>
      </c>
      <c t="s" r="B1790">
        <v>2157</v>
      </c>
      <c s="18" r="C1790">
        <v>2048.43</v>
      </c>
    </row>
    <row r="1791">
      <c s="13" r="A1791">
        <v>40907</v>
      </c>
      <c t="s" r="B1791">
        <v>2158</v>
      </c>
      <c s="18" r="C1791">
        <v>2122.54</v>
      </c>
    </row>
    <row r="1792">
      <c s="13" r="A1792">
        <v>40907</v>
      </c>
      <c t="s" r="B1792">
        <v>2159</v>
      </c>
      <c s="18" r="C1792">
        <v>2714.54</v>
      </c>
    </row>
    <row r="1793">
      <c s="13" r="A1793">
        <v>40907</v>
      </c>
      <c t="s" r="B1793">
        <v>2160</v>
      </c>
      <c s="18" r="C1793">
        <v>3043</v>
      </c>
    </row>
    <row r="1794">
      <c s="13" r="A1794">
        <v>40907</v>
      </c>
      <c t="s" r="B1794">
        <v>2161</v>
      </c>
      <c s="18" r="C1794">
        <v>3440.88</v>
      </c>
    </row>
    <row r="1795">
      <c s="13" r="A1795">
        <v>40907</v>
      </c>
      <c t="s" r="B1795">
        <v>2162</v>
      </c>
      <c s="18" r="C1795">
        <v>3540</v>
      </c>
    </row>
    <row r="1796">
      <c s="13" r="A1796">
        <v>40907</v>
      </c>
      <c t="s" r="B1796">
        <v>2163</v>
      </c>
      <c s="18" r="C1796">
        <v>4154.47</v>
      </c>
    </row>
    <row r="1797">
      <c s="13" r="A1797">
        <v>40907</v>
      </c>
      <c t="s" r="B1797">
        <v>2164</v>
      </c>
      <c s="18" r="C1797">
        <v>4154.47</v>
      </c>
    </row>
    <row r="1798">
      <c s="13" r="A1798">
        <v>40907</v>
      </c>
      <c t="s" r="B1798">
        <v>2165</v>
      </c>
      <c s="18" r="C1798">
        <v>4412.02</v>
      </c>
    </row>
    <row r="1799">
      <c s="13" r="A1799">
        <v>40907</v>
      </c>
      <c t="s" r="B1799">
        <v>2007</v>
      </c>
      <c s="18" r="C1799">
        <v>4554.22</v>
      </c>
    </row>
    <row r="1800">
      <c s="13" r="A1800">
        <v>40907</v>
      </c>
      <c t="s" r="B1800">
        <v>2166</v>
      </c>
      <c s="18" r="C1800">
        <v>4554.22</v>
      </c>
    </row>
    <row r="1801">
      <c s="13" r="A1801">
        <v>40907</v>
      </c>
      <c t="s" r="B1801">
        <v>2167</v>
      </c>
      <c s="18" r="C1801">
        <v>4569.31</v>
      </c>
    </row>
    <row r="1802">
      <c s="13" r="A1802">
        <v>40907</v>
      </c>
      <c t="s" r="B1802">
        <v>2168</v>
      </c>
      <c s="18" r="C1802">
        <v>5022.5</v>
      </c>
    </row>
    <row r="1803">
      <c s="13" r="A1803">
        <v>40907</v>
      </c>
      <c t="s" r="B1803">
        <v>2169</v>
      </c>
      <c s="18" r="C1803">
        <v>5022.5</v>
      </c>
    </row>
    <row r="1804">
      <c s="13" r="A1804">
        <v>40907</v>
      </c>
      <c t="s" r="B1804">
        <v>2170</v>
      </c>
      <c s="18" r="C1804">
        <v>5900</v>
      </c>
    </row>
    <row r="1805">
      <c s="13" r="A1805">
        <v>40907</v>
      </c>
      <c t="s" r="B1805">
        <v>2171</v>
      </c>
      <c s="18" r="C1805">
        <v>7000</v>
      </c>
    </row>
    <row r="1806">
      <c s="13" r="A1806">
        <v>40907</v>
      </c>
      <c t="s" r="B1806">
        <v>2172</v>
      </c>
      <c s="18" r="C1806">
        <v>10620</v>
      </c>
    </row>
    <row r="1807">
      <c s="13" r="A1807">
        <v>40907</v>
      </c>
      <c t="s" r="B1807">
        <v>2173</v>
      </c>
      <c s="18" r="C1807">
        <v>16695.03</v>
      </c>
    </row>
    <row r="1808">
      <c s="13" r="A1808">
        <v>40907</v>
      </c>
      <c t="s" r="B1808">
        <v>1909</v>
      </c>
      <c s="18" r="C1808">
        <v>20000</v>
      </c>
    </row>
    <row r="1809">
      <c s="13" r="A1809">
        <v>40905</v>
      </c>
      <c t="s" r="B1809">
        <v>2174</v>
      </c>
      <c s="18" r="C1809">
        <v>77.76</v>
      </c>
    </row>
    <row r="1810">
      <c s="13" r="A1810">
        <v>40905</v>
      </c>
      <c t="s" r="B1810">
        <v>2175</v>
      </c>
      <c s="18" r="C1810">
        <v>320.22</v>
      </c>
    </row>
    <row r="1811">
      <c s="13" r="A1811">
        <v>40905</v>
      </c>
      <c t="s" r="B1811">
        <v>2176</v>
      </c>
      <c s="18" r="C1811">
        <v>324</v>
      </c>
    </row>
    <row r="1812">
      <c s="13" r="A1812">
        <v>40905</v>
      </c>
      <c t="s" r="B1812">
        <v>2177</v>
      </c>
      <c s="18" r="C1812">
        <v>470.12</v>
      </c>
    </row>
    <row r="1813">
      <c s="13" r="A1813">
        <v>40905</v>
      </c>
      <c t="s" r="B1813">
        <v>2178</v>
      </c>
      <c s="18" r="C1813">
        <v>693.93</v>
      </c>
    </row>
    <row r="1814">
      <c s="13" r="A1814">
        <v>40905</v>
      </c>
      <c t="s" r="B1814">
        <v>2179</v>
      </c>
      <c s="18" r="C1814">
        <v>702.1</v>
      </c>
    </row>
    <row r="1815">
      <c s="13" r="A1815">
        <v>40905</v>
      </c>
      <c t="s" r="B1815">
        <v>2180</v>
      </c>
      <c s="18" r="C1815">
        <v>1705.19</v>
      </c>
    </row>
    <row r="1816">
      <c s="13" r="A1816">
        <v>40905</v>
      </c>
      <c t="s" r="B1816">
        <v>2181</v>
      </c>
      <c s="18" r="C1816">
        <v>1972.44</v>
      </c>
    </row>
    <row r="1817">
      <c s="13" r="A1817">
        <v>40905</v>
      </c>
      <c t="s" r="B1817">
        <v>2182</v>
      </c>
      <c s="18" r="C1817">
        <v>3168.3</v>
      </c>
    </row>
    <row r="1818">
      <c s="13" r="A1818">
        <v>40905</v>
      </c>
      <c t="s" r="B1818">
        <v>2183</v>
      </c>
      <c s="18" r="C1818">
        <v>7670</v>
      </c>
    </row>
    <row r="1819">
      <c s="13" r="A1819">
        <v>40905</v>
      </c>
      <c t="s" r="B1819">
        <v>1987</v>
      </c>
      <c s="18" r="C1819">
        <v>17499.98</v>
      </c>
    </row>
    <row r="1820">
      <c s="13" r="A1820">
        <v>40900</v>
      </c>
      <c t="s" r="B1820">
        <v>2184</v>
      </c>
      <c s="18" r="C1820">
        <v>16.2</v>
      </c>
    </row>
    <row r="1821">
      <c s="13" r="A1821">
        <v>40900</v>
      </c>
      <c t="s" r="B1821">
        <v>2185</v>
      </c>
      <c s="18" r="C1821">
        <v>29.16</v>
      </c>
    </row>
    <row r="1822">
      <c s="13" r="A1822">
        <v>40900</v>
      </c>
      <c t="s" r="B1822">
        <v>2186</v>
      </c>
      <c s="18" r="C1822">
        <v>128.8</v>
      </c>
    </row>
    <row r="1823">
      <c s="13" r="A1823">
        <v>40900</v>
      </c>
      <c t="s" r="B1823">
        <v>2187</v>
      </c>
      <c s="18" r="C1823">
        <v>194.4</v>
      </c>
    </row>
    <row r="1824">
      <c s="13" r="A1824">
        <v>40900</v>
      </c>
      <c t="s" r="B1824">
        <v>2188</v>
      </c>
      <c s="18" r="C1824">
        <v>295</v>
      </c>
    </row>
    <row r="1825">
      <c s="13" r="A1825">
        <v>40900</v>
      </c>
      <c t="s" r="B1825">
        <v>2189</v>
      </c>
      <c s="18" r="C1825">
        <v>300</v>
      </c>
    </row>
    <row r="1826">
      <c s="13" r="A1826">
        <v>40900</v>
      </c>
      <c t="s" r="B1826">
        <v>2190</v>
      </c>
      <c s="18" r="C1826">
        <v>545.16</v>
      </c>
    </row>
    <row r="1827">
      <c s="13" r="A1827">
        <v>40900</v>
      </c>
      <c t="s" r="B1827">
        <v>2191</v>
      </c>
      <c s="18" r="C1827">
        <v>590</v>
      </c>
    </row>
    <row r="1828">
      <c s="13" r="A1828">
        <v>40900</v>
      </c>
      <c t="s" r="B1828">
        <v>2192</v>
      </c>
      <c s="18" r="C1828">
        <v>605.82</v>
      </c>
    </row>
    <row r="1829">
      <c s="13" r="A1829">
        <v>40900</v>
      </c>
      <c t="s" r="B1829">
        <v>2193</v>
      </c>
      <c s="18" r="C1829">
        <v>655.8</v>
      </c>
    </row>
    <row r="1830">
      <c s="13" r="A1830">
        <v>40900</v>
      </c>
      <c t="s" r="B1830">
        <v>2194</v>
      </c>
      <c s="18" r="C1830">
        <v>655.8</v>
      </c>
    </row>
    <row r="1831">
      <c s="13" r="A1831">
        <v>40900</v>
      </c>
      <c t="s" r="B1831">
        <v>2195</v>
      </c>
      <c s="18" r="C1831">
        <v>680</v>
      </c>
    </row>
    <row r="1832">
      <c s="13" r="A1832">
        <v>40900</v>
      </c>
      <c t="s" r="B1832">
        <v>2196</v>
      </c>
      <c s="18" r="C1832">
        <v>685.88</v>
      </c>
    </row>
    <row r="1833">
      <c s="13" r="A1833">
        <v>40900</v>
      </c>
      <c t="s" r="B1833">
        <v>2197</v>
      </c>
      <c s="18" r="C1833">
        <v>896.8</v>
      </c>
    </row>
    <row r="1834">
      <c s="13" r="A1834">
        <v>40900</v>
      </c>
      <c t="s" r="B1834">
        <v>2198</v>
      </c>
      <c s="18" r="C1834">
        <v>1500.12</v>
      </c>
    </row>
    <row r="1835">
      <c s="13" r="A1835">
        <v>40900</v>
      </c>
      <c t="s" r="B1835">
        <v>2199</v>
      </c>
      <c s="18" r="C1835">
        <v>2150</v>
      </c>
    </row>
    <row r="1836">
      <c s="13" r="A1836">
        <v>40897</v>
      </c>
      <c t="s" r="B1836">
        <v>2200</v>
      </c>
      <c s="18" r="C1836">
        <v>125.2</v>
      </c>
    </row>
    <row r="1837">
      <c s="13" r="A1837">
        <v>40897</v>
      </c>
      <c t="s" r="B1837">
        <v>2201</v>
      </c>
      <c s="18" r="C1837">
        <v>187.2</v>
      </c>
    </row>
    <row r="1838">
      <c s="13" r="A1838">
        <v>40897</v>
      </c>
      <c t="s" r="B1838">
        <v>2202</v>
      </c>
      <c s="18" r="C1838">
        <v>250</v>
      </c>
    </row>
    <row r="1839">
      <c s="13" r="A1839">
        <v>40897</v>
      </c>
      <c t="s" r="B1839">
        <v>2203</v>
      </c>
      <c s="18" r="C1839">
        <v>466.74</v>
      </c>
    </row>
    <row r="1840">
      <c s="13" r="A1840">
        <v>40897</v>
      </c>
      <c t="s" r="B1840">
        <v>2204</v>
      </c>
      <c s="18" r="C1840">
        <v>493.81</v>
      </c>
    </row>
    <row r="1841">
      <c s="13" r="A1841">
        <v>40897</v>
      </c>
      <c t="s" r="B1841">
        <v>2205</v>
      </c>
      <c s="18" r="C1841">
        <v>569.79</v>
      </c>
    </row>
    <row r="1842">
      <c s="13" r="A1842">
        <v>40897</v>
      </c>
      <c t="s" r="B1842">
        <v>2206</v>
      </c>
      <c s="18" r="C1842">
        <v>693.77</v>
      </c>
    </row>
    <row r="1843">
      <c s="13" r="A1843">
        <v>40897</v>
      </c>
      <c t="s" r="B1843">
        <v>2207</v>
      </c>
      <c s="18" r="C1843">
        <v>708</v>
      </c>
    </row>
    <row r="1844">
      <c s="13" r="A1844">
        <v>40897</v>
      </c>
      <c t="s" r="B1844">
        <v>2208</v>
      </c>
      <c s="18" r="C1844">
        <v>1141.34</v>
      </c>
    </row>
    <row r="1845">
      <c s="13" r="A1845">
        <v>40897</v>
      </c>
      <c t="s" r="B1845">
        <v>2209</v>
      </c>
      <c s="18" r="C1845">
        <v>1433</v>
      </c>
    </row>
    <row r="1846">
      <c s="13" r="A1846">
        <v>40897</v>
      </c>
      <c t="s" r="B1846">
        <v>2210</v>
      </c>
      <c s="18" r="C1846">
        <v>1551.25</v>
      </c>
    </row>
    <row r="1847">
      <c s="13" r="A1847">
        <v>40897</v>
      </c>
      <c t="s" r="B1847">
        <v>2211</v>
      </c>
      <c s="18" r="C1847">
        <v>1982.4</v>
      </c>
    </row>
    <row r="1848">
      <c s="13" r="A1848">
        <v>40897</v>
      </c>
      <c t="s" r="B1848">
        <v>2212</v>
      </c>
      <c s="18" r="C1848">
        <v>2122.54</v>
      </c>
    </row>
    <row r="1849">
      <c s="13" r="A1849">
        <v>40897</v>
      </c>
      <c t="s" r="B1849">
        <v>2213</v>
      </c>
      <c s="18" r="C1849">
        <v>2270.6</v>
      </c>
    </row>
    <row r="1850">
      <c s="13" r="A1850">
        <v>40897</v>
      </c>
      <c t="s" r="B1850">
        <v>2214</v>
      </c>
      <c s="18" r="C1850">
        <v>3658</v>
      </c>
    </row>
    <row r="1851">
      <c s="13" r="A1851">
        <v>40897</v>
      </c>
      <c t="s" r="B1851">
        <v>511</v>
      </c>
      <c s="18" r="C1851">
        <v>4061.45</v>
      </c>
    </row>
    <row r="1852">
      <c s="13" r="A1852">
        <v>40897</v>
      </c>
      <c t="s" r="B1852">
        <v>1715</v>
      </c>
      <c s="18" r="C1852">
        <v>4276.46</v>
      </c>
    </row>
    <row r="1853">
      <c s="13" r="A1853">
        <v>40890</v>
      </c>
      <c t="s" r="B1853">
        <v>2057</v>
      </c>
      <c s="18" r="C1853">
        <v>3619.56</v>
      </c>
    </row>
    <row r="1854">
      <c s="13" r="A1854">
        <v>40890</v>
      </c>
      <c t="s" r="B1854">
        <v>2215</v>
      </c>
      <c s="18" r="C1854">
        <v>4408.55</v>
      </c>
    </row>
    <row r="1855">
      <c s="13" r="A1855">
        <v>40890</v>
      </c>
      <c t="s" r="B1855">
        <v>2216</v>
      </c>
      <c s="18" r="C1855">
        <v>4569.31</v>
      </c>
    </row>
    <row r="1856">
      <c s="13" r="A1856">
        <v>40890</v>
      </c>
      <c t="s" r="B1856">
        <v>2217</v>
      </c>
      <c s="18" r="C1856">
        <v>4612.69</v>
      </c>
    </row>
    <row r="1857">
      <c s="13" r="A1857">
        <v>40890</v>
      </c>
      <c t="s" r="B1857">
        <v>2060</v>
      </c>
      <c s="18" r="C1857">
        <v>7605.63</v>
      </c>
    </row>
    <row r="1858">
      <c s="13" r="A1858">
        <v>40890</v>
      </c>
      <c t="s" r="B1858">
        <v>2218</v>
      </c>
      <c s="18" r="C1858">
        <v>7670</v>
      </c>
    </row>
    <row r="1859">
      <c s="13" r="A1859">
        <v>40889</v>
      </c>
      <c t="s" r="B1859">
        <v>2219</v>
      </c>
      <c s="18" r="C1859">
        <v>53.45</v>
      </c>
    </row>
    <row r="1860">
      <c s="13" r="A1860">
        <v>40889</v>
      </c>
      <c t="s" r="B1860">
        <v>2220</v>
      </c>
      <c s="18" r="C1860">
        <v>295</v>
      </c>
    </row>
    <row r="1861">
      <c s="13" r="A1861">
        <v>40889</v>
      </c>
      <c t="s" r="B1861">
        <v>2221</v>
      </c>
      <c s="18" r="C1861">
        <v>300</v>
      </c>
    </row>
    <row r="1862">
      <c s="13" r="A1862">
        <v>40889</v>
      </c>
      <c t="s" r="B1862">
        <v>2222</v>
      </c>
      <c s="18" r="C1862">
        <v>331.88</v>
      </c>
    </row>
    <row r="1863">
      <c s="13" r="A1863">
        <v>40889</v>
      </c>
      <c t="s" r="B1863">
        <v>2223</v>
      </c>
      <c s="18" r="C1863">
        <v>499.6</v>
      </c>
    </row>
    <row r="1864">
      <c s="13" r="A1864">
        <v>40889</v>
      </c>
      <c t="s" r="B1864">
        <v>2224</v>
      </c>
      <c s="18" r="C1864">
        <v>600</v>
      </c>
    </row>
    <row r="1865">
      <c s="13" r="A1865">
        <v>40889</v>
      </c>
      <c t="s" r="B1865">
        <v>2225</v>
      </c>
      <c s="18" r="C1865">
        <v>693.93</v>
      </c>
    </row>
    <row r="1866">
      <c s="13" r="A1866">
        <v>40889</v>
      </c>
      <c t="s" r="B1866">
        <v>2226</v>
      </c>
      <c s="18" r="C1866">
        <v>848.64</v>
      </c>
    </row>
    <row r="1867">
      <c s="13" r="A1867">
        <v>40889</v>
      </c>
      <c t="s" r="B1867">
        <v>2227</v>
      </c>
      <c s="18" r="C1867">
        <v>1000</v>
      </c>
    </row>
    <row r="1868">
      <c s="13" r="A1868">
        <v>40889</v>
      </c>
      <c t="s" r="B1868">
        <v>2228</v>
      </c>
      <c s="18" r="C1868">
        <v>1113.32</v>
      </c>
    </row>
    <row r="1869">
      <c s="13" r="A1869">
        <v>40889</v>
      </c>
      <c t="s" r="B1869">
        <v>2229</v>
      </c>
      <c s="18" r="C1869">
        <v>1227.2</v>
      </c>
    </row>
    <row r="1870">
      <c s="13" r="A1870">
        <v>40889</v>
      </c>
      <c t="s" r="B1870">
        <v>2230</v>
      </c>
      <c s="18" r="C1870">
        <v>1262.6</v>
      </c>
    </row>
    <row r="1871">
      <c s="13" r="A1871">
        <v>40889</v>
      </c>
      <c t="s" r="B1871">
        <v>2231</v>
      </c>
      <c s="18" r="C1871">
        <v>1453.76</v>
      </c>
    </row>
    <row r="1872">
      <c s="13" r="A1872">
        <v>40889</v>
      </c>
      <c t="s" r="B1872">
        <v>2232</v>
      </c>
      <c s="18" r="C1872">
        <v>1706.35</v>
      </c>
    </row>
    <row r="1873">
      <c s="13" r="A1873">
        <v>40889</v>
      </c>
      <c t="s" r="B1873">
        <v>2233</v>
      </c>
      <c s="18" r="C1873">
        <v>1794.24</v>
      </c>
    </row>
    <row r="1874">
      <c s="13" r="A1874">
        <v>40884</v>
      </c>
      <c t="s" r="B1874">
        <v>2234</v>
      </c>
      <c s="18" r="C1874">
        <v>3168.74</v>
      </c>
    </row>
    <row r="1875">
      <c s="13" r="A1875">
        <v>40884</v>
      </c>
      <c t="s" r="B1875">
        <v>2235</v>
      </c>
      <c s="18" r="C1875">
        <v>3989</v>
      </c>
    </row>
    <row r="1876">
      <c s="13" r="A1876">
        <v>40884</v>
      </c>
      <c t="s" r="B1876">
        <v>2236</v>
      </c>
      <c s="18" r="C1876">
        <v>4569.31</v>
      </c>
    </row>
    <row r="1877">
      <c s="13" r="A1877">
        <v>40884</v>
      </c>
      <c t="s" r="B1877">
        <v>2237</v>
      </c>
      <c s="18" r="C1877">
        <v>5402.45</v>
      </c>
    </row>
    <row r="1878">
      <c s="13" r="A1878">
        <v>40884</v>
      </c>
      <c t="s" r="B1878">
        <v>2238</v>
      </c>
      <c s="18" r="C1878">
        <v>6000</v>
      </c>
    </row>
    <row r="1879">
      <c s="9" r="A1879">
        <v>40879</v>
      </c>
      <c t="s" r="B1879">
        <v>2239</v>
      </c>
      <c s="18" r="C1879">
        <v>443.68</v>
      </c>
    </row>
    <row r="1880">
      <c s="9" r="A1880">
        <v>40879</v>
      </c>
      <c t="s" r="B1880">
        <v>2240</v>
      </c>
      <c s="18" r="C1880">
        <v>1545.8</v>
      </c>
    </row>
    <row r="1881">
      <c s="9" r="A1881">
        <v>40879</v>
      </c>
      <c t="s" r="B1881">
        <v>2241</v>
      </c>
      <c s="18" r="C1881">
        <v>1961.58</v>
      </c>
    </row>
    <row r="1882">
      <c s="9" r="A1882">
        <v>40877</v>
      </c>
      <c t="s" r="B1882">
        <v>2242</v>
      </c>
      <c s="18" r="C1882">
        <v>98.15</v>
      </c>
    </row>
    <row r="1883">
      <c s="9" r="A1883">
        <v>40877</v>
      </c>
      <c t="s" r="B1883">
        <v>2243</v>
      </c>
      <c s="18" r="C1883">
        <v>120.75</v>
      </c>
    </row>
    <row r="1884">
      <c s="9" r="A1884">
        <v>40877</v>
      </c>
      <c t="s" r="B1884">
        <v>2244</v>
      </c>
      <c s="18" r="C1884">
        <v>177</v>
      </c>
    </row>
    <row r="1885">
      <c s="9" r="A1885">
        <v>40877</v>
      </c>
      <c t="s" r="B1885">
        <v>2245</v>
      </c>
      <c s="18" r="C1885">
        <v>500</v>
      </c>
    </row>
    <row r="1886">
      <c s="9" r="A1886">
        <v>40877</v>
      </c>
      <c t="s" r="B1886">
        <v>2246</v>
      </c>
      <c s="18" r="C1886">
        <v>500.02</v>
      </c>
    </row>
    <row r="1887">
      <c s="9" r="A1887">
        <v>40877</v>
      </c>
      <c t="s" r="B1887">
        <v>2247</v>
      </c>
      <c s="18" r="C1887">
        <v>501.5</v>
      </c>
    </row>
    <row r="1888">
      <c s="9" r="A1888">
        <v>40877</v>
      </c>
      <c t="s" r="B1888">
        <v>2248</v>
      </c>
      <c s="18" r="C1888">
        <v>570.94</v>
      </c>
    </row>
    <row r="1889">
      <c s="9" r="A1889">
        <v>40877</v>
      </c>
      <c t="s" r="B1889">
        <v>2249</v>
      </c>
      <c s="18" r="C1889">
        <v>969.43</v>
      </c>
    </row>
    <row r="1890">
      <c s="9" r="A1890">
        <v>40877</v>
      </c>
      <c t="s" r="B1890">
        <v>2250</v>
      </c>
      <c s="18" r="C1890">
        <v>1326.91</v>
      </c>
    </row>
    <row r="1891">
      <c s="9" r="A1891">
        <v>40877</v>
      </c>
      <c t="s" r="B1891">
        <v>2251</v>
      </c>
      <c s="18" r="C1891">
        <v>1770</v>
      </c>
    </row>
    <row r="1892">
      <c s="9" r="A1892">
        <v>40877</v>
      </c>
      <c t="s" r="B1892">
        <v>2252</v>
      </c>
      <c s="18" r="C1892">
        <v>1770</v>
      </c>
    </row>
    <row r="1893">
      <c s="13" r="A1893">
        <v>40877</v>
      </c>
      <c t="s" r="B1893">
        <v>2253</v>
      </c>
      <c s="18" r="C1893">
        <v>3235.66</v>
      </c>
    </row>
    <row r="1894">
      <c s="13" r="A1894">
        <v>40877</v>
      </c>
      <c t="s" r="B1894">
        <v>2254</v>
      </c>
      <c s="18" r="C1894">
        <v>3619.56</v>
      </c>
    </row>
    <row r="1895">
      <c s="13" r="A1895">
        <v>40877</v>
      </c>
      <c t="s" r="B1895">
        <v>2255</v>
      </c>
      <c s="18" r="C1895">
        <v>7605.53</v>
      </c>
    </row>
    <row r="1896">
      <c s="9" r="A1896">
        <v>40877</v>
      </c>
      <c t="s" r="B1896">
        <v>2256</v>
      </c>
      <c s="18" r="C1896">
        <v>73803.12</v>
      </c>
    </row>
    <row r="1897">
      <c s="13" r="A1897">
        <v>40875</v>
      </c>
      <c t="s" r="B1897">
        <v>2257</v>
      </c>
      <c s="18" r="C1897">
        <v>3979.49</v>
      </c>
    </row>
    <row r="1898">
      <c s="13" r="A1898">
        <v>40875</v>
      </c>
      <c t="s" r="B1898">
        <v>2258</v>
      </c>
      <c s="18" r="C1898">
        <v>29197.38</v>
      </c>
    </row>
    <row r="1899">
      <c s="13" r="A1899">
        <v>40870</v>
      </c>
      <c t="s" r="B1899">
        <v>2259</v>
      </c>
      <c s="18" r="C1899">
        <v>1800</v>
      </c>
    </row>
    <row r="1900">
      <c s="13" r="A1900">
        <v>40870</v>
      </c>
      <c t="s" r="B1900">
        <v>2260</v>
      </c>
      <c s="18" r="C1900">
        <v>5022.5</v>
      </c>
    </row>
    <row r="1901">
      <c s="13" r="A1901">
        <v>40863</v>
      </c>
      <c t="s" r="B1901">
        <v>2261</v>
      </c>
      <c s="18" r="C1901">
        <v>7670</v>
      </c>
    </row>
    <row r="1902">
      <c s="13" r="A1902">
        <v>40863</v>
      </c>
      <c t="s" r="B1902">
        <v>2262</v>
      </c>
      <c s="18" r="C1902">
        <v>73803.12</v>
      </c>
    </row>
    <row r="1903">
      <c s="13" r="A1903">
        <v>40862</v>
      </c>
      <c t="s" r="B1903">
        <v>2263</v>
      </c>
      <c s="18" r="C1903">
        <v>108</v>
      </c>
    </row>
    <row r="1904">
      <c s="13" r="A1904">
        <v>40862</v>
      </c>
      <c t="s" r="B1904">
        <v>2264</v>
      </c>
      <c s="18" r="C1904">
        <v>418.9</v>
      </c>
    </row>
    <row r="1905">
      <c s="13" r="A1905">
        <v>40862</v>
      </c>
      <c t="s" r="B1905">
        <v>2265</v>
      </c>
      <c s="18" r="C1905">
        <v>472</v>
      </c>
    </row>
    <row r="1906">
      <c s="13" r="A1906">
        <v>40862</v>
      </c>
      <c t="s" r="B1906">
        <v>2266</v>
      </c>
      <c s="18" r="C1906">
        <v>567</v>
      </c>
    </row>
    <row r="1907">
      <c s="13" r="A1907">
        <v>40862</v>
      </c>
      <c t="s" r="B1907">
        <v>2267</v>
      </c>
      <c s="18" r="C1907">
        <v>616.76</v>
      </c>
    </row>
    <row r="1908">
      <c s="13" r="A1908">
        <v>40862</v>
      </c>
      <c t="s" r="B1908">
        <v>2268</v>
      </c>
      <c s="18" r="C1908">
        <v>643.1</v>
      </c>
    </row>
    <row r="1909">
      <c s="13" r="A1909">
        <v>40862</v>
      </c>
      <c t="s" r="B1909">
        <v>2269</v>
      </c>
      <c s="18" r="C1909">
        <v>660</v>
      </c>
    </row>
    <row r="1910">
      <c s="13" r="A1910">
        <v>40862</v>
      </c>
      <c t="s" r="B1910">
        <v>2270</v>
      </c>
      <c s="18" r="C1910">
        <v>660</v>
      </c>
    </row>
    <row r="1911">
      <c s="13" r="A1911">
        <v>40862</v>
      </c>
      <c t="s" r="B1911">
        <v>2271</v>
      </c>
      <c s="18" r="C1911">
        <v>807</v>
      </c>
    </row>
    <row r="1912">
      <c s="13" r="A1912">
        <v>40862</v>
      </c>
      <c t="s" r="B1912">
        <v>2272</v>
      </c>
      <c s="18" r="C1912">
        <v>825</v>
      </c>
    </row>
    <row r="1913">
      <c s="13" r="A1913">
        <v>40862</v>
      </c>
      <c t="s" r="B1913">
        <v>2273</v>
      </c>
      <c s="18" r="C1913">
        <v>842.4</v>
      </c>
    </row>
    <row r="1914">
      <c s="13" r="A1914">
        <v>40862</v>
      </c>
      <c t="s" r="B1914">
        <v>2274</v>
      </c>
      <c s="18" r="C1914">
        <v>966.42</v>
      </c>
    </row>
    <row r="1915">
      <c s="13" r="A1915">
        <v>40862</v>
      </c>
      <c t="s" r="B1915">
        <v>2275</v>
      </c>
      <c s="18" r="C1915">
        <v>1000</v>
      </c>
    </row>
    <row r="1916">
      <c s="13" r="A1916">
        <v>40862</v>
      </c>
      <c t="s" r="B1916">
        <v>2276</v>
      </c>
      <c s="18" r="C1916">
        <v>1000</v>
      </c>
    </row>
    <row r="1917">
      <c s="13" r="A1917">
        <v>40862</v>
      </c>
      <c t="s" r="B1917">
        <v>2277</v>
      </c>
      <c s="18" r="C1917">
        <v>1080</v>
      </c>
    </row>
    <row r="1918">
      <c s="13" r="A1918">
        <v>40862</v>
      </c>
      <c t="s" r="B1918">
        <v>2278</v>
      </c>
      <c s="18" r="C1918">
        <v>1086.42</v>
      </c>
    </row>
    <row r="1919">
      <c s="13" r="A1919">
        <v>40862</v>
      </c>
      <c t="s" r="B1919">
        <v>2279</v>
      </c>
      <c s="18" r="C1919">
        <v>1176</v>
      </c>
    </row>
    <row r="1920">
      <c s="13" r="A1920">
        <v>40862</v>
      </c>
      <c t="s" r="B1920">
        <v>2280</v>
      </c>
      <c s="18" r="C1920">
        <v>1196.76</v>
      </c>
    </row>
    <row r="1921">
      <c s="13" r="A1921">
        <v>40862</v>
      </c>
      <c t="s" r="B1921">
        <v>2281</v>
      </c>
      <c s="18" r="C1921">
        <v>1266.74</v>
      </c>
    </row>
    <row r="1922">
      <c s="13" r="A1922">
        <v>40862</v>
      </c>
      <c t="s" r="B1922">
        <v>2282</v>
      </c>
      <c s="18" r="C1922">
        <v>1552.88</v>
      </c>
    </row>
    <row r="1923">
      <c s="13" r="A1923">
        <v>40862</v>
      </c>
      <c t="s" r="B1923">
        <v>2283</v>
      </c>
      <c s="18" r="C1923">
        <v>1628.6</v>
      </c>
    </row>
    <row r="1924">
      <c s="13" r="A1924">
        <v>40862</v>
      </c>
      <c t="s" r="B1924">
        <v>2284</v>
      </c>
      <c s="18" r="C1924">
        <v>2359.8</v>
      </c>
    </row>
    <row r="1925">
      <c s="13" r="A1925">
        <v>40862</v>
      </c>
      <c t="s" r="B1925">
        <v>2285</v>
      </c>
      <c s="18" r="C1925">
        <v>2877.12</v>
      </c>
    </row>
    <row r="1926">
      <c s="13" r="A1926">
        <v>40862</v>
      </c>
      <c t="s" r="B1926">
        <v>2286</v>
      </c>
      <c s="18" r="C1926">
        <v>3000</v>
      </c>
    </row>
    <row r="1927">
      <c s="13" r="A1927">
        <v>40856</v>
      </c>
      <c t="s" r="B1927">
        <v>2287</v>
      </c>
      <c s="18" r="C1927">
        <v>453.6</v>
      </c>
    </row>
    <row r="1928">
      <c s="13" r="A1928">
        <v>40856</v>
      </c>
      <c t="s" r="B1928">
        <v>2288</v>
      </c>
      <c s="18" r="C1928">
        <v>758.78</v>
      </c>
    </row>
    <row r="1929">
      <c s="13" r="A1929">
        <v>40856</v>
      </c>
      <c t="s" r="B1929">
        <v>2289</v>
      </c>
      <c s="18" r="C1929">
        <v>799.38</v>
      </c>
    </row>
    <row r="1930">
      <c s="13" r="A1930">
        <v>40856</v>
      </c>
      <c t="s" r="B1930">
        <v>2290</v>
      </c>
      <c s="18" r="C1930">
        <v>1114.07</v>
      </c>
    </row>
    <row r="1931">
      <c s="13" r="A1931">
        <v>40856</v>
      </c>
      <c t="s" r="B1931">
        <v>2291</v>
      </c>
      <c s="18" r="C1931">
        <v>1194.48</v>
      </c>
    </row>
    <row r="1932">
      <c s="13" r="A1932">
        <v>40856</v>
      </c>
      <c t="s" r="B1932">
        <v>2292</v>
      </c>
      <c s="18" r="C1932">
        <v>2595.46</v>
      </c>
    </row>
    <row r="1933">
      <c s="13" r="A1933">
        <v>40856</v>
      </c>
      <c t="s" r="B1933">
        <v>2293</v>
      </c>
      <c s="18" r="C1933">
        <v>4437.3</v>
      </c>
    </row>
    <row r="1934">
      <c s="13" r="A1934">
        <v>40856</v>
      </c>
      <c t="s" r="B1934">
        <v>2294</v>
      </c>
      <c s="18" r="C1934">
        <v>4437.3</v>
      </c>
    </row>
    <row r="1935">
      <c s="13" r="A1935">
        <v>40856</v>
      </c>
      <c t="s" r="B1935">
        <v>2295</v>
      </c>
      <c s="18" r="C1935">
        <v>8260</v>
      </c>
    </row>
    <row r="1936">
      <c s="13" r="A1936">
        <v>40856</v>
      </c>
      <c t="s" r="B1936">
        <v>2296</v>
      </c>
      <c s="18" r="C1936">
        <v>26932</v>
      </c>
    </row>
    <row r="1937">
      <c s="13" r="A1937">
        <v>40855</v>
      </c>
      <c t="s" r="B1937">
        <v>2297</v>
      </c>
      <c s="18" r="C1937">
        <v>236</v>
      </c>
    </row>
    <row r="1938">
      <c s="13" r="A1938">
        <v>40855</v>
      </c>
      <c t="s" r="B1938">
        <v>2298</v>
      </c>
      <c s="18" r="C1938">
        <v>295</v>
      </c>
    </row>
    <row r="1939">
      <c s="13" r="A1939">
        <v>40855</v>
      </c>
      <c t="s" r="B1939">
        <v>2299</v>
      </c>
      <c s="18" r="C1939">
        <v>353.28</v>
      </c>
    </row>
    <row r="1940">
      <c s="13" r="A1940">
        <v>40855</v>
      </c>
      <c t="s" r="B1940">
        <v>2300</v>
      </c>
      <c s="18" r="C1940">
        <v>1054.69</v>
      </c>
    </row>
    <row r="1941">
      <c s="13" r="A1941">
        <v>40855</v>
      </c>
      <c t="s" r="B1941">
        <v>2301</v>
      </c>
      <c s="18" r="C1941">
        <v>1354.64</v>
      </c>
    </row>
    <row r="1942">
      <c s="9" r="A1942">
        <v>40851</v>
      </c>
      <c t="s" r="B1942">
        <v>2302</v>
      </c>
      <c s="18" r="C1942">
        <v>118</v>
      </c>
    </row>
    <row r="1943">
      <c s="9" r="A1943">
        <v>40851</v>
      </c>
      <c t="s" r="B1943">
        <v>2303</v>
      </c>
      <c s="18" r="C1943">
        <v>127.44</v>
      </c>
    </row>
    <row r="1944">
      <c s="9" r="A1944">
        <v>40851</v>
      </c>
      <c t="s" r="B1944">
        <v>2304</v>
      </c>
      <c s="18" r="C1944">
        <v>130.98</v>
      </c>
    </row>
    <row r="1945">
      <c s="9" r="A1945">
        <v>40851</v>
      </c>
      <c t="s" r="B1945">
        <v>2305</v>
      </c>
      <c s="18" r="C1945">
        <v>197.08</v>
      </c>
    </row>
    <row r="1946">
      <c s="9" r="A1946">
        <v>40851</v>
      </c>
      <c t="s" r="B1946">
        <v>2306</v>
      </c>
      <c s="18" r="C1946">
        <v>236</v>
      </c>
    </row>
    <row r="1947">
      <c s="9" r="A1947">
        <v>40851</v>
      </c>
      <c t="s" r="B1947">
        <v>2307</v>
      </c>
      <c s="18" r="C1947">
        <v>236</v>
      </c>
    </row>
    <row r="1948">
      <c s="9" r="A1948">
        <v>40851</v>
      </c>
      <c t="s" r="B1948">
        <v>2308</v>
      </c>
      <c s="18" r="C1948">
        <v>295</v>
      </c>
    </row>
    <row r="1949">
      <c s="9" r="A1949">
        <v>40851</v>
      </c>
      <c t="s" r="B1949">
        <v>2309</v>
      </c>
      <c s="18" r="C1949">
        <v>354</v>
      </c>
    </row>
    <row r="1950">
      <c s="9" r="A1950">
        <v>40851</v>
      </c>
      <c t="s" r="B1950">
        <v>2310</v>
      </c>
      <c s="18" r="C1950">
        <v>398.43</v>
      </c>
    </row>
    <row r="1951">
      <c s="9" r="A1951">
        <v>40851</v>
      </c>
      <c t="s" r="B1951">
        <v>2311</v>
      </c>
      <c s="18" r="C1951">
        <v>410.4</v>
      </c>
    </row>
    <row r="1952">
      <c s="9" r="A1952">
        <v>40851</v>
      </c>
      <c t="s" r="B1952">
        <v>2312</v>
      </c>
      <c s="18" r="C1952">
        <v>492.72</v>
      </c>
    </row>
    <row r="1953">
      <c s="9" r="A1953">
        <v>40851</v>
      </c>
      <c t="s" r="B1953">
        <v>2313</v>
      </c>
      <c s="18" r="C1953">
        <v>540</v>
      </c>
    </row>
    <row r="1954">
      <c s="9" r="A1954">
        <v>40851</v>
      </c>
      <c t="s" r="B1954">
        <v>2314</v>
      </c>
      <c s="18" r="C1954">
        <v>590</v>
      </c>
    </row>
    <row r="1955">
      <c s="9" r="A1955">
        <v>40851</v>
      </c>
      <c t="s" r="B1955">
        <v>2315</v>
      </c>
      <c s="18" r="C1955">
        <v>610</v>
      </c>
    </row>
    <row r="1956">
      <c s="9" r="A1956">
        <v>40851</v>
      </c>
      <c t="s" r="B1956">
        <v>2316</v>
      </c>
      <c s="18" r="C1956">
        <v>659.9</v>
      </c>
    </row>
    <row r="1957">
      <c s="9" r="A1957">
        <v>40851</v>
      </c>
      <c t="s" r="B1957">
        <v>2317</v>
      </c>
      <c s="18" r="C1957">
        <v>738.68</v>
      </c>
    </row>
    <row r="1958">
      <c s="9" r="A1958">
        <v>40851</v>
      </c>
      <c t="s" r="B1958">
        <v>2318</v>
      </c>
      <c s="18" r="C1958">
        <v>817.56</v>
      </c>
    </row>
    <row r="1959">
      <c s="9" r="A1959">
        <v>40851</v>
      </c>
      <c t="s" r="B1959">
        <v>2319</v>
      </c>
      <c s="18" r="C1959">
        <v>849.6</v>
      </c>
    </row>
    <row r="1960">
      <c s="9" r="A1960">
        <v>40851</v>
      </c>
      <c t="s" r="B1960">
        <v>2320</v>
      </c>
      <c s="18" r="C1960">
        <v>1331.65</v>
      </c>
    </row>
    <row r="1961">
      <c s="9" r="A1961">
        <v>40851</v>
      </c>
      <c t="s" r="B1961">
        <v>2321</v>
      </c>
      <c s="18" r="C1961">
        <v>1392.4</v>
      </c>
    </row>
    <row r="1962">
      <c s="9" r="A1962">
        <v>40851</v>
      </c>
      <c t="s" r="B1962">
        <v>2322</v>
      </c>
      <c s="18" r="C1962">
        <v>1770</v>
      </c>
    </row>
    <row r="1963">
      <c s="9" r="A1963">
        <v>40851</v>
      </c>
      <c t="s" r="B1963">
        <v>2323</v>
      </c>
      <c s="18" r="C1963">
        <v>1770</v>
      </c>
    </row>
    <row r="1964">
      <c s="9" r="A1964">
        <v>40851</v>
      </c>
      <c t="s" r="B1964">
        <v>2324</v>
      </c>
      <c s="18" r="C1964">
        <v>2237.28</v>
      </c>
    </row>
    <row r="1965">
      <c s="13" r="A1965">
        <v>40849</v>
      </c>
      <c t="s" r="B1965">
        <v>2325</v>
      </c>
      <c s="18" r="C1965">
        <v>937.45</v>
      </c>
    </row>
    <row r="1966">
      <c s="13" r="A1966">
        <v>40849</v>
      </c>
      <c t="s" r="B1966">
        <v>2326</v>
      </c>
      <c s="18" r="C1966">
        <v>4412.03</v>
      </c>
    </row>
    <row r="1967">
      <c s="13" r="A1967">
        <v>40842</v>
      </c>
      <c t="s" r="B1967">
        <v>2327</v>
      </c>
      <c s="18" r="C1967">
        <v>2755.7</v>
      </c>
    </row>
    <row r="1968">
      <c s="13" r="A1968">
        <v>40842</v>
      </c>
      <c t="s" r="B1968">
        <v>2328</v>
      </c>
      <c s="18" r="C1968">
        <v>5022.5</v>
      </c>
    </row>
    <row r="1969">
      <c s="13" r="A1969">
        <v>40842</v>
      </c>
      <c t="s" r="B1969">
        <v>2329</v>
      </c>
      <c s="18" r="C1969">
        <v>5022.5</v>
      </c>
    </row>
    <row r="1970">
      <c s="13" r="A1970">
        <v>40842</v>
      </c>
      <c t="s" r="B1970">
        <v>2330</v>
      </c>
      <c s="18" r="C1970">
        <v>5022.5</v>
      </c>
    </row>
    <row r="1971">
      <c s="13" r="A1971">
        <v>40842</v>
      </c>
      <c t="s" r="B1971">
        <v>2331</v>
      </c>
      <c s="18" r="C1971">
        <v>5022.5</v>
      </c>
    </row>
    <row r="1972">
      <c s="13" r="A1972">
        <v>40842</v>
      </c>
      <c t="s" r="B1972">
        <v>2332</v>
      </c>
      <c s="18" r="C1972">
        <v>6435</v>
      </c>
    </row>
    <row r="1973">
      <c s="13" r="A1973">
        <v>40842</v>
      </c>
      <c t="s" r="B1973">
        <v>2333</v>
      </c>
      <c s="18" r="C1973">
        <v>6435</v>
      </c>
    </row>
    <row r="1974">
      <c s="13" r="A1974">
        <v>40842</v>
      </c>
      <c t="s" r="B1974">
        <v>2334</v>
      </c>
      <c s="18" r="C1974">
        <v>6445.15</v>
      </c>
    </row>
    <row r="1975">
      <c s="13" r="A1975">
        <v>40837</v>
      </c>
      <c t="s" r="B1975">
        <v>2335</v>
      </c>
      <c s="18" r="C1975">
        <v>18.9</v>
      </c>
    </row>
    <row r="1976">
      <c s="5" r="A1976">
        <v>40837</v>
      </c>
      <c t="s" r="B1976">
        <v>2336</v>
      </c>
      <c s="18" r="C1976">
        <v>41.58</v>
      </c>
    </row>
    <row r="1977">
      <c s="13" r="A1977">
        <v>40837</v>
      </c>
      <c t="s" r="B1977">
        <v>2337</v>
      </c>
      <c s="18" r="C1977">
        <v>43.2</v>
      </c>
    </row>
    <row r="1978">
      <c s="13" r="A1978">
        <v>40837</v>
      </c>
      <c t="s" r="B1978">
        <v>2338</v>
      </c>
      <c s="18" r="C1978">
        <v>105.3</v>
      </c>
    </row>
    <row r="1979">
      <c s="13" r="A1979">
        <v>40837</v>
      </c>
      <c t="s" r="B1979">
        <v>2339</v>
      </c>
      <c s="18" r="C1979">
        <v>108</v>
      </c>
    </row>
    <row r="1980">
      <c s="13" r="A1980">
        <v>40837</v>
      </c>
      <c t="s" r="B1980">
        <v>2340</v>
      </c>
      <c s="18" r="C1980">
        <v>138.24</v>
      </c>
    </row>
    <row r="1981">
      <c s="13" r="A1981">
        <v>40837</v>
      </c>
      <c t="s" r="B1981">
        <v>2341</v>
      </c>
      <c s="18" r="C1981">
        <v>145.8</v>
      </c>
    </row>
    <row r="1982">
      <c s="13" r="A1982">
        <v>40837</v>
      </c>
      <c t="s" r="B1982">
        <v>2342</v>
      </c>
      <c s="18" r="C1982">
        <v>196</v>
      </c>
    </row>
    <row r="1983">
      <c s="13" r="A1983">
        <v>40837</v>
      </c>
      <c t="s" r="B1983">
        <v>2343</v>
      </c>
      <c s="18" r="C1983">
        <v>216</v>
      </c>
    </row>
    <row r="1984">
      <c s="13" r="A1984">
        <v>40837</v>
      </c>
      <c t="s" r="B1984">
        <v>2344</v>
      </c>
      <c s="18" r="C1984">
        <v>227.5</v>
      </c>
    </row>
    <row r="1985">
      <c s="13" r="A1985">
        <v>40837</v>
      </c>
      <c t="s" r="B1985">
        <v>2345</v>
      </c>
      <c s="18" r="C1985">
        <v>329.37</v>
      </c>
    </row>
    <row r="1986">
      <c s="13" r="A1986">
        <v>40837</v>
      </c>
      <c t="s" r="B1986">
        <v>2346</v>
      </c>
      <c s="18" r="C1986">
        <v>375.3</v>
      </c>
    </row>
    <row r="1987">
      <c s="13" r="A1987">
        <v>40837</v>
      </c>
      <c t="s" r="B1987">
        <v>2347</v>
      </c>
      <c s="18" r="C1987">
        <v>488.76</v>
      </c>
    </row>
    <row r="1988">
      <c s="13" r="A1988">
        <v>40837</v>
      </c>
      <c t="s" r="B1988">
        <v>2348</v>
      </c>
      <c s="18" r="C1988">
        <v>655.8</v>
      </c>
    </row>
    <row r="1989">
      <c s="13" r="A1989">
        <v>40837</v>
      </c>
      <c t="s" r="B1989">
        <v>2349</v>
      </c>
      <c s="18" r="C1989">
        <v>660</v>
      </c>
    </row>
    <row r="1990">
      <c s="13" r="A1990">
        <v>40837</v>
      </c>
      <c t="s" r="B1990">
        <v>2350</v>
      </c>
      <c s="18" r="C1990">
        <v>1468.68</v>
      </c>
    </row>
    <row r="1991">
      <c s="13" r="A1991">
        <v>40837</v>
      </c>
      <c t="s" r="B1991">
        <v>2351</v>
      </c>
      <c s="18" r="C1991">
        <v>1544.5</v>
      </c>
    </row>
    <row r="1992">
      <c s="13" r="A1992">
        <v>40837</v>
      </c>
      <c t="s" r="B1992">
        <v>2352</v>
      </c>
      <c s="18" r="C1992">
        <v>2188.22</v>
      </c>
    </row>
    <row r="1993">
      <c s="13" r="A1993">
        <v>40837</v>
      </c>
      <c t="s" r="B1993">
        <v>2353</v>
      </c>
      <c s="18" r="C1993">
        <v>2360</v>
      </c>
    </row>
    <row r="1994">
      <c s="13" r="A1994">
        <v>40837</v>
      </c>
      <c t="s" r="B1994">
        <v>2354</v>
      </c>
      <c s="18" r="C1994">
        <v>2932.24</v>
      </c>
    </row>
    <row r="1995">
      <c s="13" r="A1995">
        <v>40835</v>
      </c>
      <c t="s" r="B1995">
        <v>2355</v>
      </c>
      <c s="18" r="C1995">
        <v>11.88</v>
      </c>
    </row>
    <row r="1996">
      <c s="13" r="A1996">
        <v>40835</v>
      </c>
      <c t="s" r="B1996">
        <v>2356</v>
      </c>
      <c s="18" r="C1996">
        <v>15.12</v>
      </c>
    </row>
    <row r="1997">
      <c s="13" r="A1997">
        <v>40835</v>
      </c>
      <c t="s" r="B1997">
        <v>2357</v>
      </c>
      <c s="18" r="C1997">
        <v>21.6</v>
      </c>
    </row>
    <row r="1998">
      <c s="13" r="A1998">
        <v>40835</v>
      </c>
      <c t="s" r="B1998">
        <v>2358</v>
      </c>
      <c s="18" r="C1998">
        <v>23.76</v>
      </c>
    </row>
    <row r="1999">
      <c s="13" r="A1999">
        <v>40835</v>
      </c>
      <c t="s" r="B1999">
        <v>2359</v>
      </c>
      <c s="18" r="C1999">
        <v>27</v>
      </c>
    </row>
    <row r="2000">
      <c s="13" r="A2000">
        <v>40835</v>
      </c>
      <c t="s" r="B2000">
        <v>2360</v>
      </c>
      <c s="18" r="C2000">
        <v>27</v>
      </c>
    </row>
    <row r="2001">
      <c s="13" r="A2001">
        <v>40835</v>
      </c>
      <c t="s" r="B2001">
        <v>2361</v>
      </c>
      <c s="18" r="C2001">
        <v>32.4</v>
      </c>
    </row>
    <row r="2002">
      <c s="13" r="A2002">
        <v>40835</v>
      </c>
      <c t="s" r="B2002">
        <v>2362</v>
      </c>
      <c s="18" r="C2002">
        <v>71.28</v>
      </c>
    </row>
    <row r="2003">
      <c s="13" r="A2003">
        <v>40835</v>
      </c>
      <c t="s" r="B2003">
        <v>2363</v>
      </c>
      <c s="18" r="C2003">
        <v>129.6</v>
      </c>
    </row>
    <row r="2004">
      <c s="13" r="A2004">
        <v>40835</v>
      </c>
      <c t="s" r="B2004">
        <v>2364</v>
      </c>
      <c s="18" r="C2004">
        <v>146.88</v>
      </c>
    </row>
    <row r="2005">
      <c s="13" r="A2005">
        <v>40835</v>
      </c>
      <c t="s" r="B2005">
        <v>2365</v>
      </c>
      <c s="18" r="C2005">
        <v>162</v>
      </c>
    </row>
    <row r="2006">
      <c s="13" r="A2006">
        <v>40835</v>
      </c>
      <c t="s" r="B2006">
        <v>2366</v>
      </c>
      <c s="18" r="C2006">
        <v>212.75</v>
      </c>
    </row>
    <row r="2007">
      <c s="13" r="A2007">
        <v>40835</v>
      </c>
      <c t="s" r="B2007">
        <v>2367</v>
      </c>
      <c s="18" r="C2007">
        <v>295</v>
      </c>
    </row>
    <row r="2008">
      <c s="13" r="A2008">
        <v>40835</v>
      </c>
      <c t="s" r="B2008">
        <v>2368</v>
      </c>
      <c s="18" r="C2008">
        <v>806.27</v>
      </c>
    </row>
    <row r="2009">
      <c s="13" r="A2009">
        <v>40835</v>
      </c>
      <c t="s" r="B2009">
        <v>2369</v>
      </c>
      <c s="18" r="C2009">
        <v>896.8</v>
      </c>
    </row>
    <row r="2010">
      <c s="13" r="A2010">
        <v>40835</v>
      </c>
      <c t="s" r="B2010">
        <v>2370</v>
      </c>
      <c s="18" r="C2010">
        <v>918.02</v>
      </c>
    </row>
    <row r="2011">
      <c s="13" r="A2011">
        <v>40835</v>
      </c>
      <c t="s" r="B2011">
        <v>2371</v>
      </c>
      <c s="18" r="C2011">
        <v>948.76</v>
      </c>
    </row>
    <row r="2012">
      <c s="13" r="A2012">
        <v>40835</v>
      </c>
      <c t="s" r="B2012">
        <v>2372</v>
      </c>
      <c s="18" r="C2012">
        <v>1250</v>
      </c>
    </row>
    <row r="2013">
      <c s="13" r="A2013">
        <v>40835</v>
      </c>
      <c t="s" r="B2013">
        <v>2373</v>
      </c>
      <c s="18" r="C2013">
        <v>1256.3</v>
      </c>
    </row>
    <row r="2014">
      <c s="13" r="A2014">
        <v>40835</v>
      </c>
      <c t="s" r="B2014">
        <v>2374</v>
      </c>
      <c s="18" r="C2014">
        <v>1416</v>
      </c>
    </row>
    <row r="2015">
      <c s="13" r="A2015">
        <v>40835</v>
      </c>
      <c t="s" r="B2015">
        <v>2375</v>
      </c>
      <c s="18" r="C2015">
        <v>1500</v>
      </c>
    </row>
    <row r="2016">
      <c s="13" r="A2016">
        <v>40835</v>
      </c>
      <c t="s" r="B2016">
        <v>2376</v>
      </c>
      <c s="18" r="C2016">
        <v>1700</v>
      </c>
    </row>
    <row r="2017">
      <c s="13" r="A2017">
        <v>40835</v>
      </c>
      <c t="s" r="B2017">
        <v>2377</v>
      </c>
      <c s="18" r="C2017">
        <v>1875.96</v>
      </c>
    </row>
    <row r="2018">
      <c s="13" r="A2018">
        <v>40835</v>
      </c>
      <c t="s" r="B2018">
        <v>2378</v>
      </c>
      <c s="18" r="C2018">
        <v>2100</v>
      </c>
    </row>
    <row r="2019">
      <c s="13" r="A2019">
        <v>40835</v>
      </c>
      <c t="s" r="B2019">
        <v>2379</v>
      </c>
      <c s="18" r="C2019">
        <v>2122.54</v>
      </c>
    </row>
    <row r="2020">
      <c s="13" r="A2020">
        <v>40835</v>
      </c>
      <c t="s" r="B2020">
        <v>2380</v>
      </c>
      <c s="18" r="C2020">
        <v>3200</v>
      </c>
    </row>
    <row r="2021">
      <c s="13" r="A2021">
        <v>40835</v>
      </c>
      <c t="s" r="B2021">
        <v>2381</v>
      </c>
      <c s="18" r="C2021">
        <v>3658</v>
      </c>
    </row>
    <row r="2022">
      <c s="13" r="A2022">
        <v>40835</v>
      </c>
      <c t="s" r="B2022">
        <v>2382</v>
      </c>
      <c s="18" r="C2022">
        <v>6921.33</v>
      </c>
    </row>
    <row r="2023">
      <c s="13" r="A2023">
        <v>40835</v>
      </c>
      <c t="s" r="B2023">
        <v>2383</v>
      </c>
      <c s="18" r="C2023">
        <v>7000</v>
      </c>
    </row>
    <row r="2024">
      <c s="13" r="A2024">
        <v>40835</v>
      </c>
      <c t="s" r="B2024">
        <v>2384</v>
      </c>
      <c s="18" r="C2024">
        <v>7885.59</v>
      </c>
    </row>
    <row r="2025">
      <c s="13" r="A2025">
        <v>40835</v>
      </c>
      <c t="s" r="B2025">
        <v>2385</v>
      </c>
      <c s="18" r="C2025">
        <v>10010</v>
      </c>
    </row>
    <row r="2026">
      <c s="13" r="A2026">
        <v>40830</v>
      </c>
      <c t="s" r="B2026">
        <v>2386</v>
      </c>
      <c s="18" r="C2026">
        <v>411.82</v>
      </c>
    </row>
    <row r="2027">
      <c s="13" r="A2027">
        <v>40829</v>
      </c>
      <c t="s" r="B2027">
        <v>2387</v>
      </c>
      <c s="18" r="C2027">
        <v>3245</v>
      </c>
    </row>
    <row r="2028">
      <c s="13" r="A2028">
        <v>40829</v>
      </c>
      <c t="s" r="B2028">
        <v>2388</v>
      </c>
      <c s="18" r="C2028">
        <v>4895.5</v>
      </c>
    </row>
    <row r="2029">
      <c s="13" r="A2029">
        <v>40826</v>
      </c>
      <c t="s" r="B2029">
        <v>2389</v>
      </c>
      <c s="18" r="C2029">
        <v>64.86</v>
      </c>
    </row>
    <row r="2030">
      <c s="9" r="A2030">
        <v>40826</v>
      </c>
      <c t="s" r="B2030">
        <v>2390</v>
      </c>
      <c s="18" r="C2030">
        <v>108</v>
      </c>
    </row>
    <row r="2031">
      <c s="9" r="A2031">
        <v>40826</v>
      </c>
      <c t="s" r="B2031">
        <v>2391</v>
      </c>
      <c s="18" r="C2031">
        <v>566.4</v>
      </c>
    </row>
    <row r="2032">
      <c s="9" r="A2032">
        <v>40826</v>
      </c>
      <c t="s" r="B2032">
        <v>2392</v>
      </c>
      <c s="18" r="C2032">
        <v>693.93</v>
      </c>
    </row>
    <row r="2033">
      <c s="13" r="A2033">
        <v>40826</v>
      </c>
      <c t="s" r="B2033">
        <v>2393</v>
      </c>
      <c s="18" r="C2033">
        <v>1080</v>
      </c>
    </row>
    <row r="2034">
      <c s="13" r="A2034">
        <v>40826</v>
      </c>
      <c t="s" r="B2034">
        <v>2394</v>
      </c>
      <c s="18" r="C2034">
        <v>1150.15</v>
      </c>
    </row>
    <row r="2035">
      <c s="9" r="A2035">
        <v>40826</v>
      </c>
      <c t="s" r="B2035">
        <v>2395</v>
      </c>
      <c s="18" r="C2035">
        <v>1433</v>
      </c>
    </row>
    <row r="2036">
      <c s="13" r="A2036">
        <v>40826</v>
      </c>
      <c t="s" r="B2036">
        <v>2396</v>
      </c>
      <c s="18" r="C2036">
        <v>1710.41</v>
      </c>
    </row>
    <row r="2037">
      <c s="9" r="A2037">
        <v>40826</v>
      </c>
      <c t="s" r="B2037">
        <v>2397</v>
      </c>
      <c s="18" r="C2037">
        <v>1770</v>
      </c>
    </row>
    <row r="2038">
      <c s="13" r="A2038">
        <v>40825</v>
      </c>
      <c t="s" r="B2038">
        <v>2398</v>
      </c>
      <c s="18" r="C2038">
        <v>531.83</v>
      </c>
    </row>
    <row r="2039">
      <c s="13" r="A2039">
        <v>40825</v>
      </c>
      <c t="s" r="B2039">
        <v>2399</v>
      </c>
      <c s="18" r="C2039">
        <v>1500</v>
      </c>
    </row>
    <row r="2040">
      <c s="13" r="A2040">
        <v>40825</v>
      </c>
      <c t="s" r="B2040">
        <v>2400</v>
      </c>
      <c s="18" r="C2040">
        <v>3245</v>
      </c>
    </row>
    <row r="2041">
      <c s="13" r="A2041">
        <v>40825</v>
      </c>
      <c t="s" r="B2041">
        <v>2401</v>
      </c>
      <c s="18" r="C2041">
        <v>4000</v>
      </c>
    </row>
    <row r="2042">
      <c s="13" r="A2042">
        <v>40825</v>
      </c>
      <c t="s" r="B2042">
        <v>2402</v>
      </c>
      <c s="18" r="C2042">
        <v>4025.13</v>
      </c>
    </row>
    <row r="2043">
      <c s="13" r="A2043">
        <v>40825</v>
      </c>
      <c t="s" r="B2043">
        <v>2403</v>
      </c>
      <c s="18" r="C2043">
        <v>4061.45</v>
      </c>
    </row>
    <row r="2044">
      <c s="13" r="A2044">
        <v>40825</v>
      </c>
      <c t="s" r="B2044">
        <v>2404</v>
      </c>
      <c s="18" r="C2044">
        <v>4262.16</v>
      </c>
    </row>
    <row r="2045">
      <c s="13" r="A2045">
        <v>40825</v>
      </c>
      <c t="s" r="B2045">
        <v>2405</v>
      </c>
      <c s="18" r="C2045">
        <v>4437.3</v>
      </c>
    </row>
    <row r="2046">
      <c s="13" r="A2046">
        <v>40825</v>
      </c>
      <c t="s" r="B2046">
        <v>2406</v>
      </c>
      <c s="18" r="C2046">
        <v>7670</v>
      </c>
    </row>
    <row r="2047">
      <c s="13" r="A2047">
        <v>40825</v>
      </c>
      <c t="s" r="B2047">
        <v>2406</v>
      </c>
      <c s="18" r="C2047">
        <v>7670</v>
      </c>
    </row>
    <row r="2048">
      <c s="13" r="A2048">
        <v>40825</v>
      </c>
      <c t="s" r="B2048">
        <v>2407</v>
      </c>
      <c s="18" r="C2048">
        <v>10779.68</v>
      </c>
    </row>
    <row r="2049">
      <c s="13" r="A2049">
        <v>40825</v>
      </c>
      <c t="s" r="B2049">
        <v>2408</v>
      </c>
      <c s="18" r="C2049">
        <v>19116</v>
      </c>
    </row>
    <row r="2050">
      <c s="13" r="A2050">
        <v>40821</v>
      </c>
      <c t="s" r="B2050">
        <v>2409</v>
      </c>
      <c s="18" r="C2050">
        <v>3111.13</v>
      </c>
    </row>
    <row r="2051">
      <c s="13" r="A2051">
        <v>40821</v>
      </c>
      <c t="s" r="B2051">
        <v>2410</v>
      </c>
      <c s="18" r="C2051">
        <v>3962.7</v>
      </c>
    </row>
    <row r="2052">
      <c s="13" r="A2052">
        <v>40821</v>
      </c>
      <c t="s" r="B2052">
        <v>2411</v>
      </c>
      <c s="18" r="C2052">
        <v>10584</v>
      </c>
    </row>
    <row r="2053">
      <c s="13" r="A2053">
        <v>40815</v>
      </c>
      <c t="s" r="B2053">
        <v>2412</v>
      </c>
      <c s="18" r="C2053">
        <v>27304</v>
      </c>
    </row>
    <row r="2054">
      <c s="13" r="A2054">
        <v>40814</v>
      </c>
      <c t="s" r="B2054">
        <v>2413</v>
      </c>
      <c s="18" r="C2054">
        <v>3771</v>
      </c>
    </row>
    <row r="2055">
      <c s="13" r="A2055">
        <v>40813</v>
      </c>
      <c t="s" r="B2055">
        <v>2414</v>
      </c>
      <c s="18" r="C2055">
        <v>2392</v>
      </c>
    </row>
    <row r="2056">
      <c s="13" r="A2056">
        <v>40808</v>
      </c>
      <c t="s" r="B2056">
        <v>2415</v>
      </c>
      <c s="18" r="C2056">
        <v>415.87</v>
      </c>
    </row>
    <row r="2057">
      <c s="13" r="A2057">
        <v>40808</v>
      </c>
      <c t="s" r="B2057">
        <v>2416</v>
      </c>
      <c s="18" r="C2057">
        <v>540</v>
      </c>
    </row>
    <row r="2058">
      <c s="13" r="A2058">
        <v>40808</v>
      </c>
      <c t="s" r="B2058">
        <v>2417</v>
      </c>
      <c s="18" r="C2058">
        <v>639.51</v>
      </c>
    </row>
    <row r="2059">
      <c s="13" r="A2059">
        <v>40808</v>
      </c>
      <c t="s" r="B2059">
        <v>2418</v>
      </c>
      <c s="18" r="C2059">
        <v>639.51</v>
      </c>
    </row>
    <row r="2060">
      <c s="13" r="A2060">
        <v>40808</v>
      </c>
      <c t="s" r="B2060">
        <v>2419</v>
      </c>
      <c s="18" r="C2060">
        <v>702.84</v>
      </c>
    </row>
    <row r="2061">
      <c s="13" r="A2061">
        <v>40808</v>
      </c>
      <c t="s" r="B2061">
        <v>2420</v>
      </c>
      <c s="18" r="C2061">
        <v>782.38</v>
      </c>
    </row>
    <row r="2062">
      <c s="13" r="A2062">
        <v>40808</v>
      </c>
      <c t="s" r="B2062">
        <v>2421</v>
      </c>
      <c s="18" r="C2062">
        <v>1138.72</v>
      </c>
    </row>
    <row r="2063">
      <c s="13" r="A2063">
        <v>40808</v>
      </c>
      <c t="s" r="B2063">
        <v>2422</v>
      </c>
      <c s="18" r="C2063">
        <v>1188.2</v>
      </c>
    </row>
    <row r="2064">
      <c s="13" r="A2064">
        <v>40808</v>
      </c>
      <c t="s" r="B2064">
        <v>2423</v>
      </c>
      <c s="18" r="C2064">
        <v>1433</v>
      </c>
    </row>
    <row r="2065">
      <c s="13" r="A2065">
        <v>40808</v>
      </c>
      <c t="s" r="B2065">
        <v>2424</v>
      </c>
      <c s="18" r="C2065">
        <v>1770</v>
      </c>
    </row>
    <row r="2066">
      <c s="13" r="A2066">
        <v>40808</v>
      </c>
      <c t="s" r="B2066">
        <v>2425</v>
      </c>
      <c s="18" r="C2066">
        <v>1770</v>
      </c>
    </row>
    <row r="2067">
      <c s="13" r="A2067">
        <v>40808</v>
      </c>
      <c t="s" r="B2067">
        <v>2426</v>
      </c>
      <c s="18" r="C2067">
        <v>1888</v>
      </c>
    </row>
    <row r="2068">
      <c s="13" r="A2068">
        <v>40808</v>
      </c>
      <c t="s" r="B2068">
        <v>2427</v>
      </c>
      <c s="18" r="C2068">
        <v>1932.42</v>
      </c>
    </row>
    <row r="2069">
      <c s="13" r="A2069">
        <v>40808</v>
      </c>
      <c t="s" r="B2069">
        <v>2428</v>
      </c>
      <c s="18" r="C2069">
        <v>2055.56</v>
      </c>
    </row>
    <row r="2070">
      <c s="13" r="A2070">
        <v>40807</v>
      </c>
      <c t="s" r="B2070">
        <v>2429</v>
      </c>
      <c s="18" r="C2070">
        <v>413</v>
      </c>
    </row>
    <row r="2071">
      <c s="13" r="A2071">
        <v>40807</v>
      </c>
      <c t="s" r="B2071">
        <v>2430</v>
      </c>
      <c s="18" r="C2071">
        <v>1793.6</v>
      </c>
    </row>
    <row r="2072">
      <c s="13" r="A2072">
        <v>40807</v>
      </c>
      <c t="s" r="B2072">
        <v>2431</v>
      </c>
      <c s="18" r="C2072">
        <v>73803.12</v>
      </c>
    </row>
    <row r="2073">
      <c s="13" r="A2073">
        <v>40802</v>
      </c>
      <c t="s" r="B2073">
        <v>2432</v>
      </c>
      <c s="18" r="C2073">
        <v>10.63</v>
      </c>
    </row>
    <row r="2074">
      <c s="13" r="A2074">
        <v>40802</v>
      </c>
      <c t="s" r="B2074">
        <v>2433</v>
      </c>
      <c s="18" r="C2074">
        <v>14.24</v>
      </c>
    </row>
    <row r="2075">
      <c s="13" r="A2075">
        <v>40802</v>
      </c>
      <c t="s" r="B2075">
        <v>2434</v>
      </c>
      <c s="18" r="C2075">
        <v>14.87</v>
      </c>
    </row>
    <row r="2076">
      <c s="13" r="A2076">
        <v>40802</v>
      </c>
      <c t="s" r="B2076">
        <v>2435</v>
      </c>
      <c s="18" r="C2076">
        <v>17.7</v>
      </c>
    </row>
    <row r="2077">
      <c s="13" r="A2077">
        <v>40802</v>
      </c>
      <c t="s" r="B2077">
        <v>2436</v>
      </c>
      <c s="18" r="C2077">
        <v>20.4</v>
      </c>
    </row>
    <row r="2078">
      <c s="13" r="A2078">
        <v>40802</v>
      </c>
      <c t="s" r="B2078">
        <v>2437</v>
      </c>
      <c s="18" r="C2078">
        <v>33.04</v>
      </c>
    </row>
    <row r="2079">
      <c s="13" r="A2079">
        <v>40802</v>
      </c>
      <c t="s" r="B2079">
        <v>2438</v>
      </c>
      <c s="18" r="C2079">
        <v>39.86</v>
      </c>
    </row>
    <row r="2080">
      <c s="13" r="A2080">
        <v>40802</v>
      </c>
      <c t="s" r="B2080">
        <v>2439</v>
      </c>
      <c s="18" r="C2080">
        <v>43.58</v>
      </c>
    </row>
    <row r="2081">
      <c s="13" r="A2081">
        <v>40802</v>
      </c>
      <c t="s" r="B2081">
        <v>2440</v>
      </c>
      <c s="18" r="C2081">
        <v>55.46</v>
      </c>
    </row>
    <row r="2082">
      <c s="13" r="A2082">
        <v>40802</v>
      </c>
      <c t="s" r="B2082">
        <v>2441</v>
      </c>
      <c s="18" r="C2082">
        <v>57</v>
      </c>
    </row>
    <row r="2083">
      <c s="13" r="A2083">
        <v>40802</v>
      </c>
      <c t="s" r="B2083">
        <v>2442</v>
      </c>
      <c s="18" r="C2083">
        <v>59</v>
      </c>
    </row>
    <row r="2084">
      <c s="13" r="A2084">
        <v>40802</v>
      </c>
      <c t="s" r="B2084">
        <v>2443</v>
      </c>
      <c s="18" r="C2084">
        <v>61.66</v>
      </c>
    </row>
    <row r="2085">
      <c s="13" r="A2085">
        <v>40802</v>
      </c>
      <c t="s" r="B2085">
        <v>2444</v>
      </c>
      <c s="18" r="C2085">
        <v>65.8</v>
      </c>
    </row>
    <row r="2086">
      <c s="13" r="A2086">
        <v>40802</v>
      </c>
      <c t="s" r="B2086">
        <v>2445</v>
      </c>
      <c s="18" r="C2086">
        <v>71.07</v>
      </c>
    </row>
    <row r="2087">
      <c s="13" r="A2087">
        <v>40802</v>
      </c>
      <c t="s" r="B2087">
        <v>2446</v>
      </c>
      <c s="18" r="C2087">
        <v>71.63</v>
      </c>
    </row>
    <row r="2088">
      <c s="13" r="A2088">
        <v>40802</v>
      </c>
      <c t="s" r="B2088">
        <v>2447</v>
      </c>
      <c s="18" r="C2088">
        <v>71.66</v>
      </c>
    </row>
    <row r="2089">
      <c s="13" r="A2089">
        <v>40802</v>
      </c>
      <c t="s" r="B2089">
        <v>2448</v>
      </c>
      <c s="18" r="C2089">
        <v>99.12</v>
      </c>
    </row>
    <row r="2090">
      <c s="13" r="A2090">
        <v>40802</v>
      </c>
      <c t="s" r="B2090">
        <v>2449</v>
      </c>
      <c s="18" r="C2090">
        <v>99.12</v>
      </c>
    </row>
    <row r="2091">
      <c s="13" r="A2091">
        <v>40802</v>
      </c>
      <c t="s" r="B2091">
        <v>2450</v>
      </c>
      <c s="18" r="C2091">
        <v>113.28</v>
      </c>
    </row>
    <row r="2092">
      <c s="13" r="A2092">
        <v>40802</v>
      </c>
      <c t="s" r="B2092">
        <v>2447</v>
      </c>
      <c s="18" r="C2092">
        <v>118.02</v>
      </c>
    </row>
    <row r="2093">
      <c s="13" r="A2093">
        <v>40802</v>
      </c>
      <c t="s" r="B2093">
        <v>2451</v>
      </c>
      <c s="18" r="C2093">
        <v>118.28</v>
      </c>
    </row>
    <row r="2094">
      <c s="13" r="A2094">
        <v>40802</v>
      </c>
      <c t="s" r="B2094">
        <v>2452</v>
      </c>
      <c s="18" r="C2094">
        <v>138.36</v>
      </c>
    </row>
    <row r="2095">
      <c s="13" r="A2095">
        <v>40802</v>
      </c>
      <c t="s" r="B2095">
        <v>2453</v>
      </c>
      <c s="18" r="C2095">
        <v>165.79</v>
      </c>
    </row>
    <row r="2096">
      <c s="13" r="A2096">
        <v>40802</v>
      </c>
      <c t="s" r="B2096">
        <v>2454</v>
      </c>
      <c s="18" r="C2096">
        <v>176</v>
      </c>
    </row>
    <row r="2097">
      <c s="13" r="A2097">
        <v>40802</v>
      </c>
      <c t="s" r="B2097">
        <v>2454</v>
      </c>
      <c s="18" r="C2097">
        <v>193</v>
      </c>
    </row>
    <row r="2098">
      <c s="13" r="A2098">
        <v>40802</v>
      </c>
      <c t="s" r="B2098">
        <v>2455</v>
      </c>
      <c s="18" r="C2098">
        <v>200</v>
      </c>
    </row>
    <row r="2099">
      <c s="13" r="A2099">
        <v>40802</v>
      </c>
      <c t="s" r="B2099">
        <v>2456</v>
      </c>
      <c s="18" r="C2099">
        <v>200</v>
      </c>
    </row>
    <row r="2100">
      <c s="13" r="A2100">
        <v>40802</v>
      </c>
      <c t="s" r="B2100">
        <v>2457</v>
      </c>
      <c s="18" r="C2100">
        <v>200.01</v>
      </c>
    </row>
    <row r="2101">
      <c s="13" r="A2101">
        <v>40802</v>
      </c>
      <c t="s" r="B2101">
        <v>2458</v>
      </c>
      <c s="18" r="C2101">
        <v>200.6</v>
      </c>
    </row>
    <row r="2102">
      <c s="13" r="A2102">
        <v>40802</v>
      </c>
      <c t="s" r="B2102">
        <v>2459</v>
      </c>
      <c s="18" r="C2102">
        <v>227.74</v>
      </c>
    </row>
    <row r="2103">
      <c s="13" r="A2103">
        <v>40802</v>
      </c>
      <c t="s" r="B2103">
        <v>2460</v>
      </c>
      <c s="18" r="C2103">
        <v>231</v>
      </c>
    </row>
    <row r="2104">
      <c s="13" r="A2104">
        <v>40802</v>
      </c>
      <c t="s" r="B2104">
        <v>2461</v>
      </c>
      <c s="18" r="C2104">
        <v>245.34</v>
      </c>
    </row>
    <row r="2105">
      <c s="13" r="A2105">
        <v>40802</v>
      </c>
      <c t="s" r="B2105">
        <v>2462</v>
      </c>
      <c s="18" r="C2105">
        <v>288.17</v>
      </c>
    </row>
    <row r="2106">
      <c s="13" r="A2106">
        <v>40802</v>
      </c>
      <c t="s" r="B2106">
        <v>2463</v>
      </c>
      <c s="18" r="C2106">
        <v>295</v>
      </c>
    </row>
    <row r="2107">
      <c s="13" r="A2107">
        <v>40802</v>
      </c>
      <c t="s" r="B2107">
        <v>2464</v>
      </c>
      <c s="18" r="C2107">
        <v>295</v>
      </c>
    </row>
    <row r="2108">
      <c s="13" r="A2108">
        <v>40802</v>
      </c>
      <c t="s" r="B2108">
        <v>2465</v>
      </c>
      <c s="18" r="C2108">
        <v>337.22</v>
      </c>
    </row>
    <row r="2109">
      <c s="13" r="A2109">
        <v>40802</v>
      </c>
      <c t="s" r="B2109">
        <v>2466</v>
      </c>
      <c s="18" r="C2109">
        <v>349.2</v>
      </c>
    </row>
    <row r="2110">
      <c s="13" r="A2110">
        <v>40802</v>
      </c>
      <c t="s" r="B2110">
        <v>2467</v>
      </c>
      <c s="18" r="C2110">
        <v>354</v>
      </c>
    </row>
    <row r="2111">
      <c s="13" r="A2111">
        <v>40802</v>
      </c>
      <c t="s" r="B2111">
        <v>2468</v>
      </c>
      <c s="18" r="C2111">
        <v>354</v>
      </c>
    </row>
    <row r="2112">
      <c s="13" r="A2112">
        <v>40802</v>
      </c>
      <c t="s" r="B2112">
        <v>2469</v>
      </c>
      <c s="18" r="C2112">
        <v>368.16</v>
      </c>
    </row>
    <row r="2113">
      <c s="13" r="A2113">
        <v>40802</v>
      </c>
      <c t="s" r="B2113">
        <v>2470</v>
      </c>
      <c s="18" r="C2113">
        <v>464.63</v>
      </c>
    </row>
    <row r="2114">
      <c s="13" r="A2114">
        <v>40802</v>
      </c>
      <c t="s" r="B2114">
        <v>2471</v>
      </c>
      <c s="18" r="C2114">
        <v>472</v>
      </c>
    </row>
    <row r="2115">
      <c s="13" r="A2115">
        <v>40802</v>
      </c>
      <c t="s" r="B2115">
        <v>2472</v>
      </c>
      <c s="18" r="C2115">
        <v>522.15</v>
      </c>
    </row>
    <row r="2116">
      <c s="13" r="A2116">
        <v>40802</v>
      </c>
      <c t="s" r="B2116">
        <v>2473</v>
      </c>
      <c s="18" r="C2116">
        <v>550</v>
      </c>
    </row>
    <row r="2117">
      <c s="13" r="A2117">
        <v>40802</v>
      </c>
      <c t="s" r="B2117">
        <v>2474</v>
      </c>
      <c s="18" r="C2117">
        <v>590</v>
      </c>
    </row>
    <row r="2118">
      <c s="13" r="A2118">
        <v>40802</v>
      </c>
      <c t="s" r="B2118">
        <v>2475</v>
      </c>
      <c s="18" r="C2118">
        <v>590</v>
      </c>
    </row>
    <row r="2119">
      <c s="13" r="A2119">
        <v>40802</v>
      </c>
      <c t="s" r="B2119">
        <v>2476</v>
      </c>
      <c s="18" r="C2119">
        <v>698.76</v>
      </c>
    </row>
    <row r="2120">
      <c s="13" r="A2120">
        <v>40802</v>
      </c>
      <c t="s" r="B2120">
        <v>2477</v>
      </c>
      <c s="18" r="C2120">
        <v>708</v>
      </c>
    </row>
    <row r="2121">
      <c s="13" r="A2121">
        <v>40802</v>
      </c>
      <c t="s" r="B2121">
        <v>2478</v>
      </c>
      <c s="18" r="C2121">
        <v>874.8</v>
      </c>
    </row>
    <row r="2122">
      <c s="13" r="A2122">
        <v>40802</v>
      </c>
      <c t="s" r="B2122">
        <v>2479</v>
      </c>
      <c s="18" r="C2122">
        <v>918</v>
      </c>
    </row>
    <row r="2123">
      <c s="13" r="A2123">
        <v>40802</v>
      </c>
      <c t="s" r="B2123">
        <v>2480</v>
      </c>
      <c s="18" r="C2123">
        <v>1200</v>
      </c>
    </row>
    <row r="2124">
      <c s="13" r="A2124">
        <v>40802</v>
      </c>
      <c t="s" r="B2124">
        <v>2481</v>
      </c>
      <c s="18" r="C2124">
        <v>1256.7</v>
      </c>
    </row>
    <row r="2125">
      <c s="13" r="A2125">
        <v>40802</v>
      </c>
      <c t="s" r="B2125">
        <v>2482</v>
      </c>
      <c s="18" r="C2125">
        <v>1278.66</v>
      </c>
    </row>
    <row r="2126">
      <c s="13" r="A2126">
        <v>40802</v>
      </c>
      <c t="s" r="B2126">
        <v>2483</v>
      </c>
      <c s="18" r="C2126">
        <v>1429.99</v>
      </c>
    </row>
    <row r="2127">
      <c s="13" r="A2127">
        <v>40802</v>
      </c>
      <c t="s" r="B2127">
        <v>2484</v>
      </c>
      <c s="18" r="C2127">
        <v>1430.16</v>
      </c>
    </row>
    <row r="2128">
      <c s="13" r="A2128">
        <v>40802</v>
      </c>
      <c t="s" r="B2128">
        <v>2485</v>
      </c>
      <c s="18" r="C2128">
        <v>1504.5</v>
      </c>
    </row>
    <row r="2129">
      <c s="13" r="A2129">
        <v>40802</v>
      </c>
      <c t="s" s="6" r="B2129">
        <v>2486</v>
      </c>
      <c s="4" r="C2129">
        <v>1900.66</v>
      </c>
    </row>
    <row r="2130">
      <c s="13" r="A2130">
        <v>40802</v>
      </c>
      <c t="s" r="B2130">
        <v>2487</v>
      </c>
      <c s="18" r="C2130">
        <v>2289.2</v>
      </c>
    </row>
    <row r="2131">
      <c s="13" r="A2131">
        <v>40802</v>
      </c>
      <c t="s" r="B2131">
        <v>2488</v>
      </c>
      <c s="18" r="C2131">
        <v>2484</v>
      </c>
    </row>
    <row r="2132">
      <c s="13" r="A2132">
        <v>40802</v>
      </c>
      <c t="s" r="B2132">
        <v>2489</v>
      </c>
      <c s="18" r="C2132">
        <v>2548.8</v>
      </c>
    </row>
    <row r="2133">
      <c s="13" r="A2133">
        <v>40802</v>
      </c>
      <c t="s" r="B2133">
        <v>2490</v>
      </c>
      <c s="18" r="C2133">
        <v>2750.68</v>
      </c>
    </row>
    <row r="2134">
      <c s="13" r="A2134">
        <v>40802</v>
      </c>
      <c t="s" r="B2134">
        <v>2491</v>
      </c>
      <c s="18" r="C2134"/>
    </row>
    <row r="2135">
      <c s="13" r="A2135">
        <v>40801</v>
      </c>
      <c t="s" r="B2135">
        <v>2492</v>
      </c>
      <c s="18" r="C2135">
        <v>2770.53</v>
      </c>
    </row>
    <row r="2136">
      <c s="13" r="A2136">
        <v>40801</v>
      </c>
      <c t="s" r="B2136">
        <v>2493</v>
      </c>
      <c s="18" r="C2136">
        <v>4599.64</v>
      </c>
    </row>
    <row r="2137">
      <c s="13" r="A2137">
        <v>40801</v>
      </c>
      <c t="s" r="B2137">
        <v>2494</v>
      </c>
      <c s="18" r="C2137">
        <v>5941.09</v>
      </c>
    </row>
    <row r="2138">
      <c s="13" r="A2138">
        <v>40801</v>
      </c>
      <c t="s" r="B2138">
        <v>2495</v>
      </c>
      <c s="18" r="C2138">
        <v>5987</v>
      </c>
    </row>
    <row r="2139">
      <c s="13" r="A2139">
        <v>40798</v>
      </c>
      <c t="s" r="B2139">
        <v>2496</v>
      </c>
      <c s="18" r="C2139">
        <v>199.42</v>
      </c>
    </row>
    <row r="2140">
      <c s="13" r="A2140">
        <v>40798</v>
      </c>
      <c t="s" r="B2140">
        <v>2497</v>
      </c>
      <c s="18" r="C2140">
        <v>299.99</v>
      </c>
    </row>
    <row r="2141">
      <c s="13" r="A2141">
        <v>40798</v>
      </c>
      <c t="s" r="B2141">
        <v>2498</v>
      </c>
      <c s="18" r="C2141">
        <v>376</v>
      </c>
    </row>
    <row r="2142">
      <c s="13" r="A2142">
        <v>40798</v>
      </c>
      <c t="s" r="B2142">
        <v>2499</v>
      </c>
      <c s="18" r="C2142">
        <v>413</v>
      </c>
    </row>
    <row r="2143">
      <c s="13" r="A2143">
        <v>40798</v>
      </c>
      <c t="s" r="B2143">
        <v>2500</v>
      </c>
      <c s="18" r="C2143">
        <v>560</v>
      </c>
    </row>
    <row r="2144">
      <c s="13" r="A2144">
        <v>40798</v>
      </c>
      <c t="s" r="B2144">
        <v>2501</v>
      </c>
      <c s="18" r="C2144">
        <v>655.8</v>
      </c>
    </row>
    <row r="2145">
      <c s="13" r="A2145">
        <v>40798</v>
      </c>
      <c t="s" r="B2145">
        <v>2502</v>
      </c>
      <c s="18" r="C2145">
        <v>693.93</v>
      </c>
    </row>
    <row r="2146">
      <c s="13" r="A2146">
        <v>40798</v>
      </c>
      <c t="s" r="B2146">
        <v>2503</v>
      </c>
      <c s="18" r="C2146">
        <v>1008.78</v>
      </c>
    </row>
    <row r="2147">
      <c s="13" r="A2147">
        <v>40798</v>
      </c>
      <c t="s" r="B2147">
        <v>2504</v>
      </c>
      <c s="18" r="C2147">
        <v>1070.99</v>
      </c>
    </row>
    <row r="2148">
      <c s="13" r="A2148">
        <v>40798</v>
      </c>
      <c t="s" r="B2148">
        <v>1629</v>
      </c>
      <c s="18" r="C2148">
        <v>1096</v>
      </c>
    </row>
    <row r="2149">
      <c s="13" r="A2149">
        <v>40798</v>
      </c>
      <c t="s" r="B2149">
        <v>2505</v>
      </c>
      <c s="18" r="C2149">
        <v>1139.67</v>
      </c>
    </row>
    <row r="2150">
      <c s="13" r="A2150">
        <v>40798</v>
      </c>
      <c t="s" r="B2150">
        <v>2506</v>
      </c>
      <c s="18" r="C2150">
        <v>1248.44</v>
      </c>
    </row>
    <row r="2151">
      <c s="13" r="A2151">
        <v>40798</v>
      </c>
      <c t="s" r="B2151">
        <v>2507</v>
      </c>
      <c s="18" r="C2151">
        <v>1500</v>
      </c>
    </row>
    <row r="2152">
      <c s="13" r="A2152">
        <v>40798</v>
      </c>
      <c t="s" r="B2152">
        <v>2508</v>
      </c>
      <c s="18" r="C2152">
        <v>1584.2</v>
      </c>
    </row>
    <row r="2153">
      <c s="13" r="A2153">
        <v>40798</v>
      </c>
      <c t="s" r="B2153">
        <v>2509</v>
      </c>
      <c s="18" r="C2153">
        <v>1740.21</v>
      </c>
    </row>
    <row r="2154">
      <c s="13" r="A2154">
        <v>40798</v>
      </c>
      <c t="s" r="B2154">
        <v>2510</v>
      </c>
      <c s="18" r="C2154">
        <v>2006</v>
      </c>
    </row>
    <row r="2155">
      <c s="13" r="A2155">
        <v>40798</v>
      </c>
      <c t="s" r="B2155">
        <v>2511</v>
      </c>
      <c s="18" r="C2155">
        <v>2122.54</v>
      </c>
    </row>
    <row r="2156">
      <c s="13" r="A2156">
        <v>40798</v>
      </c>
      <c t="s" r="B2156">
        <v>2512</v>
      </c>
      <c s="18" r="C2156">
        <v>2130</v>
      </c>
    </row>
    <row r="2157">
      <c s="13" r="A2157">
        <v>40798</v>
      </c>
      <c t="s" r="B2157">
        <v>2513</v>
      </c>
      <c s="18" r="C2157">
        <v>2790.86</v>
      </c>
    </row>
    <row r="2158">
      <c s="13" r="A2158">
        <v>40798</v>
      </c>
      <c t="s" r="B2158">
        <v>2514</v>
      </c>
      <c s="18" r="C2158">
        <v>2867.71</v>
      </c>
    </row>
    <row r="2159">
      <c s="13" r="A2159">
        <v>40798</v>
      </c>
      <c t="s" r="B2159">
        <v>2515</v>
      </c>
      <c s="18" r="C2159">
        <v>2922.86</v>
      </c>
    </row>
    <row r="2160">
      <c s="13" r="A2160">
        <v>40798</v>
      </c>
      <c t="s" r="B2160">
        <v>2516</v>
      </c>
      <c s="18" r="C2160">
        <v>3442.63</v>
      </c>
    </row>
    <row r="2161">
      <c s="13" r="A2161">
        <v>40798</v>
      </c>
      <c t="s" r="B2161">
        <v>2517</v>
      </c>
      <c s="18" r="C2161">
        <v>4153.6</v>
      </c>
    </row>
    <row r="2162">
      <c s="13" r="A2162">
        <v>40798</v>
      </c>
      <c t="s" r="B2162">
        <v>2518</v>
      </c>
      <c s="18" r="C2162">
        <v>4659.08</v>
      </c>
    </row>
    <row r="2163">
      <c s="13" r="A2163">
        <v>40798</v>
      </c>
      <c t="s" r="B2163">
        <v>2519</v>
      </c>
      <c s="18" r="C2163">
        <v>4720</v>
      </c>
    </row>
    <row r="2164">
      <c s="13" r="A2164">
        <v>40798</v>
      </c>
      <c t="s" r="B2164">
        <v>2520</v>
      </c>
      <c s="18" r="C2164">
        <v>5362.55</v>
      </c>
    </row>
    <row r="2165">
      <c s="13" r="A2165">
        <v>40798</v>
      </c>
      <c t="s" r="B2165">
        <v>2521</v>
      </c>
      <c s="18" r="C2165">
        <v>23869.02</v>
      </c>
    </row>
    <row r="2166">
      <c s="13" r="A2166">
        <v>40793</v>
      </c>
      <c t="s" r="B2166">
        <v>2522</v>
      </c>
      <c s="18" r="C2166">
        <v>1209.68</v>
      </c>
    </row>
    <row r="2167">
      <c s="13" r="A2167">
        <v>40793</v>
      </c>
      <c t="s" r="B2167">
        <v>2523</v>
      </c>
      <c s="18" r="C2167">
        <v>6435</v>
      </c>
    </row>
    <row r="2168">
      <c s="13" r="A2168">
        <v>40793</v>
      </c>
      <c t="s" r="B2168">
        <v>2524</v>
      </c>
      <c s="18" r="C2168">
        <v>6435</v>
      </c>
    </row>
    <row r="2169">
      <c s="13" r="A2169">
        <v>40793</v>
      </c>
      <c t="s" r="B2169">
        <v>2525</v>
      </c>
      <c s="18" r="C2169">
        <v>8708.19</v>
      </c>
    </row>
    <row r="2170">
      <c s="13" r="A2170">
        <v>40793</v>
      </c>
      <c t="s" r="B2170">
        <v>2526</v>
      </c>
      <c s="18" r="C2170">
        <v>9958.1</v>
      </c>
    </row>
    <row r="2171">
      <c s="13" r="A2171">
        <v>40793</v>
      </c>
      <c t="s" r="B2171">
        <v>2527</v>
      </c>
      <c s="18" r="C2171">
        <v>12700</v>
      </c>
    </row>
    <row r="2172">
      <c s="13" r="A2172">
        <v>40793</v>
      </c>
      <c t="s" r="B2172">
        <v>2520</v>
      </c>
      <c s="18" r="C2172">
        <v>16999.16</v>
      </c>
    </row>
    <row r="2173">
      <c s="13" r="A2173">
        <v>40793</v>
      </c>
      <c t="s" r="B2173">
        <v>2528</v>
      </c>
      <c s="18" r="C2173">
        <v>73803.12</v>
      </c>
    </row>
    <row r="2174">
      <c s="13" r="A2174">
        <v>40791</v>
      </c>
      <c t="s" r="B2174">
        <v>2529</v>
      </c>
      <c s="18" r="C2174">
        <v>950.01</v>
      </c>
    </row>
    <row r="2175">
      <c s="13" r="A2175">
        <v>40791</v>
      </c>
      <c t="s" r="B2175">
        <v>2530</v>
      </c>
      <c s="18" r="C2175">
        <v>1150.15</v>
      </c>
    </row>
    <row r="2176">
      <c s="13" r="A2176">
        <v>40791</v>
      </c>
      <c t="s" r="B2176">
        <v>2531</v>
      </c>
      <c s="18" r="C2176">
        <v>1327.5</v>
      </c>
    </row>
    <row r="2177">
      <c s="13" r="A2177">
        <v>40791</v>
      </c>
      <c t="s" r="B2177">
        <v>2532</v>
      </c>
      <c s="18" r="C2177">
        <v>1995.37</v>
      </c>
    </row>
    <row r="2178">
      <c s="13" r="A2178">
        <v>40779</v>
      </c>
      <c t="s" r="B2178">
        <v>2533</v>
      </c>
      <c s="18" r="C2178">
        <v>278.13</v>
      </c>
    </row>
    <row r="2179">
      <c s="13" r="A2179">
        <v>40779</v>
      </c>
      <c t="s" r="B2179">
        <v>2534</v>
      </c>
      <c s="18" r="C2179">
        <v>564.31</v>
      </c>
    </row>
    <row r="2180">
      <c s="13" r="A2180">
        <v>40779</v>
      </c>
      <c t="s" r="B2180">
        <v>2535</v>
      </c>
      <c s="18" r="C2180">
        <v>745.93</v>
      </c>
    </row>
    <row r="2181">
      <c s="13" r="A2181">
        <v>40779</v>
      </c>
      <c t="s" r="B2181">
        <v>2536</v>
      </c>
      <c s="18" r="C2181">
        <v>862.01</v>
      </c>
    </row>
    <row r="2182">
      <c s="13" r="A2182">
        <v>40779</v>
      </c>
      <c t="s" r="B2182">
        <v>2537</v>
      </c>
      <c s="18" r="C2182">
        <v>1059.37</v>
      </c>
    </row>
    <row r="2183">
      <c s="13" r="A2183">
        <v>40779</v>
      </c>
      <c t="s" r="B2183">
        <v>2538</v>
      </c>
      <c s="18" r="C2183">
        <v>1094.66</v>
      </c>
    </row>
    <row r="2184">
      <c s="13" r="A2184">
        <v>40779</v>
      </c>
      <c t="s" r="B2184">
        <v>2539</v>
      </c>
      <c s="18" r="C2184">
        <v>1209.5</v>
      </c>
    </row>
    <row r="2185">
      <c s="13" r="A2185">
        <v>40779</v>
      </c>
      <c t="s" r="B2185">
        <v>2540</v>
      </c>
      <c s="18" r="C2185">
        <v>1296</v>
      </c>
    </row>
    <row r="2186">
      <c s="13" r="A2186">
        <v>40779</v>
      </c>
      <c t="s" r="B2186">
        <v>2541</v>
      </c>
      <c s="18" r="C2186">
        <v>1433</v>
      </c>
    </row>
    <row r="2187">
      <c s="13" r="A2187">
        <v>40779</v>
      </c>
      <c t="s" r="B2187">
        <v>2542</v>
      </c>
      <c s="18" r="C2187">
        <v>1805.78</v>
      </c>
    </row>
    <row r="2188">
      <c s="13" r="A2188">
        <v>40779</v>
      </c>
      <c t="s" r="B2188">
        <v>2543</v>
      </c>
      <c s="18" r="C2188">
        <v>2000</v>
      </c>
    </row>
    <row r="2189">
      <c s="13" r="A2189">
        <v>40773</v>
      </c>
      <c t="s" r="B2189">
        <v>2544</v>
      </c>
      <c s="18" r="C2189">
        <v>1770</v>
      </c>
    </row>
    <row r="2190">
      <c s="13" r="A2190">
        <v>40760</v>
      </c>
      <c t="s" r="B2190">
        <v>2545</v>
      </c>
      <c s="18" r="C2190">
        <v>88</v>
      </c>
    </row>
    <row r="2191">
      <c s="13" r="A2191">
        <v>40760</v>
      </c>
      <c t="s" r="B2191">
        <v>2546</v>
      </c>
      <c s="18" r="C2191">
        <v>295</v>
      </c>
    </row>
    <row r="2192">
      <c s="13" r="A2192">
        <v>40760</v>
      </c>
      <c t="s" r="B2192">
        <v>2547</v>
      </c>
      <c s="18" r="C2192">
        <v>302.4</v>
      </c>
    </row>
    <row r="2193">
      <c s="13" r="A2193">
        <v>40760</v>
      </c>
      <c t="s" r="B2193">
        <v>2548</v>
      </c>
      <c s="18" r="C2193">
        <v>430</v>
      </c>
    </row>
    <row r="2194">
      <c s="13" r="A2194">
        <v>40760</v>
      </c>
      <c t="s" r="B2194">
        <v>2549</v>
      </c>
      <c s="18" r="C2194">
        <v>432</v>
      </c>
    </row>
    <row r="2195">
      <c s="13" r="A2195">
        <v>40760</v>
      </c>
      <c t="s" r="B2195">
        <v>2550</v>
      </c>
      <c s="18" r="C2195">
        <v>933.26</v>
      </c>
    </row>
    <row r="2196">
      <c s="13" r="A2196">
        <v>40760</v>
      </c>
      <c t="s" r="B2196">
        <v>2551</v>
      </c>
      <c s="18" r="C2196">
        <v>1442.17</v>
      </c>
    </row>
    <row r="2197">
      <c s="13" r="A2197">
        <v>40760</v>
      </c>
      <c t="s" r="B2197">
        <v>2552</v>
      </c>
      <c s="18" r="C2197">
        <v>1706.35</v>
      </c>
    </row>
    <row r="2198">
      <c s="13" r="A2198">
        <v>40760</v>
      </c>
      <c t="s" r="B2198">
        <v>2553</v>
      </c>
      <c s="18" r="C2198">
        <v>2133.44</v>
      </c>
    </row>
    <row r="2199">
      <c s="13" r="A2199">
        <v>40760</v>
      </c>
      <c t="s" r="B2199">
        <v>2554</v>
      </c>
      <c s="18" r="C2199">
        <v>2305.72</v>
      </c>
    </row>
    <row r="2200">
      <c s="13" r="A2200">
        <v>40759</v>
      </c>
      <c t="s" r="B2200">
        <v>2555</v>
      </c>
      <c s="18" r="C2200">
        <v>73803.12</v>
      </c>
    </row>
    <row r="2201">
      <c s="13" r="A2201">
        <v>40759</v>
      </c>
      <c t="s" r="B2201">
        <v>2556</v>
      </c>
      <c s="18" r="C2201">
        <v>73803.12</v>
      </c>
    </row>
    <row r="2202">
      <c s="13" r="A2202">
        <v>40752</v>
      </c>
      <c t="s" r="B2202">
        <v>2557</v>
      </c>
      <c s="18" r="C2202">
        <v>303.26</v>
      </c>
    </row>
    <row r="2203">
      <c s="13" r="A2203">
        <v>40752</v>
      </c>
      <c t="s" r="B2203">
        <v>2558</v>
      </c>
      <c s="18" r="C2203">
        <v>413</v>
      </c>
    </row>
    <row r="2204">
      <c s="13" r="A2204">
        <v>40752</v>
      </c>
      <c t="s" r="B2204">
        <v>2559</v>
      </c>
      <c s="18" r="C2204">
        <v>531</v>
      </c>
    </row>
    <row r="2205">
      <c s="13" r="A2205">
        <v>40752</v>
      </c>
      <c t="s" r="B2205">
        <v>2560</v>
      </c>
      <c s="18" r="C2205">
        <v>546.13</v>
      </c>
    </row>
    <row r="2206">
      <c s="13" r="A2206">
        <v>40752</v>
      </c>
      <c t="s" r="B2206">
        <v>2561</v>
      </c>
      <c s="18" r="C2206">
        <v>590</v>
      </c>
    </row>
    <row r="2207">
      <c s="13" r="A2207">
        <v>40752</v>
      </c>
      <c t="s" r="B2207">
        <v>2562</v>
      </c>
      <c s="18" r="C2207">
        <v>590</v>
      </c>
    </row>
    <row r="2208">
      <c s="13" r="A2208">
        <v>40752</v>
      </c>
      <c t="s" r="B2208">
        <v>2563</v>
      </c>
      <c s="18" r="C2208">
        <v>655.8</v>
      </c>
    </row>
    <row r="2209">
      <c s="13" r="A2209">
        <v>40752</v>
      </c>
      <c t="s" r="B2209">
        <v>2564</v>
      </c>
      <c s="18" r="C2209">
        <v>698.76</v>
      </c>
    </row>
    <row r="2210">
      <c s="13" r="A2210">
        <v>40752</v>
      </c>
      <c t="s" r="B2210">
        <v>2565</v>
      </c>
      <c s="18" r="C2210">
        <v>1770</v>
      </c>
    </row>
    <row r="2211">
      <c s="13" r="A2211">
        <v>40751</v>
      </c>
      <c t="s" r="B2211">
        <v>2566</v>
      </c>
      <c s="18" r="C2211">
        <v>690.87</v>
      </c>
    </row>
    <row r="2212">
      <c s="13" r="A2212">
        <v>40751</v>
      </c>
      <c t="s" r="B2212">
        <v>2567</v>
      </c>
      <c s="18" r="C2212">
        <v>693.93</v>
      </c>
    </row>
    <row r="2213">
      <c s="13" r="A2213">
        <v>40751</v>
      </c>
      <c t="s" r="B2213">
        <v>2568</v>
      </c>
      <c s="18" r="C2213">
        <v>4319.12</v>
      </c>
    </row>
    <row r="2214">
      <c s="13" r="A2214">
        <v>40750</v>
      </c>
      <c t="s" r="B2214">
        <v>2569</v>
      </c>
      <c s="18" r="C2214">
        <v>457.14</v>
      </c>
    </row>
    <row r="2215">
      <c s="13" r="A2215">
        <v>40750</v>
      </c>
      <c t="s" r="B2215">
        <v>2570</v>
      </c>
      <c s="18" r="C2215">
        <v>885</v>
      </c>
    </row>
    <row r="2216">
      <c s="13" r="A2216">
        <v>40750</v>
      </c>
      <c t="s" r="B2216">
        <v>2571</v>
      </c>
      <c s="18" r="C2216">
        <v>1529.94</v>
      </c>
    </row>
    <row r="2217">
      <c s="13" r="A2217">
        <v>40749</v>
      </c>
      <c t="s" r="B2217">
        <v>2572</v>
      </c>
      <c s="18" r="C2217">
        <v>741.57</v>
      </c>
    </row>
    <row r="2218">
      <c s="13" r="A2218">
        <v>40745</v>
      </c>
      <c t="s" r="B2218">
        <v>2573</v>
      </c>
      <c s="18" r="C2218">
        <v>840</v>
      </c>
    </row>
    <row r="2219">
      <c s="13" r="A2219">
        <v>40744</v>
      </c>
      <c t="s" r="B2219">
        <v>2574</v>
      </c>
      <c s="18" r="C2219">
        <v>1119.82</v>
      </c>
    </row>
    <row r="2220">
      <c s="13" r="A2220">
        <v>40744</v>
      </c>
      <c t="s" r="B2220">
        <v>2575</v>
      </c>
      <c s="18" r="C2220">
        <v>1176.46</v>
      </c>
    </row>
    <row r="2221">
      <c s="13" r="A2221">
        <v>40744</v>
      </c>
      <c t="s" r="B2221">
        <v>2576</v>
      </c>
      <c s="18" r="C2221">
        <v>1388.58</v>
      </c>
    </row>
    <row r="2222">
      <c s="13" r="A2222">
        <v>40744</v>
      </c>
      <c t="s" r="B2222">
        <v>2577</v>
      </c>
      <c s="18" r="C2222">
        <v>1583.61</v>
      </c>
    </row>
    <row r="2223">
      <c s="13" r="A2223">
        <v>40744</v>
      </c>
      <c t="s" r="B2223">
        <v>2578</v>
      </c>
      <c s="18" r="C2223">
        <v>2248.82</v>
      </c>
    </row>
    <row r="2224">
      <c s="13" r="A2224">
        <v>40738</v>
      </c>
      <c t="s" r="B2224">
        <v>2579</v>
      </c>
      <c s="18" r="C2224">
        <v>186.6</v>
      </c>
    </row>
    <row r="2225">
      <c s="13" r="A2225">
        <v>40737</v>
      </c>
      <c t="s" r="B2225">
        <v>2580</v>
      </c>
      <c s="18" r="C2225">
        <v>73647.37</v>
      </c>
    </row>
    <row r="2226">
      <c s="13" r="A2226">
        <v>40732</v>
      </c>
      <c t="s" r="B2226">
        <v>2581</v>
      </c>
      <c s="18" r="C2226">
        <v>129.6</v>
      </c>
    </row>
    <row r="2227">
      <c s="13" r="A2227">
        <v>40732</v>
      </c>
      <c t="s" r="B2227">
        <v>2582</v>
      </c>
      <c s="18" r="C2227">
        <v>1416</v>
      </c>
    </row>
    <row r="2228">
      <c s="13" r="A2228">
        <v>40732</v>
      </c>
      <c t="s" r="B2228">
        <v>2583</v>
      </c>
      <c s="18" r="C2228">
        <v>2003.05</v>
      </c>
    </row>
    <row r="2229">
      <c s="13" r="A2229">
        <v>40731</v>
      </c>
      <c t="s" r="B2229">
        <v>2584</v>
      </c>
      <c s="18" r="C2229">
        <v>256.2</v>
      </c>
    </row>
    <row r="2230">
      <c s="13" r="A2230">
        <v>40731</v>
      </c>
      <c t="s" r="B2230">
        <v>2585</v>
      </c>
      <c s="18" r="C2230">
        <v>300</v>
      </c>
    </row>
    <row r="2231">
      <c s="13" r="A2231">
        <v>40731</v>
      </c>
      <c t="s" r="B2231">
        <v>2586</v>
      </c>
      <c s="18" r="C2231">
        <v>327.6</v>
      </c>
    </row>
    <row r="2232">
      <c s="13" r="A2232">
        <v>40731</v>
      </c>
      <c t="s" r="B2232">
        <v>2587</v>
      </c>
      <c s="18" r="C2232">
        <v>560</v>
      </c>
    </row>
    <row r="2233">
      <c s="13" r="A2233">
        <v>40731</v>
      </c>
      <c t="s" r="B2233">
        <v>2588</v>
      </c>
      <c s="18" r="C2233">
        <v>1296</v>
      </c>
    </row>
    <row r="2234">
      <c s="13" r="A2234">
        <v>40730</v>
      </c>
      <c t="s" r="B2234">
        <v>2589</v>
      </c>
      <c s="18" r="C2234">
        <v>2742.86</v>
      </c>
    </row>
    <row r="2235">
      <c s="13" r="A2235">
        <v>40725</v>
      </c>
      <c t="s" r="B2235">
        <v>2590</v>
      </c>
      <c s="18" r="C2235">
        <v>71.28</v>
      </c>
    </row>
    <row r="2236">
      <c s="13" r="A2236">
        <v>40725</v>
      </c>
      <c t="s" r="B2236">
        <v>2591</v>
      </c>
      <c s="18" r="C2236">
        <v>113.28</v>
      </c>
    </row>
    <row r="2237">
      <c s="13" r="A2237">
        <v>40725</v>
      </c>
      <c t="s" r="B2237">
        <v>2592</v>
      </c>
      <c s="18" r="C2237">
        <v>125.08</v>
      </c>
    </row>
    <row r="2238">
      <c s="13" r="A2238">
        <v>40725</v>
      </c>
      <c t="s" r="B2238">
        <v>2593</v>
      </c>
      <c s="18" r="C2238">
        <v>174.96</v>
      </c>
    </row>
    <row r="2239">
      <c s="13" r="A2239">
        <v>40725</v>
      </c>
      <c t="s" r="B2239">
        <v>2594</v>
      </c>
      <c s="18" r="C2239">
        <v>200.01</v>
      </c>
    </row>
    <row r="2240">
      <c s="13" r="A2240">
        <v>40725</v>
      </c>
      <c t="s" r="B2240">
        <v>2595</v>
      </c>
      <c s="18" r="C2240">
        <v>208.42</v>
      </c>
    </row>
    <row r="2241">
      <c s="13" r="A2241">
        <v>40725</v>
      </c>
      <c t="s" r="B2241">
        <v>2596</v>
      </c>
      <c s="18" r="C2241">
        <v>259.2</v>
      </c>
    </row>
    <row r="2242">
      <c s="13" r="A2242">
        <v>40725</v>
      </c>
      <c t="s" r="B2242">
        <v>2597</v>
      </c>
      <c s="18" r="C2242">
        <v>291.6</v>
      </c>
    </row>
    <row r="2243">
      <c s="13" r="A2243">
        <v>40725</v>
      </c>
      <c t="s" r="B2243">
        <v>2598</v>
      </c>
      <c s="18" r="C2243">
        <v>313.29</v>
      </c>
    </row>
    <row r="2244">
      <c s="13" r="A2244">
        <v>40725</v>
      </c>
      <c t="s" r="B2244">
        <v>2599</v>
      </c>
      <c s="18" r="C2244">
        <v>389</v>
      </c>
    </row>
    <row r="2245">
      <c s="13" r="A2245">
        <v>40725</v>
      </c>
      <c t="s" r="B2245">
        <v>2600</v>
      </c>
      <c s="18" r="C2245">
        <v>470.32</v>
      </c>
    </row>
    <row r="2246">
      <c s="13" r="A2246">
        <v>40725</v>
      </c>
      <c t="s" r="B2246">
        <v>2601</v>
      </c>
      <c s="18" r="C2246">
        <v>590</v>
      </c>
    </row>
    <row r="2247">
      <c s="13" r="A2247">
        <v>40725</v>
      </c>
      <c t="s" r="B2247">
        <v>2602</v>
      </c>
      <c s="18" r="C2247">
        <v>590</v>
      </c>
    </row>
    <row r="2248">
      <c s="13" r="A2248">
        <v>40725</v>
      </c>
      <c t="s" r="B2248">
        <v>2603</v>
      </c>
      <c s="18" r="C2248">
        <v>661.98</v>
      </c>
    </row>
    <row r="2249">
      <c s="13" r="A2249">
        <v>40725</v>
      </c>
      <c t="s" r="B2249">
        <v>2604</v>
      </c>
      <c s="18" r="C2249">
        <v>743.49</v>
      </c>
    </row>
    <row r="2250">
      <c s="13" r="A2250">
        <v>40725</v>
      </c>
      <c t="s" r="B2250">
        <v>2605</v>
      </c>
      <c s="18" r="C2250">
        <v>886.92</v>
      </c>
    </row>
    <row r="2251">
      <c s="13" r="A2251">
        <v>40725</v>
      </c>
      <c t="s" r="B2251">
        <v>2606</v>
      </c>
      <c s="18" r="C2251">
        <v>926.6</v>
      </c>
    </row>
    <row r="2252">
      <c s="13" r="A2252">
        <v>40725</v>
      </c>
      <c t="s" r="B2252">
        <v>2607</v>
      </c>
      <c s="18" r="C2252">
        <v>944</v>
      </c>
    </row>
    <row r="2253">
      <c s="13" r="A2253">
        <v>40725</v>
      </c>
      <c t="s" r="B2253">
        <v>2608</v>
      </c>
      <c s="18" r="C2253">
        <v>944</v>
      </c>
    </row>
    <row r="2254">
      <c s="13" r="A2254">
        <v>40725</v>
      </c>
      <c t="s" r="B2254">
        <v>2609</v>
      </c>
      <c s="18" r="C2254">
        <v>1008.24</v>
      </c>
    </row>
    <row r="2255">
      <c s="13" r="A2255">
        <v>40725</v>
      </c>
      <c t="s" r="B2255">
        <v>2610</v>
      </c>
      <c s="18" r="C2255">
        <v>1084</v>
      </c>
    </row>
    <row r="2256">
      <c s="13" r="A2256">
        <v>40725</v>
      </c>
      <c t="s" r="B2256">
        <v>2611</v>
      </c>
      <c s="18" r="C2256">
        <v>1216.63</v>
      </c>
    </row>
    <row r="2257">
      <c s="13" r="A2257">
        <v>40725</v>
      </c>
      <c t="s" r="B2257">
        <v>2612</v>
      </c>
      <c s="18" r="C2257">
        <v>1313.79</v>
      </c>
    </row>
    <row r="2258">
      <c s="13" r="A2258">
        <v>40725</v>
      </c>
      <c t="s" r="B2258">
        <v>2613</v>
      </c>
      <c s="18" r="C2258">
        <v>1419.09</v>
      </c>
    </row>
    <row r="2259">
      <c s="13" r="A2259">
        <v>40725</v>
      </c>
      <c t="s" r="B2259">
        <v>2614</v>
      </c>
      <c s="18" r="C2259">
        <v>1425.98</v>
      </c>
    </row>
    <row r="2260">
      <c s="13" r="A2260">
        <v>40725</v>
      </c>
      <c t="s" r="B2260">
        <v>2615</v>
      </c>
      <c s="18" r="C2260">
        <v>1455.77</v>
      </c>
    </row>
    <row r="2261">
      <c s="13" r="A2261">
        <v>40725</v>
      </c>
      <c t="s" r="B2261">
        <v>2616</v>
      </c>
      <c s="18" r="C2261">
        <v>1468.88</v>
      </c>
    </row>
    <row r="2262">
      <c s="13" r="A2262">
        <v>40725</v>
      </c>
      <c t="s" r="B2262">
        <v>2617</v>
      </c>
      <c s="18" r="C2262">
        <v>1770</v>
      </c>
    </row>
    <row r="2263">
      <c s="13" r="A2263">
        <v>40725</v>
      </c>
      <c t="s" r="B2263">
        <v>2618</v>
      </c>
      <c s="18" r="C2263">
        <v>2297.11</v>
      </c>
    </row>
    <row r="2264">
      <c s="13" r="A2264">
        <v>40725</v>
      </c>
      <c t="s" r="B2264">
        <v>2619</v>
      </c>
      <c s="18" r="C2264">
        <v>2358.11</v>
      </c>
    </row>
    <row r="2265">
      <c s="13" r="A2265">
        <v>40723</v>
      </c>
      <c t="s" r="B2265">
        <v>2620</v>
      </c>
      <c s="18" r="C2265">
        <v>1082</v>
      </c>
    </row>
    <row r="2266">
      <c s="13" r="A2266">
        <v>40723</v>
      </c>
      <c t="s" r="B2266">
        <v>2621</v>
      </c>
      <c s="18" r="C2266">
        <v>2666.8</v>
      </c>
    </row>
    <row r="2267">
      <c s="13" r="A2267">
        <v>40723</v>
      </c>
      <c t="s" r="B2267">
        <v>2622</v>
      </c>
      <c s="18" r="C2267">
        <v>6017.41</v>
      </c>
    </row>
    <row r="2268">
      <c s="13" r="A2268">
        <v>40721</v>
      </c>
      <c t="s" r="B2268">
        <v>2623</v>
      </c>
      <c s="18" r="C2268">
        <v>614.38</v>
      </c>
    </row>
    <row r="2269">
      <c s="13" r="A2269">
        <v>40721</v>
      </c>
      <c t="s" r="B2269">
        <v>2623</v>
      </c>
      <c s="18" r="C2269">
        <v>720.6</v>
      </c>
    </row>
    <row r="2270">
      <c s="13" r="A2270">
        <v>40721</v>
      </c>
      <c t="s" r="B2270">
        <v>1628</v>
      </c>
      <c s="18" r="C2270">
        <v>959.46</v>
      </c>
    </row>
    <row r="2271">
      <c s="13" r="A2271">
        <v>40721</v>
      </c>
      <c t="s" r="B2271">
        <v>1629</v>
      </c>
      <c s="18" r="C2271">
        <v>1942.78</v>
      </c>
    </row>
    <row r="2272">
      <c s="13" r="A2272">
        <v>40717</v>
      </c>
      <c t="s" r="B2272">
        <v>2624</v>
      </c>
      <c s="18" r="C2272">
        <v>1052.63</v>
      </c>
    </row>
    <row r="2273">
      <c s="13" r="A2273">
        <v>40717</v>
      </c>
      <c t="s" r="B2273">
        <v>2625</v>
      </c>
      <c s="18" r="C2273">
        <v>1801.88</v>
      </c>
    </row>
    <row r="2274">
      <c s="13" r="A2274">
        <v>40716</v>
      </c>
      <c t="s" r="B2274">
        <v>2626</v>
      </c>
      <c s="18" r="C2274">
        <v>2808</v>
      </c>
    </row>
    <row r="2275">
      <c s="13" r="A2275">
        <v>40716</v>
      </c>
      <c t="s" r="B2275">
        <v>2627</v>
      </c>
      <c s="18" r="C2275">
        <v>3540</v>
      </c>
    </row>
    <row r="2276">
      <c s="13" r="A2276">
        <v>40715</v>
      </c>
      <c t="s" r="B2276">
        <v>2628</v>
      </c>
      <c s="18" r="C2276">
        <v>584.1</v>
      </c>
    </row>
    <row r="2277">
      <c s="13" r="A2277">
        <v>40707</v>
      </c>
      <c t="s" r="B2277">
        <v>2629</v>
      </c>
      <c s="18" r="C2277">
        <v>3068.63</v>
      </c>
    </row>
    <row r="2278">
      <c s="13" r="A2278">
        <v>40704</v>
      </c>
      <c t="s" r="B2278">
        <v>2630</v>
      </c>
      <c s="18" r="C2278">
        <v>228.92</v>
      </c>
    </row>
    <row r="2279">
      <c s="13" r="A2279">
        <v>40704</v>
      </c>
      <c t="s" r="B2279">
        <v>2631</v>
      </c>
      <c s="18" r="C2279">
        <v>472</v>
      </c>
    </row>
    <row r="2280">
      <c s="13" r="A2280">
        <v>40704</v>
      </c>
      <c t="s" r="B2280">
        <v>2632</v>
      </c>
      <c s="18" r="C2280">
        <v>885</v>
      </c>
    </row>
    <row r="2281">
      <c s="13" r="A2281">
        <v>40704</v>
      </c>
      <c t="s" r="B2281">
        <v>2633</v>
      </c>
      <c s="18" r="C2281">
        <v>960.65</v>
      </c>
    </row>
    <row r="2282">
      <c s="13" r="A2282">
        <v>40704</v>
      </c>
      <c t="s" r="B2282">
        <v>2624</v>
      </c>
      <c s="18" r="C2282">
        <v>963.05</v>
      </c>
    </row>
    <row r="2283">
      <c s="13" r="A2283">
        <v>40704</v>
      </c>
      <c t="s" r="B2283">
        <v>2624</v>
      </c>
      <c s="18" r="C2283">
        <v>1007.84</v>
      </c>
    </row>
    <row r="2284">
      <c s="13" r="A2284">
        <v>40704</v>
      </c>
      <c t="s" r="B2284">
        <v>2634</v>
      </c>
      <c s="18" r="C2284">
        <v>1492.7</v>
      </c>
    </row>
    <row r="2285">
      <c s="13" r="A2285">
        <v>40704</v>
      </c>
      <c t="s" r="B2285">
        <v>2635</v>
      </c>
      <c s="18" r="C2285">
        <v>1575.3</v>
      </c>
    </row>
    <row r="2286">
      <c s="13" r="A2286">
        <v>40704</v>
      </c>
      <c t="s" r="B2286">
        <v>2636</v>
      </c>
      <c s="18" r="C2286">
        <v>1610.06</v>
      </c>
    </row>
    <row r="2287">
      <c s="13" r="A2287">
        <v>40704</v>
      </c>
      <c t="s" r="B2287">
        <v>2637</v>
      </c>
      <c s="18" r="C2287">
        <v>1610.7</v>
      </c>
    </row>
    <row r="2288">
      <c s="13" r="A2288">
        <v>40704</v>
      </c>
      <c t="s" r="B2288">
        <v>2638</v>
      </c>
      <c s="18" r="C2288">
        <v>1675.6</v>
      </c>
    </row>
    <row r="2289">
      <c s="13" r="A2289">
        <v>40704</v>
      </c>
      <c t="s" r="B2289">
        <v>2639</v>
      </c>
      <c s="18" r="C2289">
        <v>2730.84</v>
      </c>
    </row>
    <row r="2290">
      <c s="13" r="A2290">
        <v>40704</v>
      </c>
      <c t="s" r="B2290">
        <v>2639</v>
      </c>
      <c s="18" r="C2290">
        <v>2869.48</v>
      </c>
    </row>
    <row r="2291">
      <c s="13" r="A2291">
        <v>40702</v>
      </c>
      <c t="s" r="B2291">
        <v>2640</v>
      </c>
      <c s="18" r="C2291">
        <v>1730.01</v>
      </c>
    </row>
    <row r="2292">
      <c s="13" r="A2292">
        <v>40702</v>
      </c>
      <c t="s" r="B2292">
        <v>1036</v>
      </c>
      <c s="18" r="C2292">
        <v>3185.22</v>
      </c>
    </row>
    <row r="2293">
      <c s="13" r="A2293">
        <v>40702</v>
      </c>
      <c t="s" r="B2293">
        <v>2641</v>
      </c>
      <c s="18" r="C2293">
        <v>3930</v>
      </c>
    </row>
    <row r="2294">
      <c s="13" r="A2294">
        <v>40702</v>
      </c>
      <c t="s" r="B2294">
        <v>2642</v>
      </c>
      <c s="18" r="C2294">
        <v>4000</v>
      </c>
    </row>
    <row r="2295">
      <c s="13" r="A2295">
        <v>40702</v>
      </c>
      <c t="s" r="B2295">
        <v>2643</v>
      </c>
      <c s="18" r="C2295">
        <v>4091</v>
      </c>
    </row>
    <row r="2296">
      <c s="13" r="A2296">
        <v>40702</v>
      </c>
      <c t="s" r="B2296">
        <v>2644</v>
      </c>
      <c s="18" r="C2296">
        <v>4437.3</v>
      </c>
    </row>
    <row r="2297">
      <c s="13" r="A2297">
        <v>40702</v>
      </c>
      <c t="s" r="B2297">
        <v>2645</v>
      </c>
      <c s="18" r="C2297">
        <v>6025.68</v>
      </c>
      <c s="12" r="E2297"/>
    </row>
    <row r="2298">
      <c s="13" r="A2298">
        <v>40702</v>
      </c>
      <c t="s" r="B2298">
        <v>2646</v>
      </c>
      <c s="18" r="C2298">
        <v>7605.53</v>
      </c>
    </row>
    <row r="2299">
      <c s="13" r="A2299">
        <v>40702</v>
      </c>
      <c t="s" r="B2299">
        <v>2647</v>
      </c>
      <c s="18" r="C2299">
        <v>8880.51</v>
      </c>
    </row>
    <row r="2300">
      <c s="13" r="A2300">
        <v>40702</v>
      </c>
      <c t="s" r="B2300">
        <v>2648</v>
      </c>
      <c s="18" r="C2300">
        <v>10501.59</v>
      </c>
    </row>
    <row r="2301">
      <c s="13" r="A2301">
        <v>40702</v>
      </c>
      <c t="s" r="B2301">
        <v>2649</v>
      </c>
      <c s="18" r="C2301">
        <v>10779.68</v>
      </c>
    </row>
    <row r="2302">
      <c s="13" r="A2302">
        <v>40700</v>
      </c>
      <c t="s" r="B2302">
        <v>2650</v>
      </c>
      <c s="18" r="C2302">
        <v>357.63</v>
      </c>
    </row>
    <row r="2303">
      <c s="13" r="A2303">
        <v>40700</v>
      </c>
      <c t="s" r="B2303">
        <v>2650</v>
      </c>
      <c s="18" r="C2303">
        <v>1117.77</v>
      </c>
    </row>
    <row r="2304">
      <c s="13" r="A2304">
        <v>40696</v>
      </c>
      <c t="s" r="B2304">
        <v>2651</v>
      </c>
      <c s="18" r="C2304">
        <v>310</v>
      </c>
    </row>
    <row r="2305">
      <c s="13" r="A2305">
        <v>40696</v>
      </c>
      <c t="s" r="B2305">
        <v>2652</v>
      </c>
      <c s="18" r="C2305">
        <v>365.8</v>
      </c>
    </row>
    <row r="2306">
      <c s="13" r="A2306">
        <v>40696</v>
      </c>
      <c t="s" r="B2306">
        <v>2653</v>
      </c>
      <c s="18" r="C2306">
        <v>409.15</v>
      </c>
    </row>
    <row r="2307">
      <c s="13" r="A2307">
        <v>40696</v>
      </c>
      <c t="s" r="B2307">
        <v>2654</v>
      </c>
      <c s="18" r="C2307">
        <v>474.36</v>
      </c>
    </row>
    <row r="2308">
      <c s="13" r="A2308">
        <v>40696</v>
      </c>
      <c t="s" r="B2308">
        <v>2655</v>
      </c>
      <c s="18" r="C2308">
        <v>584.1</v>
      </c>
    </row>
    <row r="2309">
      <c s="13" r="A2309">
        <v>40696</v>
      </c>
      <c t="s" r="B2309">
        <v>2656</v>
      </c>
      <c s="18" r="C2309">
        <v>590</v>
      </c>
    </row>
    <row r="2310">
      <c s="13" r="A2310">
        <v>40696</v>
      </c>
      <c t="s" r="B2310">
        <v>2657</v>
      </c>
      <c s="18" r="C2310">
        <v>698.8</v>
      </c>
    </row>
    <row r="2311">
      <c s="13" r="A2311">
        <v>40696</v>
      </c>
      <c t="s" r="B2311">
        <v>2658</v>
      </c>
      <c s="18" r="C2311">
        <v>731.6</v>
      </c>
    </row>
    <row r="2312">
      <c s="13" r="A2312">
        <v>40696</v>
      </c>
      <c t="s" r="B2312">
        <v>2604</v>
      </c>
      <c s="18" r="C2312">
        <v>743.49</v>
      </c>
    </row>
    <row r="2313">
      <c s="13" r="A2313">
        <v>40696</v>
      </c>
      <c t="s" r="B2313">
        <v>2636</v>
      </c>
      <c s="18" r="C2313">
        <v>805.76</v>
      </c>
    </row>
    <row r="2314">
      <c s="13" r="A2314">
        <v>40696</v>
      </c>
      <c t="s" r="B2314">
        <v>2659</v>
      </c>
      <c s="18" r="C2314">
        <v>826</v>
      </c>
    </row>
    <row r="2315">
      <c s="13" r="A2315">
        <v>40696</v>
      </c>
      <c t="s" r="B2315">
        <v>2660</v>
      </c>
      <c s="18" r="C2315">
        <v>1180</v>
      </c>
    </row>
    <row r="2316">
      <c s="13" r="A2316">
        <v>40696</v>
      </c>
      <c t="s" r="B2316">
        <v>2661</v>
      </c>
      <c s="18" r="C2316">
        <v>1253.56</v>
      </c>
    </row>
    <row r="2317">
      <c s="13" r="A2317">
        <v>40696</v>
      </c>
      <c t="s" r="B2317">
        <v>2624</v>
      </c>
      <c s="18" r="C2317">
        <v>1254.2</v>
      </c>
    </row>
    <row r="2318">
      <c s="13" r="A2318">
        <v>40696</v>
      </c>
      <c t="s" r="B2318">
        <v>2662</v>
      </c>
      <c s="18" r="C2318">
        <v>1260.78</v>
      </c>
    </row>
    <row r="2319">
      <c s="13" r="A2319">
        <v>40696</v>
      </c>
      <c t="s" r="B2319">
        <v>2663</v>
      </c>
      <c s="18" r="C2319">
        <v>1657.9</v>
      </c>
    </row>
    <row r="2320">
      <c s="13" r="A2320">
        <v>40696</v>
      </c>
      <c t="s" r="B2320">
        <v>2664</v>
      </c>
      <c s="18" r="C2320">
        <v>1680</v>
      </c>
    </row>
    <row r="2321">
      <c s="13" r="A2321">
        <v>40696</v>
      </c>
      <c t="s" r="B2321">
        <v>2665</v>
      </c>
      <c s="18" r="C2321">
        <v>1800</v>
      </c>
    </row>
    <row r="2322">
      <c s="13" r="A2322">
        <v>40696</v>
      </c>
      <c t="s" r="B2322">
        <v>2666</v>
      </c>
      <c s="18" r="C2322">
        <v>1825.46</v>
      </c>
    </row>
    <row r="2323">
      <c s="13" r="A2323">
        <v>40696</v>
      </c>
      <c t="s" r="B2323">
        <v>2667</v>
      </c>
      <c s="18" r="C2323">
        <v>2000</v>
      </c>
    </row>
    <row r="2324">
      <c s="13" r="A2324">
        <v>40696</v>
      </c>
      <c t="s" r="B2324">
        <v>2668</v>
      </c>
      <c s="18" r="C2324">
        <v>2177</v>
      </c>
    </row>
    <row r="2325">
      <c s="13" r="A2325">
        <v>40696</v>
      </c>
      <c t="s" r="B2325">
        <v>2669</v>
      </c>
      <c s="18" r="C2325">
        <v>2232</v>
      </c>
    </row>
    <row r="2326">
      <c s="13" r="A2326">
        <v>40696</v>
      </c>
      <c t="s" r="B2326">
        <v>2670</v>
      </c>
      <c s="18" r="C2326">
        <v>2279.76</v>
      </c>
    </row>
    <row r="2327">
      <c s="13" r="A2327">
        <v>40695</v>
      </c>
      <c t="s" r="B2327">
        <v>2671</v>
      </c>
      <c s="18" r="C2327">
        <v>72143.83</v>
      </c>
    </row>
    <row r="2328">
      <c s="13" r="A2328">
        <v>40689</v>
      </c>
      <c t="s" r="B2328">
        <v>2672</v>
      </c>
      <c s="18" r="C2328">
        <v>475.5</v>
      </c>
    </row>
    <row r="2329">
      <c s="13" r="A2329">
        <v>40689</v>
      </c>
      <c t="s" r="B2329">
        <v>2672</v>
      </c>
      <c s="18" r="C2329">
        <v>1616.69</v>
      </c>
    </row>
    <row r="2330">
      <c s="13" r="A2330">
        <v>40686</v>
      </c>
      <c t="s" r="B2330">
        <v>2673</v>
      </c>
      <c s="18" r="C2330">
        <v>1004.82</v>
      </c>
    </row>
    <row r="2331">
      <c s="13" r="A2331">
        <v>40686</v>
      </c>
      <c t="s" r="B2331">
        <v>2624</v>
      </c>
      <c s="18" r="C2331">
        <v>1522.96</v>
      </c>
    </row>
    <row r="2332">
      <c s="13" r="A2332">
        <v>40686</v>
      </c>
      <c t="s" r="B2332">
        <v>2673</v>
      </c>
      <c s="18" r="C2332">
        <v>2185.58</v>
      </c>
    </row>
    <row r="2333">
      <c s="13" r="A2333">
        <v>40686</v>
      </c>
      <c t="s" r="B2333">
        <v>2674</v>
      </c>
      <c s="18" r="C2333">
        <v>2187</v>
      </c>
    </row>
    <row r="2334">
      <c s="13" r="A2334">
        <v>40686</v>
      </c>
      <c t="s" r="B2334">
        <v>2675</v>
      </c>
      <c s="18" r="C2334">
        <v>2858.72</v>
      </c>
    </row>
    <row r="2335">
      <c s="13" r="A2335">
        <v>40682</v>
      </c>
      <c t="s" r="B2335">
        <v>2676</v>
      </c>
      <c s="18" r="C2335">
        <v>1180</v>
      </c>
    </row>
    <row r="2336">
      <c s="13" r="A2336">
        <v>40682</v>
      </c>
      <c t="s" r="B2336">
        <v>2677</v>
      </c>
      <c s="18" r="C2336">
        <v>1180</v>
      </c>
    </row>
    <row r="2337">
      <c s="13" r="A2337">
        <v>40681</v>
      </c>
      <c t="s" r="B2337">
        <v>2678</v>
      </c>
      <c s="18" r="C2337">
        <v>674.81</v>
      </c>
    </row>
    <row r="2338">
      <c s="13" r="A2338">
        <v>40681</v>
      </c>
      <c t="s" r="B2338">
        <v>2679</v>
      </c>
      <c s="18" r="C2338">
        <v>5560.51</v>
      </c>
    </row>
    <row r="2339">
      <c s="13" r="A2339">
        <v>40681</v>
      </c>
      <c t="s" r="B2339">
        <v>2680</v>
      </c>
      <c s="18" r="C2339">
        <v>12334.8</v>
      </c>
    </row>
    <row r="2340">
      <c s="13" r="A2340">
        <v>40675</v>
      </c>
      <c t="s" r="B2340">
        <v>2681</v>
      </c>
      <c s="18" r="C2340">
        <v>500</v>
      </c>
    </row>
    <row r="2341">
      <c s="13" r="A2341">
        <v>40675</v>
      </c>
      <c t="s" r="B2341">
        <v>2682</v>
      </c>
      <c s="18" r="C2341">
        <v>1357</v>
      </c>
    </row>
    <row r="2342">
      <c s="13" r="A2342">
        <v>40675</v>
      </c>
      <c t="s" r="B2342">
        <v>2683</v>
      </c>
      <c s="18" r="C2342">
        <v>1565.94</v>
      </c>
    </row>
    <row r="2343">
      <c s="13" r="A2343">
        <v>40668</v>
      </c>
      <c t="s" r="B2343">
        <v>2684</v>
      </c>
      <c s="18" r="C2343">
        <v>47.52</v>
      </c>
    </row>
    <row r="2344">
      <c s="13" r="A2344">
        <v>40668</v>
      </c>
      <c t="s" r="B2344">
        <v>2685</v>
      </c>
      <c s="18" r="C2344">
        <v>63.18</v>
      </c>
    </row>
    <row r="2345">
      <c s="13" r="A2345">
        <v>40668</v>
      </c>
      <c t="s" r="B2345">
        <v>2686</v>
      </c>
      <c s="18" r="C2345">
        <v>164.16</v>
      </c>
    </row>
    <row r="2346">
      <c s="13" r="A2346">
        <v>40668</v>
      </c>
      <c t="s" r="B2346">
        <v>2687</v>
      </c>
      <c s="18" r="C2346">
        <v>308.88</v>
      </c>
    </row>
    <row r="2347">
      <c s="13" r="A2347">
        <v>40668</v>
      </c>
      <c t="s" r="B2347">
        <v>2688</v>
      </c>
      <c s="18" r="C2347">
        <v>885</v>
      </c>
    </row>
    <row r="2348">
      <c s="13" r="A2348">
        <v>40668</v>
      </c>
      <c t="s" r="B2348">
        <v>2689</v>
      </c>
      <c s="18" r="C2348">
        <v>987.12</v>
      </c>
    </row>
    <row r="2349">
      <c s="13" r="A2349">
        <v>40668</v>
      </c>
      <c t="s" r="B2349">
        <v>2690</v>
      </c>
      <c s="18" r="C2349">
        <v>1530</v>
      </c>
    </row>
    <row r="2350">
      <c s="13" r="A2350">
        <v>40668</v>
      </c>
      <c t="s" r="B2350">
        <v>2691</v>
      </c>
      <c s="18" r="C2350">
        <v>2419</v>
      </c>
    </row>
    <row r="2351">
      <c s="13" r="A2351">
        <v>40668</v>
      </c>
      <c t="s" r="B2351">
        <v>2692</v>
      </c>
      <c s="18" r="C2351">
        <v>2500</v>
      </c>
    </row>
    <row r="2352">
      <c s="13" r="A2352">
        <v>40660</v>
      </c>
      <c t="s" r="B2352">
        <v>2693</v>
      </c>
      <c s="18" r="C2352">
        <v>72143.83</v>
      </c>
    </row>
    <row r="2353">
      <c s="13" r="A2353">
        <v>40653</v>
      </c>
      <c t="s" r="B2353">
        <v>2694</v>
      </c>
      <c s="18" r="C2353">
        <v>6000</v>
      </c>
    </row>
    <row r="2354">
      <c s="13" r="A2354">
        <v>40653</v>
      </c>
      <c t="s" r="B2354">
        <v>2695</v>
      </c>
      <c s="18" r="C2354">
        <v>6372</v>
      </c>
    </row>
    <row r="2355">
      <c s="13" r="A2355">
        <v>40653</v>
      </c>
      <c t="s" r="B2355">
        <v>2696</v>
      </c>
      <c s="18" r="C2355">
        <v>26550</v>
      </c>
    </row>
    <row r="2356">
      <c s="13" r="A2356">
        <v>40649</v>
      </c>
      <c t="s" r="B2356">
        <v>2697</v>
      </c>
      <c s="18" r="C2356">
        <v>25815.91</v>
      </c>
    </row>
    <row r="2357">
      <c s="13" r="A2357">
        <v>40646</v>
      </c>
      <c t="s" r="B2357">
        <v>2698</v>
      </c>
      <c s="18" r="C2357">
        <v>2500</v>
      </c>
    </row>
    <row r="2358">
      <c s="13" r="A2358">
        <v>40646</v>
      </c>
      <c t="s" r="B2358">
        <v>2699</v>
      </c>
      <c s="18" r="C2358">
        <v>30000</v>
      </c>
    </row>
    <row r="2359">
      <c s="13" r="A2359">
        <v>40632</v>
      </c>
      <c t="s" r="B2359">
        <v>2700</v>
      </c>
      <c s="18" r="C2359">
        <v>1780</v>
      </c>
    </row>
    <row r="2360">
      <c s="13" r="A2360">
        <v>40632</v>
      </c>
      <c t="s" r="B2360">
        <v>2701</v>
      </c>
      <c s="18" r="C2360">
        <v>2875</v>
      </c>
    </row>
    <row r="2361">
      <c s="13" r="A2361">
        <v>40632</v>
      </c>
      <c t="s" r="B2361">
        <v>2702</v>
      </c>
      <c s="18" r="C2361">
        <v>21135.31</v>
      </c>
    </row>
    <row r="2362">
      <c s="13" r="A2362">
        <v>40632</v>
      </c>
      <c t="s" r="B2362">
        <v>2703</v>
      </c>
      <c s="18" r="C2362">
        <v>36639</v>
      </c>
    </row>
    <row r="2363">
      <c s="13" r="A2363">
        <v>40632</v>
      </c>
      <c t="s" r="B2363">
        <v>2704</v>
      </c>
      <c s="18" r="C2363">
        <v>72143.83</v>
      </c>
    </row>
    <row r="2364">
      <c s="13" r="A2364">
        <v>40618</v>
      </c>
      <c t="s" r="B2364">
        <v>2692</v>
      </c>
      <c s="18" r="C2364">
        <v>2500</v>
      </c>
    </row>
    <row r="2365">
      <c s="13" r="A2365">
        <v>40618</v>
      </c>
      <c t="s" r="B2365">
        <v>2705</v>
      </c>
      <c s="18" r="C2365">
        <v>3000</v>
      </c>
    </row>
    <row r="2366">
      <c s="13" r="A2366">
        <v>40618</v>
      </c>
      <c t="s" r="B2366">
        <v>2706</v>
      </c>
      <c s="18" r="C2366">
        <v>4000</v>
      </c>
    </row>
    <row r="2367">
      <c s="13" r="A2367">
        <v>40618</v>
      </c>
      <c t="s" r="B2367">
        <v>2707</v>
      </c>
      <c s="18" r="C2367">
        <v>10451.96</v>
      </c>
    </row>
    <row r="2368">
      <c s="13" r="A2368">
        <v>40618</v>
      </c>
      <c t="s" r="B2368">
        <v>2708</v>
      </c>
      <c s="18" r="C2368">
        <v>11210</v>
      </c>
    </row>
    <row r="2369">
      <c s="13" r="A2369">
        <v>40618</v>
      </c>
      <c t="s" r="B2369">
        <v>2709</v>
      </c>
      <c s="18" r="C2369">
        <v>80000</v>
      </c>
    </row>
    <row r="2370">
      <c s="13" r="A2370">
        <v>40611</v>
      </c>
      <c t="s" r="B2370">
        <v>2710</v>
      </c>
      <c s="18" r="C2370">
        <v>1000</v>
      </c>
    </row>
    <row r="2371">
      <c s="13" r="A2371">
        <v>40611</v>
      </c>
      <c t="s" r="B2371">
        <v>2711</v>
      </c>
      <c s="18" r="C2371">
        <v>1400</v>
      </c>
    </row>
    <row r="2372">
      <c s="13" r="A2372">
        <v>40611</v>
      </c>
      <c t="s" r="B2372">
        <v>2712</v>
      </c>
      <c s="18" r="C2372">
        <v>1495.37</v>
      </c>
    </row>
    <row r="2373">
      <c s="13" r="A2373">
        <v>40611</v>
      </c>
      <c t="s" r="B2373">
        <v>2713</v>
      </c>
      <c s="18" r="C2373">
        <v>3000</v>
      </c>
    </row>
    <row r="2374">
      <c s="13" r="A2374">
        <v>40611</v>
      </c>
      <c t="s" r="B2374">
        <v>2714</v>
      </c>
      <c s="18" r="C2374">
        <v>3350</v>
      </c>
    </row>
    <row r="2375">
      <c s="13" r="A2375">
        <v>40611</v>
      </c>
      <c t="s" r="B2375">
        <v>2715</v>
      </c>
      <c s="18" r="C2375">
        <v>72143.83</v>
      </c>
    </row>
    <row r="2376">
      <c s="13" r="A2376">
        <v>40604</v>
      </c>
      <c t="s" r="B2376">
        <v>2716</v>
      </c>
      <c s="18" r="C2376">
        <v>4000</v>
      </c>
    </row>
    <row r="2377">
      <c s="13" r="A2377">
        <v>40597</v>
      </c>
      <c t="s" r="B2377">
        <v>2717</v>
      </c>
      <c s="18" r="C2377">
        <v>1200</v>
      </c>
    </row>
    <row r="2378">
      <c s="13" r="A2378">
        <v>40597</v>
      </c>
      <c t="s" r="B2378">
        <v>2718</v>
      </c>
      <c s="18" r="C2378">
        <v>2550</v>
      </c>
    </row>
    <row r="2379">
      <c s="13" r="A2379">
        <v>40597</v>
      </c>
      <c t="s" r="B2379">
        <v>2719</v>
      </c>
      <c s="18" r="C2379">
        <v>59000</v>
      </c>
    </row>
    <row r="2380">
      <c s="13" r="A2380">
        <v>40590</v>
      </c>
      <c t="s" r="B2380">
        <v>2720</v>
      </c>
      <c s="18" r="C2380">
        <v>1391.53</v>
      </c>
    </row>
    <row r="2381">
      <c s="13" r="A2381">
        <v>40590</v>
      </c>
      <c t="s" r="B2381">
        <v>2721</v>
      </c>
      <c s="18" r="C2381">
        <v>4473.76</v>
      </c>
    </row>
    <row r="2382">
      <c s="13" r="A2382">
        <v>40590</v>
      </c>
      <c t="s" r="B2382">
        <v>2722</v>
      </c>
      <c s="18" r="C2382">
        <v>210000</v>
      </c>
    </row>
    <row r="2383">
      <c s="13" r="A2383">
        <v>40587</v>
      </c>
      <c t="s" r="B2383">
        <v>2723</v>
      </c>
      <c s="18" r="C2383">
        <v>4061.45</v>
      </c>
    </row>
    <row r="2384">
      <c s="13" r="A2384">
        <v>40587</v>
      </c>
      <c t="s" r="B2384">
        <v>2724</v>
      </c>
      <c s="18" r="C2384">
        <v>4166.67</v>
      </c>
    </row>
    <row r="2385">
      <c s="13" r="A2385">
        <v>40587</v>
      </c>
      <c t="s" r="B2385">
        <v>2725</v>
      </c>
      <c s="18" r="C2385">
        <v>4437.3</v>
      </c>
    </row>
    <row r="2386">
      <c s="13" r="A2386">
        <v>40583</v>
      </c>
      <c t="s" r="B2386">
        <v>2726</v>
      </c>
      <c s="18" r="C2386">
        <v>928.7</v>
      </c>
    </row>
    <row r="2387">
      <c s="13" r="A2387">
        <v>40583</v>
      </c>
      <c t="s" r="B2387">
        <v>2727</v>
      </c>
      <c s="18" r="C2387">
        <v>1829</v>
      </c>
    </row>
    <row r="2388">
      <c s="13" r="A2388">
        <v>40583</v>
      </c>
      <c t="s" r="B2388">
        <v>2728</v>
      </c>
      <c s="18" r="C2388">
        <v>2539.83</v>
      </c>
    </row>
    <row r="2389">
      <c s="13" r="A2389">
        <v>40583</v>
      </c>
      <c t="s" r="B2389">
        <v>2729</v>
      </c>
      <c s="18" r="C2389">
        <v>3500</v>
      </c>
    </row>
    <row r="2390">
      <c s="13" r="A2390">
        <v>40583</v>
      </c>
      <c t="s" r="B2390">
        <v>2730</v>
      </c>
      <c s="18" r="C2390">
        <v>7147.05</v>
      </c>
    </row>
    <row r="2391">
      <c s="13" r="A2391">
        <v>40583</v>
      </c>
      <c t="s" r="B2391">
        <v>2731</v>
      </c>
      <c s="18" r="C2391">
        <v>17741</v>
      </c>
    </row>
    <row r="2392">
      <c s="13" r="A2392">
        <v>40576</v>
      </c>
      <c t="s" r="B2392">
        <v>2732</v>
      </c>
      <c s="18" r="C2392">
        <v>4000</v>
      </c>
    </row>
    <row r="2393">
      <c s="13" r="A2393">
        <v>40576</v>
      </c>
      <c t="s" r="B2393">
        <v>2733</v>
      </c>
      <c s="18" r="C2393">
        <v>4166.67</v>
      </c>
    </row>
    <row r="2394">
      <c s="13" r="A2394">
        <v>40576</v>
      </c>
      <c t="s" r="B2394">
        <v>1280</v>
      </c>
      <c s="18" r="C2394">
        <v>4375.44</v>
      </c>
    </row>
    <row r="2395">
      <c s="13" r="A2395">
        <v>40576</v>
      </c>
      <c t="s" r="B2395">
        <v>2734</v>
      </c>
      <c s="18" r="C2395">
        <v>4416.26</v>
      </c>
    </row>
    <row r="2396">
      <c s="13" r="A2396">
        <v>40576</v>
      </c>
      <c t="s" r="B2396">
        <v>2735</v>
      </c>
      <c s="18" r="C2396">
        <v>5892</v>
      </c>
    </row>
    <row r="2397">
      <c s="13" r="A2397">
        <v>40576</v>
      </c>
      <c t="s" r="B2397">
        <v>2736</v>
      </c>
      <c s="18" r="C2397">
        <v>6480</v>
      </c>
    </row>
    <row r="2398">
      <c s="13" r="A2398">
        <v>40576</v>
      </c>
      <c t="s" r="B2398">
        <v>1301</v>
      </c>
      <c s="18" r="C2398">
        <v>72143.83</v>
      </c>
    </row>
    <row r="2399">
      <c s="13" r="A2399">
        <v>40563</v>
      </c>
      <c t="s" r="B2399">
        <v>2737</v>
      </c>
      <c s="18" r="C2399">
        <v>571.3</v>
      </c>
    </row>
    <row r="2400">
      <c s="13" r="A2400">
        <v>40563</v>
      </c>
      <c t="s" r="B2400">
        <v>2738</v>
      </c>
      <c s="18" r="C2400">
        <v>2000</v>
      </c>
    </row>
    <row r="2401">
      <c s="13" r="A2401">
        <v>40563</v>
      </c>
      <c t="s" r="B2401">
        <v>2739</v>
      </c>
      <c s="18" r="C2401">
        <v>2900</v>
      </c>
    </row>
    <row r="2402">
      <c s="13" r="A2402">
        <v>40555</v>
      </c>
      <c t="s" r="B2402">
        <v>2740</v>
      </c>
      <c s="18" r="C2402">
        <v>3200</v>
      </c>
    </row>
    <row r="2403">
      <c s="13" r="A2403">
        <v>40555</v>
      </c>
      <c t="s" r="B2403">
        <v>2735</v>
      </c>
      <c s="18" r="C2403">
        <v>5892</v>
      </c>
    </row>
    <row r="2404">
      <c s="13" r="A2404">
        <v>40555</v>
      </c>
      <c t="s" r="B2404">
        <v>2741</v>
      </c>
      <c s="18" r="C2404">
        <v>12596</v>
      </c>
    </row>
    <row r="2405">
      <c s="11" r="A2405">
        <v>40296</v>
      </c>
      <c t="s" r="B2405">
        <v>2742</v>
      </c>
      <c s="18" r="C2405">
        <v>274.3</v>
      </c>
    </row>
    <row r="2406">
      <c s="6" r="A2406"/>
      <c s="18" r="C2406"/>
    </row>
    <row r="2407">
      <c s="6" r="A2407"/>
      <c s="18" r="C2407"/>
    </row>
    <row r="2408">
      <c t="s" r="B2408">
        <v>2743</v>
      </c>
      <c s="18" r="C2408">
        <v>7418.32</v>
      </c>
    </row>
    <row r="2409">
      <c s="18" r="C2409"/>
    </row>
    <row r="2410">
      <c s="6" r="A2410"/>
      <c t="s" s="6" r="B2410">
        <v>2744</v>
      </c>
      <c s="4" r="C2410">
        <v>117</v>
      </c>
    </row>
    <row r="2411">
      <c s="6" r="A2411"/>
      <c t="s" s="6" r="B2411">
        <v>2745</v>
      </c>
      <c s="4" r="C2411">
        <v>255.91</v>
      </c>
    </row>
    <row r="2412">
      <c s="6" r="A2412"/>
      <c t="s" s="6" r="B2412">
        <v>2746</v>
      </c>
      <c s="4" r="C2412">
        <v>274.4</v>
      </c>
    </row>
    <row r="2413">
      <c s="6" r="A2413"/>
      <c t="s" s="6" r="B2413">
        <v>2747</v>
      </c>
      <c s="4" r="C2413">
        <v>325</v>
      </c>
    </row>
    <row r="2414">
      <c s="6" r="A2414"/>
      <c t="s" s="6" r="B2414">
        <v>2748</v>
      </c>
      <c s="4" r="C2414">
        <v>349.29</v>
      </c>
    </row>
    <row r="2415">
      <c s="6" r="A2415"/>
      <c t="s" s="6" r="B2415">
        <v>2749</v>
      </c>
      <c s="4" r="C2415">
        <v>350.78</v>
      </c>
    </row>
    <row r="2416">
      <c s="6" r="A2416"/>
      <c t="s" s="6" r="B2416">
        <v>2750</v>
      </c>
      <c s="4" r="C2416">
        <v>395.24</v>
      </c>
    </row>
    <row r="2417">
      <c s="6" r="A2417"/>
      <c t="s" s="6" r="B2417">
        <v>2751</v>
      </c>
      <c s="4" r="C2417">
        <v>400.61</v>
      </c>
    </row>
    <row r="2418">
      <c s="6" r="A2418"/>
      <c t="s" s="6" r="B2418">
        <v>2752</v>
      </c>
      <c s="4" r="C2418">
        <v>449.99</v>
      </c>
    </row>
    <row r="2419">
      <c s="6" r="A2419"/>
      <c t="s" s="6" r="B2419">
        <v>2753</v>
      </c>
      <c s="4" r="C2419">
        <v>464.6</v>
      </c>
    </row>
    <row r="2420">
      <c s="6" r="A2420"/>
      <c t="s" s="6" r="B2420">
        <v>2754</v>
      </c>
      <c s="4" r="C2420">
        <v>500</v>
      </c>
    </row>
    <row r="2421">
      <c s="6" r="A2421"/>
      <c t="s" s="6" r="B2421">
        <v>2755</v>
      </c>
      <c s="4" r="C2421">
        <v>605.6</v>
      </c>
    </row>
    <row r="2422">
      <c s="6" r="A2422"/>
      <c t="s" s="6" r="B2422">
        <v>2756</v>
      </c>
      <c s="4" r="C2422">
        <v>614</v>
      </c>
    </row>
    <row r="2423">
      <c s="6" r="A2423"/>
      <c t="s" s="6" r="B2423">
        <v>2757</v>
      </c>
      <c s="4" r="C2423">
        <v>657.41</v>
      </c>
    </row>
    <row r="2424">
      <c s="6" r="A2424"/>
      <c t="s" s="6" r="B2424">
        <v>2758</v>
      </c>
      <c s="4" r="C2424">
        <v>665.84</v>
      </c>
    </row>
    <row r="2425">
      <c s="6" r="A2425"/>
      <c t="s" s="6" r="B2425">
        <v>2759</v>
      </c>
      <c s="4" r="C2425">
        <v>684.8</v>
      </c>
    </row>
    <row r="2426">
      <c s="6" r="A2426"/>
      <c t="s" s="6" r="B2426">
        <v>2760</v>
      </c>
      <c s="4" r="C2426">
        <v>777.2</v>
      </c>
    </row>
    <row r="2427">
      <c s="6" r="A2427"/>
      <c t="s" s="6" r="B2427">
        <v>2761</v>
      </c>
      <c s="4" r="C2427">
        <v>991.72</v>
      </c>
    </row>
    <row r="2428">
      <c s="6" r="A2428"/>
      <c t="s" s="6" r="B2428">
        <v>2762</v>
      </c>
      <c s="4" r="C2428">
        <v>1000</v>
      </c>
    </row>
    <row r="2429">
      <c s="6" r="A2429"/>
      <c t="s" s="6" r="B2429">
        <v>2763</v>
      </c>
      <c s="4" r="C2429">
        <v>1000</v>
      </c>
    </row>
    <row r="2430">
      <c s="6" r="A2430"/>
      <c t="s" s="6" r="B2430">
        <v>2764</v>
      </c>
      <c s="4" r="C2430">
        <v>1000</v>
      </c>
    </row>
    <row r="2431">
      <c s="6" r="A2431"/>
      <c t="s" s="6" r="B2431">
        <v>2765</v>
      </c>
      <c s="4" r="C2431">
        <v>1016.19</v>
      </c>
    </row>
    <row r="2432">
      <c s="6" r="A2432"/>
      <c t="s" s="6" r="B2432">
        <v>2765</v>
      </c>
      <c s="4" r="C2432">
        <v>1037.22</v>
      </c>
    </row>
    <row r="2433">
      <c s="6" r="A2433"/>
      <c t="s" s="6" r="B2433">
        <v>2766</v>
      </c>
      <c s="4" r="C2433">
        <v>1044</v>
      </c>
    </row>
    <row r="2434">
      <c s="6" r="A2434"/>
      <c t="s" s="6" r="B2434">
        <v>2767</v>
      </c>
      <c s="4" r="C2434">
        <v>1044</v>
      </c>
    </row>
    <row r="2435">
      <c s="6" r="A2435"/>
      <c t="s" s="6" r="B2435">
        <v>2768</v>
      </c>
      <c s="4" r="C2435">
        <v>1096</v>
      </c>
    </row>
    <row r="2436">
      <c s="6" r="A2436"/>
      <c t="s" s="6" r="B2436">
        <v>2769</v>
      </c>
      <c s="4" r="C2436">
        <v>1100</v>
      </c>
    </row>
    <row r="2437">
      <c s="6" r="A2437"/>
      <c t="s" s="6" r="B2437">
        <v>2770</v>
      </c>
      <c s="4" r="C2437">
        <v>1131</v>
      </c>
    </row>
    <row r="2438">
      <c s="6" r="A2438"/>
      <c t="s" s="6" r="B2438">
        <v>2771</v>
      </c>
      <c s="4" r="C2438">
        <v>1172.77</v>
      </c>
    </row>
    <row r="2439">
      <c s="6" r="A2439"/>
      <c t="s" s="6" r="B2439">
        <v>2772</v>
      </c>
      <c s="4" r="C2439">
        <v>1200</v>
      </c>
    </row>
    <row r="2440">
      <c s="6" r="A2440"/>
      <c t="s" s="6" r="B2440">
        <v>2773</v>
      </c>
      <c s="4" r="C2440">
        <v>1227.33</v>
      </c>
    </row>
    <row r="2441">
      <c s="6" r="A2441"/>
      <c t="s" s="6" r="B2441">
        <v>2774</v>
      </c>
      <c s="4" r="C2441">
        <v>1251.74</v>
      </c>
    </row>
    <row r="2442">
      <c s="6" r="A2442"/>
      <c t="s" s="6" r="B2442">
        <v>2769</v>
      </c>
      <c s="4" r="C2442">
        <v>1300</v>
      </c>
    </row>
    <row r="2443">
      <c s="6" r="A2443"/>
      <c t="s" s="6" r="B2443">
        <v>2765</v>
      </c>
      <c s="4" r="C2443">
        <v>1312.42</v>
      </c>
    </row>
    <row r="2444">
      <c s="6" r="A2444"/>
      <c t="s" s="6" r="B2444">
        <v>2775</v>
      </c>
      <c s="4" r="C2444">
        <v>1333.77</v>
      </c>
    </row>
    <row r="2445">
      <c s="6" r="A2445"/>
      <c t="s" s="6" r="B2445">
        <v>2776</v>
      </c>
      <c s="4" r="C2445">
        <v>1357</v>
      </c>
    </row>
    <row r="2446">
      <c s="6" r="A2446"/>
      <c t="s" s="6" r="B2446">
        <v>2777</v>
      </c>
      <c s="4" r="C2446">
        <v>1392</v>
      </c>
    </row>
    <row r="2447">
      <c s="6" r="A2447"/>
      <c t="s" s="6" r="B2447">
        <v>2778</v>
      </c>
      <c s="4" r="C2447">
        <v>1404</v>
      </c>
    </row>
    <row r="2448">
      <c s="6" r="A2448"/>
      <c t="s" s="6" r="B2448">
        <v>2779</v>
      </c>
      <c s="4" r="C2448">
        <v>1429.25</v>
      </c>
    </row>
    <row r="2449">
      <c s="6" r="A2449"/>
      <c t="s" s="6" r="B2449">
        <v>2780</v>
      </c>
      <c s="4" r="C2449">
        <v>1532.88</v>
      </c>
    </row>
    <row r="2450">
      <c s="6" r="A2450"/>
      <c t="s" s="6" r="B2450">
        <v>2781</v>
      </c>
      <c s="4" r="C2450">
        <v>1534.68</v>
      </c>
    </row>
    <row r="2451">
      <c s="6" r="A2451"/>
      <c t="s" s="6" r="B2451">
        <v>2782</v>
      </c>
      <c s="4" r="C2451">
        <v>1566</v>
      </c>
    </row>
    <row r="2452">
      <c s="6" r="A2452"/>
      <c t="s" s="6" r="B2452">
        <v>2769</v>
      </c>
      <c s="4" r="C2452">
        <v>1600</v>
      </c>
    </row>
    <row r="2453">
      <c s="6" r="A2453"/>
      <c t="s" s="6" r="B2453">
        <v>2783</v>
      </c>
      <c s="4" r="C2453">
        <v>1604.8</v>
      </c>
    </row>
    <row r="2454">
      <c s="6" r="A2454"/>
      <c t="s" s="6" r="B2454">
        <v>2784</v>
      </c>
      <c s="4" r="C2454">
        <v>1675.6</v>
      </c>
    </row>
    <row r="2455">
      <c s="6" r="A2455"/>
      <c t="s" s="6" r="B2455">
        <v>2785</v>
      </c>
      <c s="4" r="C2455">
        <v>1710</v>
      </c>
    </row>
    <row r="2456">
      <c s="6" r="A2456"/>
      <c t="s" s="6" r="B2456">
        <v>2786</v>
      </c>
      <c s="4" r="C2456">
        <v>1713.9</v>
      </c>
    </row>
    <row r="2457">
      <c s="6" r="A2457"/>
      <c t="s" s="6" r="B2457">
        <v>2787</v>
      </c>
      <c s="4" r="C2457">
        <v>1740</v>
      </c>
    </row>
    <row r="2458">
      <c s="6" r="A2458"/>
      <c t="s" s="6" r="B2458">
        <v>2788</v>
      </c>
      <c s="4" r="C2458">
        <v>1763.2</v>
      </c>
    </row>
    <row r="2459">
      <c s="6" r="A2459"/>
      <c t="s" s="6" r="B2459">
        <v>2789</v>
      </c>
      <c s="4" r="C2459">
        <v>1763.2</v>
      </c>
    </row>
    <row r="2460">
      <c s="6" r="A2460"/>
      <c t="s" s="6" r="B2460">
        <v>2790</v>
      </c>
      <c s="4" r="C2460">
        <v>1830.07</v>
      </c>
    </row>
    <row r="2461">
      <c s="6" r="A2461"/>
      <c t="s" s="6" r="B2461">
        <v>2791</v>
      </c>
      <c s="4" r="C2461">
        <v>1856</v>
      </c>
    </row>
    <row r="2462">
      <c s="6" r="A2462"/>
      <c t="s" s="6" r="B2462">
        <v>2792</v>
      </c>
      <c s="4" r="C2462">
        <v>2000</v>
      </c>
    </row>
    <row r="2463">
      <c s="6" r="A2463"/>
      <c t="s" s="6" r="B2463">
        <v>2793</v>
      </c>
      <c s="4" r="C2463">
        <v>2095.31</v>
      </c>
    </row>
    <row r="2464">
      <c s="6" r="A2464"/>
      <c t="s" s="6" r="B2464">
        <v>2794</v>
      </c>
      <c s="4" r="C2464">
        <v>2225</v>
      </c>
    </row>
    <row r="2465">
      <c s="6" r="A2465"/>
      <c t="s" s="6" r="B2465">
        <v>2795</v>
      </c>
      <c s="4" r="C2465">
        <v>2350.86</v>
      </c>
    </row>
    <row r="2466">
      <c s="6" r="A2466"/>
      <c t="s" s="6" r="B2466">
        <v>2796</v>
      </c>
      <c s="4" r="C2466">
        <v>2608.99</v>
      </c>
    </row>
    <row r="2467">
      <c s="6" r="A2467"/>
      <c t="s" s="6" r="B2467">
        <v>2797</v>
      </c>
      <c s="4" r="C2467">
        <v>2700.48</v>
      </c>
    </row>
    <row r="2468">
      <c s="6" r="A2468"/>
      <c t="s" s="6" r="B2468">
        <v>2798</v>
      </c>
      <c s="4" r="C2468">
        <v>2700.48</v>
      </c>
    </row>
    <row r="2469">
      <c s="6" r="A2469"/>
      <c t="s" s="6" r="B2469">
        <v>2799</v>
      </c>
      <c s="4" r="C2469">
        <v>2714.7</v>
      </c>
    </row>
    <row r="2470">
      <c s="6" r="A2470"/>
      <c t="s" s="6" r="B2470">
        <v>2800</v>
      </c>
      <c s="4" r="C2470">
        <v>2739</v>
      </c>
    </row>
    <row r="2471">
      <c s="6" r="A2471"/>
      <c t="s" s="6" r="B2471">
        <v>2801</v>
      </c>
      <c s="4" r="C2471">
        <v>2752.87</v>
      </c>
    </row>
    <row r="2472">
      <c s="6" r="A2472"/>
      <c t="s" s="6" r="B2472">
        <v>2802</v>
      </c>
      <c s="4" r="C2472">
        <v>2838.52</v>
      </c>
    </row>
    <row r="2473">
      <c s="6" r="A2473"/>
      <c t="s" s="6" r="B2473">
        <v>2803</v>
      </c>
      <c s="4" r="C2473">
        <v>2900</v>
      </c>
    </row>
    <row r="2474">
      <c s="6" r="A2474"/>
      <c t="s" s="6" r="B2474">
        <v>2804</v>
      </c>
      <c s="4" r="C2474">
        <v>2999</v>
      </c>
    </row>
    <row r="2475">
      <c s="6" r="A2475"/>
      <c t="s" s="6" r="B2475">
        <v>2805</v>
      </c>
      <c s="4" r="C2475">
        <v>2999</v>
      </c>
    </row>
    <row r="2476">
      <c s="6" r="A2476"/>
      <c t="s" s="6" r="B2476">
        <v>2806</v>
      </c>
      <c s="4" r="C2476">
        <v>2999</v>
      </c>
    </row>
    <row r="2477">
      <c s="6" r="A2477"/>
      <c t="s" s="6" r="B2477">
        <v>2807</v>
      </c>
      <c s="4" r="C2477">
        <v>2999</v>
      </c>
    </row>
    <row r="2478">
      <c s="6" r="A2478"/>
      <c t="s" s="6" r="B2478">
        <v>2808</v>
      </c>
      <c s="4" r="C2478">
        <v>3000</v>
      </c>
    </row>
    <row r="2479">
      <c s="6" r="A2479"/>
      <c t="s" s="6" r="B2479">
        <v>2809</v>
      </c>
      <c s="4" r="C2479">
        <v>3000</v>
      </c>
    </row>
    <row r="2480">
      <c s="6" r="A2480"/>
      <c t="s" s="6" r="B2480">
        <v>2810</v>
      </c>
      <c s="4" r="C2480">
        <v>3224</v>
      </c>
    </row>
    <row r="2481">
      <c s="6" r="A2481"/>
      <c t="s" s="6" r="B2481">
        <v>2811</v>
      </c>
      <c s="4" r="C2481">
        <v>3358.27</v>
      </c>
    </row>
    <row r="2482">
      <c s="6" r="A2482"/>
      <c t="s" s="6" r="B2482">
        <v>2812</v>
      </c>
      <c s="4" r="C2482">
        <v>3409.41</v>
      </c>
    </row>
    <row r="2483">
      <c s="6" r="A2483"/>
      <c t="s" s="6" r="B2483">
        <v>2813</v>
      </c>
      <c s="4" r="C2483">
        <v>3410.1</v>
      </c>
    </row>
    <row r="2484">
      <c s="6" r="A2484"/>
      <c t="s" s="6" r="B2484">
        <v>2814</v>
      </c>
      <c s="4" r="C2484">
        <v>4135.02</v>
      </c>
    </row>
    <row r="2485">
      <c s="6" r="A2485"/>
      <c t="s" s="6" r="B2485">
        <v>2815</v>
      </c>
      <c s="4" r="C2485">
        <v>4720</v>
      </c>
    </row>
    <row r="2486">
      <c s="6" r="A2486"/>
      <c t="s" s="6" r="B2486">
        <v>2816</v>
      </c>
      <c s="4" r="C2486">
        <v>4969.44</v>
      </c>
    </row>
    <row r="2487">
      <c s="6" r="A2487"/>
      <c t="s" s="6" r="B2487">
        <v>2817</v>
      </c>
      <c s="4" r="C2487">
        <v>5061</v>
      </c>
    </row>
    <row r="2488">
      <c s="6" r="A2488"/>
      <c t="s" s="6" r="B2488">
        <v>2818</v>
      </c>
      <c s="4" r="C2488">
        <v>5531.9</v>
      </c>
    </row>
    <row r="2489">
      <c s="6" r="A2489"/>
      <c t="s" s="6" r="B2489">
        <v>2819</v>
      </c>
      <c s="4" r="C2489">
        <v>5708.08</v>
      </c>
    </row>
    <row r="2490">
      <c s="6" r="A2490"/>
      <c t="s" s="6" r="B2490">
        <v>2820</v>
      </c>
      <c s="4" r="C2490">
        <v>6000</v>
      </c>
    </row>
    <row r="2491">
      <c s="6" r="A2491"/>
      <c t="s" s="6" r="B2491">
        <v>2821</v>
      </c>
      <c s="4" r="C2491">
        <v>6223.57</v>
      </c>
    </row>
    <row r="2492">
      <c s="6" r="A2492"/>
      <c t="s" s="6" r="B2492">
        <v>2822</v>
      </c>
      <c s="4" r="C2492">
        <v>12031.52</v>
      </c>
    </row>
    <row r="2493">
      <c s="6" r="A2493"/>
      <c t="s" s="6" r="B2493">
        <v>2823</v>
      </c>
      <c s="4" r="C2493">
        <v>15789.4</v>
      </c>
    </row>
    <row r="2494">
      <c s="6" r="A2494"/>
      <c t="s" s="6" r="B2494">
        <v>2824</v>
      </c>
      <c s="4" r="C2494">
        <v>18000</v>
      </c>
    </row>
    <row r="2495">
      <c s="6" r="A2495"/>
      <c t="s" s="6" r="B2495">
        <v>2825</v>
      </c>
      <c s="4" r="C2495">
        <v>1000</v>
      </c>
    </row>
    <row r="2496">
      <c s="6" r="A2496"/>
      <c t="s" s="6" r="B2496">
        <v>2826</v>
      </c>
      <c s="4" r="C2496">
        <v>2589.99</v>
      </c>
    </row>
    <row r="2497">
      <c s="6" r="A2497"/>
      <c t="s" r="B2497">
        <v>2827</v>
      </c>
      <c s="18" r="C2497">
        <v>15504</v>
      </c>
    </row>
    <row r="2498">
      <c s="6" r="A2498"/>
      <c t="s" r="B2498">
        <v>2828</v>
      </c>
      <c s="18" r="C2498">
        <v>12551</v>
      </c>
    </row>
    <row r="2499">
      <c s="6" r="A2499"/>
      <c t="s" r="B2499">
        <v>2829</v>
      </c>
      <c s="18" r="C2499">
        <v>12150</v>
      </c>
    </row>
    <row r="2500">
      <c s="6" r="A2500"/>
      <c t="s" r="B2500">
        <v>2830</v>
      </c>
      <c s="18" r="C2500">
        <v>11042</v>
      </c>
    </row>
    <row r="2501">
      <c s="6" r="A2501"/>
      <c s="18" r="C2501"/>
    </row>
    <row r="2502">
      <c s="6" r="A2502"/>
      <c s="18" r="C2502"/>
    </row>
    <row r="2503">
      <c s="6" r="A2503"/>
      <c s="18" r="C2503"/>
    </row>
    <row r="2504">
      <c s="6" r="A2504"/>
      <c s="18" r="C2504"/>
    </row>
    <row r="2505">
      <c s="6" r="A2505"/>
      <c s="18" r="C2505"/>
    </row>
    <row r="2506">
      <c s="6" r="A2506"/>
      <c s="18" r="C2506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s="9" r="A1">
        <v>41620</v>
      </c>
      <c r="B1">
        <v>53</v>
      </c>
    </row>
    <row r="2">
      <c s="9" r="A2">
        <v>41619</v>
      </c>
      <c r="B2">
        <v>53</v>
      </c>
    </row>
    <row r="3">
      <c s="9" r="A3">
        <v>41599</v>
      </c>
      <c r="B3">
        <v>53</v>
      </c>
    </row>
    <row r="4">
      <c s="9" r="A4">
        <v>41590</v>
      </c>
      <c r="B4">
        <v>55</v>
      </c>
    </row>
    <row r="5">
      <c s="9" r="A5">
        <v>41555</v>
      </c>
      <c r="B5">
        <v>54</v>
      </c>
    </row>
    <row r="6">
      <c s="9" r="A6">
        <v>41535</v>
      </c>
      <c r="B6">
        <v>57</v>
      </c>
    </row>
    <row r="7">
      <c s="9" r="A7">
        <v>41528</v>
      </c>
      <c r="B7">
        <v>49</v>
      </c>
    </row>
    <row r="8">
      <c s="9" r="A8">
        <v>41528</v>
      </c>
      <c r="B8">
        <v>55</v>
      </c>
    </row>
    <row r="9">
      <c s="9" r="A9">
        <v>41500</v>
      </c>
      <c r="B9">
        <v>58</v>
      </c>
    </row>
    <row r="10">
      <c s="9" r="A10">
        <v>41472</v>
      </c>
      <c r="B10">
        <v>59</v>
      </c>
    </row>
    <row r="11">
      <c s="9" r="A11">
        <v>41465</v>
      </c>
      <c r="B11">
        <v>57</v>
      </c>
    </row>
    <row r="12">
      <c s="9" r="A12">
        <v>41437</v>
      </c>
      <c r="B12">
        <v>56</v>
      </c>
    </row>
    <row r="13">
      <c s="9" r="A13">
        <v>41418</v>
      </c>
      <c r="B13">
        <v>57</v>
      </c>
    </row>
    <row r="14">
      <c s="9" r="A14">
        <v>41409</v>
      </c>
      <c r="B14">
        <v>56</v>
      </c>
    </row>
    <row r="15">
      <c s="9" r="A15">
        <v>41374</v>
      </c>
      <c r="B15">
        <v>62</v>
      </c>
    </row>
    <row r="16">
      <c s="9" r="A16">
        <v>41360</v>
      </c>
      <c r="B16">
        <v>58</v>
      </c>
    </row>
    <row r="17">
      <c s="9" r="A17">
        <v>41354</v>
      </c>
      <c r="B17">
        <v>62</v>
      </c>
    </row>
    <row r="18">
      <c s="9" r="A18">
        <v>41346</v>
      </c>
      <c r="B18">
        <v>66</v>
      </c>
    </row>
    <row r="19">
      <c s="9" r="A19">
        <v>41317</v>
      </c>
      <c r="B19">
        <v>67</v>
      </c>
    </row>
    <row r="20">
      <c s="9" r="A20">
        <v>41289</v>
      </c>
      <c r="B20">
        <v>65</v>
      </c>
    </row>
    <row r="21">
      <c s="9" r="A21">
        <v>41282</v>
      </c>
      <c r="B21">
        <v>54</v>
      </c>
    </row>
    <row r="22">
      <c s="9" r="A22">
        <v>41254</v>
      </c>
      <c r="B22">
        <v>54</v>
      </c>
    </row>
    <row r="23">
      <c s="9" r="A23">
        <v>41233</v>
      </c>
      <c r="B23">
        <v>52</v>
      </c>
    </row>
    <row r="24">
      <c s="9" r="A24">
        <v>41225</v>
      </c>
      <c r="B24">
        <v>59</v>
      </c>
    </row>
    <row r="25">
      <c s="9" r="A25">
        <v>41199</v>
      </c>
      <c r="B25">
        <v>56</v>
      </c>
    </row>
    <row r="26">
      <c s="9" r="A26">
        <v>41169</v>
      </c>
      <c r="B26">
        <v>70</v>
      </c>
    </row>
    <row r="27">
      <c s="9" r="A27">
        <v>41162</v>
      </c>
      <c r="B27">
        <v>56</v>
      </c>
    </row>
    <row r="28">
      <c s="9" r="A28">
        <v>41135</v>
      </c>
      <c r="B28">
        <v>62</v>
      </c>
    </row>
    <row r="29">
      <c s="9" r="A29">
        <v>41135</v>
      </c>
      <c r="B29">
        <v>58</v>
      </c>
    </row>
    <row r="30">
      <c s="9" r="A30">
        <v>41107</v>
      </c>
      <c r="B30">
        <v>58</v>
      </c>
    </row>
    <row r="31">
      <c s="9" r="A31">
        <v>41100</v>
      </c>
      <c r="B31">
        <v>57</v>
      </c>
    </row>
    <row r="32">
      <c s="13" r="A32">
        <v>41072</v>
      </c>
      <c r="B32">
        <v>56</v>
      </c>
    </row>
    <row r="33">
      <c s="13" r="A33">
        <v>41051</v>
      </c>
      <c r="B33">
        <v>66</v>
      </c>
    </row>
    <row r="34">
      <c s="13" r="A34">
        <v>41044</v>
      </c>
      <c r="B34">
        <v>55</v>
      </c>
    </row>
    <row r="35">
      <c s="13" r="A35">
        <v>41010</v>
      </c>
      <c r="B35">
        <v>64</v>
      </c>
    </row>
    <row r="36">
      <c s="13" r="A36">
        <v>41010</v>
      </c>
      <c r="B36">
        <v>60</v>
      </c>
    </row>
    <row r="37">
      <c s="13" r="A37">
        <v>40989</v>
      </c>
      <c r="B37">
        <v>64</v>
      </c>
    </row>
    <row r="38">
      <c s="13" r="A38">
        <v>40979</v>
      </c>
      <c r="B38">
        <v>61</v>
      </c>
    </row>
    <row r="39">
      <c s="13" r="A39">
        <v>40954</v>
      </c>
      <c r="B39">
        <v>60</v>
      </c>
    </row>
    <row r="40">
      <c s="13" r="A40">
        <v>40924</v>
      </c>
      <c r="B40">
        <v>62</v>
      </c>
    </row>
    <row r="41">
      <c s="13" r="A41">
        <v>40917</v>
      </c>
      <c r="B41">
        <v>61</v>
      </c>
    </row>
    <row r="42">
      <c s="13" r="A42">
        <v>40890</v>
      </c>
      <c r="B42">
        <v>58</v>
      </c>
    </row>
    <row r="43">
      <c s="13" r="A43">
        <v>40826</v>
      </c>
      <c r="B43">
        <v>61</v>
      </c>
    </row>
    <row r="44">
      <c s="13" r="A44">
        <v>40806</v>
      </c>
      <c r="B44">
        <v>60</v>
      </c>
    </row>
    <row r="45">
      <c s="13" r="A45">
        <v>40799</v>
      </c>
      <c r="B45">
        <v>62</v>
      </c>
    </row>
    <row r="46">
      <c s="13" r="A46">
        <v>40765</v>
      </c>
      <c r="B46">
        <v>57</v>
      </c>
    </row>
    <row r="47">
      <c s="13" r="A47">
        <v>40736</v>
      </c>
      <c r="B47">
        <v>61</v>
      </c>
    </row>
    <row r="48">
      <c s="13" r="A48">
        <v>40735</v>
      </c>
      <c r="B48">
        <v>57</v>
      </c>
    </row>
    <row r="49">
      <c s="13" r="A49">
        <v>40708</v>
      </c>
      <c r="B49">
        <v>56</v>
      </c>
    </row>
    <row r="50">
      <c s="5" r="A50">
        <v>40680</v>
      </c>
      <c r="B50">
        <v>70</v>
      </c>
    </row>
    <row r="51">
      <c s="13" r="A51">
        <v>40673</v>
      </c>
      <c r="B51">
        <v>62</v>
      </c>
    </row>
    <row r="52">
      <c s="13" r="A52">
        <v>40645</v>
      </c>
      <c r="B52">
        <v>64</v>
      </c>
    </row>
    <row r="53">
      <c s="13" r="A53">
        <v>40643</v>
      </c>
      <c r="B53">
        <v>62</v>
      </c>
    </row>
    <row r="54">
      <c s="13" r="A54">
        <v>40638</v>
      </c>
      <c r="B54">
        <v>68</v>
      </c>
    </row>
    <row r="55">
      <c s="13" r="A55">
        <v>40623</v>
      </c>
      <c r="B55">
        <v>64</v>
      </c>
    </row>
    <row r="56">
      <c s="13" r="A56">
        <v>40616</v>
      </c>
      <c r="B56">
        <v>61</v>
      </c>
    </row>
    <row r="57">
      <c s="13" r="A57">
        <v>40588</v>
      </c>
      <c r="B57">
        <v>62</v>
      </c>
    </row>
    <row r="58">
      <c s="13" r="A58">
        <v>40588</v>
      </c>
      <c r="B58">
        <v>63</v>
      </c>
    </row>
    <row r="59">
      <c s="13" r="A59">
        <v>40560</v>
      </c>
      <c r="B59">
        <v>66</v>
      </c>
    </row>
    <row r="60">
      <c s="13" r="A60">
        <v>40553</v>
      </c>
      <c r="B60">
        <v>64</v>
      </c>
    </row>
    <row r="61">
      <c s="13" r="A61"/>
    </row>
    <row r="62">
      <c s="13" r="A62"/>
    </row>
    <row r="63">
      <c s="13" r="A63"/>
    </row>
    <row r="64">
      <c s="13" r="A64"/>
    </row>
    <row r="65">
      <c s="13" r="A65"/>
    </row>
    <row r="66">
      <c s="13" r="A66"/>
    </row>
    <row r="67">
      <c s="13" r="A67"/>
    </row>
    <row r="68">
      <c s="13" r="A68"/>
    </row>
    <row r="69">
      <c s="13" r="A69"/>
    </row>
    <row r="70">
      <c s="13" r="A70"/>
    </row>
    <row r="71">
      <c s="13" r="A71"/>
    </row>
    <row r="72">
      <c s="13" r="A72"/>
    </row>
    <row r="73">
      <c s="13" r="A73"/>
    </row>
    <row r="74">
      <c s="13" r="A74"/>
    </row>
    <row r="75">
      <c s="13" r="A75"/>
    </row>
    <row r="76">
      <c s="13" r="A76"/>
    </row>
    <row r="77">
      <c s="13" r="A77"/>
    </row>
    <row r="78">
      <c s="13" r="A78"/>
    </row>
    <row r="79">
      <c s="13" r="A79"/>
    </row>
    <row r="80">
      <c s="13" r="A80"/>
    </row>
    <row r="81">
      <c s="13" r="A81"/>
    </row>
    <row r="82">
      <c s="13" r="A82"/>
    </row>
    <row r="83">
      <c s="13" r="A83"/>
    </row>
    <row r="84">
      <c s="13" r="A84"/>
    </row>
    <row r="85">
      <c s="13" r="A85"/>
    </row>
    <row r="86">
      <c s="13" r="A86"/>
    </row>
    <row r="87">
      <c s="13" r="A87"/>
    </row>
    <row r="88">
      <c s="13" r="A88"/>
    </row>
    <row r="89">
      <c s="13" r="A89"/>
    </row>
    <row r="90">
      <c s="13" r="A90"/>
    </row>
    <row r="91">
      <c s="13" r="A91"/>
    </row>
    <row r="92">
      <c s="13" r="A92"/>
    </row>
    <row r="93">
      <c s="13" r="A93"/>
    </row>
    <row r="94">
      <c s="13" r="A94"/>
    </row>
    <row r="95">
      <c s="13" r="A95"/>
    </row>
    <row r="96">
      <c s="13" r="A96"/>
    </row>
    <row r="97">
      <c s="13" r="A97"/>
    </row>
    <row r="98">
      <c s="13" r="A98"/>
    </row>
    <row r="99">
      <c s="13" r="A99"/>
    </row>
    <row r="100">
      <c s="13" r="A100"/>
    </row>
    <row r="101">
      <c s="13" r="A101"/>
    </row>
    <row r="102">
      <c s="13" r="A102"/>
    </row>
    <row r="103">
      <c s="13" r="A103"/>
    </row>
    <row r="104">
      <c s="13" r="A104"/>
    </row>
    <row r="105">
      <c s="13" r="A105"/>
    </row>
    <row r="106">
      <c s="13" r="A106"/>
    </row>
    <row r="107">
      <c s="13" r="A107"/>
    </row>
    <row r="108">
      <c s="13" r="A108"/>
    </row>
    <row r="109">
      <c s="13" r="A109"/>
    </row>
    <row r="110">
      <c s="13" r="A110"/>
    </row>
    <row r="111">
      <c s="13" r="A111"/>
    </row>
    <row r="112">
      <c s="13" r="A112"/>
    </row>
    <row r="113">
      <c s="13" r="A113"/>
    </row>
    <row r="114">
      <c s="13" r="A114"/>
    </row>
    <row r="115">
      <c s="13" r="A115"/>
    </row>
    <row r="116">
      <c s="13" r="A116"/>
    </row>
    <row r="117">
      <c s="13" r="A117"/>
    </row>
    <row r="118">
      <c s="13" r="A118"/>
    </row>
    <row r="119">
      <c s="13" r="A119"/>
    </row>
    <row r="120">
      <c s="13" r="A120"/>
    </row>
    <row r="121">
      <c s="13" r="A121"/>
    </row>
    <row r="122">
      <c s="13" r="A122"/>
    </row>
    <row r="123">
      <c s="13" r="A123"/>
    </row>
    <row r="124">
      <c s="13" r="A124"/>
    </row>
    <row r="125">
      <c s="13" r="A125"/>
    </row>
    <row r="126">
      <c s="13" r="A126"/>
    </row>
    <row r="127">
      <c s="13" r="A127"/>
    </row>
    <row r="128">
      <c s="13" r="A128"/>
    </row>
    <row r="129">
      <c s="13" r="A129"/>
    </row>
    <row r="130">
      <c s="13" r="A130"/>
    </row>
    <row r="131">
      <c s="13" r="A131"/>
    </row>
    <row r="132">
      <c s="13" r="A132"/>
    </row>
    <row r="133">
      <c s="13" r="A133"/>
    </row>
    <row r="134">
      <c s="13" r="A134"/>
    </row>
    <row r="135">
      <c s="13" r="A135"/>
    </row>
    <row r="136">
      <c s="13" r="A136"/>
    </row>
    <row r="137">
      <c s="13" r="A137"/>
    </row>
    <row r="138">
      <c s="13" r="A138"/>
    </row>
  </sheetData>
</worksheet>
</file>