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Budget" state="visible" r:id="rId3"/>
    <sheet sheetId="2" name="Estimator" state="visible" r:id="rId4"/>
  </sheets>
  <definedNames>
    <definedName name="version">Budget!$I$3:$I$2</definedName>
    <definedName name="valuevx">Budget!$A$1</definedName>
  </definedNames>
  <calcPr/>
</workbook>
</file>

<file path=xl/sharedStrings.xml><?xml version="1.0" encoding="utf-8"?>
<sst xmlns="http://schemas.openxmlformats.org/spreadsheetml/2006/main" count="206" uniqueCount="149">
  <si>
    <t>wedding budget planning</t>
  </si>
  <si>
    <t>made for you + yours</t>
  </si>
  <si>
    <t>by linentablecloth.com</t>
  </si>
  <si>
    <t>Apparel</t>
  </si>
  <si>
    <t>Budget</t>
  </si>
  <si>
    <t>Vendor Estimate</t>
  </si>
  <si>
    <t>Amount Spent</t>
  </si>
  <si>
    <t>[42]</t>
  </si>
  <si>
    <t>Ceremony</t>
  </si>
  <si>
    <t>Gown</t>
  </si>
  <si>
    <t>Clergy</t>
  </si>
  <si>
    <t>Bridal Shoes</t>
  </si>
  <si>
    <t>Location fee</t>
  </si>
  <si>
    <t>Bridal slip</t>
  </si>
  <si>
    <t>Altar decorations</t>
  </si>
  <si>
    <t>Lingerie</t>
  </si>
  <si>
    <t>Chair/pew rental</t>
  </si>
  <si>
    <t>Hosiery</t>
  </si>
  <si>
    <t>Pew/chair decorations</t>
  </si>
  <si>
    <t>Jewelry</t>
  </si>
  <si>
    <t>Guest book/pen</t>
  </si>
  <si>
    <t>Bridal Headpiece/veil</t>
  </si>
  <si>
    <t>Ring bearer pillow</t>
  </si>
  <si>
    <t>Bridal gloves</t>
  </si>
  <si>
    <t>Flower girl basket</t>
  </si>
  <si>
    <t>Bridesmaid dresses</t>
  </si>
  <si>
    <t>Unity candle</t>
  </si>
  <si>
    <t>Bridesmaid accessories</t>
  </si>
  <si>
    <t>Aisle runner</t>
  </si>
  <si>
    <t>Bridesmaid shoes</t>
  </si>
  <si>
    <t>Ushers</t>
  </si>
  <si>
    <t>Groom's tux</t>
  </si>
  <si>
    <t>Gratuity</t>
  </si>
  <si>
    <t>Groomsmen tuxes</t>
  </si>
  <si>
    <t>Transportation</t>
  </si>
  <si>
    <t>Garters</t>
  </si>
  <si>
    <t>Childcare</t>
  </si>
  <si>
    <t>Gown preservation</t>
  </si>
  <si>
    <t>Alterations</t>
  </si>
  <si>
    <t>Going-away outfit</t>
  </si>
  <si>
    <t>Honeymoon clothes</t>
  </si>
  <si>
    <t>Rehearsal dinner</t>
  </si>
  <si>
    <t>Children's apparel</t>
  </si>
  <si>
    <t>Caterer</t>
  </si>
  <si>
    <t>Bartender</t>
  </si>
  <si>
    <t>Liquor</t>
  </si>
  <si>
    <t>Tables/chairs</t>
  </si>
  <si>
    <t>Flowers</t>
  </si>
  <si>
    <t>Decorations</t>
  </si>
  <si>
    <t>Brides bouquet</t>
  </si>
  <si>
    <t>Security</t>
  </si>
  <si>
    <t>Bridesmaids bouquets</t>
  </si>
  <si>
    <t>Music</t>
  </si>
  <si>
    <t>Corsages</t>
  </si>
  <si>
    <t>Sound system</t>
  </si>
  <si>
    <t>Boutonnière</t>
  </si>
  <si>
    <t>Guest parking</t>
  </si>
  <si>
    <t>Reception centerpieces</t>
  </si>
  <si>
    <t>Dishes</t>
  </si>
  <si>
    <t>Altarpiece</t>
  </si>
  <si>
    <t>Centerpieces</t>
  </si>
  <si>
    <t>Pew/chair bows</t>
  </si>
  <si>
    <t>Linens</t>
  </si>
  <si>
    <t>Throw away bouquet</t>
  </si>
  <si>
    <t>Food</t>
  </si>
  <si>
    <t>Flower girls' flowers</t>
  </si>
  <si>
    <t>Servers</t>
  </si>
  <si>
    <t>Photography / Video</t>
  </si>
  <si>
    <t>Honeymoon</t>
  </si>
  <si>
    <t>Bridal portraits</t>
  </si>
  <si>
    <t>Air fare</t>
  </si>
  <si>
    <t>Reception</t>
  </si>
  <si>
    <t>Accommodations</t>
  </si>
  <si>
    <t>Rental Car</t>
  </si>
  <si>
    <t>Photo albums</t>
  </si>
  <si>
    <t>Entertainment</t>
  </si>
  <si>
    <t>Engagement portraits</t>
  </si>
  <si>
    <t>Misc</t>
  </si>
  <si>
    <t>Videography</t>
  </si>
  <si>
    <t>Other</t>
  </si>
  <si>
    <t>Stationary</t>
  </si>
  <si>
    <t>Invitations</t>
  </si>
  <si>
    <t>Announcements</t>
  </si>
  <si>
    <t>Map/direction cards</t>
  </si>
  <si>
    <t>Reply cards</t>
  </si>
  <si>
    <t>Baker</t>
  </si>
  <si>
    <t>Ceremony cards</t>
  </si>
  <si>
    <t>Musician</t>
  </si>
  <si>
    <t>Save the date cards</t>
  </si>
  <si>
    <t>Bar tender</t>
  </si>
  <si>
    <t>Postage</t>
  </si>
  <si>
    <t>Calligrapher</t>
  </si>
  <si>
    <t>Newspaper announcement</t>
  </si>
  <si>
    <t>Wedding cake</t>
  </si>
  <si>
    <t>Thank you notes</t>
  </si>
  <si>
    <t>Groom's cake</t>
  </si>
  <si>
    <t>Rehearsal dinner invitations</t>
  </si>
  <si>
    <t>Cake knife</t>
  </si>
  <si>
    <t>Bridesmaid luncheon invitations</t>
  </si>
  <si>
    <t>Cake decorations</t>
  </si>
  <si>
    <t>Bachelor party invitations</t>
  </si>
  <si>
    <t>Wedding programs</t>
  </si>
  <si>
    <t>Table decorations</t>
  </si>
  <si>
    <t>Address labels</t>
  </si>
  <si>
    <t>Other decorations</t>
  </si>
  <si>
    <t>Glassware</t>
  </si>
  <si>
    <t>Napkins</t>
  </si>
  <si>
    <t>Rings</t>
  </si>
  <si>
    <t>Wedding bands</t>
  </si>
  <si>
    <t>Tables</t>
  </si>
  <si>
    <t>Engagement ring</t>
  </si>
  <si>
    <t>Chairs</t>
  </si>
  <si>
    <t>Engraving</t>
  </si>
  <si>
    <t>Guest book</t>
  </si>
  <si>
    <t>Rice/Rose petals/bubbles</t>
  </si>
  <si>
    <t>Parking</t>
  </si>
  <si>
    <t>Gratuities</t>
  </si>
  <si>
    <t>Marriage license</t>
  </si>
  <si>
    <t>Limousine/Carriage</t>
  </si>
  <si>
    <t>Bridesmaids' luncheon</t>
  </si>
  <si>
    <t>Hairdresser</t>
  </si>
  <si>
    <t>Manicure/pedicure</t>
  </si>
  <si>
    <t>Balloons</t>
  </si>
  <si>
    <t>Manicure/pedicure for attendants</t>
  </si>
  <si>
    <t>Make-up </t>
  </si>
  <si>
    <t>Wedding planner/organizer</t>
  </si>
  <si>
    <t>Consultant/coordinator</t>
  </si>
  <si>
    <t>Gifts &amp; Favors</t>
  </si>
  <si>
    <t>Hotel for guests</t>
  </si>
  <si>
    <t>Attendant gifts</t>
  </si>
  <si>
    <t>Gift for fiancee</t>
  </si>
  <si>
    <t>Favors</t>
  </si>
  <si>
    <t>Difference</t>
  </si>
  <si>
    <t>Total Expense</t>
  </si>
  <si>
    <t>Wedding Budget Estimator</t>
  </si>
  <si>
    <t>© 2008 Vertex42 LLC</t>
  </si>
  <si>
    <t>Allowable Budget</t>
  </si>
  <si>
    <t>Estimate</t>
  </si>
  <si>
    <t>%</t>
  </si>
  <si>
    <t>Default %</t>
  </si>
  <si>
    <t>Photography</t>
  </si>
  <si>
    <t>Favors &amp; Gifts</t>
  </si>
  <si>
    <t>Sum</t>
  </si>
  <si>
    <t>Instructions</t>
  </si>
  <si>
    <t>1. Set an allowable budget amount</t>
  </si>
  <si>
    <t>2. Adjust the percentages as needed</t>
  </si>
  <si>
    <t>3. Make the percentages total to 100%</t>
  </si>
  <si>
    <t>4. Transfer the amounts to the Budget worksheet (done automatically)</t>
  </si>
  <si>
    <t>Note: The Default % values are only rough suggestions to get you started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</si>
</sst>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;&quot;$&quot;(#,##0.00)"/>
  </numFmts>
  <fonts count="98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24.0"/>
      <color rgb="FFFFFFFF"/>
      <name val="Monotype Corsiva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214263"/>
      <name val="Century Gothic"/>
    </font>
    <font>
      <b val="0"/>
      <i val="0"/>
      <strike val="0"/>
      <u val="none"/>
      <sz val="12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ECF2F9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F1C232"/>
      <name val="Georgia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/>
      <sz val="10.0"/>
      <color rgb="FF0000FF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969696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FFFFFF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24.0"/>
      <color rgb="FFF1C232"/>
      <name val="Georgia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/>
      <sz val="10.0"/>
      <color rgb="FF0000FF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14.0"/>
      <color rgb="FF214263"/>
      <name val="Century Gothic"/>
    </font>
    <font>
      <b val="0"/>
      <i val="0"/>
      <strike val="0"/>
      <u val="none"/>
      <sz val="10.0"/>
      <color rgb="FF214263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969696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000000"/>
      <name val="Century Gothic"/>
    </font>
    <font>
      <b val="0"/>
      <i val="0"/>
      <strike val="0"/>
      <u val="none"/>
      <sz val="8.0"/>
      <color rgb="FF000000"/>
      <name val="Century Gothic"/>
    </font>
    <font>
      <b val="0"/>
      <i val="0"/>
      <strike val="0"/>
      <u val="none"/>
      <sz val="12.0"/>
      <color rgb="FF000000"/>
      <name val="Century Gothic"/>
    </font>
    <font>
      <b val="0"/>
      <i val="0"/>
      <strike val="0"/>
      <u val="none"/>
      <sz val="10.0"/>
      <color rgb="FFF1C232"/>
      <name val="Georgia"/>
    </font>
  </fonts>
  <fills count="30">
    <fill>
      <patternFill patternType="none"/>
    </fill>
    <fill>
      <patternFill patternType="gray125">
        <bgColor rgb="FFFFFFFF"/>
      </patternFill>
    </fill>
    <fill>
      <patternFill patternType="solid">
        <fgColor rgb="FFEEEEEE"/>
        <bgColor indexed="64"/>
      </patternFill>
    </fill>
    <fill>
      <patternFill patternType="solid">
        <fgColor rgb="FF3973AC"/>
        <bgColor indexed="64"/>
      </patternFill>
    </fill>
    <fill>
      <patternFill patternType="solid">
        <fgColor rgb="FF21426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F2F9"/>
        <bgColor indexed="64"/>
      </patternFill>
    </fill>
    <fill>
      <patternFill patternType="solid">
        <fgColor rgb="FFFFFFFF"/>
        <bgColor indexed="64"/>
      </patternFill>
    </fill>
  </fills>
  <borders count="6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AC7339"/>
      </top>
      <bottom style="thin">
        <color rgb="FFAC733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/>
      <bottom style="thin">
        <color rgb="FFAC7339"/>
      </bottom>
      <diagonal/>
    </border>
    <border>
      <left/>
      <right/>
      <top style="thin">
        <color rgb="FFAC7339"/>
      </top>
      <bottom/>
      <diagonal/>
    </border>
    <border>
      <left/>
      <right/>
      <top/>
      <bottom style="thin">
        <color rgb="FFB2B2B2"/>
      </bottom>
      <diagonal/>
    </border>
    <border>
      <left/>
      <right style="thin">
        <color rgb="FFD9D9D9"/>
      </right>
      <top style="thin">
        <color rgb="FFB2B2B2"/>
      </top>
      <bottom style="medium">
        <color rgb="FF666666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D9D9D9"/>
      </top>
      <bottom style="thin">
        <color rgb="FFB2B2B2"/>
      </bottom>
      <diagonal/>
    </border>
    <border>
      <left style="thin">
        <color rgb="FFD9D9D9"/>
      </left>
      <right style="thin">
        <color rgb="FFB2B2B2"/>
      </right>
      <top style="medium">
        <color rgb="FF66666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AC7339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/>
      <top style="thin">
        <color rgb="FFD9D9D9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AC7339"/>
      </top>
      <bottom/>
      <diagonal/>
    </border>
    <border>
      <left style="thin">
        <color rgb="FFB2B2B2"/>
      </left>
      <right style="thin">
        <color rgb="FFB2B2B2"/>
      </right>
      <top style="thin">
        <color rgb="FFD9D9D9"/>
      </top>
      <bottom style="thin">
        <color rgb="FFB2B2B2"/>
      </bottom>
      <diagonal/>
    </border>
    <border>
      <left style="thin">
        <color rgb="FFB2B2B2"/>
      </left>
      <right/>
      <top/>
      <bottom/>
      <diagonal/>
    </border>
    <border>
      <left/>
      <right/>
      <top style="thin">
        <color rgb="FFAC733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2B2B2"/>
      </right>
      <top/>
      <bottom style="thin">
        <color rgb="FFAC733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AC733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AC7339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/>
      <bottom style="thin">
        <color rgb="FFAC7339"/>
      </bottom>
      <diagonal/>
    </border>
    <border>
      <left style="thin">
        <color rgb="FFD9D9D9"/>
      </left>
      <right/>
      <top/>
      <bottom/>
      <diagonal/>
    </border>
    <border>
      <left/>
      <right/>
      <top/>
      <bottom style="thin">
        <color rgb="FFB2B2B2"/>
      </bottom>
      <diagonal/>
    </border>
    <border>
      <left/>
      <right/>
      <top/>
      <bottom style="thin">
        <color rgb="FFAC7339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AC733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rgb="FFAC7339"/>
      </bottom>
      <diagonal/>
    </border>
    <border>
      <left/>
      <right/>
      <top style="thin">
        <color rgb="FFB2B2B2"/>
      </top>
      <bottom/>
      <diagonal/>
    </border>
    <border>
      <left/>
      <right/>
      <top style="thin">
        <color rgb="FFAC733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rgb="FFD9D9D9"/>
      </left>
      <right/>
      <top style="medium">
        <color rgb="FF666666"/>
      </top>
      <bottom/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AC7339"/>
      </top>
      <bottom style="thin">
        <color rgb="FFAC7339"/>
      </bottom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AC7339"/>
      </top>
      <bottom style="thin">
        <color rgb="FFB2B2B2"/>
      </bottom>
      <diagonal/>
    </border>
    <border>
      <left/>
      <right/>
      <top style="thin">
        <color rgb="FFAC7339"/>
      </top>
      <bottom/>
      <diagonal/>
    </border>
    <border>
      <left/>
      <right style="thin">
        <color rgb="FFB2B2B2"/>
      </right>
      <top/>
      <bottom/>
      <diagonal/>
    </border>
  </borders>
  <cellStyleXfs count="1">
    <xf fillId="0" numFmtId="0" borderId="0" fontId="0"/>
  </cellStyleXfs>
  <cellXfs count="98">
    <xf applyAlignment="1" fillId="0" xfId="0" numFmtId="0" borderId="0" fontId="0">
      <alignment vertical="bottom" horizontal="general" wrapText="1"/>
    </xf>
    <xf applyBorder="1" applyAlignment="1" fillId="0" xfId="0" numFmtId="9" borderId="1" applyFont="1" fontId="1" applyNumberFormat="1">
      <alignment vertical="bottom" horizontal="center"/>
    </xf>
    <xf applyAlignment="1" fillId="0" xfId="0" numFmtId="4" borderId="0" applyFont="1" fontId="2" applyNumberFormat="1">
      <alignment vertical="bottom" horizontal="right"/>
    </xf>
    <xf applyBorder="1" applyAlignment="1" fillId="2" xfId="0" numFmtId="164" borderId="2" applyFont="1" fontId="3" applyNumberFormat="1" applyFill="1">
      <alignment vertical="center" horizontal="right"/>
    </xf>
    <xf applyAlignment="1" fillId="3" xfId="0" numFmtId="0" borderId="0" applyFont="1" fontId="4" applyNumberFormat="1" applyFill="1">
      <alignment vertical="center" horizontal="center"/>
    </xf>
    <xf applyBorder="1" fillId="0" xfId="0" numFmtId="0" borderId="3" applyFont="1" fontId="5"/>
    <xf applyBorder="1" fillId="0" xfId="0" numFmtId="0" borderId="4" applyFont="1" fontId="6"/>
    <xf applyBorder="1" applyAlignment="1" fillId="0" xfId="0" numFmtId="0" borderId="5" applyFont="1" fontId="7">
      <alignment vertical="bottom" horizontal="center"/>
    </xf>
    <xf applyBorder="1" applyAlignment="1" fillId="0" xfId="0" numFmtId="0" borderId="6" applyFont="1" fontId="8">
      <alignment vertical="center" horizontal="right"/>
    </xf>
    <xf applyBorder="1" fillId="0" xfId="0" numFmtId="0" borderId="7" applyFont="1" fontId="9"/>
    <xf fillId="0" xfId="0" numFmtId="0" borderId="0" applyFont="1" fontId="10" applyNumberFormat="1"/>
    <xf applyAlignment="1" fillId="0" xfId="0" numFmtId="0" borderId="0" applyFont="1" fontId="11">
      <alignment vertical="bottom" horizontal="right"/>
    </xf>
    <xf applyBorder="1" fillId="4" xfId="0" numFmtId="0" borderId="8" applyFont="1" fontId="12" applyFill="1"/>
    <xf fillId="0" xfId="0" numFmtId="0" borderId="0" applyFont="1" fontId="13"/>
    <xf applyBorder="1" fillId="5" xfId="0" numFmtId="43" borderId="9" applyFont="1" fontId="14" applyNumberFormat="1" applyFill="1"/>
    <xf applyBorder="1" fillId="6" xfId="0" numFmtId="43" borderId="10" applyFont="1" fontId="15" applyNumberFormat="1" applyFill="1"/>
    <xf applyAlignment="1" fillId="0" xfId="0" numFmtId="0" borderId="0" applyFont="1" fontId="16">
      <alignment vertical="bottom" horizontal="left"/>
    </xf>
    <xf applyBorder="1" fillId="0" xfId="0" numFmtId="0" borderId="11" applyFont="1" fontId="17"/>
    <xf applyBorder="1" applyAlignment="1" fillId="7" xfId="0" numFmtId="9" borderId="12" applyFont="1" fontId="18" applyNumberFormat="1" applyFill="1">
      <alignment vertical="bottom" horizontal="center"/>
    </xf>
    <xf applyAlignment="1" fillId="0" xfId="0" numFmtId="0" borderId="0" applyFont="1" fontId="19">
      <alignment vertical="bottom" horizontal="left"/>
    </xf>
    <xf applyBorder="1" fillId="8" xfId="0" numFmtId="43" borderId="13" applyFont="1" fontId="20" applyNumberFormat="1" applyFill="1"/>
    <xf applyBorder="1" fillId="0" xfId="0" numFmtId="43" borderId="14" applyFont="1" fontId="21" applyNumberFormat="1"/>
    <xf applyBorder="1" applyAlignment="1" fillId="0" xfId="0" numFmtId="4" borderId="15" applyFont="1" fontId="22" applyNumberFormat="1">
      <alignment vertical="bottom" horizontal="right"/>
    </xf>
    <xf applyBorder="1" fillId="0" xfId="0" numFmtId="0" borderId="16" applyFont="1" fontId="23"/>
    <xf applyBorder="1" applyAlignment="1" fillId="9" xfId="0" numFmtId="9" borderId="17" applyFont="1" fontId="24" applyNumberFormat="1" applyFill="1">
      <alignment vertical="bottom" horizontal="center"/>
    </xf>
    <xf applyBorder="1" applyAlignment="1" fillId="0" xfId="0" numFmtId="9" borderId="18" applyFont="1" fontId="25" applyNumberFormat="1">
      <alignment vertical="bottom" horizontal="center"/>
    </xf>
    <xf applyBorder="1" fillId="10" xfId="0" numFmtId="43" borderId="19" applyFont="1" fontId="26" applyNumberFormat="1" applyFill="1"/>
    <xf applyAlignment="1" fillId="11" xfId="0" numFmtId="4" borderId="0" applyFont="1" fontId="27" applyNumberFormat="1" applyFill="1">
      <alignment vertical="bottom" horizontal="right" wrapText="1"/>
    </xf>
    <xf applyBorder="1" fillId="12" xfId="0" numFmtId="0" borderId="20" applyFont="1" fontId="28" applyFill="1"/>
    <xf applyBorder="1" applyAlignment="1" fillId="13" xfId="0" numFmtId="4" borderId="21" applyFont="1" fontId="29" applyNumberFormat="1" applyFill="1">
      <alignment vertical="bottom" horizontal="right"/>
    </xf>
    <xf applyBorder="1" fillId="14" xfId="0" numFmtId="43" borderId="22" applyFont="1" fontId="30" applyNumberFormat="1" applyFill="1"/>
    <xf applyBorder="1" fillId="0" xfId="0" numFmtId="0" borderId="23" applyFont="1" fontId="31"/>
    <xf applyBorder="1" fillId="15" xfId="0" numFmtId="43" borderId="24" applyFont="1" fontId="32" applyNumberFormat="1" applyFill="1"/>
    <xf applyBorder="1" applyAlignment="1" fillId="0" xfId="0" numFmtId="4" borderId="25" applyFont="1" fontId="33" applyNumberFormat="1">
      <alignment vertical="bottom" horizontal="right"/>
    </xf>
    <xf applyAlignment="1" fillId="0" xfId="0" numFmtId="0" borderId="0" applyFont="1" fontId="34" applyNumberFormat="1">
      <alignment vertical="bottom" horizontal="right"/>
    </xf>
    <xf applyBorder="1" applyAlignment="1" fillId="16" xfId="0" numFmtId="165" borderId="26" applyFont="1" fontId="35" applyNumberFormat="1" applyFill="1">
      <alignment vertical="center" horizontal="general"/>
    </xf>
    <xf applyBorder="1" fillId="0" xfId="0" numFmtId="0" borderId="27" applyFont="1" fontId="36"/>
    <xf applyBorder="1" fillId="17" xfId="0" numFmtId="43" borderId="28" applyFont="1" fontId="37" applyNumberFormat="1" applyFill="1"/>
    <xf applyBorder="1" applyAlignment="1" fillId="0" xfId="0" numFmtId="0" borderId="29" applyFont="1" fontId="38">
      <alignment vertical="center" horizontal="general"/>
    </xf>
    <xf applyBorder="1" applyAlignment="1" fillId="0" xfId="0" numFmtId="9" borderId="30" applyFont="1" fontId="39" applyNumberFormat="1">
      <alignment vertical="bottom" horizontal="center"/>
    </xf>
    <xf applyBorder="1" applyAlignment="1" fillId="0" xfId="0" numFmtId="4" borderId="31" applyFont="1" fontId="40" applyNumberFormat="1">
      <alignment vertical="bottom" horizontal="right"/>
    </xf>
    <xf fillId="0" xfId="0" numFmtId="0" borderId="0" applyFont="1" fontId="41"/>
    <xf applyBorder="1" fillId="0" xfId="0" numFmtId="0" borderId="32" applyFont="1" fontId="42"/>
    <xf applyAlignment="1" fillId="0" xfId="0" numFmtId="0" borderId="0" applyFont="1" fontId="43">
      <alignment vertical="center" horizontal="right"/>
    </xf>
    <xf applyBorder="1" applyAlignment="1" fillId="0" xfId="0" numFmtId="4" borderId="33" applyFont="1" fontId="44" applyNumberFormat="1">
      <alignment vertical="bottom" horizontal="right"/>
    </xf>
    <xf applyBorder="1" applyAlignment="1" fillId="0" xfId="0" numFmtId="0" borderId="34" applyFont="1" fontId="45">
      <alignment vertical="bottom" horizontal="right"/>
    </xf>
    <xf applyBorder="1" applyAlignment="1" fillId="0" xfId="0" numFmtId="0" borderId="35" applyFont="1" fontId="46">
      <alignment vertical="bottom" horizontal="right"/>
    </xf>
    <xf applyAlignment="1" fillId="0" xfId="0" numFmtId="4" borderId="0" applyFont="1" fontId="47" applyNumberFormat="1">
      <alignment vertical="bottom" horizontal="right"/>
    </xf>
    <xf applyAlignment="1" fillId="0" xfId="0" numFmtId="0" borderId="0" applyFont="1" fontId="48" applyNumberFormat="1">
      <alignment vertical="center" horizontal="left"/>
    </xf>
    <xf fillId="18" xfId="0" numFmtId="0" borderId="0" applyFont="1" fontId="49" applyFill="1"/>
    <xf fillId="0" xfId="0" numFmtId="0" borderId="0" applyFont="1" fontId="50"/>
    <xf applyBorder="1" fillId="0" xfId="0" numFmtId="0" borderId="36" applyFont="1" fontId="51"/>
    <xf applyBorder="1" applyAlignment="1" fillId="0" xfId="0" numFmtId="0" borderId="37" applyFont="1" fontId="52">
      <alignment vertical="bottom" horizontal="right"/>
    </xf>
    <xf applyBorder="1" fillId="0" xfId="0" numFmtId="43" borderId="38" applyFont="1" fontId="53" applyNumberFormat="1"/>
    <xf applyBorder="1" applyAlignment="1" fillId="0" xfId="0" numFmtId="4" borderId="39" applyFont="1" fontId="54" applyNumberFormat="1">
      <alignment vertical="bottom" horizontal="right"/>
    </xf>
    <xf applyBorder="1" fillId="0" xfId="0" numFmtId="0" borderId="40" applyFont="1" fontId="55"/>
    <xf applyBorder="1" applyAlignment="1" fillId="0" xfId="0" numFmtId="0" borderId="41" applyFont="1" fontId="56">
      <alignment vertical="bottom" horizontal="center"/>
    </xf>
    <xf applyBorder="1" fillId="0" xfId="0" numFmtId="43" borderId="42" applyFont="1" fontId="57" applyNumberFormat="1"/>
    <xf applyBorder="1" fillId="19" xfId="0" numFmtId="43" borderId="43" applyFont="1" fontId="58" applyNumberFormat="1" applyFill="1"/>
    <xf applyAlignment="1" fillId="20" xfId="0" numFmtId="0" borderId="0" applyFont="1" fontId="59" applyFill="1">
      <alignment vertical="center" horizontal="center"/>
    </xf>
    <xf applyBorder="1" fillId="0" xfId="0" numFmtId="0" borderId="44" applyFont="1" fontId="60"/>
    <xf applyBorder="1" fillId="0" xfId="0" numFmtId="0" borderId="45" applyFont="1" fontId="61"/>
    <xf applyBorder="1" fillId="0" xfId="0" numFmtId="0" borderId="46" applyFont="1" fontId="62"/>
    <xf applyAlignment="1" fillId="0" xfId="0" numFmtId="0" borderId="0" applyFont="1" fontId="63">
      <alignment vertical="bottom" horizontal="center"/>
    </xf>
    <xf applyBorder="1" fillId="0" xfId="0" numFmtId="0" borderId="47" applyFont="1" fontId="64"/>
    <xf applyAlignment="1" fillId="0" xfId="0" numFmtId="0" borderId="0" applyFont="1" fontId="65">
      <alignment vertical="center" horizontal="general"/>
    </xf>
    <xf applyBorder="1" fillId="0" xfId="0" numFmtId="0" borderId="48" applyFont="1" fontId="66"/>
    <xf applyAlignment="1" fillId="0" xfId="0" numFmtId="0" borderId="0" applyFont="1" fontId="67">
      <alignment vertical="bottom" horizontal="right"/>
    </xf>
    <xf applyAlignment="1" fillId="0" xfId="0" numFmtId="0" borderId="0" applyFont="1" fontId="68">
      <alignment vertical="bottom" horizontal="center"/>
    </xf>
    <xf applyBorder="1" fillId="21" xfId="0" numFmtId="0" borderId="49" applyFont="1" fontId="69" applyFill="1"/>
    <xf applyBorder="1" fillId="0" xfId="0" numFmtId="0" borderId="50" applyFont="1" fontId="70"/>
    <xf fillId="0" xfId="0" numFmtId="0" borderId="0" applyFont="1" fontId="71"/>
    <xf applyAlignment="1" fillId="0" xfId="0" numFmtId="0" borderId="0" applyFont="1" fontId="72">
      <alignment vertical="bottom" horizontal="left"/>
    </xf>
    <xf applyBorder="1" fillId="22" xfId="0" numFmtId="43" borderId="51" applyFont="1" fontId="73" applyNumberFormat="1" applyFill="1"/>
    <xf applyBorder="1" applyAlignment="1" fillId="0" xfId="0" numFmtId="0" borderId="52" applyFont="1" fontId="74">
      <alignment vertical="bottom" horizontal="right"/>
    </xf>
    <xf applyBorder="1" applyAlignment="1" fillId="0" xfId="0" numFmtId="4" borderId="53" applyFont="1" fontId="75" applyNumberFormat="1">
      <alignment vertical="bottom" horizontal="right"/>
    </xf>
    <xf applyBorder="1" applyAlignment="1" fillId="23" xfId="0" numFmtId="0" borderId="54" applyFont="1" fontId="76" applyFill="1">
      <alignment vertical="bottom" horizontal="right"/>
    </xf>
    <xf applyAlignment="1" fillId="0" xfId="0" numFmtId="4" borderId="0" applyFont="1" fontId="77" applyNumberFormat="1">
      <alignment vertical="bottom" horizontal="right"/>
    </xf>
    <xf applyBorder="1" applyAlignment="1" fillId="0" xfId="0" numFmtId="9" borderId="55" applyFont="1" fontId="78" applyNumberFormat="1">
      <alignment vertical="bottom" horizontal="center"/>
    </xf>
    <xf applyBorder="1" fillId="0" xfId="0" numFmtId="0" borderId="56" applyFont="1" fontId="79"/>
    <xf applyBorder="1" fillId="0" xfId="0" numFmtId="43" borderId="57" applyFont="1" fontId="80" applyNumberFormat="1"/>
    <xf applyBorder="1" fillId="0" xfId="0" numFmtId="0" borderId="58" applyFont="1" fontId="81"/>
    <xf applyBorder="1" fillId="0" xfId="0" numFmtId="0" borderId="59" applyFont="1" fontId="82"/>
    <xf applyBorder="1" applyAlignment="1" fillId="24" xfId="0" numFmtId="4" borderId="60" applyFont="1" fontId="83" applyNumberFormat="1" applyFill="1">
      <alignment vertical="bottom" horizontal="right"/>
    </xf>
    <xf fillId="0" xfId="0" numFmtId="0" borderId="0" applyFont="1" fontId="84"/>
    <xf applyBorder="1" applyAlignment="1" fillId="25" xfId="0" numFmtId="0" borderId="61" applyFont="1" fontId="85" applyFill="1">
      <alignment vertical="bottom" horizontal="right"/>
    </xf>
    <xf applyBorder="1" fillId="0" xfId="0" numFmtId="0" borderId="62" applyFont="1" fontId="86"/>
    <xf fillId="0" xfId="0" numFmtId="0" borderId="0" applyFont="1" fontId="87"/>
    <xf applyBorder="1" applyAlignment="1" fillId="0" xfId="0" numFmtId="4" borderId="63" applyFont="1" fontId="88" applyNumberFormat="1">
      <alignment vertical="bottom" horizontal="right"/>
    </xf>
    <xf applyBorder="1" applyAlignment="1" fillId="26" xfId="0" numFmtId="0" borderId="64" applyFont="1" fontId="89" applyFill="1">
      <alignment vertical="center" horizontal="right"/>
    </xf>
    <xf applyAlignment="1" fillId="27" xfId="0" numFmtId="0" borderId="0" applyFont="1" fontId="90" applyFill="1">
      <alignment vertical="bottom" horizontal="right"/>
    </xf>
    <xf applyBorder="1" fillId="0" xfId="0" numFmtId="0" borderId="65" applyFont="1" fontId="91"/>
    <xf applyAlignment="1" fillId="0" xfId="0" numFmtId="0" borderId="0" applyFont="1" fontId="92">
      <alignment vertical="center" horizontal="center"/>
    </xf>
    <xf applyBorder="1" applyAlignment="1" fillId="28" xfId="0" numFmtId="9" borderId="66" applyFont="1" fontId="93" applyNumberFormat="1" applyFill="1">
      <alignment vertical="bottom" horizontal="center"/>
    </xf>
    <xf applyBorder="1" applyAlignment="1" fillId="0" xfId="0" numFmtId="4" borderId="67" applyFont="1" fontId="94" applyNumberFormat="1">
      <alignment vertical="bottom" horizontal="right"/>
    </xf>
    <xf applyAlignment="1" fillId="0" xfId="0" numFmtId="0" borderId="0" applyFont="1" fontId="95">
      <alignment vertical="center" horizontal="center"/>
    </xf>
    <xf applyBorder="1" applyAlignment="1" fillId="0" xfId="0" numFmtId="0" borderId="68" applyFont="1" fontId="96">
      <alignment vertical="center" horizontal="right"/>
    </xf>
    <xf applyAlignment="1" fillId="29" xfId="0" numFmtId="0" borderId="0" applyFont="1" fontId="97" applyFill="1">
      <alignment vertical="bottom" horizontal="general" wrapText="1"/>
    </xf>
  </cellXfs>
  <cellStyles count="1">
    <cellStyle builtinId="0" name="Normal" xfId="0"/>
  </cellStyles>
  <dxfs count="3">
    <dxf>
      <font>
        <color rgb="FF93C47D"/>
      </font>
    </dxf>
    <dxf>
      <font>
        <color rgb="FFCC0000"/>
      </font>
    </dxf>
    <dxf>
      <font>
        <color rgb="FF214263"/>
      </font>
    </dxf>
  </dxf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9.14" defaultRowHeight="12.75"/>
  <cols>
    <col min="1" customWidth="1" max="1" style="50" width="27.43"/>
    <col min="2" customWidth="1" max="3" style="50" width="16.43"/>
    <col min="4" customWidth="1" max="4" width="16.43"/>
    <col min="5" customWidth="1" max="5" style="50" width="3.57"/>
    <col min="6" customWidth="1" max="6" style="50" width="27.43"/>
    <col min="7" customWidth="1" max="7" style="50" width="16.43"/>
    <col min="9" customWidth="1" max="9" style="50" width="16.43"/>
  </cols>
  <sheetData>
    <row customHeight="1" s="50" customFormat="1" r="1" ht="32.25">
      <c t="s" s="59" r="A1">
        <v>0</v>
      </c>
      <c s="97" r="B1"/>
      <c s="97" r="C1"/>
      <c s="27" r="D1"/>
      <c s="97" r="E1"/>
      <c s="97" r="F1"/>
      <c s="97" r="G1"/>
      <c s="97" r="H1"/>
      <c s="97" r="I1"/>
    </row>
    <row s="50" customFormat="1" r="2">
      <c t="s" s="95" r="A2">
        <v>1</v>
      </c>
      <c s="68" r="B2"/>
      <c s="68" r="C2"/>
      <c s="2" r="D2"/>
      <c s="68" r="E2"/>
      <c s="68" r="F2"/>
      <c s="92" r="G2"/>
      <c s="92" r="H2"/>
      <c s="92" r="I2"/>
    </row>
    <row s="50" customFormat="1" r="3">
      <c t="s" s="63" r="A3">
        <v>2</v>
      </c>
      <c s="63" r="B3"/>
      <c s="63" r="C3"/>
      <c s="77" r="D3"/>
      <c s="63" r="E3"/>
      <c s="63" r="F3"/>
      <c s="63" r="G3"/>
      <c s="63" r="H3"/>
      <c s="63" r="I3"/>
    </row>
    <row s="13" customFormat="1" r="4">
      <c s="50" r="A4"/>
      <c s="11" r="B4"/>
      <c s="11" r="C4"/>
      <c s="47" r="D4"/>
      <c s="13" r="E4"/>
      <c s="50" r="F4"/>
      <c s="11" r="G4"/>
      <c s="11" r="H4"/>
      <c s="11" r="I4"/>
    </row>
    <row r="5">
      <c s="84" r="A5"/>
      <c s="11" r="B5"/>
      <c s="11" r="C5"/>
      <c s="47" r="D5"/>
      <c s="84" r="E5"/>
      <c s="84" r="F5"/>
      <c s="11" r="G5"/>
      <c s="11" r="H5"/>
      <c s="11" r="I5"/>
    </row>
    <row r="6">
      <c s="66" r="A6"/>
      <c s="46" r="B6"/>
      <c s="46" r="C6"/>
      <c s="33" r="D6"/>
      <c s="84" r="E6"/>
      <c s="66" r="F6"/>
      <c s="46" r="G6"/>
      <c s="46" r="H6"/>
      <c s="46" r="I6"/>
    </row>
    <row customHeight="1" s="13" customFormat="1" r="7" ht="13.5">
      <c t="s" s="12" r="A7">
        <v>3</v>
      </c>
      <c t="s" s="52" r="B7">
        <v>4</v>
      </c>
      <c t="s" s="45" r="C7">
        <v>5</v>
      </c>
      <c t="s" s="40" r="D7">
        <v>6</v>
      </c>
      <c t="s" s="55" r="E7">
        <v>7</v>
      </c>
      <c t="s" s="12" r="F7">
        <v>8</v>
      </c>
      <c t="s" s="52" r="G7">
        <v>4</v>
      </c>
      <c t="s" s="52" r="H7">
        <v>5</v>
      </c>
      <c t="s" s="52" r="I7">
        <v>6</v>
      </c>
    </row>
    <row s="50" customFormat="1" r="8">
      <c t="s" s="17" r="A8">
        <v>9</v>
      </c>
      <c s="37" r="B8"/>
      <c s="30" r="C8"/>
      <c s="29" r="D8"/>
      <c s="23" r="E8"/>
      <c t="s" s="17" r="F8">
        <v>10</v>
      </c>
      <c s="37" r="G8"/>
      <c s="37" r="H8"/>
      <c s="37" r="I8"/>
    </row>
    <row s="50" customFormat="1" r="9">
      <c t="s" s="79" r="A9">
        <v>11</v>
      </c>
      <c s="73" r="B9"/>
      <c s="20" r="C9"/>
      <c s="83" r="D9"/>
      <c s="23" r="E9"/>
      <c t="s" s="79" r="F9">
        <v>12</v>
      </c>
      <c s="73" r="G9"/>
      <c s="73" r="H9"/>
      <c s="73" r="I9"/>
    </row>
    <row s="50" customFormat="1" r="10">
      <c t="s" s="79" r="A10">
        <v>13</v>
      </c>
      <c s="73" r="B10"/>
      <c s="20" r="C10"/>
      <c s="83" r="D10"/>
      <c s="23" r="E10"/>
      <c t="s" s="79" r="F10">
        <v>14</v>
      </c>
      <c s="73" r="G10"/>
      <c s="73" r="H10"/>
      <c s="73" r="I10"/>
    </row>
    <row s="50" customFormat="1" r="11">
      <c t="s" s="79" r="A11">
        <v>15</v>
      </c>
      <c s="73" r="B11"/>
      <c s="20" r="C11"/>
      <c s="83" r="D11"/>
      <c s="23" r="E11"/>
      <c t="s" s="79" r="F11">
        <v>16</v>
      </c>
      <c s="73" r="G11"/>
      <c s="73" r="H11"/>
      <c s="73" r="I11"/>
    </row>
    <row s="50" customFormat="1" r="12">
      <c t="s" s="79" r="A12">
        <v>17</v>
      </c>
      <c s="73" r="B12"/>
      <c s="20" r="C12"/>
      <c s="83" r="D12"/>
      <c s="23" r="E12"/>
      <c t="s" s="79" r="F12">
        <v>18</v>
      </c>
      <c s="73" r="G12"/>
      <c s="73" r="H12"/>
      <c s="73" r="I12"/>
    </row>
    <row s="50" customFormat="1" r="13">
      <c t="s" s="79" r="A13">
        <v>19</v>
      </c>
      <c s="73" r="B13"/>
      <c s="20" r="C13"/>
      <c s="83" r="D13"/>
      <c s="23" r="E13"/>
      <c t="s" s="79" r="F13">
        <v>20</v>
      </c>
      <c s="73" r="G13"/>
      <c s="73" r="H13"/>
      <c s="73" r="I13"/>
    </row>
    <row s="50" customFormat="1" r="14">
      <c t="s" s="79" r="A14">
        <v>21</v>
      </c>
      <c s="73" r="B14"/>
      <c s="20" r="C14"/>
      <c s="83" r="D14"/>
      <c s="23" r="E14"/>
      <c t="s" s="79" r="F14">
        <v>22</v>
      </c>
      <c s="73" r="G14"/>
      <c s="73" r="H14"/>
      <c s="73" r="I14"/>
    </row>
    <row s="50" customFormat="1" r="15">
      <c t="s" s="79" r="A15">
        <v>23</v>
      </c>
      <c s="73" r="B15"/>
      <c s="20" r="C15"/>
      <c s="83" r="D15"/>
      <c s="23" r="E15"/>
      <c t="s" s="79" r="F15">
        <v>24</v>
      </c>
      <c s="73" r="G15"/>
      <c s="73" r="H15"/>
      <c s="73" r="I15"/>
    </row>
    <row s="50" customFormat="1" r="16">
      <c t="s" s="79" r="A16">
        <v>25</v>
      </c>
      <c s="73" r="B16"/>
      <c s="20" r="C16"/>
      <c s="83" r="D16"/>
      <c s="23" r="E16"/>
      <c t="s" s="79" r="F16">
        <v>26</v>
      </c>
      <c s="73" r="G16"/>
      <c s="73" r="H16"/>
      <c s="73" r="I16"/>
    </row>
    <row s="50" customFormat="1" r="17">
      <c t="s" s="79" r="A17">
        <v>27</v>
      </c>
      <c s="73" r="B17"/>
      <c s="20" r="C17"/>
      <c s="83" r="D17"/>
      <c s="23" r="E17"/>
      <c t="s" s="79" r="F17">
        <v>28</v>
      </c>
      <c s="73" r="G17"/>
      <c s="73" r="H17"/>
      <c s="73" r="I17"/>
    </row>
    <row s="50" customFormat="1" r="18">
      <c t="s" s="79" r="A18">
        <v>29</v>
      </c>
      <c s="73" r="B18"/>
      <c s="20" r="C18"/>
      <c s="83" r="D18"/>
      <c s="23" r="E18"/>
      <c t="s" s="79" r="F18">
        <v>30</v>
      </c>
      <c s="73" r="G18"/>
      <c s="73" r="H18"/>
      <c s="73" r="I18"/>
    </row>
    <row s="50" customFormat="1" r="19">
      <c t="s" s="79" r="A19">
        <v>31</v>
      </c>
      <c s="73" r="B19"/>
      <c s="20" r="C19"/>
      <c s="83" r="D19"/>
      <c s="23" r="E19"/>
      <c t="s" s="79" r="F19">
        <v>32</v>
      </c>
      <c s="73" r="G19"/>
      <c s="73" r="H19"/>
      <c s="73" r="I19"/>
    </row>
    <row s="50" customFormat="1" r="20">
      <c t="s" s="79" r="A20">
        <v>33</v>
      </c>
      <c s="73" r="B20"/>
      <c s="20" r="C20"/>
      <c s="83" r="D20"/>
      <c s="23" r="E20"/>
      <c t="s" s="79" r="F20">
        <v>34</v>
      </c>
      <c s="73" r="G20"/>
      <c s="73" r="H20"/>
      <c s="73" r="I20"/>
    </row>
    <row customHeight="1" s="50" customFormat="1" r="21" ht="13.5">
      <c t="s" s="79" r="A21">
        <v>35</v>
      </c>
      <c s="73" r="B21"/>
      <c s="20" r="C21"/>
      <c s="83" r="D21"/>
      <c s="23" r="E21"/>
      <c t="s" s="42" r="F21">
        <v>36</v>
      </c>
      <c s="73" r="G21"/>
      <c s="73" r="H21"/>
      <c s="73" r="I21"/>
    </row>
    <row customHeight="1" s="50" customFormat="1" r="22" ht="13.5">
      <c t="s" s="79" r="A22">
        <v>37</v>
      </c>
      <c s="73" r="B22"/>
      <c s="20" r="C22"/>
      <c s="83" r="D22"/>
      <c s="91" r="E22"/>
      <c t="str" s="85" r="F22">
        <f>"Total "&amp;F7</f>
        <v>Total Ceremony</v>
      </c>
      <c s="58" r="G22">
        <f>SUM(G8:G21)</f>
        <v>0</v>
      </c>
      <c s="58" r="H22">
        <f>SUM(H8:H21)</f>
        <v>0</v>
      </c>
      <c s="58" r="I22">
        <f>SUM(I8:I21)</f>
        <v>0</v>
      </c>
    </row>
    <row s="50" customFormat="1" r="23">
      <c t="s" s="79" r="A23">
        <v>38</v>
      </c>
      <c s="73" r="B23"/>
      <c s="20" r="C23"/>
      <c s="83" r="D23"/>
      <c s="91" r="E23"/>
      <c s="50" r="F23"/>
      <c s="50" r="G23"/>
      <c s="50" r="H23"/>
      <c s="50" r="I23"/>
    </row>
    <row s="50" customFormat="1" r="24">
      <c t="s" s="79" r="A24">
        <v>39</v>
      </c>
      <c s="73" r="B24"/>
      <c s="20" r="C24"/>
      <c s="83" r="D24"/>
      <c s="91" r="E24"/>
      <c s="9" r="F24"/>
      <c s="46" r="G24"/>
      <c s="46" r="H24"/>
      <c s="46" r="I24"/>
    </row>
    <row customHeight="1" s="50" customFormat="1" r="25" ht="13.5">
      <c t="s" s="79" r="A25">
        <v>40</v>
      </c>
      <c s="73" r="B25"/>
      <c s="20" r="C25"/>
      <c s="83" r="D25"/>
      <c s="91" r="E25"/>
      <c t="s" s="12" r="F25">
        <v>41</v>
      </c>
      <c t="s" s="52" r="G25">
        <v>4</v>
      </c>
      <c t="s" s="52" r="H25">
        <v>5</v>
      </c>
      <c t="s" s="52" r="I25">
        <v>6</v>
      </c>
    </row>
    <row customHeight="1" s="50" customFormat="1" r="26" ht="13.5">
      <c t="s" s="42" r="A26">
        <v>42</v>
      </c>
      <c s="73" r="B26"/>
      <c s="20" r="C26"/>
      <c s="83" r="D26"/>
      <c s="23" r="E26"/>
      <c t="s" s="82" r="F26">
        <v>43</v>
      </c>
      <c s="15" r="G26"/>
      <c s="26" r="H26"/>
      <c s="37" r="I26"/>
    </row>
    <row customHeight="1" s="50" customFormat="1" r="27" ht="13.5">
      <c t="str" s="85" r="A27">
        <f>"Total "&amp;A7</f>
        <v>Total Apparel</v>
      </c>
      <c s="58" r="B27">
        <f>SUM(B8:B26)</f>
        <v>0</v>
      </c>
      <c s="58" r="C27">
        <f>SUM(C8:C26)</f>
        <v>0</v>
      </c>
      <c s="58" r="D27">
        <f>SUM(D8:D26)</f>
        <v>0</v>
      </c>
      <c s="5" r="E27"/>
      <c t="s" s="61" r="F27">
        <v>44</v>
      </c>
      <c s="14" r="G27"/>
      <c s="32" r="H27"/>
      <c s="73" r="I27"/>
    </row>
    <row s="50" customFormat="1" r="28">
      <c s="50" r="A28"/>
      <c s="50" r="B28"/>
      <c s="50" r="C28"/>
      <c s="2" r="D28"/>
      <c s="5" r="E28"/>
      <c t="s" s="61" r="F28">
        <v>45</v>
      </c>
      <c s="14" r="G28"/>
      <c s="32" r="H28"/>
      <c s="73" r="I28"/>
    </row>
    <row s="50" customFormat="1" r="29">
      <c s="62" r="A29"/>
      <c s="46" r="B29"/>
      <c s="46" r="C29"/>
      <c s="88" r="D29"/>
      <c s="5" r="E29"/>
      <c t="s" s="61" r="F29">
        <v>46</v>
      </c>
      <c s="14" r="G29"/>
      <c s="32" r="H29"/>
      <c s="73" r="I29"/>
    </row>
    <row customHeight="1" s="50" customFormat="1" r="30" ht="13.5">
      <c t="s" s="12" r="A30">
        <v>47</v>
      </c>
      <c t="s" s="52" r="B30">
        <v>4</v>
      </c>
      <c t="s" s="52" r="C30">
        <v>5</v>
      </c>
      <c t="s" s="54" r="D30">
        <v>6</v>
      </c>
      <c s="6" r="E30"/>
      <c t="s" s="61" r="F30">
        <v>48</v>
      </c>
      <c s="14" r="G30"/>
      <c s="32" r="H30"/>
      <c s="73" r="I30"/>
    </row>
    <row s="50" customFormat="1" r="31">
      <c t="s" s="17" r="A31">
        <v>49</v>
      </c>
      <c s="37" r="B31"/>
      <c s="30" r="C31"/>
      <c s="29" r="D31"/>
      <c s="23" r="E31"/>
      <c t="s" s="61" r="F31">
        <v>50</v>
      </c>
      <c s="14" r="G31"/>
      <c s="32" r="H31"/>
      <c s="73" r="I31"/>
    </row>
    <row s="50" customFormat="1" r="32">
      <c t="s" s="79" r="A32">
        <v>51</v>
      </c>
      <c s="28" r="B32"/>
      <c s="69" r="C32"/>
      <c s="83" r="D32"/>
      <c s="23" r="E32"/>
      <c t="s" s="61" r="F32">
        <v>52</v>
      </c>
      <c s="14" r="G32"/>
      <c s="32" r="H32"/>
      <c s="73" r="I32"/>
    </row>
    <row s="50" customFormat="1" r="33">
      <c t="s" s="79" r="A33">
        <v>53</v>
      </c>
      <c s="28" r="B33"/>
      <c s="69" r="C33"/>
      <c s="83" r="D33"/>
      <c s="23" r="E33"/>
      <c t="s" s="61" r="F33">
        <v>54</v>
      </c>
      <c s="14" r="G33"/>
      <c s="32" r="H33"/>
      <c s="73" r="I33"/>
    </row>
    <row s="50" customFormat="1" r="34">
      <c t="s" s="79" r="A34">
        <v>55</v>
      </c>
      <c s="28" r="B34"/>
      <c s="69" r="C34"/>
      <c s="83" r="D34"/>
      <c s="23" r="E34"/>
      <c t="s" s="61" r="F34">
        <v>56</v>
      </c>
      <c s="14" r="G34"/>
      <c s="32" r="H34"/>
      <c s="73" r="I34"/>
    </row>
    <row s="50" customFormat="1" r="35">
      <c t="s" s="79" r="A35">
        <v>57</v>
      </c>
      <c s="28" r="B35"/>
      <c s="69" r="C35"/>
      <c s="83" r="D35"/>
      <c s="23" r="E35"/>
      <c t="s" s="61" r="F35">
        <v>58</v>
      </c>
      <c s="14" r="G35"/>
      <c s="32" r="H35"/>
      <c s="73" r="I35"/>
    </row>
    <row s="50" customFormat="1" r="36">
      <c t="s" s="79" r="A36">
        <v>59</v>
      </c>
      <c s="28" r="B36"/>
      <c s="69" r="C36"/>
      <c s="83" r="D36"/>
      <c s="23" r="E36"/>
      <c t="s" s="61" r="F36">
        <v>60</v>
      </c>
      <c s="14" r="G36"/>
      <c s="32" r="H36"/>
      <c s="73" r="I36"/>
    </row>
    <row s="50" customFormat="1" r="37">
      <c t="s" s="79" r="A37">
        <v>61</v>
      </c>
      <c s="28" r="B37"/>
      <c s="69" r="C37"/>
      <c s="83" r="D37"/>
      <c s="23" r="E37"/>
      <c t="s" s="61" r="F37">
        <v>62</v>
      </c>
      <c s="14" r="G37"/>
      <c s="32" r="H37"/>
      <c s="73" r="I37"/>
    </row>
    <row s="50" customFormat="1" r="38">
      <c t="s" s="79" r="A38">
        <v>63</v>
      </c>
      <c s="28" r="B38"/>
      <c s="69" r="C38"/>
      <c s="83" r="D38"/>
      <c s="23" r="E38"/>
      <c t="s" s="61" r="F38">
        <v>64</v>
      </c>
      <c s="14" r="G38"/>
      <c s="32" r="H38"/>
      <c s="73" r="I38"/>
    </row>
    <row customHeight="1" s="50" customFormat="1" r="39" ht="13.5">
      <c t="s" s="42" r="A39">
        <v>65</v>
      </c>
      <c s="28" r="B39"/>
      <c s="69" r="C39"/>
      <c s="83" r="D39"/>
      <c s="23" r="E39"/>
      <c t="s" s="61" r="F39">
        <v>66</v>
      </c>
      <c s="14" r="G39"/>
      <c s="32" r="H39"/>
      <c s="73" r="I39"/>
    </row>
    <row customHeight="1" s="50" customFormat="1" r="40" ht="13.5">
      <c t="str" s="85" r="A40">
        <f>"Total "&amp;A30</f>
        <v>Total Flowers</v>
      </c>
      <c s="58" r="B40">
        <f>SUM(B31:B39)</f>
        <v>0</v>
      </c>
      <c s="58" r="C40">
        <f>SUM(C31:C39)</f>
        <v>0</v>
      </c>
      <c s="58" r="D40">
        <f>SUM(D31:D39)</f>
        <v>0</v>
      </c>
      <c s="50" r="E40"/>
      <c t="str" s="90" r="F40">
        <f>"Total "&amp;F25</f>
        <v>Total Rehearsal dinner</v>
      </c>
      <c s="58" r="G40">
        <f>SUM(G26:G39)</f>
        <v>0</v>
      </c>
      <c s="58" r="H40">
        <f>SUM(H26:H39)</f>
        <v>0</v>
      </c>
      <c s="58" r="I40">
        <f>SUM(I26:I39)</f>
        <v>0</v>
      </c>
    </row>
    <row s="50" customFormat="1" r="41">
      <c s="50" r="A41"/>
      <c s="50" r="B41"/>
      <c s="50" r="C41"/>
      <c s="2" r="D41"/>
      <c s="50" r="E41"/>
      <c s="50" r="F41"/>
      <c s="50" r="G41"/>
      <c s="50" r="H41"/>
      <c s="50" r="I41"/>
    </row>
    <row s="50" customFormat="1" r="42">
      <c s="9" r="A42"/>
      <c s="46" r="B42"/>
      <c s="46" r="C42"/>
      <c s="88" r="D42"/>
      <c s="50" r="E42"/>
      <c s="9" r="F42"/>
      <c s="46" r="G42"/>
      <c s="46" r="H42"/>
      <c s="46" r="I42"/>
    </row>
    <row customHeight="1" s="50" customFormat="1" r="43" ht="13.5">
      <c t="s" s="12" r="A43">
        <v>67</v>
      </c>
      <c t="s" s="52" r="B43">
        <v>4</v>
      </c>
      <c t="s" s="45" r="C43">
        <v>5</v>
      </c>
      <c t="s" s="44" r="D43">
        <v>6</v>
      </c>
      <c s="61" r="E43"/>
      <c t="s" s="12" r="F43">
        <v>68</v>
      </c>
      <c t="s" s="52" r="G43">
        <v>4</v>
      </c>
      <c t="s" s="52" r="H43">
        <v>5</v>
      </c>
      <c t="s" s="52" r="I43">
        <v>6</v>
      </c>
    </row>
    <row s="50" customFormat="1" r="44">
      <c t="s" s="17" r="A44">
        <v>69</v>
      </c>
      <c s="37" r="B44"/>
      <c s="30" r="C44"/>
      <c s="29" r="D44"/>
      <c s="23" r="E44"/>
      <c t="s" s="17" r="F44">
        <v>70</v>
      </c>
      <c s="37" r="G44"/>
      <c s="37" r="H44"/>
      <c s="37" r="I44"/>
    </row>
    <row s="50" customFormat="1" r="45">
      <c t="s" s="79" r="A45">
        <v>71</v>
      </c>
      <c s="73" r="B45"/>
      <c s="20" r="C45"/>
      <c s="83" r="D45"/>
      <c s="23" r="E45"/>
      <c t="s" s="79" r="F45">
        <v>72</v>
      </c>
      <c s="73" r="G45"/>
      <c s="73" r="H45"/>
      <c s="73" r="I45"/>
    </row>
    <row s="50" customFormat="1" r="46">
      <c t="s" s="79" r="A46">
        <v>8</v>
      </c>
      <c s="73" r="B46"/>
      <c s="20" r="C46"/>
      <c s="83" r="D46"/>
      <c s="23" r="E46"/>
      <c t="s" s="79" r="F46">
        <v>73</v>
      </c>
      <c s="73" r="G46"/>
      <c s="73" r="H46"/>
      <c s="73" r="I46"/>
    </row>
    <row s="50" customFormat="1" r="47">
      <c t="s" s="79" r="A47">
        <v>74</v>
      </c>
      <c s="73" r="B47"/>
      <c s="20" r="C47"/>
      <c s="83" r="D47"/>
      <c s="23" r="E47"/>
      <c t="s" s="79" r="F47">
        <v>75</v>
      </c>
      <c s="73" r="G47"/>
      <c s="73" r="H47"/>
      <c s="73" r="I47"/>
    </row>
    <row customHeight="1" r="48" ht="13.5">
      <c t="s" s="79" r="A48">
        <v>76</v>
      </c>
      <c s="73" r="B48"/>
      <c s="20" r="C48"/>
      <c s="83" r="D48"/>
      <c s="23" r="E48"/>
      <c t="s" s="79" r="F48">
        <v>77</v>
      </c>
      <c s="73" r="G48"/>
      <c s="73" r="H48"/>
      <c s="73" r="I48"/>
    </row>
    <row customHeight="1" s="50" customFormat="1" r="49" ht="13.5">
      <c t="s" s="42" r="A49">
        <v>78</v>
      </c>
      <c s="73" r="B49"/>
      <c s="20" r="C49"/>
      <c s="83" r="D49"/>
      <c s="23" r="E49"/>
      <c t="s" s="42" r="F49">
        <v>79</v>
      </c>
      <c s="73" r="G49"/>
      <c s="73" r="H49"/>
      <c s="73" r="I49"/>
    </row>
    <row customHeight="1" s="50" customFormat="1" r="50" ht="13.5">
      <c t="str" s="85" r="A50">
        <f>"Total "&amp;A43</f>
        <v>Total Photography / Video</v>
      </c>
      <c s="58" r="B50">
        <f>SUM(B44:B49)</f>
        <v>0</v>
      </c>
      <c s="58" r="C50">
        <f>SUM(C44:C49)</f>
        <v>0</v>
      </c>
      <c s="75" r="D50">
        <f>SUM(D44:D49)</f>
        <v>0</v>
      </c>
      <c s="49" r="E50"/>
      <c t="str" s="85" r="F50">
        <f>"Total "&amp;F43</f>
        <v>Total Honeymoon</v>
      </c>
      <c s="58" r="G50">
        <f>SUM(G44:G49)</f>
        <v>0</v>
      </c>
      <c s="58" r="H50">
        <f>SUM(H44:H49)</f>
        <v>0</v>
      </c>
      <c s="58" r="I50">
        <f>SUM(I44:I49)</f>
        <v>0</v>
      </c>
    </row>
    <row s="50" customFormat="1" r="51">
      <c s="50" r="A51"/>
      <c s="50" r="B51"/>
      <c s="50" r="C51"/>
      <c s="2" r="D51"/>
      <c s="50" r="E51"/>
      <c s="50" r="F51"/>
      <c s="50" r="G51"/>
      <c s="50" r="H51"/>
      <c s="50" r="I51"/>
    </row>
    <row s="50" customFormat="1" r="52">
      <c s="9" r="A52"/>
      <c s="46" r="B52"/>
      <c s="46" r="C52"/>
      <c s="88" r="D52"/>
      <c s="50" r="E52"/>
      <c s="62" r="F52"/>
      <c s="46" r="G52"/>
      <c s="46" r="H52"/>
      <c s="46" r="I52"/>
    </row>
    <row customHeight="1" s="50" customFormat="1" r="53" ht="13.5">
      <c t="s" s="12" r="A53">
        <v>80</v>
      </c>
      <c t="s" s="52" r="B53">
        <v>4</v>
      </c>
      <c t="s" s="45" r="C53">
        <v>5</v>
      </c>
      <c t="s" s="44" r="D53">
        <v>6</v>
      </c>
      <c s="61" r="E53"/>
      <c t="s" s="12" r="F53">
        <v>71</v>
      </c>
      <c t="s" s="52" r="G53">
        <v>4</v>
      </c>
      <c t="s" s="52" r="H53">
        <v>5</v>
      </c>
      <c t="s" s="52" r="I53">
        <v>6</v>
      </c>
    </row>
    <row s="50" customFormat="1" r="54">
      <c t="s" s="17" r="A54">
        <v>81</v>
      </c>
      <c s="37" r="B54"/>
      <c s="30" r="C54"/>
      <c s="29" r="D54"/>
      <c s="23" r="E54"/>
      <c t="s" s="17" r="F54">
        <v>12</v>
      </c>
      <c s="37" r="G54"/>
      <c s="37" r="H54"/>
      <c s="37" r="I54"/>
    </row>
    <row s="50" customFormat="1" r="55">
      <c t="s" s="79" r="A55">
        <v>82</v>
      </c>
      <c s="73" r="B55"/>
      <c s="20" r="C55"/>
      <c s="83" r="D55"/>
      <c s="23" r="E55"/>
      <c t="s" s="79" r="F55">
        <v>43</v>
      </c>
      <c s="73" r="G55"/>
      <c s="73" r="H55"/>
      <c s="73" r="I55"/>
    </row>
    <row s="50" customFormat="1" r="56">
      <c t="s" s="79" r="A56">
        <v>83</v>
      </c>
      <c s="73" r="B56"/>
      <c s="20" r="C56"/>
      <c s="83" r="D56"/>
      <c s="23" r="E56"/>
      <c t="s" s="79" r="F56">
        <v>64</v>
      </c>
      <c s="73" r="G56"/>
      <c s="73" r="H56"/>
      <c s="73" r="I56"/>
    </row>
    <row s="50" customFormat="1" r="57">
      <c t="s" s="79" r="A57">
        <v>84</v>
      </c>
      <c s="73" r="B57"/>
      <c s="20" r="C57"/>
      <c s="83" r="D57"/>
      <c s="23" r="E57"/>
      <c t="s" s="79" r="F57">
        <v>85</v>
      </c>
      <c s="73" r="G57"/>
      <c s="73" r="H57"/>
      <c s="73" r="I57"/>
    </row>
    <row s="50" customFormat="1" r="58">
      <c t="s" s="79" r="A58">
        <v>86</v>
      </c>
      <c s="73" r="B58"/>
      <c s="20" r="C58"/>
      <c s="83" r="D58"/>
      <c s="23" r="E58"/>
      <c t="s" s="79" r="F58">
        <v>87</v>
      </c>
      <c s="73" r="G58"/>
      <c s="73" r="H58"/>
      <c s="73" r="I58"/>
    </row>
    <row s="50" customFormat="1" r="59">
      <c t="s" s="79" r="A59">
        <v>88</v>
      </c>
      <c s="73" r="B59"/>
      <c s="20" r="C59"/>
      <c s="83" r="D59"/>
      <c s="23" r="E59"/>
      <c t="s" s="79" r="F59">
        <v>89</v>
      </c>
      <c s="73" r="G59"/>
      <c s="73" r="H59"/>
      <c s="73" r="I59"/>
    </row>
    <row s="50" customFormat="1" r="60">
      <c t="s" s="79" r="A60">
        <v>90</v>
      </c>
      <c s="73" r="B60"/>
      <c s="20" r="C60"/>
      <c s="83" r="D60"/>
      <c s="23" r="E60"/>
      <c t="s" s="79" r="F60">
        <v>45</v>
      </c>
      <c s="73" r="G60"/>
      <c s="73" r="H60"/>
      <c s="73" r="I60"/>
    </row>
    <row s="50" customFormat="1" r="61">
      <c t="s" s="79" r="A61">
        <v>91</v>
      </c>
      <c s="73" r="B61"/>
      <c s="20" r="C61"/>
      <c s="83" r="D61"/>
      <c s="23" r="E61"/>
      <c t="s" s="79" r="F61">
        <v>50</v>
      </c>
      <c s="73" r="G61"/>
      <c s="73" r="H61"/>
      <c s="73" r="I61"/>
    </row>
    <row s="50" customFormat="1" r="62">
      <c t="s" s="79" r="A62">
        <v>92</v>
      </c>
      <c s="73" r="B62"/>
      <c s="20" r="C62"/>
      <c s="83" r="D62"/>
      <c s="23" r="E62"/>
      <c t="s" s="79" r="F62">
        <v>93</v>
      </c>
      <c s="73" r="G62"/>
      <c s="73" r="H62"/>
      <c s="73" r="I62"/>
    </row>
    <row s="50" customFormat="1" r="63">
      <c t="s" s="79" r="A63">
        <v>94</v>
      </c>
      <c s="73" r="B63"/>
      <c s="20" r="C63"/>
      <c s="83" r="D63"/>
      <c s="23" r="E63"/>
      <c t="s" s="79" r="F63">
        <v>95</v>
      </c>
      <c s="73" r="G63"/>
      <c s="73" r="H63"/>
      <c s="73" r="I63"/>
    </row>
    <row s="50" customFormat="1" r="64">
      <c t="s" s="79" r="A64">
        <v>96</v>
      </c>
      <c s="73" r="B64"/>
      <c s="20" r="C64"/>
      <c s="83" r="D64"/>
      <c s="23" r="E64"/>
      <c t="s" s="79" r="F64">
        <v>97</v>
      </c>
      <c s="73" r="G64"/>
      <c s="73" r="H64"/>
      <c s="73" r="I64"/>
    </row>
    <row s="50" customFormat="1" r="65">
      <c t="s" s="79" r="A65">
        <v>98</v>
      </c>
      <c s="73" r="B65"/>
      <c s="20" r="C65"/>
      <c s="83" r="D65"/>
      <c s="23" r="E65"/>
      <c t="s" s="79" r="F65">
        <v>99</v>
      </c>
      <c s="73" r="G65"/>
      <c s="73" r="H65"/>
      <c s="73" r="I65"/>
    </row>
    <row s="50" customFormat="1" r="66">
      <c t="s" s="79" r="A66">
        <v>100</v>
      </c>
      <c s="73" r="B66"/>
      <c s="20" r="C66"/>
      <c s="83" r="D66"/>
      <c s="23" r="E66"/>
      <c t="s" s="79" r="F66">
        <v>66</v>
      </c>
      <c s="73" r="G66"/>
      <c s="73" r="H66"/>
      <c s="73" r="I66"/>
    </row>
    <row s="50" customFormat="1" r="67">
      <c t="s" s="79" r="A67">
        <v>101</v>
      </c>
      <c s="73" r="B67"/>
      <c s="20" r="C67"/>
      <c s="83" r="D67"/>
      <c s="23" r="E67"/>
      <c t="s" s="79" r="F67">
        <v>102</v>
      </c>
      <c s="73" r="G67"/>
      <c s="73" r="H67"/>
      <c s="73" r="I67"/>
    </row>
    <row customHeight="1" s="50" customFormat="1" r="68" ht="13.5">
      <c t="s" s="42" r="A68">
        <v>103</v>
      </c>
      <c s="73" r="B68"/>
      <c s="20" r="C68"/>
      <c s="83" r="D68"/>
      <c s="23" r="E68"/>
      <c t="s" s="79" r="F68">
        <v>104</v>
      </c>
      <c s="73" r="G68"/>
      <c s="73" r="H68"/>
      <c s="73" r="I68"/>
    </row>
    <row customHeight="1" s="50" customFormat="1" r="69" ht="13.5">
      <c t="str" s="85" r="A69">
        <f>"Total "&amp;A53</f>
        <v>Total Stationary</v>
      </c>
      <c s="58" r="B69">
        <f>SUM(B54:B68)</f>
        <v>0</v>
      </c>
      <c s="58" r="C69">
        <f>SUM(C54:C68)</f>
        <v>0</v>
      </c>
      <c s="75" r="D69">
        <f>SUM(D54:D68)</f>
        <v>0</v>
      </c>
      <c s="5" r="E69"/>
      <c t="s" s="79" r="F69">
        <v>58</v>
      </c>
      <c s="73" r="G69"/>
      <c s="73" r="H69"/>
      <c s="73" r="I69"/>
    </row>
    <row s="50" customFormat="1" r="70">
      <c s="50" r="A70"/>
      <c s="50" r="B70"/>
      <c s="50" r="C70"/>
      <c s="2" r="D70"/>
      <c s="5" r="E70"/>
      <c t="s" s="79" r="F70">
        <v>105</v>
      </c>
      <c s="73" r="G70"/>
      <c s="73" r="H70"/>
      <c s="73" r="I70"/>
    </row>
    <row s="50" customFormat="1" r="71">
      <c s="9" r="A71"/>
      <c s="46" r="B71"/>
      <c s="46" r="C71"/>
      <c s="88" r="D71"/>
      <c s="5" r="E71"/>
      <c t="s" s="79" r="F71">
        <v>106</v>
      </c>
      <c s="73" r="G71"/>
      <c s="73" r="H71"/>
      <c s="73" r="I71"/>
    </row>
    <row customHeight="1" s="50" customFormat="1" r="72" ht="13.5">
      <c t="s" s="12" r="A72">
        <v>107</v>
      </c>
      <c t="s" s="52" r="B72">
        <v>4</v>
      </c>
      <c t="s" s="52" r="C72">
        <v>5</v>
      </c>
      <c t="s" s="54" r="D72">
        <v>6</v>
      </c>
      <c s="6" r="E72"/>
      <c t="s" s="79" r="F72">
        <v>62</v>
      </c>
      <c s="73" r="G72"/>
      <c s="73" r="H72"/>
      <c s="73" r="I72"/>
    </row>
    <row s="50" customFormat="1" r="73">
      <c t="s" s="17" r="A73">
        <v>108</v>
      </c>
      <c s="37" r="B73"/>
      <c s="30" r="C73"/>
      <c s="29" r="D73"/>
      <c s="23" r="E73"/>
      <c t="s" s="79" r="F73">
        <v>109</v>
      </c>
      <c s="73" r="G73"/>
      <c s="73" r="H73"/>
      <c s="73" r="I73"/>
    </row>
    <row s="50" customFormat="1" r="74">
      <c t="s" s="79" r="A74">
        <v>110</v>
      </c>
      <c s="73" r="B74"/>
      <c s="20" r="C74"/>
      <c s="83" r="D74"/>
      <c s="23" r="E74"/>
      <c t="s" s="79" r="F74">
        <v>111</v>
      </c>
      <c s="73" r="G74"/>
      <c s="73" r="H74"/>
      <c s="73" r="I74"/>
    </row>
    <row customHeight="1" s="50" customFormat="1" r="75" ht="13.5">
      <c t="s" s="42" r="A75">
        <v>112</v>
      </c>
      <c s="73" r="B75"/>
      <c s="20" r="C75"/>
      <c s="83" r="D75"/>
      <c s="23" r="E75"/>
      <c t="s" s="79" r="F75">
        <v>113</v>
      </c>
      <c s="73" r="G75"/>
      <c s="73" r="H75"/>
      <c s="73" r="I75"/>
    </row>
    <row customHeight="1" s="50" customFormat="1" r="76" ht="13.5">
      <c t="str" s="76" r="A76">
        <f>"Total "&amp;A72</f>
        <v>Total Rings</v>
      </c>
      <c s="58" r="B76">
        <f>SUM(B73:B75)</f>
        <v>0</v>
      </c>
      <c s="58" r="C76">
        <f>SUM(C73:C75)</f>
        <v>0</v>
      </c>
      <c s="75" r="D76">
        <f>SUM(D73:D75)</f>
        <v>0</v>
      </c>
      <c s="5" r="E76"/>
      <c t="s" s="79" r="F76">
        <v>75</v>
      </c>
      <c s="73" r="G76"/>
      <c s="73" r="H76"/>
      <c s="73" r="I76"/>
    </row>
    <row s="50" customFormat="1" r="77">
      <c s="50" r="A77"/>
      <c s="50" r="B77"/>
      <c s="50" r="C77"/>
      <c s="2" r="D77"/>
      <c s="5" r="E77"/>
      <c t="s" s="79" r="F77">
        <v>114</v>
      </c>
      <c s="73" r="G77"/>
      <c s="73" r="H77"/>
      <c s="73" r="I77"/>
    </row>
    <row s="50" customFormat="1" r="78">
      <c s="9" r="A78"/>
      <c s="46" r="B78"/>
      <c s="46" r="C78"/>
      <c s="88" r="D78"/>
      <c s="5" r="E78"/>
      <c t="s" s="79" r="F78">
        <v>115</v>
      </c>
      <c s="73" r="G78"/>
      <c s="73" r="H78"/>
      <c s="73" r="I78"/>
    </row>
    <row customHeight="1" s="50" customFormat="1" r="79" ht="13.5">
      <c t="s" s="12" r="A79">
        <v>77</v>
      </c>
      <c t="s" s="52" r="B79">
        <v>4</v>
      </c>
      <c t="s" s="52" r="C79">
        <v>5</v>
      </c>
      <c t="s" s="54" r="D79">
        <v>6</v>
      </c>
      <c s="6" r="E79"/>
      <c t="s" s="79" r="F79">
        <v>116</v>
      </c>
      <c s="73" r="G79"/>
      <c s="73" r="H79"/>
      <c s="73" r="I79"/>
    </row>
    <row s="50" customFormat="1" r="80">
      <c t="s" s="17" r="A80">
        <v>117</v>
      </c>
      <c s="37" r="B80"/>
      <c s="30" r="C80"/>
      <c s="29" r="D80"/>
      <c s="23" r="E80"/>
      <c t="s" s="79" r="F80">
        <v>118</v>
      </c>
      <c s="73" r="G80"/>
      <c s="73" r="H80"/>
      <c s="73" r="I80"/>
    </row>
    <row s="50" customFormat="1" r="81">
      <c t="s" s="79" r="A81">
        <v>119</v>
      </c>
      <c s="73" r="B81"/>
      <c s="20" r="C81"/>
      <c s="83" r="D81"/>
      <c s="23" r="E81"/>
      <c t="s" s="79" r="F81">
        <v>34</v>
      </c>
      <c s="73" r="G81"/>
      <c s="73" r="H81"/>
      <c s="73" r="I81"/>
    </row>
    <row s="50" customFormat="1" r="82">
      <c t="s" s="79" r="A82">
        <v>120</v>
      </c>
      <c s="73" r="B82"/>
      <c s="20" r="C82"/>
      <c s="83" r="D82"/>
      <c s="23" r="E82"/>
      <c t="s" s="79" r="F82">
        <v>36</v>
      </c>
      <c s="73" r="G82"/>
      <c s="73" r="H82"/>
      <c s="73" r="I82"/>
    </row>
    <row customHeight="1" s="50" customFormat="1" r="83" ht="13.5">
      <c t="s" s="79" r="A83">
        <v>121</v>
      </c>
      <c s="73" r="B83"/>
      <c s="20" r="C83"/>
      <c s="83" r="D83"/>
      <c s="23" r="E83"/>
      <c t="s" s="42" r="F83">
        <v>122</v>
      </c>
      <c s="73" r="G83"/>
      <c s="73" r="H83"/>
      <c s="73" r="I83"/>
    </row>
    <row customHeight="1" s="50" customFormat="1" r="84" ht="13.5">
      <c t="s" s="79" r="A84">
        <v>123</v>
      </c>
      <c s="73" r="B84"/>
      <c s="20" r="C84"/>
      <c s="83" r="D84"/>
      <c s="91" r="E84"/>
      <c t="str" s="85" r="F84">
        <f>"Total "&amp;F53</f>
        <v>Total Reception</v>
      </c>
      <c s="58" r="G84">
        <f>SUM(G54:G83)</f>
        <v>0</v>
      </c>
      <c s="75" r="H84">
        <f>SUM(H54:H83)</f>
        <v>0</v>
      </c>
      <c s="58" r="I84">
        <f>SUM(I54:I83)</f>
        <v>0</v>
      </c>
    </row>
    <row s="50" customFormat="1" r="85">
      <c t="s" s="79" r="A85">
        <v>124</v>
      </c>
      <c s="73" r="B85"/>
      <c s="20" r="C85"/>
      <c s="83" r="D85"/>
      <c s="91" r="E85"/>
      <c s="50" r="F85"/>
      <c s="50" r="G85"/>
      <c s="50" r="H85"/>
      <c s="50" r="I85"/>
    </row>
    <row s="50" customFormat="1" r="86">
      <c t="s" s="79" r="A86">
        <v>125</v>
      </c>
      <c s="73" r="B86"/>
      <c s="20" r="C86"/>
      <c s="83" r="D86"/>
      <c s="91" r="E86"/>
      <c s="9" r="F86"/>
      <c s="46" r="G86"/>
      <c s="46" r="H86"/>
      <c s="46" r="I86"/>
    </row>
    <row customHeight="1" s="50" customFormat="1" r="87" ht="13.5">
      <c t="s" s="79" r="A87">
        <v>126</v>
      </c>
      <c s="73" r="B87"/>
      <c s="20" r="C87"/>
      <c s="83" r="D87"/>
      <c s="91" r="E87"/>
      <c t="s" s="12" r="F87">
        <v>127</v>
      </c>
      <c t="s" s="52" r="G87">
        <v>4</v>
      </c>
      <c t="s" s="52" r="H87">
        <v>5</v>
      </c>
      <c t="s" s="52" r="I87">
        <v>6</v>
      </c>
    </row>
    <row s="50" customFormat="1" r="88">
      <c t="s" s="79" r="A88">
        <v>128</v>
      </c>
      <c s="73" r="B88"/>
      <c s="20" r="C88"/>
      <c s="83" r="D88"/>
      <c s="23" r="E88"/>
      <c t="s" s="17" r="F88">
        <v>129</v>
      </c>
      <c s="37" r="G88"/>
      <c s="37" r="H88"/>
      <c s="37" r="I88"/>
    </row>
    <row s="50" customFormat="1" r="89">
      <c s="79" r="A89"/>
      <c s="73" r="B89"/>
      <c s="20" r="C89"/>
      <c s="83" r="D89"/>
      <c s="23" r="E89"/>
      <c t="s" s="79" r="F89">
        <v>130</v>
      </c>
      <c s="73" r="G89"/>
      <c s="73" r="H89"/>
      <c s="73" r="I89"/>
    </row>
    <row customHeight="1" s="50" customFormat="1" r="90" ht="13.5">
      <c t="s" s="42" r="A90">
        <v>79</v>
      </c>
      <c s="73" r="B90"/>
      <c s="20" r="C90"/>
      <c s="83" r="D90"/>
      <c s="23" r="E90"/>
      <c t="s" s="42" r="F90">
        <v>131</v>
      </c>
      <c s="73" r="G90"/>
      <c s="73" r="H90"/>
      <c s="73" r="I90"/>
    </row>
    <row customHeight="1" s="50" customFormat="1" r="91" ht="13.5">
      <c t="str" s="85" r="A91">
        <f>"Total "&amp;A79</f>
        <v>Total Misc</v>
      </c>
      <c s="58" r="B91">
        <f>SUM(B80:B90)</f>
        <v>0</v>
      </c>
      <c s="58" r="C91">
        <f>SUM(C80:C90)</f>
        <v>0</v>
      </c>
      <c s="75" r="D91">
        <f>SUM(D80:D90)</f>
        <v>0</v>
      </c>
      <c s="50" r="E91"/>
      <c t="str" s="85" r="F91">
        <f>"Total "&amp;F87</f>
        <v>Total Gifts &amp; Favors</v>
      </c>
      <c s="58" r="G91">
        <f>SUM(G88:G90)</f>
        <v>0</v>
      </c>
      <c s="75" r="H91">
        <f>SUM(H88:H90)</f>
        <v>0</v>
      </c>
      <c s="58" r="I91">
        <f>SUM(I88:I90)</f>
        <v>0</v>
      </c>
    </row>
    <row s="50" customFormat="1" r="92">
      <c s="50" r="A92"/>
      <c s="50" r="B92"/>
      <c s="50" r="C92"/>
      <c s="2" r="D92"/>
      <c s="50" r="E92"/>
      <c s="50" r="F92"/>
      <c s="50" r="G92"/>
      <c s="50" r="H92"/>
      <c s="50" r="I92"/>
    </row>
    <row customHeight="1" s="50" customFormat="1" r="93" ht="13.5">
      <c s="70" r="A93"/>
      <c t="s" s="74" r="B93">
        <v>4</v>
      </c>
      <c t="s" s="74" r="C93">
        <v>5</v>
      </c>
      <c t="s" s="22" r="D93">
        <v>6</v>
      </c>
      <c s="70" r="E93"/>
      <c t="s" s="22" r="F93">
        <v>132</v>
      </c>
      <c s="70" r="G93"/>
      <c s="70" r="H93"/>
      <c s="70" r="I93"/>
    </row>
    <row customHeight="1" s="50" customFormat="1" r="94" ht="18.0">
      <c t="s" s="89" r="A94">
        <v>133</v>
      </c>
      <c s="3" r="B94">
        <f>(((((((((B27+B40)+B69)+G91)+B50)+B76)+G50)+B91)+G40)+G84)+G22</f>
        <v>0</v>
      </c>
      <c s="3" r="C94">
        <f>(((((((((C27+C40)+C69)+I91)+C50)+C76)+I50)+C91)+I40)+I84)+I22</f>
        <v>0</v>
      </c>
      <c s="3" r="D94">
        <f>(((((((((D27+I22)+D40)+I40)+D50)+I50)+D69)+D76)+I84)+D91)+I91</f>
        <v>0</v>
      </c>
      <c s="89" r="E94"/>
      <c s="3" r="F94">
        <f>B94-D94</f>
        <v>0</v>
      </c>
      <c s="89" r="G94"/>
      <c s="89" r="H94"/>
      <c s="89" r="I94"/>
    </row>
    <row r="95">
      <c s="51" r="A95"/>
      <c s="51" r="B95"/>
      <c s="51" r="C95"/>
      <c s="94" r="D95"/>
      <c s="51" r="E95"/>
      <c s="51" r="F95"/>
      <c s="51" r="G95"/>
      <c s="51" r="H95"/>
      <c s="51" r="I95"/>
    </row>
    <row r="96">
      <c s="50" r="A96"/>
      <c s="50" r="B96"/>
      <c s="50" r="C96"/>
      <c s="2" r="D96"/>
      <c s="50" r="E96"/>
      <c s="50" r="F96"/>
      <c s="50" r="G96"/>
      <c s="50" r="H96"/>
      <c s="50" r="I96"/>
    </row>
    <row r="97">
      <c s="50" r="A97"/>
      <c s="50" r="B97"/>
      <c s="50" r="C97"/>
      <c s="2" r="D97"/>
      <c s="50" r="E97"/>
      <c s="50" r="F97"/>
      <c s="50" r="G97"/>
      <c s="50" r="H97"/>
      <c s="50" r="I97"/>
    </row>
    <row r="98">
      <c s="50" r="A98"/>
      <c s="50" r="B98"/>
      <c s="50" r="C98"/>
      <c s="2" r="D98"/>
      <c s="50" r="E98"/>
      <c s="50" r="F98"/>
      <c s="50" r="G98"/>
      <c s="50" r="H98"/>
      <c s="50" r="I98"/>
    </row>
    <row r="99">
      <c s="50" r="A99"/>
      <c s="50" r="B99"/>
      <c s="50" r="C99"/>
      <c s="2" r="D99"/>
      <c s="50" r="E99"/>
      <c s="50" r="F99"/>
      <c s="50" r="G99"/>
      <c s="50" r="H99"/>
      <c s="50" r="I99"/>
    </row>
    <row r="100">
      <c s="50" r="A100"/>
      <c s="50" r="B100"/>
      <c s="50" r="C100"/>
      <c s="2" r="D100"/>
      <c s="50" r="E100"/>
      <c s="50" r="F100"/>
      <c s="50" r="G100"/>
      <c s="50" r="H100"/>
      <c s="50" r="I100"/>
    </row>
    <row r="101">
      <c s="50" r="A101"/>
      <c s="50" r="B101"/>
      <c s="50" r="C101"/>
      <c s="2" r="D101"/>
      <c s="50" r="E101"/>
      <c s="50" r="F101"/>
      <c s="50" r="G101"/>
      <c s="50" r="H101"/>
      <c s="50" r="I101"/>
    </row>
  </sheetData>
  <mergeCells count="3">
    <mergeCell ref="A1:I1"/>
    <mergeCell ref="A2:I2"/>
    <mergeCell ref="A3:I3"/>
  </mergeCells>
  <conditionalFormatting sqref="F94">
    <cfRule priority="1" type="cellIs" operator="greaterThan" stopIfTrue="1" dxfId="0">
      <formula>0</formula>
    </cfRule>
    <cfRule priority="2" type="cellIs" operator="lessThan" stopIfTrue="1" dxfId="1">
      <formula>0</formula>
    </cfRule>
    <cfRule priority="3" type="cellIs" operator="equal" stopIfTrue="1" dxfId="2">
      <formula>0</formula>
    </cfRule>
  </conditionalFormatting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9.14" defaultRowHeight="12.75"/>
  <cols>
    <col min="1" customWidth="1" max="1" style="50" width="4.71"/>
    <col min="2" customWidth="1" max="2" style="50" width="24.14"/>
    <col min="3" customWidth="1" max="3" style="50" width="16.57"/>
    <col min="4" customWidth="1" max="4" style="50" width="7.86"/>
    <col min="5" customWidth="1" max="5" style="50" width="9.0"/>
    <col min="6" customWidth="1" max="6" width="7.86"/>
  </cols>
  <sheetData>
    <row customHeight="1" s="50" customFormat="1" r="1" ht="46.5">
      <c t="s" s="4" r="A1">
        <v>134</v>
      </c>
      <c s="10" r="G1"/>
    </row>
    <row s="50" customFormat="1" r="2">
      <c t="str" s="48" r="A2">
        <f>HYPERLINK("http://www.vertex42.com/ExcelTemplates/wedding-budget.html","By Vertex42.com")</f>
        <v>By Vertex42.com</v>
      </c>
      <c s="48" r="B2"/>
      <c s="10" r="C2"/>
      <c s="10" r="D2"/>
      <c s="10" r="E2"/>
      <c t="s" s="43" r="F2">
        <v>135</v>
      </c>
      <c s="43" r="G2"/>
    </row>
    <row r="3">
      <c s="50" r="A3"/>
      <c s="41" r="B3"/>
      <c s="9" r="C3"/>
      <c s="50" r="D3"/>
      <c s="50" r="E3"/>
      <c s="87" r="F3"/>
      <c t="str" s="34" r="G3">
        <f>hyperlink("http://www.vertex42.com/Help/google-docs.html","HELP")</f>
        <v>HELP</v>
      </c>
    </row>
    <row customHeight="1" s="65" customFormat="1" r="4" ht="16.5">
      <c s="65" r="A4"/>
      <c t="s" s="96" r="B4">
        <v>136</v>
      </c>
      <c s="35" r="C4">
        <v>5000</v>
      </c>
      <c s="38" r="D4"/>
      <c s="65" r="E4"/>
      <c s="65" r="F4"/>
      <c s="65" r="G4"/>
    </row>
    <row s="50" customFormat="1" r="5">
      <c s="50" r="A5"/>
      <c s="50" r="B5"/>
      <c s="81" r="C5"/>
      <c s="50" r="D5"/>
      <c s="50" r="E5"/>
      <c s="50" r="F5"/>
      <c s="50" r="G5"/>
    </row>
    <row customHeight="1" s="71" customFormat="1" r="6" ht="18.0">
      <c s="71" r="A6"/>
      <c s="64" r="B6"/>
      <c t="s" s="7" r="C6">
        <v>137</v>
      </c>
      <c t="s" s="7" r="D6">
        <v>138</v>
      </c>
      <c s="71" r="E6"/>
      <c t="s" s="56" r="F6">
        <v>139</v>
      </c>
      <c s="71" r="G6"/>
    </row>
    <row customHeight="1" s="50" customFormat="1" r="7" ht="18.0">
      <c s="50" r="A7"/>
      <c t="s" s="36" r="B7">
        <v>3</v>
      </c>
      <c s="80" r="C7">
        <f>D7*$C$4</f>
        <v>300</v>
      </c>
      <c s="93" r="D7">
        <v>0.06</v>
      </c>
      <c s="86" r="E7"/>
      <c s="1" r="F7">
        <v>0.06</v>
      </c>
      <c s="91" r="G7"/>
    </row>
    <row customHeight="1" s="50" customFormat="1" r="8" ht="16.5">
      <c s="50" r="A8"/>
      <c t="s" s="31" r="B8">
        <v>47</v>
      </c>
      <c s="53" r="C8">
        <f>D8*$C$4</f>
        <v>200</v>
      </c>
      <c s="18" r="D8">
        <v>0.04</v>
      </c>
      <c s="86" r="E8"/>
      <c s="78" r="F8">
        <v>0.04</v>
      </c>
      <c s="91" r="G8"/>
    </row>
    <row customHeight="1" s="50" customFormat="1" r="9" ht="16.5">
      <c s="50" r="A9"/>
      <c t="s" s="31" r="B9">
        <v>140</v>
      </c>
      <c s="53" r="C9">
        <f>D9*$C$4</f>
        <v>400</v>
      </c>
      <c s="18" r="D9">
        <v>0.08</v>
      </c>
      <c s="86" r="E9"/>
      <c s="78" r="F9">
        <v>0.08</v>
      </c>
      <c s="91" r="G9"/>
    </row>
    <row customHeight="1" s="50" customFormat="1" r="10" ht="16.5">
      <c s="50" r="A10"/>
      <c t="s" s="31" r="B10">
        <v>80</v>
      </c>
      <c s="53" r="C10">
        <f>D10*$C$4</f>
        <v>150</v>
      </c>
      <c s="18" r="D10">
        <v>0.03</v>
      </c>
      <c s="86" r="E10"/>
      <c s="78" r="F10">
        <v>0.03</v>
      </c>
      <c s="91" r="G10"/>
    </row>
    <row customHeight="1" s="50" customFormat="1" r="11" ht="16.5">
      <c s="50" r="A11"/>
      <c t="s" s="31" r="B11">
        <v>107</v>
      </c>
      <c s="53" r="C11">
        <f>D11*$C$4</f>
        <v>250</v>
      </c>
      <c s="18" r="D11">
        <v>0.05</v>
      </c>
      <c s="86" r="E11"/>
      <c s="78" r="F11">
        <v>0.05</v>
      </c>
      <c s="91" r="G11"/>
    </row>
    <row customHeight="1" s="50" customFormat="1" r="12" ht="16.5">
      <c s="50" r="A12"/>
      <c t="s" s="31" r="B12">
        <v>77</v>
      </c>
      <c s="53" r="C12">
        <f>D12*$C$4</f>
        <v>100</v>
      </c>
      <c s="18" r="D12">
        <v>0.02</v>
      </c>
      <c s="86" r="E12"/>
      <c s="78" r="F12">
        <v>0.02</v>
      </c>
      <c s="91" r="G12"/>
    </row>
    <row customHeight="1" s="50" customFormat="1" r="13" ht="16.5">
      <c s="50" r="A13"/>
      <c t="s" s="31" r="B13">
        <v>8</v>
      </c>
      <c s="53" r="C13">
        <f>D13*$C$4</f>
        <v>150</v>
      </c>
      <c s="18" r="D13">
        <v>0.03</v>
      </c>
      <c s="86" r="E13"/>
      <c s="78" r="F13">
        <v>0.03</v>
      </c>
      <c s="91" r="G13"/>
    </row>
    <row customHeight="1" s="50" customFormat="1" r="14" ht="16.5">
      <c s="50" r="A14"/>
      <c t="s" s="31" r="B14">
        <v>41</v>
      </c>
      <c s="53" r="C14">
        <f>D14*$C$4</f>
        <v>400</v>
      </c>
      <c s="18" r="D14">
        <v>0.08</v>
      </c>
      <c s="86" r="E14"/>
      <c s="78" r="F14">
        <v>0.08</v>
      </c>
      <c s="91" r="G14"/>
    </row>
    <row customHeight="1" s="50" customFormat="1" r="15" ht="16.5">
      <c s="50" r="A15"/>
      <c t="s" s="31" r="B15">
        <v>68</v>
      </c>
      <c s="53" r="C15">
        <f>D15*$C$4</f>
        <v>500</v>
      </c>
      <c s="18" r="D15">
        <v>0.1</v>
      </c>
      <c s="86" r="E15"/>
      <c s="78" r="F15">
        <v>0.1</v>
      </c>
      <c s="91" r="G15"/>
    </row>
    <row customHeight="1" s="50" customFormat="1" r="16" ht="16.5">
      <c s="50" r="A16"/>
      <c t="s" s="31" r="B16">
        <v>71</v>
      </c>
      <c s="53" r="C16">
        <f>D16*$C$4</f>
        <v>2350</v>
      </c>
      <c s="18" r="D16">
        <v>0.47</v>
      </c>
      <c s="86" r="E16"/>
      <c s="78" r="F16">
        <v>0.47</v>
      </c>
      <c s="91" r="G16"/>
    </row>
    <row customHeight="1" s="50" customFormat="1" r="17" ht="16.5">
      <c s="50" r="A17"/>
      <c t="s" s="60" r="B17">
        <v>141</v>
      </c>
      <c s="57" r="C17">
        <f>D17*$C$4</f>
        <v>200</v>
      </c>
      <c s="24" r="D17">
        <v>0.04</v>
      </c>
      <c s="86" r="E17"/>
      <c s="78" r="F17">
        <v>0.04</v>
      </c>
      <c s="91" r="G17"/>
    </row>
    <row customHeight="1" s="50" customFormat="1" r="18" ht="16.5">
      <c s="50" r="A18"/>
      <c t="s" s="8" r="B18">
        <v>142</v>
      </c>
      <c s="21" r="C18">
        <f>D18*$C$4</f>
        <v>5000</v>
      </c>
      <c s="39" r="D18">
        <f>SUM(D7:D17)</f>
        <v>1</v>
      </c>
      <c s="50" r="E18"/>
      <c s="25" r="F18">
        <f>SUM(F7:F17)</f>
        <v>1</v>
      </c>
      <c s="50" r="G18"/>
    </row>
    <row s="50" customFormat="1" r="19">
      <c s="50" r="A19"/>
      <c s="50" r="B19"/>
      <c s="50" r="C19"/>
      <c s="50" r="D19"/>
      <c s="50" r="E19"/>
      <c s="50" r="F19"/>
      <c s="50" r="G19"/>
    </row>
    <row s="50" customFormat="1" r="20">
      <c t="s" s="13" r="A20">
        <v>143</v>
      </c>
      <c s="50" r="B20"/>
      <c s="50" r="C20"/>
      <c s="50" r="D20"/>
      <c s="50" r="E20"/>
      <c s="50" r="F20"/>
      <c s="50" r="G20"/>
    </row>
    <row s="50" customFormat="1" r="21">
      <c t="s" s="72" r="A21">
        <v>144</v>
      </c>
      <c s="50" r="G21"/>
    </row>
    <row s="50" customFormat="1" r="22">
      <c t="s" s="72" r="A22">
        <v>145</v>
      </c>
      <c s="50" r="G22"/>
    </row>
    <row s="50" customFormat="1" r="23">
      <c t="s" s="72" r="A23">
        <v>146</v>
      </c>
      <c s="50" r="G23"/>
    </row>
    <row s="50" customFormat="1" r="24">
      <c t="s" s="72" r="A24">
        <v>147</v>
      </c>
      <c s="50" r="G24"/>
    </row>
    <row s="50" customFormat="1" r="25">
      <c s="50" r="A25"/>
      <c s="50" r="B25"/>
      <c s="50" r="C25"/>
      <c s="50" r="D25"/>
      <c s="50" r="E25"/>
      <c s="50" r="F25"/>
      <c s="50" r="G25"/>
    </row>
    <row s="50" customFormat="1" r="26">
      <c t="s" s="16" r="A26">
        <v>148</v>
      </c>
      <c s="50" r="G26"/>
    </row>
    <row s="50" customFormat="1" r="27">
      <c s="50" r="A27"/>
      <c s="50" r="B27"/>
      <c s="50" r="C27"/>
      <c s="50" r="D27"/>
      <c s="50" r="E27"/>
      <c s="50" r="F27"/>
      <c s="50" r="G27"/>
    </row>
    <row s="50" customFormat="1" r="28">
      <c s="50" r="A28"/>
      <c s="50" r="B28"/>
      <c s="50" r="C28"/>
      <c s="50" r="D28"/>
      <c s="50" r="E28"/>
      <c s="50" r="F28"/>
      <c s="50" r="G28"/>
    </row>
    <row s="50" customFormat="1" r="29">
      <c s="50" r="A29"/>
      <c s="50" r="B29"/>
      <c s="50" r="C29"/>
      <c s="50" r="D29"/>
      <c s="50" r="E29"/>
      <c s="50" r="F29"/>
      <c s="50" r="G29"/>
    </row>
    <row s="50" customFormat="1" r="30">
      <c s="50" r="A30"/>
      <c s="50" r="B30"/>
      <c s="50" r="C30"/>
      <c s="50" r="D30"/>
      <c s="50" r="E30"/>
      <c s="50" r="F30"/>
      <c s="50" r="G30"/>
    </row>
    <row s="50" customFormat="1" r="31">
      <c s="50" r="A31"/>
      <c s="50" r="B31"/>
      <c s="50" r="C31"/>
      <c s="50" r="D31"/>
      <c s="50" r="E31"/>
      <c s="50" r="F31"/>
      <c s="50" r="G31"/>
    </row>
    <row s="50" customFormat="1" r="32">
      <c s="50" r="A32"/>
      <c s="50" r="B32"/>
      <c s="50" r="C32"/>
      <c s="50" r="D32"/>
      <c s="50" r="E32"/>
      <c s="50" r="F32"/>
      <c s="50" r="G32"/>
    </row>
    <row s="50" customFormat="1" r="33">
      <c s="50" r="A33"/>
      <c s="50" r="B33"/>
      <c s="50" r="C33"/>
      <c s="50" r="D33"/>
      <c s="50" r="E33"/>
      <c s="50" r="F33"/>
      <c s="50" r="G33"/>
    </row>
    <row s="50" customFormat="1" r="34">
      <c s="50" r="A34"/>
      <c s="50" r="B34"/>
      <c s="50" r="C34"/>
      <c s="50" r="D34"/>
      <c s="50" r="E34"/>
      <c s="50" r="F34"/>
      <c s="50" r="G34"/>
    </row>
    <row s="50" customFormat="1" r="35">
      <c s="50" r="A35"/>
      <c s="50" r="B35"/>
      <c s="50" r="C35"/>
      <c s="50" r="D35"/>
      <c s="50" r="E35"/>
      <c s="50" r="F35"/>
      <c s="50" r="G35"/>
    </row>
    <row s="50" customFormat="1" r="36">
      <c s="50" r="A36"/>
      <c s="50" r="B36"/>
      <c s="50" r="C36"/>
      <c s="50" r="D36"/>
      <c s="50" r="E36"/>
      <c s="50" r="F36"/>
      <c s="50" r="G36"/>
    </row>
    <row s="50" customFormat="1" r="37">
      <c s="50" r="A37"/>
      <c s="50" r="B37"/>
      <c s="50" r="C37"/>
      <c s="50" r="D37"/>
      <c s="50" r="E37"/>
      <c s="50" r="F37"/>
      <c s="50" r="G37"/>
    </row>
    <row s="50" customFormat="1" r="38">
      <c s="50" r="A38"/>
      <c s="50" r="B38"/>
      <c s="50" r="C38"/>
      <c s="50" r="D38"/>
      <c s="50" r="E38"/>
      <c s="50" r="F38"/>
      <c s="50" r="G38"/>
    </row>
    <row s="50" customFormat="1" r="39">
      <c s="50" r="A39"/>
      <c s="50" r="B39"/>
      <c s="50" r="C39"/>
      <c s="50" r="D39"/>
      <c s="50" r="E39"/>
      <c s="50" r="F39"/>
      <c s="50" r="G39"/>
    </row>
    <row s="50" customFormat="1" r="40">
      <c s="50" r="A40"/>
      <c s="50" r="B40"/>
      <c s="50" r="C40"/>
      <c s="50" r="D40"/>
      <c s="50" r="E40"/>
      <c s="50" r="F40"/>
      <c s="50" r="G40"/>
    </row>
    <row s="50" customFormat="1" r="41">
      <c s="50" r="A41"/>
      <c s="50" r="B41"/>
      <c s="50" r="C41"/>
      <c s="50" r="D41"/>
      <c s="50" r="E41"/>
      <c s="50" r="F41"/>
      <c s="50" r="G41"/>
    </row>
    <row s="50" customFormat="1" r="42">
      <c s="50" r="A42"/>
      <c s="50" r="B42"/>
      <c s="50" r="C42"/>
      <c s="50" r="D42"/>
      <c s="50" r="E42"/>
      <c s="50" r="F42"/>
      <c s="50" r="G42"/>
    </row>
    <row s="50" customFormat="1" r="43">
      <c s="50" r="A43"/>
      <c s="50" r="B43"/>
      <c s="50" r="C43"/>
      <c s="50" r="D43"/>
      <c s="50" r="E43"/>
      <c s="50" r="F43"/>
      <c s="50" r="G43"/>
    </row>
    <row s="50" customFormat="1" r="44">
      <c s="50" r="A44"/>
      <c s="50" r="B44"/>
      <c s="50" r="C44"/>
      <c s="50" r="D44"/>
      <c s="50" r="E44"/>
      <c s="50" r="F44"/>
      <c s="50" r="G44"/>
    </row>
    <row s="50" customFormat="1" r="45">
      <c s="50" r="A45"/>
      <c s="50" r="B45"/>
      <c s="50" r="C45"/>
      <c s="50" r="D45"/>
      <c s="50" r="E45"/>
      <c s="50" r="F45"/>
      <c s="50" r="G45"/>
    </row>
    <row s="50" customFormat="1" r="46">
      <c s="50" r="A46"/>
      <c s="50" r="B46"/>
      <c s="50" r="C46"/>
      <c s="50" r="D46"/>
      <c s="50" r="E46"/>
      <c s="50" r="F46"/>
      <c s="50" r="G46"/>
    </row>
    <row s="50" customFormat="1" r="47">
      <c s="50" r="A47"/>
      <c s="50" r="B47"/>
      <c s="50" r="C47"/>
      <c s="50" r="D47"/>
      <c s="50" r="E47"/>
      <c s="50" r="F47"/>
      <c s="50" r="G47"/>
    </row>
    <row s="50" customFormat="1" r="48">
      <c s="50" r="A48"/>
      <c s="50" r="B48"/>
      <c s="50" r="C48"/>
      <c s="50" r="D48"/>
      <c s="50" r="E48"/>
      <c s="50" r="F48"/>
      <c s="50" r="G48"/>
    </row>
    <row s="50" customFormat="1" r="49">
      <c s="50" r="A49"/>
      <c s="50" r="B49"/>
      <c s="50" r="C49"/>
      <c s="50" r="D49"/>
      <c s="50" r="E49"/>
      <c s="50" r="F49"/>
      <c s="50" r="G49"/>
    </row>
    <row s="50" customFormat="1" r="50">
      <c s="50" r="A50"/>
      <c s="50" r="B50"/>
      <c s="50" r="C50"/>
      <c s="50" r="D50"/>
      <c s="50" r="E50"/>
      <c s="50" r="F50"/>
      <c s="50" r="G50"/>
    </row>
    <row s="50" customFormat="1" r="51">
      <c s="50" r="A51"/>
      <c s="50" r="B51"/>
      <c s="50" r="C51"/>
      <c s="50" r="D51"/>
      <c s="50" r="E51"/>
      <c s="50" r="F51"/>
      <c s="50" r="G51"/>
    </row>
    <row s="50" customFormat="1" r="52">
      <c s="50" r="A52"/>
      <c s="50" r="B52"/>
      <c s="50" r="C52"/>
      <c s="50" r="D52"/>
      <c s="50" r="E52"/>
      <c s="50" r="F52"/>
      <c s="50" r="G52"/>
    </row>
    <row s="50" customFormat="1" r="53">
      <c s="50" r="A53"/>
      <c s="50" r="B53"/>
      <c s="50" r="C53"/>
      <c s="50" r="D53"/>
      <c s="50" r="E53"/>
      <c s="50" r="F53"/>
      <c s="50" r="G53"/>
    </row>
    <row s="50" customFormat="1" r="54">
      <c s="50" r="A54"/>
      <c s="50" r="B54"/>
      <c s="50" r="C54"/>
      <c s="50" r="D54"/>
      <c s="50" r="E54"/>
      <c s="50" r="F54"/>
      <c s="50" r="G54"/>
    </row>
    <row s="50" customFormat="1" r="55">
      <c s="50" r="A55"/>
      <c s="50" r="B55"/>
      <c s="50" r="C55"/>
      <c s="50" r="D55"/>
      <c s="50" r="E55"/>
      <c s="50" r="F55"/>
      <c s="50" r="G55"/>
    </row>
    <row s="50" customFormat="1" r="56">
      <c s="50" r="A56"/>
      <c s="50" r="B56"/>
      <c s="50" r="C56"/>
      <c s="50" r="D56"/>
      <c s="50" r="E56"/>
      <c s="50" r="F56"/>
      <c s="50" r="G56"/>
    </row>
    <row s="50" customFormat="1" r="57">
      <c s="50" r="A57"/>
      <c s="50" r="B57"/>
      <c s="50" r="C57"/>
      <c s="50" r="D57"/>
      <c s="50" r="E57"/>
      <c s="50" r="F57"/>
      <c s="50" r="G57"/>
    </row>
    <row s="50" customFormat="1" r="58">
      <c s="50" r="A58"/>
      <c s="50" r="B58"/>
      <c s="50" r="C58"/>
      <c s="50" r="D58"/>
      <c s="50" r="E58"/>
      <c s="50" r="F58"/>
      <c s="50" r="G58"/>
    </row>
    <row s="50" customFormat="1" r="59">
      <c s="50" r="A59"/>
      <c s="50" r="B59"/>
      <c s="50" r="C59"/>
      <c s="50" r="D59"/>
      <c s="50" r="E59"/>
      <c s="50" r="F59"/>
      <c s="50" r="G59"/>
    </row>
    <row s="50" customFormat="1" r="60">
      <c s="50" r="A60"/>
      <c s="50" r="B60"/>
      <c s="50" r="C60"/>
      <c s="50" r="D60"/>
      <c s="50" r="E60"/>
      <c s="50" r="F60"/>
      <c s="50" r="G60"/>
    </row>
    <row s="50" customFormat="1" r="61">
      <c s="50" r="A61"/>
      <c s="50" r="B61"/>
      <c s="50" r="C61"/>
      <c s="50" r="D61"/>
      <c s="50" r="E61"/>
      <c s="50" r="F61"/>
      <c s="50" r="G61"/>
    </row>
    <row s="50" customFormat="1" r="62">
      <c s="50" r="A62"/>
      <c s="50" r="B62"/>
      <c s="50" r="C62"/>
      <c s="50" r="D62"/>
      <c s="50" r="E62"/>
      <c s="50" r="F62"/>
      <c s="50" r="G62"/>
    </row>
    <row s="50" customFormat="1" r="63">
      <c s="50" r="A63"/>
      <c s="50" r="B63"/>
      <c s="50" r="C63"/>
      <c s="50" r="D63"/>
      <c s="50" r="E63"/>
      <c s="50" r="F63"/>
      <c s="50" r="G63"/>
    </row>
    <row s="50" customFormat="1" r="64">
      <c s="50" r="A64"/>
      <c s="50" r="B64"/>
      <c s="50" r="C64"/>
      <c s="50" r="D64"/>
      <c s="50" r="E64"/>
      <c s="50" r="F64"/>
      <c s="50" r="G64"/>
    </row>
    <row s="50" customFormat="1" r="65">
      <c s="50" r="A65"/>
      <c s="50" r="B65"/>
      <c s="50" r="C65"/>
      <c s="50" r="D65"/>
      <c s="50" r="E65"/>
      <c s="50" r="F65"/>
      <c s="50" r="G65"/>
    </row>
    <row s="50" customFormat="1" r="66">
      <c s="50" r="A66"/>
      <c s="50" r="B66"/>
      <c s="50" r="C66"/>
      <c s="50" r="D66"/>
      <c s="50" r="E66"/>
      <c s="50" r="F66"/>
      <c s="50" r="G66"/>
    </row>
    <row s="50" customFormat="1" r="67">
      <c s="50" r="A67"/>
      <c s="50" r="B67"/>
      <c s="50" r="C67"/>
      <c s="50" r="D67"/>
      <c s="50" r="E67"/>
      <c s="50" r="F67"/>
      <c s="50" r="G67"/>
    </row>
    <row s="50" customFormat="1" r="68">
      <c s="50" r="A68"/>
      <c s="50" r="B68"/>
      <c s="50" r="C68"/>
      <c s="50" r="D68"/>
      <c s="50" r="E68"/>
      <c s="50" r="F68"/>
      <c s="50" r="G68"/>
    </row>
    <row s="50" customFormat="1" r="69">
      <c s="50" r="A69"/>
      <c s="50" r="B69"/>
      <c s="50" r="C69"/>
      <c s="50" r="D69"/>
      <c s="50" r="E69"/>
      <c s="50" r="F69"/>
      <c s="50" r="G69"/>
    </row>
    <row s="50" customFormat="1" r="70">
      <c s="50" r="A70"/>
      <c s="50" r="B70"/>
      <c s="50" r="C70"/>
      <c s="50" r="D70"/>
      <c s="50" r="E70"/>
      <c s="50" r="F70"/>
      <c s="50" r="G70"/>
    </row>
    <row s="50" customFormat="1" r="71">
      <c s="50" r="A71"/>
      <c s="50" r="B71"/>
      <c s="50" r="C71"/>
      <c s="50" r="D71"/>
      <c s="50" r="E71"/>
      <c s="50" r="F71"/>
      <c s="50" r="G71"/>
    </row>
    <row s="50" customFormat="1" r="72">
      <c s="50" r="A72"/>
      <c s="50" r="B72"/>
      <c s="50" r="C72"/>
      <c s="50" r="D72"/>
      <c s="50" r="E72"/>
      <c s="50" r="F72"/>
      <c s="50" r="G72"/>
    </row>
    <row r="73">
      <c s="50" r="A73"/>
      <c s="50" r="B73"/>
      <c s="50" r="C73"/>
      <c s="50" r="D73"/>
      <c s="50" r="E73"/>
    </row>
  </sheetData>
  <mergeCells count="9">
    <mergeCell ref="A1:G1"/>
    <mergeCell ref="A2:B2"/>
    <mergeCell ref="F2:G2"/>
    <mergeCell ref="A20:B20"/>
    <mergeCell ref="A21:F21"/>
    <mergeCell ref="A22:F22"/>
    <mergeCell ref="A23:F23"/>
    <mergeCell ref="A24:F24"/>
    <mergeCell ref="A26:F26"/>
  </mergeCells>
</worksheet>
</file>