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530" yWindow="-210" windowWidth="15480" windowHeight="9810"/>
  </bookViews>
  <sheets>
    <sheet name="intakeformulier int001b" sheetId="2" r:id="rId1"/>
    <sheet name="Data" sheetId="3" r:id="rId2"/>
  </sheets>
  <definedNames>
    <definedName name="_xlnm.Print_Area" localSheetId="0">'intakeformulier int001b'!$A$1:$P$136</definedName>
  </definedNames>
  <calcPr calcId="145621"/>
</workbook>
</file>

<file path=xl/calcChain.xml><?xml version="1.0" encoding="utf-8"?>
<calcChain xmlns="http://schemas.openxmlformats.org/spreadsheetml/2006/main">
  <c r="G49" i="2" l="1"/>
  <c r="G48" i="2"/>
  <c r="G47" i="2"/>
  <c r="G46" i="2"/>
  <c r="G45" i="2"/>
  <c r="G44" i="2"/>
  <c r="G43" i="2"/>
  <c r="E126" i="2" l="1"/>
  <c r="F66" i="2"/>
  <c r="F59" i="2"/>
  <c r="F60" i="2"/>
  <c r="F61" i="2"/>
  <c r="F62" i="2"/>
  <c r="F72" i="2"/>
  <c r="F77" i="2"/>
  <c r="G28" i="2" l="1"/>
  <c r="F12" i="2"/>
  <c r="G38" i="2" l="1"/>
  <c r="G42" i="2"/>
  <c r="G37" i="2"/>
  <c r="B4" i="3"/>
  <c r="F93" i="2" l="1"/>
  <c r="F94" i="2"/>
  <c r="F92" i="2"/>
  <c r="F91" i="2"/>
  <c r="F90" i="2"/>
  <c r="F89" i="2"/>
  <c r="F88" i="2"/>
  <c r="F87" i="2"/>
  <c r="F86" i="2"/>
  <c r="F85" i="2"/>
  <c r="F84" i="2"/>
  <c r="F80" i="2"/>
  <c r="F79" i="2"/>
  <c r="F76" i="2"/>
  <c r="F75" i="2"/>
  <c r="F74" i="2"/>
  <c r="F73" i="2"/>
  <c r="F71" i="2"/>
  <c r="F68" i="2"/>
  <c r="F67" i="2"/>
  <c r="F65" i="2"/>
  <c r="G69" i="2" l="1"/>
  <c r="G76" i="2"/>
  <c r="G95" i="2"/>
  <c r="G81" i="2"/>
  <c r="M93" i="2"/>
  <c r="M94" i="2"/>
  <c r="M92" i="2"/>
  <c r="M91" i="2"/>
  <c r="M90" i="2"/>
  <c r="M89" i="2"/>
  <c r="M88" i="2"/>
  <c r="M85" i="2"/>
  <c r="M84" i="2"/>
  <c r="M83" i="2"/>
  <c r="M82" i="2"/>
  <c r="M81" i="2"/>
  <c r="M80" i="2"/>
  <c r="M79" i="2"/>
  <c r="M78" i="2"/>
  <c r="M77" i="2"/>
  <c r="M75" i="2"/>
  <c r="M72" i="2"/>
  <c r="M71" i="2"/>
  <c r="M69" i="2"/>
  <c r="M68" i="2"/>
  <c r="N73" i="2" l="1"/>
  <c r="N95" i="2"/>
  <c r="N86" i="2"/>
  <c r="D37" i="2" l="1"/>
  <c r="M76" i="2" l="1"/>
  <c r="N77" i="2" s="1"/>
  <c r="B132" i="2"/>
  <c r="B131" i="2"/>
  <c r="I37" i="2"/>
  <c r="M67" i="2"/>
  <c r="N69" i="2" s="1"/>
  <c r="M64" i="2"/>
  <c r="M63" i="2"/>
  <c r="M62" i="2"/>
  <c r="M61" i="2"/>
  <c r="M60" i="2"/>
  <c r="M59" i="2"/>
  <c r="M58" i="2"/>
  <c r="F58" i="2"/>
  <c r="G63" i="2" s="1"/>
  <c r="I42" i="2"/>
  <c r="I49" i="2"/>
  <c r="I48" i="2"/>
  <c r="I47" i="2"/>
  <c r="I46" i="2"/>
  <c r="I45" i="2"/>
  <c r="I44" i="2"/>
  <c r="I38" i="2"/>
  <c r="F112" i="2"/>
  <c r="I43" i="2"/>
  <c r="F114" i="2" l="1"/>
  <c r="F115" i="2" s="1"/>
  <c r="G97" i="2"/>
  <c r="F131" i="2" s="1"/>
  <c r="N65" i="2"/>
  <c r="I51" i="2"/>
  <c r="F135" i="2" s="1"/>
  <c r="N97" i="2" l="1"/>
  <c r="F132" i="2" s="1"/>
  <c r="F133" i="2" l="1"/>
  <c r="E136" i="2" s="1"/>
</calcChain>
</file>

<file path=xl/comments1.xml><?xml version="1.0" encoding="utf-8"?>
<comments xmlns="http://schemas.openxmlformats.org/spreadsheetml/2006/main">
  <authors>
    <author>Suwi</author>
    <author>suwi</author>
  </authors>
  <commentList>
    <comment ref="E54" authorId="0">
      <text>
        <r>
          <rPr>
            <sz val="9"/>
            <color indexed="81"/>
            <rFont val="Tahoma"/>
            <family val="2"/>
          </rPr>
          <t xml:space="preserve">TOEKENNINGSCRITERIA ingaande 1 januari 2012
Stichting Voedselbanken Nederland brengt na overleg met de voedselbanken in het land het volgende voorschrift  uit inzake de wijze waarop het leefgeld wordt berekend bij de vaststelling of een aanvrager in aanmerking komt voor ondersteuning.
Berekening naar maandbedragen
Zowel bij de inkomsten als bij de uitgaven geldt dat bedragen die betrekking hebben op een kortere of langere periode worden omgerekend tot een bedrag per maand. 
- Wekelijkse bedragen x 4,3333
- 4-wekelijkse bedragen x 1,0833
- Kwartaalbedragen / 3
- Jaarbedragen / 12
Hardheidsclausule:
Het is onmogelijk om alle situaties te vangen in regeltjes. Indien het toepassen van de afgesproken regels, in zeer bijzondere situaties, tot ongewenste situaties leidt, kan de beoordelaar van de Voedselbank bij uitzondering, maar wel onderbouwd, afwijken van deze regels.
</t>
        </r>
      </text>
    </comment>
    <comment ref="B56" authorId="0">
      <text>
        <r>
          <rPr>
            <sz val="9"/>
            <color indexed="81"/>
            <rFont val="Tahoma"/>
            <family val="2"/>
          </rPr>
          <t xml:space="preserve">Het uitgangspunt is dat alle inkomsten van alle volwassen (18 jaar of ouder) gezinsleden mee worden gerekend.
Daaronder worden o.a. verstaan:
 - Netto loon/uitkering e.d. van client
-  Netto loon/uitkering e.d. van partner of inwonende volwassene(n) waarmee een gezamenlijke huishouding wordt gevoerd
-  Alimentatie
-  Huurtoeslag
-  Zorgtoeslag
-  (Voorlopige) teruggaaf belastingdienst
-  Kostgeld verdienende, inwonende kinderen
Niet meegeteld worden:
- Vakantietoeslag
- Kinderbijslag en kindgebonden budget, studiefinanciering,   (dit zijn doeluitkering tbv kinderen, dus ook 
   geen specifieke uitgaven inzake kinderen meetellen die hieruit voldaan kunnen worden)
- Persoonsgebonden budget (wordt geacht te worden besteed aan bijzondere kosten, die dan ook niet als uitgaven mogen   
  worden opgevoerd)
- Neveninkomsten van kinderen zoals krantenwijk, bijbaantje e.d. 
</t>
        </r>
      </text>
    </comment>
    <comment ref="I56" authorId="0">
      <text>
        <r>
          <rPr>
            <sz val="9"/>
            <color indexed="81"/>
            <rFont val="Tahoma"/>
            <family val="2"/>
          </rPr>
          <t xml:space="preserve">Bij de uitgaven worden  alleen díe uitgaven meegeteld die betrekking hebben op de personen wiens inkomen is meegeteld. 
Kosten die vanuit de kinderbijslag, kindgebonden budget, persoonsgebonden budget of andere vergoedingen worden voldaan dus niet meetellen.
</t>
        </r>
      </text>
    </comment>
    <comment ref="B59" authorId="1">
      <text>
        <r>
          <rPr>
            <b/>
            <sz val="9"/>
            <color indexed="81"/>
            <rFont val="Tahoma"/>
            <family val="2"/>
          </rPr>
          <t>Vakantietoeslag telt niet mee als inkomen, dus wordt deze negatief meeberekend.</t>
        </r>
      </text>
    </comment>
    <comment ref="I59" authorId="0">
      <text>
        <r>
          <rPr>
            <b/>
            <sz val="9"/>
            <color indexed="81"/>
            <rFont val="Tahoma"/>
            <family val="2"/>
          </rPr>
          <t>In geval van hypotheek ook belastingteruggave meerekenen bij inkomsten.</t>
        </r>
      </text>
    </comment>
    <comment ref="B60" authorId="0">
      <text>
        <r>
          <rPr>
            <b/>
            <sz val="9"/>
            <color indexed="81"/>
            <rFont val="Tahoma"/>
            <family val="2"/>
          </rPr>
          <t>Hieronder wordt verstaan: een extra bedrag bovenop de basisuitkering van een alleenstaande ouder.</t>
        </r>
      </text>
    </comment>
    <comment ref="I62" authorId="0">
      <text>
        <r>
          <rPr>
            <b/>
            <sz val="9"/>
            <color indexed="81"/>
            <rFont val="Tahoma"/>
            <family val="2"/>
          </rPr>
          <t xml:space="preserve">Voor kosten van telefoon, televisie, internet, maximaal  60 euro per maand per huishouden accepteren.  (VBH) 
</t>
        </r>
      </text>
    </comment>
    <comment ref="I63" authorId="0">
      <text>
        <r>
          <rPr>
            <b/>
            <sz val="9"/>
            <color indexed="81"/>
            <rFont val="Tahoma"/>
            <family val="2"/>
          </rPr>
          <t>Omrekenen naar maand.
Er is vaak sprake van kwijtscheldingsmogelijkheid of vermindering!</t>
        </r>
      </text>
    </comment>
    <comment ref="I64" authorId="0">
      <text>
        <r>
          <rPr>
            <b/>
            <sz val="9"/>
            <color indexed="81"/>
            <rFont val="Tahoma"/>
            <family val="2"/>
          </rPr>
          <t>Omrekenen naar maand.
Er is vaak sprake van kwijtscheldingsmogelijkheid of vermindering!</t>
        </r>
      </text>
    </comment>
    <comment ref="B66" authorId="1">
      <text>
        <r>
          <rPr>
            <b/>
            <sz val="9"/>
            <color indexed="81"/>
            <rFont val="Tahoma"/>
            <family val="2"/>
          </rPr>
          <t>Vakantietoeslag telt niet mee als inkomen, dus wordt deze negatief meeberekend.</t>
        </r>
      </text>
    </comment>
    <comment ref="I67" authorId="0">
      <text>
        <r>
          <rPr>
            <b/>
            <sz val="9"/>
            <color indexed="81"/>
            <rFont val="Tahoma"/>
            <family val="2"/>
          </rPr>
          <t>Voor de vaststelling van het bedrag dat meegeteld wordt als aflossing van schulden is het belangrijk dat een zo compleet mogelijk beeld van alle schulden van derden, zijnde geen familie en vrienden, wordt verkregen en de noodzakelijke aflossingen, bijvoorbeeld over een periode van de 12 komende maanden. Een schuld die in 1 of 2 keer afgelost kan worden geeft  een vertekend beeld. 
Ook moet duidelijk zijn dat de aflossing daadwerkelijk plaatsvindt (aangetoond via bankafschriften)
Schulden aan familie en vrienden dus niet meenemen.</t>
        </r>
      </text>
    </comment>
    <comment ref="I68" authorId="0">
      <text>
        <r>
          <rPr>
            <b/>
            <sz val="9"/>
            <color indexed="81"/>
            <rFont val="Tahoma"/>
            <family val="2"/>
          </rPr>
          <t>Vermeld hier het bedrag voor de aflossing van het inrichtingskrediet. Inrichtingskrediet is een lening van de gemeente Houten (aan asielzoekers die een verblijfsvergunning hebben gekregen) waarmee een huis volledig kan worden ingericht. Dit aflossingsbedrag wordt maandelijks ingehouden op de uitkering.
Op de uitkeringsspecificatie staat niet duidelijk vermeld dat het om inrichtingskrediet gaat, maar wel:
- aflossing alleenstaande (bij mensen zonder kinderen)
- aflossing alleenstaande ouder (wanneer het gezin bestaat uit 1 ouder)
- aflossing gezing (bij een volledig gezin)</t>
        </r>
      </text>
    </comment>
    <comment ref="B71" authorId="0">
      <text>
        <r>
          <rPr>
            <b/>
            <sz val="9"/>
            <color indexed="81"/>
            <rFont val="Tahoma"/>
            <family val="2"/>
          </rPr>
          <t>Deze inkomstensoort wordt verder niet meegeteld in de berekening van het totale inkomen.</t>
        </r>
      </text>
    </comment>
    <comment ref="B75" authorId="0">
      <text>
        <r>
          <rPr>
            <b/>
            <sz val="9"/>
            <color indexed="81"/>
            <rFont val="Tahoma"/>
            <family val="2"/>
          </rPr>
          <t xml:space="preserve">Van inwonende kinderen met een eigen inkomen uit werk of uitkering mag een bijdrage aan het gezinsinkomen worden verwacht (kostgeld). Afhankelijk van het inkomen van het kind wordt hiervoor een bedrag van  € 200 gerekend. Dit is ook ongeveer het bedrag waarmee de bijstandsuitkering wordt verlaagd. 
</t>
        </r>
      </text>
    </comment>
    <comment ref="I88" authorId="0">
      <text>
        <r>
          <rPr>
            <b/>
            <sz val="9"/>
            <color indexed="81"/>
            <rFont val="Tahoma"/>
            <family val="2"/>
          </rPr>
          <t xml:space="preserve">Overige verzekeringen (inboedel, WA, overlijden)
</t>
        </r>
      </text>
    </comment>
    <comment ref="I89" authorId="0">
      <text>
        <r>
          <rPr>
            <b/>
            <sz val="9"/>
            <color indexed="81"/>
            <rFont val="Tahoma"/>
            <family val="2"/>
          </rPr>
          <t>Nauwkeurig specificeren.
Autokosten
Zijn aanvaardbaar als de auto aantoonbaar voor werk of aantoonbaar om medische reden noodzakelijk is. Het bezit van een auto is op zich geen reden om een aanvraag af te wijzen. Het kan wel vraagtekens oproepen waarom een auto noodzakelijk is als er zo weinig te besteden is. 
Over het algemeen zullen de kosten niet meegenomen worden, tenzij de auto bijvoorbeeld noodzakelijk is om inkomen te verwerven.  Houdt dan ook rekening met een eventuele vergoeding van reiskosten. Of, in het geval van een medische noodzaak, is er wellicht een PGB. 
In alle gevallen dient de beoordelaar een zorgvuldige afweging te maken. 
Huisdieren
De kosten van huisdieren komen niet in aanmerking als uitgaven, tenzij het om een hulp- of blindengeleidenhond gaat.</t>
        </r>
      </text>
    </comment>
    <comment ref="I90" authorId="0">
      <text>
        <r>
          <rPr>
            <b/>
            <sz val="9"/>
            <color indexed="81"/>
            <rFont val="Tahoma"/>
            <family val="2"/>
          </rPr>
          <t xml:space="preserve">Alleenstaande ouderkorting is een inhouding die de gemeente Houten doet op de uitkering van alleenstaande ouders. Hiermee haalt de gemeente Houten wat belastinggeld terug wat alleenstaande ouders ontvangen via een kinderkorting. </t>
        </r>
      </text>
    </comment>
    <comment ref="B102" authorId="0">
      <text>
        <r>
          <rPr>
            <b/>
            <sz val="9"/>
            <color indexed="81"/>
            <rFont val="Tahoma"/>
            <family val="2"/>
          </rPr>
          <t>Aflossing schulden
Voor de vaststelling van het bedrag dat meegeteld wordt als aflossing van schulden is het belangrijk dat een zo compleet mogelijk beeld van alle schulden van derden, zijnde geen familie en vrienden, wordt verkregen en de noodzakelijke aflossingen, bijvoorbeeld over een periode van de 12 komende maanden. Een schuld die in 1 of 2 keer afgelost kan worden geeft  een vertekend beeld. 
Ook moet duidelijk zijn dat de aflossing daadwerkelijk plaatsvindt (aangetoond via bankafschriften)
Schulden aan familie en vrienden dus niet meenemen.</t>
        </r>
      </text>
    </comment>
  </commentList>
</comments>
</file>

<file path=xl/sharedStrings.xml><?xml version="1.0" encoding="utf-8"?>
<sst xmlns="http://schemas.openxmlformats.org/spreadsheetml/2006/main" count="146" uniqueCount="106">
  <si>
    <t>Naam</t>
  </si>
  <si>
    <t>Energie</t>
  </si>
  <si>
    <t>Voorlopige teruggaaf belasting</t>
  </si>
  <si>
    <t>Water</t>
  </si>
  <si>
    <t>Huurtoeslag</t>
  </si>
  <si>
    <t>Zorgtoeslag</t>
  </si>
  <si>
    <t>Alimentatie</t>
  </si>
  <si>
    <t>Ziektekostenverzekering</t>
  </si>
  <si>
    <t>Overige verzekeringen</t>
  </si>
  <si>
    <t>Kabel/ telefoon/ internet</t>
  </si>
  <si>
    <t>Aflossing schulden</t>
  </si>
  <si>
    <t>Normbedrag</t>
  </si>
  <si>
    <t>Kinderen</t>
  </si>
  <si>
    <t>Leeftijd</t>
  </si>
  <si>
    <t>Kind1</t>
  </si>
  <si>
    <t>Kind2</t>
  </si>
  <si>
    <t>Kind3</t>
  </si>
  <si>
    <t>Kind4</t>
  </si>
  <si>
    <t>Kind5</t>
  </si>
  <si>
    <t>Kind6</t>
  </si>
  <si>
    <t>Kind7</t>
  </si>
  <si>
    <t>Kind8</t>
  </si>
  <si>
    <t>Client en partner</t>
  </si>
  <si>
    <t>Client</t>
  </si>
  <si>
    <t>Partner</t>
  </si>
  <si>
    <t>Nettoloon</t>
  </si>
  <si>
    <t>Uitkering</t>
  </si>
  <si>
    <t>Overig</t>
  </si>
  <si>
    <t>Kostgeld verdienende kinderen</t>
  </si>
  <si>
    <t>Zorg</t>
  </si>
  <si>
    <t>Kinderbijslag</t>
  </si>
  <si>
    <t>Voorschot kinderopvang</t>
  </si>
  <si>
    <t>Voorschot kindgebonden budget</t>
  </si>
  <si>
    <t>Bijdrage gemeente ziektekosten</t>
  </si>
  <si>
    <t>Inkomsten</t>
  </si>
  <si>
    <t>Uitgaven</t>
  </si>
  <si>
    <t>Berekend</t>
  </si>
  <si>
    <t>Huis</t>
  </si>
  <si>
    <t>Huur</t>
  </si>
  <si>
    <t>Hypotheek</t>
  </si>
  <si>
    <t>Gemeentebelasting</t>
  </si>
  <si>
    <t>Waterschapsbelasting</t>
  </si>
  <si>
    <t>Kinderopvang</t>
  </si>
  <si>
    <t>Overige uitgaven</t>
  </si>
  <si>
    <t>Openstaand bedrag</t>
  </si>
  <si>
    <t>Schuldeisers</t>
  </si>
  <si>
    <t>Advies schuldsanering:</t>
  </si>
  <si>
    <t>Aantal jaren schuld aflossen (excl. rente):</t>
  </si>
  <si>
    <t>Advies besluit:</t>
  </si>
  <si>
    <t>Besteedbaar bedrag per maand</t>
  </si>
  <si>
    <t>2. Intakegesprek</t>
  </si>
  <si>
    <t>Datum intake:</t>
  </si>
  <si>
    <t>3. Samenstelling huishouden en bepaling normbedrag</t>
  </si>
  <si>
    <t>5. Overzicht schulden</t>
  </si>
  <si>
    <t>Naam organisatie:</t>
  </si>
  <si>
    <t>Adres:</t>
  </si>
  <si>
    <t>Postcode:</t>
  </si>
  <si>
    <t>Plaats:</t>
  </si>
  <si>
    <t>E-mailadres:</t>
  </si>
  <si>
    <t>Telefoon:</t>
  </si>
  <si>
    <t>Mail het ingevulde aanvraagformulier naar: 
aanvraag@voedselbankhouten.nl</t>
  </si>
  <si>
    <t>Aantal dagen per maand uitwonend</t>
  </si>
  <si>
    <t>Medicijnen</t>
  </si>
  <si>
    <t>Vervoer</t>
  </si>
  <si>
    <t>Alarmering</t>
  </si>
  <si>
    <t>Psychologische hulp</t>
  </si>
  <si>
    <t>Vrije veld</t>
  </si>
  <si>
    <t>Zorgkosten (eigen bijdrage)</t>
  </si>
  <si>
    <t>Hulp</t>
  </si>
  <si>
    <t>Bedrag</t>
  </si>
  <si>
    <t>Geboorte-datum</t>
  </si>
  <si>
    <t>Naam intaker (2):</t>
  </si>
  <si>
    <t>Naam intaker (1):</t>
  </si>
  <si>
    <t>Datum ontvangst aanmelding:</t>
  </si>
  <si>
    <t>Contactgegevens client</t>
  </si>
  <si>
    <t>1. Aanmelding</t>
  </si>
  <si>
    <t>Contactgegevens verwijzende instantie</t>
  </si>
  <si>
    <t>6. Leefgeld</t>
  </si>
  <si>
    <t>Man</t>
  </si>
  <si>
    <t>Vrouw</t>
  </si>
  <si>
    <t>Geslacht</t>
  </si>
  <si>
    <t>Geslacht:</t>
  </si>
  <si>
    <t>Voornaam + achternaam</t>
  </si>
  <si>
    <t>Voornaam + achternaam:</t>
  </si>
  <si>
    <t>Voornaam + achternaam contactpersoon:</t>
  </si>
  <si>
    <t>4. Inkomsten en uitgaven (bedragen in euro's per maand)</t>
  </si>
  <si>
    <t>Totaal (EUR)</t>
  </si>
  <si>
    <t>7. Besteedbaar bedrag (in euro) en besluit</t>
  </si>
  <si>
    <t>Aflossing inrichtingskrediet</t>
  </si>
  <si>
    <t>Inrichtingskrediet</t>
  </si>
  <si>
    <t>Eenoudertoeslag</t>
  </si>
  <si>
    <t>Alleenstaande ouderkorting</t>
  </si>
  <si>
    <t>Pensioen</t>
  </si>
  <si>
    <t>Maandbedrag eigen risico</t>
  </si>
  <si>
    <t>Aanmelddatum:</t>
  </si>
  <si>
    <t>Peildatum leeftijd:</t>
  </si>
  <si>
    <t>Aanmeld-/intakeformulier Voedselbank Houten 2014</t>
  </si>
  <si>
    <t>Woonkostentoeslag gemeente</t>
  </si>
  <si>
    <t>Opbrengst uit onderverhuur</t>
  </si>
  <si>
    <t>Vakantietoeslag</t>
  </si>
  <si>
    <t>Let op: de velden 'Bruto leefgeld per week' en "Reserveringen uit leefgeld per week" hoeven alleen ingevuld te worden als u leefgeld krijgt via een budgetbeheerder of bewindvoerder.</t>
  </si>
  <si>
    <t>Ziektenkosten: eigen risico 2014</t>
  </si>
  <si>
    <t>Reservering door budgetbeheerder of bewindvoerder</t>
  </si>
  <si>
    <t>Leefgeld per maand</t>
  </si>
  <si>
    <t>Leefgeld per week</t>
  </si>
  <si>
    <t>int101T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</si>
</sst>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24" x14ac:knownFonts="1">
    <font>
      <sz val="10"/>
      <name val="Arial"/>
      <family val="2"/>
    </font>
    <font>
      <sz val="10"/>
      <name val="Arial"/>
      <family val="2"/>
      <charset val="1"/>
    </font>
    <font>
      <sz val="11"/>
      <color indexed="8"/>
      <name val="Calibri"/>
      <family val="2"/>
      <charset val="1"/>
    </font>
    <font>
      <b/>
      <sz val="11"/>
      <color indexed="8"/>
      <name val="Arial"/>
      <family val="2"/>
    </font>
    <font>
      <sz val="9"/>
      <color indexed="81"/>
      <name val="Tahoma"/>
      <family val="2"/>
    </font>
    <font>
      <b/>
      <sz val="9"/>
      <color indexed="81"/>
      <name val="Tahoma"/>
      <family val="2"/>
    </font>
    <font>
      <sz val="10"/>
      <name val="Arial"/>
      <family val="2"/>
    </font>
    <font>
      <b/>
      <sz val="10"/>
      <color indexed="8"/>
      <name val="Arial"/>
      <family val="2"/>
    </font>
    <font>
      <sz val="10"/>
      <color indexed="8"/>
      <name val="Arial"/>
      <family val="2"/>
    </font>
    <font>
      <sz val="12"/>
      <name val="Arial"/>
      <family val="2"/>
    </font>
    <font>
      <b/>
      <sz val="12"/>
      <color indexed="8"/>
      <name val="Arial"/>
      <family val="2"/>
    </font>
    <font>
      <b/>
      <sz val="10"/>
      <name val="Arial"/>
      <family val="2"/>
    </font>
    <font>
      <sz val="10"/>
      <color rgb="FFFF0000"/>
      <name val="Arial"/>
      <family val="2"/>
    </font>
    <font>
      <sz val="10"/>
      <color theme="0"/>
      <name val="Arial"/>
      <family val="2"/>
    </font>
    <font>
      <sz val="11"/>
      <color indexed="8"/>
      <name val="Arial"/>
      <family val="2"/>
    </font>
    <font>
      <sz val="11"/>
      <name val="Arial"/>
      <family val="2"/>
    </font>
    <font>
      <sz val="11"/>
      <color rgb="FFFF0000"/>
      <name val="Arial"/>
      <family val="2"/>
    </font>
    <font>
      <u/>
      <sz val="10"/>
      <color theme="10"/>
      <name val="Arial"/>
      <family val="2"/>
    </font>
    <font>
      <b/>
      <sz val="11"/>
      <name val="Arial"/>
      <family val="2"/>
    </font>
    <font>
      <b/>
      <sz val="14"/>
      <color indexed="8"/>
      <name val="Arial"/>
      <family val="2"/>
    </font>
    <font>
      <sz val="14"/>
      <name val="Arial"/>
      <family val="2"/>
    </font>
    <font>
      <b/>
      <sz val="10"/>
      <color rgb="FFFF0000"/>
      <name val="Arial"/>
      <family val="2"/>
    </font>
    <font>
      <b/>
      <sz val="26"/>
      <name val="Arial"/>
      <family val="2"/>
    </font>
    <font>
      <b/>
      <i/>
      <sz val="10"/>
      <color rgb="FFEB720A"/>
      <name val="Arial"/>
      <family val="2"/>
    </font>
  </fonts>
  <fills count="6">
    <fill>
      <patternFill patternType="none"/>
    </fill>
    <fill>
      <patternFill patternType="gray125"/>
    </fill>
    <fill>
      <patternFill patternType="solid">
        <fgColor rgb="FFEB720A"/>
        <bgColor indexed="64"/>
      </patternFill>
    </fill>
    <fill>
      <patternFill patternType="solid">
        <fgColor rgb="FFFBC69B"/>
        <bgColor rgb="FFEB720A"/>
      </patternFill>
    </fill>
    <fill>
      <patternFill patternType="solid">
        <fgColor rgb="FFFBC69B"/>
        <bgColor indexed="9"/>
      </patternFill>
    </fill>
    <fill>
      <patternFill patternType="solid">
        <fgColor rgb="FFFBC69B"/>
        <bgColor indexed="64"/>
      </patternFill>
    </fill>
  </fills>
  <borders count="16">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s>
  <cellStyleXfs count="4">
    <xf numFmtId="0" fontId="0" fillId="0" borderId="0"/>
    <xf numFmtId="0" fontId="2" fillId="0" borderId="0"/>
    <xf numFmtId="0" fontId="1" fillId="0" borderId="0"/>
    <xf numFmtId="0" fontId="17" fillId="0" borderId="0" applyNumberFormat="0" applyFill="0" applyBorder="0" applyAlignment="0" applyProtection="0"/>
  </cellStyleXfs>
  <cellXfs count="222">
    <xf numFmtId="0" fontId="0" fillId="0" borderId="0" xfId="0"/>
    <xf numFmtId="0" fontId="7" fillId="0" borderId="1" xfId="1" applyFont="1" applyBorder="1" applyAlignment="1" applyProtection="1">
      <alignment vertical="top"/>
    </xf>
    <xf numFmtId="0" fontId="8" fillId="0" borderId="1" xfId="1" applyFont="1" applyBorder="1" applyAlignment="1" applyProtection="1">
      <alignment horizontal="left"/>
    </xf>
    <xf numFmtId="0" fontId="8" fillId="0" borderId="3" xfId="1" applyFont="1" applyBorder="1" applyAlignment="1" applyProtection="1">
      <alignment horizontal="left"/>
    </xf>
    <xf numFmtId="0" fontId="10" fillId="0" borderId="4" xfId="1" applyFont="1" applyBorder="1" applyAlignment="1" applyProtection="1">
      <alignment horizontal="left" vertical="top"/>
    </xf>
    <xf numFmtId="0" fontId="10" fillId="0" borderId="5" xfId="1" applyFont="1" applyBorder="1" applyAlignment="1" applyProtection="1">
      <alignment horizontal="left" vertical="top"/>
    </xf>
    <xf numFmtId="0" fontId="3" fillId="0" borderId="8" xfId="1" applyFont="1" applyBorder="1" applyProtection="1"/>
    <xf numFmtId="0" fontId="8" fillId="0" borderId="1" xfId="1" applyFont="1" applyBorder="1" applyProtection="1"/>
    <xf numFmtId="0" fontId="7" fillId="0" borderId="4" xfId="1" applyFont="1" applyBorder="1" applyAlignment="1" applyProtection="1">
      <alignment vertical="top"/>
    </xf>
    <xf numFmtId="0" fontId="7" fillId="0" borderId="4" xfId="1" applyFont="1" applyBorder="1" applyAlignment="1" applyProtection="1">
      <alignment horizontal="left" vertical="top"/>
    </xf>
    <xf numFmtId="0" fontId="7" fillId="0" borderId="0" xfId="1" applyFont="1" applyBorder="1" applyAlignment="1" applyProtection="1">
      <alignment wrapText="1"/>
    </xf>
    <xf numFmtId="0" fontId="3" fillId="0" borderId="3" xfId="1" applyFont="1" applyBorder="1" applyProtection="1"/>
    <xf numFmtId="0" fontId="0" fillId="0" borderId="0" xfId="0" applyFont="1" applyProtection="1"/>
    <xf numFmtId="0" fontId="0" fillId="0" borderId="0" xfId="0" applyFont="1" applyFill="1" applyProtection="1"/>
    <xf numFmtId="0" fontId="0" fillId="0" borderId="0" xfId="0" applyFont="1" applyFill="1" applyAlignment="1" applyProtection="1">
      <alignment horizontal="left"/>
    </xf>
    <xf numFmtId="0" fontId="0" fillId="0" borderId="0" xfId="0" applyFont="1" applyBorder="1" applyProtection="1"/>
    <xf numFmtId="0" fontId="12" fillId="0" borderId="0" xfId="0" applyFont="1" applyAlignment="1" applyProtection="1">
      <alignment horizontal="left" wrapText="1"/>
    </xf>
    <xf numFmtId="0" fontId="0" fillId="0" borderId="0" xfId="0" applyFont="1" applyBorder="1" applyAlignment="1" applyProtection="1">
      <alignment horizontal="left"/>
    </xf>
    <xf numFmtId="14" fontId="0" fillId="0" borderId="0" xfId="0" applyNumberFormat="1" applyFont="1" applyAlignment="1" applyProtection="1">
      <alignment horizontal="left"/>
    </xf>
    <xf numFmtId="0" fontId="0" fillId="0" borderId="4" xfId="0" applyFont="1" applyBorder="1" applyProtection="1"/>
    <xf numFmtId="0" fontId="11" fillId="0" borderId="9" xfId="0" applyFont="1" applyBorder="1" applyProtection="1"/>
    <xf numFmtId="0" fontId="11" fillId="0" borderId="0" xfId="0" applyFont="1" applyBorder="1" applyAlignment="1" applyProtection="1"/>
    <xf numFmtId="0" fontId="8" fillId="0" borderId="0" xfId="1" applyFont="1" applyFill="1" applyBorder="1" applyAlignment="1" applyProtection="1">
      <alignment horizontal="left"/>
    </xf>
    <xf numFmtId="0" fontId="0" fillId="0" borderId="4" xfId="0" applyFont="1" applyBorder="1" applyAlignment="1" applyProtection="1">
      <alignment horizontal="left"/>
    </xf>
    <xf numFmtId="164" fontId="0" fillId="0" borderId="9" xfId="0" applyNumberFormat="1" applyFont="1" applyBorder="1" applyProtection="1"/>
    <xf numFmtId="14" fontId="7" fillId="0" borderId="5" xfId="1" applyNumberFormat="1" applyFont="1" applyBorder="1" applyAlignment="1" applyProtection="1">
      <alignment horizontal="left" wrapText="1"/>
    </xf>
    <xf numFmtId="0" fontId="11" fillId="0" borderId="5" xfId="0" applyFont="1" applyBorder="1" applyAlignment="1" applyProtection="1">
      <alignment horizontal="left"/>
    </xf>
    <xf numFmtId="164" fontId="11" fillId="0" borderId="11" xfId="0" applyNumberFormat="1" applyFont="1" applyBorder="1" applyAlignment="1" applyProtection="1">
      <alignment wrapText="1"/>
    </xf>
    <xf numFmtId="0" fontId="8" fillId="0" borderId="0" xfId="1" applyFont="1" applyFill="1" applyBorder="1" applyProtection="1"/>
    <xf numFmtId="164" fontId="0" fillId="0" borderId="14" xfId="0" applyNumberFormat="1" applyFont="1" applyBorder="1" applyProtection="1"/>
    <xf numFmtId="0" fontId="0" fillId="0" borderId="8" xfId="0" applyFont="1" applyBorder="1" applyProtection="1"/>
    <xf numFmtId="0" fontId="0" fillId="0" borderId="4" xfId="0" applyFont="1" applyBorder="1" applyAlignment="1" applyProtection="1">
      <alignment horizontal="right"/>
    </xf>
    <xf numFmtId="0" fontId="0" fillId="0" borderId="5" xfId="0" applyFont="1" applyBorder="1" applyProtection="1"/>
    <xf numFmtId="0" fontId="0" fillId="0" borderId="10" xfId="0" applyFont="1" applyBorder="1" applyProtection="1"/>
    <xf numFmtId="0" fontId="0" fillId="0" borderId="0" xfId="0" applyFont="1" applyFill="1" applyBorder="1" applyProtection="1"/>
    <xf numFmtId="0" fontId="0" fillId="0" borderId="3" xfId="0" applyFont="1" applyBorder="1" applyProtection="1"/>
    <xf numFmtId="164" fontId="0" fillId="0" borderId="11" xfId="0" applyNumberFormat="1" applyFont="1" applyFill="1" applyBorder="1" applyProtection="1"/>
    <xf numFmtId="164" fontId="11" fillId="0" borderId="8" xfId="0" applyNumberFormat="1" applyFont="1" applyBorder="1" applyAlignment="1" applyProtection="1">
      <alignment horizontal="right"/>
    </xf>
    <xf numFmtId="164" fontId="11" fillId="0" borderId="4" xfId="0" applyNumberFormat="1" applyFont="1" applyBorder="1" applyAlignment="1" applyProtection="1">
      <alignment horizontal="right"/>
    </xf>
    <xf numFmtId="164" fontId="11" fillId="0" borderId="0" xfId="0" applyNumberFormat="1" applyFont="1" applyBorder="1" applyAlignment="1" applyProtection="1">
      <alignment horizontal="right"/>
    </xf>
    <xf numFmtId="164" fontId="0" fillId="0" borderId="0" xfId="0" applyNumberFormat="1" applyFont="1" applyFill="1" applyBorder="1" applyProtection="1"/>
    <xf numFmtId="0" fontId="11" fillId="0" borderId="0" xfId="0" applyFont="1" applyBorder="1" applyProtection="1"/>
    <xf numFmtId="164" fontId="0" fillId="0" borderId="0" xfId="1" applyNumberFormat="1" applyFont="1" applyFill="1" applyBorder="1" applyAlignment="1" applyProtection="1">
      <alignment horizontal="right"/>
    </xf>
    <xf numFmtId="0" fontId="11" fillId="0" borderId="5" xfId="0" applyFont="1" applyBorder="1" applyAlignment="1" applyProtection="1">
      <alignment horizontal="right"/>
    </xf>
    <xf numFmtId="2" fontId="0" fillId="0" borderId="11" xfId="0" applyNumberFormat="1" applyFont="1" applyFill="1" applyBorder="1" applyProtection="1"/>
    <xf numFmtId="164" fontId="0" fillId="0" borderId="0" xfId="0" applyNumberFormat="1" applyFont="1" applyFill="1" applyBorder="1" applyAlignment="1" applyProtection="1">
      <alignment horizontal="right"/>
    </xf>
    <xf numFmtId="0" fontId="0" fillId="0" borderId="2" xfId="0" applyFont="1" applyBorder="1" applyProtection="1"/>
    <xf numFmtId="0" fontId="0" fillId="0" borderId="6" xfId="0" applyFont="1" applyBorder="1" applyProtection="1"/>
    <xf numFmtId="0" fontId="0" fillId="0" borderId="14" xfId="0" applyFont="1" applyFill="1" applyBorder="1" applyAlignment="1" applyProtection="1">
      <alignment horizontal="right"/>
    </xf>
    <xf numFmtId="0" fontId="12" fillId="0" borderId="0" xfId="0" applyFont="1" applyBorder="1" applyAlignment="1" applyProtection="1"/>
    <xf numFmtId="0" fontId="12" fillId="0" borderId="0" xfId="0" applyFont="1" applyFill="1" applyBorder="1" applyAlignment="1" applyProtection="1"/>
    <xf numFmtId="0" fontId="12" fillId="0" borderId="0" xfId="0" applyFont="1" applyAlignment="1" applyProtection="1"/>
    <xf numFmtId="0" fontId="6" fillId="0" borderId="0" xfId="0" applyFont="1" applyBorder="1" applyProtection="1"/>
    <xf numFmtId="164" fontId="11" fillId="0" borderId="0" xfId="0" applyNumberFormat="1" applyFont="1" applyFill="1" applyBorder="1" applyAlignment="1" applyProtection="1">
      <alignment horizontal="right"/>
    </xf>
    <xf numFmtId="4" fontId="0" fillId="0" borderId="7" xfId="0" applyNumberFormat="1" applyFont="1" applyBorder="1" applyProtection="1"/>
    <xf numFmtId="4" fontId="0" fillId="0" borderId="9" xfId="0" applyNumberFormat="1" applyFont="1" applyBorder="1" applyProtection="1"/>
    <xf numFmtId="4" fontId="11" fillId="0" borderId="4" xfId="0" applyNumberFormat="1" applyFont="1" applyBorder="1" applyAlignment="1" applyProtection="1">
      <alignment horizontal="right"/>
    </xf>
    <xf numFmtId="0" fontId="6" fillId="0" borderId="0" xfId="0" applyFont="1" applyProtection="1"/>
    <xf numFmtId="0" fontId="3" fillId="0" borderId="4" xfId="1" applyFont="1" applyBorder="1" applyProtection="1"/>
    <xf numFmtId="4" fontId="3" fillId="0" borderId="8" xfId="1" applyNumberFormat="1" applyFont="1" applyFill="1" applyBorder="1" applyProtection="1"/>
    <xf numFmtId="4" fontId="3" fillId="0" borderId="9" xfId="1" applyNumberFormat="1" applyFont="1" applyFill="1" applyBorder="1" applyProtection="1"/>
    <xf numFmtId="0" fontId="14" fillId="0" borderId="0" xfId="1" applyFont="1" applyBorder="1" applyAlignment="1" applyProtection="1"/>
    <xf numFmtId="0" fontId="3" fillId="0" borderId="9" xfId="1" applyFont="1" applyBorder="1" applyProtection="1"/>
    <xf numFmtId="4" fontId="3" fillId="0" borderId="3" xfId="1" applyNumberFormat="1" applyFont="1" applyFill="1" applyBorder="1" applyProtection="1"/>
    <xf numFmtId="4" fontId="3" fillId="0" borderId="10" xfId="1" applyNumberFormat="1" applyFont="1" applyFill="1" applyBorder="1" applyProtection="1"/>
    <xf numFmtId="0" fontId="14" fillId="0" borderId="0" xfId="1" applyFont="1" applyBorder="1" applyProtection="1"/>
    <xf numFmtId="0" fontId="14" fillId="0" borderId="1" xfId="1" applyFont="1" applyBorder="1" applyProtection="1"/>
    <xf numFmtId="0" fontId="14" fillId="0" borderId="2" xfId="1" applyFont="1" applyBorder="1" applyProtection="1"/>
    <xf numFmtId="0" fontId="14" fillId="0" borderId="6" xfId="1" applyFont="1" applyBorder="1" applyProtection="1"/>
    <xf numFmtId="0" fontId="14" fillId="0" borderId="5" xfId="1" applyFont="1" applyBorder="1" applyProtection="1"/>
    <xf numFmtId="0" fontId="15" fillId="0" borderId="5" xfId="1" applyFont="1" applyBorder="1" applyProtection="1"/>
    <xf numFmtId="0" fontId="14" fillId="0" borderId="4" xfId="1" applyFont="1" applyBorder="1" applyProtection="1"/>
    <xf numFmtId="0" fontId="15" fillId="0" borderId="4" xfId="1" applyFont="1" applyBorder="1" applyProtection="1"/>
    <xf numFmtId="0" fontId="3" fillId="0" borderId="5" xfId="1" applyFont="1" applyBorder="1" applyProtection="1"/>
    <xf numFmtId="0" fontId="14" fillId="0" borderId="3" xfId="1" applyFont="1" applyBorder="1" applyProtection="1"/>
    <xf numFmtId="0" fontId="16" fillId="0" borderId="0" xfId="1" applyFont="1" applyBorder="1" applyProtection="1"/>
    <xf numFmtId="4" fontId="6" fillId="0" borderId="7" xfId="0" applyNumberFormat="1" applyFont="1" applyBorder="1" applyAlignment="1" applyProtection="1">
      <alignment horizontal="right"/>
    </xf>
    <xf numFmtId="0" fontId="14" fillId="0" borderId="0" xfId="1" applyFont="1" applyFill="1" applyBorder="1" applyProtection="1"/>
    <xf numFmtId="0" fontId="14" fillId="0" borderId="4" xfId="1" applyFont="1" applyFill="1" applyBorder="1" applyProtection="1"/>
    <xf numFmtId="4" fontId="6" fillId="0" borderId="11" xfId="0" applyNumberFormat="1" applyFont="1" applyFill="1" applyBorder="1" applyProtection="1"/>
    <xf numFmtId="0" fontId="14" fillId="0" borderId="10" xfId="1" applyFont="1" applyBorder="1" applyProtection="1"/>
    <xf numFmtId="0" fontId="14" fillId="0" borderId="11" xfId="1" applyFont="1" applyBorder="1" applyProtection="1"/>
    <xf numFmtId="4" fontId="6" fillId="0" borderId="7" xfId="0" applyNumberFormat="1" applyFont="1" applyBorder="1" applyProtection="1"/>
    <xf numFmtId="4" fontId="8" fillId="0" borderId="3" xfId="1" applyNumberFormat="1" applyFont="1" applyFill="1" applyBorder="1" applyAlignment="1" applyProtection="1">
      <alignment horizontal="right"/>
    </xf>
    <xf numFmtId="4" fontId="8" fillId="0" borderId="10" xfId="1" applyNumberFormat="1" applyFont="1" applyFill="1" applyBorder="1" applyAlignment="1" applyProtection="1">
      <alignment horizontal="right"/>
    </xf>
    <xf numFmtId="4" fontId="6" fillId="0" borderId="1" xfId="1" applyNumberFormat="1" applyFont="1" applyFill="1" applyBorder="1" applyAlignment="1" applyProtection="1">
      <alignment horizontal="right"/>
    </xf>
    <xf numFmtId="4" fontId="8" fillId="0" borderId="11" xfId="1" applyNumberFormat="1" applyFont="1" applyFill="1" applyBorder="1" applyAlignment="1" applyProtection="1">
      <alignment horizontal="right"/>
    </xf>
    <xf numFmtId="4" fontId="8" fillId="0" borderId="7" xfId="1" applyNumberFormat="1" applyFont="1" applyBorder="1" applyAlignment="1" applyProtection="1">
      <alignment horizontal="right"/>
    </xf>
    <xf numFmtId="4" fontId="8" fillId="0" borderId="15" xfId="1" applyNumberFormat="1" applyFont="1" applyFill="1" applyBorder="1" applyAlignment="1" applyProtection="1">
      <alignment horizontal="right"/>
    </xf>
    <xf numFmtId="4" fontId="8" fillId="0" borderId="1" xfId="1" applyNumberFormat="1" applyFont="1" applyFill="1" applyBorder="1" applyAlignment="1" applyProtection="1">
      <alignment horizontal="right"/>
    </xf>
    <xf numFmtId="2" fontId="8" fillId="0" borderId="3" xfId="1" applyNumberFormat="1" applyFont="1" applyFill="1" applyBorder="1" applyAlignment="1" applyProtection="1">
      <alignment horizontal="right"/>
    </xf>
    <xf numFmtId="2" fontId="8" fillId="0" borderId="10" xfId="1" applyNumberFormat="1" applyFont="1" applyFill="1" applyBorder="1" applyAlignment="1" applyProtection="1">
      <alignment horizontal="right"/>
    </xf>
    <xf numFmtId="2" fontId="8" fillId="0" borderId="1" xfId="1" applyNumberFormat="1" applyFont="1" applyFill="1" applyBorder="1" applyAlignment="1" applyProtection="1">
      <alignment horizontal="right"/>
    </xf>
    <xf numFmtId="2" fontId="8" fillId="0" borderId="11" xfId="1" applyNumberFormat="1" applyFont="1" applyFill="1" applyBorder="1" applyAlignment="1" applyProtection="1">
      <alignment horizontal="right"/>
    </xf>
    <xf numFmtId="2" fontId="8" fillId="0" borderId="15" xfId="1" applyNumberFormat="1" applyFont="1" applyFill="1" applyBorder="1" applyAlignment="1" applyProtection="1">
      <alignment horizontal="right"/>
    </xf>
    <xf numFmtId="2" fontId="6" fillId="0" borderId="1" xfId="0" applyNumberFormat="1" applyFont="1" applyBorder="1" applyAlignment="1" applyProtection="1">
      <alignment horizontal="right"/>
    </xf>
    <xf numFmtId="2" fontId="8" fillId="0" borderId="1" xfId="1" applyNumberFormat="1" applyFont="1" applyBorder="1" applyAlignment="1" applyProtection="1">
      <alignment horizontal="right"/>
    </xf>
    <xf numFmtId="2" fontId="11" fillId="0" borderId="1" xfId="0" applyNumberFormat="1" applyFont="1" applyBorder="1" applyProtection="1"/>
    <xf numFmtId="2" fontId="6" fillId="0" borderId="1" xfId="0" applyNumberFormat="1" applyFont="1" applyBorder="1" applyProtection="1"/>
    <xf numFmtId="2" fontId="6" fillId="0" borderId="11" xfId="0" applyNumberFormat="1" applyFont="1" applyFill="1" applyBorder="1" applyProtection="1"/>
    <xf numFmtId="2" fontId="11" fillId="0" borderId="4" xfId="0" applyNumberFormat="1" applyFont="1" applyBorder="1" applyAlignment="1" applyProtection="1">
      <alignment horizontal="right"/>
    </xf>
    <xf numFmtId="4" fontId="0" fillId="0" borderId="10" xfId="0" applyNumberFormat="1" applyFont="1" applyFill="1" applyBorder="1" applyProtection="1"/>
    <xf numFmtId="0" fontId="6" fillId="0" borderId="0" xfId="1" applyFont="1" applyBorder="1" applyProtection="1"/>
    <xf numFmtId="0" fontId="15" fillId="0" borderId="0" xfId="0" applyFont="1" applyBorder="1" applyProtection="1"/>
    <xf numFmtId="0" fontId="15" fillId="0" borderId="0" xfId="0" applyFont="1" applyAlignment="1" applyProtection="1"/>
    <xf numFmtId="0" fontId="15" fillId="0" borderId="9" xfId="0" applyFont="1" applyBorder="1" applyProtection="1"/>
    <xf numFmtId="0" fontId="10" fillId="0" borderId="0" xfId="1" applyFont="1" applyAlignment="1" applyProtection="1">
      <alignment horizontal="left" vertical="top"/>
    </xf>
    <xf numFmtId="0" fontId="9" fillId="0" borderId="0" xfId="0" applyFont="1" applyAlignment="1" applyProtection="1">
      <alignment horizontal="left"/>
    </xf>
    <xf numFmtId="0" fontId="0" fillId="0" borderId="0" xfId="0" applyFont="1" applyAlignment="1" applyProtection="1">
      <alignment horizontal="left"/>
    </xf>
    <xf numFmtId="0" fontId="7" fillId="0" borderId="5" xfId="1" applyFont="1" applyBorder="1" applyAlignment="1" applyProtection="1">
      <alignment horizontal="left" wrapText="1"/>
    </xf>
    <xf numFmtId="0" fontId="15" fillId="0" borderId="11" xfId="1" applyFont="1" applyBorder="1" applyProtection="1"/>
    <xf numFmtId="0" fontId="14" fillId="0" borderId="9" xfId="1" applyFont="1" applyBorder="1" applyProtection="1"/>
    <xf numFmtId="0" fontId="13" fillId="0" borderId="0" xfId="0" applyFont="1" applyProtection="1"/>
    <xf numFmtId="2" fontId="8" fillId="0" borderId="11" xfId="1" applyNumberFormat="1" applyFont="1" applyFill="1" applyBorder="1" applyProtection="1"/>
    <xf numFmtId="0" fontId="0" fillId="0" borderId="0" xfId="2" applyFont="1" applyBorder="1" applyProtection="1"/>
    <xf numFmtId="0" fontId="0" fillId="0" borderId="0" xfId="2" applyFont="1" applyBorder="1" applyAlignment="1" applyProtection="1">
      <alignment horizontal="left"/>
    </xf>
    <xf numFmtId="0" fontId="0" fillId="0" borderId="0" xfId="2" applyFont="1" applyBorder="1" applyAlignment="1" applyProtection="1">
      <alignment horizontal="left" vertical="top"/>
    </xf>
    <xf numFmtId="0" fontId="0" fillId="0" borderId="1" xfId="0" applyFont="1" applyBorder="1" applyProtection="1"/>
    <xf numFmtId="0" fontId="0" fillId="0" borderId="11" xfId="0" applyFont="1" applyBorder="1" applyProtection="1"/>
    <xf numFmtId="4" fontId="0" fillId="0" borderId="9" xfId="0" applyNumberFormat="1" applyFont="1" applyFill="1" applyBorder="1" applyProtection="1"/>
    <xf numFmtId="2" fontId="0" fillId="0" borderId="9" xfId="0" applyNumberFormat="1" applyFont="1" applyFill="1" applyBorder="1" applyProtection="1"/>
    <xf numFmtId="0" fontId="15" fillId="0" borderId="0" xfId="1" applyFont="1" applyFill="1" applyBorder="1" applyAlignment="1" applyProtection="1"/>
    <xf numFmtId="0" fontId="15" fillId="0" borderId="0" xfId="1" applyFont="1" applyFill="1" applyBorder="1" applyProtection="1"/>
    <xf numFmtId="164" fontId="15" fillId="0" borderId="0" xfId="1" applyNumberFormat="1" applyFont="1" applyFill="1" applyBorder="1" applyAlignment="1" applyProtection="1">
      <alignment horizontal="right"/>
    </xf>
    <xf numFmtId="4" fontId="3" fillId="0" borderId="13" xfId="1" applyNumberFormat="1" applyFont="1" applyFill="1" applyBorder="1" applyProtection="1"/>
    <xf numFmtId="0" fontId="16" fillId="0" borderId="0" xfId="1" applyFont="1" applyBorder="1" applyAlignment="1" applyProtection="1"/>
    <xf numFmtId="0" fontId="16" fillId="0" borderId="0" xfId="1" applyFont="1" applyFill="1" applyBorder="1" applyAlignment="1" applyProtection="1"/>
    <xf numFmtId="0" fontId="3" fillId="0" borderId="0" xfId="1" applyFont="1" applyFill="1" applyBorder="1" applyProtection="1"/>
    <xf numFmtId="164" fontId="14" fillId="0" borderId="0" xfId="1" applyNumberFormat="1" applyFont="1" applyFill="1" applyBorder="1" applyAlignment="1" applyProtection="1">
      <alignment horizontal="right"/>
    </xf>
    <xf numFmtId="0" fontId="0" fillId="0" borderId="0" xfId="1" applyFont="1" applyBorder="1" applyAlignment="1" applyProtection="1">
      <alignment horizontal="left"/>
    </xf>
    <xf numFmtId="0" fontId="0" fillId="0" borderId="0" xfId="1" applyFont="1" applyBorder="1" applyAlignment="1" applyProtection="1">
      <alignment horizontal="right"/>
    </xf>
    <xf numFmtId="2" fontId="0" fillId="0" borderId="0" xfId="0" applyNumberFormat="1" applyFont="1" applyBorder="1" applyProtection="1"/>
    <xf numFmtId="0" fontId="15" fillId="0" borderId="0" xfId="1" applyFont="1" applyBorder="1" applyAlignment="1" applyProtection="1">
      <alignment horizontal="right"/>
    </xf>
    <xf numFmtId="2" fontId="0" fillId="0" borderId="6" xfId="0" applyNumberFormat="1" applyFont="1" applyBorder="1" applyProtection="1"/>
    <xf numFmtId="0" fontId="14" fillId="0" borderId="0" xfId="1" applyFont="1" applyFill="1" applyBorder="1" applyAlignment="1" applyProtection="1"/>
    <xf numFmtId="0" fontId="0" fillId="0" borderId="0" xfId="1" applyFont="1" applyBorder="1" applyProtection="1"/>
    <xf numFmtId="2" fontId="0" fillId="0" borderId="0" xfId="1" applyNumberFormat="1" applyFont="1" applyBorder="1" applyAlignment="1" applyProtection="1"/>
    <xf numFmtId="0" fontId="0" fillId="0" borderId="0" xfId="1" applyFont="1" applyBorder="1" applyAlignment="1" applyProtection="1"/>
    <xf numFmtId="0" fontId="0" fillId="0" borderId="0" xfId="0" applyFont="1" applyBorder="1" applyAlignment="1" applyProtection="1"/>
    <xf numFmtId="0" fontId="0" fillId="0" borderId="0" xfId="0" applyFont="1" applyAlignment="1" applyProtection="1">
      <alignment horizontal="right"/>
    </xf>
    <xf numFmtId="0" fontId="6" fillId="0" borderId="0" xfId="2" applyFont="1" applyBorder="1" applyAlignment="1" applyProtection="1">
      <alignment horizontal="left"/>
    </xf>
    <xf numFmtId="0" fontId="6" fillId="0" borderId="0" xfId="2" applyFont="1" applyBorder="1" applyAlignment="1" applyProtection="1">
      <alignment horizontal="left" vertical="top"/>
    </xf>
    <xf numFmtId="164" fontId="6" fillId="0" borderId="10" xfId="0" applyNumberFormat="1" applyFont="1" applyBorder="1" applyProtection="1"/>
    <xf numFmtId="164" fontId="6" fillId="0" borderId="11" xfId="0" applyNumberFormat="1" applyFont="1" applyBorder="1" applyProtection="1"/>
    <xf numFmtId="0" fontId="6" fillId="0" borderId="0" xfId="0" applyFont="1" applyBorder="1" applyAlignment="1" applyProtection="1">
      <alignment horizontal="left"/>
    </xf>
    <xf numFmtId="0" fontId="19" fillId="0" borderId="8" xfId="1" applyFont="1" applyBorder="1" applyAlignment="1" applyProtection="1">
      <alignment horizontal="left" vertical="top"/>
    </xf>
    <xf numFmtId="0" fontId="3" fillId="0" borderId="8" xfId="1" applyFont="1" applyBorder="1" applyAlignment="1" applyProtection="1">
      <alignment vertical="top"/>
    </xf>
    <xf numFmtId="0" fontId="3" fillId="0" borderId="8" xfId="1" applyFont="1" applyBorder="1" applyAlignment="1" applyProtection="1">
      <alignment horizontal="left" vertical="top"/>
    </xf>
    <xf numFmtId="0" fontId="18" fillId="0" borderId="13" xfId="0" applyFont="1" applyBorder="1" applyProtection="1"/>
    <xf numFmtId="0" fontId="8" fillId="0" borderId="0" xfId="1" applyFont="1" applyBorder="1" applyProtection="1"/>
    <xf numFmtId="0" fontId="6" fillId="0" borderId="5" xfId="1" applyFont="1" applyBorder="1" applyProtection="1"/>
    <xf numFmtId="0" fontId="8" fillId="0" borderId="0" xfId="1" applyFont="1" applyBorder="1" applyAlignment="1" applyProtection="1"/>
    <xf numFmtId="0" fontId="8" fillId="0" borderId="5" xfId="1" applyFont="1" applyBorder="1" applyProtection="1"/>
    <xf numFmtId="0" fontId="18" fillId="0" borderId="8" xfId="0" applyFont="1" applyBorder="1" applyProtection="1"/>
    <xf numFmtId="164" fontId="18" fillId="0" borderId="9" xfId="0" applyNumberFormat="1" applyFont="1" applyBorder="1" applyAlignment="1" applyProtection="1">
      <alignment horizontal="right"/>
    </xf>
    <xf numFmtId="4" fontId="18" fillId="0" borderId="4" xfId="0" applyNumberFormat="1" applyFont="1" applyBorder="1" applyAlignment="1" applyProtection="1">
      <alignment horizontal="right"/>
    </xf>
    <xf numFmtId="2" fontId="18" fillId="0" borderId="4" xfId="0" applyNumberFormat="1" applyFont="1" applyBorder="1" applyAlignment="1" applyProtection="1">
      <alignment horizontal="right"/>
    </xf>
    <xf numFmtId="0" fontId="19" fillId="0" borderId="3" xfId="1" applyFont="1" applyBorder="1" applyAlignment="1" applyProtection="1">
      <alignment horizontal="left" vertical="top"/>
    </xf>
    <xf numFmtId="0" fontId="18" fillId="0" borderId="12" xfId="0" applyFont="1" applyBorder="1" applyAlignment="1" applyProtection="1">
      <alignment vertical="top" wrapText="1"/>
    </xf>
    <xf numFmtId="0" fontId="12" fillId="0" borderId="0" xfId="1" applyFont="1" applyFill="1" applyBorder="1" applyAlignment="1" applyProtection="1"/>
    <xf numFmtId="0" fontId="12" fillId="0" borderId="0" xfId="1" applyFont="1" applyBorder="1" applyAlignment="1" applyProtection="1"/>
    <xf numFmtId="0" fontId="19" fillId="0" borderId="0" xfId="1" applyFont="1" applyAlignment="1" applyProtection="1">
      <alignment horizontal="left" vertical="top"/>
    </xf>
    <xf numFmtId="0" fontId="19" fillId="0" borderId="0" xfId="1" applyFont="1" applyAlignment="1" applyProtection="1">
      <alignment horizontal="left" vertical="top"/>
    </xf>
    <xf numFmtId="0" fontId="19" fillId="0" borderId="0" xfId="1" applyFont="1" applyAlignment="1" applyProtection="1">
      <alignment horizontal="left" vertical="top"/>
    </xf>
    <xf numFmtId="0" fontId="0" fillId="0" borderId="0" xfId="0" applyProtection="1"/>
    <xf numFmtId="0" fontId="0" fillId="0" borderId="0" xfId="0" applyFont="1" applyAlignment="1" applyProtection="1">
      <alignment horizontal="left" vertical="top"/>
    </xf>
    <xf numFmtId="0" fontId="0" fillId="0" borderId="0" xfId="0" applyFont="1" applyAlignment="1" applyProtection="1">
      <alignment vertical="top"/>
    </xf>
    <xf numFmtId="0" fontId="0" fillId="0" borderId="0" xfId="0" applyFont="1" applyFill="1" applyAlignment="1" applyProtection="1">
      <alignment horizontal="left" vertical="top"/>
    </xf>
    <xf numFmtId="0" fontId="9" fillId="0" borderId="0" xfId="0" applyFont="1" applyAlignment="1" applyProtection="1">
      <alignment horizontal="left" vertical="top"/>
    </xf>
    <xf numFmtId="0" fontId="0" fillId="0" borderId="0" xfId="0" applyFont="1" applyFill="1" applyAlignment="1" applyProtection="1">
      <alignment vertical="top"/>
    </xf>
    <xf numFmtId="0" fontId="12" fillId="0" borderId="0" xfId="0" applyFont="1" applyAlignment="1" applyProtection="1">
      <alignment horizontal="left" vertical="top" wrapText="1"/>
    </xf>
    <xf numFmtId="0" fontId="21" fillId="0" borderId="0" xfId="0" applyFont="1" applyProtection="1"/>
    <xf numFmtId="14" fontId="13" fillId="0" borderId="0" xfId="1" applyNumberFormat="1" applyFont="1" applyBorder="1" applyAlignment="1" applyProtection="1">
      <alignment horizontal="left" vertical="top"/>
    </xf>
    <xf numFmtId="0" fontId="0" fillId="0" borderId="0" xfId="0" applyFont="1" applyFill="1" applyBorder="1" applyAlignment="1" applyProtection="1">
      <alignment horizontal="right"/>
    </xf>
    <xf numFmtId="0" fontId="22" fillId="0" borderId="0" xfId="0" applyFont="1" applyProtection="1"/>
    <xf numFmtId="0" fontId="0" fillId="2" borderId="0" xfId="0" applyFont="1" applyFill="1" applyProtection="1"/>
    <xf numFmtId="0" fontId="0" fillId="2" borderId="0" xfId="0" applyFont="1" applyFill="1" applyBorder="1" applyProtection="1"/>
    <xf numFmtId="164" fontId="15" fillId="2" borderId="0" xfId="1" applyNumberFormat="1" applyFont="1" applyFill="1" applyBorder="1" applyAlignment="1" applyProtection="1">
      <alignment horizontal="right"/>
    </xf>
    <xf numFmtId="164" fontId="14" fillId="2" borderId="0" xfId="1" applyNumberFormat="1" applyFont="1" applyFill="1" applyBorder="1" applyAlignment="1" applyProtection="1">
      <alignment horizontal="right"/>
    </xf>
    <xf numFmtId="164" fontId="0" fillId="2" borderId="0" xfId="0" applyNumberFormat="1" applyFont="1" applyFill="1" applyBorder="1" applyProtection="1"/>
    <xf numFmtId="14" fontId="6" fillId="3" borderId="0" xfId="1" applyNumberFormat="1" applyFont="1" applyFill="1" applyBorder="1" applyAlignment="1" applyProtection="1">
      <alignment horizontal="left" vertical="top"/>
      <protection locked="0"/>
    </xf>
    <xf numFmtId="14" fontId="6" fillId="4" borderId="0" xfId="1" applyNumberFormat="1" applyFont="1" applyFill="1" applyBorder="1" applyAlignment="1" applyProtection="1">
      <alignment horizontal="left"/>
      <protection locked="0"/>
    </xf>
    <xf numFmtId="0" fontId="6" fillId="4" borderId="0" xfId="1" applyFont="1" applyFill="1" applyBorder="1" applyAlignment="1" applyProtection="1">
      <alignment horizontal="left"/>
      <protection locked="0"/>
    </xf>
    <xf numFmtId="0" fontId="6" fillId="5" borderId="0" xfId="1" applyFont="1" applyFill="1" applyBorder="1" applyAlignment="1" applyProtection="1">
      <alignment horizontal="left"/>
      <protection locked="0"/>
    </xf>
    <xf numFmtId="1" fontId="6" fillId="4" borderId="0" xfId="1" applyNumberFormat="1" applyFont="1" applyFill="1" applyBorder="1" applyAlignment="1" applyProtection="1">
      <alignment horizontal="left"/>
      <protection locked="0"/>
    </xf>
    <xf numFmtId="4" fontId="6" fillId="5" borderId="7" xfId="1" applyNumberFormat="1" applyFont="1" applyFill="1" applyBorder="1" applyAlignment="1" applyProtection="1">
      <alignment horizontal="right"/>
      <protection locked="0"/>
    </xf>
    <xf numFmtId="4" fontId="6" fillId="5" borderId="1" xfId="1" applyNumberFormat="1" applyFont="1" applyFill="1" applyBorder="1" applyAlignment="1" applyProtection="1">
      <alignment horizontal="right"/>
      <protection locked="0"/>
    </xf>
    <xf numFmtId="2" fontId="6" fillId="5" borderId="3" xfId="1" applyNumberFormat="1" applyFont="1" applyFill="1" applyBorder="1" applyAlignment="1" applyProtection="1">
      <alignment horizontal="right"/>
      <protection locked="0"/>
    </xf>
    <xf numFmtId="2" fontId="6" fillId="5" borderId="1" xfId="1" applyNumberFormat="1" applyFont="1" applyFill="1" applyBorder="1" applyAlignment="1" applyProtection="1">
      <alignment horizontal="right"/>
      <protection locked="0"/>
    </xf>
    <xf numFmtId="4" fontId="6" fillId="5" borderId="12" xfId="1" applyNumberFormat="1" applyFont="1" applyFill="1" applyBorder="1" applyAlignment="1" applyProtection="1">
      <alignment horizontal="right"/>
      <protection locked="0"/>
    </xf>
    <xf numFmtId="4" fontId="8" fillId="0" borderId="2" xfId="1" applyNumberFormat="1" applyFont="1" applyFill="1" applyBorder="1" applyAlignment="1" applyProtection="1">
      <alignment horizontal="right"/>
    </xf>
    <xf numFmtId="4" fontId="6" fillId="0" borderId="14" xfId="0" applyNumberFormat="1" applyFont="1" applyFill="1" applyBorder="1" applyProtection="1"/>
    <xf numFmtId="4" fontId="6" fillId="0" borderId="15" xfId="1" applyNumberFormat="1" applyFont="1" applyFill="1" applyBorder="1" applyAlignment="1" applyProtection="1">
      <alignment horizontal="right"/>
    </xf>
    <xf numFmtId="4" fontId="6" fillId="4" borderId="7" xfId="1" applyNumberFormat="1" applyFont="1" applyFill="1" applyBorder="1" applyAlignment="1" applyProtection="1">
      <alignment horizontal="right"/>
      <protection locked="0"/>
    </xf>
    <xf numFmtId="4" fontId="0" fillId="0" borderId="13" xfId="0" applyNumberFormat="1" applyFont="1" applyBorder="1" applyAlignment="1" applyProtection="1">
      <alignment horizontal="right"/>
    </xf>
    <xf numFmtId="4" fontId="6" fillId="0" borderId="7" xfId="1" applyNumberFormat="1" applyFont="1" applyFill="1" applyBorder="1" applyAlignment="1" applyProtection="1">
      <alignment horizontal="right"/>
      <protection locked="0"/>
    </xf>
    <xf numFmtId="0" fontId="0" fillId="0" borderId="1" xfId="0" applyBorder="1"/>
    <xf numFmtId="0" fontId="6" fillId="4" borderId="0" xfId="1" applyFont="1" applyFill="1" applyBorder="1" applyAlignment="1" applyProtection="1">
      <alignment horizontal="left"/>
      <protection locked="0"/>
    </xf>
    <xf numFmtId="0" fontId="6" fillId="4" borderId="11" xfId="1" applyFont="1" applyFill="1" applyBorder="1" applyAlignment="1" applyProtection="1">
      <alignment horizontal="left"/>
      <protection locked="0"/>
    </xf>
    <xf numFmtId="0" fontId="0" fillId="0" borderId="0" xfId="1" applyFont="1" applyBorder="1" applyAlignment="1" applyProtection="1">
      <alignment horizontal="right"/>
    </xf>
    <xf numFmtId="0" fontId="19" fillId="0" borderId="0" xfId="1" applyFont="1" applyAlignment="1" applyProtection="1">
      <alignment horizontal="left" vertical="top"/>
    </xf>
    <xf numFmtId="0" fontId="20" fillId="0" borderId="0" xfId="0" applyFont="1" applyAlignment="1" applyProtection="1">
      <alignment horizontal="left"/>
    </xf>
    <xf numFmtId="0" fontId="11" fillId="0" borderId="6" xfId="0" applyFont="1" applyBorder="1" applyAlignment="1" applyProtection="1">
      <alignment horizontal="right"/>
    </xf>
    <xf numFmtId="164" fontId="6" fillId="5" borderId="1" xfId="1" applyNumberFormat="1" applyFont="1" applyFill="1" applyBorder="1" applyAlignment="1" applyProtection="1">
      <alignment horizontal="left" vertical="top"/>
      <protection locked="0"/>
    </xf>
    <xf numFmtId="164" fontId="6" fillId="5" borderId="0" xfId="1" applyNumberFormat="1" applyFont="1" applyFill="1" applyBorder="1" applyAlignment="1" applyProtection="1">
      <alignment horizontal="left" vertical="top"/>
      <protection locked="0"/>
    </xf>
    <xf numFmtId="0" fontId="18" fillId="0" borderId="3" xfId="0" applyFont="1" applyBorder="1" applyProtection="1"/>
    <xf numFmtId="0" fontId="18" fillId="0" borderId="5" xfId="0" applyFont="1" applyBorder="1" applyProtection="1"/>
    <xf numFmtId="0" fontId="18" fillId="0" borderId="10" xfId="0" applyFont="1" applyBorder="1" applyProtection="1"/>
    <xf numFmtId="164" fontId="8" fillId="0" borderId="3" xfId="1" applyNumberFormat="1" applyFont="1" applyFill="1" applyBorder="1" applyAlignment="1" applyProtection="1">
      <alignment horizontal="left" vertical="top"/>
    </xf>
    <xf numFmtId="164" fontId="8" fillId="0" borderId="5" xfId="1" applyNumberFormat="1" applyFont="1" applyFill="1" applyBorder="1" applyAlignment="1" applyProtection="1">
      <alignment horizontal="left" vertical="top"/>
    </xf>
    <xf numFmtId="0" fontId="6" fillId="5" borderId="0" xfId="1" applyFont="1" applyFill="1" applyBorder="1" applyAlignment="1" applyProtection="1">
      <alignment horizontal="left"/>
      <protection locked="0"/>
    </xf>
    <xf numFmtId="0" fontId="6" fillId="0" borderId="0" xfId="0" applyFont="1" applyAlignment="1" applyProtection="1">
      <alignment horizontal="left"/>
    </xf>
    <xf numFmtId="0" fontId="6" fillId="5" borderId="0" xfId="1" applyNumberFormat="1" applyFont="1" applyFill="1" applyBorder="1" applyAlignment="1" applyProtection="1">
      <alignment horizontal="left"/>
      <protection locked="0"/>
    </xf>
    <xf numFmtId="0" fontId="6" fillId="4" borderId="0" xfId="1" applyNumberFormat="1" applyFont="1" applyFill="1" applyBorder="1" applyAlignment="1" applyProtection="1">
      <alignment horizontal="left" vertical="top"/>
      <protection locked="0"/>
    </xf>
    <xf numFmtId="0" fontId="6" fillId="4" borderId="0" xfId="3" applyFont="1" applyFill="1" applyBorder="1" applyAlignment="1" applyProtection="1">
      <alignment horizontal="left" vertical="top"/>
      <protection locked="0"/>
    </xf>
    <xf numFmtId="0" fontId="6" fillId="4" borderId="0" xfId="1" applyFont="1" applyFill="1" applyBorder="1" applyAlignment="1" applyProtection="1">
      <alignment horizontal="left" vertical="top"/>
      <protection locked="0"/>
    </xf>
    <xf numFmtId="0" fontId="7" fillId="0" borderId="5" xfId="1" applyFont="1" applyBorder="1" applyAlignment="1" applyProtection="1">
      <alignment horizontal="left"/>
    </xf>
    <xf numFmtId="0" fontId="7" fillId="0" borderId="5" xfId="1" applyFont="1" applyBorder="1" applyAlignment="1" applyProtection="1">
      <alignment horizontal="left" wrapText="1"/>
    </xf>
    <xf numFmtId="0" fontId="23" fillId="0" borderId="0" xfId="0" applyFont="1" applyFill="1" applyAlignment="1" applyProtection="1">
      <alignment horizontal="left" vertical="top" wrapText="1"/>
    </xf>
    <xf numFmtId="0" fontId="6" fillId="4" borderId="0" xfId="1" applyNumberFormat="1" applyFont="1" applyFill="1" applyBorder="1" applyAlignment="1" applyProtection="1">
      <alignment vertical="top"/>
      <protection locked="0"/>
    </xf>
    <xf numFmtId="0" fontId="11" fillId="0" borderId="1" xfId="0" applyFont="1" applyBorder="1" applyAlignment="1" applyProtection="1">
      <alignment horizontal="right"/>
    </xf>
    <xf numFmtId="0" fontId="11" fillId="0" borderId="0" xfId="0" applyFont="1" applyBorder="1" applyAlignment="1" applyProtection="1">
      <alignment horizontal="right"/>
    </xf>
  </cellXfs>
  <cellStyles count="4">
    <cellStyle name="Excel Built-in Normal" xfId="1"/>
    <cellStyle name="Hyperlink" xfId="3" builtinId="8"/>
    <cellStyle name="Standaard" xfId="0" builtinId="0"/>
    <cellStyle name="Standaard 2"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DEADA"/>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BF1DE"/>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CD5B5"/>
      <rgbColor rgb="003366FF"/>
      <rgbColor rgb="0033CCCC"/>
      <rgbColor rgb="0092D05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720A"/>
      <color rgb="FFFBC69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748393</xdr:colOff>
      <xdr:row>3</xdr:row>
      <xdr:rowOff>67490</xdr:rowOff>
    </xdr:to>
    <xdr:pic>
      <xdr:nvPicPr>
        <xdr:cNvPr id="2" name="Afbeelding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456214" cy="829490"/>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DEADA"/>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DEADA"/>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62"/>
  <sheetViews>
    <sheetView tabSelected="1" zoomScale="70" zoomScaleNormal="70" workbookViewId="0">
      <selection activeCell="D9" sqref="D9"/>
    </sheetView>
  </sheetViews>
  <sheetFormatPr defaultColWidth="9.140625" defaultRowHeight="12.75" x14ac:dyDescent="0.2"/>
  <cols>
    <col min="1" max="1" width="7.5703125" style="12" customWidth="1"/>
    <col min="2" max="2" width="17.5703125" style="12" customWidth="1"/>
    <col min="3" max="3" width="15.5703125" style="12" customWidth="1"/>
    <col min="4" max="4" width="19.7109375" style="12" customWidth="1"/>
    <col min="5" max="5" width="17.85546875" style="12" customWidth="1"/>
    <col min="6" max="6" width="15.85546875" style="12" customWidth="1"/>
    <col min="7" max="7" width="12.42578125" style="12" customWidth="1"/>
    <col min="8" max="8" width="28.85546875" style="12" customWidth="1"/>
    <col min="9" max="9" width="15.42578125" style="12" customWidth="1"/>
    <col min="10" max="10" width="4.140625" style="12" customWidth="1"/>
    <col min="11" max="11" width="28.85546875" style="12" customWidth="1"/>
    <col min="12" max="12" width="18" style="12" customWidth="1"/>
    <col min="13" max="13" width="13.140625" style="12" customWidth="1"/>
    <col min="14" max="14" width="14.5703125" style="12" customWidth="1"/>
    <col min="15" max="15" width="6.42578125" style="12" customWidth="1"/>
    <col min="16" max="16" width="5.140625" style="12" customWidth="1"/>
    <col min="17" max="17" width="10.42578125" style="12" bestFit="1" customWidth="1"/>
    <col min="18" max="19" width="9.28515625" style="12" bestFit="1" customWidth="1"/>
    <col min="20" max="16384" width="9.140625" style="12"/>
  </cols>
  <sheetData>
    <row r="1" spans="1:16" ht="33.75" x14ac:dyDescent="0.5">
      <c r="E1" s="174" t="s">
        <v>96</v>
      </c>
      <c r="P1" s="175"/>
    </row>
    <row r="2" spans="1:16" x14ac:dyDescent="0.2">
      <c r="B2" s="108"/>
      <c r="C2" s="108"/>
      <c r="D2" s="108"/>
      <c r="E2" s="108"/>
      <c r="P2" s="175"/>
    </row>
    <row r="3" spans="1:16" x14ac:dyDescent="0.2">
      <c r="B3" s="108"/>
      <c r="C3" s="108"/>
      <c r="D3" s="108"/>
      <c r="E3" s="108"/>
      <c r="P3" s="175"/>
    </row>
    <row r="4" spans="1:16" x14ac:dyDescent="0.2">
      <c r="B4" s="108"/>
      <c r="C4" s="108"/>
      <c r="D4" s="108"/>
      <c r="E4" s="108"/>
      <c r="P4" s="175"/>
    </row>
    <row r="5" spans="1:16" x14ac:dyDescent="0.2">
      <c r="A5" s="108"/>
      <c r="B5" s="108"/>
      <c r="C5" s="108"/>
      <c r="D5" s="108"/>
      <c r="E5" s="108"/>
      <c r="P5" s="175"/>
    </row>
    <row r="6" spans="1:16" x14ac:dyDescent="0.2">
      <c r="E6" s="13"/>
      <c r="L6" s="114"/>
      <c r="P6" s="175"/>
    </row>
    <row r="7" spans="1:16" ht="18" x14ac:dyDescent="0.2">
      <c r="A7" s="161" t="s">
        <v>75</v>
      </c>
      <c r="B7" s="107"/>
      <c r="C7" s="107"/>
      <c r="D7" s="107"/>
      <c r="E7" s="14"/>
      <c r="H7" s="107"/>
      <c r="I7" s="107"/>
      <c r="J7" s="107"/>
      <c r="K7" s="114"/>
      <c r="P7" s="175"/>
    </row>
    <row r="8" spans="1:16" ht="18" x14ac:dyDescent="0.2">
      <c r="A8" s="163"/>
      <c r="B8" s="107"/>
      <c r="C8" s="107"/>
      <c r="D8" s="107"/>
      <c r="E8" s="14"/>
      <c r="H8" s="107"/>
      <c r="I8" s="107"/>
      <c r="J8" s="107"/>
      <c r="K8" s="114"/>
      <c r="P8" s="175"/>
    </row>
    <row r="9" spans="1:16" ht="18" x14ac:dyDescent="0.2">
      <c r="A9" s="163"/>
      <c r="B9" s="108" t="s">
        <v>94</v>
      </c>
      <c r="C9" s="107"/>
      <c r="D9" s="180"/>
      <c r="E9" s="167"/>
      <c r="H9" s="107"/>
      <c r="I9" s="107"/>
      <c r="J9" s="107"/>
      <c r="K9" s="114"/>
      <c r="P9" s="175"/>
    </row>
    <row r="10" spans="1:16" ht="18" x14ac:dyDescent="0.2">
      <c r="A10" s="163"/>
      <c r="B10" s="107"/>
      <c r="C10" s="107"/>
      <c r="D10" s="168"/>
      <c r="E10" s="167"/>
      <c r="H10" s="107"/>
      <c r="I10" s="107"/>
      <c r="J10" s="107"/>
      <c r="K10" s="114"/>
      <c r="P10" s="175"/>
    </row>
    <row r="11" spans="1:16" ht="15.75" x14ac:dyDescent="0.2">
      <c r="B11" s="106" t="s">
        <v>74</v>
      </c>
      <c r="C11" s="108"/>
      <c r="D11" s="166"/>
      <c r="E11" s="169"/>
      <c r="I11" s="106" t="s">
        <v>76</v>
      </c>
      <c r="L11" s="114"/>
      <c r="P11" s="175"/>
    </row>
    <row r="12" spans="1:16" x14ac:dyDescent="0.2">
      <c r="B12" s="140" t="s">
        <v>83</v>
      </c>
      <c r="D12" s="213"/>
      <c r="E12" s="213"/>
      <c r="F12" s="171" t="str">
        <f>IF(D12&lt;&gt;"",IF(D9="","De aanmelddatum is nog niet ingevoerd.",""),"")</f>
        <v/>
      </c>
      <c r="G12" s="15"/>
      <c r="I12" s="140" t="s">
        <v>54</v>
      </c>
      <c r="J12" s="115"/>
      <c r="K12" s="115"/>
      <c r="L12" s="215"/>
      <c r="M12" s="215"/>
      <c r="N12" s="215"/>
      <c r="P12" s="175"/>
    </row>
    <row r="13" spans="1:16" x14ac:dyDescent="0.2">
      <c r="B13" s="140" t="s">
        <v>55</v>
      </c>
      <c r="C13" s="115"/>
      <c r="D13" s="213"/>
      <c r="E13" s="213"/>
      <c r="G13" s="15"/>
      <c r="I13" s="140" t="s">
        <v>55</v>
      </c>
      <c r="J13" s="115"/>
      <c r="K13" s="115"/>
      <c r="L13" s="215"/>
      <c r="M13" s="215"/>
      <c r="N13" s="215"/>
      <c r="P13" s="175"/>
    </row>
    <row r="14" spans="1:16" x14ac:dyDescent="0.2">
      <c r="B14" s="141" t="s">
        <v>56</v>
      </c>
      <c r="C14" s="116"/>
      <c r="D14" s="213"/>
      <c r="E14" s="213"/>
      <c r="G14" s="15"/>
      <c r="I14" s="141" t="s">
        <v>56</v>
      </c>
      <c r="J14" s="116"/>
      <c r="K14" s="116"/>
      <c r="L14" s="215"/>
      <c r="M14" s="215"/>
      <c r="N14" s="215"/>
      <c r="P14" s="175"/>
    </row>
    <row r="15" spans="1:16" x14ac:dyDescent="0.2">
      <c r="B15" s="141" t="s">
        <v>57</v>
      </c>
      <c r="C15" s="116"/>
      <c r="D15" s="219"/>
      <c r="E15" s="219"/>
      <c r="G15" s="15"/>
      <c r="I15" s="141" t="s">
        <v>57</v>
      </c>
      <c r="J15" s="116"/>
      <c r="K15" s="116"/>
      <c r="L15" s="215"/>
      <c r="M15" s="215"/>
      <c r="N15" s="215"/>
      <c r="P15" s="175"/>
    </row>
    <row r="16" spans="1:16" x14ac:dyDescent="0.2">
      <c r="B16" s="57"/>
      <c r="D16" s="165"/>
      <c r="E16" s="165"/>
      <c r="G16" s="15"/>
      <c r="I16" s="141"/>
      <c r="J16" s="116"/>
      <c r="K16" s="116"/>
      <c r="L16" s="165"/>
      <c r="M16" s="165"/>
      <c r="N16" s="166"/>
      <c r="P16" s="175"/>
    </row>
    <row r="17" spans="1:16" x14ac:dyDescent="0.2">
      <c r="B17" s="140" t="s">
        <v>59</v>
      </c>
      <c r="C17" s="115"/>
      <c r="D17" s="215"/>
      <c r="E17" s="215"/>
      <c r="F17" s="16"/>
      <c r="G17" s="15"/>
      <c r="I17" s="140" t="s">
        <v>84</v>
      </c>
      <c r="J17" s="115"/>
      <c r="K17" s="115"/>
      <c r="L17" s="215"/>
      <c r="M17" s="215"/>
      <c r="N17" s="215"/>
      <c r="P17" s="175"/>
    </row>
    <row r="18" spans="1:16" x14ac:dyDescent="0.2">
      <c r="B18" s="140" t="s">
        <v>58</v>
      </c>
      <c r="C18" s="115"/>
      <c r="D18" s="214"/>
      <c r="E18" s="215"/>
      <c r="F18" s="16"/>
      <c r="G18" s="15"/>
      <c r="I18" s="140" t="s">
        <v>59</v>
      </c>
      <c r="J18" s="115"/>
      <c r="K18" s="115"/>
      <c r="L18" s="215"/>
      <c r="M18" s="215"/>
      <c r="N18" s="215"/>
      <c r="P18" s="175"/>
    </row>
    <row r="19" spans="1:16" x14ac:dyDescent="0.2">
      <c r="B19" s="57"/>
      <c r="D19" s="166"/>
      <c r="E19" s="170"/>
      <c r="F19" s="16"/>
      <c r="G19" s="15"/>
      <c r="I19" s="140" t="s">
        <v>58</v>
      </c>
      <c r="J19" s="115"/>
      <c r="K19" s="115"/>
      <c r="L19" s="215"/>
      <c r="M19" s="215"/>
      <c r="N19" s="215"/>
      <c r="P19" s="175"/>
    </row>
    <row r="20" spans="1:16" x14ac:dyDescent="0.2">
      <c r="E20" s="16"/>
      <c r="F20" s="16"/>
      <c r="G20" s="15"/>
      <c r="I20" s="115"/>
      <c r="J20" s="115"/>
      <c r="K20" s="17"/>
      <c r="P20" s="175"/>
    </row>
    <row r="21" spans="1:16" x14ac:dyDescent="0.2">
      <c r="E21" s="16"/>
      <c r="F21" s="16"/>
      <c r="G21" s="15"/>
      <c r="I21" s="115"/>
      <c r="J21" s="115"/>
      <c r="K21" s="17"/>
      <c r="P21" s="175"/>
    </row>
    <row r="22" spans="1:16" ht="29.25" customHeight="1" x14ac:dyDescent="0.2">
      <c r="B22" s="218" t="s">
        <v>60</v>
      </c>
      <c r="C22" s="218"/>
      <c r="D22" s="218"/>
      <c r="F22" s="16"/>
      <c r="G22" s="15"/>
      <c r="L22" s="17"/>
      <c r="P22" s="175"/>
    </row>
    <row r="23" spans="1:16" x14ac:dyDescent="0.2">
      <c r="F23" s="16"/>
      <c r="G23" s="15"/>
      <c r="P23" s="175"/>
    </row>
    <row r="24" spans="1:16" x14ac:dyDescent="0.2">
      <c r="C24" s="108"/>
      <c r="G24" s="15"/>
      <c r="H24" s="115"/>
      <c r="I24" s="17"/>
      <c r="J24" s="17"/>
      <c r="K24" s="17"/>
      <c r="P24" s="175"/>
    </row>
    <row r="25" spans="1:16" ht="18" x14ac:dyDescent="0.25">
      <c r="A25" s="200" t="s">
        <v>50</v>
      </c>
      <c r="B25" s="201"/>
      <c r="C25" s="201"/>
      <c r="D25" s="201"/>
      <c r="E25" s="14"/>
      <c r="G25" s="15"/>
      <c r="P25" s="175"/>
    </row>
    <row r="26" spans="1:16" x14ac:dyDescent="0.2">
      <c r="C26" s="18"/>
      <c r="G26" s="15"/>
      <c r="P26" s="175"/>
    </row>
    <row r="27" spans="1:16" x14ac:dyDescent="0.2">
      <c r="B27" s="108" t="s">
        <v>73</v>
      </c>
      <c r="C27" s="18"/>
      <c r="D27" s="181"/>
      <c r="G27" s="15"/>
      <c r="P27" s="175"/>
    </row>
    <row r="28" spans="1:16" ht="13.5" customHeight="1" x14ac:dyDescent="0.2">
      <c r="B28" s="108" t="s">
        <v>51</v>
      </c>
      <c r="C28" s="18"/>
      <c r="D28" s="181"/>
      <c r="F28" s="112" t="s">
        <v>95</v>
      </c>
      <c r="G28" s="172" t="str">
        <f>IF(D28&lt;&gt;"",D28,IF(D9&lt;&gt;"",D9,""))</f>
        <v/>
      </c>
      <c r="P28" s="175"/>
    </row>
    <row r="29" spans="1:16" x14ac:dyDescent="0.2">
      <c r="B29" s="108" t="s">
        <v>72</v>
      </c>
      <c r="D29" s="182"/>
      <c r="G29" s="15"/>
      <c r="L29" s="15"/>
      <c r="P29" s="175"/>
    </row>
    <row r="30" spans="1:16" x14ac:dyDescent="0.2">
      <c r="B30" s="108" t="s">
        <v>71</v>
      </c>
      <c r="D30" s="182"/>
      <c r="G30" s="15"/>
      <c r="K30" s="13"/>
      <c r="L30" s="15"/>
      <c r="P30" s="175"/>
    </row>
    <row r="31" spans="1:16" x14ac:dyDescent="0.2">
      <c r="D31" s="108"/>
      <c r="E31" s="14"/>
      <c r="G31" s="15"/>
      <c r="K31" s="13"/>
      <c r="P31" s="175"/>
    </row>
    <row r="32" spans="1:16" x14ac:dyDescent="0.2">
      <c r="K32" s="13"/>
      <c r="P32" s="175"/>
    </row>
    <row r="33" spans="1:16" ht="18" x14ac:dyDescent="0.2">
      <c r="A33" s="200" t="s">
        <v>52</v>
      </c>
      <c r="B33" s="200"/>
      <c r="C33" s="200"/>
      <c r="D33" s="200"/>
      <c r="E33" s="200"/>
      <c r="F33" s="200"/>
      <c r="H33" s="15"/>
      <c r="I33" s="15"/>
      <c r="J33" s="15"/>
      <c r="K33" s="34"/>
      <c r="L33" s="114"/>
      <c r="P33" s="175"/>
    </row>
    <row r="34" spans="1:16" ht="13.5" thickBot="1" x14ac:dyDescent="0.25">
      <c r="K34" s="34"/>
      <c r="L34" s="15"/>
      <c r="P34" s="175"/>
    </row>
    <row r="35" spans="1:16" ht="15.75" thickBot="1" x14ac:dyDescent="0.3">
      <c r="B35" s="146" t="s">
        <v>22</v>
      </c>
      <c r="C35" s="8"/>
      <c r="D35" s="8"/>
      <c r="E35" s="8"/>
      <c r="F35" s="8"/>
      <c r="G35" s="19"/>
      <c r="H35" s="20"/>
      <c r="I35" s="148" t="s">
        <v>11</v>
      </c>
      <c r="K35" s="34"/>
      <c r="L35" s="15"/>
      <c r="P35" s="175"/>
    </row>
    <row r="36" spans="1:16" ht="24.75" customHeight="1" x14ac:dyDescent="0.2">
      <c r="B36" s="1"/>
      <c r="C36" s="109" t="s">
        <v>80</v>
      </c>
      <c r="D36" s="216" t="s">
        <v>82</v>
      </c>
      <c r="E36" s="216"/>
      <c r="F36" s="10" t="s">
        <v>70</v>
      </c>
      <c r="G36" s="21" t="s">
        <v>13</v>
      </c>
      <c r="H36" s="142"/>
      <c r="I36" s="54"/>
      <c r="K36" s="34"/>
      <c r="L36" s="15"/>
      <c r="P36" s="175"/>
    </row>
    <row r="37" spans="1:16" x14ac:dyDescent="0.2">
      <c r="B37" s="2" t="s">
        <v>23</v>
      </c>
      <c r="C37" s="182"/>
      <c r="D37" s="211" t="str">
        <f>IF(D12&lt;&gt;"",D12,"")</f>
        <v/>
      </c>
      <c r="E37" s="211"/>
      <c r="F37" s="181"/>
      <c r="G37" s="57" t="str">
        <f>IF(F37&lt;&gt;"",IF($G$28&lt;&gt;"",IF((DAY(F37)+MONTH(F37)*31)&lt;=(DAY($G$28)+MONTH($G$28)*31),YEAR($G$28)-YEAR(F37),YEAR($G$28)-YEAR(F37)-1),""),"")</f>
        <v/>
      </c>
      <c r="H37" s="143"/>
      <c r="I37" s="54" t="str">
        <f>IF($D37&lt;&gt;"",180,"")</f>
        <v/>
      </c>
      <c r="K37" s="173"/>
      <c r="L37" s="15"/>
      <c r="P37" s="175"/>
    </row>
    <row r="38" spans="1:16" x14ac:dyDescent="0.2">
      <c r="B38" s="2" t="s">
        <v>24</v>
      </c>
      <c r="C38" s="182"/>
      <c r="D38" s="212"/>
      <c r="E38" s="212"/>
      <c r="F38" s="181"/>
      <c r="G38" s="57" t="str">
        <f>IF(F38&lt;&gt;"",IF($G$28&lt;&gt;"",IF((DAY(F38)+MONTH(F38)*31)&lt;=(DAY($G$28)+MONTH($G$28)*31),YEAR($G$28)-YEAR(F38),YEAR($G$28)-YEAR(F38)-1),""),"")</f>
        <v/>
      </c>
      <c r="H38" s="143"/>
      <c r="I38" s="54" t="str">
        <f>IF($D38&lt;&gt;"",60,"")</f>
        <v/>
      </c>
      <c r="K38" s="173"/>
      <c r="L38" s="15"/>
      <c r="P38" s="175"/>
    </row>
    <row r="39" spans="1:16" ht="13.5" thickBot="1" x14ac:dyDescent="0.25">
      <c r="B39" s="2"/>
      <c r="C39" s="17"/>
      <c r="D39" s="144"/>
      <c r="E39" s="144"/>
      <c r="F39" s="22"/>
      <c r="G39" s="144"/>
      <c r="H39" s="143"/>
      <c r="I39" s="54"/>
      <c r="K39" s="173"/>
      <c r="L39" s="15"/>
      <c r="P39" s="175"/>
    </row>
    <row r="40" spans="1:16" ht="15.75" thickBot="1" x14ac:dyDescent="0.25">
      <c r="B40" s="147" t="s">
        <v>12</v>
      </c>
      <c r="C40" s="9"/>
      <c r="D40" s="9"/>
      <c r="E40" s="9"/>
      <c r="F40" s="9"/>
      <c r="G40" s="23"/>
      <c r="H40" s="24"/>
      <c r="I40" s="54"/>
      <c r="K40" s="173"/>
      <c r="L40" s="15"/>
      <c r="P40" s="175"/>
    </row>
    <row r="41" spans="1:16" ht="25.5" x14ac:dyDescent="0.2">
      <c r="B41" s="3"/>
      <c r="C41" s="109" t="s">
        <v>80</v>
      </c>
      <c r="D41" s="217" t="s">
        <v>82</v>
      </c>
      <c r="E41" s="217"/>
      <c r="F41" s="25" t="s">
        <v>70</v>
      </c>
      <c r="G41" s="26" t="s">
        <v>13</v>
      </c>
      <c r="H41" s="27" t="s">
        <v>61</v>
      </c>
      <c r="I41" s="54"/>
      <c r="K41" s="173"/>
      <c r="L41" s="15"/>
      <c r="P41" s="175"/>
    </row>
    <row r="42" spans="1:16" x14ac:dyDescent="0.2">
      <c r="B42" s="2" t="s">
        <v>14</v>
      </c>
      <c r="C42" s="182"/>
      <c r="D42" s="197"/>
      <c r="E42" s="197"/>
      <c r="F42" s="181"/>
      <c r="G42" s="57" t="str">
        <f t="shared" ref="G42:G49" si="0">IF(F42&lt;&gt;"",IF($G$28&lt;&gt;"",IF((DAY(F42)+MONTH(F42)*31)&lt;=(DAY($G$28)+MONTH($G$28)*31),YEAR($G$28)-YEAR(F42),YEAR($G$28)-YEAR(F42)-1),""),"")</f>
        <v/>
      </c>
      <c r="H42" s="184"/>
      <c r="I42" s="54" t="str">
        <f t="shared" ref="I42:I49" si="1">IF($D42&lt;&gt;"",(IF($G42&gt;=18,60*((30-H42)/30),50*((30-H42)/30))),"")</f>
        <v/>
      </c>
      <c r="K42" s="173"/>
      <c r="L42" s="15"/>
      <c r="P42" s="175"/>
    </row>
    <row r="43" spans="1:16" x14ac:dyDescent="0.2">
      <c r="B43" s="2" t="s">
        <v>15</v>
      </c>
      <c r="C43" s="183"/>
      <c r="D43" s="210"/>
      <c r="E43" s="210"/>
      <c r="F43" s="181"/>
      <c r="G43" s="57" t="str">
        <f t="shared" si="0"/>
        <v/>
      </c>
      <c r="H43" s="184"/>
      <c r="I43" s="54" t="str">
        <f t="shared" si="1"/>
        <v/>
      </c>
      <c r="K43" s="173"/>
      <c r="L43" s="15"/>
      <c r="P43" s="175"/>
    </row>
    <row r="44" spans="1:16" x14ac:dyDescent="0.2">
      <c r="B44" s="2" t="s">
        <v>16</v>
      </c>
      <c r="C44" s="182"/>
      <c r="D44" s="197"/>
      <c r="E44" s="197"/>
      <c r="F44" s="181"/>
      <c r="G44" s="57" t="str">
        <f t="shared" si="0"/>
        <v/>
      </c>
      <c r="H44" s="184"/>
      <c r="I44" s="54" t="str">
        <f t="shared" si="1"/>
        <v/>
      </c>
      <c r="K44" s="173"/>
      <c r="L44" s="15"/>
      <c r="P44" s="175"/>
    </row>
    <row r="45" spans="1:16" x14ac:dyDescent="0.2">
      <c r="B45" s="2" t="s">
        <v>17</v>
      </c>
      <c r="C45" s="183"/>
      <c r="D45" s="210"/>
      <c r="E45" s="210"/>
      <c r="F45" s="181"/>
      <c r="G45" s="57" t="str">
        <f t="shared" si="0"/>
        <v/>
      </c>
      <c r="H45" s="184"/>
      <c r="I45" s="54" t="str">
        <f t="shared" si="1"/>
        <v/>
      </c>
      <c r="K45" s="173"/>
      <c r="L45" s="15"/>
      <c r="P45" s="175"/>
    </row>
    <row r="46" spans="1:16" x14ac:dyDescent="0.2">
      <c r="B46" s="2" t="s">
        <v>18</v>
      </c>
      <c r="C46" s="182"/>
      <c r="D46" s="197"/>
      <c r="E46" s="197"/>
      <c r="F46" s="181"/>
      <c r="G46" s="57" t="str">
        <f t="shared" si="0"/>
        <v/>
      </c>
      <c r="H46" s="184"/>
      <c r="I46" s="54" t="str">
        <f t="shared" si="1"/>
        <v/>
      </c>
      <c r="K46" s="173"/>
      <c r="L46" s="15"/>
      <c r="P46" s="175"/>
    </row>
    <row r="47" spans="1:16" x14ac:dyDescent="0.2">
      <c r="B47" s="2" t="s">
        <v>19</v>
      </c>
      <c r="C47" s="183"/>
      <c r="D47" s="210"/>
      <c r="E47" s="210"/>
      <c r="F47" s="181"/>
      <c r="G47" s="57" t="str">
        <f t="shared" si="0"/>
        <v/>
      </c>
      <c r="H47" s="184"/>
      <c r="I47" s="54" t="str">
        <f t="shared" si="1"/>
        <v/>
      </c>
      <c r="K47" s="173"/>
      <c r="L47" s="15"/>
      <c r="P47" s="175"/>
    </row>
    <row r="48" spans="1:16" x14ac:dyDescent="0.2">
      <c r="B48" s="2" t="s">
        <v>20</v>
      </c>
      <c r="C48" s="182"/>
      <c r="D48" s="197"/>
      <c r="E48" s="197"/>
      <c r="F48" s="181"/>
      <c r="G48" s="57" t="str">
        <f t="shared" si="0"/>
        <v/>
      </c>
      <c r="H48" s="184"/>
      <c r="I48" s="54" t="str">
        <f t="shared" si="1"/>
        <v/>
      </c>
      <c r="K48" s="173"/>
      <c r="L48" s="15"/>
      <c r="P48" s="175"/>
    </row>
    <row r="49" spans="1:16" x14ac:dyDescent="0.2">
      <c r="B49" s="2" t="s">
        <v>21</v>
      </c>
      <c r="C49" s="182"/>
      <c r="D49" s="197"/>
      <c r="E49" s="197"/>
      <c r="F49" s="181"/>
      <c r="G49" s="57" t="str">
        <f t="shared" si="0"/>
        <v/>
      </c>
      <c r="H49" s="184"/>
      <c r="I49" s="54" t="str">
        <f t="shared" si="1"/>
        <v/>
      </c>
      <c r="K49" s="173"/>
      <c r="L49" s="15"/>
      <c r="P49" s="175"/>
    </row>
    <row r="50" spans="1:16" ht="13.5" thickBot="1" x14ac:dyDescent="0.25">
      <c r="B50" s="7"/>
      <c r="C50" s="28"/>
      <c r="D50" s="28"/>
      <c r="E50" s="28"/>
      <c r="F50" s="28"/>
      <c r="G50" s="28"/>
      <c r="H50" s="29"/>
      <c r="I50" s="54"/>
      <c r="K50" s="173"/>
      <c r="L50" s="15"/>
      <c r="P50" s="175"/>
    </row>
    <row r="51" spans="1:16" ht="15.75" thickBot="1" x14ac:dyDescent="0.3">
      <c r="B51" s="30"/>
      <c r="C51" s="19"/>
      <c r="D51" s="19"/>
      <c r="E51" s="19"/>
      <c r="F51" s="19"/>
      <c r="G51" s="31"/>
      <c r="H51" s="154" t="s">
        <v>86</v>
      </c>
      <c r="I51" s="55">
        <f>SUM(I36:I49)</f>
        <v>0</v>
      </c>
      <c r="K51" s="173"/>
      <c r="L51" s="15"/>
      <c r="P51" s="175"/>
    </row>
    <row r="52" spans="1:16" x14ac:dyDescent="0.2">
      <c r="K52" s="13"/>
      <c r="M52" s="15"/>
      <c r="P52" s="175"/>
    </row>
    <row r="53" spans="1:16" x14ac:dyDescent="0.2">
      <c r="M53" s="15"/>
      <c r="P53" s="175"/>
    </row>
    <row r="54" spans="1:16" ht="18" x14ac:dyDescent="0.2">
      <c r="A54" s="161" t="s">
        <v>85</v>
      </c>
      <c r="M54" s="15"/>
      <c r="P54" s="175"/>
    </row>
    <row r="55" spans="1:16" ht="16.5" thickBot="1" x14ac:dyDescent="0.25">
      <c r="A55" s="106"/>
      <c r="M55" s="15"/>
      <c r="P55" s="175"/>
    </row>
    <row r="56" spans="1:16" ht="18.75" thickBot="1" x14ac:dyDescent="0.25">
      <c r="A56" s="106"/>
      <c r="B56" s="157" t="s">
        <v>34</v>
      </c>
      <c r="C56" s="5"/>
      <c r="D56" s="5"/>
      <c r="E56" s="5"/>
      <c r="F56" s="32"/>
      <c r="G56" s="33"/>
      <c r="I56" s="145" t="s">
        <v>35</v>
      </c>
      <c r="J56" s="4"/>
      <c r="K56" s="4"/>
      <c r="L56" s="4"/>
      <c r="M56" s="32"/>
      <c r="N56" s="33"/>
      <c r="P56" s="175"/>
    </row>
    <row r="57" spans="1:16" s="15" customFormat="1" ht="15.75" thickBot="1" x14ac:dyDescent="0.3">
      <c r="B57" s="6" t="s">
        <v>23</v>
      </c>
      <c r="C57" s="58"/>
      <c r="D57" s="58"/>
      <c r="E57" s="148" t="s">
        <v>69</v>
      </c>
      <c r="F57" s="59" t="s">
        <v>36</v>
      </c>
      <c r="G57" s="60"/>
      <c r="H57" s="61"/>
      <c r="I57" s="6" t="s">
        <v>37</v>
      </c>
      <c r="J57" s="58"/>
      <c r="K57" s="62"/>
      <c r="L57" s="153" t="s">
        <v>69</v>
      </c>
      <c r="M57" s="63" t="s">
        <v>36</v>
      </c>
      <c r="N57" s="64"/>
      <c r="O57" s="61"/>
      <c r="P57" s="176"/>
    </row>
    <row r="58" spans="1:16" s="15" customFormat="1" ht="14.25" x14ac:dyDescent="0.2">
      <c r="B58" s="117"/>
      <c r="C58" s="149" t="s">
        <v>25</v>
      </c>
      <c r="E58" s="185"/>
      <c r="F58" s="83" t="str">
        <f>IF(E58&lt;&gt;"",E58,"")</f>
        <v/>
      </c>
      <c r="G58" s="84"/>
      <c r="H58" s="61"/>
      <c r="I58" s="66"/>
      <c r="J58" s="149" t="s">
        <v>38</v>
      </c>
      <c r="K58" s="65"/>
      <c r="L58" s="187"/>
      <c r="M58" s="90" t="str">
        <f>IF(L58&lt;&gt;"",L58,"")</f>
        <v/>
      </c>
      <c r="N58" s="91"/>
      <c r="O58" s="34"/>
      <c r="P58" s="176"/>
    </row>
    <row r="59" spans="1:16" s="15" customFormat="1" ht="14.25" x14ac:dyDescent="0.2">
      <c r="B59" s="117"/>
      <c r="C59" s="149" t="s">
        <v>99</v>
      </c>
      <c r="E59" s="185"/>
      <c r="F59" s="85" t="str">
        <f>IF(E59&lt;&gt;"",E59*-1,"")</f>
        <v/>
      </c>
      <c r="G59" s="86"/>
      <c r="H59" s="61"/>
      <c r="I59" s="66"/>
      <c r="J59" s="149" t="s">
        <v>39</v>
      </c>
      <c r="K59" s="65"/>
      <c r="L59" s="188"/>
      <c r="M59" s="92" t="str">
        <f>IF(L59&lt;&gt;"",L59,"")</f>
        <v/>
      </c>
      <c r="N59" s="93"/>
      <c r="O59" s="34"/>
      <c r="P59" s="176"/>
    </row>
    <row r="60" spans="1:16" s="15" customFormat="1" ht="14.25" x14ac:dyDescent="0.2">
      <c r="B60" s="117"/>
      <c r="C60" s="149" t="s">
        <v>26</v>
      </c>
      <c r="E60" s="185"/>
      <c r="F60" s="85" t="str">
        <f>IF(E60&lt;&gt;"",E60,"")</f>
        <v/>
      </c>
      <c r="G60" s="86"/>
      <c r="H60" s="61"/>
      <c r="I60" s="117"/>
      <c r="J60" s="52" t="s">
        <v>1</v>
      </c>
      <c r="K60" s="103"/>
      <c r="L60" s="188"/>
      <c r="M60" s="92" t="str">
        <f>IF(L60&lt;&gt;"",L60,"")</f>
        <v/>
      </c>
      <c r="N60" s="93"/>
      <c r="O60" s="61"/>
      <c r="P60" s="176"/>
    </row>
    <row r="61" spans="1:16" s="15" customFormat="1" ht="14.25" x14ac:dyDescent="0.2">
      <c r="B61" s="117"/>
      <c r="C61" s="149" t="s">
        <v>90</v>
      </c>
      <c r="E61" s="185"/>
      <c r="F61" s="85" t="str">
        <f>IF(E61&lt;&gt;"",E61,"")</f>
        <v/>
      </c>
      <c r="G61" s="86"/>
      <c r="H61" s="61"/>
      <c r="I61" s="117"/>
      <c r="J61" s="52" t="s">
        <v>3</v>
      </c>
      <c r="K61" s="103"/>
      <c r="L61" s="188"/>
      <c r="M61" s="92" t="str">
        <f>IF(L61&lt;&gt;"",L61,"")</f>
        <v/>
      </c>
      <c r="N61" s="93"/>
      <c r="O61" s="65"/>
      <c r="P61" s="176"/>
    </row>
    <row r="62" spans="1:16" s="15" customFormat="1" ht="14.25" x14ac:dyDescent="0.2">
      <c r="B62" s="66"/>
      <c r="C62" s="149" t="s">
        <v>92</v>
      </c>
      <c r="E62" s="185"/>
      <c r="F62" s="192" t="str">
        <f>IF(E62&lt;&gt;"",E62,"")</f>
        <v/>
      </c>
      <c r="G62" s="86"/>
      <c r="H62" s="61"/>
      <c r="I62" s="117"/>
      <c r="J62" s="151" t="s">
        <v>9</v>
      </c>
      <c r="K62" s="104"/>
      <c r="L62" s="188"/>
      <c r="M62" s="92" t="str">
        <f>IF(L62&lt;&gt;0,MIN(L62,60),"")</f>
        <v/>
      </c>
      <c r="N62" s="93"/>
      <c r="O62" s="34"/>
      <c r="P62" s="176"/>
    </row>
    <row r="63" spans="1:16" s="15" customFormat="1" ht="15" thickBot="1" x14ac:dyDescent="0.25">
      <c r="B63" s="67"/>
      <c r="C63" s="149"/>
      <c r="D63" s="110"/>
      <c r="E63" s="87"/>
      <c r="F63" s="85"/>
      <c r="G63" s="86">
        <f>SUM(F58:F62)</f>
        <v>0</v>
      </c>
      <c r="H63" s="61"/>
      <c r="I63" s="117"/>
      <c r="J63" s="149" t="s">
        <v>40</v>
      </c>
      <c r="K63" s="103"/>
      <c r="L63" s="188"/>
      <c r="M63" s="92" t="str">
        <f>IF(L63&lt;&gt;"",L63,"")</f>
        <v/>
      </c>
      <c r="N63" s="93"/>
      <c r="O63" s="34"/>
      <c r="P63" s="176"/>
    </row>
    <row r="64" spans="1:16" s="15" customFormat="1" ht="15.75" thickBot="1" x14ac:dyDescent="0.3">
      <c r="B64" s="11" t="s">
        <v>24</v>
      </c>
      <c r="C64" s="69"/>
      <c r="D64" s="70"/>
      <c r="E64" s="87"/>
      <c r="F64" s="85"/>
      <c r="G64" s="86"/>
      <c r="H64" s="61"/>
      <c r="I64" s="117"/>
      <c r="J64" s="149" t="s">
        <v>41</v>
      </c>
      <c r="K64" s="103"/>
      <c r="L64" s="188"/>
      <c r="M64" s="94" t="str">
        <f>IF(L64&lt;&gt;"",L64,"")</f>
        <v/>
      </c>
      <c r="N64" s="93"/>
      <c r="O64" s="34"/>
      <c r="P64" s="176"/>
    </row>
    <row r="65" spans="2:19" s="15" customFormat="1" ht="15" thickBot="1" x14ac:dyDescent="0.25">
      <c r="B65" s="35"/>
      <c r="C65" s="150" t="s">
        <v>25</v>
      </c>
      <c r="D65" s="32"/>
      <c r="E65" s="185"/>
      <c r="F65" s="85" t="str">
        <f>IF(E65&lt;&gt;"",E65,"")</f>
        <v/>
      </c>
      <c r="G65" s="86"/>
      <c r="H65" s="61"/>
      <c r="I65" s="117"/>
      <c r="J65" s="103"/>
      <c r="K65" s="103"/>
      <c r="L65" s="95"/>
      <c r="M65" s="92"/>
      <c r="N65" s="93">
        <f>SUM(M58:M64)</f>
        <v>0</v>
      </c>
      <c r="O65" s="34"/>
      <c r="P65" s="176"/>
    </row>
    <row r="66" spans="2:19" s="15" customFormat="1" ht="15.75" thickBot="1" x14ac:dyDescent="0.3">
      <c r="B66" s="117"/>
      <c r="C66" s="28" t="s">
        <v>99</v>
      </c>
      <c r="E66" s="185"/>
      <c r="F66" s="85" t="str">
        <f>IF(E66&lt;&gt;"",E66*-1,"")</f>
        <v/>
      </c>
      <c r="G66" s="118"/>
      <c r="H66" s="61"/>
      <c r="I66" s="6" t="s">
        <v>10</v>
      </c>
      <c r="J66" s="71"/>
      <c r="K66" s="71"/>
      <c r="L66" s="96"/>
      <c r="M66" s="92"/>
      <c r="N66" s="93"/>
      <c r="O66" s="65"/>
      <c r="P66" s="176"/>
    </row>
    <row r="67" spans="2:19" s="15" customFormat="1" ht="14.25" x14ac:dyDescent="0.2">
      <c r="B67" s="117"/>
      <c r="C67" s="102" t="s">
        <v>26</v>
      </c>
      <c r="E67" s="185"/>
      <c r="F67" s="85" t="str">
        <f>IF(E67&lt;&gt;"",E67,"")</f>
        <v/>
      </c>
      <c r="G67" s="86"/>
      <c r="H67" s="61"/>
      <c r="I67" s="66"/>
      <c r="J67" s="149" t="s">
        <v>10</v>
      </c>
      <c r="K67" s="65"/>
      <c r="L67" s="188"/>
      <c r="M67" s="92" t="str">
        <f>IF(L67&lt;&gt;"",L67,"")</f>
        <v/>
      </c>
      <c r="N67" s="93"/>
      <c r="O67" s="34"/>
      <c r="P67" s="176"/>
    </row>
    <row r="68" spans="2:19" s="15" customFormat="1" ht="14.25" x14ac:dyDescent="0.2">
      <c r="B68" s="66"/>
      <c r="C68" s="102" t="s">
        <v>92</v>
      </c>
      <c r="E68" s="185"/>
      <c r="F68" s="192" t="str">
        <f>IF(E68&lt;&gt;"",E68,"")</f>
        <v/>
      </c>
      <c r="G68" s="86"/>
      <c r="H68" s="61"/>
      <c r="I68" s="66"/>
      <c r="J68" s="149" t="s">
        <v>88</v>
      </c>
      <c r="K68" s="65"/>
      <c r="L68" s="188"/>
      <c r="M68" s="94" t="str">
        <f>IF(L68&lt;&gt;"",L68,"")</f>
        <v/>
      </c>
      <c r="N68" s="93"/>
      <c r="O68" s="34"/>
      <c r="P68" s="176"/>
    </row>
    <row r="69" spans="2:19" s="15" customFormat="1" ht="15" thickBot="1" x14ac:dyDescent="0.25">
      <c r="B69" s="67"/>
      <c r="C69" s="65"/>
      <c r="D69" s="110"/>
      <c r="E69" s="87"/>
      <c r="F69" s="85"/>
      <c r="G69" s="86">
        <f>SUM(F65:F68)</f>
        <v>0</v>
      </c>
      <c r="H69" s="61"/>
      <c r="I69" s="66"/>
      <c r="J69" s="65"/>
      <c r="K69" s="65"/>
      <c r="L69" s="92"/>
      <c r="M69" s="92" t="str">
        <f>IF(L69&lt;&gt;"",L69,"")</f>
        <v/>
      </c>
      <c r="N69" s="93">
        <f>SUM(M67:M68)</f>
        <v>0</v>
      </c>
      <c r="O69" s="34"/>
      <c r="P69" s="176"/>
    </row>
    <row r="70" spans="2:19" s="15" customFormat="1" ht="15.75" thickBot="1" x14ac:dyDescent="0.3">
      <c r="B70" s="6" t="s">
        <v>12</v>
      </c>
      <c r="C70" s="71"/>
      <c r="D70" s="72"/>
      <c r="E70" s="87"/>
      <c r="F70" s="85"/>
      <c r="G70" s="86"/>
      <c r="H70" s="61"/>
      <c r="I70" s="6" t="s">
        <v>12</v>
      </c>
      <c r="J70" s="73"/>
      <c r="K70" s="73"/>
      <c r="L70" s="97"/>
      <c r="M70" s="92"/>
      <c r="N70" s="113"/>
      <c r="O70" s="34"/>
      <c r="P70" s="176"/>
    </row>
    <row r="71" spans="2:19" s="15" customFormat="1" ht="14.25" x14ac:dyDescent="0.2">
      <c r="B71" s="66"/>
      <c r="C71" s="102" t="s">
        <v>30</v>
      </c>
      <c r="E71" s="185"/>
      <c r="F71" s="85" t="str">
        <f>IF(E71&lt;&gt;"",0,"")</f>
        <v/>
      </c>
      <c r="G71" s="86"/>
      <c r="H71" s="61"/>
      <c r="I71" s="74"/>
      <c r="J71" s="152" t="s">
        <v>42</v>
      </c>
      <c r="K71" s="69"/>
      <c r="L71" s="188"/>
      <c r="M71" s="92" t="str">
        <f>IF(L71&lt;&gt;"",L71,"")</f>
        <v/>
      </c>
      <c r="N71" s="93"/>
      <c r="O71" s="34"/>
      <c r="P71" s="176"/>
    </row>
    <row r="72" spans="2:19" s="15" customFormat="1" ht="14.25" x14ac:dyDescent="0.2">
      <c r="B72" s="66"/>
      <c r="C72" s="102" t="s">
        <v>32</v>
      </c>
      <c r="E72" s="185"/>
      <c r="F72" s="85" t="str">
        <f t="shared" ref="F72:F77" si="2">IF(E72&lt;&gt;"",E72,"")</f>
        <v/>
      </c>
      <c r="G72" s="86"/>
      <c r="H72" s="61"/>
      <c r="I72" s="66"/>
      <c r="J72" s="149" t="s">
        <v>6</v>
      </c>
      <c r="K72" s="75"/>
      <c r="L72" s="188"/>
      <c r="M72" s="94" t="str">
        <f>IF(L72&lt;&gt;"",L72,"")</f>
        <v/>
      </c>
      <c r="N72" s="93"/>
      <c r="O72" s="34"/>
      <c r="P72" s="176"/>
    </row>
    <row r="73" spans="2:19" s="15" customFormat="1" ht="15" thickBot="1" x14ac:dyDescent="0.25">
      <c r="B73" s="66"/>
      <c r="C73" s="102" t="s">
        <v>31</v>
      </c>
      <c r="E73" s="185"/>
      <c r="F73" s="85" t="str">
        <f t="shared" si="2"/>
        <v/>
      </c>
      <c r="G73" s="86"/>
      <c r="H73" s="61"/>
      <c r="I73" s="66"/>
      <c r="J73" s="65"/>
      <c r="K73" s="65"/>
      <c r="L73" s="92"/>
      <c r="M73" s="92"/>
      <c r="N73" s="93">
        <f>SUM(M71:M72)</f>
        <v>0</v>
      </c>
      <c r="O73" s="61"/>
      <c r="P73" s="176"/>
    </row>
    <row r="74" spans="2:19" s="15" customFormat="1" ht="15.75" thickBot="1" x14ac:dyDescent="0.3">
      <c r="B74" s="66"/>
      <c r="C74" s="102" t="s">
        <v>6</v>
      </c>
      <c r="E74" s="185"/>
      <c r="F74" s="85" t="str">
        <f t="shared" si="2"/>
        <v/>
      </c>
      <c r="G74" s="86"/>
      <c r="H74" s="61"/>
      <c r="I74" s="6" t="s">
        <v>29</v>
      </c>
      <c r="J74" s="71"/>
      <c r="K74" s="71"/>
      <c r="L74" s="96"/>
      <c r="M74" s="92"/>
      <c r="N74" s="93"/>
      <c r="O74" s="61"/>
      <c r="P74" s="176"/>
    </row>
    <row r="75" spans="2:19" s="15" customFormat="1" ht="14.25" x14ac:dyDescent="0.2">
      <c r="B75" s="117"/>
      <c r="C75" s="149" t="s">
        <v>28</v>
      </c>
      <c r="E75" s="185"/>
      <c r="F75" s="88" t="str">
        <f t="shared" si="2"/>
        <v/>
      </c>
      <c r="G75" s="86"/>
      <c r="H75" s="65"/>
      <c r="I75" s="66"/>
      <c r="J75" s="149" t="s">
        <v>7</v>
      </c>
      <c r="K75" s="65"/>
      <c r="L75" s="188"/>
      <c r="M75" s="92" t="str">
        <f t="shared" ref="M75:M85" si="3">IF(L75&lt;&gt;"",L75,"")</f>
        <v/>
      </c>
      <c r="N75" s="93"/>
      <c r="O75" s="61"/>
      <c r="P75" s="176"/>
    </row>
    <row r="76" spans="2:19" s="15" customFormat="1" ht="14.25" x14ac:dyDescent="0.2">
      <c r="B76" s="66"/>
      <c r="C76" s="149"/>
      <c r="D76" s="81"/>
      <c r="E76" s="76"/>
      <c r="F76" s="89" t="str">
        <f t="shared" si="2"/>
        <v/>
      </c>
      <c r="G76" s="86">
        <f>SUM(F71:F75)</f>
        <v>0</v>
      </c>
      <c r="H76" s="34"/>
      <c r="I76" s="66"/>
      <c r="J76" s="149" t="s">
        <v>101</v>
      </c>
      <c r="K76" s="65"/>
      <c r="L76" s="188"/>
      <c r="M76" s="94" t="str">
        <f t="shared" si="3"/>
        <v/>
      </c>
      <c r="N76" s="93"/>
      <c r="O76" s="61"/>
      <c r="P76" s="176"/>
    </row>
    <row r="77" spans="2:19" s="15" customFormat="1" ht="15" thickBot="1" x14ac:dyDescent="0.25">
      <c r="B77" s="67"/>
      <c r="C77" s="68"/>
      <c r="D77" s="68"/>
      <c r="E77" s="76"/>
      <c r="F77" s="89" t="str">
        <f t="shared" si="2"/>
        <v/>
      </c>
      <c r="G77" s="86"/>
      <c r="H77" s="61"/>
      <c r="I77" s="117"/>
      <c r="J77" s="77"/>
      <c r="K77" s="103"/>
      <c r="L77" s="92"/>
      <c r="M77" s="92" t="str">
        <f t="shared" si="3"/>
        <v/>
      </c>
      <c r="N77" s="93">
        <f>SUM(M75:M76)</f>
        <v>0</v>
      </c>
      <c r="O77" s="61"/>
      <c r="P77" s="176"/>
    </row>
    <row r="78" spans="2:19" s="15" customFormat="1" ht="15.75" thickBot="1" x14ac:dyDescent="0.3">
      <c r="B78" s="6" t="s">
        <v>29</v>
      </c>
      <c r="C78" s="68"/>
      <c r="D78" s="68"/>
      <c r="E78" s="87"/>
      <c r="F78" s="89"/>
      <c r="G78" s="86"/>
      <c r="H78" s="65"/>
      <c r="I78" s="6" t="s">
        <v>67</v>
      </c>
      <c r="J78" s="78"/>
      <c r="K78" s="105"/>
      <c r="L78" s="92"/>
      <c r="M78" s="92" t="str">
        <f t="shared" si="3"/>
        <v/>
      </c>
      <c r="N78" s="93"/>
      <c r="O78" s="61"/>
      <c r="P78" s="176"/>
    </row>
    <row r="79" spans="2:19" s="15" customFormat="1" ht="14.25" x14ac:dyDescent="0.2">
      <c r="B79" s="66"/>
      <c r="C79" s="149" t="s">
        <v>5</v>
      </c>
      <c r="E79" s="185"/>
      <c r="F79" s="89" t="str">
        <f>IF(E79&lt;&gt;"",E79,"")</f>
        <v/>
      </c>
      <c r="G79" s="86"/>
      <c r="H79" s="34"/>
      <c r="I79" s="66"/>
      <c r="J79" s="149" t="s">
        <v>62</v>
      </c>
      <c r="K79" s="65"/>
      <c r="L79" s="188"/>
      <c r="M79" s="92" t="str">
        <f t="shared" si="3"/>
        <v/>
      </c>
      <c r="N79" s="93"/>
      <c r="O79" s="61"/>
      <c r="P79" s="176"/>
    </row>
    <row r="80" spans="2:19" s="15" customFormat="1" ht="14.25" x14ac:dyDescent="0.2">
      <c r="B80" s="66"/>
      <c r="C80" s="149" t="s">
        <v>33</v>
      </c>
      <c r="E80" s="185"/>
      <c r="F80" s="88" t="str">
        <f>IF(E80&lt;&gt;"",E80,"")</f>
        <v/>
      </c>
      <c r="G80" s="86"/>
      <c r="H80" s="61"/>
      <c r="I80" s="66"/>
      <c r="J80" s="149" t="s">
        <v>63</v>
      </c>
      <c r="K80" s="65"/>
      <c r="L80" s="188"/>
      <c r="M80" s="92" t="str">
        <f t="shared" si="3"/>
        <v/>
      </c>
      <c r="N80" s="93"/>
      <c r="O80" s="61"/>
      <c r="P80" s="176"/>
      <c r="S80" s="12"/>
    </row>
    <row r="81" spans="2:19" s="15" customFormat="1" ht="14.25" x14ac:dyDescent="0.2">
      <c r="B81" s="117"/>
      <c r="C81" s="103"/>
      <c r="E81" s="76"/>
      <c r="F81" s="89"/>
      <c r="G81" s="86">
        <f>SUM(F79:F80)</f>
        <v>0</v>
      </c>
      <c r="H81" s="65"/>
      <c r="I81" s="117"/>
      <c r="J81" s="28" t="s">
        <v>68</v>
      </c>
      <c r="K81" s="103"/>
      <c r="L81" s="188"/>
      <c r="M81" s="92" t="str">
        <f t="shared" si="3"/>
        <v/>
      </c>
      <c r="N81" s="93"/>
      <c r="O81" s="61"/>
      <c r="P81" s="176"/>
      <c r="S81" s="12"/>
    </row>
    <row r="82" spans="2:19" s="15" customFormat="1" ht="15" thickBot="1" x14ac:dyDescent="0.25">
      <c r="B82" s="117"/>
      <c r="C82" s="103"/>
      <c r="D82" s="118"/>
      <c r="E82" s="76"/>
      <c r="F82" s="89"/>
      <c r="G82" s="86"/>
      <c r="H82" s="34"/>
      <c r="I82" s="66"/>
      <c r="J82" s="149" t="s">
        <v>64</v>
      </c>
      <c r="K82" s="65"/>
      <c r="L82" s="188"/>
      <c r="M82" s="92" t="str">
        <f t="shared" si="3"/>
        <v/>
      </c>
      <c r="N82" s="93"/>
      <c r="O82" s="61"/>
      <c r="P82" s="176"/>
      <c r="S82" s="12"/>
    </row>
    <row r="83" spans="2:19" s="15" customFormat="1" ht="15.75" thickBot="1" x14ac:dyDescent="0.3">
      <c r="B83" s="6" t="s">
        <v>27</v>
      </c>
      <c r="C83" s="71"/>
      <c r="D83" s="111"/>
      <c r="E83" s="87"/>
      <c r="F83" s="89"/>
      <c r="G83" s="86"/>
      <c r="H83" s="61"/>
      <c r="I83" s="66"/>
      <c r="J83" s="149" t="s">
        <v>65</v>
      </c>
      <c r="K83" s="65"/>
      <c r="L83" s="188"/>
      <c r="M83" s="92" t="str">
        <f t="shared" si="3"/>
        <v/>
      </c>
      <c r="N83" s="93"/>
      <c r="O83" s="61"/>
      <c r="P83" s="176"/>
      <c r="S83" s="12"/>
    </row>
    <row r="84" spans="2:19" s="15" customFormat="1" ht="14.25" x14ac:dyDescent="0.2">
      <c r="B84" s="66"/>
      <c r="C84" s="149" t="s">
        <v>4</v>
      </c>
      <c r="E84" s="185"/>
      <c r="F84" s="89" t="str">
        <f t="shared" ref="F84:F92" si="4">IF(E84&lt;&gt;"",E84,"")</f>
        <v/>
      </c>
      <c r="G84" s="86"/>
      <c r="H84" s="34"/>
      <c r="I84" s="117"/>
      <c r="J84" s="197" t="s">
        <v>66</v>
      </c>
      <c r="K84" s="198"/>
      <c r="L84" s="188"/>
      <c r="M84" s="92" t="str">
        <f t="shared" si="3"/>
        <v/>
      </c>
      <c r="N84" s="93"/>
      <c r="O84" s="61"/>
      <c r="P84" s="176"/>
      <c r="S84" s="12"/>
    </row>
    <row r="85" spans="2:19" s="15" customFormat="1" ht="14.25" x14ac:dyDescent="0.2">
      <c r="B85" s="66"/>
      <c r="C85" s="149" t="s">
        <v>98</v>
      </c>
      <c r="E85" s="185"/>
      <c r="F85" s="89" t="str">
        <f t="shared" si="4"/>
        <v/>
      </c>
      <c r="G85" s="86"/>
      <c r="H85" s="34"/>
      <c r="I85" s="66"/>
      <c r="J85" s="197" t="s">
        <v>66</v>
      </c>
      <c r="K85" s="198"/>
      <c r="L85" s="188"/>
      <c r="M85" s="94" t="str">
        <f t="shared" si="3"/>
        <v/>
      </c>
      <c r="N85" s="93"/>
      <c r="O85" s="61"/>
      <c r="P85" s="176"/>
      <c r="S85" s="12"/>
    </row>
    <row r="86" spans="2:19" s="15" customFormat="1" ht="15" thickBot="1" x14ac:dyDescent="0.25">
      <c r="B86" s="66"/>
      <c r="C86" s="149" t="s">
        <v>97</v>
      </c>
      <c r="D86" s="149"/>
      <c r="E86" s="185"/>
      <c r="F86" s="89" t="str">
        <f t="shared" si="4"/>
        <v/>
      </c>
      <c r="G86" s="86"/>
      <c r="H86" s="34"/>
      <c r="I86" s="117"/>
      <c r="J86" s="103"/>
      <c r="K86" s="103"/>
      <c r="L86" s="95"/>
      <c r="M86" s="92"/>
      <c r="N86" s="93">
        <f>SUM(M79:M85)</f>
        <v>0</v>
      </c>
      <c r="O86" s="34"/>
      <c r="P86" s="176"/>
      <c r="S86" s="12"/>
    </row>
    <row r="87" spans="2:19" s="15" customFormat="1" ht="15.75" thickBot="1" x14ac:dyDescent="0.3">
      <c r="B87" s="117"/>
      <c r="C87" s="149" t="s">
        <v>2</v>
      </c>
      <c r="D87" s="149"/>
      <c r="E87" s="186"/>
      <c r="F87" s="89" t="str">
        <f t="shared" si="4"/>
        <v/>
      </c>
      <c r="G87" s="79"/>
      <c r="H87" s="34"/>
      <c r="I87" s="6" t="s">
        <v>27</v>
      </c>
      <c r="J87" s="71"/>
      <c r="K87" s="71"/>
      <c r="L87" s="96"/>
      <c r="M87" s="92"/>
      <c r="N87" s="93"/>
      <c r="O87" s="34"/>
      <c r="P87" s="176"/>
      <c r="S87" s="12"/>
    </row>
    <row r="88" spans="2:19" s="15" customFormat="1" ht="14.25" x14ac:dyDescent="0.2">
      <c r="B88" s="117"/>
      <c r="C88" s="197" t="s">
        <v>66</v>
      </c>
      <c r="D88" s="198"/>
      <c r="E88" s="186"/>
      <c r="F88" s="89" t="str">
        <f t="shared" si="4"/>
        <v/>
      </c>
      <c r="G88" s="79"/>
      <c r="H88" s="34"/>
      <c r="I88" s="74"/>
      <c r="J88" s="152" t="s">
        <v>8</v>
      </c>
      <c r="K88" s="80"/>
      <c r="L88" s="188"/>
      <c r="M88" s="92" t="str">
        <f t="shared" ref="M88:M92" si="5">IF(L88&lt;&gt;"",L88,"")</f>
        <v/>
      </c>
      <c r="N88" s="93"/>
      <c r="O88" s="34"/>
      <c r="P88" s="176"/>
      <c r="S88" s="12"/>
    </row>
    <row r="89" spans="2:19" s="15" customFormat="1" ht="14.25" x14ac:dyDescent="0.2">
      <c r="B89" s="66"/>
      <c r="C89" s="197" t="s">
        <v>66</v>
      </c>
      <c r="D89" s="198"/>
      <c r="E89" s="185"/>
      <c r="F89" s="89" t="str">
        <f t="shared" si="4"/>
        <v/>
      </c>
      <c r="G89" s="86"/>
      <c r="H89" s="34"/>
      <c r="I89" s="66"/>
      <c r="J89" s="149" t="s">
        <v>43</v>
      </c>
      <c r="K89" s="81"/>
      <c r="L89" s="188"/>
      <c r="M89" s="92" t="str">
        <f t="shared" si="5"/>
        <v/>
      </c>
      <c r="N89" s="93"/>
      <c r="O89" s="34"/>
      <c r="P89" s="176"/>
      <c r="S89" s="12"/>
    </row>
    <row r="90" spans="2:19" s="15" customFormat="1" ht="14.25" x14ac:dyDescent="0.2">
      <c r="B90" s="66"/>
      <c r="C90" s="197" t="s">
        <v>66</v>
      </c>
      <c r="D90" s="198"/>
      <c r="E90" s="185"/>
      <c r="F90" s="89" t="str">
        <f t="shared" si="4"/>
        <v/>
      </c>
      <c r="G90" s="86"/>
      <c r="H90" s="34"/>
      <c r="I90" s="66"/>
      <c r="J90" s="149" t="s">
        <v>91</v>
      </c>
      <c r="K90" s="65"/>
      <c r="L90" s="188"/>
      <c r="M90" s="92" t="str">
        <f t="shared" si="5"/>
        <v/>
      </c>
      <c r="N90" s="93"/>
      <c r="O90" s="34"/>
      <c r="P90" s="176"/>
      <c r="S90" s="12"/>
    </row>
    <row r="91" spans="2:19" s="15" customFormat="1" ht="14.25" x14ac:dyDescent="0.2">
      <c r="B91" s="66"/>
      <c r="C91" s="197" t="s">
        <v>66</v>
      </c>
      <c r="D91" s="198"/>
      <c r="E91" s="185"/>
      <c r="F91" s="89" t="str">
        <f t="shared" si="4"/>
        <v/>
      </c>
      <c r="G91" s="86"/>
      <c r="H91" s="34"/>
      <c r="I91" s="66"/>
      <c r="J91" s="197" t="s">
        <v>66</v>
      </c>
      <c r="K91" s="198"/>
      <c r="L91" s="188"/>
      <c r="M91" s="92" t="str">
        <f t="shared" si="5"/>
        <v/>
      </c>
      <c r="N91" s="93"/>
      <c r="O91" s="34"/>
      <c r="P91" s="176"/>
      <c r="S91" s="12"/>
    </row>
    <row r="92" spans="2:19" s="15" customFormat="1" ht="14.25" x14ac:dyDescent="0.2">
      <c r="B92" s="66"/>
      <c r="C92" s="197" t="s">
        <v>66</v>
      </c>
      <c r="D92" s="198"/>
      <c r="E92" s="185"/>
      <c r="F92" s="89" t="str">
        <f t="shared" si="4"/>
        <v/>
      </c>
      <c r="G92" s="86"/>
      <c r="H92" s="34"/>
      <c r="I92" s="66"/>
      <c r="J92" s="197" t="s">
        <v>66</v>
      </c>
      <c r="K92" s="198"/>
      <c r="L92" s="188"/>
      <c r="M92" s="92" t="str">
        <f t="shared" si="5"/>
        <v/>
      </c>
      <c r="N92" s="93"/>
      <c r="O92" s="34"/>
      <c r="P92" s="176"/>
      <c r="S92" s="12"/>
    </row>
    <row r="93" spans="2:19" s="15" customFormat="1" ht="14.25" x14ac:dyDescent="0.2">
      <c r="B93" s="66"/>
      <c r="C93" s="197" t="s">
        <v>66</v>
      </c>
      <c r="D93" s="198"/>
      <c r="E93" s="185"/>
      <c r="F93" s="89" t="str">
        <f t="shared" ref="F93:F94" si="6">IF(E93&lt;&gt;"",E93,"")</f>
        <v/>
      </c>
      <c r="G93" s="86"/>
      <c r="H93" s="34"/>
      <c r="I93" s="66"/>
      <c r="J93" s="197" t="s">
        <v>66</v>
      </c>
      <c r="K93" s="198"/>
      <c r="L93" s="188"/>
      <c r="M93" s="92" t="str">
        <f t="shared" ref="M93:M94" si="7">IF(L93&lt;&gt;"",L93,"")</f>
        <v/>
      </c>
      <c r="N93" s="93"/>
      <c r="O93" s="61"/>
      <c r="P93" s="176"/>
      <c r="S93" s="12"/>
    </row>
    <row r="94" spans="2:19" s="15" customFormat="1" ht="14.25" x14ac:dyDescent="0.2">
      <c r="B94" s="66"/>
      <c r="C94" s="197" t="s">
        <v>66</v>
      </c>
      <c r="D94" s="198"/>
      <c r="E94" s="185"/>
      <c r="F94" s="88" t="str">
        <f t="shared" si="6"/>
        <v/>
      </c>
      <c r="G94" s="86"/>
      <c r="H94" s="34"/>
      <c r="I94" s="66"/>
      <c r="J94" s="197" t="s">
        <v>66</v>
      </c>
      <c r="K94" s="198"/>
      <c r="L94" s="188"/>
      <c r="M94" s="94" t="str">
        <f t="shared" si="7"/>
        <v/>
      </c>
      <c r="N94" s="93"/>
      <c r="O94" s="61"/>
      <c r="P94" s="176"/>
      <c r="S94" s="12"/>
    </row>
    <row r="95" spans="2:19" s="15" customFormat="1" ht="14.25" x14ac:dyDescent="0.2">
      <c r="B95" s="117"/>
      <c r="E95" s="82"/>
      <c r="F95" s="89"/>
      <c r="G95" s="79">
        <f>SUM(F84:F94)</f>
        <v>0</v>
      </c>
      <c r="H95" s="34"/>
      <c r="I95" s="117"/>
      <c r="K95" s="118"/>
      <c r="L95" s="98"/>
      <c r="M95" s="92"/>
      <c r="N95" s="99">
        <f>SUM(M88:M94)</f>
        <v>0</v>
      </c>
      <c r="O95" s="65"/>
      <c r="P95" s="176"/>
      <c r="S95" s="12"/>
    </row>
    <row r="96" spans="2:19" s="15" customFormat="1" ht="13.5" thickBot="1" x14ac:dyDescent="0.25">
      <c r="B96" s="117"/>
      <c r="E96" s="82"/>
      <c r="F96" s="190"/>
      <c r="G96" s="191"/>
      <c r="H96" s="34"/>
      <c r="I96" s="117"/>
      <c r="K96" s="118"/>
      <c r="L96" s="98"/>
      <c r="M96" s="92"/>
      <c r="N96" s="99"/>
      <c r="O96" s="34"/>
      <c r="P96" s="176"/>
      <c r="S96" s="12"/>
    </row>
    <row r="97" spans="1:20" s="15" customFormat="1" ht="15.75" thickBot="1" x14ac:dyDescent="0.3">
      <c r="B97" s="37"/>
      <c r="C97" s="38"/>
      <c r="D97" s="38"/>
      <c r="E97" s="56"/>
      <c r="F97" s="155" t="s">
        <v>86</v>
      </c>
      <c r="G97" s="119">
        <f>SUM(G58:G96)</f>
        <v>0</v>
      </c>
      <c r="H97" s="34"/>
      <c r="I97" s="37"/>
      <c r="J97" s="38"/>
      <c r="K97" s="38"/>
      <c r="L97" s="100"/>
      <c r="M97" s="156" t="s">
        <v>86</v>
      </c>
      <c r="N97" s="120">
        <f>SUM(N58:N96)</f>
        <v>0</v>
      </c>
      <c r="O97" s="34"/>
      <c r="P97" s="176"/>
      <c r="S97" s="12"/>
    </row>
    <row r="98" spans="1:20" s="15" customFormat="1" x14ac:dyDescent="0.2">
      <c r="G98" s="34"/>
      <c r="H98" s="34"/>
      <c r="I98" s="34"/>
      <c r="J98" s="39"/>
      <c r="K98" s="39"/>
      <c r="L98" s="39"/>
      <c r="M98" s="39"/>
      <c r="N98" s="39"/>
      <c r="O98" s="34"/>
      <c r="P98" s="176"/>
      <c r="S98" s="12"/>
    </row>
    <row r="99" spans="1:20" s="15" customFormat="1" x14ac:dyDescent="0.2">
      <c r="G99" s="34"/>
      <c r="H99" s="34"/>
      <c r="I99" s="34"/>
      <c r="N99" s="34"/>
      <c r="O99" s="34"/>
      <c r="P99" s="176"/>
      <c r="S99" s="12"/>
    </row>
    <row r="100" spans="1:20" s="15" customFormat="1" ht="18" x14ac:dyDescent="0.2">
      <c r="A100" s="161" t="s">
        <v>53</v>
      </c>
      <c r="I100" s="34"/>
      <c r="J100" s="39"/>
      <c r="K100" s="39"/>
      <c r="L100" s="39"/>
      <c r="M100" s="39"/>
      <c r="N100" s="39"/>
      <c r="O100" s="40"/>
      <c r="P100" s="176"/>
      <c r="S100" s="12"/>
    </row>
    <row r="101" spans="1:20" s="15" customFormat="1" ht="13.5" thickBot="1" x14ac:dyDescent="0.25">
      <c r="I101" s="34"/>
      <c r="N101" s="34"/>
      <c r="O101" s="34"/>
      <c r="P101" s="176"/>
      <c r="S101" s="12"/>
      <c r="T101" s="12"/>
    </row>
    <row r="102" spans="1:20" s="15" customFormat="1" ht="18.75" thickBot="1" x14ac:dyDescent="0.25">
      <c r="B102" s="157" t="s">
        <v>45</v>
      </c>
      <c r="C102" s="5"/>
      <c r="D102" s="5"/>
      <c r="E102" s="32"/>
      <c r="F102" s="33"/>
      <c r="G102" s="41"/>
      <c r="I102" s="121"/>
      <c r="J102" s="12"/>
      <c r="K102" s="12"/>
      <c r="L102" s="12"/>
      <c r="N102" s="12"/>
      <c r="O102" s="12"/>
      <c r="P102" s="176"/>
      <c r="S102" s="12"/>
      <c r="T102" s="12"/>
    </row>
    <row r="103" spans="1:20" s="15" customFormat="1" ht="30" customHeight="1" thickBot="1" x14ac:dyDescent="0.3">
      <c r="B103" s="205" t="s">
        <v>0</v>
      </c>
      <c r="C103" s="206"/>
      <c r="D103" s="206"/>
      <c r="E103" s="207"/>
      <c r="F103" s="158" t="s">
        <v>44</v>
      </c>
      <c r="I103" s="121"/>
      <c r="J103" s="122"/>
      <c r="K103" s="122"/>
      <c r="L103" s="122"/>
      <c r="M103" s="122"/>
      <c r="N103" s="42"/>
      <c r="O103" s="123"/>
      <c r="P103" s="177"/>
      <c r="Q103" s="121"/>
      <c r="R103" s="34"/>
    </row>
    <row r="104" spans="1:20" s="15" customFormat="1" ht="14.25" x14ac:dyDescent="0.2">
      <c r="B104" s="208" t="s">
        <v>89</v>
      </c>
      <c r="C104" s="209"/>
      <c r="D104" s="209"/>
      <c r="E104" s="209"/>
      <c r="F104" s="189"/>
      <c r="I104" s="122"/>
      <c r="J104" s="34"/>
      <c r="K104" s="122"/>
      <c r="L104" s="122"/>
      <c r="M104" s="122"/>
      <c r="N104" s="42"/>
      <c r="O104" s="123"/>
      <c r="P104" s="177"/>
      <c r="Q104" s="121"/>
      <c r="R104" s="34"/>
    </row>
    <row r="105" spans="1:20" s="15" customFormat="1" ht="14.25" x14ac:dyDescent="0.2">
      <c r="B105" s="203"/>
      <c r="C105" s="204"/>
      <c r="D105" s="204"/>
      <c r="E105" s="204"/>
      <c r="F105" s="185"/>
      <c r="I105" s="122"/>
      <c r="J105" s="34"/>
      <c r="K105" s="122"/>
      <c r="L105" s="122"/>
      <c r="M105" s="122"/>
      <c r="N105" s="42"/>
      <c r="O105" s="123"/>
      <c r="P105" s="177"/>
      <c r="Q105" s="121"/>
      <c r="R105" s="34"/>
    </row>
    <row r="106" spans="1:20" s="15" customFormat="1" ht="14.25" x14ac:dyDescent="0.2">
      <c r="B106" s="203"/>
      <c r="C106" s="204"/>
      <c r="D106" s="204"/>
      <c r="E106" s="204"/>
      <c r="F106" s="185"/>
      <c r="I106" s="122"/>
      <c r="J106" s="34"/>
      <c r="K106" s="122"/>
      <c r="L106" s="122"/>
      <c r="M106" s="122"/>
      <c r="N106" s="42"/>
      <c r="O106" s="123"/>
      <c r="P106" s="177"/>
      <c r="Q106" s="121"/>
      <c r="R106" s="34"/>
    </row>
    <row r="107" spans="1:20" s="15" customFormat="1" ht="14.25" x14ac:dyDescent="0.2">
      <c r="B107" s="203"/>
      <c r="C107" s="204"/>
      <c r="D107" s="204"/>
      <c r="E107" s="204"/>
      <c r="F107" s="185"/>
      <c r="I107" s="122"/>
      <c r="J107" s="34"/>
      <c r="K107" s="122"/>
      <c r="L107" s="122"/>
      <c r="M107" s="122"/>
      <c r="N107" s="42"/>
      <c r="O107" s="123"/>
      <c r="P107" s="177"/>
      <c r="Q107" s="121"/>
      <c r="R107" s="34"/>
    </row>
    <row r="108" spans="1:20" s="15" customFormat="1" ht="14.25" x14ac:dyDescent="0.2">
      <c r="B108" s="203"/>
      <c r="C108" s="204"/>
      <c r="D108" s="204"/>
      <c r="E108" s="204"/>
      <c r="F108" s="185"/>
      <c r="I108" s="122"/>
      <c r="J108" s="34"/>
      <c r="K108" s="122"/>
      <c r="L108" s="122"/>
      <c r="M108" s="122"/>
      <c r="N108" s="42"/>
      <c r="O108" s="123"/>
      <c r="P108" s="177"/>
      <c r="Q108" s="121"/>
      <c r="R108" s="34"/>
    </row>
    <row r="109" spans="1:20" s="15" customFormat="1" ht="14.25" x14ac:dyDescent="0.2">
      <c r="B109" s="203"/>
      <c r="C109" s="204"/>
      <c r="D109" s="204"/>
      <c r="E109" s="204"/>
      <c r="F109" s="185"/>
      <c r="I109" s="122"/>
      <c r="J109" s="34"/>
      <c r="K109" s="122"/>
      <c r="L109" s="122"/>
      <c r="M109" s="122"/>
      <c r="N109" s="42"/>
      <c r="O109" s="123"/>
      <c r="P109" s="177"/>
      <c r="Q109" s="121"/>
      <c r="R109" s="34"/>
    </row>
    <row r="110" spans="1:20" s="15" customFormat="1" ht="14.25" x14ac:dyDescent="0.2">
      <c r="B110" s="203"/>
      <c r="C110" s="204"/>
      <c r="D110" s="204"/>
      <c r="E110" s="204"/>
      <c r="F110" s="185"/>
      <c r="I110" s="122"/>
      <c r="J110" s="34"/>
      <c r="K110" s="122"/>
      <c r="L110" s="122"/>
      <c r="M110" s="122"/>
      <c r="N110" s="42"/>
      <c r="O110" s="123"/>
      <c r="P110" s="177"/>
      <c r="Q110" s="121"/>
      <c r="R110" s="34"/>
    </row>
    <row r="111" spans="1:20" s="15" customFormat="1" ht="15" thickBot="1" x14ac:dyDescent="0.25">
      <c r="B111" s="203"/>
      <c r="C111" s="204"/>
      <c r="D111" s="204"/>
      <c r="E111" s="204"/>
      <c r="F111" s="185"/>
      <c r="I111" s="122"/>
      <c r="J111" s="34"/>
      <c r="K111" s="122"/>
      <c r="L111" s="122"/>
      <c r="M111" s="122"/>
      <c r="N111" s="42"/>
      <c r="O111" s="123"/>
      <c r="P111" s="177"/>
      <c r="Q111" s="121"/>
      <c r="R111" s="34"/>
    </row>
    <row r="112" spans="1:20" s="15" customFormat="1" ht="14.25" x14ac:dyDescent="0.2">
      <c r="B112" s="35"/>
      <c r="C112" s="32"/>
      <c r="D112" s="32"/>
      <c r="E112" s="43" t="s">
        <v>86</v>
      </c>
      <c r="F112" s="101">
        <f>SUM(F104:F111)</f>
        <v>0</v>
      </c>
      <c r="G112" s="34"/>
      <c r="H112" s="34"/>
      <c r="I112" s="34"/>
      <c r="J112" s="34"/>
      <c r="K112" s="122"/>
      <c r="L112" s="122"/>
      <c r="M112" s="122"/>
      <c r="N112" s="42"/>
      <c r="O112" s="123"/>
      <c r="P112" s="177"/>
      <c r="Q112" s="121"/>
      <c r="R112" s="34"/>
      <c r="S112" s="34"/>
    </row>
    <row r="113" spans="1:19" s="15" customFormat="1" ht="14.25" x14ac:dyDescent="0.2">
      <c r="B113" s="220"/>
      <c r="C113" s="221"/>
      <c r="D113" s="221"/>
      <c r="E113" s="221"/>
      <c r="F113" s="36"/>
      <c r="G113" s="34"/>
      <c r="H113" s="34"/>
      <c r="I113" s="34"/>
      <c r="J113" s="34"/>
      <c r="K113" s="122"/>
      <c r="L113" s="122"/>
      <c r="M113" s="122"/>
      <c r="N113" s="42"/>
      <c r="O113" s="123"/>
      <c r="P113" s="177"/>
      <c r="Q113" s="121"/>
      <c r="R113" s="34"/>
      <c r="S113" s="34"/>
    </row>
    <row r="114" spans="1:19" s="15" customFormat="1" ht="14.25" x14ac:dyDescent="0.2">
      <c r="B114" s="220" t="s">
        <v>47</v>
      </c>
      <c r="C114" s="221"/>
      <c r="D114" s="221"/>
      <c r="E114" s="221"/>
      <c r="F114" s="44">
        <f>IF(F112&lt;&gt;0,IF(N69&lt;&gt;0,(F112/N69)/12,0),0)</f>
        <v>0</v>
      </c>
      <c r="G114" s="34"/>
      <c r="H114" s="34"/>
      <c r="I114" s="34"/>
      <c r="J114" s="34"/>
      <c r="K114" s="34"/>
      <c r="L114" s="34"/>
      <c r="M114" s="34"/>
      <c r="N114" s="45"/>
      <c r="O114" s="123"/>
      <c r="P114" s="177"/>
      <c r="Q114" s="121"/>
      <c r="R114" s="34"/>
      <c r="S114" s="34"/>
    </row>
    <row r="115" spans="1:19" s="15" customFormat="1" ht="15" thickBot="1" x14ac:dyDescent="0.25">
      <c r="B115" s="46"/>
      <c r="C115" s="47"/>
      <c r="D115" s="202" t="s">
        <v>46</v>
      </c>
      <c r="E115" s="202"/>
      <c r="F115" s="48" t="str">
        <f>IF(F114&lt;3,"Nee","Ja")</f>
        <v>Nee</v>
      </c>
      <c r="G115" s="34"/>
      <c r="H115" s="34"/>
      <c r="I115" s="34"/>
      <c r="J115" s="34"/>
      <c r="K115" s="34"/>
      <c r="L115" s="34"/>
      <c r="M115" s="34"/>
      <c r="N115" s="45"/>
      <c r="O115" s="123"/>
      <c r="P115" s="177"/>
      <c r="Q115" s="121"/>
      <c r="R115" s="34"/>
      <c r="S115" s="34"/>
    </row>
    <row r="116" spans="1:19" s="15" customFormat="1" ht="14.25" x14ac:dyDescent="0.2">
      <c r="F116" s="34"/>
      <c r="G116" s="34"/>
      <c r="H116" s="34"/>
      <c r="I116" s="34"/>
      <c r="J116" s="34"/>
      <c r="K116" s="34"/>
      <c r="L116" s="34"/>
      <c r="M116" s="34"/>
      <c r="N116" s="45"/>
      <c r="O116" s="123"/>
      <c r="P116" s="177"/>
      <c r="Q116" s="121"/>
      <c r="R116" s="34"/>
      <c r="S116" s="34"/>
    </row>
    <row r="117" spans="1:19" s="15" customFormat="1" ht="14.25" x14ac:dyDescent="0.2">
      <c r="F117" s="34"/>
      <c r="G117" s="34"/>
      <c r="H117" s="34"/>
      <c r="I117" s="34"/>
      <c r="J117" s="34"/>
      <c r="K117" s="34"/>
      <c r="L117" s="34"/>
      <c r="M117" s="34"/>
      <c r="N117" s="45"/>
      <c r="O117" s="123"/>
      <c r="P117" s="177"/>
      <c r="Q117" s="121"/>
      <c r="R117" s="34"/>
      <c r="S117" s="34"/>
    </row>
    <row r="118" spans="1:19" s="15" customFormat="1" ht="18" x14ac:dyDescent="0.2">
      <c r="A118" s="161" t="s">
        <v>77</v>
      </c>
      <c r="F118" s="34"/>
      <c r="G118" s="34"/>
      <c r="H118" s="34"/>
      <c r="I118" s="34"/>
      <c r="J118" s="34"/>
      <c r="K118" s="34"/>
      <c r="L118" s="34"/>
      <c r="M118" s="34"/>
      <c r="N118" s="45"/>
      <c r="O118" s="123"/>
      <c r="P118" s="177"/>
      <c r="Q118" s="121"/>
      <c r="R118" s="34"/>
      <c r="S118" s="34"/>
    </row>
    <row r="119" spans="1:19" s="15" customFormat="1" ht="18" x14ac:dyDescent="0.2">
      <c r="A119" s="162"/>
      <c r="F119" s="34"/>
      <c r="G119" s="34"/>
      <c r="H119" s="34"/>
      <c r="I119" s="34"/>
      <c r="J119" s="34"/>
      <c r="K119" s="34"/>
      <c r="L119" s="34"/>
      <c r="M119" s="34"/>
      <c r="N119" s="45"/>
      <c r="O119" s="123"/>
      <c r="P119" s="177"/>
      <c r="Q119" s="121"/>
      <c r="R119" s="34"/>
      <c r="S119" s="34"/>
    </row>
    <row r="120" spans="1:19" s="15" customFormat="1" ht="44.25" customHeight="1" x14ac:dyDescent="0.2">
      <c r="A120" s="162"/>
      <c r="B120" s="218" t="s">
        <v>100</v>
      </c>
      <c r="C120" s="218"/>
      <c r="D120" s="218"/>
      <c r="E120" s="218"/>
      <c r="F120" s="218"/>
      <c r="G120" s="34"/>
      <c r="H120" s="34"/>
      <c r="I120" s="34"/>
      <c r="J120" s="34"/>
      <c r="K120" s="34"/>
      <c r="L120" s="34"/>
      <c r="M120" s="34"/>
      <c r="N120" s="45"/>
      <c r="O120" s="123"/>
      <c r="P120" s="177"/>
      <c r="Q120" s="121"/>
      <c r="R120" s="34"/>
      <c r="S120" s="34"/>
    </row>
    <row r="121" spans="1:19" s="15" customFormat="1" ht="15" thickBot="1" x14ac:dyDescent="0.25">
      <c r="F121" s="34"/>
      <c r="G121" s="34"/>
      <c r="H121" s="34"/>
      <c r="I121" s="34"/>
      <c r="J121" s="34"/>
      <c r="K121" s="34"/>
      <c r="L121" s="34"/>
      <c r="M121" s="34"/>
      <c r="N121" s="45"/>
      <c r="O121" s="123"/>
      <c r="P121" s="177"/>
      <c r="Q121" s="121"/>
      <c r="R121" s="34"/>
      <c r="S121" s="34"/>
    </row>
    <row r="122" spans="1:19" s="15" customFormat="1" ht="15.75" thickBot="1" x14ac:dyDescent="0.3">
      <c r="B122" s="30"/>
      <c r="C122" s="19"/>
      <c r="D122" s="19"/>
      <c r="E122" s="124" t="s">
        <v>69</v>
      </c>
      <c r="F122" s="34"/>
      <c r="G122" s="34"/>
      <c r="H122" s="34"/>
      <c r="I122" s="34"/>
      <c r="J122" s="34"/>
      <c r="K122" s="34"/>
      <c r="L122" s="34"/>
      <c r="M122" s="34"/>
      <c r="N122" s="45"/>
      <c r="O122" s="123"/>
      <c r="P122" s="177"/>
      <c r="Q122" s="121"/>
      <c r="R122" s="34"/>
      <c r="S122" s="34"/>
    </row>
    <row r="123" spans="1:19" s="15" customFormat="1" ht="14.25" x14ac:dyDescent="0.2">
      <c r="B123" s="117" t="s">
        <v>104</v>
      </c>
      <c r="E123" s="193"/>
      <c r="F123" s="34"/>
      <c r="G123" s="34"/>
      <c r="H123" s="34"/>
      <c r="I123" s="34"/>
      <c r="J123" s="34"/>
      <c r="K123" s="34"/>
      <c r="L123" s="34"/>
      <c r="M123" s="34"/>
      <c r="N123" s="45"/>
      <c r="O123" s="123"/>
      <c r="P123" s="177"/>
      <c r="Q123" s="121"/>
      <c r="R123" s="34"/>
      <c r="S123" s="34"/>
    </row>
    <row r="124" spans="1:19" s="15" customFormat="1" ht="14.25" x14ac:dyDescent="0.2">
      <c r="B124" s="196" t="s">
        <v>102</v>
      </c>
      <c r="E124" s="193"/>
      <c r="F124" s="34"/>
      <c r="G124" s="34"/>
      <c r="H124" s="34"/>
      <c r="I124" s="34"/>
      <c r="J124" s="34"/>
      <c r="K124" s="34"/>
      <c r="L124" s="34"/>
      <c r="M124" s="34"/>
      <c r="N124" s="45"/>
      <c r="O124" s="123"/>
      <c r="P124" s="177"/>
      <c r="Q124" s="121"/>
      <c r="R124" s="34"/>
      <c r="S124" s="34"/>
    </row>
    <row r="125" spans="1:19" s="15" customFormat="1" ht="15" thickBot="1" x14ac:dyDescent="0.25">
      <c r="B125" s="117"/>
      <c r="E125" s="195"/>
      <c r="F125" s="34"/>
      <c r="G125" s="34"/>
      <c r="H125" s="34"/>
      <c r="I125" s="34"/>
      <c r="J125" s="34"/>
      <c r="K125" s="34"/>
      <c r="L125" s="34"/>
      <c r="M125" s="34"/>
      <c r="N125" s="45"/>
      <c r="O125" s="123"/>
      <c r="P125" s="177"/>
      <c r="Q125" s="121"/>
      <c r="R125" s="34"/>
      <c r="S125" s="34"/>
    </row>
    <row r="126" spans="1:19" s="15" customFormat="1" ht="15" thickBot="1" x14ac:dyDescent="0.25">
      <c r="B126" s="30" t="s">
        <v>103</v>
      </c>
      <c r="C126" s="19"/>
      <c r="D126" s="19"/>
      <c r="E126" s="194" t="str">
        <f>IF(E123+E124&gt;0,(E123+E124)*4.3333,"")</f>
        <v/>
      </c>
      <c r="F126" s="34"/>
      <c r="G126" s="34"/>
      <c r="H126" s="34"/>
      <c r="I126" s="34"/>
      <c r="J126" s="34"/>
      <c r="K126" s="34"/>
      <c r="L126" s="34"/>
      <c r="M126" s="34"/>
      <c r="N126" s="45"/>
      <c r="O126" s="123"/>
      <c r="P126" s="177"/>
      <c r="Q126" s="121"/>
      <c r="R126" s="34"/>
      <c r="S126" s="34"/>
    </row>
    <row r="127" spans="1:19" s="15" customFormat="1" ht="14.25" x14ac:dyDescent="0.2">
      <c r="F127" s="34"/>
      <c r="G127" s="34"/>
      <c r="H127" s="34"/>
      <c r="I127" s="34"/>
      <c r="J127" s="34"/>
      <c r="K127" s="34"/>
      <c r="L127" s="34"/>
      <c r="M127" s="34"/>
      <c r="N127" s="45"/>
      <c r="O127" s="123"/>
      <c r="P127" s="177"/>
      <c r="Q127" s="121"/>
      <c r="R127" s="34"/>
      <c r="S127" s="34"/>
    </row>
    <row r="128" spans="1:19" s="15" customFormat="1" ht="14.25" x14ac:dyDescent="0.2">
      <c r="F128" s="34"/>
      <c r="G128" s="34"/>
      <c r="H128" s="34"/>
      <c r="I128" s="34"/>
      <c r="J128" s="34"/>
      <c r="K128" s="34"/>
      <c r="L128" s="34"/>
      <c r="M128" s="34"/>
      <c r="N128" s="45"/>
      <c r="O128" s="123"/>
      <c r="P128" s="177"/>
      <c r="Q128" s="121"/>
      <c r="R128" s="34"/>
      <c r="S128" s="34"/>
    </row>
    <row r="129" spans="1:19" ht="18" x14ac:dyDescent="0.2">
      <c r="A129" s="161" t="s">
        <v>87</v>
      </c>
      <c r="B129" s="125"/>
      <c r="C129" s="49"/>
      <c r="D129" s="49"/>
      <c r="E129" s="15"/>
      <c r="F129" s="126"/>
      <c r="G129" s="50"/>
      <c r="H129" s="50"/>
      <c r="I129" s="34"/>
      <c r="J129" s="34"/>
      <c r="K129" s="34"/>
      <c r="L129" s="34"/>
      <c r="M129" s="34"/>
      <c r="N129" s="34"/>
      <c r="O129" s="34"/>
      <c r="P129" s="176"/>
      <c r="Q129" s="34"/>
      <c r="R129" s="34"/>
      <c r="S129" s="34"/>
    </row>
    <row r="130" spans="1:19" ht="15" x14ac:dyDescent="0.25">
      <c r="B130" s="149"/>
      <c r="C130" s="149"/>
      <c r="D130" s="149"/>
      <c r="E130" s="15"/>
      <c r="F130" s="159"/>
      <c r="G130" s="50"/>
      <c r="H130" s="50"/>
      <c r="I130" s="34"/>
      <c r="J130" s="34"/>
      <c r="K130" s="127"/>
      <c r="L130" s="77"/>
      <c r="M130" s="77"/>
      <c r="N130" s="128"/>
      <c r="O130" s="128"/>
      <c r="P130" s="178"/>
      <c r="Q130" s="34"/>
      <c r="R130" s="34"/>
      <c r="S130" s="34"/>
    </row>
    <row r="131" spans="1:19" ht="14.25" x14ac:dyDescent="0.2">
      <c r="B131" s="129" t="str">
        <f>IF($E$123&gt; 0,"Totaal inkomsten (leefgeld)","Totaal inkomsten")</f>
        <v>Totaal inkomsten</v>
      </c>
      <c r="C131" s="130"/>
      <c r="D131" s="130"/>
      <c r="E131" s="130"/>
      <c r="F131" s="131">
        <f>IF(($E$123+$E$124)&gt;0,E126,G97)</f>
        <v>0</v>
      </c>
      <c r="G131" s="50"/>
      <c r="H131" s="50"/>
      <c r="I131" s="34"/>
      <c r="J131" s="34"/>
      <c r="L131" s="132"/>
      <c r="M131" s="132"/>
      <c r="N131" s="132"/>
      <c r="O131" s="128"/>
      <c r="P131" s="178"/>
      <c r="Q131" s="34"/>
      <c r="R131" s="34"/>
      <c r="S131" s="34"/>
    </row>
    <row r="132" spans="1:19" ht="15" thickBot="1" x14ac:dyDescent="0.25">
      <c r="B132" s="129" t="str">
        <f>IF($E$123&gt; 0,"Totaal uitgaven (leefgeld)","Totaal uitgaven")</f>
        <v>Totaal uitgaven</v>
      </c>
      <c r="C132" s="130"/>
      <c r="D132" s="130"/>
      <c r="E132" s="130"/>
      <c r="F132" s="133">
        <f>IF(($E$123+$E$124)&gt;0,0,N97)</f>
        <v>0</v>
      </c>
      <c r="G132" s="51"/>
      <c r="H132" s="49"/>
      <c r="I132" s="34"/>
      <c r="J132" s="134"/>
      <c r="L132" s="132"/>
      <c r="M132" s="132"/>
      <c r="N132" s="132"/>
      <c r="O132" s="128"/>
      <c r="P132" s="178"/>
      <c r="Q132" s="34"/>
      <c r="R132" s="34"/>
      <c r="S132" s="34"/>
    </row>
    <row r="133" spans="1:19" ht="14.25" x14ac:dyDescent="0.2">
      <c r="B133" s="129" t="s">
        <v>49</v>
      </c>
      <c r="C133" s="130"/>
      <c r="D133" s="130"/>
      <c r="E133" s="130"/>
      <c r="F133" s="131">
        <f>F131-F132</f>
        <v>0</v>
      </c>
      <c r="G133" s="51"/>
      <c r="H133" s="49"/>
      <c r="I133" s="34"/>
      <c r="J133" s="134"/>
      <c r="L133" s="132"/>
      <c r="M133" s="132"/>
      <c r="N133" s="132"/>
      <c r="O133" s="128"/>
      <c r="P133" s="179"/>
      <c r="Q133" s="134"/>
      <c r="R133" s="34"/>
      <c r="S133" s="34"/>
    </row>
    <row r="134" spans="1:19" ht="14.25" x14ac:dyDescent="0.2">
      <c r="B134" s="135"/>
      <c r="C134" s="135"/>
      <c r="D134" s="135"/>
      <c r="E134" s="15"/>
      <c r="F134" s="136"/>
      <c r="G134" s="49"/>
      <c r="H134" s="49"/>
      <c r="I134" s="34"/>
      <c r="J134" s="134"/>
      <c r="K134" s="53"/>
      <c r="L134" s="53"/>
      <c r="M134" s="53"/>
      <c r="N134" s="53"/>
      <c r="O134" s="53"/>
      <c r="P134" s="179"/>
      <c r="Q134" s="77"/>
      <c r="R134" s="34"/>
      <c r="S134" s="34"/>
    </row>
    <row r="135" spans="1:19" x14ac:dyDescent="0.2">
      <c r="B135" s="137" t="s">
        <v>11</v>
      </c>
      <c r="C135" s="138"/>
      <c r="D135" s="138"/>
      <c r="E135" s="15"/>
      <c r="F135" s="136">
        <f>I51</f>
        <v>0</v>
      </c>
      <c r="G135" s="49"/>
      <c r="H135" s="49"/>
      <c r="I135" s="34"/>
      <c r="J135" s="34"/>
      <c r="K135" s="34"/>
      <c r="L135" s="34"/>
      <c r="M135" s="34"/>
      <c r="N135" s="34"/>
      <c r="O135" s="34"/>
      <c r="P135" s="176"/>
      <c r="Q135" s="34"/>
      <c r="R135" s="34"/>
      <c r="S135" s="34"/>
    </row>
    <row r="136" spans="1:19" x14ac:dyDescent="0.2">
      <c r="B136" s="135" t="s">
        <v>48</v>
      </c>
      <c r="C136" s="135"/>
      <c r="D136" s="135"/>
      <c r="E136" s="199" t="str">
        <f>IF(F133&lt;F135,"Toekennen voedselhulp","Geen hulp toegekend")</f>
        <v>Geen hulp toegekend</v>
      </c>
      <c r="F136" s="199"/>
      <c r="G136" s="49"/>
      <c r="H136" s="49"/>
      <c r="I136" s="34"/>
      <c r="J136" s="34"/>
      <c r="K136" s="34"/>
      <c r="L136" s="34"/>
      <c r="M136" s="34"/>
      <c r="N136" s="139" t="s">
        <v>105</v>
      </c>
      <c r="P136" s="176"/>
      <c r="Q136" s="34"/>
      <c r="R136" s="34"/>
      <c r="S136" s="34"/>
    </row>
    <row r="137" spans="1:19" ht="14.25" x14ac:dyDescent="0.2">
      <c r="B137" s="151"/>
      <c r="C137" s="138"/>
      <c r="D137" s="138"/>
      <c r="E137" s="15"/>
      <c r="F137" s="160"/>
      <c r="G137" s="49"/>
      <c r="H137" s="49"/>
      <c r="I137" s="34"/>
      <c r="J137" s="34"/>
      <c r="K137" s="134"/>
      <c r="L137" s="34"/>
      <c r="M137" s="34"/>
      <c r="N137" s="34"/>
      <c r="O137" s="34"/>
      <c r="P137" s="34"/>
      <c r="Q137" s="34"/>
      <c r="R137" s="34"/>
      <c r="S137" s="34"/>
    </row>
    <row r="138" spans="1:19" ht="14.25" x14ac:dyDescent="0.2">
      <c r="B138" s="65"/>
      <c r="C138" s="65"/>
      <c r="D138" s="65"/>
      <c r="E138" s="15"/>
      <c r="F138" s="125"/>
      <c r="G138" s="49"/>
      <c r="H138" s="49"/>
      <c r="I138" s="34"/>
      <c r="J138" s="34"/>
      <c r="K138" s="134"/>
      <c r="L138" s="34"/>
      <c r="M138" s="34"/>
      <c r="N138" s="34"/>
      <c r="O138" s="34"/>
      <c r="P138" s="34"/>
      <c r="Q138" s="34"/>
      <c r="R138" s="34"/>
      <c r="S138" s="34"/>
    </row>
    <row r="139" spans="1:19" ht="14.25" x14ac:dyDescent="0.2">
      <c r="B139" s="125"/>
      <c r="C139" s="49"/>
      <c r="D139" s="49"/>
      <c r="E139" s="15"/>
      <c r="F139" s="75"/>
      <c r="G139" s="65"/>
      <c r="H139" s="65"/>
    </row>
    <row r="140" spans="1:19" ht="14.25" x14ac:dyDescent="0.2">
      <c r="B140" s="65"/>
      <c r="C140" s="65"/>
      <c r="D140" s="65"/>
      <c r="E140" s="15"/>
      <c r="F140" s="15"/>
      <c r="G140" s="15"/>
      <c r="H140" s="15"/>
    </row>
    <row r="141" spans="1:19" ht="14.25" x14ac:dyDescent="0.2">
      <c r="B141" s="125"/>
      <c r="C141" s="49"/>
      <c r="D141" s="49"/>
      <c r="E141" s="15"/>
    </row>
    <row r="142" spans="1:19" ht="14.25" x14ac:dyDescent="0.2">
      <c r="B142" s="65"/>
      <c r="C142" s="65"/>
      <c r="D142" s="65"/>
      <c r="E142" s="15"/>
    </row>
    <row r="143" spans="1:19" ht="14.25" x14ac:dyDescent="0.2">
      <c r="B143" s="125"/>
      <c r="C143" s="49"/>
      <c r="D143" s="49"/>
      <c r="E143" s="15"/>
    </row>
    <row r="144" spans="1:19" ht="14.25" x14ac:dyDescent="0.2">
      <c r="B144" s="65"/>
      <c r="C144" s="65"/>
      <c r="D144" s="65"/>
      <c r="E144" s="15"/>
    </row>
    <row r="145" spans="2:19" ht="14.25" x14ac:dyDescent="0.2">
      <c r="B145" s="65"/>
      <c r="C145" s="65"/>
      <c r="D145" s="65"/>
      <c r="E145" s="15"/>
    </row>
    <row r="146" spans="2:19" ht="14.25" x14ac:dyDescent="0.2">
      <c r="B146" s="15"/>
      <c r="C146" s="15"/>
      <c r="D146" s="15"/>
      <c r="E146" s="125"/>
    </row>
    <row r="147" spans="2:19" ht="14.25" x14ac:dyDescent="0.2">
      <c r="B147" s="15"/>
      <c r="C147" s="15"/>
      <c r="D147" s="15"/>
      <c r="E147" s="65"/>
    </row>
    <row r="148" spans="2:19" ht="14.25" x14ac:dyDescent="0.2">
      <c r="B148" s="15"/>
      <c r="C148" s="15"/>
      <c r="D148" s="15"/>
      <c r="E148" s="65"/>
    </row>
    <row r="149" spans="2:19" x14ac:dyDescent="0.2">
      <c r="B149" s="15"/>
      <c r="C149" s="15"/>
      <c r="D149" s="15"/>
      <c r="E149" s="15"/>
      <c r="R149" s="15"/>
      <c r="S149" s="15"/>
    </row>
    <row r="150" spans="2:19" x14ac:dyDescent="0.2">
      <c r="R150" s="15"/>
      <c r="S150" s="15"/>
    </row>
    <row r="151" spans="2:19" x14ac:dyDescent="0.2">
      <c r="R151" s="15"/>
      <c r="S151" s="15"/>
    </row>
    <row r="152" spans="2:19" x14ac:dyDescent="0.2">
      <c r="R152" s="15"/>
      <c r="S152" s="15"/>
    </row>
    <row r="153" spans="2:19" ht="14.25" x14ac:dyDescent="0.2">
      <c r="K153" s="61"/>
      <c r="L153" s="15"/>
      <c r="M153" s="15"/>
      <c r="N153" s="15"/>
      <c r="O153" s="15"/>
      <c r="P153" s="15"/>
    </row>
    <row r="154" spans="2:19" ht="14.25" x14ac:dyDescent="0.2">
      <c r="K154" s="61"/>
      <c r="L154" s="15"/>
      <c r="M154" s="15"/>
      <c r="N154" s="15"/>
      <c r="O154" s="15"/>
      <c r="P154" s="15"/>
      <c r="S154" s="15"/>
    </row>
    <row r="155" spans="2:19" ht="14.25" x14ac:dyDescent="0.2">
      <c r="K155" s="61"/>
      <c r="L155" s="15"/>
      <c r="M155" s="15"/>
      <c r="N155" s="15"/>
      <c r="O155" s="15"/>
      <c r="P155" s="15"/>
      <c r="S155" s="15"/>
    </row>
    <row r="156" spans="2:19" x14ac:dyDescent="0.2">
      <c r="Q156" s="15"/>
      <c r="S156" s="15"/>
    </row>
    <row r="157" spans="2:19" x14ac:dyDescent="0.2">
      <c r="Q157" s="15"/>
      <c r="S157" s="15"/>
    </row>
    <row r="158" spans="2:19" x14ac:dyDescent="0.2">
      <c r="Q158" s="15"/>
      <c r="S158" s="15"/>
    </row>
    <row r="159" spans="2:19" x14ac:dyDescent="0.2">
      <c r="S159" s="15"/>
    </row>
    <row r="160" spans="2:19" x14ac:dyDescent="0.2">
      <c r="S160" s="15"/>
    </row>
    <row r="162" spans="11:17" ht="14.25" x14ac:dyDescent="0.2">
      <c r="K162" s="61"/>
      <c r="L162" s="15"/>
      <c r="M162" s="15"/>
      <c r="N162" s="15"/>
      <c r="O162" s="15"/>
      <c r="P162" s="15"/>
      <c r="Q162" s="15"/>
    </row>
  </sheetData>
  <sheetProtection password="9390" sheet="1" objects="1" scenarios="1" selectLockedCells="1"/>
  <mergeCells count="55">
    <mergeCell ref="L18:N18"/>
    <mergeCell ref="L19:N19"/>
    <mergeCell ref="L12:N12"/>
    <mergeCell ref="L13:N13"/>
    <mergeCell ref="L14:N14"/>
    <mergeCell ref="L15:N15"/>
    <mergeCell ref="L17:N17"/>
    <mergeCell ref="B120:F120"/>
    <mergeCell ref="J85:K85"/>
    <mergeCell ref="J84:K84"/>
    <mergeCell ref="D15:E15"/>
    <mergeCell ref="D45:E45"/>
    <mergeCell ref="B22:D22"/>
    <mergeCell ref="B107:E107"/>
    <mergeCell ref="B105:E105"/>
    <mergeCell ref="B114:E114"/>
    <mergeCell ref="B113:E113"/>
    <mergeCell ref="J94:K94"/>
    <mergeCell ref="C90:D90"/>
    <mergeCell ref="C91:D91"/>
    <mergeCell ref="C92:D92"/>
    <mergeCell ref="C93:D93"/>
    <mergeCell ref="J91:K91"/>
    <mergeCell ref="B106:E106"/>
    <mergeCell ref="D49:E49"/>
    <mergeCell ref="D44:E44"/>
    <mergeCell ref="D41:E41"/>
    <mergeCell ref="C88:D88"/>
    <mergeCell ref="C94:D94"/>
    <mergeCell ref="C89:D89"/>
    <mergeCell ref="D42:E42"/>
    <mergeCell ref="D43:E43"/>
    <mergeCell ref="D12:E12"/>
    <mergeCell ref="D13:E13"/>
    <mergeCell ref="D14:E14"/>
    <mergeCell ref="D18:E18"/>
    <mergeCell ref="J92:K92"/>
    <mergeCell ref="D36:E36"/>
    <mergeCell ref="D17:E17"/>
    <mergeCell ref="J93:K93"/>
    <mergeCell ref="E136:F136"/>
    <mergeCell ref="A33:F33"/>
    <mergeCell ref="A25:D25"/>
    <mergeCell ref="D115:E115"/>
    <mergeCell ref="B110:E110"/>
    <mergeCell ref="B111:E111"/>
    <mergeCell ref="B103:E103"/>
    <mergeCell ref="B108:E108"/>
    <mergeCell ref="B104:E104"/>
    <mergeCell ref="D46:E46"/>
    <mergeCell ref="D48:E48"/>
    <mergeCell ref="D47:E47"/>
    <mergeCell ref="D37:E37"/>
    <mergeCell ref="D38:E38"/>
    <mergeCell ref="B109:E109"/>
  </mergeCells>
  <dataValidations xWindow="274" yWindow="334" count="7">
    <dataValidation type="date" allowBlank="1" showInputMessage="1" showErrorMessage="1" errorTitle="Datum ontvangst aanmelding" error="De datum ontvangst aanmelding is onjuist ingevoerd." sqref="D27">
      <formula1>36526</formula1>
      <formula2>47484</formula2>
    </dataValidation>
    <dataValidation type="whole" allowBlank="1" showInputMessage="1" showErrorMessage="1" sqref="H42:H49">
      <formula1>0</formula1>
      <formula2>30</formula2>
    </dataValidation>
    <dataValidation type="date" allowBlank="1" showInputMessage="1" showErrorMessage="1" sqref="F37:F38 F42:F49">
      <formula1>1</formula1>
      <formula2>47484</formula2>
    </dataValidation>
    <dataValidation type="decimal" allowBlank="1" showInputMessage="1" showErrorMessage="1" sqref="L71:L72 L75:L76 L79:L85 L58:L64 L88:L94 L67:L69 E84:E94 E71:E75 E79:E80 E58:E62 E65:E68">
      <formula1>0</formula1>
      <formula2>99999.99</formula2>
    </dataValidation>
    <dataValidation type="decimal" allowBlank="1" showInputMessage="1" showErrorMessage="1" sqref="F104:F111">
      <formula1>0</formula1>
      <formula2>99999999.99</formula2>
    </dataValidation>
    <dataValidation type="date" allowBlank="1" showErrorMessage="1" errorTitle="Datum intake" error="De datum intake is onjuist ingevoerd." promptTitle="Voer hier de intakedatum in." prompt="Met behulp van de intakedatum en de geboortedatum kan van de client/partner/kinderen de leeftijd worden bepaald." sqref="D28">
      <formula1>36526</formula1>
      <formula2>47484</formula2>
    </dataValidation>
    <dataValidation type="date" showInputMessage="1" showErrorMessage="1" errorTitle="Aanmelddatum" error="De aanmelddatum is onjuist ingevoerd." promptTitle="Vul hier de aanmelddatum in." prompt="Met behulp van de aanmelddatum en de geboortedatum kan van de client/partner/kinderen de leeftijd worden bepaald." sqref="D9">
      <formula1>36526</formula1>
      <formula2>47484</formula2>
    </dataValidation>
  </dataValidations>
  <pageMargins left="0.7" right="0.7" top="0.75" bottom="0.75" header="0.3" footer="0.3"/>
  <pageSetup paperSize="9" scale="34" orientation="portrait" horizontalDpi="4294967293" r:id="rId1"/>
  <ignoredErrors>
    <ignoredError sqref="M62 F59 F66" formula="1"/>
  </ignoredErrors>
  <drawing r:id="rId2"/>
  <legacyDrawing r:id="rId3"/>
  <extLst>
    <ext xmlns:x14="http://schemas.microsoft.com/office/spreadsheetml/2009/9/main" uri="{CCE6A557-97BC-4b89-ADB6-D9C93CAAB3DF}">
      <x14:dataValidations xmlns:xm="http://schemas.microsoft.com/office/excel/2006/main" xWindow="274" yWindow="334" count="1">
        <x14:dataValidation type="list" allowBlank="1" showInputMessage="1" showErrorMessage="1" promptTitle="Voer hier het geslacht in." prompt="Toegestane waarden zijn: &quot;Man&quot; en &quot;Vrouw&quot;. Het veld mag ook leeg worden gelaten.">
          <x14:formula1>
            <xm:f>Data!$B$1:$B$2</xm:f>
          </x14:formula1>
          <xm:sqref>C42:C49 C37:C38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C11" sqref="C11"/>
    </sheetView>
  </sheetViews>
  <sheetFormatPr defaultRowHeight="12.75" x14ac:dyDescent="0.2"/>
  <cols>
    <col min="1" max="1" width="22.5703125" style="164" bestFit="1" customWidth="1"/>
    <col min="2" max="16384" width="9.140625" style="164"/>
  </cols>
  <sheetData>
    <row r="1" spans="1:2" x14ac:dyDescent="0.2">
      <c r="A1" s="164" t="s">
        <v>81</v>
      </c>
      <c r="B1" s="164" t="s">
        <v>78</v>
      </c>
    </row>
    <row r="2" spans="1:2" x14ac:dyDescent="0.2">
      <c r="B2" s="164" t="s">
        <v>79</v>
      </c>
    </row>
    <row r="4" spans="1:2" x14ac:dyDescent="0.2">
      <c r="A4" s="164" t="s">
        <v>93</v>
      </c>
      <c r="B4" s="164">
        <f>350/12</f>
        <v>29.166666666666668</v>
      </c>
    </row>
  </sheetData>
  <sheetProtection password="9390"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intakeformulier int001b</vt:lpstr>
      <vt:lpstr>Data</vt:lpstr>
      <vt:lpstr>'intakeformulier int001b'!Afdrukbereik</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Jokes</dc:creator>
  <cp:lastModifiedBy>suwi</cp:lastModifiedBy>
  <cp:lastPrinted>2012-05-17T13:41:57Z</cp:lastPrinted>
  <dcterms:created xsi:type="dcterms:W3CDTF">2011-11-27T21:39:08Z</dcterms:created>
  <dcterms:modified xsi:type="dcterms:W3CDTF">2014-01-28T10:29:37Z</dcterms:modified>
</cp:coreProperties>
</file>