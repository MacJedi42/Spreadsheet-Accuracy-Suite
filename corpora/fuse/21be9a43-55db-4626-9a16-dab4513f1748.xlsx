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H194" i="1"/>
  <c r="G180"/>
  <c r="F174"/>
  <c r="F170"/>
  <c r="F46"/>
</calcChain>
</file>

<file path=xl/sharedStrings.xml><?xml version="1.0" encoding="utf-8"?>
<sst xmlns="http://schemas.openxmlformats.org/spreadsheetml/2006/main" count="1689" uniqueCount="653">
  <si>
    <t>Enzyme</t>
  </si>
  <si>
    <t>Reaction</t>
  </si>
  <si>
    <r>
      <t xml:space="preserve">Substrates / </t>
    </r>
    <r>
      <rPr>
        <sz val="11"/>
        <color rgb="FFFF0000"/>
        <rFont val="Calibri"/>
        <family val="2"/>
        <scheme val="minor"/>
      </rPr>
      <t>Inhibitors</t>
    </r>
  </si>
  <si>
    <t>Kinetic Mechanism</t>
  </si>
  <si>
    <t>Km</t>
  </si>
  <si>
    <t>kcat</t>
  </si>
  <si>
    <t>KI</t>
  </si>
  <si>
    <t>Acitivity (purified)</t>
  </si>
  <si>
    <t>Hill coefficient</t>
  </si>
  <si>
    <t>Species/tissue</t>
  </si>
  <si>
    <t>Referrence</t>
  </si>
  <si>
    <t>Comments</t>
  </si>
  <si>
    <t>2.7.1.1 - Hexokinase</t>
  </si>
  <si>
    <t>r1a</t>
  </si>
  <si>
    <t>Glucose</t>
  </si>
  <si>
    <t>Ordered bi-bi mechanism</t>
  </si>
  <si>
    <t>0.11 mM</t>
  </si>
  <si>
    <t>29°C, pH 8.0, rattus norvegicus, skeletal muscle</t>
  </si>
  <si>
    <t>http://www.biochemj.org/bj/100/0739/1000739.pdf</t>
  </si>
  <si>
    <t>ATP (Binds before glucose)</t>
  </si>
  <si>
    <t>0.8 mM</t>
  </si>
  <si>
    <t>D-Glucose</t>
  </si>
  <si>
    <t>120 (µM/min/mg protein)</t>
  </si>
  <si>
    <t>30°C, pH 7.5, rattus norvegicus, skeletal muscle</t>
  </si>
  <si>
    <t>http://www.sciencedirect.com/science/article/pii/S0076687982900982</t>
  </si>
  <si>
    <t>ATP</t>
  </si>
  <si>
    <t>53.2 /s</t>
  </si>
  <si>
    <t>37°C, pH 7.4, mus musculus</t>
  </si>
  <si>
    <t>http://www.jbc.org/content/282/18/13906.full.pdf+html</t>
  </si>
  <si>
    <t>Fructose (competitive with Glc)</t>
  </si>
  <si>
    <t>0.9 mM</t>
  </si>
  <si>
    <t>Glucosamine (competitive with Glc)</t>
  </si>
  <si>
    <t>0.06 mM</t>
  </si>
  <si>
    <t>Mannose (competitive with Glc)</t>
  </si>
  <si>
    <t>Glc6 (non-competitive with hexose)</t>
  </si>
  <si>
    <t>0.026 mM</t>
  </si>
  <si>
    <t>30°C, pH 7.5, Rattus norvegicus</t>
  </si>
  <si>
    <t>http://ac.els-cdn.com/S0076687982900982/1-s2.0-S0076687982900982-main.pdf?_tid=06f150b839f8719f984c766779abb6de&amp;acdnat=1336482973_8a49f0e1aa7bef0ec914ad9555cbd118</t>
  </si>
  <si>
    <t>Glc6 (non-competitive with ATP)</t>
  </si>
  <si>
    <t>0.015 mM</t>
  </si>
  <si>
    <t>Glc6 (enzyme only)</t>
  </si>
  <si>
    <t>0.043 mM</t>
  </si>
  <si>
    <t>ADP (competitive with ATP)</t>
  </si>
  <si>
    <t>3.5 mM</t>
  </si>
  <si>
    <t>2.7.1.2 - Glucokinase</t>
  </si>
  <si>
    <t>r1c</t>
  </si>
  <si>
    <t xml:space="preserve">D-glucose </t>
  </si>
  <si>
    <t>Ordered mnemonical bi-bi</t>
  </si>
  <si>
    <t>6 mM</t>
  </si>
  <si>
    <t>80 µM/min/mg</t>
  </si>
  <si>
    <t>30°C, pH 7.5, Homo Sapiens, liver</t>
  </si>
  <si>
    <t>http://www.jbc.org/content/270/17/9939.long</t>
  </si>
  <si>
    <t>0.63 mM</t>
  </si>
  <si>
    <t>Glc6P (competitive with Hexose)</t>
  </si>
  <si>
    <t>12 mM</t>
  </si>
  <si>
    <t>GlcNAc (competitive with Hexose</t>
  </si>
  <si>
    <t>0.2 mM</t>
  </si>
  <si>
    <t>9 mM</t>
  </si>
  <si>
    <t>30°C, pH 8.0, Rattus norvegicus, liver</t>
  </si>
  <si>
    <t>http://www.ncbi.nlm.nih.gov/pmc/articles/PMC1164869/pdf/biochemj00507-0070.pdf</t>
  </si>
  <si>
    <t>4.4 mM</t>
  </si>
  <si>
    <t>66.7 /s</t>
  </si>
  <si>
    <t>http://www.jbc.org/content/269/44/27458.full.pdf</t>
  </si>
  <si>
    <t>5.3.1.9 - Glucose-6-phosphate isomerase</t>
  </si>
  <si>
    <t>r2a</t>
  </si>
  <si>
    <t>Push-pull mechanism (Michaelis-Menten)</t>
  </si>
  <si>
    <t>mus musculus</t>
  </si>
  <si>
    <t>http://www.ncbi.nlm.nih.gov/pubmed/15342241</t>
  </si>
  <si>
    <t>r2aF</t>
  </si>
  <si>
    <t>Glucose-6-P</t>
  </si>
  <si>
    <t>0.25 mM</t>
  </si>
  <si>
    <t>30C, pH 8.5, mus musculus, Ehrlich ascites tumor cells</t>
  </si>
  <si>
    <t>http://www.sciencedirect.com/science/article/pii/0014579373801668</t>
  </si>
  <si>
    <t>D-Glucose-6-P</t>
  </si>
  <si>
    <t>1000 /s</t>
  </si>
  <si>
    <t>30C, pH 7.5, homo sapiens, liver</t>
  </si>
  <si>
    <t>http://www.sciencedirect.com/science/article/pii/S1570963908003531</t>
  </si>
  <si>
    <t>r2aB</t>
  </si>
  <si>
    <t>D-Fructose-6-P</t>
  </si>
  <si>
    <t>0.037 mM</t>
  </si>
  <si>
    <t>650 /s</t>
  </si>
  <si>
    <t xml:space="preserve">2.6.1.16 - glutamine-fructose-6-phosphate transaminase </t>
  </si>
  <si>
    <t>r3a</t>
  </si>
  <si>
    <t>Glutamine (second to bind)</t>
  </si>
  <si>
    <t>1.08 /s (as calculated from specific activity)</t>
  </si>
  <si>
    <t>200 pmol/min/mg</t>
  </si>
  <si>
    <t>37°C, pH 7.5, rat, liver</t>
  </si>
  <si>
    <t>http://www.sciencedirect.com/science/article/pii/S0003986100918952</t>
  </si>
  <si>
    <t>kcat based on homogeneous protein with a Mr of 75 kDa</t>
  </si>
  <si>
    <t>Fru-6-P (first to bind)</t>
  </si>
  <si>
    <t>0.4 mM</t>
  </si>
  <si>
    <t xml:space="preserve">  </t>
  </si>
  <si>
    <t>0.0183 mM</t>
  </si>
  <si>
    <t>http://www.sciencedirect.com/science/article/pii/S0167483802003187</t>
  </si>
  <si>
    <t>3.5.99.6 - glucosamine-6-phosphate deaminase</t>
  </si>
  <si>
    <t>r3b</t>
  </si>
  <si>
    <t>GlcNAc-6-P (Allosteric activator of the V-type)</t>
  </si>
  <si>
    <t>Bireactant sequential mechanism</t>
  </si>
  <si>
    <t>0.0175 mM</t>
  </si>
  <si>
    <t>61.6 /s</t>
  </si>
  <si>
    <t>30C, pH 7.7, bos taurus, kidney</t>
  </si>
  <si>
    <t>http://www.sciencedirect.com/science/article/pii/S0167483898001411</t>
  </si>
  <si>
    <t>Michaelis-Menten activation kinetics</t>
  </si>
  <si>
    <t>GlcN-6P</t>
  </si>
  <si>
    <t>0.65 mM</t>
  </si>
  <si>
    <t>2.3.1.4 - glucosamine-phosphate N-acetyltransferase</t>
  </si>
  <si>
    <t>r4a</t>
  </si>
  <si>
    <t>Ping pong bi-bi mechanism</t>
  </si>
  <si>
    <t>37C, pH 7.4, rattus norvegicus</t>
  </si>
  <si>
    <t>http://www-06.all-portland.net/bst/012/0656/0120656.pdf</t>
  </si>
  <si>
    <t>CoA (competitive with actyl-CoA</t>
  </si>
  <si>
    <t>0.05 - 0.15 mM</t>
  </si>
  <si>
    <t>GlcN-6-P</t>
  </si>
  <si>
    <t>0.040 mM</t>
  </si>
  <si>
    <t>37°C, pH 7.5, mus musculus</t>
  </si>
  <si>
    <t>http://www.jbc.org/content/275/17/12821.full.pdf+html</t>
  </si>
  <si>
    <t>acetyl-CoA</t>
  </si>
  <si>
    <t>0.120 mM</t>
  </si>
  <si>
    <t>22.1 /s</t>
  </si>
  <si>
    <t>30C, pH 8.0, homo sapiens</t>
  </si>
  <si>
    <t>http://www.sciencedirect.com/science/article/pii/S0014579308006406</t>
  </si>
  <si>
    <t>3.5.1.25 - N-acetylglucosamine-6-phosphate deacetylase</t>
  </si>
  <si>
    <t>r4b</t>
  </si>
  <si>
    <t>GlcNAc-6-P</t>
  </si>
  <si>
    <t xml:space="preserve">Michaelis-Menten </t>
  </si>
  <si>
    <t>0.029 mM</t>
  </si>
  <si>
    <t>0.04 /s</t>
  </si>
  <si>
    <t>1.4*10^6 cpm/h/mg</t>
  </si>
  <si>
    <t>37°C, pH 7.5, homo sapiens, erythrocyte</t>
  </si>
  <si>
    <t>http://onlinelibrary.wiley.com/doi/10.1046/j.1365-2141.1996.d01-1955.x/pdf</t>
  </si>
  <si>
    <t>16,000-fold purified was assumed to be pure enzyme</t>
  </si>
  <si>
    <t>5.4.2.3 - phosphoacetylglucosamine mutase</t>
  </si>
  <si>
    <t>r5aF</t>
  </si>
  <si>
    <t>Ping-Pong bi-bi mechanism</t>
  </si>
  <si>
    <t>0.046 mM</t>
  </si>
  <si>
    <t>1.8 /s</t>
  </si>
  <si>
    <t>30°C, pH 8.3, homo sapiens, expressed in E. Coli</t>
  </si>
  <si>
    <t>http://www.sciencedirect.com/science/article/pii/S0167478100001202</t>
  </si>
  <si>
    <t>r5aB</t>
  </si>
  <si>
    <t>GlcNAc-1-P</t>
  </si>
  <si>
    <t>1.8 /s (assumed same as forward)</t>
  </si>
  <si>
    <t>37°C, pH 7.5, sus scrofa, submaxillary gland</t>
  </si>
  <si>
    <t>http://www.jbc.org/content/254/17/8353.long</t>
  </si>
  <si>
    <t>0.024 mM</t>
  </si>
  <si>
    <t>vm data read from graph in supplementary material</t>
  </si>
  <si>
    <t>0.023 mM</t>
  </si>
  <si>
    <t>GlcNAc-1,6-P2 (intermediate)</t>
  </si>
  <si>
    <t>0.00038 mM</t>
  </si>
  <si>
    <t>Glc-1,6-P2 (intermediate)</t>
  </si>
  <si>
    <t>0.028 mM</t>
  </si>
  <si>
    <t>2.7.7.23 - UDP-N-acetylglucosamine diphsophorylase</t>
  </si>
  <si>
    <t>r6aF</t>
  </si>
  <si>
    <t>UTP (binds second)</t>
  </si>
  <si>
    <t>0.42 mM</t>
  </si>
  <si>
    <t>37°C, pH 7.5, sus scrofa, liver</t>
  </si>
  <si>
    <t>http://www.jbc.org/content/271/22/13147.full.pdf+html</t>
  </si>
  <si>
    <t>GlcNAc-1-P (binds first)</t>
  </si>
  <si>
    <t>0.29 mM</t>
  </si>
  <si>
    <t>31 /s (as calculated from specific activity)</t>
  </si>
  <si>
    <t>kcat based on homogeneous protein with a Mr of 125kDa</t>
  </si>
  <si>
    <t>GalNAc-1-P (competes with GlcNAc-1-P)</t>
  </si>
  <si>
    <t>1.1 mM</t>
  </si>
  <si>
    <t>Glc-1-P (competes with GlcNAc-1-P)</t>
  </si>
  <si>
    <t>5.8 mM</t>
  </si>
  <si>
    <t>http://www.jbc.org/content/273/23/14392.full.pdf</t>
  </si>
  <si>
    <t>r6aB</t>
  </si>
  <si>
    <t>ADP</t>
  </si>
  <si>
    <t>0.79 mM</t>
  </si>
  <si>
    <t>37°C, pH 7.4, ovis aries, brain</t>
  </si>
  <si>
    <t>http://www.brenda-enzymes.org/literature/lit.php4?e=2.7.7.23&amp;r=643057</t>
  </si>
  <si>
    <t>UDP-GlcNAc (5 mM Ppi)</t>
  </si>
  <si>
    <t>0.23 mM</t>
  </si>
  <si>
    <t>31 /s (assumed same as forward)</t>
  </si>
  <si>
    <t>37°C, pH 8.5, sus scrofa, liver</t>
  </si>
  <si>
    <t>UDP-GalNAc (competes with UDP-GlcNAc)</t>
  </si>
  <si>
    <t>2.2 mM</t>
  </si>
  <si>
    <t>UDP-Glc (competes with UDP-GlcNAc)</t>
  </si>
  <si>
    <t>6.3 mM</t>
  </si>
  <si>
    <t>5.1.3.7 - UDP-N-acetylglucosamine 4-epimerase</t>
  </si>
  <si>
    <t>r7a</t>
  </si>
  <si>
    <t>Although activity has been reported in mammalian cells no kinetic data can be found for this enzyme</t>
  </si>
  <si>
    <t>200 nmol/hr/mg</t>
  </si>
  <si>
    <t>37°C, pH 8.4, CHO cells</t>
  </si>
  <si>
    <t>http://www.sciencedirect.com/science/article/pii/009286748690841X</t>
  </si>
  <si>
    <t>5.1.3.2 - UDP-glucose 4-epimerase</t>
  </si>
  <si>
    <t>r7bB</t>
  </si>
  <si>
    <t>UDP-GalNAc</t>
  </si>
  <si>
    <t>Single substrate Michaelis-Menten mechanism</t>
  </si>
  <si>
    <t>26 /s (based on repored activity ratios and UDP-Gal turnover)</t>
  </si>
  <si>
    <t>36.4 µM/min/mg protein</t>
  </si>
  <si>
    <t>37°C, pH 8.7, homo sapiens, expressed in Saccharomyces</t>
  </si>
  <si>
    <t>http://www.jbc.org/content/279/31/32796.full.pdf</t>
  </si>
  <si>
    <t>http://www.jbc.org/content/276/23/20617.full.pdf+html</t>
  </si>
  <si>
    <t>UDP-Gal</t>
  </si>
  <si>
    <t>0.048 mM</t>
  </si>
  <si>
    <t>Homo sapiens, expressed in Saccharomyces</t>
  </si>
  <si>
    <t>http://ac.els-cdn.com/S1074552102000935/1-s2.0-S1074552102000935-main.pdf?_tid=68bdd139aaee08f025efafe0022c3dbf&amp;acdnat=1336068604_07e825abfeaf1ed5dd7ab93c95783d14</t>
  </si>
  <si>
    <t>r7bF</t>
  </si>
  <si>
    <t>UDP-GlcNAc</t>
  </si>
  <si>
    <t>0.53 mM (based on UDP-GalNAc/UDP-GlcNAc ratio)</t>
  </si>
  <si>
    <t>26 /s (assumed same as forward)</t>
  </si>
  <si>
    <t>37°C, pH 7.8, CHO-K1</t>
  </si>
  <si>
    <t>http://onlinelibrary.wiley.com/doi/10.1002/bit.21816/abstract</t>
  </si>
  <si>
    <t>An average UDP-GalNAc/UDP-GlcNAc of 0.551 was calculated</t>
  </si>
  <si>
    <t>UDP-Glc equilibrates 4-fold faster than UDP-GlcNAc</t>
  </si>
  <si>
    <t>Homo sapiens</t>
  </si>
  <si>
    <t>http://www.biochemj.org/bj/389/0173/3890173.pdf</t>
  </si>
  <si>
    <t>UDP-GlcNAc to UDP-GalNAc ratios during different stages of cell cycle</t>
  </si>
  <si>
    <t>CHO</t>
  </si>
  <si>
    <t>http://www.jbc.org/content/280/14/13493.full.pdf</t>
  </si>
  <si>
    <t>UDP-Glc</t>
  </si>
  <si>
    <t>0.020 mM</t>
  </si>
  <si>
    <t>2.7.1.59 - N-acetylglucosamine kinase</t>
  </si>
  <si>
    <t>r8a</t>
  </si>
  <si>
    <t>GlcNAc</t>
  </si>
  <si>
    <t>Random order (assumed)</t>
  </si>
  <si>
    <t>37°C, pH 7.5, mus musculus, spleen</t>
  </si>
  <si>
    <t>http://onlinelibrary.wiley.com/doi/10.1046/j.1432-1327.2000.01360.x/pdf</t>
  </si>
  <si>
    <t>Activity: 12 (kidney), 4 (liver)</t>
  </si>
  <si>
    <t>0.5 mM</t>
  </si>
  <si>
    <t>GlcNAc (co-operative kinetics)</t>
  </si>
  <si>
    <t>32°C, pH 7.5, rattus norvegicus, kindey and liver</t>
  </si>
  <si>
    <t>http://www.ncbi.nlm.nih.gov/pmc/articles/PMC1161433/pdf/biochemj00430-0042.pdf</t>
  </si>
  <si>
    <t>68.1 /s</t>
  </si>
  <si>
    <r>
      <t xml:space="preserve">52.4 </t>
    </r>
    <r>
      <rPr>
        <sz val="11"/>
        <color theme="1"/>
        <rFont val="Calibri"/>
        <family val="2"/>
      </rPr>
      <t>μmol/min/mg</t>
    </r>
  </si>
  <si>
    <t>37°C, pH 7.5, rattus norvegicus, liver</t>
  </si>
  <si>
    <t>http://onlinelibrary.wiley.com/doi/10.1046/j.1432-1327.1998.2520133.x/pdf</t>
  </si>
  <si>
    <t>Obtained from specific activity data and Mr of 78 kDa</t>
  </si>
  <si>
    <t>37°C, pH 9.0, sus scrofa, liver</t>
  </si>
  <si>
    <t>http://www.sciencedirect.com/science/article/pii/0005274470902287</t>
  </si>
  <si>
    <t>ManNAc</t>
  </si>
  <si>
    <t>4 mM</t>
  </si>
  <si>
    <t>r8b</t>
  </si>
  <si>
    <t>0.20 mM</t>
  </si>
  <si>
    <t>No effect on co-operativity</t>
  </si>
  <si>
    <t>D-glucose (competitive with Hexose)</t>
  </si>
  <si>
    <t>6.0 mM</t>
  </si>
  <si>
    <t>Mannose (competitive with Hexose)</t>
  </si>
  <si>
    <t>9.0 mM</t>
  </si>
  <si>
    <t>3.5.1.33 - N-acetylglucosamine deacetylase</t>
  </si>
  <si>
    <t>r9a</t>
  </si>
  <si>
    <t>Although reported in mammalian cells no kinetic data can be found for this enzyme</t>
  </si>
  <si>
    <t>http://www.jbc.org/content/266/14/8671.long</t>
  </si>
  <si>
    <t>2.3.1.3 - Glucosamine N-acetyltransferase</t>
  </si>
  <si>
    <t>r9b</t>
  </si>
  <si>
    <t>Although reported in pidgeons no kinetic data can be found for this enzyme</t>
  </si>
  <si>
    <t>http://www.jbc.org/content/196/1/105.long</t>
  </si>
  <si>
    <t>r10a</t>
  </si>
  <si>
    <t xml:space="preserve">Glucosamine </t>
  </si>
  <si>
    <t>53.2 /s (assumed to be the same as for Glc)</t>
  </si>
  <si>
    <t>Glucose (competitive with GlcN)</t>
  </si>
  <si>
    <t>Fructose (competitive with GlcN)</t>
  </si>
  <si>
    <t>Mannose (competitive with GlcN)</t>
  </si>
  <si>
    <t>r11a</t>
  </si>
  <si>
    <t>Fructose</t>
  </si>
  <si>
    <t>Glucose (competitive with Fru)</t>
  </si>
  <si>
    <t>Glucosamine (competitive with Fru)</t>
  </si>
  <si>
    <t>Mannose (competitive with Fru)</t>
  </si>
  <si>
    <t>2.7.1.52 - Fucokinase</t>
  </si>
  <si>
    <t>r12a</t>
  </si>
  <si>
    <t>L-fucose (at 5mM ATP)</t>
  </si>
  <si>
    <t>Random order bi-bi (assumed)</t>
  </si>
  <si>
    <t>0.027 mM</t>
  </si>
  <si>
    <t>9.3 /s</t>
  </si>
  <si>
    <t>1270 nmol/min/mg</t>
  </si>
  <si>
    <t>37°C, pH 8.0, sus scrofa, kidney</t>
  </si>
  <si>
    <t>http://www.jbc.org/content/273/10/5685.full.pdf+html</t>
  </si>
  <si>
    <t>kcat obtained from specific activity assumed to be of homogeneous enzyme and an Mr of 440kDa</t>
  </si>
  <si>
    <t>ATP (at 0.1 mM Fucose)</t>
  </si>
  <si>
    <t>0.6 mM</t>
  </si>
  <si>
    <t>GDP-fucose (data suggest non-competitive inhibition)</t>
  </si>
  <si>
    <t>0.01 mM</t>
  </si>
  <si>
    <t>Michaelis-Menten kinetics</t>
  </si>
  <si>
    <t>37°C, rattus norvegicus, liver</t>
  </si>
  <si>
    <t>http://informahealthcare.com/doi/abs/10.3109/14756369709027655</t>
  </si>
  <si>
    <t>2.7.7.30 - fucose-1-phosphate guanylyltransferase</t>
  </si>
  <si>
    <t>r13aF</t>
  </si>
  <si>
    <t>Fucose-1-P</t>
  </si>
  <si>
    <t>Ping-Pong bi-bi mechanism (assumed)</t>
  </si>
  <si>
    <t>0.067 mM</t>
  </si>
  <si>
    <t>3.6 /s</t>
  </si>
  <si>
    <t>37°C, pH 7.0, homo sapiens, liver</t>
  </si>
  <si>
    <t>http://pubs.acs.org/doi/abs/10.1021/bi0503605</t>
  </si>
  <si>
    <t>different kcat values and analogy to UDP-GlcNAc point towards ping-pong mechanism</t>
  </si>
  <si>
    <t>GTP</t>
  </si>
  <si>
    <t>0.05 mM</t>
  </si>
  <si>
    <t>2.5 /s</t>
  </si>
  <si>
    <t>r13aB</t>
  </si>
  <si>
    <t>GDP-fucose</t>
  </si>
  <si>
    <t>(overall value assumed to be same as forward)</t>
  </si>
  <si>
    <t>37°C, pH 7.8, sus scrofa, kidney</t>
  </si>
  <si>
    <t>http://www.jbc.org/content/273/46/30165.full.pdf+html</t>
  </si>
  <si>
    <t>Activity data seems to appear as two parallel lines suggesting a ping-pong mechanism</t>
  </si>
  <si>
    <t>PPi</t>
  </si>
  <si>
    <t>0.135 mM</t>
  </si>
  <si>
    <t>Overall kcat=(kF*kG/(kF+kG)) = 1.5 /s</t>
  </si>
  <si>
    <t>1.1.1.271 - GDP-L-fucose synthase</t>
  </si>
  <si>
    <t>r14a</t>
  </si>
  <si>
    <t>GDP-4-keto-6-deoxy-D-mannose</t>
  </si>
  <si>
    <t>0.014 mM</t>
  </si>
  <si>
    <t>0.20 /s (from activity)</t>
  </si>
  <si>
    <t>194 nmol/min/mg</t>
  </si>
  <si>
    <t>37°C, pH 7, sus scrofa</t>
  </si>
  <si>
    <t>http://www.jbc.org/content/263/4/1693.full.pdf</t>
  </si>
  <si>
    <t>Apparent homogeneity of protein and an Mr of 63.1 kDa</t>
  </si>
  <si>
    <t>NADPH</t>
  </si>
  <si>
    <t>NADPH (substrate inhibition at high concentrations)</t>
  </si>
  <si>
    <t>4.2.1.47 - GDP-mannose 4,6-dehydratase</t>
  </si>
  <si>
    <t>r15a</t>
  </si>
  <si>
    <t>GDP-Mannose</t>
  </si>
  <si>
    <t>0.0035 mM</t>
  </si>
  <si>
    <t>700 nmol/min/mg</t>
  </si>
  <si>
    <t>37°C, pH 8.0, homo sapiens, expressed in E. Coli</t>
  </si>
  <si>
    <t>http://www.sciencedirect.com/science/article/pii/S0014579398006152</t>
  </si>
  <si>
    <t>NADP</t>
  </si>
  <si>
    <t>0.0036 mM</t>
  </si>
  <si>
    <t>0.8 /s</t>
  </si>
  <si>
    <t>http://www.sciencedirect.com/science/article/pii/S0014579399009825</t>
  </si>
  <si>
    <t>GDP-L-fucose (non-competitive inhibition)</t>
  </si>
  <si>
    <t>0.011 mM</t>
  </si>
  <si>
    <t>2.7.7.13 - mannose-1-phosphate guanylyltransferase</t>
  </si>
  <si>
    <t>r16aF</t>
  </si>
  <si>
    <t>Mannose-1-P</t>
  </si>
  <si>
    <t>Ping-Pong bi-bi mechanism (assumed to be the same as for r6a and r14a)</t>
  </si>
  <si>
    <t>0.13 mM</t>
  </si>
  <si>
    <t>78 /s (based on Keq)</t>
  </si>
  <si>
    <t>http://www.jbc.org/content/268/24/17943.long</t>
  </si>
  <si>
    <t>Keq = 0.38 = (GDP-Man*Ppi)/(GTP*Man-1P)</t>
  </si>
  <si>
    <t>0.10 mM</t>
  </si>
  <si>
    <t>Glucose-1-P (competitive with Man-1P)</t>
  </si>
  <si>
    <t>2.5 mM</t>
  </si>
  <si>
    <t>r16aB</t>
  </si>
  <si>
    <t>GDP-mannose</t>
  </si>
  <si>
    <t>69 /s (from activity)</t>
  </si>
  <si>
    <t>9250 nmol/min/mg</t>
  </si>
  <si>
    <t>0.031 mM</t>
  </si>
  <si>
    <t>Apparent homogeneity of protein and Mr of 450 kDa</t>
  </si>
  <si>
    <t>5.4.2.8 - phosphomannomutase</t>
  </si>
  <si>
    <t>r17aF</t>
  </si>
  <si>
    <t>Man-6-P</t>
  </si>
  <si>
    <t>Single substrate M-M with allosteric activator</t>
  </si>
  <si>
    <t>0.074 mM</t>
  </si>
  <si>
    <t>24 /s (assumed same as backward)</t>
  </si>
  <si>
    <t>Oryctolagus cuniculus</t>
  </si>
  <si>
    <t>http://www.brenda-enzymes.info/literature/lit.php4?e=5.4.2.8&amp;r=3352</t>
  </si>
  <si>
    <t>Glucose-6-P (competitive with Man-6P)</t>
  </si>
  <si>
    <t>0.049 mM (assumed same ratio as Man6P to Man1P)</t>
  </si>
  <si>
    <t>30°C, pH 7.1, homo sapiens, lymphocytes</t>
  </si>
  <si>
    <t>http://www.ncbi.nlm.nih.gov/pmc/articles/PMC1220145/</t>
  </si>
  <si>
    <t>r17aB</t>
  </si>
  <si>
    <t>0.018 mM</t>
  </si>
  <si>
    <t>24 /s (from activity)</t>
  </si>
  <si>
    <t>49 000 nmol/min/mg</t>
  </si>
  <si>
    <t>Apparent homogeneity of protein and Mr of 28 kDa</t>
  </si>
  <si>
    <t>0.012 mM</t>
  </si>
  <si>
    <t>r17a</t>
  </si>
  <si>
    <t>Hex-1,6-PP co-substrate required for activation</t>
  </si>
  <si>
    <t>0.00046 mM (Kdiss)</t>
  </si>
  <si>
    <t>http://www.ncbi.nlm.nih.gov/pmc/articles/PMC1220145/pdf/10085245.pdf</t>
  </si>
  <si>
    <t>0.30 mol/mol phosphorylation stoichometry</t>
  </si>
  <si>
    <t>r18a</t>
  </si>
  <si>
    <t>Mannose</t>
  </si>
  <si>
    <t>120 µM/min/mg protein</t>
  </si>
  <si>
    <t>53.2 /s (assumed same for Man reactio)</t>
  </si>
  <si>
    <t>Glucose (competitive with Man)</t>
  </si>
  <si>
    <t>Fructose (competitive with Man)</t>
  </si>
  <si>
    <t>Glucosamine (competitive with Man)</t>
  </si>
  <si>
    <t>r18b</t>
  </si>
  <si>
    <t>5.3.1.8 - Mannose-6-phosphate isomerase</t>
  </si>
  <si>
    <t>19aF</t>
  </si>
  <si>
    <t>Fru-6P</t>
  </si>
  <si>
    <t>Single substrate Michaelis-Menten kinetics (assumed)</t>
  </si>
  <si>
    <t>56 /s (assumed same as backward)</t>
  </si>
  <si>
    <t>25°C, pH 8.0, oryctolagus cuniculus, skeletal muscle</t>
  </si>
  <si>
    <t>http://www.jbc.org/content/235/8/2178.long</t>
  </si>
  <si>
    <t>19aB</t>
  </si>
  <si>
    <t>56 /s (from activity)</t>
  </si>
  <si>
    <t>75 µM/min/mg protein</t>
  </si>
  <si>
    <t>37°C, pH 8.0, homo sapiens, placenta</t>
  </si>
  <si>
    <t>http://onlinelibrary.wiley.com/doi/10.1111/j.1432-1033.1994.tb19954.x/pdf</t>
  </si>
  <si>
    <t>Apparent homogeneity of protein and Mr of 45 kDa</t>
  </si>
  <si>
    <t>Fru-1P (competitive inhibitor)</t>
  </si>
  <si>
    <t>0.03 mM</t>
  </si>
  <si>
    <t>30°C, pH 7.1, rattus norvegicus, liver</t>
  </si>
  <si>
    <t>http://www.nature.com/pr/journal/v40/n5/full/pr19962957a.html</t>
  </si>
  <si>
    <t>2.7.1.6 - galactokinase</t>
  </si>
  <si>
    <t>r20a</t>
  </si>
  <si>
    <t>galactose (second to bind)</t>
  </si>
  <si>
    <t>8.7 /s</t>
  </si>
  <si>
    <t>37°C, pH 8.0, homo sapiens</t>
  </si>
  <si>
    <t>http://www.sciencedirect.com/science/article/pii/S016816560900128X</t>
  </si>
  <si>
    <t>ATP (first to bind)</t>
  </si>
  <si>
    <t>Gal-1-P (uncompetitive with respect to ATP)</t>
  </si>
  <si>
    <t>39 mM</t>
  </si>
  <si>
    <t>http://onlinelibrary.wiley.com/resolve/openurl?genre=article&amp;sid=nlm:pubmed&amp;issn=0014-2956&amp;date=2003&amp;volume=270&amp;issue=8&amp;spage=1767</t>
  </si>
  <si>
    <t>Gal-1-P (uncompetitive with respect to Gal)</t>
  </si>
  <si>
    <t>28 mM</t>
  </si>
  <si>
    <t>37°C, pH 7.8, sus scrofa, liver</t>
  </si>
  <si>
    <t>http://www.sciencedirect.com/science/article/pii/0076687975420900</t>
  </si>
  <si>
    <t>AMP</t>
  </si>
  <si>
    <t>10.2 mM</t>
  </si>
  <si>
    <t>34°C, pH 7.5, rattus norvegicus, liver</t>
  </si>
  <si>
    <t>2.7.7.9 - UTP-glucose-1-phosphate uridylyltransferase</t>
  </si>
  <si>
    <t>r21aF</t>
  </si>
  <si>
    <t>Galactose-1-P (second to bind)</t>
  </si>
  <si>
    <t>7.3 mM</t>
  </si>
  <si>
    <t>170 /s (assumed same as backwards)</t>
  </si>
  <si>
    <t>32°C, pH 8.0, Oryctolagus cuniculus, liver</t>
  </si>
  <si>
    <t>http://www.jbc.org/content/249/23/7695.long</t>
  </si>
  <si>
    <t>1.9 mM</t>
  </si>
  <si>
    <t>25°C, pH 8.0, homo sapiens, transfected cell line</t>
  </si>
  <si>
    <t>http://glycob.oxfordjournals.org/content/13/4/285.full.pdf</t>
  </si>
  <si>
    <t>UTP (First to bind)</t>
  </si>
  <si>
    <t>0.038 mM</t>
  </si>
  <si>
    <t>Glucose 1-P (competitive with Gal-1P)</t>
  </si>
  <si>
    <t>UDP-Galactose (competitive with Gal-1P)</t>
  </si>
  <si>
    <t>0.22 mM</t>
  </si>
  <si>
    <t>r21aB</t>
  </si>
  <si>
    <t>UDP-Galactose</t>
  </si>
  <si>
    <t>170 /s (from activity)</t>
  </si>
  <si>
    <t>0.21 mM</t>
  </si>
  <si>
    <t>32°C, pH 8.0, homo sapiens, liver</t>
  </si>
  <si>
    <t>UDP-glucose (competitive with UDP-Gal)</t>
  </si>
  <si>
    <t>0.066 mM</t>
  </si>
  <si>
    <t>200 µM/min/mg protein</t>
  </si>
  <si>
    <t>Apparent homogeneity of protein and Mr of 50kDa</t>
  </si>
  <si>
    <t>Galactose-1-P (competitive with UDP-Gal)</t>
  </si>
  <si>
    <t>r21a</t>
  </si>
  <si>
    <t>Homo sapiens and bos taurus</t>
  </si>
  <si>
    <t>http://www.jbc.org/content/246/8/2551.full.pdf</t>
  </si>
  <si>
    <t>r22aF</t>
  </si>
  <si>
    <t>6 /s (assumed same as backwards)</t>
  </si>
  <si>
    <t xml:space="preserve">37°C, pH 8.8, homo sapiens, </t>
  </si>
  <si>
    <t>http://onlinelibrary.wiley.com/doi/10.1111/j.1742-4658.2005.05017.x/abstract;jsessionid=C0635FE9C5F7B25D64C931F1993F6492.d02t02</t>
  </si>
  <si>
    <t xml:space="preserve">37°C, pH 7.5, homo sapiens, </t>
  </si>
  <si>
    <t>http://www.sciencedirect.com/science/article/pii/S0300908411002057</t>
  </si>
  <si>
    <t>UDP-galactose</t>
  </si>
  <si>
    <t>36 /s</t>
  </si>
  <si>
    <t>37°C, pH 8.8, homo sapiens</t>
  </si>
  <si>
    <t>http://onlinelibrary.wiley.com/doi/10.1111/j.1742-4658.2005.05017.x/pdf</t>
  </si>
  <si>
    <t>UDP-GalNAc (competes with UDP-Gal)</t>
  </si>
  <si>
    <t>r22aB</t>
  </si>
  <si>
    <t>Estimated</t>
  </si>
  <si>
    <t>http://www.sciencedirect.com/science/article/pii/S1074552102000935</t>
  </si>
  <si>
    <t>UDP-GlcNAc (competes with UDP-Glc)</t>
  </si>
  <si>
    <t>2.7.7.12 - UDP-glucose-hexose-1-phosphate uridylyltransferase</t>
  </si>
  <si>
    <t>r23a</t>
  </si>
  <si>
    <t>UDP-Glucose</t>
  </si>
  <si>
    <t>Bi-bi double displacement reaction (following ping pong kinetics)</t>
  </si>
  <si>
    <t>0.6 mM (Ka)</t>
  </si>
  <si>
    <t>98 /s</t>
  </si>
  <si>
    <t>37°C, pH 8.7, homo sapiens, expressed in yeast</t>
  </si>
  <si>
    <t>http://www.jbc.org/content/275/30/22847.full.pdf+html</t>
  </si>
  <si>
    <t>0.2 mM (Kia)</t>
  </si>
  <si>
    <t>Gal-1-P</t>
  </si>
  <si>
    <t>0.4 mM (Kb)</t>
  </si>
  <si>
    <t>r26aF</t>
  </si>
  <si>
    <t>1.2 /s (assumed same as backward)</t>
  </si>
  <si>
    <t>Mannose-6-P (competitive with Glc-6P)</t>
  </si>
  <si>
    <t>r26aB</t>
  </si>
  <si>
    <t>Glucose-1-P</t>
  </si>
  <si>
    <t>1.2 /s (20 times less activity than Man-1P)</t>
  </si>
  <si>
    <t>Mannose-1-P (competitive with Glc-1P)</t>
  </si>
  <si>
    <t>r26a</t>
  </si>
  <si>
    <t>hex-1,6-PP co-substrate required for activation</t>
  </si>
  <si>
    <t>0.003 mM</t>
  </si>
  <si>
    <t>Mammals</t>
  </si>
  <si>
    <t>http://www.sciencedirect.com/science/article/pii/S0014579396014251</t>
  </si>
  <si>
    <t>Acitvation assumed to be not limiting</t>
  </si>
  <si>
    <t>5.4.2.2 - phosphoglucomutase</t>
  </si>
  <si>
    <t>r26bF</t>
  </si>
  <si>
    <t>0.057 mM</t>
  </si>
  <si>
    <t>57 /s</t>
  </si>
  <si>
    <t>30°C, pH 7.4, Oryctolagus cuniculus, liver</t>
  </si>
  <si>
    <t>http://www.sciencedirect.com/science/article/pii/S0003269704002258</t>
  </si>
  <si>
    <t>r26bB</t>
  </si>
  <si>
    <t>181 /s</t>
  </si>
  <si>
    <t>160 µM/min/mg</t>
  </si>
  <si>
    <t>37°C, pH 7.4, Oryctolagus cuniculus, liver</t>
  </si>
  <si>
    <t>r26cF</t>
  </si>
  <si>
    <t>Glc-6-P</t>
  </si>
  <si>
    <t>1.3 mM (assumed same ratio as GlcNAc-1P to GlcNAc-6P)</t>
  </si>
  <si>
    <t>1.8 /s (assumed same as for GlcNAc-6P)</t>
  </si>
  <si>
    <t>30°C, pH 8.3, homo sapiens, erythrocyte</t>
  </si>
  <si>
    <t>Glc-1,6-P (intermediate)</t>
  </si>
  <si>
    <t>0.278 mM</t>
  </si>
  <si>
    <t>GlcNAc-1,6-P2</t>
  </si>
  <si>
    <t>r26cB</t>
  </si>
  <si>
    <t>Glc-1-P</t>
  </si>
  <si>
    <t>0.66 mM</t>
  </si>
  <si>
    <t>r27aF</t>
  </si>
  <si>
    <t>Glucose 1-P (second to bind)</t>
  </si>
  <si>
    <t>170 /s (assumed same as backward)</t>
  </si>
  <si>
    <t>UTP (first to bind)</t>
  </si>
  <si>
    <t>Galactose-1-P</t>
  </si>
  <si>
    <t>0.47 mM</t>
  </si>
  <si>
    <t>r27aB</t>
  </si>
  <si>
    <t>UDP-glucose</t>
  </si>
  <si>
    <t>r27a</t>
  </si>
  <si>
    <t>1.1.1.22 - UDP-glucose 6-dehydrogenase</t>
  </si>
  <si>
    <t>r28a</t>
  </si>
  <si>
    <t>Rate constant 110.7 nmol/min/mg</t>
  </si>
  <si>
    <t>0.10 /s</t>
  </si>
  <si>
    <t>110 nmol/min/mg</t>
  </si>
  <si>
    <t>room temp, ph 7.4, homo sapiens, expressed in E. Coli</t>
  </si>
  <si>
    <t>http://www.jbc.org/content/279/22/23590.full.pdf</t>
  </si>
  <si>
    <t>Apparent homogeneity of protein and Mr of 57 kDa</t>
  </si>
  <si>
    <t>NAD+</t>
  </si>
  <si>
    <t>0.355 mM</t>
  </si>
  <si>
    <t>UDP-GlcA is a weak competitive inhibitor with respect to UDP-Glc</t>
  </si>
  <si>
    <t>http://www.brenda-enzymes.info/literature/lit.php4?e=1.1.1.22&amp;r=286296</t>
  </si>
  <si>
    <t>5.1.3.14 - UDP-N-acetylglucosamine 2-epimerase</t>
  </si>
  <si>
    <t>r29a</t>
  </si>
  <si>
    <t>Single substrate Michaelis-Menten kinetics (ordered two step mechanism)</t>
  </si>
  <si>
    <t>2.3 /s (based on activity)</t>
  </si>
  <si>
    <t>37°C, pH 7.5, rattus norvegicus</t>
  </si>
  <si>
    <t>http://www.jbc.org/content/272/39/24313.full.pdf</t>
  </si>
  <si>
    <t>Based on homogeneous hexamer structure and Mr of 75kDa for monomer</t>
  </si>
  <si>
    <t>CMP-Neu5Ac (non-competitive)</t>
  </si>
  <si>
    <t>xx°C, pH 7.4, rattus norvegicus</t>
  </si>
  <si>
    <t>http://www.pnas.org/content/52/2/371.full.pdf</t>
  </si>
  <si>
    <t>Co-operative inhibition kinetics are not taken into account due to lack of data</t>
  </si>
  <si>
    <t>r30a</t>
  </si>
  <si>
    <t>68.1 /s (assumed same as for GlcNAc)</t>
  </si>
  <si>
    <t>GlcNAc (co-operative inhibition)</t>
  </si>
  <si>
    <t>2.7.1.60 - N-acylmannosamine kinase</t>
  </si>
  <si>
    <t>r30b</t>
  </si>
  <si>
    <t>0.093 mM</t>
  </si>
  <si>
    <t>5.1 /s (based on activity)</t>
  </si>
  <si>
    <t>1.2 mM</t>
  </si>
  <si>
    <t>2.5.1.57 - N-acylneuraminate-9-phosphate synthase</t>
  </si>
  <si>
    <t>r31a</t>
  </si>
  <si>
    <t>ManNAc-6-P</t>
  </si>
  <si>
    <t>0.035 mM</t>
  </si>
  <si>
    <t>0.30 /s</t>
  </si>
  <si>
    <t>505 nmol/min/mg</t>
  </si>
  <si>
    <t>http://glycob.oxfordjournals.org/content/12/2/65.full.pdf+html</t>
  </si>
  <si>
    <t>Apparent homogeneity of protein and Mr of 37 kDa</t>
  </si>
  <si>
    <t>Phosphoenolpyruvate (PEP)</t>
  </si>
  <si>
    <t>0.105 mM</t>
  </si>
  <si>
    <t>3.1.3.29 - N-acylneuraminate-9-phosphatase</t>
  </si>
  <si>
    <t>r32a</t>
  </si>
  <si>
    <t>Neu5Ac-9-P</t>
  </si>
  <si>
    <t>Single substrate Michaelis-Menten kinetics</t>
  </si>
  <si>
    <t>0.09 mM</t>
  </si>
  <si>
    <t>56 /s</t>
  </si>
  <si>
    <t>37°C, pH 7.4, homo sapiens, liver</t>
  </si>
  <si>
    <t>http://glycob.oxfordjournals.org/content/16/2/165.full.pdf+html</t>
  </si>
  <si>
    <t>2.7.7.43 - N-acylneuraminate cytidylyltransferase</t>
  </si>
  <si>
    <t>r33a</t>
  </si>
  <si>
    <t>Neu5Ac</t>
  </si>
  <si>
    <t>1.3 mM</t>
  </si>
  <si>
    <t>1.9 /s (purification by 241-fold)</t>
  </si>
  <si>
    <t>37°C, pH 8.0, rattus norvegicus, liver</t>
  </si>
  <si>
    <t>http://www.jbc.org/content/267/13/9257.long</t>
  </si>
  <si>
    <t>Apparent homogeneity of protein and Mr of 58 kDa</t>
  </si>
  <si>
    <t>CTP</t>
  </si>
  <si>
    <t>1.5 mM</t>
  </si>
  <si>
    <t>1.14.18.2 - N-acetylneuraminate monooxygenase</t>
  </si>
  <si>
    <t>r34a</t>
  </si>
  <si>
    <t>CMP-Neu5Ac</t>
  </si>
  <si>
    <t>0.005 mM</t>
  </si>
  <si>
    <t>7.3 /s (from activity)</t>
  </si>
  <si>
    <t>6800 nmol/min/mg</t>
  </si>
  <si>
    <t>37°C, pH 7.5, mus musculus, liver</t>
  </si>
  <si>
    <t>http://www.jbc.org/content/269/12/9024.full.pdf</t>
  </si>
  <si>
    <t xml:space="preserve">Apparent homogeneity of protein and Mr of 64 kDa, </t>
  </si>
  <si>
    <t>0.0055 mM</t>
  </si>
  <si>
    <t>0.13 /s (from activity)</t>
  </si>
  <si>
    <t>126 nmol/min/mg</t>
  </si>
  <si>
    <t>37°C, pH 7.4, mus musculus, liver</t>
  </si>
  <si>
    <t>http://www.springerlink.com/content/u14266135173862p/fulltext.pdf</t>
  </si>
  <si>
    <t>CMP-Neu5Ac levels may be controlled by varying the amount of enzyme concentration</t>
  </si>
  <si>
    <t>cytochrome b5</t>
  </si>
  <si>
    <t>0.00024 mM</t>
  </si>
  <si>
    <t>37°C, pH 7.5, mus musculus, sus scorfa</t>
  </si>
  <si>
    <t>http://glycob.oxfordjournals.org/content/4/5/675</t>
  </si>
  <si>
    <t>cytochrome b5 activation was not taken into account although rate-limiting in vitro</t>
  </si>
  <si>
    <t>Fraction of CMP-Neu5Gc in different bovine tissues</t>
  </si>
  <si>
    <t>http://ac.els-cdn.com/S0008621500906232/1-s2.0-S0008621500906232-main.pdf?_tid=04c7f4095054418be0253d8d5abeddc3&amp;acdnat=1338379521_b563b86160283e405d51ff1f3377300a</t>
  </si>
  <si>
    <t>Fraction of CMP-Neu5Gc in rat and mouse liver</t>
  </si>
  <si>
    <t>http://onlinelibrary.wiley.com/doi/10.1111/j.1432-1033.1990.tb19391.x/pdf</t>
  </si>
  <si>
    <t>Weak product inhibition through Neu5Gc in mouse</t>
  </si>
  <si>
    <t>http://onlinelibrary.wiley.com/doi/10.1111/j.1432-1033.1992.tb16925.x/pdf</t>
  </si>
  <si>
    <t>Biosynthesis of sialic acids in murine myeloma cells (90% Neu5Gc at steady state)</t>
  </si>
  <si>
    <t>http://www.jbc.org/content/264/34/20216.full.pdf</t>
  </si>
  <si>
    <t>4.1.3.3 - N-acetylneuraminate lyase</t>
  </si>
  <si>
    <t>r37a</t>
  </si>
  <si>
    <t>1.7 mM</t>
  </si>
  <si>
    <t>0.93 /s</t>
  </si>
  <si>
    <t>1548 nmol/min/mg</t>
  </si>
  <si>
    <t>37°C, pH 7.4, sus scrofa, liver</t>
  </si>
  <si>
    <t>http://www.springerlink.com/content/g6w13635t1u4n70j/</t>
  </si>
  <si>
    <t>Apparent homogeneity of protein and Mr of 36 kDa</t>
  </si>
  <si>
    <t>pyruvate (competitive)</t>
  </si>
  <si>
    <t>37°C, pH 7.4, homo sapiens</t>
  </si>
  <si>
    <t>http://www.sciencedirect.com/science/article/pii/S0300908402014360</t>
  </si>
  <si>
    <t>5.1.3.8 - N-Acylglucosamine 2-epimerase</t>
  </si>
  <si>
    <t>r38aF</t>
  </si>
  <si>
    <t>12.8 mM</t>
  </si>
  <si>
    <t>27 /s (from activity)</t>
  </si>
  <si>
    <t>35800 nmol/min/mg</t>
  </si>
  <si>
    <t>37°C, pH 7.5, homo sapiens, kidney</t>
  </si>
  <si>
    <t>http://jb.oxfordjournals.org/content/125/2/348.long</t>
  </si>
  <si>
    <t>r38aB</t>
  </si>
  <si>
    <t>21.3 mM</t>
  </si>
  <si>
    <t>3.4 /s (from activity ratio)</t>
  </si>
  <si>
    <t>r38a</t>
  </si>
  <si>
    <t>ATP (activator)</t>
  </si>
  <si>
    <t>r39aF</t>
  </si>
  <si>
    <t>GalNAc-1-P (binds first)</t>
  </si>
  <si>
    <t>GalNAc-1-P</t>
  </si>
  <si>
    <t>73 /s (as calculated from specific activity)</t>
  </si>
  <si>
    <t>http://www.jbc.org/content/275/2/1433.full.pdf</t>
  </si>
  <si>
    <t>GlcNAc-1-P (competes with GalNAc-1-P)</t>
  </si>
  <si>
    <t>Glc-1-P (competes with GalNAc-1-P)</t>
  </si>
  <si>
    <t>r39aB</t>
  </si>
  <si>
    <t>73 /s (assumed same as for GalNAc-1P)</t>
  </si>
  <si>
    <t>UDP-GlcNAc (competes with UDP-GalNAc)</t>
  </si>
  <si>
    <t>2.7.1.157 - N-acetylgalactosamine kinase</t>
  </si>
  <si>
    <t>r40a</t>
  </si>
  <si>
    <t>GalNAc (binds second)</t>
  </si>
  <si>
    <t>1.0 /s</t>
  </si>
  <si>
    <t>http://informahealthcare.com/doi/pdfplus/10.3109/14756360903179492</t>
  </si>
  <si>
    <t>ATP (binds first)</t>
  </si>
  <si>
    <t>Nucleotide thriphosphate concentrations</t>
  </si>
  <si>
    <t>Rat liver</t>
  </si>
  <si>
    <t>http://www.jbc.org/content/249/1/211.full.pdf+html</t>
  </si>
  <si>
    <t>NSD - Transporters</t>
  </si>
  <si>
    <t>CMP-Neu5Ac - Transporter</t>
  </si>
  <si>
    <t>Single substrate Michaelis-Menten kinetics (simplified from anti-port kinetics)</t>
  </si>
  <si>
    <t>0.0013 mM</t>
  </si>
  <si>
    <t>CMP-Neu5Gc - Transporter</t>
  </si>
  <si>
    <t>CMP-Neu5Gc</t>
  </si>
  <si>
    <t>Same kinetic data assumed as for CMP-Neu5Ac</t>
  </si>
  <si>
    <t>GDP-Fuc - Transporter</t>
  </si>
  <si>
    <t>GDP-Fuc</t>
  </si>
  <si>
    <t>0.0075 mM</t>
  </si>
  <si>
    <t>GDP-Man - Transporter</t>
  </si>
  <si>
    <t>GDP-Man</t>
  </si>
  <si>
    <t>Same kinetic data assumed as for GDP-Fuc</t>
  </si>
  <si>
    <t>UDP-Gal - Transporter</t>
  </si>
  <si>
    <t>0.0024 mM</t>
  </si>
  <si>
    <t>UDP-GalNAc - Transporter</t>
  </si>
  <si>
    <t>0.0071 mM</t>
  </si>
  <si>
    <t>http://onlinelibrary.wiley.com/doi/10.1002/btpr.470/pdf</t>
  </si>
  <si>
    <t>Same kinetic data assumed as for UDP-GlcNAc</t>
  </si>
  <si>
    <t>UDP-Glc - Transporter</t>
  </si>
  <si>
    <t>Same kinetic data assumed as for UDP-Gal</t>
  </si>
  <si>
    <t>UDP-GlcA - Transporter</t>
  </si>
  <si>
    <t>UDP-GlcA</t>
  </si>
  <si>
    <t>UDP-GlcNAc - Transporter</t>
  </si>
  <si>
    <t xml:space="preserve"> 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</si>
</sst>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Fill="1" applyBorder="1"/>
    <xf numFmtId="0" fontId="0" fillId="0" borderId="0" xfId="0" applyBorder="1" applyAlignment="1">
      <alignment shrinkToFit="1"/>
    </xf>
    <xf numFmtId="0" fontId="3" fillId="0" borderId="2" xfId="0" applyFont="1" applyBorder="1"/>
    <xf numFmtId="0" fontId="4" fillId="0" borderId="0" xfId="0" applyFont="1" applyBorder="1"/>
    <xf numFmtId="0" fontId="5" fillId="0" borderId="0" xfId="3" applyBorder="1" applyAlignment="1">
      <alignment shrinkToFit="1"/>
    </xf>
    <xf numFmtId="0" fontId="0" fillId="0" borderId="0" xfId="0" applyFont="1" applyBorder="1"/>
    <xf numFmtId="0" fontId="3" fillId="0" borderId="0" xfId="0" applyFont="1" applyBorder="1"/>
    <xf numFmtId="0" fontId="5" fillId="0" borderId="0" xfId="3" applyFont="1" applyBorder="1" applyAlignment="1">
      <alignment shrinkToFit="1"/>
    </xf>
    <xf numFmtId="0" fontId="0" fillId="0" borderId="0" xfId="0" applyFont="1" applyFill="1" applyBorder="1"/>
    <xf numFmtId="49" fontId="0" fillId="0" borderId="0" xfId="0" applyNumberFormat="1" applyFont="1" applyBorder="1" applyAlignment="1">
      <alignment horizontal="center"/>
    </xf>
    <xf numFmtId="0" fontId="3" fillId="0" borderId="0" xfId="0" applyFont="1" applyFill="1" applyBorder="1"/>
    <xf numFmtId="0" fontId="0" fillId="0" borderId="0" xfId="0" applyFont="1" applyBorder="1" applyAlignment="1">
      <alignment shrinkToFit="1"/>
    </xf>
    <xf numFmtId="0" fontId="0" fillId="0" borderId="0" xfId="0" applyFont="1" applyFill="1" applyBorder="1" applyAlignment="1">
      <alignment horizontal="center"/>
    </xf>
    <xf numFmtId="0" fontId="2" fillId="2" borderId="0" xfId="1" applyBorder="1"/>
    <xf numFmtId="49" fontId="0" fillId="0" borderId="0" xfId="0" applyNumberFormat="1" applyFont="1" applyFill="1" applyBorder="1" applyAlignment="1">
      <alignment horizontal="center"/>
    </xf>
    <xf numFmtId="0" fontId="5" fillId="0" borderId="0" xfId="3" applyFill="1" applyBorder="1" applyAlignment="1">
      <alignment shrinkToFit="1"/>
    </xf>
    <xf numFmtId="0" fontId="3" fillId="0" borderId="2" xfId="0" applyFont="1" applyFill="1" applyBorder="1"/>
    <xf numFmtId="0" fontId="0" fillId="0" borderId="0" xfId="2" applyFont="1" applyFill="1" applyBorder="1"/>
    <xf numFmtId="49" fontId="0" fillId="0" borderId="0" xfId="2" applyNumberFormat="1" applyFont="1" applyFill="1" applyBorder="1" applyAlignment="1">
      <alignment horizontal="center"/>
    </xf>
    <xf numFmtId="0" fontId="4" fillId="0" borderId="0" xfId="2" applyFont="1" applyFill="1" applyBorder="1"/>
    <xf numFmtId="0" fontId="0" fillId="0" borderId="0" xfId="2" applyFont="1" applyFill="1" applyBorder="1" applyAlignment="1">
      <alignment shrinkToFit="1"/>
    </xf>
    <xf numFmtId="0" fontId="3" fillId="0" borderId="2" xfId="2" applyFont="1" applyFill="1" applyBorder="1"/>
    <xf numFmtId="0" fontId="0" fillId="0" borderId="0" xfId="0" applyFont="1" applyFill="1" applyBorder="1" applyAlignment="1">
      <alignment shrinkToFit="1"/>
    </xf>
    <xf numFmtId="0" fontId="0" fillId="0" borderId="0" xfId="0" applyFill="1" applyBorder="1"/>
    <xf numFmtId="0" fontId="2" fillId="2" borderId="0" xfId="1" applyBorder="1" applyAlignment="1">
      <alignment horizontal="center"/>
    </xf>
    <xf numFmtId="0" fontId="4" fillId="2" borderId="0" xfId="1" applyFont="1" applyBorder="1"/>
    <xf numFmtId="0" fontId="2" fillId="2" borderId="0" xfId="1" applyBorder="1" applyAlignment="1">
      <alignment shrinkToFit="1"/>
    </xf>
    <xf numFmtId="0" fontId="3" fillId="2" borderId="2" xfId="1" applyFont="1" applyBorder="1"/>
    <xf numFmtId="49" fontId="2" fillId="2" borderId="0" xfId="1" applyNumberFormat="1" applyBorder="1" applyAlignment="1">
      <alignment horizontal="center"/>
    </xf>
    <xf numFmtId="0" fontId="0" fillId="0" borderId="0" xfId="0" applyAlignment="1">
      <alignment shrinkToFit="1"/>
    </xf>
    <xf numFmtId="0" fontId="0" fillId="0" borderId="2" xfId="0" applyBorder="1"/>
    <xf numFmtId="0" fontId="7" fillId="0" borderId="0" xfId="0" applyFont="1"/>
    <xf numFmtId="0" fontId="0" fillId="0" borderId="2" xfId="0" applyFont="1" applyBorder="1"/>
    <xf numFmtId="0" fontId="4" fillId="0" borderId="0" xfId="0" applyFont="1"/>
    <xf numFmtId="0" fontId="0" fillId="0" borderId="0" xfId="0" applyAlignment="1">
      <alignment horizontal="center"/>
    </xf>
  </cellXfs>
  <cellStyles count="4">
    <cellStyle name="Bad" xfId="1" builtinId="27"/>
    <cellStyle name="Hyperlink" xfId="3" builtinId="8"/>
    <cellStyle name="Normal" xfId="0" builtinId="0"/>
    <cellStyle name="Note" xfId="2" builtinId="1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sciencedirect.com/science/article/pii/0005274470902287" TargetMode="External"/><Relationship Id="rId117" Type="http://schemas.openxmlformats.org/officeDocument/2006/relationships/hyperlink" Target="http://glycob.oxfordjournals.org/content/13/4/285.full.pdf" TargetMode="External"/><Relationship Id="rId21" Type="http://schemas.openxmlformats.org/officeDocument/2006/relationships/hyperlink" Target="http://www.jbc.org/content/271/22/13147.full.pdf+html" TargetMode="External"/><Relationship Id="rId42" Type="http://schemas.openxmlformats.org/officeDocument/2006/relationships/hyperlink" Target="http://informahealthcare.com/doi/abs/10.3109/14756369709027655" TargetMode="External"/><Relationship Id="rId47" Type="http://schemas.openxmlformats.org/officeDocument/2006/relationships/hyperlink" Target="http://pubs.acs.org/doi/abs/10.1021/bi0503605" TargetMode="External"/><Relationship Id="rId63" Type="http://schemas.openxmlformats.org/officeDocument/2006/relationships/hyperlink" Target="http://www.jbc.org/content/270/17/9939.long" TargetMode="External"/><Relationship Id="rId68" Type="http://schemas.openxmlformats.org/officeDocument/2006/relationships/hyperlink" Target="http://www.jbc.org/content/270/17/9939.long" TargetMode="External"/><Relationship Id="rId84" Type="http://schemas.openxmlformats.org/officeDocument/2006/relationships/hyperlink" Target="http://www.ncbi.nlm.nih.gov/pmc/articles/PMC1220145/" TargetMode="External"/><Relationship Id="rId89" Type="http://schemas.openxmlformats.org/officeDocument/2006/relationships/hyperlink" Target="http://www.jbc.org/content/254/17/8353.long" TargetMode="External"/><Relationship Id="rId112" Type="http://schemas.openxmlformats.org/officeDocument/2006/relationships/hyperlink" Target="http://onlinelibrary.wiley.com/doi/10.1046/j.1432-1327.1998.2520133.x/pdf" TargetMode="External"/><Relationship Id="rId16" Type="http://schemas.openxmlformats.org/officeDocument/2006/relationships/hyperlink" Target="http://www-06.all-portland.net/bst/012/0656/0120656.pdf" TargetMode="External"/><Relationship Id="rId107" Type="http://schemas.openxmlformats.org/officeDocument/2006/relationships/hyperlink" Target="http://www.jbc.org/content/282/18/13906.full.pdf+html" TargetMode="External"/><Relationship Id="rId11" Type="http://schemas.openxmlformats.org/officeDocument/2006/relationships/hyperlink" Target="http://www.sciencedirect.com/science/article/pii/S0167483898001411" TargetMode="External"/><Relationship Id="rId24" Type="http://schemas.openxmlformats.org/officeDocument/2006/relationships/hyperlink" Target="http://www.ncbi.nlm.nih.gov/pmc/articles/PMC1161433/pdf/biochemj00430-0042.pdf" TargetMode="External"/><Relationship Id="rId32" Type="http://schemas.openxmlformats.org/officeDocument/2006/relationships/hyperlink" Target="http://www.biochemj.org/bj/100/0739/1000739.pdf" TargetMode="External"/><Relationship Id="rId37" Type="http://schemas.openxmlformats.org/officeDocument/2006/relationships/hyperlink" Target="http://www.jbc.org/content/282/18/13906.full.pdf+html" TargetMode="External"/><Relationship Id="rId40" Type="http://schemas.openxmlformats.org/officeDocument/2006/relationships/hyperlink" Target="http://ac.els-cdn.com/S0076687982900982/1-s2.0-S0076687982900982-main.pdf?_tid=06f150b839f8719f984c766779abb6de&amp;acdnat=1336482973_8a49f0e1aa7bef0ec914ad9555cbd118" TargetMode="External"/><Relationship Id="rId45" Type="http://schemas.openxmlformats.org/officeDocument/2006/relationships/hyperlink" Target="http://pubs.acs.org/doi/abs/10.1021/bi0503605" TargetMode="External"/><Relationship Id="rId53" Type="http://schemas.openxmlformats.org/officeDocument/2006/relationships/hyperlink" Target="http://www.ncbi.nlm.nih.gov/pmc/articles/PMC1220145/" TargetMode="External"/><Relationship Id="rId58" Type="http://schemas.openxmlformats.org/officeDocument/2006/relationships/hyperlink" Target="http://www.sciencedirect.com/science/article/pii/S0076687982900982" TargetMode="External"/><Relationship Id="rId66" Type="http://schemas.openxmlformats.org/officeDocument/2006/relationships/hyperlink" Target="http://www.jbc.org/content/270/17/9939.long" TargetMode="External"/><Relationship Id="rId74" Type="http://schemas.openxmlformats.org/officeDocument/2006/relationships/hyperlink" Target="http://onlinelibrary.wiley.com/resolve/openurl?genre=article&amp;sid=nlm:pubmed&amp;issn=0014-2956&amp;date=2003&amp;volume=270&amp;issue=8&amp;spage=1767" TargetMode="External"/><Relationship Id="rId79" Type="http://schemas.openxmlformats.org/officeDocument/2006/relationships/hyperlink" Target="http://ac.els-cdn.com/S1074552102000935/1-s2.0-S1074552102000935-main.pdf?_tid=68bdd139aaee08f025efafe0022c3dbf&amp;acdnat=1336068604_07e825abfeaf1ed5dd7ab93c95783d14" TargetMode="External"/><Relationship Id="rId87" Type="http://schemas.openxmlformats.org/officeDocument/2006/relationships/hyperlink" Target="http://www.jbc.org/content/254/17/8353.long" TargetMode="External"/><Relationship Id="rId102" Type="http://schemas.openxmlformats.org/officeDocument/2006/relationships/hyperlink" Target="http://www.jbc.org/content/271/22/13147.full.pdf+html" TargetMode="External"/><Relationship Id="rId110" Type="http://schemas.openxmlformats.org/officeDocument/2006/relationships/hyperlink" Target="http://www.springerlink.com/content/u14266135173862p/fulltext.pdf" TargetMode="External"/><Relationship Id="rId115" Type="http://schemas.openxmlformats.org/officeDocument/2006/relationships/hyperlink" Target="http://glycob.oxfordjournals.org/content/13/4/285.full.pdf" TargetMode="External"/><Relationship Id="rId5" Type="http://schemas.openxmlformats.org/officeDocument/2006/relationships/hyperlink" Target="http://www.jbc.org/content/270/17/9939.long" TargetMode="External"/><Relationship Id="rId61" Type="http://schemas.openxmlformats.org/officeDocument/2006/relationships/hyperlink" Target="http://ac.els-cdn.com/S0076687982900982/1-s2.0-S0076687982900982-main.pdf?_tid=06f150b839f8719f984c766779abb6de&amp;acdnat=1336482973_8a49f0e1aa7bef0ec914ad9555cbd118" TargetMode="External"/><Relationship Id="rId82" Type="http://schemas.openxmlformats.org/officeDocument/2006/relationships/hyperlink" Target="http://www.ncbi.nlm.nih.gov/pmc/articles/PMC1220145/" TargetMode="External"/><Relationship Id="rId90" Type="http://schemas.openxmlformats.org/officeDocument/2006/relationships/hyperlink" Target="http://www.sciencedirect.com/science/article/pii/S0167478100001202" TargetMode="External"/><Relationship Id="rId95" Type="http://schemas.openxmlformats.org/officeDocument/2006/relationships/hyperlink" Target="http://onlinelibrary.wiley.com/doi/10.1046/j.1432-1327.2000.01360.x/pdf" TargetMode="External"/><Relationship Id="rId19" Type="http://schemas.openxmlformats.org/officeDocument/2006/relationships/hyperlink" Target="http://www.jbc.org/content/254/17/8353.long" TargetMode="External"/><Relationship Id="rId14" Type="http://schemas.openxmlformats.org/officeDocument/2006/relationships/hyperlink" Target="http://www-06.all-portland.net/bst/012/0656/0120656.pdf" TargetMode="External"/><Relationship Id="rId22" Type="http://schemas.openxmlformats.org/officeDocument/2006/relationships/hyperlink" Target="http://www.jbc.org/content/271/22/13147.full.pdf+html" TargetMode="External"/><Relationship Id="rId27" Type="http://schemas.openxmlformats.org/officeDocument/2006/relationships/hyperlink" Target="http://onlinelibrary.wiley.com/doi/10.1046/j.1432-1327.2000.01360.x/pdf" TargetMode="External"/><Relationship Id="rId30" Type="http://schemas.openxmlformats.org/officeDocument/2006/relationships/hyperlink" Target="http://www.sciencedirect.com/science/article/pii/S0076687982900982" TargetMode="External"/><Relationship Id="rId35" Type="http://schemas.openxmlformats.org/officeDocument/2006/relationships/hyperlink" Target="http://www.sciencedirect.com/science/article/pii/S0076687982900982" TargetMode="External"/><Relationship Id="rId43" Type="http://schemas.openxmlformats.org/officeDocument/2006/relationships/hyperlink" Target="http://www.jbc.org/content/273/10/5685.full.pdf+html" TargetMode="External"/><Relationship Id="rId48" Type="http://schemas.openxmlformats.org/officeDocument/2006/relationships/hyperlink" Target="http://www.jbc.org/content/263/4/1693.full.pdf" TargetMode="External"/><Relationship Id="rId56" Type="http://schemas.openxmlformats.org/officeDocument/2006/relationships/hyperlink" Target="http://www.ncbi.nlm.nih.gov/pmc/articles/PMC1220145/" TargetMode="External"/><Relationship Id="rId64" Type="http://schemas.openxmlformats.org/officeDocument/2006/relationships/hyperlink" Target="http://www.jbc.org/content/270/17/9939.long" TargetMode="External"/><Relationship Id="rId69" Type="http://schemas.openxmlformats.org/officeDocument/2006/relationships/hyperlink" Target="http://www.jbc.org/content/270/17/9939.long" TargetMode="External"/><Relationship Id="rId77" Type="http://schemas.openxmlformats.org/officeDocument/2006/relationships/hyperlink" Target="http://www.jbc.org/content/246/8/2551.full.pdf" TargetMode="External"/><Relationship Id="rId100" Type="http://schemas.openxmlformats.org/officeDocument/2006/relationships/hyperlink" Target="http://jb.oxfordjournals.org/content/125/2/348.long" TargetMode="External"/><Relationship Id="rId105" Type="http://schemas.openxmlformats.org/officeDocument/2006/relationships/hyperlink" Target="http://www.jbc.org/content/269/12/9024.full.pdf" TargetMode="External"/><Relationship Id="rId113" Type="http://schemas.openxmlformats.org/officeDocument/2006/relationships/hyperlink" Target="http://www.jbc.org/content/272/39/24313.full.pdf" TargetMode="External"/><Relationship Id="rId118" Type="http://schemas.openxmlformats.org/officeDocument/2006/relationships/hyperlink" Target="http://www.jbc.org/content/275/30/22847.full.pdf+html" TargetMode="External"/><Relationship Id="rId8" Type="http://schemas.openxmlformats.org/officeDocument/2006/relationships/hyperlink" Target="http://www.sciencedirect.com/science/article/pii/S1570963908003531" TargetMode="External"/><Relationship Id="rId51" Type="http://schemas.openxmlformats.org/officeDocument/2006/relationships/hyperlink" Target="http://www.jbc.org/content/268/24/17943.long" TargetMode="External"/><Relationship Id="rId72" Type="http://schemas.openxmlformats.org/officeDocument/2006/relationships/hyperlink" Target="http://onlinelibrary.wiley.com/doi/10.1111/j.1432-1033.1994.tb19954.x/pdf" TargetMode="External"/><Relationship Id="rId80" Type="http://schemas.openxmlformats.org/officeDocument/2006/relationships/hyperlink" Target="http://ac.els-cdn.com/S1074552102000935/1-s2.0-S1074552102000935-main.pdf?_tid=68bdd139aaee08f025efafe0022c3dbf&amp;acdnat=1336068604_07e825abfeaf1ed5dd7ab93c95783d14" TargetMode="External"/><Relationship Id="rId85" Type="http://schemas.openxmlformats.org/officeDocument/2006/relationships/hyperlink" Target="http://www.sciencedirect.com/science/article/pii/S0003269704002258" TargetMode="External"/><Relationship Id="rId93" Type="http://schemas.openxmlformats.org/officeDocument/2006/relationships/hyperlink" Target="http://www.ncbi.nlm.nih.gov/pmc/articles/PMC1161433/pdf/biochemj00430-0042.pdf" TargetMode="External"/><Relationship Id="rId98" Type="http://schemas.openxmlformats.org/officeDocument/2006/relationships/hyperlink" Target="http://www.jbc.org/content/267/13/9257.long" TargetMode="External"/><Relationship Id="rId3" Type="http://schemas.openxmlformats.org/officeDocument/2006/relationships/hyperlink" Target="http://www.jbc.org/content/270/17/9939.long" TargetMode="External"/><Relationship Id="rId12" Type="http://schemas.openxmlformats.org/officeDocument/2006/relationships/hyperlink" Target="http://www.jbc.org/content/275/17/12821.full.pdf+html" TargetMode="External"/><Relationship Id="rId17" Type="http://schemas.openxmlformats.org/officeDocument/2006/relationships/hyperlink" Target="http://www.sciencedirect.com/science/article/pii/S0167478100001202" TargetMode="External"/><Relationship Id="rId25" Type="http://schemas.openxmlformats.org/officeDocument/2006/relationships/hyperlink" Target="http://onlinelibrary.wiley.com/doi/10.1046/j.1432-1327.2000.01360.x/pdf" TargetMode="External"/><Relationship Id="rId33" Type="http://schemas.openxmlformats.org/officeDocument/2006/relationships/hyperlink" Target="http://ac.els-cdn.com/S0076687982900982/1-s2.0-S0076687982900982-main.pdf?_tid=06f150b839f8719f984c766779abb6de&amp;acdnat=1336482973_8a49f0e1aa7bef0ec914ad9555cbd118" TargetMode="External"/><Relationship Id="rId38" Type="http://schemas.openxmlformats.org/officeDocument/2006/relationships/hyperlink" Target="http://www.biochemj.org/bj/100/0739/1000739.pdf" TargetMode="External"/><Relationship Id="rId46" Type="http://schemas.openxmlformats.org/officeDocument/2006/relationships/hyperlink" Target="http://www.jbc.org/content/273/46/30165.full.pdf+html" TargetMode="External"/><Relationship Id="rId59" Type="http://schemas.openxmlformats.org/officeDocument/2006/relationships/hyperlink" Target="http://www.jbc.org/content/282/18/13906.full.pdf+html" TargetMode="External"/><Relationship Id="rId67" Type="http://schemas.openxmlformats.org/officeDocument/2006/relationships/hyperlink" Target="http://www.sciencedirect.com/science/article/pii/S0076687982900982" TargetMode="External"/><Relationship Id="rId103" Type="http://schemas.openxmlformats.org/officeDocument/2006/relationships/hyperlink" Target="http://www.jbc.org/content/271/22/13147.full.pdf+html" TargetMode="External"/><Relationship Id="rId108" Type="http://schemas.openxmlformats.org/officeDocument/2006/relationships/hyperlink" Target="http://www.sciencedirect.com/science/article/pii/S016816560900128X" TargetMode="External"/><Relationship Id="rId116" Type="http://schemas.openxmlformats.org/officeDocument/2006/relationships/hyperlink" Target="http://www.sciencedirect.com/science/article/pii/S0003269704002258" TargetMode="External"/><Relationship Id="rId20" Type="http://schemas.openxmlformats.org/officeDocument/2006/relationships/hyperlink" Target="http://www.jbc.org/content/271/22/13147.full.pdf+html" TargetMode="External"/><Relationship Id="rId41" Type="http://schemas.openxmlformats.org/officeDocument/2006/relationships/hyperlink" Target="http://www.sciencedirect.com/science/article/pii/S0076687982900982" TargetMode="External"/><Relationship Id="rId54" Type="http://schemas.openxmlformats.org/officeDocument/2006/relationships/hyperlink" Target="http://www.ncbi.nlm.nih.gov/pmc/articles/PMC1220145/" TargetMode="External"/><Relationship Id="rId62" Type="http://schemas.openxmlformats.org/officeDocument/2006/relationships/hyperlink" Target="http://ac.els-cdn.com/S0076687982900982/1-s2.0-S0076687982900982-main.pdf?_tid=06f150b839f8719f984c766779abb6de&amp;acdnat=1336482973_8a49f0e1aa7bef0ec914ad9555cbd118" TargetMode="External"/><Relationship Id="rId70" Type="http://schemas.openxmlformats.org/officeDocument/2006/relationships/hyperlink" Target="http://www.jbc.org/content/270/17/9939.long" TargetMode="External"/><Relationship Id="rId75" Type="http://schemas.openxmlformats.org/officeDocument/2006/relationships/hyperlink" Target="http://www.jbc.org/content/249/23/7695.long" TargetMode="External"/><Relationship Id="rId83" Type="http://schemas.openxmlformats.org/officeDocument/2006/relationships/hyperlink" Target="http://www.jbc.org/content/279/31/32796.full.pdf" TargetMode="External"/><Relationship Id="rId88" Type="http://schemas.openxmlformats.org/officeDocument/2006/relationships/hyperlink" Target="http://www.sciencedirect.com/science/article/pii/S0167478100001202" TargetMode="External"/><Relationship Id="rId91" Type="http://schemas.openxmlformats.org/officeDocument/2006/relationships/hyperlink" Target="http://www.jbc.org/content/279/22/23590.full.pdf" TargetMode="External"/><Relationship Id="rId96" Type="http://schemas.openxmlformats.org/officeDocument/2006/relationships/hyperlink" Target="http://glycob.oxfordjournals.org/content/12/2/65.full.pdf+html" TargetMode="External"/><Relationship Id="rId111" Type="http://schemas.openxmlformats.org/officeDocument/2006/relationships/hyperlink" Target="http://www.jbc.org/content/273/23/14392.full.pdf" TargetMode="External"/><Relationship Id="rId1" Type="http://schemas.openxmlformats.org/officeDocument/2006/relationships/hyperlink" Target="http://www.sciencedirect.com/science/article/pii/S0076687982900982" TargetMode="External"/><Relationship Id="rId6" Type="http://schemas.openxmlformats.org/officeDocument/2006/relationships/hyperlink" Target="http://www.jbc.org/content/270/17/9939.long" TargetMode="External"/><Relationship Id="rId15" Type="http://schemas.openxmlformats.org/officeDocument/2006/relationships/hyperlink" Target="http://www.sciencedirect.com/science/article/pii/S0014579308006406" TargetMode="External"/><Relationship Id="rId23" Type="http://schemas.openxmlformats.org/officeDocument/2006/relationships/hyperlink" Target="http://www.brenda-enzymes.org/literature/lit.php4?e=2.7.7.23&amp;r=643057" TargetMode="External"/><Relationship Id="rId28" Type="http://schemas.openxmlformats.org/officeDocument/2006/relationships/hyperlink" Target="http://www.jbc.org/content/266/14/8671.long" TargetMode="External"/><Relationship Id="rId36" Type="http://schemas.openxmlformats.org/officeDocument/2006/relationships/hyperlink" Target="http://www.sciencedirect.com/science/article/pii/S0076687982900982" TargetMode="External"/><Relationship Id="rId49" Type="http://schemas.openxmlformats.org/officeDocument/2006/relationships/hyperlink" Target="http://www.sciencedirect.com/science/article/pii/S0014579399009825" TargetMode="External"/><Relationship Id="rId57" Type="http://schemas.openxmlformats.org/officeDocument/2006/relationships/hyperlink" Target="http://www.sciencedirect.com/science/article/pii/S0014579396014251" TargetMode="External"/><Relationship Id="rId106" Type="http://schemas.openxmlformats.org/officeDocument/2006/relationships/hyperlink" Target="http://www.jbc.org/content/272/39/24313.full.pdf" TargetMode="External"/><Relationship Id="rId114" Type="http://schemas.openxmlformats.org/officeDocument/2006/relationships/hyperlink" Target="http://glycob.oxfordjournals.org/content/13/4/285.full.pdf" TargetMode="External"/><Relationship Id="rId119" Type="http://schemas.openxmlformats.org/officeDocument/2006/relationships/hyperlink" Target="http://www.sciencedirect.com/science/article/pii/S0003986100918952" TargetMode="External"/><Relationship Id="rId10" Type="http://schemas.openxmlformats.org/officeDocument/2006/relationships/hyperlink" Target="http://www.sciencedirect.com/science/article/pii/S0003986100918952" TargetMode="External"/><Relationship Id="rId31" Type="http://schemas.openxmlformats.org/officeDocument/2006/relationships/hyperlink" Target="http://www.jbc.org/content/282/18/13906.full.pdf+html" TargetMode="External"/><Relationship Id="rId44" Type="http://schemas.openxmlformats.org/officeDocument/2006/relationships/hyperlink" Target="http://www.jbc.org/content/273/46/30165.full.pdf+html" TargetMode="External"/><Relationship Id="rId52" Type="http://schemas.openxmlformats.org/officeDocument/2006/relationships/hyperlink" Target="http://www.jbc.org/content/268/24/17943.long" TargetMode="External"/><Relationship Id="rId60" Type="http://schemas.openxmlformats.org/officeDocument/2006/relationships/hyperlink" Target="http://www.biochemj.org/bj/100/0739/1000739.pdf" TargetMode="External"/><Relationship Id="rId65" Type="http://schemas.openxmlformats.org/officeDocument/2006/relationships/hyperlink" Target="http://www.jbc.org/content/270/17/9939.long" TargetMode="External"/><Relationship Id="rId73" Type="http://schemas.openxmlformats.org/officeDocument/2006/relationships/hyperlink" Target="http://www.nature.com/pr/journal/v40/n5/full/pr19962957a.html" TargetMode="External"/><Relationship Id="rId78" Type="http://schemas.openxmlformats.org/officeDocument/2006/relationships/hyperlink" Target="http://onlinelibrary.wiley.com/doi/10.1111/j.1742-4658.2005.05017.x/pdf" TargetMode="External"/><Relationship Id="rId81" Type="http://schemas.openxmlformats.org/officeDocument/2006/relationships/hyperlink" Target="http://www.jbc.org/content/275/30/22847.full.pdf+html" TargetMode="External"/><Relationship Id="rId86" Type="http://schemas.openxmlformats.org/officeDocument/2006/relationships/hyperlink" Target="http://www.jbc.org/content/254/17/8353.long" TargetMode="External"/><Relationship Id="rId94" Type="http://schemas.openxmlformats.org/officeDocument/2006/relationships/hyperlink" Target="http://www.sciencedirect.com/science/article/pii/0005274470902287" TargetMode="External"/><Relationship Id="rId99" Type="http://schemas.openxmlformats.org/officeDocument/2006/relationships/hyperlink" Target="http://www.springerlink.com/content/g6w13635t1u4n70j/" TargetMode="External"/><Relationship Id="rId101" Type="http://schemas.openxmlformats.org/officeDocument/2006/relationships/hyperlink" Target="http://www.jbc.org/content/271/22/13147.full.pdf+html" TargetMode="External"/><Relationship Id="rId4" Type="http://schemas.openxmlformats.org/officeDocument/2006/relationships/hyperlink" Target="http://www.jbc.org/content/270/17/9939.long" TargetMode="External"/><Relationship Id="rId9" Type="http://schemas.openxmlformats.org/officeDocument/2006/relationships/hyperlink" Target="http://www.sciencedirect.com/science/article/pii/0014579373801668" TargetMode="External"/><Relationship Id="rId13" Type="http://schemas.openxmlformats.org/officeDocument/2006/relationships/hyperlink" Target="http://www.jbc.org/content/275/17/12821.full.pdf+html" TargetMode="External"/><Relationship Id="rId18" Type="http://schemas.openxmlformats.org/officeDocument/2006/relationships/hyperlink" Target="http://www.jbc.org/content/254/17/8353.long" TargetMode="External"/><Relationship Id="rId39" Type="http://schemas.openxmlformats.org/officeDocument/2006/relationships/hyperlink" Target="http://ac.els-cdn.com/S0076687982900982/1-s2.0-S0076687982900982-main.pdf?_tid=06f150b839f8719f984c766779abb6de&amp;acdnat=1336482973_8a49f0e1aa7bef0ec914ad9555cbd118" TargetMode="External"/><Relationship Id="rId109" Type="http://schemas.openxmlformats.org/officeDocument/2006/relationships/hyperlink" Target="http://www.jbc.org/content/272/39/24313.full.pdf" TargetMode="External"/><Relationship Id="rId34" Type="http://schemas.openxmlformats.org/officeDocument/2006/relationships/hyperlink" Target="http://ac.els-cdn.com/S0076687982900982/1-s2.0-S0076687982900982-main.pdf?_tid=06f150b839f8719f984c766779abb6de&amp;acdnat=1336482973_8a49f0e1aa7bef0ec914ad9555cbd118" TargetMode="External"/><Relationship Id="rId50" Type="http://schemas.openxmlformats.org/officeDocument/2006/relationships/hyperlink" Target="http://www.sciencedirect.com/science/article/pii/S0014579399009825" TargetMode="External"/><Relationship Id="rId55" Type="http://schemas.openxmlformats.org/officeDocument/2006/relationships/hyperlink" Target="http://www.ncbi.nlm.nih.gov/pmc/articles/PMC1220145/" TargetMode="External"/><Relationship Id="rId76" Type="http://schemas.openxmlformats.org/officeDocument/2006/relationships/hyperlink" Target="http://www.jbc.org/content/246/8/2551.full.pdf" TargetMode="External"/><Relationship Id="rId97" Type="http://schemas.openxmlformats.org/officeDocument/2006/relationships/hyperlink" Target="http://glycob.oxfordjournals.org/content/16/2/165.full.pdf+html" TargetMode="External"/><Relationship Id="rId104" Type="http://schemas.openxmlformats.org/officeDocument/2006/relationships/hyperlink" Target="http://www.sciencedirect.com/science/article/pii/S0167483802003187" TargetMode="External"/><Relationship Id="rId120" Type="http://schemas.openxmlformats.org/officeDocument/2006/relationships/hyperlink" Target="http://www.sciencedirect.com/science/article/pii/S1074552102000935" TargetMode="External"/><Relationship Id="rId7" Type="http://schemas.openxmlformats.org/officeDocument/2006/relationships/hyperlink" Target="http://www.ncbi.nlm.nih.gov/pubmed/15342241" TargetMode="External"/><Relationship Id="rId71" Type="http://schemas.openxmlformats.org/officeDocument/2006/relationships/hyperlink" Target="http://www.jbc.org/content/270/17/9939.long" TargetMode="External"/><Relationship Id="rId92" Type="http://schemas.openxmlformats.org/officeDocument/2006/relationships/hyperlink" Target="http://www.pnas.org/content/52/2/371.full.pdf" TargetMode="External"/><Relationship Id="rId2" Type="http://schemas.openxmlformats.org/officeDocument/2006/relationships/hyperlink" Target="http://www.biochemj.org/bj/100/0739/1000739.pdf" TargetMode="External"/><Relationship Id="rId29" Type="http://schemas.openxmlformats.org/officeDocument/2006/relationships/hyperlink" Target="http://www.jbc.org/content/196/1/105.lo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82"/>
  <sheetViews>
    <sheetView tabSelected="1" topLeftCell="A70" workbookViewId="0">
      <selection activeCell="G10" sqref="G10"/>
    </sheetView>
  </sheetViews>
  <sheetFormatPr defaultRowHeight="15"/>
  <cols>
    <col min="1" max="1" width="22.28515625" style="1" customWidth="1"/>
    <col min="2" max="2" width="10.28515625" style="2" customWidth="1"/>
    <col min="3" max="3" width="27.42578125" style="1" customWidth="1"/>
    <col min="4" max="4" width="27.28515625" style="1" customWidth="1"/>
    <col min="5" max="5" width="11.28515625" style="1" customWidth="1"/>
    <col min="6" max="7" width="9.140625" style="1"/>
    <col min="8" max="8" width="11" style="1" bestFit="1" customWidth="1"/>
    <col min="9" max="9" width="12" style="6" bestFit="1" customWidth="1"/>
    <col min="10" max="10" width="27.42578125" style="1" customWidth="1"/>
    <col min="11" max="11" width="18.28515625" style="4" customWidth="1"/>
    <col min="12" max="12" width="24" style="5" customWidth="1"/>
    <col min="13" max="16384" width="9.140625" style="1"/>
  </cols>
  <sheetData>
    <row r="1" spans="1:12" ht="30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4" t="s">
        <v>10</v>
      </c>
      <c r="L1" s="5" t="s">
        <v>11</v>
      </c>
    </row>
    <row r="2" spans="1:12">
      <c r="A2" s="1" t="s">
        <v>12</v>
      </c>
      <c r="B2" s="2" t="s">
        <v>13</v>
      </c>
      <c r="C2" s="1" t="s">
        <v>14</v>
      </c>
      <c r="D2" s="1" t="s">
        <v>15</v>
      </c>
      <c r="E2" s="1" t="s">
        <v>16</v>
      </c>
      <c r="J2" s="1" t="s">
        <v>17</v>
      </c>
      <c r="K2" s="7" t="s">
        <v>18</v>
      </c>
    </row>
    <row r="3" spans="1:12">
      <c r="A3" s="1" t="s">
        <v>12</v>
      </c>
      <c r="B3" s="2" t="s">
        <v>13</v>
      </c>
      <c r="C3" s="1" t="s">
        <v>19</v>
      </c>
      <c r="D3" s="1" t="s">
        <v>15</v>
      </c>
      <c r="E3" s="1" t="s">
        <v>20</v>
      </c>
      <c r="J3" s="1" t="s">
        <v>17</v>
      </c>
      <c r="K3" s="4" t="s">
        <v>18</v>
      </c>
    </row>
    <row r="4" spans="1:12">
      <c r="A4" s="1" t="s">
        <v>12</v>
      </c>
      <c r="B4" s="2" t="s">
        <v>13</v>
      </c>
      <c r="C4" s="1" t="s">
        <v>21</v>
      </c>
      <c r="D4" s="1" t="s">
        <v>15</v>
      </c>
      <c r="H4" s="1" t="s">
        <v>22</v>
      </c>
      <c r="J4" s="1" t="s">
        <v>23</v>
      </c>
      <c r="K4" s="7" t="s">
        <v>24</v>
      </c>
    </row>
    <row r="5" spans="1:12">
      <c r="A5" s="1" t="s">
        <v>12</v>
      </c>
      <c r="B5" s="2" t="s">
        <v>13</v>
      </c>
      <c r="C5" s="1" t="s">
        <v>25</v>
      </c>
      <c r="D5" s="1" t="s">
        <v>15</v>
      </c>
      <c r="F5" s="1" t="s">
        <v>26</v>
      </c>
      <c r="J5" s="8" t="s">
        <v>27</v>
      </c>
      <c r="K5" s="7" t="s">
        <v>28</v>
      </c>
    </row>
    <row r="6" spans="1:12" s="8" customFormat="1">
      <c r="A6" s="8" t="s">
        <v>12</v>
      </c>
      <c r="B6" s="2" t="s">
        <v>13</v>
      </c>
      <c r="C6" s="9" t="s">
        <v>29</v>
      </c>
      <c r="D6" s="1" t="s">
        <v>15</v>
      </c>
      <c r="G6" s="8" t="s">
        <v>30</v>
      </c>
      <c r="I6" s="6"/>
      <c r="J6" s="8" t="s">
        <v>23</v>
      </c>
      <c r="K6" s="10" t="s">
        <v>24</v>
      </c>
      <c r="L6" s="5"/>
    </row>
    <row r="7" spans="1:12" s="8" customFormat="1">
      <c r="A7" s="8" t="s">
        <v>12</v>
      </c>
      <c r="B7" s="2" t="s">
        <v>13</v>
      </c>
      <c r="C7" s="9" t="s">
        <v>31</v>
      </c>
      <c r="D7" s="1" t="s">
        <v>15</v>
      </c>
      <c r="G7" s="8" t="s">
        <v>32</v>
      </c>
      <c r="I7" s="6"/>
      <c r="J7" s="8" t="s">
        <v>23</v>
      </c>
      <c r="K7" s="10" t="s">
        <v>24</v>
      </c>
      <c r="L7" s="5"/>
    </row>
    <row r="8" spans="1:12" s="8" customFormat="1">
      <c r="A8" s="8" t="s">
        <v>12</v>
      </c>
      <c r="B8" s="2" t="s">
        <v>13</v>
      </c>
      <c r="C8" s="9" t="s">
        <v>33</v>
      </c>
      <c r="D8" s="1" t="s">
        <v>15</v>
      </c>
      <c r="G8" s="8" t="s">
        <v>32</v>
      </c>
      <c r="I8" s="6"/>
      <c r="J8" s="8" t="s">
        <v>23</v>
      </c>
      <c r="K8" s="10" t="s">
        <v>24</v>
      </c>
      <c r="L8" s="5"/>
    </row>
    <row r="9" spans="1:12">
      <c r="A9" s="1" t="s">
        <v>12</v>
      </c>
      <c r="B9" s="2" t="s">
        <v>13</v>
      </c>
      <c r="C9" s="9" t="s">
        <v>34</v>
      </c>
      <c r="D9" s="1" t="s">
        <v>15</v>
      </c>
      <c r="G9" s="1" t="s">
        <v>35</v>
      </c>
      <c r="J9" s="8" t="s">
        <v>36</v>
      </c>
      <c r="K9" s="4" t="s">
        <v>37</v>
      </c>
    </row>
    <row r="10" spans="1:12">
      <c r="A10" s="1" t="s">
        <v>12</v>
      </c>
      <c r="B10" s="2" t="s">
        <v>13</v>
      </c>
      <c r="C10" s="9" t="s">
        <v>38</v>
      </c>
      <c r="D10" s="1" t="s">
        <v>15</v>
      </c>
      <c r="G10" s="1" t="s">
        <v>39</v>
      </c>
      <c r="J10" s="8" t="s">
        <v>36</v>
      </c>
      <c r="K10" s="7" t="s">
        <v>37</v>
      </c>
    </row>
    <row r="11" spans="1:12">
      <c r="A11" s="1" t="s">
        <v>12</v>
      </c>
      <c r="B11" s="2" t="s">
        <v>13</v>
      </c>
      <c r="C11" s="9" t="s">
        <v>40</v>
      </c>
      <c r="D11" s="1" t="s">
        <v>15</v>
      </c>
      <c r="G11" s="1" t="s">
        <v>41</v>
      </c>
      <c r="J11" s="8" t="s">
        <v>36</v>
      </c>
      <c r="K11" s="7" t="s">
        <v>37</v>
      </c>
    </row>
    <row r="12" spans="1:12">
      <c r="A12" s="1" t="s">
        <v>12</v>
      </c>
      <c r="B12" s="2" t="s">
        <v>13</v>
      </c>
      <c r="C12" s="9" t="s">
        <v>42</v>
      </c>
      <c r="D12" s="1" t="s">
        <v>15</v>
      </c>
      <c r="G12" s="1" t="s">
        <v>43</v>
      </c>
      <c r="J12" s="8" t="s">
        <v>36</v>
      </c>
      <c r="K12" s="7" t="s">
        <v>37</v>
      </c>
    </row>
    <row r="13" spans="1:12" s="8" customFormat="1">
      <c r="A13" s="11" t="s">
        <v>44</v>
      </c>
      <c r="B13" s="12" t="s">
        <v>45</v>
      </c>
      <c r="C13" s="3" t="s">
        <v>46</v>
      </c>
      <c r="D13" s="11" t="s">
        <v>47</v>
      </c>
      <c r="E13" s="8" t="s">
        <v>48</v>
      </c>
      <c r="H13" s="8" t="s">
        <v>49</v>
      </c>
      <c r="I13" s="6">
        <v>1.73</v>
      </c>
      <c r="J13" s="11" t="s">
        <v>50</v>
      </c>
      <c r="K13" s="10" t="s">
        <v>51</v>
      </c>
      <c r="L13" s="5"/>
    </row>
    <row r="14" spans="1:12" s="8" customFormat="1">
      <c r="A14" s="11" t="s">
        <v>44</v>
      </c>
      <c r="B14" s="12" t="s">
        <v>45</v>
      </c>
      <c r="C14" s="3" t="s">
        <v>25</v>
      </c>
      <c r="D14" s="11" t="s">
        <v>47</v>
      </c>
      <c r="E14" s="8" t="s">
        <v>52</v>
      </c>
      <c r="I14" s="6"/>
      <c r="J14" s="11" t="s">
        <v>50</v>
      </c>
      <c r="K14" s="10" t="s">
        <v>51</v>
      </c>
      <c r="L14" s="5"/>
    </row>
    <row r="15" spans="1:12" s="8" customFormat="1">
      <c r="A15" s="11" t="s">
        <v>44</v>
      </c>
      <c r="B15" s="12" t="s">
        <v>45</v>
      </c>
      <c r="C15" s="9" t="s">
        <v>53</v>
      </c>
      <c r="D15" s="11" t="s">
        <v>47</v>
      </c>
      <c r="G15" s="8" t="s">
        <v>54</v>
      </c>
      <c r="I15" s="6"/>
      <c r="J15" s="11" t="s">
        <v>50</v>
      </c>
      <c r="K15" s="10" t="s">
        <v>51</v>
      </c>
      <c r="L15" s="5"/>
    </row>
    <row r="16" spans="1:12" s="8" customFormat="1">
      <c r="A16" s="11" t="s">
        <v>44</v>
      </c>
      <c r="B16" s="12" t="s">
        <v>45</v>
      </c>
      <c r="C16" s="13" t="s">
        <v>55</v>
      </c>
      <c r="D16" s="11" t="s">
        <v>47</v>
      </c>
      <c r="G16" s="8" t="s">
        <v>56</v>
      </c>
      <c r="I16" s="6"/>
      <c r="J16" s="11" t="s">
        <v>50</v>
      </c>
      <c r="K16" s="14" t="s">
        <v>51</v>
      </c>
      <c r="L16" s="5"/>
    </row>
    <row r="17" spans="1:12" s="8" customFormat="1">
      <c r="A17" s="11" t="s">
        <v>44</v>
      </c>
      <c r="B17" s="12" t="s">
        <v>45</v>
      </c>
      <c r="C17" s="13" t="s">
        <v>42</v>
      </c>
      <c r="D17" s="11" t="s">
        <v>47</v>
      </c>
      <c r="G17" s="8" t="s">
        <v>57</v>
      </c>
      <c r="I17" s="6"/>
      <c r="J17" s="8" t="s">
        <v>58</v>
      </c>
      <c r="K17" s="14" t="s">
        <v>59</v>
      </c>
      <c r="L17" s="5"/>
    </row>
    <row r="18" spans="1:12" s="8" customFormat="1">
      <c r="A18" s="11" t="s">
        <v>44</v>
      </c>
      <c r="B18" s="12" t="s">
        <v>45</v>
      </c>
      <c r="C18" s="13" t="s">
        <v>33</v>
      </c>
      <c r="G18" s="8" t="s">
        <v>60</v>
      </c>
      <c r="I18" s="6"/>
      <c r="J18" s="11" t="s">
        <v>50</v>
      </c>
      <c r="K18" s="10" t="s">
        <v>51</v>
      </c>
      <c r="L18" s="5"/>
    </row>
    <row r="19" spans="1:12" s="8" customFormat="1">
      <c r="A19" s="11" t="s">
        <v>44</v>
      </c>
      <c r="B19" s="12" t="s">
        <v>45</v>
      </c>
      <c r="C19" s="3"/>
      <c r="F19" s="8" t="s">
        <v>61</v>
      </c>
      <c r="I19" s="6"/>
      <c r="J19" s="11" t="s">
        <v>50</v>
      </c>
      <c r="K19" s="10" t="s">
        <v>62</v>
      </c>
      <c r="L19" s="5"/>
    </row>
    <row r="21" spans="1:12" s="8" customFormat="1">
      <c r="A21" s="11" t="s">
        <v>63</v>
      </c>
      <c r="B21" s="12" t="s">
        <v>64</v>
      </c>
      <c r="D21" s="8" t="s">
        <v>65</v>
      </c>
      <c r="I21" s="6"/>
      <c r="J21" s="11" t="s">
        <v>66</v>
      </c>
      <c r="K21" s="10" t="s">
        <v>67</v>
      </c>
      <c r="L21" s="5"/>
    </row>
    <row r="22" spans="1:12" s="8" customFormat="1">
      <c r="A22" s="11" t="s">
        <v>63</v>
      </c>
      <c r="B22" s="12" t="s">
        <v>68</v>
      </c>
      <c r="C22" s="8" t="s">
        <v>69</v>
      </c>
      <c r="D22" s="8" t="s">
        <v>65</v>
      </c>
      <c r="E22" s="8" t="s">
        <v>70</v>
      </c>
      <c r="I22" s="6"/>
      <c r="J22" s="11" t="s">
        <v>71</v>
      </c>
      <c r="K22" s="10" t="s">
        <v>72</v>
      </c>
      <c r="L22" s="5"/>
    </row>
    <row r="23" spans="1:12" s="8" customFormat="1">
      <c r="A23" s="11" t="s">
        <v>63</v>
      </c>
      <c r="B23" s="12" t="s">
        <v>68</v>
      </c>
      <c r="C23" s="8" t="s">
        <v>73</v>
      </c>
      <c r="D23" s="8" t="s">
        <v>65</v>
      </c>
      <c r="F23" s="8" t="s">
        <v>74</v>
      </c>
      <c r="I23" s="6"/>
      <c r="J23" s="11" t="s">
        <v>75</v>
      </c>
      <c r="K23" s="7" t="s">
        <v>76</v>
      </c>
      <c r="L23" s="5"/>
    </row>
    <row r="24" spans="1:12" s="8" customFormat="1">
      <c r="A24" s="11" t="s">
        <v>63</v>
      </c>
      <c r="B24" s="15" t="s">
        <v>77</v>
      </c>
      <c r="C24" s="8" t="s">
        <v>78</v>
      </c>
      <c r="D24" s="8" t="s">
        <v>65</v>
      </c>
      <c r="E24" s="8" t="s">
        <v>79</v>
      </c>
      <c r="F24" s="8" t="s">
        <v>80</v>
      </c>
      <c r="I24" s="6"/>
      <c r="J24" s="11" t="s">
        <v>75</v>
      </c>
      <c r="K24" s="14" t="s">
        <v>76</v>
      </c>
      <c r="L24" s="5"/>
    </row>
    <row r="26" spans="1:12" s="8" customFormat="1">
      <c r="A26" s="11" t="s">
        <v>81</v>
      </c>
      <c r="B26" s="12" t="s">
        <v>82</v>
      </c>
      <c r="C26" s="8" t="s">
        <v>83</v>
      </c>
      <c r="D26" s="1" t="s">
        <v>15</v>
      </c>
      <c r="E26" s="8" t="s">
        <v>20</v>
      </c>
      <c r="F26" s="11" t="s">
        <v>84</v>
      </c>
      <c r="H26" s="8" t="s">
        <v>85</v>
      </c>
      <c r="I26" s="6"/>
      <c r="J26" s="8" t="s">
        <v>86</v>
      </c>
      <c r="K26" s="14" t="s">
        <v>87</v>
      </c>
      <c r="L26" s="5" t="s">
        <v>88</v>
      </c>
    </row>
    <row r="27" spans="1:12" s="8" customFormat="1">
      <c r="A27" s="11" t="s">
        <v>81</v>
      </c>
      <c r="B27" s="12" t="s">
        <v>82</v>
      </c>
      <c r="C27" s="8" t="s">
        <v>89</v>
      </c>
      <c r="D27" s="1" t="s">
        <v>15</v>
      </c>
      <c r="E27" s="11" t="s">
        <v>90</v>
      </c>
      <c r="I27" s="6"/>
      <c r="J27" s="8" t="s">
        <v>86</v>
      </c>
      <c r="K27" s="7" t="s">
        <v>87</v>
      </c>
      <c r="L27" s="5"/>
    </row>
    <row r="28" spans="1:12" s="8" customFormat="1">
      <c r="A28" s="11" t="s">
        <v>81</v>
      </c>
      <c r="B28" s="12" t="s">
        <v>82</v>
      </c>
      <c r="C28" s="9" t="s">
        <v>91</v>
      </c>
      <c r="D28" s="1" t="s">
        <v>15</v>
      </c>
      <c r="G28" s="8" t="s">
        <v>92</v>
      </c>
      <c r="I28" s="6"/>
      <c r="J28" s="8" t="s">
        <v>86</v>
      </c>
      <c r="K28" s="7" t="s">
        <v>87</v>
      </c>
      <c r="L28" s="5"/>
    </row>
    <row r="29" spans="1:12">
      <c r="A29" s="11" t="s">
        <v>81</v>
      </c>
      <c r="B29" s="12" t="s">
        <v>82</v>
      </c>
      <c r="D29" s="1" t="s">
        <v>15</v>
      </c>
      <c r="K29" s="7" t="s">
        <v>93</v>
      </c>
    </row>
    <row r="30" spans="1:12" s="8" customFormat="1">
      <c r="A30" s="8" t="s">
        <v>94</v>
      </c>
      <c r="B30" s="12" t="s">
        <v>95</v>
      </c>
      <c r="C30" s="8" t="s">
        <v>96</v>
      </c>
      <c r="D30" s="8" t="s">
        <v>97</v>
      </c>
      <c r="E30" s="8" t="s">
        <v>98</v>
      </c>
      <c r="F30" s="8" t="s">
        <v>99</v>
      </c>
      <c r="I30" s="6"/>
      <c r="J30" s="8" t="s">
        <v>100</v>
      </c>
      <c r="K30" s="7" t="s">
        <v>101</v>
      </c>
      <c r="L30" s="5" t="s">
        <v>102</v>
      </c>
    </row>
    <row r="31" spans="1:12" s="8" customFormat="1">
      <c r="A31" s="8" t="s">
        <v>94</v>
      </c>
      <c r="B31" s="12" t="s">
        <v>95</v>
      </c>
      <c r="C31" s="6" t="s">
        <v>103</v>
      </c>
      <c r="D31" s="8" t="s">
        <v>97</v>
      </c>
      <c r="E31" s="11" t="s">
        <v>104</v>
      </c>
      <c r="F31" s="8" t="s">
        <v>99</v>
      </c>
      <c r="I31" s="6"/>
      <c r="J31" s="8" t="s">
        <v>100</v>
      </c>
      <c r="K31" s="14" t="s">
        <v>101</v>
      </c>
      <c r="L31" s="5"/>
    </row>
    <row r="32" spans="1:12" s="8" customFormat="1">
      <c r="B32" s="12"/>
      <c r="C32" s="6"/>
      <c r="I32" s="6"/>
      <c r="K32" s="14"/>
      <c r="L32" s="5"/>
    </row>
    <row r="33" spans="1:12" s="8" customFormat="1">
      <c r="A33" s="8" t="s">
        <v>105</v>
      </c>
      <c r="B33" s="12" t="s">
        <v>106</v>
      </c>
      <c r="D33" s="8" t="s">
        <v>107</v>
      </c>
      <c r="I33" s="6"/>
      <c r="J33" s="8" t="s">
        <v>108</v>
      </c>
      <c r="K33" s="7" t="s">
        <v>109</v>
      </c>
      <c r="L33" s="5"/>
    </row>
    <row r="34" spans="1:12" s="8" customFormat="1">
      <c r="A34" s="8" t="s">
        <v>105</v>
      </c>
      <c r="B34" s="12" t="s">
        <v>106</v>
      </c>
      <c r="C34" s="9" t="s">
        <v>110</v>
      </c>
      <c r="D34" s="8" t="s">
        <v>107</v>
      </c>
      <c r="G34" s="8" t="s">
        <v>111</v>
      </c>
      <c r="I34" s="6"/>
      <c r="J34" s="8" t="s">
        <v>108</v>
      </c>
      <c r="K34" s="10" t="s">
        <v>109</v>
      </c>
      <c r="L34" s="5"/>
    </row>
    <row r="35" spans="1:12" s="8" customFormat="1">
      <c r="A35" s="8" t="s">
        <v>105</v>
      </c>
      <c r="B35" s="12" t="s">
        <v>106</v>
      </c>
      <c r="C35" s="8" t="s">
        <v>112</v>
      </c>
      <c r="D35" s="8" t="s">
        <v>107</v>
      </c>
      <c r="E35" s="8" t="s">
        <v>113</v>
      </c>
      <c r="I35" s="6"/>
      <c r="J35" s="8" t="s">
        <v>114</v>
      </c>
      <c r="K35" s="10" t="s">
        <v>115</v>
      </c>
      <c r="L35" s="5"/>
    </row>
    <row r="36" spans="1:12" s="8" customFormat="1">
      <c r="A36" s="8" t="s">
        <v>105</v>
      </c>
      <c r="B36" s="12" t="s">
        <v>106</v>
      </c>
      <c r="C36" s="8" t="s">
        <v>116</v>
      </c>
      <c r="D36" s="8" t="s">
        <v>107</v>
      </c>
      <c r="E36" s="8" t="s">
        <v>117</v>
      </c>
      <c r="I36" s="6"/>
      <c r="J36" s="8" t="s">
        <v>114</v>
      </c>
      <c r="K36" s="10" t="s">
        <v>115</v>
      </c>
      <c r="L36" s="5"/>
    </row>
    <row r="37" spans="1:12" s="8" customFormat="1">
      <c r="A37" s="8" t="s">
        <v>105</v>
      </c>
      <c r="B37" s="12" t="s">
        <v>106</v>
      </c>
      <c r="C37" s="8" t="s">
        <v>112</v>
      </c>
      <c r="D37" s="8" t="s">
        <v>107</v>
      </c>
      <c r="F37" s="8" t="s">
        <v>118</v>
      </c>
      <c r="I37" s="6"/>
      <c r="J37" s="8" t="s">
        <v>119</v>
      </c>
      <c r="K37" s="10" t="s">
        <v>120</v>
      </c>
      <c r="L37" s="5"/>
    </row>
    <row r="38" spans="1:12" s="8" customFormat="1">
      <c r="A38" s="8" t="s">
        <v>121</v>
      </c>
      <c r="B38" s="12" t="s">
        <v>122</v>
      </c>
      <c r="C38" s="8" t="s">
        <v>123</v>
      </c>
      <c r="D38" s="11" t="s">
        <v>124</v>
      </c>
      <c r="E38" s="8" t="s">
        <v>125</v>
      </c>
      <c r="F38" s="16" t="s">
        <v>126</v>
      </c>
      <c r="H38" s="11" t="s">
        <v>127</v>
      </c>
      <c r="I38" s="6"/>
      <c r="J38" s="8" t="s">
        <v>128</v>
      </c>
      <c r="K38" s="14" t="s">
        <v>129</v>
      </c>
      <c r="L38" s="5" t="s">
        <v>130</v>
      </c>
    </row>
    <row r="40" spans="1:12" s="11" customFormat="1">
      <c r="A40" s="11" t="s">
        <v>131</v>
      </c>
      <c r="B40" s="17" t="s">
        <v>132</v>
      </c>
      <c r="C40" s="11" t="s">
        <v>123</v>
      </c>
      <c r="D40" s="11" t="s">
        <v>133</v>
      </c>
      <c r="E40" s="11" t="s">
        <v>134</v>
      </c>
      <c r="F40" s="11" t="s">
        <v>135</v>
      </c>
      <c r="I40" s="3"/>
      <c r="J40" s="11" t="s">
        <v>136</v>
      </c>
      <c r="K40" s="18" t="s">
        <v>137</v>
      </c>
      <c r="L40" s="19"/>
    </row>
    <row r="41" spans="1:12" s="20" customFormat="1">
      <c r="A41" s="20" t="s">
        <v>131</v>
      </c>
      <c r="B41" s="21" t="s">
        <v>138</v>
      </c>
      <c r="C41" s="20" t="s">
        <v>139</v>
      </c>
      <c r="D41" s="11" t="s">
        <v>133</v>
      </c>
      <c r="F41" s="11" t="s">
        <v>140</v>
      </c>
      <c r="I41" s="22"/>
      <c r="J41" s="20" t="s">
        <v>141</v>
      </c>
      <c r="K41" s="23" t="s">
        <v>142</v>
      </c>
      <c r="L41" s="24"/>
    </row>
    <row r="42" spans="1:12" s="11" customFormat="1">
      <c r="A42" s="11" t="s">
        <v>131</v>
      </c>
      <c r="B42" s="21" t="s">
        <v>138</v>
      </c>
      <c r="C42" s="11" t="s">
        <v>139</v>
      </c>
      <c r="D42" s="11" t="s">
        <v>133</v>
      </c>
      <c r="E42" s="11" t="s">
        <v>143</v>
      </c>
      <c r="I42" s="3"/>
      <c r="J42" s="11" t="s">
        <v>141</v>
      </c>
      <c r="K42" s="18" t="s">
        <v>142</v>
      </c>
      <c r="L42" s="19" t="s">
        <v>144</v>
      </c>
    </row>
    <row r="43" spans="1:12" s="11" customFormat="1">
      <c r="A43" s="11" t="s">
        <v>131</v>
      </c>
      <c r="B43" s="21" t="s">
        <v>138</v>
      </c>
      <c r="C43" s="13" t="s">
        <v>139</v>
      </c>
      <c r="D43" s="11" t="s">
        <v>133</v>
      </c>
      <c r="G43" s="11" t="s">
        <v>145</v>
      </c>
      <c r="I43" s="3"/>
      <c r="J43" s="11" t="s">
        <v>141</v>
      </c>
      <c r="K43" s="18" t="s">
        <v>142</v>
      </c>
      <c r="L43" s="19"/>
    </row>
    <row r="44" spans="1:12" s="11" customFormat="1">
      <c r="A44" s="11" t="s">
        <v>131</v>
      </c>
      <c r="B44" s="21" t="s">
        <v>138</v>
      </c>
      <c r="C44" s="11" t="s">
        <v>146</v>
      </c>
      <c r="D44" s="11" t="s">
        <v>133</v>
      </c>
      <c r="E44" s="11" t="s">
        <v>147</v>
      </c>
      <c r="I44" s="3"/>
      <c r="J44" s="11" t="s">
        <v>141</v>
      </c>
      <c r="K44" s="25" t="s">
        <v>142</v>
      </c>
      <c r="L44" s="19"/>
    </row>
    <row r="45" spans="1:12" s="11" customFormat="1">
      <c r="A45" s="11" t="s">
        <v>131</v>
      </c>
      <c r="B45" s="21" t="s">
        <v>138</v>
      </c>
      <c r="C45" s="11" t="s">
        <v>148</v>
      </c>
      <c r="D45" s="11" t="s">
        <v>133</v>
      </c>
      <c r="E45" s="11" t="s">
        <v>149</v>
      </c>
      <c r="I45" s="3"/>
      <c r="J45" s="11" t="s">
        <v>141</v>
      </c>
      <c r="K45" s="25" t="s">
        <v>142</v>
      </c>
      <c r="L45" s="19"/>
    </row>
    <row r="46" spans="1:12">
      <c r="F46" s="1">
        <f>31*3600</f>
        <v>111600</v>
      </c>
    </row>
    <row r="47" spans="1:12">
      <c r="A47" s="1" t="s">
        <v>150</v>
      </c>
      <c r="B47" s="2" t="s">
        <v>151</v>
      </c>
      <c r="C47" s="1" t="s">
        <v>152</v>
      </c>
      <c r="D47" s="11" t="s">
        <v>133</v>
      </c>
      <c r="E47" s="1" t="s">
        <v>153</v>
      </c>
      <c r="J47" s="1" t="s">
        <v>154</v>
      </c>
      <c r="K47" s="7" t="s">
        <v>155</v>
      </c>
    </row>
    <row r="48" spans="1:12">
      <c r="A48" s="1" t="s">
        <v>150</v>
      </c>
      <c r="B48" s="2" t="s">
        <v>151</v>
      </c>
      <c r="C48" s="1" t="s">
        <v>156</v>
      </c>
      <c r="D48" s="11" t="s">
        <v>133</v>
      </c>
      <c r="E48" s="1" t="s">
        <v>157</v>
      </c>
      <c r="F48" s="1" t="s">
        <v>158</v>
      </c>
      <c r="J48" s="1" t="s">
        <v>154</v>
      </c>
      <c r="K48" s="4" t="s">
        <v>155</v>
      </c>
      <c r="L48" s="5" t="s">
        <v>159</v>
      </c>
    </row>
    <row r="49" spans="1:12">
      <c r="A49" s="1" t="s">
        <v>150</v>
      </c>
      <c r="B49" s="2" t="s">
        <v>151</v>
      </c>
      <c r="C49" s="9" t="s">
        <v>160</v>
      </c>
      <c r="D49" s="11" t="s">
        <v>133</v>
      </c>
      <c r="G49" s="1" t="s">
        <v>161</v>
      </c>
      <c r="J49" s="1" t="s">
        <v>154</v>
      </c>
      <c r="K49" s="7" t="s">
        <v>155</v>
      </c>
    </row>
    <row r="50" spans="1:12">
      <c r="A50" s="1" t="s">
        <v>150</v>
      </c>
      <c r="B50" s="2" t="s">
        <v>151</v>
      </c>
      <c r="C50" s="9" t="s">
        <v>162</v>
      </c>
      <c r="D50" s="11" t="s">
        <v>133</v>
      </c>
      <c r="G50" s="1" t="s">
        <v>163</v>
      </c>
      <c r="J50" s="1" t="s">
        <v>154</v>
      </c>
      <c r="K50" s="7" t="s">
        <v>155</v>
      </c>
    </row>
    <row r="51" spans="1:12">
      <c r="A51" s="1" t="s">
        <v>150</v>
      </c>
      <c r="B51" s="2" t="s">
        <v>151</v>
      </c>
      <c r="C51" s="9"/>
      <c r="D51" s="11" t="s">
        <v>133</v>
      </c>
      <c r="K51" s="7" t="s">
        <v>164</v>
      </c>
    </row>
    <row r="52" spans="1:12">
      <c r="A52" s="1" t="s">
        <v>150</v>
      </c>
      <c r="B52" s="2" t="s">
        <v>165</v>
      </c>
      <c r="C52" s="1" t="s">
        <v>166</v>
      </c>
      <c r="D52" s="11" t="s">
        <v>133</v>
      </c>
      <c r="E52" s="1" t="s">
        <v>167</v>
      </c>
      <c r="J52" s="1" t="s">
        <v>168</v>
      </c>
      <c r="K52" s="7" t="s">
        <v>169</v>
      </c>
    </row>
    <row r="53" spans="1:12">
      <c r="A53" s="1" t="s">
        <v>150</v>
      </c>
      <c r="B53" s="2" t="s">
        <v>165</v>
      </c>
      <c r="C53" s="1" t="s">
        <v>170</v>
      </c>
      <c r="D53" s="11" t="s">
        <v>133</v>
      </c>
      <c r="E53" s="1" t="s">
        <v>171</v>
      </c>
      <c r="F53" s="26" t="s">
        <v>172</v>
      </c>
      <c r="J53" s="1" t="s">
        <v>173</v>
      </c>
      <c r="K53" s="4" t="s">
        <v>155</v>
      </c>
    </row>
    <row r="54" spans="1:12">
      <c r="A54" s="1" t="s">
        <v>150</v>
      </c>
      <c r="B54" s="2" t="s">
        <v>165</v>
      </c>
      <c r="C54" s="9" t="s">
        <v>174</v>
      </c>
      <c r="D54" s="11" t="s">
        <v>133</v>
      </c>
      <c r="G54" s="1" t="s">
        <v>175</v>
      </c>
      <c r="J54" s="1" t="s">
        <v>173</v>
      </c>
      <c r="K54" s="4" t="s">
        <v>155</v>
      </c>
    </row>
    <row r="55" spans="1:12">
      <c r="A55" s="1" t="s">
        <v>150</v>
      </c>
      <c r="B55" s="2" t="s">
        <v>165</v>
      </c>
      <c r="C55" s="9" t="s">
        <v>176</v>
      </c>
      <c r="D55" s="11" t="s">
        <v>133</v>
      </c>
      <c r="G55" s="1" t="s">
        <v>177</v>
      </c>
      <c r="J55" s="1" t="s">
        <v>173</v>
      </c>
      <c r="K55" s="4" t="s">
        <v>155</v>
      </c>
    </row>
    <row r="57" spans="1:12" s="16" customFormat="1">
      <c r="A57" s="16" t="s">
        <v>178</v>
      </c>
      <c r="B57" s="27" t="s">
        <v>179</v>
      </c>
      <c r="C57" s="16" t="s">
        <v>180</v>
      </c>
      <c r="H57" s="16" t="s">
        <v>181</v>
      </c>
      <c r="I57" s="28"/>
      <c r="J57" s="16" t="s">
        <v>182</v>
      </c>
      <c r="K57" s="29" t="s">
        <v>183</v>
      </c>
      <c r="L57" s="30"/>
    </row>
    <row r="58" spans="1:12" s="8" customFormat="1">
      <c r="A58" s="8" t="s">
        <v>184</v>
      </c>
      <c r="B58" s="12" t="s">
        <v>185</v>
      </c>
      <c r="C58" s="11" t="s">
        <v>186</v>
      </c>
      <c r="D58" s="11" t="s">
        <v>187</v>
      </c>
      <c r="F58" s="8" t="s">
        <v>188</v>
      </c>
      <c r="H58" s="8" t="s">
        <v>189</v>
      </c>
      <c r="I58" s="6"/>
      <c r="J58" s="8" t="s">
        <v>190</v>
      </c>
      <c r="K58" s="14" t="s">
        <v>191</v>
      </c>
      <c r="L58" s="5"/>
    </row>
    <row r="59" spans="1:12" s="8" customFormat="1">
      <c r="A59" s="8" t="s">
        <v>184</v>
      </c>
      <c r="B59" s="12" t="s">
        <v>185</v>
      </c>
      <c r="C59" s="11" t="s">
        <v>186</v>
      </c>
      <c r="D59" s="11" t="s">
        <v>187</v>
      </c>
      <c r="E59" s="11" t="s">
        <v>157</v>
      </c>
      <c r="I59" s="6"/>
      <c r="J59" s="8" t="s">
        <v>190</v>
      </c>
      <c r="K59" s="14" t="s">
        <v>192</v>
      </c>
      <c r="L59" s="5"/>
    </row>
    <row r="60" spans="1:12" s="8" customFormat="1">
      <c r="A60" s="8" t="s">
        <v>184</v>
      </c>
      <c r="B60" s="12" t="s">
        <v>185</v>
      </c>
      <c r="C60" s="9" t="s">
        <v>193</v>
      </c>
      <c r="D60" s="11" t="s">
        <v>187</v>
      </c>
      <c r="G60" s="8" t="s">
        <v>194</v>
      </c>
      <c r="I60" s="6"/>
      <c r="J60" s="11" t="s">
        <v>195</v>
      </c>
      <c r="K60" s="7" t="s">
        <v>196</v>
      </c>
      <c r="L60" s="5"/>
    </row>
    <row r="61" spans="1:12" s="8" customFormat="1">
      <c r="A61" s="8" t="s">
        <v>184</v>
      </c>
      <c r="B61" s="12" t="s">
        <v>197</v>
      </c>
      <c r="C61" s="6" t="s">
        <v>198</v>
      </c>
      <c r="D61" s="11" t="s">
        <v>187</v>
      </c>
      <c r="E61" s="8" t="s">
        <v>199</v>
      </c>
      <c r="F61" s="11" t="s">
        <v>200</v>
      </c>
      <c r="G61" s="11"/>
      <c r="I61" s="6"/>
      <c r="J61" s="8" t="s">
        <v>201</v>
      </c>
      <c r="K61" s="7" t="s">
        <v>202</v>
      </c>
      <c r="L61" s="5" t="s">
        <v>203</v>
      </c>
    </row>
    <row r="62" spans="1:12" s="8" customFormat="1">
      <c r="A62" s="8" t="s">
        <v>184</v>
      </c>
      <c r="B62" s="12" t="s">
        <v>197</v>
      </c>
      <c r="C62" s="6" t="s">
        <v>198</v>
      </c>
      <c r="D62" s="11" t="s">
        <v>187</v>
      </c>
      <c r="E62" s="8" t="s">
        <v>204</v>
      </c>
      <c r="G62" s="11"/>
      <c r="I62" s="6"/>
      <c r="J62" s="11" t="s">
        <v>205</v>
      </c>
      <c r="K62" s="7" t="s">
        <v>206</v>
      </c>
      <c r="L62" s="5"/>
    </row>
    <row r="63" spans="1:12" s="8" customFormat="1">
      <c r="A63" s="8" t="s">
        <v>184</v>
      </c>
      <c r="B63" s="12" t="s">
        <v>197</v>
      </c>
      <c r="C63" s="6" t="s">
        <v>198</v>
      </c>
      <c r="D63" s="11" t="s">
        <v>187</v>
      </c>
      <c r="E63" s="11" t="s">
        <v>207</v>
      </c>
      <c r="G63" s="11"/>
      <c r="I63" s="6"/>
      <c r="J63" s="11" t="s">
        <v>208</v>
      </c>
      <c r="K63" s="7" t="s">
        <v>209</v>
      </c>
      <c r="L63" s="5"/>
    </row>
    <row r="64" spans="1:12" s="8" customFormat="1">
      <c r="A64" s="8" t="s">
        <v>184</v>
      </c>
      <c r="B64" s="12" t="s">
        <v>197</v>
      </c>
      <c r="C64" s="9" t="s">
        <v>210</v>
      </c>
      <c r="D64" s="11" t="s">
        <v>187</v>
      </c>
      <c r="G64" s="11" t="s">
        <v>211</v>
      </c>
      <c r="I64" s="6"/>
      <c r="J64" s="11" t="s">
        <v>195</v>
      </c>
      <c r="K64" s="7" t="s">
        <v>196</v>
      </c>
      <c r="L64" s="5"/>
    </row>
    <row r="66" spans="1:12" s="8" customFormat="1">
      <c r="A66" s="8" t="s">
        <v>212</v>
      </c>
      <c r="B66" s="12" t="s">
        <v>213</v>
      </c>
      <c r="C66" s="8" t="s">
        <v>214</v>
      </c>
      <c r="D66" s="11" t="s">
        <v>215</v>
      </c>
      <c r="E66" s="8" t="s">
        <v>56</v>
      </c>
      <c r="I66" s="6"/>
      <c r="J66" s="8" t="s">
        <v>216</v>
      </c>
      <c r="K66" s="7" t="s">
        <v>217</v>
      </c>
      <c r="L66" s="5" t="s">
        <v>218</v>
      </c>
    </row>
    <row r="67" spans="1:12" s="8" customFormat="1">
      <c r="A67" s="8" t="s">
        <v>212</v>
      </c>
      <c r="B67" s="12" t="s">
        <v>213</v>
      </c>
      <c r="C67" s="8" t="s">
        <v>25</v>
      </c>
      <c r="D67" s="11" t="s">
        <v>215</v>
      </c>
      <c r="E67" s="8" t="s">
        <v>219</v>
      </c>
      <c r="I67" s="6"/>
      <c r="J67" s="8" t="s">
        <v>216</v>
      </c>
      <c r="K67" s="14" t="s">
        <v>217</v>
      </c>
      <c r="L67" s="5"/>
    </row>
    <row r="68" spans="1:12" s="8" customFormat="1">
      <c r="A68" s="8" t="s">
        <v>212</v>
      </c>
      <c r="B68" s="12" t="s">
        <v>213</v>
      </c>
      <c r="C68" s="8" t="s">
        <v>220</v>
      </c>
      <c r="D68" s="11" t="s">
        <v>215</v>
      </c>
      <c r="I68" s="6">
        <v>1.54</v>
      </c>
      <c r="J68" s="8" t="s">
        <v>221</v>
      </c>
      <c r="K68" s="7" t="s">
        <v>222</v>
      </c>
      <c r="L68" s="5"/>
    </row>
    <row r="69" spans="1:12" s="8" customFormat="1">
      <c r="A69" s="8" t="s">
        <v>212</v>
      </c>
      <c r="B69" s="12" t="s">
        <v>213</v>
      </c>
      <c r="C69" s="8" t="s">
        <v>214</v>
      </c>
      <c r="D69" s="11" t="s">
        <v>215</v>
      </c>
      <c r="F69" s="8" t="s">
        <v>223</v>
      </c>
      <c r="H69" s="8" t="s">
        <v>224</v>
      </c>
      <c r="I69" s="6"/>
      <c r="J69" s="8" t="s">
        <v>225</v>
      </c>
      <c r="K69" s="7" t="s">
        <v>226</v>
      </c>
      <c r="L69" s="5" t="s">
        <v>227</v>
      </c>
    </row>
    <row r="70" spans="1:12" s="8" customFormat="1">
      <c r="A70" s="8" t="s">
        <v>212</v>
      </c>
      <c r="B70" s="12" t="s">
        <v>213</v>
      </c>
      <c r="C70" s="9" t="s">
        <v>42</v>
      </c>
      <c r="D70" s="11" t="s">
        <v>215</v>
      </c>
      <c r="G70" s="8" t="s">
        <v>30</v>
      </c>
      <c r="I70" s="6"/>
      <c r="J70" s="8" t="s">
        <v>228</v>
      </c>
      <c r="K70" s="7" t="s">
        <v>229</v>
      </c>
      <c r="L70" s="5"/>
    </row>
    <row r="71" spans="1:12" s="8" customFormat="1">
      <c r="A71" s="8" t="s">
        <v>212</v>
      </c>
      <c r="B71" s="12" t="s">
        <v>213</v>
      </c>
      <c r="C71" s="9" t="s">
        <v>230</v>
      </c>
      <c r="D71" s="11" t="s">
        <v>215</v>
      </c>
      <c r="G71" s="8" t="s">
        <v>231</v>
      </c>
      <c r="I71" s="6"/>
      <c r="J71" s="8" t="s">
        <v>216</v>
      </c>
      <c r="K71" s="10" t="s">
        <v>217</v>
      </c>
      <c r="L71" s="5"/>
    </row>
    <row r="72" spans="1:12" s="8" customFormat="1">
      <c r="A72" s="11" t="s">
        <v>44</v>
      </c>
      <c r="B72" s="12" t="s">
        <v>232</v>
      </c>
      <c r="C72" s="3" t="s">
        <v>214</v>
      </c>
      <c r="D72" s="1" t="s">
        <v>15</v>
      </c>
      <c r="E72" s="8" t="s">
        <v>233</v>
      </c>
      <c r="I72" s="6"/>
      <c r="J72" s="11" t="s">
        <v>50</v>
      </c>
      <c r="K72" s="14" t="s">
        <v>51</v>
      </c>
      <c r="L72" s="5" t="s">
        <v>234</v>
      </c>
    </row>
    <row r="73" spans="1:12" s="8" customFormat="1">
      <c r="A73" s="11" t="s">
        <v>44</v>
      </c>
      <c r="B73" s="12" t="s">
        <v>232</v>
      </c>
      <c r="C73" s="3" t="s">
        <v>25</v>
      </c>
      <c r="D73" s="1" t="s">
        <v>15</v>
      </c>
      <c r="E73" s="8" t="s">
        <v>52</v>
      </c>
      <c r="I73" s="6"/>
      <c r="J73" s="11" t="s">
        <v>50</v>
      </c>
      <c r="K73" s="10" t="s">
        <v>51</v>
      </c>
      <c r="L73" s="5"/>
    </row>
    <row r="74" spans="1:12" s="8" customFormat="1">
      <c r="A74" s="11" t="s">
        <v>44</v>
      </c>
      <c r="B74" s="12" t="s">
        <v>232</v>
      </c>
      <c r="C74" s="13" t="s">
        <v>235</v>
      </c>
      <c r="D74" s="1" t="s">
        <v>15</v>
      </c>
      <c r="G74" s="8" t="s">
        <v>236</v>
      </c>
      <c r="I74" s="6"/>
      <c r="J74" s="11" t="s">
        <v>50</v>
      </c>
      <c r="K74" s="10" t="s">
        <v>51</v>
      </c>
      <c r="L74" s="5"/>
    </row>
    <row r="75" spans="1:12" s="8" customFormat="1">
      <c r="A75" s="11" t="s">
        <v>44</v>
      </c>
      <c r="B75" s="12" t="s">
        <v>232</v>
      </c>
      <c r="C75" s="9" t="s">
        <v>53</v>
      </c>
      <c r="D75" s="1" t="s">
        <v>15</v>
      </c>
      <c r="G75" s="8" t="s">
        <v>54</v>
      </c>
      <c r="I75" s="6"/>
      <c r="J75" s="11" t="s">
        <v>50</v>
      </c>
      <c r="K75" s="10" t="s">
        <v>51</v>
      </c>
      <c r="L75" s="5" t="s">
        <v>234</v>
      </c>
    </row>
    <row r="76" spans="1:12" s="8" customFormat="1">
      <c r="A76" s="11" t="s">
        <v>44</v>
      </c>
      <c r="B76" s="12" t="s">
        <v>232</v>
      </c>
      <c r="C76" s="13" t="s">
        <v>237</v>
      </c>
      <c r="D76" s="1" t="s">
        <v>15</v>
      </c>
      <c r="G76" s="8" t="s">
        <v>60</v>
      </c>
      <c r="I76" s="6"/>
      <c r="J76" s="11" t="s">
        <v>50</v>
      </c>
      <c r="K76" s="10" t="s">
        <v>51</v>
      </c>
      <c r="L76" s="5"/>
    </row>
    <row r="77" spans="1:12" s="8" customFormat="1">
      <c r="A77" s="11" t="s">
        <v>44</v>
      </c>
      <c r="B77" s="12" t="s">
        <v>232</v>
      </c>
      <c r="C77" s="13" t="s">
        <v>42</v>
      </c>
      <c r="D77" s="1" t="s">
        <v>15</v>
      </c>
      <c r="G77" s="8" t="s">
        <v>238</v>
      </c>
      <c r="I77" s="6"/>
      <c r="J77" s="8" t="s">
        <v>58</v>
      </c>
      <c r="K77" s="14" t="s">
        <v>59</v>
      </c>
      <c r="L77" s="5" t="s">
        <v>234</v>
      </c>
    </row>
    <row r="78" spans="1:12" s="8" customFormat="1">
      <c r="A78" s="11" t="s">
        <v>44</v>
      </c>
      <c r="B78" s="12" t="s">
        <v>232</v>
      </c>
      <c r="C78" s="3"/>
      <c r="F78" s="8" t="s">
        <v>61</v>
      </c>
      <c r="I78" s="6"/>
      <c r="J78" s="11" t="s">
        <v>50</v>
      </c>
      <c r="K78" s="10" t="s">
        <v>62</v>
      </c>
      <c r="L78" s="5"/>
    </row>
    <row r="80" spans="1:12" s="16" customFormat="1">
      <c r="A80" s="16" t="s">
        <v>239</v>
      </c>
      <c r="B80" s="31" t="s">
        <v>240</v>
      </c>
      <c r="C80" s="16" t="s">
        <v>241</v>
      </c>
      <c r="I80" s="28"/>
      <c r="K80" s="29" t="s">
        <v>242</v>
      </c>
      <c r="L80" s="30"/>
    </row>
    <row r="81" spans="1:12" s="16" customFormat="1">
      <c r="A81" s="16" t="s">
        <v>243</v>
      </c>
      <c r="B81" s="31" t="s">
        <v>244</v>
      </c>
      <c r="C81" s="16" t="s">
        <v>245</v>
      </c>
      <c r="I81" s="28"/>
      <c r="K81" s="29" t="s">
        <v>246</v>
      </c>
      <c r="L81" s="30"/>
    </row>
    <row r="83" spans="1:12" s="8" customFormat="1">
      <c r="A83" s="8" t="s">
        <v>12</v>
      </c>
      <c r="B83" s="2" t="s">
        <v>247</v>
      </c>
      <c r="C83" s="6" t="s">
        <v>248</v>
      </c>
      <c r="D83" s="1" t="s">
        <v>15</v>
      </c>
      <c r="E83" s="8" t="s">
        <v>32</v>
      </c>
      <c r="F83" s="1" t="s">
        <v>249</v>
      </c>
      <c r="I83" s="6"/>
      <c r="J83" s="8" t="s">
        <v>23</v>
      </c>
      <c r="K83" s="10" t="s">
        <v>24</v>
      </c>
      <c r="L83" s="5"/>
    </row>
    <row r="84" spans="1:12">
      <c r="A84" s="1" t="s">
        <v>12</v>
      </c>
      <c r="B84" s="2" t="s">
        <v>247</v>
      </c>
      <c r="C84" s="1" t="s">
        <v>19</v>
      </c>
      <c r="D84" s="1" t="s">
        <v>15</v>
      </c>
      <c r="E84" s="1" t="s">
        <v>20</v>
      </c>
      <c r="J84" s="1" t="s">
        <v>17</v>
      </c>
      <c r="K84" s="4" t="s">
        <v>18</v>
      </c>
    </row>
    <row r="85" spans="1:12">
      <c r="A85" s="1" t="s">
        <v>12</v>
      </c>
      <c r="B85" s="2" t="s">
        <v>247</v>
      </c>
      <c r="C85" s="1" t="s">
        <v>21</v>
      </c>
      <c r="D85" s="1" t="s">
        <v>15</v>
      </c>
      <c r="H85" s="1" t="s">
        <v>22</v>
      </c>
      <c r="J85" s="1" t="s">
        <v>23</v>
      </c>
      <c r="K85" s="7" t="s">
        <v>24</v>
      </c>
    </row>
    <row r="86" spans="1:12">
      <c r="A86" s="1" t="s">
        <v>12</v>
      </c>
      <c r="B86" s="2" t="s">
        <v>247</v>
      </c>
      <c r="C86" s="1" t="s">
        <v>25</v>
      </c>
      <c r="D86" s="1" t="s">
        <v>15</v>
      </c>
      <c r="J86" s="8" t="s">
        <v>27</v>
      </c>
      <c r="K86" s="7" t="s">
        <v>28</v>
      </c>
    </row>
    <row r="87" spans="1:12">
      <c r="A87" s="1" t="s">
        <v>12</v>
      </c>
      <c r="B87" s="2" t="s">
        <v>247</v>
      </c>
      <c r="C87" s="9" t="s">
        <v>250</v>
      </c>
      <c r="D87" s="1" t="s">
        <v>15</v>
      </c>
      <c r="G87" s="1" t="s">
        <v>16</v>
      </c>
      <c r="J87" s="1" t="s">
        <v>17</v>
      </c>
      <c r="K87" s="7" t="s">
        <v>18</v>
      </c>
    </row>
    <row r="88" spans="1:12" s="8" customFormat="1">
      <c r="A88" s="8" t="s">
        <v>12</v>
      </c>
      <c r="B88" s="2" t="s">
        <v>247</v>
      </c>
      <c r="C88" s="9" t="s">
        <v>251</v>
      </c>
      <c r="D88" s="1" t="s">
        <v>15</v>
      </c>
      <c r="G88" s="8" t="s">
        <v>30</v>
      </c>
      <c r="I88" s="6"/>
      <c r="J88" s="8" t="s">
        <v>23</v>
      </c>
      <c r="K88" s="10" t="s">
        <v>24</v>
      </c>
      <c r="L88" s="5"/>
    </row>
    <row r="89" spans="1:12" s="8" customFormat="1">
      <c r="A89" s="8" t="s">
        <v>12</v>
      </c>
      <c r="B89" s="2" t="s">
        <v>247</v>
      </c>
      <c r="C89" s="9" t="s">
        <v>252</v>
      </c>
      <c r="D89" s="1" t="s">
        <v>15</v>
      </c>
      <c r="G89" s="8" t="s">
        <v>32</v>
      </c>
      <c r="I89" s="6"/>
      <c r="J89" s="8" t="s">
        <v>23</v>
      </c>
      <c r="K89" s="10" t="s">
        <v>24</v>
      </c>
      <c r="L89" s="5"/>
    </row>
    <row r="90" spans="1:12">
      <c r="A90" s="1" t="s">
        <v>12</v>
      </c>
      <c r="B90" s="2" t="s">
        <v>247</v>
      </c>
      <c r="C90" s="9" t="s">
        <v>34</v>
      </c>
      <c r="D90" s="1" t="s">
        <v>15</v>
      </c>
      <c r="G90" s="1" t="s">
        <v>35</v>
      </c>
      <c r="J90" s="8" t="s">
        <v>36</v>
      </c>
      <c r="K90" s="4" t="s">
        <v>37</v>
      </c>
    </row>
    <row r="91" spans="1:12">
      <c r="A91" s="1" t="s">
        <v>12</v>
      </c>
      <c r="B91" s="2" t="s">
        <v>247</v>
      </c>
      <c r="C91" s="9" t="s">
        <v>38</v>
      </c>
      <c r="D91" s="1" t="s">
        <v>15</v>
      </c>
      <c r="G91" s="1" t="s">
        <v>39</v>
      </c>
      <c r="J91" s="8" t="s">
        <v>36</v>
      </c>
      <c r="K91" s="7" t="s">
        <v>37</v>
      </c>
    </row>
    <row r="92" spans="1:12">
      <c r="A92" s="1" t="s">
        <v>12</v>
      </c>
      <c r="B92" s="2" t="s">
        <v>247</v>
      </c>
      <c r="C92" s="9" t="s">
        <v>40</v>
      </c>
      <c r="D92" s="1" t="s">
        <v>15</v>
      </c>
      <c r="G92" s="1" t="s">
        <v>41</v>
      </c>
      <c r="J92" s="8" t="s">
        <v>36</v>
      </c>
      <c r="K92" s="7" t="s">
        <v>37</v>
      </c>
    </row>
    <row r="93" spans="1:12">
      <c r="A93" s="1" t="s">
        <v>12</v>
      </c>
      <c r="B93" s="2" t="s">
        <v>247</v>
      </c>
      <c r="C93" s="9" t="s">
        <v>42</v>
      </c>
      <c r="D93" s="1" t="s">
        <v>15</v>
      </c>
      <c r="G93" s="1" t="s">
        <v>43</v>
      </c>
      <c r="J93" s="8" t="s">
        <v>36</v>
      </c>
      <c r="K93" s="7" t="s">
        <v>37</v>
      </c>
    </row>
    <row r="95" spans="1:12" s="8" customFormat="1">
      <c r="A95" s="8" t="s">
        <v>12</v>
      </c>
      <c r="B95" s="2" t="s">
        <v>253</v>
      </c>
      <c r="C95" s="6" t="s">
        <v>254</v>
      </c>
      <c r="D95" s="1" t="s">
        <v>15</v>
      </c>
      <c r="E95" s="8" t="s">
        <v>30</v>
      </c>
      <c r="F95" s="1" t="s">
        <v>249</v>
      </c>
      <c r="I95" s="6"/>
      <c r="J95" s="8" t="s">
        <v>23</v>
      </c>
      <c r="K95" s="10" t="s">
        <v>24</v>
      </c>
      <c r="L95" s="5"/>
    </row>
    <row r="96" spans="1:12">
      <c r="A96" s="1" t="s">
        <v>12</v>
      </c>
      <c r="B96" s="2" t="s">
        <v>253</v>
      </c>
      <c r="C96" s="1" t="s">
        <v>19</v>
      </c>
      <c r="D96" s="1" t="s">
        <v>15</v>
      </c>
      <c r="E96" s="1" t="s">
        <v>20</v>
      </c>
      <c r="J96" s="1" t="s">
        <v>17</v>
      </c>
      <c r="K96" s="4" t="s">
        <v>18</v>
      </c>
    </row>
    <row r="97" spans="1:12">
      <c r="A97" s="1" t="s">
        <v>12</v>
      </c>
      <c r="B97" s="2" t="s">
        <v>253</v>
      </c>
      <c r="C97" s="1" t="s">
        <v>21</v>
      </c>
      <c r="D97" s="1" t="s">
        <v>15</v>
      </c>
      <c r="H97" s="1" t="s">
        <v>22</v>
      </c>
      <c r="J97" s="1" t="s">
        <v>23</v>
      </c>
      <c r="K97" s="7" t="s">
        <v>24</v>
      </c>
    </row>
    <row r="98" spans="1:12">
      <c r="A98" s="1" t="s">
        <v>12</v>
      </c>
      <c r="B98" s="2" t="s">
        <v>253</v>
      </c>
      <c r="C98" s="1" t="s">
        <v>25</v>
      </c>
      <c r="D98" s="1" t="s">
        <v>15</v>
      </c>
      <c r="J98" s="8" t="s">
        <v>27</v>
      </c>
      <c r="K98" s="7" t="s">
        <v>28</v>
      </c>
    </row>
    <row r="99" spans="1:12">
      <c r="A99" s="1" t="s">
        <v>12</v>
      </c>
      <c r="B99" s="2" t="s">
        <v>253</v>
      </c>
      <c r="C99" s="9" t="s">
        <v>255</v>
      </c>
      <c r="D99" s="1" t="s">
        <v>15</v>
      </c>
      <c r="G99" s="1" t="s">
        <v>16</v>
      </c>
      <c r="J99" s="1" t="s">
        <v>17</v>
      </c>
      <c r="K99" s="7" t="s">
        <v>18</v>
      </c>
    </row>
    <row r="100" spans="1:12" s="8" customFormat="1">
      <c r="A100" s="8" t="s">
        <v>12</v>
      </c>
      <c r="B100" s="2" t="s">
        <v>253</v>
      </c>
      <c r="C100" s="9" t="s">
        <v>256</v>
      </c>
      <c r="D100" s="1" t="s">
        <v>15</v>
      </c>
      <c r="G100" s="8" t="s">
        <v>32</v>
      </c>
      <c r="I100" s="6"/>
      <c r="J100" s="8" t="s">
        <v>23</v>
      </c>
      <c r="K100" s="10" t="s">
        <v>24</v>
      </c>
      <c r="L100" s="5"/>
    </row>
    <row r="101" spans="1:12" s="8" customFormat="1">
      <c r="A101" s="8" t="s">
        <v>12</v>
      </c>
      <c r="B101" s="2" t="s">
        <v>253</v>
      </c>
      <c r="C101" s="9" t="s">
        <v>257</v>
      </c>
      <c r="D101" s="1" t="s">
        <v>15</v>
      </c>
      <c r="G101" s="8" t="s">
        <v>32</v>
      </c>
      <c r="I101" s="6"/>
      <c r="J101" s="8" t="s">
        <v>23</v>
      </c>
      <c r="K101" s="10" t="s">
        <v>24</v>
      </c>
      <c r="L101" s="5"/>
    </row>
    <row r="102" spans="1:12">
      <c r="A102" s="1" t="s">
        <v>12</v>
      </c>
      <c r="B102" s="2" t="s">
        <v>253</v>
      </c>
      <c r="C102" s="9" t="s">
        <v>34</v>
      </c>
      <c r="D102" s="1" t="s">
        <v>15</v>
      </c>
      <c r="G102" s="1" t="s">
        <v>35</v>
      </c>
      <c r="J102" s="8" t="s">
        <v>36</v>
      </c>
      <c r="K102" s="4" t="s">
        <v>37</v>
      </c>
    </row>
    <row r="103" spans="1:12">
      <c r="A103" s="1" t="s">
        <v>12</v>
      </c>
      <c r="B103" s="2" t="s">
        <v>253</v>
      </c>
      <c r="C103" s="9" t="s">
        <v>38</v>
      </c>
      <c r="D103" s="1" t="s">
        <v>15</v>
      </c>
      <c r="G103" s="1" t="s">
        <v>39</v>
      </c>
      <c r="J103" s="8" t="s">
        <v>36</v>
      </c>
      <c r="K103" s="7" t="s">
        <v>37</v>
      </c>
    </row>
    <row r="104" spans="1:12">
      <c r="A104" s="1" t="s">
        <v>12</v>
      </c>
      <c r="B104" s="2" t="s">
        <v>253</v>
      </c>
      <c r="C104" s="9" t="s">
        <v>40</v>
      </c>
      <c r="D104" s="1" t="s">
        <v>15</v>
      </c>
      <c r="G104" s="1" t="s">
        <v>41</v>
      </c>
      <c r="J104" s="8" t="s">
        <v>36</v>
      </c>
      <c r="K104" s="7" t="s">
        <v>37</v>
      </c>
    </row>
    <row r="105" spans="1:12">
      <c r="A105" s="1" t="s">
        <v>12</v>
      </c>
      <c r="B105" s="2" t="s">
        <v>253</v>
      </c>
      <c r="C105" s="9" t="s">
        <v>42</v>
      </c>
      <c r="D105" s="1" t="s">
        <v>15</v>
      </c>
      <c r="G105" s="1" t="s">
        <v>43</v>
      </c>
      <c r="J105" s="8" t="s">
        <v>36</v>
      </c>
      <c r="K105" s="7" t="s">
        <v>37</v>
      </c>
    </row>
    <row r="107" spans="1:12" s="8" customFormat="1">
      <c r="A107" s="8" t="s">
        <v>258</v>
      </c>
      <c r="B107" s="12" t="s">
        <v>259</v>
      </c>
      <c r="C107" s="8" t="s">
        <v>260</v>
      </c>
      <c r="D107" s="11" t="s">
        <v>261</v>
      </c>
      <c r="E107" s="8" t="s">
        <v>262</v>
      </c>
      <c r="F107" s="11" t="s">
        <v>263</v>
      </c>
      <c r="H107" s="8" t="s">
        <v>264</v>
      </c>
      <c r="I107" s="6"/>
      <c r="J107" s="8" t="s">
        <v>265</v>
      </c>
      <c r="K107" s="7" t="s">
        <v>266</v>
      </c>
      <c r="L107" s="5" t="s">
        <v>267</v>
      </c>
    </row>
    <row r="108" spans="1:12" s="8" customFormat="1">
      <c r="A108" s="8" t="s">
        <v>258</v>
      </c>
      <c r="B108" s="12" t="s">
        <v>259</v>
      </c>
      <c r="C108" s="8" t="s">
        <v>268</v>
      </c>
      <c r="D108" s="11" t="s">
        <v>261</v>
      </c>
      <c r="E108" s="8" t="s">
        <v>269</v>
      </c>
      <c r="I108" s="6"/>
      <c r="J108" s="8" t="s">
        <v>265</v>
      </c>
      <c r="K108" s="14" t="s">
        <v>266</v>
      </c>
      <c r="L108" s="5"/>
    </row>
    <row r="109" spans="1:12" s="8" customFormat="1">
      <c r="A109" s="8" t="s">
        <v>258</v>
      </c>
      <c r="B109" s="12" t="s">
        <v>259</v>
      </c>
      <c r="C109" s="9" t="s">
        <v>270</v>
      </c>
      <c r="D109" s="11" t="s">
        <v>261</v>
      </c>
      <c r="G109" s="8" t="s">
        <v>271</v>
      </c>
      <c r="I109" s="6"/>
      <c r="J109" s="8" t="s">
        <v>265</v>
      </c>
      <c r="K109" s="14" t="s">
        <v>266</v>
      </c>
      <c r="L109" s="5"/>
    </row>
    <row r="110" spans="1:12" s="8" customFormat="1">
      <c r="A110" s="8" t="s">
        <v>258</v>
      </c>
      <c r="B110" s="12" t="s">
        <v>259</v>
      </c>
      <c r="C110" s="8" t="s">
        <v>272</v>
      </c>
      <c r="D110" s="11" t="s">
        <v>261</v>
      </c>
      <c r="I110" s="6"/>
      <c r="J110" s="8" t="s">
        <v>273</v>
      </c>
      <c r="K110" s="10" t="s">
        <v>274</v>
      </c>
      <c r="L110" s="5"/>
    </row>
    <row r="112" spans="1:12" s="8" customFormat="1">
      <c r="A112" s="8" t="s">
        <v>275</v>
      </c>
      <c r="B112" s="12" t="s">
        <v>276</v>
      </c>
      <c r="C112" s="8" t="s">
        <v>277</v>
      </c>
      <c r="D112" s="11" t="s">
        <v>278</v>
      </c>
      <c r="E112" s="8" t="s">
        <v>279</v>
      </c>
      <c r="F112" s="8" t="s">
        <v>280</v>
      </c>
      <c r="I112" s="6"/>
      <c r="J112" s="8" t="s">
        <v>281</v>
      </c>
      <c r="K112" s="7" t="s">
        <v>282</v>
      </c>
      <c r="L112" s="5" t="s">
        <v>283</v>
      </c>
    </row>
    <row r="113" spans="1:12" s="8" customFormat="1">
      <c r="A113" s="8" t="s">
        <v>275</v>
      </c>
      <c r="B113" s="12" t="s">
        <v>276</v>
      </c>
      <c r="C113" s="8" t="s">
        <v>284</v>
      </c>
      <c r="D113" s="11" t="s">
        <v>278</v>
      </c>
      <c r="E113" s="8" t="s">
        <v>285</v>
      </c>
      <c r="F113" s="8" t="s">
        <v>286</v>
      </c>
      <c r="I113" s="6"/>
      <c r="J113" s="8" t="s">
        <v>281</v>
      </c>
      <c r="K113" s="7" t="s">
        <v>282</v>
      </c>
      <c r="L113" s="5"/>
    </row>
    <row r="114" spans="1:12" s="8" customFormat="1">
      <c r="A114" s="8" t="s">
        <v>275</v>
      </c>
      <c r="B114" s="12" t="s">
        <v>287</v>
      </c>
      <c r="C114" s="8" t="s">
        <v>288</v>
      </c>
      <c r="D114" s="11" t="s">
        <v>278</v>
      </c>
      <c r="E114" s="8" t="s">
        <v>117</v>
      </c>
      <c r="F114" s="11" t="s">
        <v>289</v>
      </c>
      <c r="I114" s="6"/>
      <c r="J114" s="8" t="s">
        <v>290</v>
      </c>
      <c r="K114" s="7" t="s">
        <v>291</v>
      </c>
      <c r="L114" s="5" t="s">
        <v>292</v>
      </c>
    </row>
    <row r="115" spans="1:12" s="8" customFormat="1">
      <c r="A115" s="8" t="s">
        <v>275</v>
      </c>
      <c r="B115" s="12" t="s">
        <v>287</v>
      </c>
      <c r="C115" s="8" t="s">
        <v>293</v>
      </c>
      <c r="D115" s="11" t="s">
        <v>278</v>
      </c>
      <c r="E115" s="8" t="s">
        <v>294</v>
      </c>
      <c r="I115" s="6"/>
      <c r="J115" s="8" t="s">
        <v>290</v>
      </c>
      <c r="K115" s="10" t="s">
        <v>291</v>
      </c>
      <c r="L115" s="5" t="s">
        <v>295</v>
      </c>
    </row>
    <row r="117" spans="1:12" s="8" customFormat="1">
      <c r="A117" s="8" t="s">
        <v>296</v>
      </c>
      <c r="B117" s="12" t="s">
        <v>297</v>
      </c>
      <c r="C117" s="8" t="s">
        <v>298</v>
      </c>
      <c r="D117" s="11" t="s">
        <v>133</v>
      </c>
      <c r="E117" s="8" t="s">
        <v>299</v>
      </c>
      <c r="F117" s="11" t="s">
        <v>300</v>
      </c>
      <c r="H117" s="8" t="s">
        <v>301</v>
      </c>
      <c r="I117" s="6"/>
      <c r="J117" s="8" t="s">
        <v>302</v>
      </c>
      <c r="K117" s="7" t="s">
        <v>303</v>
      </c>
      <c r="L117" s="19" t="s">
        <v>304</v>
      </c>
    </row>
    <row r="118" spans="1:12" s="8" customFormat="1">
      <c r="A118" s="8" t="s">
        <v>296</v>
      </c>
      <c r="B118" s="12" t="s">
        <v>297</v>
      </c>
      <c r="C118" s="8" t="s">
        <v>305</v>
      </c>
      <c r="D118" s="11" t="s">
        <v>133</v>
      </c>
      <c r="E118" s="8" t="s">
        <v>145</v>
      </c>
      <c r="I118" s="6"/>
      <c r="J118" s="8" t="s">
        <v>290</v>
      </c>
      <c r="K118" s="14" t="s">
        <v>303</v>
      </c>
      <c r="L118" s="5"/>
    </row>
    <row r="119" spans="1:12" s="8" customFormat="1">
      <c r="A119" s="8" t="s">
        <v>296</v>
      </c>
      <c r="B119" s="12" t="s">
        <v>297</v>
      </c>
      <c r="C119" s="9" t="s">
        <v>306</v>
      </c>
      <c r="D119" s="11" t="s">
        <v>133</v>
      </c>
      <c r="I119" s="6"/>
      <c r="J119" s="8" t="s">
        <v>290</v>
      </c>
      <c r="K119" s="14" t="s">
        <v>303</v>
      </c>
      <c r="L119" s="5"/>
    </row>
    <row r="121" spans="1:12" s="8" customFormat="1">
      <c r="A121" s="8" t="s">
        <v>307</v>
      </c>
      <c r="B121" s="12" t="s">
        <v>308</v>
      </c>
      <c r="C121" s="8" t="s">
        <v>309</v>
      </c>
      <c r="D121" s="11" t="s">
        <v>261</v>
      </c>
      <c r="E121" s="8" t="s">
        <v>310</v>
      </c>
      <c r="H121" s="8" t="s">
        <v>311</v>
      </c>
      <c r="I121" s="6"/>
      <c r="J121" s="8" t="s">
        <v>312</v>
      </c>
      <c r="K121" s="14" t="s">
        <v>313</v>
      </c>
      <c r="L121" s="5"/>
    </row>
    <row r="122" spans="1:12" s="8" customFormat="1">
      <c r="A122" s="8" t="s">
        <v>307</v>
      </c>
      <c r="B122" s="12" t="s">
        <v>308</v>
      </c>
      <c r="C122" s="8" t="s">
        <v>314</v>
      </c>
      <c r="D122" s="11" t="s">
        <v>261</v>
      </c>
      <c r="E122" s="8" t="s">
        <v>315</v>
      </c>
      <c r="F122" s="8" t="s">
        <v>316</v>
      </c>
      <c r="I122" s="6"/>
      <c r="J122" s="8" t="s">
        <v>312</v>
      </c>
      <c r="K122" s="7" t="s">
        <v>317</v>
      </c>
      <c r="L122" s="5"/>
    </row>
    <row r="123" spans="1:12" s="8" customFormat="1">
      <c r="A123" s="8" t="s">
        <v>307</v>
      </c>
      <c r="B123" s="12" t="s">
        <v>308</v>
      </c>
      <c r="C123" s="9" t="s">
        <v>318</v>
      </c>
      <c r="D123" s="11" t="s">
        <v>261</v>
      </c>
      <c r="G123" s="8" t="s">
        <v>319</v>
      </c>
      <c r="I123" s="6"/>
      <c r="J123" s="8" t="s">
        <v>312</v>
      </c>
      <c r="K123" s="10" t="s">
        <v>317</v>
      </c>
      <c r="L123" s="5"/>
    </row>
    <row r="125" spans="1:12" s="8" customFormat="1">
      <c r="A125" s="8" t="s">
        <v>320</v>
      </c>
      <c r="B125" s="12" t="s">
        <v>321</v>
      </c>
      <c r="C125" s="8" t="s">
        <v>322</v>
      </c>
      <c r="D125" s="11" t="s">
        <v>323</v>
      </c>
      <c r="E125" s="8" t="s">
        <v>324</v>
      </c>
      <c r="F125" s="8" t="s">
        <v>325</v>
      </c>
      <c r="I125" s="6"/>
      <c r="J125" s="8" t="s">
        <v>154</v>
      </c>
      <c r="K125" s="7" t="s">
        <v>326</v>
      </c>
      <c r="L125" s="5" t="s">
        <v>327</v>
      </c>
    </row>
    <row r="126" spans="1:12" s="8" customFormat="1">
      <c r="A126" s="8" t="s">
        <v>320</v>
      </c>
      <c r="B126" s="12" t="s">
        <v>321</v>
      </c>
      <c r="C126" s="8" t="s">
        <v>284</v>
      </c>
      <c r="D126" s="11" t="s">
        <v>323</v>
      </c>
      <c r="E126" s="8" t="s">
        <v>328</v>
      </c>
      <c r="I126" s="6"/>
      <c r="J126" s="8" t="s">
        <v>154</v>
      </c>
      <c r="K126" s="7" t="s">
        <v>326</v>
      </c>
      <c r="L126" s="5"/>
    </row>
    <row r="127" spans="1:12" s="8" customFormat="1">
      <c r="A127" s="8" t="s">
        <v>320</v>
      </c>
      <c r="B127" s="12" t="s">
        <v>321</v>
      </c>
      <c r="C127" s="9" t="s">
        <v>329</v>
      </c>
      <c r="D127" s="11" t="s">
        <v>323</v>
      </c>
      <c r="G127" s="8" t="s">
        <v>330</v>
      </c>
      <c r="I127" s="6"/>
      <c r="J127" s="8" t="s">
        <v>154</v>
      </c>
      <c r="K127" s="14" t="s">
        <v>326</v>
      </c>
      <c r="L127" s="5"/>
    </row>
    <row r="128" spans="1:12" s="8" customFormat="1">
      <c r="A128" s="8" t="s">
        <v>320</v>
      </c>
      <c r="B128" s="12" t="s">
        <v>331</v>
      </c>
      <c r="C128" s="8" t="s">
        <v>332</v>
      </c>
      <c r="D128" s="11" t="s">
        <v>323</v>
      </c>
      <c r="E128" s="8" t="s">
        <v>211</v>
      </c>
      <c r="F128" s="11" t="s">
        <v>333</v>
      </c>
      <c r="H128" s="8" t="s">
        <v>334</v>
      </c>
      <c r="I128" s="6"/>
      <c r="J128" s="8" t="s">
        <v>154</v>
      </c>
      <c r="K128" s="14" t="s">
        <v>326</v>
      </c>
      <c r="L128" s="5"/>
    </row>
    <row r="129" spans="1:12" s="8" customFormat="1">
      <c r="A129" s="8" t="s">
        <v>320</v>
      </c>
      <c r="B129" s="12" t="s">
        <v>331</v>
      </c>
      <c r="C129" s="8" t="s">
        <v>293</v>
      </c>
      <c r="D129" s="11" t="s">
        <v>323</v>
      </c>
      <c r="E129" s="8" t="s">
        <v>335</v>
      </c>
      <c r="I129" s="6"/>
      <c r="J129" s="8" t="s">
        <v>154</v>
      </c>
      <c r="K129" s="14" t="s">
        <v>326</v>
      </c>
      <c r="L129" s="5" t="s">
        <v>336</v>
      </c>
    </row>
    <row r="130" spans="1:12">
      <c r="D130" s="11"/>
    </row>
    <row r="131" spans="1:12" customFormat="1">
      <c r="A131" t="s">
        <v>337</v>
      </c>
      <c r="B131" t="s">
        <v>338</v>
      </c>
      <c r="C131" t="s">
        <v>339</v>
      </c>
      <c r="D131" t="s">
        <v>340</v>
      </c>
      <c r="E131" t="s">
        <v>341</v>
      </c>
      <c r="F131" t="s">
        <v>342</v>
      </c>
      <c r="J131" t="s">
        <v>343</v>
      </c>
      <c r="K131" s="32" t="s">
        <v>344</v>
      </c>
      <c r="L131" s="33"/>
    </row>
    <row r="132" spans="1:12" s="8" customFormat="1">
      <c r="A132" s="8" t="s">
        <v>337</v>
      </c>
      <c r="B132" s="12" t="s">
        <v>338</v>
      </c>
      <c r="C132" s="9" t="s">
        <v>345</v>
      </c>
      <c r="D132" s="34" t="s">
        <v>340</v>
      </c>
      <c r="F132" s="11" t="s">
        <v>346</v>
      </c>
      <c r="I132" s="6"/>
      <c r="J132" s="8" t="s">
        <v>347</v>
      </c>
      <c r="K132" s="7" t="s">
        <v>348</v>
      </c>
      <c r="L132" s="5"/>
    </row>
    <row r="133" spans="1:12" s="8" customFormat="1">
      <c r="A133" s="8" t="s">
        <v>337</v>
      </c>
      <c r="B133" s="12" t="s">
        <v>349</v>
      </c>
      <c r="C133" s="8" t="s">
        <v>322</v>
      </c>
      <c r="D133" s="34" t="s">
        <v>340</v>
      </c>
      <c r="E133" s="8" t="s">
        <v>350</v>
      </c>
      <c r="F133" s="11" t="s">
        <v>351</v>
      </c>
      <c r="H133" s="8" t="s">
        <v>352</v>
      </c>
      <c r="I133" s="6"/>
      <c r="J133" s="8" t="s">
        <v>347</v>
      </c>
      <c r="K133" s="7" t="s">
        <v>348</v>
      </c>
      <c r="L133" s="5" t="s">
        <v>353</v>
      </c>
    </row>
    <row r="134" spans="1:12" s="8" customFormat="1">
      <c r="A134" s="8" t="s">
        <v>337</v>
      </c>
      <c r="B134" s="12" t="s">
        <v>349</v>
      </c>
      <c r="C134" s="9" t="s">
        <v>329</v>
      </c>
      <c r="D134" s="34" t="s">
        <v>340</v>
      </c>
      <c r="F134" s="8" t="s">
        <v>354</v>
      </c>
      <c r="I134" s="6"/>
      <c r="J134" s="8" t="s">
        <v>347</v>
      </c>
      <c r="K134" s="7" t="s">
        <v>348</v>
      </c>
      <c r="L134" s="5"/>
    </row>
    <row r="135" spans="1:12" s="8" customFormat="1">
      <c r="A135" s="8" t="s">
        <v>337</v>
      </c>
      <c r="B135" s="12" t="s">
        <v>355</v>
      </c>
      <c r="C135" s="8" t="s">
        <v>356</v>
      </c>
      <c r="D135" s="34" t="s">
        <v>340</v>
      </c>
      <c r="E135" s="11" t="s">
        <v>357</v>
      </c>
      <c r="I135" s="6"/>
      <c r="J135" s="8" t="s">
        <v>347</v>
      </c>
      <c r="K135" s="7" t="s">
        <v>358</v>
      </c>
      <c r="L135" s="5" t="s">
        <v>359</v>
      </c>
    </row>
    <row r="137" spans="1:12" s="8" customFormat="1">
      <c r="A137" s="8" t="s">
        <v>12</v>
      </c>
      <c r="B137" s="2" t="s">
        <v>360</v>
      </c>
      <c r="C137" s="6" t="s">
        <v>361</v>
      </c>
      <c r="D137" s="1" t="s">
        <v>15</v>
      </c>
      <c r="E137" s="8" t="s">
        <v>32</v>
      </c>
      <c r="I137" s="6"/>
      <c r="J137" s="8" t="s">
        <v>23</v>
      </c>
      <c r="K137" s="10" t="s">
        <v>24</v>
      </c>
      <c r="L137" s="5"/>
    </row>
    <row r="138" spans="1:12">
      <c r="A138" s="1" t="s">
        <v>12</v>
      </c>
      <c r="B138" s="2" t="s">
        <v>360</v>
      </c>
      <c r="C138" s="1" t="s">
        <v>19</v>
      </c>
      <c r="D138" s="1" t="s">
        <v>15</v>
      </c>
      <c r="E138" s="1" t="s">
        <v>20</v>
      </c>
      <c r="J138" s="1" t="s">
        <v>17</v>
      </c>
      <c r="K138" s="4" t="s">
        <v>18</v>
      </c>
    </row>
    <row r="139" spans="1:12">
      <c r="A139" s="1" t="s">
        <v>12</v>
      </c>
      <c r="B139" s="2" t="s">
        <v>360</v>
      </c>
      <c r="C139" s="1" t="s">
        <v>21</v>
      </c>
      <c r="D139" s="1" t="s">
        <v>15</v>
      </c>
      <c r="H139" s="1" t="s">
        <v>362</v>
      </c>
      <c r="J139" s="1" t="s">
        <v>23</v>
      </c>
      <c r="K139" s="7" t="s">
        <v>24</v>
      </c>
    </row>
    <row r="140" spans="1:12">
      <c r="A140" s="1" t="s">
        <v>12</v>
      </c>
      <c r="B140" s="2" t="s">
        <v>360</v>
      </c>
      <c r="C140" s="1" t="s">
        <v>25</v>
      </c>
      <c r="D140" s="1" t="s">
        <v>15</v>
      </c>
      <c r="F140" s="1" t="s">
        <v>363</v>
      </c>
      <c r="J140" s="8" t="s">
        <v>27</v>
      </c>
      <c r="K140" s="7" t="s">
        <v>28</v>
      </c>
    </row>
    <row r="141" spans="1:12">
      <c r="A141" s="1" t="s">
        <v>12</v>
      </c>
      <c r="B141" s="2" t="s">
        <v>360</v>
      </c>
      <c r="C141" s="9" t="s">
        <v>364</v>
      </c>
      <c r="D141" s="1" t="s">
        <v>15</v>
      </c>
      <c r="G141" s="1" t="s">
        <v>16</v>
      </c>
      <c r="J141" s="1" t="s">
        <v>17</v>
      </c>
      <c r="K141" s="7" t="s">
        <v>18</v>
      </c>
    </row>
    <row r="142" spans="1:12" s="8" customFormat="1">
      <c r="A142" s="8" t="s">
        <v>12</v>
      </c>
      <c r="B142" s="2" t="s">
        <v>360</v>
      </c>
      <c r="C142" s="9" t="s">
        <v>365</v>
      </c>
      <c r="D142" s="1" t="s">
        <v>15</v>
      </c>
      <c r="G142" s="8" t="s">
        <v>30</v>
      </c>
      <c r="I142" s="6"/>
      <c r="J142" s="8" t="s">
        <v>23</v>
      </c>
      <c r="K142" s="10" t="s">
        <v>24</v>
      </c>
      <c r="L142" s="5"/>
    </row>
    <row r="143" spans="1:12" s="8" customFormat="1">
      <c r="A143" s="8" t="s">
        <v>12</v>
      </c>
      <c r="B143" s="2" t="s">
        <v>360</v>
      </c>
      <c r="C143" s="9" t="s">
        <v>366</v>
      </c>
      <c r="D143" s="1" t="s">
        <v>15</v>
      </c>
      <c r="G143" s="8" t="s">
        <v>32</v>
      </c>
      <c r="I143" s="6"/>
      <c r="J143" s="8" t="s">
        <v>23</v>
      </c>
      <c r="K143" s="10" t="s">
        <v>24</v>
      </c>
      <c r="L143" s="5"/>
    </row>
    <row r="144" spans="1:12">
      <c r="A144" s="1" t="s">
        <v>12</v>
      </c>
      <c r="B144" s="2" t="s">
        <v>360</v>
      </c>
      <c r="C144" s="9" t="s">
        <v>34</v>
      </c>
      <c r="D144" s="1" t="s">
        <v>15</v>
      </c>
      <c r="G144" s="1" t="s">
        <v>35</v>
      </c>
      <c r="J144" s="8" t="s">
        <v>36</v>
      </c>
      <c r="K144" s="4" t="s">
        <v>37</v>
      </c>
    </row>
    <row r="145" spans="1:12">
      <c r="A145" s="1" t="s">
        <v>12</v>
      </c>
      <c r="B145" s="2" t="s">
        <v>360</v>
      </c>
      <c r="C145" s="9" t="s">
        <v>38</v>
      </c>
      <c r="D145" s="1" t="s">
        <v>15</v>
      </c>
      <c r="G145" s="1" t="s">
        <v>39</v>
      </c>
      <c r="J145" s="8" t="s">
        <v>36</v>
      </c>
      <c r="K145" s="7" t="s">
        <v>37</v>
      </c>
    </row>
    <row r="146" spans="1:12">
      <c r="A146" s="1" t="s">
        <v>12</v>
      </c>
      <c r="B146" s="2" t="s">
        <v>360</v>
      </c>
      <c r="C146" s="9" t="s">
        <v>40</v>
      </c>
      <c r="D146" s="1" t="s">
        <v>15</v>
      </c>
      <c r="G146" s="1" t="s">
        <v>41</v>
      </c>
      <c r="J146" s="8" t="s">
        <v>36</v>
      </c>
      <c r="K146" s="7" t="s">
        <v>37</v>
      </c>
    </row>
    <row r="147" spans="1:12">
      <c r="A147" s="1" t="s">
        <v>12</v>
      </c>
      <c r="B147" s="2" t="s">
        <v>360</v>
      </c>
      <c r="C147" s="9" t="s">
        <v>42</v>
      </c>
      <c r="D147" s="1" t="s">
        <v>15</v>
      </c>
      <c r="G147" s="1" t="s">
        <v>43</v>
      </c>
      <c r="J147" s="8" t="s">
        <v>36</v>
      </c>
      <c r="K147" s="7" t="s">
        <v>37</v>
      </c>
    </row>
    <row r="148" spans="1:12" s="8" customFormat="1">
      <c r="A148" s="11" t="s">
        <v>44</v>
      </c>
      <c r="B148" s="12" t="s">
        <v>367</v>
      </c>
      <c r="C148" s="3" t="s">
        <v>361</v>
      </c>
      <c r="D148" s="1" t="s">
        <v>15</v>
      </c>
      <c r="E148" s="8" t="s">
        <v>60</v>
      </c>
      <c r="I148" s="6"/>
      <c r="J148" s="11" t="s">
        <v>50</v>
      </c>
      <c r="K148" s="10" t="s">
        <v>51</v>
      </c>
      <c r="L148" s="5"/>
    </row>
    <row r="149" spans="1:12" s="8" customFormat="1">
      <c r="A149" s="11" t="s">
        <v>44</v>
      </c>
      <c r="B149" s="12" t="s">
        <v>367</v>
      </c>
      <c r="C149" s="3" t="s">
        <v>25</v>
      </c>
      <c r="D149" s="1" t="s">
        <v>15</v>
      </c>
      <c r="E149" s="8" t="s">
        <v>52</v>
      </c>
      <c r="I149" s="6"/>
      <c r="J149" s="11" t="s">
        <v>50</v>
      </c>
      <c r="K149" s="10" t="s">
        <v>51</v>
      </c>
      <c r="L149" s="5"/>
    </row>
    <row r="150" spans="1:12" s="8" customFormat="1">
      <c r="A150" s="11" t="s">
        <v>44</v>
      </c>
      <c r="B150" s="12" t="s">
        <v>367</v>
      </c>
      <c r="C150" s="13" t="s">
        <v>235</v>
      </c>
      <c r="D150" s="1" t="s">
        <v>15</v>
      </c>
      <c r="G150" s="8" t="s">
        <v>236</v>
      </c>
      <c r="I150" s="6"/>
      <c r="J150" s="11" t="s">
        <v>50</v>
      </c>
      <c r="K150" s="10" t="s">
        <v>51</v>
      </c>
      <c r="L150" s="5"/>
    </row>
    <row r="151" spans="1:12" s="8" customFormat="1">
      <c r="A151" s="11" t="s">
        <v>44</v>
      </c>
      <c r="B151" s="12" t="s">
        <v>367</v>
      </c>
      <c r="C151" s="9" t="s">
        <v>53</v>
      </c>
      <c r="D151" s="1" t="s">
        <v>15</v>
      </c>
      <c r="G151" s="8" t="s">
        <v>54</v>
      </c>
      <c r="I151" s="6"/>
      <c r="J151" s="11" t="s">
        <v>50</v>
      </c>
      <c r="K151" s="10" t="s">
        <v>51</v>
      </c>
      <c r="L151" s="5"/>
    </row>
    <row r="152" spans="1:12" s="8" customFormat="1">
      <c r="A152" s="11" t="s">
        <v>44</v>
      </c>
      <c r="B152" s="12" t="s">
        <v>367</v>
      </c>
      <c r="C152" s="13" t="s">
        <v>55</v>
      </c>
      <c r="D152" s="1" t="s">
        <v>15</v>
      </c>
      <c r="G152" s="8" t="s">
        <v>233</v>
      </c>
      <c r="I152" s="6"/>
      <c r="J152" s="11" t="s">
        <v>50</v>
      </c>
      <c r="K152" s="14" t="s">
        <v>51</v>
      </c>
      <c r="L152" s="5"/>
    </row>
    <row r="153" spans="1:12" s="8" customFormat="1">
      <c r="A153" s="11" t="s">
        <v>44</v>
      </c>
      <c r="B153" s="12" t="s">
        <v>367</v>
      </c>
      <c r="C153" s="13" t="s">
        <v>42</v>
      </c>
      <c r="D153" s="1" t="s">
        <v>15</v>
      </c>
      <c r="G153" s="8" t="s">
        <v>238</v>
      </c>
      <c r="I153" s="6"/>
      <c r="J153" s="8" t="s">
        <v>58</v>
      </c>
      <c r="K153" s="14" t="s">
        <v>59</v>
      </c>
      <c r="L153" s="5"/>
    </row>
    <row r="154" spans="1:12" s="8" customFormat="1">
      <c r="A154" s="11" t="s">
        <v>44</v>
      </c>
      <c r="B154" s="12" t="s">
        <v>367</v>
      </c>
      <c r="C154" s="3"/>
      <c r="F154" s="8" t="s">
        <v>61</v>
      </c>
      <c r="I154" s="6"/>
      <c r="J154" s="11" t="s">
        <v>50</v>
      </c>
      <c r="K154" s="10" t="s">
        <v>62</v>
      </c>
      <c r="L154" s="5"/>
    </row>
    <row r="156" spans="1:12" s="8" customFormat="1">
      <c r="A156" s="8" t="s">
        <v>368</v>
      </c>
      <c r="B156" s="12" t="s">
        <v>369</v>
      </c>
      <c r="C156" s="8" t="s">
        <v>370</v>
      </c>
      <c r="D156" s="11" t="s">
        <v>371</v>
      </c>
      <c r="E156" s="11" t="s">
        <v>335</v>
      </c>
      <c r="F156" s="11" t="s">
        <v>372</v>
      </c>
      <c r="I156" s="6"/>
      <c r="J156" s="8" t="s">
        <v>373</v>
      </c>
      <c r="K156" s="7" t="s">
        <v>374</v>
      </c>
      <c r="L156" s="19"/>
    </row>
    <row r="157" spans="1:12" s="8" customFormat="1">
      <c r="A157" s="8" t="s">
        <v>368</v>
      </c>
      <c r="B157" s="12" t="s">
        <v>369</v>
      </c>
      <c r="C157" s="8" t="s">
        <v>370</v>
      </c>
      <c r="D157" s="11" t="s">
        <v>371</v>
      </c>
      <c r="E157" s="11" t="s">
        <v>328</v>
      </c>
      <c r="F157" s="11"/>
      <c r="I157" s="6"/>
      <c r="J157" s="8" t="s">
        <v>373</v>
      </c>
      <c r="K157" s="7" t="s">
        <v>374</v>
      </c>
      <c r="L157" s="19"/>
    </row>
    <row r="158" spans="1:12" s="8" customFormat="1">
      <c r="A158" s="8" t="s">
        <v>368</v>
      </c>
      <c r="B158" s="12" t="s">
        <v>375</v>
      </c>
      <c r="C158" s="8" t="s">
        <v>339</v>
      </c>
      <c r="D158" s="11" t="s">
        <v>371</v>
      </c>
      <c r="E158" s="8" t="s">
        <v>70</v>
      </c>
      <c r="F158" s="11" t="s">
        <v>376</v>
      </c>
      <c r="H158" s="8" t="s">
        <v>377</v>
      </c>
      <c r="I158" s="6"/>
      <c r="J158" s="8" t="s">
        <v>378</v>
      </c>
      <c r="K158" s="7" t="s">
        <v>379</v>
      </c>
      <c r="L158" s="19" t="s">
        <v>380</v>
      </c>
    </row>
    <row r="159" spans="1:12" s="8" customFormat="1">
      <c r="A159" s="8" t="s">
        <v>368</v>
      </c>
      <c r="B159" s="12" t="s">
        <v>375</v>
      </c>
      <c r="C159" s="9" t="s">
        <v>381</v>
      </c>
      <c r="D159" s="11" t="s">
        <v>371</v>
      </c>
      <c r="G159" s="8" t="s">
        <v>382</v>
      </c>
      <c r="I159" s="6"/>
      <c r="J159" s="8" t="s">
        <v>383</v>
      </c>
      <c r="K159" s="7" t="s">
        <v>384</v>
      </c>
      <c r="L159" s="5"/>
    </row>
    <row r="161" spans="1:12" s="8" customFormat="1">
      <c r="A161" s="8" t="s">
        <v>385</v>
      </c>
      <c r="B161" s="12" t="s">
        <v>386</v>
      </c>
      <c r="C161" s="8" t="s">
        <v>387</v>
      </c>
      <c r="D161" s="1" t="s">
        <v>15</v>
      </c>
      <c r="E161" s="8">
        <v>0.97</v>
      </c>
      <c r="F161" s="8" t="s">
        <v>388</v>
      </c>
      <c r="I161" s="6"/>
      <c r="J161" s="8" t="s">
        <v>389</v>
      </c>
      <c r="K161" s="7" t="s">
        <v>390</v>
      </c>
      <c r="L161" s="5"/>
    </row>
    <row r="162" spans="1:12" s="8" customFormat="1">
      <c r="A162" s="8" t="s">
        <v>385</v>
      </c>
      <c r="B162" s="12" t="s">
        <v>386</v>
      </c>
      <c r="C162" s="8" t="s">
        <v>391</v>
      </c>
      <c r="D162" s="1" t="s">
        <v>15</v>
      </c>
      <c r="E162" s="8">
        <v>3.4000000000000002E-2</v>
      </c>
      <c r="I162" s="6"/>
      <c r="J162" s="8" t="s">
        <v>389</v>
      </c>
      <c r="K162" s="14" t="s">
        <v>390</v>
      </c>
      <c r="L162" s="5"/>
    </row>
    <row r="163" spans="1:12" s="8" customFormat="1">
      <c r="A163" s="8" t="s">
        <v>385</v>
      </c>
      <c r="B163" s="12" t="s">
        <v>386</v>
      </c>
      <c r="C163" s="9" t="s">
        <v>392</v>
      </c>
      <c r="D163" s="1" t="s">
        <v>15</v>
      </c>
      <c r="G163" s="8" t="s">
        <v>393</v>
      </c>
      <c r="I163" s="6"/>
      <c r="J163" s="8" t="s">
        <v>389</v>
      </c>
      <c r="K163" s="14" t="s">
        <v>394</v>
      </c>
      <c r="L163" s="5"/>
    </row>
    <row r="164" spans="1:12" s="8" customFormat="1">
      <c r="A164" s="8" t="s">
        <v>385</v>
      </c>
      <c r="B164" s="12" t="s">
        <v>386</v>
      </c>
      <c r="C164" s="9" t="s">
        <v>395</v>
      </c>
      <c r="D164" s="1" t="s">
        <v>15</v>
      </c>
      <c r="G164" s="8" t="s">
        <v>396</v>
      </c>
      <c r="I164" s="6"/>
      <c r="J164" s="8" t="s">
        <v>389</v>
      </c>
      <c r="K164" s="7" t="s">
        <v>394</v>
      </c>
      <c r="L164" s="5"/>
    </row>
    <row r="165" spans="1:12" s="8" customFormat="1">
      <c r="A165" s="8" t="s">
        <v>385</v>
      </c>
      <c r="B165" s="12" t="s">
        <v>386</v>
      </c>
      <c r="C165" s="9" t="s">
        <v>42</v>
      </c>
      <c r="D165" s="1" t="s">
        <v>15</v>
      </c>
      <c r="G165" s="8" t="s">
        <v>56</v>
      </c>
      <c r="I165" s="6"/>
      <c r="J165" s="8" t="s">
        <v>397</v>
      </c>
      <c r="K165" s="14" t="s">
        <v>398</v>
      </c>
      <c r="L165" s="5"/>
    </row>
    <row r="166" spans="1:12" s="8" customFormat="1">
      <c r="A166" s="8" t="s">
        <v>385</v>
      </c>
      <c r="B166" s="12" t="s">
        <v>386</v>
      </c>
      <c r="C166" s="9" t="s">
        <v>399</v>
      </c>
      <c r="D166" s="1" t="s">
        <v>15</v>
      </c>
      <c r="G166" s="8" t="s">
        <v>400</v>
      </c>
      <c r="I166" s="6"/>
      <c r="J166" s="8" t="s">
        <v>401</v>
      </c>
      <c r="K166" s="14" t="s">
        <v>390</v>
      </c>
      <c r="L166" s="5"/>
    </row>
    <row r="167" spans="1:12">
      <c r="E167"/>
    </row>
    <row r="168" spans="1:12" s="8" customFormat="1">
      <c r="A168" s="8" t="s">
        <v>402</v>
      </c>
      <c r="B168" s="12" t="s">
        <v>403</v>
      </c>
      <c r="C168" s="6" t="s">
        <v>404</v>
      </c>
      <c r="D168" s="8" t="s">
        <v>15</v>
      </c>
      <c r="E168" t="s">
        <v>405</v>
      </c>
      <c r="F168" s="16" t="s">
        <v>406</v>
      </c>
      <c r="I168" s="6"/>
      <c r="J168" s="8" t="s">
        <v>407</v>
      </c>
      <c r="K168" s="14" t="s">
        <v>408</v>
      </c>
      <c r="L168" s="5"/>
    </row>
    <row r="169" spans="1:12" s="8" customFormat="1">
      <c r="A169" s="8" t="s">
        <v>402</v>
      </c>
      <c r="B169" s="12" t="s">
        <v>403</v>
      </c>
      <c r="C169" s="6" t="s">
        <v>404</v>
      </c>
      <c r="D169" s="8" t="s">
        <v>15</v>
      </c>
      <c r="E169" t="s">
        <v>409</v>
      </c>
      <c r="F169" s="16" t="s">
        <v>406</v>
      </c>
      <c r="I169" s="6"/>
      <c r="J169" s="8" t="s">
        <v>410</v>
      </c>
      <c r="K169" s="18" t="s">
        <v>411</v>
      </c>
      <c r="L169" s="5"/>
    </row>
    <row r="170" spans="1:12" s="8" customFormat="1">
      <c r="A170" s="8" t="s">
        <v>402</v>
      </c>
      <c r="B170" s="12" t="s">
        <v>403</v>
      </c>
      <c r="C170" s="8" t="s">
        <v>412</v>
      </c>
      <c r="D170" s="8" t="s">
        <v>15</v>
      </c>
      <c r="E170" s="8" t="s">
        <v>413</v>
      </c>
      <c r="F170" s="8">
        <f>170*3600</f>
        <v>612000</v>
      </c>
      <c r="I170" s="6"/>
      <c r="J170" s="8" t="s">
        <v>407</v>
      </c>
      <c r="K170" s="14" t="s">
        <v>408</v>
      </c>
      <c r="L170" s="5"/>
    </row>
    <row r="171" spans="1:12" s="8" customFormat="1">
      <c r="A171" s="8" t="s">
        <v>402</v>
      </c>
      <c r="B171" s="12" t="s">
        <v>403</v>
      </c>
      <c r="C171" s="9" t="s">
        <v>414</v>
      </c>
      <c r="D171" s="8" t="s">
        <v>15</v>
      </c>
      <c r="F171"/>
      <c r="G171" t="s">
        <v>134</v>
      </c>
      <c r="H171"/>
      <c r="I171" s="6"/>
      <c r="J171" s="8" t="s">
        <v>407</v>
      </c>
      <c r="K171" s="14" t="s">
        <v>408</v>
      </c>
      <c r="L171" s="5"/>
    </row>
    <row r="172" spans="1:12" s="8" customFormat="1">
      <c r="A172" s="8" t="s">
        <v>402</v>
      </c>
      <c r="B172" s="12" t="s">
        <v>403</v>
      </c>
      <c r="C172" s="9" t="s">
        <v>415</v>
      </c>
      <c r="D172" s="8" t="s">
        <v>15</v>
      </c>
      <c r="F172"/>
      <c r="G172" t="s">
        <v>416</v>
      </c>
      <c r="H172"/>
      <c r="I172" s="6"/>
      <c r="J172" s="8" t="s">
        <v>407</v>
      </c>
      <c r="K172" s="14" t="s">
        <v>408</v>
      </c>
      <c r="L172" s="5"/>
    </row>
    <row r="173" spans="1:12" s="8" customFormat="1">
      <c r="A173" s="8" t="s">
        <v>402</v>
      </c>
      <c r="B173" s="12" t="s">
        <v>417</v>
      </c>
      <c r="C173" s="6" t="s">
        <v>418</v>
      </c>
      <c r="D173" s="8" t="s">
        <v>15</v>
      </c>
      <c r="E173" s="8" t="s">
        <v>416</v>
      </c>
      <c r="F173" s="11" t="s">
        <v>419</v>
      </c>
      <c r="I173" s="6"/>
      <c r="J173" s="8" t="s">
        <v>407</v>
      </c>
      <c r="K173" s="14" t="s">
        <v>408</v>
      </c>
      <c r="L173" s="5"/>
    </row>
    <row r="174" spans="1:12" s="8" customFormat="1">
      <c r="A174" s="8" t="s">
        <v>402</v>
      </c>
      <c r="B174" s="12" t="s">
        <v>417</v>
      </c>
      <c r="C174" s="8" t="s">
        <v>293</v>
      </c>
      <c r="D174" s="8" t="s">
        <v>15</v>
      </c>
      <c r="E174" s="8" t="s">
        <v>420</v>
      </c>
      <c r="F174" s="8">
        <f>170*3600</f>
        <v>612000</v>
      </c>
      <c r="I174" s="6"/>
      <c r="J174" s="8" t="s">
        <v>421</v>
      </c>
      <c r="K174" s="14" t="s">
        <v>408</v>
      </c>
      <c r="L174" s="5"/>
    </row>
    <row r="175" spans="1:12" s="8" customFormat="1">
      <c r="A175" s="8" t="s">
        <v>402</v>
      </c>
      <c r="B175" s="12" t="s">
        <v>417</v>
      </c>
      <c r="C175" s="9" t="s">
        <v>422</v>
      </c>
      <c r="D175" s="8" t="s">
        <v>15</v>
      </c>
      <c r="G175" s="8" t="s">
        <v>423</v>
      </c>
      <c r="H175" s="8" t="s">
        <v>424</v>
      </c>
      <c r="I175" s="6"/>
      <c r="J175" s="8" t="s">
        <v>407</v>
      </c>
      <c r="K175" s="7" t="s">
        <v>408</v>
      </c>
      <c r="L175" s="5" t="s">
        <v>425</v>
      </c>
    </row>
    <row r="176" spans="1:12" s="8" customFormat="1">
      <c r="A176" s="8" t="s">
        <v>402</v>
      </c>
      <c r="B176" s="12" t="s">
        <v>417</v>
      </c>
      <c r="C176" s="9" t="s">
        <v>426</v>
      </c>
      <c r="D176" s="8" t="s">
        <v>15</v>
      </c>
      <c r="F176"/>
      <c r="G176" t="s">
        <v>409</v>
      </c>
      <c r="I176" s="6"/>
      <c r="J176" s="8" t="s">
        <v>410</v>
      </c>
      <c r="K176" s="18" t="s">
        <v>411</v>
      </c>
      <c r="L176" s="5"/>
    </row>
    <row r="177" spans="1:12" s="8" customFormat="1">
      <c r="A177" s="8" t="s">
        <v>402</v>
      </c>
      <c r="B177" s="12" t="s">
        <v>427</v>
      </c>
      <c r="D177" s="8" t="s">
        <v>15</v>
      </c>
      <c r="I177" s="6"/>
      <c r="J177" s="11" t="s">
        <v>428</v>
      </c>
      <c r="K177" s="7" t="s">
        <v>429</v>
      </c>
      <c r="L177" s="5"/>
    </row>
    <row r="179" spans="1:12" s="8" customFormat="1">
      <c r="A179" s="8" t="s">
        <v>184</v>
      </c>
      <c r="B179" s="12" t="s">
        <v>430</v>
      </c>
      <c r="C179" s="11" t="s">
        <v>193</v>
      </c>
      <c r="D179" s="11" t="s">
        <v>187</v>
      </c>
      <c r="F179" s="16" t="s">
        <v>431</v>
      </c>
      <c r="I179" s="6"/>
      <c r="J179" s="8" t="s">
        <v>432</v>
      </c>
      <c r="K179" s="7" t="s">
        <v>433</v>
      </c>
      <c r="L179" s="5"/>
    </row>
    <row r="180" spans="1:12" s="8" customFormat="1">
      <c r="A180" s="8" t="s">
        <v>184</v>
      </c>
      <c r="B180" s="12" t="s">
        <v>430</v>
      </c>
      <c r="C180" s="8" t="s">
        <v>193</v>
      </c>
      <c r="D180" s="11" t="s">
        <v>187</v>
      </c>
      <c r="E180" s="8" t="s">
        <v>194</v>
      </c>
      <c r="G180" s="8">
        <f>6*3600</f>
        <v>21600</v>
      </c>
      <c r="I180" s="6"/>
      <c r="J180" s="8" t="s">
        <v>434</v>
      </c>
      <c r="K180" s="7" t="s">
        <v>435</v>
      </c>
      <c r="L180" s="5"/>
    </row>
    <row r="181" spans="1:12" s="8" customFormat="1">
      <c r="A181" s="8" t="s">
        <v>184</v>
      </c>
      <c r="B181" s="12" t="s">
        <v>430</v>
      </c>
      <c r="C181" s="8" t="s">
        <v>436</v>
      </c>
      <c r="D181" s="11" t="s">
        <v>187</v>
      </c>
      <c r="F181" s="8" t="s">
        <v>437</v>
      </c>
      <c r="I181" s="6"/>
      <c r="J181" s="8" t="s">
        <v>438</v>
      </c>
      <c r="K181" s="7" t="s">
        <v>439</v>
      </c>
      <c r="L181" s="5"/>
    </row>
    <row r="182" spans="1:12" s="8" customFormat="1">
      <c r="A182" s="8" t="s">
        <v>184</v>
      </c>
      <c r="B182" s="12" t="s">
        <v>430</v>
      </c>
      <c r="C182" s="13" t="s">
        <v>440</v>
      </c>
      <c r="D182" s="11" t="s">
        <v>187</v>
      </c>
      <c r="G182" s="11" t="s">
        <v>157</v>
      </c>
      <c r="I182" s="6"/>
      <c r="J182" s="8" t="s">
        <v>190</v>
      </c>
      <c r="K182" s="7" t="s">
        <v>191</v>
      </c>
      <c r="L182" s="5"/>
    </row>
    <row r="183" spans="1:12" s="8" customFormat="1">
      <c r="A183" s="8" t="s">
        <v>184</v>
      </c>
      <c r="B183" s="12" t="s">
        <v>441</v>
      </c>
      <c r="C183" s="8" t="s">
        <v>210</v>
      </c>
      <c r="D183" s="11" t="s">
        <v>187</v>
      </c>
      <c r="E183" s="16" t="s">
        <v>442</v>
      </c>
      <c r="I183" s="6"/>
      <c r="J183" s="11" t="s">
        <v>195</v>
      </c>
      <c r="K183" s="7" t="s">
        <v>443</v>
      </c>
      <c r="L183" s="5"/>
    </row>
    <row r="184" spans="1:12" s="8" customFormat="1">
      <c r="A184" s="8" t="s">
        <v>184</v>
      </c>
      <c r="B184" s="12" t="s">
        <v>441</v>
      </c>
      <c r="C184" s="13" t="s">
        <v>444</v>
      </c>
      <c r="D184" s="11" t="s">
        <v>187</v>
      </c>
      <c r="F184" s="11"/>
      <c r="G184" s="8" t="s">
        <v>199</v>
      </c>
      <c r="I184" s="6"/>
      <c r="J184" s="8" t="s">
        <v>201</v>
      </c>
      <c r="K184" s="7" t="s">
        <v>202</v>
      </c>
      <c r="L184" s="5" t="s">
        <v>203</v>
      </c>
    </row>
    <row r="185" spans="1:12" s="8" customFormat="1">
      <c r="B185" s="12"/>
      <c r="C185" s="6"/>
      <c r="D185" s="11"/>
      <c r="K185" s="14"/>
      <c r="L185" s="35"/>
    </row>
    <row r="186" spans="1:12" s="11" customFormat="1">
      <c r="A186" s="11" t="s">
        <v>445</v>
      </c>
      <c r="B186" s="17" t="s">
        <v>446</v>
      </c>
      <c r="C186" s="11" t="s">
        <v>447</v>
      </c>
      <c r="D186" s="11" t="s">
        <v>448</v>
      </c>
      <c r="E186" s="11" t="s">
        <v>449</v>
      </c>
      <c r="F186" s="11" t="s">
        <v>450</v>
      </c>
      <c r="I186" s="3"/>
      <c r="J186" s="11" t="s">
        <v>451</v>
      </c>
      <c r="K186" s="18" t="s">
        <v>452</v>
      </c>
      <c r="L186" s="19"/>
    </row>
    <row r="187" spans="1:12" s="11" customFormat="1">
      <c r="A187" s="11" t="s">
        <v>445</v>
      </c>
      <c r="B187" s="17" t="s">
        <v>446</v>
      </c>
      <c r="C187" s="11" t="s">
        <v>447</v>
      </c>
      <c r="D187" s="11" t="s">
        <v>448</v>
      </c>
      <c r="E187" s="11" t="s">
        <v>453</v>
      </c>
      <c r="I187" s="3"/>
      <c r="J187" s="11" t="s">
        <v>451</v>
      </c>
      <c r="K187" s="18" t="s">
        <v>452</v>
      </c>
      <c r="L187" s="19"/>
    </row>
    <row r="188" spans="1:12" s="11" customFormat="1">
      <c r="A188" s="11" t="s">
        <v>445</v>
      </c>
      <c r="B188" s="17" t="s">
        <v>446</v>
      </c>
      <c r="C188" s="11" t="s">
        <v>454</v>
      </c>
      <c r="D188" s="11" t="s">
        <v>448</v>
      </c>
      <c r="E188" s="11" t="s">
        <v>455</v>
      </c>
      <c r="I188" s="3"/>
      <c r="J188" s="11" t="s">
        <v>451</v>
      </c>
      <c r="K188" s="18" t="s">
        <v>452</v>
      </c>
      <c r="L188" s="19"/>
    </row>
    <row r="190" spans="1:12" s="8" customFormat="1">
      <c r="A190" s="8" t="s">
        <v>337</v>
      </c>
      <c r="B190" s="12" t="s">
        <v>456</v>
      </c>
      <c r="C190" s="6" t="s">
        <v>69</v>
      </c>
      <c r="D190" s="11" t="s">
        <v>133</v>
      </c>
      <c r="E190" s="11" t="s">
        <v>346</v>
      </c>
      <c r="F190" s="11" t="s">
        <v>457</v>
      </c>
      <c r="I190" s="6"/>
      <c r="J190" s="8" t="s">
        <v>347</v>
      </c>
      <c r="K190" s="7" t="s">
        <v>348</v>
      </c>
      <c r="L190" s="5"/>
    </row>
    <row r="191" spans="1:12" s="8" customFormat="1">
      <c r="A191" s="8" t="s">
        <v>337</v>
      </c>
      <c r="B191" s="12" t="s">
        <v>456</v>
      </c>
      <c r="C191" s="9" t="s">
        <v>458</v>
      </c>
      <c r="D191" s="11" t="s">
        <v>133</v>
      </c>
      <c r="G191" s="8" t="s">
        <v>341</v>
      </c>
      <c r="I191" s="6"/>
      <c r="J191" s="8" t="s">
        <v>343</v>
      </c>
      <c r="K191" s="14" t="s">
        <v>344</v>
      </c>
      <c r="L191" s="5"/>
    </row>
    <row r="192" spans="1:12" s="8" customFormat="1">
      <c r="A192" s="8" t="s">
        <v>337</v>
      </c>
      <c r="B192" s="12" t="s">
        <v>459</v>
      </c>
      <c r="C192" s="6" t="s">
        <v>460</v>
      </c>
      <c r="D192" s="11" t="s">
        <v>133</v>
      </c>
      <c r="E192" s="8" t="s">
        <v>354</v>
      </c>
      <c r="F192" s="8" t="s">
        <v>461</v>
      </c>
      <c r="I192" s="6"/>
      <c r="J192" s="8" t="s">
        <v>347</v>
      </c>
      <c r="K192" s="7" t="s">
        <v>348</v>
      </c>
      <c r="L192" s="5"/>
    </row>
    <row r="193" spans="1:12" s="8" customFormat="1">
      <c r="A193" s="8" t="s">
        <v>337</v>
      </c>
      <c r="B193" s="12" t="s">
        <v>459</v>
      </c>
      <c r="C193" s="9" t="s">
        <v>462</v>
      </c>
      <c r="D193" s="11" t="s">
        <v>133</v>
      </c>
      <c r="F193" s="11"/>
      <c r="G193" s="8" t="s">
        <v>350</v>
      </c>
      <c r="I193" s="6"/>
      <c r="J193" s="8" t="s">
        <v>347</v>
      </c>
      <c r="K193" s="7" t="s">
        <v>348</v>
      </c>
      <c r="L193" s="5" t="s">
        <v>353</v>
      </c>
    </row>
    <row r="194" spans="1:12" s="8" customFormat="1">
      <c r="A194" s="8" t="s">
        <v>337</v>
      </c>
      <c r="B194" s="12" t="s">
        <v>463</v>
      </c>
      <c r="C194" s="8" t="s">
        <v>464</v>
      </c>
      <c r="D194" s="11" t="s">
        <v>133</v>
      </c>
      <c r="E194" s="11" t="s">
        <v>465</v>
      </c>
      <c r="H194" s="8">
        <f>0.012*74/18</f>
        <v>4.9333333333333333E-2</v>
      </c>
      <c r="I194" s="6"/>
      <c r="J194" s="8" t="s">
        <v>466</v>
      </c>
      <c r="K194" s="7" t="s">
        <v>467</v>
      </c>
      <c r="L194" s="5" t="s">
        <v>468</v>
      </c>
    </row>
    <row r="195" spans="1:12" s="8" customFormat="1">
      <c r="A195" s="8" t="s">
        <v>469</v>
      </c>
      <c r="B195" s="12" t="s">
        <v>470</v>
      </c>
      <c r="C195" s="8" t="s">
        <v>69</v>
      </c>
      <c r="D195" s="11" t="s">
        <v>187</v>
      </c>
      <c r="E195" s="11" t="s">
        <v>471</v>
      </c>
      <c r="F195" s="11" t="s">
        <v>472</v>
      </c>
      <c r="I195" s="6"/>
      <c r="J195" s="8" t="s">
        <v>473</v>
      </c>
      <c r="K195" s="7" t="s">
        <v>474</v>
      </c>
      <c r="L195" s="5"/>
    </row>
    <row r="196" spans="1:12" s="8" customFormat="1">
      <c r="A196" s="8" t="s">
        <v>469</v>
      </c>
      <c r="B196" s="12" t="s">
        <v>475</v>
      </c>
      <c r="C196" s="8" t="s">
        <v>460</v>
      </c>
      <c r="D196" s="11" t="s">
        <v>187</v>
      </c>
      <c r="E196" s="8" t="s">
        <v>319</v>
      </c>
      <c r="F196" s="11" t="s">
        <v>476</v>
      </c>
      <c r="H196" s="8" t="s">
        <v>477</v>
      </c>
      <c r="I196" s="6"/>
      <c r="J196" s="8" t="s">
        <v>478</v>
      </c>
      <c r="K196" s="7" t="s">
        <v>474</v>
      </c>
      <c r="L196" s="5"/>
    </row>
    <row r="197" spans="1:12" s="8" customFormat="1">
      <c r="A197" s="8" t="s">
        <v>131</v>
      </c>
      <c r="B197" s="17" t="s">
        <v>479</v>
      </c>
      <c r="C197" s="8" t="s">
        <v>480</v>
      </c>
      <c r="D197" s="8" t="s">
        <v>133</v>
      </c>
      <c r="E197" s="8" t="s">
        <v>481</v>
      </c>
      <c r="F197" s="11" t="s">
        <v>482</v>
      </c>
      <c r="I197" s="6"/>
      <c r="J197" s="8" t="s">
        <v>483</v>
      </c>
      <c r="K197" s="7" t="s">
        <v>137</v>
      </c>
      <c r="L197" s="5"/>
    </row>
    <row r="198" spans="1:12" customFormat="1">
      <c r="A198" t="s">
        <v>131</v>
      </c>
      <c r="B198" s="17" t="s">
        <v>479</v>
      </c>
      <c r="C198" t="s">
        <v>484</v>
      </c>
      <c r="D198" s="8" t="s">
        <v>133</v>
      </c>
      <c r="E198" t="s">
        <v>485</v>
      </c>
      <c r="I198" s="36"/>
      <c r="J198" t="s">
        <v>141</v>
      </c>
      <c r="K198" s="32" t="s">
        <v>142</v>
      </c>
      <c r="L198" s="5"/>
    </row>
    <row r="199" spans="1:12" s="8" customFormat="1">
      <c r="A199" s="8" t="s">
        <v>131</v>
      </c>
      <c r="B199" s="17" t="s">
        <v>479</v>
      </c>
      <c r="C199" s="9" t="s">
        <v>486</v>
      </c>
      <c r="D199" s="8" t="s">
        <v>133</v>
      </c>
      <c r="G199" s="8">
        <v>8.3000000000000001E-4</v>
      </c>
      <c r="I199" s="6"/>
      <c r="J199" s="8" t="s">
        <v>141</v>
      </c>
      <c r="K199" s="7" t="s">
        <v>142</v>
      </c>
      <c r="L199" s="5"/>
    </row>
    <row r="200" spans="1:12" s="11" customFormat="1">
      <c r="A200" s="11" t="s">
        <v>131</v>
      </c>
      <c r="B200" s="17" t="s">
        <v>479</v>
      </c>
      <c r="C200" s="13" t="s">
        <v>123</v>
      </c>
      <c r="D200" s="8" t="s">
        <v>133</v>
      </c>
      <c r="G200" s="11" t="s">
        <v>134</v>
      </c>
      <c r="I200" s="3"/>
      <c r="J200" s="11" t="s">
        <v>136</v>
      </c>
      <c r="K200" s="18" t="s">
        <v>137</v>
      </c>
      <c r="L200" s="19"/>
    </row>
    <row r="201" spans="1:12" customFormat="1">
      <c r="A201" t="s">
        <v>131</v>
      </c>
      <c r="B201" s="37" t="s">
        <v>487</v>
      </c>
      <c r="C201" t="s">
        <v>488</v>
      </c>
      <c r="D201" s="8" t="s">
        <v>133</v>
      </c>
      <c r="E201" t="s">
        <v>489</v>
      </c>
      <c r="F201" t="s">
        <v>140</v>
      </c>
      <c r="I201" s="36"/>
      <c r="J201" t="s">
        <v>141</v>
      </c>
      <c r="K201" s="32" t="s">
        <v>142</v>
      </c>
      <c r="L201" s="5"/>
    </row>
    <row r="202" spans="1:12" s="11" customFormat="1">
      <c r="A202" s="11" t="s">
        <v>131</v>
      </c>
      <c r="B202" s="37" t="s">
        <v>487</v>
      </c>
      <c r="C202" s="13" t="s">
        <v>139</v>
      </c>
      <c r="D202" s="8" t="s">
        <v>133</v>
      </c>
      <c r="G202" s="11" t="s">
        <v>145</v>
      </c>
      <c r="I202" s="3"/>
      <c r="J202" s="11" t="s">
        <v>141</v>
      </c>
      <c r="K202" s="18" t="s">
        <v>142</v>
      </c>
      <c r="L202" s="19"/>
    </row>
    <row r="204" spans="1:12" s="8" customFormat="1">
      <c r="A204" s="8" t="s">
        <v>402</v>
      </c>
      <c r="B204" s="12" t="s">
        <v>490</v>
      </c>
      <c r="C204" s="8" t="s">
        <v>491</v>
      </c>
      <c r="D204" s="8" t="s">
        <v>15</v>
      </c>
      <c r="E204" t="s">
        <v>134</v>
      </c>
      <c r="F204" s="16" t="s">
        <v>492</v>
      </c>
      <c r="I204" s="6"/>
      <c r="J204" s="8" t="s">
        <v>407</v>
      </c>
      <c r="K204" s="14" t="s">
        <v>408</v>
      </c>
      <c r="L204" s="5"/>
    </row>
    <row r="205" spans="1:12" s="8" customFormat="1">
      <c r="A205" s="8" t="s">
        <v>402</v>
      </c>
      <c r="B205" s="12" t="s">
        <v>490</v>
      </c>
      <c r="C205" s="8" t="s">
        <v>493</v>
      </c>
      <c r="D205" s="8" t="s">
        <v>15</v>
      </c>
      <c r="E205" t="s">
        <v>413</v>
      </c>
      <c r="I205" s="6"/>
      <c r="J205" s="8" t="s">
        <v>407</v>
      </c>
      <c r="K205" s="14" t="s">
        <v>408</v>
      </c>
      <c r="L205" s="5"/>
    </row>
    <row r="206" spans="1:12" s="8" customFormat="1">
      <c r="A206" s="8" t="s">
        <v>402</v>
      </c>
      <c r="B206" s="12" t="s">
        <v>490</v>
      </c>
      <c r="C206" s="9" t="s">
        <v>494</v>
      </c>
      <c r="D206" s="8" t="s">
        <v>15</v>
      </c>
      <c r="G206" t="s">
        <v>405</v>
      </c>
      <c r="I206" s="6"/>
      <c r="J206" s="8" t="s">
        <v>407</v>
      </c>
      <c r="K206" s="14" t="s">
        <v>408</v>
      </c>
      <c r="L206" s="5"/>
    </row>
    <row r="207" spans="1:12" s="8" customFormat="1">
      <c r="A207" s="8" t="s">
        <v>402</v>
      </c>
      <c r="B207" s="12" t="s">
        <v>490</v>
      </c>
      <c r="C207" s="9" t="s">
        <v>494</v>
      </c>
      <c r="D207" s="8" t="s">
        <v>15</v>
      </c>
      <c r="G207" t="s">
        <v>495</v>
      </c>
      <c r="I207" s="6"/>
      <c r="J207" s="8" t="s">
        <v>410</v>
      </c>
      <c r="K207" s="7" t="s">
        <v>411</v>
      </c>
      <c r="L207" s="5"/>
    </row>
    <row r="208" spans="1:12" s="8" customFormat="1">
      <c r="A208" s="8" t="s">
        <v>402</v>
      </c>
      <c r="B208" s="12" t="s">
        <v>496</v>
      </c>
      <c r="C208" s="8" t="s">
        <v>497</v>
      </c>
      <c r="D208" s="8" t="s">
        <v>15</v>
      </c>
      <c r="E208" s="8" t="s">
        <v>423</v>
      </c>
      <c r="F208" s="11" t="s">
        <v>419</v>
      </c>
      <c r="I208" s="6"/>
      <c r="J208" s="8" t="s">
        <v>407</v>
      </c>
      <c r="K208" s="7" t="s">
        <v>408</v>
      </c>
      <c r="L208" s="5"/>
    </row>
    <row r="209" spans="1:12" s="8" customFormat="1">
      <c r="A209" s="8" t="s">
        <v>402</v>
      </c>
      <c r="B209" s="12" t="s">
        <v>496</v>
      </c>
      <c r="C209" s="8" t="s">
        <v>293</v>
      </c>
      <c r="D209" s="8" t="s">
        <v>15</v>
      </c>
      <c r="E209" s="8" t="s">
        <v>420</v>
      </c>
      <c r="I209" s="6"/>
      <c r="J209" s="8" t="s">
        <v>421</v>
      </c>
      <c r="K209" s="14" t="s">
        <v>408</v>
      </c>
      <c r="L209" s="5"/>
    </row>
    <row r="210" spans="1:12" s="8" customFormat="1">
      <c r="A210" s="8" t="s">
        <v>402</v>
      </c>
      <c r="B210" s="12" t="s">
        <v>496</v>
      </c>
      <c r="C210" s="9" t="s">
        <v>418</v>
      </c>
      <c r="D210" s="8" t="s">
        <v>15</v>
      </c>
      <c r="G210" s="8" t="s">
        <v>416</v>
      </c>
      <c r="I210" s="6"/>
      <c r="J210" s="8" t="s">
        <v>407</v>
      </c>
      <c r="K210" s="14" t="s">
        <v>408</v>
      </c>
      <c r="L210" s="5"/>
    </row>
    <row r="211" spans="1:12" s="8" customFormat="1">
      <c r="A211" s="8" t="s">
        <v>402</v>
      </c>
      <c r="B211" s="12" t="s">
        <v>498</v>
      </c>
      <c r="D211" s="8" t="s">
        <v>15</v>
      </c>
      <c r="I211" s="6"/>
      <c r="J211" s="11" t="s">
        <v>428</v>
      </c>
      <c r="K211" s="7" t="s">
        <v>429</v>
      </c>
      <c r="L211" s="5"/>
    </row>
    <row r="213" spans="1:12">
      <c r="A213" s="8" t="s">
        <v>499</v>
      </c>
      <c r="B213" s="12" t="s">
        <v>500</v>
      </c>
      <c r="C213" s="8" t="s">
        <v>447</v>
      </c>
      <c r="D213" s="1" t="s">
        <v>501</v>
      </c>
      <c r="E213" s="1" t="s">
        <v>319</v>
      </c>
      <c r="F213" s="1" t="s">
        <v>502</v>
      </c>
      <c r="H213" s="8" t="s">
        <v>503</v>
      </c>
      <c r="J213" s="8" t="s">
        <v>504</v>
      </c>
      <c r="K213" s="7" t="s">
        <v>505</v>
      </c>
      <c r="L213" s="5" t="s">
        <v>506</v>
      </c>
    </row>
    <row r="214" spans="1:12">
      <c r="A214" s="8" t="s">
        <v>499</v>
      </c>
      <c r="B214" s="12" t="s">
        <v>500</v>
      </c>
      <c r="C214" s="8" t="s">
        <v>507</v>
      </c>
      <c r="E214" s="26" t="s">
        <v>508</v>
      </c>
      <c r="F214" s="26"/>
      <c r="J214" s="8" t="s">
        <v>504</v>
      </c>
      <c r="K214" s="4" t="s">
        <v>505</v>
      </c>
    </row>
    <row r="215" spans="1:12">
      <c r="A215" s="8"/>
      <c r="B215" s="12"/>
      <c r="C215" s="11" t="s">
        <v>509</v>
      </c>
      <c r="E215" s="26"/>
      <c r="F215" s="26"/>
      <c r="J215" s="8"/>
      <c r="K215" s="4" t="s">
        <v>510</v>
      </c>
    </row>
    <row r="217" spans="1:12" s="8" customFormat="1">
      <c r="A217" s="8" t="s">
        <v>511</v>
      </c>
      <c r="B217" s="12" t="s">
        <v>512</v>
      </c>
      <c r="C217" s="8" t="s">
        <v>198</v>
      </c>
      <c r="D217" s="8" t="s">
        <v>513</v>
      </c>
      <c r="E217" s="8" t="s">
        <v>319</v>
      </c>
      <c r="F217" s="8" t="s">
        <v>514</v>
      </c>
      <c r="I217" s="6">
        <v>0.45</v>
      </c>
      <c r="J217" s="8" t="s">
        <v>515</v>
      </c>
      <c r="K217" s="7" t="s">
        <v>516</v>
      </c>
      <c r="L217" s="5" t="s">
        <v>517</v>
      </c>
    </row>
    <row r="218" spans="1:12" s="8" customFormat="1">
      <c r="A218" s="8" t="s">
        <v>511</v>
      </c>
      <c r="B218" s="12" t="s">
        <v>512</v>
      </c>
      <c r="C218" s="9" t="s">
        <v>518</v>
      </c>
      <c r="D218" s="8" t="s">
        <v>513</v>
      </c>
      <c r="E218" s="1"/>
      <c r="I218" s="6"/>
      <c r="J218" s="8" t="s">
        <v>519</v>
      </c>
      <c r="K218" s="7" t="s">
        <v>520</v>
      </c>
      <c r="L218" s="5" t="s">
        <v>521</v>
      </c>
    </row>
    <row r="219" spans="1:12" s="8" customFormat="1">
      <c r="A219" s="8" t="s">
        <v>511</v>
      </c>
      <c r="B219" s="12" t="s">
        <v>512</v>
      </c>
      <c r="C219" s="9" t="s">
        <v>518</v>
      </c>
      <c r="D219" s="8" t="s">
        <v>513</v>
      </c>
      <c r="G219" s="8">
        <v>2.5000000000000001E-2</v>
      </c>
      <c r="I219" s="6">
        <v>4.0999999999999996</v>
      </c>
      <c r="J219" s="8" t="s">
        <v>515</v>
      </c>
      <c r="K219" s="7" t="s">
        <v>516</v>
      </c>
      <c r="L219" s="5"/>
    </row>
    <row r="221" spans="1:12" s="8" customFormat="1">
      <c r="A221" s="8" t="s">
        <v>212</v>
      </c>
      <c r="B221" s="12" t="s">
        <v>522</v>
      </c>
      <c r="C221" s="6" t="s">
        <v>230</v>
      </c>
      <c r="D221" s="11" t="s">
        <v>261</v>
      </c>
      <c r="E221" s="8" t="s">
        <v>231</v>
      </c>
      <c r="F221" s="11" t="s">
        <v>523</v>
      </c>
      <c r="I221" s="6"/>
      <c r="J221" s="8" t="s">
        <v>216</v>
      </c>
      <c r="K221" s="10" t="s">
        <v>217</v>
      </c>
      <c r="L221" s="5"/>
    </row>
    <row r="222" spans="1:12" s="8" customFormat="1">
      <c r="A222" s="8" t="s">
        <v>212</v>
      </c>
      <c r="B222" s="12" t="s">
        <v>522</v>
      </c>
      <c r="C222" s="8" t="s">
        <v>25</v>
      </c>
      <c r="D222" s="11" t="s">
        <v>261</v>
      </c>
      <c r="E222" s="8" t="s">
        <v>219</v>
      </c>
      <c r="I222" s="6"/>
      <c r="J222" s="8" t="s">
        <v>216</v>
      </c>
      <c r="K222" s="14" t="s">
        <v>217</v>
      </c>
      <c r="L222" s="5"/>
    </row>
    <row r="223" spans="1:12" s="8" customFormat="1">
      <c r="A223" s="8" t="s">
        <v>212</v>
      </c>
      <c r="B223" s="12" t="s">
        <v>522</v>
      </c>
      <c r="C223" s="9" t="s">
        <v>42</v>
      </c>
      <c r="D223" s="11" t="s">
        <v>261</v>
      </c>
      <c r="G223" s="8" t="s">
        <v>30</v>
      </c>
      <c r="I223" s="6"/>
      <c r="J223" s="8" t="s">
        <v>228</v>
      </c>
      <c r="K223" s="7" t="s">
        <v>229</v>
      </c>
      <c r="L223" s="5"/>
    </row>
    <row r="224" spans="1:12" s="8" customFormat="1">
      <c r="A224" s="8" t="s">
        <v>212</v>
      </c>
      <c r="B224" s="12" t="s">
        <v>522</v>
      </c>
      <c r="C224" s="9" t="s">
        <v>214</v>
      </c>
      <c r="D224" s="11" t="s">
        <v>261</v>
      </c>
      <c r="G224" s="8" t="s">
        <v>56</v>
      </c>
      <c r="I224" s="6"/>
      <c r="J224" s="8" t="s">
        <v>216</v>
      </c>
      <c r="K224" s="7" t="s">
        <v>217</v>
      </c>
      <c r="L224" s="5" t="s">
        <v>218</v>
      </c>
    </row>
    <row r="225" spans="1:12" s="8" customFormat="1">
      <c r="A225" s="8" t="s">
        <v>212</v>
      </c>
      <c r="B225" s="12" t="s">
        <v>522</v>
      </c>
      <c r="C225" s="9" t="s">
        <v>524</v>
      </c>
      <c r="D225" s="11" t="s">
        <v>261</v>
      </c>
      <c r="I225" s="6">
        <v>1.54</v>
      </c>
      <c r="J225" s="8" t="s">
        <v>221</v>
      </c>
      <c r="K225" s="7" t="s">
        <v>222</v>
      </c>
      <c r="L225" s="5"/>
    </row>
    <row r="226" spans="1:12" s="8" customFormat="1">
      <c r="A226" s="8" t="s">
        <v>525</v>
      </c>
      <c r="B226" s="12" t="s">
        <v>526</v>
      </c>
      <c r="C226" s="8" t="s">
        <v>230</v>
      </c>
      <c r="D226" s="11" t="s">
        <v>261</v>
      </c>
      <c r="E226" s="8" t="s">
        <v>527</v>
      </c>
      <c r="F226" s="11" t="s">
        <v>528</v>
      </c>
      <c r="I226" s="6">
        <v>1.42</v>
      </c>
      <c r="J226" s="8" t="s">
        <v>225</v>
      </c>
      <c r="K226" s="7" t="s">
        <v>516</v>
      </c>
      <c r="L226" s="5" t="s">
        <v>517</v>
      </c>
    </row>
    <row r="227" spans="1:12" s="8" customFormat="1">
      <c r="A227" s="8" t="s">
        <v>525</v>
      </c>
      <c r="B227" s="12" t="s">
        <v>526</v>
      </c>
      <c r="C227" s="8" t="s">
        <v>25</v>
      </c>
      <c r="D227" s="11" t="s">
        <v>261</v>
      </c>
      <c r="E227" s="8" t="s">
        <v>529</v>
      </c>
      <c r="I227" s="6">
        <v>1.3</v>
      </c>
      <c r="J227" s="8" t="s">
        <v>225</v>
      </c>
      <c r="K227" s="4" t="s">
        <v>516</v>
      </c>
      <c r="L227" s="5"/>
    </row>
    <row r="229" spans="1:12" s="8" customFormat="1">
      <c r="A229" s="8" t="s">
        <v>530</v>
      </c>
      <c r="B229" s="12" t="s">
        <v>531</v>
      </c>
      <c r="C229" s="8" t="s">
        <v>532</v>
      </c>
      <c r="D229" s="11" t="s">
        <v>261</v>
      </c>
      <c r="E229" s="8" t="s">
        <v>533</v>
      </c>
      <c r="F229" s="11" t="s">
        <v>534</v>
      </c>
      <c r="H229" s="8" t="s">
        <v>535</v>
      </c>
      <c r="I229" s="6"/>
      <c r="J229" s="8" t="s">
        <v>225</v>
      </c>
      <c r="K229" s="7" t="s">
        <v>536</v>
      </c>
      <c r="L229" s="5" t="s">
        <v>537</v>
      </c>
    </row>
    <row r="230" spans="1:12" s="8" customFormat="1">
      <c r="A230" s="8" t="s">
        <v>530</v>
      </c>
      <c r="B230" s="12" t="s">
        <v>531</v>
      </c>
      <c r="C230" s="8" t="s">
        <v>538</v>
      </c>
      <c r="D230" s="11" t="s">
        <v>261</v>
      </c>
      <c r="E230" s="8" t="s">
        <v>539</v>
      </c>
      <c r="I230" s="6"/>
      <c r="J230" s="8" t="s">
        <v>225</v>
      </c>
      <c r="K230" s="14" t="s">
        <v>536</v>
      </c>
      <c r="L230" s="5"/>
    </row>
    <row r="232" spans="1:12" s="8" customFormat="1">
      <c r="A232" s="8" t="s">
        <v>540</v>
      </c>
      <c r="B232" s="12" t="s">
        <v>541</v>
      </c>
      <c r="C232" s="8" t="s">
        <v>542</v>
      </c>
      <c r="D232" s="8" t="s">
        <v>543</v>
      </c>
      <c r="E232" s="8" t="s">
        <v>544</v>
      </c>
      <c r="F232" s="8" t="s">
        <v>545</v>
      </c>
      <c r="I232" s="6"/>
      <c r="J232" s="8" t="s">
        <v>546</v>
      </c>
      <c r="K232" s="7" t="s">
        <v>547</v>
      </c>
      <c r="L232" s="5"/>
    </row>
    <row r="234" spans="1:12" s="8" customFormat="1">
      <c r="A234" s="8" t="s">
        <v>548</v>
      </c>
      <c r="B234" s="12" t="s">
        <v>549</v>
      </c>
      <c r="C234" s="8" t="s">
        <v>550</v>
      </c>
      <c r="D234" s="11" t="s">
        <v>261</v>
      </c>
      <c r="E234" s="8" t="s">
        <v>551</v>
      </c>
      <c r="F234" s="11" t="s">
        <v>552</v>
      </c>
      <c r="I234" s="6"/>
      <c r="J234" s="8" t="s">
        <v>553</v>
      </c>
      <c r="K234" s="7" t="s">
        <v>554</v>
      </c>
      <c r="L234" s="5" t="s">
        <v>555</v>
      </c>
    </row>
    <row r="235" spans="1:12" s="8" customFormat="1">
      <c r="A235" s="8" t="s">
        <v>548</v>
      </c>
      <c r="B235" s="12" t="s">
        <v>549</v>
      </c>
      <c r="C235" s="8" t="s">
        <v>556</v>
      </c>
      <c r="D235" s="11" t="s">
        <v>261</v>
      </c>
      <c r="E235" s="8" t="s">
        <v>557</v>
      </c>
      <c r="F235" s="13"/>
      <c r="I235" s="6"/>
      <c r="J235" s="8" t="s">
        <v>553</v>
      </c>
      <c r="K235" s="7" t="s">
        <v>554</v>
      </c>
      <c r="L235" s="5"/>
    </row>
    <row r="237" spans="1:12" s="8" customFormat="1">
      <c r="A237" s="8" t="s">
        <v>558</v>
      </c>
      <c r="B237" s="12" t="s">
        <v>559</v>
      </c>
      <c r="C237" s="8" t="s">
        <v>560</v>
      </c>
      <c r="D237" s="8" t="s">
        <v>543</v>
      </c>
      <c r="E237" s="8" t="s">
        <v>561</v>
      </c>
      <c r="F237" s="8" t="s">
        <v>562</v>
      </c>
      <c r="H237" s="8" t="s">
        <v>563</v>
      </c>
      <c r="I237" s="6"/>
      <c r="J237" s="8" t="s">
        <v>564</v>
      </c>
      <c r="K237" s="7" t="s">
        <v>565</v>
      </c>
      <c r="L237" s="5" t="s">
        <v>566</v>
      </c>
    </row>
    <row r="238" spans="1:12" s="8" customFormat="1">
      <c r="A238" s="8" t="s">
        <v>558</v>
      </c>
      <c r="B238" s="12" t="s">
        <v>559</v>
      </c>
      <c r="C238" s="8" t="s">
        <v>560</v>
      </c>
      <c r="D238" s="8" t="s">
        <v>543</v>
      </c>
      <c r="E238" s="8" t="s">
        <v>567</v>
      </c>
      <c r="F238" s="16" t="s">
        <v>568</v>
      </c>
      <c r="H238" s="11" t="s">
        <v>569</v>
      </c>
      <c r="I238" s="6"/>
      <c r="J238" s="8" t="s">
        <v>570</v>
      </c>
      <c r="K238" s="7" t="s">
        <v>571</v>
      </c>
      <c r="L238" s="5" t="s">
        <v>572</v>
      </c>
    </row>
    <row r="239" spans="1:12">
      <c r="A239" s="8" t="s">
        <v>558</v>
      </c>
      <c r="B239" s="12" t="s">
        <v>559</v>
      </c>
      <c r="C239" s="8" t="s">
        <v>573</v>
      </c>
      <c r="D239" s="8" t="s">
        <v>543</v>
      </c>
      <c r="E239" s="8" t="s">
        <v>574</v>
      </c>
      <c r="F239" s="8"/>
      <c r="G239" s="8"/>
      <c r="H239" s="8"/>
      <c r="J239" s="8" t="s">
        <v>575</v>
      </c>
      <c r="K239" s="4" t="s">
        <v>576</v>
      </c>
      <c r="L239" s="5" t="s">
        <v>577</v>
      </c>
    </row>
    <row r="240" spans="1:12">
      <c r="A240" s="8"/>
      <c r="B240" s="12"/>
      <c r="C240" s="11" t="s">
        <v>578</v>
      </c>
      <c r="D240" s="8"/>
      <c r="E240" s="8"/>
      <c r="F240" s="8"/>
      <c r="G240" s="8"/>
      <c r="H240" s="8"/>
      <c r="J240" s="8"/>
      <c r="K240" s="4" t="s">
        <v>579</v>
      </c>
    </row>
    <row r="241" spans="1:12">
      <c r="A241" s="8"/>
      <c r="B241" s="12"/>
      <c r="C241" s="11" t="s">
        <v>580</v>
      </c>
      <c r="D241" s="8"/>
      <c r="E241" s="8"/>
      <c r="F241" s="8"/>
      <c r="G241" s="8"/>
      <c r="H241" s="8"/>
      <c r="J241" s="8"/>
      <c r="K241" s="4" t="s">
        <v>581</v>
      </c>
    </row>
    <row r="242" spans="1:12">
      <c r="A242" s="8"/>
      <c r="B242" s="12"/>
      <c r="C242" s="11" t="s">
        <v>582</v>
      </c>
      <c r="D242" s="8"/>
      <c r="E242" s="8"/>
      <c r="F242" s="8"/>
      <c r="G242" s="8"/>
      <c r="H242" s="8"/>
      <c r="J242" s="8"/>
      <c r="K242" s="4" t="s">
        <v>583</v>
      </c>
    </row>
    <row r="243" spans="1:12">
      <c r="A243" s="8"/>
      <c r="B243" s="12"/>
      <c r="C243" s="11" t="s">
        <v>584</v>
      </c>
      <c r="D243" s="8"/>
      <c r="E243" s="8"/>
      <c r="F243" s="8"/>
      <c r="G243" s="8"/>
      <c r="H243" s="8"/>
      <c r="J243" s="8"/>
      <c r="K243" s="4" t="s">
        <v>585</v>
      </c>
    </row>
    <row r="245" spans="1:12" s="8" customFormat="1">
      <c r="A245" s="8" t="s">
        <v>586</v>
      </c>
      <c r="B245" s="12" t="s">
        <v>587</v>
      </c>
      <c r="C245" s="11" t="s">
        <v>550</v>
      </c>
      <c r="D245" s="8" t="s">
        <v>543</v>
      </c>
      <c r="E245" s="8" t="s">
        <v>588</v>
      </c>
      <c r="F245" s="8" t="s">
        <v>589</v>
      </c>
      <c r="H245" s="8" t="s">
        <v>590</v>
      </c>
      <c r="I245" s="6"/>
      <c r="J245" s="8" t="s">
        <v>591</v>
      </c>
      <c r="K245" s="7" t="s">
        <v>592</v>
      </c>
      <c r="L245" s="5" t="s">
        <v>593</v>
      </c>
    </row>
    <row r="246" spans="1:12" s="8" customFormat="1">
      <c r="A246" s="8" t="s">
        <v>586</v>
      </c>
      <c r="B246" s="12" t="s">
        <v>587</v>
      </c>
      <c r="C246" s="9" t="s">
        <v>594</v>
      </c>
      <c r="D246" s="8" t="s">
        <v>543</v>
      </c>
      <c r="G246" s="8" t="s">
        <v>529</v>
      </c>
      <c r="I246" s="6"/>
      <c r="J246" s="8" t="s">
        <v>595</v>
      </c>
      <c r="K246" s="14" t="s">
        <v>596</v>
      </c>
      <c r="L246" s="5"/>
    </row>
    <row r="248" spans="1:12" s="8" customFormat="1">
      <c r="A248" s="8" t="s">
        <v>597</v>
      </c>
      <c r="B248" s="12" t="s">
        <v>598</v>
      </c>
      <c r="C248" s="8" t="s">
        <v>230</v>
      </c>
      <c r="D248" s="8" t="s">
        <v>543</v>
      </c>
      <c r="E248" s="8" t="s">
        <v>599</v>
      </c>
      <c r="F248" s="8" t="s">
        <v>600</v>
      </c>
      <c r="H248" s="8" t="s">
        <v>601</v>
      </c>
      <c r="I248" s="6"/>
      <c r="J248" s="8" t="s">
        <v>602</v>
      </c>
      <c r="K248" s="14" t="s">
        <v>603</v>
      </c>
      <c r="L248" s="5"/>
    </row>
    <row r="249" spans="1:12" s="8" customFormat="1">
      <c r="A249" s="8" t="s">
        <v>597</v>
      </c>
      <c r="B249" s="12" t="s">
        <v>604</v>
      </c>
      <c r="C249" s="8" t="s">
        <v>214</v>
      </c>
      <c r="D249" s="8" t="s">
        <v>543</v>
      </c>
      <c r="E249" s="8" t="s">
        <v>605</v>
      </c>
      <c r="F249" s="8" t="s">
        <v>606</v>
      </c>
      <c r="I249" s="6"/>
      <c r="J249" s="8" t="s">
        <v>602</v>
      </c>
      <c r="K249" s="7" t="s">
        <v>603</v>
      </c>
      <c r="L249" s="5" t="s">
        <v>380</v>
      </c>
    </row>
    <row r="250" spans="1:12" s="8" customFormat="1">
      <c r="A250" s="8" t="s">
        <v>597</v>
      </c>
      <c r="B250" s="12" t="s">
        <v>607</v>
      </c>
      <c r="C250" s="8" t="s">
        <v>608</v>
      </c>
      <c r="D250" s="8" t="s">
        <v>543</v>
      </c>
      <c r="E250" s="8" t="s">
        <v>324</v>
      </c>
      <c r="I250" s="6"/>
      <c r="J250" s="8" t="s">
        <v>602</v>
      </c>
      <c r="K250" s="14" t="s">
        <v>603</v>
      </c>
      <c r="L250" s="5"/>
    </row>
    <row r="252" spans="1:12">
      <c r="A252" s="1" t="s">
        <v>150</v>
      </c>
      <c r="B252" s="2" t="s">
        <v>609</v>
      </c>
      <c r="C252" s="26" t="s">
        <v>152</v>
      </c>
      <c r="D252" s="11" t="s">
        <v>133</v>
      </c>
      <c r="E252" s="1" t="s">
        <v>153</v>
      </c>
      <c r="I252" s="1"/>
      <c r="J252" s="1" t="s">
        <v>154</v>
      </c>
      <c r="K252" s="7" t="s">
        <v>155</v>
      </c>
    </row>
    <row r="253" spans="1:12">
      <c r="A253" s="1" t="s">
        <v>150</v>
      </c>
      <c r="B253" s="2" t="s">
        <v>609</v>
      </c>
      <c r="C253" s="1" t="s">
        <v>610</v>
      </c>
      <c r="D253" s="11" t="s">
        <v>133</v>
      </c>
      <c r="E253" s="1" t="s">
        <v>161</v>
      </c>
      <c r="I253" s="1"/>
      <c r="J253" s="1" t="s">
        <v>154</v>
      </c>
      <c r="K253" s="7" t="s">
        <v>155</v>
      </c>
    </row>
    <row r="254" spans="1:12">
      <c r="A254" s="1" t="s">
        <v>150</v>
      </c>
      <c r="B254" s="2" t="s">
        <v>609</v>
      </c>
      <c r="C254" s="1" t="s">
        <v>611</v>
      </c>
      <c r="D254" s="11" t="s">
        <v>133</v>
      </c>
      <c r="F254" s="1" t="s">
        <v>612</v>
      </c>
      <c r="I254" s="1"/>
      <c r="K254" s="7" t="s">
        <v>613</v>
      </c>
    </row>
    <row r="255" spans="1:12">
      <c r="A255" s="1" t="s">
        <v>150</v>
      </c>
      <c r="B255" s="2" t="s">
        <v>609</v>
      </c>
      <c r="C255" s="9" t="s">
        <v>614</v>
      </c>
      <c r="D255" s="11" t="s">
        <v>133</v>
      </c>
      <c r="G255" s="1" t="s">
        <v>157</v>
      </c>
      <c r="I255" s="1"/>
      <c r="J255" s="1" t="s">
        <v>154</v>
      </c>
      <c r="K255" s="4" t="s">
        <v>155</v>
      </c>
    </row>
    <row r="256" spans="1:12">
      <c r="A256" s="1" t="s">
        <v>150</v>
      </c>
      <c r="B256" s="2" t="s">
        <v>609</v>
      </c>
      <c r="C256" s="9" t="s">
        <v>615</v>
      </c>
      <c r="D256" s="11" t="s">
        <v>133</v>
      </c>
      <c r="G256" s="1" t="s">
        <v>163</v>
      </c>
      <c r="I256" s="1"/>
      <c r="J256" s="1" t="s">
        <v>154</v>
      </c>
      <c r="K256" s="7" t="s">
        <v>155</v>
      </c>
    </row>
    <row r="257" spans="1:12">
      <c r="A257" s="1" t="s">
        <v>150</v>
      </c>
      <c r="B257" s="2" t="s">
        <v>616</v>
      </c>
      <c r="C257" s="1" t="s">
        <v>186</v>
      </c>
      <c r="D257" s="11" t="s">
        <v>133</v>
      </c>
      <c r="E257" s="1" t="s">
        <v>175</v>
      </c>
      <c r="F257" s="26" t="s">
        <v>617</v>
      </c>
      <c r="I257" s="1"/>
      <c r="J257" s="1" t="s">
        <v>173</v>
      </c>
      <c r="K257" s="4" t="s">
        <v>155</v>
      </c>
    </row>
    <row r="258" spans="1:12">
      <c r="A258" s="1" t="s">
        <v>150</v>
      </c>
      <c r="B258" s="2" t="s">
        <v>616</v>
      </c>
      <c r="C258" s="1" t="s">
        <v>166</v>
      </c>
      <c r="D258" s="11" t="s">
        <v>133</v>
      </c>
      <c r="E258" s="1" t="s">
        <v>167</v>
      </c>
      <c r="I258" s="1"/>
      <c r="J258" s="1" t="s">
        <v>168</v>
      </c>
      <c r="K258" s="4" t="s">
        <v>169</v>
      </c>
    </row>
    <row r="259" spans="1:12">
      <c r="A259" s="1" t="s">
        <v>150</v>
      </c>
      <c r="B259" s="2" t="s">
        <v>616</v>
      </c>
      <c r="C259" s="9" t="s">
        <v>618</v>
      </c>
      <c r="D259" s="11" t="s">
        <v>133</v>
      </c>
      <c r="G259" s="1" t="s">
        <v>171</v>
      </c>
      <c r="I259" s="1"/>
      <c r="J259" s="1" t="s">
        <v>173</v>
      </c>
      <c r="K259" s="4" t="s">
        <v>155</v>
      </c>
    </row>
    <row r="260" spans="1:12">
      <c r="A260" s="1" t="s">
        <v>150</v>
      </c>
      <c r="B260" s="2" t="s">
        <v>616</v>
      </c>
      <c r="C260" s="9" t="s">
        <v>176</v>
      </c>
      <c r="D260" s="11" t="s">
        <v>133</v>
      </c>
      <c r="G260" s="1" t="s">
        <v>177</v>
      </c>
      <c r="I260" s="1"/>
      <c r="J260" s="1" t="s">
        <v>173</v>
      </c>
      <c r="K260" s="4" t="s">
        <v>155</v>
      </c>
    </row>
    <row r="261" spans="1:12">
      <c r="C261" s="9"/>
      <c r="D261" s="11"/>
      <c r="I261" s="1"/>
    </row>
    <row r="262" spans="1:12">
      <c r="A262" s="26" t="s">
        <v>619</v>
      </c>
      <c r="B262" s="2" t="s">
        <v>620</v>
      </c>
      <c r="C262" s="3" t="s">
        <v>621</v>
      </c>
      <c r="D262" s="8" t="s">
        <v>15</v>
      </c>
      <c r="E262" s="1" t="s">
        <v>113</v>
      </c>
      <c r="F262" s="26" t="s">
        <v>622</v>
      </c>
      <c r="J262" s="8" t="s">
        <v>312</v>
      </c>
      <c r="K262" s="4" t="s">
        <v>623</v>
      </c>
    </row>
    <row r="263" spans="1:12">
      <c r="A263" s="26" t="s">
        <v>619</v>
      </c>
      <c r="B263" s="2" t="s">
        <v>620</v>
      </c>
      <c r="C263" s="3" t="s">
        <v>624</v>
      </c>
      <c r="D263" s="8" t="s">
        <v>15</v>
      </c>
      <c r="E263" s="1" t="s">
        <v>299</v>
      </c>
      <c r="J263" s="8" t="s">
        <v>312</v>
      </c>
      <c r="K263" s="4" t="s">
        <v>623</v>
      </c>
    </row>
    <row r="264" spans="1:12">
      <c r="A264" s="26"/>
      <c r="D264" s="8"/>
    </row>
    <row r="265" spans="1:12">
      <c r="A265" s="26" t="s">
        <v>625</v>
      </c>
      <c r="J265" s="26" t="s">
        <v>626</v>
      </c>
      <c r="K265" s="4" t="s">
        <v>627</v>
      </c>
    </row>
    <row r="267" spans="1:12">
      <c r="A267" s="26" t="s">
        <v>628</v>
      </c>
    </row>
    <row r="268" spans="1:12">
      <c r="A268" s="26" t="s">
        <v>629</v>
      </c>
      <c r="C268" s="26" t="s">
        <v>560</v>
      </c>
      <c r="D268" s="1" t="s">
        <v>630</v>
      </c>
      <c r="E268" s="26" t="s">
        <v>631</v>
      </c>
      <c r="F268" s="1">
        <v>6.6</v>
      </c>
    </row>
    <row r="269" spans="1:12">
      <c r="A269" s="26" t="s">
        <v>632</v>
      </c>
      <c r="C269" s="26" t="s">
        <v>633</v>
      </c>
      <c r="D269" s="1" t="s">
        <v>630</v>
      </c>
      <c r="E269" s="26" t="s">
        <v>631</v>
      </c>
      <c r="F269" s="1">
        <v>6.6</v>
      </c>
      <c r="L269" s="5" t="s">
        <v>634</v>
      </c>
    </row>
    <row r="270" spans="1:12">
      <c r="A270" s="26" t="s">
        <v>635</v>
      </c>
      <c r="C270" s="1" t="s">
        <v>636</v>
      </c>
      <c r="D270" s="1" t="s">
        <v>630</v>
      </c>
      <c r="E270" s="26" t="s">
        <v>637</v>
      </c>
      <c r="F270" s="1">
        <v>2.2000000000000002</v>
      </c>
    </row>
    <row r="271" spans="1:12">
      <c r="A271" s="26" t="s">
        <v>638</v>
      </c>
      <c r="C271" s="26" t="s">
        <v>639</v>
      </c>
      <c r="D271" s="1" t="s">
        <v>630</v>
      </c>
      <c r="E271" s="26" t="s">
        <v>637</v>
      </c>
      <c r="F271" s="1">
        <v>2.2000000000000002</v>
      </c>
      <c r="L271" s="5" t="s">
        <v>640</v>
      </c>
    </row>
    <row r="272" spans="1:12">
      <c r="A272" s="26" t="s">
        <v>641</v>
      </c>
      <c r="C272" s="26" t="s">
        <v>193</v>
      </c>
      <c r="D272" s="1" t="s">
        <v>630</v>
      </c>
      <c r="E272" s="26" t="s">
        <v>642</v>
      </c>
      <c r="F272" s="1">
        <v>11.5</v>
      </c>
    </row>
    <row r="273" spans="1:12">
      <c r="A273" s="26" t="s">
        <v>643</v>
      </c>
      <c r="C273" s="26" t="s">
        <v>186</v>
      </c>
      <c r="D273" s="1" t="s">
        <v>630</v>
      </c>
      <c r="E273" s="1" t="s">
        <v>644</v>
      </c>
      <c r="F273" s="1">
        <v>18.100000000000001</v>
      </c>
      <c r="K273" s="4" t="s">
        <v>645</v>
      </c>
      <c r="L273" s="5" t="s">
        <v>646</v>
      </c>
    </row>
    <row r="274" spans="1:12">
      <c r="A274" s="26" t="s">
        <v>647</v>
      </c>
      <c r="C274" s="26" t="s">
        <v>210</v>
      </c>
      <c r="D274" s="1" t="s">
        <v>630</v>
      </c>
      <c r="E274" s="26" t="s">
        <v>642</v>
      </c>
      <c r="F274" s="1">
        <v>11.5</v>
      </c>
      <c r="L274" s="5" t="s">
        <v>648</v>
      </c>
    </row>
    <row r="275" spans="1:12">
      <c r="A275" s="26" t="s">
        <v>649</v>
      </c>
      <c r="C275" s="26" t="s">
        <v>650</v>
      </c>
      <c r="D275" s="1" t="s">
        <v>630</v>
      </c>
      <c r="E275" s="26" t="s">
        <v>642</v>
      </c>
      <c r="F275" s="1">
        <v>11.5</v>
      </c>
      <c r="L275" s="5" t="s">
        <v>648</v>
      </c>
    </row>
    <row r="276" spans="1:12">
      <c r="A276" s="26" t="s">
        <v>651</v>
      </c>
      <c r="C276" s="1" t="s">
        <v>198</v>
      </c>
      <c r="D276" s="1" t="s">
        <v>630</v>
      </c>
      <c r="E276" s="1" t="s">
        <v>644</v>
      </c>
      <c r="F276" s="1">
        <v>18.100000000000001</v>
      </c>
      <c r="K276" s="4" t="s">
        <v>645</v>
      </c>
    </row>
    <row r="279" spans="1:12">
      <c r="C279" s="26"/>
      <c r="F279" s="26"/>
      <c r="J279" s="8"/>
    </row>
    <row r="280" spans="1:12">
      <c r="A280" s="26"/>
      <c r="C280" s="26"/>
      <c r="J280" s="8"/>
    </row>
    <row r="282" spans="1:12">
      <c r="A282" s="26"/>
    </row>
  </sheetData>
  <hyperlinks>
    <hyperlink ref="K4" r:id="rId1"/>
    <hyperlink ref="K2" r:id="rId2"/>
    <hyperlink ref="K13" r:id="rId3"/>
    <hyperlink ref="K14" r:id="rId4"/>
    <hyperlink ref="K15" r:id="rId5"/>
    <hyperlink ref="K18" r:id="rId6"/>
    <hyperlink ref="K21" r:id="rId7"/>
    <hyperlink ref="K23" r:id="rId8"/>
    <hyperlink ref="K22" r:id="rId9"/>
    <hyperlink ref="K27" r:id="rId10"/>
    <hyperlink ref="K30" r:id="rId11"/>
    <hyperlink ref="K36" r:id="rId12"/>
    <hyperlink ref="K35" r:id="rId13"/>
    <hyperlink ref="K34" r:id="rId14"/>
    <hyperlink ref="K37" r:id="rId15"/>
    <hyperlink ref="K33" r:id="rId16"/>
    <hyperlink ref="K40" r:id="rId17"/>
    <hyperlink ref="K43" r:id="rId18"/>
    <hyperlink ref="K42" r:id="rId19"/>
    <hyperlink ref="K47" r:id="rId20"/>
    <hyperlink ref="K49" r:id="rId21"/>
    <hyperlink ref="K50" r:id="rId22"/>
    <hyperlink ref="K52" r:id="rId23"/>
    <hyperlink ref="K68" r:id="rId24"/>
    <hyperlink ref="K66" r:id="rId25"/>
    <hyperlink ref="K70" r:id="rId26"/>
    <hyperlink ref="K71" r:id="rId27"/>
    <hyperlink ref="K80" r:id="rId28"/>
    <hyperlink ref="K81" r:id="rId29"/>
    <hyperlink ref="K85" r:id="rId30"/>
    <hyperlink ref="K86" r:id="rId31"/>
    <hyperlink ref="K87" r:id="rId32"/>
    <hyperlink ref="K91" r:id="rId33"/>
    <hyperlink ref="K92" r:id="rId34"/>
    <hyperlink ref="K89" r:id="rId35"/>
    <hyperlink ref="K97" r:id="rId36"/>
    <hyperlink ref="K98" r:id="rId37"/>
    <hyperlink ref="K99" r:id="rId38"/>
    <hyperlink ref="K103" r:id="rId39"/>
    <hyperlink ref="K104" r:id="rId40"/>
    <hyperlink ref="K101" r:id="rId41"/>
    <hyperlink ref="K110" r:id="rId42"/>
    <hyperlink ref="K107" r:id="rId43"/>
    <hyperlink ref="K115" r:id="rId44"/>
    <hyperlink ref="K112" r:id="rId45"/>
    <hyperlink ref="K114" r:id="rId46"/>
    <hyperlink ref="K113" r:id="rId47"/>
    <hyperlink ref="K117" r:id="rId48"/>
    <hyperlink ref="K122" r:id="rId49"/>
    <hyperlink ref="K123" r:id="rId50"/>
    <hyperlink ref="K125" r:id="rId51"/>
    <hyperlink ref="K126" r:id="rId52"/>
    <hyperlink ref="K133" r:id="rId53"/>
    <hyperlink ref="K134" r:id="rId54"/>
    <hyperlink ref="K193" r:id="rId55"/>
    <hyperlink ref="K192" r:id="rId56"/>
    <hyperlink ref="K194" r:id="rId57"/>
    <hyperlink ref="K139" r:id="rId58"/>
    <hyperlink ref="K140" r:id="rId59"/>
    <hyperlink ref="K141" r:id="rId60"/>
    <hyperlink ref="K145" r:id="rId61"/>
    <hyperlink ref="K146" r:id="rId62"/>
    <hyperlink ref="K150" r:id="rId63"/>
    <hyperlink ref="K149" r:id="rId64"/>
    <hyperlink ref="K151" r:id="rId65"/>
    <hyperlink ref="K148" r:id="rId66"/>
    <hyperlink ref="K137" r:id="rId67"/>
    <hyperlink ref="K74" r:id="rId68"/>
    <hyperlink ref="K73" r:id="rId69"/>
    <hyperlink ref="K75" r:id="rId70"/>
    <hyperlink ref="K76" r:id="rId71"/>
    <hyperlink ref="K158" r:id="rId72"/>
    <hyperlink ref="K159" r:id="rId73"/>
    <hyperlink ref="K164" r:id="rId74"/>
    <hyperlink ref="K175" r:id="rId75"/>
    <hyperlink ref="K177" r:id="rId76"/>
    <hyperlink ref="K211" r:id="rId77"/>
    <hyperlink ref="K181" r:id="rId78"/>
    <hyperlink ref="K64" r:id="rId79"/>
    <hyperlink ref="K60" r:id="rId80"/>
    <hyperlink ref="K186" r:id="rId81"/>
    <hyperlink ref="K190" r:id="rId82"/>
    <hyperlink ref="K182" r:id="rId83"/>
    <hyperlink ref="K132" r:id="rId84"/>
    <hyperlink ref="K196" r:id="rId85"/>
    <hyperlink ref="K199" r:id="rId86"/>
    <hyperlink ref="K202" r:id="rId87"/>
    <hyperlink ref="K200" r:id="rId88"/>
    <hyperlink ref="K201" r:id="rId89"/>
    <hyperlink ref="K197" r:id="rId90"/>
    <hyperlink ref="K213" r:id="rId91"/>
    <hyperlink ref="K218" r:id="rId92"/>
    <hyperlink ref="K225" r:id="rId93"/>
    <hyperlink ref="K223" r:id="rId94"/>
    <hyperlink ref="K224" r:id="rId95"/>
    <hyperlink ref="K229" r:id="rId96"/>
    <hyperlink ref="K232" r:id="rId97"/>
    <hyperlink ref="K234" r:id="rId98"/>
    <hyperlink ref="K245" r:id="rId99"/>
    <hyperlink ref="K249" r:id="rId100"/>
    <hyperlink ref="K256" r:id="rId101"/>
    <hyperlink ref="K252" r:id="rId102"/>
    <hyperlink ref="K253" r:id="rId103"/>
    <hyperlink ref="K29" r:id="rId104"/>
    <hyperlink ref="K237" r:id="rId105"/>
    <hyperlink ref="K217" r:id="rId106"/>
    <hyperlink ref="K5" r:id="rId107"/>
    <hyperlink ref="K161" r:id="rId108"/>
    <hyperlink ref="K226" r:id="rId109"/>
    <hyperlink ref="K238" r:id="rId110"/>
    <hyperlink ref="K51" r:id="rId111"/>
    <hyperlink ref="K69" r:id="rId112"/>
    <hyperlink ref="K219" r:id="rId113"/>
    <hyperlink ref="K207" r:id="rId114"/>
    <hyperlink ref="K169" r:id="rId115"/>
    <hyperlink ref="K195" r:id="rId116"/>
    <hyperlink ref="K176" r:id="rId117"/>
    <hyperlink ref="K187" r:id="rId118"/>
    <hyperlink ref="K28" r:id="rId119"/>
    <hyperlink ref="K183" r:id="rId12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Imperial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Jedrzejewski</dc:creator>
  <cp:lastModifiedBy>home</cp:lastModifiedBy>
  <dcterms:created xsi:type="dcterms:W3CDTF">2013-07-22T17:57:16Z</dcterms:created>
  <dcterms:modified xsi:type="dcterms:W3CDTF">2014-02-28T03:50:31Z</dcterms:modified>
</cp:coreProperties>
</file>