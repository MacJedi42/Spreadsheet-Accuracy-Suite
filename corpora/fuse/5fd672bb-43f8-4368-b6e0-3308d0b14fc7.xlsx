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820"/>
  </bookViews>
  <sheets>
    <sheet name="Utility function" sheetId="1" r:id="rId1"/>
    <sheet name="Budget Set and Optimal Choice" sheetId="4" r:id="rId2"/>
    <sheet name="Demand Curve" sheetId="3" r:id="rId3"/>
    <sheet name="Engel Curve" sheetId="5" r:id="rId4"/>
    <sheet name="Price Consumption Curve for X" sheetId="7" r:id="rId5"/>
    <sheet name="Income Consumption Curve" sheetId="8" r:id="rId6"/>
  </sheets>
  <definedNames>
    <definedName name="a" localSheetId="1">'Budget Set and Optimal Choice'!$B$3</definedName>
    <definedName name="a" localSheetId="2">'Demand Curve'!$B$1</definedName>
    <definedName name="a" localSheetId="3">'Engel Curve'!$B$1</definedName>
    <definedName name="a" localSheetId="5">'Income Consumption Curve'!$B$1</definedName>
    <definedName name="a" localSheetId="4">'Price Consumption Curve for X'!$B$1</definedName>
    <definedName name="a" localSheetId="0">'Utility function'!$B$1</definedName>
    <definedName name="aaa" localSheetId="5">'Income Consumption Curve'!$B$1</definedName>
    <definedName name="aaa">'Engel Curve'!$B$1</definedName>
    <definedName name="b" localSheetId="1">'Budget Set and Optimal Choice'!$B$4</definedName>
    <definedName name="b" localSheetId="2">'Demand Curve'!$D$1</definedName>
    <definedName name="b" localSheetId="3">'Engel Curve'!$D$1</definedName>
    <definedName name="b" localSheetId="5">'Income Consumption Curve'!$D$1</definedName>
    <definedName name="b" localSheetId="4">'Price Consumption Curve for X'!$D$1</definedName>
    <definedName name="b" localSheetId="0">'Utility function'!$B$2</definedName>
    <definedName name="I" localSheetId="1">'Budget Set and Optimal Choice'!$I$3</definedName>
    <definedName name="I" localSheetId="2">'Demand Curve'!$H$1</definedName>
    <definedName name="I" localSheetId="5">'Income Consumption Curve'!$H$1</definedName>
    <definedName name="I" localSheetId="4">'Price Consumption Curve for X'!$H$1</definedName>
    <definedName name="Px" localSheetId="1">'Budget Set and Optimal Choice'!$G$3</definedName>
    <definedName name="Px" localSheetId="3">'Engel Curve'!$F$1</definedName>
    <definedName name="Px" localSheetId="5">'Income Consumption Curve'!$F$1</definedName>
    <definedName name="Py" localSheetId="1">'Budget Set and Optimal Choice'!$G$4</definedName>
    <definedName name="Py" localSheetId="2">'Demand Curve'!$F$1</definedName>
    <definedName name="Py" localSheetId="3">'Engel Curve'!$H$1</definedName>
    <definedName name="Py" localSheetId="5">'Income Consumption Curve'!$H$1</definedName>
    <definedName name="Py" localSheetId="4">'Price Consumption Curve for X'!$F$1</definedName>
    <definedName name="x_d" localSheetId="1">'Budget Set and Optimal Choice'!$Z$2</definedName>
    <definedName name="y_d">'Budget Set and Optimal Choice'!$Z$5</definedName>
    <definedName name="zzzz">'Income Consumption Curve'!$F$1</definedName>
  </definedNames>
  <calcPr calcId="125725"/>
</workbook>
</file>

<file path=xl/calcChain.xml><?xml version="1.0" encoding="utf-8"?>
<calcChain xmlns="http://schemas.openxmlformats.org/spreadsheetml/2006/main">
  <c r="D1" i="8"/>
  <c r="P17" i="7"/>
  <c r="Q17"/>
  <c r="P12"/>
  <c r="Q12"/>
  <c r="Q7"/>
  <c r="P7"/>
  <c r="E5" i="8"/>
  <c r="A6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E37" s="1"/>
  <c r="H1"/>
  <c r="F1"/>
  <c r="B1"/>
  <c r="B37" s="1"/>
  <c r="F1" i="7"/>
  <c r="H1"/>
  <c r="A6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D1"/>
  <c r="B1"/>
  <c r="H1" i="5"/>
  <c r="F1"/>
  <c r="H1" i="3"/>
  <c r="F1"/>
  <c r="A6" i="5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D1"/>
  <c r="B1"/>
  <c r="B7" s="1"/>
  <c r="A6" i="3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X8" i="4"/>
  <c r="Z5"/>
  <c r="Z2"/>
  <c r="AH37"/>
  <c r="AG37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AH36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AH35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AH34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AH33"/>
  <c r="AG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AH32"/>
  <c r="AG32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AH31"/>
  <c r="AG31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AH30"/>
  <c r="AG30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AH29"/>
  <c r="AG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AH28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AH27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AH26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AH25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AH24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AH23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AH22"/>
  <c r="AG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AH21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AH20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AH19"/>
  <c r="AG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AH17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AH16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AH15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AH14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AH13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AH12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AH11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AH9"/>
  <c r="AG9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AH8"/>
  <c r="AG8"/>
  <c r="AF8"/>
  <c r="AE8"/>
  <c r="AD8"/>
  <c r="AC8"/>
  <c r="AB8"/>
  <c r="AA8"/>
  <c r="Z8"/>
  <c r="Y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AH7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AH35" i="1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AH34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AH33"/>
  <c r="AG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AH32"/>
  <c r="AG32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AH31"/>
  <c r="AG31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AH30"/>
  <c r="AG30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AH29"/>
  <c r="AG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AH28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AH27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AH26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AH25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AH24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AH23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AH22"/>
  <c r="AG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AH21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AH20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AH19"/>
  <c r="AG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AH17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AH16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AH15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AH14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AH13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AH12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AH11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AH9"/>
  <c r="AG9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AH7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D38" i="4"/>
  <c r="B36"/>
  <c r="B34" i="1"/>
  <c r="B33" s="1"/>
  <c r="D36"/>
  <c r="E36" i="8" l="1"/>
  <c r="E34"/>
  <c r="E32"/>
  <c r="E30"/>
  <c r="E28"/>
  <c r="E26"/>
  <c r="E24"/>
  <c r="E22"/>
  <c r="E20"/>
  <c r="E18"/>
  <c r="E16"/>
  <c r="E14"/>
  <c r="E12"/>
  <c r="E10"/>
  <c r="E8"/>
  <c r="E6"/>
  <c r="R7"/>
  <c r="R12"/>
  <c r="R17"/>
  <c r="E35"/>
  <c r="E33"/>
  <c r="E31"/>
  <c r="E29"/>
  <c r="E27"/>
  <c r="E25"/>
  <c r="E23"/>
  <c r="E21"/>
  <c r="E19"/>
  <c r="E17"/>
  <c r="E15"/>
  <c r="E13"/>
  <c r="E11"/>
  <c r="E9"/>
  <c r="E7"/>
  <c r="Q7"/>
  <c r="Q12"/>
  <c r="Q17"/>
  <c r="E7" i="7"/>
  <c r="B6" i="5"/>
  <c r="B6" i="7"/>
  <c r="B36"/>
  <c r="B34"/>
  <c r="B32"/>
  <c r="B30"/>
  <c r="B28"/>
  <c r="B26"/>
  <c r="B24"/>
  <c r="B22"/>
  <c r="B20"/>
  <c r="B18"/>
  <c r="B16"/>
  <c r="B14"/>
  <c r="B12"/>
  <c r="B10"/>
  <c r="B8"/>
  <c r="E6"/>
  <c r="E36"/>
  <c r="E34"/>
  <c r="E32"/>
  <c r="E30"/>
  <c r="E28"/>
  <c r="E26"/>
  <c r="E24"/>
  <c r="E22"/>
  <c r="E20"/>
  <c r="E18"/>
  <c r="E16"/>
  <c r="E14"/>
  <c r="E12"/>
  <c r="E10"/>
  <c r="E8"/>
  <c r="B5" i="8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 i="7"/>
  <c r="B35"/>
  <c r="B33"/>
  <c r="B31"/>
  <c r="B29"/>
  <c r="B27"/>
  <c r="B25"/>
  <c r="B23"/>
  <c r="B21"/>
  <c r="B19"/>
  <c r="B17"/>
  <c r="B15"/>
  <c r="B13"/>
  <c r="B11"/>
  <c r="B9"/>
  <c r="B7"/>
  <c r="E37"/>
  <c r="E35"/>
  <c r="E33"/>
  <c r="E31"/>
  <c r="E29"/>
  <c r="E27"/>
  <c r="E25"/>
  <c r="E23"/>
  <c r="E21"/>
  <c r="E19"/>
  <c r="E17"/>
  <c r="E15"/>
  <c r="E13"/>
  <c r="E11"/>
  <c r="E9"/>
  <c r="B5" i="5"/>
  <c r="B36"/>
  <c r="B34"/>
  <c r="B32"/>
  <c r="B30"/>
  <c r="B28"/>
  <c r="B26"/>
  <c r="B24"/>
  <c r="B22"/>
  <c r="B20"/>
  <c r="B18"/>
  <c r="B16"/>
  <c r="B14"/>
  <c r="B12"/>
  <c r="B10"/>
  <c r="B8"/>
  <c r="B37"/>
  <c r="B35"/>
  <c r="B33"/>
  <c r="B31"/>
  <c r="B29"/>
  <c r="B27"/>
  <c r="B25"/>
  <c r="B23"/>
  <c r="B21"/>
  <c r="B19"/>
  <c r="B17"/>
  <c r="B15"/>
  <c r="B13"/>
  <c r="B11"/>
  <c r="B9"/>
  <c r="B8" i="3"/>
  <c r="B37"/>
  <c r="B35"/>
  <c r="B33"/>
  <c r="B31"/>
  <c r="B29"/>
  <c r="B27"/>
  <c r="B25"/>
  <c r="B23"/>
  <c r="B21"/>
  <c r="B19"/>
  <c r="B17"/>
  <c r="B15"/>
  <c r="B13"/>
  <c r="B11"/>
  <c r="B9"/>
  <c r="B7"/>
  <c r="B6"/>
  <c r="B36"/>
  <c r="B34"/>
  <c r="B32"/>
  <c r="B30"/>
  <c r="B28"/>
  <c r="B26"/>
  <c r="B24"/>
  <c r="B22"/>
  <c r="B20"/>
  <c r="B18"/>
  <c r="B16"/>
  <c r="B14"/>
  <c r="B12"/>
  <c r="B10"/>
  <c r="AF4" i="4"/>
  <c r="B35"/>
  <c r="E38"/>
  <c r="B32" i="1"/>
  <c r="B31"/>
  <c r="E36"/>
  <c r="B34" i="4" l="1"/>
  <c r="F38"/>
  <c r="B30" i="1"/>
  <c r="F36"/>
  <c r="B33" i="4" l="1"/>
  <c r="G38"/>
  <c r="B29" i="1"/>
  <c r="G36"/>
  <c r="B32" i="4" l="1"/>
  <c r="H38"/>
  <c r="B28" i="1"/>
  <c r="H36"/>
  <c r="B31" i="4" l="1"/>
  <c r="I38"/>
  <c r="B27" i="1"/>
  <c r="I36"/>
  <c r="B30" i="4" l="1"/>
  <c r="J38"/>
  <c r="B26" i="1"/>
  <c r="J36"/>
  <c r="B29" i="4" l="1"/>
  <c r="K38"/>
  <c r="B25" i="1"/>
  <c r="K36"/>
  <c r="B28" i="4" l="1"/>
  <c r="L38"/>
  <c r="B24" i="1"/>
  <c r="L36"/>
  <c r="B27" i="4" l="1"/>
  <c r="M38"/>
  <c r="B23" i="1"/>
  <c r="M36"/>
  <c r="B26" i="4" l="1"/>
  <c r="N38"/>
  <c r="B22" i="1"/>
  <c r="N36"/>
  <c r="B25" i="4" l="1"/>
  <c r="O38"/>
  <c r="B21" i="1"/>
  <c r="O36"/>
  <c r="B24" i="4" l="1"/>
  <c r="P38"/>
  <c r="B20" i="1"/>
  <c r="P36"/>
  <c r="B23" i="4" l="1"/>
  <c r="Q38"/>
  <c r="B19" i="1"/>
  <c r="Q36"/>
  <c r="B22" i="4" l="1"/>
  <c r="R38"/>
  <c r="B18" i="1"/>
  <c r="R36"/>
  <c r="B21" i="4" l="1"/>
  <c r="S38"/>
  <c r="B17" i="1"/>
  <c r="S36"/>
  <c r="B20" i="4" l="1"/>
  <c r="T38"/>
  <c r="B16" i="1"/>
  <c r="T36"/>
  <c r="B19" i="4" l="1"/>
  <c r="U38"/>
  <c r="B15" i="1"/>
  <c r="U36"/>
  <c r="B18" i="4" l="1"/>
  <c r="V38"/>
  <c r="B14" i="1"/>
  <c r="V36"/>
  <c r="B17" i="4" l="1"/>
  <c r="W38"/>
  <c r="B13" i="1"/>
  <c r="W36"/>
  <c r="B16" i="4" l="1"/>
  <c r="X38"/>
  <c r="B12" i="1"/>
  <c r="X36"/>
  <c r="B15" i="4" l="1"/>
  <c r="Y38"/>
  <c r="B11" i="1"/>
  <c r="Y36"/>
  <c r="B14" i="4" l="1"/>
  <c r="Z38"/>
  <c r="B10" i="1"/>
  <c r="Z36"/>
  <c r="B13" i="4" l="1"/>
  <c r="AA38"/>
  <c r="B9" i="1"/>
  <c r="AA36"/>
  <c r="B12" i="4" l="1"/>
  <c r="AB38"/>
  <c r="B8" i="1"/>
  <c r="AB36"/>
  <c r="B11" i="4" l="1"/>
  <c r="AC38"/>
  <c r="B7" i="1"/>
  <c r="AC36"/>
  <c r="B10" i="4" l="1"/>
  <c r="AD38"/>
  <c r="B6" i="1"/>
  <c r="AD36"/>
  <c r="B9" i="4" l="1"/>
  <c r="AE38"/>
  <c r="B5" i="1"/>
  <c r="AE36"/>
  <c r="B8" i="4" l="1"/>
  <c r="AF38"/>
  <c r="B4" i="1"/>
  <c r="AF36"/>
  <c r="B7" i="4" l="1"/>
  <c r="AG38"/>
  <c r="AG36" i="1"/>
  <c r="B6" i="4" l="1"/>
  <c r="AH38"/>
  <c r="AH36" i="1"/>
</calcChain>
</file>

<file path=xl/sharedStrings.xml><?xml version="1.0" encoding="utf-8"?>
<sst xmlns="http://schemas.openxmlformats.org/spreadsheetml/2006/main" count="45" uniqueCount="23">
  <si>
    <t>increment:</t>
  </si>
  <si>
    <t>a</t>
  </si>
  <si>
    <t>b</t>
  </si>
  <si>
    <t>x</t>
  </si>
  <si>
    <t>y</t>
  </si>
  <si>
    <t>Px</t>
  </si>
  <si>
    <t>Py</t>
  </si>
  <si>
    <t>I</t>
  </si>
  <si>
    <r>
      <t>P</t>
    </r>
    <r>
      <rPr>
        <vertAlign val="subscript"/>
        <sz val="11"/>
        <color theme="1"/>
        <rFont val="Calibri"/>
        <family val="2"/>
        <scheme val="minor"/>
      </rPr>
      <t>x</t>
    </r>
  </si>
  <si>
    <t>increment</t>
  </si>
  <si>
    <t>a =</t>
  </si>
  <si>
    <t xml:space="preserve">b = </t>
  </si>
  <si>
    <t xml:space="preserve">Px = </t>
  </si>
  <si>
    <t>Py =</t>
  </si>
  <si>
    <t xml:space="preserve">I = </t>
  </si>
  <si>
    <t xml:space="preserve">Py = </t>
  </si>
  <si>
    <t>Income (I)</t>
  </si>
  <si>
    <t>I =</t>
  </si>
  <si>
    <t>=</t>
  </si>
  <si>
    <t>y-intercept</t>
  </si>
  <si>
    <t>x-intercept</t>
  </si>
  <si>
    <t>selected budget lines…</t>
  </si>
  <si>
    <t>Selected budget lines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</si>
</sst>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1"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Demand curve</a:t>
            </a:r>
          </a:p>
        </c:rich>
      </c:tx>
      <c:layout/>
      <c:overlay val="1"/>
    </c:title>
    <c:plotArea>
      <c:layout/>
      <c:scatterChart>
        <c:scatterStyle val="smoothMarker"/>
        <c:ser>
          <c:idx val="0"/>
          <c:order val="0"/>
          <c:marker>
            <c:symbol val="none"/>
          </c:marker>
          <c:xVal>
            <c:numRef>
              <c:f>'Demand Curve'!$B$6:$B$37</c:f>
              <c:numCache>
                <c:formatCode>0.0</c:formatCode>
                <c:ptCount val="32"/>
                <c:pt idx="0">
                  <c:v>55</c:v>
                </c:pt>
                <c:pt idx="1">
                  <c:v>27.5</c:v>
                </c:pt>
                <c:pt idx="2">
                  <c:v>18.333333333333332</c:v>
                </c:pt>
                <c:pt idx="3">
                  <c:v>13.75</c:v>
                </c:pt>
                <c:pt idx="4">
                  <c:v>11</c:v>
                </c:pt>
                <c:pt idx="5">
                  <c:v>9.1666666666666679</c:v>
                </c:pt>
                <c:pt idx="6">
                  <c:v>7.8571428571428577</c:v>
                </c:pt>
                <c:pt idx="7">
                  <c:v>6.8750000000000009</c:v>
                </c:pt>
                <c:pt idx="8">
                  <c:v>6.1111111111111116</c:v>
                </c:pt>
                <c:pt idx="9">
                  <c:v>5.5000000000000009</c:v>
                </c:pt>
                <c:pt idx="10">
                  <c:v>5.0000000000000009</c:v>
                </c:pt>
                <c:pt idx="11">
                  <c:v>4.5833333333333339</c:v>
                </c:pt>
                <c:pt idx="12">
                  <c:v>4.2307692307692308</c:v>
                </c:pt>
                <c:pt idx="13">
                  <c:v>3.9285714285714284</c:v>
                </c:pt>
                <c:pt idx="14">
                  <c:v>3.6666666666666661</c:v>
                </c:pt>
                <c:pt idx="15">
                  <c:v>3.4374999999999991</c:v>
                </c:pt>
                <c:pt idx="16">
                  <c:v>3.235294117647058</c:v>
                </c:pt>
                <c:pt idx="17">
                  <c:v>3.0555555555555549</c:v>
                </c:pt>
                <c:pt idx="18">
                  <c:v>2.8947368421052624</c:v>
                </c:pt>
                <c:pt idx="19">
                  <c:v>2.7499999999999996</c:v>
                </c:pt>
                <c:pt idx="20">
                  <c:v>2.6190476190476182</c:v>
                </c:pt>
                <c:pt idx="21">
                  <c:v>2.4999999999999991</c:v>
                </c:pt>
                <c:pt idx="22">
                  <c:v>2.391304347826086</c:v>
                </c:pt>
                <c:pt idx="23">
                  <c:v>2.2916666666666661</c:v>
                </c:pt>
                <c:pt idx="24">
                  <c:v>2.1999999999999993</c:v>
                </c:pt>
                <c:pt idx="25">
                  <c:v>2.1153846153846145</c:v>
                </c:pt>
                <c:pt idx="26">
                  <c:v>2.0370370370370363</c:v>
                </c:pt>
                <c:pt idx="27">
                  <c:v>1.9642857142857135</c:v>
                </c:pt>
                <c:pt idx="28">
                  <c:v>1.8965517241379302</c:v>
                </c:pt>
                <c:pt idx="29">
                  <c:v>1.8333333333333326</c:v>
                </c:pt>
                <c:pt idx="30">
                  <c:v>1.7741935483870959</c:v>
                </c:pt>
                <c:pt idx="31">
                  <c:v>1.7187499999999991</c:v>
                </c:pt>
              </c:numCache>
            </c:numRef>
          </c:xVal>
          <c:yVal>
            <c:numRef>
              <c:f>'Demand Curve'!$A$6:$A$37</c:f>
              <c:numCache>
                <c:formatCode>General</c:formatCode>
                <c:ptCount val="32"/>
                <c:pt idx="0">
                  <c:v>0.2</c:v>
                </c:pt>
                <c:pt idx="1">
                  <c:v>0.4</c:v>
                </c:pt>
                <c:pt idx="2">
                  <c:v>0.60000000000000009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1.5999999999999999</c:v>
                </c:pt>
                <c:pt idx="8">
                  <c:v>1.7999999999999998</c:v>
                </c:pt>
                <c:pt idx="9">
                  <c:v>1.9999999999999998</c:v>
                </c:pt>
                <c:pt idx="10">
                  <c:v>2.1999999999999997</c:v>
                </c:pt>
                <c:pt idx="11">
                  <c:v>2.4</c:v>
                </c:pt>
                <c:pt idx="12">
                  <c:v>2.6</c:v>
                </c:pt>
                <c:pt idx="13">
                  <c:v>2.8000000000000003</c:v>
                </c:pt>
                <c:pt idx="14">
                  <c:v>3.0000000000000004</c:v>
                </c:pt>
                <c:pt idx="15">
                  <c:v>3.2000000000000006</c:v>
                </c:pt>
                <c:pt idx="16">
                  <c:v>3.4000000000000008</c:v>
                </c:pt>
                <c:pt idx="17">
                  <c:v>3.600000000000001</c:v>
                </c:pt>
                <c:pt idx="18">
                  <c:v>3.8000000000000012</c:v>
                </c:pt>
                <c:pt idx="19">
                  <c:v>4.0000000000000009</c:v>
                </c:pt>
                <c:pt idx="20">
                  <c:v>4.2000000000000011</c:v>
                </c:pt>
                <c:pt idx="21">
                  <c:v>4.4000000000000012</c:v>
                </c:pt>
                <c:pt idx="22">
                  <c:v>4.6000000000000014</c:v>
                </c:pt>
                <c:pt idx="23">
                  <c:v>4.8000000000000016</c:v>
                </c:pt>
                <c:pt idx="24">
                  <c:v>5.0000000000000018</c:v>
                </c:pt>
                <c:pt idx="25">
                  <c:v>5.200000000000002</c:v>
                </c:pt>
                <c:pt idx="26">
                  <c:v>5.4000000000000021</c:v>
                </c:pt>
                <c:pt idx="27">
                  <c:v>5.6000000000000023</c:v>
                </c:pt>
                <c:pt idx="28">
                  <c:v>5.8000000000000025</c:v>
                </c:pt>
                <c:pt idx="29">
                  <c:v>6.0000000000000027</c:v>
                </c:pt>
                <c:pt idx="30">
                  <c:v>6.2000000000000028</c:v>
                </c:pt>
                <c:pt idx="31">
                  <c:v>6.400000000000003</c:v>
                </c:pt>
              </c:numCache>
            </c:numRef>
          </c:yVal>
          <c:smooth val="1"/>
        </c:ser>
        <c:axId val="69146880"/>
        <c:axId val="69153920"/>
      </c:scatterChart>
      <c:valAx>
        <c:axId val="69146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0.0" sourceLinked="1"/>
        <c:tickLblPos val="nextTo"/>
        <c:crossAx val="69153920"/>
        <c:crosses val="autoZero"/>
        <c:crossBetween val="midCat"/>
      </c:valAx>
      <c:valAx>
        <c:axId val="69153920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Px</a:t>
                </a:r>
              </a:p>
            </c:rich>
          </c:tx>
          <c:layout/>
        </c:title>
        <c:numFmt formatCode="General" sourceLinked="1"/>
        <c:tickLblPos val="nextTo"/>
        <c:crossAx val="69146880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Engel curve</a:t>
            </a:r>
          </a:p>
        </c:rich>
      </c:tx>
      <c:layout/>
      <c:overlay val="1"/>
    </c:title>
    <c:plotArea>
      <c:layout/>
      <c:scatterChart>
        <c:scatterStyle val="smoothMarker"/>
        <c:ser>
          <c:idx val="0"/>
          <c:order val="0"/>
          <c:marker>
            <c:symbol val="none"/>
          </c:marker>
          <c:xVal>
            <c:numRef>
              <c:f>'Engel Curve'!$A$6:$A$37</c:f>
              <c:numCache>
                <c:formatCode>General</c:formatCode>
                <c:ptCount val="3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</c:numCache>
            </c:numRef>
          </c:xVal>
          <c:yVal>
            <c:numRef>
              <c:f>'Engel Curve'!$B$5:$B$37</c:f>
              <c:numCache>
                <c:formatCode>0.0</c:formatCode>
                <c:ptCount val="33"/>
                <c:pt idx="0">
                  <c:v>0</c:v>
                </c:pt>
                <c:pt idx="1">
                  <c:v>0.41666666666666669</c:v>
                </c:pt>
                <c:pt idx="2">
                  <c:v>0.83333333333333337</c:v>
                </c:pt>
                <c:pt idx="3">
                  <c:v>1.25</c:v>
                </c:pt>
                <c:pt idx="4">
                  <c:v>1.6666666666666667</c:v>
                </c:pt>
                <c:pt idx="5">
                  <c:v>2.0833333333333335</c:v>
                </c:pt>
                <c:pt idx="6">
                  <c:v>2.5</c:v>
                </c:pt>
                <c:pt idx="7">
                  <c:v>2.9166666666666665</c:v>
                </c:pt>
                <c:pt idx="8">
                  <c:v>3.3333333333333335</c:v>
                </c:pt>
                <c:pt idx="9">
                  <c:v>3.75</c:v>
                </c:pt>
                <c:pt idx="10">
                  <c:v>4.166666666666667</c:v>
                </c:pt>
                <c:pt idx="11">
                  <c:v>4.583333333333333</c:v>
                </c:pt>
                <c:pt idx="12">
                  <c:v>5</c:v>
                </c:pt>
                <c:pt idx="13">
                  <c:v>5.416666666666667</c:v>
                </c:pt>
                <c:pt idx="14">
                  <c:v>5.833333333333333</c:v>
                </c:pt>
                <c:pt idx="15">
                  <c:v>6.25</c:v>
                </c:pt>
                <c:pt idx="16">
                  <c:v>6.666666666666667</c:v>
                </c:pt>
                <c:pt idx="17">
                  <c:v>7.083333333333333</c:v>
                </c:pt>
                <c:pt idx="18">
                  <c:v>7.5</c:v>
                </c:pt>
                <c:pt idx="19">
                  <c:v>7.916666666666667</c:v>
                </c:pt>
                <c:pt idx="20">
                  <c:v>8.3333333333333339</c:v>
                </c:pt>
                <c:pt idx="21">
                  <c:v>8.75</c:v>
                </c:pt>
                <c:pt idx="22">
                  <c:v>9.1666666666666661</c:v>
                </c:pt>
                <c:pt idx="23">
                  <c:v>9.5833333333333339</c:v>
                </c:pt>
                <c:pt idx="24">
                  <c:v>10</c:v>
                </c:pt>
                <c:pt idx="25">
                  <c:v>10.416666666666666</c:v>
                </c:pt>
                <c:pt idx="26">
                  <c:v>10.833333333333334</c:v>
                </c:pt>
                <c:pt idx="27">
                  <c:v>11.25</c:v>
                </c:pt>
                <c:pt idx="28">
                  <c:v>11.666666666666666</c:v>
                </c:pt>
                <c:pt idx="29">
                  <c:v>12.083333333333334</c:v>
                </c:pt>
                <c:pt idx="30">
                  <c:v>12.5</c:v>
                </c:pt>
                <c:pt idx="31">
                  <c:v>12.916666666666666</c:v>
                </c:pt>
                <c:pt idx="32">
                  <c:v>13.333333333333334</c:v>
                </c:pt>
              </c:numCache>
            </c:numRef>
          </c:yVal>
          <c:smooth val="1"/>
        </c:ser>
        <c:axId val="74090752"/>
        <c:axId val="74109312"/>
      </c:scatterChart>
      <c:valAx>
        <c:axId val="74090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Income (I)</a:t>
                </a:r>
              </a:p>
            </c:rich>
          </c:tx>
          <c:layout/>
        </c:title>
        <c:numFmt formatCode="General" sourceLinked="1"/>
        <c:tickLblPos val="nextTo"/>
        <c:crossAx val="74109312"/>
        <c:crosses val="autoZero"/>
        <c:crossBetween val="midCat"/>
      </c:valAx>
      <c:valAx>
        <c:axId val="74109312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0.0" sourceLinked="1"/>
        <c:tickLblPos val="nextTo"/>
        <c:crossAx val="74090752"/>
        <c:crosses val="autoZero"/>
        <c:crossBetween val="midCat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Price Consumption Curve for X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marker>
            <c:symbol val="none"/>
          </c:marker>
          <c:xVal>
            <c:numRef>
              <c:f>'Price Consumption Curve for X'!$B$6:$B$37</c:f>
              <c:numCache>
                <c:formatCode>0.0</c:formatCode>
                <c:ptCount val="32"/>
                <c:pt idx="0">
                  <c:v>55</c:v>
                </c:pt>
                <c:pt idx="1">
                  <c:v>27.5</c:v>
                </c:pt>
                <c:pt idx="2">
                  <c:v>18.333333333333332</c:v>
                </c:pt>
                <c:pt idx="3">
                  <c:v>13.75</c:v>
                </c:pt>
                <c:pt idx="4">
                  <c:v>11</c:v>
                </c:pt>
                <c:pt idx="5">
                  <c:v>9.1666666666666679</c:v>
                </c:pt>
                <c:pt idx="6">
                  <c:v>7.8571428571428577</c:v>
                </c:pt>
                <c:pt idx="7">
                  <c:v>6.8750000000000009</c:v>
                </c:pt>
                <c:pt idx="8">
                  <c:v>6.1111111111111116</c:v>
                </c:pt>
                <c:pt idx="9">
                  <c:v>5.5000000000000009</c:v>
                </c:pt>
                <c:pt idx="10">
                  <c:v>5.0000000000000009</c:v>
                </c:pt>
                <c:pt idx="11">
                  <c:v>4.5833333333333339</c:v>
                </c:pt>
                <c:pt idx="12">
                  <c:v>4.2307692307692308</c:v>
                </c:pt>
                <c:pt idx="13">
                  <c:v>3.9285714285714284</c:v>
                </c:pt>
                <c:pt idx="14">
                  <c:v>3.6666666666666661</c:v>
                </c:pt>
                <c:pt idx="15">
                  <c:v>3.4374999999999991</c:v>
                </c:pt>
                <c:pt idx="16">
                  <c:v>3.235294117647058</c:v>
                </c:pt>
                <c:pt idx="17">
                  <c:v>3.0555555555555549</c:v>
                </c:pt>
                <c:pt idx="18">
                  <c:v>2.8947368421052624</c:v>
                </c:pt>
                <c:pt idx="19">
                  <c:v>2.7499999999999996</c:v>
                </c:pt>
                <c:pt idx="20">
                  <c:v>2.6190476190476182</c:v>
                </c:pt>
                <c:pt idx="21">
                  <c:v>2.4999999999999991</c:v>
                </c:pt>
                <c:pt idx="22">
                  <c:v>2.391304347826086</c:v>
                </c:pt>
                <c:pt idx="23">
                  <c:v>2.2916666666666661</c:v>
                </c:pt>
                <c:pt idx="24">
                  <c:v>2.1999999999999993</c:v>
                </c:pt>
                <c:pt idx="25">
                  <c:v>2.1153846153846145</c:v>
                </c:pt>
                <c:pt idx="26">
                  <c:v>2.0370370370370363</c:v>
                </c:pt>
                <c:pt idx="27">
                  <c:v>1.9642857142857135</c:v>
                </c:pt>
                <c:pt idx="28">
                  <c:v>1.8965517241379302</c:v>
                </c:pt>
                <c:pt idx="29">
                  <c:v>1.8333333333333326</c:v>
                </c:pt>
                <c:pt idx="30">
                  <c:v>1.7741935483870959</c:v>
                </c:pt>
                <c:pt idx="31">
                  <c:v>1.7187499999999991</c:v>
                </c:pt>
              </c:numCache>
            </c:numRef>
          </c:xVal>
          <c:yVal>
            <c:numRef>
              <c:f>'Price Consumption Curve for X'!$E$6:$E$37</c:f>
              <c:numCache>
                <c:formatCode>0.0</c:formatCode>
                <c:ptCount val="32"/>
                <c:pt idx="0">
                  <c:v>2.75</c:v>
                </c:pt>
                <c:pt idx="1">
                  <c:v>2.75</c:v>
                </c:pt>
                <c:pt idx="2">
                  <c:v>2.75</c:v>
                </c:pt>
                <c:pt idx="3">
                  <c:v>2.75</c:v>
                </c:pt>
                <c:pt idx="4">
                  <c:v>2.75</c:v>
                </c:pt>
                <c:pt idx="5">
                  <c:v>2.75</c:v>
                </c:pt>
                <c:pt idx="6">
                  <c:v>2.75</c:v>
                </c:pt>
                <c:pt idx="7">
                  <c:v>2.75</c:v>
                </c:pt>
                <c:pt idx="8">
                  <c:v>2.75</c:v>
                </c:pt>
                <c:pt idx="9">
                  <c:v>2.75</c:v>
                </c:pt>
                <c:pt idx="10">
                  <c:v>2.75</c:v>
                </c:pt>
                <c:pt idx="11">
                  <c:v>2.75</c:v>
                </c:pt>
                <c:pt idx="12">
                  <c:v>2.75</c:v>
                </c:pt>
                <c:pt idx="13">
                  <c:v>2.75</c:v>
                </c:pt>
                <c:pt idx="14">
                  <c:v>2.75</c:v>
                </c:pt>
                <c:pt idx="15">
                  <c:v>2.75</c:v>
                </c:pt>
                <c:pt idx="16">
                  <c:v>2.75</c:v>
                </c:pt>
                <c:pt idx="17">
                  <c:v>2.75</c:v>
                </c:pt>
                <c:pt idx="18">
                  <c:v>2.75</c:v>
                </c:pt>
                <c:pt idx="19">
                  <c:v>2.75</c:v>
                </c:pt>
                <c:pt idx="20">
                  <c:v>2.75</c:v>
                </c:pt>
                <c:pt idx="21">
                  <c:v>2.75</c:v>
                </c:pt>
                <c:pt idx="22">
                  <c:v>2.75</c:v>
                </c:pt>
                <c:pt idx="23">
                  <c:v>2.75</c:v>
                </c:pt>
                <c:pt idx="24">
                  <c:v>2.75</c:v>
                </c:pt>
                <c:pt idx="25">
                  <c:v>2.75</c:v>
                </c:pt>
                <c:pt idx="26">
                  <c:v>2.75</c:v>
                </c:pt>
                <c:pt idx="27">
                  <c:v>2.75</c:v>
                </c:pt>
                <c:pt idx="28">
                  <c:v>2.75</c:v>
                </c:pt>
                <c:pt idx="29">
                  <c:v>2.75</c:v>
                </c:pt>
                <c:pt idx="30">
                  <c:v>2.75</c:v>
                </c:pt>
                <c:pt idx="31">
                  <c:v>2.75</c:v>
                </c:pt>
              </c:numCache>
            </c:numRef>
          </c:yVal>
          <c:smooth val="1"/>
        </c:ser>
        <c:ser>
          <c:idx val="1"/>
          <c:order val="1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('Price Consumption Curve for X'!$O$7,'Price Consumption Curve for X'!$Q$7)</c:f>
              <c:numCache>
                <c:formatCode>General</c:formatCode>
                <c:ptCount val="2"/>
                <c:pt idx="0">
                  <c:v>0</c:v>
                </c:pt>
                <c:pt idx="1">
                  <c:v>55</c:v>
                </c:pt>
              </c:numCache>
            </c:numRef>
          </c:xVal>
          <c:yVal>
            <c:numRef>
              <c:f>('Price Consumption Curve for X'!$P$7,'Price Consumption Curve for X'!$R$7)</c:f>
              <c:numCache>
                <c:formatCode>General</c:formatCode>
                <c:ptCount val="2"/>
                <c:pt idx="0">
                  <c:v>5.5</c:v>
                </c:pt>
                <c:pt idx="1">
                  <c:v>0</c:v>
                </c:pt>
              </c:numCache>
            </c:numRef>
          </c:yVal>
          <c:smooth val="1"/>
        </c:ser>
        <c:ser>
          <c:idx val="2"/>
          <c:order val="2"/>
          <c:spPr>
            <a:ln w="952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('Price Consumption Curve for X'!$O$17,'Price Consumption Curve for X'!$Q$17)</c:f>
              <c:numCache>
                <c:formatCode>General</c:formatCode>
                <c:ptCount val="2"/>
                <c:pt idx="0">
                  <c:v>0</c:v>
                </c:pt>
                <c:pt idx="1">
                  <c:v>9.1666666666666679</c:v>
                </c:pt>
              </c:numCache>
            </c:numRef>
          </c:xVal>
          <c:yVal>
            <c:numRef>
              <c:f>('Price Consumption Curve for X'!$P$17,'Price Consumption Curve for X'!$R$17)</c:f>
              <c:numCache>
                <c:formatCode>General</c:formatCode>
                <c:ptCount val="2"/>
                <c:pt idx="0">
                  <c:v>5.5</c:v>
                </c:pt>
                <c:pt idx="1">
                  <c:v>0</c:v>
                </c:pt>
              </c:numCache>
            </c:numRef>
          </c:yVal>
          <c:smooth val="1"/>
        </c:ser>
        <c:ser>
          <c:idx val="3"/>
          <c:order val="3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('Price Consumption Curve for X'!$O$12,'Price Consumption Curve for X'!$Q$12)</c:f>
              <c:numCache>
                <c:formatCode>General</c:formatCode>
                <c:ptCount val="2"/>
                <c:pt idx="0">
                  <c:v>0</c:v>
                </c:pt>
                <c:pt idx="1">
                  <c:v>15.714285714285715</c:v>
                </c:pt>
              </c:numCache>
            </c:numRef>
          </c:xVal>
          <c:yVal>
            <c:numRef>
              <c:f>('Price Consumption Curve for X'!$P$12,'Price Consumption Curve for X'!$R$12)</c:f>
              <c:numCache>
                <c:formatCode>General</c:formatCode>
                <c:ptCount val="2"/>
                <c:pt idx="0">
                  <c:v>5.5</c:v>
                </c:pt>
                <c:pt idx="1">
                  <c:v>0</c:v>
                </c:pt>
              </c:numCache>
            </c:numRef>
          </c:yVal>
          <c:smooth val="1"/>
        </c:ser>
        <c:axId val="74234496"/>
        <c:axId val="75281920"/>
      </c:scatterChart>
      <c:valAx>
        <c:axId val="74234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0.0" sourceLinked="1"/>
        <c:tickLblPos val="nextTo"/>
        <c:crossAx val="75281920"/>
        <c:crosses val="autoZero"/>
        <c:crossBetween val="midCat"/>
      </c:valAx>
      <c:valAx>
        <c:axId val="75281920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0.0" sourceLinked="1"/>
        <c:tickLblPos val="nextTo"/>
        <c:crossAx val="74234496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Income Consumption Curve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marker>
            <c:symbol val="none"/>
          </c:marker>
          <c:xVal>
            <c:numRef>
              <c:f>'Income Consumption Curve'!$B$6:$B$37</c:f>
              <c:numCache>
                <c:formatCode>0.0</c:formatCode>
                <c:ptCount val="32"/>
                <c:pt idx="0">
                  <c:v>0.41666666666666669</c:v>
                </c:pt>
                <c:pt idx="1">
                  <c:v>0.83333333333333337</c:v>
                </c:pt>
                <c:pt idx="2">
                  <c:v>1.25</c:v>
                </c:pt>
                <c:pt idx="3">
                  <c:v>1.6666666666666667</c:v>
                </c:pt>
                <c:pt idx="4">
                  <c:v>2.0833333333333335</c:v>
                </c:pt>
                <c:pt idx="5">
                  <c:v>2.5</c:v>
                </c:pt>
                <c:pt idx="6">
                  <c:v>2.9166666666666665</c:v>
                </c:pt>
                <c:pt idx="7">
                  <c:v>3.3333333333333335</c:v>
                </c:pt>
                <c:pt idx="8">
                  <c:v>3.75</c:v>
                </c:pt>
                <c:pt idx="9">
                  <c:v>4.166666666666667</c:v>
                </c:pt>
                <c:pt idx="10">
                  <c:v>4.583333333333333</c:v>
                </c:pt>
                <c:pt idx="11">
                  <c:v>5</c:v>
                </c:pt>
                <c:pt idx="12">
                  <c:v>5.416666666666667</c:v>
                </c:pt>
                <c:pt idx="13">
                  <c:v>5.833333333333333</c:v>
                </c:pt>
                <c:pt idx="14">
                  <c:v>6.25</c:v>
                </c:pt>
                <c:pt idx="15">
                  <c:v>6.666666666666667</c:v>
                </c:pt>
                <c:pt idx="16">
                  <c:v>7.083333333333333</c:v>
                </c:pt>
                <c:pt idx="17">
                  <c:v>7.5</c:v>
                </c:pt>
                <c:pt idx="18">
                  <c:v>7.916666666666667</c:v>
                </c:pt>
                <c:pt idx="19">
                  <c:v>8.3333333333333339</c:v>
                </c:pt>
                <c:pt idx="20">
                  <c:v>8.75</c:v>
                </c:pt>
                <c:pt idx="21">
                  <c:v>9.1666666666666661</c:v>
                </c:pt>
                <c:pt idx="22">
                  <c:v>9.5833333333333339</c:v>
                </c:pt>
                <c:pt idx="23">
                  <c:v>10</c:v>
                </c:pt>
                <c:pt idx="24">
                  <c:v>10.416666666666666</c:v>
                </c:pt>
                <c:pt idx="25">
                  <c:v>10.833333333333334</c:v>
                </c:pt>
                <c:pt idx="26">
                  <c:v>11.25</c:v>
                </c:pt>
                <c:pt idx="27">
                  <c:v>11.666666666666666</c:v>
                </c:pt>
                <c:pt idx="28">
                  <c:v>12.083333333333334</c:v>
                </c:pt>
                <c:pt idx="29">
                  <c:v>12.5</c:v>
                </c:pt>
                <c:pt idx="30">
                  <c:v>12.916666666666666</c:v>
                </c:pt>
                <c:pt idx="31">
                  <c:v>13.333333333333334</c:v>
                </c:pt>
              </c:numCache>
            </c:numRef>
          </c:xVal>
          <c:yVal>
            <c:numRef>
              <c:f>'Income Consumption Curve'!$E$6:$E$37</c:f>
              <c:numCache>
                <c:formatCode>0.0</c:formatCode>
                <c:ptCount val="32"/>
                <c:pt idx="0">
                  <c:v>0.625</c:v>
                </c:pt>
                <c:pt idx="1">
                  <c:v>1.25</c:v>
                </c:pt>
                <c:pt idx="2">
                  <c:v>1.875</c:v>
                </c:pt>
                <c:pt idx="3">
                  <c:v>2.5</c:v>
                </c:pt>
                <c:pt idx="4">
                  <c:v>3.125</c:v>
                </c:pt>
                <c:pt idx="5">
                  <c:v>3.75</c:v>
                </c:pt>
                <c:pt idx="6">
                  <c:v>4.375</c:v>
                </c:pt>
                <c:pt idx="7">
                  <c:v>5</c:v>
                </c:pt>
                <c:pt idx="8">
                  <c:v>5.625</c:v>
                </c:pt>
                <c:pt idx="9">
                  <c:v>6.25</c:v>
                </c:pt>
                <c:pt idx="10">
                  <c:v>6.875</c:v>
                </c:pt>
                <c:pt idx="11">
                  <c:v>7.5</c:v>
                </c:pt>
                <c:pt idx="12">
                  <c:v>8.125</c:v>
                </c:pt>
                <c:pt idx="13">
                  <c:v>8.75</c:v>
                </c:pt>
                <c:pt idx="14">
                  <c:v>9.375</c:v>
                </c:pt>
                <c:pt idx="15">
                  <c:v>10</c:v>
                </c:pt>
                <c:pt idx="16">
                  <c:v>10.625</c:v>
                </c:pt>
                <c:pt idx="17">
                  <c:v>11.25</c:v>
                </c:pt>
                <c:pt idx="18">
                  <c:v>11.875</c:v>
                </c:pt>
                <c:pt idx="19">
                  <c:v>12.5</c:v>
                </c:pt>
                <c:pt idx="20">
                  <c:v>13.125</c:v>
                </c:pt>
                <c:pt idx="21">
                  <c:v>13.75</c:v>
                </c:pt>
                <c:pt idx="22">
                  <c:v>14.375</c:v>
                </c:pt>
                <c:pt idx="23">
                  <c:v>15</c:v>
                </c:pt>
                <c:pt idx="24">
                  <c:v>15.625</c:v>
                </c:pt>
                <c:pt idx="25">
                  <c:v>16.25</c:v>
                </c:pt>
                <c:pt idx="26">
                  <c:v>16.875</c:v>
                </c:pt>
                <c:pt idx="27">
                  <c:v>17.5</c:v>
                </c:pt>
                <c:pt idx="28">
                  <c:v>18.125</c:v>
                </c:pt>
                <c:pt idx="29">
                  <c:v>18.75</c:v>
                </c:pt>
                <c:pt idx="30">
                  <c:v>19.375</c:v>
                </c:pt>
                <c:pt idx="31">
                  <c:v>20</c:v>
                </c:pt>
              </c:numCache>
            </c:numRef>
          </c:yVal>
          <c:smooth val="1"/>
        </c:ser>
        <c:ser>
          <c:idx val="1"/>
          <c:order val="1"/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('Income Consumption Curve'!$P$7,'Income Consumption Curve'!$R$7)</c:f>
              <c:numCache>
                <c:formatCode>General</c:formatCode>
                <c:ptCount val="2"/>
                <c:pt idx="0">
                  <c:v>0</c:v>
                </c:pt>
                <c:pt idx="1">
                  <c:v>1.6666666666666667</c:v>
                </c:pt>
              </c:numCache>
            </c:numRef>
          </c:xVal>
          <c:yVal>
            <c:numRef>
              <c:f>('Income Consumption Curve'!$Q$7,'Income Consumption Curve'!$S$7)</c:f>
              <c:numCache>
                <c:formatCode>General</c:formatCode>
                <c:ptCount val="2"/>
                <c:pt idx="0">
                  <c:v>2.5</c:v>
                </c:pt>
                <c:pt idx="1">
                  <c:v>0</c:v>
                </c:pt>
              </c:numCache>
            </c:numRef>
          </c:yVal>
          <c:smooth val="1"/>
        </c:ser>
        <c:ser>
          <c:idx val="2"/>
          <c:order val="2"/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('Income Consumption Curve'!$P$12,'Income Consumption Curve'!$R$12)</c:f>
              <c:numCache>
                <c:formatCode>General</c:formatCode>
                <c:ptCount val="2"/>
                <c:pt idx="0">
                  <c:v>0</c:v>
                </c:pt>
                <c:pt idx="1">
                  <c:v>5.833333333333333</c:v>
                </c:pt>
              </c:numCache>
            </c:numRef>
          </c:xVal>
          <c:yVal>
            <c:numRef>
              <c:f>('Income Consumption Curve'!$Q$12,'Income Consumption Curve'!$S$12)</c:f>
              <c:numCache>
                <c:formatCode>General</c:formatCode>
                <c:ptCount val="2"/>
                <c:pt idx="0">
                  <c:v>8.75</c:v>
                </c:pt>
                <c:pt idx="1">
                  <c:v>0</c:v>
                </c:pt>
              </c:numCache>
            </c:numRef>
          </c:yVal>
          <c:smooth val="1"/>
        </c:ser>
        <c:ser>
          <c:idx val="3"/>
          <c:order val="3"/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('Income Consumption Curve'!$P$17,'Income Consumption Curve'!$R$17)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('Income Consumption Curve'!$Q$17,'Income Consumption Curve'!$S$17)</c:f>
              <c:numCache>
                <c:formatCode>General</c:formatCode>
                <c:ptCount val="2"/>
                <c:pt idx="0">
                  <c:v>15</c:v>
                </c:pt>
                <c:pt idx="1">
                  <c:v>0</c:v>
                </c:pt>
              </c:numCache>
            </c:numRef>
          </c:yVal>
          <c:smooth val="1"/>
        </c:ser>
        <c:axId val="75296128"/>
        <c:axId val="75340416"/>
      </c:scatterChart>
      <c:valAx>
        <c:axId val="75296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0.0" sourceLinked="1"/>
        <c:tickLblPos val="nextTo"/>
        <c:crossAx val="75340416"/>
        <c:crosses val="autoZero"/>
        <c:crossBetween val="midCat"/>
      </c:valAx>
      <c:valAx>
        <c:axId val="75340416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0.0" sourceLinked="1"/>
        <c:tickLblPos val="nextTo"/>
        <c:crossAx val="75296128"/>
        <c:crosses val="autoZero"/>
        <c:crossBetween val="midCat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123264</xdr:colOff>
      <xdr:row>0</xdr:row>
      <xdr:rowOff>123265</xdr:rowOff>
    </xdr:from>
    <xdr:to>
      <xdr:col>17</xdr:col>
      <xdr:colOff>89646</xdr:colOff>
      <xdr:row>2</xdr:row>
      <xdr:rowOff>15074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440205" y="123265"/>
          <a:ext cx="1311088" cy="2728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112059</xdr:colOff>
      <xdr:row>0</xdr:row>
      <xdr:rowOff>33617</xdr:rowOff>
    </xdr:from>
    <xdr:to>
      <xdr:col>4</xdr:col>
      <xdr:colOff>257735</xdr:colOff>
      <xdr:row>1</xdr:row>
      <xdr:rowOff>115926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12059" y="33617"/>
          <a:ext cx="1311088" cy="272809"/>
        </a:xfrm>
        <a:prstGeom prst="rect">
          <a:avLst/>
        </a:prstGeom>
        <a:noFill/>
      </xdr:spPr>
    </xdr:pic>
    <xdr:clientData/>
  </xdr:twoCellAnchor>
  <xdr:twoCellAnchor>
    <xdr:from>
      <xdr:col>18</xdr:col>
      <xdr:colOff>224117</xdr:colOff>
      <xdr:row>0</xdr:row>
      <xdr:rowOff>156883</xdr:rowOff>
    </xdr:from>
    <xdr:to>
      <xdr:col>23</xdr:col>
      <xdr:colOff>252692</xdr:colOff>
      <xdr:row>2</xdr:row>
      <xdr:rowOff>147358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154705" y="156883"/>
          <a:ext cx="1373281" cy="371475"/>
        </a:xfrm>
        <a:prstGeom prst="rect">
          <a:avLst/>
        </a:prstGeom>
        <a:noFill/>
      </xdr:spPr>
    </xdr:pic>
    <xdr:clientData/>
  </xdr:twoCellAnchor>
  <xdr:twoCellAnchor>
    <xdr:from>
      <xdr:col>18</xdr:col>
      <xdr:colOff>201706</xdr:colOff>
      <xdr:row>3</xdr:row>
      <xdr:rowOff>123264</xdr:rowOff>
    </xdr:from>
    <xdr:to>
      <xdr:col>23</xdr:col>
      <xdr:colOff>239806</xdr:colOff>
      <xdr:row>5</xdr:row>
      <xdr:rowOff>132789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132294" y="694764"/>
          <a:ext cx="1382806" cy="390525"/>
        </a:xfrm>
        <a:prstGeom prst="rect">
          <a:avLst/>
        </a:prstGeom>
        <a:noFill/>
      </xdr:spPr>
    </xdr:pic>
    <xdr:clientData/>
  </xdr:twoCellAnchor>
  <xdr:twoCellAnchor>
    <xdr:from>
      <xdr:col>28</xdr:col>
      <xdr:colOff>44823</xdr:colOff>
      <xdr:row>3</xdr:row>
      <xdr:rowOff>22411</xdr:rowOff>
    </xdr:from>
    <xdr:to>
      <xdr:col>30</xdr:col>
      <xdr:colOff>244849</xdr:colOff>
      <xdr:row>4</xdr:row>
      <xdr:rowOff>41461</xdr:rowOff>
    </xdr:to>
    <xdr:pic>
      <xdr:nvPicPr>
        <xdr:cNvPr id="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664823" y="593911"/>
          <a:ext cx="737908" cy="20955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11206</xdr:colOff>
      <xdr:row>0</xdr:row>
      <xdr:rowOff>56030</xdr:rowOff>
    </xdr:from>
    <xdr:to>
      <xdr:col>10</xdr:col>
      <xdr:colOff>257735</xdr:colOff>
      <xdr:row>1</xdr:row>
      <xdr:rowOff>129751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83441" y="56030"/>
          <a:ext cx="1053353" cy="264221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209551</xdr:colOff>
      <xdr:row>2</xdr:row>
      <xdr:rowOff>172219</xdr:rowOff>
    </xdr:from>
    <xdr:to>
      <xdr:col>3</xdr:col>
      <xdr:colOff>114301</xdr:colOff>
      <xdr:row>4</xdr:row>
      <xdr:rowOff>47625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85801" y="972319"/>
          <a:ext cx="1123950" cy="304031"/>
        </a:xfrm>
        <a:prstGeom prst="rect">
          <a:avLst/>
        </a:prstGeom>
        <a:noFill/>
      </xdr:spPr>
    </xdr:pic>
    <xdr:clientData/>
  </xdr:twoCellAnchor>
  <xdr:twoCellAnchor>
    <xdr:from>
      <xdr:col>6</xdr:col>
      <xdr:colOff>190500</xdr:colOff>
      <xdr:row>6</xdr:row>
      <xdr:rowOff>152399</xdr:rowOff>
    </xdr:from>
    <xdr:to>
      <xdr:col>13</xdr:col>
      <xdr:colOff>495300</xdr:colOff>
      <xdr:row>26</xdr:row>
      <xdr:rowOff>85724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209551</xdr:colOff>
      <xdr:row>2</xdr:row>
      <xdr:rowOff>172219</xdr:rowOff>
    </xdr:from>
    <xdr:to>
      <xdr:col>3</xdr:col>
      <xdr:colOff>114301</xdr:colOff>
      <xdr:row>4</xdr:row>
      <xdr:rowOff>47625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76301" y="553219"/>
          <a:ext cx="1123950" cy="256406"/>
        </a:xfrm>
        <a:prstGeom prst="rect">
          <a:avLst/>
        </a:prstGeom>
        <a:noFill/>
      </xdr:spPr>
    </xdr:pic>
    <xdr:clientData/>
  </xdr:twoCellAnchor>
  <xdr:twoCellAnchor>
    <xdr:from>
      <xdr:col>6</xdr:col>
      <xdr:colOff>190500</xdr:colOff>
      <xdr:row>6</xdr:row>
      <xdr:rowOff>152399</xdr:rowOff>
    </xdr:from>
    <xdr:to>
      <xdr:col>13</xdr:col>
      <xdr:colOff>495300</xdr:colOff>
      <xdr:row>26</xdr:row>
      <xdr:rowOff>85724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209551</xdr:colOff>
      <xdr:row>3</xdr:row>
      <xdr:rowOff>769</xdr:rowOff>
    </xdr:from>
    <xdr:to>
      <xdr:col>3</xdr:col>
      <xdr:colOff>114301</xdr:colOff>
      <xdr:row>4</xdr:row>
      <xdr:rowOff>66675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76301" y="572269"/>
          <a:ext cx="1123950" cy="294506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3</xdr:row>
      <xdr:rowOff>1</xdr:rowOff>
    </xdr:from>
    <xdr:to>
      <xdr:col>5</xdr:col>
      <xdr:colOff>381000</xdr:colOff>
      <xdr:row>4</xdr:row>
      <xdr:rowOff>89261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495550" y="571501"/>
          <a:ext cx="990600" cy="27976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12</xdr:row>
      <xdr:rowOff>9525</xdr:rowOff>
    </xdr:from>
    <xdr:to>
      <xdr:col>13</xdr:col>
      <xdr:colOff>304800</xdr:colOff>
      <xdr:row>30</xdr:row>
      <xdr:rowOff>123825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209551</xdr:colOff>
      <xdr:row>2</xdr:row>
      <xdr:rowOff>143644</xdr:rowOff>
    </xdr:from>
    <xdr:to>
      <xdr:col>3</xdr:col>
      <xdr:colOff>114301</xdr:colOff>
      <xdr:row>4</xdr:row>
      <xdr:rowOff>19050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76301" y="524644"/>
          <a:ext cx="1123950" cy="256406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2</xdr:row>
      <xdr:rowOff>123825</xdr:rowOff>
    </xdr:from>
    <xdr:to>
      <xdr:col>5</xdr:col>
      <xdr:colOff>381000</xdr:colOff>
      <xdr:row>4</xdr:row>
      <xdr:rowOff>60685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495550" y="504825"/>
          <a:ext cx="990600" cy="317860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14</xdr:col>
      <xdr:colOff>304800</xdr:colOff>
      <xdr:row>27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tabSelected="1" zoomScale="85" zoomScaleNormal="85" workbookViewId="0"/>
  </sheetViews>
  <sheetFormatPr defaultRowHeight="15"/>
  <cols>
    <col min="1" max="2" width="4.7109375" customWidth="1"/>
    <col min="3" max="34" width="4" customWidth="1"/>
  </cols>
  <sheetData>
    <row r="1" spans="1:34">
      <c r="A1" t="s">
        <v>1</v>
      </c>
      <c r="B1">
        <v>1</v>
      </c>
    </row>
    <row r="2" spans="1:34">
      <c r="A2" t="s">
        <v>2</v>
      </c>
      <c r="B2">
        <v>1</v>
      </c>
    </row>
    <row r="3" spans="1:34">
      <c r="A3" t="s">
        <v>0</v>
      </c>
      <c r="D3">
        <v>0.2</v>
      </c>
    </row>
    <row r="4" spans="1:34" ht="17.25" customHeight="1">
      <c r="A4" s="4" t="s">
        <v>4</v>
      </c>
      <c r="B4" s="4">
        <f t="shared" ref="B4:B33" si="0">B5+$D$3</f>
        <v>6.2000000000000028</v>
      </c>
      <c r="C4">
        <f t="shared" ref="C4:L13" si="1">C$36^a*$B4^b</f>
        <v>0</v>
      </c>
      <c r="D4">
        <f t="shared" si="1"/>
        <v>1.2400000000000007</v>
      </c>
      <c r="E4">
        <f t="shared" si="1"/>
        <v>2.4800000000000013</v>
      </c>
      <c r="F4">
        <f t="shared" si="1"/>
        <v>3.7200000000000024</v>
      </c>
      <c r="G4">
        <f t="shared" si="1"/>
        <v>4.9600000000000026</v>
      </c>
      <c r="H4">
        <f t="shared" si="1"/>
        <v>6.2000000000000028</v>
      </c>
      <c r="I4">
        <f t="shared" si="1"/>
        <v>7.4400000000000031</v>
      </c>
      <c r="J4">
        <f t="shared" si="1"/>
        <v>8.6800000000000033</v>
      </c>
      <c r="K4">
        <f t="shared" si="1"/>
        <v>9.9200000000000035</v>
      </c>
      <c r="L4">
        <f t="shared" si="1"/>
        <v>11.160000000000004</v>
      </c>
      <c r="M4">
        <f t="shared" ref="M4:V13" si="2">M$36^a*$B4^b</f>
        <v>12.400000000000004</v>
      </c>
      <c r="N4">
        <f t="shared" si="2"/>
        <v>13.640000000000004</v>
      </c>
      <c r="O4">
        <f t="shared" si="2"/>
        <v>14.880000000000006</v>
      </c>
      <c r="P4">
        <f t="shared" si="2"/>
        <v>16.120000000000008</v>
      </c>
      <c r="Q4">
        <f t="shared" si="2"/>
        <v>17.36000000000001</v>
      </c>
      <c r="R4">
        <f t="shared" si="2"/>
        <v>18.600000000000012</v>
      </c>
      <c r="S4">
        <f t="shared" si="2"/>
        <v>19.840000000000014</v>
      </c>
      <c r="T4">
        <f t="shared" si="2"/>
        <v>21.080000000000016</v>
      </c>
      <c r="U4">
        <f t="shared" si="2"/>
        <v>22.320000000000018</v>
      </c>
      <c r="V4">
        <f t="shared" si="2"/>
        <v>23.560000000000016</v>
      </c>
      <c r="W4">
        <f t="shared" ref="W4:AH13" si="3">W$36^a*$B4^b</f>
        <v>24.800000000000018</v>
      </c>
      <c r="X4">
        <f t="shared" si="3"/>
        <v>26.040000000000017</v>
      </c>
      <c r="Y4">
        <f t="shared" si="3"/>
        <v>27.280000000000019</v>
      </c>
      <c r="Z4">
        <f t="shared" si="3"/>
        <v>28.520000000000021</v>
      </c>
      <c r="AA4">
        <f t="shared" si="3"/>
        <v>29.760000000000023</v>
      </c>
      <c r="AB4">
        <f t="shared" si="3"/>
        <v>31.000000000000025</v>
      </c>
      <c r="AC4">
        <f t="shared" si="3"/>
        <v>32.24000000000003</v>
      </c>
      <c r="AD4">
        <f t="shared" si="3"/>
        <v>33.480000000000025</v>
      </c>
      <c r="AE4">
        <f t="shared" si="3"/>
        <v>34.720000000000027</v>
      </c>
      <c r="AF4">
        <f t="shared" si="3"/>
        <v>35.960000000000029</v>
      </c>
      <c r="AG4">
        <f t="shared" si="3"/>
        <v>37.200000000000031</v>
      </c>
      <c r="AH4">
        <f t="shared" si="3"/>
        <v>38.440000000000033</v>
      </c>
    </row>
    <row r="5" spans="1:34" ht="17.25" customHeight="1">
      <c r="B5" s="4">
        <f t="shared" si="0"/>
        <v>6.0000000000000027</v>
      </c>
      <c r="C5">
        <f t="shared" si="1"/>
        <v>0</v>
      </c>
      <c r="D5">
        <f t="shared" si="1"/>
        <v>1.2000000000000006</v>
      </c>
      <c r="E5">
        <f t="shared" si="1"/>
        <v>2.4000000000000012</v>
      </c>
      <c r="F5">
        <f t="shared" si="1"/>
        <v>3.6000000000000023</v>
      </c>
      <c r="G5">
        <f t="shared" si="1"/>
        <v>4.8000000000000025</v>
      </c>
      <c r="H5">
        <f t="shared" si="1"/>
        <v>6.0000000000000027</v>
      </c>
      <c r="I5">
        <f t="shared" si="1"/>
        <v>7.2000000000000028</v>
      </c>
      <c r="J5">
        <f t="shared" si="1"/>
        <v>8.4000000000000039</v>
      </c>
      <c r="K5">
        <f t="shared" si="1"/>
        <v>9.6000000000000032</v>
      </c>
      <c r="L5">
        <f t="shared" si="1"/>
        <v>10.800000000000004</v>
      </c>
      <c r="M5">
        <f t="shared" si="2"/>
        <v>12.000000000000004</v>
      </c>
      <c r="N5">
        <f t="shared" si="2"/>
        <v>13.200000000000005</v>
      </c>
      <c r="O5">
        <f t="shared" si="2"/>
        <v>14.400000000000006</v>
      </c>
      <c r="P5">
        <f t="shared" si="2"/>
        <v>15.600000000000007</v>
      </c>
      <c r="Q5">
        <f t="shared" si="2"/>
        <v>16.800000000000008</v>
      </c>
      <c r="R5">
        <f t="shared" si="2"/>
        <v>18.000000000000011</v>
      </c>
      <c r="S5">
        <f t="shared" si="2"/>
        <v>19.200000000000014</v>
      </c>
      <c r="T5">
        <f t="shared" si="2"/>
        <v>20.400000000000013</v>
      </c>
      <c r="U5">
        <f t="shared" si="2"/>
        <v>21.600000000000016</v>
      </c>
      <c r="V5">
        <f t="shared" si="2"/>
        <v>22.800000000000018</v>
      </c>
      <c r="W5">
        <f t="shared" si="3"/>
        <v>24.000000000000014</v>
      </c>
      <c r="X5">
        <f t="shared" si="3"/>
        <v>25.200000000000017</v>
      </c>
      <c r="Y5">
        <f t="shared" si="3"/>
        <v>26.40000000000002</v>
      </c>
      <c r="Z5">
        <f t="shared" si="3"/>
        <v>27.600000000000019</v>
      </c>
      <c r="AA5">
        <f t="shared" si="3"/>
        <v>28.800000000000022</v>
      </c>
      <c r="AB5">
        <f t="shared" si="3"/>
        <v>30.000000000000025</v>
      </c>
      <c r="AC5">
        <f t="shared" si="3"/>
        <v>31.200000000000024</v>
      </c>
      <c r="AD5">
        <f t="shared" si="3"/>
        <v>32.400000000000027</v>
      </c>
      <c r="AE5">
        <f t="shared" si="3"/>
        <v>33.60000000000003</v>
      </c>
      <c r="AF5">
        <f t="shared" si="3"/>
        <v>34.800000000000033</v>
      </c>
      <c r="AG5">
        <f t="shared" si="3"/>
        <v>36.000000000000028</v>
      </c>
      <c r="AH5">
        <f t="shared" si="3"/>
        <v>37.200000000000031</v>
      </c>
    </row>
    <row r="6" spans="1:34" ht="17.25" customHeight="1">
      <c r="B6" s="4">
        <f t="shared" si="0"/>
        <v>5.8000000000000025</v>
      </c>
      <c r="C6">
        <f t="shared" si="1"/>
        <v>0</v>
      </c>
      <c r="D6">
        <f t="shared" si="1"/>
        <v>1.1600000000000006</v>
      </c>
      <c r="E6">
        <f t="shared" si="1"/>
        <v>2.3200000000000012</v>
      </c>
      <c r="F6">
        <f t="shared" si="1"/>
        <v>3.4800000000000022</v>
      </c>
      <c r="G6">
        <f t="shared" si="1"/>
        <v>4.6400000000000023</v>
      </c>
      <c r="H6">
        <f t="shared" si="1"/>
        <v>5.8000000000000025</v>
      </c>
      <c r="I6">
        <f t="shared" si="1"/>
        <v>6.9600000000000026</v>
      </c>
      <c r="J6">
        <f t="shared" si="1"/>
        <v>8.1200000000000028</v>
      </c>
      <c r="K6">
        <f t="shared" si="1"/>
        <v>9.2800000000000029</v>
      </c>
      <c r="L6">
        <f t="shared" si="1"/>
        <v>10.440000000000003</v>
      </c>
      <c r="M6">
        <f t="shared" si="2"/>
        <v>11.600000000000003</v>
      </c>
      <c r="N6">
        <f t="shared" si="2"/>
        <v>12.760000000000003</v>
      </c>
      <c r="O6">
        <f t="shared" si="2"/>
        <v>13.920000000000005</v>
      </c>
      <c r="P6">
        <f t="shared" si="2"/>
        <v>15.080000000000007</v>
      </c>
      <c r="Q6">
        <f t="shared" si="2"/>
        <v>16.240000000000009</v>
      </c>
      <c r="R6">
        <f t="shared" si="2"/>
        <v>17.400000000000009</v>
      </c>
      <c r="S6">
        <f t="shared" si="2"/>
        <v>18.560000000000013</v>
      </c>
      <c r="T6">
        <f t="shared" si="2"/>
        <v>19.720000000000013</v>
      </c>
      <c r="U6">
        <f t="shared" si="2"/>
        <v>20.880000000000013</v>
      </c>
      <c r="V6">
        <f t="shared" si="2"/>
        <v>22.040000000000017</v>
      </c>
      <c r="W6">
        <f t="shared" si="3"/>
        <v>23.200000000000014</v>
      </c>
      <c r="X6">
        <f t="shared" si="3"/>
        <v>24.360000000000017</v>
      </c>
      <c r="Y6">
        <f t="shared" si="3"/>
        <v>25.520000000000017</v>
      </c>
      <c r="Z6">
        <f t="shared" si="3"/>
        <v>26.680000000000021</v>
      </c>
      <c r="AA6">
        <f t="shared" si="3"/>
        <v>27.840000000000021</v>
      </c>
      <c r="AB6">
        <f t="shared" si="3"/>
        <v>29.000000000000021</v>
      </c>
      <c r="AC6">
        <f t="shared" si="3"/>
        <v>30.160000000000025</v>
      </c>
      <c r="AD6">
        <f t="shared" si="3"/>
        <v>31.320000000000025</v>
      </c>
      <c r="AE6">
        <f t="shared" si="3"/>
        <v>32.480000000000025</v>
      </c>
      <c r="AF6">
        <f t="shared" si="3"/>
        <v>33.640000000000029</v>
      </c>
      <c r="AG6">
        <f t="shared" si="3"/>
        <v>34.800000000000033</v>
      </c>
      <c r="AH6">
        <f t="shared" si="3"/>
        <v>35.960000000000029</v>
      </c>
    </row>
    <row r="7" spans="1:34" ht="17.25" customHeight="1">
      <c r="B7" s="4">
        <f t="shared" si="0"/>
        <v>5.6000000000000023</v>
      </c>
      <c r="C7">
        <f t="shared" si="1"/>
        <v>0</v>
      </c>
      <c r="D7">
        <f t="shared" si="1"/>
        <v>1.1200000000000006</v>
      </c>
      <c r="E7">
        <f t="shared" si="1"/>
        <v>2.2400000000000011</v>
      </c>
      <c r="F7">
        <f t="shared" si="1"/>
        <v>3.3600000000000021</v>
      </c>
      <c r="G7">
        <f t="shared" si="1"/>
        <v>4.4800000000000022</v>
      </c>
      <c r="H7">
        <f t="shared" si="1"/>
        <v>5.6000000000000023</v>
      </c>
      <c r="I7">
        <f t="shared" si="1"/>
        <v>6.7200000000000024</v>
      </c>
      <c r="J7">
        <f t="shared" si="1"/>
        <v>7.8400000000000025</v>
      </c>
      <c r="K7">
        <f t="shared" si="1"/>
        <v>8.9600000000000026</v>
      </c>
      <c r="L7">
        <f t="shared" si="1"/>
        <v>10.080000000000004</v>
      </c>
      <c r="M7">
        <f t="shared" si="2"/>
        <v>11.200000000000003</v>
      </c>
      <c r="N7">
        <f t="shared" si="2"/>
        <v>12.320000000000004</v>
      </c>
      <c r="O7">
        <f t="shared" si="2"/>
        <v>13.440000000000005</v>
      </c>
      <c r="P7">
        <f t="shared" si="2"/>
        <v>14.560000000000006</v>
      </c>
      <c r="Q7">
        <f t="shared" si="2"/>
        <v>15.680000000000009</v>
      </c>
      <c r="R7">
        <f t="shared" si="2"/>
        <v>16.800000000000008</v>
      </c>
      <c r="S7">
        <f t="shared" si="2"/>
        <v>17.920000000000012</v>
      </c>
      <c r="T7">
        <f t="shared" si="2"/>
        <v>19.040000000000013</v>
      </c>
      <c r="U7">
        <f t="shared" si="2"/>
        <v>20.160000000000014</v>
      </c>
      <c r="V7">
        <f t="shared" si="2"/>
        <v>21.280000000000015</v>
      </c>
      <c r="W7">
        <f t="shared" si="3"/>
        <v>22.400000000000013</v>
      </c>
      <c r="X7">
        <f t="shared" si="3"/>
        <v>23.520000000000017</v>
      </c>
      <c r="Y7">
        <f t="shared" si="3"/>
        <v>24.640000000000018</v>
      </c>
      <c r="Z7">
        <f t="shared" si="3"/>
        <v>25.760000000000019</v>
      </c>
      <c r="AA7">
        <f t="shared" si="3"/>
        <v>26.88000000000002</v>
      </c>
      <c r="AB7">
        <f t="shared" si="3"/>
        <v>28.000000000000021</v>
      </c>
      <c r="AC7">
        <f t="shared" si="3"/>
        <v>29.120000000000022</v>
      </c>
      <c r="AD7">
        <f t="shared" si="3"/>
        <v>30.240000000000023</v>
      </c>
      <c r="AE7">
        <f t="shared" si="3"/>
        <v>31.360000000000024</v>
      </c>
      <c r="AF7">
        <f t="shared" si="3"/>
        <v>32.480000000000025</v>
      </c>
      <c r="AG7">
        <f t="shared" si="3"/>
        <v>33.60000000000003</v>
      </c>
      <c r="AH7">
        <f t="shared" si="3"/>
        <v>34.720000000000027</v>
      </c>
    </row>
    <row r="8" spans="1:34" ht="17.25" customHeight="1">
      <c r="B8" s="4">
        <f t="shared" si="0"/>
        <v>5.4000000000000021</v>
      </c>
      <c r="C8">
        <f t="shared" si="1"/>
        <v>0</v>
      </c>
      <c r="D8">
        <f t="shared" si="1"/>
        <v>1.0800000000000005</v>
      </c>
      <c r="E8">
        <f t="shared" si="1"/>
        <v>2.160000000000001</v>
      </c>
      <c r="F8">
        <f t="shared" si="1"/>
        <v>3.2400000000000015</v>
      </c>
      <c r="G8">
        <f t="shared" si="1"/>
        <v>4.3200000000000021</v>
      </c>
      <c r="H8">
        <f t="shared" si="1"/>
        <v>5.4000000000000021</v>
      </c>
      <c r="I8">
        <f t="shared" si="1"/>
        <v>6.4800000000000022</v>
      </c>
      <c r="J8">
        <f t="shared" si="1"/>
        <v>7.5600000000000023</v>
      </c>
      <c r="K8">
        <f t="shared" si="1"/>
        <v>8.6400000000000023</v>
      </c>
      <c r="L8">
        <f t="shared" si="1"/>
        <v>9.7200000000000024</v>
      </c>
      <c r="M8">
        <f t="shared" si="2"/>
        <v>10.800000000000002</v>
      </c>
      <c r="N8">
        <f t="shared" si="2"/>
        <v>11.880000000000003</v>
      </c>
      <c r="O8">
        <f t="shared" si="2"/>
        <v>12.960000000000004</v>
      </c>
      <c r="P8">
        <f t="shared" si="2"/>
        <v>14.040000000000006</v>
      </c>
      <c r="Q8">
        <f t="shared" si="2"/>
        <v>15.120000000000008</v>
      </c>
      <c r="R8">
        <f t="shared" si="2"/>
        <v>16.20000000000001</v>
      </c>
      <c r="S8">
        <f t="shared" si="2"/>
        <v>17.280000000000012</v>
      </c>
      <c r="T8">
        <f t="shared" si="2"/>
        <v>18.36000000000001</v>
      </c>
      <c r="U8">
        <f t="shared" si="2"/>
        <v>19.440000000000012</v>
      </c>
      <c r="V8">
        <f t="shared" si="2"/>
        <v>20.520000000000014</v>
      </c>
      <c r="W8">
        <f t="shared" si="3"/>
        <v>21.600000000000012</v>
      </c>
      <c r="X8">
        <f t="shared" si="3"/>
        <v>22.680000000000014</v>
      </c>
      <c r="Y8">
        <f t="shared" si="3"/>
        <v>23.760000000000016</v>
      </c>
      <c r="Z8">
        <f t="shared" si="3"/>
        <v>24.840000000000018</v>
      </c>
      <c r="AA8">
        <f t="shared" si="3"/>
        <v>25.920000000000019</v>
      </c>
      <c r="AB8">
        <f t="shared" si="3"/>
        <v>27.000000000000021</v>
      </c>
      <c r="AC8">
        <f t="shared" si="3"/>
        <v>28.080000000000023</v>
      </c>
      <c r="AD8">
        <f t="shared" si="3"/>
        <v>29.160000000000021</v>
      </c>
      <c r="AE8">
        <f t="shared" si="3"/>
        <v>30.240000000000023</v>
      </c>
      <c r="AF8">
        <f t="shared" si="3"/>
        <v>31.320000000000025</v>
      </c>
      <c r="AG8">
        <f t="shared" si="3"/>
        <v>32.400000000000027</v>
      </c>
      <c r="AH8">
        <f t="shared" si="3"/>
        <v>33.480000000000025</v>
      </c>
    </row>
    <row r="9" spans="1:34" ht="17.25" customHeight="1">
      <c r="B9" s="4">
        <f t="shared" si="0"/>
        <v>5.200000000000002</v>
      </c>
      <c r="C9">
        <f t="shared" si="1"/>
        <v>0</v>
      </c>
      <c r="D9">
        <f t="shared" si="1"/>
        <v>1.0400000000000005</v>
      </c>
      <c r="E9">
        <f t="shared" si="1"/>
        <v>2.080000000000001</v>
      </c>
      <c r="F9">
        <f t="shared" si="1"/>
        <v>3.1200000000000014</v>
      </c>
      <c r="G9">
        <f t="shared" si="1"/>
        <v>4.1600000000000019</v>
      </c>
      <c r="H9">
        <f t="shared" si="1"/>
        <v>5.200000000000002</v>
      </c>
      <c r="I9">
        <f t="shared" si="1"/>
        <v>6.240000000000002</v>
      </c>
      <c r="J9">
        <f t="shared" si="1"/>
        <v>7.280000000000002</v>
      </c>
      <c r="K9">
        <f t="shared" si="1"/>
        <v>8.3200000000000021</v>
      </c>
      <c r="L9">
        <f t="shared" si="1"/>
        <v>9.360000000000003</v>
      </c>
      <c r="M9">
        <f t="shared" si="2"/>
        <v>10.400000000000002</v>
      </c>
      <c r="N9">
        <f t="shared" si="2"/>
        <v>11.440000000000003</v>
      </c>
      <c r="O9">
        <f t="shared" si="2"/>
        <v>12.480000000000004</v>
      </c>
      <c r="P9">
        <f t="shared" si="2"/>
        <v>13.520000000000005</v>
      </c>
      <c r="Q9">
        <f t="shared" si="2"/>
        <v>14.560000000000008</v>
      </c>
      <c r="R9">
        <f t="shared" si="2"/>
        <v>15.600000000000009</v>
      </c>
      <c r="S9">
        <f t="shared" si="2"/>
        <v>16.640000000000011</v>
      </c>
      <c r="T9">
        <f t="shared" si="2"/>
        <v>17.68000000000001</v>
      </c>
      <c r="U9">
        <f t="shared" si="2"/>
        <v>18.720000000000013</v>
      </c>
      <c r="V9">
        <f t="shared" si="2"/>
        <v>19.760000000000012</v>
      </c>
      <c r="W9">
        <f t="shared" si="3"/>
        <v>20.800000000000011</v>
      </c>
      <c r="X9">
        <f t="shared" si="3"/>
        <v>21.840000000000014</v>
      </c>
      <c r="Y9">
        <f t="shared" si="3"/>
        <v>22.880000000000017</v>
      </c>
      <c r="Z9">
        <f t="shared" si="3"/>
        <v>23.920000000000016</v>
      </c>
      <c r="AA9">
        <f t="shared" si="3"/>
        <v>24.960000000000019</v>
      </c>
      <c r="AB9">
        <f t="shared" si="3"/>
        <v>26.000000000000018</v>
      </c>
      <c r="AC9">
        <f t="shared" si="3"/>
        <v>27.04000000000002</v>
      </c>
      <c r="AD9">
        <f t="shared" si="3"/>
        <v>28.080000000000023</v>
      </c>
      <c r="AE9">
        <f t="shared" si="3"/>
        <v>29.120000000000022</v>
      </c>
      <c r="AF9">
        <f t="shared" si="3"/>
        <v>30.160000000000025</v>
      </c>
      <c r="AG9">
        <f t="shared" si="3"/>
        <v>31.200000000000024</v>
      </c>
      <c r="AH9">
        <f t="shared" si="3"/>
        <v>32.24000000000003</v>
      </c>
    </row>
    <row r="10" spans="1:34" ht="17.25" customHeight="1">
      <c r="B10" s="4">
        <f t="shared" si="0"/>
        <v>5.0000000000000018</v>
      </c>
      <c r="C10">
        <f t="shared" si="1"/>
        <v>0</v>
      </c>
      <c r="D10">
        <f t="shared" si="1"/>
        <v>1.0000000000000004</v>
      </c>
      <c r="E10">
        <f t="shared" si="1"/>
        <v>2.0000000000000009</v>
      </c>
      <c r="F10">
        <f t="shared" si="1"/>
        <v>3.0000000000000013</v>
      </c>
      <c r="G10">
        <f t="shared" si="1"/>
        <v>4.0000000000000018</v>
      </c>
      <c r="H10">
        <f t="shared" si="1"/>
        <v>5.0000000000000018</v>
      </c>
      <c r="I10">
        <f t="shared" si="1"/>
        <v>6.0000000000000018</v>
      </c>
      <c r="J10">
        <f t="shared" si="1"/>
        <v>7.0000000000000018</v>
      </c>
      <c r="K10">
        <f t="shared" si="1"/>
        <v>8.0000000000000018</v>
      </c>
      <c r="L10">
        <f t="shared" si="1"/>
        <v>9.0000000000000018</v>
      </c>
      <c r="M10">
        <f t="shared" si="2"/>
        <v>10.000000000000002</v>
      </c>
      <c r="N10">
        <f t="shared" si="2"/>
        <v>11.000000000000002</v>
      </c>
      <c r="O10">
        <f t="shared" si="2"/>
        <v>12.000000000000004</v>
      </c>
      <c r="P10">
        <f t="shared" si="2"/>
        <v>13.000000000000005</v>
      </c>
      <c r="Q10">
        <f t="shared" si="2"/>
        <v>14.000000000000007</v>
      </c>
      <c r="R10">
        <f t="shared" si="2"/>
        <v>15.000000000000007</v>
      </c>
      <c r="S10">
        <f t="shared" si="2"/>
        <v>16.000000000000007</v>
      </c>
      <c r="T10">
        <f t="shared" si="2"/>
        <v>17.000000000000011</v>
      </c>
      <c r="U10">
        <f t="shared" si="2"/>
        <v>18.000000000000011</v>
      </c>
      <c r="V10">
        <f t="shared" si="2"/>
        <v>19.000000000000014</v>
      </c>
      <c r="W10">
        <f t="shared" si="3"/>
        <v>20.000000000000011</v>
      </c>
      <c r="X10">
        <f t="shared" si="3"/>
        <v>21.000000000000014</v>
      </c>
      <c r="Y10">
        <f t="shared" si="3"/>
        <v>22.000000000000014</v>
      </c>
      <c r="Z10">
        <f t="shared" si="3"/>
        <v>23.000000000000014</v>
      </c>
      <c r="AA10">
        <f t="shared" si="3"/>
        <v>24.000000000000018</v>
      </c>
      <c r="AB10">
        <f t="shared" si="3"/>
        <v>25.000000000000018</v>
      </c>
      <c r="AC10">
        <f t="shared" si="3"/>
        <v>26.000000000000018</v>
      </c>
      <c r="AD10">
        <f t="shared" si="3"/>
        <v>27.000000000000021</v>
      </c>
      <c r="AE10">
        <f t="shared" si="3"/>
        <v>28.000000000000021</v>
      </c>
      <c r="AF10">
        <f t="shared" si="3"/>
        <v>29.000000000000021</v>
      </c>
      <c r="AG10">
        <f t="shared" si="3"/>
        <v>30.000000000000025</v>
      </c>
      <c r="AH10">
        <f t="shared" si="3"/>
        <v>31.000000000000025</v>
      </c>
    </row>
    <row r="11" spans="1:34" ht="17.25" customHeight="1">
      <c r="B11" s="4">
        <f t="shared" si="0"/>
        <v>4.8000000000000016</v>
      </c>
      <c r="C11">
        <f t="shared" si="1"/>
        <v>0</v>
      </c>
      <c r="D11">
        <f t="shared" si="1"/>
        <v>0.96000000000000041</v>
      </c>
      <c r="E11">
        <f t="shared" si="1"/>
        <v>1.9200000000000008</v>
      </c>
      <c r="F11">
        <f t="shared" si="1"/>
        <v>2.8800000000000012</v>
      </c>
      <c r="G11">
        <f t="shared" si="1"/>
        <v>3.8400000000000016</v>
      </c>
      <c r="H11">
        <f t="shared" si="1"/>
        <v>4.8000000000000016</v>
      </c>
      <c r="I11">
        <f t="shared" si="1"/>
        <v>5.7600000000000016</v>
      </c>
      <c r="J11">
        <f t="shared" si="1"/>
        <v>6.7200000000000015</v>
      </c>
      <c r="K11">
        <f t="shared" si="1"/>
        <v>7.6800000000000015</v>
      </c>
      <c r="L11">
        <f t="shared" si="1"/>
        <v>8.6400000000000023</v>
      </c>
      <c r="M11">
        <f t="shared" si="2"/>
        <v>9.6000000000000014</v>
      </c>
      <c r="N11">
        <f t="shared" si="2"/>
        <v>10.560000000000002</v>
      </c>
      <c r="O11">
        <f t="shared" si="2"/>
        <v>11.520000000000003</v>
      </c>
      <c r="P11">
        <f t="shared" si="2"/>
        <v>12.480000000000004</v>
      </c>
      <c r="Q11">
        <f t="shared" si="2"/>
        <v>13.440000000000007</v>
      </c>
      <c r="R11">
        <f t="shared" si="2"/>
        <v>14.400000000000007</v>
      </c>
      <c r="S11">
        <f t="shared" si="2"/>
        <v>15.360000000000008</v>
      </c>
      <c r="T11">
        <f t="shared" si="2"/>
        <v>16.320000000000011</v>
      </c>
      <c r="U11">
        <f t="shared" si="2"/>
        <v>17.280000000000012</v>
      </c>
      <c r="V11">
        <f t="shared" si="2"/>
        <v>18.240000000000013</v>
      </c>
      <c r="W11">
        <f t="shared" si="3"/>
        <v>19.20000000000001</v>
      </c>
      <c r="X11">
        <f t="shared" si="3"/>
        <v>20.160000000000011</v>
      </c>
      <c r="Y11">
        <f t="shared" si="3"/>
        <v>21.120000000000012</v>
      </c>
      <c r="Z11">
        <f t="shared" si="3"/>
        <v>22.080000000000013</v>
      </c>
      <c r="AA11">
        <f t="shared" si="3"/>
        <v>23.040000000000017</v>
      </c>
      <c r="AB11">
        <f t="shared" si="3"/>
        <v>24.000000000000018</v>
      </c>
      <c r="AC11">
        <f t="shared" si="3"/>
        <v>24.960000000000019</v>
      </c>
      <c r="AD11">
        <f t="shared" si="3"/>
        <v>25.920000000000019</v>
      </c>
      <c r="AE11">
        <f t="shared" si="3"/>
        <v>26.88000000000002</v>
      </c>
      <c r="AF11">
        <f t="shared" si="3"/>
        <v>27.840000000000021</v>
      </c>
      <c r="AG11">
        <f t="shared" si="3"/>
        <v>28.800000000000022</v>
      </c>
      <c r="AH11">
        <f t="shared" si="3"/>
        <v>29.760000000000023</v>
      </c>
    </row>
    <row r="12" spans="1:34" ht="17.25" customHeight="1">
      <c r="B12" s="4">
        <f t="shared" si="0"/>
        <v>4.6000000000000014</v>
      </c>
      <c r="C12">
        <f t="shared" si="1"/>
        <v>0</v>
      </c>
      <c r="D12">
        <f t="shared" si="1"/>
        <v>0.92000000000000037</v>
      </c>
      <c r="E12">
        <f t="shared" si="1"/>
        <v>1.8400000000000007</v>
      </c>
      <c r="F12">
        <f t="shared" si="1"/>
        <v>2.7600000000000011</v>
      </c>
      <c r="G12">
        <f t="shared" si="1"/>
        <v>3.6800000000000015</v>
      </c>
      <c r="H12">
        <f t="shared" si="1"/>
        <v>4.6000000000000014</v>
      </c>
      <c r="I12">
        <f t="shared" si="1"/>
        <v>5.5200000000000014</v>
      </c>
      <c r="J12">
        <f t="shared" si="1"/>
        <v>6.4400000000000013</v>
      </c>
      <c r="K12">
        <f t="shared" si="1"/>
        <v>7.3600000000000021</v>
      </c>
      <c r="L12">
        <f t="shared" si="1"/>
        <v>8.2800000000000011</v>
      </c>
      <c r="M12">
        <f t="shared" si="2"/>
        <v>9.2000000000000011</v>
      </c>
      <c r="N12">
        <f t="shared" si="2"/>
        <v>10.120000000000003</v>
      </c>
      <c r="O12">
        <f t="shared" si="2"/>
        <v>11.040000000000003</v>
      </c>
      <c r="P12">
        <f t="shared" si="2"/>
        <v>11.960000000000004</v>
      </c>
      <c r="Q12">
        <f t="shared" si="2"/>
        <v>12.880000000000004</v>
      </c>
      <c r="R12">
        <f t="shared" si="2"/>
        <v>13.800000000000006</v>
      </c>
      <c r="S12">
        <f t="shared" si="2"/>
        <v>14.720000000000008</v>
      </c>
      <c r="T12">
        <f t="shared" si="2"/>
        <v>15.640000000000008</v>
      </c>
      <c r="U12">
        <f t="shared" si="2"/>
        <v>16.560000000000009</v>
      </c>
      <c r="V12">
        <f t="shared" si="2"/>
        <v>17.480000000000011</v>
      </c>
      <c r="W12">
        <f t="shared" si="3"/>
        <v>18.400000000000009</v>
      </c>
      <c r="X12">
        <f t="shared" si="3"/>
        <v>19.320000000000011</v>
      </c>
      <c r="Y12">
        <f t="shared" si="3"/>
        <v>20.240000000000013</v>
      </c>
      <c r="Z12">
        <f t="shared" si="3"/>
        <v>21.160000000000014</v>
      </c>
      <c r="AA12">
        <f t="shared" si="3"/>
        <v>22.080000000000013</v>
      </c>
      <c r="AB12">
        <f t="shared" si="3"/>
        <v>23.000000000000014</v>
      </c>
      <c r="AC12">
        <f t="shared" si="3"/>
        <v>23.920000000000016</v>
      </c>
      <c r="AD12">
        <f t="shared" si="3"/>
        <v>24.840000000000018</v>
      </c>
      <c r="AE12">
        <f t="shared" si="3"/>
        <v>25.760000000000019</v>
      </c>
      <c r="AF12">
        <f t="shared" si="3"/>
        <v>26.680000000000021</v>
      </c>
      <c r="AG12">
        <f t="shared" si="3"/>
        <v>27.600000000000019</v>
      </c>
      <c r="AH12">
        <f t="shared" si="3"/>
        <v>28.520000000000021</v>
      </c>
    </row>
    <row r="13" spans="1:34" ht="17.25" customHeight="1">
      <c r="B13" s="4">
        <f t="shared" si="0"/>
        <v>4.4000000000000012</v>
      </c>
      <c r="C13">
        <f t="shared" si="1"/>
        <v>0</v>
      </c>
      <c r="D13">
        <f t="shared" si="1"/>
        <v>0.88000000000000034</v>
      </c>
      <c r="E13">
        <f t="shared" si="1"/>
        <v>1.7600000000000007</v>
      </c>
      <c r="F13">
        <f t="shared" si="1"/>
        <v>2.640000000000001</v>
      </c>
      <c r="G13">
        <f t="shared" si="1"/>
        <v>3.5200000000000014</v>
      </c>
      <c r="H13">
        <f t="shared" si="1"/>
        <v>4.4000000000000012</v>
      </c>
      <c r="I13">
        <f t="shared" si="1"/>
        <v>5.2800000000000011</v>
      </c>
      <c r="J13">
        <f t="shared" si="1"/>
        <v>6.160000000000001</v>
      </c>
      <c r="K13">
        <f t="shared" si="1"/>
        <v>7.0400000000000018</v>
      </c>
      <c r="L13">
        <f t="shared" si="1"/>
        <v>7.9200000000000017</v>
      </c>
      <c r="M13">
        <f t="shared" si="2"/>
        <v>8.8000000000000007</v>
      </c>
      <c r="N13">
        <f t="shared" si="2"/>
        <v>9.6800000000000015</v>
      </c>
      <c r="O13">
        <f t="shared" si="2"/>
        <v>10.560000000000002</v>
      </c>
      <c r="P13">
        <f t="shared" si="2"/>
        <v>11.440000000000003</v>
      </c>
      <c r="Q13">
        <f t="shared" si="2"/>
        <v>12.320000000000004</v>
      </c>
      <c r="R13">
        <f t="shared" si="2"/>
        <v>13.200000000000006</v>
      </c>
      <c r="S13">
        <f t="shared" si="2"/>
        <v>14.080000000000007</v>
      </c>
      <c r="T13">
        <f t="shared" si="2"/>
        <v>14.960000000000008</v>
      </c>
      <c r="U13">
        <f t="shared" si="2"/>
        <v>15.840000000000009</v>
      </c>
      <c r="V13">
        <f t="shared" si="2"/>
        <v>16.72000000000001</v>
      </c>
      <c r="W13">
        <f t="shared" si="3"/>
        <v>17.600000000000009</v>
      </c>
      <c r="X13">
        <f t="shared" si="3"/>
        <v>18.480000000000011</v>
      </c>
      <c r="Y13">
        <f t="shared" si="3"/>
        <v>19.36000000000001</v>
      </c>
      <c r="Z13">
        <f t="shared" si="3"/>
        <v>20.240000000000013</v>
      </c>
      <c r="AA13">
        <f t="shared" si="3"/>
        <v>21.120000000000012</v>
      </c>
      <c r="AB13">
        <f t="shared" si="3"/>
        <v>22.000000000000014</v>
      </c>
      <c r="AC13">
        <f t="shared" si="3"/>
        <v>22.880000000000017</v>
      </c>
      <c r="AD13">
        <f t="shared" si="3"/>
        <v>23.760000000000016</v>
      </c>
      <c r="AE13">
        <f t="shared" si="3"/>
        <v>24.640000000000018</v>
      </c>
      <c r="AF13">
        <f t="shared" si="3"/>
        <v>25.520000000000017</v>
      </c>
      <c r="AG13">
        <f t="shared" si="3"/>
        <v>26.40000000000002</v>
      </c>
      <c r="AH13">
        <f t="shared" si="3"/>
        <v>27.280000000000019</v>
      </c>
    </row>
    <row r="14" spans="1:34" ht="17.25" customHeight="1">
      <c r="B14" s="4">
        <f t="shared" si="0"/>
        <v>4.2000000000000011</v>
      </c>
      <c r="C14">
        <f t="shared" ref="C14:L23" si="4">C$36^a*$B14^b</f>
        <v>0</v>
      </c>
      <c r="D14">
        <f t="shared" si="4"/>
        <v>0.8400000000000003</v>
      </c>
      <c r="E14">
        <f t="shared" si="4"/>
        <v>1.6800000000000006</v>
      </c>
      <c r="F14">
        <f t="shared" si="4"/>
        <v>2.5200000000000009</v>
      </c>
      <c r="G14">
        <f t="shared" si="4"/>
        <v>3.3600000000000012</v>
      </c>
      <c r="H14">
        <f t="shared" si="4"/>
        <v>4.2000000000000011</v>
      </c>
      <c r="I14">
        <f t="shared" si="4"/>
        <v>5.0400000000000009</v>
      </c>
      <c r="J14">
        <f t="shared" si="4"/>
        <v>5.8800000000000008</v>
      </c>
      <c r="K14">
        <f t="shared" si="4"/>
        <v>6.7200000000000015</v>
      </c>
      <c r="L14">
        <f t="shared" si="4"/>
        <v>7.5600000000000014</v>
      </c>
      <c r="M14">
        <f t="shared" ref="M14:V23" si="5">M$36^a*$B14^b</f>
        <v>8.4</v>
      </c>
      <c r="N14">
        <f t="shared" si="5"/>
        <v>9.240000000000002</v>
      </c>
      <c r="O14">
        <f t="shared" si="5"/>
        <v>10.080000000000002</v>
      </c>
      <c r="P14">
        <f t="shared" si="5"/>
        <v>10.920000000000003</v>
      </c>
      <c r="Q14">
        <f t="shared" si="5"/>
        <v>11.760000000000003</v>
      </c>
      <c r="R14">
        <f t="shared" si="5"/>
        <v>12.600000000000005</v>
      </c>
      <c r="S14">
        <f t="shared" si="5"/>
        <v>13.440000000000007</v>
      </c>
      <c r="T14">
        <f t="shared" si="5"/>
        <v>14.280000000000006</v>
      </c>
      <c r="U14">
        <f t="shared" si="5"/>
        <v>15.120000000000008</v>
      </c>
      <c r="V14">
        <f t="shared" si="5"/>
        <v>15.96000000000001</v>
      </c>
      <c r="W14">
        <f t="shared" ref="W14:AH23" si="6">W$36^a*$B14^b</f>
        <v>16.800000000000008</v>
      </c>
      <c r="X14">
        <f t="shared" si="6"/>
        <v>17.640000000000008</v>
      </c>
      <c r="Y14">
        <f t="shared" si="6"/>
        <v>18.480000000000011</v>
      </c>
      <c r="Z14">
        <f t="shared" si="6"/>
        <v>19.320000000000011</v>
      </c>
      <c r="AA14">
        <f t="shared" si="6"/>
        <v>20.160000000000011</v>
      </c>
      <c r="AB14">
        <f t="shared" si="6"/>
        <v>21.000000000000014</v>
      </c>
      <c r="AC14">
        <f t="shared" si="6"/>
        <v>21.840000000000014</v>
      </c>
      <c r="AD14">
        <f t="shared" si="6"/>
        <v>22.680000000000014</v>
      </c>
      <c r="AE14">
        <f t="shared" si="6"/>
        <v>23.520000000000017</v>
      </c>
      <c r="AF14">
        <f t="shared" si="6"/>
        <v>24.360000000000017</v>
      </c>
      <c r="AG14">
        <f t="shared" si="6"/>
        <v>25.200000000000017</v>
      </c>
      <c r="AH14">
        <f t="shared" si="6"/>
        <v>26.040000000000017</v>
      </c>
    </row>
    <row r="15" spans="1:34" ht="17.25" customHeight="1">
      <c r="B15" s="4">
        <f t="shared" si="0"/>
        <v>4.0000000000000009</v>
      </c>
      <c r="C15">
        <f t="shared" si="4"/>
        <v>0</v>
      </c>
      <c r="D15">
        <f t="shared" si="4"/>
        <v>0.80000000000000027</v>
      </c>
      <c r="E15">
        <f t="shared" si="4"/>
        <v>1.6000000000000005</v>
      </c>
      <c r="F15">
        <f t="shared" si="4"/>
        <v>2.4000000000000008</v>
      </c>
      <c r="G15">
        <f t="shared" si="4"/>
        <v>3.2000000000000011</v>
      </c>
      <c r="H15">
        <f t="shared" si="4"/>
        <v>4.0000000000000009</v>
      </c>
      <c r="I15">
        <f t="shared" si="4"/>
        <v>4.8000000000000007</v>
      </c>
      <c r="J15">
        <f t="shared" si="4"/>
        <v>5.6000000000000005</v>
      </c>
      <c r="K15">
        <f t="shared" si="4"/>
        <v>6.4000000000000012</v>
      </c>
      <c r="L15">
        <f t="shared" si="4"/>
        <v>7.2000000000000011</v>
      </c>
      <c r="M15">
        <f t="shared" si="5"/>
        <v>8</v>
      </c>
      <c r="N15">
        <f t="shared" si="5"/>
        <v>8.8000000000000007</v>
      </c>
      <c r="O15">
        <f t="shared" si="5"/>
        <v>9.6000000000000014</v>
      </c>
      <c r="P15">
        <f t="shared" si="5"/>
        <v>10.400000000000002</v>
      </c>
      <c r="Q15">
        <f t="shared" si="5"/>
        <v>11.200000000000003</v>
      </c>
      <c r="R15">
        <f t="shared" si="5"/>
        <v>12.000000000000004</v>
      </c>
      <c r="S15">
        <f t="shared" si="5"/>
        <v>12.800000000000006</v>
      </c>
      <c r="T15">
        <f t="shared" si="5"/>
        <v>13.600000000000007</v>
      </c>
      <c r="U15">
        <f t="shared" si="5"/>
        <v>14.400000000000007</v>
      </c>
      <c r="V15">
        <f t="shared" si="5"/>
        <v>15.200000000000008</v>
      </c>
      <c r="W15">
        <f t="shared" si="6"/>
        <v>16.000000000000007</v>
      </c>
      <c r="X15">
        <f t="shared" si="6"/>
        <v>16.800000000000008</v>
      </c>
      <c r="Y15">
        <f t="shared" si="6"/>
        <v>17.600000000000009</v>
      </c>
      <c r="Z15">
        <f t="shared" si="6"/>
        <v>18.400000000000009</v>
      </c>
      <c r="AA15">
        <f t="shared" si="6"/>
        <v>19.20000000000001</v>
      </c>
      <c r="AB15">
        <f t="shared" si="6"/>
        <v>20.000000000000011</v>
      </c>
      <c r="AC15">
        <f t="shared" si="6"/>
        <v>20.800000000000011</v>
      </c>
      <c r="AD15">
        <f t="shared" si="6"/>
        <v>21.600000000000012</v>
      </c>
      <c r="AE15">
        <f t="shared" si="6"/>
        <v>22.400000000000013</v>
      </c>
      <c r="AF15">
        <f t="shared" si="6"/>
        <v>23.200000000000014</v>
      </c>
      <c r="AG15">
        <f t="shared" si="6"/>
        <v>24.000000000000014</v>
      </c>
      <c r="AH15">
        <f t="shared" si="6"/>
        <v>24.800000000000018</v>
      </c>
    </row>
    <row r="16" spans="1:34" ht="17.25" customHeight="1">
      <c r="B16" s="4">
        <f t="shared" si="0"/>
        <v>3.8000000000000012</v>
      </c>
      <c r="C16">
        <f t="shared" si="4"/>
        <v>0</v>
      </c>
      <c r="D16">
        <f t="shared" si="4"/>
        <v>0.76000000000000023</v>
      </c>
      <c r="E16">
        <f t="shared" si="4"/>
        <v>1.5200000000000005</v>
      </c>
      <c r="F16">
        <f t="shared" si="4"/>
        <v>2.2800000000000011</v>
      </c>
      <c r="G16">
        <f t="shared" si="4"/>
        <v>3.0400000000000009</v>
      </c>
      <c r="H16">
        <f t="shared" si="4"/>
        <v>3.8000000000000012</v>
      </c>
      <c r="I16">
        <f t="shared" si="4"/>
        <v>4.5600000000000014</v>
      </c>
      <c r="J16">
        <f t="shared" si="4"/>
        <v>5.3200000000000012</v>
      </c>
      <c r="K16">
        <f t="shared" si="4"/>
        <v>6.080000000000001</v>
      </c>
      <c r="L16">
        <f t="shared" si="4"/>
        <v>6.8400000000000016</v>
      </c>
      <c r="M16">
        <f t="shared" si="5"/>
        <v>7.6000000000000014</v>
      </c>
      <c r="N16">
        <f t="shared" si="5"/>
        <v>8.3600000000000012</v>
      </c>
      <c r="O16">
        <f t="shared" si="5"/>
        <v>9.1200000000000028</v>
      </c>
      <c r="P16">
        <f t="shared" si="5"/>
        <v>9.8800000000000026</v>
      </c>
      <c r="Q16">
        <f t="shared" si="5"/>
        <v>10.640000000000004</v>
      </c>
      <c r="R16">
        <f t="shared" si="5"/>
        <v>11.400000000000006</v>
      </c>
      <c r="S16">
        <f t="shared" si="5"/>
        <v>12.160000000000005</v>
      </c>
      <c r="T16">
        <f t="shared" si="5"/>
        <v>12.920000000000007</v>
      </c>
      <c r="U16">
        <f t="shared" si="5"/>
        <v>13.680000000000009</v>
      </c>
      <c r="V16">
        <f t="shared" si="5"/>
        <v>14.440000000000008</v>
      </c>
      <c r="W16">
        <f t="shared" si="6"/>
        <v>15.200000000000008</v>
      </c>
      <c r="X16">
        <f t="shared" si="6"/>
        <v>15.96000000000001</v>
      </c>
      <c r="Y16">
        <f t="shared" si="6"/>
        <v>16.72000000000001</v>
      </c>
      <c r="Z16">
        <f t="shared" si="6"/>
        <v>17.480000000000011</v>
      </c>
      <c r="AA16">
        <f t="shared" si="6"/>
        <v>18.240000000000013</v>
      </c>
      <c r="AB16">
        <f t="shared" si="6"/>
        <v>19.000000000000014</v>
      </c>
      <c r="AC16">
        <f t="shared" si="6"/>
        <v>19.760000000000012</v>
      </c>
      <c r="AD16">
        <f t="shared" si="6"/>
        <v>20.520000000000014</v>
      </c>
      <c r="AE16">
        <f t="shared" si="6"/>
        <v>21.280000000000015</v>
      </c>
      <c r="AF16">
        <f t="shared" si="6"/>
        <v>22.040000000000017</v>
      </c>
      <c r="AG16">
        <f t="shared" si="6"/>
        <v>22.800000000000018</v>
      </c>
      <c r="AH16">
        <f t="shared" si="6"/>
        <v>23.560000000000016</v>
      </c>
    </row>
    <row r="17" spans="2:34" ht="17.25" customHeight="1">
      <c r="B17" s="4">
        <f t="shared" si="0"/>
        <v>3.600000000000001</v>
      </c>
      <c r="C17">
        <f t="shared" si="4"/>
        <v>0</v>
      </c>
      <c r="D17">
        <f t="shared" si="4"/>
        <v>0.7200000000000002</v>
      </c>
      <c r="E17">
        <f t="shared" si="4"/>
        <v>1.4400000000000004</v>
      </c>
      <c r="F17">
        <f t="shared" si="4"/>
        <v>2.160000000000001</v>
      </c>
      <c r="G17">
        <f t="shared" si="4"/>
        <v>2.8800000000000008</v>
      </c>
      <c r="H17">
        <f t="shared" si="4"/>
        <v>3.600000000000001</v>
      </c>
      <c r="I17">
        <f t="shared" si="4"/>
        <v>4.3200000000000012</v>
      </c>
      <c r="J17">
        <f t="shared" si="4"/>
        <v>5.0400000000000009</v>
      </c>
      <c r="K17">
        <f t="shared" si="4"/>
        <v>5.7600000000000007</v>
      </c>
      <c r="L17">
        <f t="shared" si="4"/>
        <v>6.4800000000000013</v>
      </c>
      <c r="M17">
        <f t="shared" si="5"/>
        <v>7.2000000000000011</v>
      </c>
      <c r="N17">
        <f t="shared" si="5"/>
        <v>7.9200000000000008</v>
      </c>
      <c r="O17">
        <f t="shared" si="5"/>
        <v>8.6400000000000023</v>
      </c>
      <c r="P17">
        <f t="shared" si="5"/>
        <v>9.360000000000003</v>
      </c>
      <c r="Q17">
        <f t="shared" si="5"/>
        <v>10.080000000000004</v>
      </c>
      <c r="R17">
        <f t="shared" si="5"/>
        <v>10.800000000000004</v>
      </c>
      <c r="S17">
        <f t="shared" si="5"/>
        <v>11.520000000000005</v>
      </c>
      <c r="T17">
        <f t="shared" si="5"/>
        <v>12.240000000000006</v>
      </c>
      <c r="U17">
        <f t="shared" si="5"/>
        <v>12.960000000000006</v>
      </c>
      <c r="V17">
        <f t="shared" si="5"/>
        <v>13.680000000000009</v>
      </c>
      <c r="W17">
        <f t="shared" si="6"/>
        <v>14.400000000000007</v>
      </c>
      <c r="X17">
        <f t="shared" si="6"/>
        <v>15.120000000000008</v>
      </c>
      <c r="Y17">
        <f t="shared" si="6"/>
        <v>15.840000000000009</v>
      </c>
      <c r="Z17">
        <f t="shared" si="6"/>
        <v>16.560000000000009</v>
      </c>
      <c r="AA17">
        <f t="shared" si="6"/>
        <v>17.280000000000012</v>
      </c>
      <c r="AB17">
        <f t="shared" si="6"/>
        <v>18.000000000000011</v>
      </c>
      <c r="AC17">
        <f t="shared" si="6"/>
        <v>18.720000000000013</v>
      </c>
      <c r="AD17">
        <f t="shared" si="6"/>
        <v>19.440000000000012</v>
      </c>
      <c r="AE17">
        <f t="shared" si="6"/>
        <v>20.160000000000014</v>
      </c>
      <c r="AF17">
        <f t="shared" si="6"/>
        <v>20.880000000000013</v>
      </c>
      <c r="AG17">
        <f t="shared" si="6"/>
        <v>21.600000000000016</v>
      </c>
      <c r="AH17">
        <f t="shared" si="6"/>
        <v>22.320000000000018</v>
      </c>
    </row>
    <row r="18" spans="2:34" ht="17.25" customHeight="1">
      <c r="B18" s="4">
        <f t="shared" si="0"/>
        <v>3.4000000000000008</v>
      </c>
      <c r="C18">
        <f t="shared" si="4"/>
        <v>0</v>
      </c>
      <c r="D18">
        <f t="shared" si="4"/>
        <v>0.68000000000000016</v>
      </c>
      <c r="E18">
        <f t="shared" si="4"/>
        <v>1.3600000000000003</v>
      </c>
      <c r="F18">
        <f t="shared" si="4"/>
        <v>2.0400000000000009</v>
      </c>
      <c r="G18">
        <f t="shared" si="4"/>
        <v>2.7200000000000006</v>
      </c>
      <c r="H18">
        <f t="shared" si="4"/>
        <v>3.4000000000000008</v>
      </c>
      <c r="I18">
        <f t="shared" si="4"/>
        <v>4.080000000000001</v>
      </c>
      <c r="J18">
        <f t="shared" si="4"/>
        <v>4.7600000000000007</v>
      </c>
      <c r="K18">
        <f t="shared" si="4"/>
        <v>5.44</v>
      </c>
      <c r="L18">
        <f t="shared" si="4"/>
        <v>6.120000000000001</v>
      </c>
      <c r="M18">
        <f t="shared" si="5"/>
        <v>6.8000000000000007</v>
      </c>
      <c r="N18">
        <f t="shared" si="5"/>
        <v>7.48</v>
      </c>
      <c r="O18">
        <f t="shared" si="5"/>
        <v>8.1600000000000019</v>
      </c>
      <c r="P18">
        <f t="shared" si="5"/>
        <v>8.8400000000000016</v>
      </c>
      <c r="Q18">
        <f t="shared" si="5"/>
        <v>9.5200000000000031</v>
      </c>
      <c r="R18">
        <f t="shared" si="5"/>
        <v>10.200000000000005</v>
      </c>
      <c r="S18">
        <f t="shared" si="5"/>
        <v>10.880000000000004</v>
      </c>
      <c r="T18">
        <f t="shared" si="5"/>
        <v>11.560000000000006</v>
      </c>
      <c r="U18">
        <f t="shared" si="5"/>
        <v>12.240000000000006</v>
      </c>
      <c r="V18">
        <f t="shared" si="5"/>
        <v>12.920000000000007</v>
      </c>
      <c r="W18">
        <f t="shared" si="6"/>
        <v>13.600000000000007</v>
      </c>
      <c r="X18">
        <f t="shared" si="6"/>
        <v>14.280000000000006</v>
      </c>
      <c r="Y18">
        <f t="shared" si="6"/>
        <v>14.960000000000008</v>
      </c>
      <c r="Z18">
        <f t="shared" si="6"/>
        <v>15.640000000000008</v>
      </c>
      <c r="AA18">
        <f t="shared" si="6"/>
        <v>16.320000000000011</v>
      </c>
      <c r="AB18">
        <f t="shared" si="6"/>
        <v>17.000000000000011</v>
      </c>
      <c r="AC18">
        <f t="shared" si="6"/>
        <v>17.68000000000001</v>
      </c>
      <c r="AD18">
        <f t="shared" si="6"/>
        <v>18.36000000000001</v>
      </c>
      <c r="AE18">
        <f t="shared" si="6"/>
        <v>19.040000000000013</v>
      </c>
      <c r="AF18">
        <f t="shared" si="6"/>
        <v>19.720000000000013</v>
      </c>
      <c r="AG18">
        <f t="shared" si="6"/>
        <v>20.400000000000013</v>
      </c>
      <c r="AH18">
        <f t="shared" si="6"/>
        <v>21.080000000000016</v>
      </c>
    </row>
    <row r="19" spans="2:34" ht="17.25" customHeight="1">
      <c r="B19" s="4">
        <f t="shared" si="0"/>
        <v>3.2000000000000006</v>
      </c>
      <c r="C19">
        <f t="shared" si="4"/>
        <v>0</v>
      </c>
      <c r="D19">
        <f t="shared" si="4"/>
        <v>0.64000000000000012</v>
      </c>
      <c r="E19">
        <f t="shared" si="4"/>
        <v>1.2800000000000002</v>
      </c>
      <c r="F19">
        <f t="shared" si="4"/>
        <v>1.9200000000000006</v>
      </c>
      <c r="G19">
        <f t="shared" si="4"/>
        <v>2.5600000000000005</v>
      </c>
      <c r="H19">
        <f t="shared" si="4"/>
        <v>3.2000000000000006</v>
      </c>
      <c r="I19">
        <f t="shared" si="4"/>
        <v>3.8400000000000007</v>
      </c>
      <c r="J19">
        <f t="shared" si="4"/>
        <v>4.4800000000000004</v>
      </c>
      <c r="K19">
        <f t="shared" si="4"/>
        <v>5.120000000000001</v>
      </c>
      <c r="L19">
        <f t="shared" si="4"/>
        <v>5.7600000000000007</v>
      </c>
      <c r="M19">
        <f t="shared" si="5"/>
        <v>6.4</v>
      </c>
      <c r="N19">
        <f t="shared" si="5"/>
        <v>7.0400000000000009</v>
      </c>
      <c r="O19">
        <f t="shared" si="5"/>
        <v>7.6800000000000015</v>
      </c>
      <c r="P19">
        <f t="shared" si="5"/>
        <v>8.3200000000000021</v>
      </c>
      <c r="Q19">
        <f t="shared" si="5"/>
        <v>8.9600000000000026</v>
      </c>
      <c r="R19">
        <f t="shared" si="5"/>
        <v>9.6000000000000032</v>
      </c>
      <c r="S19">
        <f t="shared" si="5"/>
        <v>10.240000000000004</v>
      </c>
      <c r="T19">
        <f t="shared" si="5"/>
        <v>10.880000000000004</v>
      </c>
      <c r="U19">
        <f t="shared" si="5"/>
        <v>11.520000000000005</v>
      </c>
      <c r="V19">
        <f t="shared" si="5"/>
        <v>12.160000000000005</v>
      </c>
      <c r="W19">
        <f t="shared" si="6"/>
        <v>12.800000000000006</v>
      </c>
      <c r="X19">
        <f t="shared" si="6"/>
        <v>13.440000000000007</v>
      </c>
      <c r="Y19">
        <f t="shared" si="6"/>
        <v>14.080000000000007</v>
      </c>
      <c r="Z19">
        <f t="shared" si="6"/>
        <v>14.720000000000008</v>
      </c>
      <c r="AA19">
        <f t="shared" si="6"/>
        <v>15.360000000000008</v>
      </c>
      <c r="AB19">
        <f t="shared" si="6"/>
        <v>16.000000000000007</v>
      </c>
      <c r="AC19">
        <f t="shared" si="6"/>
        <v>16.640000000000011</v>
      </c>
      <c r="AD19">
        <f t="shared" si="6"/>
        <v>17.280000000000012</v>
      </c>
      <c r="AE19">
        <f t="shared" si="6"/>
        <v>17.920000000000012</v>
      </c>
      <c r="AF19">
        <f t="shared" si="6"/>
        <v>18.560000000000013</v>
      </c>
      <c r="AG19">
        <f t="shared" si="6"/>
        <v>19.200000000000014</v>
      </c>
      <c r="AH19">
        <f t="shared" si="6"/>
        <v>19.840000000000014</v>
      </c>
    </row>
    <row r="20" spans="2:34" ht="17.25" customHeight="1">
      <c r="B20" s="4">
        <f t="shared" si="0"/>
        <v>3.0000000000000004</v>
      </c>
      <c r="C20">
        <f t="shared" si="4"/>
        <v>0</v>
      </c>
      <c r="D20">
        <f t="shared" si="4"/>
        <v>0.60000000000000009</v>
      </c>
      <c r="E20">
        <f t="shared" si="4"/>
        <v>1.2000000000000002</v>
      </c>
      <c r="F20">
        <f t="shared" si="4"/>
        <v>1.8000000000000005</v>
      </c>
      <c r="G20">
        <f t="shared" si="4"/>
        <v>2.4000000000000004</v>
      </c>
      <c r="H20">
        <f t="shared" si="4"/>
        <v>3.0000000000000004</v>
      </c>
      <c r="I20">
        <f t="shared" si="4"/>
        <v>3.6000000000000005</v>
      </c>
      <c r="J20">
        <f t="shared" si="4"/>
        <v>4.2</v>
      </c>
      <c r="K20">
        <f t="shared" si="4"/>
        <v>4.8000000000000007</v>
      </c>
      <c r="L20">
        <f t="shared" si="4"/>
        <v>5.4</v>
      </c>
      <c r="M20">
        <f t="shared" si="5"/>
        <v>6</v>
      </c>
      <c r="N20">
        <f t="shared" si="5"/>
        <v>6.6000000000000005</v>
      </c>
      <c r="O20">
        <f t="shared" si="5"/>
        <v>7.2000000000000011</v>
      </c>
      <c r="P20">
        <f t="shared" si="5"/>
        <v>7.8000000000000016</v>
      </c>
      <c r="Q20">
        <f t="shared" si="5"/>
        <v>8.4000000000000021</v>
      </c>
      <c r="R20">
        <f t="shared" si="5"/>
        <v>9.0000000000000036</v>
      </c>
      <c r="S20">
        <f t="shared" si="5"/>
        <v>9.6000000000000032</v>
      </c>
      <c r="T20">
        <f t="shared" si="5"/>
        <v>10.200000000000005</v>
      </c>
      <c r="U20">
        <f t="shared" si="5"/>
        <v>10.800000000000004</v>
      </c>
      <c r="V20">
        <f t="shared" si="5"/>
        <v>11.400000000000006</v>
      </c>
      <c r="W20">
        <f t="shared" si="6"/>
        <v>12.000000000000004</v>
      </c>
      <c r="X20">
        <f t="shared" si="6"/>
        <v>12.600000000000005</v>
      </c>
      <c r="Y20">
        <f t="shared" si="6"/>
        <v>13.200000000000006</v>
      </c>
      <c r="Z20">
        <f t="shared" si="6"/>
        <v>13.800000000000006</v>
      </c>
      <c r="AA20">
        <f t="shared" si="6"/>
        <v>14.400000000000007</v>
      </c>
      <c r="AB20">
        <f t="shared" si="6"/>
        <v>15.000000000000007</v>
      </c>
      <c r="AC20">
        <f t="shared" si="6"/>
        <v>15.600000000000009</v>
      </c>
      <c r="AD20">
        <f t="shared" si="6"/>
        <v>16.20000000000001</v>
      </c>
      <c r="AE20">
        <f t="shared" si="6"/>
        <v>16.800000000000008</v>
      </c>
      <c r="AF20">
        <f t="shared" si="6"/>
        <v>17.400000000000009</v>
      </c>
      <c r="AG20">
        <f t="shared" si="6"/>
        <v>18.000000000000011</v>
      </c>
      <c r="AH20">
        <f t="shared" si="6"/>
        <v>18.600000000000012</v>
      </c>
    </row>
    <row r="21" spans="2:34" ht="17.25" customHeight="1">
      <c r="B21" s="4">
        <f t="shared" si="0"/>
        <v>2.8000000000000003</v>
      </c>
      <c r="C21">
        <f t="shared" si="4"/>
        <v>0</v>
      </c>
      <c r="D21">
        <f t="shared" si="4"/>
        <v>0.56000000000000005</v>
      </c>
      <c r="E21">
        <f t="shared" si="4"/>
        <v>1.1200000000000001</v>
      </c>
      <c r="F21">
        <f t="shared" si="4"/>
        <v>1.6800000000000004</v>
      </c>
      <c r="G21">
        <f t="shared" si="4"/>
        <v>2.2400000000000002</v>
      </c>
      <c r="H21">
        <f t="shared" si="4"/>
        <v>2.8000000000000003</v>
      </c>
      <c r="I21">
        <f t="shared" si="4"/>
        <v>3.3600000000000003</v>
      </c>
      <c r="J21">
        <f t="shared" si="4"/>
        <v>3.92</v>
      </c>
      <c r="K21">
        <f t="shared" si="4"/>
        <v>4.4800000000000004</v>
      </c>
      <c r="L21">
        <f t="shared" si="4"/>
        <v>5.04</v>
      </c>
      <c r="M21">
        <f t="shared" si="5"/>
        <v>5.6</v>
      </c>
      <c r="N21">
        <f t="shared" si="5"/>
        <v>6.16</v>
      </c>
      <c r="O21">
        <f t="shared" si="5"/>
        <v>6.7200000000000006</v>
      </c>
      <c r="P21">
        <f t="shared" si="5"/>
        <v>7.2800000000000011</v>
      </c>
      <c r="Q21">
        <f t="shared" si="5"/>
        <v>7.8400000000000016</v>
      </c>
      <c r="R21">
        <f t="shared" si="5"/>
        <v>8.4000000000000021</v>
      </c>
      <c r="S21">
        <f t="shared" si="5"/>
        <v>8.9600000000000026</v>
      </c>
      <c r="T21">
        <f t="shared" si="5"/>
        <v>9.5200000000000031</v>
      </c>
      <c r="U21">
        <f t="shared" si="5"/>
        <v>10.080000000000004</v>
      </c>
      <c r="V21">
        <f t="shared" si="5"/>
        <v>10.640000000000004</v>
      </c>
      <c r="W21">
        <f t="shared" si="6"/>
        <v>11.200000000000003</v>
      </c>
      <c r="X21">
        <f t="shared" si="6"/>
        <v>11.760000000000003</v>
      </c>
      <c r="Y21">
        <f t="shared" si="6"/>
        <v>12.320000000000004</v>
      </c>
      <c r="Z21">
        <f t="shared" si="6"/>
        <v>12.880000000000004</v>
      </c>
      <c r="AA21">
        <f t="shared" si="6"/>
        <v>13.440000000000007</v>
      </c>
      <c r="AB21">
        <f t="shared" si="6"/>
        <v>14.000000000000007</v>
      </c>
      <c r="AC21">
        <f t="shared" si="6"/>
        <v>14.560000000000008</v>
      </c>
      <c r="AD21">
        <f t="shared" si="6"/>
        <v>15.120000000000008</v>
      </c>
      <c r="AE21">
        <f t="shared" si="6"/>
        <v>15.680000000000009</v>
      </c>
      <c r="AF21">
        <f t="shared" si="6"/>
        <v>16.240000000000009</v>
      </c>
      <c r="AG21">
        <f t="shared" si="6"/>
        <v>16.800000000000008</v>
      </c>
      <c r="AH21">
        <f t="shared" si="6"/>
        <v>17.36000000000001</v>
      </c>
    </row>
    <row r="22" spans="2:34" ht="17.25" customHeight="1">
      <c r="B22" s="4">
        <f t="shared" si="0"/>
        <v>2.6</v>
      </c>
      <c r="C22">
        <f t="shared" si="4"/>
        <v>0</v>
      </c>
      <c r="D22">
        <f t="shared" si="4"/>
        <v>0.52</v>
      </c>
      <c r="E22">
        <f t="shared" si="4"/>
        <v>1.04</v>
      </c>
      <c r="F22">
        <f t="shared" si="4"/>
        <v>1.5600000000000003</v>
      </c>
      <c r="G22">
        <f t="shared" si="4"/>
        <v>2.08</v>
      </c>
      <c r="H22">
        <f t="shared" si="4"/>
        <v>2.6</v>
      </c>
      <c r="I22">
        <f t="shared" si="4"/>
        <v>3.12</v>
      </c>
      <c r="J22">
        <f t="shared" si="4"/>
        <v>3.6399999999999997</v>
      </c>
      <c r="K22">
        <f t="shared" si="4"/>
        <v>4.16</v>
      </c>
      <c r="L22">
        <f t="shared" si="4"/>
        <v>4.68</v>
      </c>
      <c r="M22">
        <f t="shared" si="5"/>
        <v>5.1999999999999993</v>
      </c>
      <c r="N22">
        <f t="shared" si="5"/>
        <v>5.72</v>
      </c>
      <c r="O22">
        <f t="shared" si="5"/>
        <v>6.24</v>
      </c>
      <c r="P22">
        <f t="shared" si="5"/>
        <v>6.7600000000000007</v>
      </c>
      <c r="Q22">
        <f t="shared" si="5"/>
        <v>7.2800000000000011</v>
      </c>
      <c r="R22">
        <f t="shared" si="5"/>
        <v>7.8000000000000016</v>
      </c>
      <c r="S22">
        <f t="shared" si="5"/>
        <v>8.3200000000000021</v>
      </c>
      <c r="T22">
        <f t="shared" si="5"/>
        <v>8.8400000000000016</v>
      </c>
      <c r="U22">
        <f t="shared" si="5"/>
        <v>9.360000000000003</v>
      </c>
      <c r="V22">
        <f t="shared" si="5"/>
        <v>9.8800000000000026</v>
      </c>
      <c r="W22">
        <f t="shared" si="6"/>
        <v>10.400000000000002</v>
      </c>
      <c r="X22">
        <f t="shared" si="6"/>
        <v>10.920000000000003</v>
      </c>
      <c r="Y22">
        <f t="shared" si="6"/>
        <v>11.440000000000003</v>
      </c>
      <c r="Z22">
        <f t="shared" si="6"/>
        <v>11.960000000000004</v>
      </c>
      <c r="AA22">
        <f t="shared" si="6"/>
        <v>12.480000000000004</v>
      </c>
      <c r="AB22">
        <f t="shared" si="6"/>
        <v>13.000000000000005</v>
      </c>
      <c r="AC22">
        <f t="shared" si="6"/>
        <v>13.520000000000005</v>
      </c>
      <c r="AD22">
        <f t="shared" si="6"/>
        <v>14.040000000000006</v>
      </c>
      <c r="AE22">
        <f t="shared" si="6"/>
        <v>14.560000000000006</v>
      </c>
      <c r="AF22">
        <f t="shared" si="6"/>
        <v>15.080000000000007</v>
      </c>
      <c r="AG22">
        <f t="shared" si="6"/>
        <v>15.600000000000007</v>
      </c>
      <c r="AH22">
        <f t="shared" si="6"/>
        <v>16.120000000000008</v>
      </c>
    </row>
    <row r="23" spans="2:34" ht="17.25" customHeight="1">
      <c r="B23" s="4">
        <f t="shared" si="0"/>
        <v>2.4</v>
      </c>
      <c r="C23">
        <f t="shared" si="4"/>
        <v>0</v>
      </c>
      <c r="D23">
        <f t="shared" si="4"/>
        <v>0.48</v>
      </c>
      <c r="E23">
        <f t="shared" si="4"/>
        <v>0.96</v>
      </c>
      <c r="F23">
        <f t="shared" si="4"/>
        <v>1.4400000000000002</v>
      </c>
      <c r="G23">
        <f t="shared" si="4"/>
        <v>1.92</v>
      </c>
      <c r="H23">
        <f t="shared" si="4"/>
        <v>2.4</v>
      </c>
      <c r="I23">
        <f t="shared" si="4"/>
        <v>2.88</v>
      </c>
      <c r="J23">
        <f t="shared" si="4"/>
        <v>3.36</v>
      </c>
      <c r="K23">
        <f t="shared" si="4"/>
        <v>3.8399999999999994</v>
      </c>
      <c r="L23">
        <f t="shared" si="4"/>
        <v>4.3199999999999994</v>
      </c>
      <c r="M23">
        <f t="shared" si="5"/>
        <v>4.7999999999999989</v>
      </c>
      <c r="N23">
        <f t="shared" si="5"/>
        <v>5.2799999999999994</v>
      </c>
      <c r="O23">
        <f t="shared" si="5"/>
        <v>5.76</v>
      </c>
      <c r="P23">
        <f t="shared" si="5"/>
        <v>6.24</v>
      </c>
      <c r="Q23">
        <f t="shared" si="5"/>
        <v>6.7200000000000006</v>
      </c>
      <c r="R23">
        <f t="shared" si="5"/>
        <v>7.2000000000000011</v>
      </c>
      <c r="S23">
        <f t="shared" si="5"/>
        <v>7.6800000000000015</v>
      </c>
      <c r="T23">
        <f t="shared" si="5"/>
        <v>8.1600000000000019</v>
      </c>
      <c r="U23">
        <f t="shared" si="5"/>
        <v>8.6400000000000023</v>
      </c>
      <c r="V23">
        <f t="shared" si="5"/>
        <v>9.1200000000000028</v>
      </c>
      <c r="W23">
        <f t="shared" si="6"/>
        <v>9.6000000000000014</v>
      </c>
      <c r="X23">
        <f t="shared" si="6"/>
        <v>10.080000000000002</v>
      </c>
      <c r="Y23">
        <f t="shared" si="6"/>
        <v>10.560000000000002</v>
      </c>
      <c r="Z23">
        <f t="shared" si="6"/>
        <v>11.040000000000003</v>
      </c>
      <c r="AA23">
        <f t="shared" si="6"/>
        <v>11.520000000000003</v>
      </c>
      <c r="AB23">
        <f t="shared" si="6"/>
        <v>12.000000000000004</v>
      </c>
      <c r="AC23">
        <f t="shared" si="6"/>
        <v>12.480000000000004</v>
      </c>
      <c r="AD23">
        <f t="shared" si="6"/>
        <v>12.960000000000004</v>
      </c>
      <c r="AE23">
        <f t="shared" si="6"/>
        <v>13.440000000000005</v>
      </c>
      <c r="AF23">
        <f t="shared" si="6"/>
        <v>13.920000000000005</v>
      </c>
      <c r="AG23">
        <f t="shared" si="6"/>
        <v>14.400000000000006</v>
      </c>
      <c r="AH23">
        <f t="shared" si="6"/>
        <v>14.880000000000006</v>
      </c>
    </row>
    <row r="24" spans="2:34" ht="17.25" customHeight="1">
      <c r="B24" s="4">
        <f t="shared" si="0"/>
        <v>2.1999999999999997</v>
      </c>
      <c r="C24">
        <f t="shared" ref="C24:L35" si="7">C$36^a*$B24^b</f>
        <v>0</v>
      </c>
      <c r="D24">
        <f t="shared" si="7"/>
        <v>0.43999999999999995</v>
      </c>
      <c r="E24">
        <f t="shared" si="7"/>
        <v>0.87999999999999989</v>
      </c>
      <c r="F24">
        <f t="shared" si="7"/>
        <v>1.32</v>
      </c>
      <c r="G24">
        <f t="shared" si="7"/>
        <v>1.7599999999999998</v>
      </c>
      <c r="H24">
        <f t="shared" si="7"/>
        <v>2.1999999999999997</v>
      </c>
      <c r="I24">
        <f t="shared" si="7"/>
        <v>2.6399999999999997</v>
      </c>
      <c r="J24">
        <f t="shared" si="7"/>
        <v>3.0799999999999996</v>
      </c>
      <c r="K24">
        <f t="shared" si="7"/>
        <v>3.5199999999999991</v>
      </c>
      <c r="L24">
        <f t="shared" si="7"/>
        <v>3.9599999999999991</v>
      </c>
      <c r="M24">
        <f t="shared" ref="M24:V35" si="8">M$36^a*$B24^b</f>
        <v>4.3999999999999986</v>
      </c>
      <c r="N24">
        <f t="shared" si="8"/>
        <v>4.839999999999999</v>
      </c>
      <c r="O24">
        <f t="shared" si="8"/>
        <v>5.2799999999999994</v>
      </c>
      <c r="P24">
        <f t="shared" si="8"/>
        <v>5.72</v>
      </c>
      <c r="Q24">
        <f t="shared" si="8"/>
        <v>6.16</v>
      </c>
      <c r="R24">
        <f t="shared" si="8"/>
        <v>6.6000000000000005</v>
      </c>
      <c r="S24">
        <f t="shared" si="8"/>
        <v>7.0400000000000009</v>
      </c>
      <c r="T24">
        <f t="shared" si="8"/>
        <v>7.48</v>
      </c>
      <c r="U24">
        <f t="shared" si="8"/>
        <v>7.9200000000000008</v>
      </c>
      <c r="V24">
        <f t="shared" si="8"/>
        <v>8.3600000000000012</v>
      </c>
      <c r="W24">
        <f t="shared" ref="W24:AH35" si="9">W$36^a*$B24^b</f>
        <v>8.8000000000000007</v>
      </c>
      <c r="X24">
        <f t="shared" si="9"/>
        <v>9.240000000000002</v>
      </c>
      <c r="Y24">
        <f t="shared" si="9"/>
        <v>9.6800000000000015</v>
      </c>
      <c r="Z24">
        <f t="shared" si="9"/>
        <v>10.120000000000003</v>
      </c>
      <c r="AA24">
        <f t="shared" si="9"/>
        <v>10.560000000000002</v>
      </c>
      <c r="AB24">
        <f t="shared" si="9"/>
        <v>11.000000000000002</v>
      </c>
      <c r="AC24">
        <f t="shared" si="9"/>
        <v>11.440000000000003</v>
      </c>
      <c r="AD24">
        <f t="shared" si="9"/>
        <v>11.880000000000003</v>
      </c>
      <c r="AE24">
        <f t="shared" si="9"/>
        <v>12.320000000000004</v>
      </c>
      <c r="AF24">
        <f t="shared" si="9"/>
        <v>12.760000000000003</v>
      </c>
      <c r="AG24">
        <f t="shared" si="9"/>
        <v>13.200000000000005</v>
      </c>
      <c r="AH24">
        <f t="shared" si="9"/>
        <v>13.640000000000004</v>
      </c>
    </row>
    <row r="25" spans="2:34" ht="17.25" customHeight="1">
      <c r="B25" s="4">
        <f t="shared" si="0"/>
        <v>1.9999999999999998</v>
      </c>
      <c r="C25">
        <f t="shared" si="7"/>
        <v>0</v>
      </c>
      <c r="D25">
        <f t="shared" si="7"/>
        <v>0.39999999999999997</v>
      </c>
      <c r="E25">
        <f t="shared" si="7"/>
        <v>0.79999999999999993</v>
      </c>
      <c r="F25">
        <f t="shared" si="7"/>
        <v>1.2</v>
      </c>
      <c r="G25">
        <f t="shared" si="7"/>
        <v>1.5999999999999999</v>
      </c>
      <c r="H25">
        <f t="shared" si="7"/>
        <v>1.9999999999999998</v>
      </c>
      <c r="I25">
        <f t="shared" si="7"/>
        <v>2.3999999999999995</v>
      </c>
      <c r="J25">
        <f t="shared" si="7"/>
        <v>2.7999999999999994</v>
      </c>
      <c r="K25">
        <f t="shared" si="7"/>
        <v>3.1999999999999993</v>
      </c>
      <c r="L25">
        <f t="shared" si="7"/>
        <v>3.5999999999999992</v>
      </c>
      <c r="M25">
        <f t="shared" si="8"/>
        <v>3.9999999999999991</v>
      </c>
      <c r="N25">
        <f t="shared" si="8"/>
        <v>4.3999999999999986</v>
      </c>
      <c r="O25">
        <f t="shared" si="8"/>
        <v>4.7999999999999989</v>
      </c>
      <c r="P25">
        <f t="shared" si="8"/>
        <v>5.1999999999999993</v>
      </c>
      <c r="Q25">
        <f t="shared" si="8"/>
        <v>5.6</v>
      </c>
      <c r="R25">
        <f t="shared" si="8"/>
        <v>6</v>
      </c>
      <c r="S25">
        <f t="shared" si="8"/>
        <v>6.4</v>
      </c>
      <c r="T25">
        <f t="shared" si="8"/>
        <v>6.8000000000000007</v>
      </c>
      <c r="U25">
        <f t="shared" si="8"/>
        <v>7.2000000000000011</v>
      </c>
      <c r="V25">
        <f t="shared" si="8"/>
        <v>7.6000000000000014</v>
      </c>
      <c r="W25">
        <f t="shared" si="9"/>
        <v>8</v>
      </c>
      <c r="X25">
        <f t="shared" si="9"/>
        <v>8.4</v>
      </c>
      <c r="Y25">
        <f t="shared" si="9"/>
        <v>8.8000000000000007</v>
      </c>
      <c r="Z25">
        <f t="shared" si="9"/>
        <v>9.2000000000000011</v>
      </c>
      <c r="AA25">
        <f t="shared" si="9"/>
        <v>9.6000000000000014</v>
      </c>
      <c r="AB25">
        <f t="shared" si="9"/>
        <v>10.000000000000002</v>
      </c>
      <c r="AC25">
        <f t="shared" si="9"/>
        <v>10.400000000000002</v>
      </c>
      <c r="AD25">
        <f t="shared" si="9"/>
        <v>10.800000000000002</v>
      </c>
      <c r="AE25">
        <f t="shared" si="9"/>
        <v>11.200000000000003</v>
      </c>
      <c r="AF25">
        <f t="shared" si="9"/>
        <v>11.600000000000003</v>
      </c>
      <c r="AG25">
        <f t="shared" si="9"/>
        <v>12.000000000000004</v>
      </c>
      <c r="AH25">
        <f t="shared" si="9"/>
        <v>12.400000000000004</v>
      </c>
    </row>
    <row r="26" spans="2:34" ht="17.25" customHeight="1">
      <c r="B26" s="4">
        <f t="shared" si="0"/>
        <v>1.7999999999999998</v>
      </c>
      <c r="C26">
        <f t="shared" si="7"/>
        <v>0</v>
      </c>
      <c r="D26">
        <f t="shared" si="7"/>
        <v>0.36</v>
      </c>
      <c r="E26">
        <f t="shared" si="7"/>
        <v>0.72</v>
      </c>
      <c r="F26">
        <f t="shared" si="7"/>
        <v>1.08</v>
      </c>
      <c r="G26">
        <f t="shared" si="7"/>
        <v>1.44</v>
      </c>
      <c r="H26">
        <f t="shared" si="7"/>
        <v>1.7999999999999998</v>
      </c>
      <c r="I26">
        <f t="shared" si="7"/>
        <v>2.1599999999999997</v>
      </c>
      <c r="J26">
        <f t="shared" si="7"/>
        <v>2.5199999999999996</v>
      </c>
      <c r="K26">
        <f t="shared" si="7"/>
        <v>2.8799999999999994</v>
      </c>
      <c r="L26">
        <f t="shared" si="7"/>
        <v>3.2399999999999993</v>
      </c>
      <c r="M26">
        <f t="shared" si="8"/>
        <v>3.5999999999999992</v>
      </c>
      <c r="N26">
        <f t="shared" si="8"/>
        <v>3.9599999999999991</v>
      </c>
      <c r="O26">
        <f t="shared" si="8"/>
        <v>4.3199999999999994</v>
      </c>
      <c r="P26">
        <f t="shared" si="8"/>
        <v>4.68</v>
      </c>
      <c r="Q26">
        <f t="shared" si="8"/>
        <v>5.04</v>
      </c>
      <c r="R26">
        <f t="shared" si="8"/>
        <v>5.4</v>
      </c>
      <c r="S26">
        <f t="shared" si="8"/>
        <v>5.7600000000000007</v>
      </c>
      <c r="T26">
        <f t="shared" si="8"/>
        <v>6.120000000000001</v>
      </c>
      <c r="U26">
        <f t="shared" si="8"/>
        <v>6.4800000000000013</v>
      </c>
      <c r="V26">
        <f t="shared" si="8"/>
        <v>6.8400000000000016</v>
      </c>
      <c r="W26">
        <f t="shared" si="9"/>
        <v>7.2000000000000011</v>
      </c>
      <c r="X26">
        <f t="shared" si="9"/>
        <v>7.5600000000000014</v>
      </c>
      <c r="Y26">
        <f t="shared" si="9"/>
        <v>7.9200000000000017</v>
      </c>
      <c r="Z26">
        <f t="shared" si="9"/>
        <v>8.2800000000000011</v>
      </c>
      <c r="AA26">
        <f t="shared" si="9"/>
        <v>8.6400000000000023</v>
      </c>
      <c r="AB26">
        <f t="shared" si="9"/>
        <v>9.0000000000000018</v>
      </c>
      <c r="AC26">
        <f t="shared" si="9"/>
        <v>9.360000000000003</v>
      </c>
      <c r="AD26">
        <f t="shared" si="9"/>
        <v>9.7200000000000024</v>
      </c>
      <c r="AE26">
        <f t="shared" si="9"/>
        <v>10.080000000000004</v>
      </c>
      <c r="AF26">
        <f t="shared" si="9"/>
        <v>10.440000000000003</v>
      </c>
      <c r="AG26">
        <f t="shared" si="9"/>
        <v>10.800000000000004</v>
      </c>
      <c r="AH26">
        <f t="shared" si="9"/>
        <v>11.160000000000004</v>
      </c>
    </row>
    <row r="27" spans="2:34" ht="17.25" customHeight="1">
      <c r="B27" s="4">
        <f t="shared" si="0"/>
        <v>1.5999999999999999</v>
      </c>
      <c r="C27">
        <f t="shared" si="7"/>
        <v>0</v>
      </c>
      <c r="D27">
        <f t="shared" si="7"/>
        <v>0.32</v>
      </c>
      <c r="E27">
        <f t="shared" si="7"/>
        <v>0.64</v>
      </c>
      <c r="F27">
        <f t="shared" si="7"/>
        <v>0.96000000000000008</v>
      </c>
      <c r="G27">
        <f t="shared" si="7"/>
        <v>1.28</v>
      </c>
      <c r="H27">
        <f t="shared" si="7"/>
        <v>1.5999999999999999</v>
      </c>
      <c r="I27">
        <f t="shared" si="7"/>
        <v>1.9199999999999997</v>
      </c>
      <c r="J27">
        <f t="shared" si="7"/>
        <v>2.2399999999999998</v>
      </c>
      <c r="K27">
        <f t="shared" si="7"/>
        <v>2.5599999999999996</v>
      </c>
      <c r="L27">
        <f t="shared" si="7"/>
        <v>2.8799999999999994</v>
      </c>
      <c r="M27">
        <f t="shared" si="8"/>
        <v>3.1999999999999993</v>
      </c>
      <c r="N27">
        <f t="shared" si="8"/>
        <v>3.5199999999999991</v>
      </c>
      <c r="O27">
        <f t="shared" si="8"/>
        <v>3.8399999999999994</v>
      </c>
      <c r="P27">
        <f t="shared" si="8"/>
        <v>4.16</v>
      </c>
      <c r="Q27">
        <f t="shared" si="8"/>
        <v>4.4800000000000004</v>
      </c>
      <c r="R27">
        <f t="shared" si="8"/>
        <v>4.8000000000000007</v>
      </c>
      <c r="S27">
        <f t="shared" si="8"/>
        <v>5.120000000000001</v>
      </c>
      <c r="T27">
        <f t="shared" si="8"/>
        <v>5.44</v>
      </c>
      <c r="U27">
        <f t="shared" si="8"/>
        <v>5.7600000000000007</v>
      </c>
      <c r="V27">
        <f t="shared" si="8"/>
        <v>6.080000000000001</v>
      </c>
      <c r="W27">
        <f t="shared" si="9"/>
        <v>6.4000000000000012</v>
      </c>
      <c r="X27">
        <f t="shared" si="9"/>
        <v>6.7200000000000015</v>
      </c>
      <c r="Y27">
        <f t="shared" si="9"/>
        <v>7.0400000000000018</v>
      </c>
      <c r="Z27">
        <f t="shared" si="9"/>
        <v>7.3600000000000021</v>
      </c>
      <c r="AA27">
        <f t="shared" si="9"/>
        <v>7.6800000000000015</v>
      </c>
      <c r="AB27">
        <f t="shared" si="9"/>
        <v>8.0000000000000018</v>
      </c>
      <c r="AC27">
        <f t="shared" si="9"/>
        <v>8.3200000000000021</v>
      </c>
      <c r="AD27">
        <f t="shared" si="9"/>
        <v>8.6400000000000023</v>
      </c>
      <c r="AE27">
        <f t="shared" si="9"/>
        <v>8.9600000000000026</v>
      </c>
      <c r="AF27">
        <f t="shared" si="9"/>
        <v>9.2800000000000029</v>
      </c>
      <c r="AG27">
        <f t="shared" si="9"/>
        <v>9.6000000000000032</v>
      </c>
      <c r="AH27">
        <f t="shared" si="9"/>
        <v>9.9200000000000035</v>
      </c>
    </row>
    <row r="28" spans="2:34" ht="17.25" customHeight="1">
      <c r="B28" s="4">
        <f t="shared" si="0"/>
        <v>1.4</v>
      </c>
      <c r="C28">
        <f t="shared" si="7"/>
        <v>0</v>
      </c>
      <c r="D28">
        <f t="shared" si="7"/>
        <v>0.27999999999999997</v>
      </c>
      <c r="E28">
        <f t="shared" si="7"/>
        <v>0.55999999999999994</v>
      </c>
      <c r="F28">
        <f t="shared" si="7"/>
        <v>0.84000000000000008</v>
      </c>
      <c r="G28">
        <f t="shared" si="7"/>
        <v>1.1199999999999999</v>
      </c>
      <c r="H28">
        <f t="shared" si="7"/>
        <v>1.4</v>
      </c>
      <c r="I28">
        <f t="shared" si="7"/>
        <v>1.68</v>
      </c>
      <c r="J28">
        <f t="shared" si="7"/>
        <v>1.9599999999999997</v>
      </c>
      <c r="K28">
        <f t="shared" si="7"/>
        <v>2.2399999999999998</v>
      </c>
      <c r="L28">
        <f t="shared" si="7"/>
        <v>2.5199999999999996</v>
      </c>
      <c r="M28">
        <f t="shared" si="8"/>
        <v>2.7999999999999994</v>
      </c>
      <c r="N28">
        <f t="shared" si="8"/>
        <v>3.0799999999999996</v>
      </c>
      <c r="O28">
        <f t="shared" si="8"/>
        <v>3.36</v>
      </c>
      <c r="P28">
        <f t="shared" si="8"/>
        <v>3.6399999999999997</v>
      </c>
      <c r="Q28">
        <f t="shared" si="8"/>
        <v>3.92</v>
      </c>
      <c r="R28">
        <f t="shared" si="8"/>
        <v>4.2</v>
      </c>
      <c r="S28">
        <f t="shared" si="8"/>
        <v>4.4800000000000004</v>
      </c>
      <c r="T28">
        <f t="shared" si="8"/>
        <v>4.7600000000000007</v>
      </c>
      <c r="U28">
        <f t="shared" si="8"/>
        <v>5.0400000000000009</v>
      </c>
      <c r="V28">
        <f t="shared" si="8"/>
        <v>5.3200000000000012</v>
      </c>
      <c r="W28">
        <f t="shared" si="9"/>
        <v>5.6000000000000005</v>
      </c>
      <c r="X28">
        <f t="shared" si="9"/>
        <v>5.8800000000000008</v>
      </c>
      <c r="Y28">
        <f t="shared" si="9"/>
        <v>6.160000000000001</v>
      </c>
      <c r="Z28">
        <f t="shared" si="9"/>
        <v>6.4400000000000013</v>
      </c>
      <c r="AA28">
        <f t="shared" si="9"/>
        <v>6.7200000000000015</v>
      </c>
      <c r="AB28">
        <f t="shared" si="9"/>
        <v>7.0000000000000018</v>
      </c>
      <c r="AC28">
        <f t="shared" si="9"/>
        <v>7.280000000000002</v>
      </c>
      <c r="AD28">
        <f t="shared" si="9"/>
        <v>7.5600000000000023</v>
      </c>
      <c r="AE28">
        <f t="shared" si="9"/>
        <v>7.8400000000000025</v>
      </c>
      <c r="AF28">
        <f t="shared" si="9"/>
        <v>8.1200000000000028</v>
      </c>
      <c r="AG28">
        <f t="shared" si="9"/>
        <v>8.4000000000000039</v>
      </c>
      <c r="AH28">
        <f t="shared" si="9"/>
        <v>8.6800000000000033</v>
      </c>
    </row>
    <row r="29" spans="2:34" ht="17.25" customHeight="1">
      <c r="B29" s="4">
        <f t="shared" si="0"/>
        <v>1.2</v>
      </c>
      <c r="C29">
        <f t="shared" si="7"/>
        <v>0</v>
      </c>
      <c r="D29">
        <f t="shared" si="7"/>
        <v>0.24</v>
      </c>
      <c r="E29">
        <f t="shared" si="7"/>
        <v>0.48</v>
      </c>
      <c r="F29">
        <f t="shared" si="7"/>
        <v>0.72000000000000008</v>
      </c>
      <c r="G29">
        <f t="shared" si="7"/>
        <v>0.96</v>
      </c>
      <c r="H29">
        <f t="shared" si="7"/>
        <v>1.2</v>
      </c>
      <c r="I29">
        <f t="shared" si="7"/>
        <v>1.44</v>
      </c>
      <c r="J29">
        <f t="shared" si="7"/>
        <v>1.68</v>
      </c>
      <c r="K29">
        <f t="shared" si="7"/>
        <v>1.9199999999999997</v>
      </c>
      <c r="L29">
        <f t="shared" si="7"/>
        <v>2.1599999999999997</v>
      </c>
      <c r="M29">
        <f t="shared" si="8"/>
        <v>2.3999999999999995</v>
      </c>
      <c r="N29">
        <f t="shared" si="8"/>
        <v>2.6399999999999997</v>
      </c>
      <c r="O29">
        <f t="shared" si="8"/>
        <v>2.88</v>
      </c>
      <c r="P29">
        <f t="shared" si="8"/>
        <v>3.12</v>
      </c>
      <c r="Q29">
        <f t="shared" si="8"/>
        <v>3.3600000000000003</v>
      </c>
      <c r="R29">
        <f t="shared" si="8"/>
        <v>3.6000000000000005</v>
      </c>
      <c r="S29">
        <f t="shared" si="8"/>
        <v>3.8400000000000007</v>
      </c>
      <c r="T29">
        <f t="shared" si="8"/>
        <v>4.080000000000001</v>
      </c>
      <c r="U29">
        <f t="shared" si="8"/>
        <v>4.3200000000000012</v>
      </c>
      <c r="V29">
        <f t="shared" si="8"/>
        <v>4.5600000000000014</v>
      </c>
      <c r="W29">
        <f t="shared" si="9"/>
        <v>4.8000000000000007</v>
      </c>
      <c r="X29">
        <f t="shared" si="9"/>
        <v>5.0400000000000009</v>
      </c>
      <c r="Y29">
        <f t="shared" si="9"/>
        <v>5.2800000000000011</v>
      </c>
      <c r="Z29">
        <f t="shared" si="9"/>
        <v>5.5200000000000014</v>
      </c>
      <c r="AA29">
        <f t="shared" si="9"/>
        <v>5.7600000000000016</v>
      </c>
      <c r="AB29">
        <f t="shared" si="9"/>
        <v>6.0000000000000018</v>
      </c>
      <c r="AC29">
        <f t="shared" si="9"/>
        <v>6.240000000000002</v>
      </c>
      <c r="AD29">
        <f t="shared" si="9"/>
        <v>6.4800000000000022</v>
      </c>
      <c r="AE29">
        <f t="shared" si="9"/>
        <v>6.7200000000000024</v>
      </c>
      <c r="AF29">
        <f t="shared" si="9"/>
        <v>6.9600000000000026</v>
      </c>
      <c r="AG29">
        <f t="shared" si="9"/>
        <v>7.2000000000000028</v>
      </c>
      <c r="AH29">
        <f t="shared" si="9"/>
        <v>7.4400000000000031</v>
      </c>
    </row>
    <row r="30" spans="2:34" ht="17.25" customHeight="1">
      <c r="B30" s="4">
        <f t="shared" si="0"/>
        <v>1</v>
      </c>
      <c r="C30">
        <f t="shared" si="7"/>
        <v>0</v>
      </c>
      <c r="D30">
        <f t="shared" si="7"/>
        <v>0.2</v>
      </c>
      <c r="E30">
        <f t="shared" si="7"/>
        <v>0.4</v>
      </c>
      <c r="F30">
        <f t="shared" si="7"/>
        <v>0.60000000000000009</v>
      </c>
      <c r="G30">
        <f t="shared" si="7"/>
        <v>0.8</v>
      </c>
      <c r="H30">
        <f t="shared" si="7"/>
        <v>1</v>
      </c>
      <c r="I30">
        <f t="shared" si="7"/>
        <v>1.2</v>
      </c>
      <c r="J30">
        <f t="shared" si="7"/>
        <v>1.4</v>
      </c>
      <c r="K30">
        <f t="shared" si="7"/>
        <v>1.5999999999999999</v>
      </c>
      <c r="L30">
        <f t="shared" si="7"/>
        <v>1.7999999999999998</v>
      </c>
      <c r="M30">
        <f t="shared" si="8"/>
        <v>1.9999999999999998</v>
      </c>
      <c r="N30">
        <f t="shared" si="8"/>
        <v>2.1999999999999997</v>
      </c>
      <c r="O30">
        <f t="shared" si="8"/>
        <v>2.4</v>
      </c>
      <c r="P30">
        <f t="shared" si="8"/>
        <v>2.6</v>
      </c>
      <c r="Q30">
        <f t="shared" si="8"/>
        <v>2.8000000000000003</v>
      </c>
      <c r="R30">
        <f t="shared" si="8"/>
        <v>3.0000000000000004</v>
      </c>
      <c r="S30">
        <f t="shared" si="8"/>
        <v>3.2000000000000006</v>
      </c>
      <c r="T30">
        <f t="shared" si="8"/>
        <v>3.4000000000000008</v>
      </c>
      <c r="U30">
        <f t="shared" si="8"/>
        <v>3.600000000000001</v>
      </c>
      <c r="V30">
        <f t="shared" si="8"/>
        <v>3.8000000000000012</v>
      </c>
      <c r="W30">
        <f t="shared" si="9"/>
        <v>4.0000000000000009</v>
      </c>
      <c r="X30">
        <f t="shared" si="9"/>
        <v>4.2000000000000011</v>
      </c>
      <c r="Y30">
        <f t="shared" si="9"/>
        <v>4.4000000000000012</v>
      </c>
      <c r="Z30">
        <f t="shared" si="9"/>
        <v>4.6000000000000014</v>
      </c>
      <c r="AA30">
        <f t="shared" si="9"/>
        <v>4.8000000000000016</v>
      </c>
      <c r="AB30">
        <f t="shared" si="9"/>
        <v>5.0000000000000018</v>
      </c>
      <c r="AC30">
        <f t="shared" si="9"/>
        <v>5.200000000000002</v>
      </c>
      <c r="AD30">
        <f t="shared" si="9"/>
        <v>5.4000000000000021</v>
      </c>
      <c r="AE30">
        <f t="shared" si="9"/>
        <v>5.6000000000000023</v>
      </c>
      <c r="AF30">
        <f t="shared" si="9"/>
        <v>5.8000000000000025</v>
      </c>
      <c r="AG30">
        <f t="shared" si="9"/>
        <v>6.0000000000000027</v>
      </c>
      <c r="AH30">
        <f t="shared" si="9"/>
        <v>6.2000000000000028</v>
      </c>
    </row>
    <row r="31" spans="2:34" ht="17.25" customHeight="1">
      <c r="B31" s="4">
        <f t="shared" si="0"/>
        <v>0.8</v>
      </c>
      <c r="C31">
        <f t="shared" si="7"/>
        <v>0</v>
      </c>
      <c r="D31">
        <f t="shared" si="7"/>
        <v>0.16000000000000003</v>
      </c>
      <c r="E31">
        <f t="shared" si="7"/>
        <v>0.32000000000000006</v>
      </c>
      <c r="F31">
        <f t="shared" si="7"/>
        <v>0.48000000000000009</v>
      </c>
      <c r="G31">
        <f t="shared" si="7"/>
        <v>0.64000000000000012</v>
      </c>
      <c r="H31">
        <f t="shared" si="7"/>
        <v>0.8</v>
      </c>
      <c r="I31">
        <f t="shared" si="7"/>
        <v>0.96</v>
      </c>
      <c r="J31">
        <f t="shared" si="7"/>
        <v>1.1199999999999999</v>
      </c>
      <c r="K31">
        <f t="shared" si="7"/>
        <v>1.28</v>
      </c>
      <c r="L31">
        <f t="shared" si="7"/>
        <v>1.44</v>
      </c>
      <c r="M31">
        <f t="shared" si="8"/>
        <v>1.5999999999999999</v>
      </c>
      <c r="N31">
        <f t="shared" si="8"/>
        <v>1.7599999999999998</v>
      </c>
      <c r="O31">
        <f t="shared" si="8"/>
        <v>1.92</v>
      </c>
      <c r="P31">
        <f t="shared" si="8"/>
        <v>2.08</v>
      </c>
      <c r="Q31">
        <f t="shared" si="8"/>
        <v>2.2400000000000002</v>
      </c>
      <c r="R31">
        <f t="shared" si="8"/>
        <v>2.4000000000000004</v>
      </c>
      <c r="S31">
        <f t="shared" si="8"/>
        <v>2.5600000000000005</v>
      </c>
      <c r="T31">
        <f t="shared" si="8"/>
        <v>2.7200000000000006</v>
      </c>
      <c r="U31">
        <f t="shared" si="8"/>
        <v>2.8800000000000008</v>
      </c>
      <c r="V31">
        <f t="shared" si="8"/>
        <v>3.0400000000000009</v>
      </c>
      <c r="W31">
        <f t="shared" si="9"/>
        <v>3.2000000000000011</v>
      </c>
      <c r="X31">
        <f t="shared" si="9"/>
        <v>3.3600000000000012</v>
      </c>
      <c r="Y31">
        <f t="shared" si="9"/>
        <v>3.5200000000000014</v>
      </c>
      <c r="Z31">
        <f t="shared" si="9"/>
        <v>3.6800000000000015</v>
      </c>
      <c r="AA31">
        <f t="shared" si="9"/>
        <v>3.8400000000000016</v>
      </c>
      <c r="AB31">
        <f t="shared" si="9"/>
        <v>4.0000000000000018</v>
      </c>
      <c r="AC31">
        <f t="shared" si="9"/>
        <v>4.1600000000000019</v>
      </c>
      <c r="AD31">
        <f t="shared" si="9"/>
        <v>4.3200000000000021</v>
      </c>
      <c r="AE31">
        <f t="shared" si="9"/>
        <v>4.4800000000000022</v>
      </c>
      <c r="AF31">
        <f t="shared" si="9"/>
        <v>4.6400000000000023</v>
      </c>
      <c r="AG31">
        <f t="shared" si="9"/>
        <v>4.8000000000000025</v>
      </c>
      <c r="AH31">
        <f t="shared" si="9"/>
        <v>4.9600000000000026</v>
      </c>
    </row>
    <row r="32" spans="2:34" ht="17.25" customHeight="1">
      <c r="B32" s="4">
        <f t="shared" si="0"/>
        <v>0.60000000000000009</v>
      </c>
      <c r="C32">
        <f t="shared" si="7"/>
        <v>0</v>
      </c>
      <c r="D32">
        <f t="shared" si="7"/>
        <v>0.12000000000000002</v>
      </c>
      <c r="E32">
        <f t="shared" si="7"/>
        <v>0.24000000000000005</v>
      </c>
      <c r="F32">
        <f t="shared" si="7"/>
        <v>0.3600000000000001</v>
      </c>
      <c r="G32">
        <f t="shared" si="7"/>
        <v>0.48000000000000009</v>
      </c>
      <c r="H32">
        <f t="shared" si="7"/>
        <v>0.60000000000000009</v>
      </c>
      <c r="I32">
        <f t="shared" si="7"/>
        <v>0.72000000000000008</v>
      </c>
      <c r="J32">
        <f t="shared" si="7"/>
        <v>0.84000000000000008</v>
      </c>
      <c r="K32">
        <f t="shared" si="7"/>
        <v>0.96000000000000008</v>
      </c>
      <c r="L32">
        <f t="shared" si="7"/>
        <v>1.08</v>
      </c>
      <c r="M32">
        <f t="shared" si="8"/>
        <v>1.2</v>
      </c>
      <c r="N32">
        <f t="shared" si="8"/>
        <v>1.32</v>
      </c>
      <c r="O32">
        <f t="shared" si="8"/>
        <v>1.4400000000000002</v>
      </c>
      <c r="P32">
        <f t="shared" si="8"/>
        <v>1.5600000000000003</v>
      </c>
      <c r="Q32">
        <f t="shared" si="8"/>
        <v>1.6800000000000004</v>
      </c>
      <c r="R32">
        <f t="shared" si="8"/>
        <v>1.8000000000000005</v>
      </c>
      <c r="S32">
        <f t="shared" si="8"/>
        <v>1.9200000000000006</v>
      </c>
      <c r="T32">
        <f t="shared" si="8"/>
        <v>2.0400000000000009</v>
      </c>
      <c r="U32">
        <f t="shared" si="8"/>
        <v>2.160000000000001</v>
      </c>
      <c r="V32">
        <f t="shared" si="8"/>
        <v>2.2800000000000011</v>
      </c>
      <c r="W32">
        <f t="shared" si="9"/>
        <v>2.4000000000000008</v>
      </c>
      <c r="X32">
        <f t="shared" si="9"/>
        <v>2.5200000000000009</v>
      </c>
      <c r="Y32">
        <f t="shared" si="9"/>
        <v>2.640000000000001</v>
      </c>
      <c r="Z32">
        <f t="shared" si="9"/>
        <v>2.7600000000000011</v>
      </c>
      <c r="AA32">
        <f t="shared" si="9"/>
        <v>2.8800000000000012</v>
      </c>
      <c r="AB32">
        <f t="shared" si="9"/>
        <v>3.0000000000000013</v>
      </c>
      <c r="AC32">
        <f t="shared" si="9"/>
        <v>3.1200000000000014</v>
      </c>
      <c r="AD32">
        <f t="shared" si="9"/>
        <v>3.2400000000000015</v>
      </c>
      <c r="AE32">
        <f t="shared" si="9"/>
        <v>3.3600000000000021</v>
      </c>
      <c r="AF32">
        <f t="shared" si="9"/>
        <v>3.4800000000000022</v>
      </c>
      <c r="AG32">
        <f t="shared" si="9"/>
        <v>3.6000000000000023</v>
      </c>
      <c r="AH32">
        <f t="shared" si="9"/>
        <v>3.7200000000000024</v>
      </c>
    </row>
    <row r="33" spans="2:34" ht="17.25" customHeight="1">
      <c r="B33" s="4">
        <f t="shared" si="0"/>
        <v>0.4</v>
      </c>
      <c r="C33">
        <f t="shared" si="7"/>
        <v>0</v>
      </c>
      <c r="D33">
        <f t="shared" si="7"/>
        <v>8.0000000000000016E-2</v>
      </c>
      <c r="E33">
        <f t="shared" si="7"/>
        <v>0.16000000000000003</v>
      </c>
      <c r="F33">
        <f t="shared" si="7"/>
        <v>0.24000000000000005</v>
      </c>
      <c r="G33">
        <f t="shared" si="7"/>
        <v>0.32000000000000006</v>
      </c>
      <c r="H33">
        <f t="shared" si="7"/>
        <v>0.4</v>
      </c>
      <c r="I33">
        <f t="shared" si="7"/>
        <v>0.48</v>
      </c>
      <c r="J33">
        <f t="shared" si="7"/>
        <v>0.55999999999999994</v>
      </c>
      <c r="K33">
        <f t="shared" si="7"/>
        <v>0.64</v>
      </c>
      <c r="L33">
        <f t="shared" si="7"/>
        <v>0.72</v>
      </c>
      <c r="M33">
        <f t="shared" si="8"/>
        <v>0.79999999999999993</v>
      </c>
      <c r="N33">
        <f t="shared" si="8"/>
        <v>0.87999999999999989</v>
      </c>
      <c r="O33">
        <f t="shared" si="8"/>
        <v>0.96</v>
      </c>
      <c r="P33">
        <f t="shared" si="8"/>
        <v>1.04</v>
      </c>
      <c r="Q33">
        <f t="shared" si="8"/>
        <v>1.1200000000000001</v>
      </c>
      <c r="R33">
        <f t="shared" si="8"/>
        <v>1.2000000000000002</v>
      </c>
      <c r="S33">
        <f t="shared" si="8"/>
        <v>1.2800000000000002</v>
      </c>
      <c r="T33">
        <f t="shared" si="8"/>
        <v>1.3600000000000003</v>
      </c>
      <c r="U33">
        <f t="shared" si="8"/>
        <v>1.4400000000000004</v>
      </c>
      <c r="V33">
        <f t="shared" si="8"/>
        <v>1.5200000000000005</v>
      </c>
      <c r="W33">
        <f t="shared" si="9"/>
        <v>1.6000000000000005</v>
      </c>
      <c r="X33">
        <f t="shared" si="9"/>
        <v>1.6800000000000006</v>
      </c>
      <c r="Y33">
        <f t="shared" si="9"/>
        <v>1.7600000000000007</v>
      </c>
      <c r="Z33">
        <f t="shared" si="9"/>
        <v>1.8400000000000007</v>
      </c>
      <c r="AA33">
        <f t="shared" si="9"/>
        <v>1.9200000000000008</v>
      </c>
      <c r="AB33">
        <f t="shared" si="9"/>
        <v>2.0000000000000009</v>
      </c>
      <c r="AC33">
        <f t="shared" si="9"/>
        <v>2.080000000000001</v>
      </c>
      <c r="AD33">
        <f t="shared" si="9"/>
        <v>2.160000000000001</v>
      </c>
      <c r="AE33">
        <f t="shared" si="9"/>
        <v>2.2400000000000011</v>
      </c>
      <c r="AF33">
        <f t="shared" si="9"/>
        <v>2.3200000000000012</v>
      </c>
      <c r="AG33">
        <f t="shared" si="9"/>
        <v>2.4000000000000012</v>
      </c>
      <c r="AH33">
        <f t="shared" si="9"/>
        <v>2.4800000000000013</v>
      </c>
    </row>
    <row r="34" spans="2:34" ht="17.25" customHeight="1">
      <c r="B34" s="4">
        <f>B35+$D$3</f>
        <v>0.2</v>
      </c>
      <c r="C34">
        <f t="shared" si="7"/>
        <v>0</v>
      </c>
      <c r="D34">
        <f t="shared" si="7"/>
        <v>4.0000000000000008E-2</v>
      </c>
      <c r="E34">
        <f t="shared" si="7"/>
        <v>8.0000000000000016E-2</v>
      </c>
      <c r="F34">
        <f t="shared" si="7"/>
        <v>0.12000000000000002</v>
      </c>
      <c r="G34">
        <f t="shared" si="7"/>
        <v>0.16000000000000003</v>
      </c>
      <c r="H34">
        <f t="shared" si="7"/>
        <v>0.2</v>
      </c>
      <c r="I34">
        <f t="shared" si="7"/>
        <v>0.24</v>
      </c>
      <c r="J34">
        <f t="shared" si="7"/>
        <v>0.27999999999999997</v>
      </c>
      <c r="K34">
        <f t="shared" si="7"/>
        <v>0.32</v>
      </c>
      <c r="L34">
        <f t="shared" si="7"/>
        <v>0.36</v>
      </c>
      <c r="M34">
        <f t="shared" si="8"/>
        <v>0.39999999999999997</v>
      </c>
      <c r="N34">
        <f t="shared" si="8"/>
        <v>0.43999999999999995</v>
      </c>
      <c r="O34">
        <f t="shared" si="8"/>
        <v>0.48</v>
      </c>
      <c r="P34">
        <f t="shared" si="8"/>
        <v>0.52</v>
      </c>
      <c r="Q34">
        <f t="shared" si="8"/>
        <v>0.56000000000000005</v>
      </c>
      <c r="R34">
        <f t="shared" si="8"/>
        <v>0.60000000000000009</v>
      </c>
      <c r="S34">
        <f t="shared" si="8"/>
        <v>0.64000000000000012</v>
      </c>
      <c r="T34">
        <f t="shared" si="8"/>
        <v>0.68000000000000016</v>
      </c>
      <c r="U34">
        <f t="shared" si="8"/>
        <v>0.7200000000000002</v>
      </c>
      <c r="V34">
        <f t="shared" si="8"/>
        <v>0.76000000000000023</v>
      </c>
      <c r="W34">
        <f t="shared" si="9"/>
        <v>0.80000000000000027</v>
      </c>
      <c r="X34">
        <f t="shared" si="9"/>
        <v>0.8400000000000003</v>
      </c>
      <c r="Y34">
        <f t="shared" si="9"/>
        <v>0.88000000000000034</v>
      </c>
      <c r="Z34">
        <f t="shared" si="9"/>
        <v>0.92000000000000037</v>
      </c>
      <c r="AA34">
        <f t="shared" si="9"/>
        <v>0.96000000000000041</v>
      </c>
      <c r="AB34">
        <f t="shared" si="9"/>
        <v>1.0000000000000004</v>
      </c>
      <c r="AC34">
        <f t="shared" si="9"/>
        <v>1.0400000000000005</v>
      </c>
      <c r="AD34">
        <f t="shared" si="9"/>
        <v>1.0800000000000005</v>
      </c>
      <c r="AE34">
        <f t="shared" si="9"/>
        <v>1.1200000000000006</v>
      </c>
      <c r="AF34">
        <f t="shared" si="9"/>
        <v>1.1600000000000006</v>
      </c>
      <c r="AG34">
        <f t="shared" si="9"/>
        <v>1.2000000000000006</v>
      </c>
      <c r="AH34">
        <f t="shared" si="9"/>
        <v>1.2400000000000007</v>
      </c>
    </row>
    <row r="35" spans="2:34" ht="17.25" customHeight="1">
      <c r="B35" s="4">
        <v>0</v>
      </c>
      <c r="C35">
        <f t="shared" si="7"/>
        <v>0</v>
      </c>
      <c r="D35">
        <f t="shared" si="7"/>
        <v>0</v>
      </c>
      <c r="E35">
        <f t="shared" si="7"/>
        <v>0</v>
      </c>
      <c r="F35">
        <f t="shared" si="7"/>
        <v>0</v>
      </c>
      <c r="G35">
        <f t="shared" si="7"/>
        <v>0</v>
      </c>
      <c r="H35">
        <f t="shared" si="7"/>
        <v>0</v>
      </c>
      <c r="I35">
        <f t="shared" si="7"/>
        <v>0</v>
      </c>
      <c r="J35">
        <f t="shared" si="7"/>
        <v>0</v>
      </c>
      <c r="K35">
        <f t="shared" si="7"/>
        <v>0</v>
      </c>
      <c r="L35">
        <f t="shared" si="7"/>
        <v>0</v>
      </c>
      <c r="M35">
        <f t="shared" si="8"/>
        <v>0</v>
      </c>
      <c r="N35">
        <f t="shared" si="8"/>
        <v>0</v>
      </c>
      <c r="O35">
        <f t="shared" si="8"/>
        <v>0</v>
      </c>
      <c r="P35">
        <f t="shared" si="8"/>
        <v>0</v>
      </c>
      <c r="Q35">
        <f t="shared" si="8"/>
        <v>0</v>
      </c>
      <c r="R35">
        <f t="shared" si="8"/>
        <v>0</v>
      </c>
      <c r="S35">
        <f t="shared" si="8"/>
        <v>0</v>
      </c>
      <c r="T35">
        <f t="shared" si="8"/>
        <v>0</v>
      </c>
      <c r="U35">
        <f t="shared" si="8"/>
        <v>0</v>
      </c>
      <c r="V35">
        <f t="shared" si="8"/>
        <v>0</v>
      </c>
      <c r="W35">
        <f t="shared" si="9"/>
        <v>0</v>
      </c>
      <c r="X35">
        <f t="shared" si="9"/>
        <v>0</v>
      </c>
      <c r="Y35">
        <f t="shared" si="9"/>
        <v>0</v>
      </c>
      <c r="Z35">
        <f t="shared" si="9"/>
        <v>0</v>
      </c>
      <c r="AA35">
        <f t="shared" si="9"/>
        <v>0</v>
      </c>
      <c r="AB35">
        <f t="shared" si="9"/>
        <v>0</v>
      </c>
      <c r="AC35">
        <f t="shared" si="9"/>
        <v>0</v>
      </c>
      <c r="AD35">
        <f t="shared" si="9"/>
        <v>0</v>
      </c>
      <c r="AE35">
        <f t="shared" si="9"/>
        <v>0</v>
      </c>
      <c r="AF35">
        <f t="shared" si="9"/>
        <v>0</v>
      </c>
      <c r="AG35">
        <f t="shared" si="9"/>
        <v>0</v>
      </c>
      <c r="AH35">
        <f t="shared" si="9"/>
        <v>0</v>
      </c>
    </row>
    <row r="36" spans="2:34">
      <c r="B36" s="1"/>
      <c r="C36" s="3">
        <v>0</v>
      </c>
      <c r="D36" s="3">
        <f>C36+$D$3</f>
        <v>0.2</v>
      </c>
      <c r="E36" s="3">
        <f t="shared" ref="E36:S36" si="10">D36+$D$3</f>
        <v>0.4</v>
      </c>
      <c r="F36" s="3">
        <f t="shared" si="10"/>
        <v>0.60000000000000009</v>
      </c>
      <c r="G36" s="3">
        <f t="shared" si="10"/>
        <v>0.8</v>
      </c>
      <c r="H36" s="3">
        <f t="shared" si="10"/>
        <v>1</v>
      </c>
      <c r="I36" s="3">
        <f t="shared" si="10"/>
        <v>1.2</v>
      </c>
      <c r="J36" s="3">
        <f t="shared" si="10"/>
        <v>1.4</v>
      </c>
      <c r="K36" s="3">
        <f t="shared" si="10"/>
        <v>1.5999999999999999</v>
      </c>
      <c r="L36" s="3">
        <f t="shared" si="10"/>
        <v>1.7999999999999998</v>
      </c>
      <c r="M36" s="3">
        <f t="shared" si="10"/>
        <v>1.9999999999999998</v>
      </c>
      <c r="N36" s="3">
        <f t="shared" si="10"/>
        <v>2.1999999999999997</v>
      </c>
      <c r="O36" s="3">
        <f t="shared" si="10"/>
        <v>2.4</v>
      </c>
      <c r="P36" s="3">
        <f t="shared" si="10"/>
        <v>2.6</v>
      </c>
      <c r="Q36" s="3">
        <f t="shared" si="10"/>
        <v>2.8000000000000003</v>
      </c>
      <c r="R36" s="3">
        <f t="shared" si="10"/>
        <v>3.0000000000000004</v>
      </c>
      <c r="S36" s="3">
        <f t="shared" si="10"/>
        <v>3.2000000000000006</v>
      </c>
      <c r="T36" s="3">
        <f>S36+$D$3</f>
        <v>3.4000000000000008</v>
      </c>
      <c r="U36" s="3">
        <f t="shared" ref="U36:AG36" si="11">T36+$D$3</f>
        <v>3.600000000000001</v>
      </c>
      <c r="V36" s="3">
        <f t="shared" si="11"/>
        <v>3.8000000000000012</v>
      </c>
      <c r="W36" s="3">
        <f t="shared" si="11"/>
        <v>4.0000000000000009</v>
      </c>
      <c r="X36" s="3">
        <f t="shared" si="11"/>
        <v>4.2000000000000011</v>
      </c>
      <c r="Y36" s="3">
        <f t="shared" si="11"/>
        <v>4.4000000000000012</v>
      </c>
      <c r="Z36" s="3">
        <f t="shared" si="11"/>
        <v>4.6000000000000014</v>
      </c>
      <c r="AA36" s="3">
        <f t="shared" si="11"/>
        <v>4.8000000000000016</v>
      </c>
      <c r="AB36" s="3">
        <f t="shared" si="11"/>
        <v>5.0000000000000018</v>
      </c>
      <c r="AC36" s="3">
        <f t="shared" si="11"/>
        <v>5.200000000000002</v>
      </c>
      <c r="AD36" s="3">
        <f t="shared" si="11"/>
        <v>5.4000000000000021</v>
      </c>
      <c r="AE36" s="3">
        <f t="shared" si="11"/>
        <v>5.6000000000000023</v>
      </c>
      <c r="AF36" s="3">
        <f t="shared" si="11"/>
        <v>5.8000000000000025</v>
      </c>
      <c r="AG36" s="3">
        <f t="shared" si="11"/>
        <v>6.0000000000000027</v>
      </c>
      <c r="AH36" s="3">
        <f>AG36+$D$3</f>
        <v>6.2000000000000028</v>
      </c>
    </row>
    <row r="37" spans="2:34">
      <c r="AH37" s="4" t="s">
        <v>3</v>
      </c>
    </row>
  </sheetData>
  <conditionalFormatting sqref="C4:AH3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AH39"/>
  <sheetViews>
    <sheetView zoomScale="85" zoomScaleNormal="85" workbookViewId="0">
      <selection activeCell="D8" sqref="D8"/>
    </sheetView>
  </sheetViews>
  <sheetFormatPr defaultRowHeight="15"/>
  <cols>
    <col min="1" max="2" width="4.7109375" customWidth="1"/>
    <col min="3" max="34" width="4" customWidth="1"/>
  </cols>
  <sheetData>
    <row r="2" spans="1:34">
      <c r="Y2" s="9" t="s">
        <v>18</v>
      </c>
      <c r="Z2" s="5">
        <f>(a/(a+b))*(I/Px)</f>
        <v>1.8333333333333333</v>
      </c>
    </row>
    <row r="3" spans="1:34">
      <c r="A3" t="s">
        <v>1</v>
      </c>
      <c r="B3">
        <v>1</v>
      </c>
      <c r="F3" t="s">
        <v>5</v>
      </c>
      <c r="G3">
        <v>6</v>
      </c>
      <c r="H3" t="s">
        <v>7</v>
      </c>
      <c r="I3">
        <v>22</v>
      </c>
    </row>
    <row r="4" spans="1:34">
      <c r="A4" t="s">
        <v>2</v>
      </c>
      <c r="B4">
        <v>1</v>
      </c>
      <c r="F4" t="s">
        <v>6</v>
      </c>
      <c r="G4">
        <v>4</v>
      </c>
      <c r="AF4">
        <f>(x_d^a)*(y_d^b)</f>
        <v>5.0416666666666661</v>
      </c>
    </row>
    <row r="5" spans="1:34">
      <c r="A5" t="s">
        <v>0</v>
      </c>
      <c r="D5">
        <v>0.2</v>
      </c>
      <c r="Y5" s="9" t="s">
        <v>18</v>
      </c>
      <c r="Z5">
        <f>(b/(a+b))*(I/Py)</f>
        <v>2.75</v>
      </c>
    </row>
    <row r="6" spans="1:34" ht="17.25" customHeight="1">
      <c r="A6" s="4" t="s">
        <v>4</v>
      </c>
      <c r="B6" s="4">
        <f t="shared" ref="B6:B35" si="0">B7+$D$5</f>
        <v>6.2000000000000028</v>
      </c>
      <c r="C6" t="str">
        <f t="shared" ref="C6:L15" si="1">IF(Px*C$38+Py*$B6&lt;=I,C$38^a*$B6^b,"")</f>
        <v/>
      </c>
      <c r="D6" t="str">
        <f t="shared" si="1"/>
        <v/>
      </c>
      <c r="E6" t="str">
        <f t="shared" si="1"/>
        <v/>
      </c>
      <c r="F6" t="str">
        <f t="shared" si="1"/>
        <v/>
      </c>
      <c r="G6" t="str">
        <f t="shared" si="1"/>
        <v/>
      </c>
      <c r="H6" t="str">
        <f t="shared" si="1"/>
        <v/>
      </c>
      <c r="I6" t="str">
        <f t="shared" si="1"/>
        <v/>
      </c>
      <c r="J6" t="str">
        <f t="shared" si="1"/>
        <v/>
      </c>
      <c r="K6" t="str">
        <f t="shared" si="1"/>
        <v/>
      </c>
      <c r="L6" t="str">
        <f t="shared" si="1"/>
        <v/>
      </c>
      <c r="M6" t="str">
        <f t="shared" ref="M6:V15" si="2">IF(Px*M$38+Py*$B6&lt;=I,M$38^a*$B6^b,"")</f>
        <v/>
      </c>
      <c r="N6" t="str">
        <f t="shared" si="2"/>
        <v/>
      </c>
      <c r="O6" t="str">
        <f t="shared" si="2"/>
        <v/>
      </c>
      <c r="P6" t="str">
        <f t="shared" si="2"/>
        <v/>
      </c>
      <c r="Q6" t="str">
        <f t="shared" si="2"/>
        <v/>
      </c>
      <c r="R6" t="str">
        <f t="shared" si="2"/>
        <v/>
      </c>
      <c r="S6" t="str">
        <f t="shared" si="2"/>
        <v/>
      </c>
      <c r="T6" t="str">
        <f t="shared" si="2"/>
        <v/>
      </c>
      <c r="U6" t="str">
        <f t="shared" si="2"/>
        <v/>
      </c>
      <c r="V6" t="str">
        <f t="shared" si="2"/>
        <v/>
      </c>
      <c r="W6" t="str">
        <f t="shared" ref="W6:AH15" si="3">IF(Px*W$38+Py*$B6&lt;=I,W$38^a*$B6^b,"")</f>
        <v/>
      </c>
      <c r="X6" t="str">
        <f t="shared" si="3"/>
        <v/>
      </c>
      <c r="Y6" t="str">
        <f t="shared" si="3"/>
        <v/>
      </c>
      <c r="Z6" t="str">
        <f t="shared" si="3"/>
        <v/>
      </c>
      <c r="AA6" t="str">
        <f t="shared" si="3"/>
        <v/>
      </c>
      <c r="AB6" t="str">
        <f t="shared" si="3"/>
        <v/>
      </c>
      <c r="AC6" t="str">
        <f t="shared" si="3"/>
        <v/>
      </c>
      <c r="AD6" t="str">
        <f t="shared" si="3"/>
        <v/>
      </c>
      <c r="AE6" t="str">
        <f t="shared" si="3"/>
        <v/>
      </c>
      <c r="AF6" t="str">
        <f t="shared" si="3"/>
        <v/>
      </c>
      <c r="AG6" t="str">
        <f t="shared" si="3"/>
        <v/>
      </c>
      <c r="AH6" t="str">
        <f t="shared" si="3"/>
        <v/>
      </c>
    </row>
    <row r="7" spans="1:34" ht="17.25" customHeight="1">
      <c r="B7" s="4">
        <f t="shared" si="0"/>
        <v>6.0000000000000027</v>
      </c>
      <c r="C7" t="str">
        <f t="shared" si="1"/>
        <v/>
      </c>
      <c r="D7" t="str">
        <f t="shared" si="1"/>
        <v/>
      </c>
      <c r="E7" t="str">
        <f t="shared" si="1"/>
        <v/>
      </c>
      <c r="F7" t="str">
        <f t="shared" si="1"/>
        <v/>
      </c>
      <c r="G7" t="str">
        <f t="shared" si="1"/>
        <v/>
      </c>
      <c r="H7" t="str">
        <f t="shared" si="1"/>
        <v/>
      </c>
      <c r="I7" t="str">
        <f t="shared" si="1"/>
        <v/>
      </c>
      <c r="J7" t="str">
        <f t="shared" si="1"/>
        <v/>
      </c>
      <c r="K7" t="str">
        <f t="shared" si="1"/>
        <v/>
      </c>
      <c r="L7" t="str">
        <f t="shared" si="1"/>
        <v/>
      </c>
      <c r="M7" t="str">
        <f t="shared" si="2"/>
        <v/>
      </c>
      <c r="N7" t="str">
        <f t="shared" si="2"/>
        <v/>
      </c>
      <c r="O7" t="str">
        <f t="shared" si="2"/>
        <v/>
      </c>
      <c r="P7" t="str">
        <f t="shared" si="2"/>
        <v/>
      </c>
      <c r="Q7" t="str">
        <f t="shared" si="2"/>
        <v/>
      </c>
      <c r="R7" t="str">
        <f t="shared" si="2"/>
        <v/>
      </c>
      <c r="S7" t="str">
        <f t="shared" si="2"/>
        <v/>
      </c>
      <c r="T7" t="str">
        <f t="shared" si="2"/>
        <v/>
      </c>
      <c r="U7" t="str">
        <f t="shared" si="2"/>
        <v/>
      </c>
      <c r="V7" t="str">
        <f t="shared" si="2"/>
        <v/>
      </c>
      <c r="W7" t="str">
        <f t="shared" si="3"/>
        <v/>
      </c>
      <c r="X7" t="str">
        <f t="shared" si="3"/>
        <v/>
      </c>
      <c r="Y7" t="str">
        <f t="shared" si="3"/>
        <v/>
      </c>
      <c r="Z7" t="str">
        <f t="shared" si="3"/>
        <v/>
      </c>
      <c r="AA7" t="str">
        <f t="shared" si="3"/>
        <v/>
      </c>
      <c r="AB7" t="str">
        <f t="shared" si="3"/>
        <v/>
      </c>
      <c r="AC7" t="str">
        <f t="shared" si="3"/>
        <v/>
      </c>
      <c r="AD7" t="str">
        <f t="shared" si="3"/>
        <v/>
      </c>
      <c r="AE7" t="str">
        <f t="shared" si="3"/>
        <v/>
      </c>
      <c r="AF7" t="str">
        <f t="shared" si="3"/>
        <v/>
      </c>
      <c r="AG7" t="str">
        <f t="shared" si="3"/>
        <v/>
      </c>
      <c r="AH7" t="str">
        <f t="shared" si="3"/>
        <v/>
      </c>
    </row>
    <row r="8" spans="1:34" ht="17.25" customHeight="1">
      <c r="B8" s="4">
        <f t="shared" si="0"/>
        <v>5.8000000000000025</v>
      </c>
      <c r="C8" t="str">
        <f t="shared" si="1"/>
        <v/>
      </c>
      <c r="D8" t="str">
        <f t="shared" si="1"/>
        <v/>
      </c>
      <c r="E8" t="str">
        <f t="shared" si="1"/>
        <v/>
      </c>
      <c r="F8" t="str">
        <f t="shared" si="1"/>
        <v/>
      </c>
      <c r="G8" t="str">
        <f t="shared" si="1"/>
        <v/>
      </c>
      <c r="H8" t="str">
        <f t="shared" si="1"/>
        <v/>
      </c>
      <c r="I8" t="str">
        <f t="shared" si="1"/>
        <v/>
      </c>
      <c r="J8" t="str">
        <f t="shared" si="1"/>
        <v/>
      </c>
      <c r="K8" t="str">
        <f t="shared" si="1"/>
        <v/>
      </c>
      <c r="L8" t="str">
        <f t="shared" si="1"/>
        <v/>
      </c>
      <c r="M8" t="str">
        <f t="shared" si="2"/>
        <v/>
      </c>
      <c r="N8" t="str">
        <f t="shared" si="2"/>
        <v/>
      </c>
      <c r="O8" t="str">
        <f t="shared" si="2"/>
        <v/>
      </c>
      <c r="P8" t="str">
        <f t="shared" si="2"/>
        <v/>
      </c>
      <c r="Q8" t="str">
        <f t="shared" si="2"/>
        <v/>
      </c>
      <c r="R8" t="str">
        <f t="shared" si="2"/>
        <v/>
      </c>
      <c r="S8" t="str">
        <f t="shared" si="2"/>
        <v/>
      </c>
      <c r="T8" t="str">
        <f t="shared" si="2"/>
        <v/>
      </c>
      <c r="U8" t="str">
        <f t="shared" si="2"/>
        <v/>
      </c>
      <c r="V8" t="str">
        <f t="shared" si="2"/>
        <v/>
      </c>
      <c r="W8" t="str">
        <f t="shared" si="3"/>
        <v/>
      </c>
      <c r="X8" t="str">
        <f t="shared" si="3"/>
        <v/>
      </c>
      <c r="Y8" t="str">
        <f t="shared" si="3"/>
        <v/>
      </c>
      <c r="Z8" t="str">
        <f t="shared" si="3"/>
        <v/>
      </c>
      <c r="AA8" t="str">
        <f t="shared" si="3"/>
        <v/>
      </c>
      <c r="AB8" t="str">
        <f t="shared" si="3"/>
        <v/>
      </c>
      <c r="AC8" t="str">
        <f t="shared" si="3"/>
        <v/>
      </c>
      <c r="AD8" t="str">
        <f t="shared" si="3"/>
        <v/>
      </c>
      <c r="AE8" t="str">
        <f t="shared" si="3"/>
        <v/>
      </c>
      <c r="AF8" t="str">
        <f t="shared" si="3"/>
        <v/>
      </c>
      <c r="AG8" t="str">
        <f t="shared" si="3"/>
        <v/>
      </c>
      <c r="AH8" t="str">
        <f t="shared" si="3"/>
        <v/>
      </c>
    </row>
    <row r="9" spans="1:34" ht="17.25" customHeight="1">
      <c r="B9" s="4">
        <f t="shared" si="0"/>
        <v>5.6000000000000023</v>
      </c>
      <c r="C9" t="str">
        <f t="shared" si="1"/>
        <v/>
      </c>
      <c r="D9" t="str">
        <f t="shared" si="1"/>
        <v/>
      </c>
      <c r="E9" t="str">
        <f t="shared" si="1"/>
        <v/>
      </c>
      <c r="F9" t="str">
        <f t="shared" si="1"/>
        <v/>
      </c>
      <c r="G9" t="str">
        <f t="shared" si="1"/>
        <v/>
      </c>
      <c r="H9" t="str">
        <f t="shared" si="1"/>
        <v/>
      </c>
      <c r="I9" t="str">
        <f t="shared" si="1"/>
        <v/>
      </c>
      <c r="J9" t="str">
        <f t="shared" si="1"/>
        <v/>
      </c>
      <c r="K9" t="str">
        <f t="shared" si="1"/>
        <v/>
      </c>
      <c r="L9" t="str">
        <f t="shared" si="1"/>
        <v/>
      </c>
      <c r="M9" t="str">
        <f t="shared" si="2"/>
        <v/>
      </c>
      <c r="N9" t="str">
        <f t="shared" si="2"/>
        <v/>
      </c>
      <c r="O9" t="str">
        <f t="shared" si="2"/>
        <v/>
      </c>
      <c r="P9" t="str">
        <f t="shared" si="2"/>
        <v/>
      </c>
      <c r="Q9" t="str">
        <f t="shared" si="2"/>
        <v/>
      </c>
      <c r="R9" t="str">
        <f t="shared" si="2"/>
        <v/>
      </c>
      <c r="S9" t="str">
        <f t="shared" si="2"/>
        <v/>
      </c>
      <c r="T9" t="str">
        <f t="shared" si="2"/>
        <v/>
      </c>
      <c r="U9" t="str">
        <f t="shared" si="2"/>
        <v/>
      </c>
      <c r="V9" t="str">
        <f t="shared" si="2"/>
        <v/>
      </c>
      <c r="W9" t="str">
        <f t="shared" si="3"/>
        <v/>
      </c>
      <c r="X9" t="str">
        <f t="shared" si="3"/>
        <v/>
      </c>
      <c r="Y9" t="str">
        <f t="shared" si="3"/>
        <v/>
      </c>
      <c r="Z9" t="str">
        <f t="shared" si="3"/>
        <v/>
      </c>
      <c r="AA9" t="str">
        <f t="shared" si="3"/>
        <v/>
      </c>
      <c r="AB9" t="str">
        <f t="shared" si="3"/>
        <v/>
      </c>
      <c r="AC9" t="str">
        <f t="shared" si="3"/>
        <v/>
      </c>
      <c r="AD9" t="str">
        <f t="shared" si="3"/>
        <v/>
      </c>
      <c r="AE9" t="str">
        <f t="shared" si="3"/>
        <v/>
      </c>
      <c r="AF9" t="str">
        <f t="shared" si="3"/>
        <v/>
      </c>
      <c r="AG9" t="str">
        <f t="shared" si="3"/>
        <v/>
      </c>
      <c r="AH9" t="str">
        <f t="shared" si="3"/>
        <v/>
      </c>
    </row>
    <row r="10" spans="1:34" ht="17.25" customHeight="1">
      <c r="B10" s="4">
        <f t="shared" si="0"/>
        <v>5.4000000000000021</v>
      </c>
      <c r="C10">
        <f t="shared" si="1"/>
        <v>0</v>
      </c>
      <c r="D10" t="str">
        <f t="shared" si="1"/>
        <v/>
      </c>
      <c r="E10" t="str">
        <f t="shared" si="1"/>
        <v/>
      </c>
      <c r="F10" t="str">
        <f t="shared" si="1"/>
        <v/>
      </c>
      <c r="G10" t="str">
        <f t="shared" si="1"/>
        <v/>
      </c>
      <c r="H10" t="str">
        <f t="shared" si="1"/>
        <v/>
      </c>
      <c r="I10" t="str">
        <f t="shared" si="1"/>
        <v/>
      </c>
      <c r="J10" t="str">
        <f t="shared" si="1"/>
        <v/>
      </c>
      <c r="K10" t="str">
        <f t="shared" si="1"/>
        <v/>
      </c>
      <c r="L10" t="str">
        <f t="shared" si="1"/>
        <v/>
      </c>
      <c r="M10" t="str">
        <f t="shared" si="2"/>
        <v/>
      </c>
      <c r="N10" t="str">
        <f t="shared" si="2"/>
        <v/>
      </c>
      <c r="O10" t="str">
        <f t="shared" si="2"/>
        <v/>
      </c>
      <c r="P10" t="str">
        <f t="shared" si="2"/>
        <v/>
      </c>
      <c r="Q10" t="str">
        <f t="shared" si="2"/>
        <v/>
      </c>
      <c r="R10" t="str">
        <f t="shared" si="2"/>
        <v/>
      </c>
      <c r="S10" t="str">
        <f t="shared" si="2"/>
        <v/>
      </c>
      <c r="T10" t="str">
        <f t="shared" si="2"/>
        <v/>
      </c>
      <c r="U10" t="str">
        <f t="shared" si="2"/>
        <v/>
      </c>
      <c r="V10" t="str">
        <f t="shared" si="2"/>
        <v/>
      </c>
      <c r="W10" t="str">
        <f t="shared" si="3"/>
        <v/>
      </c>
      <c r="X10" t="str">
        <f t="shared" si="3"/>
        <v/>
      </c>
      <c r="Y10" t="str">
        <f t="shared" si="3"/>
        <v/>
      </c>
      <c r="Z10" t="str">
        <f t="shared" si="3"/>
        <v/>
      </c>
      <c r="AA10" t="str">
        <f t="shared" si="3"/>
        <v/>
      </c>
      <c r="AB10" t="str">
        <f t="shared" si="3"/>
        <v/>
      </c>
      <c r="AC10" t="str">
        <f t="shared" si="3"/>
        <v/>
      </c>
      <c r="AD10" t="str">
        <f t="shared" si="3"/>
        <v/>
      </c>
      <c r="AE10" t="str">
        <f t="shared" si="3"/>
        <v/>
      </c>
      <c r="AF10" t="str">
        <f t="shared" si="3"/>
        <v/>
      </c>
      <c r="AG10" t="str">
        <f t="shared" si="3"/>
        <v/>
      </c>
      <c r="AH10" t="str">
        <f t="shared" si="3"/>
        <v/>
      </c>
    </row>
    <row r="11" spans="1:34" ht="17.25" customHeight="1">
      <c r="B11" s="4">
        <f t="shared" si="0"/>
        <v>5.200000000000002</v>
      </c>
      <c r="C11">
        <f t="shared" si="1"/>
        <v>0</v>
      </c>
      <c r="D11">
        <f t="shared" si="1"/>
        <v>1.0400000000000005</v>
      </c>
      <c r="E11" t="str">
        <f t="shared" si="1"/>
        <v/>
      </c>
      <c r="F11" t="str">
        <f t="shared" si="1"/>
        <v/>
      </c>
      <c r="G11" t="str">
        <f t="shared" si="1"/>
        <v/>
      </c>
      <c r="H11" t="str">
        <f t="shared" si="1"/>
        <v/>
      </c>
      <c r="I11" t="str">
        <f t="shared" si="1"/>
        <v/>
      </c>
      <c r="J11" t="str">
        <f t="shared" si="1"/>
        <v/>
      </c>
      <c r="K11" t="str">
        <f t="shared" si="1"/>
        <v/>
      </c>
      <c r="L11" t="str">
        <f t="shared" si="1"/>
        <v/>
      </c>
      <c r="M11" t="str">
        <f t="shared" si="2"/>
        <v/>
      </c>
      <c r="N11" t="str">
        <f t="shared" si="2"/>
        <v/>
      </c>
      <c r="O11" t="str">
        <f t="shared" si="2"/>
        <v/>
      </c>
      <c r="P11" t="str">
        <f t="shared" si="2"/>
        <v/>
      </c>
      <c r="Q11" t="str">
        <f t="shared" si="2"/>
        <v/>
      </c>
      <c r="R11" t="str">
        <f t="shared" si="2"/>
        <v/>
      </c>
      <c r="S11" t="str">
        <f t="shared" si="2"/>
        <v/>
      </c>
      <c r="T11" t="str">
        <f t="shared" si="2"/>
        <v/>
      </c>
      <c r="U11" t="str">
        <f t="shared" si="2"/>
        <v/>
      </c>
      <c r="V11" t="str">
        <f t="shared" si="2"/>
        <v/>
      </c>
      <c r="W11" t="str">
        <f t="shared" si="3"/>
        <v/>
      </c>
      <c r="X11" t="str">
        <f t="shared" si="3"/>
        <v/>
      </c>
      <c r="Y11" t="str">
        <f t="shared" si="3"/>
        <v/>
      </c>
      <c r="Z11" t="str">
        <f t="shared" si="3"/>
        <v/>
      </c>
      <c r="AA11" t="str">
        <f t="shared" si="3"/>
        <v/>
      </c>
      <c r="AB11" t="str">
        <f t="shared" si="3"/>
        <v/>
      </c>
      <c r="AC11" t="str">
        <f t="shared" si="3"/>
        <v/>
      </c>
      <c r="AD11" t="str">
        <f t="shared" si="3"/>
        <v/>
      </c>
      <c r="AE11" t="str">
        <f t="shared" si="3"/>
        <v/>
      </c>
      <c r="AF11" t="str">
        <f t="shared" si="3"/>
        <v/>
      </c>
      <c r="AG11" t="str">
        <f t="shared" si="3"/>
        <v/>
      </c>
      <c r="AH11" t="str">
        <f t="shared" si="3"/>
        <v/>
      </c>
    </row>
    <row r="12" spans="1:34" ht="17.25" customHeight="1">
      <c r="B12" s="4">
        <f t="shared" si="0"/>
        <v>5.0000000000000018</v>
      </c>
      <c r="C12">
        <f t="shared" si="1"/>
        <v>0</v>
      </c>
      <c r="D12">
        <f t="shared" si="1"/>
        <v>1.0000000000000004</v>
      </c>
      <c r="E12" t="str">
        <f t="shared" si="1"/>
        <v/>
      </c>
      <c r="F12" t="str">
        <f t="shared" si="1"/>
        <v/>
      </c>
      <c r="G12" t="str">
        <f t="shared" si="1"/>
        <v/>
      </c>
      <c r="H12" t="str">
        <f t="shared" si="1"/>
        <v/>
      </c>
      <c r="I12" t="str">
        <f t="shared" si="1"/>
        <v/>
      </c>
      <c r="J12" t="str">
        <f t="shared" si="1"/>
        <v/>
      </c>
      <c r="K12" t="str">
        <f t="shared" si="1"/>
        <v/>
      </c>
      <c r="L12" t="str">
        <f t="shared" si="1"/>
        <v/>
      </c>
      <c r="M12" t="str">
        <f t="shared" si="2"/>
        <v/>
      </c>
      <c r="N12" t="str">
        <f t="shared" si="2"/>
        <v/>
      </c>
      <c r="O12" t="str">
        <f t="shared" si="2"/>
        <v/>
      </c>
      <c r="P12" t="str">
        <f t="shared" si="2"/>
        <v/>
      </c>
      <c r="Q12" t="str">
        <f t="shared" si="2"/>
        <v/>
      </c>
      <c r="R12" t="str">
        <f t="shared" si="2"/>
        <v/>
      </c>
      <c r="S12" t="str">
        <f t="shared" si="2"/>
        <v/>
      </c>
      <c r="T12" t="str">
        <f t="shared" si="2"/>
        <v/>
      </c>
      <c r="U12" t="str">
        <f t="shared" si="2"/>
        <v/>
      </c>
      <c r="V12" t="str">
        <f t="shared" si="2"/>
        <v/>
      </c>
      <c r="W12" t="str">
        <f t="shared" si="3"/>
        <v/>
      </c>
      <c r="X12" t="str">
        <f t="shared" si="3"/>
        <v/>
      </c>
      <c r="Y12" t="str">
        <f t="shared" si="3"/>
        <v/>
      </c>
      <c r="Z12" t="str">
        <f t="shared" si="3"/>
        <v/>
      </c>
      <c r="AA12" t="str">
        <f t="shared" si="3"/>
        <v/>
      </c>
      <c r="AB12" t="str">
        <f t="shared" si="3"/>
        <v/>
      </c>
      <c r="AC12" t="str">
        <f t="shared" si="3"/>
        <v/>
      </c>
      <c r="AD12" t="str">
        <f t="shared" si="3"/>
        <v/>
      </c>
      <c r="AE12" t="str">
        <f t="shared" si="3"/>
        <v/>
      </c>
      <c r="AF12" t="str">
        <f t="shared" si="3"/>
        <v/>
      </c>
      <c r="AG12" t="str">
        <f t="shared" si="3"/>
        <v/>
      </c>
      <c r="AH12" t="str">
        <f t="shared" si="3"/>
        <v/>
      </c>
    </row>
    <row r="13" spans="1:34" ht="17.25" customHeight="1">
      <c r="B13" s="4">
        <f t="shared" si="0"/>
        <v>4.8000000000000016</v>
      </c>
      <c r="C13">
        <f t="shared" si="1"/>
        <v>0</v>
      </c>
      <c r="D13">
        <f t="shared" si="1"/>
        <v>0.96000000000000041</v>
      </c>
      <c r="E13">
        <f t="shared" si="1"/>
        <v>1.9200000000000008</v>
      </c>
      <c r="F13" t="str">
        <f t="shared" si="1"/>
        <v/>
      </c>
      <c r="G13" t="str">
        <f t="shared" si="1"/>
        <v/>
      </c>
      <c r="H13" t="str">
        <f t="shared" si="1"/>
        <v/>
      </c>
      <c r="I13" t="str">
        <f t="shared" si="1"/>
        <v/>
      </c>
      <c r="J13" t="str">
        <f t="shared" si="1"/>
        <v/>
      </c>
      <c r="K13" t="str">
        <f t="shared" si="1"/>
        <v/>
      </c>
      <c r="L13" t="str">
        <f t="shared" si="1"/>
        <v/>
      </c>
      <c r="M13" t="str">
        <f t="shared" si="2"/>
        <v/>
      </c>
      <c r="N13" t="str">
        <f t="shared" si="2"/>
        <v/>
      </c>
      <c r="O13" t="str">
        <f t="shared" si="2"/>
        <v/>
      </c>
      <c r="P13" t="str">
        <f t="shared" si="2"/>
        <v/>
      </c>
      <c r="Q13" t="str">
        <f t="shared" si="2"/>
        <v/>
      </c>
      <c r="R13" t="str">
        <f t="shared" si="2"/>
        <v/>
      </c>
      <c r="S13" t="str">
        <f t="shared" si="2"/>
        <v/>
      </c>
      <c r="T13" t="str">
        <f t="shared" si="2"/>
        <v/>
      </c>
      <c r="U13" t="str">
        <f t="shared" si="2"/>
        <v/>
      </c>
      <c r="V13" t="str">
        <f t="shared" si="2"/>
        <v/>
      </c>
      <c r="W13" t="str">
        <f t="shared" si="3"/>
        <v/>
      </c>
      <c r="X13" t="str">
        <f t="shared" si="3"/>
        <v/>
      </c>
      <c r="Y13" t="str">
        <f t="shared" si="3"/>
        <v/>
      </c>
      <c r="Z13" t="str">
        <f t="shared" si="3"/>
        <v/>
      </c>
      <c r="AA13" t="str">
        <f t="shared" si="3"/>
        <v/>
      </c>
      <c r="AB13" t="str">
        <f t="shared" si="3"/>
        <v/>
      </c>
      <c r="AC13" t="str">
        <f t="shared" si="3"/>
        <v/>
      </c>
      <c r="AD13" t="str">
        <f t="shared" si="3"/>
        <v/>
      </c>
      <c r="AE13" t="str">
        <f t="shared" si="3"/>
        <v/>
      </c>
      <c r="AF13" t="str">
        <f t="shared" si="3"/>
        <v/>
      </c>
      <c r="AG13" t="str">
        <f t="shared" si="3"/>
        <v/>
      </c>
      <c r="AH13" t="str">
        <f t="shared" si="3"/>
        <v/>
      </c>
    </row>
    <row r="14" spans="1:34" ht="17.25" customHeight="1">
      <c r="B14" s="4">
        <f t="shared" si="0"/>
        <v>4.6000000000000014</v>
      </c>
      <c r="C14">
        <f t="shared" si="1"/>
        <v>0</v>
      </c>
      <c r="D14">
        <f t="shared" si="1"/>
        <v>0.92000000000000037</v>
      </c>
      <c r="E14">
        <f t="shared" si="1"/>
        <v>1.8400000000000007</v>
      </c>
      <c r="F14">
        <f t="shared" si="1"/>
        <v>2.7600000000000011</v>
      </c>
      <c r="G14" t="str">
        <f t="shared" si="1"/>
        <v/>
      </c>
      <c r="H14" t="str">
        <f t="shared" si="1"/>
        <v/>
      </c>
      <c r="I14" t="str">
        <f t="shared" si="1"/>
        <v/>
      </c>
      <c r="J14" t="str">
        <f t="shared" si="1"/>
        <v/>
      </c>
      <c r="K14" t="str">
        <f t="shared" si="1"/>
        <v/>
      </c>
      <c r="L14" t="str">
        <f t="shared" si="1"/>
        <v/>
      </c>
      <c r="M14" t="str">
        <f t="shared" si="2"/>
        <v/>
      </c>
      <c r="N14" t="str">
        <f t="shared" si="2"/>
        <v/>
      </c>
      <c r="O14" t="str">
        <f t="shared" si="2"/>
        <v/>
      </c>
      <c r="P14" t="str">
        <f t="shared" si="2"/>
        <v/>
      </c>
      <c r="Q14" t="str">
        <f t="shared" si="2"/>
        <v/>
      </c>
      <c r="R14" t="str">
        <f t="shared" si="2"/>
        <v/>
      </c>
      <c r="S14" t="str">
        <f t="shared" si="2"/>
        <v/>
      </c>
      <c r="T14" t="str">
        <f t="shared" si="2"/>
        <v/>
      </c>
      <c r="U14" t="str">
        <f t="shared" si="2"/>
        <v/>
      </c>
      <c r="V14" t="str">
        <f t="shared" si="2"/>
        <v/>
      </c>
      <c r="W14" t="str">
        <f t="shared" si="3"/>
        <v/>
      </c>
      <c r="X14" t="str">
        <f t="shared" si="3"/>
        <v/>
      </c>
      <c r="Y14" t="str">
        <f t="shared" si="3"/>
        <v/>
      </c>
      <c r="Z14" t="str">
        <f t="shared" si="3"/>
        <v/>
      </c>
      <c r="AA14" t="str">
        <f t="shared" si="3"/>
        <v/>
      </c>
      <c r="AB14" t="str">
        <f t="shared" si="3"/>
        <v/>
      </c>
      <c r="AC14" t="str">
        <f t="shared" si="3"/>
        <v/>
      </c>
      <c r="AD14" t="str">
        <f t="shared" si="3"/>
        <v/>
      </c>
      <c r="AE14" t="str">
        <f t="shared" si="3"/>
        <v/>
      </c>
      <c r="AF14" t="str">
        <f t="shared" si="3"/>
        <v/>
      </c>
      <c r="AG14" t="str">
        <f t="shared" si="3"/>
        <v/>
      </c>
      <c r="AH14" t="str">
        <f t="shared" si="3"/>
        <v/>
      </c>
    </row>
    <row r="15" spans="1:34" ht="17.25" customHeight="1">
      <c r="B15" s="4">
        <f t="shared" si="0"/>
        <v>4.4000000000000012</v>
      </c>
      <c r="C15">
        <f t="shared" si="1"/>
        <v>0</v>
      </c>
      <c r="D15">
        <f t="shared" si="1"/>
        <v>0.88000000000000034</v>
      </c>
      <c r="E15">
        <f t="shared" si="1"/>
        <v>1.7600000000000007</v>
      </c>
      <c r="F15">
        <f t="shared" si="1"/>
        <v>2.640000000000001</v>
      </c>
      <c r="G15" t="str">
        <f t="shared" si="1"/>
        <v/>
      </c>
      <c r="H15" t="str">
        <f t="shared" si="1"/>
        <v/>
      </c>
      <c r="I15" t="str">
        <f t="shared" si="1"/>
        <v/>
      </c>
      <c r="J15" t="str">
        <f t="shared" si="1"/>
        <v/>
      </c>
      <c r="K15" t="str">
        <f t="shared" si="1"/>
        <v/>
      </c>
      <c r="L15" t="str">
        <f t="shared" si="1"/>
        <v/>
      </c>
      <c r="M15" t="str">
        <f t="shared" si="2"/>
        <v/>
      </c>
      <c r="N15" t="str">
        <f t="shared" si="2"/>
        <v/>
      </c>
      <c r="O15" t="str">
        <f t="shared" si="2"/>
        <v/>
      </c>
      <c r="P15" t="str">
        <f t="shared" si="2"/>
        <v/>
      </c>
      <c r="Q15" t="str">
        <f t="shared" si="2"/>
        <v/>
      </c>
      <c r="R15" t="str">
        <f t="shared" si="2"/>
        <v/>
      </c>
      <c r="S15" t="str">
        <f t="shared" si="2"/>
        <v/>
      </c>
      <c r="T15" t="str">
        <f t="shared" si="2"/>
        <v/>
      </c>
      <c r="U15" t="str">
        <f t="shared" si="2"/>
        <v/>
      </c>
      <c r="V15" t="str">
        <f t="shared" si="2"/>
        <v/>
      </c>
      <c r="W15" t="str">
        <f t="shared" si="3"/>
        <v/>
      </c>
      <c r="X15" t="str">
        <f t="shared" si="3"/>
        <v/>
      </c>
      <c r="Y15" t="str">
        <f t="shared" si="3"/>
        <v/>
      </c>
      <c r="Z15" t="str">
        <f t="shared" si="3"/>
        <v/>
      </c>
      <c r="AA15" t="str">
        <f t="shared" si="3"/>
        <v/>
      </c>
      <c r="AB15" t="str">
        <f t="shared" si="3"/>
        <v/>
      </c>
      <c r="AC15" t="str">
        <f t="shared" si="3"/>
        <v/>
      </c>
      <c r="AD15" t="str">
        <f t="shared" si="3"/>
        <v/>
      </c>
      <c r="AE15" t="str">
        <f t="shared" si="3"/>
        <v/>
      </c>
      <c r="AF15" t="str">
        <f t="shared" si="3"/>
        <v/>
      </c>
      <c r="AG15" t="str">
        <f t="shared" si="3"/>
        <v/>
      </c>
      <c r="AH15" t="str">
        <f t="shared" si="3"/>
        <v/>
      </c>
    </row>
    <row r="16" spans="1:34" ht="17.25" customHeight="1">
      <c r="B16" s="4">
        <f t="shared" si="0"/>
        <v>4.2000000000000011</v>
      </c>
      <c r="C16">
        <f t="shared" ref="C16:L25" si="4">IF(Px*C$38+Py*$B16&lt;=I,C$38^a*$B16^b,"")</f>
        <v>0</v>
      </c>
      <c r="D16">
        <f t="shared" si="4"/>
        <v>0.8400000000000003</v>
      </c>
      <c r="E16">
        <f t="shared" si="4"/>
        <v>1.6800000000000006</v>
      </c>
      <c r="F16">
        <f t="shared" si="4"/>
        <v>2.5200000000000009</v>
      </c>
      <c r="G16">
        <f t="shared" si="4"/>
        <v>3.3600000000000012</v>
      </c>
      <c r="H16" t="str">
        <f t="shared" si="4"/>
        <v/>
      </c>
      <c r="I16" t="str">
        <f t="shared" si="4"/>
        <v/>
      </c>
      <c r="J16" t="str">
        <f t="shared" si="4"/>
        <v/>
      </c>
      <c r="K16" t="str">
        <f t="shared" si="4"/>
        <v/>
      </c>
      <c r="L16" t="str">
        <f t="shared" si="4"/>
        <v/>
      </c>
      <c r="M16" t="str">
        <f t="shared" ref="M16:V25" si="5">IF(Px*M$38+Py*$B16&lt;=I,M$38^a*$B16^b,"")</f>
        <v/>
      </c>
      <c r="N16" t="str">
        <f t="shared" si="5"/>
        <v/>
      </c>
      <c r="O16" t="str">
        <f t="shared" si="5"/>
        <v/>
      </c>
      <c r="P16" t="str">
        <f t="shared" si="5"/>
        <v/>
      </c>
      <c r="Q16" t="str">
        <f t="shared" si="5"/>
        <v/>
      </c>
      <c r="R16" t="str">
        <f t="shared" si="5"/>
        <v/>
      </c>
      <c r="S16" t="str">
        <f t="shared" si="5"/>
        <v/>
      </c>
      <c r="T16" t="str">
        <f t="shared" si="5"/>
        <v/>
      </c>
      <c r="U16" t="str">
        <f t="shared" si="5"/>
        <v/>
      </c>
      <c r="V16" t="str">
        <f t="shared" si="5"/>
        <v/>
      </c>
      <c r="W16" t="str">
        <f t="shared" ref="W16:AH25" si="6">IF(Px*W$38+Py*$B16&lt;=I,W$38^a*$B16^b,"")</f>
        <v/>
      </c>
      <c r="X16" t="str">
        <f t="shared" si="6"/>
        <v/>
      </c>
      <c r="Y16" t="str">
        <f t="shared" si="6"/>
        <v/>
      </c>
      <c r="Z16" t="str">
        <f t="shared" si="6"/>
        <v/>
      </c>
      <c r="AA16" t="str">
        <f t="shared" si="6"/>
        <v/>
      </c>
      <c r="AB16" t="str">
        <f t="shared" si="6"/>
        <v/>
      </c>
      <c r="AC16" t="str">
        <f t="shared" si="6"/>
        <v/>
      </c>
      <c r="AD16" t="str">
        <f t="shared" si="6"/>
        <v/>
      </c>
      <c r="AE16" t="str">
        <f t="shared" si="6"/>
        <v/>
      </c>
      <c r="AF16" t="str">
        <f t="shared" si="6"/>
        <v/>
      </c>
      <c r="AG16" t="str">
        <f t="shared" si="6"/>
        <v/>
      </c>
      <c r="AH16" t="str">
        <f t="shared" si="6"/>
        <v/>
      </c>
    </row>
    <row r="17" spans="2:34" ht="17.25" customHeight="1">
      <c r="B17" s="4">
        <f t="shared" si="0"/>
        <v>4.0000000000000009</v>
      </c>
      <c r="C17">
        <f t="shared" si="4"/>
        <v>0</v>
      </c>
      <c r="D17">
        <f t="shared" si="4"/>
        <v>0.80000000000000027</v>
      </c>
      <c r="E17">
        <f t="shared" si="4"/>
        <v>1.6000000000000005</v>
      </c>
      <c r="F17">
        <f t="shared" si="4"/>
        <v>2.4000000000000008</v>
      </c>
      <c r="G17">
        <f t="shared" si="4"/>
        <v>3.2000000000000011</v>
      </c>
      <c r="H17">
        <f t="shared" si="4"/>
        <v>4.0000000000000009</v>
      </c>
      <c r="I17" t="str">
        <f t="shared" si="4"/>
        <v/>
      </c>
      <c r="J17" t="str">
        <f t="shared" si="4"/>
        <v/>
      </c>
      <c r="K17" t="str">
        <f t="shared" si="4"/>
        <v/>
      </c>
      <c r="L17" t="str">
        <f t="shared" si="4"/>
        <v/>
      </c>
      <c r="M17" t="str">
        <f t="shared" si="5"/>
        <v/>
      </c>
      <c r="N17" t="str">
        <f t="shared" si="5"/>
        <v/>
      </c>
      <c r="O17" t="str">
        <f t="shared" si="5"/>
        <v/>
      </c>
      <c r="P17" t="str">
        <f t="shared" si="5"/>
        <v/>
      </c>
      <c r="Q17" t="str">
        <f t="shared" si="5"/>
        <v/>
      </c>
      <c r="R17" t="str">
        <f t="shared" si="5"/>
        <v/>
      </c>
      <c r="S17" t="str">
        <f t="shared" si="5"/>
        <v/>
      </c>
      <c r="T17" t="str">
        <f t="shared" si="5"/>
        <v/>
      </c>
      <c r="U17" t="str">
        <f t="shared" si="5"/>
        <v/>
      </c>
      <c r="V17" t="str">
        <f t="shared" si="5"/>
        <v/>
      </c>
      <c r="W17" t="str">
        <f t="shared" si="6"/>
        <v/>
      </c>
      <c r="X17" t="str">
        <f t="shared" si="6"/>
        <v/>
      </c>
      <c r="Y17" t="str">
        <f t="shared" si="6"/>
        <v/>
      </c>
      <c r="Z17" t="str">
        <f t="shared" si="6"/>
        <v/>
      </c>
      <c r="AA17" t="str">
        <f t="shared" si="6"/>
        <v/>
      </c>
      <c r="AB17" t="str">
        <f t="shared" si="6"/>
        <v/>
      </c>
      <c r="AC17" t="str">
        <f t="shared" si="6"/>
        <v/>
      </c>
      <c r="AD17" t="str">
        <f t="shared" si="6"/>
        <v/>
      </c>
      <c r="AE17" t="str">
        <f t="shared" si="6"/>
        <v/>
      </c>
      <c r="AF17" t="str">
        <f t="shared" si="6"/>
        <v/>
      </c>
      <c r="AG17" t="str">
        <f t="shared" si="6"/>
        <v/>
      </c>
      <c r="AH17" t="str">
        <f t="shared" si="6"/>
        <v/>
      </c>
    </row>
    <row r="18" spans="2:34" ht="17.25" customHeight="1">
      <c r="B18" s="4">
        <f t="shared" si="0"/>
        <v>3.8000000000000012</v>
      </c>
      <c r="C18">
        <f t="shared" si="4"/>
        <v>0</v>
      </c>
      <c r="D18">
        <f t="shared" si="4"/>
        <v>0.76000000000000023</v>
      </c>
      <c r="E18">
        <f t="shared" si="4"/>
        <v>1.5200000000000005</v>
      </c>
      <c r="F18">
        <f t="shared" si="4"/>
        <v>2.2800000000000011</v>
      </c>
      <c r="G18">
        <f t="shared" si="4"/>
        <v>3.0400000000000009</v>
      </c>
      <c r="H18">
        <f t="shared" si="4"/>
        <v>3.8000000000000012</v>
      </c>
      <c r="I18" t="str">
        <f t="shared" si="4"/>
        <v/>
      </c>
      <c r="J18" t="str">
        <f t="shared" si="4"/>
        <v/>
      </c>
      <c r="K18" t="str">
        <f t="shared" si="4"/>
        <v/>
      </c>
      <c r="L18" t="str">
        <f t="shared" si="4"/>
        <v/>
      </c>
      <c r="M18" t="str">
        <f t="shared" si="5"/>
        <v/>
      </c>
      <c r="N18" t="str">
        <f t="shared" si="5"/>
        <v/>
      </c>
      <c r="O18" t="str">
        <f t="shared" si="5"/>
        <v/>
      </c>
      <c r="P18" t="str">
        <f t="shared" si="5"/>
        <v/>
      </c>
      <c r="Q18" t="str">
        <f t="shared" si="5"/>
        <v/>
      </c>
      <c r="R18" t="str">
        <f t="shared" si="5"/>
        <v/>
      </c>
      <c r="S18" t="str">
        <f t="shared" si="5"/>
        <v/>
      </c>
      <c r="T18" t="str">
        <f t="shared" si="5"/>
        <v/>
      </c>
      <c r="U18" t="str">
        <f t="shared" si="5"/>
        <v/>
      </c>
      <c r="V18" t="str">
        <f t="shared" si="5"/>
        <v/>
      </c>
      <c r="W18" t="str">
        <f t="shared" si="6"/>
        <v/>
      </c>
      <c r="X18" t="str">
        <f t="shared" si="6"/>
        <v/>
      </c>
      <c r="Y18" t="str">
        <f t="shared" si="6"/>
        <v/>
      </c>
      <c r="Z18" t="str">
        <f t="shared" si="6"/>
        <v/>
      </c>
      <c r="AA18" t="str">
        <f t="shared" si="6"/>
        <v/>
      </c>
      <c r="AB18" t="str">
        <f t="shared" si="6"/>
        <v/>
      </c>
      <c r="AC18" t="str">
        <f t="shared" si="6"/>
        <v/>
      </c>
      <c r="AD18" t="str">
        <f t="shared" si="6"/>
        <v/>
      </c>
      <c r="AE18" t="str">
        <f t="shared" si="6"/>
        <v/>
      </c>
      <c r="AF18" t="str">
        <f t="shared" si="6"/>
        <v/>
      </c>
      <c r="AG18" t="str">
        <f t="shared" si="6"/>
        <v/>
      </c>
      <c r="AH18" t="str">
        <f t="shared" si="6"/>
        <v/>
      </c>
    </row>
    <row r="19" spans="2:34" ht="17.25" customHeight="1">
      <c r="B19" s="4">
        <f t="shared" si="0"/>
        <v>3.600000000000001</v>
      </c>
      <c r="C19">
        <f t="shared" si="4"/>
        <v>0</v>
      </c>
      <c r="D19">
        <f t="shared" si="4"/>
        <v>0.7200000000000002</v>
      </c>
      <c r="E19">
        <f t="shared" si="4"/>
        <v>1.4400000000000004</v>
      </c>
      <c r="F19">
        <f t="shared" si="4"/>
        <v>2.160000000000001</v>
      </c>
      <c r="G19">
        <f t="shared" si="4"/>
        <v>2.8800000000000008</v>
      </c>
      <c r="H19">
        <f t="shared" si="4"/>
        <v>3.600000000000001</v>
      </c>
      <c r="I19">
        <f t="shared" si="4"/>
        <v>4.3200000000000012</v>
      </c>
      <c r="J19" t="str">
        <f t="shared" si="4"/>
        <v/>
      </c>
      <c r="K19" t="str">
        <f t="shared" si="4"/>
        <v/>
      </c>
      <c r="L19" t="str">
        <f t="shared" si="4"/>
        <v/>
      </c>
      <c r="M19" t="str">
        <f t="shared" si="5"/>
        <v/>
      </c>
      <c r="N19" t="str">
        <f t="shared" si="5"/>
        <v/>
      </c>
      <c r="O19" t="str">
        <f t="shared" si="5"/>
        <v/>
      </c>
      <c r="P19" t="str">
        <f t="shared" si="5"/>
        <v/>
      </c>
      <c r="Q19" t="str">
        <f t="shared" si="5"/>
        <v/>
      </c>
      <c r="R19" t="str">
        <f t="shared" si="5"/>
        <v/>
      </c>
      <c r="S19" t="str">
        <f t="shared" si="5"/>
        <v/>
      </c>
      <c r="T19" t="str">
        <f t="shared" si="5"/>
        <v/>
      </c>
      <c r="U19" t="str">
        <f t="shared" si="5"/>
        <v/>
      </c>
      <c r="V19" t="str">
        <f t="shared" si="5"/>
        <v/>
      </c>
      <c r="W19" t="str">
        <f t="shared" si="6"/>
        <v/>
      </c>
      <c r="X19" t="str">
        <f t="shared" si="6"/>
        <v/>
      </c>
      <c r="Y19" t="str">
        <f t="shared" si="6"/>
        <v/>
      </c>
      <c r="Z19" t="str">
        <f t="shared" si="6"/>
        <v/>
      </c>
      <c r="AA19" t="str">
        <f t="shared" si="6"/>
        <v/>
      </c>
      <c r="AB19" t="str">
        <f t="shared" si="6"/>
        <v/>
      </c>
      <c r="AC19" t="str">
        <f t="shared" si="6"/>
        <v/>
      </c>
      <c r="AD19" t="str">
        <f t="shared" si="6"/>
        <v/>
      </c>
      <c r="AE19" t="str">
        <f t="shared" si="6"/>
        <v/>
      </c>
      <c r="AF19" t="str">
        <f t="shared" si="6"/>
        <v/>
      </c>
      <c r="AG19" t="str">
        <f t="shared" si="6"/>
        <v/>
      </c>
      <c r="AH19" t="str">
        <f t="shared" si="6"/>
        <v/>
      </c>
    </row>
    <row r="20" spans="2:34" ht="17.25" customHeight="1">
      <c r="B20" s="4">
        <f t="shared" si="0"/>
        <v>3.4000000000000008</v>
      </c>
      <c r="C20">
        <f t="shared" si="4"/>
        <v>0</v>
      </c>
      <c r="D20">
        <f t="shared" si="4"/>
        <v>0.68000000000000016</v>
      </c>
      <c r="E20">
        <f t="shared" si="4"/>
        <v>1.3600000000000003</v>
      </c>
      <c r="F20">
        <f t="shared" si="4"/>
        <v>2.0400000000000009</v>
      </c>
      <c r="G20">
        <f t="shared" si="4"/>
        <v>2.7200000000000006</v>
      </c>
      <c r="H20">
        <f t="shared" si="4"/>
        <v>3.4000000000000008</v>
      </c>
      <c r="I20">
        <f t="shared" si="4"/>
        <v>4.080000000000001</v>
      </c>
      <c r="J20">
        <f t="shared" si="4"/>
        <v>4.7600000000000007</v>
      </c>
      <c r="K20" t="str">
        <f t="shared" si="4"/>
        <v/>
      </c>
      <c r="L20" t="str">
        <f t="shared" si="4"/>
        <v/>
      </c>
      <c r="M20" t="str">
        <f t="shared" si="5"/>
        <v/>
      </c>
      <c r="N20" t="str">
        <f t="shared" si="5"/>
        <v/>
      </c>
      <c r="O20" t="str">
        <f t="shared" si="5"/>
        <v/>
      </c>
      <c r="P20" t="str">
        <f t="shared" si="5"/>
        <v/>
      </c>
      <c r="Q20" t="str">
        <f t="shared" si="5"/>
        <v/>
      </c>
      <c r="R20" t="str">
        <f t="shared" si="5"/>
        <v/>
      </c>
      <c r="S20" t="str">
        <f t="shared" si="5"/>
        <v/>
      </c>
      <c r="T20" t="str">
        <f t="shared" si="5"/>
        <v/>
      </c>
      <c r="U20" t="str">
        <f t="shared" si="5"/>
        <v/>
      </c>
      <c r="V20" t="str">
        <f t="shared" si="5"/>
        <v/>
      </c>
      <c r="W20" t="str">
        <f t="shared" si="6"/>
        <v/>
      </c>
      <c r="X20" t="str">
        <f t="shared" si="6"/>
        <v/>
      </c>
      <c r="Y20" t="str">
        <f t="shared" si="6"/>
        <v/>
      </c>
      <c r="Z20" t="str">
        <f t="shared" si="6"/>
        <v/>
      </c>
      <c r="AA20" t="str">
        <f t="shared" si="6"/>
        <v/>
      </c>
      <c r="AB20" t="str">
        <f t="shared" si="6"/>
        <v/>
      </c>
      <c r="AC20" t="str">
        <f t="shared" si="6"/>
        <v/>
      </c>
      <c r="AD20" t="str">
        <f t="shared" si="6"/>
        <v/>
      </c>
      <c r="AE20" t="str">
        <f t="shared" si="6"/>
        <v/>
      </c>
      <c r="AF20" t="str">
        <f t="shared" si="6"/>
        <v/>
      </c>
      <c r="AG20" t="str">
        <f t="shared" si="6"/>
        <v/>
      </c>
      <c r="AH20" t="str">
        <f t="shared" si="6"/>
        <v/>
      </c>
    </row>
    <row r="21" spans="2:34" ht="17.25" customHeight="1">
      <c r="B21" s="4">
        <f t="shared" si="0"/>
        <v>3.2000000000000006</v>
      </c>
      <c r="C21">
        <f t="shared" si="4"/>
        <v>0</v>
      </c>
      <c r="D21">
        <f t="shared" si="4"/>
        <v>0.64000000000000012</v>
      </c>
      <c r="E21">
        <f t="shared" si="4"/>
        <v>1.2800000000000002</v>
      </c>
      <c r="F21">
        <f t="shared" si="4"/>
        <v>1.9200000000000006</v>
      </c>
      <c r="G21">
        <f t="shared" si="4"/>
        <v>2.5600000000000005</v>
      </c>
      <c r="H21">
        <f t="shared" si="4"/>
        <v>3.2000000000000006</v>
      </c>
      <c r="I21">
        <f t="shared" si="4"/>
        <v>3.8400000000000007</v>
      </c>
      <c r="J21">
        <f t="shared" si="4"/>
        <v>4.4800000000000004</v>
      </c>
      <c r="K21" t="str">
        <f t="shared" si="4"/>
        <v/>
      </c>
      <c r="L21" t="str">
        <f t="shared" si="4"/>
        <v/>
      </c>
      <c r="M21" t="str">
        <f t="shared" si="5"/>
        <v/>
      </c>
      <c r="N21" t="str">
        <f t="shared" si="5"/>
        <v/>
      </c>
      <c r="O21" t="str">
        <f t="shared" si="5"/>
        <v/>
      </c>
      <c r="P21" t="str">
        <f t="shared" si="5"/>
        <v/>
      </c>
      <c r="Q21" t="str">
        <f t="shared" si="5"/>
        <v/>
      </c>
      <c r="R21" t="str">
        <f t="shared" si="5"/>
        <v/>
      </c>
      <c r="S21" t="str">
        <f t="shared" si="5"/>
        <v/>
      </c>
      <c r="T21" t="str">
        <f t="shared" si="5"/>
        <v/>
      </c>
      <c r="U21" t="str">
        <f t="shared" si="5"/>
        <v/>
      </c>
      <c r="V21" t="str">
        <f t="shared" si="5"/>
        <v/>
      </c>
      <c r="W21" t="str">
        <f t="shared" si="6"/>
        <v/>
      </c>
      <c r="X21" t="str">
        <f t="shared" si="6"/>
        <v/>
      </c>
      <c r="Y21" t="str">
        <f t="shared" si="6"/>
        <v/>
      </c>
      <c r="Z21" t="str">
        <f t="shared" si="6"/>
        <v/>
      </c>
      <c r="AA21" t="str">
        <f t="shared" si="6"/>
        <v/>
      </c>
      <c r="AB21" t="str">
        <f t="shared" si="6"/>
        <v/>
      </c>
      <c r="AC21" t="str">
        <f t="shared" si="6"/>
        <v/>
      </c>
      <c r="AD21" t="str">
        <f t="shared" si="6"/>
        <v/>
      </c>
      <c r="AE21" t="str">
        <f t="shared" si="6"/>
        <v/>
      </c>
      <c r="AF21" t="str">
        <f t="shared" si="6"/>
        <v/>
      </c>
      <c r="AG21" t="str">
        <f t="shared" si="6"/>
        <v/>
      </c>
      <c r="AH21" t="str">
        <f t="shared" si="6"/>
        <v/>
      </c>
    </row>
    <row r="22" spans="2:34" ht="17.25" customHeight="1">
      <c r="B22" s="4">
        <f t="shared" si="0"/>
        <v>3.0000000000000004</v>
      </c>
      <c r="C22">
        <f t="shared" si="4"/>
        <v>0</v>
      </c>
      <c r="D22">
        <f t="shared" si="4"/>
        <v>0.60000000000000009</v>
      </c>
      <c r="E22">
        <f t="shared" si="4"/>
        <v>1.2000000000000002</v>
      </c>
      <c r="F22">
        <f t="shared" si="4"/>
        <v>1.8000000000000005</v>
      </c>
      <c r="G22">
        <f t="shared" si="4"/>
        <v>2.4000000000000004</v>
      </c>
      <c r="H22">
        <f t="shared" si="4"/>
        <v>3.0000000000000004</v>
      </c>
      <c r="I22">
        <f t="shared" si="4"/>
        <v>3.6000000000000005</v>
      </c>
      <c r="J22">
        <f t="shared" si="4"/>
        <v>4.2</v>
      </c>
      <c r="K22">
        <f t="shared" si="4"/>
        <v>4.8000000000000007</v>
      </c>
      <c r="L22" t="str">
        <f t="shared" si="4"/>
        <v/>
      </c>
      <c r="M22" t="str">
        <f t="shared" si="5"/>
        <v/>
      </c>
      <c r="N22" t="str">
        <f t="shared" si="5"/>
        <v/>
      </c>
      <c r="O22" t="str">
        <f t="shared" si="5"/>
        <v/>
      </c>
      <c r="P22" t="str">
        <f t="shared" si="5"/>
        <v/>
      </c>
      <c r="Q22" t="str">
        <f t="shared" si="5"/>
        <v/>
      </c>
      <c r="R22" t="str">
        <f t="shared" si="5"/>
        <v/>
      </c>
      <c r="S22" t="str">
        <f t="shared" si="5"/>
        <v/>
      </c>
      <c r="T22" t="str">
        <f t="shared" si="5"/>
        <v/>
      </c>
      <c r="U22" t="str">
        <f t="shared" si="5"/>
        <v/>
      </c>
      <c r="V22" t="str">
        <f t="shared" si="5"/>
        <v/>
      </c>
      <c r="W22" t="str">
        <f t="shared" si="6"/>
        <v/>
      </c>
      <c r="X22" t="str">
        <f t="shared" si="6"/>
        <v/>
      </c>
      <c r="Y22" t="str">
        <f t="shared" si="6"/>
        <v/>
      </c>
      <c r="Z22" t="str">
        <f t="shared" si="6"/>
        <v/>
      </c>
      <c r="AA22" t="str">
        <f t="shared" si="6"/>
        <v/>
      </c>
      <c r="AB22" t="str">
        <f t="shared" si="6"/>
        <v/>
      </c>
      <c r="AC22" t="str">
        <f t="shared" si="6"/>
        <v/>
      </c>
      <c r="AD22" t="str">
        <f t="shared" si="6"/>
        <v/>
      </c>
      <c r="AE22" t="str">
        <f t="shared" si="6"/>
        <v/>
      </c>
      <c r="AF22" t="str">
        <f t="shared" si="6"/>
        <v/>
      </c>
      <c r="AG22" t="str">
        <f t="shared" si="6"/>
        <v/>
      </c>
      <c r="AH22" t="str">
        <f t="shared" si="6"/>
        <v/>
      </c>
    </row>
    <row r="23" spans="2:34" ht="17.25" customHeight="1">
      <c r="B23" s="4">
        <f t="shared" si="0"/>
        <v>2.8000000000000003</v>
      </c>
      <c r="C23">
        <f t="shared" si="4"/>
        <v>0</v>
      </c>
      <c r="D23">
        <f t="shared" si="4"/>
        <v>0.56000000000000005</v>
      </c>
      <c r="E23">
        <f t="shared" si="4"/>
        <v>1.1200000000000001</v>
      </c>
      <c r="F23">
        <f t="shared" si="4"/>
        <v>1.6800000000000004</v>
      </c>
      <c r="G23">
        <f t="shared" si="4"/>
        <v>2.2400000000000002</v>
      </c>
      <c r="H23">
        <f t="shared" si="4"/>
        <v>2.8000000000000003</v>
      </c>
      <c r="I23">
        <f t="shared" si="4"/>
        <v>3.3600000000000003</v>
      </c>
      <c r="J23">
        <f t="shared" si="4"/>
        <v>3.92</v>
      </c>
      <c r="K23">
        <f t="shared" si="4"/>
        <v>4.4800000000000004</v>
      </c>
      <c r="L23">
        <f t="shared" si="4"/>
        <v>5.04</v>
      </c>
      <c r="M23" t="str">
        <f t="shared" si="5"/>
        <v/>
      </c>
      <c r="N23" t="str">
        <f t="shared" si="5"/>
        <v/>
      </c>
      <c r="O23" t="str">
        <f t="shared" si="5"/>
        <v/>
      </c>
      <c r="P23" t="str">
        <f t="shared" si="5"/>
        <v/>
      </c>
      <c r="Q23" t="str">
        <f t="shared" si="5"/>
        <v/>
      </c>
      <c r="R23" t="str">
        <f t="shared" si="5"/>
        <v/>
      </c>
      <c r="S23" t="str">
        <f t="shared" si="5"/>
        <v/>
      </c>
      <c r="T23" t="str">
        <f t="shared" si="5"/>
        <v/>
      </c>
      <c r="U23" t="str">
        <f t="shared" si="5"/>
        <v/>
      </c>
      <c r="V23" t="str">
        <f t="shared" si="5"/>
        <v/>
      </c>
      <c r="W23" t="str">
        <f t="shared" si="6"/>
        <v/>
      </c>
      <c r="X23" t="str">
        <f t="shared" si="6"/>
        <v/>
      </c>
      <c r="Y23" t="str">
        <f t="shared" si="6"/>
        <v/>
      </c>
      <c r="Z23" t="str">
        <f t="shared" si="6"/>
        <v/>
      </c>
      <c r="AA23" t="str">
        <f t="shared" si="6"/>
        <v/>
      </c>
      <c r="AB23" t="str">
        <f t="shared" si="6"/>
        <v/>
      </c>
      <c r="AC23" t="str">
        <f t="shared" si="6"/>
        <v/>
      </c>
      <c r="AD23" t="str">
        <f t="shared" si="6"/>
        <v/>
      </c>
      <c r="AE23" t="str">
        <f t="shared" si="6"/>
        <v/>
      </c>
      <c r="AF23" t="str">
        <f t="shared" si="6"/>
        <v/>
      </c>
      <c r="AG23" t="str">
        <f t="shared" si="6"/>
        <v/>
      </c>
      <c r="AH23" t="str">
        <f t="shared" si="6"/>
        <v/>
      </c>
    </row>
    <row r="24" spans="2:34" ht="17.25" customHeight="1">
      <c r="B24" s="4">
        <f t="shared" si="0"/>
        <v>2.6</v>
      </c>
      <c r="C24">
        <f t="shared" si="4"/>
        <v>0</v>
      </c>
      <c r="D24">
        <f t="shared" si="4"/>
        <v>0.52</v>
      </c>
      <c r="E24">
        <f t="shared" si="4"/>
        <v>1.04</v>
      </c>
      <c r="F24">
        <f t="shared" si="4"/>
        <v>1.5600000000000003</v>
      </c>
      <c r="G24">
        <f t="shared" si="4"/>
        <v>2.08</v>
      </c>
      <c r="H24">
        <f t="shared" si="4"/>
        <v>2.6</v>
      </c>
      <c r="I24">
        <f t="shared" si="4"/>
        <v>3.12</v>
      </c>
      <c r="J24">
        <f t="shared" si="4"/>
        <v>3.6399999999999997</v>
      </c>
      <c r="K24">
        <f t="shared" si="4"/>
        <v>4.16</v>
      </c>
      <c r="L24">
        <f t="shared" si="4"/>
        <v>4.68</v>
      </c>
      <c r="M24" t="str">
        <f t="shared" si="5"/>
        <v/>
      </c>
      <c r="N24" t="str">
        <f t="shared" si="5"/>
        <v/>
      </c>
      <c r="O24" t="str">
        <f t="shared" si="5"/>
        <v/>
      </c>
      <c r="P24" t="str">
        <f t="shared" si="5"/>
        <v/>
      </c>
      <c r="Q24" t="str">
        <f t="shared" si="5"/>
        <v/>
      </c>
      <c r="R24" t="str">
        <f t="shared" si="5"/>
        <v/>
      </c>
      <c r="S24" t="str">
        <f t="shared" si="5"/>
        <v/>
      </c>
      <c r="T24" t="str">
        <f t="shared" si="5"/>
        <v/>
      </c>
      <c r="U24" t="str">
        <f t="shared" si="5"/>
        <v/>
      </c>
      <c r="V24" t="str">
        <f t="shared" si="5"/>
        <v/>
      </c>
      <c r="W24" t="str">
        <f t="shared" si="6"/>
        <v/>
      </c>
      <c r="X24" t="str">
        <f t="shared" si="6"/>
        <v/>
      </c>
      <c r="Y24" t="str">
        <f t="shared" si="6"/>
        <v/>
      </c>
      <c r="Z24" t="str">
        <f t="shared" si="6"/>
        <v/>
      </c>
      <c r="AA24" t="str">
        <f t="shared" si="6"/>
        <v/>
      </c>
      <c r="AB24" t="str">
        <f t="shared" si="6"/>
        <v/>
      </c>
      <c r="AC24" t="str">
        <f t="shared" si="6"/>
        <v/>
      </c>
      <c r="AD24" t="str">
        <f t="shared" si="6"/>
        <v/>
      </c>
      <c r="AE24" t="str">
        <f t="shared" si="6"/>
        <v/>
      </c>
      <c r="AF24" t="str">
        <f t="shared" si="6"/>
        <v/>
      </c>
      <c r="AG24" t="str">
        <f t="shared" si="6"/>
        <v/>
      </c>
      <c r="AH24" t="str">
        <f t="shared" si="6"/>
        <v/>
      </c>
    </row>
    <row r="25" spans="2:34" ht="17.25" customHeight="1">
      <c r="B25" s="4">
        <f t="shared" si="0"/>
        <v>2.4</v>
      </c>
      <c r="C25">
        <f t="shared" si="4"/>
        <v>0</v>
      </c>
      <c r="D25">
        <f t="shared" si="4"/>
        <v>0.48</v>
      </c>
      <c r="E25">
        <f t="shared" si="4"/>
        <v>0.96</v>
      </c>
      <c r="F25">
        <f t="shared" si="4"/>
        <v>1.4400000000000002</v>
      </c>
      <c r="G25">
        <f t="shared" si="4"/>
        <v>1.92</v>
      </c>
      <c r="H25">
        <f t="shared" si="4"/>
        <v>2.4</v>
      </c>
      <c r="I25">
        <f t="shared" si="4"/>
        <v>2.88</v>
      </c>
      <c r="J25">
        <f t="shared" si="4"/>
        <v>3.36</v>
      </c>
      <c r="K25">
        <f t="shared" si="4"/>
        <v>3.8399999999999994</v>
      </c>
      <c r="L25">
        <f t="shared" si="4"/>
        <v>4.3199999999999994</v>
      </c>
      <c r="M25">
        <f t="shared" si="5"/>
        <v>4.7999999999999989</v>
      </c>
      <c r="N25" t="str">
        <f t="shared" si="5"/>
        <v/>
      </c>
      <c r="O25" t="str">
        <f t="shared" si="5"/>
        <v/>
      </c>
      <c r="P25" t="str">
        <f t="shared" si="5"/>
        <v/>
      </c>
      <c r="Q25" t="str">
        <f t="shared" si="5"/>
        <v/>
      </c>
      <c r="R25" t="str">
        <f t="shared" si="5"/>
        <v/>
      </c>
      <c r="S25" t="str">
        <f t="shared" si="5"/>
        <v/>
      </c>
      <c r="T25" t="str">
        <f t="shared" si="5"/>
        <v/>
      </c>
      <c r="U25" t="str">
        <f t="shared" si="5"/>
        <v/>
      </c>
      <c r="V25" t="str">
        <f t="shared" si="5"/>
        <v/>
      </c>
      <c r="W25" t="str">
        <f t="shared" si="6"/>
        <v/>
      </c>
      <c r="X25" t="str">
        <f t="shared" si="6"/>
        <v/>
      </c>
      <c r="Y25" t="str">
        <f t="shared" si="6"/>
        <v/>
      </c>
      <c r="Z25" t="str">
        <f t="shared" si="6"/>
        <v/>
      </c>
      <c r="AA25" t="str">
        <f t="shared" si="6"/>
        <v/>
      </c>
      <c r="AB25" t="str">
        <f t="shared" si="6"/>
        <v/>
      </c>
      <c r="AC25" t="str">
        <f t="shared" si="6"/>
        <v/>
      </c>
      <c r="AD25" t="str">
        <f t="shared" si="6"/>
        <v/>
      </c>
      <c r="AE25" t="str">
        <f t="shared" si="6"/>
        <v/>
      </c>
      <c r="AF25" t="str">
        <f t="shared" si="6"/>
        <v/>
      </c>
      <c r="AG25" t="str">
        <f t="shared" si="6"/>
        <v/>
      </c>
      <c r="AH25" t="str">
        <f t="shared" si="6"/>
        <v/>
      </c>
    </row>
    <row r="26" spans="2:34" ht="17.25" customHeight="1">
      <c r="B26" s="4">
        <f t="shared" si="0"/>
        <v>2.1999999999999997</v>
      </c>
      <c r="C26">
        <f t="shared" ref="C26:L37" si="7">IF(Px*C$38+Py*$B26&lt;=I,C$38^a*$B26^b,"")</f>
        <v>0</v>
      </c>
      <c r="D26">
        <f t="shared" si="7"/>
        <v>0.43999999999999995</v>
      </c>
      <c r="E26">
        <f t="shared" si="7"/>
        <v>0.87999999999999989</v>
      </c>
      <c r="F26">
        <f t="shared" si="7"/>
        <v>1.32</v>
      </c>
      <c r="G26">
        <f t="shared" si="7"/>
        <v>1.7599999999999998</v>
      </c>
      <c r="H26">
        <f t="shared" si="7"/>
        <v>2.1999999999999997</v>
      </c>
      <c r="I26">
        <f t="shared" si="7"/>
        <v>2.6399999999999997</v>
      </c>
      <c r="J26">
        <f t="shared" si="7"/>
        <v>3.0799999999999996</v>
      </c>
      <c r="K26">
        <f t="shared" si="7"/>
        <v>3.5199999999999991</v>
      </c>
      <c r="L26">
        <f t="shared" si="7"/>
        <v>3.9599999999999991</v>
      </c>
      <c r="M26">
        <f t="shared" ref="M26:V37" si="8">IF(Px*M$38+Py*$B26&lt;=I,M$38^a*$B26^b,"")</f>
        <v>4.3999999999999986</v>
      </c>
      <c r="N26">
        <f t="shared" si="8"/>
        <v>4.839999999999999</v>
      </c>
      <c r="O26" t="str">
        <f t="shared" si="8"/>
        <v/>
      </c>
      <c r="P26" t="str">
        <f t="shared" si="8"/>
        <v/>
      </c>
      <c r="Q26" t="str">
        <f t="shared" si="8"/>
        <v/>
      </c>
      <c r="R26" t="str">
        <f t="shared" si="8"/>
        <v/>
      </c>
      <c r="S26" t="str">
        <f t="shared" si="8"/>
        <v/>
      </c>
      <c r="T26" t="str">
        <f t="shared" si="8"/>
        <v/>
      </c>
      <c r="U26" t="str">
        <f t="shared" si="8"/>
        <v/>
      </c>
      <c r="V26" t="str">
        <f t="shared" si="8"/>
        <v/>
      </c>
      <c r="W26" t="str">
        <f t="shared" ref="W26:AH37" si="9">IF(Px*W$38+Py*$B26&lt;=I,W$38^a*$B26^b,"")</f>
        <v/>
      </c>
      <c r="X26" t="str">
        <f t="shared" si="9"/>
        <v/>
      </c>
      <c r="Y26" t="str">
        <f t="shared" si="9"/>
        <v/>
      </c>
      <c r="Z26" t="str">
        <f t="shared" si="9"/>
        <v/>
      </c>
      <c r="AA26" t="str">
        <f t="shared" si="9"/>
        <v/>
      </c>
      <c r="AB26" t="str">
        <f t="shared" si="9"/>
        <v/>
      </c>
      <c r="AC26" t="str">
        <f t="shared" si="9"/>
        <v/>
      </c>
      <c r="AD26" t="str">
        <f t="shared" si="9"/>
        <v/>
      </c>
      <c r="AE26" t="str">
        <f t="shared" si="9"/>
        <v/>
      </c>
      <c r="AF26" t="str">
        <f t="shared" si="9"/>
        <v/>
      </c>
      <c r="AG26" t="str">
        <f t="shared" si="9"/>
        <v/>
      </c>
      <c r="AH26" t="str">
        <f t="shared" si="9"/>
        <v/>
      </c>
    </row>
    <row r="27" spans="2:34" ht="17.25" customHeight="1">
      <c r="B27" s="4">
        <f t="shared" si="0"/>
        <v>1.9999999999999998</v>
      </c>
      <c r="C27">
        <f t="shared" si="7"/>
        <v>0</v>
      </c>
      <c r="D27">
        <f t="shared" si="7"/>
        <v>0.39999999999999997</v>
      </c>
      <c r="E27">
        <f t="shared" si="7"/>
        <v>0.79999999999999993</v>
      </c>
      <c r="F27">
        <f t="shared" si="7"/>
        <v>1.2</v>
      </c>
      <c r="G27">
        <f t="shared" si="7"/>
        <v>1.5999999999999999</v>
      </c>
      <c r="H27">
        <f t="shared" si="7"/>
        <v>1.9999999999999998</v>
      </c>
      <c r="I27">
        <f t="shared" si="7"/>
        <v>2.3999999999999995</v>
      </c>
      <c r="J27">
        <f t="shared" si="7"/>
        <v>2.7999999999999994</v>
      </c>
      <c r="K27">
        <f t="shared" si="7"/>
        <v>3.1999999999999993</v>
      </c>
      <c r="L27">
        <f t="shared" si="7"/>
        <v>3.5999999999999992</v>
      </c>
      <c r="M27">
        <f t="shared" si="8"/>
        <v>3.9999999999999991</v>
      </c>
      <c r="N27">
        <f t="shared" si="8"/>
        <v>4.3999999999999986</v>
      </c>
      <c r="O27" t="str">
        <f t="shared" si="8"/>
        <v/>
      </c>
      <c r="P27" t="str">
        <f t="shared" si="8"/>
        <v/>
      </c>
      <c r="Q27" t="str">
        <f t="shared" si="8"/>
        <v/>
      </c>
      <c r="R27" t="str">
        <f t="shared" si="8"/>
        <v/>
      </c>
      <c r="S27" t="str">
        <f t="shared" si="8"/>
        <v/>
      </c>
      <c r="T27" t="str">
        <f t="shared" si="8"/>
        <v/>
      </c>
      <c r="U27" t="str">
        <f t="shared" si="8"/>
        <v/>
      </c>
      <c r="V27" t="str">
        <f t="shared" si="8"/>
        <v/>
      </c>
      <c r="W27" t="str">
        <f t="shared" si="9"/>
        <v/>
      </c>
      <c r="X27" t="str">
        <f t="shared" si="9"/>
        <v/>
      </c>
      <c r="Y27" t="str">
        <f t="shared" si="9"/>
        <v/>
      </c>
      <c r="Z27" t="str">
        <f t="shared" si="9"/>
        <v/>
      </c>
      <c r="AA27" t="str">
        <f t="shared" si="9"/>
        <v/>
      </c>
      <c r="AB27" t="str">
        <f t="shared" si="9"/>
        <v/>
      </c>
      <c r="AC27" t="str">
        <f t="shared" si="9"/>
        <v/>
      </c>
      <c r="AD27" t="str">
        <f t="shared" si="9"/>
        <v/>
      </c>
      <c r="AE27" t="str">
        <f t="shared" si="9"/>
        <v/>
      </c>
      <c r="AF27" t="str">
        <f t="shared" si="9"/>
        <v/>
      </c>
      <c r="AG27" t="str">
        <f t="shared" si="9"/>
        <v/>
      </c>
      <c r="AH27" t="str">
        <f t="shared" si="9"/>
        <v/>
      </c>
    </row>
    <row r="28" spans="2:34" ht="17.25" customHeight="1">
      <c r="B28" s="4">
        <f t="shared" si="0"/>
        <v>1.7999999999999998</v>
      </c>
      <c r="C28">
        <f t="shared" si="7"/>
        <v>0</v>
      </c>
      <c r="D28">
        <f t="shared" si="7"/>
        <v>0.36</v>
      </c>
      <c r="E28">
        <f t="shared" si="7"/>
        <v>0.72</v>
      </c>
      <c r="F28">
        <f t="shared" si="7"/>
        <v>1.08</v>
      </c>
      <c r="G28">
        <f t="shared" si="7"/>
        <v>1.44</v>
      </c>
      <c r="H28">
        <f t="shared" si="7"/>
        <v>1.7999999999999998</v>
      </c>
      <c r="I28">
        <f t="shared" si="7"/>
        <v>2.1599999999999997</v>
      </c>
      <c r="J28">
        <f t="shared" si="7"/>
        <v>2.5199999999999996</v>
      </c>
      <c r="K28">
        <f t="shared" si="7"/>
        <v>2.8799999999999994</v>
      </c>
      <c r="L28">
        <f t="shared" si="7"/>
        <v>3.2399999999999993</v>
      </c>
      <c r="M28">
        <f t="shared" si="8"/>
        <v>3.5999999999999992</v>
      </c>
      <c r="N28">
        <f t="shared" si="8"/>
        <v>3.9599999999999991</v>
      </c>
      <c r="O28">
        <f t="shared" si="8"/>
        <v>4.3199999999999994</v>
      </c>
      <c r="P28" t="str">
        <f t="shared" si="8"/>
        <v/>
      </c>
      <c r="Q28" t="str">
        <f t="shared" si="8"/>
        <v/>
      </c>
      <c r="R28" t="str">
        <f t="shared" si="8"/>
        <v/>
      </c>
      <c r="S28" t="str">
        <f t="shared" si="8"/>
        <v/>
      </c>
      <c r="T28" t="str">
        <f t="shared" si="8"/>
        <v/>
      </c>
      <c r="U28" t="str">
        <f t="shared" si="8"/>
        <v/>
      </c>
      <c r="V28" t="str">
        <f t="shared" si="8"/>
        <v/>
      </c>
      <c r="W28" t="str">
        <f t="shared" si="9"/>
        <v/>
      </c>
      <c r="X28" t="str">
        <f t="shared" si="9"/>
        <v/>
      </c>
      <c r="Y28" t="str">
        <f t="shared" si="9"/>
        <v/>
      </c>
      <c r="Z28" t="str">
        <f t="shared" si="9"/>
        <v/>
      </c>
      <c r="AA28" t="str">
        <f t="shared" si="9"/>
        <v/>
      </c>
      <c r="AB28" t="str">
        <f t="shared" si="9"/>
        <v/>
      </c>
      <c r="AC28" t="str">
        <f t="shared" si="9"/>
        <v/>
      </c>
      <c r="AD28" t="str">
        <f t="shared" si="9"/>
        <v/>
      </c>
      <c r="AE28" t="str">
        <f t="shared" si="9"/>
        <v/>
      </c>
      <c r="AF28" t="str">
        <f t="shared" si="9"/>
        <v/>
      </c>
      <c r="AG28" t="str">
        <f t="shared" si="9"/>
        <v/>
      </c>
      <c r="AH28" t="str">
        <f t="shared" si="9"/>
        <v/>
      </c>
    </row>
    <row r="29" spans="2:34" ht="17.25" customHeight="1">
      <c r="B29" s="4">
        <f t="shared" si="0"/>
        <v>1.5999999999999999</v>
      </c>
      <c r="C29">
        <f t="shared" si="7"/>
        <v>0</v>
      </c>
      <c r="D29">
        <f t="shared" si="7"/>
        <v>0.32</v>
      </c>
      <c r="E29">
        <f t="shared" si="7"/>
        <v>0.64</v>
      </c>
      <c r="F29">
        <f t="shared" si="7"/>
        <v>0.96000000000000008</v>
      </c>
      <c r="G29">
        <f t="shared" si="7"/>
        <v>1.28</v>
      </c>
      <c r="H29">
        <f t="shared" si="7"/>
        <v>1.5999999999999999</v>
      </c>
      <c r="I29">
        <f t="shared" si="7"/>
        <v>1.9199999999999997</v>
      </c>
      <c r="J29">
        <f t="shared" si="7"/>
        <v>2.2399999999999998</v>
      </c>
      <c r="K29">
        <f t="shared" si="7"/>
        <v>2.5599999999999996</v>
      </c>
      <c r="L29">
        <f t="shared" si="7"/>
        <v>2.8799999999999994</v>
      </c>
      <c r="M29">
        <f t="shared" si="8"/>
        <v>3.1999999999999993</v>
      </c>
      <c r="N29">
        <f t="shared" si="8"/>
        <v>3.5199999999999991</v>
      </c>
      <c r="O29">
        <f t="shared" si="8"/>
        <v>3.8399999999999994</v>
      </c>
      <c r="P29">
        <f t="shared" si="8"/>
        <v>4.16</v>
      </c>
      <c r="Q29" t="str">
        <f t="shared" si="8"/>
        <v/>
      </c>
      <c r="R29" t="str">
        <f t="shared" si="8"/>
        <v/>
      </c>
      <c r="S29" t="str">
        <f t="shared" si="8"/>
        <v/>
      </c>
      <c r="T29" t="str">
        <f t="shared" si="8"/>
        <v/>
      </c>
      <c r="U29" t="str">
        <f t="shared" si="8"/>
        <v/>
      </c>
      <c r="V29" t="str">
        <f t="shared" si="8"/>
        <v/>
      </c>
      <c r="W29" t="str">
        <f t="shared" si="9"/>
        <v/>
      </c>
      <c r="X29" t="str">
        <f t="shared" si="9"/>
        <v/>
      </c>
      <c r="Y29" t="str">
        <f t="shared" si="9"/>
        <v/>
      </c>
      <c r="Z29" t="str">
        <f t="shared" si="9"/>
        <v/>
      </c>
      <c r="AA29" t="str">
        <f t="shared" si="9"/>
        <v/>
      </c>
      <c r="AB29" t="str">
        <f t="shared" si="9"/>
        <v/>
      </c>
      <c r="AC29" t="str">
        <f t="shared" si="9"/>
        <v/>
      </c>
      <c r="AD29" t="str">
        <f t="shared" si="9"/>
        <v/>
      </c>
      <c r="AE29" t="str">
        <f t="shared" si="9"/>
        <v/>
      </c>
      <c r="AF29" t="str">
        <f t="shared" si="9"/>
        <v/>
      </c>
      <c r="AG29" t="str">
        <f t="shared" si="9"/>
        <v/>
      </c>
      <c r="AH29" t="str">
        <f t="shared" si="9"/>
        <v/>
      </c>
    </row>
    <row r="30" spans="2:34" ht="17.25" customHeight="1">
      <c r="B30" s="4">
        <f t="shared" si="0"/>
        <v>1.4</v>
      </c>
      <c r="C30">
        <f t="shared" si="7"/>
        <v>0</v>
      </c>
      <c r="D30">
        <f t="shared" si="7"/>
        <v>0.27999999999999997</v>
      </c>
      <c r="E30">
        <f t="shared" si="7"/>
        <v>0.55999999999999994</v>
      </c>
      <c r="F30">
        <f t="shared" si="7"/>
        <v>0.84000000000000008</v>
      </c>
      <c r="G30">
        <f t="shared" si="7"/>
        <v>1.1199999999999999</v>
      </c>
      <c r="H30">
        <f t="shared" si="7"/>
        <v>1.4</v>
      </c>
      <c r="I30">
        <f t="shared" si="7"/>
        <v>1.68</v>
      </c>
      <c r="J30">
        <f t="shared" si="7"/>
        <v>1.9599999999999997</v>
      </c>
      <c r="K30">
        <f t="shared" si="7"/>
        <v>2.2399999999999998</v>
      </c>
      <c r="L30">
        <f t="shared" si="7"/>
        <v>2.5199999999999996</v>
      </c>
      <c r="M30">
        <f t="shared" si="8"/>
        <v>2.7999999999999994</v>
      </c>
      <c r="N30">
        <f t="shared" si="8"/>
        <v>3.0799999999999996</v>
      </c>
      <c r="O30">
        <f t="shared" si="8"/>
        <v>3.36</v>
      </c>
      <c r="P30">
        <f t="shared" si="8"/>
        <v>3.6399999999999997</v>
      </c>
      <c r="Q30" t="str">
        <f t="shared" si="8"/>
        <v/>
      </c>
      <c r="R30" t="str">
        <f t="shared" si="8"/>
        <v/>
      </c>
      <c r="S30" t="str">
        <f t="shared" si="8"/>
        <v/>
      </c>
      <c r="T30" t="str">
        <f t="shared" si="8"/>
        <v/>
      </c>
      <c r="U30" t="str">
        <f t="shared" si="8"/>
        <v/>
      </c>
      <c r="V30" t="str">
        <f t="shared" si="8"/>
        <v/>
      </c>
      <c r="W30" t="str">
        <f t="shared" si="9"/>
        <v/>
      </c>
      <c r="X30" t="str">
        <f t="shared" si="9"/>
        <v/>
      </c>
      <c r="Y30" t="str">
        <f t="shared" si="9"/>
        <v/>
      </c>
      <c r="Z30" t="str">
        <f t="shared" si="9"/>
        <v/>
      </c>
      <c r="AA30" t="str">
        <f t="shared" si="9"/>
        <v/>
      </c>
      <c r="AB30" t="str">
        <f t="shared" si="9"/>
        <v/>
      </c>
      <c r="AC30" t="str">
        <f t="shared" si="9"/>
        <v/>
      </c>
      <c r="AD30" t="str">
        <f t="shared" si="9"/>
        <v/>
      </c>
      <c r="AE30" t="str">
        <f t="shared" si="9"/>
        <v/>
      </c>
      <c r="AF30" t="str">
        <f t="shared" si="9"/>
        <v/>
      </c>
      <c r="AG30" t="str">
        <f t="shared" si="9"/>
        <v/>
      </c>
      <c r="AH30" t="str">
        <f t="shared" si="9"/>
        <v/>
      </c>
    </row>
    <row r="31" spans="2:34" ht="17.25" customHeight="1">
      <c r="B31" s="4">
        <f t="shared" si="0"/>
        <v>1.2</v>
      </c>
      <c r="C31">
        <f t="shared" si="7"/>
        <v>0</v>
      </c>
      <c r="D31">
        <f t="shared" si="7"/>
        <v>0.24</v>
      </c>
      <c r="E31">
        <f t="shared" si="7"/>
        <v>0.48</v>
      </c>
      <c r="F31">
        <f t="shared" si="7"/>
        <v>0.72000000000000008</v>
      </c>
      <c r="G31">
        <f t="shared" si="7"/>
        <v>0.96</v>
      </c>
      <c r="H31">
        <f t="shared" si="7"/>
        <v>1.2</v>
      </c>
      <c r="I31">
        <f t="shared" si="7"/>
        <v>1.44</v>
      </c>
      <c r="J31">
        <f t="shared" si="7"/>
        <v>1.68</v>
      </c>
      <c r="K31">
        <f t="shared" si="7"/>
        <v>1.9199999999999997</v>
      </c>
      <c r="L31">
        <f t="shared" si="7"/>
        <v>2.1599999999999997</v>
      </c>
      <c r="M31">
        <f t="shared" si="8"/>
        <v>2.3999999999999995</v>
      </c>
      <c r="N31">
        <f t="shared" si="8"/>
        <v>2.6399999999999997</v>
      </c>
      <c r="O31">
        <f t="shared" si="8"/>
        <v>2.88</v>
      </c>
      <c r="P31">
        <f t="shared" si="8"/>
        <v>3.12</v>
      </c>
      <c r="Q31">
        <f t="shared" si="8"/>
        <v>3.3600000000000003</v>
      </c>
      <c r="R31" t="str">
        <f t="shared" si="8"/>
        <v/>
      </c>
      <c r="S31" t="str">
        <f t="shared" si="8"/>
        <v/>
      </c>
      <c r="T31" t="str">
        <f t="shared" si="8"/>
        <v/>
      </c>
      <c r="U31" t="str">
        <f t="shared" si="8"/>
        <v/>
      </c>
      <c r="V31" t="str">
        <f t="shared" si="8"/>
        <v/>
      </c>
      <c r="W31" t="str">
        <f t="shared" si="9"/>
        <v/>
      </c>
      <c r="X31" t="str">
        <f t="shared" si="9"/>
        <v/>
      </c>
      <c r="Y31" t="str">
        <f t="shared" si="9"/>
        <v/>
      </c>
      <c r="Z31" t="str">
        <f t="shared" si="9"/>
        <v/>
      </c>
      <c r="AA31" t="str">
        <f t="shared" si="9"/>
        <v/>
      </c>
      <c r="AB31" t="str">
        <f t="shared" si="9"/>
        <v/>
      </c>
      <c r="AC31" t="str">
        <f t="shared" si="9"/>
        <v/>
      </c>
      <c r="AD31" t="str">
        <f t="shared" si="9"/>
        <v/>
      </c>
      <c r="AE31" t="str">
        <f t="shared" si="9"/>
        <v/>
      </c>
      <c r="AF31" t="str">
        <f t="shared" si="9"/>
        <v/>
      </c>
      <c r="AG31" t="str">
        <f t="shared" si="9"/>
        <v/>
      </c>
      <c r="AH31" t="str">
        <f t="shared" si="9"/>
        <v/>
      </c>
    </row>
    <row r="32" spans="2:34" ht="17.25" customHeight="1">
      <c r="B32" s="4">
        <f t="shared" si="0"/>
        <v>1</v>
      </c>
      <c r="C32">
        <f t="shared" si="7"/>
        <v>0</v>
      </c>
      <c r="D32">
        <f t="shared" si="7"/>
        <v>0.2</v>
      </c>
      <c r="E32">
        <f t="shared" si="7"/>
        <v>0.4</v>
      </c>
      <c r="F32">
        <f t="shared" si="7"/>
        <v>0.60000000000000009</v>
      </c>
      <c r="G32">
        <f t="shared" si="7"/>
        <v>0.8</v>
      </c>
      <c r="H32">
        <f t="shared" si="7"/>
        <v>1</v>
      </c>
      <c r="I32">
        <f t="shared" si="7"/>
        <v>1.2</v>
      </c>
      <c r="J32">
        <f t="shared" si="7"/>
        <v>1.4</v>
      </c>
      <c r="K32">
        <f t="shared" si="7"/>
        <v>1.5999999999999999</v>
      </c>
      <c r="L32">
        <f t="shared" si="7"/>
        <v>1.7999999999999998</v>
      </c>
      <c r="M32">
        <f t="shared" si="8"/>
        <v>1.9999999999999998</v>
      </c>
      <c r="N32">
        <f t="shared" si="8"/>
        <v>2.1999999999999997</v>
      </c>
      <c r="O32">
        <f t="shared" si="8"/>
        <v>2.4</v>
      </c>
      <c r="P32">
        <f t="shared" si="8"/>
        <v>2.6</v>
      </c>
      <c r="Q32">
        <f t="shared" si="8"/>
        <v>2.8000000000000003</v>
      </c>
      <c r="R32">
        <f t="shared" si="8"/>
        <v>3.0000000000000004</v>
      </c>
      <c r="S32" t="str">
        <f t="shared" si="8"/>
        <v/>
      </c>
      <c r="T32" t="str">
        <f t="shared" si="8"/>
        <v/>
      </c>
      <c r="U32" t="str">
        <f t="shared" si="8"/>
        <v/>
      </c>
      <c r="V32" t="str">
        <f t="shared" si="8"/>
        <v/>
      </c>
      <c r="W32" t="str">
        <f t="shared" si="9"/>
        <v/>
      </c>
      <c r="X32" t="str">
        <f t="shared" si="9"/>
        <v/>
      </c>
      <c r="Y32" t="str">
        <f t="shared" si="9"/>
        <v/>
      </c>
      <c r="Z32" t="str">
        <f t="shared" si="9"/>
        <v/>
      </c>
      <c r="AA32" t="str">
        <f t="shared" si="9"/>
        <v/>
      </c>
      <c r="AB32" t="str">
        <f t="shared" si="9"/>
        <v/>
      </c>
      <c r="AC32" t="str">
        <f t="shared" si="9"/>
        <v/>
      </c>
      <c r="AD32" t="str">
        <f t="shared" si="9"/>
        <v/>
      </c>
      <c r="AE32" t="str">
        <f t="shared" si="9"/>
        <v/>
      </c>
      <c r="AF32" t="str">
        <f t="shared" si="9"/>
        <v/>
      </c>
      <c r="AG32" t="str">
        <f t="shared" si="9"/>
        <v/>
      </c>
      <c r="AH32" t="str">
        <f t="shared" si="9"/>
        <v/>
      </c>
    </row>
    <row r="33" spans="2:34" ht="17.25" customHeight="1">
      <c r="B33" s="4">
        <f t="shared" si="0"/>
        <v>0.8</v>
      </c>
      <c r="C33">
        <f t="shared" si="7"/>
        <v>0</v>
      </c>
      <c r="D33">
        <f t="shared" si="7"/>
        <v>0.16000000000000003</v>
      </c>
      <c r="E33">
        <f t="shared" si="7"/>
        <v>0.32000000000000006</v>
      </c>
      <c r="F33">
        <f t="shared" si="7"/>
        <v>0.48000000000000009</v>
      </c>
      <c r="G33">
        <f t="shared" si="7"/>
        <v>0.64000000000000012</v>
      </c>
      <c r="H33">
        <f t="shared" si="7"/>
        <v>0.8</v>
      </c>
      <c r="I33">
        <f t="shared" si="7"/>
        <v>0.96</v>
      </c>
      <c r="J33">
        <f t="shared" si="7"/>
        <v>1.1199999999999999</v>
      </c>
      <c r="K33">
        <f t="shared" si="7"/>
        <v>1.28</v>
      </c>
      <c r="L33">
        <f t="shared" si="7"/>
        <v>1.44</v>
      </c>
      <c r="M33">
        <f t="shared" si="8"/>
        <v>1.5999999999999999</v>
      </c>
      <c r="N33">
        <f t="shared" si="8"/>
        <v>1.7599999999999998</v>
      </c>
      <c r="O33">
        <f t="shared" si="8"/>
        <v>1.92</v>
      </c>
      <c r="P33">
        <f t="shared" si="8"/>
        <v>2.08</v>
      </c>
      <c r="Q33">
        <f t="shared" si="8"/>
        <v>2.2400000000000002</v>
      </c>
      <c r="R33">
        <f t="shared" si="8"/>
        <v>2.4000000000000004</v>
      </c>
      <c r="S33" t="str">
        <f t="shared" si="8"/>
        <v/>
      </c>
      <c r="T33" t="str">
        <f t="shared" si="8"/>
        <v/>
      </c>
      <c r="U33" t="str">
        <f t="shared" si="8"/>
        <v/>
      </c>
      <c r="V33" t="str">
        <f t="shared" si="8"/>
        <v/>
      </c>
      <c r="W33" t="str">
        <f t="shared" si="9"/>
        <v/>
      </c>
      <c r="X33" t="str">
        <f t="shared" si="9"/>
        <v/>
      </c>
      <c r="Y33" t="str">
        <f t="shared" si="9"/>
        <v/>
      </c>
      <c r="Z33" t="str">
        <f t="shared" si="9"/>
        <v/>
      </c>
      <c r="AA33" t="str">
        <f t="shared" si="9"/>
        <v/>
      </c>
      <c r="AB33" t="str">
        <f t="shared" si="9"/>
        <v/>
      </c>
      <c r="AC33" t="str">
        <f t="shared" si="9"/>
        <v/>
      </c>
      <c r="AD33" t="str">
        <f t="shared" si="9"/>
        <v/>
      </c>
      <c r="AE33" t="str">
        <f t="shared" si="9"/>
        <v/>
      </c>
      <c r="AF33" t="str">
        <f t="shared" si="9"/>
        <v/>
      </c>
      <c r="AG33" t="str">
        <f t="shared" si="9"/>
        <v/>
      </c>
      <c r="AH33" t="str">
        <f t="shared" si="9"/>
        <v/>
      </c>
    </row>
    <row r="34" spans="2:34" ht="17.25" customHeight="1">
      <c r="B34" s="4">
        <f t="shared" si="0"/>
        <v>0.60000000000000009</v>
      </c>
      <c r="C34">
        <f t="shared" si="7"/>
        <v>0</v>
      </c>
      <c r="D34">
        <f t="shared" si="7"/>
        <v>0.12000000000000002</v>
      </c>
      <c r="E34">
        <f t="shared" si="7"/>
        <v>0.24000000000000005</v>
      </c>
      <c r="F34">
        <f t="shared" si="7"/>
        <v>0.3600000000000001</v>
      </c>
      <c r="G34">
        <f t="shared" si="7"/>
        <v>0.48000000000000009</v>
      </c>
      <c r="H34">
        <f t="shared" si="7"/>
        <v>0.60000000000000009</v>
      </c>
      <c r="I34">
        <f t="shared" si="7"/>
        <v>0.72000000000000008</v>
      </c>
      <c r="J34">
        <f t="shared" si="7"/>
        <v>0.84000000000000008</v>
      </c>
      <c r="K34">
        <f t="shared" si="7"/>
        <v>0.96000000000000008</v>
      </c>
      <c r="L34">
        <f t="shared" si="7"/>
        <v>1.08</v>
      </c>
      <c r="M34">
        <f t="shared" si="8"/>
        <v>1.2</v>
      </c>
      <c r="N34">
        <f t="shared" si="8"/>
        <v>1.32</v>
      </c>
      <c r="O34">
        <f t="shared" si="8"/>
        <v>1.4400000000000002</v>
      </c>
      <c r="P34">
        <f t="shared" si="8"/>
        <v>1.5600000000000003</v>
      </c>
      <c r="Q34">
        <f t="shared" si="8"/>
        <v>1.6800000000000004</v>
      </c>
      <c r="R34">
        <f t="shared" si="8"/>
        <v>1.8000000000000005</v>
      </c>
      <c r="S34">
        <f t="shared" si="8"/>
        <v>1.9200000000000006</v>
      </c>
      <c r="T34" t="str">
        <f t="shared" si="8"/>
        <v/>
      </c>
      <c r="U34" t="str">
        <f t="shared" si="8"/>
        <v/>
      </c>
      <c r="V34" t="str">
        <f t="shared" si="8"/>
        <v/>
      </c>
      <c r="W34" t="str">
        <f t="shared" si="9"/>
        <v/>
      </c>
      <c r="X34" t="str">
        <f t="shared" si="9"/>
        <v/>
      </c>
      <c r="Y34" t="str">
        <f t="shared" si="9"/>
        <v/>
      </c>
      <c r="Z34" t="str">
        <f t="shared" si="9"/>
        <v/>
      </c>
      <c r="AA34" t="str">
        <f t="shared" si="9"/>
        <v/>
      </c>
      <c r="AB34" t="str">
        <f t="shared" si="9"/>
        <v/>
      </c>
      <c r="AC34" t="str">
        <f t="shared" si="9"/>
        <v/>
      </c>
      <c r="AD34" t="str">
        <f t="shared" si="9"/>
        <v/>
      </c>
      <c r="AE34" t="str">
        <f t="shared" si="9"/>
        <v/>
      </c>
      <c r="AF34" t="str">
        <f t="shared" si="9"/>
        <v/>
      </c>
      <c r="AG34" t="str">
        <f t="shared" si="9"/>
        <v/>
      </c>
      <c r="AH34" t="str">
        <f t="shared" si="9"/>
        <v/>
      </c>
    </row>
    <row r="35" spans="2:34" ht="17.25" customHeight="1">
      <c r="B35" s="4">
        <f t="shared" si="0"/>
        <v>0.4</v>
      </c>
      <c r="C35">
        <f t="shared" si="7"/>
        <v>0</v>
      </c>
      <c r="D35">
        <f t="shared" si="7"/>
        <v>8.0000000000000016E-2</v>
      </c>
      <c r="E35">
        <f t="shared" si="7"/>
        <v>0.16000000000000003</v>
      </c>
      <c r="F35">
        <f t="shared" si="7"/>
        <v>0.24000000000000005</v>
      </c>
      <c r="G35">
        <f t="shared" si="7"/>
        <v>0.32000000000000006</v>
      </c>
      <c r="H35">
        <f t="shared" si="7"/>
        <v>0.4</v>
      </c>
      <c r="I35">
        <f t="shared" si="7"/>
        <v>0.48</v>
      </c>
      <c r="J35">
        <f t="shared" si="7"/>
        <v>0.55999999999999994</v>
      </c>
      <c r="K35">
        <f t="shared" si="7"/>
        <v>0.64</v>
      </c>
      <c r="L35">
        <f t="shared" si="7"/>
        <v>0.72</v>
      </c>
      <c r="M35">
        <f t="shared" si="8"/>
        <v>0.79999999999999993</v>
      </c>
      <c r="N35">
        <f t="shared" si="8"/>
        <v>0.87999999999999989</v>
      </c>
      <c r="O35">
        <f t="shared" si="8"/>
        <v>0.96</v>
      </c>
      <c r="P35">
        <f t="shared" si="8"/>
        <v>1.04</v>
      </c>
      <c r="Q35">
        <f t="shared" si="8"/>
        <v>1.1200000000000001</v>
      </c>
      <c r="R35">
        <f t="shared" si="8"/>
        <v>1.2000000000000002</v>
      </c>
      <c r="S35">
        <f t="shared" si="8"/>
        <v>1.2800000000000002</v>
      </c>
      <c r="T35">
        <f t="shared" si="8"/>
        <v>1.3600000000000003</v>
      </c>
      <c r="U35" t="str">
        <f t="shared" si="8"/>
        <v/>
      </c>
      <c r="V35" t="str">
        <f t="shared" si="8"/>
        <v/>
      </c>
      <c r="W35" t="str">
        <f t="shared" si="9"/>
        <v/>
      </c>
      <c r="X35" t="str">
        <f t="shared" si="9"/>
        <v/>
      </c>
      <c r="Y35" t="str">
        <f t="shared" si="9"/>
        <v/>
      </c>
      <c r="Z35" t="str">
        <f t="shared" si="9"/>
        <v/>
      </c>
      <c r="AA35" t="str">
        <f t="shared" si="9"/>
        <v/>
      </c>
      <c r="AB35" t="str">
        <f t="shared" si="9"/>
        <v/>
      </c>
      <c r="AC35" t="str">
        <f t="shared" si="9"/>
        <v/>
      </c>
      <c r="AD35" t="str">
        <f t="shared" si="9"/>
        <v/>
      </c>
      <c r="AE35" t="str">
        <f t="shared" si="9"/>
        <v/>
      </c>
      <c r="AF35" t="str">
        <f t="shared" si="9"/>
        <v/>
      </c>
      <c r="AG35" t="str">
        <f t="shared" si="9"/>
        <v/>
      </c>
      <c r="AH35" t="str">
        <f t="shared" si="9"/>
        <v/>
      </c>
    </row>
    <row r="36" spans="2:34" ht="17.25" customHeight="1">
      <c r="B36" s="4">
        <f>B37+$D$5</f>
        <v>0.2</v>
      </c>
      <c r="C36">
        <f t="shared" si="7"/>
        <v>0</v>
      </c>
      <c r="D36">
        <f t="shared" si="7"/>
        <v>4.0000000000000008E-2</v>
      </c>
      <c r="E36">
        <f t="shared" si="7"/>
        <v>8.0000000000000016E-2</v>
      </c>
      <c r="F36">
        <f t="shared" si="7"/>
        <v>0.12000000000000002</v>
      </c>
      <c r="G36">
        <f t="shared" si="7"/>
        <v>0.16000000000000003</v>
      </c>
      <c r="H36">
        <f t="shared" si="7"/>
        <v>0.2</v>
      </c>
      <c r="I36">
        <f t="shared" si="7"/>
        <v>0.24</v>
      </c>
      <c r="J36">
        <f t="shared" si="7"/>
        <v>0.27999999999999997</v>
      </c>
      <c r="K36">
        <f t="shared" si="7"/>
        <v>0.32</v>
      </c>
      <c r="L36">
        <f t="shared" si="7"/>
        <v>0.36</v>
      </c>
      <c r="M36">
        <f t="shared" si="8"/>
        <v>0.39999999999999997</v>
      </c>
      <c r="N36">
        <f t="shared" si="8"/>
        <v>0.43999999999999995</v>
      </c>
      <c r="O36">
        <f t="shared" si="8"/>
        <v>0.48</v>
      </c>
      <c r="P36">
        <f t="shared" si="8"/>
        <v>0.52</v>
      </c>
      <c r="Q36">
        <f t="shared" si="8"/>
        <v>0.56000000000000005</v>
      </c>
      <c r="R36">
        <f t="shared" si="8"/>
        <v>0.60000000000000009</v>
      </c>
      <c r="S36">
        <f t="shared" si="8"/>
        <v>0.64000000000000012</v>
      </c>
      <c r="T36">
        <f t="shared" si="8"/>
        <v>0.68000000000000016</v>
      </c>
      <c r="U36" t="str">
        <f t="shared" si="8"/>
        <v/>
      </c>
      <c r="V36" t="str">
        <f t="shared" si="8"/>
        <v/>
      </c>
      <c r="W36" t="str">
        <f t="shared" si="9"/>
        <v/>
      </c>
      <c r="X36" t="str">
        <f t="shared" si="9"/>
        <v/>
      </c>
      <c r="Y36" t="str">
        <f t="shared" si="9"/>
        <v/>
      </c>
      <c r="Z36" t="str">
        <f t="shared" si="9"/>
        <v/>
      </c>
      <c r="AA36" t="str">
        <f t="shared" si="9"/>
        <v/>
      </c>
      <c r="AB36" t="str">
        <f t="shared" si="9"/>
        <v/>
      </c>
      <c r="AC36" t="str">
        <f t="shared" si="9"/>
        <v/>
      </c>
      <c r="AD36" t="str">
        <f t="shared" si="9"/>
        <v/>
      </c>
      <c r="AE36" t="str">
        <f t="shared" si="9"/>
        <v/>
      </c>
      <c r="AF36" t="str">
        <f t="shared" si="9"/>
        <v/>
      </c>
      <c r="AG36" t="str">
        <f t="shared" si="9"/>
        <v/>
      </c>
      <c r="AH36" t="str">
        <f t="shared" si="9"/>
        <v/>
      </c>
    </row>
    <row r="37" spans="2:34" ht="17.25" customHeight="1">
      <c r="B37" s="4">
        <v>0</v>
      </c>
      <c r="C37">
        <f t="shared" si="7"/>
        <v>0</v>
      </c>
      <c r="D37">
        <f t="shared" si="7"/>
        <v>0</v>
      </c>
      <c r="E37">
        <f t="shared" si="7"/>
        <v>0</v>
      </c>
      <c r="F37">
        <f t="shared" si="7"/>
        <v>0</v>
      </c>
      <c r="G37">
        <f t="shared" si="7"/>
        <v>0</v>
      </c>
      <c r="H37">
        <f t="shared" si="7"/>
        <v>0</v>
      </c>
      <c r="I37">
        <f t="shared" si="7"/>
        <v>0</v>
      </c>
      <c r="J37">
        <f t="shared" si="7"/>
        <v>0</v>
      </c>
      <c r="K37">
        <f t="shared" si="7"/>
        <v>0</v>
      </c>
      <c r="L37">
        <f t="shared" si="7"/>
        <v>0</v>
      </c>
      <c r="M37">
        <f t="shared" si="8"/>
        <v>0</v>
      </c>
      <c r="N37">
        <f t="shared" si="8"/>
        <v>0</v>
      </c>
      <c r="O37">
        <f t="shared" si="8"/>
        <v>0</v>
      </c>
      <c r="P37">
        <f t="shared" si="8"/>
        <v>0</v>
      </c>
      <c r="Q37">
        <f t="shared" si="8"/>
        <v>0</v>
      </c>
      <c r="R37">
        <f t="shared" si="8"/>
        <v>0</v>
      </c>
      <c r="S37">
        <f t="shared" si="8"/>
        <v>0</v>
      </c>
      <c r="T37">
        <f t="shared" si="8"/>
        <v>0</v>
      </c>
      <c r="U37">
        <f t="shared" si="8"/>
        <v>0</v>
      </c>
      <c r="V37" t="str">
        <f t="shared" si="8"/>
        <v/>
      </c>
      <c r="W37" t="str">
        <f t="shared" si="9"/>
        <v/>
      </c>
      <c r="X37" t="str">
        <f t="shared" si="9"/>
        <v/>
      </c>
      <c r="Y37" t="str">
        <f t="shared" si="9"/>
        <v/>
      </c>
      <c r="Z37" t="str">
        <f t="shared" si="9"/>
        <v/>
      </c>
      <c r="AA37" t="str">
        <f t="shared" si="9"/>
        <v/>
      </c>
      <c r="AB37" t="str">
        <f t="shared" si="9"/>
        <v/>
      </c>
      <c r="AC37" t="str">
        <f t="shared" si="9"/>
        <v/>
      </c>
      <c r="AD37" t="str">
        <f t="shared" si="9"/>
        <v/>
      </c>
      <c r="AE37" t="str">
        <f t="shared" si="9"/>
        <v/>
      </c>
      <c r="AF37" t="str">
        <f t="shared" si="9"/>
        <v/>
      </c>
      <c r="AG37" t="str">
        <f t="shared" si="9"/>
        <v/>
      </c>
      <c r="AH37" t="str">
        <f t="shared" si="9"/>
        <v/>
      </c>
    </row>
    <row r="38" spans="2:34">
      <c r="B38" s="1"/>
      <c r="C38" s="3">
        <v>0</v>
      </c>
      <c r="D38" s="3">
        <f>C38+$D$5</f>
        <v>0.2</v>
      </c>
      <c r="E38" s="3">
        <f t="shared" ref="E38:S38" si="10">D38+$D$5</f>
        <v>0.4</v>
      </c>
      <c r="F38" s="3">
        <f t="shared" si="10"/>
        <v>0.60000000000000009</v>
      </c>
      <c r="G38" s="3">
        <f t="shared" si="10"/>
        <v>0.8</v>
      </c>
      <c r="H38" s="3">
        <f t="shared" si="10"/>
        <v>1</v>
      </c>
      <c r="I38" s="3">
        <f t="shared" si="10"/>
        <v>1.2</v>
      </c>
      <c r="J38" s="3">
        <f t="shared" si="10"/>
        <v>1.4</v>
      </c>
      <c r="K38" s="3">
        <f t="shared" si="10"/>
        <v>1.5999999999999999</v>
      </c>
      <c r="L38" s="3">
        <f t="shared" si="10"/>
        <v>1.7999999999999998</v>
      </c>
      <c r="M38" s="3">
        <f t="shared" si="10"/>
        <v>1.9999999999999998</v>
      </c>
      <c r="N38" s="3">
        <f t="shared" si="10"/>
        <v>2.1999999999999997</v>
      </c>
      <c r="O38" s="3">
        <f t="shared" si="10"/>
        <v>2.4</v>
      </c>
      <c r="P38" s="3">
        <f t="shared" si="10"/>
        <v>2.6</v>
      </c>
      <c r="Q38" s="3">
        <f t="shared" si="10"/>
        <v>2.8000000000000003</v>
      </c>
      <c r="R38" s="3">
        <f t="shared" si="10"/>
        <v>3.0000000000000004</v>
      </c>
      <c r="S38" s="3">
        <f t="shared" si="10"/>
        <v>3.2000000000000006</v>
      </c>
      <c r="T38" s="3">
        <f>S38+$D$5</f>
        <v>3.4000000000000008</v>
      </c>
      <c r="U38" s="3">
        <f t="shared" ref="U38:AG38" si="11">T38+$D$5</f>
        <v>3.600000000000001</v>
      </c>
      <c r="V38" s="3">
        <f t="shared" si="11"/>
        <v>3.8000000000000012</v>
      </c>
      <c r="W38" s="3">
        <f t="shared" si="11"/>
        <v>4.0000000000000009</v>
      </c>
      <c r="X38" s="3">
        <f t="shared" si="11"/>
        <v>4.2000000000000011</v>
      </c>
      <c r="Y38" s="3">
        <f t="shared" si="11"/>
        <v>4.4000000000000012</v>
      </c>
      <c r="Z38" s="3">
        <f t="shared" si="11"/>
        <v>4.6000000000000014</v>
      </c>
      <c r="AA38" s="3">
        <f t="shared" si="11"/>
        <v>4.8000000000000016</v>
      </c>
      <c r="AB38" s="3">
        <f t="shared" si="11"/>
        <v>5.0000000000000018</v>
      </c>
      <c r="AC38" s="3">
        <f t="shared" si="11"/>
        <v>5.200000000000002</v>
      </c>
      <c r="AD38" s="3">
        <f t="shared" si="11"/>
        <v>5.4000000000000021</v>
      </c>
      <c r="AE38" s="3">
        <f t="shared" si="11"/>
        <v>5.6000000000000023</v>
      </c>
      <c r="AF38" s="3">
        <f t="shared" si="11"/>
        <v>5.8000000000000025</v>
      </c>
      <c r="AG38" s="3">
        <f t="shared" si="11"/>
        <v>6.0000000000000027</v>
      </c>
      <c r="AH38" s="3">
        <f>AG38+$D$5</f>
        <v>6.2000000000000028</v>
      </c>
    </row>
    <row r="39" spans="2:34">
      <c r="AH39" s="4" t="s">
        <v>3</v>
      </c>
    </row>
  </sheetData>
  <conditionalFormatting sqref="C6:AH37">
    <cfRule type="top10" dxfId="0" priority="1" rank="1"/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>
      <selection activeCell="C34" sqref="C34"/>
    </sheetView>
  </sheetViews>
  <sheetFormatPr defaultRowHeight="15"/>
  <cols>
    <col min="1" max="1" width="7.140625" customWidth="1"/>
  </cols>
  <sheetData>
    <row r="1" spans="1:8">
      <c r="A1" s="7" t="s">
        <v>10</v>
      </c>
      <c r="B1" s="8">
        <v>1</v>
      </c>
      <c r="C1" s="7" t="s">
        <v>11</v>
      </c>
      <c r="D1" s="8">
        <v>1</v>
      </c>
      <c r="E1" s="7" t="s">
        <v>15</v>
      </c>
      <c r="F1" s="8">
        <f>'Budget Set and Optimal Choice'!Py</f>
        <v>4</v>
      </c>
      <c r="G1" s="7" t="s">
        <v>14</v>
      </c>
      <c r="H1" s="8">
        <f>'Budget Set and Optimal Choice'!I</f>
        <v>22</v>
      </c>
    </row>
    <row r="3" spans="1:8">
      <c r="A3" s="6" t="s">
        <v>9</v>
      </c>
      <c r="B3" s="6">
        <v>0.2</v>
      </c>
    </row>
    <row r="4" spans="1:8" ht="18">
      <c r="A4" t="s">
        <v>8</v>
      </c>
    </row>
    <row r="5" spans="1:8">
      <c r="A5">
        <v>0</v>
      </c>
    </row>
    <row r="6" spans="1:8">
      <c r="A6">
        <f t="shared" ref="A6:A37" si="0">A5+$B$3</f>
        <v>0.2</v>
      </c>
      <c r="B6" s="5">
        <f t="shared" ref="B6:B37" si="1">(a/(a+b))*(I/A6)</f>
        <v>55</v>
      </c>
    </row>
    <row r="7" spans="1:8">
      <c r="A7">
        <f t="shared" si="0"/>
        <v>0.4</v>
      </c>
      <c r="B7" s="5">
        <f t="shared" si="1"/>
        <v>27.5</v>
      </c>
    </row>
    <row r="8" spans="1:8">
      <c r="A8">
        <f t="shared" si="0"/>
        <v>0.60000000000000009</v>
      </c>
      <c r="B8" s="5">
        <f t="shared" si="1"/>
        <v>18.333333333333332</v>
      </c>
    </row>
    <row r="9" spans="1:8">
      <c r="A9">
        <f t="shared" si="0"/>
        <v>0.8</v>
      </c>
      <c r="B9" s="5">
        <f t="shared" si="1"/>
        <v>13.75</v>
      </c>
    </row>
    <row r="10" spans="1:8">
      <c r="A10">
        <f t="shared" si="0"/>
        <v>1</v>
      </c>
      <c r="B10" s="5">
        <f t="shared" si="1"/>
        <v>11</v>
      </c>
    </row>
    <row r="11" spans="1:8">
      <c r="A11">
        <f t="shared" si="0"/>
        <v>1.2</v>
      </c>
      <c r="B11" s="5">
        <f t="shared" si="1"/>
        <v>9.1666666666666679</v>
      </c>
    </row>
    <row r="12" spans="1:8">
      <c r="A12">
        <f t="shared" si="0"/>
        <v>1.4</v>
      </c>
      <c r="B12" s="5">
        <f t="shared" si="1"/>
        <v>7.8571428571428577</v>
      </c>
    </row>
    <row r="13" spans="1:8">
      <c r="A13">
        <f t="shared" si="0"/>
        <v>1.5999999999999999</v>
      </c>
      <c r="B13" s="5">
        <f t="shared" si="1"/>
        <v>6.8750000000000009</v>
      </c>
    </row>
    <row r="14" spans="1:8">
      <c r="A14">
        <f t="shared" si="0"/>
        <v>1.7999999999999998</v>
      </c>
      <c r="B14" s="5">
        <f t="shared" si="1"/>
        <v>6.1111111111111116</v>
      </c>
    </row>
    <row r="15" spans="1:8">
      <c r="A15">
        <f t="shared" si="0"/>
        <v>1.9999999999999998</v>
      </c>
      <c r="B15" s="5">
        <f t="shared" si="1"/>
        <v>5.5000000000000009</v>
      </c>
    </row>
    <row r="16" spans="1:8">
      <c r="A16">
        <f t="shared" si="0"/>
        <v>2.1999999999999997</v>
      </c>
      <c r="B16" s="5">
        <f t="shared" si="1"/>
        <v>5.0000000000000009</v>
      </c>
    </row>
    <row r="17" spans="1:2">
      <c r="A17">
        <f t="shared" si="0"/>
        <v>2.4</v>
      </c>
      <c r="B17" s="5">
        <f t="shared" si="1"/>
        <v>4.5833333333333339</v>
      </c>
    </row>
    <row r="18" spans="1:2">
      <c r="A18">
        <f t="shared" si="0"/>
        <v>2.6</v>
      </c>
      <c r="B18" s="5">
        <f t="shared" si="1"/>
        <v>4.2307692307692308</v>
      </c>
    </row>
    <row r="19" spans="1:2">
      <c r="A19">
        <f t="shared" si="0"/>
        <v>2.8000000000000003</v>
      </c>
      <c r="B19" s="5">
        <f t="shared" si="1"/>
        <v>3.9285714285714284</v>
      </c>
    </row>
    <row r="20" spans="1:2">
      <c r="A20">
        <f t="shared" si="0"/>
        <v>3.0000000000000004</v>
      </c>
      <c r="B20" s="5">
        <f t="shared" si="1"/>
        <v>3.6666666666666661</v>
      </c>
    </row>
    <row r="21" spans="1:2">
      <c r="A21">
        <f t="shared" si="0"/>
        <v>3.2000000000000006</v>
      </c>
      <c r="B21" s="5">
        <f t="shared" si="1"/>
        <v>3.4374999999999991</v>
      </c>
    </row>
    <row r="22" spans="1:2">
      <c r="A22">
        <f t="shared" si="0"/>
        <v>3.4000000000000008</v>
      </c>
      <c r="B22" s="5">
        <f t="shared" si="1"/>
        <v>3.235294117647058</v>
      </c>
    </row>
    <row r="23" spans="1:2">
      <c r="A23">
        <f t="shared" si="0"/>
        <v>3.600000000000001</v>
      </c>
      <c r="B23" s="5">
        <f t="shared" si="1"/>
        <v>3.0555555555555549</v>
      </c>
    </row>
    <row r="24" spans="1:2">
      <c r="A24">
        <f t="shared" si="0"/>
        <v>3.8000000000000012</v>
      </c>
      <c r="B24" s="5">
        <f t="shared" si="1"/>
        <v>2.8947368421052624</v>
      </c>
    </row>
    <row r="25" spans="1:2">
      <c r="A25">
        <f t="shared" si="0"/>
        <v>4.0000000000000009</v>
      </c>
      <c r="B25" s="5">
        <f t="shared" si="1"/>
        <v>2.7499999999999996</v>
      </c>
    </row>
    <row r="26" spans="1:2">
      <c r="A26">
        <f t="shared" si="0"/>
        <v>4.2000000000000011</v>
      </c>
      <c r="B26" s="5">
        <f t="shared" si="1"/>
        <v>2.6190476190476182</v>
      </c>
    </row>
    <row r="27" spans="1:2">
      <c r="A27">
        <f t="shared" si="0"/>
        <v>4.4000000000000012</v>
      </c>
      <c r="B27" s="5">
        <f t="shared" si="1"/>
        <v>2.4999999999999991</v>
      </c>
    </row>
    <row r="28" spans="1:2">
      <c r="A28">
        <f t="shared" si="0"/>
        <v>4.6000000000000014</v>
      </c>
      <c r="B28" s="5">
        <f t="shared" si="1"/>
        <v>2.391304347826086</v>
      </c>
    </row>
    <row r="29" spans="1:2">
      <c r="A29">
        <f t="shared" si="0"/>
        <v>4.8000000000000016</v>
      </c>
      <c r="B29" s="5">
        <f t="shared" si="1"/>
        <v>2.2916666666666661</v>
      </c>
    </row>
    <row r="30" spans="1:2">
      <c r="A30">
        <f t="shared" si="0"/>
        <v>5.0000000000000018</v>
      </c>
      <c r="B30" s="5">
        <f t="shared" si="1"/>
        <v>2.1999999999999993</v>
      </c>
    </row>
    <row r="31" spans="1:2">
      <c r="A31">
        <f t="shared" si="0"/>
        <v>5.200000000000002</v>
      </c>
      <c r="B31" s="5">
        <f t="shared" si="1"/>
        <v>2.1153846153846145</v>
      </c>
    </row>
    <row r="32" spans="1:2">
      <c r="A32">
        <f t="shared" si="0"/>
        <v>5.4000000000000021</v>
      </c>
      <c r="B32" s="5">
        <f t="shared" si="1"/>
        <v>2.0370370370370363</v>
      </c>
    </row>
    <row r="33" spans="1:2">
      <c r="A33">
        <f t="shared" si="0"/>
        <v>5.6000000000000023</v>
      </c>
      <c r="B33" s="5">
        <f t="shared" si="1"/>
        <v>1.9642857142857135</v>
      </c>
    </row>
    <row r="34" spans="1:2">
      <c r="A34">
        <f t="shared" si="0"/>
        <v>5.8000000000000025</v>
      </c>
      <c r="B34" s="5">
        <f t="shared" si="1"/>
        <v>1.8965517241379302</v>
      </c>
    </row>
    <row r="35" spans="1:2">
      <c r="A35">
        <f t="shared" si="0"/>
        <v>6.0000000000000027</v>
      </c>
      <c r="B35" s="5">
        <f t="shared" si="1"/>
        <v>1.8333333333333326</v>
      </c>
    </row>
    <row r="36" spans="1:2">
      <c r="A36">
        <f t="shared" si="0"/>
        <v>6.2000000000000028</v>
      </c>
      <c r="B36" s="5">
        <f t="shared" si="1"/>
        <v>1.7741935483870959</v>
      </c>
    </row>
    <row r="37" spans="1:2">
      <c r="A37">
        <f t="shared" si="0"/>
        <v>6.400000000000003</v>
      </c>
      <c r="B37" s="5">
        <f t="shared" si="1"/>
        <v>1.7187499999999991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B6" sqref="B6"/>
    </sheetView>
  </sheetViews>
  <sheetFormatPr defaultRowHeight="15"/>
  <cols>
    <col min="1" max="1" width="10" bestFit="1" customWidth="1"/>
  </cols>
  <sheetData>
    <row r="1" spans="1:9">
      <c r="A1" s="7" t="s">
        <v>10</v>
      </c>
      <c r="B1" s="8">
        <f>'Budget Set and Optimal Choice'!a</f>
        <v>1</v>
      </c>
      <c r="C1" s="7" t="s">
        <v>11</v>
      </c>
      <c r="D1" s="8">
        <f>'Budget Set and Optimal Choice'!b</f>
        <v>1</v>
      </c>
      <c r="E1" s="7" t="s">
        <v>12</v>
      </c>
      <c r="F1" s="8">
        <f>'Budget Set and Optimal Choice'!Px</f>
        <v>6</v>
      </c>
      <c r="G1" s="7" t="s">
        <v>13</v>
      </c>
      <c r="H1" s="8">
        <f>'Budget Set and Optimal Choice'!Py</f>
        <v>4</v>
      </c>
      <c r="I1" s="7"/>
    </row>
    <row r="3" spans="1:9">
      <c r="A3" s="6" t="s">
        <v>9</v>
      </c>
      <c r="B3" s="6">
        <v>5</v>
      </c>
    </row>
    <row r="4" spans="1:9">
      <c r="A4" s="2" t="s">
        <v>16</v>
      </c>
    </row>
    <row r="5" spans="1:9">
      <c r="A5">
        <v>0</v>
      </c>
      <c r="B5" s="5">
        <f t="shared" ref="B5:B37" si="0">(a/(a+b))*A5/Px</f>
        <v>0</v>
      </c>
    </row>
    <row r="6" spans="1:9">
      <c r="A6">
        <f t="shared" ref="A6:A37" si="1">A5+$B$3</f>
        <v>5</v>
      </c>
      <c r="B6" s="5">
        <f t="shared" si="0"/>
        <v>0.41666666666666669</v>
      </c>
    </row>
    <row r="7" spans="1:9">
      <c r="A7">
        <f t="shared" si="1"/>
        <v>10</v>
      </c>
      <c r="B7" s="5">
        <f t="shared" si="0"/>
        <v>0.83333333333333337</v>
      </c>
    </row>
    <row r="8" spans="1:9">
      <c r="A8">
        <f t="shared" si="1"/>
        <v>15</v>
      </c>
      <c r="B8" s="5">
        <f t="shared" si="0"/>
        <v>1.25</v>
      </c>
    </row>
    <row r="9" spans="1:9">
      <c r="A9">
        <f t="shared" si="1"/>
        <v>20</v>
      </c>
      <c r="B9" s="5">
        <f t="shared" si="0"/>
        <v>1.6666666666666667</v>
      </c>
    </row>
    <row r="10" spans="1:9">
      <c r="A10">
        <f t="shared" si="1"/>
        <v>25</v>
      </c>
      <c r="B10" s="5">
        <f t="shared" si="0"/>
        <v>2.0833333333333335</v>
      </c>
    </row>
    <row r="11" spans="1:9">
      <c r="A11">
        <f t="shared" si="1"/>
        <v>30</v>
      </c>
      <c r="B11" s="5">
        <f t="shared" si="0"/>
        <v>2.5</v>
      </c>
    </row>
    <row r="12" spans="1:9">
      <c r="A12">
        <f t="shared" si="1"/>
        <v>35</v>
      </c>
      <c r="B12" s="5">
        <f t="shared" si="0"/>
        <v>2.9166666666666665</v>
      </c>
    </row>
    <row r="13" spans="1:9">
      <c r="A13">
        <f t="shared" si="1"/>
        <v>40</v>
      </c>
      <c r="B13" s="5">
        <f t="shared" si="0"/>
        <v>3.3333333333333335</v>
      </c>
    </row>
    <row r="14" spans="1:9">
      <c r="A14">
        <f t="shared" si="1"/>
        <v>45</v>
      </c>
      <c r="B14" s="5">
        <f t="shared" si="0"/>
        <v>3.75</v>
      </c>
    </row>
    <row r="15" spans="1:9">
      <c r="A15">
        <f t="shared" si="1"/>
        <v>50</v>
      </c>
      <c r="B15" s="5">
        <f t="shared" si="0"/>
        <v>4.166666666666667</v>
      </c>
    </row>
    <row r="16" spans="1:9">
      <c r="A16">
        <f t="shared" si="1"/>
        <v>55</v>
      </c>
      <c r="B16" s="5">
        <f t="shared" si="0"/>
        <v>4.583333333333333</v>
      </c>
    </row>
    <row r="17" spans="1:2">
      <c r="A17">
        <f t="shared" si="1"/>
        <v>60</v>
      </c>
      <c r="B17" s="5">
        <f t="shared" si="0"/>
        <v>5</v>
      </c>
    </row>
    <row r="18" spans="1:2">
      <c r="A18">
        <f t="shared" si="1"/>
        <v>65</v>
      </c>
      <c r="B18" s="5">
        <f t="shared" si="0"/>
        <v>5.416666666666667</v>
      </c>
    </row>
    <row r="19" spans="1:2">
      <c r="A19">
        <f t="shared" si="1"/>
        <v>70</v>
      </c>
      <c r="B19" s="5">
        <f t="shared" si="0"/>
        <v>5.833333333333333</v>
      </c>
    </row>
    <row r="20" spans="1:2">
      <c r="A20">
        <f t="shared" si="1"/>
        <v>75</v>
      </c>
      <c r="B20" s="5">
        <f t="shared" si="0"/>
        <v>6.25</v>
      </c>
    </row>
    <row r="21" spans="1:2">
      <c r="A21">
        <f t="shared" si="1"/>
        <v>80</v>
      </c>
      <c r="B21" s="5">
        <f t="shared" si="0"/>
        <v>6.666666666666667</v>
      </c>
    </row>
    <row r="22" spans="1:2">
      <c r="A22">
        <f t="shared" si="1"/>
        <v>85</v>
      </c>
      <c r="B22" s="5">
        <f t="shared" si="0"/>
        <v>7.083333333333333</v>
      </c>
    </row>
    <row r="23" spans="1:2">
      <c r="A23">
        <f t="shared" si="1"/>
        <v>90</v>
      </c>
      <c r="B23" s="5">
        <f t="shared" si="0"/>
        <v>7.5</v>
      </c>
    </row>
    <row r="24" spans="1:2">
      <c r="A24">
        <f t="shared" si="1"/>
        <v>95</v>
      </c>
      <c r="B24" s="5">
        <f t="shared" si="0"/>
        <v>7.916666666666667</v>
      </c>
    </row>
    <row r="25" spans="1:2">
      <c r="A25">
        <f t="shared" si="1"/>
        <v>100</v>
      </c>
      <c r="B25" s="5">
        <f t="shared" si="0"/>
        <v>8.3333333333333339</v>
      </c>
    </row>
    <row r="26" spans="1:2">
      <c r="A26">
        <f t="shared" si="1"/>
        <v>105</v>
      </c>
      <c r="B26" s="5">
        <f t="shared" si="0"/>
        <v>8.75</v>
      </c>
    </row>
    <row r="27" spans="1:2">
      <c r="A27">
        <f t="shared" si="1"/>
        <v>110</v>
      </c>
      <c r="B27" s="5">
        <f t="shared" si="0"/>
        <v>9.1666666666666661</v>
      </c>
    </row>
    <row r="28" spans="1:2">
      <c r="A28">
        <f t="shared" si="1"/>
        <v>115</v>
      </c>
      <c r="B28" s="5">
        <f t="shared" si="0"/>
        <v>9.5833333333333339</v>
      </c>
    </row>
    <row r="29" spans="1:2">
      <c r="A29">
        <f t="shared" si="1"/>
        <v>120</v>
      </c>
      <c r="B29" s="5">
        <f t="shared" si="0"/>
        <v>10</v>
      </c>
    </row>
    <row r="30" spans="1:2">
      <c r="A30">
        <f t="shared" si="1"/>
        <v>125</v>
      </c>
      <c r="B30" s="5">
        <f t="shared" si="0"/>
        <v>10.416666666666666</v>
      </c>
    </row>
    <row r="31" spans="1:2">
      <c r="A31">
        <f t="shared" si="1"/>
        <v>130</v>
      </c>
      <c r="B31" s="5">
        <f t="shared" si="0"/>
        <v>10.833333333333334</v>
      </c>
    </row>
    <row r="32" spans="1:2">
      <c r="A32">
        <f t="shared" si="1"/>
        <v>135</v>
      </c>
      <c r="B32" s="5">
        <f t="shared" si="0"/>
        <v>11.25</v>
      </c>
    </row>
    <row r="33" spans="1:2">
      <c r="A33">
        <f t="shared" si="1"/>
        <v>140</v>
      </c>
      <c r="B33" s="5">
        <f t="shared" si="0"/>
        <v>11.666666666666666</v>
      </c>
    </row>
    <row r="34" spans="1:2">
      <c r="A34">
        <f t="shared" si="1"/>
        <v>145</v>
      </c>
      <c r="B34" s="5">
        <f t="shared" si="0"/>
        <v>12.083333333333334</v>
      </c>
    </row>
    <row r="35" spans="1:2">
      <c r="A35">
        <f t="shared" si="1"/>
        <v>150</v>
      </c>
      <c r="B35" s="5">
        <f t="shared" si="0"/>
        <v>12.5</v>
      </c>
    </row>
    <row r="36" spans="1:2">
      <c r="A36">
        <f t="shared" si="1"/>
        <v>155</v>
      </c>
      <c r="B36" s="5">
        <f t="shared" si="0"/>
        <v>12.916666666666666</v>
      </c>
    </row>
    <row r="37" spans="1:2">
      <c r="A37">
        <f t="shared" si="1"/>
        <v>160</v>
      </c>
      <c r="B37" s="5">
        <f t="shared" si="0"/>
        <v>13.333333333333334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selection activeCell="O4" sqref="O4"/>
    </sheetView>
  </sheetViews>
  <sheetFormatPr defaultRowHeight="15"/>
  <cols>
    <col min="1" max="1" width="10" bestFit="1" customWidth="1"/>
  </cols>
  <sheetData>
    <row r="1" spans="1:18">
      <c r="A1" s="7" t="s">
        <v>10</v>
      </c>
      <c r="B1" s="8">
        <f>'Budget Set and Optimal Choice'!a</f>
        <v>1</v>
      </c>
      <c r="C1" s="7" t="s">
        <v>11</v>
      </c>
      <c r="D1" s="8">
        <f>'Budget Set and Optimal Choice'!b</f>
        <v>1</v>
      </c>
      <c r="E1" s="7" t="s">
        <v>15</v>
      </c>
      <c r="F1" s="8">
        <f>'Budget Set and Optimal Choice'!Py</f>
        <v>4</v>
      </c>
      <c r="G1" s="7" t="s">
        <v>17</v>
      </c>
      <c r="H1" s="8">
        <f>'Budget Set and Optimal Choice'!I</f>
        <v>22</v>
      </c>
      <c r="I1" s="7"/>
    </row>
    <row r="3" spans="1:18">
      <c r="A3" s="6" t="s">
        <v>9</v>
      </c>
      <c r="B3" s="6">
        <v>0.2</v>
      </c>
      <c r="O3" t="s">
        <v>21</v>
      </c>
    </row>
    <row r="4" spans="1:18" ht="18">
      <c r="A4" t="s">
        <v>8</v>
      </c>
      <c r="O4" t="s">
        <v>19</v>
      </c>
      <c r="Q4" t="s">
        <v>20</v>
      </c>
    </row>
    <row r="5" spans="1:18">
      <c r="A5">
        <v>0</v>
      </c>
      <c r="B5" s="5"/>
    </row>
    <row r="6" spans="1:18">
      <c r="A6">
        <f t="shared" ref="A6:A37" si="0">A5+$B$3</f>
        <v>0.2</v>
      </c>
      <c r="B6" s="5">
        <f t="shared" ref="B6:B37" si="1">(a/(a+b))*I/A6</f>
        <v>55</v>
      </c>
      <c r="E6" s="5">
        <f t="shared" ref="E6:E37" si="2">(a/(a+b))*I/Py</f>
        <v>2.75</v>
      </c>
    </row>
    <row r="7" spans="1:18">
      <c r="A7">
        <f t="shared" si="0"/>
        <v>0.4</v>
      </c>
      <c r="B7" s="5">
        <f t="shared" si="1"/>
        <v>27.5</v>
      </c>
      <c r="E7" s="5">
        <f t="shared" si="2"/>
        <v>2.75</v>
      </c>
      <c r="O7">
        <v>0</v>
      </c>
      <c r="P7">
        <f>I/Py</f>
        <v>5.5</v>
      </c>
      <c r="Q7">
        <f>I/A7</f>
        <v>55</v>
      </c>
      <c r="R7">
        <v>0</v>
      </c>
    </row>
    <row r="8" spans="1:18">
      <c r="A8">
        <f t="shared" si="0"/>
        <v>0.60000000000000009</v>
      </c>
      <c r="B8" s="5">
        <f t="shared" si="1"/>
        <v>18.333333333333332</v>
      </c>
      <c r="E8" s="5">
        <f t="shared" si="2"/>
        <v>2.75</v>
      </c>
    </row>
    <row r="9" spans="1:18">
      <c r="A9">
        <f t="shared" si="0"/>
        <v>0.8</v>
      </c>
      <c r="B9" s="5">
        <f t="shared" si="1"/>
        <v>13.75</v>
      </c>
      <c r="E9" s="5">
        <f t="shared" si="2"/>
        <v>2.75</v>
      </c>
    </row>
    <row r="10" spans="1:18">
      <c r="A10">
        <f t="shared" si="0"/>
        <v>1</v>
      </c>
      <c r="B10" s="5">
        <f t="shared" si="1"/>
        <v>11</v>
      </c>
      <c r="E10" s="5">
        <f t="shared" si="2"/>
        <v>2.75</v>
      </c>
    </row>
    <row r="11" spans="1:18">
      <c r="A11">
        <f t="shared" si="0"/>
        <v>1.2</v>
      </c>
      <c r="B11" s="5">
        <f t="shared" si="1"/>
        <v>9.1666666666666679</v>
      </c>
      <c r="E11" s="5">
        <f t="shared" si="2"/>
        <v>2.75</v>
      </c>
    </row>
    <row r="12" spans="1:18">
      <c r="A12">
        <f t="shared" si="0"/>
        <v>1.4</v>
      </c>
      <c r="B12" s="5">
        <f t="shared" si="1"/>
        <v>7.8571428571428577</v>
      </c>
      <c r="E12" s="5">
        <f t="shared" si="2"/>
        <v>2.75</v>
      </c>
      <c r="O12">
        <v>0</v>
      </c>
      <c r="P12">
        <f>I/Py</f>
        <v>5.5</v>
      </c>
      <c r="Q12">
        <f>I/A12</f>
        <v>15.714285714285715</v>
      </c>
      <c r="R12">
        <v>0</v>
      </c>
    </row>
    <row r="13" spans="1:18">
      <c r="A13">
        <f t="shared" si="0"/>
        <v>1.5999999999999999</v>
      </c>
      <c r="B13" s="5">
        <f t="shared" si="1"/>
        <v>6.8750000000000009</v>
      </c>
      <c r="E13" s="5">
        <f t="shared" si="2"/>
        <v>2.75</v>
      </c>
    </row>
    <row r="14" spans="1:18">
      <c r="A14">
        <f t="shared" si="0"/>
        <v>1.7999999999999998</v>
      </c>
      <c r="B14" s="5">
        <f t="shared" si="1"/>
        <v>6.1111111111111116</v>
      </c>
      <c r="E14" s="5">
        <f t="shared" si="2"/>
        <v>2.75</v>
      </c>
    </row>
    <row r="15" spans="1:18">
      <c r="A15">
        <f t="shared" si="0"/>
        <v>1.9999999999999998</v>
      </c>
      <c r="B15" s="5">
        <f t="shared" si="1"/>
        <v>5.5000000000000009</v>
      </c>
      <c r="E15" s="5">
        <f t="shared" si="2"/>
        <v>2.75</v>
      </c>
    </row>
    <row r="16" spans="1:18">
      <c r="A16">
        <f t="shared" si="0"/>
        <v>2.1999999999999997</v>
      </c>
      <c r="B16" s="5">
        <f t="shared" si="1"/>
        <v>5.0000000000000009</v>
      </c>
      <c r="E16" s="5">
        <f t="shared" si="2"/>
        <v>2.75</v>
      </c>
    </row>
    <row r="17" spans="1:18">
      <c r="A17">
        <f t="shared" si="0"/>
        <v>2.4</v>
      </c>
      <c r="B17" s="5">
        <f t="shared" si="1"/>
        <v>4.5833333333333339</v>
      </c>
      <c r="E17" s="5">
        <f t="shared" si="2"/>
        <v>2.75</v>
      </c>
      <c r="O17">
        <v>0</v>
      </c>
      <c r="P17">
        <f>I/Py</f>
        <v>5.5</v>
      </c>
      <c r="Q17">
        <f>I/A17</f>
        <v>9.1666666666666679</v>
      </c>
      <c r="R17">
        <v>0</v>
      </c>
    </row>
    <row r="18" spans="1:18">
      <c r="A18">
        <f t="shared" si="0"/>
        <v>2.6</v>
      </c>
      <c r="B18" s="5">
        <f t="shared" si="1"/>
        <v>4.2307692307692308</v>
      </c>
      <c r="E18" s="5">
        <f t="shared" si="2"/>
        <v>2.75</v>
      </c>
    </row>
    <row r="19" spans="1:18">
      <c r="A19">
        <f t="shared" si="0"/>
        <v>2.8000000000000003</v>
      </c>
      <c r="B19" s="5">
        <f t="shared" si="1"/>
        <v>3.9285714285714284</v>
      </c>
      <c r="E19" s="5">
        <f t="shared" si="2"/>
        <v>2.75</v>
      </c>
    </row>
    <row r="20" spans="1:18">
      <c r="A20">
        <f t="shared" si="0"/>
        <v>3.0000000000000004</v>
      </c>
      <c r="B20" s="5">
        <f t="shared" si="1"/>
        <v>3.6666666666666661</v>
      </c>
      <c r="E20" s="5">
        <f t="shared" si="2"/>
        <v>2.75</v>
      </c>
    </row>
    <row r="21" spans="1:18">
      <c r="A21">
        <f t="shared" si="0"/>
        <v>3.2000000000000006</v>
      </c>
      <c r="B21" s="5">
        <f t="shared" si="1"/>
        <v>3.4374999999999991</v>
      </c>
      <c r="E21" s="5">
        <f t="shared" si="2"/>
        <v>2.75</v>
      </c>
    </row>
    <row r="22" spans="1:18">
      <c r="A22">
        <f t="shared" si="0"/>
        <v>3.4000000000000008</v>
      </c>
      <c r="B22" s="5">
        <f t="shared" si="1"/>
        <v>3.235294117647058</v>
      </c>
      <c r="E22" s="5">
        <f t="shared" si="2"/>
        <v>2.75</v>
      </c>
    </row>
    <row r="23" spans="1:18">
      <c r="A23">
        <f t="shared" si="0"/>
        <v>3.600000000000001</v>
      </c>
      <c r="B23" s="5">
        <f t="shared" si="1"/>
        <v>3.0555555555555549</v>
      </c>
      <c r="E23" s="5">
        <f t="shared" si="2"/>
        <v>2.75</v>
      </c>
    </row>
    <row r="24" spans="1:18">
      <c r="A24">
        <f t="shared" si="0"/>
        <v>3.8000000000000012</v>
      </c>
      <c r="B24" s="5">
        <f t="shared" si="1"/>
        <v>2.8947368421052624</v>
      </c>
      <c r="E24" s="5">
        <f t="shared" si="2"/>
        <v>2.75</v>
      </c>
    </row>
    <row r="25" spans="1:18">
      <c r="A25">
        <f t="shared" si="0"/>
        <v>4.0000000000000009</v>
      </c>
      <c r="B25" s="5">
        <f t="shared" si="1"/>
        <v>2.7499999999999996</v>
      </c>
      <c r="E25" s="5">
        <f t="shared" si="2"/>
        <v>2.75</v>
      </c>
    </row>
    <row r="26" spans="1:18">
      <c r="A26">
        <f t="shared" si="0"/>
        <v>4.2000000000000011</v>
      </c>
      <c r="B26" s="5">
        <f t="shared" si="1"/>
        <v>2.6190476190476182</v>
      </c>
      <c r="E26" s="5">
        <f t="shared" si="2"/>
        <v>2.75</v>
      </c>
    </row>
    <row r="27" spans="1:18">
      <c r="A27">
        <f t="shared" si="0"/>
        <v>4.4000000000000012</v>
      </c>
      <c r="B27" s="5">
        <f t="shared" si="1"/>
        <v>2.4999999999999991</v>
      </c>
      <c r="E27" s="5">
        <f t="shared" si="2"/>
        <v>2.75</v>
      </c>
    </row>
    <row r="28" spans="1:18">
      <c r="A28">
        <f t="shared" si="0"/>
        <v>4.6000000000000014</v>
      </c>
      <c r="B28" s="5">
        <f t="shared" si="1"/>
        <v>2.391304347826086</v>
      </c>
      <c r="E28" s="5">
        <f t="shared" si="2"/>
        <v>2.75</v>
      </c>
    </row>
    <row r="29" spans="1:18">
      <c r="A29">
        <f t="shared" si="0"/>
        <v>4.8000000000000016</v>
      </c>
      <c r="B29" s="5">
        <f t="shared" si="1"/>
        <v>2.2916666666666661</v>
      </c>
      <c r="E29" s="5">
        <f t="shared" si="2"/>
        <v>2.75</v>
      </c>
    </row>
    <row r="30" spans="1:18">
      <c r="A30">
        <f t="shared" si="0"/>
        <v>5.0000000000000018</v>
      </c>
      <c r="B30" s="5">
        <f t="shared" si="1"/>
        <v>2.1999999999999993</v>
      </c>
      <c r="E30" s="5">
        <f t="shared" si="2"/>
        <v>2.75</v>
      </c>
    </row>
    <row r="31" spans="1:18">
      <c r="A31">
        <f t="shared" si="0"/>
        <v>5.200000000000002</v>
      </c>
      <c r="B31" s="5">
        <f t="shared" si="1"/>
        <v>2.1153846153846145</v>
      </c>
      <c r="E31" s="5">
        <f t="shared" si="2"/>
        <v>2.75</v>
      </c>
    </row>
    <row r="32" spans="1:18">
      <c r="A32">
        <f t="shared" si="0"/>
        <v>5.4000000000000021</v>
      </c>
      <c r="B32" s="5">
        <f t="shared" si="1"/>
        <v>2.0370370370370363</v>
      </c>
      <c r="E32" s="5">
        <f t="shared" si="2"/>
        <v>2.75</v>
      </c>
    </row>
    <row r="33" spans="1:5">
      <c r="A33">
        <f t="shared" si="0"/>
        <v>5.6000000000000023</v>
      </c>
      <c r="B33" s="5">
        <f t="shared" si="1"/>
        <v>1.9642857142857135</v>
      </c>
      <c r="E33" s="5">
        <f t="shared" si="2"/>
        <v>2.75</v>
      </c>
    </row>
    <row r="34" spans="1:5">
      <c r="A34">
        <f t="shared" si="0"/>
        <v>5.8000000000000025</v>
      </c>
      <c r="B34" s="5">
        <f t="shared" si="1"/>
        <v>1.8965517241379302</v>
      </c>
      <c r="E34" s="5">
        <f t="shared" si="2"/>
        <v>2.75</v>
      </c>
    </row>
    <row r="35" spans="1:5">
      <c r="A35">
        <f t="shared" si="0"/>
        <v>6.0000000000000027</v>
      </c>
      <c r="B35" s="5">
        <f t="shared" si="1"/>
        <v>1.8333333333333326</v>
      </c>
      <c r="E35" s="5">
        <f t="shared" si="2"/>
        <v>2.75</v>
      </c>
    </row>
    <row r="36" spans="1:5">
      <c r="A36">
        <f t="shared" si="0"/>
        <v>6.2000000000000028</v>
      </c>
      <c r="B36" s="5">
        <f t="shared" si="1"/>
        <v>1.7741935483870959</v>
      </c>
      <c r="E36" s="5">
        <f t="shared" si="2"/>
        <v>2.75</v>
      </c>
    </row>
    <row r="37" spans="1:5">
      <c r="A37">
        <f t="shared" si="0"/>
        <v>6.400000000000003</v>
      </c>
      <c r="B37" s="5">
        <f t="shared" si="1"/>
        <v>1.7187499999999991</v>
      </c>
      <c r="E37" s="5">
        <f t="shared" si="2"/>
        <v>2.75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7"/>
  <sheetViews>
    <sheetView workbookViewId="0">
      <selection activeCell="J2" sqref="J2"/>
    </sheetView>
  </sheetViews>
  <sheetFormatPr defaultRowHeight="15"/>
  <cols>
    <col min="1" max="1" width="10" bestFit="1" customWidth="1"/>
  </cols>
  <sheetData>
    <row r="1" spans="1:19">
      <c r="A1" s="7" t="s">
        <v>10</v>
      </c>
      <c r="B1" s="8">
        <f>'Budget Set and Optimal Choice'!a</f>
        <v>1</v>
      </c>
      <c r="C1" s="7" t="s">
        <v>11</v>
      </c>
      <c r="D1" s="8">
        <f>'Budget Set and Optimal Choice'!b</f>
        <v>1</v>
      </c>
      <c r="E1" s="7" t="s">
        <v>12</v>
      </c>
      <c r="F1" s="8">
        <f>'Budget Set and Optimal Choice'!Px</f>
        <v>6</v>
      </c>
      <c r="G1" s="7" t="s">
        <v>13</v>
      </c>
      <c r="H1" s="8">
        <f>'Budget Set and Optimal Choice'!Py</f>
        <v>4</v>
      </c>
      <c r="I1" s="7"/>
    </row>
    <row r="3" spans="1:19">
      <c r="A3" s="6" t="s">
        <v>9</v>
      </c>
      <c r="B3" s="6">
        <v>5</v>
      </c>
      <c r="P3" t="s">
        <v>22</v>
      </c>
    </row>
    <row r="4" spans="1:19">
      <c r="A4" s="2" t="s">
        <v>16</v>
      </c>
      <c r="P4" t="s">
        <v>19</v>
      </c>
      <c r="R4" t="s">
        <v>20</v>
      </c>
    </row>
    <row r="5" spans="1:19">
      <c r="A5">
        <v>0</v>
      </c>
      <c r="B5" s="5">
        <f t="shared" ref="B5:B37" si="0">(a/(a+b))*A5/Px</f>
        <v>0</v>
      </c>
      <c r="E5" s="5">
        <f t="shared" ref="E5:E37" si="1">(a/(a+b))*A5/Py</f>
        <v>0</v>
      </c>
    </row>
    <row r="6" spans="1:19">
      <c r="A6">
        <f t="shared" ref="A6:A37" si="2">A5+$B$3</f>
        <v>5</v>
      </c>
      <c r="B6" s="5">
        <f t="shared" si="0"/>
        <v>0.41666666666666669</v>
      </c>
      <c r="E6" s="5">
        <f t="shared" si="1"/>
        <v>0.625</v>
      </c>
    </row>
    <row r="7" spans="1:19">
      <c r="A7">
        <f t="shared" si="2"/>
        <v>10</v>
      </c>
      <c r="B7" s="5">
        <f t="shared" si="0"/>
        <v>0.83333333333333337</v>
      </c>
      <c r="E7" s="5">
        <f t="shared" si="1"/>
        <v>1.25</v>
      </c>
      <c r="P7">
        <v>0</v>
      </c>
      <c r="Q7">
        <f>A7/Py</f>
        <v>2.5</v>
      </c>
      <c r="R7">
        <f>A7/Px</f>
        <v>1.6666666666666667</v>
      </c>
      <c r="S7">
        <v>0</v>
      </c>
    </row>
    <row r="8" spans="1:19">
      <c r="A8">
        <f t="shared" si="2"/>
        <v>15</v>
      </c>
      <c r="B8" s="5">
        <f t="shared" si="0"/>
        <v>1.25</v>
      </c>
      <c r="E8" s="5">
        <f t="shared" si="1"/>
        <v>1.875</v>
      </c>
    </row>
    <row r="9" spans="1:19">
      <c r="A9">
        <f t="shared" si="2"/>
        <v>20</v>
      </c>
      <c r="B9" s="5">
        <f t="shared" si="0"/>
        <v>1.6666666666666667</v>
      </c>
      <c r="E9" s="5">
        <f t="shared" si="1"/>
        <v>2.5</v>
      </c>
    </row>
    <row r="10" spans="1:19">
      <c r="A10">
        <f t="shared" si="2"/>
        <v>25</v>
      </c>
      <c r="B10" s="5">
        <f t="shared" si="0"/>
        <v>2.0833333333333335</v>
      </c>
      <c r="E10" s="5">
        <f t="shared" si="1"/>
        <v>3.125</v>
      </c>
    </row>
    <row r="11" spans="1:19">
      <c r="A11">
        <f t="shared" si="2"/>
        <v>30</v>
      </c>
      <c r="B11" s="5">
        <f t="shared" si="0"/>
        <v>2.5</v>
      </c>
      <c r="E11" s="5">
        <f t="shared" si="1"/>
        <v>3.75</v>
      </c>
    </row>
    <row r="12" spans="1:19">
      <c r="A12">
        <f t="shared" si="2"/>
        <v>35</v>
      </c>
      <c r="B12" s="5">
        <f t="shared" si="0"/>
        <v>2.9166666666666665</v>
      </c>
      <c r="E12" s="5">
        <f t="shared" si="1"/>
        <v>4.375</v>
      </c>
      <c r="P12">
        <v>0</v>
      </c>
      <c r="Q12">
        <f>A12/Py</f>
        <v>8.75</v>
      </c>
      <c r="R12">
        <f>A12/Px</f>
        <v>5.833333333333333</v>
      </c>
      <c r="S12">
        <v>0</v>
      </c>
    </row>
    <row r="13" spans="1:19">
      <c r="A13">
        <f t="shared" si="2"/>
        <v>40</v>
      </c>
      <c r="B13" s="5">
        <f t="shared" si="0"/>
        <v>3.3333333333333335</v>
      </c>
      <c r="E13" s="5">
        <f t="shared" si="1"/>
        <v>5</v>
      </c>
    </row>
    <row r="14" spans="1:19">
      <c r="A14">
        <f t="shared" si="2"/>
        <v>45</v>
      </c>
      <c r="B14" s="5">
        <f t="shared" si="0"/>
        <v>3.75</v>
      </c>
      <c r="E14" s="5">
        <f t="shared" si="1"/>
        <v>5.625</v>
      </c>
    </row>
    <row r="15" spans="1:19">
      <c r="A15">
        <f t="shared" si="2"/>
        <v>50</v>
      </c>
      <c r="B15" s="5">
        <f t="shared" si="0"/>
        <v>4.166666666666667</v>
      </c>
      <c r="E15" s="5">
        <f t="shared" si="1"/>
        <v>6.25</v>
      </c>
    </row>
    <row r="16" spans="1:19">
      <c r="A16">
        <f t="shared" si="2"/>
        <v>55</v>
      </c>
      <c r="B16" s="5">
        <f t="shared" si="0"/>
        <v>4.583333333333333</v>
      </c>
      <c r="E16" s="5">
        <f t="shared" si="1"/>
        <v>6.875</v>
      </c>
    </row>
    <row r="17" spans="1:19">
      <c r="A17">
        <f t="shared" si="2"/>
        <v>60</v>
      </c>
      <c r="B17" s="5">
        <f t="shared" si="0"/>
        <v>5</v>
      </c>
      <c r="E17" s="5">
        <f t="shared" si="1"/>
        <v>7.5</v>
      </c>
      <c r="P17">
        <v>0</v>
      </c>
      <c r="Q17">
        <f>A17/Py</f>
        <v>15</v>
      </c>
      <c r="R17">
        <f>A17/Px</f>
        <v>10</v>
      </c>
      <c r="S17">
        <v>0</v>
      </c>
    </row>
    <row r="18" spans="1:19">
      <c r="A18">
        <f t="shared" si="2"/>
        <v>65</v>
      </c>
      <c r="B18" s="5">
        <f t="shared" si="0"/>
        <v>5.416666666666667</v>
      </c>
      <c r="E18" s="5">
        <f t="shared" si="1"/>
        <v>8.125</v>
      </c>
    </row>
    <row r="19" spans="1:19">
      <c r="A19">
        <f t="shared" si="2"/>
        <v>70</v>
      </c>
      <c r="B19" s="5">
        <f t="shared" si="0"/>
        <v>5.833333333333333</v>
      </c>
      <c r="E19" s="5">
        <f t="shared" si="1"/>
        <v>8.75</v>
      </c>
    </row>
    <row r="20" spans="1:19">
      <c r="A20">
        <f t="shared" si="2"/>
        <v>75</v>
      </c>
      <c r="B20" s="5">
        <f t="shared" si="0"/>
        <v>6.25</v>
      </c>
      <c r="E20" s="5">
        <f t="shared" si="1"/>
        <v>9.375</v>
      </c>
    </row>
    <row r="21" spans="1:19">
      <c r="A21">
        <f t="shared" si="2"/>
        <v>80</v>
      </c>
      <c r="B21" s="5">
        <f t="shared" si="0"/>
        <v>6.666666666666667</v>
      </c>
      <c r="E21" s="5">
        <f t="shared" si="1"/>
        <v>10</v>
      </c>
    </row>
    <row r="22" spans="1:19">
      <c r="A22">
        <f t="shared" si="2"/>
        <v>85</v>
      </c>
      <c r="B22" s="5">
        <f t="shared" si="0"/>
        <v>7.083333333333333</v>
      </c>
      <c r="E22" s="5">
        <f t="shared" si="1"/>
        <v>10.625</v>
      </c>
    </row>
    <row r="23" spans="1:19">
      <c r="A23">
        <f t="shared" si="2"/>
        <v>90</v>
      </c>
      <c r="B23" s="5">
        <f t="shared" si="0"/>
        <v>7.5</v>
      </c>
      <c r="E23" s="5">
        <f t="shared" si="1"/>
        <v>11.25</v>
      </c>
    </row>
    <row r="24" spans="1:19">
      <c r="A24">
        <f t="shared" si="2"/>
        <v>95</v>
      </c>
      <c r="B24" s="5">
        <f t="shared" si="0"/>
        <v>7.916666666666667</v>
      </c>
      <c r="E24" s="5">
        <f t="shared" si="1"/>
        <v>11.875</v>
      </c>
    </row>
    <row r="25" spans="1:19">
      <c r="A25">
        <f t="shared" si="2"/>
        <v>100</v>
      </c>
      <c r="B25" s="5">
        <f t="shared" si="0"/>
        <v>8.3333333333333339</v>
      </c>
      <c r="E25" s="5">
        <f t="shared" si="1"/>
        <v>12.5</v>
      </c>
    </row>
    <row r="26" spans="1:19">
      <c r="A26">
        <f t="shared" si="2"/>
        <v>105</v>
      </c>
      <c r="B26" s="5">
        <f t="shared" si="0"/>
        <v>8.75</v>
      </c>
      <c r="E26" s="5">
        <f t="shared" si="1"/>
        <v>13.125</v>
      </c>
    </row>
    <row r="27" spans="1:19">
      <c r="A27">
        <f t="shared" si="2"/>
        <v>110</v>
      </c>
      <c r="B27" s="5">
        <f t="shared" si="0"/>
        <v>9.1666666666666661</v>
      </c>
      <c r="E27" s="5">
        <f t="shared" si="1"/>
        <v>13.75</v>
      </c>
    </row>
    <row r="28" spans="1:19">
      <c r="A28">
        <f t="shared" si="2"/>
        <v>115</v>
      </c>
      <c r="B28" s="5">
        <f t="shared" si="0"/>
        <v>9.5833333333333339</v>
      </c>
      <c r="E28" s="5">
        <f t="shared" si="1"/>
        <v>14.375</v>
      </c>
    </row>
    <row r="29" spans="1:19">
      <c r="A29">
        <f t="shared" si="2"/>
        <v>120</v>
      </c>
      <c r="B29" s="5">
        <f t="shared" si="0"/>
        <v>10</v>
      </c>
      <c r="E29" s="5">
        <f t="shared" si="1"/>
        <v>15</v>
      </c>
    </row>
    <row r="30" spans="1:19">
      <c r="A30">
        <f t="shared" si="2"/>
        <v>125</v>
      </c>
      <c r="B30" s="5">
        <f t="shared" si="0"/>
        <v>10.416666666666666</v>
      </c>
      <c r="E30" s="5">
        <f t="shared" si="1"/>
        <v>15.625</v>
      </c>
    </row>
    <row r="31" spans="1:19">
      <c r="A31">
        <f t="shared" si="2"/>
        <v>130</v>
      </c>
      <c r="B31" s="5">
        <f t="shared" si="0"/>
        <v>10.833333333333334</v>
      </c>
      <c r="E31" s="5">
        <f t="shared" si="1"/>
        <v>16.25</v>
      </c>
    </row>
    <row r="32" spans="1:19">
      <c r="A32">
        <f t="shared" si="2"/>
        <v>135</v>
      </c>
      <c r="B32" s="5">
        <f t="shared" si="0"/>
        <v>11.25</v>
      </c>
      <c r="E32" s="5">
        <f t="shared" si="1"/>
        <v>16.875</v>
      </c>
    </row>
    <row r="33" spans="1:5">
      <c r="A33">
        <f t="shared" si="2"/>
        <v>140</v>
      </c>
      <c r="B33" s="5">
        <f t="shared" si="0"/>
        <v>11.666666666666666</v>
      </c>
      <c r="E33" s="5">
        <f t="shared" si="1"/>
        <v>17.5</v>
      </c>
    </row>
    <row r="34" spans="1:5">
      <c r="A34">
        <f t="shared" si="2"/>
        <v>145</v>
      </c>
      <c r="B34" s="5">
        <f t="shared" si="0"/>
        <v>12.083333333333334</v>
      </c>
      <c r="E34" s="5">
        <f t="shared" si="1"/>
        <v>18.125</v>
      </c>
    </row>
    <row r="35" spans="1:5">
      <c r="A35">
        <f t="shared" si="2"/>
        <v>150</v>
      </c>
      <c r="B35" s="5">
        <f t="shared" si="0"/>
        <v>12.5</v>
      </c>
      <c r="E35" s="5">
        <f t="shared" si="1"/>
        <v>18.75</v>
      </c>
    </row>
    <row r="36" spans="1:5">
      <c r="A36">
        <f t="shared" si="2"/>
        <v>155</v>
      </c>
      <c r="B36" s="5">
        <f t="shared" si="0"/>
        <v>12.916666666666666</v>
      </c>
      <c r="E36" s="5">
        <f t="shared" si="1"/>
        <v>19.375</v>
      </c>
    </row>
    <row r="37" spans="1:5">
      <c r="A37">
        <f t="shared" si="2"/>
        <v>160</v>
      </c>
      <c r="B37" s="5">
        <f t="shared" si="0"/>
        <v>13.333333333333334</v>
      </c>
      <c r="E37" s="5">
        <f t="shared" si="1"/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29</vt:i4>
      </vt:variant>
    </vt:vector>
  </HeadingPairs>
  <TitlesOfParts>
    <vt:vector size="35" baseType="lpstr">
      <vt:lpstr>Utility function</vt:lpstr>
      <vt:lpstr>Budget Set and Optimal Choice</vt:lpstr>
      <vt:lpstr>Demand Curve</vt:lpstr>
      <vt:lpstr>Engel Curve</vt:lpstr>
      <vt:lpstr>Price Consumption Curve for X</vt:lpstr>
      <vt:lpstr>Income Consumption Curve</vt:lpstr>
      <vt:lpstr>'Budget Set and Optimal Choice'!a</vt:lpstr>
      <vt:lpstr>'Demand Curve'!a</vt:lpstr>
      <vt:lpstr>'Engel Curve'!a</vt:lpstr>
      <vt:lpstr>'Income Consumption Curve'!a</vt:lpstr>
      <vt:lpstr>'Price Consumption Curve for X'!a</vt:lpstr>
      <vt:lpstr>'Utility function'!a</vt:lpstr>
      <vt:lpstr>'Income Consumption Curve'!aaa</vt:lpstr>
      <vt:lpstr>aaa</vt:lpstr>
      <vt:lpstr>'Budget Set and Optimal Choice'!b</vt:lpstr>
      <vt:lpstr>'Demand Curve'!b</vt:lpstr>
      <vt:lpstr>'Engel Curve'!b</vt:lpstr>
      <vt:lpstr>'Income Consumption Curve'!b</vt:lpstr>
      <vt:lpstr>'Price Consumption Curve for X'!b</vt:lpstr>
      <vt:lpstr>'Utility function'!b</vt:lpstr>
      <vt:lpstr>'Budget Set and Optimal Choice'!I</vt:lpstr>
      <vt:lpstr>'Demand Curve'!I</vt:lpstr>
      <vt:lpstr>'Income Consumption Curve'!I</vt:lpstr>
      <vt:lpstr>'Price Consumption Curve for X'!I</vt:lpstr>
      <vt:lpstr>'Budget Set and Optimal Choice'!Px</vt:lpstr>
      <vt:lpstr>'Engel Curve'!Px</vt:lpstr>
      <vt:lpstr>'Income Consumption Curve'!Px</vt:lpstr>
      <vt:lpstr>'Budget Set and Optimal Choice'!Py</vt:lpstr>
      <vt:lpstr>'Demand Curve'!Py</vt:lpstr>
      <vt:lpstr>'Engel Curve'!Py</vt:lpstr>
      <vt:lpstr>'Income Consumption Curve'!Py</vt:lpstr>
      <vt:lpstr>'Price Consumption Curve for X'!Py</vt:lpstr>
      <vt:lpstr>'Budget Set and Optimal Choice'!x_d</vt:lpstr>
      <vt:lpstr>y_d</vt:lpstr>
      <vt:lpstr>zzzz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</dc:creator>
  <cp:lastModifiedBy>Roy</cp:lastModifiedBy>
  <dcterms:created xsi:type="dcterms:W3CDTF">2011-10-21T03:19:48Z</dcterms:created>
  <dcterms:modified xsi:type="dcterms:W3CDTF">2011-10-21T05:12:56Z</dcterms:modified>
</cp:coreProperties>
</file>