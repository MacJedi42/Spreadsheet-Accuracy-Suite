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45" windowWidth="7500" windowHeight="6210" firstSheet="5" activeTab="5"/>
  </bookViews>
  <sheets>
    <sheet name="Utility function" sheetId="1" r:id="rId1"/>
    <sheet name="Budget Set and Optimal Choice" sheetId="4" r:id="rId2"/>
    <sheet name="Demand Curve" sheetId="3" r:id="rId3"/>
    <sheet name="Engel Curve" sheetId="5" r:id="rId4"/>
    <sheet name="Price Consumption Curve for X" sheetId="7" r:id="rId5"/>
    <sheet name="Income Consumption Curve" sheetId="8" r:id="rId6"/>
  </sheets>
  <definedNames>
    <definedName name="a" localSheetId="1">'Budget Set and Optimal Choice'!$B$3</definedName>
    <definedName name="a" localSheetId="2">'Demand Curve'!$B$1</definedName>
    <definedName name="a" localSheetId="3">'Engel Curve'!$B$1</definedName>
    <definedName name="a" localSheetId="5">'Income Consumption Curve'!$B$1</definedName>
    <definedName name="a" localSheetId="4">'Price Consumption Curve for X'!$B$1</definedName>
    <definedName name="a" localSheetId="0">'Utility function'!$B$1</definedName>
    <definedName name="aaa" localSheetId="5">'Income Consumption Curve'!$B$1</definedName>
    <definedName name="aaa">'Engel Curve'!$B$1</definedName>
    <definedName name="b" localSheetId="1">'Budget Set and Optimal Choice'!$B$4</definedName>
    <definedName name="b" localSheetId="2">'Demand Curve'!$D$1</definedName>
    <definedName name="b" localSheetId="3">'Engel Curve'!$D$1</definedName>
    <definedName name="b" localSheetId="5">'Income Consumption Curve'!$D$1</definedName>
    <definedName name="b" localSheetId="4">'Price Consumption Curve for X'!$D$1</definedName>
    <definedName name="b" localSheetId="0">'Utility function'!$B$2</definedName>
    <definedName name="I" localSheetId="1">'Budget Set and Optimal Choice'!$I$3</definedName>
    <definedName name="I" localSheetId="2">'Demand Curve'!$H$1</definedName>
    <definedName name="I" localSheetId="3">'Engel Curve'!$H$1</definedName>
    <definedName name="I" localSheetId="5">'Income Consumption Curve'!$H$1</definedName>
    <definedName name="I" localSheetId="4">'Price Consumption Curve for X'!$H$1</definedName>
    <definedName name="Px" localSheetId="1">'Budget Set and Optimal Choice'!$G$3</definedName>
    <definedName name="Px" localSheetId="2">'Demand Curve'!$G$3</definedName>
    <definedName name="Px" localSheetId="3">'Engel Curve'!$F$1</definedName>
    <definedName name="Px" localSheetId="5">'Income Consumption Curve'!$F$1</definedName>
    <definedName name="Py" localSheetId="1">'Budget Set and Optimal Choice'!$G$4</definedName>
    <definedName name="Py" localSheetId="2">'Demand Curve'!$F$1</definedName>
    <definedName name="Py" localSheetId="3">'Engel Curve'!$H$1</definedName>
    <definedName name="Py" localSheetId="5">'Income Consumption Curve'!$H$1</definedName>
    <definedName name="Py" localSheetId="4">'Price Consumption Curve for X'!$F$1</definedName>
    <definedName name="x_d" localSheetId="1">'Budget Set and Optimal Choice'!$Z$2</definedName>
    <definedName name="y_d">'Budget Set and Optimal Choice'!$Z$5</definedName>
    <definedName name="zzzz">'Income Consumption Curve'!$F$1</definedName>
  </definedNames>
  <calcPr calcId="145621"/>
</workbook>
</file>

<file path=xl/calcChain.xml><?xml version="1.0" encoding="utf-8"?>
<calcChain xmlns="http://schemas.openxmlformats.org/spreadsheetml/2006/main">
  <c r="E37" i="7" l="1"/>
  <c r="B37" i="7"/>
  <c r="E38" i="7"/>
  <c r="B38" i="7"/>
  <c r="F1" i="3"/>
  <c r="H1" i="3"/>
  <c r="B12" i="3" s="1"/>
  <c r="B20" i="3"/>
  <c r="Z5" i="4"/>
  <c r="Z2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X12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H12" i="1"/>
  <c r="AG12" i="1"/>
  <c r="AF12" i="1"/>
  <c r="AE12" i="1"/>
  <c r="AD12" i="1"/>
  <c r="AC12" i="1"/>
  <c r="AB12" i="1"/>
  <c r="AA12" i="1"/>
  <c r="Z12" i="1"/>
  <c r="Y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D1" i="8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H1" i="8"/>
  <c r="F1" i="8"/>
  <c r="B1" i="8"/>
  <c r="F1" i="7"/>
  <c r="H1" i="7"/>
  <c r="Q9" i="7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D1" i="7"/>
  <c r="B1" i="7"/>
  <c r="H1" i="5"/>
  <c r="F1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D1" i="5"/>
  <c r="B1" i="5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B37" i="3" s="1"/>
  <c r="D38" i="4"/>
  <c r="B36" i="4"/>
  <c r="B34" i="1"/>
  <c r="B33" i="1" s="1"/>
  <c r="D36" i="1"/>
  <c r="B36" i="3" l="1"/>
  <c r="E12" i="7"/>
  <c r="B28" i="3"/>
  <c r="B27" i="7"/>
  <c r="B19" i="7"/>
  <c r="B11" i="7"/>
  <c r="E27" i="7"/>
  <c r="B34" i="7"/>
  <c r="B26" i="7"/>
  <c r="B18" i="7"/>
  <c r="B10" i="7"/>
  <c r="E34" i="7"/>
  <c r="E26" i="7"/>
  <c r="E18" i="7"/>
  <c r="E10" i="7"/>
  <c r="B9" i="5"/>
  <c r="E12" i="8"/>
  <c r="B33" i="7"/>
  <c r="B25" i="7"/>
  <c r="B17" i="7"/>
  <c r="B9" i="7"/>
  <c r="E33" i="7"/>
  <c r="E25" i="7"/>
  <c r="E17" i="7"/>
  <c r="E9" i="7"/>
  <c r="E19" i="7"/>
  <c r="B32" i="7"/>
  <c r="B24" i="7"/>
  <c r="B16" i="7"/>
  <c r="B8" i="7"/>
  <c r="E32" i="7"/>
  <c r="E24" i="7"/>
  <c r="E16" i="7"/>
  <c r="E8" i="7"/>
  <c r="B31" i="7"/>
  <c r="B23" i="7"/>
  <c r="B15" i="7"/>
  <c r="B7" i="7"/>
  <c r="E31" i="7"/>
  <c r="E23" i="7"/>
  <c r="E15" i="7"/>
  <c r="E7" i="7"/>
  <c r="B35" i="7"/>
  <c r="E35" i="7"/>
  <c r="P9" i="7"/>
  <c r="B30" i="7"/>
  <c r="B14" i="7"/>
  <c r="E30" i="7"/>
  <c r="E14" i="7"/>
  <c r="B29" i="7"/>
  <c r="B21" i="7"/>
  <c r="B13" i="7"/>
  <c r="E29" i="7"/>
  <c r="E21" i="7"/>
  <c r="E13" i="7"/>
  <c r="E11" i="7"/>
  <c r="B6" i="7"/>
  <c r="B22" i="7"/>
  <c r="E6" i="7"/>
  <c r="E22" i="7"/>
  <c r="P17" i="7"/>
  <c r="B36" i="7"/>
  <c r="B28" i="7"/>
  <c r="B20" i="7"/>
  <c r="B12" i="7"/>
  <c r="E36" i="7"/>
  <c r="E28" i="7"/>
  <c r="E20" i="7"/>
  <c r="B32" i="5"/>
  <c r="B16" i="5"/>
  <c r="B34" i="8"/>
  <c r="B18" i="8"/>
  <c r="E35" i="8"/>
  <c r="E11" i="8"/>
  <c r="B31" i="5"/>
  <c r="B23" i="5"/>
  <c r="B15" i="5"/>
  <c r="B7" i="5"/>
  <c r="B33" i="8"/>
  <c r="B25" i="8"/>
  <c r="B17" i="8"/>
  <c r="B9" i="8"/>
  <c r="E34" i="8"/>
  <c r="E26" i="8"/>
  <c r="E18" i="8"/>
  <c r="E10" i="8"/>
  <c r="B24" i="5"/>
  <c r="B8" i="5"/>
  <c r="B26" i="8"/>
  <c r="B10" i="8"/>
  <c r="E27" i="8"/>
  <c r="E19" i="8"/>
  <c r="B5" i="5"/>
  <c r="B30" i="5"/>
  <c r="B22" i="5"/>
  <c r="B14" i="5"/>
  <c r="B6" i="5"/>
  <c r="B32" i="8"/>
  <c r="B24" i="8"/>
  <c r="B16" i="8"/>
  <c r="B8" i="8"/>
  <c r="E33" i="8"/>
  <c r="E25" i="8"/>
  <c r="E17" i="8"/>
  <c r="E9" i="8"/>
  <c r="B37" i="5"/>
  <c r="B29" i="5"/>
  <c r="B21" i="5"/>
  <c r="B13" i="5"/>
  <c r="B31" i="8"/>
  <c r="B23" i="8"/>
  <c r="B15" i="8"/>
  <c r="B7" i="8"/>
  <c r="E32" i="8"/>
  <c r="E24" i="8"/>
  <c r="E16" i="8"/>
  <c r="E8" i="8"/>
  <c r="B36" i="5"/>
  <c r="B28" i="5"/>
  <c r="B20" i="5"/>
  <c r="B12" i="5"/>
  <c r="B5" i="8"/>
  <c r="B30" i="8"/>
  <c r="B22" i="8"/>
  <c r="B14" i="8"/>
  <c r="B6" i="8"/>
  <c r="E31" i="8"/>
  <c r="E23" i="8"/>
  <c r="E15" i="8"/>
  <c r="E7" i="8"/>
  <c r="B35" i="5"/>
  <c r="B27" i="5"/>
  <c r="B19" i="5"/>
  <c r="B11" i="5"/>
  <c r="B37" i="8"/>
  <c r="B29" i="8"/>
  <c r="B21" i="8"/>
  <c r="B13" i="8"/>
  <c r="E5" i="8"/>
  <c r="E30" i="8"/>
  <c r="E22" i="8"/>
  <c r="E14" i="8"/>
  <c r="E6" i="8"/>
  <c r="B34" i="5"/>
  <c r="B26" i="5"/>
  <c r="B18" i="5"/>
  <c r="B10" i="5"/>
  <c r="B36" i="8"/>
  <c r="B28" i="8"/>
  <c r="B20" i="8"/>
  <c r="B12" i="8"/>
  <c r="E37" i="8"/>
  <c r="E29" i="8"/>
  <c r="E21" i="8"/>
  <c r="E13" i="8"/>
  <c r="B33" i="5"/>
  <c r="B25" i="5"/>
  <c r="B17" i="5"/>
  <c r="B35" i="8"/>
  <c r="B27" i="8"/>
  <c r="B19" i="8"/>
  <c r="B11" i="8"/>
  <c r="E36" i="8"/>
  <c r="E28" i="8"/>
  <c r="E20" i="8"/>
  <c r="B6" i="3"/>
  <c r="B30" i="3"/>
  <c r="B22" i="3"/>
  <c r="B14" i="3"/>
  <c r="B29" i="3"/>
  <c r="B21" i="3"/>
  <c r="B13" i="3"/>
  <c r="B35" i="3"/>
  <c r="B11" i="3"/>
  <c r="B34" i="3"/>
  <c r="B26" i="3"/>
  <c r="B18" i="3"/>
  <c r="B10" i="3"/>
  <c r="B27" i="3"/>
  <c r="B33" i="3"/>
  <c r="B25" i="3"/>
  <c r="B17" i="3"/>
  <c r="B9" i="3"/>
  <c r="B19" i="3"/>
  <c r="B32" i="3"/>
  <c r="B24" i="3"/>
  <c r="B16" i="3"/>
  <c r="B8" i="3"/>
  <c r="B31" i="3"/>
  <c r="B23" i="3"/>
  <c r="B15" i="3"/>
  <c r="B7" i="3"/>
  <c r="AF4" i="4"/>
  <c r="Q17" i="7"/>
  <c r="Q12" i="7"/>
  <c r="P12" i="7"/>
  <c r="R7" i="8"/>
  <c r="R12" i="8"/>
  <c r="R17" i="8"/>
  <c r="Q7" i="8"/>
  <c r="Q12" i="8"/>
  <c r="Q17" i="8"/>
  <c r="B35" i="4"/>
  <c r="E38" i="4"/>
  <c r="B32" i="1"/>
  <c r="B31" i="1"/>
  <c r="E36" i="1"/>
  <c r="B34" i="4" l="1"/>
  <c r="F38" i="4"/>
  <c r="B30" i="1"/>
  <c r="F36" i="1"/>
  <c r="B33" i="4" l="1"/>
  <c r="G38" i="4"/>
  <c r="B29" i="1"/>
  <c r="G36" i="1"/>
  <c r="B32" i="4" l="1"/>
  <c r="H38" i="4"/>
  <c r="B28" i="1"/>
  <c r="H36" i="1"/>
  <c r="B31" i="4" l="1"/>
  <c r="I38" i="4"/>
  <c r="B27" i="1"/>
  <c r="I36" i="1"/>
  <c r="B30" i="4" l="1"/>
  <c r="J38" i="4"/>
  <c r="B26" i="1"/>
  <c r="J36" i="1"/>
  <c r="B29" i="4" l="1"/>
  <c r="K38" i="4"/>
  <c r="B25" i="1"/>
  <c r="K36" i="1"/>
  <c r="B28" i="4" l="1"/>
  <c r="L38" i="4"/>
  <c r="B24" i="1"/>
  <c r="L36" i="1"/>
  <c r="B27" i="4" l="1"/>
  <c r="M38" i="4"/>
  <c r="B23" i="1"/>
  <c r="M36" i="1"/>
  <c r="B26" i="4" l="1"/>
  <c r="N38" i="4"/>
  <c r="B22" i="1"/>
  <c r="N36" i="1"/>
  <c r="B25" i="4" l="1"/>
  <c r="O38" i="4"/>
  <c r="B21" i="1"/>
  <c r="O36" i="1"/>
  <c r="B24" i="4" l="1"/>
  <c r="P38" i="4"/>
  <c r="B20" i="1"/>
  <c r="P36" i="1"/>
  <c r="B23" i="4" l="1"/>
  <c r="Q38" i="4"/>
  <c r="B19" i="1"/>
  <c r="Q36" i="1"/>
  <c r="B22" i="4" l="1"/>
  <c r="R38" i="4"/>
  <c r="B18" i="1"/>
  <c r="R36" i="1"/>
  <c r="B21" i="4" l="1"/>
  <c r="S38" i="4"/>
  <c r="B17" i="1"/>
  <c r="S36" i="1"/>
  <c r="B20" i="4" l="1"/>
  <c r="T38" i="4"/>
  <c r="B16" i="1"/>
  <c r="T36" i="1"/>
  <c r="B19" i="4" l="1"/>
  <c r="U38" i="4"/>
  <c r="B15" i="1"/>
  <c r="U36" i="1"/>
  <c r="B18" i="4" l="1"/>
  <c r="V38" i="4"/>
  <c r="B14" i="1"/>
  <c r="V36" i="1"/>
  <c r="B17" i="4" l="1"/>
  <c r="W38" i="4"/>
  <c r="B13" i="1"/>
  <c r="W36" i="1"/>
  <c r="B16" i="4" l="1"/>
  <c r="X38" i="4"/>
  <c r="B12" i="1"/>
  <c r="X36" i="1"/>
  <c r="B15" i="4" l="1"/>
  <c r="Y38" i="4"/>
  <c r="B11" i="1"/>
  <c r="Y36" i="1"/>
  <c r="B14" i="4" l="1"/>
  <c r="Z38" i="4"/>
  <c r="B10" i="1"/>
  <c r="Z36" i="1"/>
  <c r="B13" i="4" l="1"/>
  <c r="AA38" i="4"/>
  <c r="B9" i="1"/>
  <c r="AA36" i="1"/>
  <c r="B12" i="4" l="1"/>
  <c r="AB38" i="4"/>
  <c r="B8" i="1"/>
  <c r="AB36" i="1"/>
  <c r="B11" i="4" l="1"/>
  <c r="AC38" i="4"/>
  <c r="B7" i="1"/>
  <c r="AC36" i="1"/>
  <c r="B10" i="4" l="1"/>
  <c r="AD38" i="4"/>
  <c r="B6" i="1"/>
  <c r="AD36" i="1"/>
  <c r="B9" i="4" l="1"/>
  <c r="AE38" i="4"/>
  <c r="B5" i="1"/>
  <c r="AE36" i="1"/>
  <c r="B8" i="4" l="1"/>
  <c r="AF38" i="4"/>
  <c r="B4" i="1"/>
  <c r="AF36" i="1"/>
  <c r="B7" i="4" l="1"/>
  <c r="AG38" i="4"/>
  <c r="AG36" i="1"/>
  <c r="B6" i="4" l="1"/>
  <c r="AH38" i="4"/>
  <c r="AH36" i="1"/>
</calcChain>
</file>

<file path=xl/sharedStrings.xml><?xml version="1.0" encoding="utf-8"?>
<sst xmlns="http://schemas.openxmlformats.org/spreadsheetml/2006/main" count="45" uniqueCount="23">
  <si>
    <t>increment:</t>
  </si>
  <si>
    <t>a</t>
  </si>
  <si>
    <t>b</t>
  </si>
  <si>
    <t>x</t>
  </si>
  <si>
    <t>y</t>
  </si>
  <si>
    <t>Px</t>
  </si>
  <si>
    <t>Py</t>
  </si>
  <si>
    <t>I</t>
  </si>
  <si>
    <r>
      <t>P</t>
    </r>
    <r>
      <rPr>
        <vertAlign val="subscript"/>
        <sz val="11"/>
        <color theme="1"/>
        <rFont val="Calibri"/>
        <family val="2"/>
        <scheme val="minor"/>
      </rPr>
      <t>x</t>
    </r>
  </si>
  <si>
    <t>increment</t>
  </si>
  <si>
    <t>a =</t>
  </si>
  <si>
    <t xml:space="preserve">b = </t>
  </si>
  <si>
    <t xml:space="preserve">Px = </t>
  </si>
  <si>
    <t>Py =</t>
  </si>
  <si>
    <t xml:space="preserve">I = </t>
  </si>
  <si>
    <t xml:space="preserve">Py = </t>
  </si>
  <si>
    <t>Income (I)</t>
  </si>
  <si>
    <t>I =</t>
  </si>
  <si>
    <t>=</t>
  </si>
  <si>
    <t>y-intercept</t>
  </si>
  <si>
    <t>x-intercept</t>
  </si>
  <si>
    <t>selected budget lines…</t>
  </si>
  <si>
    <t>Selected budget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</si>
</sst>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1"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Demand curve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'Demand Curve'!$B$6:$B$37</c:f>
              <c:numCache>
                <c:formatCode>0.0</c:formatCode>
                <c:ptCount val="32"/>
                <c:pt idx="0">
                  <c:v>5.333333333333333</c:v>
                </c:pt>
                <c:pt idx="1">
                  <c:v>4.8</c:v>
                </c:pt>
                <c:pt idx="2">
                  <c:v>4.3636363636363633</c:v>
                </c:pt>
                <c:pt idx="3">
                  <c:v>4</c:v>
                </c:pt>
                <c:pt idx="4">
                  <c:v>3.6923076923076925</c:v>
                </c:pt>
                <c:pt idx="5">
                  <c:v>3.4285714285714284</c:v>
                </c:pt>
                <c:pt idx="6">
                  <c:v>3.2</c:v>
                </c:pt>
                <c:pt idx="7">
                  <c:v>3</c:v>
                </c:pt>
                <c:pt idx="8">
                  <c:v>2.8235294117647061</c:v>
                </c:pt>
                <c:pt idx="9">
                  <c:v>2.6666666666666665</c:v>
                </c:pt>
                <c:pt idx="10">
                  <c:v>2.5263157894736841</c:v>
                </c:pt>
                <c:pt idx="11">
                  <c:v>2.4</c:v>
                </c:pt>
                <c:pt idx="12">
                  <c:v>2.2857142857142856</c:v>
                </c:pt>
                <c:pt idx="13">
                  <c:v>2.1818181818181817</c:v>
                </c:pt>
                <c:pt idx="14">
                  <c:v>2.0869565217391304</c:v>
                </c:pt>
                <c:pt idx="15">
                  <c:v>2</c:v>
                </c:pt>
                <c:pt idx="16">
                  <c:v>1.92</c:v>
                </c:pt>
                <c:pt idx="17">
                  <c:v>1.8461538461538463</c:v>
                </c:pt>
                <c:pt idx="18">
                  <c:v>1.7777777777777777</c:v>
                </c:pt>
                <c:pt idx="19">
                  <c:v>1.7142857142857142</c:v>
                </c:pt>
                <c:pt idx="20">
                  <c:v>1.6551724137931034</c:v>
                </c:pt>
                <c:pt idx="21">
                  <c:v>1.6</c:v>
                </c:pt>
                <c:pt idx="22">
                  <c:v>1.5483870967741935</c:v>
                </c:pt>
                <c:pt idx="23">
                  <c:v>1.5</c:v>
                </c:pt>
                <c:pt idx="24">
                  <c:v>1.4545454545454546</c:v>
                </c:pt>
                <c:pt idx="25">
                  <c:v>1.411764705882353</c:v>
                </c:pt>
                <c:pt idx="26">
                  <c:v>1.3714285714285714</c:v>
                </c:pt>
                <c:pt idx="27">
                  <c:v>1.3333333333333333</c:v>
                </c:pt>
                <c:pt idx="28">
                  <c:v>1.2972972972972974</c:v>
                </c:pt>
                <c:pt idx="29">
                  <c:v>1.263157894736842</c:v>
                </c:pt>
                <c:pt idx="30">
                  <c:v>1.2307692307692308</c:v>
                </c:pt>
                <c:pt idx="31">
                  <c:v>1.2</c:v>
                </c:pt>
              </c:numCache>
            </c:numRef>
          </c:xVal>
          <c:yVal>
            <c:numRef>
              <c:f>'Demand Curve'!$A$6:$A$37</c:f>
              <c:numCache>
                <c:formatCode>General</c:formatCode>
                <c:ptCount val="32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96800"/>
        <c:axId val="129483904"/>
      </c:scatterChart>
      <c:valAx>
        <c:axId val="13319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29483904"/>
        <c:crosses val="autoZero"/>
        <c:crossBetween val="midCat"/>
      </c:valAx>
      <c:valAx>
        <c:axId val="1294839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Px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319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Engel curve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'Engel Curve'!$A$6:$A$37</c:f>
              <c:numCache>
                <c:formatCode>General</c:formatCode>
                <c:ptCount val="32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</c:numCache>
            </c:numRef>
          </c:xVal>
          <c:yVal>
            <c:numRef>
              <c:f>'Engel Curve'!$B$5:$B$37</c:f>
              <c:numCache>
                <c:formatCode>0.0</c:formatCode>
                <c:ptCount val="33"/>
                <c:pt idx="0">
                  <c:v>0</c:v>
                </c:pt>
                <c:pt idx="1">
                  <c:v>0.625</c:v>
                </c:pt>
                <c:pt idx="2">
                  <c:v>1.25</c:v>
                </c:pt>
                <c:pt idx="3">
                  <c:v>1.875</c:v>
                </c:pt>
                <c:pt idx="4">
                  <c:v>2.5</c:v>
                </c:pt>
                <c:pt idx="5">
                  <c:v>3.125</c:v>
                </c:pt>
                <c:pt idx="6">
                  <c:v>3.75</c:v>
                </c:pt>
                <c:pt idx="7">
                  <c:v>4.375</c:v>
                </c:pt>
                <c:pt idx="8">
                  <c:v>5</c:v>
                </c:pt>
                <c:pt idx="9">
                  <c:v>5.625</c:v>
                </c:pt>
                <c:pt idx="10">
                  <c:v>6.25</c:v>
                </c:pt>
                <c:pt idx="11">
                  <c:v>6.875</c:v>
                </c:pt>
                <c:pt idx="12">
                  <c:v>7.5</c:v>
                </c:pt>
                <c:pt idx="13">
                  <c:v>8.125</c:v>
                </c:pt>
                <c:pt idx="14">
                  <c:v>8.75</c:v>
                </c:pt>
                <c:pt idx="15">
                  <c:v>9.375</c:v>
                </c:pt>
                <c:pt idx="16">
                  <c:v>10</c:v>
                </c:pt>
                <c:pt idx="17">
                  <c:v>10.625</c:v>
                </c:pt>
                <c:pt idx="18">
                  <c:v>11.25</c:v>
                </c:pt>
                <c:pt idx="19">
                  <c:v>11.875</c:v>
                </c:pt>
                <c:pt idx="20">
                  <c:v>12.5</c:v>
                </c:pt>
                <c:pt idx="21">
                  <c:v>13.125</c:v>
                </c:pt>
                <c:pt idx="22">
                  <c:v>13.75</c:v>
                </c:pt>
                <c:pt idx="23">
                  <c:v>14.375</c:v>
                </c:pt>
                <c:pt idx="24">
                  <c:v>15</c:v>
                </c:pt>
                <c:pt idx="25">
                  <c:v>15.625</c:v>
                </c:pt>
                <c:pt idx="26">
                  <c:v>16.25</c:v>
                </c:pt>
                <c:pt idx="27">
                  <c:v>16.875</c:v>
                </c:pt>
                <c:pt idx="28">
                  <c:v>17.5</c:v>
                </c:pt>
                <c:pt idx="29">
                  <c:v>18.125</c:v>
                </c:pt>
                <c:pt idx="30">
                  <c:v>18.75</c:v>
                </c:pt>
                <c:pt idx="31">
                  <c:v>19.375</c:v>
                </c:pt>
                <c:pt idx="32">
                  <c:v>20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06016"/>
        <c:axId val="131607936"/>
      </c:scatterChart>
      <c:valAx>
        <c:axId val="13160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 (I)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1607936"/>
        <c:crosses val="autoZero"/>
        <c:crossBetween val="midCat"/>
      </c:valAx>
      <c:valAx>
        <c:axId val="13160793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31606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Consumption Curve for X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'Price Consumption Curve for X'!$B$6:$B$37</c:f>
              <c:numCache>
                <c:formatCode>0.0</c:formatCode>
                <c:ptCount val="32"/>
                <c:pt idx="0">
                  <c:v>5.7142857142857144</c:v>
                </c:pt>
                <c:pt idx="1">
                  <c:v>5.4545454545454541</c:v>
                </c:pt>
                <c:pt idx="2">
                  <c:v>5.2173913043478262</c:v>
                </c:pt>
                <c:pt idx="3">
                  <c:v>5</c:v>
                </c:pt>
                <c:pt idx="4">
                  <c:v>4.8</c:v>
                </c:pt>
                <c:pt idx="5">
                  <c:v>4.615384615384615</c:v>
                </c:pt>
                <c:pt idx="6">
                  <c:v>4.4444444444444438</c:v>
                </c:pt>
                <c:pt idx="7">
                  <c:v>4.2857142857142856</c:v>
                </c:pt>
                <c:pt idx="8">
                  <c:v>4.1379310344827589</c:v>
                </c:pt>
                <c:pt idx="9">
                  <c:v>4</c:v>
                </c:pt>
                <c:pt idx="10">
                  <c:v>3.8709677419354844</c:v>
                </c:pt>
                <c:pt idx="11">
                  <c:v>3.75</c:v>
                </c:pt>
                <c:pt idx="12">
                  <c:v>3.6363636363636367</c:v>
                </c:pt>
                <c:pt idx="13">
                  <c:v>3.5294117647058818</c:v>
                </c:pt>
                <c:pt idx="14">
                  <c:v>3.4285714285714284</c:v>
                </c:pt>
                <c:pt idx="15">
                  <c:v>3.333333333333333</c:v>
                </c:pt>
                <c:pt idx="16">
                  <c:v>3.243243243243243</c:v>
                </c:pt>
                <c:pt idx="17">
                  <c:v>3.1578947368421049</c:v>
                </c:pt>
                <c:pt idx="18">
                  <c:v>3.0769230769230766</c:v>
                </c:pt>
                <c:pt idx="19">
                  <c:v>3</c:v>
                </c:pt>
                <c:pt idx="20">
                  <c:v>2.9268292682926824</c:v>
                </c:pt>
                <c:pt idx="21">
                  <c:v>2.8571428571428563</c:v>
                </c:pt>
                <c:pt idx="22">
                  <c:v>2.7906976744186043</c:v>
                </c:pt>
                <c:pt idx="23">
                  <c:v>2.7272727272727271</c:v>
                </c:pt>
                <c:pt idx="24">
                  <c:v>2.6666666666666661</c:v>
                </c:pt>
                <c:pt idx="25">
                  <c:v>2.6086956521739122</c:v>
                </c:pt>
                <c:pt idx="26">
                  <c:v>2.5531914893617014</c:v>
                </c:pt>
                <c:pt idx="27">
                  <c:v>2.4999999999999996</c:v>
                </c:pt>
                <c:pt idx="28">
                  <c:v>2.4489795918367339</c:v>
                </c:pt>
                <c:pt idx="29">
                  <c:v>2.399999999999999</c:v>
                </c:pt>
                <c:pt idx="30">
                  <c:v>2.3529411764705874</c:v>
                </c:pt>
                <c:pt idx="31">
                  <c:v>3.9997333511099259E-4</c:v>
                </c:pt>
              </c:numCache>
            </c:numRef>
          </c:xVal>
          <c:yVal>
            <c:numRef>
              <c:f>'Price Consumption Curve for X'!$E$6:$E$37</c:f>
              <c:numCache>
                <c:formatCode>0.0</c:formatCode>
                <c:ptCount val="32"/>
                <c:pt idx="0">
                  <c:v>5.7142857142857144</c:v>
                </c:pt>
                <c:pt idx="1">
                  <c:v>5.4545454545454541</c:v>
                </c:pt>
                <c:pt idx="2">
                  <c:v>5.2173913043478262</c:v>
                </c:pt>
                <c:pt idx="3">
                  <c:v>5</c:v>
                </c:pt>
                <c:pt idx="4">
                  <c:v>4.8</c:v>
                </c:pt>
                <c:pt idx="5">
                  <c:v>4.615384615384615</c:v>
                </c:pt>
                <c:pt idx="6">
                  <c:v>4.4444444444444438</c:v>
                </c:pt>
                <c:pt idx="7">
                  <c:v>4.2857142857142856</c:v>
                </c:pt>
                <c:pt idx="8">
                  <c:v>4.1379310344827589</c:v>
                </c:pt>
                <c:pt idx="9">
                  <c:v>4</c:v>
                </c:pt>
                <c:pt idx="10">
                  <c:v>3.8709677419354844</c:v>
                </c:pt>
                <c:pt idx="11">
                  <c:v>3.75</c:v>
                </c:pt>
                <c:pt idx="12">
                  <c:v>3.6363636363636367</c:v>
                </c:pt>
                <c:pt idx="13">
                  <c:v>3.5294117647058818</c:v>
                </c:pt>
                <c:pt idx="14">
                  <c:v>3.4285714285714284</c:v>
                </c:pt>
                <c:pt idx="15">
                  <c:v>3.333333333333333</c:v>
                </c:pt>
                <c:pt idx="16">
                  <c:v>3.243243243243243</c:v>
                </c:pt>
                <c:pt idx="17">
                  <c:v>3.1578947368421049</c:v>
                </c:pt>
                <c:pt idx="18">
                  <c:v>3.0769230769230766</c:v>
                </c:pt>
                <c:pt idx="19">
                  <c:v>3</c:v>
                </c:pt>
                <c:pt idx="20">
                  <c:v>2.9268292682926824</c:v>
                </c:pt>
                <c:pt idx="21">
                  <c:v>2.8571428571428563</c:v>
                </c:pt>
                <c:pt idx="22">
                  <c:v>2.7906976744186043</c:v>
                </c:pt>
                <c:pt idx="23">
                  <c:v>2.7272727272727271</c:v>
                </c:pt>
                <c:pt idx="24">
                  <c:v>2.6666666666666661</c:v>
                </c:pt>
                <c:pt idx="25">
                  <c:v>2.6086956521739122</c:v>
                </c:pt>
                <c:pt idx="26">
                  <c:v>2.5531914893617014</c:v>
                </c:pt>
                <c:pt idx="27">
                  <c:v>2.4999999999999996</c:v>
                </c:pt>
                <c:pt idx="28">
                  <c:v>2.4489795918367339</c:v>
                </c:pt>
                <c:pt idx="29">
                  <c:v>2.399999999999999</c:v>
                </c:pt>
                <c:pt idx="30">
                  <c:v>2.3529411764705874</c:v>
                </c:pt>
                <c:pt idx="31">
                  <c:v>3.9997333511099259E-4</c:v>
                </c:pt>
              </c:numCache>
            </c:numRef>
          </c:yVal>
          <c:smooth val="1"/>
        </c:ser>
        <c:ser>
          <c:idx val="1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('Price Consumption Curve for X'!$O$9,'Price Consumption Curve for X'!$Q$9)</c:f>
              <c:numCache>
                <c:formatCode>General</c:formatCode>
                <c:ptCount val="2"/>
                <c:pt idx="0">
                  <c:v>0</c:v>
                </c:pt>
                <c:pt idx="1">
                  <c:v>24</c:v>
                </c:pt>
              </c:numCache>
            </c:numRef>
          </c:xVal>
          <c:yVal>
            <c:numRef>
              <c:f>('Price Consumption Curve for X'!$P$9,'Price Consumption Curve for X'!$R$9)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1"/>
        </c:ser>
        <c:ser>
          <c:idx val="2"/>
          <c:order val="2"/>
          <c:spPr>
            <a:ln w="95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('Price Consumption Curve for X'!$O$17,'Price Consumption Curve for X'!$Q$17)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('Price Consumption Curve for X'!$P$17,'Price Consumption Curve for X'!$R$17)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1"/>
        </c:ser>
        <c:ser>
          <c:idx val="3"/>
          <c:order val="3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('Price Consumption Curve for X'!$O$12,'Price Consumption Curve for X'!$Q$12)</c:f>
              <c:numCache>
                <c:formatCode>General</c:formatCode>
                <c:ptCount val="2"/>
                <c:pt idx="0">
                  <c:v>0</c:v>
                </c:pt>
                <c:pt idx="1">
                  <c:v>17.142857142857142</c:v>
                </c:pt>
              </c:numCache>
            </c:numRef>
          </c:xVal>
          <c:yVal>
            <c:numRef>
              <c:f>('Price Consumption Curve for X'!$P$12,'Price Consumption Curve for X'!$R$12)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81344"/>
        <c:axId val="133099904"/>
      </c:scatterChart>
      <c:valAx>
        <c:axId val="133081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33099904"/>
        <c:crosses val="autoZero"/>
        <c:crossBetween val="midCat"/>
      </c:valAx>
      <c:valAx>
        <c:axId val="1330999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33081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 Consumption Curve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'Income Consumption Curve'!$B$6:$B$37</c:f>
              <c:numCache>
                <c:formatCode>0.0</c:formatCode>
                <c:ptCount val="32"/>
                <c:pt idx="0">
                  <c:v>0.625</c:v>
                </c:pt>
                <c:pt idx="1">
                  <c:v>1.25</c:v>
                </c:pt>
                <c:pt idx="2">
                  <c:v>1.875</c:v>
                </c:pt>
                <c:pt idx="3">
                  <c:v>2.5</c:v>
                </c:pt>
                <c:pt idx="4">
                  <c:v>3.125</c:v>
                </c:pt>
                <c:pt idx="5">
                  <c:v>3.75</c:v>
                </c:pt>
                <c:pt idx="6">
                  <c:v>4.375</c:v>
                </c:pt>
                <c:pt idx="7">
                  <c:v>5</c:v>
                </c:pt>
                <c:pt idx="8">
                  <c:v>5.625</c:v>
                </c:pt>
                <c:pt idx="9">
                  <c:v>6.25</c:v>
                </c:pt>
                <c:pt idx="10">
                  <c:v>6.875</c:v>
                </c:pt>
                <c:pt idx="11">
                  <c:v>7.5</c:v>
                </c:pt>
                <c:pt idx="12">
                  <c:v>8.125</c:v>
                </c:pt>
                <c:pt idx="13">
                  <c:v>8.75</c:v>
                </c:pt>
                <c:pt idx="14">
                  <c:v>9.375</c:v>
                </c:pt>
                <c:pt idx="15">
                  <c:v>10</c:v>
                </c:pt>
                <c:pt idx="16">
                  <c:v>10.625</c:v>
                </c:pt>
                <c:pt idx="17">
                  <c:v>11.25</c:v>
                </c:pt>
                <c:pt idx="18">
                  <c:v>11.875</c:v>
                </c:pt>
                <c:pt idx="19">
                  <c:v>12.5</c:v>
                </c:pt>
                <c:pt idx="20">
                  <c:v>13.125</c:v>
                </c:pt>
                <c:pt idx="21">
                  <c:v>13.75</c:v>
                </c:pt>
                <c:pt idx="22">
                  <c:v>14.375</c:v>
                </c:pt>
                <c:pt idx="23">
                  <c:v>15</c:v>
                </c:pt>
                <c:pt idx="24">
                  <c:v>15.625</c:v>
                </c:pt>
                <c:pt idx="25">
                  <c:v>16.25</c:v>
                </c:pt>
                <c:pt idx="26">
                  <c:v>16.875</c:v>
                </c:pt>
                <c:pt idx="27">
                  <c:v>17.5</c:v>
                </c:pt>
                <c:pt idx="28">
                  <c:v>18.125</c:v>
                </c:pt>
                <c:pt idx="29">
                  <c:v>18.75</c:v>
                </c:pt>
                <c:pt idx="30">
                  <c:v>19.375</c:v>
                </c:pt>
                <c:pt idx="31">
                  <c:v>20</c:v>
                </c:pt>
              </c:numCache>
            </c:numRef>
          </c:xVal>
          <c:yVal>
            <c:numRef>
              <c:f>'Income Consumption Curve'!$E$6:$E$37</c:f>
              <c:numCache>
                <c:formatCode>0.0</c:formatCode>
                <c:ptCount val="32"/>
                <c:pt idx="0">
                  <c:v>0.625</c:v>
                </c:pt>
                <c:pt idx="1">
                  <c:v>1.25</c:v>
                </c:pt>
                <c:pt idx="2">
                  <c:v>1.875</c:v>
                </c:pt>
                <c:pt idx="3">
                  <c:v>2.5</c:v>
                </c:pt>
                <c:pt idx="4">
                  <c:v>3.125</c:v>
                </c:pt>
                <c:pt idx="5">
                  <c:v>3.75</c:v>
                </c:pt>
                <c:pt idx="6">
                  <c:v>4.375</c:v>
                </c:pt>
                <c:pt idx="7">
                  <c:v>5</c:v>
                </c:pt>
                <c:pt idx="8">
                  <c:v>5.625</c:v>
                </c:pt>
                <c:pt idx="9">
                  <c:v>6.25</c:v>
                </c:pt>
                <c:pt idx="10">
                  <c:v>6.875</c:v>
                </c:pt>
                <c:pt idx="11">
                  <c:v>7.5</c:v>
                </c:pt>
                <c:pt idx="12">
                  <c:v>8.125</c:v>
                </c:pt>
                <c:pt idx="13">
                  <c:v>8.75</c:v>
                </c:pt>
                <c:pt idx="14">
                  <c:v>9.375</c:v>
                </c:pt>
                <c:pt idx="15">
                  <c:v>10</c:v>
                </c:pt>
                <c:pt idx="16">
                  <c:v>10.625</c:v>
                </c:pt>
                <c:pt idx="17">
                  <c:v>11.25</c:v>
                </c:pt>
                <c:pt idx="18">
                  <c:v>11.875</c:v>
                </c:pt>
                <c:pt idx="19">
                  <c:v>12.5</c:v>
                </c:pt>
                <c:pt idx="20">
                  <c:v>13.125</c:v>
                </c:pt>
                <c:pt idx="21">
                  <c:v>13.75</c:v>
                </c:pt>
                <c:pt idx="22">
                  <c:v>14.375</c:v>
                </c:pt>
                <c:pt idx="23">
                  <c:v>15</c:v>
                </c:pt>
                <c:pt idx="24">
                  <c:v>15.625</c:v>
                </c:pt>
                <c:pt idx="25">
                  <c:v>16.25</c:v>
                </c:pt>
                <c:pt idx="26">
                  <c:v>16.875</c:v>
                </c:pt>
                <c:pt idx="27">
                  <c:v>17.5</c:v>
                </c:pt>
                <c:pt idx="28">
                  <c:v>18.125</c:v>
                </c:pt>
                <c:pt idx="29">
                  <c:v>18.75</c:v>
                </c:pt>
                <c:pt idx="30">
                  <c:v>19.375</c:v>
                </c:pt>
                <c:pt idx="31">
                  <c:v>20</c:v>
                </c:pt>
              </c:numCache>
            </c:numRef>
          </c:yVal>
          <c:smooth val="1"/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('Income Consumption Curve'!$P$7,'Income Consumption Curve'!$R$7)</c:f>
              <c:numCache>
                <c:formatCode>General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xVal>
          <c:yVal>
            <c:numRef>
              <c:f>('Income Consumption Curve'!$Q$7,'Income Consumption Curve'!$S$7)</c:f>
              <c:numCache>
                <c:formatCode>General</c:formatCode>
                <c:ptCount val="2"/>
                <c:pt idx="0">
                  <c:v>2.5</c:v>
                </c:pt>
                <c:pt idx="1">
                  <c:v>0</c:v>
                </c:pt>
              </c:numCache>
            </c:numRef>
          </c:yVal>
          <c:smooth val="1"/>
        </c:ser>
        <c:ser>
          <c:idx val="2"/>
          <c:order val="2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('Income Consumption Curve'!$P$12,'Income Consumption Curve'!$R$12)</c:f>
              <c:numCache>
                <c:formatCode>General</c:formatCode>
                <c:ptCount val="2"/>
                <c:pt idx="0">
                  <c:v>0</c:v>
                </c:pt>
                <c:pt idx="1">
                  <c:v>8.75</c:v>
                </c:pt>
              </c:numCache>
            </c:numRef>
          </c:xVal>
          <c:yVal>
            <c:numRef>
              <c:f>('Income Consumption Curve'!$Q$12,'Income Consumption Curve'!$S$12)</c:f>
              <c:numCache>
                <c:formatCode>General</c:formatCode>
                <c:ptCount val="2"/>
                <c:pt idx="0">
                  <c:v>8.75</c:v>
                </c:pt>
                <c:pt idx="1">
                  <c:v>0</c:v>
                </c:pt>
              </c:numCache>
            </c:numRef>
          </c:yVal>
          <c:smooth val="1"/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('Income Consumption Curve'!$P$17,'Income Consumption Curve'!$R$17)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('Income Consumption Curve'!$Q$17,'Income Consumption Curve'!$S$17)</c:f>
              <c:numCache>
                <c:formatCode>General</c:formatCode>
                <c:ptCount val="2"/>
                <c:pt idx="0">
                  <c:v>15</c:v>
                </c:pt>
                <c:pt idx="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06400"/>
        <c:axId val="133208320"/>
      </c:scatterChart>
      <c:valAx>
        <c:axId val="13320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33208320"/>
        <c:crosses val="autoZero"/>
        <c:crossBetween val="midCat"/>
      </c:valAx>
      <c:valAx>
        <c:axId val="13320832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33206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67235</xdr:rowOff>
    </xdr:from>
    <xdr:to>
      <xdr:col>21</xdr:col>
      <xdr:colOff>89647</xdr:colOff>
      <xdr:row>2</xdr:row>
      <xdr:rowOff>8843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82" y="67235"/>
          <a:ext cx="2241177" cy="322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44823</xdr:colOff>
      <xdr:row>3</xdr:row>
      <xdr:rowOff>22411</xdr:rowOff>
    </xdr:from>
    <xdr:to>
      <xdr:col>30</xdr:col>
      <xdr:colOff>244849</xdr:colOff>
      <xdr:row>4</xdr:row>
      <xdr:rowOff>41461</xdr:rowOff>
    </xdr:to>
    <xdr:pic>
      <xdr:nvPicPr>
        <xdr:cNvPr id="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664823" y="593911"/>
          <a:ext cx="737908" cy="2095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11206</xdr:colOff>
      <xdr:row>0</xdr:row>
      <xdr:rowOff>56030</xdr:rowOff>
    </xdr:from>
    <xdr:to>
      <xdr:col>10</xdr:col>
      <xdr:colOff>257735</xdr:colOff>
      <xdr:row>1</xdr:row>
      <xdr:rowOff>129751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83441" y="56030"/>
          <a:ext cx="1053353" cy="264221"/>
        </a:xfrm>
        <a:prstGeom prst="rect">
          <a:avLst/>
        </a:prstGeom>
        <a:noFill/>
      </xdr:spPr>
    </xdr:pic>
    <xdr:clientData/>
  </xdr:twoCellAnchor>
  <xdr:twoCellAnchor>
    <xdr:from>
      <xdr:col>0</xdr:col>
      <xdr:colOff>100854</xdr:colOff>
      <xdr:row>0</xdr:row>
      <xdr:rowOff>89646</xdr:rowOff>
    </xdr:from>
    <xdr:to>
      <xdr:col>6</xdr:col>
      <xdr:colOff>67235</xdr:colOff>
      <xdr:row>1</xdr:row>
      <xdr:rowOff>139489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4" y="89646"/>
          <a:ext cx="1669675" cy="240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22412</xdr:colOff>
      <xdr:row>0</xdr:row>
      <xdr:rowOff>168088</xdr:rowOff>
    </xdr:from>
    <xdr:to>
      <xdr:col>23</xdr:col>
      <xdr:colOff>155762</xdr:colOff>
      <xdr:row>2</xdr:row>
      <xdr:rowOff>177613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68088"/>
          <a:ext cx="1478056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23</xdr:col>
      <xdr:colOff>142875</xdr:colOff>
      <xdr:row>5</xdr:row>
      <xdr:rowOff>190500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762000"/>
          <a:ext cx="14763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6</xdr:row>
      <xdr:rowOff>152399</xdr:rowOff>
    </xdr:from>
    <xdr:to>
      <xdr:col>13</xdr:col>
      <xdr:colOff>495300</xdr:colOff>
      <xdr:row>26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</xdr:row>
      <xdr:rowOff>1</xdr:rowOff>
    </xdr:from>
    <xdr:to>
      <xdr:col>3</xdr:col>
      <xdr:colOff>152400</xdr:colOff>
      <xdr:row>4</xdr:row>
      <xdr:rowOff>133799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71501"/>
          <a:ext cx="1371600" cy="362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6</xdr:row>
      <xdr:rowOff>152399</xdr:rowOff>
    </xdr:from>
    <xdr:to>
      <xdr:col>13</xdr:col>
      <xdr:colOff>495300</xdr:colOff>
      <xdr:row>26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2</xdr:row>
      <xdr:rowOff>161925</xdr:rowOff>
    </xdr:from>
    <xdr:to>
      <xdr:col>3</xdr:col>
      <xdr:colOff>57150</xdr:colOff>
      <xdr:row>4</xdr:row>
      <xdr:rowOff>90473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542925"/>
          <a:ext cx="1171575" cy="309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9525</xdr:rowOff>
    </xdr:from>
    <xdr:to>
      <xdr:col>13</xdr:col>
      <xdr:colOff>304800</xdr:colOff>
      <xdr:row>30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3</xdr:row>
      <xdr:rowOff>9525</xdr:rowOff>
    </xdr:from>
    <xdr:to>
      <xdr:col>3</xdr:col>
      <xdr:colOff>0</xdr:colOff>
      <xdr:row>4</xdr:row>
      <xdr:rowOff>90473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581025"/>
          <a:ext cx="1171575" cy="309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5</xdr:col>
      <xdr:colOff>523875</xdr:colOff>
      <xdr:row>4</xdr:row>
      <xdr:rowOff>63910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571500"/>
          <a:ext cx="1133475" cy="292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304800</xdr:colOff>
      <xdr:row>27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2</xdr:row>
      <xdr:rowOff>133350</xdr:rowOff>
    </xdr:from>
    <xdr:to>
      <xdr:col>3</xdr:col>
      <xdr:colOff>66675</xdr:colOff>
      <xdr:row>4</xdr:row>
      <xdr:rowOff>61898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514350"/>
          <a:ext cx="1171575" cy="309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2</xdr:row>
      <xdr:rowOff>123825</xdr:rowOff>
    </xdr:from>
    <xdr:to>
      <xdr:col>5</xdr:col>
      <xdr:colOff>590550</xdr:colOff>
      <xdr:row>4</xdr:row>
      <xdr:rowOff>35335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504825"/>
          <a:ext cx="1133475" cy="292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"/>
  <sheetViews>
    <sheetView zoomScale="85" zoomScaleNormal="85" workbookViewId="0">
      <selection activeCell="H43" sqref="H43"/>
    </sheetView>
  </sheetViews>
  <sheetFormatPr defaultRowHeight="15" x14ac:dyDescent="0.25"/>
  <cols>
    <col min="1" max="2" width="4.7109375" customWidth="1"/>
    <col min="3" max="34" width="4" customWidth="1"/>
  </cols>
  <sheetData>
    <row r="1" spans="1:34" x14ac:dyDescent="0.25">
      <c r="A1" t="s">
        <v>1</v>
      </c>
      <c r="B1">
        <v>1</v>
      </c>
    </row>
    <row r="2" spans="1:34" x14ac:dyDescent="0.25">
      <c r="A2" t="s">
        <v>2</v>
      </c>
      <c r="B2">
        <v>1</v>
      </c>
    </row>
    <row r="3" spans="1:34" x14ac:dyDescent="0.25">
      <c r="A3" t="s">
        <v>0</v>
      </c>
      <c r="D3">
        <v>0.2</v>
      </c>
    </row>
    <row r="4" spans="1:34" ht="17.25" customHeight="1" x14ac:dyDescent="0.25">
      <c r="A4" s="4" t="s">
        <v>4</v>
      </c>
      <c r="B4" s="4">
        <f t="shared" ref="B4:B33" si="0">B5+$D$3</f>
        <v>6.2000000000000028</v>
      </c>
      <c r="C4">
        <f>MIN(a*C$36,b*$B4)</f>
        <v>0</v>
      </c>
      <c r="D4">
        <f>MIN(a*D$36,b*$B4)</f>
        <v>0.2</v>
      </c>
      <c r="E4">
        <f>MIN(a*E$36,b*$B4)</f>
        <v>0.4</v>
      </c>
      <c r="F4">
        <f>MIN(a*F$36,b*$B4)</f>
        <v>0.60000000000000009</v>
      </c>
      <c r="G4">
        <f>MIN(a*G$36,b*$B4)</f>
        <v>0.8</v>
      </c>
      <c r="H4">
        <f>MIN(a*H$36,b*$B4)</f>
        <v>1</v>
      </c>
      <c r="I4">
        <f>MIN(a*I$36,b*$B4)</f>
        <v>1.2</v>
      </c>
      <c r="J4">
        <f>MIN(a*J$36,b*$B4)</f>
        <v>1.4</v>
      </c>
      <c r="K4">
        <f>MIN(a*K$36,b*$B4)</f>
        <v>1.5999999999999999</v>
      </c>
      <c r="L4">
        <f>MIN(a*L$36,b*$B4)</f>
        <v>1.7999999999999998</v>
      </c>
      <c r="M4">
        <f>MIN(a*M$36,b*$B4)</f>
        <v>1.9999999999999998</v>
      </c>
      <c r="N4">
        <f>MIN(a*N$36,b*$B4)</f>
        <v>2.1999999999999997</v>
      </c>
      <c r="O4">
        <f>MIN(a*O$36,b*$B4)</f>
        <v>2.4</v>
      </c>
      <c r="P4">
        <f>MIN(a*P$36,b*$B4)</f>
        <v>2.6</v>
      </c>
      <c r="Q4">
        <f>MIN(a*Q$36,b*$B4)</f>
        <v>2.8000000000000003</v>
      </c>
      <c r="R4">
        <f>MIN(a*R$36,b*$B4)</f>
        <v>3.0000000000000004</v>
      </c>
      <c r="S4">
        <f>MIN(a*S$36,b*$B4)</f>
        <v>3.2000000000000006</v>
      </c>
      <c r="T4">
        <f>MIN(a*T$36,b*$B4)</f>
        <v>3.4000000000000008</v>
      </c>
      <c r="U4">
        <f>MIN(a*U$36,b*$B4)</f>
        <v>3.600000000000001</v>
      </c>
      <c r="V4">
        <f>MIN(a*V$36,b*$B4)</f>
        <v>3.8000000000000012</v>
      </c>
      <c r="W4">
        <f>MIN(a*W$36,b*$B4)</f>
        <v>4.0000000000000009</v>
      </c>
      <c r="X4">
        <f>MIN(a*X$36,b*$B4)</f>
        <v>4.2000000000000011</v>
      </c>
      <c r="Y4">
        <f>MIN(a*Y$36,b*$B4)</f>
        <v>4.4000000000000012</v>
      </c>
      <c r="Z4">
        <f>MIN(a*Z$36,b*$B4)</f>
        <v>4.6000000000000014</v>
      </c>
      <c r="AA4">
        <f>MIN(a*AA$36,b*$B4)</f>
        <v>4.8000000000000016</v>
      </c>
      <c r="AB4">
        <f>MIN(a*AB$36,b*$B4)</f>
        <v>5.0000000000000018</v>
      </c>
      <c r="AC4">
        <f>MIN(a*AC$36,b*$B4)</f>
        <v>5.200000000000002</v>
      </c>
      <c r="AD4">
        <f>MIN(a*AD$36,b*$B4)</f>
        <v>5.4000000000000021</v>
      </c>
      <c r="AE4">
        <f>MIN(a*AE$36,b*$B4)</f>
        <v>5.6000000000000023</v>
      </c>
      <c r="AF4">
        <f>MIN(a*AF$36,b*$B4)</f>
        <v>5.8000000000000025</v>
      </c>
      <c r="AG4">
        <f>MIN(a*AG$36,b*$B4)</f>
        <v>6.0000000000000027</v>
      </c>
      <c r="AH4">
        <f>MIN(a*AH$36,b*$B4)</f>
        <v>6.2000000000000028</v>
      </c>
    </row>
    <row r="5" spans="1:34" ht="17.25" customHeight="1" x14ac:dyDescent="0.25">
      <c r="B5" s="4">
        <f t="shared" si="0"/>
        <v>6.0000000000000027</v>
      </c>
      <c r="C5">
        <f>MIN(a*C$36,b*$B5)</f>
        <v>0</v>
      </c>
      <c r="D5">
        <f>MIN(a*D$36,b*$B5)</f>
        <v>0.2</v>
      </c>
      <c r="E5">
        <f>MIN(a*E$36,b*$B5)</f>
        <v>0.4</v>
      </c>
      <c r="F5">
        <f>MIN(a*F$36,b*$B5)</f>
        <v>0.60000000000000009</v>
      </c>
      <c r="G5">
        <f>MIN(a*G$36,b*$B5)</f>
        <v>0.8</v>
      </c>
      <c r="H5">
        <f>MIN(a*H$36,b*$B5)</f>
        <v>1</v>
      </c>
      <c r="I5">
        <f>MIN(a*I$36,b*$B5)</f>
        <v>1.2</v>
      </c>
      <c r="J5">
        <f>MIN(a*J$36,b*$B5)</f>
        <v>1.4</v>
      </c>
      <c r="K5">
        <f>MIN(a*K$36,b*$B5)</f>
        <v>1.5999999999999999</v>
      </c>
      <c r="L5">
        <f>MIN(a*L$36,b*$B5)</f>
        <v>1.7999999999999998</v>
      </c>
      <c r="M5">
        <f>MIN(a*M$36,b*$B5)</f>
        <v>1.9999999999999998</v>
      </c>
      <c r="N5">
        <f>MIN(a*N$36,b*$B5)</f>
        <v>2.1999999999999997</v>
      </c>
      <c r="O5">
        <f>MIN(a*O$36,b*$B5)</f>
        <v>2.4</v>
      </c>
      <c r="P5">
        <f>MIN(a*P$36,b*$B5)</f>
        <v>2.6</v>
      </c>
      <c r="Q5">
        <f>MIN(a*Q$36,b*$B5)</f>
        <v>2.8000000000000003</v>
      </c>
      <c r="R5">
        <f>MIN(a*R$36,b*$B5)</f>
        <v>3.0000000000000004</v>
      </c>
      <c r="S5">
        <f>MIN(a*S$36,b*$B5)</f>
        <v>3.2000000000000006</v>
      </c>
      <c r="T5">
        <f>MIN(a*T$36,b*$B5)</f>
        <v>3.4000000000000008</v>
      </c>
      <c r="U5">
        <f>MIN(a*U$36,b*$B5)</f>
        <v>3.600000000000001</v>
      </c>
      <c r="V5">
        <f>MIN(a*V$36,b*$B5)</f>
        <v>3.8000000000000012</v>
      </c>
      <c r="W5">
        <f>MIN(a*W$36,b*$B5)</f>
        <v>4.0000000000000009</v>
      </c>
      <c r="X5">
        <f>MIN(a*X$36,b*$B5)</f>
        <v>4.2000000000000011</v>
      </c>
      <c r="Y5">
        <f>MIN(a*Y$36,b*$B5)</f>
        <v>4.4000000000000012</v>
      </c>
      <c r="Z5">
        <f>MIN(a*Z$36,b*$B5)</f>
        <v>4.6000000000000014</v>
      </c>
      <c r="AA5">
        <f>MIN(a*AA$36,b*$B5)</f>
        <v>4.8000000000000016</v>
      </c>
      <c r="AB5">
        <f>MIN(a*AB$36,b*$B5)</f>
        <v>5.0000000000000018</v>
      </c>
      <c r="AC5">
        <f>MIN(a*AC$36,b*$B5)</f>
        <v>5.200000000000002</v>
      </c>
      <c r="AD5">
        <f>MIN(a*AD$36,b*$B5)</f>
        <v>5.4000000000000021</v>
      </c>
      <c r="AE5">
        <f>MIN(a*AE$36,b*$B5)</f>
        <v>5.6000000000000023</v>
      </c>
      <c r="AF5">
        <f>MIN(a*AF$36,b*$B5)</f>
        <v>5.8000000000000025</v>
      </c>
      <c r="AG5">
        <f>MIN(a*AG$36,b*$B5)</f>
        <v>6.0000000000000027</v>
      </c>
      <c r="AH5">
        <f>MIN(a*AH$36,b*$B5)</f>
        <v>6.0000000000000027</v>
      </c>
    </row>
    <row r="6" spans="1:34" ht="17.25" customHeight="1" x14ac:dyDescent="0.25">
      <c r="B6" s="4">
        <f t="shared" si="0"/>
        <v>5.8000000000000025</v>
      </c>
      <c r="C6">
        <f>MIN(a*C$36,b*$B6)</f>
        <v>0</v>
      </c>
      <c r="D6">
        <f>MIN(a*D$36,b*$B6)</f>
        <v>0.2</v>
      </c>
      <c r="E6">
        <f>MIN(a*E$36,b*$B6)</f>
        <v>0.4</v>
      </c>
      <c r="F6">
        <f>MIN(a*F$36,b*$B6)</f>
        <v>0.60000000000000009</v>
      </c>
      <c r="G6">
        <f>MIN(a*G$36,b*$B6)</f>
        <v>0.8</v>
      </c>
      <c r="H6">
        <f>MIN(a*H$36,b*$B6)</f>
        <v>1</v>
      </c>
      <c r="I6">
        <f>MIN(a*I$36,b*$B6)</f>
        <v>1.2</v>
      </c>
      <c r="J6">
        <f>MIN(a*J$36,b*$B6)</f>
        <v>1.4</v>
      </c>
      <c r="K6">
        <f>MIN(a*K$36,b*$B6)</f>
        <v>1.5999999999999999</v>
      </c>
      <c r="L6">
        <f>MIN(a*L$36,b*$B6)</f>
        <v>1.7999999999999998</v>
      </c>
      <c r="M6">
        <f>MIN(a*M$36,b*$B6)</f>
        <v>1.9999999999999998</v>
      </c>
      <c r="N6">
        <f>MIN(a*N$36,b*$B6)</f>
        <v>2.1999999999999997</v>
      </c>
      <c r="O6">
        <f>MIN(a*O$36,b*$B6)</f>
        <v>2.4</v>
      </c>
      <c r="P6">
        <f>MIN(a*P$36,b*$B6)</f>
        <v>2.6</v>
      </c>
      <c r="Q6">
        <f>MIN(a*Q$36,b*$B6)</f>
        <v>2.8000000000000003</v>
      </c>
      <c r="R6">
        <f>MIN(a*R$36,b*$B6)</f>
        <v>3.0000000000000004</v>
      </c>
      <c r="S6">
        <f>MIN(a*S$36,b*$B6)</f>
        <v>3.2000000000000006</v>
      </c>
      <c r="T6">
        <f>MIN(a*T$36,b*$B6)</f>
        <v>3.4000000000000008</v>
      </c>
      <c r="U6">
        <f>MIN(a*U$36,b*$B6)</f>
        <v>3.600000000000001</v>
      </c>
      <c r="V6">
        <f>MIN(a*V$36,b*$B6)</f>
        <v>3.8000000000000012</v>
      </c>
      <c r="W6">
        <f>MIN(a*W$36,b*$B6)</f>
        <v>4.0000000000000009</v>
      </c>
      <c r="X6">
        <f>MIN(a*X$36,b*$B6)</f>
        <v>4.2000000000000011</v>
      </c>
      <c r="Y6">
        <f>MIN(a*Y$36,b*$B6)</f>
        <v>4.4000000000000012</v>
      </c>
      <c r="Z6">
        <f>MIN(a*Z$36,b*$B6)</f>
        <v>4.6000000000000014</v>
      </c>
      <c r="AA6">
        <f>MIN(a*AA$36,b*$B6)</f>
        <v>4.8000000000000016</v>
      </c>
      <c r="AB6">
        <f>MIN(a*AB$36,b*$B6)</f>
        <v>5.0000000000000018</v>
      </c>
      <c r="AC6">
        <f>MIN(a*AC$36,b*$B6)</f>
        <v>5.200000000000002</v>
      </c>
      <c r="AD6">
        <f>MIN(a*AD$36,b*$B6)</f>
        <v>5.4000000000000021</v>
      </c>
      <c r="AE6">
        <f>MIN(a*AE$36,b*$B6)</f>
        <v>5.6000000000000023</v>
      </c>
      <c r="AF6">
        <f>MIN(a*AF$36,b*$B6)</f>
        <v>5.8000000000000025</v>
      </c>
      <c r="AG6">
        <f>MIN(a*AG$36,b*$B6)</f>
        <v>5.8000000000000025</v>
      </c>
      <c r="AH6">
        <f>MIN(a*AH$36,b*$B6)</f>
        <v>5.8000000000000025</v>
      </c>
    </row>
    <row r="7" spans="1:34" ht="17.25" customHeight="1" x14ac:dyDescent="0.25">
      <c r="B7" s="4">
        <f t="shared" si="0"/>
        <v>5.6000000000000023</v>
      </c>
      <c r="C7">
        <f>MIN(a*C$36,b*$B7)</f>
        <v>0</v>
      </c>
      <c r="D7">
        <f>MIN(a*D$36,b*$B7)</f>
        <v>0.2</v>
      </c>
      <c r="E7">
        <f>MIN(a*E$36,b*$B7)</f>
        <v>0.4</v>
      </c>
      <c r="F7">
        <f>MIN(a*F$36,b*$B7)</f>
        <v>0.60000000000000009</v>
      </c>
      <c r="G7">
        <f>MIN(a*G$36,b*$B7)</f>
        <v>0.8</v>
      </c>
      <c r="H7">
        <f>MIN(a*H$36,b*$B7)</f>
        <v>1</v>
      </c>
      <c r="I7">
        <f>MIN(a*I$36,b*$B7)</f>
        <v>1.2</v>
      </c>
      <c r="J7">
        <f>MIN(a*J$36,b*$B7)</f>
        <v>1.4</v>
      </c>
      <c r="K7">
        <f>MIN(a*K$36,b*$B7)</f>
        <v>1.5999999999999999</v>
      </c>
      <c r="L7">
        <f>MIN(a*L$36,b*$B7)</f>
        <v>1.7999999999999998</v>
      </c>
      <c r="M7">
        <f>MIN(a*M$36,b*$B7)</f>
        <v>1.9999999999999998</v>
      </c>
      <c r="N7">
        <f>MIN(a*N$36,b*$B7)</f>
        <v>2.1999999999999997</v>
      </c>
      <c r="O7">
        <f>MIN(a*O$36,b*$B7)</f>
        <v>2.4</v>
      </c>
      <c r="P7">
        <f>MIN(a*P$36,b*$B7)</f>
        <v>2.6</v>
      </c>
      <c r="Q7">
        <f>MIN(a*Q$36,b*$B7)</f>
        <v>2.8000000000000003</v>
      </c>
      <c r="R7">
        <f>MIN(a*R$36,b*$B7)</f>
        <v>3.0000000000000004</v>
      </c>
      <c r="S7">
        <f>MIN(a*S$36,b*$B7)</f>
        <v>3.2000000000000006</v>
      </c>
      <c r="T7">
        <f>MIN(a*T$36,b*$B7)</f>
        <v>3.4000000000000008</v>
      </c>
      <c r="U7">
        <f>MIN(a*U$36,b*$B7)</f>
        <v>3.600000000000001</v>
      </c>
      <c r="V7">
        <f>MIN(a*V$36,b*$B7)</f>
        <v>3.8000000000000012</v>
      </c>
      <c r="W7">
        <f>MIN(a*W$36,b*$B7)</f>
        <v>4.0000000000000009</v>
      </c>
      <c r="X7">
        <f>MIN(a*X$36,b*$B7)</f>
        <v>4.2000000000000011</v>
      </c>
      <c r="Y7">
        <f>MIN(a*Y$36,b*$B7)</f>
        <v>4.4000000000000012</v>
      </c>
      <c r="Z7">
        <f>MIN(a*Z$36,b*$B7)</f>
        <v>4.6000000000000014</v>
      </c>
      <c r="AA7">
        <f>MIN(a*AA$36,b*$B7)</f>
        <v>4.8000000000000016</v>
      </c>
      <c r="AB7">
        <f>MIN(a*AB$36,b*$B7)</f>
        <v>5.0000000000000018</v>
      </c>
      <c r="AC7">
        <f>MIN(a*AC$36,b*$B7)</f>
        <v>5.200000000000002</v>
      </c>
      <c r="AD7">
        <f>MIN(a*AD$36,b*$B7)</f>
        <v>5.4000000000000021</v>
      </c>
      <c r="AE7">
        <f>MIN(a*AE$36,b*$B7)</f>
        <v>5.6000000000000023</v>
      </c>
      <c r="AF7">
        <f>MIN(a*AF$36,b*$B7)</f>
        <v>5.6000000000000023</v>
      </c>
      <c r="AG7">
        <f>MIN(a*AG$36,b*$B7)</f>
        <v>5.6000000000000023</v>
      </c>
      <c r="AH7">
        <f>MIN(a*AH$36,b*$B7)</f>
        <v>5.6000000000000023</v>
      </c>
    </row>
    <row r="8" spans="1:34" ht="17.25" customHeight="1" x14ac:dyDescent="0.25">
      <c r="B8" s="4">
        <f t="shared" si="0"/>
        <v>5.4000000000000021</v>
      </c>
      <c r="C8">
        <f>MIN(a*C$36,b*$B8)</f>
        <v>0</v>
      </c>
      <c r="D8">
        <f>MIN(a*D$36,b*$B8)</f>
        <v>0.2</v>
      </c>
      <c r="E8">
        <f>MIN(a*E$36,b*$B8)</f>
        <v>0.4</v>
      </c>
      <c r="F8">
        <f>MIN(a*F$36,b*$B8)</f>
        <v>0.60000000000000009</v>
      </c>
      <c r="G8">
        <f>MIN(a*G$36,b*$B8)</f>
        <v>0.8</v>
      </c>
      <c r="H8">
        <f>MIN(a*H$36,b*$B8)</f>
        <v>1</v>
      </c>
      <c r="I8">
        <f>MIN(a*I$36,b*$B8)</f>
        <v>1.2</v>
      </c>
      <c r="J8">
        <f>MIN(a*J$36,b*$B8)</f>
        <v>1.4</v>
      </c>
      <c r="K8">
        <f>MIN(a*K$36,b*$B8)</f>
        <v>1.5999999999999999</v>
      </c>
      <c r="L8">
        <f>MIN(a*L$36,b*$B8)</f>
        <v>1.7999999999999998</v>
      </c>
      <c r="M8">
        <f>MIN(a*M$36,b*$B8)</f>
        <v>1.9999999999999998</v>
      </c>
      <c r="N8">
        <f>MIN(a*N$36,b*$B8)</f>
        <v>2.1999999999999997</v>
      </c>
      <c r="O8">
        <f>MIN(a*O$36,b*$B8)</f>
        <v>2.4</v>
      </c>
      <c r="P8">
        <f>MIN(a*P$36,b*$B8)</f>
        <v>2.6</v>
      </c>
      <c r="Q8">
        <f>MIN(a*Q$36,b*$B8)</f>
        <v>2.8000000000000003</v>
      </c>
      <c r="R8">
        <f>MIN(a*R$36,b*$B8)</f>
        <v>3.0000000000000004</v>
      </c>
      <c r="S8">
        <f>MIN(a*S$36,b*$B8)</f>
        <v>3.2000000000000006</v>
      </c>
      <c r="T8">
        <f>MIN(a*T$36,b*$B8)</f>
        <v>3.4000000000000008</v>
      </c>
      <c r="U8">
        <f>MIN(a*U$36,b*$B8)</f>
        <v>3.600000000000001</v>
      </c>
      <c r="V8">
        <f>MIN(a*V$36,b*$B8)</f>
        <v>3.8000000000000012</v>
      </c>
      <c r="W8">
        <f>MIN(a*W$36,b*$B8)</f>
        <v>4.0000000000000009</v>
      </c>
      <c r="X8">
        <f>MIN(a*X$36,b*$B8)</f>
        <v>4.2000000000000011</v>
      </c>
      <c r="Y8">
        <f>MIN(a*Y$36,b*$B8)</f>
        <v>4.4000000000000012</v>
      </c>
      <c r="Z8">
        <f>MIN(a*Z$36,b*$B8)</f>
        <v>4.6000000000000014</v>
      </c>
      <c r="AA8">
        <f>MIN(a*AA$36,b*$B8)</f>
        <v>4.8000000000000016</v>
      </c>
      <c r="AB8">
        <f>MIN(a*AB$36,b*$B8)</f>
        <v>5.0000000000000018</v>
      </c>
      <c r="AC8">
        <f>MIN(a*AC$36,b*$B8)</f>
        <v>5.200000000000002</v>
      </c>
      <c r="AD8">
        <f>MIN(a*AD$36,b*$B8)</f>
        <v>5.4000000000000021</v>
      </c>
      <c r="AE8">
        <f>MIN(a*AE$36,b*$B8)</f>
        <v>5.4000000000000021</v>
      </c>
      <c r="AF8">
        <f>MIN(a*AF$36,b*$B8)</f>
        <v>5.4000000000000021</v>
      </c>
      <c r="AG8">
        <f>MIN(a*AG$36,b*$B8)</f>
        <v>5.4000000000000021</v>
      </c>
      <c r="AH8">
        <f>MIN(a*AH$36,b*$B8)</f>
        <v>5.4000000000000021</v>
      </c>
    </row>
    <row r="9" spans="1:34" ht="17.25" customHeight="1" x14ac:dyDescent="0.25">
      <c r="B9" s="4">
        <f t="shared" si="0"/>
        <v>5.200000000000002</v>
      </c>
      <c r="C9">
        <f>MIN(a*C$36,b*$B9)</f>
        <v>0</v>
      </c>
      <c r="D9">
        <f>MIN(a*D$36,b*$B9)</f>
        <v>0.2</v>
      </c>
      <c r="E9">
        <f>MIN(a*E$36,b*$B9)</f>
        <v>0.4</v>
      </c>
      <c r="F9">
        <f>MIN(a*F$36,b*$B9)</f>
        <v>0.60000000000000009</v>
      </c>
      <c r="G9">
        <f>MIN(a*G$36,b*$B9)</f>
        <v>0.8</v>
      </c>
      <c r="H9">
        <f>MIN(a*H$36,b*$B9)</f>
        <v>1</v>
      </c>
      <c r="I9">
        <f>MIN(a*I$36,b*$B9)</f>
        <v>1.2</v>
      </c>
      <c r="J9">
        <f>MIN(a*J$36,b*$B9)</f>
        <v>1.4</v>
      </c>
      <c r="K9">
        <f>MIN(a*K$36,b*$B9)</f>
        <v>1.5999999999999999</v>
      </c>
      <c r="L9">
        <f>MIN(a*L$36,b*$B9)</f>
        <v>1.7999999999999998</v>
      </c>
      <c r="M9">
        <f>MIN(a*M$36,b*$B9)</f>
        <v>1.9999999999999998</v>
      </c>
      <c r="N9">
        <f>MIN(a*N$36,b*$B9)</f>
        <v>2.1999999999999997</v>
      </c>
      <c r="O9">
        <f>MIN(a*O$36,b*$B9)</f>
        <v>2.4</v>
      </c>
      <c r="P9">
        <f>MIN(a*P$36,b*$B9)</f>
        <v>2.6</v>
      </c>
      <c r="Q9">
        <f>MIN(a*Q$36,b*$B9)</f>
        <v>2.8000000000000003</v>
      </c>
      <c r="R9">
        <f>MIN(a*R$36,b*$B9)</f>
        <v>3.0000000000000004</v>
      </c>
      <c r="S9">
        <f>MIN(a*S$36,b*$B9)</f>
        <v>3.2000000000000006</v>
      </c>
      <c r="T9">
        <f>MIN(a*T$36,b*$B9)</f>
        <v>3.4000000000000008</v>
      </c>
      <c r="U9">
        <f>MIN(a*U$36,b*$B9)</f>
        <v>3.600000000000001</v>
      </c>
      <c r="V9">
        <f>MIN(a*V$36,b*$B9)</f>
        <v>3.8000000000000012</v>
      </c>
      <c r="W9">
        <f>MIN(a*W$36,b*$B9)</f>
        <v>4.0000000000000009</v>
      </c>
      <c r="X9">
        <f>MIN(a*X$36,b*$B9)</f>
        <v>4.2000000000000011</v>
      </c>
      <c r="Y9">
        <f>MIN(a*Y$36,b*$B9)</f>
        <v>4.4000000000000012</v>
      </c>
      <c r="Z9">
        <f>MIN(a*Z$36,b*$B9)</f>
        <v>4.6000000000000014</v>
      </c>
      <c r="AA9">
        <f>MIN(a*AA$36,b*$B9)</f>
        <v>4.8000000000000016</v>
      </c>
      <c r="AB9">
        <f>MIN(a*AB$36,b*$B9)</f>
        <v>5.0000000000000018</v>
      </c>
      <c r="AC9">
        <f>MIN(a*AC$36,b*$B9)</f>
        <v>5.200000000000002</v>
      </c>
      <c r="AD9">
        <f>MIN(a*AD$36,b*$B9)</f>
        <v>5.200000000000002</v>
      </c>
      <c r="AE9">
        <f>MIN(a*AE$36,b*$B9)</f>
        <v>5.200000000000002</v>
      </c>
      <c r="AF9">
        <f>MIN(a*AF$36,b*$B9)</f>
        <v>5.200000000000002</v>
      </c>
      <c r="AG9">
        <f>MIN(a*AG$36,b*$B9)</f>
        <v>5.200000000000002</v>
      </c>
      <c r="AH9">
        <f>MIN(a*AH$36,b*$B9)</f>
        <v>5.200000000000002</v>
      </c>
    </row>
    <row r="10" spans="1:34" ht="17.25" customHeight="1" x14ac:dyDescent="0.25">
      <c r="B10" s="4">
        <f t="shared" si="0"/>
        <v>5.0000000000000018</v>
      </c>
      <c r="C10">
        <f>MIN(a*C$36,b*$B10)</f>
        <v>0</v>
      </c>
      <c r="D10">
        <f>MIN(a*D$36,b*$B10)</f>
        <v>0.2</v>
      </c>
      <c r="E10">
        <f>MIN(a*E$36,b*$B10)</f>
        <v>0.4</v>
      </c>
      <c r="F10">
        <f>MIN(a*F$36,b*$B10)</f>
        <v>0.60000000000000009</v>
      </c>
      <c r="G10">
        <f>MIN(a*G$36,b*$B10)</f>
        <v>0.8</v>
      </c>
      <c r="H10">
        <f>MIN(a*H$36,b*$B10)</f>
        <v>1</v>
      </c>
      <c r="I10">
        <f>MIN(a*I$36,b*$B10)</f>
        <v>1.2</v>
      </c>
      <c r="J10">
        <f>MIN(a*J$36,b*$B10)</f>
        <v>1.4</v>
      </c>
      <c r="K10">
        <f>MIN(a*K$36,b*$B10)</f>
        <v>1.5999999999999999</v>
      </c>
      <c r="L10">
        <f>MIN(a*L$36,b*$B10)</f>
        <v>1.7999999999999998</v>
      </c>
      <c r="M10">
        <f>MIN(a*M$36,b*$B10)</f>
        <v>1.9999999999999998</v>
      </c>
      <c r="N10">
        <f>MIN(a*N$36,b*$B10)</f>
        <v>2.1999999999999997</v>
      </c>
      <c r="O10">
        <f>MIN(a*O$36,b*$B10)</f>
        <v>2.4</v>
      </c>
      <c r="P10">
        <f>MIN(a*P$36,b*$B10)</f>
        <v>2.6</v>
      </c>
      <c r="Q10">
        <f>MIN(a*Q$36,b*$B10)</f>
        <v>2.8000000000000003</v>
      </c>
      <c r="R10">
        <f>MIN(a*R$36,b*$B10)</f>
        <v>3.0000000000000004</v>
      </c>
      <c r="S10">
        <f>MIN(a*S$36,b*$B10)</f>
        <v>3.2000000000000006</v>
      </c>
      <c r="T10">
        <f>MIN(a*T$36,b*$B10)</f>
        <v>3.4000000000000008</v>
      </c>
      <c r="U10">
        <f>MIN(a*U$36,b*$B10)</f>
        <v>3.600000000000001</v>
      </c>
      <c r="V10">
        <f>MIN(a*V$36,b*$B10)</f>
        <v>3.8000000000000012</v>
      </c>
      <c r="W10">
        <f>MIN(a*W$36,b*$B10)</f>
        <v>4.0000000000000009</v>
      </c>
      <c r="X10">
        <f>MIN(a*X$36,b*$B10)</f>
        <v>4.2000000000000011</v>
      </c>
      <c r="Y10">
        <f>MIN(a*Y$36,b*$B10)</f>
        <v>4.4000000000000012</v>
      </c>
      <c r="Z10">
        <f>MIN(a*Z$36,b*$B10)</f>
        <v>4.6000000000000014</v>
      </c>
      <c r="AA10">
        <f>MIN(a*AA$36,b*$B10)</f>
        <v>4.8000000000000016</v>
      </c>
      <c r="AB10">
        <f>MIN(a*AB$36,b*$B10)</f>
        <v>5.0000000000000018</v>
      </c>
      <c r="AC10">
        <f>MIN(a*AC$36,b*$B10)</f>
        <v>5.0000000000000018</v>
      </c>
      <c r="AD10">
        <f>MIN(a*AD$36,b*$B10)</f>
        <v>5.0000000000000018</v>
      </c>
      <c r="AE10">
        <f>MIN(a*AE$36,b*$B10)</f>
        <v>5.0000000000000018</v>
      </c>
      <c r="AF10">
        <f>MIN(a*AF$36,b*$B10)</f>
        <v>5.0000000000000018</v>
      </c>
      <c r="AG10">
        <f>MIN(a*AG$36,b*$B10)</f>
        <v>5.0000000000000018</v>
      </c>
      <c r="AH10">
        <f>MIN(a*AH$36,b*$B10)</f>
        <v>5.0000000000000018</v>
      </c>
    </row>
    <row r="11" spans="1:34" ht="17.25" customHeight="1" x14ac:dyDescent="0.25">
      <c r="B11" s="4">
        <f t="shared" si="0"/>
        <v>4.8000000000000016</v>
      </c>
      <c r="C11">
        <f>MIN(a*C$36,b*$B11)</f>
        <v>0</v>
      </c>
      <c r="D11">
        <f>MIN(a*D$36,b*$B11)</f>
        <v>0.2</v>
      </c>
      <c r="E11">
        <f>MIN(a*E$36,b*$B11)</f>
        <v>0.4</v>
      </c>
      <c r="F11">
        <f>MIN(a*F$36,b*$B11)</f>
        <v>0.60000000000000009</v>
      </c>
      <c r="G11">
        <f>MIN(a*G$36,b*$B11)</f>
        <v>0.8</v>
      </c>
      <c r="H11">
        <f>MIN(a*H$36,b*$B11)</f>
        <v>1</v>
      </c>
      <c r="I11">
        <f>MIN(a*I$36,b*$B11)</f>
        <v>1.2</v>
      </c>
      <c r="J11">
        <f>MIN(a*J$36,b*$B11)</f>
        <v>1.4</v>
      </c>
      <c r="K11">
        <f>MIN(a*K$36,b*$B11)</f>
        <v>1.5999999999999999</v>
      </c>
      <c r="L11">
        <f>MIN(a*L$36,b*$B11)</f>
        <v>1.7999999999999998</v>
      </c>
      <c r="M11">
        <f>MIN(a*M$36,b*$B11)</f>
        <v>1.9999999999999998</v>
      </c>
      <c r="N11">
        <f>MIN(a*N$36,b*$B11)</f>
        <v>2.1999999999999997</v>
      </c>
      <c r="O11">
        <f>MIN(a*O$36,b*$B11)</f>
        <v>2.4</v>
      </c>
      <c r="P11">
        <f>MIN(a*P$36,b*$B11)</f>
        <v>2.6</v>
      </c>
      <c r="Q11">
        <f>MIN(a*Q$36,b*$B11)</f>
        <v>2.8000000000000003</v>
      </c>
      <c r="R11">
        <f>MIN(a*R$36,b*$B11)</f>
        <v>3.0000000000000004</v>
      </c>
      <c r="S11">
        <f>MIN(a*S$36,b*$B11)</f>
        <v>3.2000000000000006</v>
      </c>
      <c r="T11">
        <f>MIN(a*T$36,b*$B11)</f>
        <v>3.4000000000000008</v>
      </c>
      <c r="U11">
        <f>MIN(a*U$36,b*$B11)</f>
        <v>3.600000000000001</v>
      </c>
      <c r="V11">
        <f>MIN(a*V$36,b*$B11)</f>
        <v>3.8000000000000012</v>
      </c>
      <c r="W11">
        <f>MIN(a*W$36,b*$B11)</f>
        <v>4.0000000000000009</v>
      </c>
      <c r="X11">
        <f>MIN(a*X$36,b*$B11)</f>
        <v>4.2000000000000011</v>
      </c>
      <c r="Y11">
        <f>MIN(a*Y$36,b*$B11)</f>
        <v>4.4000000000000012</v>
      </c>
      <c r="Z11">
        <f>MIN(a*Z$36,b*$B11)</f>
        <v>4.6000000000000014</v>
      </c>
      <c r="AA11">
        <f>MIN(a*AA$36,b*$B11)</f>
        <v>4.8000000000000016</v>
      </c>
      <c r="AB11">
        <f>MIN(a*AB$36,b*$B11)</f>
        <v>4.8000000000000016</v>
      </c>
      <c r="AC11">
        <f>MIN(a*AC$36,b*$B11)</f>
        <v>4.8000000000000016</v>
      </c>
      <c r="AD11">
        <f>MIN(a*AD$36,b*$B11)</f>
        <v>4.8000000000000016</v>
      </c>
      <c r="AE11">
        <f>MIN(a*AE$36,b*$B11)</f>
        <v>4.8000000000000016</v>
      </c>
      <c r="AF11">
        <f>MIN(a*AF$36,b*$B11)</f>
        <v>4.8000000000000016</v>
      </c>
      <c r="AG11">
        <f>MIN(a*AG$36,b*$B11)</f>
        <v>4.8000000000000016</v>
      </c>
      <c r="AH11">
        <f>MIN(a*AH$36,b*$B11)</f>
        <v>4.8000000000000016</v>
      </c>
    </row>
    <row r="12" spans="1:34" ht="17.25" customHeight="1" x14ac:dyDescent="0.25">
      <c r="B12" s="4">
        <f t="shared" si="0"/>
        <v>4.6000000000000014</v>
      </c>
      <c r="C12">
        <f>MIN(a*C$36,b*$B12)</f>
        <v>0</v>
      </c>
      <c r="D12">
        <f>MIN(a*D$36,b*$B12)</f>
        <v>0.2</v>
      </c>
      <c r="E12">
        <f>MIN(a*E$36,b*$B12)</f>
        <v>0.4</v>
      </c>
      <c r="F12">
        <f>MIN(a*F$36,b*$B12)</f>
        <v>0.60000000000000009</v>
      </c>
      <c r="G12">
        <f>MIN(a*G$36,b*$B12)</f>
        <v>0.8</v>
      </c>
      <c r="H12">
        <f>MIN(a*H$36,b*$B12)</f>
        <v>1</v>
      </c>
      <c r="I12">
        <f>MIN(a*I$36,b*$B12)</f>
        <v>1.2</v>
      </c>
      <c r="J12">
        <f>MIN(a*J$36,b*$B12)</f>
        <v>1.4</v>
      </c>
      <c r="K12">
        <f>MIN(a*K$36,b*$B12)</f>
        <v>1.5999999999999999</v>
      </c>
      <c r="L12">
        <f>MIN(a*L$36,b*$B12)</f>
        <v>1.7999999999999998</v>
      </c>
      <c r="M12">
        <f>MIN(a*M$36,b*$B12)</f>
        <v>1.9999999999999998</v>
      </c>
      <c r="N12">
        <f>MIN(a*N$36,b*$B12)</f>
        <v>2.1999999999999997</v>
      </c>
      <c r="O12">
        <f>MIN(a*O$36,b*$B12)</f>
        <v>2.4</v>
      </c>
      <c r="P12">
        <f>MIN(a*P$36,b*$B12)</f>
        <v>2.6</v>
      </c>
      <c r="Q12">
        <f>MIN(a*Q$36,b*$B12)</f>
        <v>2.8000000000000003</v>
      </c>
      <c r="R12">
        <f>MIN(a*R$36,b*$B12)</f>
        <v>3.0000000000000004</v>
      </c>
      <c r="S12">
        <f>MIN(a*S$36,b*$B12)</f>
        <v>3.2000000000000006</v>
      </c>
      <c r="T12">
        <f>MIN(a*T$36,b*$B12)</f>
        <v>3.4000000000000008</v>
      </c>
      <c r="U12">
        <f>MIN(a*U$36,b*$B12)</f>
        <v>3.600000000000001</v>
      </c>
      <c r="V12">
        <f>MIN(a*V$36,b*$B12)</f>
        <v>3.8000000000000012</v>
      </c>
      <c r="W12">
        <f>MIN(a*W$36,b*$B12)</f>
        <v>4.0000000000000009</v>
      </c>
      <c r="X12">
        <f>MIN(a*X$36,b*$B12)</f>
        <v>4.2000000000000011</v>
      </c>
      <c r="Y12">
        <f>MIN(a*Y$36,b*$B12)</f>
        <v>4.4000000000000012</v>
      </c>
      <c r="Z12">
        <f>MIN(a*Z$36,b*$B12)</f>
        <v>4.6000000000000014</v>
      </c>
      <c r="AA12">
        <f>MIN(a*AA$36,b*$B12)</f>
        <v>4.6000000000000014</v>
      </c>
      <c r="AB12">
        <f>MIN(a*AB$36,b*$B12)</f>
        <v>4.6000000000000014</v>
      </c>
      <c r="AC12">
        <f>MIN(a*AC$36,b*$B12)</f>
        <v>4.6000000000000014</v>
      </c>
      <c r="AD12">
        <f>MIN(a*AD$36,b*$B12)</f>
        <v>4.6000000000000014</v>
      </c>
      <c r="AE12">
        <f>MIN(a*AE$36,b*$B12)</f>
        <v>4.6000000000000014</v>
      </c>
      <c r="AF12">
        <f>MIN(a*AF$36,b*$B12)</f>
        <v>4.6000000000000014</v>
      </c>
      <c r="AG12">
        <f>MIN(a*AG$36,b*$B12)</f>
        <v>4.6000000000000014</v>
      </c>
      <c r="AH12">
        <f>MIN(a*AH$36,b*$B12)</f>
        <v>4.6000000000000014</v>
      </c>
    </row>
    <row r="13" spans="1:34" ht="17.25" customHeight="1" x14ac:dyDescent="0.25">
      <c r="B13" s="4">
        <f t="shared" si="0"/>
        <v>4.4000000000000012</v>
      </c>
      <c r="C13">
        <f>MIN(a*C$36,b*$B13)</f>
        <v>0</v>
      </c>
      <c r="D13">
        <f>MIN(a*D$36,b*$B13)</f>
        <v>0.2</v>
      </c>
      <c r="E13">
        <f>MIN(a*E$36,b*$B13)</f>
        <v>0.4</v>
      </c>
      <c r="F13">
        <f>MIN(a*F$36,b*$B13)</f>
        <v>0.60000000000000009</v>
      </c>
      <c r="G13">
        <f>MIN(a*G$36,b*$B13)</f>
        <v>0.8</v>
      </c>
      <c r="H13">
        <f>MIN(a*H$36,b*$B13)</f>
        <v>1</v>
      </c>
      <c r="I13">
        <f>MIN(a*I$36,b*$B13)</f>
        <v>1.2</v>
      </c>
      <c r="J13">
        <f>MIN(a*J$36,b*$B13)</f>
        <v>1.4</v>
      </c>
      <c r="K13">
        <f>MIN(a*K$36,b*$B13)</f>
        <v>1.5999999999999999</v>
      </c>
      <c r="L13">
        <f>MIN(a*L$36,b*$B13)</f>
        <v>1.7999999999999998</v>
      </c>
      <c r="M13">
        <f>MIN(a*M$36,b*$B13)</f>
        <v>1.9999999999999998</v>
      </c>
      <c r="N13">
        <f>MIN(a*N$36,b*$B13)</f>
        <v>2.1999999999999997</v>
      </c>
      <c r="O13">
        <f>MIN(a*O$36,b*$B13)</f>
        <v>2.4</v>
      </c>
      <c r="P13">
        <f>MIN(a*P$36,b*$B13)</f>
        <v>2.6</v>
      </c>
      <c r="Q13">
        <f>MIN(a*Q$36,b*$B13)</f>
        <v>2.8000000000000003</v>
      </c>
      <c r="R13">
        <f>MIN(a*R$36,b*$B13)</f>
        <v>3.0000000000000004</v>
      </c>
      <c r="S13">
        <f>MIN(a*S$36,b*$B13)</f>
        <v>3.2000000000000006</v>
      </c>
      <c r="T13">
        <f>MIN(a*T$36,b*$B13)</f>
        <v>3.4000000000000008</v>
      </c>
      <c r="U13">
        <f>MIN(a*U$36,b*$B13)</f>
        <v>3.600000000000001</v>
      </c>
      <c r="V13">
        <f>MIN(a*V$36,b*$B13)</f>
        <v>3.8000000000000012</v>
      </c>
      <c r="W13">
        <f>MIN(a*W$36,b*$B13)</f>
        <v>4.0000000000000009</v>
      </c>
      <c r="X13">
        <f>MIN(a*X$36,b*$B13)</f>
        <v>4.2000000000000011</v>
      </c>
      <c r="Y13">
        <f>MIN(a*Y$36,b*$B13)</f>
        <v>4.4000000000000012</v>
      </c>
      <c r="Z13">
        <f>MIN(a*Z$36,b*$B13)</f>
        <v>4.4000000000000012</v>
      </c>
      <c r="AA13">
        <f>MIN(a*AA$36,b*$B13)</f>
        <v>4.4000000000000012</v>
      </c>
      <c r="AB13">
        <f>MIN(a*AB$36,b*$B13)</f>
        <v>4.4000000000000012</v>
      </c>
      <c r="AC13">
        <f>MIN(a*AC$36,b*$B13)</f>
        <v>4.4000000000000012</v>
      </c>
      <c r="AD13">
        <f>MIN(a*AD$36,b*$B13)</f>
        <v>4.4000000000000012</v>
      </c>
      <c r="AE13">
        <f>MIN(a*AE$36,b*$B13)</f>
        <v>4.4000000000000012</v>
      </c>
      <c r="AF13">
        <f>MIN(a*AF$36,b*$B13)</f>
        <v>4.4000000000000012</v>
      </c>
      <c r="AG13">
        <f>MIN(a*AG$36,b*$B13)</f>
        <v>4.4000000000000012</v>
      </c>
      <c r="AH13">
        <f>MIN(a*AH$36,b*$B13)</f>
        <v>4.4000000000000012</v>
      </c>
    </row>
    <row r="14" spans="1:34" ht="17.25" customHeight="1" x14ac:dyDescent="0.25">
      <c r="B14" s="4">
        <f t="shared" si="0"/>
        <v>4.2000000000000011</v>
      </c>
      <c r="C14">
        <f>MIN(a*C$36,b*$B14)</f>
        <v>0</v>
      </c>
      <c r="D14">
        <f>MIN(a*D$36,b*$B14)</f>
        <v>0.2</v>
      </c>
      <c r="E14">
        <f>MIN(a*E$36,b*$B14)</f>
        <v>0.4</v>
      </c>
      <c r="F14">
        <f>MIN(a*F$36,b*$B14)</f>
        <v>0.60000000000000009</v>
      </c>
      <c r="G14">
        <f>MIN(a*G$36,b*$B14)</f>
        <v>0.8</v>
      </c>
      <c r="H14">
        <f>MIN(a*H$36,b*$B14)</f>
        <v>1</v>
      </c>
      <c r="I14">
        <f>MIN(a*I$36,b*$B14)</f>
        <v>1.2</v>
      </c>
      <c r="J14">
        <f>MIN(a*J$36,b*$B14)</f>
        <v>1.4</v>
      </c>
      <c r="K14">
        <f>MIN(a*K$36,b*$B14)</f>
        <v>1.5999999999999999</v>
      </c>
      <c r="L14">
        <f>MIN(a*L$36,b*$B14)</f>
        <v>1.7999999999999998</v>
      </c>
      <c r="M14">
        <f>MIN(a*M$36,b*$B14)</f>
        <v>1.9999999999999998</v>
      </c>
      <c r="N14">
        <f>MIN(a*N$36,b*$B14)</f>
        <v>2.1999999999999997</v>
      </c>
      <c r="O14">
        <f>MIN(a*O$36,b*$B14)</f>
        <v>2.4</v>
      </c>
      <c r="P14">
        <f>MIN(a*P$36,b*$B14)</f>
        <v>2.6</v>
      </c>
      <c r="Q14">
        <f>MIN(a*Q$36,b*$B14)</f>
        <v>2.8000000000000003</v>
      </c>
      <c r="R14">
        <f>MIN(a*R$36,b*$B14)</f>
        <v>3.0000000000000004</v>
      </c>
      <c r="S14">
        <f>MIN(a*S$36,b*$B14)</f>
        <v>3.2000000000000006</v>
      </c>
      <c r="T14">
        <f>MIN(a*T$36,b*$B14)</f>
        <v>3.4000000000000008</v>
      </c>
      <c r="U14">
        <f>MIN(a*U$36,b*$B14)</f>
        <v>3.600000000000001</v>
      </c>
      <c r="V14">
        <f>MIN(a*V$36,b*$B14)</f>
        <v>3.8000000000000012</v>
      </c>
      <c r="W14">
        <f>MIN(a*W$36,b*$B14)</f>
        <v>4.0000000000000009</v>
      </c>
      <c r="X14">
        <f>MIN(a*X$36,b*$B14)</f>
        <v>4.2000000000000011</v>
      </c>
      <c r="Y14">
        <f>MIN(a*Y$36,b*$B14)</f>
        <v>4.2000000000000011</v>
      </c>
      <c r="Z14">
        <f>MIN(a*Z$36,b*$B14)</f>
        <v>4.2000000000000011</v>
      </c>
      <c r="AA14">
        <f>MIN(a*AA$36,b*$B14)</f>
        <v>4.2000000000000011</v>
      </c>
      <c r="AB14">
        <f>MIN(a*AB$36,b*$B14)</f>
        <v>4.2000000000000011</v>
      </c>
      <c r="AC14">
        <f>MIN(a*AC$36,b*$B14)</f>
        <v>4.2000000000000011</v>
      </c>
      <c r="AD14">
        <f>MIN(a*AD$36,b*$B14)</f>
        <v>4.2000000000000011</v>
      </c>
      <c r="AE14">
        <f>MIN(a*AE$36,b*$B14)</f>
        <v>4.2000000000000011</v>
      </c>
      <c r="AF14">
        <f>MIN(a*AF$36,b*$B14)</f>
        <v>4.2000000000000011</v>
      </c>
      <c r="AG14">
        <f>MIN(a*AG$36,b*$B14)</f>
        <v>4.2000000000000011</v>
      </c>
      <c r="AH14">
        <f>MIN(a*AH$36,b*$B14)</f>
        <v>4.2000000000000011</v>
      </c>
    </row>
    <row r="15" spans="1:34" ht="17.25" customHeight="1" x14ac:dyDescent="0.25">
      <c r="B15" s="4">
        <f t="shared" si="0"/>
        <v>4.0000000000000009</v>
      </c>
      <c r="C15">
        <f>MIN(a*C$36,b*$B15)</f>
        <v>0</v>
      </c>
      <c r="D15">
        <f>MIN(a*D$36,b*$B15)</f>
        <v>0.2</v>
      </c>
      <c r="E15">
        <f>MIN(a*E$36,b*$B15)</f>
        <v>0.4</v>
      </c>
      <c r="F15">
        <f>MIN(a*F$36,b*$B15)</f>
        <v>0.60000000000000009</v>
      </c>
      <c r="G15">
        <f>MIN(a*G$36,b*$B15)</f>
        <v>0.8</v>
      </c>
      <c r="H15">
        <f>MIN(a*H$36,b*$B15)</f>
        <v>1</v>
      </c>
      <c r="I15">
        <f>MIN(a*I$36,b*$B15)</f>
        <v>1.2</v>
      </c>
      <c r="J15">
        <f>MIN(a*J$36,b*$B15)</f>
        <v>1.4</v>
      </c>
      <c r="K15">
        <f>MIN(a*K$36,b*$B15)</f>
        <v>1.5999999999999999</v>
      </c>
      <c r="L15">
        <f>MIN(a*L$36,b*$B15)</f>
        <v>1.7999999999999998</v>
      </c>
      <c r="M15">
        <f>MIN(a*M$36,b*$B15)</f>
        <v>1.9999999999999998</v>
      </c>
      <c r="N15">
        <f>MIN(a*N$36,b*$B15)</f>
        <v>2.1999999999999997</v>
      </c>
      <c r="O15">
        <f>MIN(a*O$36,b*$B15)</f>
        <v>2.4</v>
      </c>
      <c r="P15">
        <f>MIN(a*P$36,b*$B15)</f>
        <v>2.6</v>
      </c>
      <c r="Q15">
        <f>MIN(a*Q$36,b*$B15)</f>
        <v>2.8000000000000003</v>
      </c>
      <c r="R15">
        <f>MIN(a*R$36,b*$B15)</f>
        <v>3.0000000000000004</v>
      </c>
      <c r="S15">
        <f>MIN(a*S$36,b*$B15)</f>
        <v>3.2000000000000006</v>
      </c>
      <c r="T15">
        <f>MIN(a*T$36,b*$B15)</f>
        <v>3.4000000000000008</v>
      </c>
      <c r="U15">
        <f>MIN(a*U$36,b*$B15)</f>
        <v>3.600000000000001</v>
      </c>
      <c r="V15">
        <f>MIN(a*V$36,b*$B15)</f>
        <v>3.8000000000000012</v>
      </c>
      <c r="W15">
        <f>MIN(a*W$36,b*$B15)</f>
        <v>4.0000000000000009</v>
      </c>
      <c r="X15">
        <f>MIN(a*X$36,b*$B15)</f>
        <v>4.0000000000000009</v>
      </c>
      <c r="Y15">
        <f>MIN(a*Y$36,b*$B15)</f>
        <v>4.0000000000000009</v>
      </c>
      <c r="Z15">
        <f>MIN(a*Z$36,b*$B15)</f>
        <v>4.0000000000000009</v>
      </c>
      <c r="AA15">
        <f>MIN(a*AA$36,b*$B15)</f>
        <v>4.0000000000000009</v>
      </c>
      <c r="AB15">
        <f>MIN(a*AB$36,b*$B15)</f>
        <v>4.0000000000000009</v>
      </c>
      <c r="AC15">
        <f>MIN(a*AC$36,b*$B15)</f>
        <v>4.0000000000000009</v>
      </c>
      <c r="AD15">
        <f>MIN(a*AD$36,b*$B15)</f>
        <v>4.0000000000000009</v>
      </c>
      <c r="AE15">
        <f>MIN(a*AE$36,b*$B15)</f>
        <v>4.0000000000000009</v>
      </c>
      <c r="AF15">
        <f>MIN(a*AF$36,b*$B15)</f>
        <v>4.0000000000000009</v>
      </c>
      <c r="AG15">
        <f>MIN(a*AG$36,b*$B15)</f>
        <v>4.0000000000000009</v>
      </c>
      <c r="AH15">
        <f>MIN(a*AH$36,b*$B15)</f>
        <v>4.0000000000000009</v>
      </c>
    </row>
    <row r="16" spans="1:34" ht="17.25" customHeight="1" x14ac:dyDescent="0.25">
      <c r="B16" s="4">
        <f t="shared" si="0"/>
        <v>3.8000000000000012</v>
      </c>
      <c r="C16">
        <f>MIN(a*C$36,b*$B16)</f>
        <v>0</v>
      </c>
      <c r="D16">
        <f>MIN(a*D$36,b*$B16)</f>
        <v>0.2</v>
      </c>
      <c r="E16">
        <f>MIN(a*E$36,b*$B16)</f>
        <v>0.4</v>
      </c>
      <c r="F16">
        <f>MIN(a*F$36,b*$B16)</f>
        <v>0.60000000000000009</v>
      </c>
      <c r="G16">
        <f>MIN(a*G$36,b*$B16)</f>
        <v>0.8</v>
      </c>
      <c r="H16">
        <f>MIN(a*H$36,b*$B16)</f>
        <v>1</v>
      </c>
      <c r="I16">
        <f>MIN(a*I$36,b*$B16)</f>
        <v>1.2</v>
      </c>
      <c r="J16">
        <f>MIN(a*J$36,b*$B16)</f>
        <v>1.4</v>
      </c>
      <c r="K16">
        <f>MIN(a*K$36,b*$B16)</f>
        <v>1.5999999999999999</v>
      </c>
      <c r="L16">
        <f>MIN(a*L$36,b*$B16)</f>
        <v>1.7999999999999998</v>
      </c>
      <c r="M16">
        <f>MIN(a*M$36,b*$B16)</f>
        <v>1.9999999999999998</v>
      </c>
      <c r="N16">
        <f>MIN(a*N$36,b*$B16)</f>
        <v>2.1999999999999997</v>
      </c>
      <c r="O16">
        <f>MIN(a*O$36,b*$B16)</f>
        <v>2.4</v>
      </c>
      <c r="P16">
        <f>MIN(a*P$36,b*$B16)</f>
        <v>2.6</v>
      </c>
      <c r="Q16">
        <f>MIN(a*Q$36,b*$B16)</f>
        <v>2.8000000000000003</v>
      </c>
      <c r="R16">
        <f>MIN(a*R$36,b*$B16)</f>
        <v>3.0000000000000004</v>
      </c>
      <c r="S16">
        <f>MIN(a*S$36,b*$B16)</f>
        <v>3.2000000000000006</v>
      </c>
      <c r="T16">
        <f>MIN(a*T$36,b*$B16)</f>
        <v>3.4000000000000008</v>
      </c>
      <c r="U16">
        <f>MIN(a*U$36,b*$B16)</f>
        <v>3.600000000000001</v>
      </c>
      <c r="V16">
        <f>MIN(a*V$36,b*$B16)</f>
        <v>3.8000000000000012</v>
      </c>
      <c r="W16">
        <f>MIN(a*W$36,b*$B16)</f>
        <v>3.8000000000000012</v>
      </c>
      <c r="X16">
        <f>MIN(a*X$36,b*$B16)</f>
        <v>3.8000000000000012</v>
      </c>
      <c r="Y16">
        <f>MIN(a*Y$36,b*$B16)</f>
        <v>3.8000000000000012</v>
      </c>
      <c r="Z16">
        <f>MIN(a*Z$36,b*$B16)</f>
        <v>3.8000000000000012</v>
      </c>
      <c r="AA16">
        <f>MIN(a*AA$36,b*$B16)</f>
        <v>3.8000000000000012</v>
      </c>
      <c r="AB16">
        <f>MIN(a*AB$36,b*$B16)</f>
        <v>3.8000000000000012</v>
      </c>
      <c r="AC16">
        <f>MIN(a*AC$36,b*$B16)</f>
        <v>3.8000000000000012</v>
      </c>
      <c r="AD16">
        <f>MIN(a*AD$36,b*$B16)</f>
        <v>3.8000000000000012</v>
      </c>
      <c r="AE16">
        <f>MIN(a*AE$36,b*$B16)</f>
        <v>3.8000000000000012</v>
      </c>
      <c r="AF16">
        <f>MIN(a*AF$36,b*$B16)</f>
        <v>3.8000000000000012</v>
      </c>
      <c r="AG16">
        <f>MIN(a*AG$36,b*$B16)</f>
        <v>3.8000000000000012</v>
      </c>
      <c r="AH16">
        <f>MIN(a*AH$36,b*$B16)</f>
        <v>3.8000000000000012</v>
      </c>
    </row>
    <row r="17" spans="2:34" ht="17.25" customHeight="1" x14ac:dyDescent="0.25">
      <c r="B17" s="4">
        <f t="shared" si="0"/>
        <v>3.600000000000001</v>
      </c>
      <c r="C17">
        <f>MIN(a*C$36,b*$B17)</f>
        <v>0</v>
      </c>
      <c r="D17">
        <f>MIN(a*D$36,b*$B17)</f>
        <v>0.2</v>
      </c>
      <c r="E17">
        <f>MIN(a*E$36,b*$B17)</f>
        <v>0.4</v>
      </c>
      <c r="F17">
        <f>MIN(a*F$36,b*$B17)</f>
        <v>0.60000000000000009</v>
      </c>
      <c r="G17">
        <f>MIN(a*G$36,b*$B17)</f>
        <v>0.8</v>
      </c>
      <c r="H17">
        <f>MIN(a*H$36,b*$B17)</f>
        <v>1</v>
      </c>
      <c r="I17">
        <f>MIN(a*I$36,b*$B17)</f>
        <v>1.2</v>
      </c>
      <c r="J17">
        <f>MIN(a*J$36,b*$B17)</f>
        <v>1.4</v>
      </c>
      <c r="K17">
        <f>MIN(a*K$36,b*$B17)</f>
        <v>1.5999999999999999</v>
      </c>
      <c r="L17">
        <f>MIN(a*L$36,b*$B17)</f>
        <v>1.7999999999999998</v>
      </c>
      <c r="M17">
        <f>MIN(a*M$36,b*$B17)</f>
        <v>1.9999999999999998</v>
      </c>
      <c r="N17">
        <f>MIN(a*N$36,b*$B17)</f>
        <v>2.1999999999999997</v>
      </c>
      <c r="O17">
        <f>MIN(a*O$36,b*$B17)</f>
        <v>2.4</v>
      </c>
      <c r="P17">
        <f>MIN(a*P$36,b*$B17)</f>
        <v>2.6</v>
      </c>
      <c r="Q17">
        <f>MIN(a*Q$36,b*$B17)</f>
        <v>2.8000000000000003</v>
      </c>
      <c r="R17">
        <f>MIN(a*R$36,b*$B17)</f>
        <v>3.0000000000000004</v>
      </c>
      <c r="S17">
        <f>MIN(a*S$36,b*$B17)</f>
        <v>3.2000000000000006</v>
      </c>
      <c r="T17">
        <f>MIN(a*T$36,b*$B17)</f>
        <v>3.4000000000000008</v>
      </c>
      <c r="U17">
        <f>MIN(a*U$36,b*$B17)</f>
        <v>3.600000000000001</v>
      </c>
      <c r="V17">
        <f>MIN(a*V$36,b*$B17)</f>
        <v>3.600000000000001</v>
      </c>
      <c r="W17">
        <f>MIN(a*W$36,b*$B17)</f>
        <v>3.600000000000001</v>
      </c>
      <c r="X17">
        <f>MIN(a*X$36,b*$B17)</f>
        <v>3.600000000000001</v>
      </c>
      <c r="Y17">
        <f>MIN(a*Y$36,b*$B17)</f>
        <v>3.600000000000001</v>
      </c>
      <c r="Z17">
        <f>MIN(a*Z$36,b*$B17)</f>
        <v>3.600000000000001</v>
      </c>
      <c r="AA17">
        <f>MIN(a*AA$36,b*$B17)</f>
        <v>3.600000000000001</v>
      </c>
      <c r="AB17">
        <f>MIN(a*AB$36,b*$B17)</f>
        <v>3.600000000000001</v>
      </c>
      <c r="AC17">
        <f>MIN(a*AC$36,b*$B17)</f>
        <v>3.600000000000001</v>
      </c>
      <c r="AD17">
        <f>MIN(a*AD$36,b*$B17)</f>
        <v>3.600000000000001</v>
      </c>
      <c r="AE17">
        <f>MIN(a*AE$36,b*$B17)</f>
        <v>3.600000000000001</v>
      </c>
      <c r="AF17">
        <f>MIN(a*AF$36,b*$B17)</f>
        <v>3.600000000000001</v>
      </c>
      <c r="AG17">
        <f>MIN(a*AG$36,b*$B17)</f>
        <v>3.600000000000001</v>
      </c>
      <c r="AH17">
        <f>MIN(a*AH$36,b*$B17)</f>
        <v>3.600000000000001</v>
      </c>
    </row>
    <row r="18" spans="2:34" ht="17.25" customHeight="1" x14ac:dyDescent="0.25">
      <c r="B18" s="4">
        <f t="shared" si="0"/>
        <v>3.4000000000000008</v>
      </c>
      <c r="C18">
        <f>MIN(a*C$36,b*$B18)</f>
        <v>0</v>
      </c>
      <c r="D18">
        <f>MIN(a*D$36,b*$B18)</f>
        <v>0.2</v>
      </c>
      <c r="E18">
        <f>MIN(a*E$36,b*$B18)</f>
        <v>0.4</v>
      </c>
      <c r="F18">
        <f>MIN(a*F$36,b*$B18)</f>
        <v>0.60000000000000009</v>
      </c>
      <c r="G18">
        <f>MIN(a*G$36,b*$B18)</f>
        <v>0.8</v>
      </c>
      <c r="H18">
        <f>MIN(a*H$36,b*$B18)</f>
        <v>1</v>
      </c>
      <c r="I18">
        <f>MIN(a*I$36,b*$B18)</f>
        <v>1.2</v>
      </c>
      <c r="J18">
        <f>MIN(a*J$36,b*$B18)</f>
        <v>1.4</v>
      </c>
      <c r="K18">
        <f>MIN(a*K$36,b*$B18)</f>
        <v>1.5999999999999999</v>
      </c>
      <c r="L18">
        <f>MIN(a*L$36,b*$B18)</f>
        <v>1.7999999999999998</v>
      </c>
      <c r="M18">
        <f>MIN(a*M$36,b*$B18)</f>
        <v>1.9999999999999998</v>
      </c>
      <c r="N18">
        <f>MIN(a*N$36,b*$B18)</f>
        <v>2.1999999999999997</v>
      </c>
      <c r="O18">
        <f>MIN(a*O$36,b*$B18)</f>
        <v>2.4</v>
      </c>
      <c r="P18">
        <f>MIN(a*P$36,b*$B18)</f>
        <v>2.6</v>
      </c>
      <c r="Q18">
        <f>MIN(a*Q$36,b*$B18)</f>
        <v>2.8000000000000003</v>
      </c>
      <c r="R18">
        <f>MIN(a*R$36,b*$B18)</f>
        <v>3.0000000000000004</v>
      </c>
      <c r="S18">
        <f>MIN(a*S$36,b*$B18)</f>
        <v>3.2000000000000006</v>
      </c>
      <c r="T18">
        <f>MIN(a*T$36,b*$B18)</f>
        <v>3.4000000000000008</v>
      </c>
      <c r="U18">
        <f>MIN(a*U$36,b*$B18)</f>
        <v>3.4000000000000008</v>
      </c>
      <c r="V18">
        <f>MIN(a*V$36,b*$B18)</f>
        <v>3.4000000000000008</v>
      </c>
      <c r="W18">
        <f>MIN(a*W$36,b*$B18)</f>
        <v>3.4000000000000008</v>
      </c>
      <c r="X18">
        <f>MIN(a*X$36,b*$B18)</f>
        <v>3.4000000000000008</v>
      </c>
      <c r="Y18">
        <f>MIN(a*Y$36,b*$B18)</f>
        <v>3.4000000000000008</v>
      </c>
      <c r="Z18">
        <f>MIN(a*Z$36,b*$B18)</f>
        <v>3.4000000000000008</v>
      </c>
      <c r="AA18">
        <f>MIN(a*AA$36,b*$B18)</f>
        <v>3.4000000000000008</v>
      </c>
      <c r="AB18">
        <f>MIN(a*AB$36,b*$B18)</f>
        <v>3.4000000000000008</v>
      </c>
      <c r="AC18">
        <f>MIN(a*AC$36,b*$B18)</f>
        <v>3.4000000000000008</v>
      </c>
      <c r="AD18">
        <f>MIN(a*AD$36,b*$B18)</f>
        <v>3.4000000000000008</v>
      </c>
      <c r="AE18">
        <f>MIN(a*AE$36,b*$B18)</f>
        <v>3.4000000000000008</v>
      </c>
      <c r="AF18">
        <f>MIN(a*AF$36,b*$B18)</f>
        <v>3.4000000000000008</v>
      </c>
      <c r="AG18">
        <f>MIN(a*AG$36,b*$B18)</f>
        <v>3.4000000000000008</v>
      </c>
      <c r="AH18">
        <f>MIN(a*AH$36,b*$B18)</f>
        <v>3.4000000000000008</v>
      </c>
    </row>
    <row r="19" spans="2:34" ht="17.25" customHeight="1" x14ac:dyDescent="0.25">
      <c r="B19" s="4">
        <f t="shared" si="0"/>
        <v>3.2000000000000006</v>
      </c>
      <c r="C19">
        <f>MIN(a*C$36,b*$B19)</f>
        <v>0</v>
      </c>
      <c r="D19">
        <f>MIN(a*D$36,b*$B19)</f>
        <v>0.2</v>
      </c>
      <c r="E19">
        <f>MIN(a*E$36,b*$B19)</f>
        <v>0.4</v>
      </c>
      <c r="F19">
        <f>MIN(a*F$36,b*$B19)</f>
        <v>0.60000000000000009</v>
      </c>
      <c r="G19">
        <f>MIN(a*G$36,b*$B19)</f>
        <v>0.8</v>
      </c>
      <c r="H19">
        <f>MIN(a*H$36,b*$B19)</f>
        <v>1</v>
      </c>
      <c r="I19">
        <f>MIN(a*I$36,b*$B19)</f>
        <v>1.2</v>
      </c>
      <c r="J19">
        <f>MIN(a*J$36,b*$B19)</f>
        <v>1.4</v>
      </c>
      <c r="K19">
        <f>MIN(a*K$36,b*$B19)</f>
        <v>1.5999999999999999</v>
      </c>
      <c r="L19">
        <f>MIN(a*L$36,b*$B19)</f>
        <v>1.7999999999999998</v>
      </c>
      <c r="M19">
        <f>MIN(a*M$36,b*$B19)</f>
        <v>1.9999999999999998</v>
      </c>
      <c r="N19">
        <f>MIN(a*N$36,b*$B19)</f>
        <v>2.1999999999999997</v>
      </c>
      <c r="O19">
        <f>MIN(a*O$36,b*$B19)</f>
        <v>2.4</v>
      </c>
      <c r="P19">
        <f>MIN(a*P$36,b*$B19)</f>
        <v>2.6</v>
      </c>
      <c r="Q19">
        <f>MIN(a*Q$36,b*$B19)</f>
        <v>2.8000000000000003</v>
      </c>
      <c r="R19">
        <f>MIN(a*R$36,b*$B19)</f>
        <v>3.0000000000000004</v>
      </c>
      <c r="S19">
        <f>MIN(a*S$36,b*$B19)</f>
        <v>3.2000000000000006</v>
      </c>
      <c r="T19">
        <f>MIN(a*T$36,b*$B19)</f>
        <v>3.2000000000000006</v>
      </c>
      <c r="U19">
        <f>MIN(a*U$36,b*$B19)</f>
        <v>3.2000000000000006</v>
      </c>
      <c r="V19">
        <f>MIN(a*V$36,b*$B19)</f>
        <v>3.2000000000000006</v>
      </c>
      <c r="W19">
        <f>MIN(a*W$36,b*$B19)</f>
        <v>3.2000000000000006</v>
      </c>
      <c r="X19">
        <f>MIN(a*X$36,b*$B19)</f>
        <v>3.2000000000000006</v>
      </c>
      <c r="Y19">
        <f>MIN(a*Y$36,b*$B19)</f>
        <v>3.2000000000000006</v>
      </c>
      <c r="Z19">
        <f>MIN(a*Z$36,b*$B19)</f>
        <v>3.2000000000000006</v>
      </c>
      <c r="AA19">
        <f>MIN(a*AA$36,b*$B19)</f>
        <v>3.2000000000000006</v>
      </c>
      <c r="AB19">
        <f>MIN(a*AB$36,b*$B19)</f>
        <v>3.2000000000000006</v>
      </c>
      <c r="AC19">
        <f>MIN(a*AC$36,b*$B19)</f>
        <v>3.2000000000000006</v>
      </c>
      <c r="AD19">
        <f>MIN(a*AD$36,b*$B19)</f>
        <v>3.2000000000000006</v>
      </c>
      <c r="AE19">
        <f>MIN(a*AE$36,b*$B19)</f>
        <v>3.2000000000000006</v>
      </c>
      <c r="AF19">
        <f>MIN(a*AF$36,b*$B19)</f>
        <v>3.2000000000000006</v>
      </c>
      <c r="AG19">
        <f>MIN(a*AG$36,b*$B19)</f>
        <v>3.2000000000000006</v>
      </c>
      <c r="AH19">
        <f>MIN(a*AH$36,b*$B19)</f>
        <v>3.2000000000000006</v>
      </c>
    </row>
    <row r="20" spans="2:34" ht="17.25" customHeight="1" x14ac:dyDescent="0.25">
      <c r="B20" s="4">
        <f t="shared" si="0"/>
        <v>3.0000000000000004</v>
      </c>
      <c r="C20">
        <f>MIN(a*C$36,b*$B20)</f>
        <v>0</v>
      </c>
      <c r="D20">
        <f>MIN(a*D$36,b*$B20)</f>
        <v>0.2</v>
      </c>
      <c r="E20">
        <f>MIN(a*E$36,b*$B20)</f>
        <v>0.4</v>
      </c>
      <c r="F20">
        <f>MIN(a*F$36,b*$B20)</f>
        <v>0.60000000000000009</v>
      </c>
      <c r="G20">
        <f>MIN(a*G$36,b*$B20)</f>
        <v>0.8</v>
      </c>
      <c r="H20">
        <f>MIN(a*H$36,b*$B20)</f>
        <v>1</v>
      </c>
      <c r="I20">
        <f>MIN(a*I$36,b*$B20)</f>
        <v>1.2</v>
      </c>
      <c r="J20">
        <f>MIN(a*J$36,b*$B20)</f>
        <v>1.4</v>
      </c>
      <c r="K20">
        <f>MIN(a*K$36,b*$B20)</f>
        <v>1.5999999999999999</v>
      </c>
      <c r="L20">
        <f>MIN(a*L$36,b*$B20)</f>
        <v>1.7999999999999998</v>
      </c>
      <c r="M20">
        <f>MIN(a*M$36,b*$B20)</f>
        <v>1.9999999999999998</v>
      </c>
      <c r="N20">
        <f>MIN(a*N$36,b*$B20)</f>
        <v>2.1999999999999997</v>
      </c>
      <c r="O20">
        <f>MIN(a*O$36,b*$B20)</f>
        <v>2.4</v>
      </c>
      <c r="P20">
        <f>MIN(a*P$36,b*$B20)</f>
        <v>2.6</v>
      </c>
      <c r="Q20">
        <f>MIN(a*Q$36,b*$B20)</f>
        <v>2.8000000000000003</v>
      </c>
      <c r="R20">
        <f>MIN(a*R$36,b*$B20)</f>
        <v>3.0000000000000004</v>
      </c>
      <c r="S20">
        <f>MIN(a*S$36,b*$B20)</f>
        <v>3.0000000000000004</v>
      </c>
      <c r="T20">
        <f>MIN(a*T$36,b*$B20)</f>
        <v>3.0000000000000004</v>
      </c>
      <c r="U20">
        <f>MIN(a*U$36,b*$B20)</f>
        <v>3.0000000000000004</v>
      </c>
      <c r="V20">
        <f>MIN(a*V$36,b*$B20)</f>
        <v>3.0000000000000004</v>
      </c>
      <c r="W20">
        <f>MIN(a*W$36,b*$B20)</f>
        <v>3.0000000000000004</v>
      </c>
      <c r="X20">
        <f>MIN(a*X$36,b*$B20)</f>
        <v>3.0000000000000004</v>
      </c>
      <c r="Y20">
        <f>MIN(a*Y$36,b*$B20)</f>
        <v>3.0000000000000004</v>
      </c>
      <c r="Z20">
        <f>MIN(a*Z$36,b*$B20)</f>
        <v>3.0000000000000004</v>
      </c>
      <c r="AA20">
        <f>MIN(a*AA$36,b*$B20)</f>
        <v>3.0000000000000004</v>
      </c>
      <c r="AB20">
        <f>MIN(a*AB$36,b*$B20)</f>
        <v>3.0000000000000004</v>
      </c>
      <c r="AC20">
        <f>MIN(a*AC$36,b*$B20)</f>
        <v>3.0000000000000004</v>
      </c>
      <c r="AD20">
        <f>MIN(a*AD$36,b*$B20)</f>
        <v>3.0000000000000004</v>
      </c>
      <c r="AE20">
        <f>MIN(a*AE$36,b*$B20)</f>
        <v>3.0000000000000004</v>
      </c>
      <c r="AF20">
        <f>MIN(a*AF$36,b*$B20)</f>
        <v>3.0000000000000004</v>
      </c>
      <c r="AG20">
        <f>MIN(a*AG$36,b*$B20)</f>
        <v>3.0000000000000004</v>
      </c>
      <c r="AH20">
        <f>MIN(a*AH$36,b*$B20)</f>
        <v>3.0000000000000004</v>
      </c>
    </row>
    <row r="21" spans="2:34" ht="17.25" customHeight="1" x14ac:dyDescent="0.25">
      <c r="B21" s="4">
        <f t="shared" si="0"/>
        <v>2.8000000000000003</v>
      </c>
      <c r="C21">
        <f>MIN(a*C$36,b*$B21)</f>
        <v>0</v>
      </c>
      <c r="D21">
        <f>MIN(a*D$36,b*$B21)</f>
        <v>0.2</v>
      </c>
      <c r="E21">
        <f>MIN(a*E$36,b*$B21)</f>
        <v>0.4</v>
      </c>
      <c r="F21">
        <f>MIN(a*F$36,b*$B21)</f>
        <v>0.60000000000000009</v>
      </c>
      <c r="G21">
        <f>MIN(a*G$36,b*$B21)</f>
        <v>0.8</v>
      </c>
      <c r="H21">
        <f>MIN(a*H$36,b*$B21)</f>
        <v>1</v>
      </c>
      <c r="I21">
        <f>MIN(a*I$36,b*$B21)</f>
        <v>1.2</v>
      </c>
      <c r="J21">
        <f>MIN(a*J$36,b*$B21)</f>
        <v>1.4</v>
      </c>
      <c r="K21">
        <f>MIN(a*K$36,b*$B21)</f>
        <v>1.5999999999999999</v>
      </c>
      <c r="L21">
        <f>MIN(a*L$36,b*$B21)</f>
        <v>1.7999999999999998</v>
      </c>
      <c r="M21">
        <f>MIN(a*M$36,b*$B21)</f>
        <v>1.9999999999999998</v>
      </c>
      <c r="N21">
        <f>MIN(a*N$36,b*$B21)</f>
        <v>2.1999999999999997</v>
      </c>
      <c r="O21">
        <f>MIN(a*O$36,b*$B21)</f>
        <v>2.4</v>
      </c>
      <c r="P21">
        <f>MIN(a*P$36,b*$B21)</f>
        <v>2.6</v>
      </c>
      <c r="Q21">
        <f>MIN(a*Q$36,b*$B21)</f>
        <v>2.8000000000000003</v>
      </c>
      <c r="R21">
        <f>MIN(a*R$36,b*$B21)</f>
        <v>2.8000000000000003</v>
      </c>
      <c r="S21">
        <f>MIN(a*S$36,b*$B21)</f>
        <v>2.8000000000000003</v>
      </c>
      <c r="T21">
        <f>MIN(a*T$36,b*$B21)</f>
        <v>2.8000000000000003</v>
      </c>
      <c r="U21">
        <f>MIN(a*U$36,b*$B21)</f>
        <v>2.8000000000000003</v>
      </c>
      <c r="V21">
        <f>MIN(a*V$36,b*$B21)</f>
        <v>2.8000000000000003</v>
      </c>
      <c r="W21">
        <f>MIN(a*W$36,b*$B21)</f>
        <v>2.8000000000000003</v>
      </c>
      <c r="X21">
        <f>MIN(a*X$36,b*$B21)</f>
        <v>2.8000000000000003</v>
      </c>
      <c r="Y21">
        <f>MIN(a*Y$36,b*$B21)</f>
        <v>2.8000000000000003</v>
      </c>
      <c r="Z21">
        <f>MIN(a*Z$36,b*$B21)</f>
        <v>2.8000000000000003</v>
      </c>
      <c r="AA21">
        <f>MIN(a*AA$36,b*$B21)</f>
        <v>2.8000000000000003</v>
      </c>
      <c r="AB21">
        <f>MIN(a*AB$36,b*$B21)</f>
        <v>2.8000000000000003</v>
      </c>
      <c r="AC21">
        <f>MIN(a*AC$36,b*$B21)</f>
        <v>2.8000000000000003</v>
      </c>
      <c r="AD21">
        <f>MIN(a*AD$36,b*$B21)</f>
        <v>2.8000000000000003</v>
      </c>
      <c r="AE21">
        <f>MIN(a*AE$36,b*$B21)</f>
        <v>2.8000000000000003</v>
      </c>
      <c r="AF21">
        <f>MIN(a*AF$36,b*$B21)</f>
        <v>2.8000000000000003</v>
      </c>
      <c r="AG21">
        <f>MIN(a*AG$36,b*$B21)</f>
        <v>2.8000000000000003</v>
      </c>
      <c r="AH21">
        <f>MIN(a*AH$36,b*$B21)</f>
        <v>2.8000000000000003</v>
      </c>
    </row>
    <row r="22" spans="2:34" ht="17.25" customHeight="1" x14ac:dyDescent="0.25">
      <c r="B22" s="4">
        <f t="shared" si="0"/>
        <v>2.6</v>
      </c>
      <c r="C22">
        <f>MIN(a*C$36,b*$B22)</f>
        <v>0</v>
      </c>
      <c r="D22">
        <f>MIN(a*D$36,b*$B22)</f>
        <v>0.2</v>
      </c>
      <c r="E22">
        <f>MIN(a*E$36,b*$B22)</f>
        <v>0.4</v>
      </c>
      <c r="F22">
        <f>MIN(a*F$36,b*$B22)</f>
        <v>0.60000000000000009</v>
      </c>
      <c r="G22">
        <f>MIN(a*G$36,b*$B22)</f>
        <v>0.8</v>
      </c>
      <c r="H22">
        <f>MIN(a*H$36,b*$B22)</f>
        <v>1</v>
      </c>
      <c r="I22">
        <f>MIN(a*I$36,b*$B22)</f>
        <v>1.2</v>
      </c>
      <c r="J22">
        <f>MIN(a*J$36,b*$B22)</f>
        <v>1.4</v>
      </c>
      <c r="K22">
        <f>MIN(a*K$36,b*$B22)</f>
        <v>1.5999999999999999</v>
      </c>
      <c r="L22">
        <f>MIN(a*L$36,b*$B22)</f>
        <v>1.7999999999999998</v>
      </c>
      <c r="M22">
        <f>MIN(a*M$36,b*$B22)</f>
        <v>1.9999999999999998</v>
      </c>
      <c r="N22">
        <f>MIN(a*N$36,b*$B22)</f>
        <v>2.1999999999999997</v>
      </c>
      <c r="O22">
        <f>MIN(a*O$36,b*$B22)</f>
        <v>2.4</v>
      </c>
      <c r="P22">
        <f>MIN(a*P$36,b*$B22)</f>
        <v>2.6</v>
      </c>
      <c r="Q22">
        <f>MIN(a*Q$36,b*$B22)</f>
        <v>2.6</v>
      </c>
      <c r="R22">
        <f>MIN(a*R$36,b*$B22)</f>
        <v>2.6</v>
      </c>
      <c r="S22">
        <f>MIN(a*S$36,b*$B22)</f>
        <v>2.6</v>
      </c>
      <c r="T22">
        <f>MIN(a*T$36,b*$B22)</f>
        <v>2.6</v>
      </c>
      <c r="U22">
        <f>MIN(a*U$36,b*$B22)</f>
        <v>2.6</v>
      </c>
      <c r="V22">
        <f>MIN(a*V$36,b*$B22)</f>
        <v>2.6</v>
      </c>
      <c r="W22">
        <f>MIN(a*W$36,b*$B22)</f>
        <v>2.6</v>
      </c>
      <c r="X22">
        <f>MIN(a*X$36,b*$B22)</f>
        <v>2.6</v>
      </c>
      <c r="Y22">
        <f>MIN(a*Y$36,b*$B22)</f>
        <v>2.6</v>
      </c>
      <c r="Z22">
        <f>MIN(a*Z$36,b*$B22)</f>
        <v>2.6</v>
      </c>
      <c r="AA22">
        <f>MIN(a*AA$36,b*$B22)</f>
        <v>2.6</v>
      </c>
      <c r="AB22">
        <f>MIN(a*AB$36,b*$B22)</f>
        <v>2.6</v>
      </c>
      <c r="AC22">
        <f>MIN(a*AC$36,b*$B22)</f>
        <v>2.6</v>
      </c>
      <c r="AD22">
        <f>MIN(a*AD$36,b*$B22)</f>
        <v>2.6</v>
      </c>
      <c r="AE22">
        <f>MIN(a*AE$36,b*$B22)</f>
        <v>2.6</v>
      </c>
      <c r="AF22">
        <f>MIN(a*AF$36,b*$B22)</f>
        <v>2.6</v>
      </c>
      <c r="AG22">
        <f>MIN(a*AG$36,b*$B22)</f>
        <v>2.6</v>
      </c>
      <c r="AH22">
        <f>MIN(a*AH$36,b*$B22)</f>
        <v>2.6</v>
      </c>
    </row>
    <row r="23" spans="2:34" ht="17.25" customHeight="1" x14ac:dyDescent="0.25">
      <c r="B23" s="4">
        <f t="shared" si="0"/>
        <v>2.4</v>
      </c>
      <c r="C23">
        <f>MIN(a*C$36,b*$B23)</f>
        <v>0</v>
      </c>
      <c r="D23">
        <f>MIN(a*D$36,b*$B23)</f>
        <v>0.2</v>
      </c>
      <c r="E23">
        <f>MIN(a*E$36,b*$B23)</f>
        <v>0.4</v>
      </c>
      <c r="F23">
        <f>MIN(a*F$36,b*$B23)</f>
        <v>0.60000000000000009</v>
      </c>
      <c r="G23">
        <f>MIN(a*G$36,b*$B23)</f>
        <v>0.8</v>
      </c>
      <c r="H23">
        <f>MIN(a*H$36,b*$B23)</f>
        <v>1</v>
      </c>
      <c r="I23">
        <f>MIN(a*I$36,b*$B23)</f>
        <v>1.2</v>
      </c>
      <c r="J23">
        <f>MIN(a*J$36,b*$B23)</f>
        <v>1.4</v>
      </c>
      <c r="K23">
        <f>MIN(a*K$36,b*$B23)</f>
        <v>1.5999999999999999</v>
      </c>
      <c r="L23">
        <f>MIN(a*L$36,b*$B23)</f>
        <v>1.7999999999999998</v>
      </c>
      <c r="M23">
        <f>MIN(a*M$36,b*$B23)</f>
        <v>1.9999999999999998</v>
      </c>
      <c r="N23">
        <f>MIN(a*N$36,b*$B23)</f>
        <v>2.1999999999999997</v>
      </c>
      <c r="O23">
        <f>MIN(a*O$36,b*$B23)</f>
        <v>2.4</v>
      </c>
      <c r="P23">
        <f>MIN(a*P$36,b*$B23)</f>
        <v>2.4</v>
      </c>
      <c r="Q23">
        <f>MIN(a*Q$36,b*$B23)</f>
        <v>2.4</v>
      </c>
      <c r="R23">
        <f>MIN(a*R$36,b*$B23)</f>
        <v>2.4</v>
      </c>
      <c r="S23">
        <f>MIN(a*S$36,b*$B23)</f>
        <v>2.4</v>
      </c>
      <c r="T23">
        <f>MIN(a*T$36,b*$B23)</f>
        <v>2.4</v>
      </c>
      <c r="U23">
        <f>MIN(a*U$36,b*$B23)</f>
        <v>2.4</v>
      </c>
      <c r="V23">
        <f>MIN(a*V$36,b*$B23)</f>
        <v>2.4</v>
      </c>
      <c r="W23">
        <f>MIN(a*W$36,b*$B23)</f>
        <v>2.4</v>
      </c>
      <c r="X23">
        <f>MIN(a*X$36,b*$B23)</f>
        <v>2.4</v>
      </c>
      <c r="Y23">
        <f>MIN(a*Y$36,b*$B23)</f>
        <v>2.4</v>
      </c>
      <c r="Z23">
        <f>MIN(a*Z$36,b*$B23)</f>
        <v>2.4</v>
      </c>
      <c r="AA23">
        <f>MIN(a*AA$36,b*$B23)</f>
        <v>2.4</v>
      </c>
      <c r="AB23">
        <f>MIN(a*AB$36,b*$B23)</f>
        <v>2.4</v>
      </c>
      <c r="AC23">
        <f>MIN(a*AC$36,b*$B23)</f>
        <v>2.4</v>
      </c>
      <c r="AD23">
        <f>MIN(a*AD$36,b*$B23)</f>
        <v>2.4</v>
      </c>
      <c r="AE23">
        <f>MIN(a*AE$36,b*$B23)</f>
        <v>2.4</v>
      </c>
      <c r="AF23">
        <f>MIN(a*AF$36,b*$B23)</f>
        <v>2.4</v>
      </c>
      <c r="AG23">
        <f>MIN(a*AG$36,b*$B23)</f>
        <v>2.4</v>
      </c>
      <c r="AH23">
        <f>MIN(a*AH$36,b*$B23)</f>
        <v>2.4</v>
      </c>
    </row>
    <row r="24" spans="2:34" ht="17.25" customHeight="1" x14ac:dyDescent="0.25">
      <c r="B24" s="4">
        <f t="shared" si="0"/>
        <v>2.1999999999999997</v>
      </c>
      <c r="C24">
        <f>MIN(a*C$36,b*$B24)</f>
        <v>0</v>
      </c>
      <c r="D24">
        <f>MIN(a*D$36,b*$B24)</f>
        <v>0.2</v>
      </c>
      <c r="E24">
        <f>MIN(a*E$36,b*$B24)</f>
        <v>0.4</v>
      </c>
      <c r="F24">
        <f>MIN(a*F$36,b*$B24)</f>
        <v>0.60000000000000009</v>
      </c>
      <c r="G24">
        <f>MIN(a*G$36,b*$B24)</f>
        <v>0.8</v>
      </c>
      <c r="H24">
        <f>MIN(a*H$36,b*$B24)</f>
        <v>1</v>
      </c>
      <c r="I24">
        <f>MIN(a*I$36,b*$B24)</f>
        <v>1.2</v>
      </c>
      <c r="J24">
        <f>MIN(a*J$36,b*$B24)</f>
        <v>1.4</v>
      </c>
      <c r="K24">
        <f>MIN(a*K$36,b*$B24)</f>
        <v>1.5999999999999999</v>
      </c>
      <c r="L24">
        <f>MIN(a*L$36,b*$B24)</f>
        <v>1.7999999999999998</v>
      </c>
      <c r="M24">
        <f>MIN(a*M$36,b*$B24)</f>
        <v>1.9999999999999998</v>
      </c>
      <c r="N24">
        <f>MIN(a*N$36,b*$B24)</f>
        <v>2.1999999999999997</v>
      </c>
      <c r="O24">
        <f>MIN(a*O$36,b*$B24)</f>
        <v>2.1999999999999997</v>
      </c>
      <c r="P24">
        <f>MIN(a*P$36,b*$B24)</f>
        <v>2.1999999999999997</v>
      </c>
      <c r="Q24">
        <f>MIN(a*Q$36,b*$B24)</f>
        <v>2.1999999999999997</v>
      </c>
      <c r="R24">
        <f>MIN(a*R$36,b*$B24)</f>
        <v>2.1999999999999997</v>
      </c>
      <c r="S24">
        <f>MIN(a*S$36,b*$B24)</f>
        <v>2.1999999999999997</v>
      </c>
      <c r="T24">
        <f>MIN(a*T$36,b*$B24)</f>
        <v>2.1999999999999997</v>
      </c>
      <c r="U24">
        <f>MIN(a*U$36,b*$B24)</f>
        <v>2.1999999999999997</v>
      </c>
      <c r="V24">
        <f>MIN(a*V$36,b*$B24)</f>
        <v>2.1999999999999997</v>
      </c>
      <c r="W24">
        <f>MIN(a*W$36,b*$B24)</f>
        <v>2.1999999999999997</v>
      </c>
      <c r="X24">
        <f>MIN(a*X$36,b*$B24)</f>
        <v>2.1999999999999997</v>
      </c>
      <c r="Y24">
        <f>MIN(a*Y$36,b*$B24)</f>
        <v>2.1999999999999997</v>
      </c>
      <c r="Z24">
        <f>MIN(a*Z$36,b*$B24)</f>
        <v>2.1999999999999997</v>
      </c>
      <c r="AA24">
        <f>MIN(a*AA$36,b*$B24)</f>
        <v>2.1999999999999997</v>
      </c>
      <c r="AB24">
        <f>MIN(a*AB$36,b*$B24)</f>
        <v>2.1999999999999997</v>
      </c>
      <c r="AC24">
        <f>MIN(a*AC$36,b*$B24)</f>
        <v>2.1999999999999997</v>
      </c>
      <c r="AD24">
        <f>MIN(a*AD$36,b*$B24)</f>
        <v>2.1999999999999997</v>
      </c>
      <c r="AE24">
        <f>MIN(a*AE$36,b*$B24)</f>
        <v>2.1999999999999997</v>
      </c>
      <c r="AF24">
        <f>MIN(a*AF$36,b*$B24)</f>
        <v>2.1999999999999997</v>
      </c>
      <c r="AG24">
        <f>MIN(a*AG$36,b*$B24)</f>
        <v>2.1999999999999997</v>
      </c>
      <c r="AH24">
        <f>MIN(a*AH$36,b*$B24)</f>
        <v>2.1999999999999997</v>
      </c>
    </row>
    <row r="25" spans="2:34" ht="17.25" customHeight="1" x14ac:dyDescent="0.25">
      <c r="B25" s="4">
        <f t="shared" si="0"/>
        <v>1.9999999999999998</v>
      </c>
      <c r="C25">
        <f>MIN(a*C$36,b*$B25)</f>
        <v>0</v>
      </c>
      <c r="D25">
        <f>MIN(a*D$36,b*$B25)</f>
        <v>0.2</v>
      </c>
      <c r="E25">
        <f>MIN(a*E$36,b*$B25)</f>
        <v>0.4</v>
      </c>
      <c r="F25">
        <f>MIN(a*F$36,b*$B25)</f>
        <v>0.60000000000000009</v>
      </c>
      <c r="G25">
        <f>MIN(a*G$36,b*$B25)</f>
        <v>0.8</v>
      </c>
      <c r="H25">
        <f>MIN(a*H$36,b*$B25)</f>
        <v>1</v>
      </c>
      <c r="I25">
        <f>MIN(a*I$36,b*$B25)</f>
        <v>1.2</v>
      </c>
      <c r="J25">
        <f>MIN(a*J$36,b*$B25)</f>
        <v>1.4</v>
      </c>
      <c r="K25">
        <f>MIN(a*K$36,b*$B25)</f>
        <v>1.5999999999999999</v>
      </c>
      <c r="L25">
        <f>MIN(a*L$36,b*$B25)</f>
        <v>1.7999999999999998</v>
      </c>
      <c r="M25">
        <f>MIN(a*M$36,b*$B25)</f>
        <v>1.9999999999999998</v>
      </c>
      <c r="N25">
        <f>MIN(a*N$36,b*$B25)</f>
        <v>1.9999999999999998</v>
      </c>
      <c r="O25">
        <f>MIN(a*O$36,b*$B25)</f>
        <v>1.9999999999999998</v>
      </c>
      <c r="P25">
        <f>MIN(a*P$36,b*$B25)</f>
        <v>1.9999999999999998</v>
      </c>
      <c r="Q25">
        <f>MIN(a*Q$36,b*$B25)</f>
        <v>1.9999999999999998</v>
      </c>
      <c r="R25">
        <f>MIN(a*R$36,b*$B25)</f>
        <v>1.9999999999999998</v>
      </c>
      <c r="S25">
        <f>MIN(a*S$36,b*$B25)</f>
        <v>1.9999999999999998</v>
      </c>
      <c r="T25">
        <f>MIN(a*T$36,b*$B25)</f>
        <v>1.9999999999999998</v>
      </c>
      <c r="U25">
        <f>MIN(a*U$36,b*$B25)</f>
        <v>1.9999999999999998</v>
      </c>
      <c r="V25">
        <f>MIN(a*V$36,b*$B25)</f>
        <v>1.9999999999999998</v>
      </c>
      <c r="W25">
        <f>MIN(a*W$36,b*$B25)</f>
        <v>1.9999999999999998</v>
      </c>
      <c r="X25">
        <f>MIN(a*X$36,b*$B25)</f>
        <v>1.9999999999999998</v>
      </c>
      <c r="Y25">
        <f>MIN(a*Y$36,b*$B25)</f>
        <v>1.9999999999999998</v>
      </c>
      <c r="Z25">
        <f>MIN(a*Z$36,b*$B25)</f>
        <v>1.9999999999999998</v>
      </c>
      <c r="AA25">
        <f>MIN(a*AA$36,b*$B25)</f>
        <v>1.9999999999999998</v>
      </c>
      <c r="AB25">
        <f>MIN(a*AB$36,b*$B25)</f>
        <v>1.9999999999999998</v>
      </c>
      <c r="AC25">
        <f>MIN(a*AC$36,b*$B25)</f>
        <v>1.9999999999999998</v>
      </c>
      <c r="AD25">
        <f>MIN(a*AD$36,b*$B25)</f>
        <v>1.9999999999999998</v>
      </c>
      <c r="AE25">
        <f>MIN(a*AE$36,b*$B25)</f>
        <v>1.9999999999999998</v>
      </c>
      <c r="AF25">
        <f>MIN(a*AF$36,b*$B25)</f>
        <v>1.9999999999999998</v>
      </c>
      <c r="AG25">
        <f>MIN(a*AG$36,b*$B25)</f>
        <v>1.9999999999999998</v>
      </c>
      <c r="AH25">
        <f>MIN(a*AH$36,b*$B25)</f>
        <v>1.9999999999999998</v>
      </c>
    </row>
    <row r="26" spans="2:34" ht="17.25" customHeight="1" x14ac:dyDescent="0.25">
      <c r="B26" s="4">
        <f t="shared" si="0"/>
        <v>1.7999999999999998</v>
      </c>
      <c r="C26">
        <f>MIN(a*C$36,b*$B26)</f>
        <v>0</v>
      </c>
      <c r="D26">
        <f>MIN(a*D$36,b*$B26)</f>
        <v>0.2</v>
      </c>
      <c r="E26">
        <f>MIN(a*E$36,b*$B26)</f>
        <v>0.4</v>
      </c>
      <c r="F26">
        <f>MIN(a*F$36,b*$B26)</f>
        <v>0.60000000000000009</v>
      </c>
      <c r="G26">
        <f>MIN(a*G$36,b*$B26)</f>
        <v>0.8</v>
      </c>
      <c r="H26">
        <f>MIN(a*H$36,b*$B26)</f>
        <v>1</v>
      </c>
      <c r="I26">
        <f>MIN(a*I$36,b*$B26)</f>
        <v>1.2</v>
      </c>
      <c r="J26">
        <f>MIN(a*J$36,b*$B26)</f>
        <v>1.4</v>
      </c>
      <c r="K26">
        <f>MIN(a*K$36,b*$B26)</f>
        <v>1.5999999999999999</v>
      </c>
      <c r="L26">
        <f>MIN(a*L$36,b*$B26)</f>
        <v>1.7999999999999998</v>
      </c>
      <c r="M26">
        <f>MIN(a*M$36,b*$B26)</f>
        <v>1.7999999999999998</v>
      </c>
      <c r="N26">
        <f>MIN(a*N$36,b*$B26)</f>
        <v>1.7999999999999998</v>
      </c>
      <c r="O26">
        <f>MIN(a*O$36,b*$B26)</f>
        <v>1.7999999999999998</v>
      </c>
      <c r="P26">
        <f>MIN(a*P$36,b*$B26)</f>
        <v>1.7999999999999998</v>
      </c>
      <c r="Q26">
        <f>MIN(a*Q$36,b*$B26)</f>
        <v>1.7999999999999998</v>
      </c>
      <c r="R26">
        <f>MIN(a*R$36,b*$B26)</f>
        <v>1.7999999999999998</v>
      </c>
      <c r="S26">
        <f>MIN(a*S$36,b*$B26)</f>
        <v>1.7999999999999998</v>
      </c>
      <c r="T26">
        <f>MIN(a*T$36,b*$B26)</f>
        <v>1.7999999999999998</v>
      </c>
      <c r="U26">
        <f>MIN(a*U$36,b*$B26)</f>
        <v>1.7999999999999998</v>
      </c>
      <c r="V26">
        <f>MIN(a*V$36,b*$B26)</f>
        <v>1.7999999999999998</v>
      </c>
      <c r="W26">
        <f>MIN(a*W$36,b*$B26)</f>
        <v>1.7999999999999998</v>
      </c>
      <c r="X26">
        <f>MIN(a*X$36,b*$B26)</f>
        <v>1.7999999999999998</v>
      </c>
      <c r="Y26">
        <f>MIN(a*Y$36,b*$B26)</f>
        <v>1.7999999999999998</v>
      </c>
      <c r="Z26">
        <f>MIN(a*Z$36,b*$B26)</f>
        <v>1.7999999999999998</v>
      </c>
      <c r="AA26">
        <f>MIN(a*AA$36,b*$B26)</f>
        <v>1.7999999999999998</v>
      </c>
      <c r="AB26">
        <f>MIN(a*AB$36,b*$B26)</f>
        <v>1.7999999999999998</v>
      </c>
      <c r="AC26">
        <f>MIN(a*AC$36,b*$B26)</f>
        <v>1.7999999999999998</v>
      </c>
      <c r="AD26">
        <f>MIN(a*AD$36,b*$B26)</f>
        <v>1.7999999999999998</v>
      </c>
      <c r="AE26">
        <f>MIN(a*AE$36,b*$B26)</f>
        <v>1.7999999999999998</v>
      </c>
      <c r="AF26">
        <f>MIN(a*AF$36,b*$B26)</f>
        <v>1.7999999999999998</v>
      </c>
      <c r="AG26">
        <f>MIN(a*AG$36,b*$B26)</f>
        <v>1.7999999999999998</v>
      </c>
      <c r="AH26">
        <f>MIN(a*AH$36,b*$B26)</f>
        <v>1.7999999999999998</v>
      </c>
    </row>
    <row r="27" spans="2:34" ht="17.25" customHeight="1" x14ac:dyDescent="0.25">
      <c r="B27" s="4">
        <f t="shared" si="0"/>
        <v>1.5999999999999999</v>
      </c>
      <c r="C27">
        <f>MIN(a*C$36,b*$B27)</f>
        <v>0</v>
      </c>
      <c r="D27">
        <f>MIN(a*D$36,b*$B27)</f>
        <v>0.2</v>
      </c>
      <c r="E27">
        <f>MIN(a*E$36,b*$B27)</f>
        <v>0.4</v>
      </c>
      <c r="F27">
        <f>MIN(a*F$36,b*$B27)</f>
        <v>0.60000000000000009</v>
      </c>
      <c r="G27">
        <f>MIN(a*G$36,b*$B27)</f>
        <v>0.8</v>
      </c>
      <c r="H27">
        <f>MIN(a*H$36,b*$B27)</f>
        <v>1</v>
      </c>
      <c r="I27">
        <f>MIN(a*I$36,b*$B27)</f>
        <v>1.2</v>
      </c>
      <c r="J27">
        <f>MIN(a*J$36,b*$B27)</f>
        <v>1.4</v>
      </c>
      <c r="K27">
        <f>MIN(a*K$36,b*$B27)</f>
        <v>1.5999999999999999</v>
      </c>
      <c r="L27">
        <f>MIN(a*L$36,b*$B27)</f>
        <v>1.5999999999999999</v>
      </c>
      <c r="M27">
        <f>MIN(a*M$36,b*$B27)</f>
        <v>1.5999999999999999</v>
      </c>
      <c r="N27">
        <f>MIN(a*N$36,b*$B27)</f>
        <v>1.5999999999999999</v>
      </c>
      <c r="O27">
        <f>MIN(a*O$36,b*$B27)</f>
        <v>1.5999999999999999</v>
      </c>
      <c r="P27">
        <f>MIN(a*P$36,b*$B27)</f>
        <v>1.5999999999999999</v>
      </c>
      <c r="Q27">
        <f>MIN(a*Q$36,b*$B27)</f>
        <v>1.5999999999999999</v>
      </c>
      <c r="R27">
        <f>MIN(a*R$36,b*$B27)</f>
        <v>1.5999999999999999</v>
      </c>
      <c r="S27">
        <f>MIN(a*S$36,b*$B27)</f>
        <v>1.5999999999999999</v>
      </c>
      <c r="T27">
        <f>MIN(a*T$36,b*$B27)</f>
        <v>1.5999999999999999</v>
      </c>
      <c r="U27">
        <f>MIN(a*U$36,b*$B27)</f>
        <v>1.5999999999999999</v>
      </c>
      <c r="V27">
        <f>MIN(a*V$36,b*$B27)</f>
        <v>1.5999999999999999</v>
      </c>
      <c r="W27">
        <f>MIN(a*W$36,b*$B27)</f>
        <v>1.5999999999999999</v>
      </c>
      <c r="X27">
        <f>MIN(a*X$36,b*$B27)</f>
        <v>1.5999999999999999</v>
      </c>
      <c r="Y27">
        <f>MIN(a*Y$36,b*$B27)</f>
        <v>1.5999999999999999</v>
      </c>
      <c r="Z27">
        <f>MIN(a*Z$36,b*$B27)</f>
        <v>1.5999999999999999</v>
      </c>
      <c r="AA27">
        <f>MIN(a*AA$36,b*$B27)</f>
        <v>1.5999999999999999</v>
      </c>
      <c r="AB27">
        <f>MIN(a*AB$36,b*$B27)</f>
        <v>1.5999999999999999</v>
      </c>
      <c r="AC27">
        <f>MIN(a*AC$36,b*$B27)</f>
        <v>1.5999999999999999</v>
      </c>
      <c r="AD27">
        <f>MIN(a*AD$36,b*$B27)</f>
        <v>1.5999999999999999</v>
      </c>
      <c r="AE27">
        <f>MIN(a*AE$36,b*$B27)</f>
        <v>1.5999999999999999</v>
      </c>
      <c r="AF27">
        <f>MIN(a*AF$36,b*$B27)</f>
        <v>1.5999999999999999</v>
      </c>
      <c r="AG27">
        <f>MIN(a*AG$36,b*$B27)</f>
        <v>1.5999999999999999</v>
      </c>
      <c r="AH27">
        <f>MIN(a*AH$36,b*$B27)</f>
        <v>1.5999999999999999</v>
      </c>
    </row>
    <row r="28" spans="2:34" ht="17.25" customHeight="1" x14ac:dyDescent="0.25">
      <c r="B28" s="4">
        <f t="shared" si="0"/>
        <v>1.4</v>
      </c>
      <c r="C28">
        <f>MIN(a*C$36,b*$B28)</f>
        <v>0</v>
      </c>
      <c r="D28">
        <f>MIN(a*D$36,b*$B28)</f>
        <v>0.2</v>
      </c>
      <c r="E28">
        <f>MIN(a*E$36,b*$B28)</f>
        <v>0.4</v>
      </c>
      <c r="F28">
        <f>MIN(a*F$36,b*$B28)</f>
        <v>0.60000000000000009</v>
      </c>
      <c r="G28">
        <f>MIN(a*G$36,b*$B28)</f>
        <v>0.8</v>
      </c>
      <c r="H28">
        <f>MIN(a*H$36,b*$B28)</f>
        <v>1</v>
      </c>
      <c r="I28">
        <f>MIN(a*I$36,b*$B28)</f>
        <v>1.2</v>
      </c>
      <c r="J28">
        <f>MIN(a*J$36,b*$B28)</f>
        <v>1.4</v>
      </c>
      <c r="K28">
        <f>MIN(a*K$36,b*$B28)</f>
        <v>1.4</v>
      </c>
      <c r="L28">
        <f>MIN(a*L$36,b*$B28)</f>
        <v>1.4</v>
      </c>
      <c r="M28">
        <f>MIN(a*M$36,b*$B28)</f>
        <v>1.4</v>
      </c>
      <c r="N28">
        <f>MIN(a*N$36,b*$B28)</f>
        <v>1.4</v>
      </c>
      <c r="O28">
        <f>MIN(a*O$36,b*$B28)</f>
        <v>1.4</v>
      </c>
      <c r="P28">
        <f>MIN(a*P$36,b*$B28)</f>
        <v>1.4</v>
      </c>
      <c r="Q28">
        <f>MIN(a*Q$36,b*$B28)</f>
        <v>1.4</v>
      </c>
      <c r="R28">
        <f>MIN(a*R$36,b*$B28)</f>
        <v>1.4</v>
      </c>
      <c r="S28">
        <f>MIN(a*S$36,b*$B28)</f>
        <v>1.4</v>
      </c>
      <c r="T28">
        <f>MIN(a*T$36,b*$B28)</f>
        <v>1.4</v>
      </c>
      <c r="U28">
        <f>MIN(a*U$36,b*$B28)</f>
        <v>1.4</v>
      </c>
      <c r="V28">
        <f>MIN(a*V$36,b*$B28)</f>
        <v>1.4</v>
      </c>
      <c r="W28">
        <f>MIN(a*W$36,b*$B28)</f>
        <v>1.4</v>
      </c>
      <c r="X28">
        <f>MIN(a*X$36,b*$B28)</f>
        <v>1.4</v>
      </c>
      <c r="Y28">
        <f>MIN(a*Y$36,b*$B28)</f>
        <v>1.4</v>
      </c>
      <c r="Z28">
        <f>MIN(a*Z$36,b*$B28)</f>
        <v>1.4</v>
      </c>
      <c r="AA28">
        <f>MIN(a*AA$36,b*$B28)</f>
        <v>1.4</v>
      </c>
      <c r="AB28">
        <f>MIN(a*AB$36,b*$B28)</f>
        <v>1.4</v>
      </c>
      <c r="AC28">
        <f>MIN(a*AC$36,b*$B28)</f>
        <v>1.4</v>
      </c>
      <c r="AD28">
        <f>MIN(a*AD$36,b*$B28)</f>
        <v>1.4</v>
      </c>
      <c r="AE28">
        <f>MIN(a*AE$36,b*$B28)</f>
        <v>1.4</v>
      </c>
      <c r="AF28">
        <f>MIN(a*AF$36,b*$B28)</f>
        <v>1.4</v>
      </c>
      <c r="AG28">
        <f>MIN(a*AG$36,b*$B28)</f>
        <v>1.4</v>
      </c>
      <c r="AH28">
        <f>MIN(a*AH$36,b*$B28)</f>
        <v>1.4</v>
      </c>
    </row>
    <row r="29" spans="2:34" ht="17.25" customHeight="1" x14ac:dyDescent="0.25">
      <c r="B29" s="4">
        <f t="shared" si="0"/>
        <v>1.2</v>
      </c>
      <c r="C29">
        <f>MIN(a*C$36,b*$B29)</f>
        <v>0</v>
      </c>
      <c r="D29">
        <f>MIN(a*D$36,b*$B29)</f>
        <v>0.2</v>
      </c>
      <c r="E29">
        <f>MIN(a*E$36,b*$B29)</f>
        <v>0.4</v>
      </c>
      <c r="F29">
        <f>MIN(a*F$36,b*$B29)</f>
        <v>0.60000000000000009</v>
      </c>
      <c r="G29">
        <f>MIN(a*G$36,b*$B29)</f>
        <v>0.8</v>
      </c>
      <c r="H29">
        <f>MIN(a*H$36,b*$B29)</f>
        <v>1</v>
      </c>
      <c r="I29">
        <f>MIN(a*I$36,b*$B29)</f>
        <v>1.2</v>
      </c>
      <c r="J29">
        <f>MIN(a*J$36,b*$B29)</f>
        <v>1.2</v>
      </c>
      <c r="K29">
        <f>MIN(a*K$36,b*$B29)</f>
        <v>1.2</v>
      </c>
      <c r="L29">
        <f>MIN(a*L$36,b*$B29)</f>
        <v>1.2</v>
      </c>
      <c r="M29">
        <f>MIN(a*M$36,b*$B29)</f>
        <v>1.2</v>
      </c>
      <c r="N29">
        <f>MIN(a*N$36,b*$B29)</f>
        <v>1.2</v>
      </c>
      <c r="O29">
        <f>MIN(a*O$36,b*$B29)</f>
        <v>1.2</v>
      </c>
      <c r="P29">
        <f>MIN(a*P$36,b*$B29)</f>
        <v>1.2</v>
      </c>
      <c r="Q29">
        <f>MIN(a*Q$36,b*$B29)</f>
        <v>1.2</v>
      </c>
      <c r="R29">
        <f>MIN(a*R$36,b*$B29)</f>
        <v>1.2</v>
      </c>
      <c r="S29">
        <f>MIN(a*S$36,b*$B29)</f>
        <v>1.2</v>
      </c>
      <c r="T29">
        <f>MIN(a*T$36,b*$B29)</f>
        <v>1.2</v>
      </c>
      <c r="U29">
        <f>MIN(a*U$36,b*$B29)</f>
        <v>1.2</v>
      </c>
      <c r="V29">
        <f>MIN(a*V$36,b*$B29)</f>
        <v>1.2</v>
      </c>
      <c r="W29">
        <f>MIN(a*W$36,b*$B29)</f>
        <v>1.2</v>
      </c>
      <c r="X29">
        <f>MIN(a*X$36,b*$B29)</f>
        <v>1.2</v>
      </c>
      <c r="Y29">
        <f>MIN(a*Y$36,b*$B29)</f>
        <v>1.2</v>
      </c>
      <c r="Z29">
        <f>MIN(a*Z$36,b*$B29)</f>
        <v>1.2</v>
      </c>
      <c r="AA29">
        <f>MIN(a*AA$36,b*$B29)</f>
        <v>1.2</v>
      </c>
      <c r="AB29">
        <f>MIN(a*AB$36,b*$B29)</f>
        <v>1.2</v>
      </c>
      <c r="AC29">
        <f>MIN(a*AC$36,b*$B29)</f>
        <v>1.2</v>
      </c>
      <c r="AD29">
        <f>MIN(a*AD$36,b*$B29)</f>
        <v>1.2</v>
      </c>
      <c r="AE29">
        <f>MIN(a*AE$36,b*$B29)</f>
        <v>1.2</v>
      </c>
      <c r="AF29">
        <f>MIN(a*AF$36,b*$B29)</f>
        <v>1.2</v>
      </c>
      <c r="AG29">
        <f>MIN(a*AG$36,b*$B29)</f>
        <v>1.2</v>
      </c>
      <c r="AH29">
        <f>MIN(a*AH$36,b*$B29)</f>
        <v>1.2</v>
      </c>
    </row>
    <row r="30" spans="2:34" ht="17.25" customHeight="1" x14ac:dyDescent="0.25">
      <c r="B30" s="4">
        <f t="shared" si="0"/>
        <v>1</v>
      </c>
      <c r="C30">
        <f>MIN(a*C$36,b*$B30)</f>
        <v>0</v>
      </c>
      <c r="D30">
        <f>MIN(a*D$36,b*$B30)</f>
        <v>0.2</v>
      </c>
      <c r="E30">
        <f>MIN(a*E$36,b*$B30)</f>
        <v>0.4</v>
      </c>
      <c r="F30">
        <f>MIN(a*F$36,b*$B30)</f>
        <v>0.60000000000000009</v>
      </c>
      <c r="G30">
        <f>MIN(a*G$36,b*$B30)</f>
        <v>0.8</v>
      </c>
      <c r="H30">
        <f>MIN(a*H$36,b*$B30)</f>
        <v>1</v>
      </c>
      <c r="I30">
        <f>MIN(a*I$36,b*$B30)</f>
        <v>1</v>
      </c>
      <c r="J30">
        <f>MIN(a*J$36,b*$B30)</f>
        <v>1</v>
      </c>
      <c r="K30">
        <f>MIN(a*K$36,b*$B30)</f>
        <v>1</v>
      </c>
      <c r="L30">
        <f>MIN(a*L$36,b*$B30)</f>
        <v>1</v>
      </c>
      <c r="M30">
        <f>MIN(a*M$36,b*$B30)</f>
        <v>1</v>
      </c>
      <c r="N30">
        <f>MIN(a*N$36,b*$B30)</f>
        <v>1</v>
      </c>
      <c r="O30">
        <f>MIN(a*O$36,b*$B30)</f>
        <v>1</v>
      </c>
      <c r="P30">
        <f>MIN(a*P$36,b*$B30)</f>
        <v>1</v>
      </c>
      <c r="Q30">
        <f>MIN(a*Q$36,b*$B30)</f>
        <v>1</v>
      </c>
      <c r="R30">
        <f>MIN(a*R$36,b*$B30)</f>
        <v>1</v>
      </c>
      <c r="S30">
        <f>MIN(a*S$36,b*$B30)</f>
        <v>1</v>
      </c>
      <c r="T30">
        <f>MIN(a*T$36,b*$B30)</f>
        <v>1</v>
      </c>
      <c r="U30">
        <f>MIN(a*U$36,b*$B30)</f>
        <v>1</v>
      </c>
      <c r="V30">
        <f>MIN(a*V$36,b*$B30)</f>
        <v>1</v>
      </c>
      <c r="W30">
        <f>MIN(a*W$36,b*$B30)</f>
        <v>1</v>
      </c>
      <c r="X30">
        <f>MIN(a*X$36,b*$B30)</f>
        <v>1</v>
      </c>
      <c r="Y30">
        <f>MIN(a*Y$36,b*$B30)</f>
        <v>1</v>
      </c>
      <c r="Z30">
        <f>MIN(a*Z$36,b*$B30)</f>
        <v>1</v>
      </c>
      <c r="AA30">
        <f>MIN(a*AA$36,b*$B30)</f>
        <v>1</v>
      </c>
      <c r="AB30">
        <f>MIN(a*AB$36,b*$B30)</f>
        <v>1</v>
      </c>
      <c r="AC30">
        <f>MIN(a*AC$36,b*$B30)</f>
        <v>1</v>
      </c>
      <c r="AD30">
        <f>MIN(a*AD$36,b*$B30)</f>
        <v>1</v>
      </c>
      <c r="AE30">
        <f>MIN(a*AE$36,b*$B30)</f>
        <v>1</v>
      </c>
      <c r="AF30">
        <f>MIN(a*AF$36,b*$B30)</f>
        <v>1</v>
      </c>
      <c r="AG30">
        <f>MIN(a*AG$36,b*$B30)</f>
        <v>1</v>
      </c>
      <c r="AH30">
        <f>MIN(a*AH$36,b*$B30)</f>
        <v>1</v>
      </c>
    </row>
    <row r="31" spans="2:34" ht="17.25" customHeight="1" x14ac:dyDescent="0.25">
      <c r="B31" s="4">
        <f t="shared" si="0"/>
        <v>0.8</v>
      </c>
      <c r="C31">
        <f>MIN(a*C$36,b*$B31)</f>
        <v>0</v>
      </c>
      <c r="D31">
        <f>MIN(a*D$36,b*$B31)</f>
        <v>0.2</v>
      </c>
      <c r="E31">
        <f>MIN(a*E$36,b*$B31)</f>
        <v>0.4</v>
      </c>
      <c r="F31">
        <f>MIN(a*F$36,b*$B31)</f>
        <v>0.60000000000000009</v>
      </c>
      <c r="G31">
        <f>MIN(a*G$36,b*$B31)</f>
        <v>0.8</v>
      </c>
      <c r="H31">
        <f>MIN(a*H$36,b*$B31)</f>
        <v>0.8</v>
      </c>
      <c r="I31">
        <f>MIN(a*I$36,b*$B31)</f>
        <v>0.8</v>
      </c>
      <c r="J31">
        <f>MIN(a*J$36,b*$B31)</f>
        <v>0.8</v>
      </c>
      <c r="K31">
        <f>MIN(a*K$36,b*$B31)</f>
        <v>0.8</v>
      </c>
      <c r="L31">
        <f>MIN(a*L$36,b*$B31)</f>
        <v>0.8</v>
      </c>
      <c r="M31">
        <f>MIN(a*M$36,b*$B31)</f>
        <v>0.8</v>
      </c>
      <c r="N31">
        <f>MIN(a*N$36,b*$B31)</f>
        <v>0.8</v>
      </c>
      <c r="O31">
        <f>MIN(a*O$36,b*$B31)</f>
        <v>0.8</v>
      </c>
      <c r="P31">
        <f>MIN(a*P$36,b*$B31)</f>
        <v>0.8</v>
      </c>
      <c r="Q31">
        <f>MIN(a*Q$36,b*$B31)</f>
        <v>0.8</v>
      </c>
      <c r="R31">
        <f>MIN(a*R$36,b*$B31)</f>
        <v>0.8</v>
      </c>
      <c r="S31">
        <f>MIN(a*S$36,b*$B31)</f>
        <v>0.8</v>
      </c>
      <c r="T31">
        <f>MIN(a*T$36,b*$B31)</f>
        <v>0.8</v>
      </c>
      <c r="U31">
        <f>MIN(a*U$36,b*$B31)</f>
        <v>0.8</v>
      </c>
      <c r="V31">
        <f>MIN(a*V$36,b*$B31)</f>
        <v>0.8</v>
      </c>
      <c r="W31">
        <f>MIN(a*W$36,b*$B31)</f>
        <v>0.8</v>
      </c>
      <c r="X31">
        <f>MIN(a*X$36,b*$B31)</f>
        <v>0.8</v>
      </c>
      <c r="Y31">
        <f>MIN(a*Y$36,b*$B31)</f>
        <v>0.8</v>
      </c>
      <c r="Z31">
        <f>MIN(a*Z$36,b*$B31)</f>
        <v>0.8</v>
      </c>
      <c r="AA31">
        <f>MIN(a*AA$36,b*$B31)</f>
        <v>0.8</v>
      </c>
      <c r="AB31">
        <f>MIN(a*AB$36,b*$B31)</f>
        <v>0.8</v>
      </c>
      <c r="AC31">
        <f>MIN(a*AC$36,b*$B31)</f>
        <v>0.8</v>
      </c>
      <c r="AD31">
        <f>MIN(a*AD$36,b*$B31)</f>
        <v>0.8</v>
      </c>
      <c r="AE31">
        <f>MIN(a*AE$36,b*$B31)</f>
        <v>0.8</v>
      </c>
      <c r="AF31">
        <f>MIN(a*AF$36,b*$B31)</f>
        <v>0.8</v>
      </c>
      <c r="AG31">
        <f>MIN(a*AG$36,b*$B31)</f>
        <v>0.8</v>
      </c>
      <c r="AH31">
        <f>MIN(a*AH$36,b*$B31)</f>
        <v>0.8</v>
      </c>
    </row>
    <row r="32" spans="2:34" ht="17.25" customHeight="1" x14ac:dyDescent="0.25">
      <c r="B32" s="4">
        <f t="shared" si="0"/>
        <v>0.60000000000000009</v>
      </c>
      <c r="C32">
        <f>MIN(a*C$36,b*$B32)</f>
        <v>0</v>
      </c>
      <c r="D32">
        <f>MIN(a*D$36,b*$B32)</f>
        <v>0.2</v>
      </c>
      <c r="E32">
        <f>MIN(a*E$36,b*$B32)</f>
        <v>0.4</v>
      </c>
      <c r="F32">
        <f>MIN(a*F$36,b*$B32)</f>
        <v>0.60000000000000009</v>
      </c>
      <c r="G32">
        <f>MIN(a*G$36,b*$B32)</f>
        <v>0.60000000000000009</v>
      </c>
      <c r="H32">
        <f>MIN(a*H$36,b*$B32)</f>
        <v>0.60000000000000009</v>
      </c>
      <c r="I32">
        <f>MIN(a*I$36,b*$B32)</f>
        <v>0.60000000000000009</v>
      </c>
      <c r="J32">
        <f>MIN(a*J$36,b*$B32)</f>
        <v>0.60000000000000009</v>
      </c>
      <c r="K32">
        <f>MIN(a*K$36,b*$B32)</f>
        <v>0.60000000000000009</v>
      </c>
      <c r="L32">
        <f>MIN(a*L$36,b*$B32)</f>
        <v>0.60000000000000009</v>
      </c>
      <c r="M32">
        <f>MIN(a*M$36,b*$B32)</f>
        <v>0.60000000000000009</v>
      </c>
      <c r="N32">
        <f>MIN(a*N$36,b*$B32)</f>
        <v>0.60000000000000009</v>
      </c>
      <c r="O32">
        <f>MIN(a*O$36,b*$B32)</f>
        <v>0.60000000000000009</v>
      </c>
      <c r="P32">
        <f>MIN(a*P$36,b*$B32)</f>
        <v>0.60000000000000009</v>
      </c>
      <c r="Q32">
        <f>MIN(a*Q$36,b*$B32)</f>
        <v>0.60000000000000009</v>
      </c>
      <c r="R32">
        <f>MIN(a*R$36,b*$B32)</f>
        <v>0.60000000000000009</v>
      </c>
      <c r="S32">
        <f>MIN(a*S$36,b*$B32)</f>
        <v>0.60000000000000009</v>
      </c>
      <c r="T32">
        <f>MIN(a*T$36,b*$B32)</f>
        <v>0.60000000000000009</v>
      </c>
      <c r="U32">
        <f>MIN(a*U$36,b*$B32)</f>
        <v>0.60000000000000009</v>
      </c>
      <c r="V32">
        <f>MIN(a*V$36,b*$B32)</f>
        <v>0.60000000000000009</v>
      </c>
      <c r="W32">
        <f>MIN(a*W$36,b*$B32)</f>
        <v>0.60000000000000009</v>
      </c>
      <c r="X32">
        <f>MIN(a*X$36,b*$B32)</f>
        <v>0.60000000000000009</v>
      </c>
      <c r="Y32">
        <f>MIN(a*Y$36,b*$B32)</f>
        <v>0.60000000000000009</v>
      </c>
      <c r="Z32">
        <f>MIN(a*Z$36,b*$B32)</f>
        <v>0.60000000000000009</v>
      </c>
      <c r="AA32">
        <f>MIN(a*AA$36,b*$B32)</f>
        <v>0.60000000000000009</v>
      </c>
      <c r="AB32">
        <f>MIN(a*AB$36,b*$B32)</f>
        <v>0.60000000000000009</v>
      </c>
      <c r="AC32">
        <f>MIN(a*AC$36,b*$B32)</f>
        <v>0.60000000000000009</v>
      </c>
      <c r="AD32">
        <f>MIN(a*AD$36,b*$B32)</f>
        <v>0.60000000000000009</v>
      </c>
      <c r="AE32">
        <f>MIN(a*AE$36,b*$B32)</f>
        <v>0.60000000000000009</v>
      </c>
      <c r="AF32">
        <f>MIN(a*AF$36,b*$B32)</f>
        <v>0.60000000000000009</v>
      </c>
      <c r="AG32">
        <f>MIN(a*AG$36,b*$B32)</f>
        <v>0.60000000000000009</v>
      </c>
      <c r="AH32">
        <f>MIN(a*AH$36,b*$B32)</f>
        <v>0.60000000000000009</v>
      </c>
    </row>
    <row r="33" spans="2:34" ht="17.25" customHeight="1" x14ac:dyDescent="0.25">
      <c r="B33" s="4">
        <f t="shared" si="0"/>
        <v>0.4</v>
      </c>
      <c r="C33">
        <f>MIN(a*C$36,b*$B33)</f>
        <v>0</v>
      </c>
      <c r="D33">
        <f>MIN(a*D$36,b*$B33)</f>
        <v>0.2</v>
      </c>
      <c r="E33">
        <f>MIN(a*E$36,b*$B33)</f>
        <v>0.4</v>
      </c>
      <c r="F33">
        <f>MIN(a*F$36,b*$B33)</f>
        <v>0.4</v>
      </c>
      <c r="G33">
        <f>MIN(a*G$36,b*$B33)</f>
        <v>0.4</v>
      </c>
      <c r="H33">
        <f>MIN(a*H$36,b*$B33)</f>
        <v>0.4</v>
      </c>
      <c r="I33">
        <f>MIN(a*I$36,b*$B33)</f>
        <v>0.4</v>
      </c>
      <c r="J33">
        <f>MIN(a*J$36,b*$B33)</f>
        <v>0.4</v>
      </c>
      <c r="K33">
        <f>MIN(a*K$36,b*$B33)</f>
        <v>0.4</v>
      </c>
      <c r="L33">
        <f>MIN(a*L$36,b*$B33)</f>
        <v>0.4</v>
      </c>
      <c r="M33">
        <f>MIN(a*M$36,b*$B33)</f>
        <v>0.4</v>
      </c>
      <c r="N33">
        <f>MIN(a*N$36,b*$B33)</f>
        <v>0.4</v>
      </c>
      <c r="O33">
        <f>MIN(a*O$36,b*$B33)</f>
        <v>0.4</v>
      </c>
      <c r="P33">
        <f>MIN(a*P$36,b*$B33)</f>
        <v>0.4</v>
      </c>
      <c r="Q33">
        <f>MIN(a*Q$36,b*$B33)</f>
        <v>0.4</v>
      </c>
      <c r="R33">
        <f>MIN(a*R$36,b*$B33)</f>
        <v>0.4</v>
      </c>
      <c r="S33">
        <f>MIN(a*S$36,b*$B33)</f>
        <v>0.4</v>
      </c>
      <c r="T33">
        <f>MIN(a*T$36,b*$B33)</f>
        <v>0.4</v>
      </c>
      <c r="U33">
        <f>MIN(a*U$36,b*$B33)</f>
        <v>0.4</v>
      </c>
      <c r="V33">
        <f>MIN(a*V$36,b*$B33)</f>
        <v>0.4</v>
      </c>
      <c r="W33">
        <f>MIN(a*W$36,b*$B33)</f>
        <v>0.4</v>
      </c>
      <c r="X33">
        <f>MIN(a*X$36,b*$B33)</f>
        <v>0.4</v>
      </c>
      <c r="Y33">
        <f>MIN(a*Y$36,b*$B33)</f>
        <v>0.4</v>
      </c>
      <c r="Z33">
        <f>MIN(a*Z$36,b*$B33)</f>
        <v>0.4</v>
      </c>
      <c r="AA33">
        <f>MIN(a*AA$36,b*$B33)</f>
        <v>0.4</v>
      </c>
      <c r="AB33">
        <f>MIN(a*AB$36,b*$B33)</f>
        <v>0.4</v>
      </c>
      <c r="AC33">
        <f>MIN(a*AC$36,b*$B33)</f>
        <v>0.4</v>
      </c>
      <c r="AD33">
        <f>MIN(a*AD$36,b*$B33)</f>
        <v>0.4</v>
      </c>
      <c r="AE33">
        <f>MIN(a*AE$36,b*$B33)</f>
        <v>0.4</v>
      </c>
      <c r="AF33">
        <f>MIN(a*AF$36,b*$B33)</f>
        <v>0.4</v>
      </c>
      <c r="AG33">
        <f>MIN(a*AG$36,b*$B33)</f>
        <v>0.4</v>
      </c>
      <c r="AH33">
        <f>MIN(a*AH$36,b*$B33)</f>
        <v>0.4</v>
      </c>
    </row>
    <row r="34" spans="2:34" ht="17.25" customHeight="1" x14ac:dyDescent="0.25">
      <c r="B34" s="4">
        <f>B35+$D$3</f>
        <v>0.2</v>
      </c>
      <c r="C34">
        <f>MIN(a*C$36,b*$B34)</f>
        <v>0</v>
      </c>
      <c r="D34">
        <f>MIN(a*D$36,b*$B34)</f>
        <v>0.2</v>
      </c>
      <c r="E34">
        <f>MIN(a*E$36,b*$B34)</f>
        <v>0.2</v>
      </c>
      <c r="F34">
        <f>MIN(a*F$36,b*$B34)</f>
        <v>0.2</v>
      </c>
      <c r="G34">
        <f>MIN(a*G$36,b*$B34)</f>
        <v>0.2</v>
      </c>
      <c r="H34">
        <f>MIN(a*H$36,b*$B34)</f>
        <v>0.2</v>
      </c>
      <c r="I34">
        <f>MIN(a*I$36,b*$B34)</f>
        <v>0.2</v>
      </c>
      <c r="J34">
        <f>MIN(a*J$36,b*$B34)</f>
        <v>0.2</v>
      </c>
      <c r="K34">
        <f>MIN(a*K$36,b*$B34)</f>
        <v>0.2</v>
      </c>
      <c r="L34">
        <f>MIN(a*L$36,b*$B34)</f>
        <v>0.2</v>
      </c>
      <c r="M34">
        <f>MIN(a*M$36,b*$B34)</f>
        <v>0.2</v>
      </c>
      <c r="N34">
        <f>MIN(a*N$36,b*$B34)</f>
        <v>0.2</v>
      </c>
      <c r="O34">
        <f>MIN(a*O$36,b*$B34)</f>
        <v>0.2</v>
      </c>
      <c r="P34">
        <f>MIN(a*P$36,b*$B34)</f>
        <v>0.2</v>
      </c>
      <c r="Q34">
        <f>MIN(a*Q$36,b*$B34)</f>
        <v>0.2</v>
      </c>
      <c r="R34">
        <f>MIN(a*R$36,b*$B34)</f>
        <v>0.2</v>
      </c>
      <c r="S34">
        <f>MIN(a*S$36,b*$B34)</f>
        <v>0.2</v>
      </c>
      <c r="T34">
        <f>MIN(a*T$36,b*$B34)</f>
        <v>0.2</v>
      </c>
      <c r="U34">
        <f>MIN(a*U$36,b*$B34)</f>
        <v>0.2</v>
      </c>
      <c r="V34">
        <f>MIN(a*V$36,b*$B34)</f>
        <v>0.2</v>
      </c>
      <c r="W34">
        <f>MIN(a*W$36,b*$B34)</f>
        <v>0.2</v>
      </c>
      <c r="X34">
        <f>MIN(a*X$36,b*$B34)</f>
        <v>0.2</v>
      </c>
      <c r="Y34">
        <f>MIN(a*Y$36,b*$B34)</f>
        <v>0.2</v>
      </c>
      <c r="Z34">
        <f>MIN(a*Z$36,b*$B34)</f>
        <v>0.2</v>
      </c>
      <c r="AA34">
        <f>MIN(a*AA$36,b*$B34)</f>
        <v>0.2</v>
      </c>
      <c r="AB34">
        <f>MIN(a*AB$36,b*$B34)</f>
        <v>0.2</v>
      </c>
      <c r="AC34">
        <f>MIN(a*AC$36,b*$B34)</f>
        <v>0.2</v>
      </c>
      <c r="AD34">
        <f>MIN(a*AD$36,b*$B34)</f>
        <v>0.2</v>
      </c>
      <c r="AE34">
        <f>MIN(a*AE$36,b*$B34)</f>
        <v>0.2</v>
      </c>
      <c r="AF34">
        <f>MIN(a*AF$36,b*$B34)</f>
        <v>0.2</v>
      </c>
      <c r="AG34">
        <f>MIN(a*AG$36,b*$B34)</f>
        <v>0.2</v>
      </c>
      <c r="AH34">
        <f>MIN(a*AH$36,b*$B34)</f>
        <v>0.2</v>
      </c>
    </row>
    <row r="35" spans="2:34" ht="17.25" customHeight="1" x14ac:dyDescent="0.25">
      <c r="B35" s="4">
        <v>0</v>
      </c>
      <c r="C35">
        <f>MIN(a*C$36,b*$B35)</f>
        <v>0</v>
      </c>
      <c r="D35">
        <f>MIN(a*D$36,b*$B35)</f>
        <v>0</v>
      </c>
      <c r="E35">
        <f>MIN(a*E$36,b*$B35)</f>
        <v>0</v>
      </c>
      <c r="F35">
        <f>MIN(a*F$36,b*$B35)</f>
        <v>0</v>
      </c>
      <c r="G35">
        <f>MIN(a*G$36,b*$B35)</f>
        <v>0</v>
      </c>
      <c r="H35">
        <f>MIN(a*H$36,b*$B35)</f>
        <v>0</v>
      </c>
      <c r="I35">
        <f>MIN(a*I$36,b*$B35)</f>
        <v>0</v>
      </c>
      <c r="J35">
        <f>MIN(a*J$36,b*$B35)</f>
        <v>0</v>
      </c>
      <c r="K35">
        <f>MIN(a*K$36,b*$B35)</f>
        <v>0</v>
      </c>
      <c r="L35">
        <f>MIN(a*L$36,b*$B35)</f>
        <v>0</v>
      </c>
      <c r="M35">
        <f>MIN(a*M$36,b*$B35)</f>
        <v>0</v>
      </c>
      <c r="N35">
        <f>MIN(a*N$36,b*$B35)</f>
        <v>0</v>
      </c>
      <c r="O35">
        <f>MIN(a*O$36,b*$B35)</f>
        <v>0</v>
      </c>
      <c r="P35">
        <f>MIN(a*P$36,b*$B35)</f>
        <v>0</v>
      </c>
      <c r="Q35">
        <f>MIN(a*Q$36,b*$B35)</f>
        <v>0</v>
      </c>
      <c r="R35">
        <f>MIN(a*R$36,b*$B35)</f>
        <v>0</v>
      </c>
      <c r="S35">
        <f>MIN(a*S$36,b*$B35)</f>
        <v>0</v>
      </c>
      <c r="T35">
        <f>MIN(a*T$36,b*$B35)</f>
        <v>0</v>
      </c>
      <c r="U35">
        <f>MIN(a*U$36,b*$B35)</f>
        <v>0</v>
      </c>
      <c r="V35">
        <f>MIN(a*V$36,b*$B35)</f>
        <v>0</v>
      </c>
      <c r="W35">
        <f>MIN(a*W$36,b*$B35)</f>
        <v>0</v>
      </c>
      <c r="X35">
        <f>MIN(a*X$36,b*$B35)</f>
        <v>0</v>
      </c>
      <c r="Y35">
        <f>MIN(a*Y$36,b*$B35)</f>
        <v>0</v>
      </c>
      <c r="Z35">
        <f>MIN(a*Z$36,b*$B35)</f>
        <v>0</v>
      </c>
      <c r="AA35">
        <f>MIN(a*AA$36,b*$B35)</f>
        <v>0</v>
      </c>
      <c r="AB35">
        <f>MIN(a*AB$36,b*$B35)</f>
        <v>0</v>
      </c>
      <c r="AC35">
        <f>MIN(a*AC$36,b*$B35)</f>
        <v>0</v>
      </c>
      <c r="AD35">
        <f>MIN(a*AD$36,b*$B35)</f>
        <v>0</v>
      </c>
      <c r="AE35">
        <f>MIN(a*AE$36,b*$B35)</f>
        <v>0</v>
      </c>
      <c r="AF35">
        <f>MIN(a*AF$36,b*$B35)</f>
        <v>0</v>
      </c>
      <c r="AG35">
        <f>MIN(a*AG$36,b*$B35)</f>
        <v>0</v>
      </c>
      <c r="AH35">
        <f>MIN(a*AH$36,b*$B35)</f>
        <v>0</v>
      </c>
    </row>
    <row r="36" spans="2:34" x14ac:dyDescent="0.25">
      <c r="B36" s="1"/>
      <c r="C36" s="3">
        <v>0</v>
      </c>
      <c r="D36" s="3">
        <f>C36+$D$3</f>
        <v>0.2</v>
      </c>
      <c r="E36" s="3">
        <f t="shared" ref="E36:S36" si="1">D36+$D$3</f>
        <v>0.4</v>
      </c>
      <c r="F36" s="3">
        <f t="shared" si="1"/>
        <v>0.60000000000000009</v>
      </c>
      <c r="G36" s="3">
        <f t="shared" si="1"/>
        <v>0.8</v>
      </c>
      <c r="H36" s="3">
        <f t="shared" si="1"/>
        <v>1</v>
      </c>
      <c r="I36" s="3">
        <f t="shared" si="1"/>
        <v>1.2</v>
      </c>
      <c r="J36" s="3">
        <f t="shared" si="1"/>
        <v>1.4</v>
      </c>
      <c r="K36" s="3">
        <f t="shared" si="1"/>
        <v>1.5999999999999999</v>
      </c>
      <c r="L36" s="3">
        <f t="shared" si="1"/>
        <v>1.7999999999999998</v>
      </c>
      <c r="M36" s="3">
        <f t="shared" si="1"/>
        <v>1.9999999999999998</v>
      </c>
      <c r="N36" s="3">
        <f t="shared" si="1"/>
        <v>2.1999999999999997</v>
      </c>
      <c r="O36" s="3">
        <f t="shared" si="1"/>
        <v>2.4</v>
      </c>
      <c r="P36" s="3">
        <f t="shared" si="1"/>
        <v>2.6</v>
      </c>
      <c r="Q36" s="3">
        <f t="shared" si="1"/>
        <v>2.8000000000000003</v>
      </c>
      <c r="R36" s="3">
        <f t="shared" si="1"/>
        <v>3.0000000000000004</v>
      </c>
      <c r="S36" s="3">
        <f t="shared" si="1"/>
        <v>3.2000000000000006</v>
      </c>
      <c r="T36" s="3">
        <f>S36+$D$3</f>
        <v>3.4000000000000008</v>
      </c>
      <c r="U36" s="3">
        <f t="shared" ref="U36:AG36" si="2">T36+$D$3</f>
        <v>3.600000000000001</v>
      </c>
      <c r="V36" s="3">
        <f t="shared" si="2"/>
        <v>3.8000000000000012</v>
      </c>
      <c r="W36" s="3">
        <f t="shared" si="2"/>
        <v>4.0000000000000009</v>
      </c>
      <c r="X36" s="3">
        <f t="shared" si="2"/>
        <v>4.2000000000000011</v>
      </c>
      <c r="Y36" s="3">
        <f t="shared" si="2"/>
        <v>4.4000000000000012</v>
      </c>
      <c r="Z36" s="3">
        <f t="shared" si="2"/>
        <v>4.6000000000000014</v>
      </c>
      <c r="AA36" s="3">
        <f t="shared" si="2"/>
        <v>4.8000000000000016</v>
      </c>
      <c r="AB36" s="3">
        <f t="shared" si="2"/>
        <v>5.0000000000000018</v>
      </c>
      <c r="AC36" s="3">
        <f t="shared" si="2"/>
        <v>5.200000000000002</v>
      </c>
      <c r="AD36" s="3">
        <f t="shared" si="2"/>
        <v>5.4000000000000021</v>
      </c>
      <c r="AE36" s="3">
        <f t="shared" si="2"/>
        <v>5.6000000000000023</v>
      </c>
      <c r="AF36" s="3">
        <f t="shared" si="2"/>
        <v>5.8000000000000025</v>
      </c>
      <c r="AG36" s="3">
        <f t="shared" si="2"/>
        <v>6.0000000000000027</v>
      </c>
      <c r="AH36" s="3">
        <f>AG36+$D$3</f>
        <v>6.2000000000000028</v>
      </c>
    </row>
    <row r="37" spans="2:34" x14ac:dyDescent="0.25">
      <c r="AH37" s="4" t="s">
        <v>3</v>
      </c>
    </row>
  </sheetData>
  <conditionalFormatting sqref="C4:A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39"/>
  <sheetViews>
    <sheetView zoomScale="85" zoomScaleNormal="85" workbookViewId="0">
      <selection activeCell="I4" sqref="I4"/>
    </sheetView>
  </sheetViews>
  <sheetFormatPr defaultRowHeight="15" x14ac:dyDescent="0.25"/>
  <cols>
    <col min="1" max="2" width="4.7109375" customWidth="1"/>
    <col min="3" max="34" width="4" customWidth="1"/>
  </cols>
  <sheetData>
    <row r="2" spans="1:34" x14ac:dyDescent="0.25">
      <c r="Y2" s="9" t="s">
        <v>18</v>
      </c>
      <c r="Z2" s="5">
        <f>b*I/(b*Px+a*Py)</f>
        <v>3</v>
      </c>
    </row>
    <row r="3" spans="1:34" x14ac:dyDescent="0.25">
      <c r="A3" t="s">
        <v>1</v>
      </c>
      <c r="B3">
        <v>1</v>
      </c>
      <c r="F3" t="s">
        <v>5</v>
      </c>
      <c r="G3">
        <v>4</v>
      </c>
      <c r="H3" t="s">
        <v>7</v>
      </c>
      <c r="I3">
        <v>24</v>
      </c>
    </row>
    <row r="4" spans="1:34" x14ac:dyDescent="0.25">
      <c r="A4" t="s">
        <v>2</v>
      </c>
      <c r="B4">
        <v>1</v>
      </c>
      <c r="F4" t="s">
        <v>6</v>
      </c>
      <c r="G4">
        <v>4</v>
      </c>
      <c r="AF4">
        <f>MIN(a*x_d,b*y_d)</f>
        <v>3</v>
      </c>
    </row>
    <row r="5" spans="1:34" x14ac:dyDescent="0.25">
      <c r="A5" t="s">
        <v>0</v>
      </c>
      <c r="D5">
        <v>0.2</v>
      </c>
      <c r="Y5" s="9" t="s">
        <v>18</v>
      </c>
      <c r="Z5" s="5">
        <f>a*I/(b*Px+a*Py)</f>
        <v>3</v>
      </c>
    </row>
    <row r="6" spans="1:34" ht="17.25" customHeight="1" x14ac:dyDescent="0.25">
      <c r="A6" s="4" t="s">
        <v>4</v>
      </c>
      <c r="B6" s="4">
        <f t="shared" ref="B6:B35" si="0">B7+$D$5</f>
        <v>6.2000000000000028</v>
      </c>
      <c r="C6" t="str">
        <f>IF(Px*C$38+Py*$B6&lt;=I,MIN(a*C$38,b*$B6),"")</f>
        <v/>
      </c>
      <c r="D6" t="str">
        <f>IF(Px*D$38+Py*$B6&lt;=I,MIN(a*D$38,b*$B6),"")</f>
        <v/>
      </c>
      <c r="E6" t="str">
        <f>IF(Px*E$38+Py*$B6&lt;=I,MIN(a*E$38,b*$B6),"")</f>
        <v/>
      </c>
      <c r="F6" t="str">
        <f>IF(Px*F$38+Py*$B6&lt;=I,MIN(a*F$38,b*$B6),"")</f>
        <v/>
      </c>
      <c r="G6" t="str">
        <f>IF(Px*G$38+Py*$B6&lt;=I,MIN(a*G$38,b*$B6),"")</f>
        <v/>
      </c>
      <c r="H6" t="str">
        <f>IF(Px*H$38+Py*$B6&lt;=I,MIN(a*H$38,b*$B6),"")</f>
        <v/>
      </c>
      <c r="I6" t="str">
        <f>IF(Px*I$38+Py*$B6&lt;=I,MIN(a*I$38,b*$B6),"")</f>
        <v/>
      </c>
      <c r="J6" t="str">
        <f>IF(Px*J$38+Py*$B6&lt;=I,MIN(a*J$38,b*$B6),"")</f>
        <v/>
      </c>
      <c r="K6" t="str">
        <f>IF(Px*K$38+Py*$B6&lt;=I,MIN(a*K$38,b*$B6),"")</f>
        <v/>
      </c>
      <c r="L6" t="str">
        <f>IF(Px*L$38+Py*$B6&lt;=I,MIN(a*L$38,b*$B6),"")</f>
        <v/>
      </c>
      <c r="M6" t="str">
        <f>IF(Px*M$38+Py*$B6&lt;=I,MIN(a*M$38,b*$B6),"")</f>
        <v/>
      </c>
      <c r="N6" t="str">
        <f>IF(Px*N$38+Py*$B6&lt;=I,MIN(a*N$38,b*$B6),"")</f>
        <v/>
      </c>
      <c r="O6" t="str">
        <f>IF(Px*O$38+Py*$B6&lt;=I,MIN(a*O$38,b*$B6),"")</f>
        <v/>
      </c>
      <c r="P6" t="str">
        <f>IF(Px*P$38+Py*$B6&lt;=I,MIN(a*P$38,b*$B6),"")</f>
        <v/>
      </c>
      <c r="Q6" t="str">
        <f>IF(Px*Q$38+Py*$B6&lt;=I,MIN(a*Q$38,b*$B6),"")</f>
        <v/>
      </c>
      <c r="R6" t="str">
        <f>IF(Px*R$38+Py*$B6&lt;=I,MIN(a*R$38,b*$B6),"")</f>
        <v/>
      </c>
      <c r="S6" t="str">
        <f>IF(Px*S$38+Py*$B6&lt;=I,MIN(a*S$38,b*$B6),"")</f>
        <v/>
      </c>
      <c r="T6" t="str">
        <f>IF(Px*T$38+Py*$B6&lt;=I,MIN(a*T$38,b*$B6),"")</f>
        <v/>
      </c>
      <c r="U6" t="str">
        <f>IF(Px*U$38+Py*$B6&lt;=I,MIN(a*U$38,b*$B6),"")</f>
        <v/>
      </c>
      <c r="V6" t="str">
        <f>IF(Px*V$38+Py*$B6&lt;=I,MIN(a*V$38,b*$B6),"")</f>
        <v/>
      </c>
      <c r="W6" t="str">
        <f>IF(Px*W$38+Py*$B6&lt;=I,MIN(a*W$38,b*$B6),"")</f>
        <v/>
      </c>
      <c r="X6" t="str">
        <f>IF(Px*X$38+Py*$B6&lt;=I,MIN(a*X$38,b*$B6),"")</f>
        <v/>
      </c>
      <c r="Y6" t="str">
        <f>IF(Px*Y$38+Py*$B6&lt;=I,MIN(a*Y$38,b*$B6),"")</f>
        <v/>
      </c>
      <c r="Z6" t="str">
        <f>IF(Px*Z$38+Py*$B6&lt;=I,MIN(a*Z$38,b*$B6),"")</f>
        <v/>
      </c>
      <c r="AA6" t="str">
        <f>IF(Px*AA$38+Py*$B6&lt;=I,MIN(a*AA$38,b*$B6),"")</f>
        <v/>
      </c>
      <c r="AB6" t="str">
        <f>IF(Px*AB$38+Py*$B6&lt;=I,MIN(a*AB$38,b*$B6),"")</f>
        <v/>
      </c>
      <c r="AC6" t="str">
        <f>IF(Px*AC$38+Py*$B6&lt;=I,MIN(a*AC$38,b*$B6),"")</f>
        <v/>
      </c>
      <c r="AD6" t="str">
        <f>IF(Px*AD$38+Py*$B6&lt;=I,MIN(a*AD$38,b*$B6),"")</f>
        <v/>
      </c>
      <c r="AE6" t="str">
        <f>IF(Px*AE$38+Py*$B6&lt;=I,MIN(a*AE$38,b*$B6),"")</f>
        <v/>
      </c>
      <c r="AF6" t="str">
        <f>IF(Px*AF$38+Py*$B6&lt;=I,MIN(a*AF$38,b*$B6),"")</f>
        <v/>
      </c>
      <c r="AG6" t="str">
        <f>IF(Px*AG$38+Py*$B6&lt;=I,MIN(a*AG$38,b*$B6),"")</f>
        <v/>
      </c>
      <c r="AH6" t="str">
        <f>IF(Px*AH$38+Py*$B6&lt;=I,MIN(a*AH$38,b*$B6),"")</f>
        <v/>
      </c>
    </row>
    <row r="7" spans="1:34" ht="17.25" customHeight="1" x14ac:dyDescent="0.25">
      <c r="B7" s="4">
        <f t="shared" si="0"/>
        <v>6.0000000000000027</v>
      </c>
      <c r="C7">
        <f>IF(Px*C$38+Py*$B7&lt;=I,MIN(a*C$38,b*$B7),"")</f>
        <v>0</v>
      </c>
      <c r="D7" t="str">
        <f>IF(Px*D$38+Py*$B7&lt;=I,MIN(a*D$38,b*$B7),"")</f>
        <v/>
      </c>
      <c r="E7" t="str">
        <f>IF(Px*E$38+Py*$B7&lt;=I,MIN(a*E$38,b*$B7),"")</f>
        <v/>
      </c>
      <c r="F7" t="str">
        <f>IF(Px*F$38+Py*$B7&lt;=I,MIN(a*F$38,b*$B7),"")</f>
        <v/>
      </c>
      <c r="G7" t="str">
        <f>IF(Px*G$38+Py*$B7&lt;=I,MIN(a*G$38,b*$B7),"")</f>
        <v/>
      </c>
      <c r="H7" t="str">
        <f>IF(Px*H$38+Py*$B7&lt;=I,MIN(a*H$38,b*$B7),"")</f>
        <v/>
      </c>
      <c r="I7" t="str">
        <f>IF(Px*I$38+Py*$B7&lt;=I,MIN(a*I$38,b*$B7),"")</f>
        <v/>
      </c>
      <c r="J7" t="str">
        <f>IF(Px*J$38+Py*$B7&lt;=I,MIN(a*J$38,b*$B7),"")</f>
        <v/>
      </c>
      <c r="K7" t="str">
        <f>IF(Px*K$38+Py*$B7&lt;=I,MIN(a*K$38,b*$B7),"")</f>
        <v/>
      </c>
      <c r="L7" t="str">
        <f>IF(Px*L$38+Py*$B7&lt;=I,MIN(a*L$38,b*$B7),"")</f>
        <v/>
      </c>
      <c r="M7" t="str">
        <f>IF(Px*M$38+Py*$B7&lt;=I,MIN(a*M$38,b*$B7),"")</f>
        <v/>
      </c>
      <c r="N7" t="str">
        <f>IF(Px*N$38+Py*$B7&lt;=I,MIN(a*N$38,b*$B7),"")</f>
        <v/>
      </c>
      <c r="O7" t="str">
        <f>IF(Px*O$38+Py*$B7&lt;=I,MIN(a*O$38,b*$B7),"")</f>
        <v/>
      </c>
      <c r="P7" t="str">
        <f>IF(Px*P$38+Py*$B7&lt;=I,MIN(a*P$38,b*$B7),"")</f>
        <v/>
      </c>
      <c r="Q7" t="str">
        <f>IF(Px*Q$38+Py*$B7&lt;=I,MIN(a*Q$38,b*$B7),"")</f>
        <v/>
      </c>
      <c r="R7" t="str">
        <f>IF(Px*R$38+Py*$B7&lt;=I,MIN(a*R$38,b*$B7),"")</f>
        <v/>
      </c>
      <c r="S7" t="str">
        <f>IF(Px*S$38+Py*$B7&lt;=I,MIN(a*S$38,b*$B7),"")</f>
        <v/>
      </c>
      <c r="T7" t="str">
        <f>IF(Px*T$38+Py*$B7&lt;=I,MIN(a*T$38,b*$B7),"")</f>
        <v/>
      </c>
      <c r="U7" t="str">
        <f>IF(Px*U$38+Py*$B7&lt;=I,MIN(a*U$38,b*$B7),"")</f>
        <v/>
      </c>
      <c r="V7" t="str">
        <f>IF(Px*V$38+Py*$B7&lt;=I,MIN(a*V$38,b*$B7),"")</f>
        <v/>
      </c>
      <c r="W7" t="str">
        <f>IF(Px*W$38+Py*$B7&lt;=I,MIN(a*W$38,b*$B7),"")</f>
        <v/>
      </c>
      <c r="X7" t="str">
        <f>IF(Px*X$38+Py*$B7&lt;=I,MIN(a*X$38,b*$B7),"")</f>
        <v/>
      </c>
      <c r="Y7" t="str">
        <f>IF(Px*Y$38+Py*$B7&lt;=I,MIN(a*Y$38,b*$B7),"")</f>
        <v/>
      </c>
      <c r="Z7" t="str">
        <f>IF(Px*Z$38+Py*$B7&lt;=I,MIN(a*Z$38,b*$B7),"")</f>
        <v/>
      </c>
      <c r="AA7" t="str">
        <f>IF(Px*AA$38+Py*$B7&lt;=I,MIN(a*AA$38,b*$B7),"")</f>
        <v/>
      </c>
      <c r="AB7" t="str">
        <f>IF(Px*AB$38+Py*$B7&lt;=I,MIN(a*AB$38,b*$B7),"")</f>
        <v/>
      </c>
      <c r="AC7" t="str">
        <f>IF(Px*AC$38+Py*$B7&lt;=I,MIN(a*AC$38,b*$B7),"")</f>
        <v/>
      </c>
      <c r="AD7" t="str">
        <f>IF(Px*AD$38+Py*$B7&lt;=I,MIN(a*AD$38,b*$B7),"")</f>
        <v/>
      </c>
      <c r="AE7" t="str">
        <f>IF(Px*AE$38+Py*$B7&lt;=I,MIN(a*AE$38,b*$B7),"")</f>
        <v/>
      </c>
      <c r="AF7" t="str">
        <f>IF(Px*AF$38+Py*$B7&lt;=I,MIN(a*AF$38,b*$B7),"")</f>
        <v/>
      </c>
      <c r="AG7" t="str">
        <f>IF(Px*AG$38+Py*$B7&lt;=I,MIN(a*AG$38,b*$B7),"")</f>
        <v/>
      </c>
      <c r="AH7" t="str">
        <f>IF(Px*AH$38+Py*$B7&lt;=I,MIN(a*AH$38,b*$B7),"")</f>
        <v/>
      </c>
    </row>
    <row r="8" spans="1:34" ht="17.25" customHeight="1" x14ac:dyDescent="0.25">
      <c r="B8" s="4">
        <f t="shared" si="0"/>
        <v>5.8000000000000025</v>
      </c>
      <c r="C8">
        <f>IF(Px*C$38+Py*$B8&lt;=I,MIN(a*C$38,b*$B8),"")</f>
        <v>0</v>
      </c>
      <c r="D8">
        <f>IF(Px*D$38+Py*$B8&lt;=I,MIN(a*D$38,b*$B8),"")</f>
        <v>0.2</v>
      </c>
      <c r="E8" t="str">
        <f>IF(Px*E$38+Py*$B8&lt;=I,MIN(a*E$38,b*$B8),"")</f>
        <v/>
      </c>
      <c r="F8" t="str">
        <f>IF(Px*F$38+Py*$B8&lt;=I,MIN(a*F$38,b*$B8),"")</f>
        <v/>
      </c>
      <c r="G8" t="str">
        <f>IF(Px*G$38+Py*$B8&lt;=I,MIN(a*G$38,b*$B8),"")</f>
        <v/>
      </c>
      <c r="H8" t="str">
        <f>IF(Px*H$38+Py*$B8&lt;=I,MIN(a*H$38,b*$B8),"")</f>
        <v/>
      </c>
      <c r="I8" t="str">
        <f>IF(Px*I$38+Py*$B8&lt;=I,MIN(a*I$38,b*$B8),"")</f>
        <v/>
      </c>
      <c r="J8" t="str">
        <f>IF(Px*J$38+Py*$B8&lt;=I,MIN(a*J$38,b*$B8),"")</f>
        <v/>
      </c>
      <c r="K8" t="str">
        <f>IF(Px*K$38+Py*$B8&lt;=I,MIN(a*K$38,b*$B8),"")</f>
        <v/>
      </c>
      <c r="L8" t="str">
        <f>IF(Px*L$38+Py*$B8&lt;=I,MIN(a*L$38,b*$B8),"")</f>
        <v/>
      </c>
      <c r="M8" t="str">
        <f>IF(Px*M$38+Py*$B8&lt;=I,MIN(a*M$38,b*$B8),"")</f>
        <v/>
      </c>
      <c r="N8" t="str">
        <f>IF(Px*N$38+Py*$B8&lt;=I,MIN(a*N$38,b*$B8),"")</f>
        <v/>
      </c>
      <c r="O8" t="str">
        <f>IF(Px*O$38+Py*$B8&lt;=I,MIN(a*O$38,b*$B8),"")</f>
        <v/>
      </c>
      <c r="P8" t="str">
        <f>IF(Px*P$38+Py*$B8&lt;=I,MIN(a*P$38,b*$B8),"")</f>
        <v/>
      </c>
      <c r="Q8" t="str">
        <f>IF(Px*Q$38+Py*$B8&lt;=I,MIN(a*Q$38,b*$B8),"")</f>
        <v/>
      </c>
      <c r="R8" t="str">
        <f>IF(Px*R$38+Py*$B8&lt;=I,MIN(a*R$38,b*$B8),"")</f>
        <v/>
      </c>
      <c r="S8" t="str">
        <f>IF(Px*S$38+Py*$B8&lt;=I,MIN(a*S$38,b*$B8),"")</f>
        <v/>
      </c>
      <c r="T8" t="str">
        <f>IF(Px*T$38+Py*$B8&lt;=I,MIN(a*T$38,b*$B8),"")</f>
        <v/>
      </c>
      <c r="U8" t="str">
        <f>IF(Px*U$38+Py*$B8&lt;=I,MIN(a*U$38,b*$B8),"")</f>
        <v/>
      </c>
      <c r="V8" t="str">
        <f>IF(Px*V$38+Py*$B8&lt;=I,MIN(a*V$38,b*$B8),"")</f>
        <v/>
      </c>
      <c r="W8" t="str">
        <f>IF(Px*W$38+Py*$B8&lt;=I,MIN(a*W$38,b*$B8),"")</f>
        <v/>
      </c>
      <c r="X8" t="str">
        <f>IF(Px*X$38+Py*$B8&lt;=I,MIN(a*X$38,b*$B8),"")</f>
        <v/>
      </c>
      <c r="Y8" t="str">
        <f>IF(Px*Y$38+Py*$B8&lt;=I,MIN(a*Y$38,b*$B8),"")</f>
        <v/>
      </c>
      <c r="Z8" t="str">
        <f>IF(Px*Z$38+Py*$B8&lt;=I,MIN(a*Z$38,b*$B8),"")</f>
        <v/>
      </c>
      <c r="AA8" t="str">
        <f>IF(Px*AA$38+Py*$B8&lt;=I,MIN(a*AA$38,b*$B8),"")</f>
        <v/>
      </c>
      <c r="AB8" t="str">
        <f>IF(Px*AB$38+Py*$B8&lt;=I,MIN(a*AB$38,b*$B8),"")</f>
        <v/>
      </c>
      <c r="AC8" t="str">
        <f>IF(Px*AC$38+Py*$B8&lt;=I,MIN(a*AC$38,b*$B8),"")</f>
        <v/>
      </c>
      <c r="AD8" t="str">
        <f>IF(Px*AD$38+Py*$B8&lt;=I,MIN(a*AD$38,b*$B8),"")</f>
        <v/>
      </c>
      <c r="AE8" t="str">
        <f>IF(Px*AE$38+Py*$B8&lt;=I,MIN(a*AE$38,b*$B8),"")</f>
        <v/>
      </c>
      <c r="AF8" t="str">
        <f>IF(Px*AF$38+Py*$B8&lt;=I,MIN(a*AF$38,b*$B8),"")</f>
        <v/>
      </c>
      <c r="AG8" t="str">
        <f>IF(Px*AG$38+Py*$B8&lt;=I,MIN(a*AG$38,b*$B8),"")</f>
        <v/>
      </c>
      <c r="AH8" t="str">
        <f>IF(Px*AH$38+Py*$B8&lt;=I,MIN(a*AH$38,b*$B8),"")</f>
        <v/>
      </c>
    </row>
    <row r="9" spans="1:34" ht="17.25" customHeight="1" x14ac:dyDescent="0.25">
      <c r="B9" s="4">
        <f t="shared" si="0"/>
        <v>5.6000000000000023</v>
      </c>
      <c r="C9">
        <f>IF(Px*C$38+Py*$B9&lt;=I,MIN(a*C$38,b*$B9),"")</f>
        <v>0</v>
      </c>
      <c r="D9">
        <f>IF(Px*D$38+Py*$B9&lt;=I,MIN(a*D$38,b*$B9),"")</f>
        <v>0.2</v>
      </c>
      <c r="E9">
        <f>IF(Px*E$38+Py*$B9&lt;=I,MIN(a*E$38,b*$B9),"")</f>
        <v>0.4</v>
      </c>
      <c r="F9" t="str">
        <f>IF(Px*F$38+Py*$B9&lt;=I,MIN(a*F$38,b*$B9),"")</f>
        <v/>
      </c>
      <c r="G9" t="str">
        <f>IF(Px*G$38+Py*$B9&lt;=I,MIN(a*G$38,b*$B9),"")</f>
        <v/>
      </c>
      <c r="H9" t="str">
        <f>IF(Px*H$38+Py*$B9&lt;=I,MIN(a*H$38,b*$B9),"")</f>
        <v/>
      </c>
      <c r="I9" t="str">
        <f>IF(Px*I$38+Py*$B9&lt;=I,MIN(a*I$38,b*$B9),"")</f>
        <v/>
      </c>
      <c r="J9" t="str">
        <f>IF(Px*J$38+Py*$B9&lt;=I,MIN(a*J$38,b*$B9),"")</f>
        <v/>
      </c>
      <c r="K9" t="str">
        <f>IF(Px*K$38+Py*$B9&lt;=I,MIN(a*K$38,b*$B9),"")</f>
        <v/>
      </c>
      <c r="L9" t="str">
        <f>IF(Px*L$38+Py*$B9&lt;=I,MIN(a*L$38,b*$B9),"")</f>
        <v/>
      </c>
      <c r="M9" t="str">
        <f>IF(Px*M$38+Py*$B9&lt;=I,MIN(a*M$38,b*$B9),"")</f>
        <v/>
      </c>
      <c r="N9" t="str">
        <f>IF(Px*N$38+Py*$B9&lt;=I,MIN(a*N$38,b*$B9),"")</f>
        <v/>
      </c>
      <c r="O9" t="str">
        <f>IF(Px*O$38+Py*$B9&lt;=I,MIN(a*O$38,b*$B9),"")</f>
        <v/>
      </c>
      <c r="P9" t="str">
        <f>IF(Px*P$38+Py*$B9&lt;=I,MIN(a*P$38,b*$B9),"")</f>
        <v/>
      </c>
      <c r="Q9" t="str">
        <f>IF(Px*Q$38+Py*$B9&lt;=I,MIN(a*Q$38,b*$B9),"")</f>
        <v/>
      </c>
      <c r="R9" t="str">
        <f>IF(Px*R$38+Py*$B9&lt;=I,MIN(a*R$38,b*$B9),"")</f>
        <v/>
      </c>
      <c r="S9" t="str">
        <f>IF(Px*S$38+Py*$B9&lt;=I,MIN(a*S$38,b*$B9),"")</f>
        <v/>
      </c>
      <c r="T9" t="str">
        <f>IF(Px*T$38+Py*$B9&lt;=I,MIN(a*T$38,b*$B9),"")</f>
        <v/>
      </c>
      <c r="U9" t="str">
        <f>IF(Px*U$38+Py*$B9&lt;=I,MIN(a*U$38,b*$B9),"")</f>
        <v/>
      </c>
      <c r="V9" t="str">
        <f>IF(Px*V$38+Py*$B9&lt;=I,MIN(a*V$38,b*$B9),"")</f>
        <v/>
      </c>
      <c r="W9" t="str">
        <f>IF(Px*W$38+Py*$B9&lt;=I,MIN(a*W$38,b*$B9),"")</f>
        <v/>
      </c>
      <c r="X9" t="str">
        <f>IF(Px*X$38+Py*$B9&lt;=I,MIN(a*X$38,b*$B9),"")</f>
        <v/>
      </c>
      <c r="Y9" t="str">
        <f>IF(Px*Y$38+Py*$B9&lt;=I,MIN(a*Y$38,b*$B9),"")</f>
        <v/>
      </c>
      <c r="Z9" t="str">
        <f>IF(Px*Z$38+Py*$B9&lt;=I,MIN(a*Z$38,b*$B9),"")</f>
        <v/>
      </c>
      <c r="AA9" t="str">
        <f>IF(Px*AA$38+Py*$B9&lt;=I,MIN(a*AA$38,b*$B9),"")</f>
        <v/>
      </c>
      <c r="AB9" t="str">
        <f>IF(Px*AB$38+Py*$B9&lt;=I,MIN(a*AB$38,b*$B9),"")</f>
        <v/>
      </c>
      <c r="AC9" t="str">
        <f>IF(Px*AC$38+Py*$B9&lt;=I,MIN(a*AC$38,b*$B9),"")</f>
        <v/>
      </c>
      <c r="AD9" t="str">
        <f>IF(Px*AD$38+Py*$B9&lt;=I,MIN(a*AD$38,b*$B9),"")</f>
        <v/>
      </c>
      <c r="AE9" t="str">
        <f>IF(Px*AE$38+Py*$B9&lt;=I,MIN(a*AE$38,b*$B9),"")</f>
        <v/>
      </c>
      <c r="AF9" t="str">
        <f>IF(Px*AF$38+Py*$B9&lt;=I,MIN(a*AF$38,b*$B9),"")</f>
        <v/>
      </c>
      <c r="AG9" t="str">
        <f>IF(Px*AG$38+Py*$B9&lt;=I,MIN(a*AG$38,b*$B9),"")</f>
        <v/>
      </c>
      <c r="AH9" t="str">
        <f>IF(Px*AH$38+Py*$B9&lt;=I,MIN(a*AH$38,b*$B9),"")</f>
        <v/>
      </c>
    </row>
    <row r="10" spans="1:34" ht="17.25" customHeight="1" x14ac:dyDescent="0.25">
      <c r="B10" s="4">
        <f t="shared" si="0"/>
        <v>5.4000000000000021</v>
      </c>
      <c r="C10">
        <f>IF(Px*C$38+Py*$B10&lt;=I,MIN(a*C$38,b*$B10),"")</f>
        <v>0</v>
      </c>
      <c r="D10">
        <f>IF(Px*D$38+Py*$B10&lt;=I,MIN(a*D$38,b*$B10),"")</f>
        <v>0.2</v>
      </c>
      <c r="E10">
        <f>IF(Px*E$38+Py*$B10&lt;=I,MIN(a*E$38,b*$B10),"")</f>
        <v>0.4</v>
      </c>
      <c r="F10">
        <f>IF(Px*F$38+Py*$B10&lt;=I,MIN(a*F$38,b*$B10),"")</f>
        <v>0.60000000000000009</v>
      </c>
      <c r="G10" t="str">
        <f>IF(Px*G$38+Py*$B10&lt;=I,MIN(a*G$38,b*$B10),"")</f>
        <v/>
      </c>
      <c r="H10" t="str">
        <f>IF(Px*H$38+Py*$B10&lt;=I,MIN(a*H$38,b*$B10),"")</f>
        <v/>
      </c>
      <c r="I10" t="str">
        <f>IF(Px*I$38+Py*$B10&lt;=I,MIN(a*I$38,b*$B10),"")</f>
        <v/>
      </c>
      <c r="J10" t="str">
        <f>IF(Px*J$38+Py*$B10&lt;=I,MIN(a*J$38,b*$B10),"")</f>
        <v/>
      </c>
      <c r="K10" t="str">
        <f>IF(Px*K$38+Py*$B10&lt;=I,MIN(a*K$38,b*$B10),"")</f>
        <v/>
      </c>
      <c r="L10" t="str">
        <f>IF(Px*L$38+Py*$B10&lt;=I,MIN(a*L$38,b*$B10),"")</f>
        <v/>
      </c>
      <c r="M10" t="str">
        <f>IF(Px*M$38+Py*$B10&lt;=I,MIN(a*M$38,b*$B10),"")</f>
        <v/>
      </c>
      <c r="N10" t="str">
        <f>IF(Px*N$38+Py*$B10&lt;=I,MIN(a*N$38,b*$B10),"")</f>
        <v/>
      </c>
      <c r="O10" t="str">
        <f>IF(Px*O$38+Py*$B10&lt;=I,MIN(a*O$38,b*$B10),"")</f>
        <v/>
      </c>
      <c r="P10" t="str">
        <f>IF(Px*P$38+Py*$B10&lt;=I,MIN(a*P$38,b*$B10),"")</f>
        <v/>
      </c>
      <c r="Q10" t="str">
        <f>IF(Px*Q$38+Py*$B10&lt;=I,MIN(a*Q$38,b*$B10),"")</f>
        <v/>
      </c>
      <c r="R10" t="str">
        <f>IF(Px*R$38+Py*$B10&lt;=I,MIN(a*R$38,b*$B10),"")</f>
        <v/>
      </c>
      <c r="S10" t="str">
        <f>IF(Px*S$38+Py*$B10&lt;=I,MIN(a*S$38,b*$B10),"")</f>
        <v/>
      </c>
      <c r="T10" t="str">
        <f>IF(Px*T$38+Py*$B10&lt;=I,MIN(a*T$38,b*$B10),"")</f>
        <v/>
      </c>
      <c r="U10" t="str">
        <f>IF(Px*U$38+Py*$B10&lt;=I,MIN(a*U$38,b*$B10),"")</f>
        <v/>
      </c>
      <c r="V10" t="str">
        <f>IF(Px*V$38+Py*$B10&lt;=I,MIN(a*V$38,b*$B10),"")</f>
        <v/>
      </c>
      <c r="W10" t="str">
        <f>IF(Px*W$38+Py*$B10&lt;=I,MIN(a*W$38,b*$B10),"")</f>
        <v/>
      </c>
      <c r="X10" t="str">
        <f>IF(Px*X$38+Py*$B10&lt;=I,MIN(a*X$38,b*$B10),"")</f>
        <v/>
      </c>
      <c r="Y10" t="str">
        <f>IF(Px*Y$38+Py*$B10&lt;=I,MIN(a*Y$38,b*$B10),"")</f>
        <v/>
      </c>
      <c r="Z10" t="str">
        <f>IF(Px*Z$38+Py*$B10&lt;=I,MIN(a*Z$38,b*$B10),"")</f>
        <v/>
      </c>
      <c r="AA10" t="str">
        <f>IF(Px*AA$38+Py*$B10&lt;=I,MIN(a*AA$38,b*$B10),"")</f>
        <v/>
      </c>
      <c r="AB10" t="str">
        <f>IF(Px*AB$38+Py*$B10&lt;=I,MIN(a*AB$38,b*$B10),"")</f>
        <v/>
      </c>
      <c r="AC10" t="str">
        <f>IF(Px*AC$38+Py*$B10&lt;=I,MIN(a*AC$38,b*$B10),"")</f>
        <v/>
      </c>
      <c r="AD10" t="str">
        <f>IF(Px*AD$38+Py*$B10&lt;=I,MIN(a*AD$38,b*$B10),"")</f>
        <v/>
      </c>
      <c r="AE10" t="str">
        <f>IF(Px*AE$38+Py*$B10&lt;=I,MIN(a*AE$38,b*$B10),"")</f>
        <v/>
      </c>
      <c r="AF10" t="str">
        <f>IF(Px*AF$38+Py*$B10&lt;=I,MIN(a*AF$38,b*$B10),"")</f>
        <v/>
      </c>
      <c r="AG10" t="str">
        <f>IF(Px*AG$38+Py*$B10&lt;=I,MIN(a*AG$38,b*$B10),"")</f>
        <v/>
      </c>
      <c r="AH10" t="str">
        <f>IF(Px*AH$38+Py*$B10&lt;=I,MIN(a*AH$38,b*$B10),"")</f>
        <v/>
      </c>
    </row>
    <row r="11" spans="1:34" ht="17.25" customHeight="1" x14ac:dyDescent="0.25">
      <c r="B11" s="4">
        <f t="shared" si="0"/>
        <v>5.200000000000002</v>
      </c>
      <c r="C11">
        <f>IF(Px*C$38+Py*$B11&lt;=I,MIN(a*C$38,b*$B11),"")</f>
        <v>0</v>
      </c>
      <c r="D11">
        <f>IF(Px*D$38+Py*$B11&lt;=I,MIN(a*D$38,b*$B11),"")</f>
        <v>0.2</v>
      </c>
      <c r="E11">
        <f>IF(Px*E$38+Py*$B11&lt;=I,MIN(a*E$38,b*$B11),"")</f>
        <v>0.4</v>
      </c>
      <c r="F11">
        <f>IF(Px*F$38+Py*$B11&lt;=I,MIN(a*F$38,b*$B11),"")</f>
        <v>0.60000000000000009</v>
      </c>
      <c r="G11">
        <f>IF(Px*G$38+Py*$B11&lt;=I,MIN(a*G$38,b*$B11),"")</f>
        <v>0.8</v>
      </c>
      <c r="H11" t="str">
        <f>IF(Px*H$38+Py*$B11&lt;=I,MIN(a*H$38,b*$B11),"")</f>
        <v/>
      </c>
      <c r="I11" t="str">
        <f>IF(Px*I$38+Py*$B11&lt;=I,MIN(a*I$38,b*$B11),"")</f>
        <v/>
      </c>
      <c r="J11" t="str">
        <f>IF(Px*J$38+Py*$B11&lt;=I,MIN(a*J$38,b*$B11),"")</f>
        <v/>
      </c>
      <c r="K11" t="str">
        <f>IF(Px*K$38+Py*$B11&lt;=I,MIN(a*K$38,b*$B11),"")</f>
        <v/>
      </c>
      <c r="L11" t="str">
        <f>IF(Px*L$38+Py*$B11&lt;=I,MIN(a*L$38,b*$B11),"")</f>
        <v/>
      </c>
      <c r="M11" t="str">
        <f>IF(Px*M$38+Py*$B11&lt;=I,MIN(a*M$38,b*$B11),"")</f>
        <v/>
      </c>
      <c r="N11" t="str">
        <f>IF(Px*N$38+Py*$B11&lt;=I,MIN(a*N$38,b*$B11),"")</f>
        <v/>
      </c>
      <c r="O11" t="str">
        <f>IF(Px*O$38+Py*$B11&lt;=I,MIN(a*O$38,b*$B11),"")</f>
        <v/>
      </c>
      <c r="P11" t="str">
        <f>IF(Px*P$38+Py*$B11&lt;=I,MIN(a*P$38,b*$B11),"")</f>
        <v/>
      </c>
      <c r="Q11" t="str">
        <f>IF(Px*Q$38+Py*$B11&lt;=I,MIN(a*Q$38,b*$B11),"")</f>
        <v/>
      </c>
      <c r="R11" t="str">
        <f>IF(Px*R$38+Py*$B11&lt;=I,MIN(a*R$38,b*$B11),"")</f>
        <v/>
      </c>
      <c r="S11" t="str">
        <f>IF(Px*S$38+Py*$B11&lt;=I,MIN(a*S$38,b*$B11),"")</f>
        <v/>
      </c>
      <c r="T11" t="str">
        <f>IF(Px*T$38+Py*$B11&lt;=I,MIN(a*T$38,b*$B11),"")</f>
        <v/>
      </c>
      <c r="U11" t="str">
        <f>IF(Px*U$38+Py*$B11&lt;=I,MIN(a*U$38,b*$B11),"")</f>
        <v/>
      </c>
      <c r="V11" t="str">
        <f>IF(Px*V$38+Py*$B11&lt;=I,MIN(a*V$38,b*$B11),"")</f>
        <v/>
      </c>
      <c r="W11" t="str">
        <f>IF(Px*W$38+Py*$B11&lt;=I,MIN(a*W$38,b*$B11),"")</f>
        <v/>
      </c>
      <c r="X11" t="str">
        <f>IF(Px*X$38+Py*$B11&lt;=I,MIN(a*X$38,b*$B11),"")</f>
        <v/>
      </c>
      <c r="Y11" t="str">
        <f>IF(Px*Y$38+Py*$B11&lt;=I,MIN(a*Y$38,b*$B11),"")</f>
        <v/>
      </c>
      <c r="Z11" t="str">
        <f>IF(Px*Z$38+Py*$B11&lt;=I,MIN(a*Z$38,b*$B11),"")</f>
        <v/>
      </c>
      <c r="AA11" t="str">
        <f>IF(Px*AA$38+Py*$B11&lt;=I,MIN(a*AA$38,b*$B11),"")</f>
        <v/>
      </c>
      <c r="AB11" t="str">
        <f>IF(Px*AB$38+Py*$B11&lt;=I,MIN(a*AB$38,b*$B11),"")</f>
        <v/>
      </c>
      <c r="AC11" t="str">
        <f>IF(Px*AC$38+Py*$B11&lt;=I,MIN(a*AC$38,b*$B11),"")</f>
        <v/>
      </c>
      <c r="AD11" t="str">
        <f>IF(Px*AD$38+Py*$B11&lt;=I,MIN(a*AD$38,b*$B11),"")</f>
        <v/>
      </c>
      <c r="AE11" t="str">
        <f>IF(Px*AE$38+Py*$B11&lt;=I,MIN(a*AE$38,b*$B11),"")</f>
        <v/>
      </c>
      <c r="AF11" t="str">
        <f>IF(Px*AF$38+Py*$B11&lt;=I,MIN(a*AF$38,b*$B11),"")</f>
        <v/>
      </c>
      <c r="AG11" t="str">
        <f>IF(Px*AG$38+Py*$B11&lt;=I,MIN(a*AG$38,b*$B11),"")</f>
        <v/>
      </c>
      <c r="AH11" t="str">
        <f>IF(Px*AH$38+Py*$B11&lt;=I,MIN(a*AH$38,b*$B11),"")</f>
        <v/>
      </c>
    </row>
    <row r="12" spans="1:34" ht="17.25" customHeight="1" x14ac:dyDescent="0.25">
      <c r="B12" s="4">
        <f t="shared" si="0"/>
        <v>5.0000000000000018</v>
      </c>
      <c r="C12">
        <f>IF(Px*C$38+Py*$B12&lt;=I,MIN(a*C$38,b*$B12),"")</f>
        <v>0</v>
      </c>
      <c r="D12">
        <f>IF(Px*D$38+Py*$B12&lt;=I,MIN(a*D$38,b*$B12),"")</f>
        <v>0.2</v>
      </c>
      <c r="E12">
        <f>IF(Px*E$38+Py*$B12&lt;=I,MIN(a*E$38,b*$B12),"")</f>
        <v>0.4</v>
      </c>
      <c r="F12">
        <f>IF(Px*F$38+Py*$B12&lt;=I,MIN(a*F$38,b*$B12),"")</f>
        <v>0.60000000000000009</v>
      </c>
      <c r="G12">
        <f>IF(Px*G$38+Py*$B12&lt;=I,MIN(a*G$38,b*$B12),"")</f>
        <v>0.8</v>
      </c>
      <c r="H12">
        <f>IF(Px*H$38+Py*$B12&lt;=I,MIN(a*H$38,b*$B12),"")</f>
        <v>1</v>
      </c>
      <c r="I12" t="str">
        <f>IF(Px*I$38+Py*$B12&lt;=I,MIN(a*I$38,b*$B12),"")</f>
        <v/>
      </c>
      <c r="J12" t="str">
        <f>IF(Px*J$38+Py*$B12&lt;=I,MIN(a*J$38,b*$B12),"")</f>
        <v/>
      </c>
      <c r="K12" t="str">
        <f>IF(Px*K$38+Py*$B12&lt;=I,MIN(a*K$38,b*$B12),"")</f>
        <v/>
      </c>
      <c r="L12" t="str">
        <f>IF(Px*L$38+Py*$B12&lt;=I,MIN(a*L$38,b*$B12),"")</f>
        <v/>
      </c>
      <c r="M12" t="str">
        <f>IF(Px*M$38+Py*$B12&lt;=I,MIN(a*M$38,b*$B12),"")</f>
        <v/>
      </c>
      <c r="N12" t="str">
        <f>IF(Px*N$38+Py*$B12&lt;=I,MIN(a*N$38,b*$B12),"")</f>
        <v/>
      </c>
      <c r="O12" t="str">
        <f>IF(Px*O$38+Py*$B12&lt;=I,MIN(a*O$38,b*$B12),"")</f>
        <v/>
      </c>
      <c r="P12" t="str">
        <f>IF(Px*P$38+Py*$B12&lt;=I,MIN(a*P$38,b*$B12),"")</f>
        <v/>
      </c>
      <c r="Q12" t="str">
        <f>IF(Px*Q$38+Py*$B12&lt;=I,MIN(a*Q$38,b*$B12),"")</f>
        <v/>
      </c>
      <c r="R12" t="str">
        <f>IF(Px*R$38+Py*$B12&lt;=I,MIN(a*R$38,b*$B12),"")</f>
        <v/>
      </c>
      <c r="S12" t="str">
        <f>IF(Px*S$38+Py*$B12&lt;=I,MIN(a*S$38,b*$B12),"")</f>
        <v/>
      </c>
      <c r="T12" t="str">
        <f>IF(Px*T$38+Py*$B12&lt;=I,MIN(a*T$38,b*$B12),"")</f>
        <v/>
      </c>
      <c r="U12" t="str">
        <f>IF(Px*U$38+Py*$B12&lt;=I,MIN(a*U$38,b*$B12),"")</f>
        <v/>
      </c>
      <c r="V12" t="str">
        <f>IF(Px*V$38+Py*$B12&lt;=I,MIN(a*V$38,b*$B12),"")</f>
        <v/>
      </c>
      <c r="W12" t="str">
        <f>IF(Px*W$38+Py*$B12&lt;=I,MIN(a*W$38,b*$B12),"")</f>
        <v/>
      </c>
      <c r="X12" t="str">
        <f>IF(Px*X$38+Py*$B12&lt;=I,MIN(a*X$38,b*$B12),"")</f>
        <v/>
      </c>
      <c r="Y12" t="str">
        <f>IF(Px*Y$38+Py*$B12&lt;=I,MIN(a*Y$38,b*$B12),"")</f>
        <v/>
      </c>
      <c r="Z12" t="str">
        <f>IF(Px*Z$38+Py*$B12&lt;=I,MIN(a*Z$38,b*$B12),"")</f>
        <v/>
      </c>
      <c r="AA12" t="str">
        <f>IF(Px*AA$38+Py*$B12&lt;=I,MIN(a*AA$38,b*$B12),"")</f>
        <v/>
      </c>
      <c r="AB12" t="str">
        <f>IF(Px*AB$38+Py*$B12&lt;=I,MIN(a*AB$38,b*$B12),"")</f>
        <v/>
      </c>
      <c r="AC12" t="str">
        <f>IF(Px*AC$38+Py*$B12&lt;=I,MIN(a*AC$38,b*$B12),"")</f>
        <v/>
      </c>
      <c r="AD12" t="str">
        <f>IF(Px*AD$38+Py*$B12&lt;=I,MIN(a*AD$38,b*$B12),"")</f>
        <v/>
      </c>
      <c r="AE12" t="str">
        <f>IF(Px*AE$38+Py*$B12&lt;=I,MIN(a*AE$38,b*$B12),"")</f>
        <v/>
      </c>
      <c r="AF12" t="str">
        <f>IF(Px*AF$38+Py*$B12&lt;=I,MIN(a*AF$38,b*$B12),"")</f>
        <v/>
      </c>
      <c r="AG12" t="str">
        <f>IF(Px*AG$38+Py*$B12&lt;=I,MIN(a*AG$38,b*$B12),"")</f>
        <v/>
      </c>
      <c r="AH12" t="str">
        <f>IF(Px*AH$38+Py*$B12&lt;=I,MIN(a*AH$38,b*$B12),"")</f>
        <v/>
      </c>
    </row>
    <row r="13" spans="1:34" ht="17.25" customHeight="1" x14ac:dyDescent="0.25">
      <c r="B13" s="4">
        <f t="shared" si="0"/>
        <v>4.8000000000000016</v>
      </c>
      <c r="C13">
        <f>IF(Px*C$38+Py*$B13&lt;=I,MIN(a*C$38,b*$B13),"")</f>
        <v>0</v>
      </c>
      <c r="D13">
        <f>IF(Px*D$38+Py*$B13&lt;=I,MIN(a*D$38,b*$B13),"")</f>
        <v>0.2</v>
      </c>
      <c r="E13">
        <f>IF(Px*E$38+Py*$B13&lt;=I,MIN(a*E$38,b*$B13),"")</f>
        <v>0.4</v>
      </c>
      <c r="F13">
        <f>IF(Px*F$38+Py*$B13&lt;=I,MIN(a*F$38,b*$B13),"")</f>
        <v>0.60000000000000009</v>
      </c>
      <c r="G13">
        <f>IF(Px*G$38+Py*$B13&lt;=I,MIN(a*G$38,b*$B13),"")</f>
        <v>0.8</v>
      </c>
      <c r="H13">
        <f>IF(Px*H$38+Py*$B13&lt;=I,MIN(a*H$38,b*$B13),"")</f>
        <v>1</v>
      </c>
      <c r="I13">
        <f>IF(Px*I$38+Py*$B13&lt;=I,MIN(a*I$38,b*$B13),"")</f>
        <v>1.2</v>
      </c>
      <c r="J13" t="str">
        <f>IF(Px*J$38+Py*$B13&lt;=I,MIN(a*J$38,b*$B13),"")</f>
        <v/>
      </c>
      <c r="K13" t="str">
        <f>IF(Px*K$38+Py*$B13&lt;=I,MIN(a*K$38,b*$B13),"")</f>
        <v/>
      </c>
      <c r="L13" t="str">
        <f>IF(Px*L$38+Py*$B13&lt;=I,MIN(a*L$38,b*$B13),"")</f>
        <v/>
      </c>
      <c r="M13" t="str">
        <f>IF(Px*M$38+Py*$B13&lt;=I,MIN(a*M$38,b*$B13),"")</f>
        <v/>
      </c>
      <c r="N13" t="str">
        <f>IF(Px*N$38+Py*$B13&lt;=I,MIN(a*N$38,b*$B13),"")</f>
        <v/>
      </c>
      <c r="O13" t="str">
        <f>IF(Px*O$38+Py*$B13&lt;=I,MIN(a*O$38,b*$B13),"")</f>
        <v/>
      </c>
      <c r="P13" t="str">
        <f>IF(Px*P$38+Py*$B13&lt;=I,MIN(a*P$38,b*$B13),"")</f>
        <v/>
      </c>
      <c r="Q13" t="str">
        <f>IF(Px*Q$38+Py*$B13&lt;=I,MIN(a*Q$38,b*$B13),"")</f>
        <v/>
      </c>
      <c r="R13" t="str">
        <f>IF(Px*R$38+Py*$B13&lt;=I,MIN(a*R$38,b*$B13),"")</f>
        <v/>
      </c>
      <c r="S13" t="str">
        <f>IF(Px*S$38+Py*$B13&lt;=I,MIN(a*S$38,b*$B13),"")</f>
        <v/>
      </c>
      <c r="T13" t="str">
        <f>IF(Px*T$38+Py*$B13&lt;=I,MIN(a*T$38,b*$B13),"")</f>
        <v/>
      </c>
      <c r="U13" t="str">
        <f>IF(Px*U$38+Py*$B13&lt;=I,MIN(a*U$38,b*$B13),"")</f>
        <v/>
      </c>
      <c r="V13" t="str">
        <f>IF(Px*V$38+Py*$B13&lt;=I,MIN(a*V$38,b*$B13),"")</f>
        <v/>
      </c>
      <c r="W13" t="str">
        <f>IF(Px*W$38+Py*$B13&lt;=I,MIN(a*W$38,b*$B13),"")</f>
        <v/>
      </c>
      <c r="X13" t="str">
        <f>IF(Px*X$38+Py*$B13&lt;=I,MIN(a*X$38,b*$B13),"")</f>
        <v/>
      </c>
      <c r="Y13" t="str">
        <f>IF(Px*Y$38+Py*$B13&lt;=I,MIN(a*Y$38,b*$B13),"")</f>
        <v/>
      </c>
      <c r="Z13" t="str">
        <f>IF(Px*Z$38+Py*$B13&lt;=I,MIN(a*Z$38,b*$B13),"")</f>
        <v/>
      </c>
      <c r="AA13" t="str">
        <f>IF(Px*AA$38+Py*$B13&lt;=I,MIN(a*AA$38,b*$B13),"")</f>
        <v/>
      </c>
      <c r="AB13" t="str">
        <f>IF(Px*AB$38+Py*$B13&lt;=I,MIN(a*AB$38,b*$B13),"")</f>
        <v/>
      </c>
      <c r="AC13" t="str">
        <f>IF(Px*AC$38+Py*$B13&lt;=I,MIN(a*AC$38,b*$B13),"")</f>
        <v/>
      </c>
      <c r="AD13" t="str">
        <f>IF(Px*AD$38+Py*$B13&lt;=I,MIN(a*AD$38,b*$B13),"")</f>
        <v/>
      </c>
      <c r="AE13" t="str">
        <f>IF(Px*AE$38+Py*$B13&lt;=I,MIN(a*AE$38,b*$B13),"")</f>
        <v/>
      </c>
      <c r="AF13" t="str">
        <f>IF(Px*AF$38+Py*$B13&lt;=I,MIN(a*AF$38,b*$B13),"")</f>
        <v/>
      </c>
      <c r="AG13" t="str">
        <f>IF(Px*AG$38+Py*$B13&lt;=I,MIN(a*AG$38,b*$B13),"")</f>
        <v/>
      </c>
      <c r="AH13" t="str">
        <f>IF(Px*AH$38+Py*$B13&lt;=I,MIN(a*AH$38,b*$B13),"")</f>
        <v/>
      </c>
    </row>
    <row r="14" spans="1:34" ht="17.25" customHeight="1" x14ac:dyDescent="0.25">
      <c r="B14" s="4">
        <f t="shared" si="0"/>
        <v>4.6000000000000014</v>
      </c>
      <c r="C14">
        <f>IF(Px*C$38+Py*$B14&lt;=I,MIN(a*C$38,b*$B14),"")</f>
        <v>0</v>
      </c>
      <c r="D14">
        <f>IF(Px*D$38+Py*$B14&lt;=I,MIN(a*D$38,b*$B14),"")</f>
        <v>0.2</v>
      </c>
      <c r="E14">
        <f>IF(Px*E$38+Py*$B14&lt;=I,MIN(a*E$38,b*$B14),"")</f>
        <v>0.4</v>
      </c>
      <c r="F14">
        <f>IF(Px*F$38+Py*$B14&lt;=I,MIN(a*F$38,b*$B14),"")</f>
        <v>0.60000000000000009</v>
      </c>
      <c r="G14">
        <f>IF(Px*G$38+Py*$B14&lt;=I,MIN(a*G$38,b*$B14),"")</f>
        <v>0.8</v>
      </c>
      <c r="H14">
        <f>IF(Px*H$38+Py*$B14&lt;=I,MIN(a*H$38,b*$B14),"")</f>
        <v>1</v>
      </c>
      <c r="I14">
        <f>IF(Px*I$38+Py*$B14&lt;=I,MIN(a*I$38,b*$B14),"")</f>
        <v>1.2</v>
      </c>
      <c r="J14">
        <f>IF(Px*J$38+Py*$B14&lt;=I,MIN(a*J$38,b*$B14),"")</f>
        <v>1.4</v>
      </c>
      <c r="K14" t="str">
        <f>IF(Px*K$38+Py*$B14&lt;=I,MIN(a*K$38,b*$B14),"")</f>
        <v/>
      </c>
      <c r="L14" t="str">
        <f>IF(Px*L$38+Py*$B14&lt;=I,MIN(a*L$38,b*$B14),"")</f>
        <v/>
      </c>
      <c r="M14" t="str">
        <f>IF(Px*M$38+Py*$B14&lt;=I,MIN(a*M$38,b*$B14),"")</f>
        <v/>
      </c>
      <c r="N14" t="str">
        <f>IF(Px*N$38+Py*$B14&lt;=I,MIN(a*N$38,b*$B14),"")</f>
        <v/>
      </c>
      <c r="O14" t="str">
        <f>IF(Px*O$38+Py*$B14&lt;=I,MIN(a*O$38,b*$B14),"")</f>
        <v/>
      </c>
      <c r="P14" t="str">
        <f>IF(Px*P$38+Py*$B14&lt;=I,MIN(a*P$38,b*$B14),"")</f>
        <v/>
      </c>
      <c r="Q14" t="str">
        <f>IF(Px*Q$38+Py*$B14&lt;=I,MIN(a*Q$38,b*$B14),"")</f>
        <v/>
      </c>
      <c r="R14" t="str">
        <f>IF(Px*R$38+Py*$B14&lt;=I,MIN(a*R$38,b*$B14),"")</f>
        <v/>
      </c>
      <c r="S14" t="str">
        <f>IF(Px*S$38+Py*$B14&lt;=I,MIN(a*S$38,b*$B14),"")</f>
        <v/>
      </c>
      <c r="T14" t="str">
        <f>IF(Px*T$38+Py*$B14&lt;=I,MIN(a*T$38,b*$B14),"")</f>
        <v/>
      </c>
      <c r="U14" t="str">
        <f>IF(Px*U$38+Py*$B14&lt;=I,MIN(a*U$38,b*$B14),"")</f>
        <v/>
      </c>
      <c r="V14" t="str">
        <f>IF(Px*V$38+Py*$B14&lt;=I,MIN(a*V$38,b*$B14),"")</f>
        <v/>
      </c>
      <c r="W14" t="str">
        <f>IF(Px*W$38+Py*$B14&lt;=I,MIN(a*W$38,b*$B14),"")</f>
        <v/>
      </c>
      <c r="X14" t="str">
        <f>IF(Px*X$38+Py*$B14&lt;=I,MIN(a*X$38,b*$B14),"")</f>
        <v/>
      </c>
      <c r="Y14" t="str">
        <f>IF(Px*Y$38+Py*$B14&lt;=I,MIN(a*Y$38,b*$B14),"")</f>
        <v/>
      </c>
      <c r="Z14" t="str">
        <f>IF(Px*Z$38+Py*$B14&lt;=I,MIN(a*Z$38,b*$B14),"")</f>
        <v/>
      </c>
      <c r="AA14" t="str">
        <f>IF(Px*AA$38+Py*$B14&lt;=I,MIN(a*AA$38,b*$B14),"")</f>
        <v/>
      </c>
      <c r="AB14" t="str">
        <f>IF(Px*AB$38+Py*$B14&lt;=I,MIN(a*AB$38,b*$B14),"")</f>
        <v/>
      </c>
      <c r="AC14" t="str">
        <f>IF(Px*AC$38+Py*$B14&lt;=I,MIN(a*AC$38,b*$B14),"")</f>
        <v/>
      </c>
      <c r="AD14" t="str">
        <f>IF(Px*AD$38+Py*$B14&lt;=I,MIN(a*AD$38,b*$B14),"")</f>
        <v/>
      </c>
      <c r="AE14" t="str">
        <f>IF(Px*AE$38+Py*$B14&lt;=I,MIN(a*AE$38,b*$B14),"")</f>
        <v/>
      </c>
      <c r="AF14" t="str">
        <f>IF(Px*AF$38+Py*$B14&lt;=I,MIN(a*AF$38,b*$B14),"")</f>
        <v/>
      </c>
      <c r="AG14" t="str">
        <f>IF(Px*AG$38+Py*$B14&lt;=I,MIN(a*AG$38,b*$B14),"")</f>
        <v/>
      </c>
      <c r="AH14" t="str">
        <f>IF(Px*AH$38+Py*$B14&lt;=I,MIN(a*AH$38,b*$B14),"")</f>
        <v/>
      </c>
    </row>
    <row r="15" spans="1:34" ht="17.25" customHeight="1" x14ac:dyDescent="0.25">
      <c r="B15" s="4">
        <f t="shared" si="0"/>
        <v>4.4000000000000012</v>
      </c>
      <c r="C15">
        <f>IF(Px*C$38+Py*$B15&lt;=I,MIN(a*C$38,b*$B15),"")</f>
        <v>0</v>
      </c>
      <c r="D15">
        <f>IF(Px*D$38+Py*$B15&lt;=I,MIN(a*D$38,b*$B15),"")</f>
        <v>0.2</v>
      </c>
      <c r="E15">
        <f>IF(Px*E$38+Py*$B15&lt;=I,MIN(a*E$38,b*$B15),"")</f>
        <v>0.4</v>
      </c>
      <c r="F15">
        <f>IF(Px*F$38+Py*$B15&lt;=I,MIN(a*F$38,b*$B15),"")</f>
        <v>0.60000000000000009</v>
      </c>
      <c r="G15">
        <f>IF(Px*G$38+Py*$B15&lt;=I,MIN(a*G$38,b*$B15),"")</f>
        <v>0.8</v>
      </c>
      <c r="H15">
        <f>IF(Px*H$38+Py*$B15&lt;=I,MIN(a*H$38,b*$B15),"")</f>
        <v>1</v>
      </c>
      <c r="I15">
        <f>IF(Px*I$38+Py*$B15&lt;=I,MIN(a*I$38,b*$B15),"")</f>
        <v>1.2</v>
      </c>
      <c r="J15">
        <f>IF(Px*J$38+Py*$B15&lt;=I,MIN(a*J$38,b*$B15),"")</f>
        <v>1.4</v>
      </c>
      <c r="K15">
        <f>IF(Px*K$38+Py*$B15&lt;=I,MIN(a*K$38,b*$B15),"")</f>
        <v>1.5999999999999999</v>
      </c>
      <c r="L15" t="str">
        <f>IF(Px*L$38+Py*$B15&lt;=I,MIN(a*L$38,b*$B15),"")</f>
        <v/>
      </c>
      <c r="M15" t="str">
        <f>IF(Px*M$38+Py*$B15&lt;=I,MIN(a*M$38,b*$B15),"")</f>
        <v/>
      </c>
      <c r="N15" t="str">
        <f>IF(Px*N$38+Py*$B15&lt;=I,MIN(a*N$38,b*$B15),"")</f>
        <v/>
      </c>
      <c r="O15" t="str">
        <f>IF(Px*O$38+Py*$B15&lt;=I,MIN(a*O$38,b*$B15),"")</f>
        <v/>
      </c>
      <c r="P15" t="str">
        <f>IF(Px*P$38+Py*$B15&lt;=I,MIN(a*P$38,b*$B15),"")</f>
        <v/>
      </c>
      <c r="Q15" t="str">
        <f>IF(Px*Q$38+Py*$B15&lt;=I,MIN(a*Q$38,b*$B15),"")</f>
        <v/>
      </c>
      <c r="R15" t="str">
        <f>IF(Px*R$38+Py*$B15&lt;=I,MIN(a*R$38,b*$B15),"")</f>
        <v/>
      </c>
      <c r="S15" t="str">
        <f>IF(Px*S$38+Py*$B15&lt;=I,MIN(a*S$38,b*$B15),"")</f>
        <v/>
      </c>
      <c r="T15" t="str">
        <f>IF(Px*T$38+Py*$B15&lt;=I,MIN(a*T$38,b*$B15),"")</f>
        <v/>
      </c>
      <c r="U15" t="str">
        <f>IF(Px*U$38+Py*$B15&lt;=I,MIN(a*U$38,b*$B15),"")</f>
        <v/>
      </c>
      <c r="V15" t="str">
        <f>IF(Px*V$38+Py*$B15&lt;=I,MIN(a*V$38,b*$B15),"")</f>
        <v/>
      </c>
      <c r="W15" t="str">
        <f>IF(Px*W$38+Py*$B15&lt;=I,MIN(a*W$38,b*$B15),"")</f>
        <v/>
      </c>
      <c r="X15" t="str">
        <f>IF(Px*X$38+Py*$B15&lt;=I,MIN(a*X$38,b*$B15),"")</f>
        <v/>
      </c>
      <c r="Y15" t="str">
        <f>IF(Px*Y$38+Py*$B15&lt;=I,MIN(a*Y$38,b*$B15),"")</f>
        <v/>
      </c>
      <c r="Z15" t="str">
        <f>IF(Px*Z$38+Py*$B15&lt;=I,MIN(a*Z$38,b*$B15),"")</f>
        <v/>
      </c>
      <c r="AA15" t="str">
        <f>IF(Px*AA$38+Py*$B15&lt;=I,MIN(a*AA$38,b*$B15),"")</f>
        <v/>
      </c>
      <c r="AB15" t="str">
        <f>IF(Px*AB$38+Py*$B15&lt;=I,MIN(a*AB$38,b*$B15),"")</f>
        <v/>
      </c>
      <c r="AC15" t="str">
        <f>IF(Px*AC$38+Py*$B15&lt;=I,MIN(a*AC$38,b*$B15),"")</f>
        <v/>
      </c>
      <c r="AD15" t="str">
        <f>IF(Px*AD$38+Py*$B15&lt;=I,MIN(a*AD$38,b*$B15),"")</f>
        <v/>
      </c>
      <c r="AE15" t="str">
        <f>IF(Px*AE$38+Py*$B15&lt;=I,MIN(a*AE$38,b*$B15),"")</f>
        <v/>
      </c>
      <c r="AF15" t="str">
        <f>IF(Px*AF$38+Py*$B15&lt;=I,MIN(a*AF$38,b*$B15),"")</f>
        <v/>
      </c>
      <c r="AG15" t="str">
        <f>IF(Px*AG$38+Py*$B15&lt;=I,MIN(a*AG$38,b*$B15),"")</f>
        <v/>
      </c>
      <c r="AH15" t="str">
        <f>IF(Px*AH$38+Py*$B15&lt;=I,MIN(a*AH$38,b*$B15),"")</f>
        <v/>
      </c>
    </row>
    <row r="16" spans="1:34" ht="17.25" customHeight="1" x14ac:dyDescent="0.25">
      <c r="B16" s="4">
        <f t="shared" si="0"/>
        <v>4.2000000000000011</v>
      </c>
      <c r="C16">
        <f>IF(Px*C$38+Py*$B16&lt;=I,MIN(a*C$38,b*$B16),"")</f>
        <v>0</v>
      </c>
      <c r="D16">
        <f>IF(Px*D$38+Py*$B16&lt;=I,MIN(a*D$38,b*$B16),"")</f>
        <v>0.2</v>
      </c>
      <c r="E16">
        <f>IF(Px*E$38+Py*$B16&lt;=I,MIN(a*E$38,b*$B16),"")</f>
        <v>0.4</v>
      </c>
      <c r="F16">
        <f>IF(Px*F$38+Py*$B16&lt;=I,MIN(a*F$38,b*$B16),"")</f>
        <v>0.60000000000000009</v>
      </c>
      <c r="G16">
        <f>IF(Px*G$38+Py*$B16&lt;=I,MIN(a*G$38,b*$B16),"")</f>
        <v>0.8</v>
      </c>
      <c r="H16">
        <f>IF(Px*H$38+Py*$B16&lt;=I,MIN(a*H$38,b*$B16),"")</f>
        <v>1</v>
      </c>
      <c r="I16">
        <f>IF(Px*I$38+Py*$B16&lt;=I,MIN(a*I$38,b*$B16),"")</f>
        <v>1.2</v>
      </c>
      <c r="J16">
        <f>IF(Px*J$38+Py*$B16&lt;=I,MIN(a*J$38,b*$B16),"")</f>
        <v>1.4</v>
      </c>
      <c r="K16">
        <f>IF(Px*K$38+Py*$B16&lt;=I,MIN(a*K$38,b*$B16),"")</f>
        <v>1.5999999999999999</v>
      </c>
      <c r="L16">
        <f>IF(Px*L$38+Py*$B16&lt;=I,MIN(a*L$38,b*$B16),"")</f>
        <v>1.7999999999999998</v>
      </c>
      <c r="M16" t="str">
        <f>IF(Px*M$38+Py*$B16&lt;=I,MIN(a*M$38,b*$B16),"")</f>
        <v/>
      </c>
      <c r="N16" t="str">
        <f>IF(Px*N$38+Py*$B16&lt;=I,MIN(a*N$38,b*$B16),"")</f>
        <v/>
      </c>
      <c r="O16" t="str">
        <f>IF(Px*O$38+Py*$B16&lt;=I,MIN(a*O$38,b*$B16),"")</f>
        <v/>
      </c>
      <c r="P16" t="str">
        <f>IF(Px*P$38+Py*$B16&lt;=I,MIN(a*P$38,b*$B16),"")</f>
        <v/>
      </c>
      <c r="Q16" t="str">
        <f>IF(Px*Q$38+Py*$B16&lt;=I,MIN(a*Q$38,b*$B16),"")</f>
        <v/>
      </c>
      <c r="R16" t="str">
        <f>IF(Px*R$38+Py*$B16&lt;=I,MIN(a*R$38,b*$B16),"")</f>
        <v/>
      </c>
      <c r="S16" t="str">
        <f>IF(Px*S$38+Py*$B16&lt;=I,MIN(a*S$38,b*$B16),"")</f>
        <v/>
      </c>
      <c r="T16" t="str">
        <f>IF(Px*T$38+Py*$B16&lt;=I,MIN(a*T$38,b*$B16),"")</f>
        <v/>
      </c>
      <c r="U16" t="str">
        <f>IF(Px*U$38+Py*$B16&lt;=I,MIN(a*U$38,b*$B16),"")</f>
        <v/>
      </c>
      <c r="V16" t="str">
        <f>IF(Px*V$38+Py*$B16&lt;=I,MIN(a*V$38,b*$B16),"")</f>
        <v/>
      </c>
      <c r="W16" t="str">
        <f>IF(Px*W$38+Py*$B16&lt;=I,MIN(a*W$38,b*$B16),"")</f>
        <v/>
      </c>
      <c r="X16" t="str">
        <f>IF(Px*X$38+Py*$B16&lt;=I,MIN(a*X$38,b*$B16),"")</f>
        <v/>
      </c>
      <c r="Y16" t="str">
        <f>IF(Px*Y$38+Py*$B16&lt;=I,MIN(a*Y$38,b*$B16),"")</f>
        <v/>
      </c>
      <c r="Z16" t="str">
        <f>IF(Px*Z$38+Py*$B16&lt;=I,MIN(a*Z$38,b*$B16),"")</f>
        <v/>
      </c>
      <c r="AA16" t="str">
        <f>IF(Px*AA$38+Py*$B16&lt;=I,MIN(a*AA$38,b*$B16),"")</f>
        <v/>
      </c>
      <c r="AB16" t="str">
        <f>IF(Px*AB$38+Py*$B16&lt;=I,MIN(a*AB$38,b*$B16),"")</f>
        <v/>
      </c>
      <c r="AC16" t="str">
        <f>IF(Px*AC$38+Py*$B16&lt;=I,MIN(a*AC$38,b*$B16),"")</f>
        <v/>
      </c>
      <c r="AD16" t="str">
        <f>IF(Px*AD$38+Py*$B16&lt;=I,MIN(a*AD$38,b*$B16),"")</f>
        <v/>
      </c>
      <c r="AE16" t="str">
        <f>IF(Px*AE$38+Py*$B16&lt;=I,MIN(a*AE$38,b*$B16),"")</f>
        <v/>
      </c>
      <c r="AF16" t="str">
        <f>IF(Px*AF$38+Py*$B16&lt;=I,MIN(a*AF$38,b*$B16),"")</f>
        <v/>
      </c>
      <c r="AG16" t="str">
        <f>IF(Px*AG$38+Py*$B16&lt;=I,MIN(a*AG$38,b*$B16),"")</f>
        <v/>
      </c>
      <c r="AH16" t="str">
        <f>IF(Px*AH$38+Py*$B16&lt;=I,MIN(a*AH$38,b*$B16),"")</f>
        <v/>
      </c>
    </row>
    <row r="17" spans="2:34" ht="17.25" customHeight="1" x14ac:dyDescent="0.25">
      <c r="B17" s="4">
        <f t="shared" si="0"/>
        <v>4.0000000000000009</v>
      </c>
      <c r="C17">
        <f>IF(Px*C$38+Py*$B17&lt;=I,MIN(a*C$38,b*$B17),"")</f>
        <v>0</v>
      </c>
      <c r="D17">
        <f>IF(Px*D$38+Py*$B17&lt;=I,MIN(a*D$38,b*$B17),"")</f>
        <v>0.2</v>
      </c>
      <c r="E17">
        <f>IF(Px*E$38+Py*$B17&lt;=I,MIN(a*E$38,b*$B17),"")</f>
        <v>0.4</v>
      </c>
      <c r="F17">
        <f>IF(Px*F$38+Py*$B17&lt;=I,MIN(a*F$38,b*$B17),"")</f>
        <v>0.60000000000000009</v>
      </c>
      <c r="G17">
        <f>IF(Px*G$38+Py*$B17&lt;=I,MIN(a*G$38,b*$B17),"")</f>
        <v>0.8</v>
      </c>
      <c r="H17">
        <f>IF(Px*H$38+Py*$B17&lt;=I,MIN(a*H$38,b*$B17),"")</f>
        <v>1</v>
      </c>
      <c r="I17">
        <f>IF(Px*I$38+Py*$B17&lt;=I,MIN(a*I$38,b*$B17),"")</f>
        <v>1.2</v>
      </c>
      <c r="J17">
        <f>IF(Px*J$38+Py*$B17&lt;=I,MIN(a*J$38,b*$B17),"")</f>
        <v>1.4</v>
      </c>
      <c r="K17">
        <f>IF(Px*K$38+Py*$B17&lt;=I,MIN(a*K$38,b*$B17),"")</f>
        <v>1.5999999999999999</v>
      </c>
      <c r="L17">
        <f>IF(Px*L$38+Py*$B17&lt;=I,MIN(a*L$38,b*$B17),"")</f>
        <v>1.7999999999999998</v>
      </c>
      <c r="M17">
        <f>IF(Px*M$38+Py*$B17&lt;=I,MIN(a*M$38,b*$B17),"")</f>
        <v>1.9999999999999998</v>
      </c>
      <c r="N17" t="str">
        <f>IF(Px*N$38+Py*$B17&lt;=I,MIN(a*N$38,b*$B17),"")</f>
        <v/>
      </c>
      <c r="O17" t="str">
        <f>IF(Px*O$38+Py*$B17&lt;=I,MIN(a*O$38,b*$B17),"")</f>
        <v/>
      </c>
      <c r="P17" t="str">
        <f>IF(Px*P$38+Py*$B17&lt;=I,MIN(a*P$38,b*$B17),"")</f>
        <v/>
      </c>
      <c r="Q17" t="str">
        <f>IF(Px*Q$38+Py*$B17&lt;=I,MIN(a*Q$38,b*$B17),"")</f>
        <v/>
      </c>
      <c r="R17" t="str">
        <f>IF(Px*R$38+Py*$B17&lt;=I,MIN(a*R$38,b*$B17),"")</f>
        <v/>
      </c>
      <c r="S17" t="str">
        <f>IF(Px*S$38+Py*$B17&lt;=I,MIN(a*S$38,b*$B17),"")</f>
        <v/>
      </c>
      <c r="T17" t="str">
        <f>IF(Px*T$38+Py*$B17&lt;=I,MIN(a*T$38,b*$B17),"")</f>
        <v/>
      </c>
      <c r="U17" t="str">
        <f>IF(Px*U$38+Py*$B17&lt;=I,MIN(a*U$38,b*$B17),"")</f>
        <v/>
      </c>
      <c r="V17" t="str">
        <f>IF(Px*V$38+Py*$B17&lt;=I,MIN(a*V$38,b*$B17),"")</f>
        <v/>
      </c>
      <c r="W17" t="str">
        <f>IF(Px*W$38+Py*$B17&lt;=I,MIN(a*W$38,b*$B17),"")</f>
        <v/>
      </c>
      <c r="X17" t="str">
        <f>IF(Px*X$38+Py*$B17&lt;=I,MIN(a*X$38,b*$B17),"")</f>
        <v/>
      </c>
      <c r="Y17" t="str">
        <f>IF(Px*Y$38+Py*$B17&lt;=I,MIN(a*Y$38,b*$B17),"")</f>
        <v/>
      </c>
      <c r="Z17" t="str">
        <f>IF(Px*Z$38+Py*$B17&lt;=I,MIN(a*Z$38,b*$B17),"")</f>
        <v/>
      </c>
      <c r="AA17" t="str">
        <f>IF(Px*AA$38+Py*$B17&lt;=I,MIN(a*AA$38,b*$B17),"")</f>
        <v/>
      </c>
      <c r="AB17" t="str">
        <f>IF(Px*AB$38+Py*$B17&lt;=I,MIN(a*AB$38,b*$B17),"")</f>
        <v/>
      </c>
      <c r="AC17" t="str">
        <f>IF(Px*AC$38+Py*$B17&lt;=I,MIN(a*AC$38,b*$B17),"")</f>
        <v/>
      </c>
      <c r="AD17" t="str">
        <f>IF(Px*AD$38+Py*$B17&lt;=I,MIN(a*AD$38,b*$B17),"")</f>
        <v/>
      </c>
      <c r="AE17" t="str">
        <f>IF(Px*AE$38+Py*$B17&lt;=I,MIN(a*AE$38,b*$B17),"")</f>
        <v/>
      </c>
      <c r="AF17" t="str">
        <f>IF(Px*AF$38+Py*$B17&lt;=I,MIN(a*AF$38,b*$B17),"")</f>
        <v/>
      </c>
      <c r="AG17" t="str">
        <f>IF(Px*AG$38+Py*$B17&lt;=I,MIN(a*AG$38,b*$B17),"")</f>
        <v/>
      </c>
      <c r="AH17" t="str">
        <f>IF(Px*AH$38+Py*$B17&lt;=I,MIN(a*AH$38,b*$B17),"")</f>
        <v/>
      </c>
    </row>
    <row r="18" spans="2:34" ht="17.25" customHeight="1" x14ac:dyDescent="0.25">
      <c r="B18" s="4">
        <f t="shared" si="0"/>
        <v>3.8000000000000012</v>
      </c>
      <c r="C18">
        <f>IF(Px*C$38+Py*$B18&lt;=I,MIN(a*C$38,b*$B18),"")</f>
        <v>0</v>
      </c>
      <c r="D18">
        <f>IF(Px*D$38+Py*$B18&lt;=I,MIN(a*D$38,b*$B18),"")</f>
        <v>0.2</v>
      </c>
      <c r="E18">
        <f>IF(Px*E$38+Py*$B18&lt;=I,MIN(a*E$38,b*$B18),"")</f>
        <v>0.4</v>
      </c>
      <c r="F18">
        <f>IF(Px*F$38+Py*$B18&lt;=I,MIN(a*F$38,b*$B18),"")</f>
        <v>0.60000000000000009</v>
      </c>
      <c r="G18">
        <f>IF(Px*G$38+Py*$B18&lt;=I,MIN(a*G$38,b*$B18),"")</f>
        <v>0.8</v>
      </c>
      <c r="H18">
        <f>IF(Px*H$38+Py*$B18&lt;=I,MIN(a*H$38,b*$B18),"")</f>
        <v>1</v>
      </c>
      <c r="I18">
        <f>IF(Px*I$38+Py*$B18&lt;=I,MIN(a*I$38,b*$B18),"")</f>
        <v>1.2</v>
      </c>
      <c r="J18">
        <f>IF(Px*J$38+Py*$B18&lt;=I,MIN(a*J$38,b*$B18),"")</f>
        <v>1.4</v>
      </c>
      <c r="K18">
        <f>IF(Px*K$38+Py*$B18&lt;=I,MIN(a*K$38,b*$B18),"")</f>
        <v>1.5999999999999999</v>
      </c>
      <c r="L18">
        <f>IF(Px*L$38+Py*$B18&lt;=I,MIN(a*L$38,b*$B18),"")</f>
        <v>1.7999999999999998</v>
      </c>
      <c r="M18">
        <f>IF(Px*M$38+Py*$B18&lt;=I,MIN(a*M$38,b*$B18),"")</f>
        <v>1.9999999999999998</v>
      </c>
      <c r="N18">
        <f>IF(Px*N$38+Py*$B18&lt;=I,MIN(a*N$38,b*$B18),"")</f>
        <v>2.1999999999999997</v>
      </c>
      <c r="O18" t="str">
        <f>IF(Px*O$38+Py*$B18&lt;=I,MIN(a*O$38,b*$B18),"")</f>
        <v/>
      </c>
      <c r="P18" t="str">
        <f>IF(Px*P$38+Py*$B18&lt;=I,MIN(a*P$38,b*$B18),"")</f>
        <v/>
      </c>
      <c r="Q18" t="str">
        <f>IF(Px*Q$38+Py*$B18&lt;=I,MIN(a*Q$38,b*$B18),"")</f>
        <v/>
      </c>
      <c r="R18" t="str">
        <f>IF(Px*R$38+Py*$B18&lt;=I,MIN(a*R$38,b*$B18),"")</f>
        <v/>
      </c>
      <c r="S18" t="str">
        <f>IF(Px*S$38+Py*$B18&lt;=I,MIN(a*S$38,b*$B18),"")</f>
        <v/>
      </c>
      <c r="T18" t="str">
        <f>IF(Px*T$38+Py*$B18&lt;=I,MIN(a*T$38,b*$B18),"")</f>
        <v/>
      </c>
      <c r="U18" t="str">
        <f>IF(Px*U$38+Py*$B18&lt;=I,MIN(a*U$38,b*$B18),"")</f>
        <v/>
      </c>
      <c r="V18" t="str">
        <f>IF(Px*V$38+Py*$B18&lt;=I,MIN(a*V$38,b*$B18),"")</f>
        <v/>
      </c>
      <c r="W18" t="str">
        <f>IF(Px*W$38+Py*$B18&lt;=I,MIN(a*W$38,b*$B18),"")</f>
        <v/>
      </c>
      <c r="X18" t="str">
        <f>IF(Px*X$38+Py*$B18&lt;=I,MIN(a*X$38,b*$B18),"")</f>
        <v/>
      </c>
      <c r="Y18" t="str">
        <f>IF(Px*Y$38+Py*$B18&lt;=I,MIN(a*Y$38,b*$B18),"")</f>
        <v/>
      </c>
      <c r="Z18" t="str">
        <f>IF(Px*Z$38+Py*$B18&lt;=I,MIN(a*Z$38,b*$B18),"")</f>
        <v/>
      </c>
      <c r="AA18" t="str">
        <f>IF(Px*AA$38+Py*$B18&lt;=I,MIN(a*AA$38,b*$B18),"")</f>
        <v/>
      </c>
      <c r="AB18" t="str">
        <f>IF(Px*AB$38+Py*$B18&lt;=I,MIN(a*AB$38,b*$B18),"")</f>
        <v/>
      </c>
      <c r="AC18" t="str">
        <f>IF(Px*AC$38+Py*$B18&lt;=I,MIN(a*AC$38,b*$B18),"")</f>
        <v/>
      </c>
      <c r="AD18" t="str">
        <f>IF(Px*AD$38+Py*$B18&lt;=I,MIN(a*AD$38,b*$B18),"")</f>
        <v/>
      </c>
      <c r="AE18" t="str">
        <f>IF(Px*AE$38+Py*$B18&lt;=I,MIN(a*AE$38,b*$B18),"")</f>
        <v/>
      </c>
      <c r="AF18" t="str">
        <f>IF(Px*AF$38+Py*$B18&lt;=I,MIN(a*AF$38,b*$B18),"")</f>
        <v/>
      </c>
      <c r="AG18" t="str">
        <f>IF(Px*AG$38+Py*$B18&lt;=I,MIN(a*AG$38,b*$B18),"")</f>
        <v/>
      </c>
      <c r="AH18" t="str">
        <f>IF(Px*AH$38+Py*$B18&lt;=I,MIN(a*AH$38,b*$B18),"")</f>
        <v/>
      </c>
    </row>
    <row r="19" spans="2:34" ht="17.25" customHeight="1" x14ac:dyDescent="0.25">
      <c r="B19" s="4">
        <f t="shared" si="0"/>
        <v>3.600000000000001</v>
      </c>
      <c r="C19">
        <f>IF(Px*C$38+Py*$B19&lt;=I,MIN(a*C$38,b*$B19),"")</f>
        <v>0</v>
      </c>
      <c r="D19">
        <f>IF(Px*D$38+Py*$B19&lt;=I,MIN(a*D$38,b*$B19),"")</f>
        <v>0.2</v>
      </c>
      <c r="E19">
        <f>IF(Px*E$38+Py*$B19&lt;=I,MIN(a*E$38,b*$B19),"")</f>
        <v>0.4</v>
      </c>
      <c r="F19">
        <f>IF(Px*F$38+Py*$B19&lt;=I,MIN(a*F$38,b*$B19),"")</f>
        <v>0.60000000000000009</v>
      </c>
      <c r="G19">
        <f>IF(Px*G$38+Py*$B19&lt;=I,MIN(a*G$38,b*$B19),"")</f>
        <v>0.8</v>
      </c>
      <c r="H19">
        <f>IF(Px*H$38+Py*$B19&lt;=I,MIN(a*H$38,b*$B19),"")</f>
        <v>1</v>
      </c>
      <c r="I19">
        <f>IF(Px*I$38+Py*$B19&lt;=I,MIN(a*I$38,b*$B19),"")</f>
        <v>1.2</v>
      </c>
      <c r="J19">
        <f>IF(Px*J$38+Py*$B19&lt;=I,MIN(a*J$38,b*$B19),"")</f>
        <v>1.4</v>
      </c>
      <c r="K19">
        <f>IF(Px*K$38+Py*$B19&lt;=I,MIN(a*K$38,b*$B19),"")</f>
        <v>1.5999999999999999</v>
      </c>
      <c r="L19">
        <f>IF(Px*L$38+Py*$B19&lt;=I,MIN(a*L$38,b*$B19),"")</f>
        <v>1.7999999999999998</v>
      </c>
      <c r="M19">
        <f>IF(Px*M$38+Py*$B19&lt;=I,MIN(a*M$38,b*$B19),"")</f>
        <v>1.9999999999999998</v>
      </c>
      <c r="N19">
        <f>IF(Px*N$38+Py*$B19&lt;=I,MIN(a*N$38,b*$B19),"")</f>
        <v>2.1999999999999997</v>
      </c>
      <c r="O19">
        <f>IF(Px*O$38+Py*$B19&lt;=I,MIN(a*O$38,b*$B19),"")</f>
        <v>2.4</v>
      </c>
      <c r="P19" t="str">
        <f>IF(Px*P$38+Py*$B19&lt;=I,MIN(a*P$38,b*$B19),"")</f>
        <v/>
      </c>
      <c r="Q19" t="str">
        <f>IF(Px*Q$38+Py*$B19&lt;=I,MIN(a*Q$38,b*$B19),"")</f>
        <v/>
      </c>
      <c r="R19" t="str">
        <f>IF(Px*R$38+Py*$B19&lt;=I,MIN(a*R$38,b*$B19),"")</f>
        <v/>
      </c>
      <c r="S19" t="str">
        <f>IF(Px*S$38+Py*$B19&lt;=I,MIN(a*S$38,b*$B19),"")</f>
        <v/>
      </c>
      <c r="T19" t="str">
        <f>IF(Px*T$38+Py*$B19&lt;=I,MIN(a*T$38,b*$B19),"")</f>
        <v/>
      </c>
      <c r="U19" t="str">
        <f>IF(Px*U$38+Py*$B19&lt;=I,MIN(a*U$38,b*$B19),"")</f>
        <v/>
      </c>
      <c r="V19" t="str">
        <f>IF(Px*V$38+Py*$B19&lt;=I,MIN(a*V$38,b*$B19),"")</f>
        <v/>
      </c>
      <c r="W19" t="str">
        <f>IF(Px*W$38+Py*$B19&lt;=I,MIN(a*W$38,b*$B19),"")</f>
        <v/>
      </c>
      <c r="X19" t="str">
        <f>IF(Px*X$38+Py*$B19&lt;=I,MIN(a*X$38,b*$B19),"")</f>
        <v/>
      </c>
      <c r="Y19" t="str">
        <f>IF(Px*Y$38+Py*$B19&lt;=I,MIN(a*Y$38,b*$B19),"")</f>
        <v/>
      </c>
      <c r="Z19" t="str">
        <f>IF(Px*Z$38+Py*$B19&lt;=I,MIN(a*Z$38,b*$B19),"")</f>
        <v/>
      </c>
      <c r="AA19" t="str">
        <f>IF(Px*AA$38+Py*$B19&lt;=I,MIN(a*AA$38,b*$B19),"")</f>
        <v/>
      </c>
      <c r="AB19" t="str">
        <f>IF(Px*AB$38+Py*$B19&lt;=I,MIN(a*AB$38,b*$B19),"")</f>
        <v/>
      </c>
      <c r="AC19" t="str">
        <f>IF(Px*AC$38+Py*$B19&lt;=I,MIN(a*AC$38,b*$B19),"")</f>
        <v/>
      </c>
      <c r="AD19" t="str">
        <f>IF(Px*AD$38+Py*$B19&lt;=I,MIN(a*AD$38,b*$B19),"")</f>
        <v/>
      </c>
      <c r="AE19" t="str">
        <f>IF(Px*AE$38+Py*$B19&lt;=I,MIN(a*AE$38,b*$B19),"")</f>
        <v/>
      </c>
      <c r="AF19" t="str">
        <f>IF(Px*AF$38+Py*$B19&lt;=I,MIN(a*AF$38,b*$B19),"")</f>
        <v/>
      </c>
      <c r="AG19" t="str">
        <f>IF(Px*AG$38+Py*$B19&lt;=I,MIN(a*AG$38,b*$B19),"")</f>
        <v/>
      </c>
      <c r="AH19" t="str">
        <f>IF(Px*AH$38+Py*$B19&lt;=I,MIN(a*AH$38,b*$B19),"")</f>
        <v/>
      </c>
    </row>
    <row r="20" spans="2:34" ht="17.25" customHeight="1" x14ac:dyDescent="0.25">
      <c r="B20" s="4">
        <f t="shared" si="0"/>
        <v>3.4000000000000008</v>
      </c>
      <c r="C20">
        <f>IF(Px*C$38+Py*$B20&lt;=I,MIN(a*C$38,b*$B20),"")</f>
        <v>0</v>
      </c>
      <c r="D20">
        <f>IF(Px*D$38+Py*$B20&lt;=I,MIN(a*D$38,b*$B20),"")</f>
        <v>0.2</v>
      </c>
      <c r="E20">
        <f>IF(Px*E$38+Py*$B20&lt;=I,MIN(a*E$38,b*$B20),"")</f>
        <v>0.4</v>
      </c>
      <c r="F20">
        <f>IF(Px*F$38+Py*$B20&lt;=I,MIN(a*F$38,b*$B20),"")</f>
        <v>0.60000000000000009</v>
      </c>
      <c r="G20">
        <f>IF(Px*G$38+Py*$B20&lt;=I,MIN(a*G$38,b*$B20),"")</f>
        <v>0.8</v>
      </c>
      <c r="H20">
        <f>IF(Px*H$38+Py*$B20&lt;=I,MIN(a*H$38,b*$B20),"")</f>
        <v>1</v>
      </c>
      <c r="I20">
        <f>IF(Px*I$38+Py*$B20&lt;=I,MIN(a*I$38,b*$B20),"")</f>
        <v>1.2</v>
      </c>
      <c r="J20">
        <f>IF(Px*J$38+Py*$B20&lt;=I,MIN(a*J$38,b*$B20),"")</f>
        <v>1.4</v>
      </c>
      <c r="K20">
        <f>IF(Px*K$38+Py*$B20&lt;=I,MIN(a*K$38,b*$B20),"")</f>
        <v>1.5999999999999999</v>
      </c>
      <c r="L20">
        <f>IF(Px*L$38+Py*$B20&lt;=I,MIN(a*L$38,b*$B20),"")</f>
        <v>1.7999999999999998</v>
      </c>
      <c r="M20">
        <f>IF(Px*M$38+Py*$B20&lt;=I,MIN(a*M$38,b*$B20),"")</f>
        <v>1.9999999999999998</v>
      </c>
      <c r="N20">
        <f>IF(Px*N$38+Py*$B20&lt;=I,MIN(a*N$38,b*$B20),"")</f>
        <v>2.1999999999999997</v>
      </c>
      <c r="O20">
        <f>IF(Px*O$38+Py*$B20&lt;=I,MIN(a*O$38,b*$B20),"")</f>
        <v>2.4</v>
      </c>
      <c r="P20">
        <f>IF(Px*P$38+Py*$B20&lt;=I,MIN(a*P$38,b*$B20),"")</f>
        <v>2.6</v>
      </c>
      <c r="Q20" t="str">
        <f>IF(Px*Q$38+Py*$B20&lt;=I,MIN(a*Q$38,b*$B20),"")</f>
        <v/>
      </c>
      <c r="R20" t="str">
        <f>IF(Px*R$38+Py*$B20&lt;=I,MIN(a*R$38,b*$B20),"")</f>
        <v/>
      </c>
      <c r="S20" t="str">
        <f>IF(Px*S$38+Py*$B20&lt;=I,MIN(a*S$38,b*$B20),"")</f>
        <v/>
      </c>
      <c r="T20" t="str">
        <f>IF(Px*T$38+Py*$B20&lt;=I,MIN(a*T$38,b*$B20),"")</f>
        <v/>
      </c>
      <c r="U20" t="str">
        <f>IF(Px*U$38+Py*$B20&lt;=I,MIN(a*U$38,b*$B20),"")</f>
        <v/>
      </c>
      <c r="V20" t="str">
        <f>IF(Px*V$38+Py*$B20&lt;=I,MIN(a*V$38,b*$B20),"")</f>
        <v/>
      </c>
      <c r="W20" t="str">
        <f>IF(Px*W$38+Py*$B20&lt;=I,MIN(a*W$38,b*$B20),"")</f>
        <v/>
      </c>
      <c r="X20" t="str">
        <f>IF(Px*X$38+Py*$B20&lt;=I,MIN(a*X$38,b*$B20),"")</f>
        <v/>
      </c>
      <c r="Y20" t="str">
        <f>IF(Px*Y$38+Py*$B20&lt;=I,MIN(a*Y$38,b*$B20),"")</f>
        <v/>
      </c>
      <c r="Z20" t="str">
        <f>IF(Px*Z$38+Py*$B20&lt;=I,MIN(a*Z$38,b*$B20),"")</f>
        <v/>
      </c>
      <c r="AA20" t="str">
        <f>IF(Px*AA$38+Py*$B20&lt;=I,MIN(a*AA$38,b*$B20),"")</f>
        <v/>
      </c>
      <c r="AB20" t="str">
        <f>IF(Px*AB$38+Py*$B20&lt;=I,MIN(a*AB$38,b*$B20),"")</f>
        <v/>
      </c>
      <c r="AC20" t="str">
        <f>IF(Px*AC$38+Py*$B20&lt;=I,MIN(a*AC$38,b*$B20),"")</f>
        <v/>
      </c>
      <c r="AD20" t="str">
        <f>IF(Px*AD$38+Py*$B20&lt;=I,MIN(a*AD$38,b*$B20),"")</f>
        <v/>
      </c>
      <c r="AE20" t="str">
        <f>IF(Px*AE$38+Py*$B20&lt;=I,MIN(a*AE$38,b*$B20),"")</f>
        <v/>
      </c>
      <c r="AF20" t="str">
        <f>IF(Px*AF$38+Py*$B20&lt;=I,MIN(a*AF$38,b*$B20),"")</f>
        <v/>
      </c>
      <c r="AG20" t="str">
        <f>IF(Px*AG$38+Py*$B20&lt;=I,MIN(a*AG$38,b*$B20),"")</f>
        <v/>
      </c>
      <c r="AH20" t="str">
        <f>IF(Px*AH$38+Py*$B20&lt;=I,MIN(a*AH$38,b*$B20),"")</f>
        <v/>
      </c>
    </row>
    <row r="21" spans="2:34" ht="17.25" customHeight="1" x14ac:dyDescent="0.25">
      <c r="B21" s="4">
        <f t="shared" si="0"/>
        <v>3.2000000000000006</v>
      </c>
      <c r="C21">
        <f>IF(Px*C$38+Py*$B21&lt;=I,MIN(a*C$38,b*$B21),"")</f>
        <v>0</v>
      </c>
      <c r="D21">
        <f>IF(Px*D$38+Py*$B21&lt;=I,MIN(a*D$38,b*$B21),"")</f>
        <v>0.2</v>
      </c>
      <c r="E21">
        <f>IF(Px*E$38+Py*$B21&lt;=I,MIN(a*E$38,b*$B21),"")</f>
        <v>0.4</v>
      </c>
      <c r="F21">
        <f>IF(Px*F$38+Py*$B21&lt;=I,MIN(a*F$38,b*$B21),"")</f>
        <v>0.60000000000000009</v>
      </c>
      <c r="G21">
        <f>IF(Px*G$38+Py*$B21&lt;=I,MIN(a*G$38,b*$B21),"")</f>
        <v>0.8</v>
      </c>
      <c r="H21">
        <f>IF(Px*H$38+Py*$B21&lt;=I,MIN(a*H$38,b*$B21),"")</f>
        <v>1</v>
      </c>
      <c r="I21">
        <f>IF(Px*I$38+Py*$B21&lt;=I,MIN(a*I$38,b*$B21),"")</f>
        <v>1.2</v>
      </c>
      <c r="J21">
        <f>IF(Px*J$38+Py*$B21&lt;=I,MIN(a*J$38,b*$B21),"")</f>
        <v>1.4</v>
      </c>
      <c r="K21">
        <f>IF(Px*K$38+Py*$B21&lt;=I,MIN(a*K$38,b*$B21),"")</f>
        <v>1.5999999999999999</v>
      </c>
      <c r="L21">
        <f>IF(Px*L$38+Py*$B21&lt;=I,MIN(a*L$38,b*$B21),"")</f>
        <v>1.7999999999999998</v>
      </c>
      <c r="M21">
        <f>IF(Px*M$38+Py*$B21&lt;=I,MIN(a*M$38,b*$B21),"")</f>
        <v>1.9999999999999998</v>
      </c>
      <c r="N21">
        <f>IF(Px*N$38+Py*$B21&lt;=I,MIN(a*N$38,b*$B21),"")</f>
        <v>2.1999999999999997</v>
      </c>
      <c r="O21">
        <f>IF(Px*O$38+Py*$B21&lt;=I,MIN(a*O$38,b*$B21),"")</f>
        <v>2.4</v>
      </c>
      <c r="P21">
        <f>IF(Px*P$38+Py*$B21&lt;=I,MIN(a*P$38,b*$B21),"")</f>
        <v>2.6</v>
      </c>
      <c r="Q21">
        <f>IF(Px*Q$38+Py*$B21&lt;=I,MIN(a*Q$38,b*$B21),"")</f>
        <v>2.8000000000000003</v>
      </c>
      <c r="R21" t="str">
        <f>IF(Px*R$38+Py*$B21&lt;=I,MIN(a*R$38,b*$B21),"")</f>
        <v/>
      </c>
      <c r="S21" t="str">
        <f>IF(Px*S$38+Py*$B21&lt;=I,MIN(a*S$38,b*$B21),"")</f>
        <v/>
      </c>
      <c r="T21" t="str">
        <f>IF(Px*T$38+Py*$B21&lt;=I,MIN(a*T$38,b*$B21),"")</f>
        <v/>
      </c>
      <c r="U21" t="str">
        <f>IF(Px*U$38+Py*$B21&lt;=I,MIN(a*U$38,b*$B21),"")</f>
        <v/>
      </c>
      <c r="V21" t="str">
        <f>IF(Px*V$38+Py*$B21&lt;=I,MIN(a*V$38,b*$B21),"")</f>
        <v/>
      </c>
      <c r="W21" t="str">
        <f>IF(Px*W$38+Py*$B21&lt;=I,MIN(a*W$38,b*$B21),"")</f>
        <v/>
      </c>
      <c r="X21" t="str">
        <f>IF(Px*X$38+Py*$B21&lt;=I,MIN(a*X$38,b*$B21),"")</f>
        <v/>
      </c>
      <c r="Y21" t="str">
        <f>IF(Px*Y$38+Py*$B21&lt;=I,MIN(a*Y$38,b*$B21),"")</f>
        <v/>
      </c>
      <c r="Z21" t="str">
        <f>IF(Px*Z$38+Py*$B21&lt;=I,MIN(a*Z$38,b*$B21),"")</f>
        <v/>
      </c>
      <c r="AA21" t="str">
        <f>IF(Px*AA$38+Py*$B21&lt;=I,MIN(a*AA$38,b*$B21),"")</f>
        <v/>
      </c>
      <c r="AB21" t="str">
        <f>IF(Px*AB$38+Py*$B21&lt;=I,MIN(a*AB$38,b*$B21),"")</f>
        <v/>
      </c>
      <c r="AC21" t="str">
        <f>IF(Px*AC$38+Py*$B21&lt;=I,MIN(a*AC$38,b*$B21),"")</f>
        <v/>
      </c>
      <c r="AD21" t="str">
        <f>IF(Px*AD$38+Py*$B21&lt;=I,MIN(a*AD$38,b*$B21),"")</f>
        <v/>
      </c>
      <c r="AE21" t="str">
        <f>IF(Px*AE$38+Py*$B21&lt;=I,MIN(a*AE$38,b*$B21),"")</f>
        <v/>
      </c>
      <c r="AF21" t="str">
        <f>IF(Px*AF$38+Py*$B21&lt;=I,MIN(a*AF$38,b*$B21),"")</f>
        <v/>
      </c>
      <c r="AG21" t="str">
        <f>IF(Px*AG$38+Py*$B21&lt;=I,MIN(a*AG$38,b*$B21),"")</f>
        <v/>
      </c>
      <c r="AH21" t="str">
        <f>IF(Px*AH$38+Py*$B21&lt;=I,MIN(a*AH$38,b*$B21),"")</f>
        <v/>
      </c>
    </row>
    <row r="22" spans="2:34" ht="17.25" customHeight="1" x14ac:dyDescent="0.25">
      <c r="B22" s="4">
        <f t="shared" si="0"/>
        <v>3.0000000000000004</v>
      </c>
      <c r="C22">
        <f>IF(Px*C$38+Py*$B22&lt;=I,MIN(a*C$38,b*$B22),"")</f>
        <v>0</v>
      </c>
      <c r="D22">
        <f>IF(Px*D$38+Py*$B22&lt;=I,MIN(a*D$38,b*$B22),"")</f>
        <v>0.2</v>
      </c>
      <c r="E22">
        <f>IF(Px*E$38+Py*$B22&lt;=I,MIN(a*E$38,b*$B22),"")</f>
        <v>0.4</v>
      </c>
      <c r="F22">
        <f>IF(Px*F$38+Py*$B22&lt;=I,MIN(a*F$38,b*$B22),"")</f>
        <v>0.60000000000000009</v>
      </c>
      <c r="G22">
        <f>IF(Px*G$38+Py*$B22&lt;=I,MIN(a*G$38,b*$B22),"")</f>
        <v>0.8</v>
      </c>
      <c r="H22">
        <f>IF(Px*H$38+Py*$B22&lt;=I,MIN(a*H$38,b*$B22),"")</f>
        <v>1</v>
      </c>
      <c r="I22">
        <f>IF(Px*I$38+Py*$B22&lt;=I,MIN(a*I$38,b*$B22),"")</f>
        <v>1.2</v>
      </c>
      <c r="J22">
        <f>IF(Px*J$38+Py*$B22&lt;=I,MIN(a*J$38,b*$B22),"")</f>
        <v>1.4</v>
      </c>
      <c r="K22">
        <f>IF(Px*K$38+Py*$B22&lt;=I,MIN(a*K$38,b*$B22),"")</f>
        <v>1.5999999999999999</v>
      </c>
      <c r="L22">
        <f>IF(Px*L$38+Py*$B22&lt;=I,MIN(a*L$38,b*$B22),"")</f>
        <v>1.7999999999999998</v>
      </c>
      <c r="M22">
        <f>IF(Px*M$38+Py*$B22&lt;=I,MIN(a*M$38,b*$B22),"")</f>
        <v>1.9999999999999998</v>
      </c>
      <c r="N22">
        <f>IF(Px*N$38+Py*$B22&lt;=I,MIN(a*N$38,b*$B22),"")</f>
        <v>2.1999999999999997</v>
      </c>
      <c r="O22">
        <f>IF(Px*O$38+Py*$B22&lt;=I,MIN(a*O$38,b*$B22),"")</f>
        <v>2.4</v>
      </c>
      <c r="P22">
        <f>IF(Px*P$38+Py*$B22&lt;=I,MIN(a*P$38,b*$B22),"")</f>
        <v>2.6</v>
      </c>
      <c r="Q22">
        <f>IF(Px*Q$38+Py*$B22&lt;=I,MIN(a*Q$38,b*$B22),"")</f>
        <v>2.8000000000000003</v>
      </c>
      <c r="R22">
        <f>IF(Px*R$38+Py*$B22&lt;=I,MIN(a*R$38,b*$B22),"")</f>
        <v>3.0000000000000004</v>
      </c>
      <c r="S22" t="str">
        <f>IF(Px*S$38+Py*$B22&lt;=I,MIN(a*S$38,b*$B22),"")</f>
        <v/>
      </c>
      <c r="T22" t="str">
        <f>IF(Px*T$38+Py*$B22&lt;=I,MIN(a*T$38,b*$B22),"")</f>
        <v/>
      </c>
      <c r="U22" t="str">
        <f>IF(Px*U$38+Py*$B22&lt;=I,MIN(a*U$38,b*$B22),"")</f>
        <v/>
      </c>
      <c r="V22" t="str">
        <f>IF(Px*V$38+Py*$B22&lt;=I,MIN(a*V$38,b*$B22),"")</f>
        <v/>
      </c>
      <c r="W22" t="str">
        <f>IF(Px*W$38+Py*$B22&lt;=I,MIN(a*W$38,b*$B22),"")</f>
        <v/>
      </c>
      <c r="X22" t="str">
        <f>IF(Px*X$38+Py*$B22&lt;=I,MIN(a*X$38,b*$B22),"")</f>
        <v/>
      </c>
      <c r="Y22" t="str">
        <f>IF(Px*Y$38+Py*$B22&lt;=I,MIN(a*Y$38,b*$B22),"")</f>
        <v/>
      </c>
      <c r="Z22" t="str">
        <f>IF(Px*Z$38+Py*$B22&lt;=I,MIN(a*Z$38,b*$B22),"")</f>
        <v/>
      </c>
      <c r="AA22" t="str">
        <f>IF(Px*AA$38+Py*$B22&lt;=I,MIN(a*AA$38,b*$B22),"")</f>
        <v/>
      </c>
      <c r="AB22" t="str">
        <f>IF(Px*AB$38+Py*$B22&lt;=I,MIN(a*AB$38,b*$B22),"")</f>
        <v/>
      </c>
      <c r="AC22" t="str">
        <f>IF(Px*AC$38+Py*$B22&lt;=I,MIN(a*AC$38,b*$B22),"")</f>
        <v/>
      </c>
      <c r="AD22" t="str">
        <f>IF(Px*AD$38+Py*$B22&lt;=I,MIN(a*AD$38,b*$B22),"")</f>
        <v/>
      </c>
      <c r="AE22" t="str">
        <f>IF(Px*AE$38+Py*$B22&lt;=I,MIN(a*AE$38,b*$B22),"")</f>
        <v/>
      </c>
      <c r="AF22" t="str">
        <f>IF(Px*AF$38+Py*$B22&lt;=I,MIN(a*AF$38,b*$B22),"")</f>
        <v/>
      </c>
      <c r="AG22" t="str">
        <f>IF(Px*AG$38+Py*$B22&lt;=I,MIN(a*AG$38,b*$B22),"")</f>
        <v/>
      </c>
      <c r="AH22" t="str">
        <f>IF(Px*AH$38+Py*$B22&lt;=I,MIN(a*AH$38,b*$B22),"")</f>
        <v/>
      </c>
    </row>
    <row r="23" spans="2:34" ht="17.25" customHeight="1" x14ac:dyDescent="0.25">
      <c r="B23" s="4">
        <f t="shared" si="0"/>
        <v>2.8000000000000003</v>
      </c>
      <c r="C23">
        <f>IF(Px*C$38+Py*$B23&lt;=I,MIN(a*C$38,b*$B23),"")</f>
        <v>0</v>
      </c>
      <c r="D23">
        <f>IF(Px*D$38+Py*$B23&lt;=I,MIN(a*D$38,b*$B23),"")</f>
        <v>0.2</v>
      </c>
      <c r="E23">
        <f>IF(Px*E$38+Py*$B23&lt;=I,MIN(a*E$38,b*$B23),"")</f>
        <v>0.4</v>
      </c>
      <c r="F23">
        <f>IF(Px*F$38+Py*$B23&lt;=I,MIN(a*F$38,b*$B23),"")</f>
        <v>0.60000000000000009</v>
      </c>
      <c r="G23">
        <f>IF(Px*G$38+Py*$B23&lt;=I,MIN(a*G$38,b*$B23),"")</f>
        <v>0.8</v>
      </c>
      <c r="H23">
        <f>IF(Px*H$38+Py*$B23&lt;=I,MIN(a*H$38,b*$B23),"")</f>
        <v>1</v>
      </c>
      <c r="I23">
        <f>IF(Px*I$38+Py*$B23&lt;=I,MIN(a*I$38,b*$B23),"")</f>
        <v>1.2</v>
      </c>
      <c r="J23">
        <f>IF(Px*J$38+Py*$B23&lt;=I,MIN(a*J$38,b*$B23),"")</f>
        <v>1.4</v>
      </c>
      <c r="K23">
        <f>IF(Px*K$38+Py*$B23&lt;=I,MIN(a*K$38,b*$B23),"")</f>
        <v>1.5999999999999999</v>
      </c>
      <c r="L23">
        <f>IF(Px*L$38+Py*$B23&lt;=I,MIN(a*L$38,b*$B23),"")</f>
        <v>1.7999999999999998</v>
      </c>
      <c r="M23">
        <f>IF(Px*M$38+Py*$B23&lt;=I,MIN(a*M$38,b*$B23),"")</f>
        <v>1.9999999999999998</v>
      </c>
      <c r="N23">
        <f>IF(Px*N$38+Py*$B23&lt;=I,MIN(a*N$38,b*$B23),"")</f>
        <v>2.1999999999999997</v>
      </c>
      <c r="O23">
        <f>IF(Px*O$38+Py*$B23&lt;=I,MIN(a*O$38,b*$B23),"")</f>
        <v>2.4</v>
      </c>
      <c r="P23">
        <f>IF(Px*P$38+Py*$B23&lt;=I,MIN(a*P$38,b*$B23),"")</f>
        <v>2.6</v>
      </c>
      <c r="Q23">
        <f>IF(Px*Q$38+Py*$B23&lt;=I,MIN(a*Q$38,b*$B23),"")</f>
        <v>2.8000000000000003</v>
      </c>
      <c r="R23">
        <f>IF(Px*R$38+Py*$B23&lt;=I,MIN(a*R$38,b*$B23),"")</f>
        <v>2.8000000000000003</v>
      </c>
      <c r="S23">
        <f>IF(Px*S$38+Py*$B23&lt;=I,MIN(a*S$38,b*$B23),"")</f>
        <v>2.8000000000000003</v>
      </c>
      <c r="T23" t="str">
        <f>IF(Px*T$38+Py*$B23&lt;=I,MIN(a*T$38,b*$B23),"")</f>
        <v/>
      </c>
      <c r="U23" t="str">
        <f>IF(Px*U$38+Py*$B23&lt;=I,MIN(a*U$38,b*$B23),"")</f>
        <v/>
      </c>
      <c r="V23" t="str">
        <f>IF(Px*V$38+Py*$B23&lt;=I,MIN(a*V$38,b*$B23),"")</f>
        <v/>
      </c>
      <c r="W23" t="str">
        <f>IF(Px*W$38+Py*$B23&lt;=I,MIN(a*W$38,b*$B23),"")</f>
        <v/>
      </c>
      <c r="X23" t="str">
        <f>IF(Px*X$38+Py*$B23&lt;=I,MIN(a*X$38,b*$B23),"")</f>
        <v/>
      </c>
      <c r="Y23" t="str">
        <f>IF(Px*Y$38+Py*$B23&lt;=I,MIN(a*Y$38,b*$B23),"")</f>
        <v/>
      </c>
      <c r="Z23" t="str">
        <f>IF(Px*Z$38+Py*$B23&lt;=I,MIN(a*Z$38,b*$B23),"")</f>
        <v/>
      </c>
      <c r="AA23" t="str">
        <f>IF(Px*AA$38+Py*$B23&lt;=I,MIN(a*AA$38,b*$B23),"")</f>
        <v/>
      </c>
      <c r="AB23" t="str">
        <f>IF(Px*AB$38+Py*$B23&lt;=I,MIN(a*AB$38,b*$B23),"")</f>
        <v/>
      </c>
      <c r="AC23" t="str">
        <f>IF(Px*AC$38+Py*$B23&lt;=I,MIN(a*AC$38,b*$B23),"")</f>
        <v/>
      </c>
      <c r="AD23" t="str">
        <f>IF(Px*AD$38+Py*$B23&lt;=I,MIN(a*AD$38,b*$B23),"")</f>
        <v/>
      </c>
      <c r="AE23" t="str">
        <f>IF(Px*AE$38+Py*$B23&lt;=I,MIN(a*AE$38,b*$B23),"")</f>
        <v/>
      </c>
      <c r="AF23" t="str">
        <f>IF(Px*AF$38+Py*$B23&lt;=I,MIN(a*AF$38,b*$B23),"")</f>
        <v/>
      </c>
      <c r="AG23" t="str">
        <f>IF(Px*AG$38+Py*$B23&lt;=I,MIN(a*AG$38,b*$B23),"")</f>
        <v/>
      </c>
      <c r="AH23" t="str">
        <f>IF(Px*AH$38+Py*$B23&lt;=I,MIN(a*AH$38,b*$B23),"")</f>
        <v/>
      </c>
    </row>
    <row r="24" spans="2:34" ht="17.25" customHeight="1" x14ac:dyDescent="0.25">
      <c r="B24" s="4">
        <f t="shared" si="0"/>
        <v>2.6</v>
      </c>
      <c r="C24">
        <f>IF(Px*C$38+Py*$B24&lt;=I,MIN(a*C$38,b*$B24),"")</f>
        <v>0</v>
      </c>
      <c r="D24">
        <f>IF(Px*D$38+Py*$B24&lt;=I,MIN(a*D$38,b*$B24),"")</f>
        <v>0.2</v>
      </c>
      <c r="E24">
        <f>IF(Px*E$38+Py*$B24&lt;=I,MIN(a*E$38,b*$B24),"")</f>
        <v>0.4</v>
      </c>
      <c r="F24">
        <f>IF(Px*F$38+Py*$B24&lt;=I,MIN(a*F$38,b*$B24),"")</f>
        <v>0.60000000000000009</v>
      </c>
      <c r="G24">
        <f>IF(Px*G$38+Py*$B24&lt;=I,MIN(a*G$38,b*$B24),"")</f>
        <v>0.8</v>
      </c>
      <c r="H24">
        <f>IF(Px*H$38+Py*$B24&lt;=I,MIN(a*H$38,b*$B24),"")</f>
        <v>1</v>
      </c>
      <c r="I24">
        <f>IF(Px*I$38+Py*$B24&lt;=I,MIN(a*I$38,b*$B24),"")</f>
        <v>1.2</v>
      </c>
      <c r="J24">
        <f>IF(Px*J$38+Py*$B24&lt;=I,MIN(a*J$38,b*$B24),"")</f>
        <v>1.4</v>
      </c>
      <c r="K24">
        <f>IF(Px*K$38+Py*$B24&lt;=I,MIN(a*K$38,b*$B24),"")</f>
        <v>1.5999999999999999</v>
      </c>
      <c r="L24">
        <f>IF(Px*L$38+Py*$B24&lt;=I,MIN(a*L$38,b*$B24),"")</f>
        <v>1.7999999999999998</v>
      </c>
      <c r="M24">
        <f>IF(Px*M$38+Py*$B24&lt;=I,MIN(a*M$38,b*$B24),"")</f>
        <v>1.9999999999999998</v>
      </c>
      <c r="N24">
        <f>IF(Px*N$38+Py*$B24&lt;=I,MIN(a*N$38,b*$B24),"")</f>
        <v>2.1999999999999997</v>
      </c>
      <c r="O24">
        <f>IF(Px*O$38+Py*$B24&lt;=I,MIN(a*O$38,b*$B24),"")</f>
        <v>2.4</v>
      </c>
      <c r="P24">
        <f>IF(Px*P$38+Py*$B24&lt;=I,MIN(a*P$38,b*$B24),"")</f>
        <v>2.6</v>
      </c>
      <c r="Q24">
        <f>IF(Px*Q$38+Py*$B24&lt;=I,MIN(a*Q$38,b*$B24),"")</f>
        <v>2.6</v>
      </c>
      <c r="R24">
        <f>IF(Px*R$38+Py*$B24&lt;=I,MIN(a*R$38,b*$B24),"")</f>
        <v>2.6</v>
      </c>
      <c r="S24">
        <f>IF(Px*S$38+Py*$B24&lt;=I,MIN(a*S$38,b*$B24),"")</f>
        <v>2.6</v>
      </c>
      <c r="T24">
        <f>IF(Px*T$38+Py*$B24&lt;=I,MIN(a*T$38,b*$B24),"")</f>
        <v>2.6</v>
      </c>
      <c r="U24" t="str">
        <f>IF(Px*U$38+Py*$B24&lt;=I,MIN(a*U$38,b*$B24),"")</f>
        <v/>
      </c>
      <c r="V24" t="str">
        <f>IF(Px*V$38+Py*$B24&lt;=I,MIN(a*V$38,b*$B24),"")</f>
        <v/>
      </c>
      <c r="W24" t="str">
        <f>IF(Px*W$38+Py*$B24&lt;=I,MIN(a*W$38,b*$B24),"")</f>
        <v/>
      </c>
      <c r="X24" t="str">
        <f>IF(Px*X$38+Py*$B24&lt;=I,MIN(a*X$38,b*$B24),"")</f>
        <v/>
      </c>
      <c r="Y24" t="str">
        <f>IF(Px*Y$38+Py*$B24&lt;=I,MIN(a*Y$38,b*$B24),"")</f>
        <v/>
      </c>
      <c r="Z24" t="str">
        <f>IF(Px*Z$38+Py*$B24&lt;=I,MIN(a*Z$38,b*$B24),"")</f>
        <v/>
      </c>
      <c r="AA24" t="str">
        <f>IF(Px*AA$38+Py*$B24&lt;=I,MIN(a*AA$38,b*$B24),"")</f>
        <v/>
      </c>
      <c r="AB24" t="str">
        <f>IF(Px*AB$38+Py*$B24&lt;=I,MIN(a*AB$38,b*$B24),"")</f>
        <v/>
      </c>
      <c r="AC24" t="str">
        <f>IF(Px*AC$38+Py*$B24&lt;=I,MIN(a*AC$38,b*$B24),"")</f>
        <v/>
      </c>
      <c r="AD24" t="str">
        <f>IF(Px*AD$38+Py*$B24&lt;=I,MIN(a*AD$38,b*$B24),"")</f>
        <v/>
      </c>
      <c r="AE24" t="str">
        <f>IF(Px*AE$38+Py*$B24&lt;=I,MIN(a*AE$38,b*$B24),"")</f>
        <v/>
      </c>
      <c r="AF24" t="str">
        <f>IF(Px*AF$38+Py*$B24&lt;=I,MIN(a*AF$38,b*$B24),"")</f>
        <v/>
      </c>
      <c r="AG24" t="str">
        <f>IF(Px*AG$38+Py*$B24&lt;=I,MIN(a*AG$38,b*$B24),"")</f>
        <v/>
      </c>
      <c r="AH24" t="str">
        <f>IF(Px*AH$38+Py*$B24&lt;=I,MIN(a*AH$38,b*$B24),"")</f>
        <v/>
      </c>
    </row>
    <row r="25" spans="2:34" ht="17.25" customHeight="1" x14ac:dyDescent="0.25">
      <c r="B25" s="4">
        <f t="shared" si="0"/>
        <v>2.4</v>
      </c>
      <c r="C25">
        <f>IF(Px*C$38+Py*$B25&lt;=I,MIN(a*C$38,b*$B25),"")</f>
        <v>0</v>
      </c>
      <c r="D25">
        <f>IF(Px*D$38+Py*$B25&lt;=I,MIN(a*D$38,b*$B25),"")</f>
        <v>0.2</v>
      </c>
      <c r="E25">
        <f>IF(Px*E$38+Py*$B25&lt;=I,MIN(a*E$38,b*$B25),"")</f>
        <v>0.4</v>
      </c>
      <c r="F25">
        <f>IF(Px*F$38+Py*$B25&lt;=I,MIN(a*F$38,b*$B25),"")</f>
        <v>0.60000000000000009</v>
      </c>
      <c r="G25">
        <f>IF(Px*G$38+Py*$B25&lt;=I,MIN(a*G$38,b*$B25),"")</f>
        <v>0.8</v>
      </c>
      <c r="H25">
        <f>IF(Px*H$38+Py*$B25&lt;=I,MIN(a*H$38,b*$B25),"")</f>
        <v>1</v>
      </c>
      <c r="I25">
        <f>IF(Px*I$38+Py*$B25&lt;=I,MIN(a*I$38,b*$B25),"")</f>
        <v>1.2</v>
      </c>
      <c r="J25">
        <f>IF(Px*J$38+Py*$B25&lt;=I,MIN(a*J$38,b*$B25),"")</f>
        <v>1.4</v>
      </c>
      <c r="K25">
        <f>IF(Px*K$38+Py*$B25&lt;=I,MIN(a*K$38,b*$B25),"")</f>
        <v>1.5999999999999999</v>
      </c>
      <c r="L25">
        <f>IF(Px*L$38+Py*$B25&lt;=I,MIN(a*L$38,b*$B25),"")</f>
        <v>1.7999999999999998</v>
      </c>
      <c r="M25">
        <f>IF(Px*M$38+Py*$B25&lt;=I,MIN(a*M$38,b*$B25),"")</f>
        <v>1.9999999999999998</v>
      </c>
      <c r="N25">
        <f>IF(Px*N$38+Py*$B25&lt;=I,MIN(a*N$38,b*$B25),"")</f>
        <v>2.1999999999999997</v>
      </c>
      <c r="O25">
        <f>IF(Px*O$38+Py*$B25&lt;=I,MIN(a*O$38,b*$B25),"")</f>
        <v>2.4</v>
      </c>
      <c r="P25">
        <f>IF(Px*P$38+Py*$B25&lt;=I,MIN(a*P$38,b*$B25),"")</f>
        <v>2.4</v>
      </c>
      <c r="Q25">
        <f>IF(Px*Q$38+Py*$B25&lt;=I,MIN(a*Q$38,b*$B25),"")</f>
        <v>2.4</v>
      </c>
      <c r="R25">
        <f>IF(Px*R$38+Py*$B25&lt;=I,MIN(a*R$38,b*$B25),"")</f>
        <v>2.4</v>
      </c>
      <c r="S25">
        <f>IF(Px*S$38+Py*$B25&lt;=I,MIN(a*S$38,b*$B25),"")</f>
        <v>2.4</v>
      </c>
      <c r="T25">
        <f>IF(Px*T$38+Py*$B25&lt;=I,MIN(a*T$38,b*$B25),"")</f>
        <v>2.4</v>
      </c>
      <c r="U25">
        <f>IF(Px*U$38+Py*$B25&lt;=I,MIN(a*U$38,b*$B25),"")</f>
        <v>2.4</v>
      </c>
      <c r="V25" t="str">
        <f>IF(Px*V$38+Py*$B25&lt;=I,MIN(a*V$38,b*$B25),"")</f>
        <v/>
      </c>
      <c r="W25" t="str">
        <f>IF(Px*W$38+Py*$B25&lt;=I,MIN(a*W$38,b*$B25),"")</f>
        <v/>
      </c>
      <c r="X25" t="str">
        <f>IF(Px*X$38+Py*$B25&lt;=I,MIN(a*X$38,b*$B25),"")</f>
        <v/>
      </c>
      <c r="Y25" t="str">
        <f>IF(Px*Y$38+Py*$B25&lt;=I,MIN(a*Y$38,b*$B25),"")</f>
        <v/>
      </c>
      <c r="Z25" t="str">
        <f>IF(Px*Z$38+Py*$B25&lt;=I,MIN(a*Z$38,b*$B25),"")</f>
        <v/>
      </c>
      <c r="AA25" t="str">
        <f>IF(Px*AA$38+Py*$B25&lt;=I,MIN(a*AA$38,b*$B25),"")</f>
        <v/>
      </c>
      <c r="AB25" t="str">
        <f>IF(Px*AB$38+Py*$B25&lt;=I,MIN(a*AB$38,b*$B25),"")</f>
        <v/>
      </c>
      <c r="AC25" t="str">
        <f>IF(Px*AC$38+Py*$B25&lt;=I,MIN(a*AC$38,b*$B25),"")</f>
        <v/>
      </c>
      <c r="AD25" t="str">
        <f>IF(Px*AD$38+Py*$B25&lt;=I,MIN(a*AD$38,b*$B25),"")</f>
        <v/>
      </c>
      <c r="AE25" t="str">
        <f>IF(Px*AE$38+Py*$B25&lt;=I,MIN(a*AE$38,b*$B25),"")</f>
        <v/>
      </c>
      <c r="AF25" t="str">
        <f>IF(Px*AF$38+Py*$B25&lt;=I,MIN(a*AF$38,b*$B25),"")</f>
        <v/>
      </c>
      <c r="AG25" t="str">
        <f>IF(Px*AG$38+Py*$B25&lt;=I,MIN(a*AG$38,b*$B25),"")</f>
        <v/>
      </c>
      <c r="AH25" t="str">
        <f>IF(Px*AH$38+Py*$B25&lt;=I,MIN(a*AH$38,b*$B25),"")</f>
        <v/>
      </c>
    </row>
    <row r="26" spans="2:34" ht="17.25" customHeight="1" x14ac:dyDescent="0.25">
      <c r="B26" s="4">
        <f t="shared" si="0"/>
        <v>2.1999999999999997</v>
      </c>
      <c r="C26">
        <f>IF(Px*C$38+Py*$B26&lt;=I,MIN(a*C$38,b*$B26),"")</f>
        <v>0</v>
      </c>
      <c r="D26">
        <f>IF(Px*D$38+Py*$B26&lt;=I,MIN(a*D$38,b*$B26),"")</f>
        <v>0.2</v>
      </c>
      <c r="E26">
        <f>IF(Px*E$38+Py*$B26&lt;=I,MIN(a*E$38,b*$B26),"")</f>
        <v>0.4</v>
      </c>
      <c r="F26">
        <f>IF(Px*F$38+Py*$B26&lt;=I,MIN(a*F$38,b*$B26),"")</f>
        <v>0.60000000000000009</v>
      </c>
      <c r="G26">
        <f>IF(Px*G$38+Py*$B26&lt;=I,MIN(a*G$38,b*$B26),"")</f>
        <v>0.8</v>
      </c>
      <c r="H26">
        <f>IF(Px*H$38+Py*$B26&lt;=I,MIN(a*H$38,b*$B26),"")</f>
        <v>1</v>
      </c>
      <c r="I26">
        <f>IF(Px*I$38+Py*$B26&lt;=I,MIN(a*I$38,b*$B26),"")</f>
        <v>1.2</v>
      </c>
      <c r="J26">
        <f>IF(Px*J$38+Py*$B26&lt;=I,MIN(a*J$38,b*$B26),"")</f>
        <v>1.4</v>
      </c>
      <c r="K26">
        <f>IF(Px*K$38+Py*$B26&lt;=I,MIN(a*K$38,b*$B26),"")</f>
        <v>1.5999999999999999</v>
      </c>
      <c r="L26">
        <f>IF(Px*L$38+Py*$B26&lt;=I,MIN(a*L$38,b*$B26),"")</f>
        <v>1.7999999999999998</v>
      </c>
      <c r="M26">
        <f>IF(Px*M$38+Py*$B26&lt;=I,MIN(a*M$38,b*$B26),"")</f>
        <v>1.9999999999999998</v>
      </c>
      <c r="N26">
        <f>IF(Px*N$38+Py*$B26&lt;=I,MIN(a*N$38,b*$B26),"")</f>
        <v>2.1999999999999997</v>
      </c>
      <c r="O26">
        <f>IF(Px*O$38+Py*$B26&lt;=I,MIN(a*O$38,b*$B26),"")</f>
        <v>2.1999999999999997</v>
      </c>
      <c r="P26">
        <f>IF(Px*P$38+Py*$B26&lt;=I,MIN(a*P$38,b*$B26),"")</f>
        <v>2.1999999999999997</v>
      </c>
      <c r="Q26">
        <f>IF(Px*Q$38+Py*$B26&lt;=I,MIN(a*Q$38,b*$B26),"")</f>
        <v>2.1999999999999997</v>
      </c>
      <c r="R26">
        <f>IF(Px*R$38+Py*$B26&lt;=I,MIN(a*R$38,b*$B26),"")</f>
        <v>2.1999999999999997</v>
      </c>
      <c r="S26">
        <f>IF(Px*S$38+Py*$B26&lt;=I,MIN(a*S$38,b*$B26),"")</f>
        <v>2.1999999999999997</v>
      </c>
      <c r="T26">
        <f>IF(Px*T$38+Py*$B26&lt;=I,MIN(a*T$38,b*$B26),"")</f>
        <v>2.1999999999999997</v>
      </c>
      <c r="U26">
        <f>IF(Px*U$38+Py*$B26&lt;=I,MIN(a*U$38,b*$B26),"")</f>
        <v>2.1999999999999997</v>
      </c>
      <c r="V26">
        <f>IF(Px*V$38+Py*$B26&lt;=I,MIN(a*V$38,b*$B26),"")</f>
        <v>2.1999999999999997</v>
      </c>
      <c r="W26" t="str">
        <f>IF(Px*W$38+Py*$B26&lt;=I,MIN(a*W$38,b*$B26),"")</f>
        <v/>
      </c>
      <c r="X26" t="str">
        <f>IF(Px*X$38+Py*$B26&lt;=I,MIN(a*X$38,b*$B26),"")</f>
        <v/>
      </c>
      <c r="Y26" t="str">
        <f>IF(Px*Y$38+Py*$B26&lt;=I,MIN(a*Y$38,b*$B26),"")</f>
        <v/>
      </c>
      <c r="Z26" t="str">
        <f>IF(Px*Z$38+Py*$B26&lt;=I,MIN(a*Z$38,b*$B26),"")</f>
        <v/>
      </c>
      <c r="AA26" t="str">
        <f>IF(Px*AA$38+Py*$B26&lt;=I,MIN(a*AA$38,b*$B26),"")</f>
        <v/>
      </c>
      <c r="AB26" t="str">
        <f>IF(Px*AB$38+Py*$B26&lt;=I,MIN(a*AB$38,b*$B26),"")</f>
        <v/>
      </c>
      <c r="AC26" t="str">
        <f>IF(Px*AC$38+Py*$B26&lt;=I,MIN(a*AC$38,b*$B26),"")</f>
        <v/>
      </c>
      <c r="AD26" t="str">
        <f>IF(Px*AD$38+Py*$B26&lt;=I,MIN(a*AD$38,b*$B26),"")</f>
        <v/>
      </c>
      <c r="AE26" t="str">
        <f>IF(Px*AE$38+Py*$B26&lt;=I,MIN(a*AE$38,b*$B26),"")</f>
        <v/>
      </c>
      <c r="AF26" t="str">
        <f>IF(Px*AF$38+Py*$B26&lt;=I,MIN(a*AF$38,b*$B26),"")</f>
        <v/>
      </c>
      <c r="AG26" t="str">
        <f>IF(Px*AG$38+Py*$B26&lt;=I,MIN(a*AG$38,b*$B26),"")</f>
        <v/>
      </c>
      <c r="AH26" t="str">
        <f>IF(Px*AH$38+Py*$B26&lt;=I,MIN(a*AH$38,b*$B26),"")</f>
        <v/>
      </c>
    </row>
    <row r="27" spans="2:34" ht="17.25" customHeight="1" x14ac:dyDescent="0.25">
      <c r="B27" s="4">
        <f t="shared" si="0"/>
        <v>1.9999999999999998</v>
      </c>
      <c r="C27">
        <f>IF(Px*C$38+Py*$B27&lt;=I,MIN(a*C$38,b*$B27),"")</f>
        <v>0</v>
      </c>
      <c r="D27">
        <f>IF(Px*D$38+Py*$B27&lt;=I,MIN(a*D$38,b*$B27),"")</f>
        <v>0.2</v>
      </c>
      <c r="E27">
        <f>IF(Px*E$38+Py*$B27&lt;=I,MIN(a*E$38,b*$B27),"")</f>
        <v>0.4</v>
      </c>
      <c r="F27">
        <f>IF(Px*F$38+Py*$B27&lt;=I,MIN(a*F$38,b*$B27),"")</f>
        <v>0.60000000000000009</v>
      </c>
      <c r="G27">
        <f>IF(Px*G$38+Py*$B27&lt;=I,MIN(a*G$38,b*$B27),"")</f>
        <v>0.8</v>
      </c>
      <c r="H27">
        <f>IF(Px*H$38+Py*$B27&lt;=I,MIN(a*H$38,b*$B27),"")</f>
        <v>1</v>
      </c>
      <c r="I27">
        <f>IF(Px*I$38+Py*$B27&lt;=I,MIN(a*I$38,b*$B27),"")</f>
        <v>1.2</v>
      </c>
      <c r="J27">
        <f>IF(Px*J$38+Py*$B27&lt;=I,MIN(a*J$38,b*$B27),"")</f>
        <v>1.4</v>
      </c>
      <c r="K27">
        <f>IF(Px*K$38+Py*$B27&lt;=I,MIN(a*K$38,b*$B27),"")</f>
        <v>1.5999999999999999</v>
      </c>
      <c r="L27">
        <f>IF(Px*L$38+Py*$B27&lt;=I,MIN(a*L$38,b*$B27),"")</f>
        <v>1.7999999999999998</v>
      </c>
      <c r="M27">
        <f>IF(Px*M$38+Py*$B27&lt;=I,MIN(a*M$38,b*$B27),"")</f>
        <v>1.9999999999999998</v>
      </c>
      <c r="N27">
        <f>IF(Px*N$38+Py*$B27&lt;=I,MIN(a*N$38,b*$B27),"")</f>
        <v>1.9999999999999998</v>
      </c>
      <c r="O27">
        <f>IF(Px*O$38+Py*$B27&lt;=I,MIN(a*O$38,b*$B27),"")</f>
        <v>1.9999999999999998</v>
      </c>
      <c r="P27">
        <f>IF(Px*P$38+Py*$B27&lt;=I,MIN(a*P$38,b*$B27),"")</f>
        <v>1.9999999999999998</v>
      </c>
      <c r="Q27">
        <f>IF(Px*Q$38+Py*$B27&lt;=I,MIN(a*Q$38,b*$B27),"")</f>
        <v>1.9999999999999998</v>
      </c>
      <c r="R27">
        <f>IF(Px*R$38+Py*$B27&lt;=I,MIN(a*R$38,b*$B27),"")</f>
        <v>1.9999999999999998</v>
      </c>
      <c r="S27">
        <f>IF(Px*S$38+Py*$B27&lt;=I,MIN(a*S$38,b*$B27),"")</f>
        <v>1.9999999999999998</v>
      </c>
      <c r="T27">
        <f>IF(Px*T$38+Py*$B27&lt;=I,MIN(a*T$38,b*$B27),"")</f>
        <v>1.9999999999999998</v>
      </c>
      <c r="U27">
        <f>IF(Px*U$38+Py*$B27&lt;=I,MIN(a*U$38,b*$B27),"")</f>
        <v>1.9999999999999998</v>
      </c>
      <c r="V27">
        <f>IF(Px*V$38+Py*$B27&lt;=I,MIN(a*V$38,b*$B27),"")</f>
        <v>1.9999999999999998</v>
      </c>
      <c r="W27">
        <f>IF(Px*W$38+Py*$B27&lt;=I,MIN(a*W$38,b*$B27),"")</f>
        <v>1.9999999999999998</v>
      </c>
      <c r="X27" t="str">
        <f>IF(Px*X$38+Py*$B27&lt;=I,MIN(a*X$38,b*$B27),"")</f>
        <v/>
      </c>
      <c r="Y27" t="str">
        <f>IF(Px*Y$38+Py*$B27&lt;=I,MIN(a*Y$38,b*$B27),"")</f>
        <v/>
      </c>
      <c r="Z27" t="str">
        <f>IF(Px*Z$38+Py*$B27&lt;=I,MIN(a*Z$38,b*$B27),"")</f>
        <v/>
      </c>
      <c r="AA27" t="str">
        <f>IF(Px*AA$38+Py*$B27&lt;=I,MIN(a*AA$38,b*$B27),"")</f>
        <v/>
      </c>
      <c r="AB27" t="str">
        <f>IF(Px*AB$38+Py*$B27&lt;=I,MIN(a*AB$38,b*$B27),"")</f>
        <v/>
      </c>
      <c r="AC27" t="str">
        <f>IF(Px*AC$38+Py*$B27&lt;=I,MIN(a*AC$38,b*$B27),"")</f>
        <v/>
      </c>
      <c r="AD27" t="str">
        <f>IF(Px*AD$38+Py*$B27&lt;=I,MIN(a*AD$38,b*$B27),"")</f>
        <v/>
      </c>
      <c r="AE27" t="str">
        <f>IF(Px*AE$38+Py*$B27&lt;=I,MIN(a*AE$38,b*$B27),"")</f>
        <v/>
      </c>
      <c r="AF27" t="str">
        <f>IF(Px*AF$38+Py*$B27&lt;=I,MIN(a*AF$38,b*$B27),"")</f>
        <v/>
      </c>
      <c r="AG27" t="str">
        <f>IF(Px*AG$38+Py*$B27&lt;=I,MIN(a*AG$38,b*$B27),"")</f>
        <v/>
      </c>
      <c r="AH27" t="str">
        <f>IF(Px*AH$38+Py*$B27&lt;=I,MIN(a*AH$38,b*$B27),"")</f>
        <v/>
      </c>
    </row>
    <row r="28" spans="2:34" ht="17.25" customHeight="1" x14ac:dyDescent="0.25">
      <c r="B28" s="4">
        <f t="shared" si="0"/>
        <v>1.7999999999999998</v>
      </c>
      <c r="C28">
        <f>IF(Px*C$38+Py*$B28&lt;=I,MIN(a*C$38,b*$B28),"")</f>
        <v>0</v>
      </c>
      <c r="D28">
        <f>IF(Px*D$38+Py*$B28&lt;=I,MIN(a*D$38,b*$B28),"")</f>
        <v>0.2</v>
      </c>
      <c r="E28">
        <f>IF(Px*E$38+Py*$B28&lt;=I,MIN(a*E$38,b*$B28),"")</f>
        <v>0.4</v>
      </c>
      <c r="F28">
        <f>IF(Px*F$38+Py*$B28&lt;=I,MIN(a*F$38,b*$B28),"")</f>
        <v>0.60000000000000009</v>
      </c>
      <c r="G28">
        <f>IF(Px*G$38+Py*$B28&lt;=I,MIN(a*G$38,b*$B28),"")</f>
        <v>0.8</v>
      </c>
      <c r="H28">
        <f>IF(Px*H$38+Py*$B28&lt;=I,MIN(a*H$38,b*$B28),"")</f>
        <v>1</v>
      </c>
      <c r="I28">
        <f>IF(Px*I$38+Py*$B28&lt;=I,MIN(a*I$38,b*$B28),"")</f>
        <v>1.2</v>
      </c>
      <c r="J28">
        <f>IF(Px*J$38+Py*$B28&lt;=I,MIN(a*J$38,b*$B28),"")</f>
        <v>1.4</v>
      </c>
      <c r="K28">
        <f>IF(Px*K$38+Py*$B28&lt;=I,MIN(a*K$38,b*$B28),"")</f>
        <v>1.5999999999999999</v>
      </c>
      <c r="L28">
        <f>IF(Px*L$38+Py*$B28&lt;=I,MIN(a*L$38,b*$B28),"")</f>
        <v>1.7999999999999998</v>
      </c>
      <c r="M28">
        <f>IF(Px*M$38+Py*$B28&lt;=I,MIN(a*M$38,b*$B28),"")</f>
        <v>1.7999999999999998</v>
      </c>
      <c r="N28">
        <f>IF(Px*N$38+Py*$B28&lt;=I,MIN(a*N$38,b*$B28),"")</f>
        <v>1.7999999999999998</v>
      </c>
      <c r="O28">
        <f>IF(Px*O$38+Py*$B28&lt;=I,MIN(a*O$38,b*$B28),"")</f>
        <v>1.7999999999999998</v>
      </c>
      <c r="P28">
        <f>IF(Px*P$38+Py*$B28&lt;=I,MIN(a*P$38,b*$B28),"")</f>
        <v>1.7999999999999998</v>
      </c>
      <c r="Q28">
        <f>IF(Px*Q$38+Py*$B28&lt;=I,MIN(a*Q$38,b*$B28),"")</f>
        <v>1.7999999999999998</v>
      </c>
      <c r="R28">
        <f>IF(Px*R$38+Py*$B28&lt;=I,MIN(a*R$38,b*$B28),"")</f>
        <v>1.7999999999999998</v>
      </c>
      <c r="S28">
        <f>IF(Px*S$38+Py*$B28&lt;=I,MIN(a*S$38,b*$B28),"")</f>
        <v>1.7999999999999998</v>
      </c>
      <c r="T28">
        <f>IF(Px*T$38+Py*$B28&lt;=I,MIN(a*T$38,b*$B28),"")</f>
        <v>1.7999999999999998</v>
      </c>
      <c r="U28">
        <f>IF(Px*U$38+Py*$B28&lt;=I,MIN(a*U$38,b*$B28),"")</f>
        <v>1.7999999999999998</v>
      </c>
      <c r="V28">
        <f>IF(Px*V$38+Py*$B28&lt;=I,MIN(a*V$38,b*$B28),"")</f>
        <v>1.7999999999999998</v>
      </c>
      <c r="W28">
        <f>IF(Px*W$38+Py*$B28&lt;=I,MIN(a*W$38,b*$B28),"")</f>
        <v>1.7999999999999998</v>
      </c>
      <c r="X28">
        <f>IF(Px*X$38+Py*$B28&lt;=I,MIN(a*X$38,b*$B28),"")</f>
        <v>1.7999999999999998</v>
      </c>
      <c r="Y28" t="str">
        <f>IF(Px*Y$38+Py*$B28&lt;=I,MIN(a*Y$38,b*$B28),"")</f>
        <v/>
      </c>
      <c r="Z28" t="str">
        <f>IF(Px*Z$38+Py*$B28&lt;=I,MIN(a*Z$38,b*$B28),"")</f>
        <v/>
      </c>
      <c r="AA28" t="str">
        <f>IF(Px*AA$38+Py*$B28&lt;=I,MIN(a*AA$38,b*$B28),"")</f>
        <v/>
      </c>
      <c r="AB28" t="str">
        <f>IF(Px*AB$38+Py*$B28&lt;=I,MIN(a*AB$38,b*$B28),"")</f>
        <v/>
      </c>
      <c r="AC28" t="str">
        <f>IF(Px*AC$38+Py*$B28&lt;=I,MIN(a*AC$38,b*$B28),"")</f>
        <v/>
      </c>
      <c r="AD28" t="str">
        <f>IF(Px*AD$38+Py*$B28&lt;=I,MIN(a*AD$38,b*$B28),"")</f>
        <v/>
      </c>
      <c r="AE28" t="str">
        <f>IF(Px*AE$38+Py*$B28&lt;=I,MIN(a*AE$38,b*$B28),"")</f>
        <v/>
      </c>
      <c r="AF28" t="str">
        <f>IF(Px*AF$38+Py*$B28&lt;=I,MIN(a*AF$38,b*$B28),"")</f>
        <v/>
      </c>
      <c r="AG28" t="str">
        <f>IF(Px*AG$38+Py*$B28&lt;=I,MIN(a*AG$38,b*$B28),"")</f>
        <v/>
      </c>
      <c r="AH28" t="str">
        <f>IF(Px*AH$38+Py*$B28&lt;=I,MIN(a*AH$38,b*$B28),"")</f>
        <v/>
      </c>
    </row>
    <row r="29" spans="2:34" ht="17.25" customHeight="1" x14ac:dyDescent="0.25">
      <c r="B29" s="4">
        <f t="shared" si="0"/>
        <v>1.5999999999999999</v>
      </c>
      <c r="C29">
        <f>IF(Px*C$38+Py*$B29&lt;=I,MIN(a*C$38,b*$B29),"")</f>
        <v>0</v>
      </c>
      <c r="D29">
        <f>IF(Px*D$38+Py*$B29&lt;=I,MIN(a*D$38,b*$B29),"")</f>
        <v>0.2</v>
      </c>
      <c r="E29">
        <f>IF(Px*E$38+Py*$B29&lt;=I,MIN(a*E$38,b*$B29),"")</f>
        <v>0.4</v>
      </c>
      <c r="F29">
        <f>IF(Px*F$38+Py*$B29&lt;=I,MIN(a*F$38,b*$B29),"")</f>
        <v>0.60000000000000009</v>
      </c>
      <c r="G29">
        <f>IF(Px*G$38+Py*$B29&lt;=I,MIN(a*G$38,b*$B29),"")</f>
        <v>0.8</v>
      </c>
      <c r="H29">
        <f>IF(Px*H$38+Py*$B29&lt;=I,MIN(a*H$38,b*$B29),"")</f>
        <v>1</v>
      </c>
      <c r="I29">
        <f>IF(Px*I$38+Py*$B29&lt;=I,MIN(a*I$38,b*$B29),"")</f>
        <v>1.2</v>
      </c>
      <c r="J29">
        <f>IF(Px*J$38+Py*$B29&lt;=I,MIN(a*J$38,b*$B29),"")</f>
        <v>1.4</v>
      </c>
      <c r="K29">
        <f>IF(Px*K$38+Py*$B29&lt;=I,MIN(a*K$38,b*$B29),"")</f>
        <v>1.5999999999999999</v>
      </c>
      <c r="L29">
        <f>IF(Px*L$38+Py*$B29&lt;=I,MIN(a*L$38,b*$B29),"")</f>
        <v>1.5999999999999999</v>
      </c>
      <c r="M29">
        <f>IF(Px*M$38+Py*$B29&lt;=I,MIN(a*M$38,b*$B29),"")</f>
        <v>1.5999999999999999</v>
      </c>
      <c r="N29">
        <f>IF(Px*N$38+Py*$B29&lt;=I,MIN(a*N$38,b*$B29),"")</f>
        <v>1.5999999999999999</v>
      </c>
      <c r="O29">
        <f>IF(Px*O$38+Py*$B29&lt;=I,MIN(a*O$38,b*$B29),"")</f>
        <v>1.5999999999999999</v>
      </c>
      <c r="P29">
        <f>IF(Px*P$38+Py*$B29&lt;=I,MIN(a*P$38,b*$B29),"")</f>
        <v>1.5999999999999999</v>
      </c>
      <c r="Q29">
        <f>IF(Px*Q$38+Py*$B29&lt;=I,MIN(a*Q$38,b*$B29),"")</f>
        <v>1.5999999999999999</v>
      </c>
      <c r="R29">
        <f>IF(Px*R$38+Py*$B29&lt;=I,MIN(a*R$38,b*$B29),"")</f>
        <v>1.5999999999999999</v>
      </c>
      <c r="S29">
        <f>IF(Px*S$38+Py*$B29&lt;=I,MIN(a*S$38,b*$B29),"")</f>
        <v>1.5999999999999999</v>
      </c>
      <c r="T29">
        <f>IF(Px*T$38+Py*$B29&lt;=I,MIN(a*T$38,b*$B29),"")</f>
        <v>1.5999999999999999</v>
      </c>
      <c r="U29">
        <f>IF(Px*U$38+Py*$B29&lt;=I,MIN(a*U$38,b*$B29),"")</f>
        <v>1.5999999999999999</v>
      </c>
      <c r="V29">
        <f>IF(Px*V$38+Py*$B29&lt;=I,MIN(a*V$38,b*$B29),"")</f>
        <v>1.5999999999999999</v>
      </c>
      <c r="W29">
        <f>IF(Px*W$38+Py*$B29&lt;=I,MIN(a*W$38,b*$B29),"")</f>
        <v>1.5999999999999999</v>
      </c>
      <c r="X29">
        <f>IF(Px*X$38+Py*$B29&lt;=I,MIN(a*X$38,b*$B29),"")</f>
        <v>1.5999999999999999</v>
      </c>
      <c r="Y29">
        <f>IF(Px*Y$38+Py*$B29&lt;=I,MIN(a*Y$38,b*$B29),"")</f>
        <v>1.5999999999999999</v>
      </c>
      <c r="Z29" t="str">
        <f>IF(Px*Z$38+Py*$B29&lt;=I,MIN(a*Z$38,b*$B29),"")</f>
        <v/>
      </c>
      <c r="AA29" t="str">
        <f>IF(Px*AA$38+Py*$B29&lt;=I,MIN(a*AA$38,b*$B29),"")</f>
        <v/>
      </c>
      <c r="AB29" t="str">
        <f>IF(Px*AB$38+Py*$B29&lt;=I,MIN(a*AB$38,b*$B29),"")</f>
        <v/>
      </c>
      <c r="AC29" t="str">
        <f>IF(Px*AC$38+Py*$B29&lt;=I,MIN(a*AC$38,b*$B29),"")</f>
        <v/>
      </c>
      <c r="AD29" t="str">
        <f>IF(Px*AD$38+Py*$B29&lt;=I,MIN(a*AD$38,b*$B29),"")</f>
        <v/>
      </c>
      <c r="AE29" t="str">
        <f>IF(Px*AE$38+Py*$B29&lt;=I,MIN(a*AE$38,b*$B29),"")</f>
        <v/>
      </c>
      <c r="AF29" t="str">
        <f>IF(Px*AF$38+Py*$B29&lt;=I,MIN(a*AF$38,b*$B29),"")</f>
        <v/>
      </c>
      <c r="AG29" t="str">
        <f>IF(Px*AG$38+Py*$B29&lt;=I,MIN(a*AG$38,b*$B29),"")</f>
        <v/>
      </c>
      <c r="AH29" t="str">
        <f>IF(Px*AH$38+Py*$B29&lt;=I,MIN(a*AH$38,b*$B29),"")</f>
        <v/>
      </c>
    </row>
    <row r="30" spans="2:34" ht="17.25" customHeight="1" x14ac:dyDescent="0.25">
      <c r="B30" s="4">
        <f t="shared" si="0"/>
        <v>1.4</v>
      </c>
      <c r="C30">
        <f>IF(Px*C$38+Py*$B30&lt;=I,MIN(a*C$38,b*$B30),"")</f>
        <v>0</v>
      </c>
      <c r="D30">
        <f>IF(Px*D$38+Py*$B30&lt;=I,MIN(a*D$38,b*$B30),"")</f>
        <v>0.2</v>
      </c>
      <c r="E30">
        <f>IF(Px*E$38+Py*$B30&lt;=I,MIN(a*E$38,b*$B30),"")</f>
        <v>0.4</v>
      </c>
      <c r="F30">
        <f>IF(Px*F$38+Py*$B30&lt;=I,MIN(a*F$38,b*$B30),"")</f>
        <v>0.60000000000000009</v>
      </c>
      <c r="G30">
        <f>IF(Px*G$38+Py*$B30&lt;=I,MIN(a*G$38,b*$B30),"")</f>
        <v>0.8</v>
      </c>
      <c r="H30">
        <f>IF(Px*H$38+Py*$B30&lt;=I,MIN(a*H$38,b*$B30),"")</f>
        <v>1</v>
      </c>
      <c r="I30">
        <f>IF(Px*I$38+Py*$B30&lt;=I,MIN(a*I$38,b*$B30),"")</f>
        <v>1.2</v>
      </c>
      <c r="J30">
        <f>IF(Px*J$38+Py*$B30&lt;=I,MIN(a*J$38,b*$B30),"")</f>
        <v>1.4</v>
      </c>
      <c r="K30">
        <f>IF(Px*K$38+Py*$B30&lt;=I,MIN(a*K$38,b*$B30),"")</f>
        <v>1.4</v>
      </c>
      <c r="L30">
        <f>IF(Px*L$38+Py*$B30&lt;=I,MIN(a*L$38,b*$B30),"")</f>
        <v>1.4</v>
      </c>
      <c r="M30">
        <f>IF(Px*M$38+Py*$B30&lt;=I,MIN(a*M$38,b*$B30),"")</f>
        <v>1.4</v>
      </c>
      <c r="N30">
        <f>IF(Px*N$38+Py*$B30&lt;=I,MIN(a*N$38,b*$B30),"")</f>
        <v>1.4</v>
      </c>
      <c r="O30">
        <f>IF(Px*O$38+Py*$B30&lt;=I,MIN(a*O$38,b*$B30),"")</f>
        <v>1.4</v>
      </c>
      <c r="P30">
        <f>IF(Px*P$38+Py*$B30&lt;=I,MIN(a*P$38,b*$B30),"")</f>
        <v>1.4</v>
      </c>
      <c r="Q30">
        <f>IF(Px*Q$38+Py*$B30&lt;=I,MIN(a*Q$38,b*$B30),"")</f>
        <v>1.4</v>
      </c>
      <c r="R30">
        <f>IF(Px*R$38+Py*$B30&lt;=I,MIN(a*R$38,b*$B30),"")</f>
        <v>1.4</v>
      </c>
      <c r="S30">
        <f>IF(Px*S$38+Py*$B30&lt;=I,MIN(a*S$38,b*$B30),"")</f>
        <v>1.4</v>
      </c>
      <c r="T30">
        <f>IF(Px*T$38+Py*$B30&lt;=I,MIN(a*T$38,b*$B30),"")</f>
        <v>1.4</v>
      </c>
      <c r="U30">
        <f>IF(Px*U$38+Py*$B30&lt;=I,MIN(a*U$38,b*$B30),"")</f>
        <v>1.4</v>
      </c>
      <c r="V30">
        <f>IF(Px*V$38+Py*$B30&lt;=I,MIN(a*V$38,b*$B30),"")</f>
        <v>1.4</v>
      </c>
      <c r="W30">
        <f>IF(Px*W$38+Py*$B30&lt;=I,MIN(a*W$38,b*$B30),"")</f>
        <v>1.4</v>
      </c>
      <c r="X30">
        <f>IF(Px*X$38+Py*$B30&lt;=I,MIN(a*X$38,b*$B30),"")</f>
        <v>1.4</v>
      </c>
      <c r="Y30">
        <f>IF(Px*Y$38+Py*$B30&lt;=I,MIN(a*Y$38,b*$B30),"")</f>
        <v>1.4</v>
      </c>
      <c r="Z30">
        <f>IF(Px*Z$38+Py*$B30&lt;=I,MIN(a*Z$38,b*$B30),"")</f>
        <v>1.4</v>
      </c>
      <c r="AA30" t="str">
        <f>IF(Px*AA$38+Py*$B30&lt;=I,MIN(a*AA$38,b*$B30),"")</f>
        <v/>
      </c>
      <c r="AB30" t="str">
        <f>IF(Px*AB$38+Py*$B30&lt;=I,MIN(a*AB$38,b*$B30),"")</f>
        <v/>
      </c>
      <c r="AC30" t="str">
        <f>IF(Px*AC$38+Py*$B30&lt;=I,MIN(a*AC$38,b*$B30),"")</f>
        <v/>
      </c>
      <c r="AD30" t="str">
        <f>IF(Px*AD$38+Py*$B30&lt;=I,MIN(a*AD$38,b*$B30),"")</f>
        <v/>
      </c>
      <c r="AE30" t="str">
        <f>IF(Px*AE$38+Py*$B30&lt;=I,MIN(a*AE$38,b*$B30),"")</f>
        <v/>
      </c>
      <c r="AF30" t="str">
        <f>IF(Px*AF$38+Py*$B30&lt;=I,MIN(a*AF$38,b*$B30),"")</f>
        <v/>
      </c>
      <c r="AG30" t="str">
        <f>IF(Px*AG$38+Py*$B30&lt;=I,MIN(a*AG$38,b*$B30),"")</f>
        <v/>
      </c>
      <c r="AH30" t="str">
        <f>IF(Px*AH$38+Py*$B30&lt;=I,MIN(a*AH$38,b*$B30),"")</f>
        <v/>
      </c>
    </row>
    <row r="31" spans="2:34" ht="17.25" customHeight="1" x14ac:dyDescent="0.25">
      <c r="B31" s="4">
        <f t="shared" si="0"/>
        <v>1.2</v>
      </c>
      <c r="C31">
        <f>IF(Px*C$38+Py*$B31&lt;=I,MIN(a*C$38,b*$B31),"")</f>
        <v>0</v>
      </c>
      <c r="D31">
        <f>IF(Px*D$38+Py*$B31&lt;=I,MIN(a*D$38,b*$B31),"")</f>
        <v>0.2</v>
      </c>
      <c r="E31">
        <f>IF(Px*E$38+Py*$B31&lt;=I,MIN(a*E$38,b*$B31),"")</f>
        <v>0.4</v>
      </c>
      <c r="F31">
        <f>IF(Px*F$38+Py*$B31&lt;=I,MIN(a*F$38,b*$B31),"")</f>
        <v>0.60000000000000009</v>
      </c>
      <c r="G31">
        <f>IF(Px*G$38+Py*$B31&lt;=I,MIN(a*G$38,b*$B31),"")</f>
        <v>0.8</v>
      </c>
      <c r="H31">
        <f>IF(Px*H$38+Py*$B31&lt;=I,MIN(a*H$38,b*$B31),"")</f>
        <v>1</v>
      </c>
      <c r="I31">
        <f>IF(Px*I$38+Py*$B31&lt;=I,MIN(a*I$38,b*$B31),"")</f>
        <v>1.2</v>
      </c>
      <c r="J31">
        <f>IF(Px*J$38+Py*$B31&lt;=I,MIN(a*J$38,b*$B31),"")</f>
        <v>1.2</v>
      </c>
      <c r="K31">
        <f>IF(Px*K$38+Py*$B31&lt;=I,MIN(a*K$38,b*$B31),"")</f>
        <v>1.2</v>
      </c>
      <c r="L31">
        <f>IF(Px*L$38+Py*$B31&lt;=I,MIN(a*L$38,b*$B31),"")</f>
        <v>1.2</v>
      </c>
      <c r="M31">
        <f>IF(Px*M$38+Py*$B31&lt;=I,MIN(a*M$38,b*$B31),"")</f>
        <v>1.2</v>
      </c>
      <c r="N31">
        <f>IF(Px*N$38+Py*$B31&lt;=I,MIN(a*N$38,b*$B31),"")</f>
        <v>1.2</v>
      </c>
      <c r="O31">
        <f>IF(Px*O$38+Py*$B31&lt;=I,MIN(a*O$38,b*$B31),"")</f>
        <v>1.2</v>
      </c>
      <c r="P31">
        <f>IF(Px*P$38+Py*$B31&lt;=I,MIN(a*P$38,b*$B31),"")</f>
        <v>1.2</v>
      </c>
      <c r="Q31">
        <f>IF(Px*Q$38+Py*$B31&lt;=I,MIN(a*Q$38,b*$B31),"")</f>
        <v>1.2</v>
      </c>
      <c r="R31">
        <f>IF(Px*R$38+Py*$B31&lt;=I,MIN(a*R$38,b*$B31),"")</f>
        <v>1.2</v>
      </c>
      <c r="S31">
        <f>IF(Px*S$38+Py*$B31&lt;=I,MIN(a*S$38,b*$B31),"")</f>
        <v>1.2</v>
      </c>
      <c r="T31">
        <f>IF(Px*T$38+Py*$B31&lt;=I,MIN(a*T$38,b*$B31),"")</f>
        <v>1.2</v>
      </c>
      <c r="U31">
        <f>IF(Px*U$38+Py*$B31&lt;=I,MIN(a*U$38,b*$B31),"")</f>
        <v>1.2</v>
      </c>
      <c r="V31">
        <f>IF(Px*V$38+Py*$B31&lt;=I,MIN(a*V$38,b*$B31),"")</f>
        <v>1.2</v>
      </c>
      <c r="W31">
        <f>IF(Px*W$38+Py*$B31&lt;=I,MIN(a*W$38,b*$B31),"")</f>
        <v>1.2</v>
      </c>
      <c r="X31">
        <f>IF(Px*X$38+Py*$B31&lt;=I,MIN(a*X$38,b*$B31),"")</f>
        <v>1.2</v>
      </c>
      <c r="Y31">
        <f>IF(Px*Y$38+Py*$B31&lt;=I,MIN(a*Y$38,b*$B31),"")</f>
        <v>1.2</v>
      </c>
      <c r="Z31">
        <f>IF(Px*Z$38+Py*$B31&lt;=I,MIN(a*Z$38,b*$B31),"")</f>
        <v>1.2</v>
      </c>
      <c r="AA31">
        <f>IF(Px*AA$38+Py*$B31&lt;=I,MIN(a*AA$38,b*$B31),"")</f>
        <v>1.2</v>
      </c>
      <c r="AB31" t="str">
        <f>IF(Px*AB$38+Py*$B31&lt;=I,MIN(a*AB$38,b*$B31),"")</f>
        <v/>
      </c>
      <c r="AC31" t="str">
        <f>IF(Px*AC$38+Py*$B31&lt;=I,MIN(a*AC$38,b*$B31),"")</f>
        <v/>
      </c>
      <c r="AD31" t="str">
        <f>IF(Px*AD$38+Py*$B31&lt;=I,MIN(a*AD$38,b*$B31),"")</f>
        <v/>
      </c>
      <c r="AE31" t="str">
        <f>IF(Px*AE$38+Py*$B31&lt;=I,MIN(a*AE$38,b*$B31),"")</f>
        <v/>
      </c>
      <c r="AF31" t="str">
        <f>IF(Px*AF$38+Py*$B31&lt;=I,MIN(a*AF$38,b*$B31),"")</f>
        <v/>
      </c>
      <c r="AG31" t="str">
        <f>IF(Px*AG$38+Py*$B31&lt;=I,MIN(a*AG$38,b*$B31),"")</f>
        <v/>
      </c>
      <c r="AH31" t="str">
        <f>IF(Px*AH$38+Py*$B31&lt;=I,MIN(a*AH$38,b*$B31),"")</f>
        <v/>
      </c>
    </row>
    <row r="32" spans="2:34" ht="17.25" customHeight="1" x14ac:dyDescent="0.25">
      <c r="B32" s="4">
        <f t="shared" si="0"/>
        <v>1</v>
      </c>
      <c r="C32">
        <f>IF(Px*C$38+Py*$B32&lt;=I,MIN(a*C$38,b*$B32),"")</f>
        <v>0</v>
      </c>
      <c r="D32">
        <f>IF(Px*D$38+Py*$B32&lt;=I,MIN(a*D$38,b*$B32),"")</f>
        <v>0.2</v>
      </c>
      <c r="E32">
        <f>IF(Px*E$38+Py*$B32&lt;=I,MIN(a*E$38,b*$B32),"")</f>
        <v>0.4</v>
      </c>
      <c r="F32">
        <f>IF(Px*F$38+Py*$B32&lt;=I,MIN(a*F$38,b*$B32),"")</f>
        <v>0.60000000000000009</v>
      </c>
      <c r="G32">
        <f>IF(Px*G$38+Py*$B32&lt;=I,MIN(a*G$38,b*$B32),"")</f>
        <v>0.8</v>
      </c>
      <c r="H32">
        <f>IF(Px*H$38+Py*$B32&lt;=I,MIN(a*H$38,b*$B32),"")</f>
        <v>1</v>
      </c>
      <c r="I32">
        <f>IF(Px*I$38+Py*$B32&lt;=I,MIN(a*I$38,b*$B32),"")</f>
        <v>1</v>
      </c>
      <c r="J32">
        <f>IF(Px*J$38+Py*$B32&lt;=I,MIN(a*J$38,b*$B32),"")</f>
        <v>1</v>
      </c>
      <c r="K32">
        <f>IF(Px*K$38+Py*$B32&lt;=I,MIN(a*K$38,b*$B32),"")</f>
        <v>1</v>
      </c>
      <c r="L32">
        <f>IF(Px*L$38+Py*$B32&lt;=I,MIN(a*L$38,b*$B32),"")</f>
        <v>1</v>
      </c>
      <c r="M32">
        <f>IF(Px*M$38+Py*$B32&lt;=I,MIN(a*M$38,b*$B32),"")</f>
        <v>1</v>
      </c>
      <c r="N32">
        <f>IF(Px*N$38+Py*$B32&lt;=I,MIN(a*N$38,b*$B32),"")</f>
        <v>1</v>
      </c>
      <c r="O32">
        <f>IF(Px*O$38+Py*$B32&lt;=I,MIN(a*O$38,b*$B32),"")</f>
        <v>1</v>
      </c>
      <c r="P32">
        <f>IF(Px*P$38+Py*$B32&lt;=I,MIN(a*P$38,b*$B32),"")</f>
        <v>1</v>
      </c>
      <c r="Q32">
        <f>IF(Px*Q$38+Py*$B32&lt;=I,MIN(a*Q$38,b*$B32),"")</f>
        <v>1</v>
      </c>
      <c r="R32">
        <f>IF(Px*R$38+Py*$B32&lt;=I,MIN(a*R$38,b*$B32),"")</f>
        <v>1</v>
      </c>
      <c r="S32">
        <f>IF(Px*S$38+Py*$B32&lt;=I,MIN(a*S$38,b*$B32),"")</f>
        <v>1</v>
      </c>
      <c r="T32">
        <f>IF(Px*T$38+Py*$B32&lt;=I,MIN(a*T$38,b*$B32),"")</f>
        <v>1</v>
      </c>
      <c r="U32">
        <f>IF(Px*U$38+Py*$B32&lt;=I,MIN(a*U$38,b*$B32),"")</f>
        <v>1</v>
      </c>
      <c r="V32">
        <f>IF(Px*V$38+Py*$B32&lt;=I,MIN(a*V$38,b*$B32),"")</f>
        <v>1</v>
      </c>
      <c r="W32">
        <f>IF(Px*W$38+Py*$B32&lt;=I,MIN(a*W$38,b*$B32),"")</f>
        <v>1</v>
      </c>
      <c r="X32">
        <f>IF(Px*X$38+Py*$B32&lt;=I,MIN(a*X$38,b*$B32),"")</f>
        <v>1</v>
      </c>
      <c r="Y32">
        <f>IF(Px*Y$38+Py*$B32&lt;=I,MIN(a*Y$38,b*$B32),"")</f>
        <v>1</v>
      </c>
      <c r="Z32">
        <f>IF(Px*Z$38+Py*$B32&lt;=I,MIN(a*Z$38,b*$B32),"")</f>
        <v>1</v>
      </c>
      <c r="AA32">
        <f>IF(Px*AA$38+Py*$B32&lt;=I,MIN(a*AA$38,b*$B32),"")</f>
        <v>1</v>
      </c>
      <c r="AB32">
        <f>IF(Px*AB$38+Py*$B32&lt;=I,MIN(a*AB$38,b*$B32),"")</f>
        <v>1</v>
      </c>
      <c r="AC32" t="str">
        <f>IF(Px*AC$38+Py*$B32&lt;=I,MIN(a*AC$38,b*$B32),"")</f>
        <v/>
      </c>
      <c r="AD32" t="str">
        <f>IF(Px*AD$38+Py*$B32&lt;=I,MIN(a*AD$38,b*$B32),"")</f>
        <v/>
      </c>
      <c r="AE32" t="str">
        <f>IF(Px*AE$38+Py*$B32&lt;=I,MIN(a*AE$38,b*$B32),"")</f>
        <v/>
      </c>
      <c r="AF32" t="str">
        <f>IF(Px*AF$38+Py*$B32&lt;=I,MIN(a*AF$38,b*$B32),"")</f>
        <v/>
      </c>
      <c r="AG32" t="str">
        <f>IF(Px*AG$38+Py*$B32&lt;=I,MIN(a*AG$38,b*$B32),"")</f>
        <v/>
      </c>
      <c r="AH32" t="str">
        <f>IF(Px*AH$38+Py*$B32&lt;=I,MIN(a*AH$38,b*$B32),"")</f>
        <v/>
      </c>
    </row>
    <row r="33" spans="2:34" ht="17.25" customHeight="1" x14ac:dyDescent="0.25">
      <c r="B33" s="4">
        <f t="shared" si="0"/>
        <v>0.8</v>
      </c>
      <c r="C33">
        <f>IF(Px*C$38+Py*$B33&lt;=I,MIN(a*C$38,b*$B33),"")</f>
        <v>0</v>
      </c>
      <c r="D33">
        <f>IF(Px*D$38+Py*$B33&lt;=I,MIN(a*D$38,b*$B33),"")</f>
        <v>0.2</v>
      </c>
      <c r="E33">
        <f>IF(Px*E$38+Py*$B33&lt;=I,MIN(a*E$38,b*$B33),"")</f>
        <v>0.4</v>
      </c>
      <c r="F33">
        <f>IF(Px*F$38+Py*$B33&lt;=I,MIN(a*F$38,b*$B33),"")</f>
        <v>0.60000000000000009</v>
      </c>
      <c r="G33">
        <f>IF(Px*G$38+Py*$B33&lt;=I,MIN(a*G$38,b*$B33),"")</f>
        <v>0.8</v>
      </c>
      <c r="H33">
        <f>IF(Px*H$38+Py*$B33&lt;=I,MIN(a*H$38,b*$B33),"")</f>
        <v>0.8</v>
      </c>
      <c r="I33">
        <f>IF(Px*I$38+Py*$B33&lt;=I,MIN(a*I$38,b*$B33),"")</f>
        <v>0.8</v>
      </c>
      <c r="J33">
        <f>IF(Px*J$38+Py*$B33&lt;=I,MIN(a*J$38,b*$B33),"")</f>
        <v>0.8</v>
      </c>
      <c r="K33">
        <f>IF(Px*K$38+Py*$B33&lt;=I,MIN(a*K$38,b*$B33),"")</f>
        <v>0.8</v>
      </c>
      <c r="L33">
        <f>IF(Px*L$38+Py*$B33&lt;=I,MIN(a*L$38,b*$B33),"")</f>
        <v>0.8</v>
      </c>
      <c r="M33">
        <f>IF(Px*M$38+Py*$B33&lt;=I,MIN(a*M$38,b*$B33),"")</f>
        <v>0.8</v>
      </c>
      <c r="N33">
        <f>IF(Px*N$38+Py*$B33&lt;=I,MIN(a*N$38,b*$B33),"")</f>
        <v>0.8</v>
      </c>
      <c r="O33">
        <f>IF(Px*O$38+Py*$B33&lt;=I,MIN(a*O$38,b*$B33),"")</f>
        <v>0.8</v>
      </c>
      <c r="P33">
        <f>IF(Px*P$38+Py*$B33&lt;=I,MIN(a*P$38,b*$B33),"")</f>
        <v>0.8</v>
      </c>
      <c r="Q33">
        <f>IF(Px*Q$38+Py*$B33&lt;=I,MIN(a*Q$38,b*$B33),"")</f>
        <v>0.8</v>
      </c>
      <c r="R33">
        <f>IF(Px*R$38+Py*$B33&lt;=I,MIN(a*R$38,b*$B33),"")</f>
        <v>0.8</v>
      </c>
      <c r="S33">
        <f>IF(Px*S$38+Py*$B33&lt;=I,MIN(a*S$38,b*$B33),"")</f>
        <v>0.8</v>
      </c>
      <c r="T33">
        <f>IF(Px*T$38+Py*$B33&lt;=I,MIN(a*T$38,b*$B33),"")</f>
        <v>0.8</v>
      </c>
      <c r="U33">
        <f>IF(Px*U$38+Py*$B33&lt;=I,MIN(a*U$38,b*$B33),"")</f>
        <v>0.8</v>
      </c>
      <c r="V33">
        <f>IF(Px*V$38+Py*$B33&lt;=I,MIN(a*V$38,b*$B33),"")</f>
        <v>0.8</v>
      </c>
      <c r="W33">
        <f>IF(Px*W$38+Py*$B33&lt;=I,MIN(a*W$38,b*$B33),"")</f>
        <v>0.8</v>
      </c>
      <c r="X33">
        <f>IF(Px*X$38+Py*$B33&lt;=I,MIN(a*X$38,b*$B33),"")</f>
        <v>0.8</v>
      </c>
      <c r="Y33">
        <f>IF(Px*Y$38+Py*$B33&lt;=I,MIN(a*Y$38,b*$B33),"")</f>
        <v>0.8</v>
      </c>
      <c r="Z33">
        <f>IF(Px*Z$38+Py*$B33&lt;=I,MIN(a*Z$38,b*$B33),"")</f>
        <v>0.8</v>
      </c>
      <c r="AA33">
        <f>IF(Px*AA$38+Py*$B33&lt;=I,MIN(a*AA$38,b*$B33),"")</f>
        <v>0.8</v>
      </c>
      <c r="AB33">
        <f>IF(Px*AB$38+Py*$B33&lt;=I,MIN(a*AB$38,b*$B33),"")</f>
        <v>0.8</v>
      </c>
      <c r="AC33">
        <f>IF(Px*AC$38+Py*$B33&lt;=I,MIN(a*AC$38,b*$B33),"")</f>
        <v>0.8</v>
      </c>
      <c r="AD33" t="str">
        <f>IF(Px*AD$38+Py*$B33&lt;=I,MIN(a*AD$38,b*$B33),"")</f>
        <v/>
      </c>
      <c r="AE33" t="str">
        <f>IF(Px*AE$38+Py*$B33&lt;=I,MIN(a*AE$38,b*$B33),"")</f>
        <v/>
      </c>
      <c r="AF33" t="str">
        <f>IF(Px*AF$38+Py*$B33&lt;=I,MIN(a*AF$38,b*$B33),"")</f>
        <v/>
      </c>
      <c r="AG33" t="str">
        <f>IF(Px*AG$38+Py*$B33&lt;=I,MIN(a*AG$38,b*$B33),"")</f>
        <v/>
      </c>
      <c r="AH33" t="str">
        <f>IF(Px*AH$38+Py*$B33&lt;=I,MIN(a*AH$38,b*$B33),"")</f>
        <v/>
      </c>
    </row>
    <row r="34" spans="2:34" ht="17.25" customHeight="1" x14ac:dyDescent="0.25">
      <c r="B34" s="4">
        <f t="shared" si="0"/>
        <v>0.60000000000000009</v>
      </c>
      <c r="C34">
        <f>IF(Px*C$38+Py*$B34&lt;=I,MIN(a*C$38,b*$B34),"")</f>
        <v>0</v>
      </c>
      <c r="D34">
        <f>IF(Px*D$38+Py*$B34&lt;=I,MIN(a*D$38,b*$B34),"")</f>
        <v>0.2</v>
      </c>
      <c r="E34">
        <f>IF(Px*E$38+Py*$B34&lt;=I,MIN(a*E$38,b*$B34),"")</f>
        <v>0.4</v>
      </c>
      <c r="F34">
        <f>IF(Px*F$38+Py*$B34&lt;=I,MIN(a*F$38,b*$B34),"")</f>
        <v>0.60000000000000009</v>
      </c>
      <c r="G34">
        <f>IF(Px*G$38+Py*$B34&lt;=I,MIN(a*G$38,b*$B34),"")</f>
        <v>0.60000000000000009</v>
      </c>
      <c r="H34">
        <f>IF(Px*H$38+Py*$B34&lt;=I,MIN(a*H$38,b*$B34),"")</f>
        <v>0.60000000000000009</v>
      </c>
      <c r="I34">
        <f>IF(Px*I$38+Py*$B34&lt;=I,MIN(a*I$38,b*$B34),"")</f>
        <v>0.60000000000000009</v>
      </c>
      <c r="J34">
        <f>IF(Px*J$38+Py*$B34&lt;=I,MIN(a*J$38,b*$B34),"")</f>
        <v>0.60000000000000009</v>
      </c>
      <c r="K34">
        <f>IF(Px*K$38+Py*$B34&lt;=I,MIN(a*K$38,b*$B34),"")</f>
        <v>0.60000000000000009</v>
      </c>
      <c r="L34">
        <f>IF(Px*L$38+Py*$B34&lt;=I,MIN(a*L$38,b*$B34),"")</f>
        <v>0.60000000000000009</v>
      </c>
      <c r="M34">
        <f>IF(Px*M$38+Py*$B34&lt;=I,MIN(a*M$38,b*$B34),"")</f>
        <v>0.60000000000000009</v>
      </c>
      <c r="N34">
        <f>IF(Px*N$38+Py*$B34&lt;=I,MIN(a*N$38,b*$B34),"")</f>
        <v>0.60000000000000009</v>
      </c>
      <c r="O34">
        <f>IF(Px*O$38+Py*$B34&lt;=I,MIN(a*O$38,b*$B34),"")</f>
        <v>0.60000000000000009</v>
      </c>
      <c r="P34">
        <f>IF(Px*P$38+Py*$B34&lt;=I,MIN(a*P$38,b*$B34),"")</f>
        <v>0.60000000000000009</v>
      </c>
      <c r="Q34">
        <f>IF(Px*Q$38+Py*$B34&lt;=I,MIN(a*Q$38,b*$B34),"")</f>
        <v>0.60000000000000009</v>
      </c>
      <c r="R34">
        <f>IF(Px*R$38+Py*$B34&lt;=I,MIN(a*R$38,b*$B34),"")</f>
        <v>0.60000000000000009</v>
      </c>
      <c r="S34">
        <f>IF(Px*S$38+Py*$B34&lt;=I,MIN(a*S$38,b*$B34),"")</f>
        <v>0.60000000000000009</v>
      </c>
      <c r="T34">
        <f>IF(Px*T$38+Py*$B34&lt;=I,MIN(a*T$38,b*$B34),"")</f>
        <v>0.60000000000000009</v>
      </c>
      <c r="U34">
        <f>IF(Px*U$38+Py*$B34&lt;=I,MIN(a*U$38,b*$B34),"")</f>
        <v>0.60000000000000009</v>
      </c>
      <c r="V34">
        <f>IF(Px*V$38+Py*$B34&lt;=I,MIN(a*V$38,b*$B34),"")</f>
        <v>0.60000000000000009</v>
      </c>
      <c r="W34">
        <f>IF(Px*W$38+Py*$B34&lt;=I,MIN(a*W$38,b*$B34),"")</f>
        <v>0.60000000000000009</v>
      </c>
      <c r="X34">
        <f>IF(Px*X$38+Py*$B34&lt;=I,MIN(a*X$38,b*$B34),"")</f>
        <v>0.60000000000000009</v>
      </c>
      <c r="Y34">
        <f>IF(Px*Y$38+Py*$B34&lt;=I,MIN(a*Y$38,b*$B34),"")</f>
        <v>0.60000000000000009</v>
      </c>
      <c r="Z34">
        <f>IF(Px*Z$38+Py*$B34&lt;=I,MIN(a*Z$38,b*$B34),"")</f>
        <v>0.60000000000000009</v>
      </c>
      <c r="AA34">
        <f>IF(Px*AA$38+Py*$B34&lt;=I,MIN(a*AA$38,b*$B34),"")</f>
        <v>0.60000000000000009</v>
      </c>
      <c r="AB34">
        <f>IF(Px*AB$38+Py*$B34&lt;=I,MIN(a*AB$38,b*$B34),"")</f>
        <v>0.60000000000000009</v>
      </c>
      <c r="AC34">
        <f>IF(Px*AC$38+Py*$B34&lt;=I,MIN(a*AC$38,b*$B34),"")</f>
        <v>0.60000000000000009</v>
      </c>
      <c r="AD34">
        <f>IF(Px*AD$38+Py*$B34&lt;=I,MIN(a*AD$38,b*$B34),"")</f>
        <v>0.60000000000000009</v>
      </c>
      <c r="AE34" t="str">
        <f>IF(Px*AE$38+Py*$B34&lt;=I,MIN(a*AE$38,b*$B34),"")</f>
        <v/>
      </c>
      <c r="AF34" t="str">
        <f>IF(Px*AF$38+Py*$B34&lt;=I,MIN(a*AF$38,b*$B34),"")</f>
        <v/>
      </c>
      <c r="AG34" t="str">
        <f>IF(Px*AG$38+Py*$B34&lt;=I,MIN(a*AG$38,b*$B34),"")</f>
        <v/>
      </c>
      <c r="AH34" t="str">
        <f>IF(Px*AH$38+Py*$B34&lt;=I,MIN(a*AH$38,b*$B34),"")</f>
        <v/>
      </c>
    </row>
    <row r="35" spans="2:34" ht="17.25" customHeight="1" x14ac:dyDescent="0.25">
      <c r="B35" s="4">
        <f t="shared" si="0"/>
        <v>0.4</v>
      </c>
      <c r="C35">
        <f>IF(Px*C$38+Py*$B35&lt;=I,MIN(a*C$38,b*$B35),"")</f>
        <v>0</v>
      </c>
      <c r="D35">
        <f>IF(Px*D$38+Py*$B35&lt;=I,MIN(a*D$38,b*$B35),"")</f>
        <v>0.2</v>
      </c>
      <c r="E35">
        <f>IF(Px*E$38+Py*$B35&lt;=I,MIN(a*E$38,b*$B35),"")</f>
        <v>0.4</v>
      </c>
      <c r="F35">
        <f>IF(Px*F$38+Py*$B35&lt;=I,MIN(a*F$38,b*$B35),"")</f>
        <v>0.4</v>
      </c>
      <c r="G35">
        <f>IF(Px*G$38+Py*$B35&lt;=I,MIN(a*G$38,b*$B35),"")</f>
        <v>0.4</v>
      </c>
      <c r="H35">
        <f>IF(Px*H$38+Py*$B35&lt;=I,MIN(a*H$38,b*$B35),"")</f>
        <v>0.4</v>
      </c>
      <c r="I35">
        <f>IF(Px*I$38+Py*$B35&lt;=I,MIN(a*I$38,b*$B35),"")</f>
        <v>0.4</v>
      </c>
      <c r="J35">
        <f>IF(Px*J$38+Py*$B35&lt;=I,MIN(a*J$38,b*$B35),"")</f>
        <v>0.4</v>
      </c>
      <c r="K35">
        <f>IF(Px*K$38+Py*$B35&lt;=I,MIN(a*K$38,b*$B35),"")</f>
        <v>0.4</v>
      </c>
      <c r="L35">
        <f>IF(Px*L$38+Py*$B35&lt;=I,MIN(a*L$38,b*$B35),"")</f>
        <v>0.4</v>
      </c>
      <c r="M35">
        <f>IF(Px*M$38+Py*$B35&lt;=I,MIN(a*M$38,b*$B35),"")</f>
        <v>0.4</v>
      </c>
      <c r="N35">
        <f>IF(Px*N$38+Py*$B35&lt;=I,MIN(a*N$38,b*$B35),"")</f>
        <v>0.4</v>
      </c>
      <c r="O35">
        <f>IF(Px*O$38+Py*$B35&lt;=I,MIN(a*O$38,b*$B35),"")</f>
        <v>0.4</v>
      </c>
      <c r="P35">
        <f>IF(Px*P$38+Py*$B35&lt;=I,MIN(a*P$38,b*$B35),"")</f>
        <v>0.4</v>
      </c>
      <c r="Q35">
        <f>IF(Px*Q$38+Py*$B35&lt;=I,MIN(a*Q$38,b*$B35),"")</f>
        <v>0.4</v>
      </c>
      <c r="R35">
        <f>IF(Px*R$38+Py*$B35&lt;=I,MIN(a*R$38,b*$B35),"")</f>
        <v>0.4</v>
      </c>
      <c r="S35">
        <f>IF(Px*S$38+Py*$B35&lt;=I,MIN(a*S$38,b*$B35),"")</f>
        <v>0.4</v>
      </c>
      <c r="T35">
        <f>IF(Px*T$38+Py*$B35&lt;=I,MIN(a*T$38,b*$B35),"")</f>
        <v>0.4</v>
      </c>
      <c r="U35">
        <f>IF(Px*U$38+Py*$B35&lt;=I,MIN(a*U$38,b*$B35),"")</f>
        <v>0.4</v>
      </c>
      <c r="V35">
        <f>IF(Px*V$38+Py*$B35&lt;=I,MIN(a*V$38,b*$B35),"")</f>
        <v>0.4</v>
      </c>
      <c r="W35">
        <f>IF(Px*W$38+Py*$B35&lt;=I,MIN(a*W$38,b*$B35),"")</f>
        <v>0.4</v>
      </c>
      <c r="X35">
        <f>IF(Px*X$38+Py*$B35&lt;=I,MIN(a*X$38,b*$B35),"")</f>
        <v>0.4</v>
      </c>
      <c r="Y35">
        <f>IF(Px*Y$38+Py*$B35&lt;=I,MIN(a*Y$38,b*$B35),"")</f>
        <v>0.4</v>
      </c>
      <c r="Z35">
        <f>IF(Px*Z$38+Py*$B35&lt;=I,MIN(a*Z$38,b*$B35),"")</f>
        <v>0.4</v>
      </c>
      <c r="AA35">
        <f>IF(Px*AA$38+Py*$B35&lt;=I,MIN(a*AA$38,b*$B35),"")</f>
        <v>0.4</v>
      </c>
      <c r="AB35">
        <f>IF(Px*AB$38+Py*$B35&lt;=I,MIN(a*AB$38,b*$B35),"")</f>
        <v>0.4</v>
      </c>
      <c r="AC35">
        <f>IF(Px*AC$38+Py*$B35&lt;=I,MIN(a*AC$38,b*$B35),"")</f>
        <v>0.4</v>
      </c>
      <c r="AD35">
        <f>IF(Px*AD$38+Py*$B35&lt;=I,MIN(a*AD$38,b*$B35),"")</f>
        <v>0.4</v>
      </c>
      <c r="AE35">
        <f>IF(Px*AE$38+Py*$B35&lt;=I,MIN(a*AE$38,b*$B35),"")</f>
        <v>0.4</v>
      </c>
      <c r="AF35" t="str">
        <f>IF(Px*AF$38+Py*$B35&lt;=I,MIN(a*AF$38,b*$B35),"")</f>
        <v/>
      </c>
      <c r="AG35" t="str">
        <f>IF(Px*AG$38+Py*$B35&lt;=I,MIN(a*AG$38,b*$B35),"")</f>
        <v/>
      </c>
      <c r="AH35" t="str">
        <f>IF(Px*AH$38+Py*$B35&lt;=I,MIN(a*AH$38,b*$B35),"")</f>
        <v/>
      </c>
    </row>
    <row r="36" spans="2:34" ht="17.25" customHeight="1" x14ac:dyDescent="0.25">
      <c r="B36" s="4">
        <f>B37+$D$5</f>
        <v>0.2</v>
      </c>
      <c r="C36">
        <f>IF(Px*C$38+Py*$B36&lt;=I,MIN(a*C$38,b*$B36),"")</f>
        <v>0</v>
      </c>
      <c r="D36">
        <f>IF(Px*D$38+Py*$B36&lt;=I,MIN(a*D$38,b*$B36),"")</f>
        <v>0.2</v>
      </c>
      <c r="E36">
        <f>IF(Px*E$38+Py*$B36&lt;=I,MIN(a*E$38,b*$B36),"")</f>
        <v>0.2</v>
      </c>
      <c r="F36">
        <f>IF(Px*F$38+Py*$B36&lt;=I,MIN(a*F$38,b*$B36),"")</f>
        <v>0.2</v>
      </c>
      <c r="G36">
        <f>IF(Px*G$38+Py*$B36&lt;=I,MIN(a*G$38,b*$B36),"")</f>
        <v>0.2</v>
      </c>
      <c r="H36">
        <f>IF(Px*H$38+Py*$B36&lt;=I,MIN(a*H$38,b*$B36),"")</f>
        <v>0.2</v>
      </c>
      <c r="I36">
        <f>IF(Px*I$38+Py*$B36&lt;=I,MIN(a*I$38,b*$B36),"")</f>
        <v>0.2</v>
      </c>
      <c r="J36">
        <f>IF(Px*J$38+Py*$B36&lt;=I,MIN(a*J$38,b*$B36),"")</f>
        <v>0.2</v>
      </c>
      <c r="K36">
        <f>IF(Px*K$38+Py*$B36&lt;=I,MIN(a*K$38,b*$B36),"")</f>
        <v>0.2</v>
      </c>
      <c r="L36">
        <f>IF(Px*L$38+Py*$B36&lt;=I,MIN(a*L$38,b*$B36),"")</f>
        <v>0.2</v>
      </c>
      <c r="M36">
        <f>IF(Px*M$38+Py*$B36&lt;=I,MIN(a*M$38,b*$B36),"")</f>
        <v>0.2</v>
      </c>
      <c r="N36">
        <f>IF(Px*N$38+Py*$B36&lt;=I,MIN(a*N$38,b*$B36),"")</f>
        <v>0.2</v>
      </c>
      <c r="O36">
        <f>IF(Px*O$38+Py*$B36&lt;=I,MIN(a*O$38,b*$B36),"")</f>
        <v>0.2</v>
      </c>
      <c r="P36">
        <f>IF(Px*P$38+Py*$B36&lt;=I,MIN(a*P$38,b*$B36),"")</f>
        <v>0.2</v>
      </c>
      <c r="Q36">
        <f>IF(Px*Q$38+Py*$B36&lt;=I,MIN(a*Q$38,b*$B36),"")</f>
        <v>0.2</v>
      </c>
      <c r="R36">
        <f>IF(Px*R$38+Py*$B36&lt;=I,MIN(a*R$38,b*$B36),"")</f>
        <v>0.2</v>
      </c>
      <c r="S36">
        <f>IF(Px*S$38+Py*$B36&lt;=I,MIN(a*S$38,b*$B36),"")</f>
        <v>0.2</v>
      </c>
      <c r="T36">
        <f>IF(Px*T$38+Py*$B36&lt;=I,MIN(a*T$38,b*$B36),"")</f>
        <v>0.2</v>
      </c>
      <c r="U36">
        <f>IF(Px*U$38+Py*$B36&lt;=I,MIN(a*U$38,b*$B36),"")</f>
        <v>0.2</v>
      </c>
      <c r="V36">
        <f>IF(Px*V$38+Py*$B36&lt;=I,MIN(a*V$38,b*$B36),"")</f>
        <v>0.2</v>
      </c>
      <c r="W36">
        <f>IF(Px*W$38+Py*$B36&lt;=I,MIN(a*W$38,b*$B36),"")</f>
        <v>0.2</v>
      </c>
      <c r="X36">
        <f>IF(Px*X$38+Py*$B36&lt;=I,MIN(a*X$38,b*$B36),"")</f>
        <v>0.2</v>
      </c>
      <c r="Y36">
        <f>IF(Px*Y$38+Py*$B36&lt;=I,MIN(a*Y$38,b*$B36),"")</f>
        <v>0.2</v>
      </c>
      <c r="Z36">
        <f>IF(Px*Z$38+Py*$B36&lt;=I,MIN(a*Z$38,b*$B36),"")</f>
        <v>0.2</v>
      </c>
      <c r="AA36">
        <f>IF(Px*AA$38+Py*$B36&lt;=I,MIN(a*AA$38,b*$B36),"")</f>
        <v>0.2</v>
      </c>
      <c r="AB36">
        <f>IF(Px*AB$38+Py*$B36&lt;=I,MIN(a*AB$38,b*$B36),"")</f>
        <v>0.2</v>
      </c>
      <c r="AC36">
        <f>IF(Px*AC$38+Py*$B36&lt;=I,MIN(a*AC$38,b*$B36),"")</f>
        <v>0.2</v>
      </c>
      <c r="AD36">
        <f>IF(Px*AD$38+Py*$B36&lt;=I,MIN(a*AD$38,b*$B36),"")</f>
        <v>0.2</v>
      </c>
      <c r="AE36">
        <f>IF(Px*AE$38+Py*$B36&lt;=I,MIN(a*AE$38,b*$B36),"")</f>
        <v>0.2</v>
      </c>
      <c r="AF36">
        <f>IF(Px*AF$38+Py*$B36&lt;=I,MIN(a*AF$38,b*$B36),"")</f>
        <v>0.2</v>
      </c>
      <c r="AG36" t="str">
        <f>IF(Px*AG$38+Py*$B36&lt;=I,MIN(a*AG$38,b*$B36),"")</f>
        <v/>
      </c>
      <c r="AH36" t="str">
        <f>IF(Px*AH$38+Py*$B36&lt;=I,MIN(a*AH$38,b*$B36),"")</f>
        <v/>
      </c>
    </row>
    <row r="37" spans="2:34" ht="17.25" customHeight="1" x14ac:dyDescent="0.25">
      <c r="B37" s="4">
        <v>0</v>
      </c>
      <c r="C37">
        <f>IF(Px*C$38+Py*$B37&lt;=I,MIN(a*C$38,b*$B37),"")</f>
        <v>0</v>
      </c>
      <c r="D37">
        <f>IF(Px*D$38+Py*$B37&lt;=I,MIN(a*D$38,b*$B37),"")</f>
        <v>0</v>
      </c>
      <c r="E37">
        <f>IF(Px*E$38+Py*$B37&lt;=I,MIN(a*E$38,b*$B37),"")</f>
        <v>0</v>
      </c>
      <c r="F37">
        <f>IF(Px*F$38+Py*$B37&lt;=I,MIN(a*F$38,b*$B37),"")</f>
        <v>0</v>
      </c>
      <c r="G37">
        <f>IF(Px*G$38+Py*$B37&lt;=I,MIN(a*G$38,b*$B37),"")</f>
        <v>0</v>
      </c>
      <c r="H37">
        <f>IF(Px*H$38+Py*$B37&lt;=I,MIN(a*H$38,b*$B37),"")</f>
        <v>0</v>
      </c>
      <c r="I37">
        <f>IF(Px*I$38+Py*$B37&lt;=I,MIN(a*I$38,b*$B37),"")</f>
        <v>0</v>
      </c>
      <c r="J37">
        <f>IF(Px*J$38+Py*$B37&lt;=I,MIN(a*J$38,b*$B37),"")</f>
        <v>0</v>
      </c>
      <c r="K37">
        <f>IF(Px*K$38+Py*$B37&lt;=I,MIN(a*K$38,b*$B37),"")</f>
        <v>0</v>
      </c>
      <c r="L37">
        <f>IF(Px*L$38+Py*$B37&lt;=I,MIN(a*L$38,b*$B37),"")</f>
        <v>0</v>
      </c>
      <c r="M37">
        <f>IF(Px*M$38+Py*$B37&lt;=I,MIN(a*M$38,b*$B37),"")</f>
        <v>0</v>
      </c>
      <c r="N37">
        <f>IF(Px*N$38+Py*$B37&lt;=I,MIN(a*N$38,b*$B37),"")</f>
        <v>0</v>
      </c>
      <c r="O37">
        <f>IF(Px*O$38+Py*$B37&lt;=I,MIN(a*O$38,b*$B37),"")</f>
        <v>0</v>
      </c>
      <c r="P37">
        <f>IF(Px*P$38+Py*$B37&lt;=I,MIN(a*P$38,b*$B37),"")</f>
        <v>0</v>
      </c>
      <c r="Q37">
        <f>IF(Px*Q$38+Py*$B37&lt;=I,MIN(a*Q$38,b*$B37),"")</f>
        <v>0</v>
      </c>
      <c r="R37">
        <f>IF(Px*R$38+Py*$B37&lt;=I,MIN(a*R$38,b*$B37),"")</f>
        <v>0</v>
      </c>
      <c r="S37">
        <f>IF(Px*S$38+Py*$B37&lt;=I,MIN(a*S$38,b*$B37),"")</f>
        <v>0</v>
      </c>
      <c r="T37">
        <f>IF(Px*T$38+Py*$B37&lt;=I,MIN(a*T$38,b*$B37),"")</f>
        <v>0</v>
      </c>
      <c r="U37">
        <f>IF(Px*U$38+Py*$B37&lt;=I,MIN(a*U$38,b*$B37),"")</f>
        <v>0</v>
      </c>
      <c r="V37">
        <f>IF(Px*V$38+Py*$B37&lt;=I,MIN(a*V$38,b*$B37),"")</f>
        <v>0</v>
      </c>
      <c r="W37">
        <f>IF(Px*W$38+Py*$B37&lt;=I,MIN(a*W$38,b*$B37),"")</f>
        <v>0</v>
      </c>
      <c r="X37">
        <f>IF(Px*X$38+Py*$B37&lt;=I,MIN(a*X$38,b*$B37),"")</f>
        <v>0</v>
      </c>
      <c r="Y37">
        <f>IF(Px*Y$38+Py*$B37&lt;=I,MIN(a*Y$38,b*$B37),"")</f>
        <v>0</v>
      </c>
      <c r="Z37">
        <f>IF(Px*Z$38+Py*$B37&lt;=I,MIN(a*Z$38,b*$B37),"")</f>
        <v>0</v>
      </c>
      <c r="AA37">
        <f>IF(Px*AA$38+Py*$B37&lt;=I,MIN(a*AA$38,b*$B37),"")</f>
        <v>0</v>
      </c>
      <c r="AB37">
        <f>IF(Px*AB$38+Py*$B37&lt;=I,MIN(a*AB$38,b*$B37),"")</f>
        <v>0</v>
      </c>
      <c r="AC37">
        <f>IF(Px*AC$38+Py*$B37&lt;=I,MIN(a*AC$38,b*$B37),"")</f>
        <v>0</v>
      </c>
      <c r="AD37">
        <f>IF(Px*AD$38+Py*$B37&lt;=I,MIN(a*AD$38,b*$B37),"")</f>
        <v>0</v>
      </c>
      <c r="AE37">
        <f>IF(Px*AE$38+Py*$B37&lt;=I,MIN(a*AE$38,b*$B37),"")</f>
        <v>0</v>
      </c>
      <c r="AF37">
        <f>IF(Px*AF$38+Py*$B37&lt;=I,MIN(a*AF$38,b*$B37),"")</f>
        <v>0</v>
      </c>
      <c r="AG37">
        <f>IF(Px*AG$38+Py*$B37&lt;=I,MIN(a*AG$38,b*$B37),"")</f>
        <v>0</v>
      </c>
      <c r="AH37" t="str">
        <f>IF(Px*AH$38+Py*$B37&lt;=I,MIN(a*AH$38,b*$B37),"")</f>
        <v/>
      </c>
    </row>
    <row r="38" spans="2:34" x14ac:dyDescent="0.25">
      <c r="B38" s="1"/>
      <c r="C38" s="3">
        <v>0</v>
      </c>
      <c r="D38" s="3">
        <f>C38+$D$5</f>
        <v>0.2</v>
      </c>
      <c r="E38" s="3">
        <f t="shared" ref="E38:S38" si="1">D38+$D$5</f>
        <v>0.4</v>
      </c>
      <c r="F38" s="3">
        <f t="shared" si="1"/>
        <v>0.60000000000000009</v>
      </c>
      <c r="G38" s="3">
        <f t="shared" si="1"/>
        <v>0.8</v>
      </c>
      <c r="H38" s="3">
        <f t="shared" si="1"/>
        <v>1</v>
      </c>
      <c r="I38" s="3">
        <f t="shared" si="1"/>
        <v>1.2</v>
      </c>
      <c r="J38" s="3">
        <f t="shared" si="1"/>
        <v>1.4</v>
      </c>
      <c r="K38" s="3">
        <f t="shared" si="1"/>
        <v>1.5999999999999999</v>
      </c>
      <c r="L38" s="3">
        <f t="shared" si="1"/>
        <v>1.7999999999999998</v>
      </c>
      <c r="M38" s="3">
        <f t="shared" si="1"/>
        <v>1.9999999999999998</v>
      </c>
      <c r="N38" s="3">
        <f t="shared" si="1"/>
        <v>2.1999999999999997</v>
      </c>
      <c r="O38" s="3">
        <f t="shared" si="1"/>
        <v>2.4</v>
      </c>
      <c r="P38" s="3">
        <f t="shared" si="1"/>
        <v>2.6</v>
      </c>
      <c r="Q38" s="3">
        <f t="shared" si="1"/>
        <v>2.8000000000000003</v>
      </c>
      <c r="R38" s="3">
        <f t="shared" si="1"/>
        <v>3.0000000000000004</v>
      </c>
      <c r="S38" s="3">
        <f t="shared" si="1"/>
        <v>3.2000000000000006</v>
      </c>
      <c r="T38" s="3">
        <f>S38+$D$5</f>
        <v>3.4000000000000008</v>
      </c>
      <c r="U38" s="3">
        <f t="shared" ref="U38:AG38" si="2">T38+$D$5</f>
        <v>3.600000000000001</v>
      </c>
      <c r="V38" s="3">
        <f t="shared" si="2"/>
        <v>3.8000000000000012</v>
      </c>
      <c r="W38" s="3">
        <f t="shared" si="2"/>
        <v>4.0000000000000009</v>
      </c>
      <c r="X38" s="3">
        <f t="shared" si="2"/>
        <v>4.2000000000000011</v>
      </c>
      <c r="Y38" s="3">
        <f t="shared" si="2"/>
        <v>4.4000000000000012</v>
      </c>
      <c r="Z38" s="3">
        <f t="shared" si="2"/>
        <v>4.6000000000000014</v>
      </c>
      <c r="AA38" s="3">
        <f t="shared" si="2"/>
        <v>4.8000000000000016</v>
      </c>
      <c r="AB38" s="3">
        <f t="shared" si="2"/>
        <v>5.0000000000000018</v>
      </c>
      <c r="AC38" s="3">
        <f t="shared" si="2"/>
        <v>5.200000000000002</v>
      </c>
      <c r="AD38" s="3">
        <f t="shared" si="2"/>
        <v>5.4000000000000021</v>
      </c>
      <c r="AE38" s="3">
        <f t="shared" si="2"/>
        <v>5.6000000000000023</v>
      </c>
      <c r="AF38" s="3">
        <f t="shared" si="2"/>
        <v>5.8000000000000025</v>
      </c>
      <c r="AG38" s="3">
        <f t="shared" si="2"/>
        <v>6.0000000000000027</v>
      </c>
      <c r="AH38" s="3">
        <f>AG38+$D$5</f>
        <v>6.2000000000000028</v>
      </c>
    </row>
    <row r="39" spans="2:34" x14ac:dyDescent="0.25">
      <c r="AH39" s="4" t="s">
        <v>3</v>
      </c>
    </row>
  </sheetData>
  <conditionalFormatting sqref="C6:AH37">
    <cfRule type="top10" dxfId="0" priority="1" rank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F1" sqref="F1"/>
    </sheetView>
  </sheetViews>
  <sheetFormatPr defaultRowHeight="15" x14ac:dyDescent="0.25"/>
  <cols>
    <col min="1" max="1" width="7.140625" customWidth="1"/>
  </cols>
  <sheetData>
    <row r="1" spans="1:8" x14ac:dyDescent="0.25">
      <c r="A1" s="7" t="s">
        <v>10</v>
      </c>
      <c r="B1" s="8">
        <v>1</v>
      </c>
      <c r="C1" s="7" t="s">
        <v>11</v>
      </c>
      <c r="D1" s="8">
        <v>1</v>
      </c>
      <c r="E1" s="7" t="s">
        <v>15</v>
      </c>
      <c r="F1" s="8">
        <f>'Budget Set and Optimal Choice'!Py</f>
        <v>4</v>
      </c>
      <c r="G1" s="7" t="s">
        <v>14</v>
      </c>
      <c r="H1" s="8">
        <f>'Budget Set and Optimal Choice'!I</f>
        <v>24</v>
      </c>
    </row>
    <row r="3" spans="1:8" x14ac:dyDescent="0.25">
      <c r="A3" s="6" t="s">
        <v>9</v>
      </c>
      <c r="B3" s="6">
        <v>0.5</v>
      </c>
    </row>
    <row r="4" spans="1:8" ht="18" x14ac:dyDescent="0.35">
      <c r="A4" t="s">
        <v>8</v>
      </c>
    </row>
    <row r="5" spans="1:8" x14ac:dyDescent="0.25">
      <c r="A5">
        <v>0</v>
      </c>
    </row>
    <row r="6" spans="1:8" x14ac:dyDescent="0.25">
      <c r="A6">
        <f t="shared" ref="A6:A37" si="0">A5+$B$3</f>
        <v>0.5</v>
      </c>
      <c r="B6" s="5">
        <f>b*I/(b*A6+a*Py)</f>
        <v>5.333333333333333</v>
      </c>
    </row>
    <row r="7" spans="1:8" x14ac:dyDescent="0.25">
      <c r="A7">
        <f t="shared" si="0"/>
        <v>1</v>
      </c>
      <c r="B7" s="5">
        <f>b*I/(b*A7+a*Py)</f>
        <v>4.8</v>
      </c>
    </row>
    <row r="8" spans="1:8" x14ac:dyDescent="0.25">
      <c r="A8">
        <f t="shared" si="0"/>
        <v>1.5</v>
      </c>
      <c r="B8" s="5">
        <f>b*I/(b*A8+a*Py)</f>
        <v>4.3636363636363633</v>
      </c>
    </row>
    <row r="9" spans="1:8" x14ac:dyDescent="0.25">
      <c r="A9">
        <f t="shared" si="0"/>
        <v>2</v>
      </c>
      <c r="B9" s="5">
        <f>b*I/(b*A9+a*Py)</f>
        <v>4</v>
      </c>
    </row>
    <row r="10" spans="1:8" x14ac:dyDescent="0.25">
      <c r="A10">
        <f t="shared" si="0"/>
        <v>2.5</v>
      </c>
      <c r="B10" s="5">
        <f>b*I/(b*A10+a*Py)</f>
        <v>3.6923076923076925</v>
      </c>
    </row>
    <row r="11" spans="1:8" x14ac:dyDescent="0.25">
      <c r="A11">
        <f t="shared" si="0"/>
        <v>3</v>
      </c>
      <c r="B11" s="5">
        <f>b*I/(b*A11+a*Py)</f>
        <v>3.4285714285714284</v>
      </c>
    </row>
    <row r="12" spans="1:8" x14ac:dyDescent="0.25">
      <c r="A12">
        <f t="shared" si="0"/>
        <v>3.5</v>
      </c>
      <c r="B12" s="5">
        <f>b*I/(b*A12+a*Py)</f>
        <v>3.2</v>
      </c>
    </row>
    <row r="13" spans="1:8" x14ac:dyDescent="0.25">
      <c r="A13">
        <f t="shared" si="0"/>
        <v>4</v>
      </c>
      <c r="B13" s="5">
        <f>b*I/(b*A13+a*Py)</f>
        <v>3</v>
      </c>
    </row>
    <row r="14" spans="1:8" x14ac:dyDescent="0.25">
      <c r="A14">
        <f t="shared" si="0"/>
        <v>4.5</v>
      </c>
      <c r="B14" s="5">
        <f>b*I/(b*A14+a*Py)</f>
        <v>2.8235294117647061</v>
      </c>
    </row>
    <row r="15" spans="1:8" x14ac:dyDescent="0.25">
      <c r="A15">
        <f t="shared" si="0"/>
        <v>5</v>
      </c>
      <c r="B15" s="5">
        <f>b*I/(b*A15+a*Py)</f>
        <v>2.6666666666666665</v>
      </c>
    </row>
    <row r="16" spans="1:8" x14ac:dyDescent="0.25">
      <c r="A16">
        <f t="shared" si="0"/>
        <v>5.5</v>
      </c>
      <c r="B16" s="5">
        <f>b*I/(b*A16+a*Py)</f>
        <v>2.5263157894736841</v>
      </c>
    </row>
    <row r="17" spans="1:2" x14ac:dyDescent="0.25">
      <c r="A17">
        <f t="shared" si="0"/>
        <v>6</v>
      </c>
      <c r="B17" s="5">
        <f>b*I/(b*A17+a*Py)</f>
        <v>2.4</v>
      </c>
    </row>
    <row r="18" spans="1:2" x14ac:dyDescent="0.25">
      <c r="A18">
        <f t="shared" si="0"/>
        <v>6.5</v>
      </c>
      <c r="B18" s="5">
        <f>b*I/(b*A18+a*Py)</f>
        <v>2.2857142857142856</v>
      </c>
    </row>
    <row r="19" spans="1:2" x14ac:dyDescent="0.25">
      <c r="A19">
        <f t="shared" si="0"/>
        <v>7</v>
      </c>
      <c r="B19" s="5">
        <f>b*I/(b*A19+a*Py)</f>
        <v>2.1818181818181817</v>
      </c>
    </row>
    <row r="20" spans="1:2" x14ac:dyDescent="0.25">
      <c r="A20">
        <f t="shared" si="0"/>
        <v>7.5</v>
      </c>
      <c r="B20" s="5">
        <f>b*I/(b*A20+a*Py)</f>
        <v>2.0869565217391304</v>
      </c>
    </row>
    <row r="21" spans="1:2" x14ac:dyDescent="0.25">
      <c r="A21">
        <f t="shared" si="0"/>
        <v>8</v>
      </c>
      <c r="B21" s="5">
        <f>b*I/(b*A21+a*Py)</f>
        <v>2</v>
      </c>
    </row>
    <row r="22" spans="1:2" x14ac:dyDescent="0.25">
      <c r="A22">
        <f t="shared" si="0"/>
        <v>8.5</v>
      </c>
      <c r="B22" s="5">
        <f>b*I/(b*A22+a*Py)</f>
        <v>1.92</v>
      </c>
    </row>
    <row r="23" spans="1:2" x14ac:dyDescent="0.25">
      <c r="A23">
        <f t="shared" si="0"/>
        <v>9</v>
      </c>
      <c r="B23" s="5">
        <f>b*I/(b*A23+a*Py)</f>
        <v>1.8461538461538463</v>
      </c>
    </row>
    <row r="24" spans="1:2" x14ac:dyDescent="0.25">
      <c r="A24">
        <f t="shared" si="0"/>
        <v>9.5</v>
      </c>
      <c r="B24" s="5">
        <f>b*I/(b*A24+a*Py)</f>
        <v>1.7777777777777777</v>
      </c>
    </row>
    <row r="25" spans="1:2" x14ac:dyDescent="0.25">
      <c r="A25">
        <f t="shared" si="0"/>
        <v>10</v>
      </c>
      <c r="B25" s="5">
        <f>b*I/(b*A25+a*Py)</f>
        <v>1.7142857142857142</v>
      </c>
    </row>
    <row r="26" spans="1:2" x14ac:dyDescent="0.25">
      <c r="A26">
        <f t="shared" si="0"/>
        <v>10.5</v>
      </c>
      <c r="B26" s="5">
        <f>b*I/(b*A26+a*Py)</f>
        <v>1.6551724137931034</v>
      </c>
    </row>
    <row r="27" spans="1:2" x14ac:dyDescent="0.25">
      <c r="A27">
        <f t="shared" si="0"/>
        <v>11</v>
      </c>
      <c r="B27" s="5">
        <f>b*I/(b*A27+a*Py)</f>
        <v>1.6</v>
      </c>
    </row>
    <row r="28" spans="1:2" x14ac:dyDescent="0.25">
      <c r="A28">
        <f t="shared" si="0"/>
        <v>11.5</v>
      </c>
      <c r="B28" s="5">
        <f>b*I/(b*A28+a*Py)</f>
        <v>1.5483870967741935</v>
      </c>
    </row>
    <row r="29" spans="1:2" x14ac:dyDescent="0.25">
      <c r="A29">
        <f t="shared" si="0"/>
        <v>12</v>
      </c>
      <c r="B29" s="5">
        <f>b*I/(b*A29+a*Py)</f>
        <v>1.5</v>
      </c>
    </row>
    <row r="30" spans="1:2" x14ac:dyDescent="0.25">
      <c r="A30">
        <f t="shared" si="0"/>
        <v>12.5</v>
      </c>
      <c r="B30" s="5">
        <f>b*I/(b*A30+a*Py)</f>
        <v>1.4545454545454546</v>
      </c>
    </row>
    <row r="31" spans="1:2" x14ac:dyDescent="0.25">
      <c r="A31">
        <f t="shared" si="0"/>
        <v>13</v>
      </c>
      <c r="B31" s="5">
        <f>b*I/(b*A31+a*Py)</f>
        <v>1.411764705882353</v>
      </c>
    </row>
    <row r="32" spans="1:2" x14ac:dyDescent="0.25">
      <c r="A32">
        <f t="shared" si="0"/>
        <v>13.5</v>
      </c>
      <c r="B32" s="5">
        <f>b*I/(b*A32+a*Py)</f>
        <v>1.3714285714285714</v>
      </c>
    </row>
    <row r="33" spans="1:2" x14ac:dyDescent="0.25">
      <c r="A33">
        <f t="shared" si="0"/>
        <v>14</v>
      </c>
      <c r="B33" s="5">
        <f>b*I/(b*A33+a*Py)</f>
        <v>1.3333333333333333</v>
      </c>
    </row>
    <row r="34" spans="1:2" x14ac:dyDescent="0.25">
      <c r="A34">
        <f t="shared" si="0"/>
        <v>14.5</v>
      </c>
      <c r="B34" s="5">
        <f>b*I/(b*A34+a*Py)</f>
        <v>1.2972972972972974</v>
      </c>
    </row>
    <row r="35" spans="1:2" x14ac:dyDescent="0.25">
      <c r="A35">
        <f t="shared" si="0"/>
        <v>15</v>
      </c>
      <c r="B35" s="5">
        <f>b*I/(b*A35+a*Py)</f>
        <v>1.263157894736842</v>
      </c>
    </row>
    <row r="36" spans="1:2" x14ac:dyDescent="0.25">
      <c r="A36">
        <f t="shared" si="0"/>
        <v>15.5</v>
      </c>
      <c r="B36" s="5">
        <f>b*I/(b*A36+a*Py)</f>
        <v>1.2307692307692308</v>
      </c>
    </row>
    <row r="37" spans="1:2" x14ac:dyDescent="0.25">
      <c r="A37">
        <f t="shared" si="0"/>
        <v>16</v>
      </c>
      <c r="B37" s="5">
        <f>b*I/(b*A37+a*Py)</f>
        <v>1.2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B8" sqref="B8"/>
    </sheetView>
  </sheetViews>
  <sheetFormatPr defaultRowHeight="15" x14ac:dyDescent="0.25"/>
  <cols>
    <col min="1" max="1" width="10" bestFit="1" customWidth="1"/>
  </cols>
  <sheetData>
    <row r="1" spans="1:9" x14ac:dyDescent="0.25">
      <c r="A1" s="7" t="s">
        <v>10</v>
      </c>
      <c r="B1" s="8">
        <f>'Budget Set and Optimal Choice'!a</f>
        <v>1</v>
      </c>
      <c r="C1" s="7" t="s">
        <v>11</v>
      </c>
      <c r="D1" s="8">
        <f>'Budget Set and Optimal Choice'!b</f>
        <v>1</v>
      </c>
      <c r="E1" s="7" t="s">
        <v>12</v>
      </c>
      <c r="F1" s="8">
        <f>'Budget Set and Optimal Choice'!Px</f>
        <v>4</v>
      </c>
      <c r="G1" s="7" t="s">
        <v>13</v>
      </c>
      <c r="H1" s="8">
        <f>'Budget Set and Optimal Choice'!Py</f>
        <v>4</v>
      </c>
      <c r="I1" s="7"/>
    </row>
    <row r="3" spans="1:9" x14ac:dyDescent="0.25">
      <c r="A3" s="6" t="s">
        <v>9</v>
      </c>
      <c r="B3" s="6">
        <v>5</v>
      </c>
    </row>
    <row r="4" spans="1:9" x14ac:dyDescent="0.25">
      <c r="A4" s="2" t="s">
        <v>16</v>
      </c>
    </row>
    <row r="5" spans="1:9" x14ac:dyDescent="0.25">
      <c r="A5">
        <v>0</v>
      </c>
      <c r="B5" s="5">
        <f>b*A5/(b*Px+a*Py)</f>
        <v>0</v>
      </c>
    </row>
    <row r="6" spans="1:9" x14ac:dyDescent="0.25">
      <c r="A6">
        <f t="shared" ref="A6:A37" si="0">A5+$B$3</f>
        <v>5</v>
      </c>
      <c r="B6" s="5">
        <f>b*A6/(b*Px+a*Py)</f>
        <v>0.625</v>
      </c>
    </row>
    <row r="7" spans="1:9" x14ac:dyDescent="0.25">
      <c r="A7">
        <f t="shared" si="0"/>
        <v>10</v>
      </c>
      <c r="B7" s="5">
        <f>b*A7/(b*Px+a*Py)</f>
        <v>1.25</v>
      </c>
    </row>
    <row r="8" spans="1:9" x14ac:dyDescent="0.25">
      <c r="A8">
        <f t="shared" si="0"/>
        <v>15</v>
      </c>
      <c r="B8" s="5">
        <f>b*A8/(b*Px+a*Py)</f>
        <v>1.875</v>
      </c>
    </row>
    <row r="9" spans="1:9" x14ac:dyDescent="0.25">
      <c r="A9">
        <f t="shared" si="0"/>
        <v>20</v>
      </c>
      <c r="B9" s="5">
        <f>b*A9/(b*Px+a*Py)</f>
        <v>2.5</v>
      </c>
    </row>
    <row r="10" spans="1:9" x14ac:dyDescent="0.25">
      <c r="A10">
        <f t="shared" si="0"/>
        <v>25</v>
      </c>
      <c r="B10" s="5">
        <f>b*A10/(b*Px+a*Py)</f>
        <v>3.125</v>
      </c>
    </row>
    <row r="11" spans="1:9" x14ac:dyDescent="0.25">
      <c r="A11">
        <f t="shared" si="0"/>
        <v>30</v>
      </c>
      <c r="B11" s="5">
        <f>b*A11/(b*Px+a*Py)</f>
        <v>3.75</v>
      </c>
    </row>
    <row r="12" spans="1:9" x14ac:dyDescent="0.25">
      <c r="A12">
        <f t="shared" si="0"/>
        <v>35</v>
      </c>
      <c r="B12" s="5">
        <f>b*A12/(b*Px+a*Py)</f>
        <v>4.375</v>
      </c>
    </row>
    <row r="13" spans="1:9" x14ac:dyDescent="0.25">
      <c r="A13">
        <f t="shared" si="0"/>
        <v>40</v>
      </c>
      <c r="B13" s="5">
        <f>b*A13/(b*Px+a*Py)</f>
        <v>5</v>
      </c>
    </row>
    <row r="14" spans="1:9" x14ac:dyDescent="0.25">
      <c r="A14">
        <f t="shared" si="0"/>
        <v>45</v>
      </c>
      <c r="B14" s="5">
        <f>b*A14/(b*Px+a*Py)</f>
        <v>5.625</v>
      </c>
    </row>
    <row r="15" spans="1:9" x14ac:dyDescent="0.25">
      <c r="A15">
        <f t="shared" si="0"/>
        <v>50</v>
      </c>
      <c r="B15" s="5">
        <f>b*A15/(b*Px+a*Py)</f>
        <v>6.25</v>
      </c>
    </row>
    <row r="16" spans="1:9" x14ac:dyDescent="0.25">
      <c r="A16">
        <f t="shared" si="0"/>
        <v>55</v>
      </c>
      <c r="B16" s="5">
        <f>b*A16/(b*Px+a*Py)</f>
        <v>6.875</v>
      </c>
    </row>
    <row r="17" spans="1:2" x14ac:dyDescent="0.25">
      <c r="A17">
        <f t="shared" si="0"/>
        <v>60</v>
      </c>
      <c r="B17" s="5">
        <f>b*A17/(b*Px+a*Py)</f>
        <v>7.5</v>
      </c>
    </row>
    <row r="18" spans="1:2" x14ac:dyDescent="0.25">
      <c r="A18">
        <f t="shared" si="0"/>
        <v>65</v>
      </c>
      <c r="B18" s="5">
        <f>b*A18/(b*Px+a*Py)</f>
        <v>8.125</v>
      </c>
    </row>
    <row r="19" spans="1:2" x14ac:dyDescent="0.25">
      <c r="A19">
        <f t="shared" si="0"/>
        <v>70</v>
      </c>
      <c r="B19" s="5">
        <f>b*A19/(b*Px+a*Py)</f>
        <v>8.75</v>
      </c>
    </row>
    <row r="20" spans="1:2" x14ac:dyDescent="0.25">
      <c r="A20">
        <f t="shared" si="0"/>
        <v>75</v>
      </c>
      <c r="B20" s="5">
        <f>b*A20/(b*Px+a*Py)</f>
        <v>9.375</v>
      </c>
    </row>
    <row r="21" spans="1:2" x14ac:dyDescent="0.25">
      <c r="A21">
        <f t="shared" si="0"/>
        <v>80</v>
      </c>
      <c r="B21" s="5">
        <f>b*A21/(b*Px+a*Py)</f>
        <v>10</v>
      </c>
    </row>
    <row r="22" spans="1:2" x14ac:dyDescent="0.25">
      <c r="A22">
        <f t="shared" si="0"/>
        <v>85</v>
      </c>
      <c r="B22" s="5">
        <f>b*A22/(b*Px+a*Py)</f>
        <v>10.625</v>
      </c>
    </row>
    <row r="23" spans="1:2" x14ac:dyDescent="0.25">
      <c r="A23">
        <f t="shared" si="0"/>
        <v>90</v>
      </c>
      <c r="B23" s="5">
        <f>b*A23/(b*Px+a*Py)</f>
        <v>11.25</v>
      </c>
    </row>
    <row r="24" spans="1:2" x14ac:dyDescent="0.25">
      <c r="A24">
        <f t="shared" si="0"/>
        <v>95</v>
      </c>
      <c r="B24" s="5">
        <f>b*A24/(b*Px+a*Py)</f>
        <v>11.875</v>
      </c>
    </row>
    <row r="25" spans="1:2" x14ac:dyDescent="0.25">
      <c r="A25">
        <f t="shared" si="0"/>
        <v>100</v>
      </c>
      <c r="B25" s="5">
        <f>b*A25/(b*Px+a*Py)</f>
        <v>12.5</v>
      </c>
    </row>
    <row r="26" spans="1:2" x14ac:dyDescent="0.25">
      <c r="A26">
        <f t="shared" si="0"/>
        <v>105</v>
      </c>
      <c r="B26" s="5">
        <f>b*A26/(b*Px+a*Py)</f>
        <v>13.125</v>
      </c>
    </row>
    <row r="27" spans="1:2" x14ac:dyDescent="0.25">
      <c r="A27">
        <f t="shared" si="0"/>
        <v>110</v>
      </c>
      <c r="B27" s="5">
        <f>b*A27/(b*Px+a*Py)</f>
        <v>13.75</v>
      </c>
    </row>
    <row r="28" spans="1:2" x14ac:dyDescent="0.25">
      <c r="A28">
        <f t="shared" si="0"/>
        <v>115</v>
      </c>
      <c r="B28" s="5">
        <f>b*A28/(b*Px+a*Py)</f>
        <v>14.375</v>
      </c>
    </row>
    <row r="29" spans="1:2" x14ac:dyDescent="0.25">
      <c r="A29">
        <f t="shared" si="0"/>
        <v>120</v>
      </c>
      <c r="B29" s="5">
        <f>b*A29/(b*Px+a*Py)</f>
        <v>15</v>
      </c>
    </row>
    <row r="30" spans="1:2" x14ac:dyDescent="0.25">
      <c r="A30">
        <f t="shared" si="0"/>
        <v>125</v>
      </c>
      <c r="B30" s="5">
        <f>b*A30/(b*Px+a*Py)</f>
        <v>15.625</v>
      </c>
    </row>
    <row r="31" spans="1:2" x14ac:dyDescent="0.25">
      <c r="A31">
        <f t="shared" si="0"/>
        <v>130</v>
      </c>
      <c r="B31" s="5">
        <f>b*A31/(b*Px+a*Py)</f>
        <v>16.25</v>
      </c>
    </row>
    <row r="32" spans="1:2" x14ac:dyDescent="0.25">
      <c r="A32">
        <f t="shared" si="0"/>
        <v>135</v>
      </c>
      <c r="B32" s="5">
        <f>b*A32/(b*Px+a*Py)</f>
        <v>16.875</v>
      </c>
    </row>
    <row r="33" spans="1:2" x14ac:dyDescent="0.25">
      <c r="A33">
        <f t="shared" si="0"/>
        <v>140</v>
      </c>
      <c r="B33" s="5">
        <f>b*A33/(b*Px+a*Py)</f>
        <v>17.5</v>
      </c>
    </row>
    <row r="34" spans="1:2" x14ac:dyDescent="0.25">
      <c r="A34">
        <f t="shared" si="0"/>
        <v>145</v>
      </c>
      <c r="B34" s="5">
        <f>b*A34/(b*Px+a*Py)</f>
        <v>18.125</v>
      </c>
    </row>
    <row r="35" spans="1:2" x14ac:dyDescent="0.25">
      <c r="A35">
        <f t="shared" si="0"/>
        <v>150</v>
      </c>
      <c r="B35" s="5">
        <f>b*A35/(b*Px+a*Py)</f>
        <v>18.75</v>
      </c>
    </row>
    <row r="36" spans="1:2" x14ac:dyDescent="0.25">
      <c r="A36">
        <f t="shared" si="0"/>
        <v>155</v>
      </c>
      <c r="B36" s="5">
        <f>b*A36/(b*Px+a*Py)</f>
        <v>19.375</v>
      </c>
    </row>
    <row r="37" spans="1:2" x14ac:dyDescent="0.25">
      <c r="A37">
        <f t="shared" si="0"/>
        <v>160</v>
      </c>
      <c r="B37" s="5">
        <f>b*A37/(b*Px+a*Py)</f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10" workbookViewId="0">
      <selection activeCell="A37" sqref="A37:E37"/>
    </sheetView>
  </sheetViews>
  <sheetFormatPr defaultRowHeight="15" x14ac:dyDescent="0.25"/>
  <cols>
    <col min="1" max="1" width="10" bestFit="1" customWidth="1"/>
  </cols>
  <sheetData>
    <row r="1" spans="1:18" x14ac:dyDescent="0.25">
      <c r="A1" s="7" t="s">
        <v>10</v>
      </c>
      <c r="B1" s="8">
        <f>'Budget Set and Optimal Choice'!a</f>
        <v>1</v>
      </c>
      <c r="C1" s="7" t="s">
        <v>11</v>
      </c>
      <c r="D1" s="8">
        <f>'Budget Set and Optimal Choice'!b</f>
        <v>1</v>
      </c>
      <c r="E1" s="7" t="s">
        <v>15</v>
      </c>
      <c r="F1" s="8">
        <f>'Budget Set and Optimal Choice'!Py</f>
        <v>4</v>
      </c>
      <c r="G1" s="7" t="s">
        <v>17</v>
      </c>
      <c r="H1" s="8">
        <f>'Budget Set and Optimal Choice'!I</f>
        <v>24</v>
      </c>
      <c r="I1" s="7"/>
    </row>
    <row r="3" spans="1:18" x14ac:dyDescent="0.25">
      <c r="A3" s="6" t="s">
        <v>9</v>
      </c>
      <c r="B3" s="6">
        <v>0.2</v>
      </c>
      <c r="O3" t="s">
        <v>21</v>
      </c>
    </row>
    <row r="4" spans="1:18" ht="18" x14ac:dyDescent="0.35">
      <c r="A4" t="s">
        <v>8</v>
      </c>
      <c r="O4" t="s">
        <v>19</v>
      </c>
      <c r="Q4" t="s">
        <v>20</v>
      </c>
    </row>
    <row r="5" spans="1:18" x14ac:dyDescent="0.25">
      <c r="A5">
        <v>0</v>
      </c>
      <c r="B5" s="5"/>
    </row>
    <row r="6" spans="1:18" x14ac:dyDescent="0.25">
      <c r="A6">
        <f t="shared" ref="A6:A37" si="0">A5+$B$3</f>
        <v>0.2</v>
      </c>
      <c r="B6" s="5">
        <f>b*I/(b*A6+a*Py)</f>
        <v>5.7142857142857144</v>
      </c>
      <c r="E6" s="5">
        <f>a*I/(b*A6+a*Py)</f>
        <v>5.7142857142857144</v>
      </c>
    </row>
    <row r="7" spans="1:18" x14ac:dyDescent="0.25">
      <c r="A7">
        <f t="shared" si="0"/>
        <v>0.4</v>
      </c>
      <c r="B7" s="5">
        <f>b*I/(b*A7+a*Py)</f>
        <v>5.4545454545454541</v>
      </c>
      <c r="E7" s="5">
        <f>a*I/(b*A7+a*Py)</f>
        <v>5.4545454545454541</v>
      </c>
    </row>
    <row r="8" spans="1:18" x14ac:dyDescent="0.25">
      <c r="A8">
        <f t="shared" si="0"/>
        <v>0.60000000000000009</v>
      </c>
      <c r="B8" s="5">
        <f>b*I/(b*A8+a*Py)</f>
        <v>5.2173913043478262</v>
      </c>
      <c r="E8" s="5">
        <f>a*I/(b*A8+a*Py)</f>
        <v>5.2173913043478262</v>
      </c>
    </row>
    <row r="9" spans="1:18" x14ac:dyDescent="0.25">
      <c r="A9">
        <f t="shared" si="0"/>
        <v>0.8</v>
      </c>
      <c r="B9" s="5">
        <f>b*I/(b*A9+a*Py)</f>
        <v>5</v>
      </c>
      <c r="E9" s="5">
        <f>a*I/(b*A9+a*Py)</f>
        <v>5</v>
      </c>
      <c r="O9">
        <v>0</v>
      </c>
      <c r="P9">
        <f>I/Py</f>
        <v>6</v>
      </c>
      <c r="Q9">
        <f>I/A10</f>
        <v>24</v>
      </c>
      <c r="R9">
        <v>0</v>
      </c>
    </row>
    <row r="10" spans="1:18" x14ac:dyDescent="0.25">
      <c r="A10">
        <f t="shared" si="0"/>
        <v>1</v>
      </c>
      <c r="B10" s="5">
        <f>b*I/(b*A10+a*Py)</f>
        <v>4.8</v>
      </c>
      <c r="E10" s="5">
        <f>a*I/(b*A10+a*Py)</f>
        <v>4.8</v>
      </c>
    </row>
    <row r="11" spans="1:18" x14ac:dyDescent="0.25">
      <c r="A11">
        <f t="shared" si="0"/>
        <v>1.2</v>
      </c>
      <c r="B11" s="5">
        <f>b*I/(b*A11+a*Py)</f>
        <v>4.615384615384615</v>
      </c>
      <c r="E11" s="5">
        <f>a*I/(b*A11+a*Py)</f>
        <v>4.615384615384615</v>
      </c>
    </row>
    <row r="12" spans="1:18" x14ac:dyDescent="0.25">
      <c r="A12">
        <f t="shared" si="0"/>
        <v>1.4</v>
      </c>
      <c r="B12" s="5">
        <f>b*I/(b*A12+a*Py)</f>
        <v>4.4444444444444438</v>
      </c>
      <c r="E12" s="5">
        <f>a*I/(b*A12+a*Py)</f>
        <v>4.4444444444444438</v>
      </c>
      <c r="O12">
        <v>0</v>
      </c>
      <c r="P12">
        <f>I/Py</f>
        <v>6</v>
      </c>
      <c r="Q12">
        <f>I/A12</f>
        <v>17.142857142857142</v>
      </c>
      <c r="R12">
        <v>0</v>
      </c>
    </row>
    <row r="13" spans="1:18" x14ac:dyDescent="0.25">
      <c r="A13">
        <f t="shared" si="0"/>
        <v>1.5999999999999999</v>
      </c>
      <c r="B13" s="5">
        <f>b*I/(b*A13+a*Py)</f>
        <v>4.2857142857142856</v>
      </c>
      <c r="E13" s="5">
        <f>a*I/(b*A13+a*Py)</f>
        <v>4.2857142857142856</v>
      </c>
    </row>
    <row r="14" spans="1:18" x14ac:dyDescent="0.25">
      <c r="A14">
        <f t="shared" si="0"/>
        <v>1.7999999999999998</v>
      </c>
      <c r="B14" s="5">
        <f>b*I/(b*A14+a*Py)</f>
        <v>4.1379310344827589</v>
      </c>
      <c r="E14" s="5">
        <f>a*I/(b*A14+a*Py)</f>
        <v>4.1379310344827589</v>
      </c>
    </row>
    <row r="15" spans="1:18" x14ac:dyDescent="0.25">
      <c r="A15">
        <f t="shared" si="0"/>
        <v>1.9999999999999998</v>
      </c>
      <c r="B15" s="5">
        <f>b*I/(b*A15+a*Py)</f>
        <v>4</v>
      </c>
      <c r="E15" s="5">
        <f>a*I/(b*A15+a*Py)</f>
        <v>4</v>
      </c>
    </row>
    <row r="16" spans="1:18" x14ac:dyDescent="0.25">
      <c r="A16">
        <f t="shared" si="0"/>
        <v>2.1999999999999997</v>
      </c>
      <c r="B16" s="5">
        <f>b*I/(b*A16+a*Py)</f>
        <v>3.8709677419354844</v>
      </c>
      <c r="E16" s="5">
        <f>a*I/(b*A16+a*Py)</f>
        <v>3.8709677419354844</v>
      </c>
    </row>
    <row r="17" spans="1:18" x14ac:dyDescent="0.25">
      <c r="A17">
        <f t="shared" si="0"/>
        <v>2.4</v>
      </c>
      <c r="B17" s="5">
        <f>b*I/(b*A17+a*Py)</f>
        <v>3.75</v>
      </c>
      <c r="E17" s="5">
        <f>a*I/(b*A17+a*Py)</f>
        <v>3.75</v>
      </c>
      <c r="O17">
        <v>0</v>
      </c>
      <c r="P17">
        <f>I/Py</f>
        <v>6</v>
      </c>
      <c r="Q17">
        <f>I/A17</f>
        <v>10</v>
      </c>
      <c r="R17">
        <v>0</v>
      </c>
    </row>
    <row r="18" spans="1:18" x14ac:dyDescent="0.25">
      <c r="A18">
        <f t="shared" si="0"/>
        <v>2.6</v>
      </c>
      <c r="B18" s="5">
        <f>b*I/(b*A18+a*Py)</f>
        <v>3.6363636363636367</v>
      </c>
      <c r="E18" s="5">
        <f>a*I/(b*A18+a*Py)</f>
        <v>3.6363636363636367</v>
      </c>
    </row>
    <row r="19" spans="1:18" x14ac:dyDescent="0.25">
      <c r="A19">
        <f t="shared" si="0"/>
        <v>2.8000000000000003</v>
      </c>
      <c r="B19" s="5">
        <f>b*I/(b*A19+a*Py)</f>
        <v>3.5294117647058818</v>
      </c>
      <c r="E19" s="5">
        <f>a*I/(b*A19+a*Py)</f>
        <v>3.5294117647058818</v>
      </c>
    </row>
    <row r="20" spans="1:18" x14ac:dyDescent="0.25">
      <c r="A20">
        <f t="shared" si="0"/>
        <v>3.0000000000000004</v>
      </c>
      <c r="B20" s="5">
        <f>b*I/(b*A20+a*Py)</f>
        <v>3.4285714285714284</v>
      </c>
      <c r="E20" s="5">
        <f>a*I/(b*A20+a*Py)</f>
        <v>3.4285714285714284</v>
      </c>
    </row>
    <row r="21" spans="1:18" x14ac:dyDescent="0.25">
      <c r="A21">
        <f t="shared" si="0"/>
        <v>3.2000000000000006</v>
      </c>
      <c r="B21" s="5">
        <f>b*I/(b*A21+a*Py)</f>
        <v>3.333333333333333</v>
      </c>
      <c r="E21" s="5">
        <f>a*I/(b*A21+a*Py)</f>
        <v>3.333333333333333</v>
      </c>
    </row>
    <row r="22" spans="1:18" x14ac:dyDescent="0.25">
      <c r="A22">
        <f t="shared" si="0"/>
        <v>3.4000000000000008</v>
      </c>
      <c r="B22" s="5">
        <f>b*I/(b*A22+a*Py)</f>
        <v>3.243243243243243</v>
      </c>
      <c r="E22" s="5">
        <f>a*I/(b*A22+a*Py)</f>
        <v>3.243243243243243</v>
      </c>
    </row>
    <row r="23" spans="1:18" x14ac:dyDescent="0.25">
      <c r="A23">
        <f t="shared" si="0"/>
        <v>3.600000000000001</v>
      </c>
      <c r="B23" s="5">
        <f>b*I/(b*A23+a*Py)</f>
        <v>3.1578947368421049</v>
      </c>
      <c r="E23" s="5">
        <f>a*I/(b*A23+a*Py)</f>
        <v>3.1578947368421049</v>
      </c>
    </row>
    <row r="24" spans="1:18" x14ac:dyDescent="0.25">
      <c r="A24">
        <f t="shared" si="0"/>
        <v>3.8000000000000012</v>
      </c>
      <c r="B24" s="5">
        <f>b*I/(b*A24+a*Py)</f>
        <v>3.0769230769230766</v>
      </c>
      <c r="E24" s="5">
        <f>a*I/(b*A24+a*Py)</f>
        <v>3.0769230769230766</v>
      </c>
    </row>
    <row r="25" spans="1:18" x14ac:dyDescent="0.25">
      <c r="A25">
        <f t="shared" si="0"/>
        <v>4.0000000000000009</v>
      </c>
      <c r="B25" s="5">
        <f>b*I/(b*A25+a*Py)</f>
        <v>3</v>
      </c>
      <c r="E25" s="5">
        <f>a*I/(b*A25+a*Py)</f>
        <v>3</v>
      </c>
    </row>
    <row r="26" spans="1:18" x14ac:dyDescent="0.25">
      <c r="A26">
        <f t="shared" si="0"/>
        <v>4.2000000000000011</v>
      </c>
      <c r="B26" s="5">
        <f>b*I/(b*A26+a*Py)</f>
        <v>2.9268292682926824</v>
      </c>
      <c r="E26" s="5">
        <f>a*I/(b*A26+a*Py)</f>
        <v>2.9268292682926824</v>
      </c>
    </row>
    <row r="27" spans="1:18" x14ac:dyDescent="0.25">
      <c r="A27">
        <f t="shared" si="0"/>
        <v>4.4000000000000012</v>
      </c>
      <c r="B27" s="5">
        <f>b*I/(b*A27+a*Py)</f>
        <v>2.8571428571428563</v>
      </c>
      <c r="E27" s="5">
        <f>a*I/(b*A27+a*Py)</f>
        <v>2.8571428571428563</v>
      </c>
    </row>
    <row r="28" spans="1:18" x14ac:dyDescent="0.25">
      <c r="A28">
        <f t="shared" si="0"/>
        <v>4.6000000000000014</v>
      </c>
      <c r="B28" s="5">
        <f>b*I/(b*A28+a*Py)</f>
        <v>2.7906976744186043</v>
      </c>
      <c r="E28" s="5">
        <f>a*I/(b*A28+a*Py)</f>
        <v>2.7906976744186043</v>
      </c>
    </row>
    <row r="29" spans="1:18" x14ac:dyDescent="0.25">
      <c r="A29">
        <f t="shared" si="0"/>
        <v>4.8000000000000016</v>
      </c>
      <c r="B29" s="5">
        <f>b*I/(b*A29+a*Py)</f>
        <v>2.7272727272727271</v>
      </c>
      <c r="E29" s="5">
        <f>a*I/(b*A29+a*Py)</f>
        <v>2.7272727272727271</v>
      </c>
    </row>
    <row r="30" spans="1:18" x14ac:dyDescent="0.25">
      <c r="A30">
        <f t="shared" si="0"/>
        <v>5.0000000000000018</v>
      </c>
      <c r="B30" s="5">
        <f>b*I/(b*A30+a*Py)</f>
        <v>2.6666666666666661</v>
      </c>
      <c r="E30" s="5">
        <f>a*I/(b*A30+a*Py)</f>
        <v>2.6666666666666661</v>
      </c>
    </row>
    <row r="31" spans="1:18" x14ac:dyDescent="0.25">
      <c r="A31">
        <f t="shared" si="0"/>
        <v>5.200000000000002</v>
      </c>
      <c r="B31" s="5">
        <f>b*I/(b*A31+a*Py)</f>
        <v>2.6086956521739122</v>
      </c>
      <c r="E31" s="5">
        <f>a*I/(b*A31+a*Py)</f>
        <v>2.6086956521739122</v>
      </c>
    </row>
    <row r="32" spans="1:18" x14ac:dyDescent="0.25">
      <c r="A32">
        <f t="shared" si="0"/>
        <v>5.4000000000000021</v>
      </c>
      <c r="B32" s="5">
        <f>b*I/(b*A32+a*Py)</f>
        <v>2.5531914893617014</v>
      </c>
      <c r="E32" s="5">
        <f>a*I/(b*A32+a*Py)</f>
        <v>2.5531914893617014</v>
      </c>
    </row>
    <row r="33" spans="1:5" x14ac:dyDescent="0.25">
      <c r="A33">
        <f t="shared" si="0"/>
        <v>5.6000000000000023</v>
      </c>
      <c r="B33" s="5">
        <f>b*I/(b*A33+a*Py)</f>
        <v>2.4999999999999996</v>
      </c>
      <c r="E33" s="5">
        <f>a*I/(b*A33+a*Py)</f>
        <v>2.4999999999999996</v>
      </c>
    </row>
    <row r="34" spans="1:5" x14ac:dyDescent="0.25">
      <c r="A34">
        <f t="shared" si="0"/>
        <v>5.8000000000000025</v>
      </c>
      <c r="B34" s="5">
        <f>b*I/(b*A34+a*Py)</f>
        <v>2.4489795918367339</v>
      </c>
      <c r="E34" s="5">
        <f>a*I/(b*A34+a*Py)</f>
        <v>2.4489795918367339</v>
      </c>
    </row>
    <row r="35" spans="1:5" x14ac:dyDescent="0.25">
      <c r="A35">
        <f t="shared" si="0"/>
        <v>6.0000000000000027</v>
      </c>
      <c r="B35" s="5">
        <f>b*I/(b*A35+a*Py)</f>
        <v>2.399999999999999</v>
      </c>
      <c r="E35" s="5">
        <f>a*I/(b*A35+a*Py)</f>
        <v>2.399999999999999</v>
      </c>
    </row>
    <row r="36" spans="1:5" x14ac:dyDescent="0.25">
      <c r="A36">
        <f t="shared" si="0"/>
        <v>6.2000000000000028</v>
      </c>
      <c r="B36" s="5">
        <f>b*I/(b*A36+a*Py)</f>
        <v>2.3529411764705874</v>
      </c>
      <c r="E36" s="5">
        <f>a*I/(b*A36+a*Py)</f>
        <v>2.3529411764705874</v>
      </c>
    </row>
    <row r="37" spans="1:5" x14ac:dyDescent="0.25">
      <c r="A37">
        <v>60000</v>
      </c>
      <c r="B37" s="5">
        <f>b*I/(b*A37+a*Py)</f>
        <v>3.9997333511099259E-4</v>
      </c>
      <c r="E37" s="5">
        <f>a*I/(b*A37+a*Py)</f>
        <v>3.9997333511099259E-4</v>
      </c>
    </row>
    <row r="38" spans="1:5" x14ac:dyDescent="0.25">
      <c r="A38">
        <v>60000</v>
      </c>
      <c r="B38" s="5">
        <f>b*I/(b*A38+a*Py)</f>
        <v>3.9997333511099259E-4</v>
      </c>
      <c r="E38" s="5">
        <f>a*I/(b*A38+a*Py)</f>
        <v>3.9997333511099259E-4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abSelected="1" workbookViewId="0">
      <selection activeCell="E5" sqref="E5:E37"/>
    </sheetView>
  </sheetViews>
  <sheetFormatPr defaultRowHeight="15" x14ac:dyDescent="0.25"/>
  <cols>
    <col min="1" max="1" width="10" bestFit="1" customWidth="1"/>
  </cols>
  <sheetData>
    <row r="1" spans="1:19" x14ac:dyDescent="0.25">
      <c r="A1" s="7" t="s">
        <v>10</v>
      </c>
      <c r="B1" s="8">
        <f>'Budget Set and Optimal Choice'!a</f>
        <v>1</v>
      </c>
      <c r="C1" s="7" t="s">
        <v>11</v>
      </c>
      <c r="D1" s="8">
        <f>'Budget Set and Optimal Choice'!b</f>
        <v>1</v>
      </c>
      <c r="E1" s="7" t="s">
        <v>12</v>
      </c>
      <c r="F1" s="8">
        <f>'Budget Set and Optimal Choice'!Px</f>
        <v>4</v>
      </c>
      <c r="G1" s="7" t="s">
        <v>13</v>
      </c>
      <c r="H1" s="8">
        <f>'Budget Set and Optimal Choice'!Py</f>
        <v>4</v>
      </c>
      <c r="I1" s="7"/>
    </row>
    <row r="3" spans="1:19" x14ac:dyDescent="0.25">
      <c r="A3" s="6" t="s">
        <v>9</v>
      </c>
      <c r="B3" s="6">
        <v>5</v>
      </c>
      <c r="P3" t="s">
        <v>22</v>
      </c>
    </row>
    <row r="4" spans="1:19" x14ac:dyDescent="0.25">
      <c r="A4" s="2" t="s">
        <v>16</v>
      </c>
      <c r="P4" t="s">
        <v>19</v>
      </c>
      <c r="R4" t="s">
        <v>20</v>
      </c>
    </row>
    <row r="5" spans="1:19" x14ac:dyDescent="0.25">
      <c r="A5">
        <v>0</v>
      </c>
      <c r="B5" s="5">
        <f>b*A5/(b*Px+a*Py)</f>
        <v>0</v>
      </c>
      <c r="E5" s="5">
        <f>a*A5/(b*Px+a*Py)</f>
        <v>0</v>
      </c>
    </row>
    <row r="6" spans="1:19" x14ac:dyDescent="0.25">
      <c r="A6">
        <f t="shared" ref="A6:A37" si="0">A5+$B$3</f>
        <v>5</v>
      </c>
      <c r="B6" s="5">
        <f>b*A6/(b*Px+a*Py)</f>
        <v>0.625</v>
      </c>
      <c r="E6" s="5">
        <f>a*A6/(b*Px+a*Py)</f>
        <v>0.625</v>
      </c>
    </row>
    <row r="7" spans="1:19" x14ac:dyDescent="0.25">
      <c r="A7">
        <f t="shared" si="0"/>
        <v>10</v>
      </c>
      <c r="B7" s="5">
        <f>b*A7/(b*Px+a*Py)</f>
        <v>1.25</v>
      </c>
      <c r="E7" s="5">
        <f>a*A7/(b*Px+a*Py)</f>
        <v>1.25</v>
      </c>
      <c r="P7">
        <v>0</v>
      </c>
      <c r="Q7">
        <f>A7/Py</f>
        <v>2.5</v>
      </c>
      <c r="R7">
        <f>A7/Px</f>
        <v>2.5</v>
      </c>
      <c r="S7">
        <v>0</v>
      </c>
    </row>
    <row r="8" spans="1:19" x14ac:dyDescent="0.25">
      <c r="A8">
        <f t="shared" si="0"/>
        <v>15</v>
      </c>
      <c r="B8" s="5">
        <f>b*A8/(b*Px+a*Py)</f>
        <v>1.875</v>
      </c>
      <c r="E8" s="5">
        <f>a*A8/(b*Px+a*Py)</f>
        <v>1.875</v>
      </c>
    </row>
    <row r="9" spans="1:19" x14ac:dyDescent="0.25">
      <c r="A9">
        <f t="shared" si="0"/>
        <v>20</v>
      </c>
      <c r="B9" s="5">
        <f>b*A9/(b*Px+a*Py)</f>
        <v>2.5</v>
      </c>
      <c r="E9" s="5">
        <f>a*A9/(b*Px+a*Py)</f>
        <v>2.5</v>
      </c>
    </row>
    <row r="10" spans="1:19" x14ac:dyDescent="0.25">
      <c r="A10">
        <f t="shared" si="0"/>
        <v>25</v>
      </c>
      <c r="B10" s="5">
        <f>b*A10/(b*Px+a*Py)</f>
        <v>3.125</v>
      </c>
      <c r="E10" s="5">
        <f>a*A10/(b*Px+a*Py)</f>
        <v>3.125</v>
      </c>
    </row>
    <row r="11" spans="1:19" x14ac:dyDescent="0.25">
      <c r="A11">
        <f t="shared" si="0"/>
        <v>30</v>
      </c>
      <c r="B11" s="5">
        <f>b*A11/(b*Px+a*Py)</f>
        <v>3.75</v>
      </c>
      <c r="E11" s="5">
        <f>a*A11/(b*Px+a*Py)</f>
        <v>3.75</v>
      </c>
    </row>
    <row r="12" spans="1:19" x14ac:dyDescent="0.25">
      <c r="A12">
        <f t="shared" si="0"/>
        <v>35</v>
      </c>
      <c r="B12" s="5">
        <f>b*A12/(b*Px+a*Py)</f>
        <v>4.375</v>
      </c>
      <c r="E12" s="5">
        <f>a*A12/(b*Px+a*Py)</f>
        <v>4.375</v>
      </c>
      <c r="P12">
        <v>0</v>
      </c>
      <c r="Q12">
        <f>A12/Py</f>
        <v>8.75</v>
      </c>
      <c r="R12">
        <f>A12/Px</f>
        <v>8.75</v>
      </c>
      <c r="S12">
        <v>0</v>
      </c>
    </row>
    <row r="13" spans="1:19" x14ac:dyDescent="0.25">
      <c r="A13">
        <f t="shared" si="0"/>
        <v>40</v>
      </c>
      <c r="B13" s="5">
        <f>b*A13/(b*Px+a*Py)</f>
        <v>5</v>
      </c>
      <c r="E13" s="5">
        <f>a*A13/(b*Px+a*Py)</f>
        <v>5</v>
      </c>
    </row>
    <row r="14" spans="1:19" x14ac:dyDescent="0.25">
      <c r="A14">
        <f t="shared" si="0"/>
        <v>45</v>
      </c>
      <c r="B14" s="5">
        <f>b*A14/(b*Px+a*Py)</f>
        <v>5.625</v>
      </c>
      <c r="E14" s="5">
        <f>a*A14/(b*Px+a*Py)</f>
        <v>5.625</v>
      </c>
    </row>
    <row r="15" spans="1:19" x14ac:dyDescent="0.25">
      <c r="A15">
        <f t="shared" si="0"/>
        <v>50</v>
      </c>
      <c r="B15" s="5">
        <f>b*A15/(b*Px+a*Py)</f>
        <v>6.25</v>
      </c>
      <c r="E15" s="5">
        <f>a*A15/(b*Px+a*Py)</f>
        <v>6.25</v>
      </c>
    </row>
    <row r="16" spans="1:19" x14ac:dyDescent="0.25">
      <c r="A16">
        <f t="shared" si="0"/>
        <v>55</v>
      </c>
      <c r="B16" s="5">
        <f>b*A16/(b*Px+a*Py)</f>
        <v>6.875</v>
      </c>
      <c r="E16" s="5">
        <f>a*A16/(b*Px+a*Py)</f>
        <v>6.875</v>
      </c>
    </row>
    <row r="17" spans="1:19" x14ac:dyDescent="0.25">
      <c r="A17">
        <f t="shared" si="0"/>
        <v>60</v>
      </c>
      <c r="B17" s="5">
        <f>b*A17/(b*Px+a*Py)</f>
        <v>7.5</v>
      </c>
      <c r="E17" s="5">
        <f>a*A17/(b*Px+a*Py)</f>
        <v>7.5</v>
      </c>
      <c r="P17">
        <v>0</v>
      </c>
      <c r="Q17">
        <f>A17/Py</f>
        <v>15</v>
      </c>
      <c r="R17">
        <f>A17/Px</f>
        <v>15</v>
      </c>
      <c r="S17">
        <v>0</v>
      </c>
    </row>
    <row r="18" spans="1:19" x14ac:dyDescent="0.25">
      <c r="A18">
        <f t="shared" si="0"/>
        <v>65</v>
      </c>
      <c r="B18" s="5">
        <f>b*A18/(b*Px+a*Py)</f>
        <v>8.125</v>
      </c>
      <c r="E18" s="5">
        <f>a*A18/(b*Px+a*Py)</f>
        <v>8.125</v>
      </c>
    </row>
    <row r="19" spans="1:19" x14ac:dyDescent="0.25">
      <c r="A19">
        <f t="shared" si="0"/>
        <v>70</v>
      </c>
      <c r="B19" s="5">
        <f>b*A19/(b*Px+a*Py)</f>
        <v>8.75</v>
      </c>
      <c r="E19" s="5">
        <f>a*A19/(b*Px+a*Py)</f>
        <v>8.75</v>
      </c>
    </row>
    <row r="20" spans="1:19" x14ac:dyDescent="0.25">
      <c r="A20">
        <f t="shared" si="0"/>
        <v>75</v>
      </c>
      <c r="B20" s="5">
        <f>b*A20/(b*Px+a*Py)</f>
        <v>9.375</v>
      </c>
      <c r="E20" s="5">
        <f>a*A20/(b*Px+a*Py)</f>
        <v>9.375</v>
      </c>
    </row>
    <row r="21" spans="1:19" x14ac:dyDescent="0.25">
      <c r="A21">
        <f t="shared" si="0"/>
        <v>80</v>
      </c>
      <c r="B21" s="5">
        <f>b*A21/(b*Px+a*Py)</f>
        <v>10</v>
      </c>
      <c r="E21" s="5">
        <f>a*A21/(b*Px+a*Py)</f>
        <v>10</v>
      </c>
    </row>
    <row r="22" spans="1:19" x14ac:dyDescent="0.25">
      <c r="A22">
        <f t="shared" si="0"/>
        <v>85</v>
      </c>
      <c r="B22" s="5">
        <f>b*A22/(b*Px+a*Py)</f>
        <v>10.625</v>
      </c>
      <c r="E22" s="5">
        <f>a*A22/(b*Px+a*Py)</f>
        <v>10.625</v>
      </c>
    </row>
    <row r="23" spans="1:19" x14ac:dyDescent="0.25">
      <c r="A23">
        <f t="shared" si="0"/>
        <v>90</v>
      </c>
      <c r="B23" s="5">
        <f>b*A23/(b*Px+a*Py)</f>
        <v>11.25</v>
      </c>
      <c r="E23" s="5">
        <f>a*A23/(b*Px+a*Py)</f>
        <v>11.25</v>
      </c>
    </row>
    <row r="24" spans="1:19" x14ac:dyDescent="0.25">
      <c r="A24">
        <f t="shared" si="0"/>
        <v>95</v>
      </c>
      <c r="B24" s="5">
        <f>b*A24/(b*Px+a*Py)</f>
        <v>11.875</v>
      </c>
      <c r="E24" s="5">
        <f>a*A24/(b*Px+a*Py)</f>
        <v>11.875</v>
      </c>
    </row>
    <row r="25" spans="1:19" x14ac:dyDescent="0.25">
      <c r="A25">
        <f t="shared" si="0"/>
        <v>100</v>
      </c>
      <c r="B25" s="5">
        <f>b*A25/(b*Px+a*Py)</f>
        <v>12.5</v>
      </c>
      <c r="E25" s="5">
        <f>a*A25/(b*Px+a*Py)</f>
        <v>12.5</v>
      </c>
    </row>
    <row r="26" spans="1:19" x14ac:dyDescent="0.25">
      <c r="A26">
        <f t="shared" si="0"/>
        <v>105</v>
      </c>
      <c r="B26" s="5">
        <f>b*A26/(b*Px+a*Py)</f>
        <v>13.125</v>
      </c>
      <c r="E26" s="5">
        <f>a*A26/(b*Px+a*Py)</f>
        <v>13.125</v>
      </c>
    </row>
    <row r="27" spans="1:19" x14ac:dyDescent="0.25">
      <c r="A27">
        <f t="shared" si="0"/>
        <v>110</v>
      </c>
      <c r="B27" s="5">
        <f>b*A27/(b*Px+a*Py)</f>
        <v>13.75</v>
      </c>
      <c r="E27" s="5">
        <f>a*A27/(b*Px+a*Py)</f>
        <v>13.75</v>
      </c>
    </row>
    <row r="28" spans="1:19" x14ac:dyDescent="0.25">
      <c r="A28">
        <f t="shared" si="0"/>
        <v>115</v>
      </c>
      <c r="B28" s="5">
        <f>b*A28/(b*Px+a*Py)</f>
        <v>14.375</v>
      </c>
      <c r="E28" s="5">
        <f>a*A28/(b*Px+a*Py)</f>
        <v>14.375</v>
      </c>
    </row>
    <row r="29" spans="1:19" x14ac:dyDescent="0.25">
      <c r="A29">
        <f t="shared" si="0"/>
        <v>120</v>
      </c>
      <c r="B29" s="5">
        <f>b*A29/(b*Px+a*Py)</f>
        <v>15</v>
      </c>
      <c r="E29" s="5">
        <f>a*A29/(b*Px+a*Py)</f>
        <v>15</v>
      </c>
    </row>
    <row r="30" spans="1:19" x14ac:dyDescent="0.25">
      <c r="A30">
        <f t="shared" si="0"/>
        <v>125</v>
      </c>
      <c r="B30" s="5">
        <f>b*A30/(b*Px+a*Py)</f>
        <v>15.625</v>
      </c>
      <c r="E30" s="5">
        <f>a*A30/(b*Px+a*Py)</f>
        <v>15.625</v>
      </c>
    </row>
    <row r="31" spans="1:19" x14ac:dyDescent="0.25">
      <c r="A31">
        <f t="shared" si="0"/>
        <v>130</v>
      </c>
      <c r="B31" s="5">
        <f>b*A31/(b*Px+a*Py)</f>
        <v>16.25</v>
      </c>
      <c r="E31" s="5">
        <f>a*A31/(b*Px+a*Py)</f>
        <v>16.25</v>
      </c>
    </row>
    <row r="32" spans="1:19" x14ac:dyDescent="0.25">
      <c r="A32">
        <f t="shared" si="0"/>
        <v>135</v>
      </c>
      <c r="B32" s="5">
        <f>b*A32/(b*Px+a*Py)</f>
        <v>16.875</v>
      </c>
      <c r="E32" s="5">
        <f>a*A32/(b*Px+a*Py)</f>
        <v>16.875</v>
      </c>
    </row>
    <row r="33" spans="1:5" x14ac:dyDescent="0.25">
      <c r="A33">
        <f t="shared" si="0"/>
        <v>140</v>
      </c>
      <c r="B33" s="5">
        <f>b*A33/(b*Px+a*Py)</f>
        <v>17.5</v>
      </c>
      <c r="E33" s="5">
        <f>a*A33/(b*Px+a*Py)</f>
        <v>17.5</v>
      </c>
    </row>
    <row r="34" spans="1:5" x14ac:dyDescent="0.25">
      <c r="A34">
        <f t="shared" si="0"/>
        <v>145</v>
      </c>
      <c r="B34" s="5">
        <f>b*A34/(b*Px+a*Py)</f>
        <v>18.125</v>
      </c>
      <c r="E34" s="5">
        <f>a*A34/(b*Px+a*Py)</f>
        <v>18.125</v>
      </c>
    </row>
    <row r="35" spans="1:5" x14ac:dyDescent="0.25">
      <c r="A35">
        <f t="shared" si="0"/>
        <v>150</v>
      </c>
      <c r="B35" s="5">
        <f>b*A35/(b*Px+a*Py)</f>
        <v>18.75</v>
      </c>
      <c r="E35" s="5">
        <f>a*A35/(b*Px+a*Py)</f>
        <v>18.75</v>
      </c>
    </row>
    <row r="36" spans="1:5" x14ac:dyDescent="0.25">
      <c r="A36">
        <f t="shared" si="0"/>
        <v>155</v>
      </c>
      <c r="B36" s="5">
        <f>b*A36/(b*Px+a*Py)</f>
        <v>19.375</v>
      </c>
      <c r="E36" s="5">
        <f>a*A36/(b*Px+a*Py)</f>
        <v>19.375</v>
      </c>
    </row>
    <row r="37" spans="1:5" x14ac:dyDescent="0.25">
      <c r="A37">
        <f t="shared" si="0"/>
        <v>160</v>
      </c>
      <c r="B37" s="5">
        <f>b*A37/(b*Px+a*Py)</f>
        <v>20</v>
      </c>
      <c r="E37" s="5">
        <f>a*A37/(b*Px+a*Py)</f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31</vt:i4>
      </vt:variant>
    </vt:vector>
  </HeadingPairs>
  <TitlesOfParts>
    <vt:vector size="37" baseType="lpstr">
      <vt:lpstr>Utility function</vt:lpstr>
      <vt:lpstr>Budget Set and Optimal Choice</vt:lpstr>
      <vt:lpstr>Demand Curve</vt:lpstr>
      <vt:lpstr>Engel Curve</vt:lpstr>
      <vt:lpstr>Price Consumption Curve for X</vt:lpstr>
      <vt:lpstr>Income Consumption Curve</vt:lpstr>
      <vt:lpstr>'Budget Set and Optimal Choice'!a</vt:lpstr>
      <vt:lpstr>'Demand Curve'!a</vt:lpstr>
      <vt:lpstr>'Engel Curve'!a</vt:lpstr>
      <vt:lpstr>'Income Consumption Curve'!a</vt:lpstr>
      <vt:lpstr>'Price Consumption Curve for X'!a</vt:lpstr>
      <vt:lpstr>'Utility function'!a</vt:lpstr>
      <vt:lpstr>'Income Consumption Curve'!aaa</vt:lpstr>
      <vt:lpstr>aaa</vt:lpstr>
      <vt:lpstr>'Budget Set and Optimal Choice'!b</vt:lpstr>
      <vt:lpstr>'Demand Curve'!b</vt:lpstr>
      <vt:lpstr>'Engel Curve'!b</vt:lpstr>
      <vt:lpstr>'Income Consumption Curve'!b</vt:lpstr>
      <vt:lpstr>'Price Consumption Curve for X'!b</vt:lpstr>
      <vt:lpstr>'Utility function'!b</vt:lpstr>
      <vt:lpstr>'Budget Set and Optimal Choice'!I</vt:lpstr>
      <vt:lpstr>'Demand Curve'!I</vt:lpstr>
      <vt:lpstr>'Engel Curve'!I</vt:lpstr>
      <vt:lpstr>'Income Consumption Curve'!I</vt:lpstr>
      <vt:lpstr>'Price Consumption Curve for X'!I</vt:lpstr>
      <vt:lpstr>'Budget Set and Optimal Choice'!Px</vt:lpstr>
      <vt:lpstr>'Demand Curve'!Px</vt:lpstr>
      <vt:lpstr>'Engel Curve'!Px</vt:lpstr>
      <vt:lpstr>'Income Consumption Curve'!Px</vt:lpstr>
      <vt:lpstr>'Budget Set and Optimal Choice'!Py</vt:lpstr>
      <vt:lpstr>'Demand Curve'!Py</vt:lpstr>
      <vt:lpstr>'Engel Curve'!Py</vt:lpstr>
      <vt:lpstr>'Income Consumption Curve'!Py</vt:lpstr>
      <vt:lpstr>'Price Consumption Curve for X'!Py</vt:lpstr>
      <vt:lpstr>'Budget Set and Optimal Choice'!x_d</vt:lpstr>
      <vt:lpstr>y_d</vt:lpstr>
      <vt:lpstr>zzzz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</cp:lastModifiedBy>
  <dcterms:created xsi:type="dcterms:W3CDTF">2011-10-21T03:19:48Z</dcterms:created>
  <dcterms:modified xsi:type="dcterms:W3CDTF">2011-10-25T05:03:31Z</dcterms:modified>
</cp:coreProperties>
</file>