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0" windowWidth="17235" windowHeight="9285"/>
  </bookViews>
  <sheets>
    <sheet name="Summary" sheetId="60" r:id="rId1"/>
    <sheet name="Rate History" sheetId="66" r:id="rId2"/>
    <sheet name="FTSE Summary" sheetId="65" r:id="rId3"/>
    <sheet name="Discipline Summary" sheetId="62" r:id="rId4"/>
    <sheet name="Discipline Analysis" sheetId="63" r:id="rId5"/>
    <sheet name="Neutral" sheetId="64" r:id="rId6"/>
    <sheet name="1" sheetId="57" r:id="rId7"/>
    <sheet name="2" sheetId="56" r:id="rId8"/>
    <sheet name="3" sheetId="55" r:id="rId9"/>
    <sheet name="4" sheetId="54" r:id="rId10"/>
    <sheet name="5" sheetId="53" r:id="rId11"/>
    <sheet name="6" sheetId="52" r:id="rId12"/>
    <sheet name="7" sheetId="51" r:id="rId13"/>
    <sheet name="8" sheetId="50" r:id="rId14"/>
    <sheet name="9" sheetId="49" r:id="rId15"/>
    <sheet name="10" sheetId="48" r:id="rId16"/>
    <sheet name="11" sheetId="47" r:id="rId17"/>
    <sheet name="12" sheetId="46" r:id="rId18"/>
    <sheet name="13" sheetId="45" r:id="rId19"/>
    <sheet name="14" sheetId="44" r:id="rId20"/>
    <sheet name="15" sheetId="43" r:id="rId21"/>
    <sheet name="16" sheetId="42" r:id="rId22"/>
    <sheet name="17" sheetId="41" r:id="rId23"/>
    <sheet name="18" sheetId="40" r:id="rId24"/>
    <sheet name="19" sheetId="39" r:id="rId25"/>
    <sheet name="20" sheetId="38" r:id="rId26"/>
    <sheet name="21" sheetId="37" r:id="rId27"/>
    <sheet name="22" sheetId="36" r:id="rId28"/>
    <sheet name="23" sheetId="35" r:id="rId29"/>
    <sheet name="24" sheetId="34" r:id="rId30"/>
    <sheet name="25" sheetId="33" r:id="rId31"/>
    <sheet name="26" sheetId="32" r:id="rId32"/>
    <sheet name="27" sheetId="31" r:id="rId33"/>
    <sheet name="28" sheetId="30" r:id="rId34"/>
    <sheet name="29" sheetId="29" r:id="rId35"/>
    <sheet name="30" sheetId="28" r:id="rId36"/>
    <sheet name="31" sheetId="27" r:id="rId37"/>
    <sheet name="32" sheetId="26" r:id="rId38"/>
    <sheet name="33" sheetId="25" r:id="rId39"/>
    <sheet name="34" sheetId="24" r:id="rId40"/>
    <sheet name="35" sheetId="23" r:id="rId41"/>
    <sheet name="36" sheetId="22" r:id="rId42"/>
    <sheet name="37" sheetId="21" r:id="rId43"/>
    <sheet name="38" sheetId="20" r:id="rId44"/>
    <sheet name="39" sheetId="19" r:id="rId45"/>
    <sheet name="40" sheetId="18" r:id="rId46"/>
    <sheet name="41" sheetId="17" r:id="rId47"/>
    <sheet name="42" sheetId="16" r:id="rId48"/>
    <sheet name="43" sheetId="15" r:id="rId49"/>
    <sheet name="44" sheetId="14" r:id="rId50"/>
    <sheet name="45" sheetId="13" r:id="rId51"/>
    <sheet name="46" sheetId="12" r:id="rId52"/>
    <sheet name="47" sheetId="11" r:id="rId53"/>
    <sheet name="48" sheetId="10" r:id="rId54"/>
    <sheet name="49" sheetId="9" r:id="rId55"/>
    <sheet name="50" sheetId="8" r:id="rId56"/>
    <sheet name="51" sheetId="7" r:id="rId57"/>
    <sheet name="52" sheetId="6" r:id="rId58"/>
    <sheet name="53" sheetId="5" r:id="rId59"/>
    <sheet name="54" sheetId="4" r:id="rId60"/>
    <sheet name="55" sheetId="3" r:id="rId61"/>
    <sheet name="56" sheetId="59" r:id="rId62"/>
    <sheet name="57" sheetId="1" r:id="rId63"/>
    <sheet name="Data" sheetId="2" r:id="rId64"/>
  </sheets>
  <definedNames>
    <definedName name="Broadway_AP_FRP_RFOE_CCSurvey" localSheetId="63" hidden="1">Data!$A$4:$LB$63</definedName>
    <definedName name="_xlnm.Print_Area" localSheetId="4">'Discipline Analysis'!$A$1:$V$64</definedName>
    <definedName name="_xlnm.Print_Titles" localSheetId="4">'Discipline Analysis'!$A:$A,'Discipline Analysis'!$5:$5</definedName>
    <definedName name="_xlnm.Print_Titles" localSheetId="3">'Discipline Summary'!$A:$A,'Discipline Summary'!$3:$3</definedName>
    <definedName name="_xlnm.Print_Titles" localSheetId="2">'FTSE Summary'!$3:$3</definedName>
    <definedName name="_xlnm.Print_Titles" localSheetId="5">Neutral!$4:$4</definedName>
    <definedName name="_xlnm.Print_Titles" localSheetId="1">'Rate History'!$B:$B</definedName>
  </definedNames>
  <calcPr calcId="145621"/>
</workbook>
</file>

<file path=xl/calcChain.xml><?xml version="1.0" encoding="utf-8"?>
<calcChain xmlns="http://schemas.openxmlformats.org/spreadsheetml/2006/main">
  <c r="C62" i="64" l="1"/>
  <c r="B62" i="64"/>
  <c r="C61" i="64"/>
  <c r="B61" i="64"/>
  <c r="C60" i="64"/>
  <c r="B60" i="64"/>
  <c r="C59" i="64"/>
  <c r="B59" i="64"/>
  <c r="C58" i="64"/>
  <c r="B58" i="64"/>
  <c r="C57" i="64"/>
  <c r="B57" i="64"/>
  <c r="C56" i="64"/>
  <c r="B56" i="64"/>
  <c r="C55" i="64"/>
  <c r="B55" i="64"/>
  <c r="C54" i="64"/>
  <c r="B54" i="64"/>
  <c r="C53" i="64"/>
  <c r="B53" i="64"/>
  <c r="C52" i="64"/>
  <c r="B52" i="64"/>
  <c r="C51" i="64"/>
  <c r="B51" i="64"/>
  <c r="C50" i="64"/>
  <c r="B50" i="64"/>
  <c r="C49" i="64"/>
  <c r="B49" i="64"/>
  <c r="C48" i="64"/>
  <c r="B48" i="64"/>
  <c r="C47" i="64"/>
  <c r="B47" i="64"/>
  <c r="C46" i="64"/>
  <c r="B46" i="64"/>
  <c r="C45" i="64"/>
  <c r="B45" i="64"/>
  <c r="C44" i="64"/>
  <c r="B44" i="64"/>
  <c r="C43" i="64"/>
  <c r="B43" i="64"/>
  <c r="C42" i="64"/>
  <c r="B42" i="64"/>
  <c r="C41" i="64"/>
  <c r="B41" i="64"/>
  <c r="C40" i="64"/>
  <c r="B40" i="64"/>
  <c r="C39" i="64"/>
  <c r="B39" i="64"/>
  <c r="C38" i="64"/>
  <c r="B38" i="64"/>
  <c r="C37" i="64"/>
  <c r="B37" i="64"/>
  <c r="C36" i="64"/>
  <c r="B36" i="64"/>
  <c r="C35" i="64"/>
  <c r="B35" i="64"/>
  <c r="C34" i="64"/>
  <c r="B34" i="64"/>
  <c r="C33" i="64"/>
  <c r="B33" i="64"/>
  <c r="C32" i="64"/>
  <c r="B32" i="64"/>
  <c r="C31" i="64"/>
  <c r="B31" i="64"/>
  <c r="C30" i="64"/>
  <c r="B30" i="64"/>
  <c r="C29" i="64"/>
  <c r="B29" i="64"/>
  <c r="C28" i="64"/>
  <c r="B28" i="64"/>
  <c r="C27" i="64"/>
  <c r="B27" i="64"/>
  <c r="C26" i="64"/>
  <c r="B26" i="64"/>
  <c r="C25" i="64"/>
  <c r="B25" i="64"/>
  <c r="C24" i="64"/>
  <c r="B24" i="64"/>
  <c r="C23" i="64"/>
  <c r="B23" i="64"/>
  <c r="C22" i="64"/>
  <c r="B22" i="64"/>
  <c r="C21" i="64"/>
  <c r="B21" i="64"/>
  <c r="C20" i="64"/>
  <c r="B20" i="64"/>
  <c r="C19" i="64"/>
  <c r="B19" i="64"/>
  <c r="C18" i="64"/>
  <c r="B18" i="64"/>
  <c r="C17" i="64"/>
  <c r="B17" i="64"/>
  <c r="C16" i="64"/>
  <c r="B16" i="64"/>
  <c r="C15" i="64"/>
  <c r="B15" i="64"/>
  <c r="C14" i="64"/>
  <c r="B14" i="64"/>
  <c r="C13" i="64"/>
  <c r="B13" i="64"/>
  <c r="C12" i="64"/>
  <c r="B12" i="64"/>
  <c r="C11" i="64"/>
  <c r="B11" i="64"/>
  <c r="C10" i="64"/>
  <c r="B10" i="64"/>
  <c r="C9" i="64"/>
  <c r="B9" i="64"/>
  <c r="C8" i="64"/>
  <c r="B8" i="64"/>
  <c r="C7" i="64"/>
  <c r="B7" i="64"/>
  <c r="C6" i="64"/>
  <c r="B6" i="64"/>
  <c r="A1" i="66"/>
  <c r="C31" i="66"/>
  <c r="C30" i="66"/>
  <c r="C29" i="66"/>
  <c r="C28" i="66"/>
  <c r="C27" i="66"/>
  <c r="C26" i="66"/>
  <c r="C25" i="66"/>
  <c r="C24" i="66"/>
  <c r="C23" i="66"/>
  <c r="C22" i="66"/>
  <c r="C21" i="66"/>
  <c r="C20" i="66"/>
  <c r="C19" i="66"/>
  <c r="C18" i="66"/>
  <c r="C17" i="66"/>
  <c r="C16" i="66"/>
  <c r="C15" i="66"/>
  <c r="C14" i="66"/>
  <c r="C13" i="66"/>
  <c r="C12" i="66"/>
  <c r="C11" i="66"/>
  <c r="C10" i="66"/>
  <c r="C9" i="66"/>
  <c r="C8" i="66"/>
  <c r="C7" i="66"/>
  <c r="C6" i="66"/>
  <c r="C5" i="66"/>
  <c r="C4" i="66"/>
  <c r="N31" i="66"/>
  <c r="N30" i="66"/>
  <c r="N29" i="66"/>
  <c r="N28" i="66"/>
  <c r="N27" i="66"/>
  <c r="N26" i="66"/>
  <c r="N25" i="66"/>
  <c r="N24" i="66"/>
  <c r="N23" i="66"/>
  <c r="N22" i="66"/>
  <c r="N21" i="66"/>
  <c r="N20" i="66"/>
  <c r="N19" i="66"/>
  <c r="N18" i="66"/>
  <c r="N17" i="66"/>
  <c r="N16" i="66"/>
  <c r="N15" i="66"/>
  <c r="N14" i="66"/>
  <c r="N13" i="66"/>
  <c r="N12" i="66"/>
  <c r="N11" i="66"/>
  <c r="N10" i="66"/>
  <c r="N9" i="66"/>
  <c r="N8" i="66"/>
  <c r="N7" i="66"/>
  <c r="N6" i="66"/>
  <c r="N5" i="66"/>
  <c r="C34" i="66"/>
  <c r="L34" i="66"/>
  <c r="K34" i="66"/>
  <c r="V34" i="66" s="1"/>
  <c r="J34" i="66"/>
  <c r="U34" i="66" s="1"/>
  <c r="I34" i="66"/>
  <c r="T34" i="66" s="1"/>
  <c r="H34" i="66"/>
  <c r="S34" i="66" s="1"/>
  <c r="G34" i="66"/>
  <c r="R34" i="66" s="1"/>
  <c r="F34" i="66"/>
  <c r="P34" i="66" s="1"/>
  <c r="L33" i="66"/>
  <c r="K33" i="66"/>
  <c r="V33" i="66" s="1"/>
  <c r="J33" i="66"/>
  <c r="U33" i="66" s="1"/>
  <c r="I33" i="66"/>
  <c r="T33" i="66" s="1"/>
  <c r="H33" i="66"/>
  <c r="S33" i="66" s="1"/>
  <c r="G33" i="66"/>
  <c r="R33" i="66" s="1"/>
  <c r="F33" i="66"/>
  <c r="P33" i="66" s="1"/>
  <c r="L32" i="66"/>
  <c r="V32" i="66" s="1"/>
  <c r="K32" i="66"/>
  <c r="J32" i="66"/>
  <c r="T32" i="66" s="1"/>
  <c r="I32" i="66"/>
  <c r="H32" i="66"/>
  <c r="R32" i="66" s="1"/>
  <c r="G32" i="66"/>
  <c r="F32" i="66"/>
  <c r="P32" i="66" s="1"/>
  <c r="V31" i="66"/>
  <c r="U31" i="66"/>
  <c r="T31" i="66"/>
  <c r="S31" i="66"/>
  <c r="R31" i="66"/>
  <c r="Q31" i="66"/>
  <c r="P31" i="66"/>
  <c r="O31" i="66"/>
  <c r="V30" i="66"/>
  <c r="U30" i="66"/>
  <c r="T30" i="66"/>
  <c r="S30" i="66"/>
  <c r="R30" i="66"/>
  <c r="Q30" i="66"/>
  <c r="P30" i="66"/>
  <c r="O30" i="66"/>
  <c r="V29" i="66"/>
  <c r="U29" i="66"/>
  <c r="T29" i="66"/>
  <c r="S29" i="66"/>
  <c r="R29" i="66"/>
  <c r="Q29" i="66"/>
  <c r="P29" i="66"/>
  <c r="O29" i="66"/>
  <c r="V28" i="66"/>
  <c r="U28" i="66"/>
  <c r="T28" i="66"/>
  <c r="S28" i="66"/>
  <c r="R28" i="66"/>
  <c r="Q28" i="66"/>
  <c r="P28" i="66"/>
  <c r="O28" i="66"/>
  <c r="V27" i="66"/>
  <c r="U27" i="66"/>
  <c r="T27" i="66"/>
  <c r="S27" i="66"/>
  <c r="R27" i="66"/>
  <c r="Q27" i="66"/>
  <c r="P27" i="66"/>
  <c r="O27" i="66"/>
  <c r="V26" i="66"/>
  <c r="U26" i="66"/>
  <c r="T26" i="66"/>
  <c r="S26" i="66"/>
  <c r="R26" i="66"/>
  <c r="Q26" i="66"/>
  <c r="P26" i="66"/>
  <c r="O26" i="66"/>
  <c r="V25" i="66"/>
  <c r="U25" i="66"/>
  <c r="T25" i="66"/>
  <c r="S25" i="66"/>
  <c r="R25" i="66"/>
  <c r="Q25" i="66"/>
  <c r="P25" i="66"/>
  <c r="O25" i="66"/>
  <c r="V24" i="66"/>
  <c r="U24" i="66"/>
  <c r="T24" i="66"/>
  <c r="S24" i="66"/>
  <c r="R24" i="66"/>
  <c r="Q24" i="66"/>
  <c r="P24" i="66"/>
  <c r="O24" i="66"/>
  <c r="V23" i="66"/>
  <c r="U23" i="66"/>
  <c r="T23" i="66"/>
  <c r="S23" i="66"/>
  <c r="R23" i="66"/>
  <c r="Q23" i="66"/>
  <c r="P23" i="66"/>
  <c r="O23" i="66"/>
  <c r="V22" i="66"/>
  <c r="U22" i="66"/>
  <c r="T22" i="66"/>
  <c r="S22" i="66"/>
  <c r="R22" i="66"/>
  <c r="Q22" i="66"/>
  <c r="P22" i="66"/>
  <c r="O22" i="66"/>
  <c r="V21" i="66"/>
  <c r="U21" i="66"/>
  <c r="T21" i="66"/>
  <c r="S21" i="66"/>
  <c r="R21" i="66"/>
  <c r="Q21" i="66"/>
  <c r="P21" i="66"/>
  <c r="O21" i="66"/>
  <c r="V20" i="66"/>
  <c r="U20" i="66"/>
  <c r="T20" i="66"/>
  <c r="S20" i="66"/>
  <c r="R20" i="66"/>
  <c r="Q20" i="66"/>
  <c r="P20" i="66"/>
  <c r="O20" i="66"/>
  <c r="V19" i="66"/>
  <c r="U19" i="66"/>
  <c r="T19" i="66"/>
  <c r="S19" i="66"/>
  <c r="R19" i="66"/>
  <c r="Q19" i="66"/>
  <c r="P19" i="66"/>
  <c r="O19" i="66"/>
  <c r="V18" i="66"/>
  <c r="U18" i="66"/>
  <c r="T18" i="66"/>
  <c r="S18" i="66"/>
  <c r="R18" i="66"/>
  <c r="Q18" i="66"/>
  <c r="P18" i="66"/>
  <c r="O18" i="66"/>
  <c r="V17" i="66"/>
  <c r="U17" i="66"/>
  <c r="T17" i="66"/>
  <c r="S17" i="66"/>
  <c r="R17" i="66"/>
  <c r="Q17" i="66"/>
  <c r="P17" i="66"/>
  <c r="O17" i="66"/>
  <c r="V16" i="66"/>
  <c r="U16" i="66"/>
  <c r="T16" i="66"/>
  <c r="S16" i="66"/>
  <c r="R16" i="66"/>
  <c r="Q16" i="66"/>
  <c r="P16" i="66"/>
  <c r="O16" i="66"/>
  <c r="V15" i="66"/>
  <c r="U15" i="66"/>
  <c r="T15" i="66"/>
  <c r="S15" i="66"/>
  <c r="R15" i="66"/>
  <c r="Q15" i="66"/>
  <c r="P15" i="66"/>
  <c r="O15" i="66"/>
  <c r="V14" i="66"/>
  <c r="U14" i="66"/>
  <c r="T14" i="66"/>
  <c r="S14" i="66"/>
  <c r="R14" i="66"/>
  <c r="Q14" i="66"/>
  <c r="P14" i="66"/>
  <c r="O14" i="66"/>
  <c r="V13" i="66"/>
  <c r="U13" i="66"/>
  <c r="T13" i="66"/>
  <c r="S13" i="66"/>
  <c r="R13" i="66"/>
  <c r="Q13" i="66"/>
  <c r="P13" i="66"/>
  <c r="O13" i="66"/>
  <c r="V12" i="66"/>
  <c r="U12" i="66"/>
  <c r="T12" i="66"/>
  <c r="S12" i="66"/>
  <c r="R12" i="66"/>
  <c r="Q12" i="66"/>
  <c r="P12" i="66"/>
  <c r="O12" i="66"/>
  <c r="V11" i="66"/>
  <c r="U11" i="66"/>
  <c r="T11" i="66"/>
  <c r="S11" i="66"/>
  <c r="R11" i="66"/>
  <c r="Q11" i="66"/>
  <c r="P11" i="66"/>
  <c r="O11" i="66"/>
  <c r="V10" i="66"/>
  <c r="U10" i="66"/>
  <c r="T10" i="66"/>
  <c r="S10" i="66"/>
  <c r="R10" i="66"/>
  <c r="Q10" i="66"/>
  <c r="P10" i="66"/>
  <c r="O10" i="66"/>
  <c r="V9" i="66"/>
  <c r="U9" i="66"/>
  <c r="T9" i="66"/>
  <c r="S9" i="66"/>
  <c r="R9" i="66"/>
  <c r="Q9" i="66"/>
  <c r="P9" i="66"/>
  <c r="O9" i="66"/>
  <c r="V8" i="66"/>
  <c r="U8" i="66"/>
  <c r="T8" i="66"/>
  <c r="S8" i="66"/>
  <c r="R8" i="66"/>
  <c r="Q8" i="66"/>
  <c r="P8" i="66"/>
  <c r="O8" i="66"/>
  <c r="V7" i="66"/>
  <c r="U7" i="66"/>
  <c r="T7" i="66"/>
  <c r="S7" i="66"/>
  <c r="R7" i="66"/>
  <c r="Q7" i="66"/>
  <c r="P7" i="66"/>
  <c r="O7" i="66"/>
  <c r="V6" i="66"/>
  <c r="U6" i="66"/>
  <c r="T6" i="66"/>
  <c r="S6" i="66"/>
  <c r="R6" i="66"/>
  <c r="Q6" i="66"/>
  <c r="P6" i="66"/>
  <c r="O6" i="66"/>
  <c r="V5" i="66"/>
  <c r="U5" i="66"/>
  <c r="T5" i="66"/>
  <c r="S5" i="66"/>
  <c r="R5" i="66"/>
  <c r="Q5" i="66"/>
  <c r="P5" i="66"/>
  <c r="O5" i="66"/>
  <c r="V4" i="66"/>
  <c r="U4" i="66"/>
  <c r="T4" i="66"/>
  <c r="S4" i="66"/>
  <c r="R4" i="66"/>
  <c r="Q4" i="66"/>
  <c r="P4" i="66"/>
  <c r="D34" i="66"/>
  <c r="O34" i="66" s="1"/>
  <c r="N34" i="66" l="1"/>
  <c r="N4" i="66"/>
  <c r="C33" i="66"/>
  <c r="O4" i="66"/>
  <c r="C32" i="66"/>
  <c r="D32" i="66"/>
  <c r="O32" i="66" s="1"/>
  <c r="Q32" i="66"/>
  <c r="S32" i="66"/>
  <c r="U32" i="66"/>
  <c r="D33" i="66"/>
  <c r="O33" i="66" s="1"/>
  <c r="Q33" i="66"/>
  <c r="Q34" i="66"/>
  <c r="N7" i="63"/>
  <c r="N8" i="63"/>
  <c r="N9" i="63"/>
  <c r="N10" i="63"/>
  <c r="N11" i="63"/>
  <c r="N12" i="63"/>
  <c r="N13" i="63"/>
  <c r="N14" i="63"/>
  <c r="N15" i="63"/>
  <c r="N16" i="63"/>
  <c r="N17" i="63"/>
  <c r="N18" i="63"/>
  <c r="N19" i="63"/>
  <c r="N20" i="63"/>
  <c r="N21" i="63"/>
  <c r="N22" i="63"/>
  <c r="N23" i="63"/>
  <c r="N24" i="63"/>
  <c r="N25" i="63"/>
  <c r="N26" i="63"/>
  <c r="N27" i="63"/>
  <c r="N28" i="63"/>
  <c r="N29" i="63"/>
  <c r="N30" i="63"/>
  <c r="N31" i="63"/>
  <c r="N32" i="63"/>
  <c r="N33" i="63"/>
  <c r="N34" i="63"/>
  <c r="N35" i="63"/>
  <c r="N36" i="63"/>
  <c r="N37" i="63"/>
  <c r="N38" i="63"/>
  <c r="N39" i="63"/>
  <c r="N40" i="63"/>
  <c r="N41" i="63"/>
  <c r="N42" i="63"/>
  <c r="N43" i="63"/>
  <c r="N44" i="63"/>
  <c r="N45" i="63"/>
  <c r="N46" i="63"/>
  <c r="N47" i="63"/>
  <c r="N48" i="63"/>
  <c r="N49" i="63"/>
  <c r="N50" i="63"/>
  <c r="N51" i="63"/>
  <c r="N52" i="63"/>
  <c r="N53" i="63"/>
  <c r="N54" i="63"/>
  <c r="N55" i="63"/>
  <c r="N56" i="63"/>
  <c r="N57" i="63"/>
  <c r="N58" i="63"/>
  <c r="N59" i="63"/>
  <c r="N60" i="63"/>
  <c r="N61" i="63"/>
  <c r="N62" i="63"/>
  <c r="N63" i="63"/>
  <c r="F57" i="42"/>
  <c r="F57" i="53"/>
  <c r="F88" i="53"/>
  <c r="N32" i="66" l="1"/>
  <c r="N33" i="66"/>
  <c r="F88" i="42"/>
  <c r="B4" i="64" l="1"/>
  <c r="C4" i="64" l="1"/>
  <c r="F3" i="57" l="1"/>
  <c r="F3" i="56"/>
  <c r="F3" i="55"/>
  <c r="F3" i="54"/>
  <c r="F3" i="53"/>
  <c r="F3" i="52"/>
  <c r="F3" i="51"/>
  <c r="F3" i="50"/>
  <c r="F3" i="49"/>
  <c r="F3" i="48"/>
  <c r="F3" i="47"/>
  <c r="F3" i="46"/>
  <c r="F3" i="45"/>
  <c r="F3" i="44"/>
  <c r="F3" i="43"/>
  <c r="F3" i="42"/>
  <c r="F3" i="41"/>
  <c r="F3" i="40"/>
  <c r="F3" i="39"/>
  <c r="F3" i="38"/>
  <c r="F3" i="37"/>
  <c r="F3" i="36"/>
  <c r="F3" i="35"/>
  <c r="F3" i="34"/>
  <c r="F3" i="33"/>
  <c r="F3" i="32"/>
  <c r="F3" i="31"/>
  <c r="F3" i="30"/>
  <c r="F3" i="29"/>
  <c r="F3" i="28"/>
  <c r="F3" i="27"/>
  <c r="F3" i="26"/>
  <c r="F3" i="25"/>
  <c r="F3" i="24"/>
  <c r="F3" i="23"/>
  <c r="F3" i="22"/>
  <c r="F3" i="21"/>
  <c r="F3" i="20"/>
  <c r="F3" i="19"/>
  <c r="F3" i="18"/>
  <c r="F3" i="17"/>
  <c r="F3" i="16"/>
  <c r="F3" i="15"/>
  <c r="F3" i="14"/>
  <c r="F3" i="13"/>
  <c r="F3" i="12"/>
  <c r="F3" i="11"/>
  <c r="F3" i="10"/>
  <c r="F3" i="9"/>
  <c r="F3" i="8"/>
  <c r="F3" i="7"/>
  <c r="F3" i="6"/>
  <c r="F3" i="5"/>
  <c r="F3" i="4"/>
  <c r="F3" i="3"/>
  <c r="F3" i="59"/>
  <c r="F3" i="1"/>
  <c r="D117" i="1" l="1"/>
  <c r="F117" i="1" s="1"/>
  <c r="D115" i="1"/>
  <c r="E113" i="1"/>
  <c r="E111" i="1"/>
  <c r="E109" i="1"/>
  <c r="C15" i="65"/>
  <c r="C38" i="65"/>
  <c r="C45" i="65"/>
  <c r="C46" i="65"/>
  <c r="C60" i="65"/>
  <c r="C59" i="65"/>
  <c r="C58" i="65"/>
  <c r="C57" i="65"/>
  <c r="C56" i="65"/>
  <c r="C55" i="65"/>
  <c r="C54" i="65"/>
  <c r="C53" i="65"/>
  <c r="C52" i="65"/>
  <c r="C51" i="65"/>
  <c r="C50" i="65"/>
  <c r="C49" i="65"/>
  <c r="C48" i="65"/>
  <c r="C47" i="65"/>
  <c r="C44" i="65"/>
  <c r="C43" i="65"/>
  <c r="C42" i="65"/>
  <c r="C41" i="65"/>
  <c r="C40" i="65"/>
  <c r="C39" i="65"/>
  <c r="C37" i="65"/>
  <c r="C36" i="65"/>
  <c r="C35" i="65"/>
  <c r="C34" i="65"/>
  <c r="C33" i="65"/>
  <c r="C32" i="65"/>
  <c r="C31" i="65"/>
  <c r="C30" i="65"/>
  <c r="C29" i="65"/>
  <c r="C28" i="65"/>
  <c r="C27" i="65"/>
  <c r="C26" i="65"/>
  <c r="C25" i="65"/>
  <c r="C24" i="65"/>
  <c r="C23" i="65"/>
  <c r="C22" i="65"/>
  <c r="C21" i="65"/>
  <c r="C20" i="65"/>
  <c r="C19" i="65"/>
  <c r="C18" i="65"/>
  <c r="C17" i="65"/>
  <c r="C16" i="65"/>
  <c r="C14" i="65"/>
  <c r="C13" i="65"/>
  <c r="C12" i="65"/>
  <c r="C11" i="65"/>
  <c r="C10" i="65"/>
  <c r="C9" i="65"/>
  <c r="C8" i="65"/>
  <c r="C7" i="65"/>
  <c r="C6" i="65"/>
  <c r="C5" i="65"/>
  <c r="C4" i="65"/>
  <c r="A1" i="65"/>
  <c r="D5" i="64"/>
  <c r="A1" i="64"/>
  <c r="A1" i="63"/>
  <c r="A1" i="62"/>
  <c r="C115" i="12"/>
  <c r="B2" i="55"/>
  <c r="B2" i="54"/>
  <c r="B2" i="53"/>
  <c r="B2" i="52"/>
  <c r="B2" i="51"/>
  <c r="B2" i="50"/>
  <c r="B2" i="49"/>
  <c r="B2" i="48"/>
  <c r="B2" i="47"/>
  <c r="E113" i="46"/>
  <c r="B2" i="46"/>
  <c r="B2" i="45"/>
  <c r="C116" i="44"/>
  <c r="B2" i="44"/>
  <c r="B2" i="43"/>
  <c r="C112" i="42"/>
  <c r="B2" i="42"/>
  <c r="B2" i="41"/>
  <c r="E115" i="40"/>
  <c r="B2" i="40"/>
  <c r="B2" i="39"/>
  <c r="C112" i="38"/>
  <c r="B2" i="38"/>
  <c r="B2" i="37"/>
  <c r="E115" i="36"/>
  <c r="B2" i="36"/>
  <c r="B2" i="35"/>
  <c r="C111" i="34"/>
  <c r="B2" i="34"/>
  <c r="B2" i="33"/>
  <c r="C114" i="32"/>
  <c r="B2" i="32"/>
  <c r="B2" i="31"/>
  <c r="D109" i="30"/>
  <c r="B2" i="30"/>
  <c r="B2" i="29"/>
  <c r="E113" i="28"/>
  <c r="B2" i="28"/>
  <c r="B2" i="27"/>
  <c r="C116" i="26"/>
  <c r="B2" i="26"/>
  <c r="B2" i="25"/>
  <c r="D115" i="24"/>
  <c r="B2" i="24"/>
  <c r="B2" i="23"/>
  <c r="C115" i="22"/>
  <c r="B2" i="22"/>
  <c r="B2" i="21"/>
  <c r="C115" i="20"/>
  <c r="B2" i="20"/>
  <c r="B2" i="19"/>
  <c r="C115" i="18"/>
  <c r="B2" i="18"/>
  <c r="B2" i="17"/>
  <c r="C115" i="16"/>
  <c r="B2" i="16"/>
  <c r="B2" i="15"/>
  <c r="E115" i="14"/>
  <c r="B2" i="14"/>
  <c r="B2" i="13"/>
  <c r="B2" i="12"/>
  <c r="C116" i="11"/>
  <c r="B2" i="11"/>
  <c r="B2" i="10"/>
  <c r="D117" i="9"/>
  <c r="F117" i="9" s="1"/>
  <c r="B2" i="9"/>
  <c r="B2" i="8"/>
  <c r="E114" i="7"/>
  <c r="B2" i="7"/>
  <c r="B2" i="6"/>
  <c r="D115" i="5"/>
  <c r="B2" i="5"/>
  <c r="B2" i="4"/>
  <c r="C116" i="3"/>
  <c r="B2" i="3"/>
  <c r="B2" i="59"/>
  <c r="B2" i="1"/>
  <c r="B2" i="56"/>
  <c r="D109" i="57"/>
  <c r="D120" i="60"/>
  <c r="C120" i="60"/>
  <c r="E117" i="60"/>
  <c r="C117" i="60"/>
  <c r="D116" i="60"/>
  <c r="D114" i="60"/>
  <c r="D113" i="60"/>
  <c r="D112" i="60"/>
  <c r="D111" i="60"/>
  <c r="D110" i="60"/>
  <c r="A1" i="55"/>
  <c r="A1" i="54"/>
  <c r="A1" i="53"/>
  <c r="A1" i="52"/>
  <c r="A1" i="51"/>
  <c r="A1" i="50"/>
  <c r="A1" i="49"/>
  <c r="A1" i="48"/>
  <c r="A1" i="47"/>
  <c r="A1" i="46"/>
  <c r="A1" i="45"/>
  <c r="A1" i="44"/>
  <c r="A1" i="43"/>
  <c r="A1" i="42"/>
  <c r="A1" i="41"/>
  <c r="A1" i="40"/>
  <c r="A1" i="39"/>
  <c r="A1" i="38"/>
  <c r="A1" i="37"/>
  <c r="A1" i="36"/>
  <c r="A1" i="35"/>
  <c r="A1" i="34"/>
  <c r="A1" i="33"/>
  <c r="A1" i="32"/>
  <c r="A1" i="31"/>
  <c r="A1" i="30"/>
  <c r="A1" i="29"/>
  <c r="A1" i="28"/>
  <c r="A1" i="27"/>
  <c r="A1" i="26"/>
  <c r="A1" i="25"/>
  <c r="A1" i="24"/>
  <c r="A1" i="23"/>
  <c r="A1" i="22"/>
  <c r="A1" i="21"/>
  <c r="A1" i="20"/>
  <c r="A1" i="19"/>
  <c r="A1" i="18"/>
  <c r="A1" i="17"/>
  <c r="A1" i="16"/>
  <c r="A1" i="15"/>
  <c r="A1" i="14"/>
  <c r="A1" i="13"/>
  <c r="A1" i="12"/>
  <c r="A1" i="11"/>
  <c r="A1" i="10"/>
  <c r="A1" i="9"/>
  <c r="A1" i="8"/>
  <c r="A1" i="7"/>
  <c r="A1" i="6"/>
  <c r="A1" i="5"/>
  <c r="A1" i="4"/>
  <c r="A1" i="3"/>
  <c r="A1" i="59"/>
  <c r="A1" i="1"/>
  <c r="A1" i="56"/>
  <c r="A1" i="57"/>
  <c r="B2" i="57"/>
  <c r="E110" i="3" l="1"/>
  <c r="E114" i="3"/>
  <c r="E109" i="5"/>
  <c r="E113" i="5"/>
  <c r="D117" i="5"/>
  <c r="F117" i="5" s="1"/>
  <c r="E112" i="7"/>
  <c r="C116" i="7"/>
  <c r="E111" i="9"/>
  <c r="D115" i="9"/>
  <c r="E110" i="11"/>
  <c r="E114" i="11"/>
  <c r="D109" i="12"/>
  <c r="C113" i="12"/>
  <c r="C110" i="14"/>
  <c r="C114" i="14"/>
  <c r="D109" i="16"/>
  <c r="C113" i="16"/>
  <c r="D109" i="18"/>
  <c r="C113" i="18"/>
  <c r="D109" i="20"/>
  <c r="C113" i="20"/>
  <c r="C111" i="22"/>
  <c r="E111" i="24"/>
  <c r="E112" i="26"/>
  <c r="E109" i="28"/>
  <c r="D117" i="28"/>
  <c r="F117" i="28" s="1"/>
  <c r="E112" i="3"/>
  <c r="E111" i="5"/>
  <c r="E110" i="7"/>
  <c r="E109" i="9"/>
  <c r="E113" i="9"/>
  <c r="E112" i="11"/>
  <c r="C111" i="12"/>
  <c r="C112" i="14"/>
  <c r="C111" i="16"/>
  <c r="C111" i="18"/>
  <c r="C111" i="20"/>
  <c r="E120" i="56"/>
  <c r="D117" i="56"/>
  <c r="F117" i="56" s="1"/>
  <c r="C116" i="56"/>
  <c r="D115" i="56"/>
  <c r="E114" i="56"/>
  <c r="E113" i="56"/>
  <c r="E112" i="56"/>
  <c r="E111" i="56"/>
  <c r="E110" i="56"/>
  <c r="E109" i="56"/>
  <c r="D117" i="59"/>
  <c r="F117" i="59" s="1"/>
  <c r="C116" i="59"/>
  <c r="D115" i="59"/>
  <c r="E114" i="59"/>
  <c r="E113" i="59"/>
  <c r="E112" i="59"/>
  <c r="E111" i="59"/>
  <c r="E110" i="59"/>
  <c r="E109" i="59"/>
  <c r="D117" i="4"/>
  <c r="F117" i="4" s="1"/>
  <c r="C116" i="4"/>
  <c r="D115" i="4"/>
  <c r="E114" i="4"/>
  <c r="E113" i="4"/>
  <c r="E112" i="4"/>
  <c r="E111" i="4"/>
  <c r="E110" i="4"/>
  <c r="E109" i="4"/>
  <c r="D117" i="6"/>
  <c r="F117" i="6" s="1"/>
  <c r="C116" i="6"/>
  <c r="D115" i="6"/>
  <c r="E114" i="6"/>
  <c r="E113" i="6"/>
  <c r="E112" i="6"/>
  <c r="E111" i="6"/>
  <c r="E110" i="6"/>
  <c r="E109" i="6"/>
  <c r="D117" i="8"/>
  <c r="F117" i="8" s="1"/>
  <c r="C116" i="8"/>
  <c r="D115" i="8"/>
  <c r="E114" i="8"/>
  <c r="E113" i="8"/>
  <c r="E112" i="8"/>
  <c r="E111" i="8"/>
  <c r="E110" i="8"/>
  <c r="E109" i="8"/>
  <c r="D117" i="10"/>
  <c r="F117" i="10" s="1"/>
  <c r="C116" i="10"/>
  <c r="D115" i="10"/>
  <c r="E114" i="10"/>
  <c r="E113" i="10"/>
  <c r="E112" i="10"/>
  <c r="E111" i="10"/>
  <c r="E110" i="10"/>
  <c r="E109" i="10"/>
  <c r="E115" i="13"/>
  <c r="C115" i="13"/>
  <c r="C114" i="13"/>
  <c r="C113" i="13"/>
  <c r="C112" i="13"/>
  <c r="C111" i="13"/>
  <c r="C110" i="13"/>
  <c r="D109" i="13"/>
  <c r="E115" i="15"/>
  <c r="C115" i="15"/>
  <c r="C114" i="15"/>
  <c r="C113" i="15"/>
  <c r="C112" i="15"/>
  <c r="C111" i="15"/>
  <c r="C110" i="15"/>
  <c r="D109" i="15"/>
  <c r="D117" i="17"/>
  <c r="F117" i="17" s="1"/>
  <c r="C116" i="17"/>
  <c r="D115" i="17"/>
  <c r="E114" i="17"/>
  <c r="E113" i="17"/>
  <c r="E112" i="17"/>
  <c r="E111" i="17"/>
  <c r="E110" i="17"/>
  <c r="E109" i="17"/>
  <c r="D117" i="19"/>
  <c r="F117" i="19" s="1"/>
  <c r="C116" i="19"/>
  <c r="D115" i="19"/>
  <c r="E114" i="19"/>
  <c r="E113" i="19"/>
  <c r="E112" i="19"/>
  <c r="E111" i="19"/>
  <c r="E110" i="19"/>
  <c r="E109" i="19"/>
  <c r="E115" i="21"/>
  <c r="C115" i="21"/>
  <c r="C114" i="21"/>
  <c r="C113" i="21"/>
  <c r="C112" i="21"/>
  <c r="C111" i="21"/>
  <c r="C110" i="21"/>
  <c r="D109" i="21"/>
  <c r="D117" i="21"/>
  <c r="F117" i="21" s="1"/>
  <c r="D115" i="21"/>
  <c r="E113" i="21"/>
  <c r="E111" i="21"/>
  <c r="E109" i="21"/>
  <c r="E115" i="23"/>
  <c r="C115" i="23"/>
  <c r="C114" i="23"/>
  <c r="C113" i="23"/>
  <c r="C112" i="23"/>
  <c r="C111" i="23"/>
  <c r="C110" i="23"/>
  <c r="D109" i="23"/>
  <c r="C116" i="23"/>
  <c r="E114" i="23"/>
  <c r="E112" i="23"/>
  <c r="E110" i="23"/>
  <c r="D117" i="25"/>
  <c r="F117" i="25" s="1"/>
  <c r="C116" i="25"/>
  <c r="D115" i="25"/>
  <c r="E114" i="25"/>
  <c r="E113" i="25"/>
  <c r="E112" i="25"/>
  <c r="E111" i="25"/>
  <c r="E110" i="25"/>
  <c r="E109" i="25"/>
  <c r="C115" i="25"/>
  <c r="C113" i="25"/>
  <c r="F113" i="25" s="1"/>
  <c r="C111" i="25"/>
  <c r="D109" i="25"/>
  <c r="D117" i="27"/>
  <c r="F117" i="27" s="1"/>
  <c r="C116" i="27"/>
  <c r="D115" i="27"/>
  <c r="E114" i="27"/>
  <c r="E113" i="27"/>
  <c r="E112" i="27"/>
  <c r="E111" i="27"/>
  <c r="E110" i="27"/>
  <c r="E109" i="27"/>
  <c r="E115" i="27"/>
  <c r="C114" i="27"/>
  <c r="C112" i="27"/>
  <c r="F112" i="27" s="1"/>
  <c r="C110" i="27"/>
  <c r="E115" i="29"/>
  <c r="C115" i="29"/>
  <c r="C114" i="29"/>
  <c r="D117" i="29"/>
  <c r="F117" i="29" s="1"/>
  <c r="D115" i="29"/>
  <c r="E113" i="29"/>
  <c r="E112" i="29"/>
  <c r="E111" i="29"/>
  <c r="E110" i="29"/>
  <c r="E109" i="29"/>
  <c r="C116" i="29"/>
  <c r="C113" i="29"/>
  <c r="F113" i="29" s="1"/>
  <c r="C111" i="29"/>
  <c r="D109" i="29"/>
  <c r="E115" i="31"/>
  <c r="C115" i="31"/>
  <c r="C114" i="31"/>
  <c r="C113" i="31"/>
  <c r="C112" i="31"/>
  <c r="C111" i="31"/>
  <c r="C110" i="31"/>
  <c r="D109" i="31"/>
  <c r="C116" i="31"/>
  <c r="E114" i="31"/>
  <c r="E112" i="31"/>
  <c r="E110" i="31"/>
  <c r="D117" i="31"/>
  <c r="F117" i="31" s="1"/>
  <c r="E113" i="31"/>
  <c r="E109" i="31"/>
  <c r="E115" i="33"/>
  <c r="C115" i="33"/>
  <c r="C114" i="33"/>
  <c r="C113" i="33"/>
  <c r="C112" i="33"/>
  <c r="C111" i="33"/>
  <c r="C110" i="33"/>
  <c r="D109" i="33"/>
  <c r="D117" i="33"/>
  <c r="F117" i="33" s="1"/>
  <c r="D115" i="33"/>
  <c r="E113" i="33"/>
  <c r="E111" i="33"/>
  <c r="E109" i="33"/>
  <c r="E114" i="33"/>
  <c r="E110" i="33"/>
  <c r="E115" i="35"/>
  <c r="C115" i="35"/>
  <c r="C114" i="35"/>
  <c r="C113" i="35"/>
  <c r="C112" i="35"/>
  <c r="C111" i="35"/>
  <c r="C110" i="35"/>
  <c r="D109" i="35"/>
  <c r="C116" i="35"/>
  <c r="E114" i="35"/>
  <c r="E112" i="35"/>
  <c r="E110" i="35"/>
  <c r="D115" i="35"/>
  <c r="E111" i="35"/>
  <c r="D117" i="37"/>
  <c r="F117" i="37" s="1"/>
  <c r="C116" i="37"/>
  <c r="D115" i="37"/>
  <c r="E114" i="37"/>
  <c r="E113" i="37"/>
  <c r="E112" i="37"/>
  <c r="E111" i="37"/>
  <c r="E110" i="37"/>
  <c r="E109" i="37"/>
  <c r="C115" i="37"/>
  <c r="C113" i="37"/>
  <c r="F113" i="37" s="1"/>
  <c r="C111" i="37"/>
  <c r="D109" i="37"/>
  <c r="E115" i="37"/>
  <c r="C112" i="37"/>
  <c r="D117" i="39"/>
  <c r="F117" i="39" s="1"/>
  <c r="C116" i="39"/>
  <c r="D115" i="39"/>
  <c r="E114" i="39"/>
  <c r="E113" i="39"/>
  <c r="E112" i="39"/>
  <c r="E111" i="39"/>
  <c r="E110" i="39"/>
  <c r="E109" i="39"/>
  <c r="C115" i="39"/>
  <c r="C113" i="39"/>
  <c r="F113" i="39" s="1"/>
  <c r="C111" i="39"/>
  <c r="D109" i="39"/>
  <c r="E115" i="39"/>
  <c r="C112" i="39"/>
  <c r="D117" i="41"/>
  <c r="F117" i="41" s="1"/>
  <c r="C116" i="41"/>
  <c r="D115" i="41"/>
  <c r="E114" i="41"/>
  <c r="E113" i="41"/>
  <c r="E112" i="41"/>
  <c r="E111" i="41"/>
  <c r="E110" i="41"/>
  <c r="E109" i="41"/>
  <c r="C115" i="41"/>
  <c r="C113" i="41"/>
  <c r="F113" i="41" s="1"/>
  <c r="C111" i="41"/>
  <c r="D109" i="41"/>
  <c r="E115" i="41"/>
  <c r="C112" i="41"/>
  <c r="D117" i="43"/>
  <c r="F117" i="43" s="1"/>
  <c r="C116" i="43"/>
  <c r="D115" i="43"/>
  <c r="E114" i="43"/>
  <c r="E113" i="43"/>
  <c r="E112" i="43"/>
  <c r="E111" i="43"/>
  <c r="E110" i="43"/>
  <c r="E109" i="43"/>
  <c r="C115" i="43"/>
  <c r="C113" i="43"/>
  <c r="F113" i="43" s="1"/>
  <c r="C111" i="43"/>
  <c r="D109" i="43"/>
  <c r="E115" i="43"/>
  <c r="C112" i="43"/>
  <c r="D117" i="45"/>
  <c r="F117" i="45" s="1"/>
  <c r="C116" i="45"/>
  <c r="D115" i="45"/>
  <c r="E114" i="45"/>
  <c r="E113" i="45"/>
  <c r="E112" i="45"/>
  <c r="E111" i="45"/>
  <c r="E110" i="45"/>
  <c r="E109" i="45"/>
  <c r="E115" i="45"/>
  <c r="C114" i="45"/>
  <c r="C112" i="45"/>
  <c r="F112" i="45" s="1"/>
  <c r="C110" i="45"/>
  <c r="C113" i="45"/>
  <c r="D109" i="45"/>
  <c r="D117" i="47"/>
  <c r="F117" i="47" s="1"/>
  <c r="C116" i="47"/>
  <c r="D115" i="47"/>
  <c r="E114" i="47"/>
  <c r="E113" i="47"/>
  <c r="E112" i="47"/>
  <c r="E111" i="47"/>
  <c r="E110" i="47"/>
  <c r="E109" i="47"/>
  <c r="E115" i="47"/>
  <c r="C115" i="47"/>
  <c r="C114" i="47"/>
  <c r="F114" i="47" s="1"/>
  <c r="C113" i="47"/>
  <c r="F113" i="47" s="1"/>
  <c r="C112" i="47"/>
  <c r="F112" i="47" s="1"/>
  <c r="C111" i="47"/>
  <c r="F111" i="47" s="1"/>
  <c r="C110" i="47"/>
  <c r="F110" i="47" s="1"/>
  <c r="D109" i="47"/>
  <c r="D117" i="49"/>
  <c r="F117" i="49" s="1"/>
  <c r="C116" i="49"/>
  <c r="D115" i="49"/>
  <c r="E114" i="49"/>
  <c r="E113" i="49"/>
  <c r="E112" i="49"/>
  <c r="E111" i="49"/>
  <c r="E110" i="49"/>
  <c r="E109" i="49"/>
  <c r="E115" i="49"/>
  <c r="C115" i="49"/>
  <c r="C114" i="49"/>
  <c r="F114" i="49" s="1"/>
  <c r="C113" i="49"/>
  <c r="F113" i="49" s="1"/>
  <c r="C112" i="49"/>
  <c r="F112" i="49" s="1"/>
  <c r="C111" i="49"/>
  <c r="F111" i="49" s="1"/>
  <c r="C110" i="49"/>
  <c r="F110" i="49" s="1"/>
  <c r="D109" i="49"/>
  <c r="D117" i="51"/>
  <c r="F117" i="51" s="1"/>
  <c r="C116" i="51"/>
  <c r="D115" i="51"/>
  <c r="E114" i="51"/>
  <c r="E113" i="51"/>
  <c r="E112" i="51"/>
  <c r="E111" i="51"/>
  <c r="E110" i="51"/>
  <c r="E109" i="51"/>
  <c r="E115" i="51"/>
  <c r="C115" i="51"/>
  <c r="C114" i="51"/>
  <c r="F114" i="51" s="1"/>
  <c r="C113" i="51"/>
  <c r="F113" i="51" s="1"/>
  <c r="C112" i="51"/>
  <c r="F112" i="51" s="1"/>
  <c r="C111" i="51"/>
  <c r="F111" i="51" s="1"/>
  <c r="C110" i="51"/>
  <c r="F110" i="51" s="1"/>
  <c r="D109" i="51"/>
  <c r="D109" i="56"/>
  <c r="C111" i="56"/>
  <c r="F111" i="56" s="1"/>
  <c r="C113" i="56"/>
  <c r="F113" i="56" s="1"/>
  <c r="C115" i="56"/>
  <c r="C110" i="59"/>
  <c r="F110" i="59" s="1"/>
  <c r="C112" i="59"/>
  <c r="F112" i="59" s="1"/>
  <c r="C114" i="59"/>
  <c r="F114" i="59" s="1"/>
  <c r="E115" i="59"/>
  <c r="D109" i="4"/>
  <c r="C111" i="4"/>
  <c r="F111" i="4" s="1"/>
  <c r="C113" i="4"/>
  <c r="F113" i="4" s="1"/>
  <c r="C115" i="4"/>
  <c r="C110" i="6"/>
  <c r="F110" i="6" s="1"/>
  <c r="C112" i="6"/>
  <c r="F112" i="6" s="1"/>
  <c r="C114" i="6"/>
  <c r="F114" i="6" s="1"/>
  <c r="E115" i="6"/>
  <c r="D109" i="8"/>
  <c r="C111" i="8"/>
  <c r="F111" i="8" s="1"/>
  <c r="C113" i="8"/>
  <c r="F113" i="8" s="1"/>
  <c r="C115" i="8"/>
  <c r="C110" i="10"/>
  <c r="F110" i="10" s="1"/>
  <c r="C112" i="10"/>
  <c r="F112" i="10" s="1"/>
  <c r="C114" i="10"/>
  <c r="F114" i="10" s="1"/>
  <c r="E115" i="10"/>
  <c r="E109" i="13"/>
  <c r="E111" i="13"/>
  <c r="E113" i="13"/>
  <c r="D115" i="13"/>
  <c r="D117" i="13"/>
  <c r="F117" i="13" s="1"/>
  <c r="E110" i="15"/>
  <c r="E112" i="15"/>
  <c r="E114" i="15"/>
  <c r="C116" i="15"/>
  <c r="D109" i="17"/>
  <c r="C111" i="17"/>
  <c r="F111" i="17" s="1"/>
  <c r="C113" i="17"/>
  <c r="F113" i="17" s="1"/>
  <c r="C115" i="17"/>
  <c r="D109" i="19"/>
  <c r="C111" i="19"/>
  <c r="F111" i="19" s="1"/>
  <c r="C113" i="19"/>
  <c r="F113" i="19" s="1"/>
  <c r="C115" i="19"/>
  <c r="E112" i="21"/>
  <c r="C116" i="21"/>
  <c r="E109" i="23"/>
  <c r="E113" i="23"/>
  <c r="D117" i="23"/>
  <c r="F117" i="23" s="1"/>
  <c r="C110" i="25"/>
  <c r="F110" i="25" s="1"/>
  <c r="C114" i="25"/>
  <c r="F114" i="25" s="1"/>
  <c r="C111" i="27"/>
  <c r="F111" i="27" s="1"/>
  <c r="C115" i="27"/>
  <c r="F115" i="27" s="1"/>
  <c r="C112" i="29"/>
  <c r="F112" i="29" s="1"/>
  <c r="D115" i="31"/>
  <c r="E112" i="33"/>
  <c r="E109" i="35"/>
  <c r="D117" i="35"/>
  <c r="F117" i="35" s="1"/>
  <c r="C114" i="37"/>
  <c r="F114" i="37" s="1"/>
  <c r="C110" i="39"/>
  <c r="F110" i="39" s="1"/>
  <c r="C114" i="41"/>
  <c r="F114" i="41" s="1"/>
  <c r="C110" i="43"/>
  <c r="F110" i="43" s="1"/>
  <c r="C115" i="45"/>
  <c r="F115" i="45" s="1"/>
  <c r="E115" i="1"/>
  <c r="C115" i="1"/>
  <c r="C114" i="1"/>
  <c r="C113" i="1"/>
  <c r="F113" i="1" s="1"/>
  <c r="C112" i="1"/>
  <c r="C111" i="1"/>
  <c r="F111" i="1" s="1"/>
  <c r="C110" i="1"/>
  <c r="D109" i="1"/>
  <c r="E115" i="3"/>
  <c r="C115" i="3"/>
  <c r="C114" i="3"/>
  <c r="F114" i="3" s="1"/>
  <c r="C113" i="3"/>
  <c r="C112" i="3"/>
  <c r="F112" i="3" s="1"/>
  <c r="C111" i="3"/>
  <c r="C110" i="3"/>
  <c r="F110" i="3" s="1"/>
  <c r="D109" i="3"/>
  <c r="E115" i="5"/>
  <c r="C115" i="5"/>
  <c r="C114" i="5"/>
  <c r="C113" i="5"/>
  <c r="F113" i="5" s="1"/>
  <c r="C112" i="5"/>
  <c r="C111" i="5"/>
  <c r="F111" i="5" s="1"/>
  <c r="C110" i="5"/>
  <c r="D109" i="5"/>
  <c r="E115" i="7"/>
  <c r="C115" i="7"/>
  <c r="C114" i="7"/>
  <c r="F114" i="7" s="1"/>
  <c r="C113" i="7"/>
  <c r="C112" i="7"/>
  <c r="F112" i="7" s="1"/>
  <c r="C111" i="7"/>
  <c r="C110" i="7"/>
  <c r="F110" i="7" s="1"/>
  <c r="D109" i="7"/>
  <c r="E115" i="9"/>
  <c r="C115" i="9"/>
  <c r="C114" i="9"/>
  <c r="C113" i="9"/>
  <c r="F113" i="9" s="1"/>
  <c r="C112" i="9"/>
  <c r="C111" i="9"/>
  <c r="F111" i="9" s="1"/>
  <c r="C110" i="9"/>
  <c r="D109" i="9"/>
  <c r="E115" i="11"/>
  <c r="C115" i="11"/>
  <c r="C114" i="11"/>
  <c r="F114" i="11" s="1"/>
  <c r="C113" i="11"/>
  <c r="C112" i="11"/>
  <c r="F112" i="11" s="1"/>
  <c r="C111" i="11"/>
  <c r="C110" i="11"/>
  <c r="F110" i="11" s="1"/>
  <c r="D109" i="11"/>
  <c r="D117" i="14"/>
  <c r="F117" i="14" s="1"/>
  <c r="C116" i="14"/>
  <c r="D115" i="14"/>
  <c r="E114" i="14"/>
  <c r="F114" i="14" s="1"/>
  <c r="E113" i="14"/>
  <c r="E112" i="14"/>
  <c r="F112" i="14" s="1"/>
  <c r="E111" i="14"/>
  <c r="E110" i="14"/>
  <c r="F110" i="14" s="1"/>
  <c r="E109" i="14"/>
  <c r="D117" i="16"/>
  <c r="F117" i="16" s="1"/>
  <c r="C116" i="16"/>
  <c r="D115" i="16"/>
  <c r="E114" i="16"/>
  <c r="E113" i="16"/>
  <c r="F113" i="16" s="1"/>
  <c r="E112" i="16"/>
  <c r="E111" i="16"/>
  <c r="F111" i="16" s="1"/>
  <c r="E110" i="16"/>
  <c r="E109" i="16"/>
  <c r="D117" i="18"/>
  <c r="F117" i="18" s="1"/>
  <c r="C116" i="18"/>
  <c r="D115" i="18"/>
  <c r="E114" i="18"/>
  <c r="E113" i="18"/>
  <c r="F113" i="18" s="1"/>
  <c r="E112" i="18"/>
  <c r="E111" i="18"/>
  <c r="F111" i="18" s="1"/>
  <c r="E110" i="18"/>
  <c r="E109" i="18"/>
  <c r="E115" i="20"/>
  <c r="D117" i="20"/>
  <c r="F117" i="20" s="1"/>
  <c r="D115" i="20"/>
  <c r="F115" i="20" s="1"/>
  <c r="E114" i="20"/>
  <c r="E113" i="20"/>
  <c r="F113" i="20" s="1"/>
  <c r="E112" i="20"/>
  <c r="E111" i="20"/>
  <c r="F111" i="20" s="1"/>
  <c r="E110" i="20"/>
  <c r="E109" i="20"/>
  <c r="D117" i="22"/>
  <c r="F117" i="22" s="1"/>
  <c r="C116" i="22"/>
  <c r="D115" i="22"/>
  <c r="E114" i="22"/>
  <c r="E113" i="22"/>
  <c r="E112" i="22"/>
  <c r="E111" i="22"/>
  <c r="F111" i="22" s="1"/>
  <c r="E110" i="22"/>
  <c r="E109" i="22"/>
  <c r="E115" i="22"/>
  <c r="C114" i="22"/>
  <c r="C112" i="22"/>
  <c r="F112" i="22" s="1"/>
  <c r="C110" i="22"/>
  <c r="E115" i="24"/>
  <c r="C115" i="24"/>
  <c r="C114" i="24"/>
  <c r="C113" i="24"/>
  <c r="C112" i="24"/>
  <c r="C111" i="24"/>
  <c r="F111" i="24" s="1"/>
  <c r="C110" i="24"/>
  <c r="D109" i="24"/>
  <c r="C116" i="24"/>
  <c r="E114" i="24"/>
  <c r="E112" i="24"/>
  <c r="E110" i="24"/>
  <c r="E115" i="26"/>
  <c r="C115" i="26"/>
  <c r="C114" i="26"/>
  <c r="C113" i="26"/>
  <c r="C112" i="26"/>
  <c r="F112" i="26" s="1"/>
  <c r="C111" i="26"/>
  <c r="C110" i="26"/>
  <c r="D109" i="26"/>
  <c r="D117" i="26"/>
  <c r="F117" i="26" s="1"/>
  <c r="D115" i="26"/>
  <c r="E113" i="26"/>
  <c r="E111" i="26"/>
  <c r="E109" i="26"/>
  <c r="E115" i="28"/>
  <c r="C115" i="28"/>
  <c r="C114" i="28"/>
  <c r="C113" i="28"/>
  <c r="F113" i="28" s="1"/>
  <c r="C112" i="28"/>
  <c r="C111" i="28"/>
  <c r="C110" i="28"/>
  <c r="D109" i="28"/>
  <c r="C116" i="28"/>
  <c r="E114" i="28"/>
  <c r="E112" i="28"/>
  <c r="E110" i="28"/>
  <c r="D117" i="30"/>
  <c r="F117" i="30" s="1"/>
  <c r="C116" i="30"/>
  <c r="D115" i="30"/>
  <c r="E114" i="30"/>
  <c r="E113" i="30"/>
  <c r="E112" i="30"/>
  <c r="E111" i="30"/>
  <c r="E110" i="30"/>
  <c r="E109" i="30"/>
  <c r="E115" i="30"/>
  <c r="C114" i="30"/>
  <c r="C112" i="30"/>
  <c r="F112" i="30" s="1"/>
  <c r="C110" i="30"/>
  <c r="C115" i="30"/>
  <c r="C111" i="30"/>
  <c r="F111" i="30" s="1"/>
  <c r="D117" i="32"/>
  <c r="F117" i="32" s="1"/>
  <c r="C116" i="32"/>
  <c r="D115" i="32"/>
  <c r="E114" i="32"/>
  <c r="F114" i="32" s="1"/>
  <c r="E113" i="32"/>
  <c r="E112" i="32"/>
  <c r="E111" i="32"/>
  <c r="E110" i="32"/>
  <c r="E109" i="32"/>
  <c r="C115" i="32"/>
  <c r="C113" i="32"/>
  <c r="F113" i="32" s="1"/>
  <c r="C111" i="32"/>
  <c r="D109" i="32"/>
  <c r="E115" i="32"/>
  <c r="C112" i="32"/>
  <c r="D117" i="34"/>
  <c r="F117" i="34" s="1"/>
  <c r="C116" i="34"/>
  <c r="D115" i="34"/>
  <c r="E114" i="34"/>
  <c r="E113" i="34"/>
  <c r="E112" i="34"/>
  <c r="E111" i="34"/>
  <c r="F111" i="34" s="1"/>
  <c r="E110" i="34"/>
  <c r="E109" i="34"/>
  <c r="E115" i="34"/>
  <c r="C114" i="34"/>
  <c r="C112" i="34"/>
  <c r="F112" i="34" s="1"/>
  <c r="C110" i="34"/>
  <c r="C113" i="34"/>
  <c r="D109" i="34"/>
  <c r="D117" i="36"/>
  <c r="F117" i="36" s="1"/>
  <c r="C116" i="36"/>
  <c r="D115" i="36"/>
  <c r="E114" i="36"/>
  <c r="E113" i="36"/>
  <c r="E112" i="36"/>
  <c r="E111" i="36"/>
  <c r="E110" i="36"/>
  <c r="E109" i="36"/>
  <c r="C115" i="36"/>
  <c r="C113" i="36"/>
  <c r="F113" i="36" s="1"/>
  <c r="C111" i="36"/>
  <c r="D109" i="36"/>
  <c r="C114" i="36"/>
  <c r="C110" i="36"/>
  <c r="D117" i="38"/>
  <c r="F117" i="38" s="1"/>
  <c r="C116" i="38"/>
  <c r="D115" i="38"/>
  <c r="E114" i="38"/>
  <c r="E113" i="38"/>
  <c r="E112" i="38"/>
  <c r="F112" i="38" s="1"/>
  <c r="E111" i="38"/>
  <c r="E110" i="38"/>
  <c r="E109" i="38"/>
  <c r="C115" i="38"/>
  <c r="C113" i="38"/>
  <c r="F113" i="38" s="1"/>
  <c r="C111" i="38"/>
  <c r="D109" i="38"/>
  <c r="C114" i="38"/>
  <c r="F114" i="38" s="1"/>
  <c r="C110" i="38"/>
  <c r="D117" i="40"/>
  <c r="F117" i="40" s="1"/>
  <c r="C116" i="40"/>
  <c r="D115" i="40"/>
  <c r="E114" i="40"/>
  <c r="E113" i="40"/>
  <c r="E112" i="40"/>
  <c r="E111" i="40"/>
  <c r="E110" i="40"/>
  <c r="E109" i="40"/>
  <c r="C115" i="40"/>
  <c r="C113" i="40"/>
  <c r="F113" i="40" s="1"/>
  <c r="C111" i="40"/>
  <c r="D109" i="40"/>
  <c r="C114" i="40"/>
  <c r="F114" i="40" s="1"/>
  <c r="C110" i="40"/>
  <c r="D117" i="42"/>
  <c r="F117" i="42" s="1"/>
  <c r="C116" i="42"/>
  <c r="D115" i="42"/>
  <c r="E114" i="42"/>
  <c r="E113" i="42"/>
  <c r="E112" i="42"/>
  <c r="F112" i="42" s="1"/>
  <c r="E111" i="42"/>
  <c r="E110" i="42"/>
  <c r="E109" i="42"/>
  <c r="C115" i="42"/>
  <c r="C113" i="42"/>
  <c r="F113" i="42" s="1"/>
  <c r="C111" i="42"/>
  <c r="D109" i="42"/>
  <c r="C114" i="42"/>
  <c r="F114" i="42" s="1"/>
  <c r="C110" i="42"/>
  <c r="E115" i="44"/>
  <c r="C115" i="44"/>
  <c r="C114" i="44"/>
  <c r="C113" i="44"/>
  <c r="C112" i="44"/>
  <c r="C111" i="44"/>
  <c r="C110" i="44"/>
  <c r="D109" i="44"/>
  <c r="D117" i="44"/>
  <c r="F117" i="44" s="1"/>
  <c r="D115" i="44"/>
  <c r="E113" i="44"/>
  <c r="E111" i="44"/>
  <c r="E109" i="44"/>
  <c r="E114" i="44"/>
  <c r="E110" i="44"/>
  <c r="E115" i="46"/>
  <c r="C115" i="46"/>
  <c r="C114" i="46"/>
  <c r="C113" i="46"/>
  <c r="F113" i="46" s="1"/>
  <c r="C112" i="46"/>
  <c r="C111" i="46"/>
  <c r="C110" i="46"/>
  <c r="D109" i="46"/>
  <c r="C116" i="46"/>
  <c r="E114" i="46"/>
  <c r="E112" i="46"/>
  <c r="E110" i="46"/>
  <c r="D115" i="46"/>
  <c r="E111" i="46"/>
  <c r="E115" i="48"/>
  <c r="C115" i="48"/>
  <c r="C114" i="48"/>
  <c r="C113" i="48"/>
  <c r="C112" i="48"/>
  <c r="C111" i="48"/>
  <c r="C110" i="48"/>
  <c r="D109" i="48"/>
  <c r="D117" i="48"/>
  <c r="F117" i="48" s="1"/>
  <c r="C116" i="48"/>
  <c r="D115" i="48"/>
  <c r="E114" i="48"/>
  <c r="E113" i="48"/>
  <c r="E112" i="48"/>
  <c r="E111" i="48"/>
  <c r="E110" i="48"/>
  <c r="E109" i="48"/>
  <c r="E115" i="50"/>
  <c r="C115" i="50"/>
  <c r="C114" i="50"/>
  <c r="C113" i="50"/>
  <c r="C112" i="50"/>
  <c r="C111" i="50"/>
  <c r="C110" i="50"/>
  <c r="D109" i="50"/>
  <c r="D117" i="50"/>
  <c r="F117" i="50" s="1"/>
  <c r="C116" i="50"/>
  <c r="D115" i="50"/>
  <c r="E114" i="50"/>
  <c r="E113" i="50"/>
  <c r="E112" i="50"/>
  <c r="E111" i="50"/>
  <c r="E110" i="50"/>
  <c r="E109" i="50"/>
  <c r="E115" i="52"/>
  <c r="C115" i="52"/>
  <c r="C114" i="52"/>
  <c r="C113" i="52"/>
  <c r="C112" i="52"/>
  <c r="C111" i="52"/>
  <c r="C110" i="52"/>
  <c r="D109" i="52"/>
  <c r="D117" i="52"/>
  <c r="F117" i="52" s="1"/>
  <c r="C116" i="52"/>
  <c r="D115" i="52"/>
  <c r="E114" i="52"/>
  <c r="E113" i="52"/>
  <c r="E112" i="52"/>
  <c r="E111" i="52"/>
  <c r="E110" i="52"/>
  <c r="E109" i="52"/>
  <c r="E115" i="54"/>
  <c r="C115" i="54"/>
  <c r="C114" i="54"/>
  <c r="C113" i="54"/>
  <c r="C112" i="54"/>
  <c r="C111" i="54"/>
  <c r="C110" i="54"/>
  <c r="D109" i="54"/>
  <c r="D117" i="54"/>
  <c r="F117" i="54" s="1"/>
  <c r="C116" i="54"/>
  <c r="D115" i="54"/>
  <c r="E114" i="54"/>
  <c r="E113" i="54"/>
  <c r="E112" i="54"/>
  <c r="E111" i="54"/>
  <c r="E110" i="54"/>
  <c r="E109" i="54"/>
  <c r="D117" i="12"/>
  <c r="F117" i="12" s="1"/>
  <c r="C116" i="12"/>
  <c r="D115" i="12"/>
  <c r="E114" i="12"/>
  <c r="E113" i="12"/>
  <c r="F113" i="12" s="1"/>
  <c r="E112" i="12"/>
  <c r="E111" i="12"/>
  <c r="F111" i="12" s="1"/>
  <c r="E110" i="12"/>
  <c r="E109" i="12"/>
  <c r="C110" i="56"/>
  <c r="F110" i="56" s="1"/>
  <c r="C112" i="56"/>
  <c r="F112" i="56" s="1"/>
  <c r="C114" i="56"/>
  <c r="F114" i="56" s="1"/>
  <c r="E115" i="56"/>
  <c r="E110" i="1"/>
  <c r="E112" i="1"/>
  <c r="E114" i="1"/>
  <c r="C116" i="1"/>
  <c r="D109" i="59"/>
  <c r="C111" i="59"/>
  <c r="F111" i="59" s="1"/>
  <c r="C113" i="59"/>
  <c r="F113" i="59" s="1"/>
  <c r="C115" i="59"/>
  <c r="F115" i="59" s="1"/>
  <c r="E109" i="3"/>
  <c r="E111" i="3"/>
  <c r="E113" i="3"/>
  <c r="D115" i="3"/>
  <c r="D117" i="3"/>
  <c r="F117" i="3" s="1"/>
  <c r="C110" i="4"/>
  <c r="F110" i="4" s="1"/>
  <c r="C112" i="4"/>
  <c r="F112" i="4" s="1"/>
  <c r="C114" i="4"/>
  <c r="F114" i="4" s="1"/>
  <c r="E115" i="4"/>
  <c r="E110" i="5"/>
  <c r="E112" i="5"/>
  <c r="E114" i="5"/>
  <c r="C116" i="5"/>
  <c r="D109" i="6"/>
  <c r="C111" i="6"/>
  <c r="F111" i="6" s="1"/>
  <c r="C113" i="6"/>
  <c r="F113" i="6" s="1"/>
  <c r="C115" i="6"/>
  <c r="F115" i="6" s="1"/>
  <c r="E109" i="7"/>
  <c r="E111" i="7"/>
  <c r="E113" i="7"/>
  <c r="D115" i="7"/>
  <c r="D117" i="7"/>
  <c r="F117" i="7" s="1"/>
  <c r="C110" i="8"/>
  <c r="F110" i="8" s="1"/>
  <c r="C112" i="8"/>
  <c r="F112" i="8" s="1"/>
  <c r="C114" i="8"/>
  <c r="F114" i="8" s="1"/>
  <c r="E115" i="8"/>
  <c r="E110" i="9"/>
  <c r="E112" i="9"/>
  <c r="E114" i="9"/>
  <c r="C116" i="9"/>
  <c r="D109" i="10"/>
  <c r="C111" i="10"/>
  <c r="F111" i="10" s="1"/>
  <c r="C113" i="10"/>
  <c r="F113" i="10" s="1"/>
  <c r="C115" i="10"/>
  <c r="F115" i="10" s="1"/>
  <c r="E109" i="11"/>
  <c r="E111" i="11"/>
  <c r="E113" i="11"/>
  <c r="D115" i="11"/>
  <c r="D117" i="11"/>
  <c r="F117" i="11" s="1"/>
  <c r="C110" i="12"/>
  <c r="C112" i="12"/>
  <c r="F112" i="12" s="1"/>
  <c r="C114" i="12"/>
  <c r="E115" i="12"/>
  <c r="E110" i="13"/>
  <c r="E112" i="13"/>
  <c r="E114" i="13"/>
  <c r="C116" i="13"/>
  <c r="D109" i="14"/>
  <c r="C111" i="14"/>
  <c r="F111" i="14" s="1"/>
  <c r="C113" i="14"/>
  <c r="F113" i="14" s="1"/>
  <c r="C115" i="14"/>
  <c r="F115" i="14" s="1"/>
  <c r="E109" i="15"/>
  <c r="E111" i="15"/>
  <c r="E113" i="15"/>
  <c r="D115" i="15"/>
  <c r="F115" i="15" s="1"/>
  <c r="D117" i="15"/>
  <c r="F117" i="15" s="1"/>
  <c r="C110" i="16"/>
  <c r="F110" i="16" s="1"/>
  <c r="C112" i="16"/>
  <c r="F112" i="16" s="1"/>
  <c r="C114" i="16"/>
  <c r="F114" i="16" s="1"/>
  <c r="E115" i="16"/>
  <c r="C110" i="17"/>
  <c r="F110" i="17" s="1"/>
  <c r="C112" i="17"/>
  <c r="F112" i="17" s="1"/>
  <c r="C114" i="17"/>
  <c r="F114" i="17" s="1"/>
  <c r="E115" i="17"/>
  <c r="C110" i="18"/>
  <c r="F110" i="18" s="1"/>
  <c r="C112" i="18"/>
  <c r="F112" i="18" s="1"/>
  <c r="C114" i="18"/>
  <c r="F114" i="18" s="1"/>
  <c r="E115" i="18"/>
  <c r="C110" i="19"/>
  <c r="F110" i="19" s="1"/>
  <c r="C112" i="19"/>
  <c r="F112" i="19" s="1"/>
  <c r="C114" i="19"/>
  <c r="F114" i="19" s="1"/>
  <c r="E115" i="19"/>
  <c r="C110" i="20"/>
  <c r="F110" i="20" s="1"/>
  <c r="C112" i="20"/>
  <c r="F112" i="20" s="1"/>
  <c r="C114" i="20"/>
  <c r="F114" i="20" s="1"/>
  <c r="C116" i="20"/>
  <c r="E110" i="21"/>
  <c r="E114" i="21"/>
  <c r="D109" i="22"/>
  <c r="C113" i="22"/>
  <c r="F113" i="22" s="1"/>
  <c r="E111" i="23"/>
  <c r="D115" i="23"/>
  <c r="E109" i="24"/>
  <c r="E113" i="24"/>
  <c r="D117" i="24"/>
  <c r="F117" i="24" s="1"/>
  <c r="C112" i="25"/>
  <c r="F112" i="25" s="1"/>
  <c r="E115" i="25"/>
  <c r="E110" i="26"/>
  <c r="E114" i="26"/>
  <c r="D109" i="27"/>
  <c r="C113" i="27"/>
  <c r="F113" i="27" s="1"/>
  <c r="E111" i="28"/>
  <c r="D115" i="28"/>
  <c r="C110" i="29"/>
  <c r="F110" i="29" s="1"/>
  <c r="E114" i="29"/>
  <c r="C113" i="30"/>
  <c r="F113" i="30" s="1"/>
  <c r="E111" i="31"/>
  <c r="C110" i="32"/>
  <c r="F110" i="32" s="1"/>
  <c r="C116" i="33"/>
  <c r="C115" i="34"/>
  <c r="F115" i="34" s="1"/>
  <c r="E113" i="35"/>
  <c r="C112" i="36"/>
  <c r="F112" i="36" s="1"/>
  <c r="C110" i="37"/>
  <c r="F110" i="37" s="1"/>
  <c r="E115" i="38"/>
  <c r="C114" i="39"/>
  <c r="F114" i="39" s="1"/>
  <c r="C112" i="40"/>
  <c r="F112" i="40" s="1"/>
  <c r="C110" i="41"/>
  <c r="F110" i="41" s="1"/>
  <c r="E115" i="42"/>
  <c r="C114" i="43"/>
  <c r="F114" i="43" s="1"/>
  <c r="E112" i="44"/>
  <c r="C111" i="45"/>
  <c r="F111" i="45" s="1"/>
  <c r="E109" i="46"/>
  <c r="D117" i="46"/>
  <c r="F117" i="46" s="1"/>
  <c r="D117" i="53"/>
  <c r="F117" i="53" s="1"/>
  <c r="C116" i="53"/>
  <c r="D115" i="53"/>
  <c r="E114" i="53"/>
  <c r="E113" i="53"/>
  <c r="E112" i="53"/>
  <c r="E111" i="53"/>
  <c r="E110" i="53"/>
  <c r="E109" i="53"/>
  <c r="E115" i="53"/>
  <c r="C115" i="53"/>
  <c r="C114" i="53"/>
  <c r="F114" i="53" s="1"/>
  <c r="C113" i="53"/>
  <c r="F113" i="53" s="1"/>
  <c r="C112" i="53"/>
  <c r="F112" i="53" s="1"/>
  <c r="C111" i="53"/>
  <c r="F111" i="53" s="1"/>
  <c r="C110" i="53"/>
  <c r="F110" i="53" s="1"/>
  <c r="D109" i="53"/>
  <c r="D117" i="55"/>
  <c r="F117" i="55" s="1"/>
  <c r="C116" i="55"/>
  <c r="D115" i="55"/>
  <c r="E114" i="55"/>
  <c r="E113" i="55"/>
  <c r="E112" i="55"/>
  <c r="E111" i="55"/>
  <c r="E110" i="55"/>
  <c r="E109" i="55"/>
  <c r="E115" i="55"/>
  <c r="C115" i="55"/>
  <c r="C114" i="55"/>
  <c r="F114" i="55" s="1"/>
  <c r="C113" i="55"/>
  <c r="F113" i="55" s="1"/>
  <c r="C112" i="55"/>
  <c r="F112" i="55" s="1"/>
  <c r="C111" i="55"/>
  <c r="F111" i="55" s="1"/>
  <c r="C110" i="55"/>
  <c r="F110" i="55" s="1"/>
  <c r="D109" i="55"/>
  <c r="F112" i="37"/>
  <c r="F114" i="36"/>
  <c r="E109" i="57"/>
  <c r="E120" i="57"/>
  <c r="C116" i="57"/>
  <c r="D115" i="57"/>
  <c r="E114" i="57"/>
  <c r="E113" i="57"/>
  <c r="E112" i="57"/>
  <c r="E111" i="57"/>
  <c r="E110" i="57"/>
  <c r="E104" i="57"/>
  <c r="E102" i="57"/>
  <c r="E100" i="57"/>
  <c r="E98" i="57"/>
  <c r="E93" i="57"/>
  <c r="E91" i="57"/>
  <c r="E89" i="57"/>
  <c r="E87" i="57"/>
  <c r="E85" i="57"/>
  <c r="E83" i="57"/>
  <c r="E81" i="57"/>
  <c r="E79" i="57"/>
  <c r="E77" i="57"/>
  <c r="E75" i="57"/>
  <c r="E73" i="57"/>
  <c r="E71" i="57"/>
  <c r="E69" i="57"/>
  <c r="E67" i="57"/>
  <c r="E63" i="57"/>
  <c r="D62" i="57"/>
  <c r="F62" i="57" s="1"/>
  <c r="E61" i="57"/>
  <c r="D60" i="57"/>
  <c r="E59" i="57"/>
  <c r="D58" i="57"/>
  <c r="E57" i="57"/>
  <c r="D56" i="57"/>
  <c r="E55" i="57"/>
  <c r="D54" i="57"/>
  <c r="E53" i="57"/>
  <c r="D52" i="57"/>
  <c r="E51" i="57"/>
  <c r="D50" i="57"/>
  <c r="F50" i="57" s="1"/>
  <c r="E49" i="57"/>
  <c r="D48" i="57"/>
  <c r="E47" i="57"/>
  <c r="D46" i="57"/>
  <c r="E45" i="57"/>
  <c r="D44" i="57"/>
  <c r="E43" i="57"/>
  <c r="D42" i="57"/>
  <c r="E41" i="57"/>
  <c r="D117" i="57"/>
  <c r="E115" i="57"/>
  <c r="C115" i="57"/>
  <c r="C114" i="57"/>
  <c r="C113" i="57"/>
  <c r="C112" i="57"/>
  <c r="C111" i="57"/>
  <c r="C110" i="57"/>
  <c r="E103" i="57"/>
  <c r="E101" i="57"/>
  <c r="E99" i="57"/>
  <c r="E94" i="57"/>
  <c r="E92" i="57"/>
  <c r="E90" i="57"/>
  <c r="E88" i="57"/>
  <c r="E86" i="57"/>
  <c r="E84" i="57"/>
  <c r="E82" i="57"/>
  <c r="E80" i="57"/>
  <c r="E78" i="57"/>
  <c r="E76" i="57"/>
  <c r="E74" i="57"/>
  <c r="E72" i="57"/>
  <c r="E70" i="57"/>
  <c r="E68" i="57"/>
  <c r="D63" i="57"/>
  <c r="F63" i="57" s="1"/>
  <c r="E62" i="57"/>
  <c r="D61" i="57"/>
  <c r="F61" i="57" s="1"/>
  <c r="E60" i="57"/>
  <c r="D59" i="57"/>
  <c r="F59" i="57" s="1"/>
  <c r="E58" i="57"/>
  <c r="D57" i="57"/>
  <c r="E56" i="57"/>
  <c r="D55" i="57"/>
  <c r="F55" i="57" s="1"/>
  <c r="E54" i="57"/>
  <c r="D53" i="57"/>
  <c r="F53" i="57" s="1"/>
  <c r="E52" i="57"/>
  <c r="D51" i="57"/>
  <c r="F51" i="57" s="1"/>
  <c r="E50" i="57"/>
  <c r="D49" i="57"/>
  <c r="F49" i="57" s="1"/>
  <c r="E48" i="57"/>
  <c r="D47" i="57"/>
  <c r="F47" i="57" s="1"/>
  <c r="E46" i="57"/>
  <c r="D45" i="57"/>
  <c r="F45" i="57" s="1"/>
  <c r="E44" i="57"/>
  <c r="D43" i="57"/>
  <c r="F43" i="57" s="1"/>
  <c r="E42" i="57"/>
  <c r="D41" i="57"/>
  <c r="F41" i="57" s="1"/>
  <c r="E40" i="57"/>
  <c r="E36" i="57"/>
  <c r="D37" i="57"/>
  <c r="E38" i="57"/>
  <c r="D39" i="57"/>
  <c r="D36" i="57"/>
  <c r="F36" i="57" s="1"/>
  <c r="E37" i="57"/>
  <c r="D38" i="57"/>
  <c r="F38" i="57" s="1"/>
  <c r="E39" i="57"/>
  <c r="D40" i="57"/>
  <c r="E120" i="1"/>
  <c r="E104" i="1"/>
  <c r="E102" i="1"/>
  <c r="E116" i="1" s="1"/>
  <c r="E100" i="1"/>
  <c r="E98" i="1"/>
  <c r="E93" i="1"/>
  <c r="E91" i="1"/>
  <c r="E89" i="1"/>
  <c r="E87" i="1"/>
  <c r="E85" i="1"/>
  <c r="E83" i="1"/>
  <c r="E81" i="1"/>
  <c r="E79" i="1"/>
  <c r="E77" i="1"/>
  <c r="E75" i="1"/>
  <c r="E73" i="1"/>
  <c r="E71" i="1"/>
  <c r="E69" i="1"/>
  <c r="E67" i="1"/>
  <c r="E63" i="1"/>
  <c r="D62" i="1"/>
  <c r="F62" i="1" s="1"/>
  <c r="E61" i="1"/>
  <c r="D60" i="1"/>
  <c r="E59" i="1"/>
  <c r="D58" i="1"/>
  <c r="E57" i="1"/>
  <c r="D56" i="1"/>
  <c r="E55" i="1"/>
  <c r="D54" i="1"/>
  <c r="E53" i="1"/>
  <c r="D52" i="1"/>
  <c r="F52" i="1" s="1"/>
  <c r="E51" i="1"/>
  <c r="D50" i="1"/>
  <c r="F50" i="1" s="1"/>
  <c r="E49" i="1"/>
  <c r="D48" i="1"/>
  <c r="E47" i="1"/>
  <c r="D46" i="1"/>
  <c r="E103" i="1"/>
  <c r="E101" i="1"/>
  <c r="E99" i="1"/>
  <c r="E94" i="1"/>
  <c r="E92" i="1"/>
  <c r="E90" i="1"/>
  <c r="E88" i="1"/>
  <c r="E86" i="1"/>
  <c r="E84" i="1"/>
  <c r="E82" i="1"/>
  <c r="E80" i="1"/>
  <c r="E78" i="1"/>
  <c r="E76" i="1"/>
  <c r="E74" i="1"/>
  <c r="E72" i="1"/>
  <c r="E70" i="1"/>
  <c r="E68" i="1"/>
  <c r="D63" i="1"/>
  <c r="F63" i="1" s="1"/>
  <c r="E62" i="1"/>
  <c r="D61" i="1"/>
  <c r="E60" i="1"/>
  <c r="D59" i="1"/>
  <c r="E58" i="1"/>
  <c r="D57" i="1"/>
  <c r="E56" i="1"/>
  <c r="D55" i="1"/>
  <c r="E54" i="1"/>
  <c r="D53" i="1"/>
  <c r="E52" i="1"/>
  <c r="D51" i="1"/>
  <c r="E50" i="1"/>
  <c r="D49" i="1"/>
  <c r="E48" i="1"/>
  <c r="D47" i="1"/>
  <c r="E46" i="1"/>
  <c r="E45" i="1"/>
  <c r="D44" i="1"/>
  <c r="E43" i="1"/>
  <c r="D42" i="1"/>
  <c r="E41" i="1"/>
  <c r="D40" i="1"/>
  <c r="F40" i="1" s="1"/>
  <c r="E39" i="1"/>
  <c r="D38" i="1"/>
  <c r="E37" i="1"/>
  <c r="D36" i="1"/>
  <c r="F36" i="1" s="1"/>
  <c r="D45" i="1"/>
  <c r="F45" i="1" s="1"/>
  <c r="E44" i="1"/>
  <c r="D43" i="1"/>
  <c r="F43" i="1" s="1"/>
  <c r="E42" i="1"/>
  <c r="D41" i="1"/>
  <c r="F41" i="1" s="1"/>
  <c r="E40" i="1"/>
  <c r="D39" i="1"/>
  <c r="F39" i="1" s="1"/>
  <c r="E38" i="1"/>
  <c r="D37" i="1"/>
  <c r="F37" i="1" s="1"/>
  <c r="E36" i="1"/>
  <c r="E120" i="3"/>
  <c r="E104" i="3"/>
  <c r="E102" i="3"/>
  <c r="E116" i="3" s="1"/>
  <c r="F116" i="3" s="1"/>
  <c r="E100" i="3"/>
  <c r="E98" i="3"/>
  <c r="E93" i="3"/>
  <c r="E91" i="3"/>
  <c r="E89" i="3"/>
  <c r="E87" i="3"/>
  <c r="E85" i="3"/>
  <c r="E83" i="3"/>
  <c r="E81" i="3"/>
  <c r="E79" i="3"/>
  <c r="E77" i="3"/>
  <c r="E75" i="3"/>
  <c r="E73" i="3"/>
  <c r="E71" i="3"/>
  <c r="E69" i="3"/>
  <c r="E67" i="3"/>
  <c r="E63" i="3"/>
  <c r="D62" i="3"/>
  <c r="F62" i="3" s="1"/>
  <c r="E61" i="3"/>
  <c r="D60" i="3"/>
  <c r="E59" i="3"/>
  <c r="D58" i="3"/>
  <c r="F58" i="3" s="1"/>
  <c r="E57" i="3"/>
  <c r="D56" i="3"/>
  <c r="E55" i="3"/>
  <c r="E103" i="3"/>
  <c r="E101" i="3"/>
  <c r="E99" i="3"/>
  <c r="E94" i="3"/>
  <c r="E92" i="3"/>
  <c r="E90" i="3"/>
  <c r="E88" i="3"/>
  <c r="E86" i="3"/>
  <c r="E84" i="3"/>
  <c r="E82" i="3"/>
  <c r="E80" i="3"/>
  <c r="E78" i="3"/>
  <c r="E76" i="3"/>
  <c r="E74" i="3"/>
  <c r="E72" i="3"/>
  <c r="E70" i="3"/>
  <c r="E68" i="3"/>
  <c r="D63" i="3"/>
  <c r="F63" i="3" s="1"/>
  <c r="E62" i="3"/>
  <c r="D61" i="3"/>
  <c r="F61" i="3" s="1"/>
  <c r="E60" i="3"/>
  <c r="D59" i="3"/>
  <c r="F59" i="3" s="1"/>
  <c r="E58" i="3"/>
  <c r="D57" i="3"/>
  <c r="E56" i="3"/>
  <c r="D55" i="3"/>
  <c r="F55" i="3" s="1"/>
  <c r="E54" i="3"/>
  <c r="D54" i="3"/>
  <c r="E53" i="3"/>
  <c r="D52" i="3"/>
  <c r="E51" i="3"/>
  <c r="D50" i="3"/>
  <c r="E49" i="3"/>
  <c r="D48" i="3"/>
  <c r="F48" i="3" s="1"/>
  <c r="E47" i="3"/>
  <c r="D46" i="3"/>
  <c r="E45" i="3"/>
  <c r="D44" i="3"/>
  <c r="E43" i="3"/>
  <c r="D42" i="3"/>
  <c r="E41" i="3"/>
  <c r="D40" i="3"/>
  <c r="F40" i="3" s="1"/>
  <c r="E39" i="3"/>
  <c r="D38" i="3"/>
  <c r="E37" i="3"/>
  <c r="D36" i="3"/>
  <c r="F36" i="3" s="1"/>
  <c r="D53" i="3"/>
  <c r="F53" i="3" s="1"/>
  <c r="E52" i="3"/>
  <c r="D51" i="3"/>
  <c r="F51" i="3" s="1"/>
  <c r="E50" i="3"/>
  <c r="D49" i="3"/>
  <c r="F49" i="3" s="1"/>
  <c r="E48" i="3"/>
  <c r="D47" i="3"/>
  <c r="F47" i="3" s="1"/>
  <c r="E46" i="3"/>
  <c r="D45" i="3"/>
  <c r="F45" i="3" s="1"/>
  <c r="E44" i="3"/>
  <c r="D43" i="3"/>
  <c r="F43" i="3" s="1"/>
  <c r="E42" i="3"/>
  <c r="D41" i="3"/>
  <c r="F41" i="3" s="1"/>
  <c r="E40" i="3"/>
  <c r="D39" i="3"/>
  <c r="F39" i="3" s="1"/>
  <c r="E38" i="3"/>
  <c r="D37" i="3"/>
  <c r="F37" i="3" s="1"/>
  <c r="E36" i="3"/>
  <c r="E120" i="5"/>
  <c r="E104" i="5"/>
  <c r="E102" i="5"/>
  <c r="E116" i="5" s="1"/>
  <c r="E100" i="5"/>
  <c r="E98" i="5"/>
  <c r="E93" i="5"/>
  <c r="E91" i="5"/>
  <c r="E89" i="5"/>
  <c r="E87" i="5"/>
  <c r="E85" i="5"/>
  <c r="E83" i="5"/>
  <c r="E81" i="5"/>
  <c r="E79" i="5"/>
  <c r="E77" i="5"/>
  <c r="E75" i="5"/>
  <c r="E73" i="5"/>
  <c r="E71" i="5"/>
  <c r="F71" i="5" s="1"/>
  <c r="E69" i="5"/>
  <c r="E67" i="5"/>
  <c r="E63" i="5"/>
  <c r="E103" i="5"/>
  <c r="E101" i="5"/>
  <c r="E99" i="5"/>
  <c r="E94" i="5"/>
  <c r="E92" i="5"/>
  <c r="E90" i="5"/>
  <c r="E88" i="5"/>
  <c r="E86" i="5"/>
  <c r="E84" i="5"/>
  <c r="E82" i="5"/>
  <c r="E80" i="5"/>
  <c r="E78" i="5"/>
  <c r="E76" i="5"/>
  <c r="E74" i="5"/>
  <c r="E72" i="5"/>
  <c r="E70" i="5"/>
  <c r="E68" i="5"/>
  <c r="D63" i="5"/>
  <c r="F63" i="5" s="1"/>
  <c r="E62" i="5"/>
  <c r="D61" i="5"/>
  <c r="E60" i="5"/>
  <c r="D59" i="5"/>
  <c r="E58" i="5"/>
  <c r="D57" i="5"/>
  <c r="E56" i="5"/>
  <c r="D55" i="5"/>
  <c r="E54" i="5"/>
  <c r="D53" i="5"/>
  <c r="F53" i="5" s="1"/>
  <c r="E52" i="5"/>
  <c r="D51" i="5"/>
  <c r="E50" i="5"/>
  <c r="D49" i="5"/>
  <c r="F49" i="5" s="1"/>
  <c r="E48" i="5"/>
  <c r="D47" i="5"/>
  <c r="E46" i="5"/>
  <c r="D45" i="5"/>
  <c r="F45" i="5" s="1"/>
  <c r="E44" i="5"/>
  <c r="D43" i="5"/>
  <c r="E42" i="5"/>
  <c r="D41" i="5"/>
  <c r="E40" i="5"/>
  <c r="F40" i="5" s="1"/>
  <c r="D39" i="5"/>
  <c r="E38" i="5"/>
  <c r="D37" i="5"/>
  <c r="E36" i="5"/>
  <c r="D62" i="5"/>
  <c r="F62" i="5" s="1"/>
  <c r="E61" i="5"/>
  <c r="D60" i="5"/>
  <c r="E59" i="5"/>
  <c r="D58" i="5"/>
  <c r="F58" i="5" s="1"/>
  <c r="E57" i="5"/>
  <c r="D56" i="5"/>
  <c r="E55" i="5"/>
  <c r="D54" i="5"/>
  <c r="E53" i="5"/>
  <c r="D52" i="5"/>
  <c r="F52" i="5" s="1"/>
  <c r="E51" i="5"/>
  <c r="D50" i="5"/>
  <c r="F50" i="5" s="1"/>
  <c r="E49" i="5"/>
  <c r="D48" i="5"/>
  <c r="E47" i="5"/>
  <c r="D46" i="5"/>
  <c r="E45" i="5"/>
  <c r="D44" i="5"/>
  <c r="E43" i="5"/>
  <c r="D42" i="5"/>
  <c r="E41" i="5"/>
  <c r="D40" i="5"/>
  <c r="E39" i="5"/>
  <c r="D38" i="5"/>
  <c r="E37" i="5"/>
  <c r="D36" i="5"/>
  <c r="E103" i="7"/>
  <c r="E101" i="7"/>
  <c r="E99" i="7"/>
  <c r="E94" i="7"/>
  <c r="E92" i="7"/>
  <c r="E90" i="7"/>
  <c r="E88" i="7"/>
  <c r="E86" i="7"/>
  <c r="E84" i="7"/>
  <c r="E82" i="7"/>
  <c r="E80" i="7"/>
  <c r="E78" i="7"/>
  <c r="E76" i="7"/>
  <c r="E74" i="7"/>
  <c r="E72" i="7"/>
  <c r="E70" i="7"/>
  <c r="E68" i="7"/>
  <c r="D63" i="7"/>
  <c r="F63" i="7" s="1"/>
  <c r="E62" i="7"/>
  <c r="D61" i="7"/>
  <c r="E60" i="7"/>
  <c r="D59" i="7"/>
  <c r="E58" i="7"/>
  <c r="D57" i="7"/>
  <c r="E56" i="7"/>
  <c r="D55" i="7"/>
  <c r="E54" i="7"/>
  <c r="D53" i="7"/>
  <c r="F53" i="7" s="1"/>
  <c r="E52" i="7"/>
  <c r="D51" i="7"/>
  <c r="E50" i="7"/>
  <c r="D49" i="7"/>
  <c r="E48" i="7"/>
  <c r="D47" i="7"/>
  <c r="E46" i="7"/>
  <c r="D45" i="7"/>
  <c r="E44" i="7"/>
  <c r="D43" i="7"/>
  <c r="E42" i="7"/>
  <c r="D41" i="7"/>
  <c r="E40" i="7"/>
  <c r="D39" i="7"/>
  <c r="E38" i="7"/>
  <c r="D37" i="7"/>
  <c r="E36" i="7"/>
  <c r="E120" i="7"/>
  <c r="E104" i="7"/>
  <c r="E102" i="7"/>
  <c r="E116" i="7" s="1"/>
  <c r="F116" i="7" s="1"/>
  <c r="E100" i="7"/>
  <c r="E98" i="7"/>
  <c r="E93" i="7"/>
  <c r="E91" i="7"/>
  <c r="E89" i="7"/>
  <c r="E87" i="7"/>
  <c r="E85" i="7"/>
  <c r="E83" i="7"/>
  <c r="E81" i="7"/>
  <c r="E79" i="7"/>
  <c r="E77" i="7"/>
  <c r="E75" i="7"/>
  <c r="E73" i="7"/>
  <c r="E71" i="7"/>
  <c r="E69" i="7"/>
  <c r="E67" i="7"/>
  <c r="E63" i="7"/>
  <c r="D62" i="7"/>
  <c r="F62" i="7" s="1"/>
  <c r="E61" i="7"/>
  <c r="D60" i="7"/>
  <c r="E59" i="7"/>
  <c r="D58" i="7"/>
  <c r="E57" i="7"/>
  <c r="D56" i="7"/>
  <c r="E55" i="7"/>
  <c r="D54" i="7"/>
  <c r="E53" i="7"/>
  <c r="D52" i="7"/>
  <c r="F52" i="7" s="1"/>
  <c r="E51" i="7"/>
  <c r="D50" i="7"/>
  <c r="E49" i="7"/>
  <c r="D48" i="7"/>
  <c r="E47" i="7"/>
  <c r="D46" i="7"/>
  <c r="E45" i="7"/>
  <c r="D44" i="7"/>
  <c r="E43" i="7"/>
  <c r="D42" i="7"/>
  <c r="E41" i="7"/>
  <c r="D40" i="7"/>
  <c r="F40" i="7" s="1"/>
  <c r="E39" i="7"/>
  <c r="D38" i="7"/>
  <c r="E37" i="7"/>
  <c r="D36" i="7"/>
  <c r="E103" i="9"/>
  <c r="E101" i="9"/>
  <c r="E99" i="9"/>
  <c r="E94" i="9"/>
  <c r="E92" i="9"/>
  <c r="E90" i="9"/>
  <c r="E88" i="9"/>
  <c r="E86" i="9"/>
  <c r="E84" i="9"/>
  <c r="E82" i="9"/>
  <c r="E80" i="9"/>
  <c r="E78" i="9"/>
  <c r="E76" i="9"/>
  <c r="E74" i="9"/>
  <c r="E72" i="9"/>
  <c r="E70" i="9"/>
  <c r="E68" i="9"/>
  <c r="D63" i="9"/>
  <c r="F63" i="9" s="1"/>
  <c r="E62" i="9"/>
  <c r="D61" i="9"/>
  <c r="E60" i="9"/>
  <c r="D59" i="9"/>
  <c r="E58" i="9"/>
  <c r="D57" i="9"/>
  <c r="E56" i="9"/>
  <c r="D55" i="9"/>
  <c r="F55" i="9" s="1"/>
  <c r="E54" i="9"/>
  <c r="D53" i="9"/>
  <c r="E52" i="9"/>
  <c r="D51" i="9"/>
  <c r="E50" i="9"/>
  <c r="D49" i="9"/>
  <c r="F49" i="9" s="1"/>
  <c r="E48" i="9"/>
  <c r="D47" i="9"/>
  <c r="E46" i="9"/>
  <c r="D45" i="9"/>
  <c r="F45" i="9" s="1"/>
  <c r="E44" i="9"/>
  <c r="D43" i="9"/>
  <c r="F43" i="9" s="1"/>
  <c r="E42" i="9"/>
  <c r="D41" i="9"/>
  <c r="E40" i="9"/>
  <c r="D39" i="9"/>
  <c r="E38" i="9"/>
  <c r="D37" i="9"/>
  <c r="E36" i="9"/>
  <c r="E120" i="9"/>
  <c r="E104" i="9"/>
  <c r="E102" i="9"/>
  <c r="E116" i="9" s="1"/>
  <c r="E100" i="9"/>
  <c r="E98" i="9"/>
  <c r="E93" i="9"/>
  <c r="E91" i="9"/>
  <c r="E89" i="9"/>
  <c r="E87" i="9"/>
  <c r="E85" i="9"/>
  <c r="E83" i="9"/>
  <c r="E81" i="9"/>
  <c r="E79" i="9"/>
  <c r="E77" i="9"/>
  <c r="E75" i="9"/>
  <c r="E73" i="9"/>
  <c r="E71" i="9"/>
  <c r="E69" i="9"/>
  <c r="E67" i="9"/>
  <c r="E63" i="9"/>
  <c r="D62" i="9"/>
  <c r="F62" i="9" s="1"/>
  <c r="E61" i="9"/>
  <c r="D60" i="9"/>
  <c r="E59" i="9"/>
  <c r="D58" i="9"/>
  <c r="E57" i="9"/>
  <c r="D56" i="9"/>
  <c r="F56" i="9" s="1"/>
  <c r="E55" i="9"/>
  <c r="D54" i="9"/>
  <c r="E53" i="9"/>
  <c r="D52" i="9"/>
  <c r="F52" i="9" s="1"/>
  <c r="E51" i="9"/>
  <c r="D50" i="9"/>
  <c r="F50" i="9" s="1"/>
  <c r="E49" i="9"/>
  <c r="D48" i="9"/>
  <c r="E47" i="9"/>
  <c r="D46" i="9"/>
  <c r="E45" i="9"/>
  <c r="D44" i="9"/>
  <c r="E43" i="9"/>
  <c r="D42" i="9"/>
  <c r="E41" i="9"/>
  <c r="D40" i="9"/>
  <c r="F40" i="9" s="1"/>
  <c r="E39" i="9"/>
  <c r="D38" i="9"/>
  <c r="E37" i="9"/>
  <c r="D36" i="9"/>
  <c r="E103" i="11"/>
  <c r="E101" i="11"/>
  <c r="E99" i="11"/>
  <c r="E94" i="11"/>
  <c r="E92" i="11"/>
  <c r="E90" i="11"/>
  <c r="E88" i="11"/>
  <c r="E86" i="11"/>
  <c r="E84" i="11"/>
  <c r="E82" i="11"/>
  <c r="E80" i="11"/>
  <c r="E78" i="11"/>
  <c r="E76" i="11"/>
  <c r="E74" i="11"/>
  <c r="E72" i="11"/>
  <c r="E70" i="11"/>
  <c r="E68" i="11"/>
  <c r="D63" i="11"/>
  <c r="F63" i="11" s="1"/>
  <c r="E62" i="11"/>
  <c r="D61" i="11"/>
  <c r="E60" i="11"/>
  <c r="D59" i="11"/>
  <c r="E58" i="11"/>
  <c r="D57" i="11"/>
  <c r="E56" i="11"/>
  <c r="D55" i="11"/>
  <c r="F55" i="11" s="1"/>
  <c r="E54" i="11"/>
  <c r="D53" i="11"/>
  <c r="E52" i="11"/>
  <c r="D51" i="11"/>
  <c r="E50" i="11"/>
  <c r="D49" i="11"/>
  <c r="E48" i="11"/>
  <c r="D47" i="11"/>
  <c r="E46" i="11"/>
  <c r="D45" i="11"/>
  <c r="F45" i="11" s="1"/>
  <c r="E44" i="11"/>
  <c r="D43" i="11"/>
  <c r="E42" i="11"/>
  <c r="D41" i="11"/>
  <c r="E40" i="11"/>
  <c r="D39" i="11"/>
  <c r="E38" i="11"/>
  <c r="D37" i="11"/>
  <c r="E36" i="11"/>
  <c r="E120" i="11"/>
  <c r="E104" i="11"/>
  <c r="E102" i="11"/>
  <c r="E116" i="11" s="1"/>
  <c r="F116" i="11" s="1"/>
  <c r="E100" i="11"/>
  <c r="E98" i="11"/>
  <c r="E93" i="11"/>
  <c r="E91" i="11"/>
  <c r="E89" i="11"/>
  <c r="E87" i="11"/>
  <c r="E85" i="11"/>
  <c r="E83" i="11"/>
  <c r="E81" i="11"/>
  <c r="E79" i="11"/>
  <c r="E77" i="11"/>
  <c r="E75" i="11"/>
  <c r="E73" i="11"/>
  <c r="E71" i="11"/>
  <c r="E69" i="11"/>
  <c r="E67" i="11"/>
  <c r="E63" i="11"/>
  <c r="D62" i="11"/>
  <c r="F62" i="11" s="1"/>
  <c r="E61" i="11"/>
  <c r="D60" i="11"/>
  <c r="E59" i="11"/>
  <c r="D58" i="11"/>
  <c r="E57" i="11"/>
  <c r="D56" i="11"/>
  <c r="E55" i="11"/>
  <c r="D54" i="11"/>
  <c r="E53" i="11"/>
  <c r="D52" i="11"/>
  <c r="E51" i="11"/>
  <c r="D50" i="11"/>
  <c r="F50" i="11" s="1"/>
  <c r="E49" i="11"/>
  <c r="D48" i="11"/>
  <c r="E47" i="11"/>
  <c r="D46" i="11"/>
  <c r="E45" i="11"/>
  <c r="D44" i="11"/>
  <c r="E43" i="11"/>
  <c r="D42" i="11"/>
  <c r="E41" i="11"/>
  <c r="D40" i="11"/>
  <c r="F40" i="11" s="1"/>
  <c r="E39" i="11"/>
  <c r="D38" i="11"/>
  <c r="E37" i="11"/>
  <c r="D36" i="11"/>
  <c r="E120" i="13"/>
  <c r="E104" i="13"/>
  <c r="E102" i="13"/>
  <c r="E116" i="13" s="1"/>
  <c r="E100" i="13"/>
  <c r="E98" i="13"/>
  <c r="E93" i="13"/>
  <c r="E91" i="13"/>
  <c r="E89" i="13"/>
  <c r="E87" i="13"/>
  <c r="E85" i="13"/>
  <c r="E83" i="13"/>
  <c r="E81" i="13"/>
  <c r="E79" i="13"/>
  <c r="E77" i="13"/>
  <c r="E75" i="13"/>
  <c r="E73" i="13"/>
  <c r="E71" i="13"/>
  <c r="F71" i="13" s="1"/>
  <c r="E69" i="13"/>
  <c r="E67" i="13"/>
  <c r="E63" i="13"/>
  <c r="D62" i="13"/>
  <c r="F62" i="13" s="1"/>
  <c r="E61" i="13"/>
  <c r="D60" i="13"/>
  <c r="E59" i="13"/>
  <c r="D58" i="13"/>
  <c r="E57" i="13"/>
  <c r="D56" i="13"/>
  <c r="E55" i="13"/>
  <c r="D54" i="13"/>
  <c r="E53" i="13"/>
  <c r="D52" i="13"/>
  <c r="E51" i="13"/>
  <c r="D50" i="13"/>
  <c r="E49" i="13"/>
  <c r="D48" i="13"/>
  <c r="E47" i="13"/>
  <c r="D46" i="13"/>
  <c r="E45" i="13"/>
  <c r="D44" i="13"/>
  <c r="E43" i="13"/>
  <c r="D42" i="13"/>
  <c r="E41" i="13"/>
  <c r="D40" i="13"/>
  <c r="E39" i="13"/>
  <c r="D38" i="13"/>
  <c r="E37" i="13"/>
  <c r="D36" i="13"/>
  <c r="E103" i="13"/>
  <c r="E101" i="13"/>
  <c r="E99" i="13"/>
  <c r="E94" i="13"/>
  <c r="E92" i="13"/>
  <c r="E90" i="13"/>
  <c r="E88" i="13"/>
  <c r="E86" i="13"/>
  <c r="E84" i="13"/>
  <c r="E82" i="13"/>
  <c r="E80" i="13"/>
  <c r="E78" i="13"/>
  <c r="E76" i="13"/>
  <c r="E74" i="13"/>
  <c r="E72" i="13"/>
  <c r="E70" i="13"/>
  <c r="E68" i="13"/>
  <c r="D63" i="13"/>
  <c r="F63" i="13" s="1"/>
  <c r="E62" i="13"/>
  <c r="D61" i="13"/>
  <c r="E60" i="13"/>
  <c r="D59" i="13"/>
  <c r="E58" i="13"/>
  <c r="D57" i="13"/>
  <c r="E56" i="13"/>
  <c r="D55" i="13"/>
  <c r="E54" i="13"/>
  <c r="D53" i="13"/>
  <c r="E52" i="13"/>
  <c r="D51" i="13"/>
  <c r="E50" i="13"/>
  <c r="D49" i="13"/>
  <c r="E48" i="13"/>
  <c r="D47" i="13"/>
  <c r="E46" i="13"/>
  <c r="D45" i="13"/>
  <c r="E44" i="13"/>
  <c r="D43" i="13"/>
  <c r="E42" i="13"/>
  <c r="D41" i="13"/>
  <c r="E40" i="13"/>
  <c r="F40" i="13" s="1"/>
  <c r="D39" i="13"/>
  <c r="E38" i="13"/>
  <c r="D37" i="13"/>
  <c r="E36" i="13"/>
  <c r="E120" i="15"/>
  <c r="E104" i="15"/>
  <c r="E102" i="15"/>
  <c r="E116" i="15" s="1"/>
  <c r="E100" i="15"/>
  <c r="E98" i="15"/>
  <c r="E93" i="15"/>
  <c r="E91" i="15"/>
  <c r="E89" i="15"/>
  <c r="E87" i="15"/>
  <c r="E85" i="15"/>
  <c r="E83" i="15"/>
  <c r="E81" i="15"/>
  <c r="E79" i="15"/>
  <c r="E77" i="15"/>
  <c r="E75" i="15"/>
  <c r="E73" i="15"/>
  <c r="E71" i="15"/>
  <c r="E69" i="15"/>
  <c r="E67" i="15"/>
  <c r="E63" i="15"/>
  <c r="D62" i="15"/>
  <c r="F62" i="15" s="1"/>
  <c r="E61" i="15"/>
  <c r="D60" i="15"/>
  <c r="F60" i="15" s="1"/>
  <c r="E59" i="15"/>
  <c r="D58" i="15"/>
  <c r="F58" i="15" s="1"/>
  <c r="E57" i="15"/>
  <c r="D56" i="15"/>
  <c r="F56" i="15" s="1"/>
  <c r="E55" i="15"/>
  <c r="D54" i="15"/>
  <c r="F54" i="15" s="1"/>
  <c r="E53" i="15"/>
  <c r="D52" i="15"/>
  <c r="F52" i="15" s="1"/>
  <c r="E51" i="15"/>
  <c r="D50" i="15"/>
  <c r="F50" i="15" s="1"/>
  <c r="E49" i="15"/>
  <c r="D48" i="15"/>
  <c r="F48" i="15" s="1"/>
  <c r="E47" i="15"/>
  <c r="D46" i="15"/>
  <c r="F46" i="15" s="1"/>
  <c r="E45" i="15"/>
  <c r="D44" i="15"/>
  <c r="F44" i="15" s="1"/>
  <c r="E43" i="15"/>
  <c r="D42" i="15"/>
  <c r="F42" i="15" s="1"/>
  <c r="E41" i="15"/>
  <c r="D40" i="15"/>
  <c r="F40" i="15" s="1"/>
  <c r="E39" i="15"/>
  <c r="D38" i="15"/>
  <c r="F38" i="15" s="1"/>
  <c r="E37" i="15"/>
  <c r="D36" i="15"/>
  <c r="F36" i="15" s="1"/>
  <c r="E103" i="15"/>
  <c r="E101" i="15"/>
  <c r="E99" i="15"/>
  <c r="E94" i="15"/>
  <c r="E92" i="15"/>
  <c r="E90" i="15"/>
  <c r="E88" i="15"/>
  <c r="E86" i="15"/>
  <c r="E84" i="15"/>
  <c r="E82" i="15"/>
  <c r="E80" i="15"/>
  <c r="E78" i="15"/>
  <c r="E76" i="15"/>
  <c r="E74" i="15"/>
  <c r="E72" i="15"/>
  <c r="E70" i="15"/>
  <c r="E68" i="15"/>
  <c r="D63" i="15"/>
  <c r="F63" i="15" s="1"/>
  <c r="E62" i="15"/>
  <c r="D61" i="15"/>
  <c r="F61" i="15" s="1"/>
  <c r="E60" i="15"/>
  <c r="D59" i="15"/>
  <c r="F59" i="15" s="1"/>
  <c r="E58" i="15"/>
  <c r="D57" i="15"/>
  <c r="F57" i="15" s="1"/>
  <c r="E56" i="15"/>
  <c r="D55" i="15"/>
  <c r="F55" i="15" s="1"/>
  <c r="E54" i="15"/>
  <c r="D53" i="15"/>
  <c r="F53" i="15" s="1"/>
  <c r="E52" i="15"/>
  <c r="D51" i="15"/>
  <c r="F51" i="15" s="1"/>
  <c r="E50" i="15"/>
  <c r="D49" i="15"/>
  <c r="F49" i="15" s="1"/>
  <c r="E48" i="15"/>
  <c r="D47" i="15"/>
  <c r="F47" i="15" s="1"/>
  <c r="E46" i="15"/>
  <c r="D45" i="15"/>
  <c r="F45" i="15" s="1"/>
  <c r="E44" i="15"/>
  <c r="D43" i="15"/>
  <c r="F43" i="15" s="1"/>
  <c r="E42" i="15"/>
  <c r="D41" i="15"/>
  <c r="F41" i="15" s="1"/>
  <c r="E40" i="15"/>
  <c r="D39" i="15"/>
  <c r="F39" i="15" s="1"/>
  <c r="E38" i="15"/>
  <c r="D37" i="15"/>
  <c r="F37" i="15" s="1"/>
  <c r="E36" i="15"/>
  <c r="E120" i="17"/>
  <c r="E104" i="17"/>
  <c r="E102" i="17"/>
  <c r="E116" i="17" s="1"/>
  <c r="E100" i="17"/>
  <c r="E98" i="17"/>
  <c r="E93" i="17"/>
  <c r="E91" i="17"/>
  <c r="E89" i="17"/>
  <c r="E87" i="17"/>
  <c r="E85" i="17"/>
  <c r="E83" i="17"/>
  <c r="E81" i="17"/>
  <c r="E79" i="17"/>
  <c r="E77" i="17"/>
  <c r="E75" i="17"/>
  <c r="E73" i="17"/>
  <c r="E71" i="17"/>
  <c r="E69" i="17"/>
  <c r="E67" i="17"/>
  <c r="E63" i="17"/>
  <c r="D62" i="17"/>
  <c r="F62" i="17" s="1"/>
  <c r="E61" i="17"/>
  <c r="D60" i="17"/>
  <c r="E59" i="17"/>
  <c r="D58" i="17"/>
  <c r="E57" i="17"/>
  <c r="D56" i="17"/>
  <c r="F56" i="17" s="1"/>
  <c r="E55" i="17"/>
  <c r="D54" i="17"/>
  <c r="E53" i="17"/>
  <c r="D52" i="17"/>
  <c r="E51" i="17"/>
  <c r="D50" i="17"/>
  <c r="E49" i="17"/>
  <c r="D48" i="17"/>
  <c r="E47" i="17"/>
  <c r="D46" i="17"/>
  <c r="E45" i="17"/>
  <c r="D44" i="17"/>
  <c r="E43" i="17"/>
  <c r="D42" i="17"/>
  <c r="E41" i="17"/>
  <c r="D40" i="17"/>
  <c r="F40" i="17" s="1"/>
  <c r="E39" i="17"/>
  <c r="D38" i="17"/>
  <c r="E37" i="17"/>
  <c r="D36" i="17"/>
  <c r="E103" i="17"/>
  <c r="E101" i="17"/>
  <c r="E99" i="17"/>
  <c r="E94" i="17"/>
  <c r="E92" i="17"/>
  <c r="E90" i="17"/>
  <c r="E88" i="17"/>
  <c r="E86" i="17"/>
  <c r="E84" i="17"/>
  <c r="E82" i="17"/>
  <c r="E80" i="17"/>
  <c r="E78" i="17"/>
  <c r="E76" i="17"/>
  <c r="E74" i="17"/>
  <c r="E72" i="17"/>
  <c r="E70" i="17"/>
  <c r="E68" i="17"/>
  <c r="D63" i="17"/>
  <c r="F63" i="17" s="1"/>
  <c r="E62" i="17"/>
  <c r="D61" i="17"/>
  <c r="E60" i="17"/>
  <c r="D59" i="17"/>
  <c r="E58" i="17"/>
  <c r="D57" i="17"/>
  <c r="E56" i="17"/>
  <c r="D55" i="17"/>
  <c r="F55" i="17" s="1"/>
  <c r="E54" i="17"/>
  <c r="D53" i="17"/>
  <c r="E52" i="17"/>
  <c r="D51" i="17"/>
  <c r="E50" i="17"/>
  <c r="D49" i="17"/>
  <c r="E48" i="17"/>
  <c r="D47" i="17"/>
  <c r="E46" i="17"/>
  <c r="D45" i="17"/>
  <c r="F45" i="17" s="1"/>
  <c r="E44" i="17"/>
  <c r="D43" i="17"/>
  <c r="F43" i="17" s="1"/>
  <c r="E42" i="17"/>
  <c r="D41" i="17"/>
  <c r="E40" i="17"/>
  <c r="D39" i="17"/>
  <c r="E38" i="17"/>
  <c r="D37" i="17"/>
  <c r="E36" i="17"/>
  <c r="E120" i="19"/>
  <c r="E104" i="19"/>
  <c r="E102" i="19"/>
  <c r="E116" i="19" s="1"/>
  <c r="E100" i="19"/>
  <c r="E98" i="19"/>
  <c r="E93" i="19"/>
  <c r="E91" i="19"/>
  <c r="E89" i="19"/>
  <c r="E87" i="19"/>
  <c r="E85" i="19"/>
  <c r="E83" i="19"/>
  <c r="E81" i="19"/>
  <c r="E79" i="19"/>
  <c r="E77" i="19"/>
  <c r="E75" i="19"/>
  <c r="E73" i="19"/>
  <c r="E71" i="19"/>
  <c r="E69" i="19"/>
  <c r="E67" i="19"/>
  <c r="E63" i="19"/>
  <c r="D62" i="19"/>
  <c r="F62" i="19" s="1"/>
  <c r="E61" i="19"/>
  <c r="D60" i="19"/>
  <c r="E59" i="19"/>
  <c r="D58" i="19"/>
  <c r="E57" i="19"/>
  <c r="D56" i="19"/>
  <c r="E55" i="19"/>
  <c r="D54" i="19"/>
  <c r="E103" i="19"/>
  <c r="E101" i="19"/>
  <c r="E99" i="19"/>
  <c r="E94" i="19"/>
  <c r="E92" i="19"/>
  <c r="E90" i="19"/>
  <c r="E88" i="19"/>
  <c r="E86" i="19"/>
  <c r="E84" i="19"/>
  <c r="E82" i="19"/>
  <c r="E80" i="19"/>
  <c r="E78" i="19"/>
  <c r="E76" i="19"/>
  <c r="E74" i="19"/>
  <c r="E72" i="19"/>
  <c r="E70" i="19"/>
  <c r="E68" i="19"/>
  <c r="D63" i="19"/>
  <c r="F63" i="19" s="1"/>
  <c r="E62" i="19"/>
  <c r="D61" i="19"/>
  <c r="E60" i="19"/>
  <c r="D59" i="19"/>
  <c r="E58" i="19"/>
  <c r="D57" i="19"/>
  <c r="E56" i="19"/>
  <c r="D55" i="19"/>
  <c r="E54" i="19"/>
  <c r="D53" i="19"/>
  <c r="E52" i="19"/>
  <c r="D52" i="19"/>
  <c r="F52" i="19" s="1"/>
  <c r="E51" i="19"/>
  <c r="D50" i="19"/>
  <c r="F50" i="19" s="1"/>
  <c r="E49" i="19"/>
  <c r="D48" i="19"/>
  <c r="E47" i="19"/>
  <c r="D46" i="19"/>
  <c r="E45" i="19"/>
  <c r="D44" i="19"/>
  <c r="E43" i="19"/>
  <c r="D42" i="19"/>
  <c r="E41" i="19"/>
  <c r="D40" i="19"/>
  <c r="F40" i="19" s="1"/>
  <c r="E39" i="19"/>
  <c r="D38" i="19"/>
  <c r="E37" i="19"/>
  <c r="D36" i="19"/>
  <c r="E53" i="19"/>
  <c r="D51" i="19"/>
  <c r="E50" i="19"/>
  <c r="D49" i="19"/>
  <c r="E48" i="19"/>
  <c r="D47" i="19"/>
  <c r="E46" i="19"/>
  <c r="D45" i="19"/>
  <c r="E44" i="19"/>
  <c r="D43" i="19"/>
  <c r="E42" i="19"/>
  <c r="D41" i="19"/>
  <c r="E40" i="19"/>
  <c r="D39" i="19"/>
  <c r="E38" i="19"/>
  <c r="D37" i="19"/>
  <c r="E36" i="19"/>
  <c r="E120" i="21"/>
  <c r="E104" i="21"/>
  <c r="E102" i="21"/>
  <c r="E116" i="21" s="1"/>
  <c r="E100" i="21"/>
  <c r="E98" i="21"/>
  <c r="E93" i="21"/>
  <c r="E91" i="21"/>
  <c r="E89" i="21"/>
  <c r="E87" i="21"/>
  <c r="E85" i="21"/>
  <c r="E83" i="21"/>
  <c r="E81" i="21"/>
  <c r="E79" i="21"/>
  <c r="E77" i="21"/>
  <c r="E75" i="21"/>
  <c r="E73" i="21"/>
  <c r="E71" i="21"/>
  <c r="F71" i="21" s="1"/>
  <c r="E69" i="21"/>
  <c r="E67" i="21"/>
  <c r="E63" i="21"/>
  <c r="D62" i="21"/>
  <c r="F62" i="21" s="1"/>
  <c r="E61" i="21"/>
  <c r="D60" i="21"/>
  <c r="E59" i="21"/>
  <c r="D58" i="21"/>
  <c r="E57" i="21"/>
  <c r="D56" i="21"/>
  <c r="E55" i="21"/>
  <c r="D54" i="21"/>
  <c r="E53" i="21"/>
  <c r="D52" i="21"/>
  <c r="E51" i="21"/>
  <c r="D50" i="21"/>
  <c r="F50" i="21" s="1"/>
  <c r="E49" i="21"/>
  <c r="D48" i="21"/>
  <c r="E47" i="21"/>
  <c r="D46" i="21"/>
  <c r="E45" i="21"/>
  <c r="F45" i="21" s="1"/>
  <c r="D44" i="21"/>
  <c r="E43" i="21"/>
  <c r="F43" i="21" s="1"/>
  <c r="D42" i="21"/>
  <c r="E41" i="21"/>
  <c r="D40" i="21"/>
  <c r="E39" i="21"/>
  <c r="D38" i="21"/>
  <c r="E37" i="21"/>
  <c r="D36" i="21"/>
  <c r="E103" i="21"/>
  <c r="E101" i="21"/>
  <c r="E99" i="21"/>
  <c r="E94" i="21"/>
  <c r="E92" i="21"/>
  <c r="E90" i="21"/>
  <c r="E88" i="21"/>
  <c r="E86" i="21"/>
  <c r="E84" i="21"/>
  <c r="E82" i="21"/>
  <c r="E80" i="21"/>
  <c r="E78" i="21"/>
  <c r="E76" i="21"/>
  <c r="F76" i="21" s="1"/>
  <c r="E74" i="21"/>
  <c r="F74" i="21" s="1"/>
  <c r="E72" i="21"/>
  <c r="E70" i="21"/>
  <c r="E68" i="21"/>
  <c r="D63" i="21"/>
  <c r="F63" i="21" s="1"/>
  <c r="E62" i="21"/>
  <c r="D61" i="21"/>
  <c r="E60" i="21"/>
  <c r="D59" i="21"/>
  <c r="E58" i="21"/>
  <c r="D57" i="21"/>
  <c r="E56" i="21"/>
  <c r="D55" i="21"/>
  <c r="E54" i="21"/>
  <c r="D53" i="21"/>
  <c r="E52" i="21"/>
  <c r="D51" i="21"/>
  <c r="E50" i="21"/>
  <c r="D49" i="21"/>
  <c r="E48" i="21"/>
  <c r="D47" i="21"/>
  <c r="E46" i="21"/>
  <c r="D45" i="21"/>
  <c r="E44" i="21"/>
  <c r="D43" i="21"/>
  <c r="E42" i="21"/>
  <c r="D41" i="21"/>
  <c r="E40" i="21"/>
  <c r="F40" i="21" s="1"/>
  <c r="D39" i="21"/>
  <c r="E38" i="21"/>
  <c r="D37" i="21"/>
  <c r="E36" i="21"/>
  <c r="E120" i="23"/>
  <c r="E104" i="23"/>
  <c r="E102" i="23"/>
  <c r="E116" i="23" s="1"/>
  <c r="E100" i="23"/>
  <c r="E98" i="23"/>
  <c r="E93" i="23"/>
  <c r="E91" i="23"/>
  <c r="E89" i="23"/>
  <c r="E87" i="23"/>
  <c r="E85" i="23"/>
  <c r="E83" i="23"/>
  <c r="E81" i="23"/>
  <c r="E79" i="23"/>
  <c r="E77" i="23"/>
  <c r="E75" i="23"/>
  <c r="E73" i="23"/>
  <c r="E71" i="23"/>
  <c r="E69" i="23"/>
  <c r="E67" i="23"/>
  <c r="E63" i="23"/>
  <c r="D62" i="23"/>
  <c r="F62" i="23" s="1"/>
  <c r="E61" i="23"/>
  <c r="D60" i="23"/>
  <c r="E59" i="23"/>
  <c r="D58" i="23"/>
  <c r="E57" i="23"/>
  <c r="D56" i="23"/>
  <c r="F56" i="23" s="1"/>
  <c r="E55" i="23"/>
  <c r="D54" i="23"/>
  <c r="E53" i="23"/>
  <c r="D52" i="23"/>
  <c r="F52" i="23" s="1"/>
  <c r="E51" i="23"/>
  <c r="D50" i="23"/>
  <c r="F50" i="23" s="1"/>
  <c r="E49" i="23"/>
  <c r="D48" i="23"/>
  <c r="E47" i="23"/>
  <c r="D46" i="23"/>
  <c r="F46" i="23" s="1"/>
  <c r="E45" i="23"/>
  <c r="D44" i="23"/>
  <c r="E43" i="23"/>
  <c r="D42" i="23"/>
  <c r="E41" i="23"/>
  <c r="D40" i="23"/>
  <c r="F40" i="23" s="1"/>
  <c r="E39" i="23"/>
  <c r="D38" i="23"/>
  <c r="E37" i="23"/>
  <c r="D36" i="23"/>
  <c r="E103" i="23"/>
  <c r="E101" i="23"/>
  <c r="E99" i="23"/>
  <c r="E94" i="23"/>
  <c r="E92" i="23"/>
  <c r="E90" i="23"/>
  <c r="E88" i="23"/>
  <c r="E86" i="23"/>
  <c r="E84" i="23"/>
  <c r="E82" i="23"/>
  <c r="E80" i="23"/>
  <c r="E78" i="23"/>
  <c r="E76" i="23"/>
  <c r="E74" i="23"/>
  <c r="E72" i="23"/>
  <c r="E70" i="23"/>
  <c r="E68" i="23"/>
  <c r="D63" i="23"/>
  <c r="F63" i="23" s="1"/>
  <c r="E62" i="23"/>
  <c r="D61" i="23"/>
  <c r="E60" i="23"/>
  <c r="D59" i="23"/>
  <c r="F59" i="23" s="1"/>
  <c r="E58" i="23"/>
  <c r="D57" i="23"/>
  <c r="E56" i="23"/>
  <c r="D55" i="23"/>
  <c r="F55" i="23" s="1"/>
  <c r="E54" i="23"/>
  <c r="D53" i="23"/>
  <c r="E52" i="23"/>
  <c r="D51" i="23"/>
  <c r="E50" i="23"/>
  <c r="D49" i="23"/>
  <c r="F49" i="23" s="1"/>
  <c r="E48" i="23"/>
  <c r="D47" i="23"/>
  <c r="E46" i="23"/>
  <c r="D45" i="23"/>
  <c r="F45" i="23" s="1"/>
  <c r="E44" i="23"/>
  <c r="D43" i="23"/>
  <c r="F43" i="23" s="1"/>
  <c r="E42" i="23"/>
  <c r="D41" i="23"/>
  <c r="F41" i="23" s="1"/>
  <c r="E40" i="23"/>
  <c r="D39" i="23"/>
  <c r="E38" i="23"/>
  <c r="D37" i="23"/>
  <c r="E36" i="23"/>
  <c r="E120" i="25"/>
  <c r="E104" i="25"/>
  <c r="E102" i="25"/>
  <c r="E116" i="25" s="1"/>
  <c r="E100" i="25"/>
  <c r="E98" i="25"/>
  <c r="E93" i="25"/>
  <c r="E91" i="25"/>
  <c r="E89" i="25"/>
  <c r="E87" i="25"/>
  <c r="E85" i="25"/>
  <c r="E83" i="25"/>
  <c r="E81" i="25"/>
  <c r="E79" i="25"/>
  <c r="E77" i="25"/>
  <c r="E75" i="25"/>
  <c r="E73" i="25"/>
  <c r="E71" i="25"/>
  <c r="E69" i="25"/>
  <c r="E67" i="25"/>
  <c r="E63" i="25"/>
  <c r="D62" i="25"/>
  <c r="F62" i="25" s="1"/>
  <c r="E61" i="25"/>
  <c r="D60" i="25"/>
  <c r="E59" i="25"/>
  <c r="D58" i="25"/>
  <c r="E57" i="25"/>
  <c r="D56" i="25"/>
  <c r="F56" i="25" s="1"/>
  <c r="E55" i="25"/>
  <c r="D54" i="25"/>
  <c r="E53" i="25"/>
  <c r="D52" i="25"/>
  <c r="F52" i="25" s="1"/>
  <c r="E51" i="25"/>
  <c r="D50" i="25"/>
  <c r="F50" i="25" s="1"/>
  <c r="E49" i="25"/>
  <c r="D48" i="25"/>
  <c r="E47" i="25"/>
  <c r="D46" i="25"/>
  <c r="E45" i="25"/>
  <c r="D44" i="25"/>
  <c r="E43" i="25"/>
  <c r="D42" i="25"/>
  <c r="E41" i="25"/>
  <c r="D40" i="25"/>
  <c r="F40" i="25" s="1"/>
  <c r="E39" i="25"/>
  <c r="D38" i="25"/>
  <c r="E37" i="25"/>
  <c r="D36" i="25"/>
  <c r="E103" i="25"/>
  <c r="E101" i="25"/>
  <c r="E99" i="25"/>
  <c r="E94" i="25"/>
  <c r="E92" i="25"/>
  <c r="E90" i="25"/>
  <c r="E88" i="25"/>
  <c r="E86" i="25"/>
  <c r="E84" i="25"/>
  <c r="E82" i="25"/>
  <c r="E80" i="25"/>
  <c r="E78" i="25"/>
  <c r="E76" i="25"/>
  <c r="E74" i="25"/>
  <c r="E72" i="25"/>
  <c r="E70" i="25"/>
  <c r="E68" i="25"/>
  <c r="D63" i="25"/>
  <c r="F63" i="25" s="1"/>
  <c r="E62" i="25"/>
  <c r="D61" i="25"/>
  <c r="E60" i="25"/>
  <c r="D59" i="25"/>
  <c r="E58" i="25"/>
  <c r="D57" i="25"/>
  <c r="E56" i="25"/>
  <c r="D55" i="25"/>
  <c r="F55" i="25" s="1"/>
  <c r="E54" i="25"/>
  <c r="D53" i="25"/>
  <c r="E52" i="25"/>
  <c r="D51" i="25"/>
  <c r="E50" i="25"/>
  <c r="D49" i="25"/>
  <c r="E48" i="25"/>
  <c r="D47" i="25"/>
  <c r="E46" i="25"/>
  <c r="D45" i="25"/>
  <c r="F45" i="25" s="1"/>
  <c r="E44" i="25"/>
  <c r="D43" i="25"/>
  <c r="E42" i="25"/>
  <c r="D41" i="25"/>
  <c r="E40" i="25"/>
  <c r="D39" i="25"/>
  <c r="E38" i="25"/>
  <c r="D37" i="25"/>
  <c r="E36" i="25"/>
  <c r="E120" i="27"/>
  <c r="E104" i="27"/>
  <c r="E102" i="27"/>
  <c r="E116" i="27" s="1"/>
  <c r="E100" i="27"/>
  <c r="E98" i="27"/>
  <c r="E93" i="27"/>
  <c r="E91" i="27"/>
  <c r="E89" i="27"/>
  <c r="E87" i="27"/>
  <c r="E85" i="27"/>
  <c r="E83" i="27"/>
  <c r="E81" i="27"/>
  <c r="E79" i="27"/>
  <c r="E77" i="27"/>
  <c r="E75" i="27"/>
  <c r="E73" i="27"/>
  <c r="E71" i="27"/>
  <c r="E69" i="27"/>
  <c r="E67" i="27"/>
  <c r="E63" i="27"/>
  <c r="D62" i="27"/>
  <c r="F62" i="27" s="1"/>
  <c r="E61" i="27"/>
  <c r="D60" i="27"/>
  <c r="E59" i="27"/>
  <c r="D58" i="27"/>
  <c r="E57" i="27"/>
  <c r="D56" i="27"/>
  <c r="E55" i="27"/>
  <c r="D54" i="27"/>
  <c r="E53" i="27"/>
  <c r="D52" i="27"/>
  <c r="F52" i="27" s="1"/>
  <c r="E51" i="27"/>
  <c r="D50" i="27"/>
  <c r="E49" i="27"/>
  <c r="D48" i="27"/>
  <c r="E47" i="27"/>
  <c r="D46" i="27"/>
  <c r="E45" i="27"/>
  <c r="D44" i="27"/>
  <c r="E43" i="27"/>
  <c r="D42" i="27"/>
  <c r="E41" i="27"/>
  <c r="D40" i="27"/>
  <c r="F40" i="27" s="1"/>
  <c r="E39" i="27"/>
  <c r="D38" i="27"/>
  <c r="E37" i="27"/>
  <c r="D36" i="27"/>
  <c r="E103" i="27"/>
  <c r="E101" i="27"/>
  <c r="E99" i="27"/>
  <c r="E94" i="27"/>
  <c r="E92" i="27"/>
  <c r="E90" i="27"/>
  <c r="E88" i="27"/>
  <c r="E86" i="27"/>
  <c r="E84" i="27"/>
  <c r="E82" i="27"/>
  <c r="E80" i="27"/>
  <c r="E78" i="27"/>
  <c r="E76" i="27"/>
  <c r="E74" i="27"/>
  <c r="E72" i="27"/>
  <c r="E70" i="27"/>
  <c r="E68" i="27"/>
  <c r="D63" i="27"/>
  <c r="F63" i="27" s="1"/>
  <c r="E62" i="27"/>
  <c r="D61" i="27"/>
  <c r="E60" i="27"/>
  <c r="D59" i="27"/>
  <c r="E58" i="27"/>
  <c r="D57" i="27"/>
  <c r="E56" i="27"/>
  <c r="D55" i="27"/>
  <c r="E54" i="27"/>
  <c r="D53" i="27"/>
  <c r="E52" i="27"/>
  <c r="D51" i="27"/>
  <c r="E50" i="27"/>
  <c r="D49" i="27"/>
  <c r="E48" i="27"/>
  <c r="D47" i="27"/>
  <c r="E46" i="27"/>
  <c r="D45" i="27"/>
  <c r="F45" i="27" s="1"/>
  <c r="E44" i="27"/>
  <c r="D43" i="27"/>
  <c r="E42" i="27"/>
  <c r="D41" i="27"/>
  <c r="E40" i="27"/>
  <c r="D39" i="27"/>
  <c r="E38" i="27"/>
  <c r="D37" i="27"/>
  <c r="E36" i="27"/>
  <c r="E120" i="29"/>
  <c r="E104" i="29"/>
  <c r="E102" i="29"/>
  <c r="E116" i="29" s="1"/>
  <c r="E100" i="29"/>
  <c r="E98" i="29"/>
  <c r="E93" i="29"/>
  <c r="E91" i="29"/>
  <c r="E89" i="29"/>
  <c r="E87" i="29"/>
  <c r="E85" i="29"/>
  <c r="E83" i="29"/>
  <c r="E81" i="29"/>
  <c r="E79" i="29"/>
  <c r="E77" i="29"/>
  <c r="E75" i="29"/>
  <c r="E73" i="29"/>
  <c r="E71" i="29"/>
  <c r="E69" i="29"/>
  <c r="E67" i="29"/>
  <c r="E63" i="29"/>
  <c r="D62" i="29"/>
  <c r="F62" i="29" s="1"/>
  <c r="E61" i="29"/>
  <c r="D60" i="29"/>
  <c r="E59" i="29"/>
  <c r="D58" i="29"/>
  <c r="E57" i="29"/>
  <c r="D56" i="29"/>
  <c r="E55" i="29"/>
  <c r="D54" i="29"/>
  <c r="E53" i="29"/>
  <c r="D52" i="29"/>
  <c r="F52" i="29" s="1"/>
  <c r="E51" i="29"/>
  <c r="D50" i="29"/>
  <c r="F50" i="29" s="1"/>
  <c r="E49" i="29"/>
  <c r="D48" i="29"/>
  <c r="E47" i="29"/>
  <c r="D46" i="29"/>
  <c r="E45" i="29"/>
  <c r="D44" i="29"/>
  <c r="E43" i="29"/>
  <c r="D42" i="29"/>
  <c r="E41" i="29"/>
  <c r="D40" i="29"/>
  <c r="F40" i="29" s="1"/>
  <c r="E39" i="29"/>
  <c r="D38" i="29"/>
  <c r="E37" i="29"/>
  <c r="D36" i="29"/>
  <c r="E103" i="29"/>
  <c r="E101" i="29"/>
  <c r="E99" i="29"/>
  <c r="E94" i="29"/>
  <c r="E92" i="29"/>
  <c r="E90" i="29"/>
  <c r="E88" i="29"/>
  <c r="E86" i="29"/>
  <c r="E84" i="29"/>
  <c r="E82" i="29"/>
  <c r="E80" i="29"/>
  <c r="E78" i="29"/>
  <c r="E76" i="29"/>
  <c r="E74" i="29"/>
  <c r="E72" i="29"/>
  <c r="E70" i="29"/>
  <c r="E68" i="29"/>
  <c r="D63" i="29"/>
  <c r="F63" i="29" s="1"/>
  <c r="E62" i="29"/>
  <c r="D61" i="29"/>
  <c r="E60" i="29"/>
  <c r="D59" i="29"/>
  <c r="E58" i="29"/>
  <c r="D57" i="29"/>
  <c r="E56" i="29"/>
  <c r="D55" i="29"/>
  <c r="E54" i="29"/>
  <c r="D53" i="29"/>
  <c r="E52" i="29"/>
  <c r="D51" i="29"/>
  <c r="E50" i="29"/>
  <c r="D49" i="29"/>
  <c r="E48" i="29"/>
  <c r="D47" i="29"/>
  <c r="E46" i="29"/>
  <c r="D45" i="29"/>
  <c r="E44" i="29"/>
  <c r="D43" i="29"/>
  <c r="E42" i="29"/>
  <c r="D41" i="29"/>
  <c r="E40" i="29"/>
  <c r="D39" i="29"/>
  <c r="E38" i="29"/>
  <c r="D37" i="29"/>
  <c r="E36" i="29"/>
  <c r="E120" i="31"/>
  <c r="E104" i="31"/>
  <c r="E102" i="31"/>
  <c r="E116" i="31" s="1"/>
  <c r="E100" i="31"/>
  <c r="E98" i="31"/>
  <c r="E93" i="31"/>
  <c r="E91" i="31"/>
  <c r="E89" i="31"/>
  <c r="E87" i="31"/>
  <c r="E85" i="31"/>
  <c r="E83" i="31"/>
  <c r="E81" i="31"/>
  <c r="E79" i="31"/>
  <c r="E77" i="31"/>
  <c r="E75" i="31"/>
  <c r="E73" i="31"/>
  <c r="E71" i="31"/>
  <c r="E69" i="31"/>
  <c r="E67" i="31"/>
  <c r="E63" i="31"/>
  <c r="D62" i="31"/>
  <c r="F62" i="31" s="1"/>
  <c r="E61" i="31"/>
  <c r="D60" i="31"/>
  <c r="E59" i="31"/>
  <c r="D58" i="31"/>
  <c r="E57" i="31"/>
  <c r="D56" i="31"/>
  <c r="E55" i="31"/>
  <c r="D54" i="31"/>
  <c r="E53" i="31"/>
  <c r="D52" i="31"/>
  <c r="E51" i="31"/>
  <c r="D50" i="31"/>
  <c r="F50" i="31" s="1"/>
  <c r="E49" i="31"/>
  <c r="D48" i="31"/>
  <c r="E47" i="31"/>
  <c r="D46" i="31"/>
  <c r="E45" i="31"/>
  <c r="D44" i="31"/>
  <c r="E43" i="31"/>
  <c r="D42" i="31"/>
  <c r="E41" i="31"/>
  <c r="D40" i="31"/>
  <c r="F40" i="31" s="1"/>
  <c r="E39" i="31"/>
  <c r="D38" i="31"/>
  <c r="E37" i="31"/>
  <c r="D36" i="31"/>
  <c r="E103" i="31"/>
  <c r="E101" i="31"/>
  <c r="E99" i="31"/>
  <c r="E94" i="31"/>
  <c r="E92" i="31"/>
  <c r="E90" i="31"/>
  <c r="E88" i="31"/>
  <c r="E86" i="31"/>
  <c r="E84" i="31"/>
  <c r="E82" i="31"/>
  <c r="E80" i="31"/>
  <c r="E78" i="31"/>
  <c r="E76" i="31"/>
  <c r="E74" i="31"/>
  <c r="E72" i="31"/>
  <c r="E70" i="31"/>
  <c r="E68" i="31"/>
  <c r="D63" i="31"/>
  <c r="F63" i="31" s="1"/>
  <c r="E62" i="31"/>
  <c r="D61" i="31"/>
  <c r="E60" i="31"/>
  <c r="D59" i="31"/>
  <c r="E58" i="31"/>
  <c r="D57" i="31"/>
  <c r="E56" i="31"/>
  <c r="D55" i="31"/>
  <c r="F55" i="31" s="1"/>
  <c r="E54" i="31"/>
  <c r="D53" i="31"/>
  <c r="E52" i="31"/>
  <c r="D51" i="31"/>
  <c r="E50" i="31"/>
  <c r="D49" i="31"/>
  <c r="E48" i="31"/>
  <c r="D47" i="31"/>
  <c r="E46" i="31"/>
  <c r="D45" i="31"/>
  <c r="E44" i="31"/>
  <c r="D43" i="31"/>
  <c r="F43" i="31" s="1"/>
  <c r="E42" i="31"/>
  <c r="D41" i="31"/>
  <c r="E40" i="31"/>
  <c r="D39" i="31"/>
  <c r="E38" i="31"/>
  <c r="D37" i="31"/>
  <c r="F37" i="31" s="1"/>
  <c r="E36" i="31"/>
  <c r="E120" i="33"/>
  <c r="F120" i="33" s="1"/>
  <c r="E104" i="33"/>
  <c r="E102" i="33"/>
  <c r="E116" i="33" s="1"/>
  <c r="E100" i="33"/>
  <c r="E98" i="33"/>
  <c r="E93" i="33"/>
  <c r="E91" i="33"/>
  <c r="E89" i="33"/>
  <c r="E87" i="33"/>
  <c r="E85" i="33"/>
  <c r="E83" i="33"/>
  <c r="E81" i="33"/>
  <c r="E79" i="33"/>
  <c r="E77" i="33"/>
  <c r="E75" i="33"/>
  <c r="E73" i="33"/>
  <c r="E71" i="33"/>
  <c r="F71" i="33" s="1"/>
  <c r="E69" i="33"/>
  <c r="E67" i="33"/>
  <c r="E63" i="33"/>
  <c r="D62" i="33"/>
  <c r="F62" i="33" s="1"/>
  <c r="E61" i="33"/>
  <c r="D60" i="33"/>
  <c r="E59" i="33"/>
  <c r="D58" i="33"/>
  <c r="E57" i="33"/>
  <c r="D56" i="33"/>
  <c r="E55" i="33"/>
  <c r="D54" i="33"/>
  <c r="E53" i="33"/>
  <c r="D52" i="33"/>
  <c r="F52" i="33" s="1"/>
  <c r="E51" i="33"/>
  <c r="D50" i="33"/>
  <c r="F50" i="33" s="1"/>
  <c r="E49" i="33"/>
  <c r="D48" i="33"/>
  <c r="E47" i="33"/>
  <c r="D46" i="33"/>
  <c r="E45" i="33"/>
  <c r="D44" i="33"/>
  <c r="E43" i="33"/>
  <c r="D42" i="33"/>
  <c r="E41" i="33"/>
  <c r="D40" i="33"/>
  <c r="E39" i="33"/>
  <c r="D38" i="33"/>
  <c r="E37" i="33"/>
  <c r="D36" i="33"/>
  <c r="E103" i="33"/>
  <c r="E101" i="33"/>
  <c r="E99" i="33"/>
  <c r="E94" i="33"/>
  <c r="E92" i="33"/>
  <c r="E90" i="33"/>
  <c r="E88" i="33"/>
  <c r="E86" i="33"/>
  <c r="E84" i="33"/>
  <c r="E82" i="33"/>
  <c r="E80" i="33"/>
  <c r="E78" i="33"/>
  <c r="E76" i="33"/>
  <c r="E74" i="33"/>
  <c r="E72" i="33"/>
  <c r="E70" i="33"/>
  <c r="E68" i="33"/>
  <c r="D63" i="33"/>
  <c r="F63" i="33" s="1"/>
  <c r="E62" i="33"/>
  <c r="D61" i="33"/>
  <c r="E60" i="33"/>
  <c r="D59" i="33"/>
  <c r="E58" i="33"/>
  <c r="D57" i="33"/>
  <c r="E56" i="33"/>
  <c r="D55" i="33"/>
  <c r="E54" i="33"/>
  <c r="D53" i="33"/>
  <c r="E52" i="33"/>
  <c r="D51" i="33"/>
  <c r="E50" i="33"/>
  <c r="D49" i="33"/>
  <c r="E48" i="33"/>
  <c r="D47" i="33"/>
  <c r="E46" i="33"/>
  <c r="D45" i="33"/>
  <c r="F45" i="33" s="1"/>
  <c r="E44" i="33"/>
  <c r="D43" i="33"/>
  <c r="E42" i="33"/>
  <c r="D41" i="33"/>
  <c r="E40" i="33"/>
  <c r="F40" i="33" s="1"/>
  <c r="D39" i="33"/>
  <c r="E38" i="33"/>
  <c r="D37" i="33"/>
  <c r="E36" i="33"/>
  <c r="E120" i="35"/>
  <c r="E104" i="35"/>
  <c r="E102" i="35"/>
  <c r="E116" i="35" s="1"/>
  <c r="E100" i="35"/>
  <c r="E98" i="35"/>
  <c r="E93" i="35"/>
  <c r="E91" i="35"/>
  <c r="E89" i="35"/>
  <c r="E87" i="35"/>
  <c r="E85" i="35"/>
  <c r="E83" i="35"/>
  <c r="E81" i="35"/>
  <c r="E79" i="35"/>
  <c r="E77" i="35"/>
  <c r="E75" i="35"/>
  <c r="E73" i="35"/>
  <c r="E71" i="35"/>
  <c r="E69" i="35"/>
  <c r="E67" i="35"/>
  <c r="E63" i="35"/>
  <c r="D62" i="35"/>
  <c r="F62" i="35" s="1"/>
  <c r="E61" i="35"/>
  <c r="D60" i="35"/>
  <c r="E59" i="35"/>
  <c r="D58" i="35"/>
  <c r="E57" i="35"/>
  <c r="D56" i="35"/>
  <c r="E55" i="35"/>
  <c r="D54" i="35"/>
  <c r="E53" i="35"/>
  <c r="D52" i="35"/>
  <c r="F52" i="35" s="1"/>
  <c r="E51" i="35"/>
  <c r="D50" i="35"/>
  <c r="F50" i="35" s="1"/>
  <c r="E49" i="35"/>
  <c r="D48" i="35"/>
  <c r="E47" i="35"/>
  <c r="D46" i="35"/>
  <c r="E45" i="35"/>
  <c r="D44" i="35"/>
  <c r="E43" i="35"/>
  <c r="F43" i="35" s="1"/>
  <c r="D42" i="35"/>
  <c r="E41" i="35"/>
  <c r="D40" i="35"/>
  <c r="F40" i="35" s="1"/>
  <c r="E39" i="35"/>
  <c r="D38" i="35"/>
  <c r="E37" i="35"/>
  <c r="D36" i="35"/>
  <c r="E103" i="35"/>
  <c r="E101" i="35"/>
  <c r="E99" i="35"/>
  <c r="E94" i="35"/>
  <c r="E92" i="35"/>
  <c r="E90" i="35"/>
  <c r="E88" i="35"/>
  <c r="E86" i="35"/>
  <c r="E84" i="35"/>
  <c r="E82" i="35"/>
  <c r="E80" i="35"/>
  <c r="E78" i="35"/>
  <c r="E76" i="35"/>
  <c r="E74" i="35"/>
  <c r="F74" i="35" s="1"/>
  <c r="E72" i="35"/>
  <c r="E70" i="35"/>
  <c r="E68" i="35"/>
  <c r="D63" i="35"/>
  <c r="F63" i="35" s="1"/>
  <c r="E62" i="35"/>
  <c r="D61" i="35"/>
  <c r="E60" i="35"/>
  <c r="D59" i="35"/>
  <c r="E58" i="35"/>
  <c r="D57" i="35"/>
  <c r="E56" i="35"/>
  <c r="D55" i="35"/>
  <c r="E54" i="35"/>
  <c r="D53" i="35"/>
  <c r="E52" i="35"/>
  <c r="D51" i="35"/>
  <c r="E50" i="35"/>
  <c r="D49" i="35"/>
  <c r="E48" i="35"/>
  <c r="D47" i="35"/>
  <c r="E46" i="35"/>
  <c r="D45" i="35"/>
  <c r="E44" i="35"/>
  <c r="D43" i="35"/>
  <c r="E42" i="35"/>
  <c r="D41" i="35"/>
  <c r="E40" i="35"/>
  <c r="D39" i="35"/>
  <c r="E38" i="35"/>
  <c r="D37" i="35"/>
  <c r="E36" i="35"/>
  <c r="E120" i="37"/>
  <c r="F120" i="37" s="1"/>
  <c r="E104" i="37"/>
  <c r="E102" i="37"/>
  <c r="E116" i="37" s="1"/>
  <c r="E100" i="37"/>
  <c r="E98" i="37"/>
  <c r="E93" i="37"/>
  <c r="E91" i="37"/>
  <c r="E89" i="37"/>
  <c r="E87" i="37"/>
  <c r="E85" i="37"/>
  <c r="E83" i="37"/>
  <c r="E81" i="37"/>
  <c r="E79" i="37"/>
  <c r="E77" i="37"/>
  <c r="E75" i="37"/>
  <c r="E73" i="37"/>
  <c r="E71" i="37"/>
  <c r="E69" i="37"/>
  <c r="E67" i="37"/>
  <c r="E63" i="37"/>
  <c r="D62" i="37"/>
  <c r="F62" i="37" s="1"/>
  <c r="E61" i="37"/>
  <c r="D60" i="37"/>
  <c r="E59" i="37"/>
  <c r="D58" i="37"/>
  <c r="E57" i="37"/>
  <c r="D56" i="37"/>
  <c r="E55" i="37"/>
  <c r="D54" i="37"/>
  <c r="E53" i="37"/>
  <c r="D52" i="37"/>
  <c r="E51" i="37"/>
  <c r="D50" i="37"/>
  <c r="F50" i="37" s="1"/>
  <c r="E49" i="37"/>
  <c r="D48" i="37"/>
  <c r="E47" i="37"/>
  <c r="D46" i="37"/>
  <c r="E45" i="37"/>
  <c r="D44" i="37"/>
  <c r="E43" i="37"/>
  <c r="D42" i="37"/>
  <c r="E41" i="37"/>
  <c r="D40" i="37"/>
  <c r="F40" i="37" s="1"/>
  <c r="E39" i="37"/>
  <c r="D38" i="37"/>
  <c r="E37" i="37"/>
  <c r="D36" i="37"/>
  <c r="E103" i="37"/>
  <c r="E101" i="37"/>
  <c r="E99" i="37"/>
  <c r="E94" i="37"/>
  <c r="E92" i="37"/>
  <c r="E90" i="37"/>
  <c r="E88" i="37"/>
  <c r="E86" i="37"/>
  <c r="E84" i="37"/>
  <c r="E82" i="37"/>
  <c r="E80" i="37"/>
  <c r="E78" i="37"/>
  <c r="E76" i="37"/>
  <c r="E74" i="37"/>
  <c r="E72" i="37"/>
  <c r="E70" i="37"/>
  <c r="E68" i="37"/>
  <c r="D63" i="37"/>
  <c r="F63" i="37" s="1"/>
  <c r="E62" i="37"/>
  <c r="D61" i="37"/>
  <c r="E60" i="37"/>
  <c r="D59" i="37"/>
  <c r="E58" i="37"/>
  <c r="D57" i="37"/>
  <c r="E56" i="37"/>
  <c r="D55" i="37"/>
  <c r="E54" i="37"/>
  <c r="D53" i="37"/>
  <c r="E52" i="37"/>
  <c r="D51" i="37"/>
  <c r="E50" i="37"/>
  <c r="D49" i="37"/>
  <c r="E48" i="37"/>
  <c r="D47" i="37"/>
  <c r="E46" i="37"/>
  <c r="D45" i="37"/>
  <c r="E44" i="37"/>
  <c r="D43" i="37"/>
  <c r="E42" i="37"/>
  <c r="D41" i="37"/>
  <c r="E40" i="37"/>
  <c r="D39" i="37"/>
  <c r="E38" i="37"/>
  <c r="D37" i="37"/>
  <c r="E36" i="37"/>
  <c r="E120" i="39"/>
  <c r="E104" i="39"/>
  <c r="E102" i="39"/>
  <c r="E116" i="39" s="1"/>
  <c r="E100" i="39"/>
  <c r="E98" i="39"/>
  <c r="E93" i="39"/>
  <c r="E91" i="39"/>
  <c r="E89" i="39"/>
  <c r="E87" i="39"/>
  <c r="E85" i="39"/>
  <c r="E83" i="39"/>
  <c r="E81" i="39"/>
  <c r="E79" i="39"/>
  <c r="E77" i="39"/>
  <c r="E75" i="39"/>
  <c r="E73" i="39"/>
  <c r="E71" i="39"/>
  <c r="E69" i="39"/>
  <c r="E67" i="39"/>
  <c r="E63" i="39"/>
  <c r="D62" i="39"/>
  <c r="F62" i="39" s="1"/>
  <c r="E61" i="39"/>
  <c r="D60" i="39"/>
  <c r="E59" i="39"/>
  <c r="D58" i="39"/>
  <c r="E57" i="39"/>
  <c r="D56" i="39"/>
  <c r="E55" i="39"/>
  <c r="D54" i="39"/>
  <c r="E53" i="39"/>
  <c r="D52" i="39"/>
  <c r="F52" i="39" s="1"/>
  <c r="E51" i="39"/>
  <c r="D50" i="39"/>
  <c r="F50" i="39" s="1"/>
  <c r="E49" i="39"/>
  <c r="D48" i="39"/>
  <c r="E47" i="39"/>
  <c r="D46" i="39"/>
  <c r="E45" i="39"/>
  <c r="D44" i="39"/>
  <c r="E43" i="39"/>
  <c r="D42" i="39"/>
  <c r="E41" i="39"/>
  <c r="D40" i="39"/>
  <c r="F40" i="39" s="1"/>
  <c r="E39" i="39"/>
  <c r="D38" i="39"/>
  <c r="E37" i="39"/>
  <c r="D36" i="39"/>
  <c r="E103" i="39"/>
  <c r="E101" i="39"/>
  <c r="E99" i="39"/>
  <c r="E94" i="39"/>
  <c r="E92" i="39"/>
  <c r="E90" i="39"/>
  <c r="E88" i="39"/>
  <c r="E86" i="39"/>
  <c r="E84" i="39"/>
  <c r="E82" i="39"/>
  <c r="E80" i="39"/>
  <c r="E78" i="39"/>
  <c r="E76" i="39"/>
  <c r="E74" i="39"/>
  <c r="E72" i="39"/>
  <c r="E70" i="39"/>
  <c r="E68" i="39"/>
  <c r="D63" i="39"/>
  <c r="F63" i="39" s="1"/>
  <c r="E62" i="39"/>
  <c r="D61" i="39"/>
  <c r="E60" i="39"/>
  <c r="D59" i="39"/>
  <c r="E58" i="39"/>
  <c r="D57" i="39"/>
  <c r="E56" i="39"/>
  <c r="D55" i="39"/>
  <c r="E54" i="39"/>
  <c r="D53" i="39"/>
  <c r="E52" i="39"/>
  <c r="D51" i="39"/>
  <c r="E50" i="39"/>
  <c r="D49" i="39"/>
  <c r="E48" i="39"/>
  <c r="D47" i="39"/>
  <c r="E46" i="39"/>
  <c r="D45" i="39"/>
  <c r="E44" i="39"/>
  <c r="D43" i="39"/>
  <c r="E42" i="39"/>
  <c r="D41" i="39"/>
  <c r="E40" i="39"/>
  <c r="D39" i="39"/>
  <c r="E38" i="39"/>
  <c r="D37" i="39"/>
  <c r="E36" i="39"/>
  <c r="E103" i="41"/>
  <c r="E101" i="41"/>
  <c r="E99" i="41"/>
  <c r="E94" i="41"/>
  <c r="E92" i="41"/>
  <c r="E90" i="41"/>
  <c r="E88" i="41"/>
  <c r="E86" i="41"/>
  <c r="E84" i="41"/>
  <c r="E82" i="41"/>
  <c r="E80" i="41"/>
  <c r="E78" i="41"/>
  <c r="E76" i="41"/>
  <c r="E74" i="41"/>
  <c r="E72" i="41"/>
  <c r="F72" i="41" s="1"/>
  <c r="E70" i="41"/>
  <c r="E68" i="41"/>
  <c r="D63" i="41"/>
  <c r="F63" i="41" s="1"/>
  <c r="E62" i="41"/>
  <c r="D61" i="41"/>
  <c r="E60" i="41"/>
  <c r="D59" i="41"/>
  <c r="E58" i="41"/>
  <c r="D57" i="41"/>
  <c r="E56" i="41"/>
  <c r="D55" i="41"/>
  <c r="F55" i="41" s="1"/>
  <c r="E54" i="41"/>
  <c r="D53" i="41"/>
  <c r="E52" i="41"/>
  <c r="D51" i="41"/>
  <c r="E50" i="41"/>
  <c r="D49" i="41"/>
  <c r="E48" i="41"/>
  <c r="D47" i="41"/>
  <c r="E46" i="41"/>
  <c r="D45" i="41"/>
  <c r="E44" i="41"/>
  <c r="D43" i="41"/>
  <c r="E42" i="41"/>
  <c r="D41" i="41"/>
  <c r="E40" i="41"/>
  <c r="D39" i="41"/>
  <c r="E38" i="41"/>
  <c r="D37" i="41"/>
  <c r="E36" i="41"/>
  <c r="E120" i="41"/>
  <c r="E104" i="41"/>
  <c r="E102" i="41"/>
  <c r="E116" i="41" s="1"/>
  <c r="E100" i="41"/>
  <c r="E98" i="41"/>
  <c r="E93" i="41"/>
  <c r="E91" i="41"/>
  <c r="E89" i="41"/>
  <c r="E87" i="41"/>
  <c r="E85" i="41"/>
  <c r="E83" i="41"/>
  <c r="E81" i="41"/>
  <c r="E79" i="41"/>
  <c r="E77" i="41"/>
  <c r="E75" i="41"/>
  <c r="E73" i="41"/>
  <c r="E71" i="41"/>
  <c r="E69" i="41"/>
  <c r="E67" i="41"/>
  <c r="E63" i="41"/>
  <c r="D62" i="41"/>
  <c r="F62" i="41" s="1"/>
  <c r="E61" i="41"/>
  <c r="D60" i="41"/>
  <c r="E59" i="41"/>
  <c r="D58" i="41"/>
  <c r="E57" i="41"/>
  <c r="D56" i="41"/>
  <c r="E55" i="41"/>
  <c r="D54" i="41"/>
  <c r="E53" i="41"/>
  <c r="D52" i="41"/>
  <c r="F52" i="41" s="1"/>
  <c r="E51" i="41"/>
  <c r="D50" i="41"/>
  <c r="F50" i="41" s="1"/>
  <c r="E49" i="41"/>
  <c r="D48" i="41"/>
  <c r="E47" i="41"/>
  <c r="D46" i="41"/>
  <c r="E45" i="41"/>
  <c r="D44" i="41"/>
  <c r="E43" i="41"/>
  <c r="D42" i="41"/>
  <c r="E41" i="41"/>
  <c r="F41" i="41" s="1"/>
  <c r="D40" i="41"/>
  <c r="F40" i="41" s="1"/>
  <c r="E39" i="41"/>
  <c r="D38" i="41"/>
  <c r="E37" i="41"/>
  <c r="D36" i="41"/>
  <c r="E103" i="43"/>
  <c r="E101" i="43"/>
  <c r="E99" i="43"/>
  <c r="E94" i="43"/>
  <c r="E92" i="43"/>
  <c r="E90" i="43"/>
  <c r="E88" i="43"/>
  <c r="E86" i="43"/>
  <c r="E84" i="43"/>
  <c r="E82" i="43"/>
  <c r="E80" i="43"/>
  <c r="E78" i="43"/>
  <c r="E76" i="43"/>
  <c r="E74" i="43"/>
  <c r="E72" i="43"/>
  <c r="E70" i="43"/>
  <c r="E68" i="43"/>
  <c r="D63" i="43"/>
  <c r="F63" i="43" s="1"/>
  <c r="E62" i="43"/>
  <c r="D61" i="43"/>
  <c r="E60" i="43"/>
  <c r="D59" i="43"/>
  <c r="E58" i="43"/>
  <c r="D57" i="43"/>
  <c r="E56" i="43"/>
  <c r="D55" i="43"/>
  <c r="E54" i="43"/>
  <c r="D53" i="43"/>
  <c r="E52" i="43"/>
  <c r="D51" i="43"/>
  <c r="E50" i="43"/>
  <c r="D49" i="43"/>
  <c r="E48" i="43"/>
  <c r="D47" i="43"/>
  <c r="E46" i="43"/>
  <c r="D45" i="43"/>
  <c r="E44" i="43"/>
  <c r="D43" i="43"/>
  <c r="E42" i="43"/>
  <c r="D41" i="43"/>
  <c r="E40" i="43"/>
  <c r="D39" i="43"/>
  <c r="E38" i="43"/>
  <c r="D37" i="43"/>
  <c r="E36" i="43"/>
  <c r="E120" i="43"/>
  <c r="E104" i="43"/>
  <c r="E102" i="43"/>
  <c r="E116" i="43" s="1"/>
  <c r="E100" i="43"/>
  <c r="E98" i="43"/>
  <c r="E93" i="43"/>
  <c r="E91" i="43"/>
  <c r="E89" i="43"/>
  <c r="E87" i="43"/>
  <c r="E85" i="43"/>
  <c r="E83" i="43"/>
  <c r="E81" i="43"/>
  <c r="E79" i="43"/>
  <c r="E77" i="43"/>
  <c r="E75" i="43"/>
  <c r="E73" i="43"/>
  <c r="E71" i="43"/>
  <c r="E69" i="43"/>
  <c r="E67" i="43"/>
  <c r="E63" i="43"/>
  <c r="D62" i="43"/>
  <c r="F62" i="43" s="1"/>
  <c r="E61" i="43"/>
  <c r="D60" i="43"/>
  <c r="E59" i="43"/>
  <c r="D58" i="43"/>
  <c r="E57" i="43"/>
  <c r="D56" i="43"/>
  <c r="E55" i="43"/>
  <c r="D54" i="43"/>
  <c r="E53" i="43"/>
  <c r="D52" i="43"/>
  <c r="E51" i="43"/>
  <c r="D50" i="43"/>
  <c r="E49" i="43"/>
  <c r="D48" i="43"/>
  <c r="E47" i="43"/>
  <c r="D46" i="43"/>
  <c r="E45" i="43"/>
  <c r="D44" i="43"/>
  <c r="E43" i="43"/>
  <c r="D42" i="43"/>
  <c r="E41" i="43"/>
  <c r="D40" i="43"/>
  <c r="F40" i="43" s="1"/>
  <c r="E39" i="43"/>
  <c r="D38" i="43"/>
  <c r="E37" i="43"/>
  <c r="D36" i="43"/>
  <c r="E103" i="45"/>
  <c r="E101" i="45"/>
  <c r="E99" i="45"/>
  <c r="E94" i="45"/>
  <c r="E92" i="45"/>
  <c r="E90" i="45"/>
  <c r="E88" i="45"/>
  <c r="E86" i="45"/>
  <c r="E84" i="45"/>
  <c r="E82" i="45"/>
  <c r="E80" i="45"/>
  <c r="E78" i="45"/>
  <c r="E76" i="45"/>
  <c r="E74" i="45"/>
  <c r="E72" i="45"/>
  <c r="E70" i="45"/>
  <c r="E68" i="45"/>
  <c r="D63" i="45"/>
  <c r="F63" i="45" s="1"/>
  <c r="E62" i="45"/>
  <c r="D61" i="45"/>
  <c r="E60" i="45"/>
  <c r="D59" i="45"/>
  <c r="E58" i="45"/>
  <c r="D57" i="45"/>
  <c r="E56" i="45"/>
  <c r="D55" i="45"/>
  <c r="F55" i="45" s="1"/>
  <c r="E54" i="45"/>
  <c r="D53" i="45"/>
  <c r="F53" i="45" s="1"/>
  <c r="E52" i="45"/>
  <c r="D51" i="45"/>
  <c r="E50" i="45"/>
  <c r="D49" i="45"/>
  <c r="E48" i="45"/>
  <c r="D47" i="45"/>
  <c r="E46" i="45"/>
  <c r="D45" i="45"/>
  <c r="E44" i="45"/>
  <c r="D43" i="45"/>
  <c r="E42" i="45"/>
  <c r="D41" i="45"/>
  <c r="E40" i="45"/>
  <c r="F40" i="45" s="1"/>
  <c r="D39" i="45"/>
  <c r="E38" i="45"/>
  <c r="D37" i="45"/>
  <c r="E36" i="45"/>
  <c r="E120" i="45"/>
  <c r="F120" i="45" s="1"/>
  <c r="E104" i="45"/>
  <c r="E102" i="45"/>
  <c r="E116" i="45" s="1"/>
  <c r="E100" i="45"/>
  <c r="E98" i="45"/>
  <c r="E93" i="45"/>
  <c r="E91" i="45"/>
  <c r="E89" i="45"/>
  <c r="E87" i="45"/>
  <c r="E85" i="45"/>
  <c r="E83" i="45"/>
  <c r="E81" i="45"/>
  <c r="E79" i="45"/>
  <c r="E77" i="45"/>
  <c r="E75" i="45"/>
  <c r="E73" i="45"/>
  <c r="E71" i="45"/>
  <c r="F71" i="45" s="1"/>
  <c r="E69" i="45"/>
  <c r="E67" i="45"/>
  <c r="E63" i="45"/>
  <c r="D62" i="45"/>
  <c r="F62" i="45" s="1"/>
  <c r="E61" i="45"/>
  <c r="D60" i="45"/>
  <c r="E59" i="45"/>
  <c r="D58" i="45"/>
  <c r="E57" i="45"/>
  <c r="D56" i="45"/>
  <c r="F56" i="45" s="1"/>
  <c r="E55" i="45"/>
  <c r="D54" i="45"/>
  <c r="E53" i="45"/>
  <c r="D52" i="45"/>
  <c r="E51" i="45"/>
  <c r="D50" i="45"/>
  <c r="E49" i="45"/>
  <c r="D48" i="45"/>
  <c r="E47" i="45"/>
  <c r="D46" i="45"/>
  <c r="E45" i="45"/>
  <c r="D44" i="45"/>
  <c r="E43" i="45"/>
  <c r="D42" i="45"/>
  <c r="E41" i="45"/>
  <c r="D40" i="45"/>
  <c r="E39" i="45"/>
  <c r="D38" i="45"/>
  <c r="E37" i="45"/>
  <c r="D36" i="45"/>
  <c r="E103" i="47"/>
  <c r="E101" i="47"/>
  <c r="E99" i="47"/>
  <c r="E94" i="47"/>
  <c r="E92" i="47"/>
  <c r="E90" i="47"/>
  <c r="E88" i="47"/>
  <c r="E86" i="47"/>
  <c r="E84" i="47"/>
  <c r="E82" i="47"/>
  <c r="E80" i="47"/>
  <c r="E78" i="47"/>
  <c r="E76" i="47"/>
  <c r="E74" i="47"/>
  <c r="E72" i="47"/>
  <c r="E70" i="47"/>
  <c r="E68" i="47"/>
  <c r="D63" i="47"/>
  <c r="F63" i="47" s="1"/>
  <c r="E62" i="47"/>
  <c r="D61" i="47"/>
  <c r="F61" i="47" s="1"/>
  <c r="E60" i="47"/>
  <c r="D59" i="47"/>
  <c r="F59" i="47" s="1"/>
  <c r="E58" i="47"/>
  <c r="D57" i="47"/>
  <c r="F57" i="47" s="1"/>
  <c r="E56" i="47"/>
  <c r="D55" i="47"/>
  <c r="F55" i="47" s="1"/>
  <c r="E54" i="47"/>
  <c r="D53" i="47"/>
  <c r="F53" i="47" s="1"/>
  <c r="E52" i="47"/>
  <c r="D51" i="47"/>
  <c r="F51" i="47" s="1"/>
  <c r="E50" i="47"/>
  <c r="D49" i="47"/>
  <c r="F49" i="47" s="1"/>
  <c r="E48" i="47"/>
  <c r="D47" i="47"/>
  <c r="F47" i="47" s="1"/>
  <c r="E46" i="47"/>
  <c r="D45" i="47"/>
  <c r="F45" i="47" s="1"/>
  <c r="E44" i="47"/>
  <c r="D43" i="47"/>
  <c r="F43" i="47" s="1"/>
  <c r="E42" i="47"/>
  <c r="D41" i="47"/>
  <c r="F41" i="47" s="1"/>
  <c r="E40" i="47"/>
  <c r="D39" i="47"/>
  <c r="F39" i="47" s="1"/>
  <c r="E38" i="47"/>
  <c r="D37" i="47"/>
  <c r="F37" i="47" s="1"/>
  <c r="E36" i="47"/>
  <c r="E120" i="47"/>
  <c r="E104" i="47"/>
  <c r="E102" i="47"/>
  <c r="E116" i="47" s="1"/>
  <c r="E100" i="47"/>
  <c r="E98" i="47"/>
  <c r="E93" i="47"/>
  <c r="E91" i="47"/>
  <c r="E89" i="47"/>
  <c r="E87" i="47"/>
  <c r="E85" i="47"/>
  <c r="E83" i="47"/>
  <c r="E81" i="47"/>
  <c r="E79" i="47"/>
  <c r="E77" i="47"/>
  <c r="E75" i="47"/>
  <c r="E73" i="47"/>
  <c r="E71" i="47"/>
  <c r="E69" i="47"/>
  <c r="E67" i="47"/>
  <c r="E63" i="47"/>
  <c r="D62" i="47"/>
  <c r="F62" i="47" s="1"/>
  <c r="E61" i="47"/>
  <c r="D60" i="47"/>
  <c r="F60" i="47" s="1"/>
  <c r="E59" i="47"/>
  <c r="D58" i="47"/>
  <c r="F58" i="47" s="1"/>
  <c r="E57" i="47"/>
  <c r="D56" i="47"/>
  <c r="F56" i="47" s="1"/>
  <c r="E55" i="47"/>
  <c r="D54" i="47"/>
  <c r="F54" i="47" s="1"/>
  <c r="E53" i="47"/>
  <c r="D52" i="47"/>
  <c r="F52" i="47" s="1"/>
  <c r="E51" i="47"/>
  <c r="D50" i="47"/>
  <c r="F50" i="47" s="1"/>
  <c r="E49" i="47"/>
  <c r="D48" i="47"/>
  <c r="F48" i="47" s="1"/>
  <c r="E47" i="47"/>
  <c r="D46" i="47"/>
  <c r="F46" i="47" s="1"/>
  <c r="E45" i="47"/>
  <c r="D44" i="47"/>
  <c r="F44" i="47" s="1"/>
  <c r="E43" i="47"/>
  <c r="D42" i="47"/>
  <c r="F42" i="47" s="1"/>
  <c r="E41" i="47"/>
  <c r="D40" i="47"/>
  <c r="F40" i="47" s="1"/>
  <c r="E39" i="47"/>
  <c r="D38" i="47"/>
  <c r="F38" i="47" s="1"/>
  <c r="E37" i="47"/>
  <c r="D36" i="47"/>
  <c r="F36" i="47" s="1"/>
  <c r="E103" i="49"/>
  <c r="E101" i="49"/>
  <c r="E99" i="49"/>
  <c r="E94" i="49"/>
  <c r="E92" i="49"/>
  <c r="E90" i="49"/>
  <c r="E88" i="49"/>
  <c r="E86" i="49"/>
  <c r="E84" i="49"/>
  <c r="E82" i="49"/>
  <c r="E80" i="49"/>
  <c r="E78" i="49"/>
  <c r="E76" i="49"/>
  <c r="E74" i="49"/>
  <c r="E72" i="49"/>
  <c r="E70" i="49"/>
  <c r="E68" i="49"/>
  <c r="D63" i="49"/>
  <c r="F63" i="49" s="1"/>
  <c r="E62" i="49"/>
  <c r="D61" i="49"/>
  <c r="E60" i="49"/>
  <c r="D59" i="49"/>
  <c r="E58" i="49"/>
  <c r="D57" i="49"/>
  <c r="F57" i="49" s="1"/>
  <c r="E56" i="49"/>
  <c r="D55" i="49"/>
  <c r="E54" i="49"/>
  <c r="D53" i="49"/>
  <c r="E52" i="49"/>
  <c r="D51" i="49"/>
  <c r="E50" i="49"/>
  <c r="D49" i="49"/>
  <c r="E48" i="49"/>
  <c r="D47" i="49"/>
  <c r="E46" i="49"/>
  <c r="D45" i="49"/>
  <c r="F45" i="49" s="1"/>
  <c r="E44" i="49"/>
  <c r="D43" i="49"/>
  <c r="E42" i="49"/>
  <c r="D41" i="49"/>
  <c r="F41" i="49" s="1"/>
  <c r="E40" i="49"/>
  <c r="D39" i="49"/>
  <c r="E38" i="49"/>
  <c r="D37" i="49"/>
  <c r="E36" i="49"/>
  <c r="E120" i="49"/>
  <c r="E104" i="49"/>
  <c r="E102" i="49"/>
  <c r="E116" i="49" s="1"/>
  <c r="E100" i="49"/>
  <c r="E98" i="49"/>
  <c r="E93" i="49"/>
  <c r="E91" i="49"/>
  <c r="E89" i="49"/>
  <c r="E87" i="49"/>
  <c r="E85" i="49"/>
  <c r="E83" i="49"/>
  <c r="E81" i="49"/>
  <c r="E79" i="49"/>
  <c r="E77" i="49"/>
  <c r="E75" i="49"/>
  <c r="E73" i="49"/>
  <c r="E71" i="49"/>
  <c r="E69" i="49"/>
  <c r="E67" i="49"/>
  <c r="E63" i="49"/>
  <c r="D62" i="49"/>
  <c r="F62" i="49" s="1"/>
  <c r="E61" i="49"/>
  <c r="D60" i="49"/>
  <c r="E59" i="49"/>
  <c r="D58" i="49"/>
  <c r="E57" i="49"/>
  <c r="D56" i="49"/>
  <c r="F56" i="49" s="1"/>
  <c r="E55" i="49"/>
  <c r="D54" i="49"/>
  <c r="E53" i="49"/>
  <c r="D52" i="49"/>
  <c r="E51" i="49"/>
  <c r="D50" i="49"/>
  <c r="F50" i="49" s="1"/>
  <c r="E49" i="49"/>
  <c r="D48" i="49"/>
  <c r="E47" i="49"/>
  <c r="D46" i="49"/>
  <c r="E45" i="49"/>
  <c r="D44" i="49"/>
  <c r="E43" i="49"/>
  <c r="D42" i="49"/>
  <c r="E41" i="49"/>
  <c r="D40" i="49"/>
  <c r="F40" i="49" s="1"/>
  <c r="E39" i="49"/>
  <c r="D38" i="49"/>
  <c r="E37" i="49"/>
  <c r="D36" i="49"/>
  <c r="E103" i="51"/>
  <c r="E101" i="51"/>
  <c r="E99" i="51"/>
  <c r="E94" i="51"/>
  <c r="E92" i="51"/>
  <c r="E90" i="51"/>
  <c r="E88" i="51"/>
  <c r="E86" i="51"/>
  <c r="E84" i="51"/>
  <c r="E82" i="51"/>
  <c r="E80" i="51"/>
  <c r="E78" i="51"/>
  <c r="E76" i="51"/>
  <c r="E74" i="51"/>
  <c r="E72" i="51"/>
  <c r="F72" i="51" s="1"/>
  <c r="E70" i="51"/>
  <c r="E68" i="51"/>
  <c r="D63" i="51"/>
  <c r="F63" i="51" s="1"/>
  <c r="E62" i="51"/>
  <c r="D61" i="51"/>
  <c r="E60" i="51"/>
  <c r="D59" i="51"/>
  <c r="E58" i="51"/>
  <c r="D57" i="51"/>
  <c r="E56" i="51"/>
  <c r="D55" i="51"/>
  <c r="E54" i="51"/>
  <c r="D53" i="51"/>
  <c r="E52" i="51"/>
  <c r="D51" i="51"/>
  <c r="E50" i="51"/>
  <c r="D49" i="51"/>
  <c r="E48" i="51"/>
  <c r="D47" i="51"/>
  <c r="E46" i="51"/>
  <c r="D45" i="51"/>
  <c r="F45" i="51" s="1"/>
  <c r="E44" i="51"/>
  <c r="D43" i="51"/>
  <c r="E42" i="51"/>
  <c r="D41" i="51"/>
  <c r="E40" i="51"/>
  <c r="D39" i="51"/>
  <c r="E38" i="51"/>
  <c r="D37" i="51"/>
  <c r="E36" i="51"/>
  <c r="E120" i="51"/>
  <c r="E104" i="51"/>
  <c r="E102" i="51"/>
  <c r="E116" i="51" s="1"/>
  <c r="E100" i="51"/>
  <c r="E98" i="51"/>
  <c r="E93" i="51"/>
  <c r="E91" i="51"/>
  <c r="E89" i="51"/>
  <c r="E87" i="51"/>
  <c r="E85" i="51"/>
  <c r="E83" i="51"/>
  <c r="E81" i="51"/>
  <c r="E79" i="51"/>
  <c r="E77" i="51"/>
  <c r="E75" i="51"/>
  <c r="E73" i="51"/>
  <c r="E71" i="51"/>
  <c r="E69" i="51"/>
  <c r="E67" i="51"/>
  <c r="E63" i="51"/>
  <c r="D62" i="51"/>
  <c r="F62" i="51" s="1"/>
  <c r="E61" i="51"/>
  <c r="D60" i="51"/>
  <c r="E59" i="51"/>
  <c r="D58" i="51"/>
  <c r="E57" i="51"/>
  <c r="D56" i="51"/>
  <c r="F56" i="51" s="1"/>
  <c r="E55" i="51"/>
  <c r="D54" i="51"/>
  <c r="E53" i="51"/>
  <c r="D52" i="51"/>
  <c r="F52" i="51" s="1"/>
  <c r="E51" i="51"/>
  <c r="D50" i="51"/>
  <c r="F50" i="51" s="1"/>
  <c r="E49" i="51"/>
  <c r="D48" i="51"/>
  <c r="E47" i="51"/>
  <c r="D46" i="51"/>
  <c r="E45" i="51"/>
  <c r="D44" i="51"/>
  <c r="E43" i="51"/>
  <c r="D42" i="51"/>
  <c r="E41" i="51"/>
  <c r="F41" i="51" s="1"/>
  <c r="D40" i="51"/>
  <c r="F40" i="51" s="1"/>
  <c r="E39" i="51"/>
  <c r="D38" i="51"/>
  <c r="E37" i="51"/>
  <c r="D36" i="51"/>
  <c r="F36" i="51" s="1"/>
  <c r="E103" i="53"/>
  <c r="E101" i="53"/>
  <c r="E99" i="53"/>
  <c r="E94" i="53"/>
  <c r="E92" i="53"/>
  <c r="E90" i="53"/>
  <c r="E88" i="53"/>
  <c r="E86" i="53"/>
  <c r="E84" i="53"/>
  <c r="E82" i="53"/>
  <c r="E80" i="53"/>
  <c r="E78" i="53"/>
  <c r="E76" i="53"/>
  <c r="E74" i="53"/>
  <c r="E72" i="53"/>
  <c r="E70" i="53"/>
  <c r="E68" i="53"/>
  <c r="D63" i="53"/>
  <c r="F63" i="53" s="1"/>
  <c r="E62" i="53"/>
  <c r="D61" i="53"/>
  <c r="E60" i="53"/>
  <c r="D59" i="53"/>
  <c r="E58" i="53"/>
  <c r="D57" i="53"/>
  <c r="E56" i="53"/>
  <c r="D55" i="53"/>
  <c r="E54" i="53"/>
  <c r="D53" i="53"/>
  <c r="E52" i="53"/>
  <c r="D51" i="53"/>
  <c r="E50" i="53"/>
  <c r="D49" i="53"/>
  <c r="E48" i="53"/>
  <c r="D47" i="53"/>
  <c r="E46" i="53"/>
  <c r="D45" i="53"/>
  <c r="E44" i="53"/>
  <c r="D43" i="53"/>
  <c r="E42" i="53"/>
  <c r="D41" i="53"/>
  <c r="E40" i="53"/>
  <c r="D39" i="53"/>
  <c r="E38" i="53"/>
  <c r="D37" i="53"/>
  <c r="E36" i="53"/>
  <c r="E120" i="53"/>
  <c r="E104" i="53"/>
  <c r="E102" i="53"/>
  <c r="E116" i="53" s="1"/>
  <c r="E100" i="53"/>
  <c r="E98" i="53"/>
  <c r="E93" i="53"/>
  <c r="E91" i="53"/>
  <c r="E89" i="53"/>
  <c r="E87" i="53"/>
  <c r="E85" i="53"/>
  <c r="E83" i="53"/>
  <c r="E81" i="53"/>
  <c r="E79" i="53"/>
  <c r="E77" i="53"/>
  <c r="E75" i="53"/>
  <c r="E73" i="53"/>
  <c r="E71" i="53"/>
  <c r="E69" i="53"/>
  <c r="E67" i="53"/>
  <c r="E63" i="53"/>
  <c r="D62" i="53"/>
  <c r="F62" i="53" s="1"/>
  <c r="E61" i="53"/>
  <c r="D60" i="53"/>
  <c r="E59" i="53"/>
  <c r="D58" i="53"/>
  <c r="E57" i="53"/>
  <c r="D56" i="53"/>
  <c r="E55" i="53"/>
  <c r="D54" i="53"/>
  <c r="E53" i="53"/>
  <c r="D52" i="53"/>
  <c r="F52" i="53" s="1"/>
  <c r="E51" i="53"/>
  <c r="D50" i="53"/>
  <c r="E49" i="53"/>
  <c r="D48" i="53"/>
  <c r="E47" i="53"/>
  <c r="D46" i="53"/>
  <c r="E45" i="53"/>
  <c r="D44" i="53"/>
  <c r="E43" i="53"/>
  <c r="D42" i="53"/>
  <c r="E41" i="53"/>
  <c r="D40" i="53"/>
  <c r="F40" i="53" s="1"/>
  <c r="E39" i="53"/>
  <c r="D38" i="53"/>
  <c r="E37" i="53"/>
  <c r="D36" i="53"/>
  <c r="E36" i="56"/>
  <c r="D37" i="56"/>
  <c r="E38" i="56"/>
  <c r="D39" i="56"/>
  <c r="E40" i="56"/>
  <c r="D41" i="56"/>
  <c r="E42" i="56"/>
  <c r="D43" i="56"/>
  <c r="E44" i="56"/>
  <c r="D45" i="56"/>
  <c r="F45" i="56" s="1"/>
  <c r="E46" i="56"/>
  <c r="D47" i="56"/>
  <c r="E48" i="56"/>
  <c r="D49" i="56"/>
  <c r="E50" i="56"/>
  <c r="D51" i="56"/>
  <c r="E52" i="56"/>
  <c r="D53" i="56"/>
  <c r="E54" i="56"/>
  <c r="D55" i="56"/>
  <c r="E56" i="56"/>
  <c r="D57" i="56"/>
  <c r="E58" i="56"/>
  <c r="D59" i="56"/>
  <c r="E60" i="56"/>
  <c r="D61" i="56"/>
  <c r="E62" i="56"/>
  <c r="D63" i="56"/>
  <c r="F63" i="56" s="1"/>
  <c r="E68" i="56"/>
  <c r="E70" i="56"/>
  <c r="E72" i="56"/>
  <c r="E74" i="56"/>
  <c r="E76" i="56"/>
  <c r="E78" i="56"/>
  <c r="E80" i="56"/>
  <c r="E82" i="56"/>
  <c r="E84" i="56"/>
  <c r="E86" i="56"/>
  <c r="E88" i="56"/>
  <c r="E90" i="56"/>
  <c r="E92" i="56"/>
  <c r="E94" i="56"/>
  <c r="E99" i="56"/>
  <c r="E101" i="56"/>
  <c r="E103" i="56"/>
  <c r="D36" i="55"/>
  <c r="E37" i="55"/>
  <c r="D38" i="55"/>
  <c r="E39" i="55"/>
  <c r="D40" i="55"/>
  <c r="F40" i="55" s="1"/>
  <c r="E41" i="55"/>
  <c r="D42" i="55"/>
  <c r="E43" i="55"/>
  <c r="D44" i="55"/>
  <c r="E45" i="55"/>
  <c r="D46" i="55"/>
  <c r="E47" i="55"/>
  <c r="D48" i="55"/>
  <c r="E49" i="55"/>
  <c r="D50" i="55"/>
  <c r="E51" i="55"/>
  <c r="D52" i="55"/>
  <c r="E53" i="55"/>
  <c r="D54" i="55"/>
  <c r="E55" i="55"/>
  <c r="D56" i="55"/>
  <c r="E57" i="55"/>
  <c r="D58" i="55"/>
  <c r="E59" i="55"/>
  <c r="D60" i="55"/>
  <c r="E61" i="55"/>
  <c r="D62" i="55"/>
  <c r="F62" i="55" s="1"/>
  <c r="E63" i="55"/>
  <c r="E67" i="55"/>
  <c r="E69" i="55"/>
  <c r="E71" i="55"/>
  <c r="E73" i="55"/>
  <c r="E75" i="55"/>
  <c r="E77" i="55"/>
  <c r="E79" i="55"/>
  <c r="E81" i="55"/>
  <c r="E83" i="55"/>
  <c r="E85" i="55"/>
  <c r="E87" i="55"/>
  <c r="E89" i="55"/>
  <c r="E91" i="55"/>
  <c r="E93" i="55"/>
  <c r="E98" i="55"/>
  <c r="E100" i="55"/>
  <c r="E102" i="55"/>
  <c r="E116" i="55" s="1"/>
  <c r="E104" i="55"/>
  <c r="E120" i="55"/>
  <c r="E103" i="59"/>
  <c r="E101" i="59"/>
  <c r="E99" i="59"/>
  <c r="E94" i="59"/>
  <c r="E92" i="59"/>
  <c r="E90" i="59"/>
  <c r="E88" i="59"/>
  <c r="E86" i="59"/>
  <c r="E84" i="59"/>
  <c r="E82" i="59"/>
  <c r="E80" i="59"/>
  <c r="E78" i="59"/>
  <c r="E76" i="59"/>
  <c r="E74" i="59"/>
  <c r="E72" i="59"/>
  <c r="E70" i="59"/>
  <c r="E68" i="59"/>
  <c r="D63" i="59"/>
  <c r="F63" i="59" s="1"/>
  <c r="E62" i="59"/>
  <c r="D61" i="59"/>
  <c r="F61" i="59" s="1"/>
  <c r="E60" i="59"/>
  <c r="D59" i="59"/>
  <c r="F59" i="59" s="1"/>
  <c r="E58" i="59"/>
  <c r="D57" i="59"/>
  <c r="F57" i="59" s="1"/>
  <c r="E56" i="59"/>
  <c r="D55" i="59"/>
  <c r="F55" i="59" s="1"/>
  <c r="E54" i="59"/>
  <c r="D53" i="59"/>
  <c r="F53" i="59" s="1"/>
  <c r="E52" i="59"/>
  <c r="D51" i="59"/>
  <c r="F51" i="59" s="1"/>
  <c r="E50" i="59"/>
  <c r="D49" i="59"/>
  <c r="F49" i="59" s="1"/>
  <c r="E48" i="59"/>
  <c r="D47" i="59"/>
  <c r="F47" i="59" s="1"/>
  <c r="E46" i="59"/>
  <c r="D45" i="59"/>
  <c r="F45" i="59" s="1"/>
  <c r="E44" i="59"/>
  <c r="D43" i="59"/>
  <c r="F43" i="59" s="1"/>
  <c r="E42" i="59"/>
  <c r="D41" i="59"/>
  <c r="F41" i="59" s="1"/>
  <c r="E40" i="59"/>
  <c r="D39" i="59"/>
  <c r="F39" i="59" s="1"/>
  <c r="E38" i="59"/>
  <c r="D37" i="59"/>
  <c r="F37" i="59" s="1"/>
  <c r="E36" i="59"/>
  <c r="E120" i="59"/>
  <c r="E104" i="59"/>
  <c r="E102" i="59"/>
  <c r="E116" i="59" s="1"/>
  <c r="E100" i="59"/>
  <c r="E98" i="59"/>
  <c r="E93" i="59"/>
  <c r="E91" i="59"/>
  <c r="E89" i="59"/>
  <c r="E87" i="59"/>
  <c r="E85" i="59"/>
  <c r="E83" i="59"/>
  <c r="E81" i="59"/>
  <c r="E79" i="59"/>
  <c r="E77" i="59"/>
  <c r="E75" i="59"/>
  <c r="E73" i="59"/>
  <c r="E71" i="59"/>
  <c r="E69" i="59"/>
  <c r="E67" i="59"/>
  <c r="E63" i="59"/>
  <c r="D62" i="59"/>
  <c r="F62" i="59" s="1"/>
  <c r="E61" i="59"/>
  <c r="D60" i="59"/>
  <c r="F60" i="59" s="1"/>
  <c r="E59" i="59"/>
  <c r="D58" i="59"/>
  <c r="F58" i="59" s="1"/>
  <c r="E57" i="59"/>
  <c r="D56" i="59"/>
  <c r="F56" i="59" s="1"/>
  <c r="E55" i="59"/>
  <c r="D54" i="59"/>
  <c r="F54" i="59" s="1"/>
  <c r="E53" i="59"/>
  <c r="D52" i="59"/>
  <c r="F52" i="59" s="1"/>
  <c r="E51" i="59"/>
  <c r="D50" i="59"/>
  <c r="F50" i="59" s="1"/>
  <c r="E49" i="59"/>
  <c r="D48" i="59"/>
  <c r="F48" i="59" s="1"/>
  <c r="E47" i="59"/>
  <c r="D46" i="59"/>
  <c r="F46" i="59" s="1"/>
  <c r="E45" i="59"/>
  <c r="D44" i="59"/>
  <c r="F44" i="59" s="1"/>
  <c r="E43" i="59"/>
  <c r="D42" i="59"/>
  <c r="F42" i="59" s="1"/>
  <c r="E41" i="59"/>
  <c r="D40" i="59"/>
  <c r="F40" i="59" s="1"/>
  <c r="E39" i="59"/>
  <c r="D38" i="59"/>
  <c r="F38" i="59" s="1"/>
  <c r="E37" i="59"/>
  <c r="D36" i="59"/>
  <c r="F36" i="59" s="1"/>
  <c r="E103" i="4"/>
  <c r="E101" i="4"/>
  <c r="E99" i="4"/>
  <c r="E94" i="4"/>
  <c r="E92" i="4"/>
  <c r="E90" i="4"/>
  <c r="E88" i="4"/>
  <c r="E86" i="4"/>
  <c r="E84" i="4"/>
  <c r="E82" i="4"/>
  <c r="E80" i="4"/>
  <c r="E78" i="4"/>
  <c r="E76" i="4"/>
  <c r="E74" i="4"/>
  <c r="E72" i="4"/>
  <c r="E70" i="4"/>
  <c r="E68" i="4"/>
  <c r="D63" i="4"/>
  <c r="F63" i="4" s="1"/>
  <c r="E62" i="4"/>
  <c r="D61" i="4"/>
  <c r="E60" i="4"/>
  <c r="D59" i="4"/>
  <c r="E58" i="4"/>
  <c r="D57" i="4"/>
  <c r="E56" i="4"/>
  <c r="D55" i="4"/>
  <c r="E54" i="4"/>
  <c r="D53" i="4"/>
  <c r="F53" i="4" s="1"/>
  <c r="E52" i="4"/>
  <c r="D51" i="4"/>
  <c r="E50" i="4"/>
  <c r="D49" i="4"/>
  <c r="E48" i="4"/>
  <c r="D47" i="4"/>
  <c r="E46" i="4"/>
  <c r="D45" i="4"/>
  <c r="E44" i="4"/>
  <c r="D43" i="4"/>
  <c r="E42" i="4"/>
  <c r="D41" i="4"/>
  <c r="E40" i="4"/>
  <c r="D39" i="4"/>
  <c r="E38" i="4"/>
  <c r="D37" i="4"/>
  <c r="E36" i="4"/>
  <c r="E120" i="4"/>
  <c r="E104" i="4"/>
  <c r="E102" i="4"/>
  <c r="E116" i="4" s="1"/>
  <c r="E100" i="4"/>
  <c r="E98" i="4"/>
  <c r="E93" i="4"/>
  <c r="E91" i="4"/>
  <c r="E89" i="4"/>
  <c r="E87" i="4"/>
  <c r="E85" i="4"/>
  <c r="E83" i="4"/>
  <c r="E81" i="4"/>
  <c r="E79" i="4"/>
  <c r="E77" i="4"/>
  <c r="E75" i="4"/>
  <c r="E73" i="4"/>
  <c r="E71" i="4"/>
  <c r="E69" i="4"/>
  <c r="E67" i="4"/>
  <c r="E63" i="4"/>
  <c r="D62" i="4"/>
  <c r="F62" i="4" s="1"/>
  <c r="E61" i="4"/>
  <c r="D60" i="4"/>
  <c r="E59" i="4"/>
  <c r="D58" i="4"/>
  <c r="F58" i="4" s="1"/>
  <c r="E57" i="4"/>
  <c r="D56" i="4"/>
  <c r="E55" i="4"/>
  <c r="D54" i="4"/>
  <c r="E53" i="4"/>
  <c r="D52" i="4"/>
  <c r="F52" i="4" s="1"/>
  <c r="E51" i="4"/>
  <c r="D50" i="4"/>
  <c r="F50" i="4" s="1"/>
  <c r="E49" i="4"/>
  <c r="D48" i="4"/>
  <c r="E47" i="4"/>
  <c r="D46" i="4"/>
  <c r="E45" i="4"/>
  <c r="D44" i="4"/>
  <c r="E43" i="4"/>
  <c r="D42" i="4"/>
  <c r="E41" i="4"/>
  <c r="D40" i="4"/>
  <c r="E39" i="4"/>
  <c r="D38" i="4"/>
  <c r="E37" i="4"/>
  <c r="D36" i="4"/>
  <c r="E120" i="6"/>
  <c r="E104" i="6"/>
  <c r="E102" i="6"/>
  <c r="E116" i="6" s="1"/>
  <c r="E100" i="6"/>
  <c r="E98" i="6"/>
  <c r="E93" i="6"/>
  <c r="E91" i="6"/>
  <c r="E89" i="6"/>
  <c r="E87" i="6"/>
  <c r="E85" i="6"/>
  <c r="E83" i="6"/>
  <c r="E81" i="6"/>
  <c r="E79" i="6"/>
  <c r="E77" i="6"/>
  <c r="E75" i="6"/>
  <c r="E73" i="6"/>
  <c r="E71" i="6"/>
  <c r="F71" i="6" s="1"/>
  <c r="E69" i="6"/>
  <c r="E67" i="6"/>
  <c r="E63" i="6"/>
  <c r="D62" i="6"/>
  <c r="F62" i="6" s="1"/>
  <c r="E61" i="6"/>
  <c r="D60" i="6"/>
  <c r="E59" i="6"/>
  <c r="D58" i="6"/>
  <c r="F58" i="6" s="1"/>
  <c r="E57" i="6"/>
  <c r="D56" i="6"/>
  <c r="E55" i="6"/>
  <c r="D54" i="6"/>
  <c r="E53" i="6"/>
  <c r="D52" i="6"/>
  <c r="F52" i="6" s="1"/>
  <c r="E51" i="6"/>
  <c r="D50" i="6"/>
  <c r="F50" i="6" s="1"/>
  <c r="E49" i="6"/>
  <c r="D48" i="6"/>
  <c r="E47" i="6"/>
  <c r="D46" i="6"/>
  <c r="E45" i="6"/>
  <c r="D44" i="6"/>
  <c r="E43" i="6"/>
  <c r="D42" i="6"/>
  <c r="E41" i="6"/>
  <c r="D40" i="6"/>
  <c r="E39" i="6"/>
  <c r="D38" i="6"/>
  <c r="E37" i="6"/>
  <c r="D36" i="6"/>
  <c r="F36" i="6" s="1"/>
  <c r="E103" i="6"/>
  <c r="E101" i="6"/>
  <c r="E99" i="6"/>
  <c r="E94" i="6"/>
  <c r="E92" i="6"/>
  <c r="E90" i="6"/>
  <c r="E88" i="6"/>
  <c r="E86" i="6"/>
  <c r="E84" i="6"/>
  <c r="E82" i="6"/>
  <c r="E80" i="6"/>
  <c r="E78" i="6"/>
  <c r="E76" i="6"/>
  <c r="E74" i="6"/>
  <c r="E72" i="6"/>
  <c r="E70" i="6"/>
  <c r="E68" i="6"/>
  <c r="D63" i="6"/>
  <c r="F63" i="6" s="1"/>
  <c r="E62" i="6"/>
  <c r="D61" i="6"/>
  <c r="E60" i="6"/>
  <c r="D59" i="6"/>
  <c r="E58" i="6"/>
  <c r="D57" i="6"/>
  <c r="E56" i="6"/>
  <c r="D55" i="6"/>
  <c r="E54" i="6"/>
  <c r="D53" i="6"/>
  <c r="E52" i="6"/>
  <c r="D51" i="6"/>
  <c r="E50" i="6"/>
  <c r="D49" i="6"/>
  <c r="E48" i="6"/>
  <c r="D47" i="6"/>
  <c r="E46" i="6"/>
  <c r="D45" i="6"/>
  <c r="F45" i="6" s="1"/>
  <c r="E44" i="6"/>
  <c r="D43" i="6"/>
  <c r="E42" i="6"/>
  <c r="D41" i="6"/>
  <c r="E40" i="6"/>
  <c r="F40" i="6" s="1"/>
  <c r="D39" i="6"/>
  <c r="E38" i="6"/>
  <c r="D37" i="6"/>
  <c r="E36" i="6"/>
  <c r="E120" i="8"/>
  <c r="E104" i="8"/>
  <c r="E102" i="8"/>
  <c r="E116" i="8" s="1"/>
  <c r="E100" i="8"/>
  <c r="E98" i="8"/>
  <c r="E93" i="8"/>
  <c r="E91" i="8"/>
  <c r="E89" i="8"/>
  <c r="E87" i="8"/>
  <c r="E85" i="8"/>
  <c r="E83" i="8"/>
  <c r="E81" i="8"/>
  <c r="E79" i="8"/>
  <c r="E77" i="8"/>
  <c r="E75" i="8"/>
  <c r="E73" i="8"/>
  <c r="E71" i="8"/>
  <c r="E69" i="8"/>
  <c r="E67" i="8"/>
  <c r="E63" i="8"/>
  <c r="D62" i="8"/>
  <c r="F62" i="8" s="1"/>
  <c r="E61" i="8"/>
  <c r="D60" i="8"/>
  <c r="E59" i="8"/>
  <c r="D58" i="8"/>
  <c r="E57" i="8"/>
  <c r="D56" i="8"/>
  <c r="F56" i="8" s="1"/>
  <c r="E55" i="8"/>
  <c r="D54" i="8"/>
  <c r="E53" i="8"/>
  <c r="D52" i="8"/>
  <c r="F52" i="8" s="1"/>
  <c r="E51" i="8"/>
  <c r="D50" i="8"/>
  <c r="E49" i="8"/>
  <c r="D48" i="8"/>
  <c r="E47" i="8"/>
  <c r="D46" i="8"/>
  <c r="E45" i="8"/>
  <c r="D44" i="8"/>
  <c r="E43" i="8"/>
  <c r="D42" i="8"/>
  <c r="E41" i="8"/>
  <c r="E103" i="8"/>
  <c r="E101" i="8"/>
  <c r="E99" i="8"/>
  <c r="E94" i="8"/>
  <c r="E92" i="8"/>
  <c r="E90" i="8"/>
  <c r="E88" i="8"/>
  <c r="E86" i="8"/>
  <c r="E84" i="8"/>
  <c r="E82" i="8"/>
  <c r="E80" i="8"/>
  <c r="E78" i="8"/>
  <c r="E76" i="8"/>
  <c r="E74" i="8"/>
  <c r="F74" i="8" s="1"/>
  <c r="E72" i="8"/>
  <c r="E70" i="8"/>
  <c r="E68" i="8"/>
  <c r="D63" i="8"/>
  <c r="F63" i="8" s="1"/>
  <c r="E62" i="8"/>
  <c r="D61" i="8"/>
  <c r="F61" i="8" s="1"/>
  <c r="E60" i="8"/>
  <c r="D59" i="8"/>
  <c r="F59" i="8" s="1"/>
  <c r="E58" i="8"/>
  <c r="D57" i="8"/>
  <c r="E56" i="8"/>
  <c r="D55" i="8"/>
  <c r="F55" i="8" s="1"/>
  <c r="E54" i="8"/>
  <c r="D53" i="8"/>
  <c r="F53" i="8" s="1"/>
  <c r="E52" i="8"/>
  <c r="D51" i="8"/>
  <c r="F51" i="8" s="1"/>
  <c r="E50" i="8"/>
  <c r="D49" i="8"/>
  <c r="F49" i="8" s="1"/>
  <c r="E48" i="8"/>
  <c r="D47" i="8"/>
  <c r="F47" i="8" s="1"/>
  <c r="E46" i="8"/>
  <c r="D45" i="8"/>
  <c r="F45" i="8" s="1"/>
  <c r="E44" i="8"/>
  <c r="D43" i="8"/>
  <c r="E42" i="8"/>
  <c r="D41" i="8"/>
  <c r="F41" i="8" s="1"/>
  <c r="D40" i="8"/>
  <c r="F40" i="8" s="1"/>
  <c r="E39" i="8"/>
  <c r="D38" i="8"/>
  <c r="E37" i="8"/>
  <c r="D36" i="8"/>
  <c r="E40" i="8"/>
  <c r="D39" i="8"/>
  <c r="E38" i="8"/>
  <c r="D37" i="8"/>
  <c r="E36" i="8"/>
  <c r="E120" i="10"/>
  <c r="E104" i="10"/>
  <c r="E102" i="10"/>
  <c r="E116" i="10" s="1"/>
  <c r="E100" i="10"/>
  <c r="E98" i="10"/>
  <c r="E93" i="10"/>
  <c r="E91" i="10"/>
  <c r="E89" i="10"/>
  <c r="E87" i="10"/>
  <c r="E85" i="10"/>
  <c r="E83" i="10"/>
  <c r="E81" i="10"/>
  <c r="E79" i="10"/>
  <c r="E77" i="10"/>
  <c r="E75" i="10"/>
  <c r="E73" i="10"/>
  <c r="E71" i="10"/>
  <c r="E69" i="10"/>
  <c r="E67" i="10"/>
  <c r="E63" i="10"/>
  <c r="D62" i="10"/>
  <c r="F62" i="10" s="1"/>
  <c r="E61" i="10"/>
  <c r="D60" i="10"/>
  <c r="E59" i="10"/>
  <c r="D58" i="10"/>
  <c r="E57" i="10"/>
  <c r="D56" i="10"/>
  <c r="E55" i="10"/>
  <c r="D54" i="10"/>
  <c r="E53" i="10"/>
  <c r="D52" i="10"/>
  <c r="E51" i="10"/>
  <c r="D50" i="10"/>
  <c r="F50" i="10" s="1"/>
  <c r="E49" i="10"/>
  <c r="D48" i="10"/>
  <c r="E47" i="10"/>
  <c r="D46" i="10"/>
  <c r="E45" i="10"/>
  <c r="D44" i="10"/>
  <c r="E43" i="10"/>
  <c r="D42" i="10"/>
  <c r="E41" i="10"/>
  <c r="D40" i="10"/>
  <c r="F40" i="10" s="1"/>
  <c r="E39" i="10"/>
  <c r="D38" i="10"/>
  <c r="E37" i="10"/>
  <c r="D36" i="10"/>
  <c r="E103" i="10"/>
  <c r="E101" i="10"/>
  <c r="E99" i="10"/>
  <c r="E94" i="10"/>
  <c r="E92" i="10"/>
  <c r="E90" i="10"/>
  <c r="E88" i="10"/>
  <c r="E86" i="10"/>
  <c r="E84" i="10"/>
  <c r="E82" i="10"/>
  <c r="E80" i="10"/>
  <c r="E78" i="10"/>
  <c r="E76" i="10"/>
  <c r="E74" i="10"/>
  <c r="E72" i="10"/>
  <c r="E70" i="10"/>
  <c r="E68" i="10"/>
  <c r="D63" i="10"/>
  <c r="F63" i="10" s="1"/>
  <c r="E62" i="10"/>
  <c r="D61" i="10"/>
  <c r="E60" i="10"/>
  <c r="D59" i="10"/>
  <c r="E58" i="10"/>
  <c r="D57" i="10"/>
  <c r="E56" i="10"/>
  <c r="D55" i="10"/>
  <c r="F55" i="10" s="1"/>
  <c r="E54" i="10"/>
  <c r="D53" i="10"/>
  <c r="E52" i="10"/>
  <c r="D51" i="10"/>
  <c r="E50" i="10"/>
  <c r="D49" i="10"/>
  <c r="E48" i="10"/>
  <c r="D47" i="10"/>
  <c r="E46" i="10"/>
  <c r="D45" i="10"/>
  <c r="F45" i="10" s="1"/>
  <c r="E44" i="10"/>
  <c r="D43" i="10"/>
  <c r="E42" i="10"/>
  <c r="D41" i="10"/>
  <c r="E40" i="10"/>
  <c r="D39" i="10"/>
  <c r="E38" i="10"/>
  <c r="D37" i="10"/>
  <c r="E36" i="10"/>
  <c r="E120" i="12"/>
  <c r="E104" i="12"/>
  <c r="E102" i="12"/>
  <c r="E116" i="12" s="1"/>
  <c r="E100" i="12"/>
  <c r="E98" i="12"/>
  <c r="E93" i="12"/>
  <c r="E91" i="12"/>
  <c r="E89" i="12"/>
  <c r="E87" i="12"/>
  <c r="E85" i="12"/>
  <c r="E83" i="12"/>
  <c r="E81" i="12"/>
  <c r="E79" i="12"/>
  <c r="E77" i="12"/>
  <c r="E75" i="12"/>
  <c r="E73" i="12"/>
  <c r="E71" i="12"/>
  <c r="E69" i="12"/>
  <c r="E67" i="12"/>
  <c r="E63" i="12"/>
  <c r="D62" i="12"/>
  <c r="F62" i="12" s="1"/>
  <c r="E61" i="12"/>
  <c r="D60" i="12"/>
  <c r="F60" i="12" s="1"/>
  <c r="E59" i="12"/>
  <c r="D58" i="12"/>
  <c r="F58" i="12" s="1"/>
  <c r="E57" i="12"/>
  <c r="E103" i="12"/>
  <c r="E101" i="12"/>
  <c r="E99" i="12"/>
  <c r="E94" i="12"/>
  <c r="E92" i="12"/>
  <c r="E90" i="12"/>
  <c r="E88" i="12"/>
  <c r="E86" i="12"/>
  <c r="E84" i="12"/>
  <c r="E82" i="12"/>
  <c r="E80" i="12"/>
  <c r="E78" i="12"/>
  <c r="E76" i="12"/>
  <c r="E74" i="12"/>
  <c r="E72" i="12"/>
  <c r="E70" i="12"/>
  <c r="E68" i="12"/>
  <c r="D63" i="12"/>
  <c r="F63" i="12" s="1"/>
  <c r="E62" i="12"/>
  <c r="D61" i="12"/>
  <c r="F61" i="12" s="1"/>
  <c r="E60" i="12"/>
  <c r="D59" i="12"/>
  <c r="F59" i="12" s="1"/>
  <c r="E58" i="12"/>
  <c r="D57" i="12"/>
  <c r="F57" i="12" s="1"/>
  <c r="E56" i="12"/>
  <c r="D55" i="12"/>
  <c r="F55" i="12" s="1"/>
  <c r="E54" i="12"/>
  <c r="D53" i="12"/>
  <c r="F53" i="12" s="1"/>
  <c r="E52" i="12"/>
  <c r="D51" i="12"/>
  <c r="F51" i="12" s="1"/>
  <c r="E50" i="12"/>
  <c r="D49" i="12"/>
  <c r="F49" i="12" s="1"/>
  <c r="E48" i="12"/>
  <c r="D47" i="12"/>
  <c r="F47" i="12" s="1"/>
  <c r="E46" i="12"/>
  <c r="D45" i="12"/>
  <c r="F45" i="12" s="1"/>
  <c r="E44" i="12"/>
  <c r="D43" i="12"/>
  <c r="F43" i="12" s="1"/>
  <c r="E42" i="12"/>
  <c r="D41" i="12"/>
  <c r="F41" i="12" s="1"/>
  <c r="E40" i="12"/>
  <c r="D39" i="12"/>
  <c r="F39" i="12" s="1"/>
  <c r="E38" i="12"/>
  <c r="D37" i="12"/>
  <c r="F37" i="12" s="1"/>
  <c r="E36" i="12"/>
  <c r="D56" i="12"/>
  <c r="F56" i="12" s="1"/>
  <c r="E55" i="12"/>
  <c r="D54" i="12"/>
  <c r="F54" i="12" s="1"/>
  <c r="E53" i="12"/>
  <c r="D52" i="12"/>
  <c r="F52" i="12" s="1"/>
  <c r="E51" i="12"/>
  <c r="D50" i="12"/>
  <c r="F50" i="12" s="1"/>
  <c r="E49" i="12"/>
  <c r="D48" i="12"/>
  <c r="F48" i="12" s="1"/>
  <c r="E47" i="12"/>
  <c r="D46" i="12"/>
  <c r="F46" i="12" s="1"/>
  <c r="E45" i="12"/>
  <c r="D44" i="12"/>
  <c r="F44" i="12" s="1"/>
  <c r="E43" i="12"/>
  <c r="D42" i="12"/>
  <c r="F42" i="12" s="1"/>
  <c r="E41" i="12"/>
  <c r="D40" i="12"/>
  <c r="F40" i="12" s="1"/>
  <c r="E39" i="12"/>
  <c r="D38" i="12"/>
  <c r="F38" i="12" s="1"/>
  <c r="E37" i="12"/>
  <c r="D36" i="12"/>
  <c r="F36" i="12" s="1"/>
  <c r="E103" i="14"/>
  <c r="E101" i="14"/>
  <c r="E99" i="14"/>
  <c r="E94" i="14"/>
  <c r="E92" i="14"/>
  <c r="E90" i="14"/>
  <c r="E88" i="14"/>
  <c r="E86" i="14"/>
  <c r="E84" i="14"/>
  <c r="E82" i="14"/>
  <c r="E80" i="14"/>
  <c r="E78" i="14"/>
  <c r="E76" i="14"/>
  <c r="E74" i="14"/>
  <c r="E72" i="14"/>
  <c r="E70" i="14"/>
  <c r="E68" i="14"/>
  <c r="D63" i="14"/>
  <c r="F63" i="14" s="1"/>
  <c r="E62" i="14"/>
  <c r="D61" i="14"/>
  <c r="E60" i="14"/>
  <c r="D59" i="14"/>
  <c r="E58" i="14"/>
  <c r="D57" i="14"/>
  <c r="E56" i="14"/>
  <c r="D55" i="14"/>
  <c r="E54" i="14"/>
  <c r="D53" i="14"/>
  <c r="E52" i="14"/>
  <c r="D51" i="14"/>
  <c r="E50" i="14"/>
  <c r="D49" i="14"/>
  <c r="E48" i="14"/>
  <c r="D47" i="14"/>
  <c r="E46" i="14"/>
  <c r="D45" i="14"/>
  <c r="F45" i="14" s="1"/>
  <c r="E44" i="14"/>
  <c r="D43" i="14"/>
  <c r="E42" i="14"/>
  <c r="D41" i="14"/>
  <c r="E40" i="14"/>
  <c r="D39" i="14"/>
  <c r="E38" i="14"/>
  <c r="D37" i="14"/>
  <c r="E36" i="14"/>
  <c r="E120" i="14"/>
  <c r="E104" i="14"/>
  <c r="E102" i="14"/>
  <c r="E116" i="14" s="1"/>
  <c r="E100" i="14"/>
  <c r="E98" i="14"/>
  <c r="E93" i="14"/>
  <c r="E91" i="14"/>
  <c r="E89" i="14"/>
  <c r="E87" i="14"/>
  <c r="E85" i="14"/>
  <c r="E83" i="14"/>
  <c r="E81" i="14"/>
  <c r="E79" i="14"/>
  <c r="E77" i="14"/>
  <c r="E75" i="14"/>
  <c r="E73" i="14"/>
  <c r="E71" i="14"/>
  <c r="E69" i="14"/>
  <c r="E67" i="14"/>
  <c r="E63" i="14"/>
  <c r="D62" i="14"/>
  <c r="F62" i="14" s="1"/>
  <c r="E61" i="14"/>
  <c r="D60" i="14"/>
  <c r="E59" i="14"/>
  <c r="D58" i="14"/>
  <c r="E57" i="14"/>
  <c r="D56" i="14"/>
  <c r="F56" i="14" s="1"/>
  <c r="E55" i="14"/>
  <c r="D54" i="14"/>
  <c r="E53" i="14"/>
  <c r="D52" i="14"/>
  <c r="F52" i="14" s="1"/>
  <c r="E51" i="14"/>
  <c r="D50" i="14"/>
  <c r="F50" i="14" s="1"/>
  <c r="E49" i="14"/>
  <c r="D48" i="14"/>
  <c r="E47" i="14"/>
  <c r="D46" i="14"/>
  <c r="E45" i="14"/>
  <c r="D44" i="14"/>
  <c r="E43" i="14"/>
  <c r="D42" i="14"/>
  <c r="E41" i="14"/>
  <c r="D40" i="14"/>
  <c r="F40" i="14" s="1"/>
  <c r="E39" i="14"/>
  <c r="D38" i="14"/>
  <c r="E37" i="14"/>
  <c r="D36" i="14"/>
  <c r="E103" i="16"/>
  <c r="E101" i="16"/>
  <c r="E99" i="16"/>
  <c r="E94" i="16"/>
  <c r="E92" i="16"/>
  <c r="E90" i="16"/>
  <c r="E88" i="16"/>
  <c r="E86" i="16"/>
  <c r="E84" i="16"/>
  <c r="E82" i="16"/>
  <c r="E80" i="16"/>
  <c r="E78" i="16"/>
  <c r="E76" i="16"/>
  <c r="E74" i="16"/>
  <c r="E72" i="16"/>
  <c r="E70" i="16"/>
  <c r="E68" i="16"/>
  <c r="D63" i="16"/>
  <c r="F63" i="16" s="1"/>
  <c r="E62" i="16"/>
  <c r="D61" i="16"/>
  <c r="E60" i="16"/>
  <c r="D59" i="16"/>
  <c r="E58" i="16"/>
  <c r="D57" i="16"/>
  <c r="E56" i="16"/>
  <c r="D55" i="16"/>
  <c r="E54" i="16"/>
  <c r="D53" i="16"/>
  <c r="E52" i="16"/>
  <c r="D51" i="16"/>
  <c r="E50" i="16"/>
  <c r="D49" i="16"/>
  <c r="E48" i="16"/>
  <c r="D47" i="16"/>
  <c r="E46" i="16"/>
  <c r="D45" i="16"/>
  <c r="F45" i="16" s="1"/>
  <c r="E44" i="16"/>
  <c r="D43" i="16"/>
  <c r="E42" i="16"/>
  <c r="D41" i="16"/>
  <c r="E40" i="16"/>
  <c r="D39" i="16"/>
  <c r="E38" i="16"/>
  <c r="D37" i="16"/>
  <c r="E36" i="16"/>
  <c r="E120" i="16"/>
  <c r="E104" i="16"/>
  <c r="E102" i="16"/>
  <c r="E116" i="16" s="1"/>
  <c r="E100" i="16"/>
  <c r="E98" i="16"/>
  <c r="E93" i="16"/>
  <c r="E91" i="16"/>
  <c r="E89" i="16"/>
  <c r="E87" i="16"/>
  <c r="E85" i="16"/>
  <c r="E83" i="16"/>
  <c r="E81" i="16"/>
  <c r="E79" i="16"/>
  <c r="E77" i="16"/>
  <c r="E75" i="16"/>
  <c r="E73" i="16"/>
  <c r="E71" i="16"/>
  <c r="E69" i="16"/>
  <c r="E67" i="16"/>
  <c r="E63" i="16"/>
  <c r="D62" i="16"/>
  <c r="F62" i="16" s="1"/>
  <c r="E61" i="16"/>
  <c r="D60" i="16"/>
  <c r="E59" i="16"/>
  <c r="D58" i="16"/>
  <c r="E57" i="16"/>
  <c r="D56" i="16"/>
  <c r="E55" i="16"/>
  <c r="D54" i="16"/>
  <c r="E53" i="16"/>
  <c r="D52" i="16"/>
  <c r="F52" i="16" s="1"/>
  <c r="E51" i="16"/>
  <c r="D50" i="16"/>
  <c r="E49" i="16"/>
  <c r="D48" i="16"/>
  <c r="E47" i="16"/>
  <c r="D46" i="16"/>
  <c r="E45" i="16"/>
  <c r="D44" i="16"/>
  <c r="E43" i="16"/>
  <c r="D42" i="16"/>
  <c r="E41" i="16"/>
  <c r="D40" i="16"/>
  <c r="F40" i="16" s="1"/>
  <c r="E39" i="16"/>
  <c r="D38" i="16"/>
  <c r="E37" i="16"/>
  <c r="D36" i="16"/>
  <c r="E103" i="18"/>
  <c r="E101" i="18"/>
  <c r="E99" i="18"/>
  <c r="E94" i="18"/>
  <c r="E92" i="18"/>
  <c r="E90" i="18"/>
  <c r="E88" i="18"/>
  <c r="E86" i="18"/>
  <c r="E84" i="18"/>
  <c r="E82" i="18"/>
  <c r="E80" i="18"/>
  <c r="E78" i="18"/>
  <c r="E76" i="18"/>
  <c r="E74" i="18"/>
  <c r="E72" i="18"/>
  <c r="E70" i="18"/>
  <c r="E68" i="18"/>
  <c r="D63" i="18"/>
  <c r="F63" i="18" s="1"/>
  <c r="E62" i="18"/>
  <c r="D61" i="18"/>
  <c r="E60" i="18"/>
  <c r="D59" i="18"/>
  <c r="E58" i="18"/>
  <c r="D57" i="18"/>
  <c r="E56" i="18"/>
  <c r="D55" i="18"/>
  <c r="E54" i="18"/>
  <c r="D53" i="18"/>
  <c r="F53" i="18" s="1"/>
  <c r="E52" i="18"/>
  <c r="D51" i="18"/>
  <c r="E50" i="18"/>
  <c r="D49" i="18"/>
  <c r="E48" i="18"/>
  <c r="D47" i="18"/>
  <c r="E46" i="18"/>
  <c r="D45" i="18"/>
  <c r="E44" i="18"/>
  <c r="D43" i="18"/>
  <c r="E42" i="18"/>
  <c r="D41" i="18"/>
  <c r="E40" i="18"/>
  <c r="F40" i="18" s="1"/>
  <c r="D39" i="18"/>
  <c r="E38" i="18"/>
  <c r="D37" i="18"/>
  <c r="E36" i="18"/>
  <c r="E120" i="18"/>
  <c r="E104" i="18"/>
  <c r="E102" i="18"/>
  <c r="E116" i="18" s="1"/>
  <c r="E100" i="18"/>
  <c r="E98" i="18"/>
  <c r="E93" i="18"/>
  <c r="E91" i="18"/>
  <c r="E89" i="18"/>
  <c r="E87" i="18"/>
  <c r="E85" i="18"/>
  <c r="E83" i="18"/>
  <c r="E81" i="18"/>
  <c r="E79" i="18"/>
  <c r="E77" i="18"/>
  <c r="E75" i="18"/>
  <c r="E73" i="18"/>
  <c r="E71" i="18"/>
  <c r="F71" i="18" s="1"/>
  <c r="E69" i="18"/>
  <c r="E67" i="18"/>
  <c r="E63" i="18"/>
  <c r="D62" i="18"/>
  <c r="F62" i="18" s="1"/>
  <c r="E61" i="18"/>
  <c r="D60" i="18"/>
  <c r="E59" i="18"/>
  <c r="D58" i="18"/>
  <c r="E57" i="18"/>
  <c r="D56" i="18"/>
  <c r="E55" i="18"/>
  <c r="D54" i="18"/>
  <c r="E53" i="18"/>
  <c r="D52" i="18"/>
  <c r="E51" i="18"/>
  <c r="D50" i="18"/>
  <c r="E49" i="18"/>
  <c r="D48" i="18"/>
  <c r="E47" i="18"/>
  <c r="D46" i="18"/>
  <c r="E45" i="18"/>
  <c r="D44" i="18"/>
  <c r="E43" i="18"/>
  <c r="D42" i="18"/>
  <c r="E41" i="18"/>
  <c r="D40" i="18"/>
  <c r="E39" i="18"/>
  <c r="D38" i="18"/>
  <c r="E37" i="18"/>
  <c r="D36" i="18"/>
  <c r="E103" i="20"/>
  <c r="E101" i="20"/>
  <c r="E99" i="20"/>
  <c r="E94" i="20"/>
  <c r="E92" i="20"/>
  <c r="E90" i="20"/>
  <c r="E88" i="20"/>
  <c r="E86" i="20"/>
  <c r="E84" i="20"/>
  <c r="E82" i="20"/>
  <c r="E80" i="20"/>
  <c r="E78" i="20"/>
  <c r="E76" i="20"/>
  <c r="E74" i="20"/>
  <c r="E72" i="20"/>
  <c r="E70" i="20"/>
  <c r="E68" i="20"/>
  <c r="D63" i="20"/>
  <c r="F63" i="20" s="1"/>
  <c r="E62" i="20"/>
  <c r="D61" i="20"/>
  <c r="E60" i="20"/>
  <c r="D59" i="20"/>
  <c r="E58" i="20"/>
  <c r="D57" i="20"/>
  <c r="E56" i="20"/>
  <c r="D55" i="20"/>
  <c r="E54" i="20"/>
  <c r="D53" i="20"/>
  <c r="E52" i="20"/>
  <c r="D51" i="20"/>
  <c r="E50" i="20"/>
  <c r="D49" i="20"/>
  <c r="E48" i="20"/>
  <c r="D47" i="20"/>
  <c r="E46" i="20"/>
  <c r="D45" i="20"/>
  <c r="E44" i="20"/>
  <c r="D43" i="20"/>
  <c r="E42" i="20"/>
  <c r="D41" i="20"/>
  <c r="E40" i="20"/>
  <c r="D39" i="20"/>
  <c r="E38" i="20"/>
  <c r="D37" i="20"/>
  <c r="E36" i="20"/>
  <c r="E120" i="20"/>
  <c r="E104" i="20"/>
  <c r="E102" i="20"/>
  <c r="E116" i="20" s="1"/>
  <c r="E100" i="20"/>
  <c r="E98" i="20"/>
  <c r="E93" i="20"/>
  <c r="E91" i="20"/>
  <c r="E89" i="20"/>
  <c r="E87" i="20"/>
  <c r="E85" i="20"/>
  <c r="E83" i="20"/>
  <c r="E81" i="20"/>
  <c r="E79" i="20"/>
  <c r="E77" i="20"/>
  <c r="E75" i="20"/>
  <c r="E73" i="20"/>
  <c r="E71" i="20"/>
  <c r="E69" i="20"/>
  <c r="E67" i="20"/>
  <c r="E63" i="20"/>
  <c r="D62" i="20"/>
  <c r="F62" i="20" s="1"/>
  <c r="E61" i="20"/>
  <c r="D60" i="20"/>
  <c r="E59" i="20"/>
  <c r="D58" i="20"/>
  <c r="E57" i="20"/>
  <c r="D56" i="20"/>
  <c r="E55" i="20"/>
  <c r="D54" i="20"/>
  <c r="E53" i="20"/>
  <c r="D52" i="20"/>
  <c r="E51" i="20"/>
  <c r="D50" i="20"/>
  <c r="F50" i="20" s="1"/>
  <c r="E49" i="20"/>
  <c r="D48" i="20"/>
  <c r="E47" i="20"/>
  <c r="D46" i="20"/>
  <c r="E45" i="20"/>
  <c r="D44" i="20"/>
  <c r="E43" i="20"/>
  <c r="D42" i="20"/>
  <c r="E41" i="20"/>
  <c r="D40" i="20"/>
  <c r="F40" i="20" s="1"/>
  <c r="E39" i="20"/>
  <c r="D38" i="20"/>
  <c r="E37" i="20"/>
  <c r="D36" i="20"/>
  <c r="E103" i="22"/>
  <c r="E101" i="22"/>
  <c r="E99" i="22"/>
  <c r="E94" i="22"/>
  <c r="E92" i="22"/>
  <c r="E90" i="22"/>
  <c r="E88" i="22"/>
  <c r="E86" i="22"/>
  <c r="E84" i="22"/>
  <c r="E82" i="22"/>
  <c r="E80" i="22"/>
  <c r="E78" i="22"/>
  <c r="E76" i="22"/>
  <c r="E74" i="22"/>
  <c r="E72" i="22"/>
  <c r="E70" i="22"/>
  <c r="E68" i="22"/>
  <c r="D63" i="22"/>
  <c r="F63" i="22" s="1"/>
  <c r="E62" i="22"/>
  <c r="D61" i="22"/>
  <c r="E60" i="22"/>
  <c r="D59" i="22"/>
  <c r="E58" i="22"/>
  <c r="D57" i="22"/>
  <c r="E56" i="22"/>
  <c r="D55" i="22"/>
  <c r="E54" i="22"/>
  <c r="D53" i="22"/>
  <c r="E52" i="22"/>
  <c r="D51" i="22"/>
  <c r="E50" i="22"/>
  <c r="D49" i="22"/>
  <c r="E48" i="22"/>
  <c r="D47" i="22"/>
  <c r="E46" i="22"/>
  <c r="D45" i="22"/>
  <c r="E44" i="22"/>
  <c r="D43" i="22"/>
  <c r="E42" i="22"/>
  <c r="D41" i="22"/>
  <c r="E40" i="22"/>
  <c r="D39" i="22"/>
  <c r="E38" i="22"/>
  <c r="D37" i="22"/>
  <c r="E36" i="22"/>
  <c r="E120" i="22"/>
  <c r="E104" i="22"/>
  <c r="E102" i="22"/>
  <c r="E116" i="22" s="1"/>
  <c r="E100" i="22"/>
  <c r="E98" i="22"/>
  <c r="E93" i="22"/>
  <c r="E91" i="22"/>
  <c r="E89" i="22"/>
  <c r="E87" i="22"/>
  <c r="E85" i="22"/>
  <c r="E83" i="22"/>
  <c r="E81" i="22"/>
  <c r="E79" i="22"/>
  <c r="E77" i="22"/>
  <c r="E75" i="22"/>
  <c r="E73" i="22"/>
  <c r="E71" i="22"/>
  <c r="E69" i="22"/>
  <c r="E67" i="22"/>
  <c r="E63" i="22"/>
  <c r="D62" i="22"/>
  <c r="F62" i="22" s="1"/>
  <c r="E61" i="22"/>
  <c r="D60" i="22"/>
  <c r="E59" i="22"/>
  <c r="D58" i="22"/>
  <c r="E57" i="22"/>
  <c r="D56" i="22"/>
  <c r="E55" i="22"/>
  <c r="D54" i="22"/>
  <c r="E53" i="22"/>
  <c r="D52" i="22"/>
  <c r="E51" i="22"/>
  <c r="D50" i="22"/>
  <c r="F50" i="22" s="1"/>
  <c r="E49" i="22"/>
  <c r="D48" i="22"/>
  <c r="E47" i="22"/>
  <c r="D46" i="22"/>
  <c r="E45" i="22"/>
  <c r="D44" i="22"/>
  <c r="E43" i="22"/>
  <c r="D42" i="22"/>
  <c r="E41" i="22"/>
  <c r="D40" i="22"/>
  <c r="E39" i="22"/>
  <c r="D38" i="22"/>
  <c r="E37" i="22"/>
  <c r="D36" i="22"/>
  <c r="E103" i="24"/>
  <c r="E101" i="24"/>
  <c r="E99" i="24"/>
  <c r="E94" i="24"/>
  <c r="E92" i="24"/>
  <c r="E90" i="24"/>
  <c r="E88" i="24"/>
  <c r="E86" i="24"/>
  <c r="E84" i="24"/>
  <c r="E82" i="24"/>
  <c r="E80" i="24"/>
  <c r="E78" i="24"/>
  <c r="E76" i="24"/>
  <c r="E74" i="24"/>
  <c r="E72" i="24"/>
  <c r="E70" i="24"/>
  <c r="E68" i="24"/>
  <c r="D63" i="24"/>
  <c r="F63" i="24" s="1"/>
  <c r="E62" i="24"/>
  <c r="D61" i="24"/>
  <c r="E60" i="24"/>
  <c r="D59" i="24"/>
  <c r="E58" i="24"/>
  <c r="D57" i="24"/>
  <c r="E56" i="24"/>
  <c r="D55" i="24"/>
  <c r="F55" i="24" s="1"/>
  <c r="E54" i="24"/>
  <c r="D53" i="24"/>
  <c r="E52" i="24"/>
  <c r="D51" i="24"/>
  <c r="E50" i="24"/>
  <c r="D49" i="24"/>
  <c r="E48" i="24"/>
  <c r="D47" i="24"/>
  <c r="E46" i="24"/>
  <c r="D45" i="24"/>
  <c r="F45" i="24" s="1"/>
  <c r="E44" i="24"/>
  <c r="D43" i="24"/>
  <c r="E42" i="24"/>
  <c r="D41" i="24"/>
  <c r="E40" i="24"/>
  <c r="D39" i="24"/>
  <c r="E38" i="24"/>
  <c r="D37" i="24"/>
  <c r="E36" i="24"/>
  <c r="E120" i="24"/>
  <c r="E104" i="24"/>
  <c r="E102" i="24"/>
  <c r="E116" i="24" s="1"/>
  <c r="E100" i="24"/>
  <c r="E98" i="24"/>
  <c r="E93" i="24"/>
  <c r="E91" i="24"/>
  <c r="E89" i="24"/>
  <c r="E87" i="24"/>
  <c r="E85" i="24"/>
  <c r="E83" i="24"/>
  <c r="E81" i="24"/>
  <c r="E79" i="24"/>
  <c r="E77" i="24"/>
  <c r="E75" i="24"/>
  <c r="E73" i="24"/>
  <c r="E71" i="24"/>
  <c r="E69" i="24"/>
  <c r="E67" i="24"/>
  <c r="E63" i="24"/>
  <c r="D62" i="24"/>
  <c r="F62" i="24" s="1"/>
  <c r="E61" i="24"/>
  <c r="D60" i="24"/>
  <c r="E59" i="24"/>
  <c r="D58" i="24"/>
  <c r="E57" i="24"/>
  <c r="D56" i="24"/>
  <c r="E55" i="24"/>
  <c r="D54" i="24"/>
  <c r="E53" i="24"/>
  <c r="D52" i="24"/>
  <c r="F52" i="24" s="1"/>
  <c r="E51" i="24"/>
  <c r="D50" i="24"/>
  <c r="F50" i="24" s="1"/>
  <c r="E49" i="24"/>
  <c r="D48" i="24"/>
  <c r="E47" i="24"/>
  <c r="D46" i="24"/>
  <c r="E45" i="24"/>
  <c r="D44" i="24"/>
  <c r="E43" i="24"/>
  <c r="D42" i="24"/>
  <c r="E41" i="24"/>
  <c r="D40" i="24"/>
  <c r="F40" i="24" s="1"/>
  <c r="E39" i="24"/>
  <c r="D38" i="24"/>
  <c r="E37" i="24"/>
  <c r="D36" i="24"/>
  <c r="E103" i="26"/>
  <c r="E101" i="26"/>
  <c r="E99" i="26"/>
  <c r="E94" i="26"/>
  <c r="E92" i="26"/>
  <c r="E90" i="26"/>
  <c r="E88" i="26"/>
  <c r="E86" i="26"/>
  <c r="E84" i="26"/>
  <c r="E82" i="26"/>
  <c r="E80" i="26"/>
  <c r="E78" i="26"/>
  <c r="E76" i="26"/>
  <c r="E74" i="26"/>
  <c r="E72" i="26"/>
  <c r="E70" i="26"/>
  <c r="E68" i="26"/>
  <c r="D63" i="26"/>
  <c r="F63" i="26" s="1"/>
  <c r="E62" i="26"/>
  <c r="D61" i="26"/>
  <c r="E60" i="26"/>
  <c r="D59" i="26"/>
  <c r="E58" i="26"/>
  <c r="D57" i="26"/>
  <c r="E56" i="26"/>
  <c r="D55" i="26"/>
  <c r="E54" i="26"/>
  <c r="D53" i="26"/>
  <c r="E52" i="26"/>
  <c r="D51" i="26"/>
  <c r="E50" i="26"/>
  <c r="D49" i="26"/>
  <c r="E48" i="26"/>
  <c r="E120" i="26"/>
  <c r="E104" i="26"/>
  <c r="E102" i="26"/>
  <c r="E116" i="26" s="1"/>
  <c r="F116" i="26" s="1"/>
  <c r="E100" i="26"/>
  <c r="E98" i="26"/>
  <c r="E93" i="26"/>
  <c r="E91" i="26"/>
  <c r="E89" i="26"/>
  <c r="E87" i="26"/>
  <c r="E85" i="26"/>
  <c r="E83" i="26"/>
  <c r="E81" i="26"/>
  <c r="E79" i="26"/>
  <c r="E77" i="26"/>
  <c r="E75" i="26"/>
  <c r="E73" i="26"/>
  <c r="E71" i="26"/>
  <c r="E69" i="26"/>
  <c r="E67" i="26"/>
  <c r="E63" i="26"/>
  <c r="D62" i="26"/>
  <c r="F62" i="26" s="1"/>
  <c r="E61" i="26"/>
  <c r="D60" i="26"/>
  <c r="E59" i="26"/>
  <c r="D58" i="26"/>
  <c r="E57" i="26"/>
  <c r="D56" i="26"/>
  <c r="E55" i="26"/>
  <c r="D54" i="26"/>
  <c r="E53" i="26"/>
  <c r="D52" i="26"/>
  <c r="E51" i="26"/>
  <c r="D50" i="26"/>
  <c r="F50" i="26" s="1"/>
  <c r="E49" i="26"/>
  <c r="D48" i="26"/>
  <c r="D47" i="26"/>
  <c r="E46" i="26"/>
  <c r="D45" i="26"/>
  <c r="F45" i="26" s="1"/>
  <c r="E44" i="26"/>
  <c r="D43" i="26"/>
  <c r="E42" i="26"/>
  <c r="D41" i="26"/>
  <c r="E40" i="26"/>
  <c r="D39" i="26"/>
  <c r="E38" i="26"/>
  <c r="D37" i="26"/>
  <c r="E36" i="26"/>
  <c r="E47" i="26"/>
  <c r="D46" i="26"/>
  <c r="F46" i="26" s="1"/>
  <c r="E45" i="26"/>
  <c r="D44" i="26"/>
  <c r="F44" i="26" s="1"/>
  <c r="E43" i="26"/>
  <c r="D42" i="26"/>
  <c r="F42" i="26" s="1"/>
  <c r="E41" i="26"/>
  <c r="D40" i="26"/>
  <c r="F40" i="26" s="1"/>
  <c r="E39" i="26"/>
  <c r="D38" i="26"/>
  <c r="F38" i="26" s="1"/>
  <c r="E37" i="26"/>
  <c r="D36" i="26"/>
  <c r="F36" i="26" s="1"/>
  <c r="E103" i="28"/>
  <c r="E101" i="28"/>
  <c r="E99" i="28"/>
  <c r="E94" i="28"/>
  <c r="E92" i="28"/>
  <c r="E90" i="28"/>
  <c r="E88" i="28"/>
  <c r="E86" i="28"/>
  <c r="E84" i="28"/>
  <c r="E82" i="28"/>
  <c r="E80" i="28"/>
  <c r="E78" i="28"/>
  <c r="E76" i="28"/>
  <c r="E74" i="28"/>
  <c r="E72" i="28"/>
  <c r="E70" i="28"/>
  <c r="E68" i="28"/>
  <c r="D63" i="28"/>
  <c r="F63" i="28" s="1"/>
  <c r="E62" i="28"/>
  <c r="D61" i="28"/>
  <c r="E60" i="28"/>
  <c r="D59" i="28"/>
  <c r="E58" i="28"/>
  <c r="D57" i="28"/>
  <c r="E56" i="28"/>
  <c r="D55" i="28"/>
  <c r="F55" i="28" s="1"/>
  <c r="E54" i="28"/>
  <c r="D53" i="28"/>
  <c r="E52" i="28"/>
  <c r="D51" i="28"/>
  <c r="E50" i="28"/>
  <c r="D49" i="28"/>
  <c r="E48" i="28"/>
  <c r="D47" i="28"/>
  <c r="E46" i="28"/>
  <c r="D45" i="28"/>
  <c r="F45" i="28" s="1"/>
  <c r="E44" i="28"/>
  <c r="D43" i="28"/>
  <c r="F43" i="28" s="1"/>
  <c r="E42" i="28"/>
  <c r="D41" i="28"/>
  <c r="E40" i="28"/>
  <c r="D39" i="28"/>
  <c r="E38" i="28"/>
  <c r="D37" i="28"/>
  <c r="E36" i="28"/>
  <c r="E120" i="28"/>
  <c r="E104" i="28"/>
  <c r="E102" i="28"/>
  <c r="E116" i="28" s="1"/>
  <c r="E100" i="28"/>
  <c r="E98" i="28"/>
  <c r="E93" i="28"/>
  <c r="E91" i="28"/>
  <c r="E89" i="28"/>
  <c r="E87" i="28"/>
  <c r="E85" i="28"/>
  <c r="E83" i="28"/>
  <c r="E81" i="28"/>
  <c r="E79" i="28"/>
  <c r="E77" i="28"/>
  <c r="E75" i="28"/>
  <c r="E73" i="28"/>
  <c r="E71" i="28"/>
  <c r="E69" i="28"/>
  <c r="E67" i="28"/>
  <c r="E63" i="28"/>
  <c r="D62" i="28"/>
  <c r="F62" i="28" s="1"/>
  <c r="E61" i="28"/>
  <c r="D60" i="28"/>
  <c r="E59" i="28"/>
  <c r="D58" i="28"/>
  <c r="E57" i="28"/>
  <c r="D56" i="28"/>
  <c r="F56" i="28" s="1"/>
  <c r="E55" i="28"/>
  <c r="D54" i="28"/>
  <c r="E53" i="28"/>
  <c r="D52" i="28"/>
  <c r="F52" i="28" s="1"/>
  <c r="E51" i="28"/>
  <c r="D50" i="28"/>
  <c r="F50" i="28" s="1"/>
  <c r="E49" i="28"/>
  <c r="D48" i="28"/>
  <c r="E47" i="28"/>
  <c r="D46" i="28"/>
  <c r="E45" i="28"/>
  <c r="D44" i="28"/>
  <c r="E43" i="28"/>
  <c r="D42" i="28"/>
  <c r="E41" i="28"/>
  <c r="D40" i="28"/>
  <c r="F40" i="28" s="1"/>
  <c r="E39" i="28"/>
  <c r="D38" i="28"/>
  <c r="E37" i="28"/>
  <c r="D36" i="28"/>
  <c r="E103" i="30"/>
  <c r="E101" i="30"/>
  <c r="E99" i="30"/>
  <c r="E94" i="30"/>
  <c r="E92" i="30"/>
  <c r="E90" i="30"/>
  <c r="E88" i="30"/>
  <c r="E86" i="30"/>
  <c r="E84" i="30"/>
  <c r="E82" i="30"/>
  <c r="E80" i="30"/>
  <c r="E78" i="30"/>
  <c r="E76" i="30"/>
  <c r="E74" i="30"/>
  <c r="E72" i="30"/>
  <c r="E70" i="30"/>
  <c r="E68" i="30"/>
  <c r="D63" i="30"/>
  <c r="F63" i="30" s="1"/>
  <c r="E62" i="30"/>
  <c r="D61" i="30"/>
  <c r="E60" i="30"/>
  <c r="D59" i="30"/>
  <c r="E58" i="30"/>
  <c r="D57" i="30"/>
  <c r="E56" i="30"/>
  <c r="D55" i="30"/>
  <c r="E54" i="30"/>
  <c r="D53" i="30"/>
  <c r="E52" i="30"/>
  <c r="D51" i="30"/>
  <c r="E50" i="30"/>
  <c r="D49" i="30"/>
  <c r="E48" i="30"/>
  <c r="D47" i="30"/>
  <c r="E46" i="30"/>
  <c r="D45" i="30"/>
  <c r="E44" i="30"/>
  <c r="D43" i="30"/>
  <c r="E42" i="30"/>
  <c r="D41" i="30"/>
  <c r="E40" i="30"/>
  <c r="D39" i="30"/>
  <c r="E38" i="30"/>
  <c r="D37" i="30"/>
  <c r="E36" i="30"/>
  <c r="E120" i="30"/>
  <c r="E104" i="30"/>
  <c r="E102" i="30"/>
  <c r="E116" i="30" s="1"/>
  <c r="E100" i="30"/>
  <c r="E98" i="30"/>
  <c r="E93" i="30"/>
  <c r="E91" i="30"/>
  <c r="E89" i="30"/>
  <c r="E87" i="30"/>
  <c r="E85" i="30"/>
  <c r="E83" i="30"/>
  <c r="E81" i="30"/>
  <c r="E79" i="30"/>
  <c r="E77" i="30"/>
  <c r="E75" i="30"/>
  <c r="E73" i="30"/>
  <c r="E71" i="30"/>
  <c r="E69" i="30"/>
  <c r="E67" i="30"/>
  <c r="E63" i="30"/>
  <c r="D62" i="30"/>
  <c r="F62" i="30" s="1"/>
  <c r="E61" i="30"/>
  <c r="D60" i="30"/>
  <c r="E59" i="30"/>
  <c r="D58" i="30"/>
  <c r="E57" i="30"/>
  <c r="D56" i="30"/>
  <c r="E55" i="30"/>
  <c r="D54" i="30"/>
  <c r="E53" i="30"/>
  <c r="D52" i="30"/>
  <c r="E51" i="30"/>
  <c r="D50" i="30"/>
  <c r="F50" i="30" s="1"/>
  <c r="E49" i="30"/>
  <c r="D48" i="30"/>
  <c r="E47" i="30"/>
  <c r="D46" i="30"/>
  <c r="E45" i="30"/>
  <c r="D44" i="30"/>
  <c r="E43" i="30"/>
  <c r="D42" i="30"/>
  <c r="E41" i="30"/>
  <c r="D40" i="30"/>
  <c r="E39" i="30"/>
  <c r="D38" i="30"/>
  <c r="E37" i="30"/>
  <c r="D36" i="30"/>
  <c r="E103" i="32"/>
  <c r="E101" i="32"/>
  <c r="E99" i="32"/>
  <c r="E94" i="32"/>
  <c r="E92" i="32"/>
  <c r="E90" i="32"/>
  <c r="E88" i="32"/>
  <c r="E86" i="32"/>
  <c r="E84" i="32"/>
  <c r="E82" i="32"/>
  <c r="E80" i="32"/>
  <c r="E78" i="32"/>
  <c r="E76" i="32"/>
  <c r="E74" i="32"/>
  <c r="E72" i="32"/>
  <c r="E70" i="32"/>
  <c r="E68" i="32"/>
  <c r="D63" i="32"/>
  <c r="F63" i="32" s="1"/>
  <c r="E62" i="32"/>
  <c r="D61" i="32"/>
  <c r="E60" i="32"/>
  <c r="D59" i="32"/>
  <c r="E58" i="32"/>
  <c r="D57" i="32"/>
  <c r="E56" i="32"/>
  <c r="D55" i="32"/>
  <c r="E54" i="32"/>
  <c r="D53" i="32"/>
  <c r="E52" i="32"/>
  <c r="D51" i="32"/>
  <c r="E50" i="32"/>
  <c r="D49" i="32"/>
  <c r="E48" i="32"/>
  <c r="D47" i="32"/>
  <c r="E46" i="32"/>
  <c r="D45" i="32"/>
  <c r="E44" i="32"/>
  <c r="D43" i="32"/>
  <c r="E42" i="32"/>
  <c r="D41" i="32"/>
  <c r="E40" i="32"/>
  <c r="F40" i="32" s="1"/>
  <c r="D39" i="32"/>
  <c r="E38" i="32"/>
  <c r="D37" i="32"/>
  <c r="E36" i="32"/>
  <c r="E120" i="32"/>
  <c r="F120" i="32" s="1"/>
  <c r="E104" i="32"/>
  <c r="E102" i="32"/>
  <c r="E116" i="32" s="1"/>
  <c r="E100" i="32"/>
  <c r="E98" i="32"/>
  <c r="E93" i="32"/>
  <c r="E91" i="32"/>
  <c r="E89" i="32"/>
  <c r="E87" i="32"/>
  <c r="E85" i="32"/>
  <c r="E83" i="32"/>
  <c r="E81" i="32"/>
  <c r="E79" i="32"/>
  <c r="E77" i="32"/>
  <c r="E75" i="32"/>
  <c r="E73" i="32"/>
  <c r="E71" i="32"/>
  <c r="F71" i="32" s="1"/>
  <c r="E69" i="32"/>
  <c r="E67" i="32"/>
  <c r="E63" i="32"/>
  <c r="D62" i="32"/>
  <c r="F62" i="32" s="1"/>
  <c r="E61" i="32"/>
  <c r="D60" i="32"/>
  <c r="E59" i="32"/>
  <c r="D58" i="32"/>
  <c r="E57" i="32"/>
  <c r="D56" i="32"/>
  <c r="E55" i="32"/>
  <c r="D54" i="32"/>
  <c r="E53" i="32"/>
  <c r="D52" i="32"/>
  <c r="E51" i="32"/>
  <c r="D50" i="32"/>
  <c r="E49" i="32"/>
  <c r="D48" i="32"/>
  <c r="E47" i="32"/>
  <c r="D46" i="32"/>
  <c r="E45" i="32"/>
  <c r="D44" i="32"/>
  <c r="E43" i="32"/>
  <c r="D42" i="32"/>
  <c r="E41" i="32"/>
  <c r="D40" i="32"/>
  <c r="E39" i="32"/>
  <c r="D38" i="32"/>
  <c r="E37" i="32"/>
  <c r="D36" i="32"/>
  <c r="E103" i="34"/>
  <c r="E101" i="34"/>
  <c r="E99" i="34"/>
  <c r="E94" i="34"/>
  <c r="E92" i="34"/>
  <c r="E90" i="34"/>
  <c r="E88" i="34"/>
  <c r="E86" i="34"/>
  <c r="E84" i="34"/>
  <c r="E82" i="34"/>
  <c r="E80" i="34"/>
  <c r="E78" i="34"/>
  <c r="E76" i="34"/>
  <c r="E74" i="34"/>
  <c r="E72" i="34"/>
  <c r="E70" i="34"/>
  <c r="E68" i="34"/>
  <c r="D63" i="34"/>
  <c r="F63" i="34" s="1"/>
  <c r="E62" i="34"/>
  <c r="D61" i="34"/>
  <c r="E60" i="34"/>
  <c r="D59" i="34"/>
  <c r="E58" i="34"/>
  <c r="D57" i="34"/>
  <c r="E56" i="34"/>
  <c r="D55" i="34"/>
  <c r="E54" i="34"/>
  <c r="D53" i="34"/>
  <c r="E52" i="34"/>
  <c r="D51" i="34"/>
  <c r="E50" i="34"/>
  <c r="D49" i="34"/>
  <c r="E48" i="34"/>
  <c r="D47" i="34"/>
  <c r="E46" i="34"/>
  <c r="D45" i="34"/>
  <c r="F45" i="34" s="1"/>
  <c r="E44" i="34"/>
  <c r="D43" i="34"/>
  <c r="E42" i="34"/>
  <c r="D41" i="34"/>
  <c r="E40" i="34"/>
  <c r="D39" i="34"/>
  <c r="E38" i="34"/>
  <c r="D37" i="34"/>
  <c r="F37" i="34" s="1"/>
  <c r="E36" i="34"/>
  <c r="E120" i="34"/>
  <c r="F120" i="34" s="1"/>
  <c r="E104" i="34"/>
  <c r="E102" i="34"/>
  <c r="E116" i="34" s="1"/>
  <c r="E100" i="34"/>
  <c r="E98" i="34"/>
  <c r="E93" i="34"/>
  <c r="E91" i="34"/>
  <c r="E89" i="34"/>
  <c r="E87" i="34"/>
  <c r="E85" i="34"/>
  <c r="E83" i="34"/>
  <c r="E81" i="34"/>
  <c r="E79" i="34"/>
  <c r="E77" i="34"/>
  <c r="E75" i="34"/>
  <c r="E73" i="34"/>
  <c r="E71" i="34"/>
  <c r="E69" i="34"/>
  <c r="E67" i="34"/>
  <c r="E63" i="34"/>
  <c r="D62" i="34"/>
  <c r="F62" i="34" s="1"/>
  <c r="E61" i="34"/>
  <c r="D60" i="34"/>
  <c r="E59" i="34"/>
  <c r="D58" i="34"/>
  <c r="E57" i="34"/>
  <c r="D56" i="34"/>
  <c r="F56" i="34" s="1"/>
  <c r="E55" i="34"/>
  <c r="D54" i="34"/>
  <c r="E53" i="34"/>
  <c r="D52" i="34"/>
  <c r="F52" i="34" s="1"/>
  <c r="E51" i="34"/>
  <c r="D50" i="34"/>
  <c r="F50" i="34" s="1"/>
  <c r="E49" i="34"/>
  <c r="D48" i="34"/>
  <c r="E47" i="34"/>
  <c r="D46" i="34"/>
  <c r="F46" i="34" s="1"/>
  <c r="E45" i="34"/>
  <c r="D44" i="34"/>
  <c r="F44" i="34" s="1"/>
  <c r="E43" i="34"/>
  <c r="D42" i="34"/>
  <c r="E41" i="34"/>
  <c r="D40" i="34"/>
  <c r="F40" i="34" s="1"/>
  <c r="E39" i="34"/>
  <c r="D38" i="34"/>
  <c r="E37" i="34"/>
  <c r="D36" i="34"/>
  <c r="F36" i="34" s="1"/>
  <c r="E103" i="36"/>
  <c r="E101" i="36"/>
  <c r="E99" i="36"/>
  <c r="E94" i="36"/>
  <c r="E92" i="36"/>
  <c r="E90" i="36"/>
  <c r="E88" i="36"/>
  <c r="E86" i="36"/>
  <c r="E84" i="36"/>
  <c r="E82" i="36"/>
  <c r="E80" i="36"/>
  <c r="E78" i="36"/>
  <c r="E76" i="36"/>
  <c r="E74" i="36"/>
  <c r="E72" i="36"/>
  <c r="E70" i="36"/>
  <c r="E68" i="36"/>
  <c r="D63" i="36"/>
  <c r="F63" i="36" s="1"/>
  <c r="E62" i="36"/>
  <c r="D61" i="36"/>
  <c r="E60" i="36"/>
  <c r="D59" i="36"/>
  <c r="E58" i="36"/>
  <c r="D57" i="36"/>
  <c r="E56" i="36"/>
  <c r="D55" i="36"/>
  <c r="E54" i="36"/>
  <c r="D53" i="36"/>
  <c r="E52" i="36"/>
  <c r="D51" i="36"/>
  <c r="E50" i="36"/>
  <c r="D49" i="36"/>
  <c r="E48" i="36"/>
  <c r="D47" i="36"/>
  <c r="E46" i="36"/>
  <c r="D45" i="36"/>
  <c r="F45" i="36" s="1"/>
  <c r="E44" i="36"/>
  <c r="D43" i="36"/>
  <c r="E42" i="36"/>
  <c r="D41" i="36"/>
  <c r="E40" i="36"/>
  <c r="D39" i="36"/>
  <c r="E38" i="36"/>
  <c r="D37" i="36"/>
  <c r="E36" i="36"/>
  <c r="E120" i="36"/>
  <c r="F120" i="36" s="1"/>
  <c r="E104" i="36"/>
  <c r="E102" i="36"/>
  <c r="E116" i="36" s="1"/>
  <c r="E100" i="36"/>
  <c r="E98" i="36"/>
  <c r="E93" i="36"/>
  <c r="E91" i="36"/>
  <c r="E89" i="36"/>
  <c r="E87" i="36"/>
  <c r="E85" i="36"/>
  <c r="E83" i="36"/>
  <c r="E81" i="36"/>
  <c r="E79" i="36"/>
  <c r="E77" i="36"/>
  <c r="E75" i="36"/>
  <c r="E73" i="36"/>
  <c r="E71" i="36"/>
  <c r="E69" i="36"/>
  <c r="E67" i="36"/>
  <c r="E63" i="36"/>
  <c r="D62" i="36"/>
  <c r="F62" i="36" s="1"/>
  <c r="E61" i="36"/>
  <c r="D60" i="36"/>
  <c r="E59" i="36"/>
  <c r="D58" i="36"/>
  <c r="E57" i="36"/>
  <c r="D56" i="36"/>
  <c r="E55" i="36"/>
  <c r="D54" i="36"/>
  <c r="E53" i="36"/>
  <c r="D52" i="36"/>
  <c r="E51" i="36"/>
  <c r="D50" i="36"/>
  <c r="E49" i="36"/>
  <c r="D48" i="36"/>
  <c r="E47" i="36"/>
  <c r="D46" i="36"/>
  <c r="E45" i="36"/>
  <c r="D44" i="36"/>
  <c r="E43" i="36"/>
  <c r="D42" i="36"/>
  <c r="E41" i="36"/>
  <c r="D40" i="36"/>
  <c r="F40" i="36" s="1"/>
  <c r="E39" i="36"/>
  <c r="D38" i="36"/>
  <c r="E37" i="36"/>
  <c r="D36" i="36"/>
  <c r="E103" i="38"/>
  <c r="E101" i="38"/>
  <c r="E99" i="38"/>
  <c r="E94" i="38"/>
  <c r="E92" i="38"/>
  <c r="E90" i="38"/>
  <c r="E88" i="38"/>
  <c r="E86" i="38"/>
  <c r="E84" i="38"/>
  <c r="E82" i="38"/>
  <c r="E80" i="38"/>
  <c r="E78" i="38"/>
  <c r="E76" i="38"/>
  <c r="E74" i="38"/>
  <c r="E72" i="38"/>
  <c r="E70" i="38"/>
  <c r="E68" i="38"/>
  <c r="D63" i="38"/>
  <c r="F63" i="38" s="1"/>
  <c r="E62" i="38"/>
  <c r="D61" i="38"/>
  <c r="E60" i="38"/>
  <c r="D59" i="38"/>
  <c r="E58" i="38"/>
  <c r="D57" i="38"/>
  <c r="E56" i="38"/>
  <c r="D55" i="38"/>
  <c r="E54" i="38"/>
  <c r="D53" i="38"/>
  <c r="E52" i="38"/>
  <c r="D51" i="38"/>
  <c r="E50" i="38"/>
  <c r="D49" i="38"/>
  <c r="E48" i="38"/>
  <c r="D47" i="38"/>
  <c r="E46" i="38"/>
  <c r="D45" i="38"/>
  <c r="F45" i="38" s="1"/>
  <c r="E44" i="38"/>
  <c r="D43" i="38"/>
  <c r="E42" i="38"/>
  <c r="D41" i="38"/>
  <c r="E40" i="38"/>
  <c r="D39" i="38"/>
  <c r="E38" i="38"/>
  <c r="D37" i="38"/>
  <c r="E36" i="38"/>
  <c r="E120" i="38"/>
  <c r="E104" i="38"/>
  <c r="E102" i="38"/>
  <c r="E116" i="38" s="1"/>
  <c r="E100" i="38"/>
  <c r="E98" i="38"/>
  <c r="E93" i="38"/>
  <c r="E91" i="38"/>
  <c r="E89" i="38"/>
  <c r="E87" i="38"/>
  <c r="E85" i="38"/>
  <c r="E83" i="38"/>
  <c r="E81" i="38"/>
  <c r="E79" i="38"/>
  <c r="E77" i="38"/>
  <c r="E75" i="38"/>
  <c r="E73" i="38"/>
  <c r="E71" i="38"/>
  <c r="E69" i="38"/>
  <c r="E67" i="38"/>
  <c r="E63" i="38"/>
  <c r="D62" i="38"/>
  <c r="F62" i="38" s="1"/>
  <c r="E61" i="38"/>
  <c r="D60" i="38"/>
  <c r="E59" i="38"/>
  <c r="D58" i="38"/>
  <c r="E57" i="38"/>
  <c r="D56" i="38"/>
  <c r="E55" i="38"/>
  <c r="D54" i="38"/>
  <c r="E53" i="38"/>
  <c r="D52" i="38"/>
  <c r="F52" i="38" s="1"/>
  <c r="E51" i="38"/>
  <c r="D50" i="38"/>
  <c r="F50" i="38" s="1"/>
  <c r="E49" i="38"/>
  <c r="D48" i="38"/>
  <c r="E47" i="38"/>
  <c r="D46" i="38"/>
  <c r="E45" i="38"/>
  <c r="D44" i="38"/>
  <c r="E43" i="38"/>
  <c r="D42" i="38"/>
  <c r="E41" i="38"/>
  <c r="D40" i="38"/>
  <c r="F40" i="38" s="1"/>
  <c r="E39" i="38"/>
  <c r="D38" i="38"/>
  <c r="E37" i="38"/>
  <c r="D36" i="38"/>
  <c r="E103" i="40"/>
  <c r="E101" i="40"/>
  <c r="E99" i="40"/>
  <c r="E94" i="40"/>
  <c r="E92" i="40"/>
  <c r="E90" i="40"/>
  <c r="E88" i="40"/>
  <c r="E86" i="40"/>
  <c r="E84" i="40"/>
  <c r="E82" i="40"/>
  <c r="E80" i="40"/>
  <c r="E78" i="40"/>
  <c r="E76" i="40"/>
  <c r="E74" i="40"/>
  <c r="E72" i="40"/>
  <c r="E70" i="40"/>
  <c r="E68" i="40"/>
  <c r="D63" i="40"/>
  <c r="F63" i="40" s="1"/>
  <c r="E62" i="40"/>
  <c r="D61" i="40"/>
  <c r="F61" i="40" s="1"/>
  <c r="E60" i="40"/>
  <c r="D59" i="40"/>
  <c r="F59" i="40" s="1"/>
  <c r="E58" i="40"/>
  <c r="D57" i="40"/>
  <c r="F57" i="40" s="1"/>
  <c r="E56" i="40"/>
  <c r="D55" i="40"/>
  <c r="F55" i="40" s="1"/>
  <c r="E54" i="40"/>
  <c r="D53" i="40"/>
  <c r="F53" i="40" s="1"/>
  <c r="E52" i="40"/>
  <c r="D51" i="40"/>
  <c r="F51" i="40" s="1"/>
  <c r="E50" i="40"/>
  <c r="D49" i="40"/>
  <c r="F49" i="40" s="1"/>
  <c r="E48" i="40"/>
  <c r="D47" i="40"/>
  <c r="F47" i="40" s="1"/>
  <c r="E46" i="40"/>
  <c r="D45" i="40"/>
  <c r="F45" i="40" s="1"/>
  <c r="E44" i="40"/>
  <c r="D43" i="40"/>
  <c r="F43" i="40" s="1"/>
  <c r="E42" i="40"/>
  <c r="D41" i="40"/>
  <c r="F41" i="40" s="1"/>
  <c r="E40" i="40"/>
  <c r="D39" i="40"/>
  <c r="F39" i="40" s="1"/>
  <c r="E38" i="40"/>
  <c r="D37" i="40"/>
  <c r="F37" i="40" s="1"/>
  <c r="E120" i="40"/>
  <c r="E104" i="40"/>
  <c r="E102" i="40"/>
  <c r="E116" i="40" s="1"/>
  <c r="E100" i="40"/>
  <c r="E98" i="40"/>
  <c r="E93" i="40"/>
  <c r="E91" i="40"/>
  <c r="E89" i="40"/>
  <c r="E87" i="40"/>
  <c r="E85" i="40"/>
  <c r="E83" i="40"/>
  <c r="E81" i="40"/>
  <c r="E79" i="40"/>
  <c r="E77" i="40"/>
  <c r="E75" i="40"/>
  <c r="E73" i="40"/>
  <c r="E71" i="40"/>
  <c r="E69" i="40"/>
  <c r="E67" i="40"/>
  <c r="E63" i="40"/>
  <c r="D62" i="40"/>
  <c r="F62" i="40" s="1"/>
  <c r="E61" i="40"/>
  <c r="D60" i="40"/>
  <c r="F60" i="40" s="1"/>
  <c r="E59" i="40"/>
  <c r="D58" i="40"/>
  <c r="F58" i="40" s="1"/>
  <c r="E57" i="40"/>
  <c r="D54" i="40"/>
  <c r="F54" i="40" s="1"/>
  <c r="E53" i="40"/>
  <c r="D50" i="40"/>
  <c r="F50" i="40" s="1"/>
  <c r="E49" i="40"/>
  <c r="D46" i="40"/>
  <c r="F46" i="40" s="1"/>
  <c r="E45" i="40"/>
  <c r="D42" i="40"/>
  <c r="F42" i="40" s="1"/>
  <c r="E41" i="40"/>
  <c r="D38" i="40"/>
  <c r="F38" i="40" s="1"/>
  <c r="E37" i="40"/>
  <c r="D36" i="40"/>
  <c r="F36" i="40" s="1"/>
  <c r="D56" i="40"/>
  <c r="F56" i="40" s="1"/>
  <c r="E55" i="40"/>
  <c r="D52" i="40"/>
  <c r="F52" i="40" s="1"/>
  <c r="E51" i="40"/>
  <c r="D48" i="40"/>
  <c r="F48" i="40" s="1"/>
  <c r="E47" i="40"/>
  <c r="D44" i="40"/>
  <c r="F44" i="40" s="1"/>
  <c r="E43" i="40"/>
  <c r="D40" i="40"/>
  <c r="F40" i="40" s="1"/>
  <c r="E39" i="40"/>
  <c r="E36" i="40"/>
  <c r="E120" i="42"/>
  <c r="E104" i="42"/>
  <c r="E102" i="42"/>
  <c r="E116" i="42" s="1"/>
  <c r="E100" i="42"/>
  <c r="E98" i="42"/>
  <c r="E93" i="42"/>
  <c r="E91" i="42"/>
  <c r="E89" i="42"/>
  <c r="E87" i="42"/>
  <c r="E85" i="42"/>
  <c r="E83" i="42"/>
  <c r="E81" i="42"/>
  <c r="E79" i="42"/>
  <c r="E77" i="42"/>
  <c r="E75" i="42"/>
  <c r="E73" i="42"/>
  <c r="E71" i="42"/>
  <c r="E69" i="42"/>
  <c r="E67" i="42"/>
  <c r="E63" i="42"/>
  <c r="D62" i="42"/>
  <c r="F62" i="42" s="1"/>
  <c r="E61" i="42"/>
  <c r="D60" i="42"/>
  <c r="E59" i="42"/>
  <c r="D58" i="42"/>
  <c r="E57" i="42"/>
  <c r="D56" i="42"/>
  <c r="E55" i="42"/>
  <c r="D54" i="42"/>
  <c r="E53" i="42"/>
  <c r="D52" i="42"/>
  <c r="E51" i="42"/>
  <c r="D50" i="42"/>
  <c r="E49" i="42"/>
  <c r="D48" i="42"/>
  <c r="E47" i="42"/>
  <c r="D46" i="42"/>
  <c r="E45" i="42"/>
  <c r="D44" i="42"/>
  <c r="E43" i="42"/>
  <c r="D42" i="42"/>
  <c r="E41" i="42"/>
  <c r="D40" i="42"/>
  <c r="F40" i="42" s="1"/>
  <c r="E39" i="42"/>
  <c r="D38" i="42"/>
  <c r="E37" i="42"/>
  <c r="D36" i="42"/>
  <c r="E103" i="42"/>
  <c r="E101" i="42"/>
  <c r="E99" i="42"/>
  <c r="E94" i="42"/>
  <c r="E92" i="42"/>
  <c r="E90" i="42"/>
  <c r="E88" i="42"/>
  <c r="E86" i="42"/>
  <c r="E84" i="42"/>
  <c r="E82" i="42"/>
  <c r="E80" i="42"/>
  <c r="E78" i="42"/>
  <c r="E76" i="42"/>
  <c r="E74" i="42"/>
  <c r="E72" i="42"/>
  <c r="E70" i="42"/>
  <c r="E68" i="42"/>
  <c r="D63" i="42"/>
  <c r="F63" i="42" s="1"/>
  <c r="E62" i="42"/>
  <c r="D61" i="42"/>
  <c r="E60" i="42"/>
  <c r="D59" i="42"/>
  <c r="E58" i="42"/>
  <c r="D57" i="42"/>
  <c r="E56" i="42"/>
  <c r="D55" i="42"/>
  <c r="E54" i="42"/>
  <c r="D53" i="42"/>
  <c r="E52" i="42"/>
  <c r="D51" i="42"/>
  <c r="E50" i="42"/>
  <c r="D49" i="42"/>
  <c r="E48" i="42"/>
  <c r="D47" i="42"/>
  <c r="E46" i="42"/>
  <c r="D45" i="42"/>
  <c r="E44" i="42"/>
  <c r="D43" i="42"/>
  <c r="E42" i="42"/>
  <c r="D41" i="42"/>
  <c r="E40" i="42"/>
  <c r="D39" i="42"/>
  <c r="E38" i="42"/>
  <c r="D37" i="42"/>
  <c r="E36" i="42"/>
  <c r="E120" i="44"/>
  <c r="E104" i="44"/>
  <c r="E102" i="44"/>
  <c r="E116" i="44" s="1"/>
  <c r="F116" i="44" s="1"/>
  <c r="E100" i="44"/>
  <c r="E98" i="44"/>
  <c r="E93" i="44"/>
  <c r="E91" i="44"/>
  <c r="E89" i="44"/>
  <c r="E87" i="44"/>
  <c r="E85" i="44"/>
  <c r="E83" i="44"/>
  <c r="E81" i="44"/>
  <c r="E79" i="44"/>
  <c r="E77" i="44"/>
  <c r="E75" i="44"/>
  <c r="E73" i="44"/>
  <c r="E71" i="44"/>
  <c r="E69" i="44"/>
  <c r="E67" i="44"/>
  <c r="E63" i="44"/>
  <c r="D62" i="44"/>
  <c r="F62" i="44" s="1"/>
  <c r="E61" i="44"/>
  <c r="D60" i="44"/>
  <c r="E59" i="44"/>
  <c r="D58" i="44"/>
  <c r="E57" i="44"/>
  <c r="D56" i="44"/>
  <c r="E55" i="44"/>
  <c r="D54" i="44"/>
  <c r="E53" i="44"/>
  <c r="D52" i="44"/>
  <c r="E51" i="44"/>
  <c r="D50" i="44"/>
  <c r="F50" i="44" s="1"/>
  <c r="E49" i="44"/>
  <c r="D48" i="44"/>
  <c r="E47" i="44"/>
  <c r="D46" i="44"/>
  <c r="E45" i="44"/>
  <c r="D44" i="44"/>
  <c r="E43" i="44"/>
  <c r="D42" i="44"/>
  <c r="E41" i="44"/>
  <c r="D40" i="44"/>
  <c r="E39" i="44"/>
  <c r="D38" i="44"/>
  <c r="E37" i="44"/>
  <c r="D36" i="44"/>
  <c r="E103" i="44"/>
  <c r="E101" i="44"/>
  <c r="E99" i="44"/>
  <c r="E94" i="44"/>
  <c r="E92" i="44"/>
  <c r="E90" i="44"/>
  <c r="E88" i="44"/>
  <c r="E86" i="44"/>
  <c r="E84" i="44"/>
  <c r="E82" i="44"/>
  <c r="E80" i="44"/>
  <c r="E78" i="44"/>
  <c r="E76" i="44"/>
  <c r="E74" i="44"/>
  <c r="E72" i="44"/>
  <c r="E70" i="44"/>
  <c r="E68" i="44"/>
  <c r="D63" i="44"/>
  <c r="F63" i="44" s="1"/>
  <c r="E62" i="44"/>
  <c r="D61" i="44"/>
  <c r="E60" i="44"/>
  <c r="D59" i="44"/>
  <c r="E58" i="44"/>
  <c r="D57" i="44"/>
  <c r="E56" i="44"/>
  <c r="D55" i="44"/>
  <c r="E54" i="44"/>
  <c r="D53" i="44"/>
  <c r="E52" i="44"/>
  <c r="D51" i="44"/>
  <c r="E50" i="44"/>
  <c r="D49" i="44"/>
  <c r="E48" i="44"/>
  <c r="D47" i="44"/>
  <c r="E46" i="44"/>
  <c r="D45" i="44"/>
  <c r="E44" i="44"/>
  <c r="D43" i="44"/>
  <c r="E42" i="44"/>
  <c r="D41" i="44"/>
  <c r="E40" i="44"/>
  <c r="D39" i="44"/>
  <c r="E38" i="44"/>
  <c r="D37" i="44"/>
  <c r="E36" i="44"/>
  <c r="E120" i="46"/>
  <c r="F120" i="46" s="1"/>
  <c r="E104" i="46"/>
  <c r="E102" i="46"/>
  <c r="E116" i="46" s="1"/>
  <c r="E100" i="46"/>
  <c r="E98" i="46"/>
  <c r="E93" i="46"/>
  <c r="E91" i="46"/>
  <c r="E89" i="46"/>
  <c r="E87" i="46"/>
  <c r="E85" i="46"/>
  <c r="E83" i="46"/>
  <c r="E81" i="46"/>
  <c r="E79" i="46"/>
  <c r="E77" i="46"/>
  <c r="E75" i="46"/>
  <c r="E73" i="46"/>
  <c r="E71" i="46"/>
  <c r="E69" i="46"/>
  <c r="E67" i="46"/>
  <c r="F67" i="46" s="1"/>
  <c r="E63" i="46"/>
  <c r="D62" i="46"/>
  <c r="F62" i="46" s="1"/>
  <c r="E61" i="46"/>
  <c r="D60" i="46"/>
  <c r="E59" i="46"/>
  <c r="D58" i="46"/>
  <c r="E57" i="46"/>
  <c r="D56" i="46"/>
  <c r="F56" i="46" s="1"/>
  <c r="E55" i="46"/>
  <c r="D54" i="46"/>
  <c r="E53" i="46"/>
  <c r="D52" i="46"/>
  <c r="F52" i="46" s="1"/>
  <c r="E51" i="46"/>
  <c r="D50" i="46"/>
  <c r="F50" i="46" s="1"/>
  <c r="E49" i="46"/>
  <c r="D48" i="46"/>
  <c r="E47" i="46"/>
  <c r="D46" i="46"/>
  <c r="E45" i="46"/>
  <c r="D44" i="46"/>
  <c r="E43" i="46"/>
  <c r="D42" i="46"/>
  <c r="E41" i="46"/>
  <c r="F41" i="46" s="1"/>
  <c r="D40" i="46"/>
  <c r="F40" i="46" s="1"/>
  <c r="E39" i="46"/>
  <c r="D38" i="46"/>
  <c r="E37" i="46"/>
  <c r="D36" i="46"/>
  <c r="E103" i="46"/>
  <c r="E101" i="46"/>
  <c r="E99" i="46"/>
  <c r="E94" i="46"/>
  <c r="E92" i="46"/>
  <c r="E90" i="46"/>
  <c r="E88" i="46"/>
  <c r="E86" i="46"/>
  <c r="E84" i="46"/>
  <c r="E82" i="46"/>
  <c r="E80" i="46"/>
  <c r="E78" i="46"/>
  <c r="E76" i="46"/>
  <c r="E74" i="46"/>
  <c r="E72" i="46"/>
  <c r="F72" i="46" s="1"/>
  <c r="E70" i="46"/>
  <c r="E68" i="46"/>
  <c r="D63" i="46"/>
  <c r="F63" i="46" s="1"/>
  <c r="E62" i="46"/>
  <c r="D61" i="46"/>
  <c r="E60" i="46"/>
  <c r="D59" i="46"/>
  <c r="E58" i="46"/>
  <c r="D57" i="46"/>
  <c r="E56" i="46"/>
  <c r="D55" i="46"/>
  <c r="F55" i="46" s="1"/>
  <c r="E54" i="46"/>
  <c r="D53" i="46"/>
  <c r="E52" i="46"/>
  <c r="D51" i="46"/>
  <c r="E50" i="46"/>
  <c r="D49" i="46"/>
  <c r="E48" i="46"/>
  <c r="D47" i="46"/>
  <c r="E46" i="46"/>
  <c r="D45" i="46"/>
  <c r="F45" i="46" s="1"/>
  <c r="E44" i="46"/>
  <c r="D43" i="46"/>
  <c r="E42" i="46"/>
  <c r="D41" i="46"/>
  <c r="E40" i="46"/>
  <c r="D39" i="46"/>
  <c r="E38" i="46"/>
  <c r="D37" i="46"/>
  <c r="E36" i="46"/>
  <c r="F36" i="46" s="1"/>
  <c r="E120" i="48"/>
  <c r="F120" i="48" s="1"/>
  <c r="E104" i="48"/>
  <c r="E102" i="48"/>
  <c r="E116" i="48" s="1"/>
  <c r="E100" i="48"/>
  <c r="E98" i="48"/>
  <c r="E93" i="48"/>
  <c r="E91" i="48"/>
  <c r="E89" i="48"/>
  <c r="E87" i="48"/>
  <c r="E85" i="48"/>
  <c r="E83" i="48"/>
  <c r="E81" i="48"/>
  <c r="E79" i="48"/>
  <c r="E77" i="48"/>
  <c r="E75" i="48"/>
  <c r="E73" i="48"/>
  <c r="E71" i="48"/>
  <c r="E69" i="48"/>
  <c r="E67" i="48"/>
  <c r="E63" i="48"/>
  <c r="D62" i="48"/>
  <c r="F62" i="48" s="1"/>
  <c r="E61" i="48"/>
  <c r="D60" i="48"/>
  <c r="E59" i="48"/>
  <c r="D58" i="48"/>
  <c r="E57" i="48"/>
  <c r="D56" i="48"/>
  <c r="F56" i="48" s="1"/>
  <c r="E55" i="48"/>
  <c r="D54" i="48"/>
  <c r="E53" i="48"/>
  <c r="D52" i="48"/>
  <c r="F52" i="48" s="1"/>
  <c r="E51" i="48"/>
  <c r="D50" i="48"/>
  <c r="F50" i="48" s="1"/>
  <c r="E49" i="48"/>
  <c r="D48" i="48"/>
  <c r="E47" i="48"/>
  <c r="D46" i="48"/>
  <c r="E45" i="48"/>
  <c r="D44" i="48"/>
  <c r="E43" i="48"/>
  <c r="D42" i="48"/>
  <c r="E41" i="48"/>
  <c r="D40" i="48"/>
  <c r="F40" i="48" s="1"/>
  <c r="E39" i="48"/>
  <c r="D38" i="48"/>
  <c r="E37" i="48"/>
  <c r="D36" i="48"/>
  <c r="E103" i="48"/>
  <c r="E101" i="48"/>
  <c r="E99" i="48"/>
  <c r="E94" i="48"/>
  <c r="E92" i="48"/>
  <c r="E90" i="48"/>
  <c r="E88" i="48"/>
  <c r="E86" i="48"/>
  <c r="E84" i="48"/>
  <c r="E82" i="48"/>
  <c r="E80" i="48"/>
  <c r="E78" i="48"/>
  <c r="E76" i="48"/>
  <c r="E74" i="48"/>
  <c r="E72" i="48"/>
  <c r="E70" i="48"/>
  <c r="E68" i="48"/>
  <c r="D63" i="48"/>
  <c r="F63" i="48" s="1"/>
  <c r="E62" i="48"/>
  <c r="D61" i="48"/>
  <c r="E60" i="48"/>
  <c r="D59" i="48"/>
  <c r="E58" i="48"/>
  <c r="D57" i="48"/>
  <c r="E56" i="48"/>
  <c r="D55" i="48"/>
  <c r="F55" i="48" s="1"/>
  <c r="E54" i="48"/>
  <c r="D53" i="48"/>
  <c r="E52" i="48"/>
  <c r="D51" i="48"/>
  <c r="E50" i="48"/>
  <c r="D49" i="48"/>
  <c r="F49" i="48" s="1"/>
  <c r="E48" i="48"/>
  <c r="D47" i="48"/>
  <c r="E46" i="48"/>
  <c r="D45" i="48"/>
  <c r="F45" i="48" s="1"/>
  <c r="E44" i="48"/>
  <c r="D43" i="48"/>
  <c r="F43" i="48" s="1"/>
  <c r="E42" i="48"/>
  <c r="D41" i="48"/>
  <c r="F41" i="48" s="1"/>
  <c r="E40" i="48"/>
  <c r="D39" i="48"/>
  <c r="E38" i="48"/>
  <c r="D37" i="48"/>
  <c r="F37" i="48" s="1"/>
  <c r="E36" i="48"/>
  <c r="E120" i="50"/>
  <c r="F120" i="50" s="1"/>
  <c r="E104" i="50"/>
  <c r="E102" i="50"/>
  <c r="E116" i="50" s="1"/>
  <c r="E100" i="50"/>
  <c r="E98" i="50"/>
  <c r="E93" i="50"/>
  <c r="E91" i="50"/>
  <c r="E89" i="50"/>
  <c r="E87" i="50"/>
  <c r="E85" i="50"/>
  <c r="E83" i="50"/>
  <c r="E81" i="50"/>
  <c r="E79" i="50"/>
  <c r="E77" i="50"/>
  <c r="E75" i="50"/>
  <c r="E73" i="50"/>
  <c r="E71" i="50"/>
  <c r="E69" i="50"/>
  <c r="E67" i="50"/>
  <c r="E63" i="50"/>
  <c r="D62" i="50"/>
  <c r="F62" i="50" s="1"/>
  <c r="E61" i="50"/>
  <c r="D60" i="50"/>
  <c r="E59" i="50"/>
  <c r="D58" i="50"/>
  <c r="E57" i="50"/>
  <c r="D56" i="50"/>
  <c r="E55" i="50"/>
  <c r="D54" i="50"/>
  <c r="E53" i="50"/>
  <c r="D52" i="50"/>
  <c r="F52" i="50" s="1"/>
  <c r="E51" i="50"/>
  <c r="D50" i="50"/>
  <c r="F50" i="50" s="1"/>
  <c r="E49" i="50"/>
  <c r="D48" i="50"/>
  <c r="E47" i="50"/>
  <c r="D46" i="50"/>
  <c r="E45" i="50"/>
  <c r="F45" i="50" s="1"/>
  <c r="D44" i="50"/>
  <c r="E43" i="50"/>
  <c r="D42" i="50"/>
  <c r="E41" i="50"/>
  <c r="D40" i="50"/>
  <c r="E39" i="50"/>
  <c r="D38" i="50"/>
  <c r="E37" i="50"/>
  <c r="D36" i="50"/>
  <c r="E103" i="50"/>
  <c r="E101" i="50"/>
  <c r="E99" i="50"/>
  <c r="E94" i="50"/>
  <c r="E92" i="50"/>
  <c r="E90" i="50"/>
  <c r="E88" i="50"/>
  <c r="E86" i="50"/>
  <c r="E84" i="50"/>
  <c r="E82" i="50"/>
  <c r="E80" i="50"/>
  <c r="E78" i="50"/>
  <c r="E76" i="50"/>
  <c r="F76" i="50" s="1"/>
  <c r="E74" i="50"/>
  <c r="E72" i="50"/>
  <c r="E70" i="50"/>
  <c r="E68" i="50"/>
  <c r="D63" i="50"/>
  <c r="F63" i="50" s="1"/>
  <c r="E62" i="50"/>
  <c r="D61" i="50"/>
  <c r="E60" i="50"/>
  <c r="D59" i="50"/>
  <c r="E58" i="50"/>
  <c r="D57" i="50"/>
  <c r="E56" i="50"/>
  <c r="D55" i="50"/>
  <c r="E54" i="50"/>
  <c r="D53" i="50"/>
  <c r="E52" i="50"/>
  <c r="D51" i="50"/>
  <c r="E50" i="50"/>
  <c r="D49" i="50"/>
  <c r="E48" i="50"/>
  <c r="D47" i="50"/>
  <c r="E46" i="50"/>
  <c r="D45" i="50"/>
  <c r="E44" i="50"/>
  <c r="D43" i="50"/>
  <c r="E42" i="50"/>
  <c r="D41" i="50"/>
  <c r="E40" i="50"/>
  <c r="D39" i="50"/>
  <c r="E38" i="50"/>
  <c r="D37" i="50"/>
  <c r="E36" i="50"/>
  <c r="E64" i="50" s="1"/>
  <c r="E120" i="52"/>
  <c r="F120" i="52" s="1"/>
  <c r="E104" i="52"/>
  <c r="E102" i="52"/>
  <c r="E116" i="52" s="1"/>
  <c r="E100" i="52"/>
  <c r="E98" i="52"/>
  <c r="E93" i="52"/>
  <c r="E91" i="52"/>
  <c r="E89" i="52"/>
  <c r="E87" i="52"/>
  <c r="E85" i="52"/>
  <c r="E83" i="52"/>
  <c r="E81" i="52"/>
  <c r="E79" i="52"/>
  <c r="E77" i="52"/>
  <c r="E75" i="52"/>
  <c r="E73" i="52"/>
  <c r="E71" i="52"/>
  <c r="E69" i="52"/>
  <c r="E67" i="52"/>
  <c r="E63" i="52"/>
  <c r="D62" i="52"/>
  <c r="F62" i="52" s="1"/>
  <c r="E61" i="52"/>
  <c r="D60" i="52"/>
  <c r="E59" i="52"/>
  <c r="D58" i="52"/>
  <c r="E57" i="52"/>
  <c r="D56" i="52"/>
  <c r="E55" i="52"/>
  <c r="D54" i="52"/>
  <c r="E53" i="52"/>
  <c r="D52" i="52"/>
  <c r="F52" i="52" s="1"/>
  <c r="E51" i="52"/>
  <c r="D50" i="52"/>
  <c r="E49" i="52"/>
  <c r="D48" i="52"/>
  <c r="E47" i="52"/>
  <c r="D46" i="52"/>
  <c r="E45" i="52"/>
  <c r="D44" i="52"/>
  <c r="E43" i="52"/>
  <c r="D42" i="52"/>
  <c r="E41" i="52"/>
  <c r="D40" i="52"/>
  <c r="F40" i="52" s="1"/>
  <c r="E39" i="52"/>
  <c r="D38" i="52"/>
  <c r="E37" i="52"/>
  <c r="D36" i="52"/>
  <c r="E103" i="52"/>
  <c r="E101" i="52"/>
  <c r="E99" i="52"/>
  <c r="E94" i="52"/>
  <c r="E92" i="52"/>
  <c r="E90" i="52"/>
  <c r="E88" i="52"/>
  <c r="E86" i="52"/>
  <c r="E84" i="52"/>
  <c r="E82" i="52"/>
  <c r="E80" i="52"/>
  <c r="E78" i="52"/>
  <c r="E76" i="52"/>
  <c r="E74" i="52"/>
  <c r="E72" i="52"/>
  <c r="E70" i="52"/>
  <c r="E68" i="52"/>
  <c r="D63" i="52"/>
  <c r="F63" i="52" s="1"/>
  <c r="E62" i="52"/>
  <c r="D61" i="52"/>
  <c r="E60" i="52"/>
  <c r="D59" i="52"/>
  <c r="E58" i="52"/>
  <c r="D57" i="52"/>
  <c r="E56" i="52"/>
  <c r="D55" i="52"/>
  <c r="E54" i="52"/>
  <c r="D53" i="52"/>
  <c r="E52" i="52"/>
  <c r="D51" i="52"/>
  <c r="E50" i="52"/>
  <c r="D49" i="52"/>
  <c r="E48" i="52"/>
  <c r="D47" i="52"/>
  <c r="E46" i="52"/>
  <c r="D45" i="52"/>
  <c r="F45" i="52" s="1"/>
  <c r="E44" i="52"/>
  <c r="D43" i="52"/>
  <c r="E42" i="52"/>
  <c r="D41" i="52"/>
  <c r="E40" i="52"/>
  <c r="D39" i="52"/>
  <c r="E38" i="52"/>
  <c r="D37" i="52"/>
  <c r="E36" i="52"/>
  <c r="E120" i="54"/>
  <c r="F120" i="54" s="1"/>
  <c r="E104" i="54"/>
  <c r="E102" i="54"/>
  <c r="E116" i="54" s="1"/>
  <c r="E100" i="54"/>
  <c r="E98" i="54"/>
  <c r="E93" i="54"/>
  <c r="E91" i="54"/>
  <c r="E89" i="54"/>
  <c r="E87" i="54"/>
  <c r="E85" i="54"/>
  <c r="E83" i="54"/>
  <c r="E81" i="54"/>
  <c r="E79" i="54"/>
  <c r="E77" i="54"/>
  <c r="E75" i="54"/>
  <c r="E73" i="54"/>
  <c r="E71" i="54"/>
  <c r="E69" i="54"/>
  <c r="E67" i="54"/>
  <c r="E63" i="54"/>
  <c r="D62" i="54"/>
  <c r="F62" i="54" s="1"/>
  <c r="E61" i="54"/>
  <c r="D60" i="54"/>
  <c r="E59" i="54"/>
  <c r="D58" i="54"/>
  <c r="E57" i="54"/>
  <c r="D56" i="54"/>
  <c r="E55" i="54"/>
  <c r="D54" i="54"/>
  <c r="E53" i="54"/>
  <c r="D52" i="54"/>
  <c r="E51" i="54"/>
  <c r="D50" i="54"/>
  <c r="F50" i="54" s="1"/>
  <c r="E49" i="54"/>
  <c r="D48" i="54"/>
  <c r="E47" i="54"/>
  <c r="D46" i="54"/>
  <c r="E45" i="54"/>
  <c r="D44" i="54"/>
  <c r="E43" i="54"/>
  <c r="D42" i="54"/>
  <c r="E41" i="54"/>
  <c r="D40" i="54"/>
  <c r="F40" i="54" s="1"/>
  <c r="E39" i="54"/>
  <c r="D38" i="54"/>
  <c r="E37" i="54"/>
  <c r="D117" i="60"/>
  <c r="E103" i="54"/>
  <c r="E101" i="54"/>
  <c r="E99" i="54"/>
  <c r="E94" i="54"/>
  <c r="E92" i="54"/>
  <c r="E90" i="54"/>
  <c r="E88" i="54"/>
  <c r="E86" i="54"/>
  <c r="E84" i="54"/>
  <c r="E82" i="54"/>
  <c r="E80" i="54"/>
  <c r="E78" i="54"/>
  <c r="E76" i="54"/>
  <c r="E74" i="54"/>
  <c r="E72" i="54"/>
  <c r="E70" i="54"/>
  <c r="E68" i="54"/>
  <c r="D63" i="54"/>
  <c r="F63" i="54" s="1"/>
  <c r="E62" i="54"/>
  <c r="D61" i="54"/>
  <c r="E60" i="54"/>
  <c r="D59" i="54"/>
  <c r="E58" i="54"/>
  <c r="D57" i="54"/>
  <c r="E56" i="54"/>
  <c r="D55" i="54"/>
  <c r="E54" i="54"/>
  <c r="D53" i="54"/>
  <c r="E52" i="54"/>
  <c r="D51" i="54"/>
  <c r="E50" i="54"/>
  <c r="D49" i="54"/>
  <c r="E48" i="54"/>
  <c r="D47" i="54"/>
  <c r="E46" i="54"/>
  <c r="D45" i="54"/>
  <c r="E44" i="54"/>
  <c r="D43" i="54"/>
  <c r="E42" i="54"/>
  <c r="D41" i="54"/>
  <c r="E40" i="54"/>
  <c r="D39" i="54"/>
  <c r="E38" i="54"/>
  <c r="D37" i="54"/>
  <c r="E36" i="54"/>
  <c r="D36" i="56"/>
  <c r="F36" i="56" s="1"/>
  <c r="E37" i="56"/>
  <c r="D38" i="56"/>
  <c r="F38" i="56" s="1"/>
  <c r="E39" i="56"/>
  <c r="D40" i="56"/>
  <c r="F40" i="56" s="1"/>
  <c r="E41" i="56"/>
  <c r="D42" i="56"/>
  <c r="F42" i="56" s="1"/>
  <c r="E43" i="56"/>
  <c r="D44" i="56"/>
  <c r="F44" i="56" s="1"/>
  <c r="E45" i="56"/>
  <c r="D46" i="56"/>
  <c r="E47" i="56"/>
  <c r="D48" i="56"/>
  <c r="F48" i="56" s="1"/>
  <c r="E49" i="56"/>
  <c r="D50" i="56"/>
  <c r="F50" i="56" s="1"/>
  <c r="E51" i="56"/>
  <c r="D52" i="56"/>
  <c r="F52" i="56" s="1"/>
  <c r="E53" i="56"/>
  <c r="D54" i="56"/>
  <c r="F54" i="56" s="1"/>
  <c r="E55" i="56"/>
  <c r="D56" i="56"/>
  <c r="F56" i="56" s="1"/>
  <c r="E57" i="56"/>
  <c r="F57" i="56" s="1"/>
  <c r="D58" i="56"/>
  <c r="F58" i="56" s="1"/>
  <c r="E59" i="56"/>
  <c r="D60" i="56"/>
  <c r="F60" i="56" s="1"/>
  <c r="E61" i="56"/>
  <c r="D62" i="56"/>
  <c r="F62" i="56" s="1"/>
  <c r="E63" i="56"/>
  <c r="E67" i="56"/>
  <c r="E67" i="60" s="1"/>
  <c r="E69" i="56"/>
  <c r="E71" i="56"/>
  <c r="E71" i="60" s="1"/>
  <c r="E73" i="56"/>
  <c r="E75" i="56"/>
  <c r="E75" i="60" s="1"/>
  <c r="E77" i="56"/>
  <c r="E77" i="60" s="1"/>
  <c r="E79" i="56"/>
  <c r="E79" i="60" s="1"/>
  <c r="E81" i="56"/>
  <c r="E81" i="60" s="1"/>
  <c r="E83" i="56"/>
  <c r="E83" i="60" s="1"/>
  <c r="E85" i="56"/>
  <c r="E85" i="60" s="1"/>
  <c r="E87" i="56"/>
  <c r="E87" i="60" s="1"/>
  <c r="E89" i="56"/>
  <c r="E89" i="60" s="1"/>
  <c r="E91" i="56"/>
  <c r="E91" i="60" s="1"/>
  <c r="E93" i="56"/>
  <c r="E98" i="56"/>
  <c r="E98" i="60" s="1"/>
  <c r="E100" i="56"/>
  <c r="E100" i="60" s="1"/>
  <c r="E102" i="56"/>
  <c r="E116" i="56" s="1"/>
  <c r="E104" i="56"/>
  <c r="E113" i="60"/>
  <c r="D115" i="60"/>
  <c r="E36" i="55"/>
  <c r="D37" i="55"/>
  <c r="F37" i="55" s="1"/>
  <c r="E38" i="55"/>
  <c r="D39" i="55"/>
  <c r="F39" i="55" s="1"/>
  <c r="E40" i="55"/>
  <c r="D41" i="55"/>
  <c r="F41" i="55" s="1"/>
  <c r="E42" i="55"/>
  <c r="D43" i="55"/>
  <c r="F43" i="55" s="1"/>
  <c r="E44" i="55"/>
  <c r="D45" i="55"/>
  <c r="F45" i="55" s="1"/>
  <c r="E46" i="55"/>
  <c r="D47" i="55"/>
  <c r="F47" i="55" s="1"/>
  <c r="E48" i="55"/>
  <c r="D49" i="55"/>
  <c r="F49" i="55" s="1"/>
  <c r="E50" i="55"/>
  <c r="D51" i="55"/>
  <c r="F51" i="55" s="1"/>
  <c r="E52" i="55"/>
  <c r="D53" i="55"/>
  <c r="F53" i="55" s="1"/>
  <c r="E54" i="55"/>
  <c r="D55" i="55"/>
  <c r="F55" i="55" s="1"/>
  <c r="E56" i="55"/>
  <c r="D57" i="55"/>
  <c r="E58" i="55"/>
  <c r="D59" i="55"/>
  <c r="F59" i="55" s="1"/>
  <c r="E60" i="55"/>
  <c r="D61" i="55"/>
  <c r="F61" i="55" s="1"/>
  <c r="E62" i="55"/>
  <c r="D63" i="55"/>
  <c r="F63" i="55" s="1"/>
  <c r="E68" i="55"/>
  <c r="E70" i="55"/>
  <c r="E72" i="55"/>
  <c r="E74" i="55"/>
  <c r="E76" i="55"/>
  <c r="E78" i="55"/>
  <c r="E80" i="55"/>
  <c r="E82" i="55"/>
  <c r="E84" i="55"/>
  <c r="E86" i="55"/>
  <c r="E88" i="55"/>
  <c r="E90" i="55"/>
  <c r="E92" i="55"/>
  <c r="E94" i="55"/>
  <c r="E99" i="55"/>
  <c r="E101" i="55"/>
  <c r="E103" i="55"/>
  <c r="C111" i="60"/>
  <c r="C113" i="60"/>
  <c r="C115" i="60"/>
  <c r="D36" i="54"/>
  <c r="F36" i="54" s="1"/>
  <c r="F120" i="21"/>
  <c r="F120" i="23"/>
  <c r="F120" i="22"/>
  <c r="F120" i="24"/>
  <c r="D6" i="57"/>
  <c r="D8" i="57"/>
  <c r="D10" i="57"/>
  <c r="D12" i="57"/>
  <c r="D14" i="57"/>
  <c r="D16" i="57"/>
  <c r="D18" i="57"/>
  <c r="D20" i="57"/>
  <c r="D22" i="57"/>
  <c r="D24" i="57"/>
  <c r="D26" i="57"/>
  <c r="D28" i="57"/>
  <c r="D30" i="57"/>
  <c r="D32" i="57"/>
  <c r="F110" i="57"/>
  <c r="D7" i="57"/>
  <c r="D9" i="57"/>
  <c r="D11" i="57"/>
  <c r="D13" i="57"/>
  <c r="D15" i="57"/>
  <c r="D17" i="57"/>
  <c r="D19" i="57"/>
  <c r="D21" i="57"/>
  <c r="D23" i="57"/>
  <c r="D25" i="57"/>
  <c r="D27" i="57"/>
  <c r="D29" i="57"/>
  <c r="D31" i="57"/>
  <c r="F120" i="35"/>
  <c r="D68" i="25"/>
  <c r="F68" i="25" s="1"/>
  <c r="D72" i="25"/>
  <c r="F72" i="25" s="1"/>
  <c r="D76" i="25"/>
  <c r="F76" i="25" s="1"/>
  <c r="D80" i="25"/>
  <c r="F80" i="25" s="1"/>
  <c r="D84" i="25"/>
  <c r="F84" i="25" s="1"/>
  <c r="D88" i="25"/>
  <c r="D92" i="25"/>
  <c r="F92" i="25" s="1"/>
  <c r="F120" i="49"/>
  <c r="F120" i="56"/>
  <c r="F120" i="1"/>
  <c r="F120" i="59"/>
  <c r="F120" i="3"/>
  <c r="F120" i="4"/>
  <c r="F120" i="5"/>
  <c r="F120" i="6"/>
  <c r="F120" i="7"/>
  <c r="F120" i="8"/>
  <c r="D68" i="21"/>
  <c r="F68" i="21" s="1"/>
  <c r="D6" i="21"/>
  <c r="D72" i="21"/>
  <c r="F72" i="21" s="1"/>
  <c r="D10" i="21"/>
  <c r="D76" i="21"/>
  <c r="D14" i="21"/>
  <c r="D80" i="21"/>
  <c r="F80" i="21" s="1"/>
  <c r="D18" i="21"/>
  <c r="D84" i="21"/>
  <c r="F84" i="21" s="1"/>
  <c r="D22" i="21"/>
  <c r="D88" i="21"/>
  <c r="D26" i="21"/>
  <c r="D92" i="21"/>
  <c r="F92" i="21" s="1"/>
  <c r="D30" i="21"/>
  <c r="D68" i="23"/>
  <c r="F68" i="23" s="1"/>
  <c r="D6" i="23"/>
  <c r="D72" i="23"/>
  <c r="F72" i="23" s="1"/>
  <c r="D10" i="23"/>
  <c r="D76" i="23"/>
  <c r="F76" i="23" s="1"/>
  <c r="D14" i="23"/>
  <c r="D80" i="23"/>
  <c r="F80" i="23" s="1"/>
  <c r="D18" i="23"/>
  <c r="D84" i="23"/>
  <c r="F84" i="23" s="1"/>
  <c r="D22" i="23"/>
  <c r="D88" i="23"/>
  <c r="D26" i="23"/>
  <c r="D92" i="23"/>
  <c r="F92" i="23" s="1"/>
  <c r="D30" i="23"/>
  <c r="F120" i="9"/>
  <c r="F120" i="10"/>
  <c r="F120" i="11"/>
  <c r="F120" i="12"/>
  <c r="F120" i="13"/>
  <c r="F120" i="14"/>
  <c r="F120" i="15"/>
  <c r="F120" i="16"/>
  <c r="F120" i="17"/>
  <c r="F120" i="18"/>
  <c r="F120" i="19"/>
  <c r="F120" i="20"/>
  <c r="D68" i="22"/>
  <c r="F68" i="22" s="1"/>
  <c r="D6" i="22"/>
  <c r="D72" i="22"/>
  <c r="F72" i="22" s="1"/>
  <c r="D10" i="22"/>
  <c r="D76" i="22"/>
  <c r="F76" i="22" s="1"/>
  <c r="D14" i="22"/>
  <c r="D80" i="22"/>
  <c r="F80" i="22" s="1"/>
  <c r="D18" i="22"/>
  <c r="D84" i="22"/>
  <c r="F84" i="22" s="1"/>
  <c r="D22" i="22"/>
  <c r="D88" i="22"/>
  <c r="D26" i="22"/>
  <c r="D92" i="22"/>
  <c r="F92" i="22" s="1"/>
  <c r="D30" i="22"/>
  <c r="D68" i="24"/>
  <c r="F68" i="24" s="1"/>
  <c r="D6" i="24"/>
  <c r="D72" i="24"/>
  <c r="F72" i="24" s="1"/>
  <c r="D10" i="24"/>
  <c r="D76" i="24"/>
  <c r="F76" i="24" s="1"/>
  <c r="D14" i="24"/>
  <c r="D80" i="24"/>
  <c r="F80" i="24" s="1"/>
  <c r="D18" i="24"/>
  <c r="D84" i="24"/>
  <c r="F84" i="24" s="1"/>
  <c r="D22" i="24"/>
  <c r="D88" i="24"/>
  <c r="D26" i="24"/>
  <c r="D92" i="24"/>
  <c r="F92" i="24" s="1"/>
  <c r="D30" i="24"/>
  <c r="F120" i="25"/>
  <c r="D6" i="25"/>
  <c r="D10" i="25"/>
  <c r="D14" i="25"/>
  <c r="D18" i="25"/>
  <c r="D22" i="25"/>
  <c r="D26" i="25"/>
  <c r="D30" i="25"/>
  <c r="F120" i="26"/>
  <c r="F120" i="27"/>
  <c r="F120" i="28"/>
  <c r="F120" i="29"/>
  <c r="F120" i="30"/>
  <c r="F120" i="31"/>
  <c r="E64" i="33"/>
  <c r="E105" i="33"/>
  <c r="E64" i="35"/>
  <c r="E105" i="35"/>
  <c r="E64" i="37"/>
  <c r="E105" i="37"/>
  <c r="F120" i="38"/>
  <c r="F120" i="39"/>
  <c r="F120" i="40"/>
  <c r="F120" i="41"/>
  <c r="F120" i="42"/>
  <c r="F120" i="43"/>
  <c r="F120" i="44"/>
  <c r="E64" i="46"/>
  <c r="E105" i="46"/>
  <c r="E64" i="45"/>
  <c r="E105" i="45"/>
  <c r="F120" i="47"/>
  <c r="E64" i="49"/>
  <c r="E105" i="49"/>
  <c r="E64" i="51"/>
  <c r="F120" i="51"/>
  <c r="F120" i="53"/>
  <c r="F120" i="55"/>
  <c r="D5" i="57"/>
  <c r="D69" i="57"/>
  <c r="F69" i="57" s="1"/>
  <c r="D71" i="57"/>
  <c r="F71" i="57" s="1"/>
  <c r="D73" i="57"/>
  <c r="F73" i="57" s="1"/>
  <c r="D75" i="57"/>
  <c r="F75" i="57" s="1"/>
  <c r="D77" i="57"/>
  <c r="F77" i="57" s="1"/>
  <c r="D81" i="57"/>
  <c r="F81" i="57" s="1"/>
  <c r="D83" i="57"/>
  <c r="F83" i="57" s="1"/>
  <c r="D85" i="57"/>
  <c r="F85" i="57" s="1"/>
  <c r="D87" i="57"/>
  <c r="F87" i="57" s="1"/>
  <c r="D89" i="57"/>
  <c r="F89" i="57" s="1"/>
  <c r="D93" i="57"/>
  <c r="F93" i="57" s="1"/>
  <c r="D68" i="57"/>
  <c r="F68" i="57" s="1"/>
  <c r="D72" i="57"/>
  <c r="F72" i="57" s="1"/>
  <c r="D76" i="57"/>
  <c r="F76" i="57" s="1"/>
  <c r="D78" i="57"/>
  <c r="F78" i="57" s="1"/>
  <c r="D80" i="57"/>
  <c r="F80" i="57" s="1"/>
  <c r="D84" i="57"/>
  <c r="F84" i="57" s="1"/>
  <c r="D86" i="57"/>
  <c r="F86" i="57" s="1"/>
  <c r="D88" i="57"/>
  <c r="D92" i="57"/>
  <c r="F92" i="57" s="1"/>
  <c r="E105" i="57"/>
  <c r="E116" i="57"/>
  <c r="F116" i="57" s="1"/>
  <c r="E110" i="60"/>
  <c r="E112" i="60"/>
  <c r="E114" i="60"/>
  <c r="C116" i="60"/>
  <c r="F120" i="57"/>
  <c r="C110" i="60"/>
  <c r="F111" i="57"/>
  <c r="F112" i="57"/>
  <c r="C112" i="60"/>
  <c r="F113" i="57"/>
  <c r="F114" i="57"/>
  <c r="C114" i="60"/>
  <c r="F115" i="57"/>
  <c r="E115" i="60"/>
  <c r="F117" i="57"/>
  <c r="E64" i="57"/>
  <c r="F114" i="12" l="1"/>
  <c r="F110" i="12"/>
  <c r="E120" i="60"/>
  <c r="F37" i="39"/>
  <c r="F39" i="39"/>
  <c r="F41" i="39"/>
  <c r="F43" i="39"/>
  <c r="F45" i="39"/>
  <c r="F47" i="39"/>
  <c r="F49" i="39"/>
  <c r="F51" i="39"/>
  <c r="F53" i="39"/>
  <c r="F55" i="39"/>
  <c r="F59" i="39"/>
  <c r="F61" i="39"/>
  <c r="F37" i="37"/>
  <c r="F39" i="37"/>
  <c r="F41" i="37"/>
  <c r="F43" i="37"/>
  <c r="F45" i="37"/>
  <c r="F47" i="37"/>
  <c r="F49" i="37"/>
  <c r="F51" i="37"/>
  <c r="F53" i="37"/>
  <c r="F55" i="37"/>
  <c r="F59" i="37"/>
  <c r="F61" i="37"/>
  <c r="F37" i="35"/>
  <c r="F39" i="35"/>
  <c r="F41" i="35"/>
  <c r="F45" i="35"/>
  <c r="F47" i="35"/>
  <c r="F49" i="35"/>
  <c r="F51" i="35"/>
  <c r="F53" i="35"/>
  <c r="F55" i="35"/>
  <c r="F59" i="35"/>
  <c r="F61" i="35"/>
  <c r="F37" i="33"/>
  <c r="F39" i="33"/>
  <c r="F41" i="33"/>
  <c r="F43" i="33"/>
  <c r="F47" i="33"/>
  <c r="F49" i="33"/>
  <c r="F51" i="33"/>
  <c r="F53" i="33"/>
  <c r="F55" i="33"/>
  <c r="F59" i="33"/>
  <c r="F61" i="33"/>
  <c r="F39" i="31"/>
  <c r="F41" i="31"/>
  <c r="F45" i="31"/>
  <c r="F47" i="31"/>
  <c r="F49" i="31"/>
  <c r="F51" i="31"/>
  <c r="F53" i="31"/>
  <c r="F59" i="31"/>
  <c r="F61" i="31"/>
  <c r="F37" i="54"/>
  <c r="F39" i="54"/>
  <c r="F41" i="54"/>
  <c r="F43" i="54"/>
  <c r="F45" i="54"/>
  <c r="F47" i="54"/>
  <c r="F49" i="54"/>
  <c r="F51" i="54"/>
  <c r="F53" i="54"/>
  <c r="F55" i="54"/>
  <c r="F59" i="54"/>
  <c r="F61" i="54"/>
  <c r="F37" i="52"/>
  <c r="F39" i="52"/>
  <c r="F41" i="52"/>
  <c r="F43" i="52"/>
  <c r="F47" i="52"/>
  <c r="F49" i="52"/>
  <c r="F51" i="52"/>
  <c r="F53" i="52"/>
  <c r="F55" i="52"/>
  <c r="F59" i="52"/>
  <c r="F61" i="52"/>
  <c r="F37" i="50"/>
  <c r="F39" i="50"/>
  <c r="F41" i="50"/>
  <c r="F43" i="50"/>
  <c r="F47" i="50"/>
  <c r="F49" i="50"/>
  <c r="F51" i="50"/>
  <c r="F53" i="50"/>
  <c r="F55" i="50"/>
  <c r="F59" i="50"/>
  <c r="F61" i="50"/>
  <c r="F39" i="48"/>
  <c r="F47" i="48"/>
  <c r="F51" i="48"/>
  <c r="F53" i="48"/>
  <c r="F59" i="48"/>
  <c r="F61" i="48"/>
  <c r="F37" i="46"/>
  <c r="F39" i="46"/>
  <c r="F43" i="46"/>
  <c r="F47" i="46"/>
  <c r="F49" i="46"/>
  <c r="F51" i="46"/>
  <c r="F53" i="46"/>
  <c r="F59" i="46"/>
  <c r="F61" i="46"/>
  <c r="F37" i="44"/>
  <c r="F39" i="44"/>
  <c r="F41" i="44"/>
  <c r="F43" i="44"/>
  <c r="F45" i="44"/>
  <c r="F47" i="44"/>
  <c r="F49" i="44"/>
  <c r="F51" i="44"/>
  <c r="F53" i="44"/>
  <c r="F55" i="44"/>
  <c r="F59" i="44"/>
  <c r="F61" i="44"/>
  <c r="F37" i="42"/>
  <c r="F39" i="42"/>
  <c r="F41" i="42"/>
  <c r="F43" i="42"/>
  <c r="F45" i="42"/>
  <c r="F47" i="42"/>
  <c r="F49" i="42"/>
  <c r="F51" i="42"/>
  <c r="F53" i="42"/>
  <c r="F55" i="42"/>
  <c r="F59" i="42"/>
  <c r="F61" i="42"/>
  <c r="F37" i="10"/>
  <c r="F39" i="10"/>
  <c r="F41" i="10"/>
  <c r="F43" i="10"/>
  <c r="F47" i="10"/>
  <c r="F49" i="10"/>
  <c r="F51" i="10"/>
  <c r="F53" i="10"/>
  <c r="F59" i="10"/>
  <c r="F61" i="10"/>
  <c r="F37" i="6"/>
  <c r="F39" i="6"/>
  <c r="F41" i="6"/>
  <c r="F43" i="6"/>
  <c r="F47" i="6"/>
  <c r="F49" i="6"/>
  <c r="F51" i="6"/>
  <c r="F53" i="6"/>
  <c r="F55" i="6"/>
  <c r="F59" i="6"/>
  <c r="F61" i="6"/>
  <c r="F57" i="51"/>
  <c r="F57" i="45"/>
  <c r="F57" i="43"/>
  <c r="F57" i="41"/>
  <c r="F47" i="1"/>
  <c r="F49" i="1"/>
  <c r="F51" i="1"/>
  <c r="F53" i="1"/>
  <c r="F55" i="1"/>
  <c r="F59" i="1"/>
  <c r="F61" i="1"/>
  <c r="F36" i="11"/>
  <c r="F38" i="11"/>
  <c r="F42" i="11"/>
  <c r="F44" i="11"/>
  <c r="F46" i="11"/>
  <c r="F48" i="11"/>
  <c r="F52" i="11"/>
  <c r="F54" i="11"/>
  <c r="F56" i="11"/>
  <c r="F58" i="11"/>
  <c r="F60" i="11"/>
  <c r="F36" i="9"/>
  <c r="F38" i="9"/>
  <c r="F42" i="9"/>
  <c r="F44" i="9"/>
  <c r="F46" i="9"/>
  <c r="F48" i="9"/>
  <c r="F54" i="9"/>
  <c r="F58" i="9"/>
  <c r="F60" i="9"/>
  <c r="F36" i="7"/>
  <c r="F38" i="7"/>
  <c r="F42" i="7"/>
  <c r="F44" i="7"/>
  <c r="F46" i="7"/>
  <c r="F48" i="7"/>
  <c r="F50" i="7"/>
  <c r="F54" i="7"/>
  <c r="F56" i="7"/>
  <c r="F58" i="7"/>
  <c r="F60" i="7"/>
  <c r="F38" i="54"/>
  <c r="F42" i="54"/>
  <c r="F44" i="54"/>
  <c r="F46" i="54"/>
  <c r="F48" i="54"/>
  <c r="F52" i="54"/>
  <c r="F54" i="54"/>
  <c r="F56" i="54"/>
  <c r="F58" i="54"/>
  <c r="F60" i="54"/>
  <c r="F36" i="52"/>
  <c r="F38" i="52"/>
  <c r="F42" i="52"/>
  <c r="F44" i="52"/>
  <c r="F46" i="52"/>
  <c r="F48" i="52"/>
  <c r="F50" i="52"/>
  <c r="F54" i="52"/>
  <c r="F56" i="52"/>
  <c r="F58" i="52"/>
  <c r="F60" i="52"/>
  <c r="F36" i="50"/>
  <c r="F38" i="50"/>
  <c r="F40" i="50"/>
  <c r="F42" i="50"/>
  <c r="F44" i="50"/>
  <c r="F46" i="50"/>
  <c r="F48" i="50"/>
  <c r="F54" i="50"/>
  <c r="F56" i="50"/>
  <c r="F58" i="50"/>
  <c r="F60" i="50"/>
  <c r="F36" i="48"/>
  <c r="F38" i="48"/>
  <c r="F42" i="48"/>
  <c r="F44" i="48"/>
  <c r="F46" i="48"/>
  <c r="F48" i="48"/>
  <c r="F54" i="48"/>
  <c r="F58" i="48"/>
  <c r="F60" i="48"/>
  <c r="F38" i="46"/>
  <c r="F42" i="46"/>
  <c r="F44" i="46"/>
  <c r="F46" i="46"/>
  <c r="F48" i="46"/>
  <c r="F54" i="46"/>
  <c r="F58" i="46"/>
  <c r="F60" i="46"/>
  <c r="F36" i="44"/>
  <c r="F38" i="44"/>
  <c r="F40" i="44"/>
  <c r="F42" i="44"/>
  <c r="F44" i="44"/>
  <c r="F46" i="44"/>
  <c r="F48" i="44"/>
  <c r="F52" i="44"/>
  <c r="F54" i="44"/>
  <c r="F56" i="44"/>
  <c r="F58" i="44"/>
  <c r="F60" i="44"/>
  <c r="F36" i="42"/>
  <c r="F38" i="42"/>
  <c r="F42" i="42"/>
  <c r="F44" i="42"/>
  <c r="F46" i="42"/>
  <c r="F48" i="42"/>
  <c r="F50" i="42"/>
  <c r="F52" i="42"/>
  <c r="F54" i="42"/>
  <c r="F56" i="42"/>
  <c r="F58" i="42"/>
  <c r="F60" i="42"/>
  <c r="F36" i="10"/>
  <c r="F38" i="10"/>
  <c r="F42" i="10"/>
  <c r="F44" i="10"/>
  <c r="F46" i="10"/>
  <c r="F48" i="10"/>
  <c r="F52" i="10"/>
  <c r="F54" i="10"/>
  <c r="F56" i="10"/>
  <c r="F58" i="10"/>
  <c r="F60" i="10"/>
  <c r="F37" i="8"/>
  <c r="F39" i="8"/>
  <c r="F36" i="8"/>
  <c r="F38" i="8"/>
  <c r="F38" i="6"/>
  <c r="F42" i="6"/>
  <c r="F44" i="6"/>
  <c r="F46" i="6"/>
  <c r="F48" i="6"/>
  <c r="F54" i="6"/>
  <c r="F56" i="6"/>
  <c r="F60" i="6"/>
  <c r="F36" i="39"/>
  <c r="F38" i="39"/>
  <c r="F42" i="39"/>
  <c r="F44" i="39"/>
  <c r="F46" i="39"/>
  <c r="F48" i="39"/>
  <c r="F54" i="39"/>
  <c r="F56" i="39"/>
  <c r="F58" i="39"/>
  <c r="F60" i="39"/>
  <c r="F36" i="37"/>
  <c r="F38" i="37"/>
  <c r="F42" i="37"/>
  <c r="F44" i="37"/>
  <c r="F46" i="37"/>
  <c r="F48" i="37"/>
  <c r="F52" i="37"/>
  <c r="F54" i="37"/>
  <c r="F56" i="37"/>
  <c r="F58" i="37"/>
  <c r="F60" i="37"/>
  <c r="F36" i="35"/>
  <c r="F38" i="35"/>
  <c r="F42" i="35"/>
  <c r="F44" i="35"/>
  <c r="F46" i="35"/>
  <c r="F48" i="35"/>
  <c r="F54" i="35"/>
  <c r="F56" i="35"/>
  <c r="F58" i="35"/>
  <c r="F60" i="35"/>
  <c r="F36" i="33"/>
  <c r="F38" i="33"/>
  <c r="F42" i="33"/>
  <c r="F44" i="33"/>
  <c r="F46" i="33"/>
  <c r="F48" i="33"/>
  <c r="F54" i="33"/>
  <c r="F56" i="33"/>
  <c r="F58" i="33"/>
  <c r="F60" i="33"/>
  <c r="F36" i="31"/>
  <c r="F38" i="31"/>
  <c r="F42" i="31"/>
  <c r="F44" i="31"/>
  <c r="F46" i="31"/>
  <c r="F48" i="31"/>
  <c r="F52" i="31"/>
  <c r="F54" i="31"/>
  <c r="F56" i="31"/>
  <c r="F58" i="31"/>
  <c r="F60" i="31"/>
  <c r="F37" i="29"/>
  <c r="F39" i="29"/>
  <c r="F41" i="29"/>
  <c r="F43" i="29"/>
  <c r="F45" i="29"/>
  <c r="F47" i="29"/>
  <c r="F49" i="29"/>
  <c r="F51" i="29"/>
  <c r="F53" i="29"/>
  <c r="F55" i="29"/>
  <c r="F59" i="29"/>
  <c r="F61" i="29"/>
  <c r="F36" i="29"/>
  <c r="F38" i="29"/>
  <c r="F42" i="29"/>
  <c r="F44" i="29"/>
  <c r="F46" i="29"/>
  <c r="F48" i="29"/>
  <c r="F54" i="29"/>
  <c r="F56" i="29"/>
  <c r="F58" i="29"/>
  <c r="F60" i="29"/>
  <c r="F37" i="27"/>
  <c r="F39" i="27"/>
  <c r="F41" i="27"/>
  <c r="F43" i="27"/>
  <c r="F47" i="27"/>
  <c r="F49" i="27"/>
  <c r="F51" i="27"/>
  <c r="F53" i="27"/>
  <c r="F55" i="27"/>
  <c r="F59" i="27"/>
  <c r="F61" i="27"/>
  <c r="F37" i="25"/>
  <c r="F39" i="25"/>
  <c r="F41" i="25"/>
  <c r="F43" i="25"/>
  <c r="F47" i="25"/>
  <c r="F49" i="25"/>
  <c r="F51" i="25"/>
  <c r="F53" i="25"/>
  <c r="F59" i="25"/>
  <c r="F61" i="25"/>
  <c r="F37" i="23"/>
  <c r="F39" i="23"/>
  <c r="F47" i="23"/>
  <c r="F51" i="23"/>
  <c r="F53" i="23"/>
  <c r="F61" i="23"/>
  <c r="F37" i="21"/>
  <c r="F39" i="21"/>
  <c r="F41" i="21"/>
  <c r="F47" i="21"/>
  <c r="F49" i="21"/>
  <c r="F51" i="21"/>
  <c r="F53" i="21"/>
  <c r="F55" i="21"/>
  <c r="F59" i="21"/>
  <c r="F61" i="21"/>
  <c r="F37" i="19"/>
  <c r="F39" i="19"/>
  <c r="F41" i="19"/>
  <c r="F43" i="19"/>
  <c r="F45" i="19"/>
  <c r="F47" i="19"/>
  <c r="F49" i="19"/>
  <c r="F51" i="19"/>
  <c r="F36" i="19"/>
  <c r="F38" i="19"/>
  <c r="F42" i="19"/>
  <c r="F44" i="19"/>
  <c r="F46" i="19"/>
  <c r="F48" i="19"/>
  <c r="F53" i="19"/>
  <c r="F55" i="19"/>
  <c r="F59" i="19"/>
  <c r="F61" i="19"/>
  <c r="F37" i="17"/>
  <c r="F39" i="17"/>
  <c r="F41" i="17"/>
  <c r="F47" i="17"/>
  <c r="F49" i="17"/>
  <c r="F51" i="17"/>
  <c r="F53" i="17"/>
  <c r="F59" i="17"/>
  <c r="F61" i="17"/>
  <c r="F37" i="13"/>
  <c r="F39" i="13"/>
  <c r="F41" i="13"/>
  <c r="F43" i="13"/>
  <c r="F45" i="13"/>
  <c r="F47" i="13"/>
  <c r="F49" i="13"/>
  <c r="F51" i="13"/>
  <c r="F53" i="13"/>
  <c r="F55" i="13"/>
  <c r="F59" i="13"/>
  <c r="F61" i="13"/>
  <c r="F46" i="1"/>
  <c r="F48" i="1"/>
  <c r="F54" i="1"/>
  <c r="F56" i="1"/>
  <c r="F58" i="1"/>
  <c r="F60" i="1"/>
  <c r="D46" i="60"/>
  <c r="D77" i="60" s="1"/>
  <c r="F46" i="56"/>
  <c r="F37" i="26"/>
  <c r="F39" i="26"/>
  <c r="F41" i="26"/>
  <c r="F43" i="26"/>
  <c r="F47" i="26"/>
  <c r="F42" i="8"/>
  <c r="F44" i="8"/>
  <c r="F46" i="8"/>
  <c r="F48" i="8"/>
  <c r="F50" i="8"/>
  <c r="F54" i="8"/>
  <c r="F58" i="8"/>
  <c r="F60" i="8"/>
  <c r="F36" i="27"/>
  <c r="F38" i="27"/>
  <c r="F42" i="27"/>
  <c r="F44" i="27"/>
  <c r="F46" i="27"/>
  <c r="F48" i="27"/>
  <c r="F50" i="27"/>
  <c r="F54" i="27"/>
  <c r="F56" i="27"/>
  <c r="F58" i="27"/>
  <c r="F60" i="27"/>
  <c r="F36" i="25"/>
  <c r="F38" i="25"/>
  <c r="F42" i="25"/>
  <c r="F44" i="25"/>
  <c r="F46" i="25"/>
  <c r="F48" i="25"/>
  <c r="F54" i="25"/>
  <c r="F58" i="25"/>
  <c r="F60" i="25"/>
  <c r="F36" i="23"/>
  <c r="F38" i="23"/>
  <c r="F42" i="23"/>
  <c r="F44" i="23"/>
  <c r="F48" i="23"/>
  <c r="F54" i="23"/>
  <c r="F58" i="23"/>
  <c r="F60" i="23"/>
  <c r="F36" i="21"/>
  <c r="F38" i="21"/>
  <c r="F42" i="21"/>
  <c r="F44" i="21"/>
  <c r="F46" i="21"/>
  <c r="F48" i="21"/>
  <c r="F52" i="21"/>
  <c r="F54" i="21"/>
  <c r="F56" i="21"/>
  <c r="F58" i="21"/>
  <c r="F60" i="21"/>
  <c r="F54" i="19"/>
  <c r="F56" i="19"/>
  <c r="F58" i="19"/>
  <c r="F60" i="19"/>
  <c r="F36" i="17"/>
  <c r="F38" i="17"/>
  <c r="F42" i="17"/>
  <c r="F44" i="17"/>
  <c r="F46" i="17"/>
  <c r="F48" i="17"/>
  <c r="F50" i="17"/>
  <c r="F52" i="17"/>
  <c r="F54" i="17"/>
  <c r="F58" i="17"/>
  <c r="F60" i="17"/>
  <c r="F36" i="13"/>
  <c r="F38" i="13"/>
  <c r="F42" i="13"/>
  <c r="F44" i="13"/>
  <c r="F46" i="13"/>
  <c r="F48" i="13"/>
  <c r="F50" i="13"/>
  <c r="F52" i="13"/>
  <c r="F54" i="13"/>
  <c r="F56" i="13"/>
  <c r="F58" i="13"/>
  <c r="F60" i="13"/>
  <c r="F56" i="3"/>
  <c r="F60" i="3"/>
  <c r="F39" i="57"/>
  <c r="F37" i="57"/>
  <c r="F42" i="57"/>
  <c r="F44" i="57"/>
  <c r="F46" i="57"/>
  <c r="F48" i="57"/>
  <c r="F52" i="57"/>
  <c r="F54" i="57"/>
  <c r="F56" i="57"/>
  <c r="F58" i="57"/>
  <c r="F60" i="57"/>
  <c r="F57" i="54"/>
  <c r="F57" i="52"/>
  <c r="F57" i="50"/>
  <c r="F57" i="48"/>
  <c r="F57" i="46"/>
  <c r="F57" i="44"/>
  <c r="F36" i="38"/>
  <c r="F38" i="38"/>
  <c r="F42" i="38"/>
  <c r="F44" i="38"/>
  <c r="F46" i="38"/>
  <c r="F48" i="38"/>
  <c r="F54" i="38"/>
  <c r="F56" i="38"/>
  <c r="F58" i="38"/>
  <c r="F60" i="38"/>
  <c r="F37" i="38"/>
  <c r="F39" i="38"/>
  <c r="F41" i="38"/>
  <c r="F43" i="38"/>
  <c r="F47" i="38"/>
  <c r="F49" i="38"/>
  <c r="F51" i="38"/>
  <c r="F53" i="38"/>
  <c r="F55" i="38"/>
  <c r="F59" i="38"/>
  <c r="F61" i="38"/>
  <c r="F36" i="36"/>
  <c r="F38" i="36"/>
  <c r="F42" i="36"/>
  <c r="F44" i="36"/>
  <c r="F46" i="36"/>
  <c r="F48" i="36"/>
  <c r="F50" i="36"/>
  <c r="F52" i="36"/>
  <c r="F54" i="36"/>
  <c r="F56" i="36"/>
  <c r="F58" i="36"/>
  <c r="F60" i="36"/>
  <c r="F37" i="36"/>
  <c r="F39" i="36"/>
  <c r="F41" i="36"/>
  <c r="F43" i="36"/>
  <c r="F47" i="36"/>
  <c r="F49" i="36"/>
  <c r="F51" i="36"/>
  <c r="F53" i="36"/>
  <c r="F55" i="36"/>
  <c r="F59" i="36"/>
  <c r="F61" i="36"/>
  <c r="F38" i="34"/>
  <c r="F42" i="34"/>
  <c r="F48" i="34"/>
  <c r="F54" i="34"/>
  <c r="F58" i="34"/>
  <c r="F60" i="34"/>
  <c r="F39" i="34"/>
  <c r="F41" i="34"/>
  <c r="F43" i="34"/>
  <c r="F47" i="34"/>
  <c r="F49" i="34"/>
  <c r="F51" i="34"/>
  <c r="F53" i="34"/>
  <c r="F55" i="34"/>
  <c r="F59" i="34"/>
  <c r="F61" i="34"/>
  <c r="F36" i="32"/>
  <c r="F38" i="32"/>
  <c r="F42" i="32"/>
  <c r="F44" i="32"/>
  <c r="F46" i="32"/>
  <c r="F48" i="32"/>
  <c r="F50" i="32"/>
  <c r="F52" i="32"/>
  <c r="F54" i="32"/>
  <c r="F56" i="32"/>
  <c r="F58" i="32"/>
  <c r="F60" i="32"/>
  <c r="F37" i="32"/>
  <c r="F39" i="32"/>
  <c r="F41" i="32"/>
  <c r="F43" i="32"/>
  <c r="F45" i="32"/>
  <c r="F47" i="32"/>
  <c r="F49" i="32"/>
  <c r="F51" i="32"/>
  <c r="F53" i="32"/>
  <c r="F55" i="32"/>
  <c r="F59" i="32"/>
  <c r="F61" i="32"/>
  <c r="F36" i="30"/>
  <c r="F38" i="30"/>
  <c r="F40" i="30"/>
  <c r="F42" i="30"/>
  <c r="F44" i="30"/>
  <c r="F46" i="30"/>
  <c r="F48" i="30"/>
  <c r="F52" i="30"/>
  <c r="F54" i="30"/>
  <c r="F56" i="30"/>
  <c r="F58" i="30"/>
  <c r="F60" i="30"/>
  <c r="F37" i="30"/>
  <c r="F39" i="30"/>
  <c r="F41" i="30"/>
  <c r="F43" i="30"/>
  <c r="F45" i="30"/>
  <c r="F47" i="30"/>
  <c r="F49" i="30"/>
  <c r="F51" i="30"/>
  <c r="F53" i="30"/>
  <c r="F55" i="30"/>
  <c r="F59" i="30"/>
  <c r="F61" i="30"/>
  <c r="F36" i="28"/>
  <c r="F38" i="28"/>
  <c r="F42" i="28"/>
  <c r="F44" i="28"/>
  <c r="F46" i="28"/>
  <c r="F48" i="28"/>
  <c r="F54" i="28"/>
  <c r="F58" i="28"/>
  <c r="F60" i="28"/>
  <c r="F37" i="28"/>
  <c r="F39" i="28"/>
  <c r="F41" i="28"/>
  <c r="F47" i="28"/>
  <c r="F49" i="28"/>
  <c r="F51" i="28"/>
  <c r="F53" i="28"/>
  <c r="F59" i="28"/>
  <c r="F61" i="28"/>
  <c r="F48" i="26"/>
  <c r="F52" i="26"/>
  <c r="F54" i="26"/>
  <c r="F56" i="26"/>
  <c r="F58" i="26"/>
  <c r="F60" i="26"/>
  <c r="F49" i="26"/>
  <c r="F51" i="26"/>
  <c r="F53" i="26"/>
  <c r="F55" i="26"/>
  <c r="F59" i="26"/>
  <c r="F61" i="26"/>
  <c r="F36" i="24"/>
  <c r="F38" i="24"/>
  <c r="F42" i="24"/>
  <c r="F44" i="24"/>
  <c r="F46" i="24"/>
  <c r="F48" i="24"/>
  <c r="F54" i="24"/>
  <c r="F56" i="24"/>
  <c r="F58" i="24"/>
  <c r="F60" i="24"/>
  <c r="F37" i="24"/>
  <c r="F39" i="24"/>
  <c r="F41" i="24"/>
  <c r="F43" i="24"/>
  <c r="F47" i="24"/>
  <c r="F49" i="24"/>
  <c r="F51" i="24"/>
  <c r="F53" i="24"/>
  <c r="F59" i="24"/>
  <c r="F61" i="24"/>
  <c r="F36" i="22"/>
  <c r="F38" i="22"/>
  <c r="F40" i="22"/>
  <c r="F42" i="22"/>
  <c r="F44" i="22"/>
  <c r="F46" i="22"/>
  <c r="F48" i="22"/>
  <c r="F52" i="22"/>
  <c r="F54" i="22"/>
  <c r="F56" i="22"/>
  <c r="F58" i="22"/>
  <c r="F60" i="22"/>
  <c r="F37" i="22"/>
  <c r="F39" i="22"/>
  <c r="F41" i="22"/>
  <c r="F43" i="22"/>
  <c r="F45" i="22"/>
  <c r="F47" i="22"/>
  <c r="F49" i="22"/>
  <c r="F51" i="22"/>
  <c r="F53" i="22"/>
  <c r="F55" i="22"/>
  <c r="F59" i="22"/>
  <c r="F61" i="22"/>
  <c r="F36" i="20"/>
  <c r="F38" i="20"/>
  <c r="F42" i="20"/>
  <c r="F44" i="20"/>
  <c r="F46" i="20"/>
  <c r="F48" i="20"/>
  <c r="F52" i="20"/>
  <c r="F54" i="20"/>
  <c r="F56" i="20"/>
  <c r="F58" i="20"/>
  <c r="F60" i="20"/>
  <c r="F37" i="20"/>
  <c r="F39" i="20"/>
  <c r="F41" i="20"/>
  <c r="F43" i="20"/>
  <c r="F45" i="20"/>
  <c r="F47" i="20"/>
  <c r="F49" i="20"/>
  <c r="F51" i="20"/>
  <c r="F53" i="20"/>
  <c r="F55" i="20"/>
  <c r="F59" i="20"/>
  <c r="F61" i="20"/>
  <c r="F36" i="18"/>
  <c r="F38" i="18"/>
  <c r="F42" i="18"/>
  <c r="F44" i="18"/>
  <c r="F46" i="18"/>
  <c r="F48" i="18"/>
  <c r="F50" i="18"/>
  <c r="F52" i="18"/>
  <c r="F54" i="18"/>
  <c r="F56" i="18"/>
  <c r="F58" i="18"/>
  <c r="F60" i="18"/>
  <c r="F37" i="18"/>
  <c r="F39" i="18"/>
  <c r="F41" i="18"/>
  <c r="F43" i="18"/>
  <c r="F45" i="18"/>
  <c r="F47" i="18"/>
  <c r="F49" i="18"/>
  <c r="F51" i="18"/>
  <c r="F55" i="18"/>
  <c r="F59" i="18"/>
  <c r="F61" i="18"/>
  <c r="F36" i="16"/>
  <c r="F38" i="16"/>
  <c r="F42" i="16"/>
  <c r="F44" i="16"/>
  <c r="F46" i="16"/>
  <c r="F48" i="16"/>
  <c r="F50" i="16"/>
  <c r="F54" i="16"/>
  <c r="F56" i="16"/>
  <c r="F58" i="16"/>
  <c r="F60" i="16"/>
  <c r="F37" i="16"/>
  <c r="F39" i="16"/>
  <c r="F41" i="16"/>
  <c r="F43" i="16"/>
  <c r="F47" i="16"/>
  <c r="F49" i="16"/>
  <c r="F51" i="16"/>
  <c r="F53" i="16"/>
  <c r="F55" i="16"/>
  <c r="F59" i="16"/>
  <c r="F61" i="16"/>
  <c r="F36" i="14"/>
  <c r="F38" i="14"/>
  <c r="F42" i="14"/>
  <c r="F44" i="14"/>
  <c r="F46" i="14"/>
  <c r="F48" i="14"/>
  <c r="F54" i="14"/>
  <c r="F58" i="14"/>
  <c r="F60" i="14"/>
  <c r="F37" i="14"/>
  <c r="F39" i="14"/>
  <c r="F41" i="14"/>
  <c r="F43" i="14"/>
  <c r="F47" i="14"/>
  <c r="F49" i="14"/>
  <c r="F51" i="14"/>
  <c r="F53" i="14"/>
  <c r="F55" i="14"/>
  <c r="F59" i="14"/>
  <c r="F61" i="14"/>
  <c r="F43" i="8"/>
  <c r="F36" i="4"/>
  <c r="F38" i="4"/>
  <c r="F40" i="4"/>
  <c r="F42" i="4"/>
  <c r="F44" i="4"/>
  <c r="F46" i="4"/>
  <c r="F48" i="4"/>
  <c r="F54" i="4"/>
  <c r="F56" i="4"/>
  <c r="F60" i="4"/>
  <c r="F37" i="4"/>
  <c r="F39" i="4"/>
  <c r="F41" i="4"/>
  <c r="F43" i="4"/>
  <c r="F45" i="4"/>
  <c r="F47" i="4"/>
  <c r="F49" i="4"/>
  <c r="F51" i="4"/>
  <c r="F55" i="4"/>
  <c r="F59" i="4"/>
  <c r="F61" i="4"/>
  <c r="F60" i="55"/>
  <c r="F58" i="55"/>
  <c r="F56" i="55"/>
  <c r="F54" i="55"/>
  <c r="F52" i="55"/>
  <c r="F50" i="55"/>
  <c r="F48" i="55"/>
  <c r="F46" i="55"/>
  <c r="F44" i="55"/>
  <c r="F42" i="55"/>
  <c r="F38" i="55"/>
  <c r="F36" i="55"/>
  <c r="F61" i="56"/>
  <c r="F59" i="56"/>
  <c r="F55" i="56"/>
  <c r="F53" i="56"/>
  <c r="F51" i="56"/>
  <c r="F49" i="56"/>
  <c r="F47" i="56"/>
  <c r="F43" i="56"/>
  <c r="F41" i="56"/>
  <c r="F39" i="56"/>
  <c r="F37" i="56"/>
  <c r="F36" i="53"/>
  <c r="F38" i="53"/>
  <c r="F42" i="53"/>
  <c r="F44" i="53"/>
  <c r="F46" i="53"/>
  <c r="F48" i="53"/>
  <c r="F50" i="53"/>
  <c r="F54" i="53"/>
  <c r="F56" i="53"/>
  <c r="F58" i="53"/>
  <c r="F60" i="53"/>
  <c r="F37" i="53"/>
  <c r="F39" i="53"/>
  <c r="F41" i="53"/>
  <c r="F43" i="53"/>
  <c r="F45" i="53"/>
  <c r="F47" i="53"/>
  <c r="F49" i="53"/>
  <c r="F51" i="53"/>
  <c r="F53" i="53"/>
  <c r="F55" i="53"/>
  <c r="F59" i="53"/>
  <c r="F61" i="53"/>
  <c r="F38" i="51"/>
  <c r="F42" i="51"/>
  <c r="F44" i="51"/>
  <c r="F46" i="51"/>
  <c r="F48" i="51"/>
  <c r="F54" i="51"/>
  <c r="F58" i="51"/>
  <c r="F60" i="51"/>
  <c r="F37" i="51"/>
  <c r="F39" i="51"/>
  <c r="F43" i="51"/>
  <c r="F47" i="51"/>
  <c r="F49" i="51"/>
  <c r="F51" i="51"/>
  <c r="F53" i="51"/>
  <c r="F55" i="51"/>
  <c r="F59" i="51"/>
  <c r="F61" i="51"/>
  <c r="F36" i="49"/>
  <c r="F38" i="49"/>
  <c r="F42" i="49"/>
  <c r="F44" i="49"/>
  <c r="F46" i="49"/>
  <c r="F48" i="49"/>
  <c r="F52" i="49"/>
  <c r="F54" i="49"/>
  <c r="F58" i="49"/>
  <c r="F60" i="49"/>
  <c r="F37" i="49"/>
  <c r="F39" i="49"/>
  <c r="F43" i="49"/>
  <c r="F47" i="49"/>
  <c r="F49" i="49"/>
  <c r="F51" i="49"/>
  <c r="F53" i="49"/>
  <c r="F55" i="49"/>
  <c r="F59" i="49"/>
  <c r="F61" i="49"/>
  <c r="F36" i="45"/>
  <c r="F38" i="45"/>
  <c r="F42" i="45"/>
  <c r="F44" i="45"/>
  <c r="F46" i="45"/>
  <c r="F48" i="45"/>
  <c r="F50" i="45"/>
  <c r="F52" i="45"/>
  <c r="F54" i="45"/>
  <c r="F58" i="45"/>
  <c r="F60" i="45"/>
  <c r="F37" i="45"/>
  <c r="F39" i="45"/>
  <c r="F41" i="45"/>
  <c r="F43" i="45"/>
  <c r="F45" i="45"/>
  <c r="F47" i="45"/>
  <c r="F49" i="45"/>
  <c r="F51" i="45"/>
  <c r="F59" i="45"/>
  <c r="F61" i="45"/>
  <c r="F36" i="43"/>
  <c r="F38" i="43"/>
  <c r="F42" i="43"/>
  <c r="F44" i="43"/>
  <c r="F46" i="43"/>
  <c r="F48" i="43"/>
  <c r="F50" i="43"/>
  <c r="F52" i="43"/>
  <c r="F54" i="43"/>
  <c r="F56" i="43"/>
  <c r="F58" i="43"/>
  <c r="F60" i="43"/>
  <c r="F37" i="43"/>
  <c r="F39" i="43"/>
  <c r="F41" i="43"/>
  <c r="F43" i="43"/>
  <c r="F45" i="43"/>
  <c r="F47" i="43"/>
  <c r="F49" i="43"/>
  <c r="F51" i="43"/>
  <c r="F53" i="43"/>
  <c r="F55" i="43"/>
  <c r="F59" i="43"/>
  <c r="F61" i="43"/>
  <c r="F36" i="41"/>
  <c r="F38" i="41"/>
  <c r="F42" i="41"/>
  <c r="F44" i="41"/>
  <c r="F46" i="41"/>
  <c r="F48" i="41"/>
  <c r="F54" i="41"/>
  <c r="F56" i="41"/>
  <c r="F58" i="41"/>
  <c r="F60" i="41"/>
  <c r="F37" i="41"/>
  <c r="F39" i="41"/>
  <c r="F43" i="41"/>
  <c r="F45" i="41"/>
  <c r="F47" i="41"/>
  <c r="F49" i="41"/>
  <c r="F51" i="41"/>
  <c r="F53" i="41"/>
  <c r="F59" i="41"/>
  <c r="F61" i="41"/>
  <c r="F57" i="19"/>
  <c r="F57" i="17"/>
  <c r="F57" i="13"/>
  <c r="F37" i="11"/>
  <c r="F39" i="11"/>
  <c r="F41" i="11"/>
  <c r="F43" i="11"/>
  <c r="F47" i="11"/>
  <c r="F49" i="11"/>
  <c r="F51" i="11"/>
  <c r="F53" i="11"/>
  <c r="F59" i="11"/>
  <c r="F61" i="11"/>
  <c r="F37" i="9"/>
  <c r="F39" i="9"/>
  <c r="F41" i="9"/>
  <c r="F47" i="9"/>
  <c r="F51" i="9"/>
  <c r="F53" i="9"/>
  <c r="F59" i="9"/>
  <c r="F61" i="9"/>
  <c r="F37" i="7"/>
  <c r="F39" i="7"/>
  <c r="F41" i="7"/>
  <c r="F43" i="7"/>
  <c r="F45" i="7"/>
  <c r="F47" i="7"/>
  <c r="F49" i="7"/>
  <c r="F51" i="7"/>
  <c r="F55" i="7"/>
  <c r="F59" i="7"/>
  <c r="F61" i="7"/>
  <c r="F36" i="5"/>
  <c r="F38" i="5"/>
  <c r="F42" i="5"/>
  <c r="F44" i="5"/>
  <c r="F46" i="5"/>
  <c r="F48" i="5"/>
  <c r="F54" i="5"/>
  <c r="F56" i="5"/>
  <c r="F60" i="5"/>
  <c r="F37" i="5"/>
  <c r="F39" i="5"/>
  <c r="F41" i="5"/>
  <c r="F43" i="5"/>
  <c r="F47" i="5"/>
  <c r="F51" i="5"/>
  <c r="F55" i="5"/>
  <c r="F59" i="5"/>
  <c r="F61" i="5"/>
  <c r="F38" i="3"/>
  <c r="F42" i="3"/>
  <c r="F44" i="3"/>
  <c r="F46" i="3"/>
  <c r="F50" i="3"/>
  <c r="F52" i="3"/>
  <c r="F54" i="3"/>
  <c r="F38" i="1"/>
  <c r="F42" i="1"/>
  <c r="F44" i="1"/>
  <c r="F57" i="1"/>
  <c r="F40" i="57"/>
  <c r="F57" i="38"/>
  <c r="F57" i="36"/>
  <c r="F57" i="34"/>
  <c r="F57" i="32"/>
  <c r="F57" i="30"/>
  <c r="F57" i="28"/>
  <c r="F57" i="26"/>
  <c r="F57" i="24"/>
  <c r="F88" i="24"/>
  <c r="F57" i="22"/>
  <c r="F88" i="22"/>
  <c r="F57" i="20"/>
  <c r="F57" i="18"/>
  <c r="F57" i="16"/>
  <c r="F57" i="14"/>
  <c r="F57" i="4"/>
  <c r="F57" i="55"/>
  <c r="F57" i="11"/>
  <c r="F57" i="9"/>
  <c r="F57" i="7"/>
  <c r="F57" i="5"/>
  <c r="F88" i="57"/>
  <c r="F7" i="63" s="1"/>
  <c r="F57" i="10"/>
  <c r="F57" i="8"/>
  <c r="F57" i="6"/>
  <c r="F57" i="39"/>
  <c r="F57" i="37"/>
  <c r="F57" i="35"/>
  <c r="F57" i="33"/>
  <c r="F57" i="31"/>
  <c r="F57" i="29"/>
  <c r="F57" i="27"/>
  <c r="F88" i="25"/>
  <c r="F57" i="25"/>
  <c r="F88" i="23"/>
  <c r="F57" i="23"/>
  <c r="F88" i="21"/>
  <c r="F57" i="21"/>
  <c r="F57" i="3"/>
  <c r="F57" i="57"/>
  <c r="E39" i="60"/>
  <c r="E95" i="57"/>
  <c r="E105" i="34"/>
  <c r="E105" i="50"/>
  <c r="E103" i="60"/>
  <c r="E99" i="60"/>
  <c r="E92" i="60"/>
  <c r="E88" i="60"/>
  <c r="E84" i="60"/>
  <c r="E80" i="60"/>
  <c r="E76" i="60"/>
  <c r="E72" i="60"/>
  <c r="E68" i="60"/>
  <c r="E62" i="60"/>
  <c r="E60" i="60"/>
  <c r="E58" i="60"/>
  <c r="E56" i="60"/>
  <c r="E54" i="60"/>
  <c r="E52" i="60"/>
  <c r="E50" i="60"/>
  <c r="E48" i="60"/>
  <c r="E46" i="60"/>
  <c r="E42" i="60"/>
  <c r="E40" i="60"/>
  <c r="E38" i="60"/>
  <c r="E73" i="60"/>
  <c r="E69" i="60"/>
  <c r="E101" i="60"/>
  <c r="D61" i="60"/>
  <c r="D92" i="60" s="1"/>
  <c r="D59" i="60"/>
  <c r="D57" i="60"/>
  <c r="D88" i="60" s="1"/>
  <c r="D53" i="60"/>
  <c r="D51" i="60"/>
  <c r="D20" i="60" s="1"/>
  <c r="D49" i="60"/>
  <c r="D47" i="60"/>
  <c r="D16" i="60" s="1"/>
  <c r="D45" i="60"/>
  <c r="D43" i="60"/>
  <c r="D12" i="60" s="1"/>
  <c r="D41" i="60"/>
  <c r="D37" i="60"/>
  <c r="D68" i="60" s="1"/>
  <c r="D40" i="60"/>
  <c r="D48" i="60"/>
  <c r="D79" i="60" s="1"/>
  <c r="D52" i="60"/>
  <c r="D38" i="60"/>
  <c r="D69" i="60" s="1"/>
  <c r="D42" i="60"/>
  <c r="D50" i="60"/>
  <c r="D81" i="60" s="1"/>
  <c r="D60" i="60"/>
  <c r="D36" i="60"/>
  <c r="D58" i="60"/>
  <c r="D54" i="60"/>
  <c r="D85" i="60" s="1"/>
  <c r="E102" i="60"/>
  <c r="E105" i="32"/>
  <c r="E105" i="36"/>
  <c r="E63" i="60"/>
  <c r="E43" i="60"/>
  <c r="E47" i="60"/>
  <c r="E55" i="60"/>
  <c r="E37" i="60"/>
  <c r="E41" i="60"/>
  <c r="E45" i="60"/>
  <c r="E49" i="60"/>
  <c r="E53" i="60"/>
  <c r="E57" i="60"/>
  <c r="E61" i="60"/>
  <c r="E64" i="36"/>
  <c r="E64" i="34"/>
  <c r="E64" i="32"/>
  <c r="D62" i="60"/>
  <c r="D93" i="60" s="1"/>
  <c r="E94" i="60"/>
  <c r="E90" i="60"/>
  <c r="E86" i="60"/>
  <c r="E82" i="60"/>
  <c r="E78" i="60"/>
  <c r="E74" i="60"/>
  <c r="E70" i="60"/>
  <c r="E36" i="60"/>
  <c r="F115" i="51"/>
  <c r="F115" i="47"/>
  <c r="F113" i="45"/>
  <c r="F112" i="43"/>
  <c r="F111" i="41"/>
  <c r="F112" i="39"/>
  <c r="F111" i="37"/>
  <c r="F110" i="27"/>
  <c r="F114" i="27"/>
  <c r="F111" i="25"/>
  <c r="F115" i="12"/>
  <c r="F115" i="22"/>
  <c r="F115" i="18"/>
  <c r="F115" i="55"/>
  <c r="F110" i="54"/>
  <c r="F112" i="54"/>
  <c r="F114" i="54"/>
  <c r="F111" i="52"/>
  <c r="F113" i="52"/>
  <c r="F115" i="52"/>
  <c r="F110" i="50"/>
  <c r="F112" i="50"/>
  <c r="F114" i="50"/>
  <c r="F111" i="48"/>
  <c r="F113" i="48"/>
  <c r="F115" i="48"/>
  <c r="F115" i="46"/>
  <c r="F114" i="44"/>
  <c r="F111" i="42"/>
  <c r="F110" i="40"/>
  <c r="F111" i="38"/>
  <c r="F110" i="36"/>
  <c r="F113" i="34"/>
  <c r="F112" i="32"/>
  <c r="F115" i="30"/>
  <c r="F110" i="24"/>
  <c r="F114" i="24"/>
  <c r="F115" i="16"/>
  <c r="F115" i="9"/>
  <c r="F115" i="5"/>
  <c r="F115" i="1"/>
  <c r="F115" i="35"/>
  <c r="F114" i="33"/>
  <c r="F115" i="29"/>
  <c r="B63" i="64"/>
  <c r="M28" i="63"/>
  <c r="M30" i="63"/>
  <c r="M32" i="63"/>
  <c r="M13" i="63"/>
  <c r="M15" i="63"/>
  <c r="M19" i="63"/>
  <c r="F116" i="53"/>
  <c r="F116" i="33"/>
  <c r="F116" i="13"/>
  <c r="F116" i="5"/>
  <c r="F116" i="12"/>
  <c r="F116" i="52"/>
  <c r="F116" i="48"/>
  <c r="F111" i="46"/>
  <c r="F110" i="44"/>
  <c r="F112" i="44"/>
  <c r="F115" i="42"/>
  <c r="F116" i="42"/>
  <c r="F115" i="38"/>
  <c r="F116" i="38"/>
  <c r="F116" i="34"/>
  <c r="F116" i="30"/>
  <c r="F111" i="28"/>
  <c r="F115" i="28"/>
  <c r="F110" i="26"/>
  <c r="F114" i="26"/>
  <c r="F116" i="24"/>
  <c r="F112" i="24"/>
  <c r="F116" i="22"/>
  <c r="F116" i="18"/>
  <c r="F116" i="14"/>
  <c r="F111" i="11"/>
  <c r="F113" i="11"/>
  <c r="F115" i="11"/>
  <c r="F111" i="7"/>
  <c r="F113" i="7"/>
  <c r="F115" i="7"/>
  <c r="F111" i="3"/>
  <c r="F113" i="3"/>
  <c r="F115" i="3"/>
  <c r="F116" i="15"/>
  <c r="F115" i="8"/>
  <c r="F115" i="56"/>
  <c r="F116" i="49"/>
  <c r="F116" i="45"/>
  <c r="F115" i="41"/>
  <c r="F116" i="41"/>
  <c r="F115" i="37"/>
  <c r="F116" i="37"/>
  <c r="F111" i="35"/>
  <c r="F113" i="35"/>
  <c r="F110" i="33"/>
  <c r="F112" i="33"/>
  <c r="F111" i="31"/>
  <c r="F113" i="31"/>
  <c r="F115" i="31"/>
  <c r="F115" i="25"/>
  <c r="F116" i="25"/>
  <c r="F111" i="23"/>
  <c r="F113" i="23"/>
  <c r="F115" i="23"/>
  <c r="F110" i="21"/>
  <c r="F112" i="21"/>
  <c r="F114" i="21"/>
  <c r="F116" i="19"/>
  <c r="F110" i="15"/>
  <c r="F112" i="15"/>
  <c r="F114" i="15"/>
  <c r="F110" i="13"/>
  <c r="F112" i="13"/>
  <c r="F114" i="13"/>
  <c r="F116" i="10"/>
  <c r="F116" i="6"/>
  <c r="F116" i="59"/>
  <c r="M14" i="63"/>
  <c r="M18" i="63"/>
  <c r="M27" i="63"/>
  <c r="M29" i="63"/>
  <c r="M31" i="63"/>
  <c r="F116" i="55"/>
  <c r="F115" i="53"/>
  <c r="F116" i="20"/>
  <c r="F116" i="9"/>
  <c r="F116" i="1"/>
  <c r="F116" i="54"/>
  <c r="F111" i="54"/>
  <c r="F113" i="54"/>
  <c r="F115" i="54"/>
  <c r="F110" i="52"/>
  <c r="F112" i="52"/>
  <c r="F114" i="52"/>
  <c r="F116" i="50"/>
  <c r="F111" i="50"/>
  <c r="F113" i="50"/>
  <c r="F115" i="50"/>
  <c r="F110" i="48"/>
  <c r="F112" i="48"/>
  <c r="F114" i="48"/>
  <c r="F116" i="46"/>
  <c r="F110" i="46"/>
  <c r="F112" i="46"/>
  <c r="F114" i="46"/>
  <c r="F111" i="44"/>
  <c r="F113" i="44"/>
  <c r="F115" i="44"/>
  <c r="F110" i="42"/>
  <c r="F111" i="40"/>
  <c r="F115" i="40"/>
  <c r="F116" i="40"/>
  <c r="F110" i="38"/>
  <c r="F111" i="36"/>
  <c r="F115" i="36"/>
  <c r="F116" i="36"/>
  <c r="F110" i="34"/>
  <c r="F114" i="34"/>
  <c r="F111" i="32"/>
  <c r="F115" i="32"/>
  <c r="F116" i="32"/>
  <c r="F110" i="30"/>
  <c r="F114" i="30"/>
  <c r="F116" i="28"/>
  <c r="F110" i="28"/>
  <c r="F112" i="28"/>
  <c r="F114" i="28"/>
  <c r="F111" i="26"/>
  <c r="F113" i="26"/>
  <c r="F115" i="26"/>
  <c r="F113" i="24"/>
  <c r="F115" i="24"/>
  <c r="F110" i="22"/>
  <c r="F114" i="22"/>
  <c r="F116" i="16"/>
  <c r="F110" i="9"/>
  <c r="F112" i="9"/>
  <c r="F114" i="9"/>
  <c r="F110" i="5"/>
  <c r="F112" i="5"/>
  <c r="F114" i="5"/>
  <c r="F110" i="1"/>
  <c r="F112" i="1"/>
  <c r="F114" i="1"/>
  <c r="F116" i="21"/>
  <c r="F115" i="19"/>
  <c r="F115" i="17"/>
  <c r="F115" i="4"/>
  <c r="F116" i="51"/>
  <c r="F115" i="49"/>
  <c r="F116" i="47"/>
  <c r="F110" i="45"/>
  <c r="F114" i="45"/>
  <c r="F111" i="43"/>
  <c r="F115" i="43"/>
  <c r="F116" i="43"/>
  <c r="F112" i="41"/>
  <c r="F111" i="39"/>
  <c r="F115" i="39"/>
  <c r="F116" i="39"/>
  <c r="F116" i="35"/>
  <c r="F110" i="35"/>
  <c r="F112" i="35"/>
  <c r="F114" i="35"/>
  <c r="F111" i="33"/>
  <c r="F113" i="33"/>
  <c r="F115" i="33"/>
  <c r="F116" i="31"/>
  <c r="F110" i="31"/>
  <c r="F112" i="31"/>
  <c r="F114" i="31"/>
  <c r="F111" i="29"/>
  <c r="F116" i="29"/>
  <c r="F114" i="29"/>
  <c r="F116" i="27"/>
  <c r="F116" i="23"/>
  <c r="F110" i="23"/>
  <c r="F112" i="23"/>
  <c r="F114" i="23"/>
  <c r="F111" i="21"/>
  <c r="F113" i="21"/>
  <c r="F115" i="21"/>
  <c r="F116" i="17"/>
  <c r="F111" i="15"/>
  <c r="F113" i="15"/>
  <c r="F111" i="13"/>
  <c r="F113" i="13"/>
  <c r="F115" i="13"/>
  <c r="F116" i="8"/>
  <c r="F116" i="4"/>
  <c r="F116" i="56"/>
  <c r="M7" i="63"/>
  <c r="E7" i="63"/>
  <c r="E104" i="60"/>
  <c r="E93" i="60"/>
  <c r="E111" i="60"/>
  <c r="F117" i="60"/>
  <c r="D33" i="57"/>
  <c r="B7" i="63" s="1"/>
  <c r="D64" i="57"/>
  <c r="F64" i="57" s="1"/>
  <c r="D94" i="57"/>
  <c r="F94" i="57" s="1"/>
  <c r="D90" i="57"/>
  <c r="F90" i="57" s="1"/>
  <c r="D82" i="57"/>
  <c r="F82" i="57" s="1"/>
  <c r="D74" i="57"/>
  <c r="F74" i="57" s="1"/>
  <c r="D70" i="57"/>
  <c r="F70" i="57" s="1"/>
  <c r="D91" i="57"/>
  <c r="F91" i="57" s="1"/>
  <c r="E59" i="60"/>
  <c r="E51" i="60"/>
  <c r="D79" i="57"/>
  <c r="F79" i="57" s="1"/>
  <c r="D67" i="57"/>
  <c r="F67" i="57" s="1"/>
  <c r="D39" i="60"/>
  <c r="D8" i="60" s="1"/>
  <c r="D44" i="60"/>
  <c r="D55" i="60"/>
  <c r="D24" i="60" s="1"/>
  <c r="D56" i="60"/>
  <c r="E44" i="60"/>
  <c r="D63" i="60"/>
  <c r="E95" i="49"/>
  <c r="D118" i="48"/>
  <c r="D118" i="47"/>
  <c r="D118" i="50"/>
  <c r="D118" i="45"/>
  <c r="D118" i="36"/>
  <c r="E118" i="37"/>
  <c r="D118" i="35"/>
  <c r="D94" i="24"/>
  <c r="F94" i="24" s="1"/>
  <c r="D32" i="24"/>
  <c r="D90" i="24"/>
  <c r="F90" i="24" s="1"/>
  <c r="D28" i="24"/>
  <c r="D86" i="24"/>
  <c r="F86" i="24" s="1"/>
  <c r="D24" i="24"/>
  <c r="D82" i="24"/>
  <c r="F82" i="24" s="1"/>
  <c r="D20" i="24"/>
  <c r="D78" i="24"/>
  <c r="F78" i="24" s="1"/>
  <c r="D16" i="24"/>
  <c r="D74" i="24"/>
  <c r="F74" i="24" s="1"/>
  <c r="D12" i="24"/>
  <c r="D70" i="24"/>
  <c r="F70" i="24" s="1"/>
  <c r="D8" i="24"/>
  <c r="D94" i="22"/>
  <c r="F94" i="22" s="1"/>
  <c r="D32" i="22"/>
  <c r="D90" i="22"/>
  <c r="F90" i="22" s="1"/>
  <c r="D28" i="22"/>
  <c r="D86" i="22"/>
  <c r="F86" i="22" s="1"/>
  <c r="D24" i="22"/>
  <c r="D82" i="22"/>
  <c r="F82" i="22" s="1"/>
  <c r="D20" i="22"/>
  <c r="D78" i="22"/>
  <c r="F78" i="22" s="1"/>
  <c r="D16" i="22"/>
  <c r="D74" i="22"/>
  <c r="F74" i="22" s="1"/>
  <c r="D12" i="22"/>
  <c r="D70" i="22"/>
  <c r="F70" i="22" s="1"/>
  <c r="D8" i="22"/>
  <c r="D118" i="51"/>
  <c r="D118" i="38"/>
  <c r="D118" i="46"/>
  <c r="E118" i="45"/>
  <c r="D118" i="37"/>
  <c r="D118" i="34"/>
  <c r="D118" i="32"/>
  <c r="D94" i="25"/>
  <c r="F94" i="25" s="1"/>
  <c r="D32" i="25"/>
  <c r="D90" i="25"/>
  <c r="F90" i="25" s="1"/>
  <c r="D28" i="25"/>
  <c r="D86" i="25"/>
  <c r="F86" i="25" s="1"/>
  <c r="D24" i="25"/>
  <c r="D82" i="25"/>
  <c r="F82" i="25" s="1"/>
  <c r="D20" i="25"/>
  <c r="D78" i="25"/>
  <c r="F78" i="25" s="1"/>
  <c r="D16" i="25"/>
  <c r="D74" i="25"/>
  <c r="F74" i="25" s="1"/>
  <c r="D12" i="25"/>
  <c r="D70" i="25"/>
  <c r="F70" i="25" s="1"/>
  <c r="D8" i="25"/>
  <c r="D94" i="23"/>
  <c r="F94" i="23" s="1"/>
  <c r="D32" i="23"/>
  <c r="D90" i="23"/>
  <c r="F90" i="23" s="1"/>
  <c r="D28" i="23"/>
  <c r="D86" i="23"/>
  <c r="F86" i="23" s="1"/>
  <c r="D24" i="23"/>
  <c r="D82" i="23"/>
  <c r="F82" i="23" s="1"/>
  <c r="D20" i="23"/>
  <c r="D78" i="23"/>
  <c r="F78" i="23" s="1"/>
  <c r="D16" i="23"/>
  <c r="D74" i="23"/>
  <c r="F74" i="23" s="1"/>
  <c r="D12" i="23"/>
  <c r="D70" i="23"/>
  <c r="F70" i="23" s="1"/>
  <c r="D8" i="23"/>
  <c r="D94" i="21"/>
  <c r="F94" i="21" s="1"/>
  <c r="D32" i="21"/>
  <c r="D90" i="21"/>
  <c r="F90" i="21" s="1"/>
  <c r="D28" i="21"/>
  <c r="D86" i="21"/>
  <c r="F86" i="21" s="1"/>
  <c r="D24" i="21"/>
  <c r="D82" i="21"/>
  <c r="F82" i="21" s="1"/>
  <c r="D20" i="21"/>
  <c r="D78" i="21"/>
  <c r="F78" i="21" s="1"/>
  <c r="D16" i="21"/>
  <c r="D74" i="21"/>
  <c r="D12" i="21"/>
  <c r="D70" i="21"/>
  <c r="F70" i="21" s="1"/>
  <c r="D8" i="21"/>
  <c r="E118" i="35"/>
  <c r="E118" i="32"/>
  <c r="E64" i="55"/>
  <c r="D118" i="55"/>
  <c r="D91" i="55"/>
  <c r="F91" i="55" s="1"/>
  <c r="D29" i="55"/>
  <c r="D92" i="55"/>
  <c r="F92" i="55" s="1"/>
  <c r="D30" i="55"/>
  <c r="D93" i="55"/>
  <c r="F93" i="55" s="1"/>
  <c r="D31" i="55"/>
  <c r="D94" i="55"/>
  <c r="F94" i="55" s="1"/>
  <c r="D32" i="55"/>
  <c r="E95" i="55"/>
  <c r="E105" i="55"/>
  <c r="D72" i="54"/>
  <c r="F72" i="54" s="1"/>
  <c r="D10" i="54"/>
  <c r="D71" i="54"/>
  <c r="F71" i="54" s="1"/>
  <c r="D9" i="54"/>
  <c r="D70" i="54"/>
  <c r="F70" i="54" s="1"/>
  <c r="D8" i="54"/>
  <c r="D69" i="54"/>
  <c r="F69" i="54" s="1"/>
  <c r="D7" i="54"/>
  <c r="D68" i="54"/>
  <c r="F68" i="54" s="1"/>
  <c r="D6" i="54"/>
  <c r="D67" i="54"/>
  <c r="F67" i="54" s="1"/>
  <c r="D64" i="54"/>
  <c r="D5" i="54"/>
  <c r="D73" i="54"/>
  <c r="F73" i="54" s="1"/>
  <c r="D11" i="54"/>
  <c r="D74" i="54"/>
  <c r="F74" i="54" s="1"/>
  <c r="D12" i="54"/>
  <c r="D75" i="54"/>
  <c r="F75" i="54" s="1"/>
  <c r="D13" i="54"/>
  <c r="D76" i="54"/>
  <c r="F76" i="54" s="1"/>
  <c r="D14" i="54"/>
  <c r="D77" i="54"/>
  <c r="F77" i="54" s="1"/>
  <c r="D15" i="54"/>
  <c r="D78" i="54"/>
  <c r="F78" i="54" s="1"/>
  <c r="D16" i="54"/>
  <c r="D79" i="54"/>
  <c r="F79" i="54" s="1"/>
  <c r="D17" i="54"/>
  <c r="D80" i="54"/>
  <c r="F80" i="54" s="1"/>
  <c r="D18" i="54"/>
  <c r="D81" i="54"/>
  <c r="F81" i="54" s="1"/>
  <c r="D19" i="54"/>
  <c r="D82" i="54"/>
  <c r="F82" i="54" s="1"/>
  <c r="D20" i="54"/>
  <c r="D83" i="54"/>
  <c r="F83" i="54" s="1"/>
  <c r="D21" i="54"/>
  <c r="D84" i="54"/>
  <c r="F84" i="54" s="1"/>
  <c r="D22" i="54"/>
  <c r="D85" i="54"/>
  <c r="F85" i="54" s="1"/>
  <c r="D23" i="54"/>
  <c r="D86" i="54"/>
  <c r="F86" i="54" s="1"/>
  <c r="D24" i="54"/>
  <c r="D87" i="54"/>
  <c r="F87" i="54" s="1"/>
  <c r="D25" i="54"/>
  <c r="D88" i="54"/>
  <c r="F88" i="54" s="1"/>
  <c r="F10" i="63" s="1"/>
  <c r="D26" i="54"/>
  <c r="D89" i="54"/>
  <c r="F89" i="54" s="1"/>
  <c r="D27" i="54"/>
  <c r="D90" i="54"/>
  <c r="F90" i="54" s="1"/>
  <c r="D28" i="54"/>
  <c r="D91" i="54"/>
  <c r="F91" i="54" s="1"/>
  <c r="D29" i="54"/>
  <c r="D92" i="54"/>
  <c r="F92" i="54" s="1"/>
  <c r="D30" i="54"/>
  <c r="D93" i="54"/>
  <c r="F93" i="54" s="1"/>
  <c r="D31" i="54"/>
  <c r="D94" i="54"/>
  <c r="F94" i="54" s="1"/>
  <c r="D32" i="54"/>
  <c r="E95" i="54"/>
  <c r="E105" i="54"/>
  <c r="D118" i="53"/>
  <c r="E64" i="53"/>
  <c r="E105" i="52"/>
  <c r="E95" i="52"/>
  <c r="D81" i="53"/>
  <c r="F81" i="53" s="1"/>
  <c r="D19" i="53"/>
  <c r="D80" i="53"/>
  <c r="F80" i="53" s="1"/>
  <c r="D18" i="53"/>
  <c r="D79" i="53"/>
  <c r="F79" i="53" s="1"/>
  <c r="D17" i="53"/>
  <c r="D78" i="53"/>
  <c r="F78" i="53" s="1"/>
  <c r="D16" i="53"/>
  <c r="D77" i="53"/>
  <c r="F77" i="53" s="1"/>
  <c r="D15" i="53"/>
  <c r="D76" i="53"/>
  <c r="F76" i="53" s="1"/>
  <c r="D14" i="53"/>
  <c r="D75" i="53"/>
  <c r="F75" i="53" s="1"/>
  <c r="D13" i="53"/>
  <c r="D74" i="53"/>
  <c r="F74" i="53" s="1"/>
  <c r="D12" i="53"/>
  <c r="D73" i="53"/>
  <c r="F73" i="53" s="1"/>
  <c r="D11" i="53"/>
  <c r="D72" i="53"/>
  <c r="F72" i="53" s="1"/>
  <c r="D10" i="53"/>
  <c r="D71" i="53"/>
  <c r="F71" i="53" s="1"/>
  <c r="D9" i="53"/>
  <c r="D70" i="53"/>
  <c r="F70" i="53" s="1"/>
  <c r="D8" i="53"/>
  <c r="D69" i="53"/>
  <c r="F69" i="53" s="1"/>
  <c r="D7" i="53"/>
  <c r="D68" i="53"/>
  <c r="F68" i="53" s="1"/>
  <c r="D6" i="53"/>
  <c r="D67" i="53"/>
  <c r="F67" i="53" s="1"/>
  <c r="D64" i="53"/>
  <c r="D5" i="53"/>
  <c r="D32" i="50"/>
  <c r="D94" i="50"/>
  <c r="F94" i="50" s="1"/>
  <c r="D93" i="50"/>
  <c r="F93" i="50" s="1"/>
  <c r="D31" i="50"/>
  <c r="D30" i="50"/>
  <c r="D92" i="50"/>
  <c r="F92" i="50" s="1"/>
  <c r="D91" i="50"/>
  <c r="F91" i="50" s="1"/>
  <c r="D29" i="50"/>
  <c r="D28" i="50"/>
  <c r="D90" i="50"/>
  <c r="F90" i="50" s="1"/>
  <c r="D89" i="50"/>
  <c r="F89" i="50" s="1"/>
  <c r="D27" i="50"/>
  <c r="D26" i="50"/>
  <c r="D88" i="50"/>
  <c r="F88" i="50" s="1"/>
  <c r="D87" i="50"/>
  <c r="F87" i="50" s="1"/>
  <c r="D25" i="50"/>
  <c r="D24" i="50"/>
  <c r="D86" i="50"/>
  <c r="F86" i="50" s="1"/>
  <c r="D85" i="50"/>
  <c r="F85" i="50" s="1"/>
  <c r="D23" i="50"/>
  <c r="D22" i="50"/>
  <c r="D84" i="50"/>
  <c r="F84" i="50" s="1"/>
  <c r="D83" i="50"/>
  <c r="F83" i="50" s="1"/>
  <c r="D21" i="50"/>
  <c r="D20" i="50"/>
  <c r="D82" i="50"/>
  <c r="F82" i="50" s="1"/>
  <c r="D81" i="50"/>
  <c r="F81" i="50" s="1"/>
  <c r="D19" i="50"/>
  <c r="D18" i="50"/>
  <c r="D80" i="50"/>
  <c r="F80" i="50" s="1"/>
  <c r="D79" i="50"/>
  <c r="F79" i="50" s="1"/>
  <c r="D17" i="50"/>
  <c r="D16" i="50"/>
  <c r="D78" i="50"/>
  <c r="F78" i="50" s="1"/>
  <c r="D77" i="50"/>
  <c r="F77" i="50" s="1"/>
  <c r="D15" i="50"/>
  <c r="D14" i="50"/>
  <c r="D76" i="50"/>
  <c r="D75" i="50"/>
  <c r="F75" i="50" s="1"/>
  <c r="D13" i="50"/>
  <c r="D12" i="50"/>
  <c r="D74" i="50"/>
  <c r="F74" i="50" s="1"/>
  <c r="D73" i="50"/>
  <c r="F73" i="50" s="1"/>
  <c r="D11" i="50"/>
  <c r="D10" i="50"/>
  <c r="D72" i="50"/>
  <c r="F72" i="50" s="1"/>
  <c r="D71" i="50"/>
  <c r="F71" i="50" s="1"/>
  <c r="D9" i="50"/>
  <c r="D8" i="50"/>
  <c r="D70" i="50"/>
  <c r="F70" i="50" s="1"/>
  <c r="D69" i="50"/>
  <c r="F69" i="50" s="1"/>
  <c r="D7" i="50"/>
  <c r="D6" i="50"/>
  <c r="D68" i="50"/>
  <c r="F68" i="50" s="1"/>
  <c r="D67" i="50"/>
  <c r="F67" i="50" s="1"/>
  <c r="D64" i="50"/>
  <c r="F64" i="50" s="1"/>
  <c r="D5" i="50"/>
  <c r="D73" i="48"/>
  <c r="F73" i="48" s="1"/>
  <c r="D11" i="48"/>
  <c r="D72" i="48"/>
  <c r="F72" i="48" s="1"/>
  <c r="D10" i="48"/>
  <c r="D71" i="48"/>
  <c r="F71" i="48" s="1"/>
  <c r="D9" i="48"/>
  <c r="D70" i="48"/>
  <c r="F70" i="48" s="1"/>
  <c r="D8" i="48"/>
  <c r="D69" i="48"/>
  <c r="F69" i="48" s="1"/>
  <c r="D7" i="48"/>
  <c r="D68" i="48"/>
  <c r="F68" i="48" s="1"/>
  <c r="D6" i="48"/>
  <c r="D67" i="48"/>
  <c r="F67" i="48" s="1"/>
  <c r="D64" i="48"/>
  <c r="D5" i="48"/>
  <c r="E118" i="49"/>
  <c r="E64" i="48"/>
  <c r="E95" i="47"/>
  <c r="C109" i="47" s="1"/>
  <c r="F109" i="47" s="1"/>
  <c r="D118" i="49"/>
  <c r="E105" i="47"/>
  <c r="D94" i="47"/>
  <c r="F94" i="47" s="1"/>
  <c r="D32" i="47"/>
  <c r="D93" i="47"/>
  <c r="F93" i="47" s="1"/>
  <c r="D31" i="47"/>
  <c r="D92" i="47"/>
  <c r="F92" i="47" s="1"/>
  <c r="D30" i="47"/>
  <c r="D91" i="47"/>
  <c r="F91" i="47" s="1"/>
  <c r="D29" i="47"/>
  <c r="D90" i="47"/>
  <c r="F90" i="47" s="1"/>
  <c r="D28" i="47"/>
  <c r="D89" i="47"/>
  <c r="F89" i="47" s="1"/>
  <c r="D27" i="47"/>
  <c r="D88" i="47"/>
  <c r="F88" i="47" s="1"/>
  <c r="D26" i="47"/>
  <c r="D87" i="47"/>
  <c r="F87" i="47" s="1"/>
  <c r="F17" i="63" s="1"/>
  <c r="D25" i="47"/>
  <c r="D86" i="47"/>
  <c r="F86" i="47" s="1"/>
  <c r="D24" i="47"/>
  <c r="D85" i="47"/>
  <c r="F85" i="47" s="1"/>
  <c r="D23" i="47"/>
  <c r="D84" i="47"/>
  <c r="F84" i="47" s="1"/>
  <c r="D22" i="47"/>
  <c r="D83" i="47"/>
  <c r="F83" i="47" s="1"/>
  <c r="D21" i="47"/>
  <c r="D82" i="47"/>
  <c r="F82" i="47" s="1"/>
  <c r="D20" i="47"/>
  <c r="D81" i="47"/>
  <c r="F81" i="47" s="1"/>
  <c r="D19" i="47"/>
  <c r="D80" i="47"/>
  <c r="F80" i="47" s="1"/>
  <c r="D18" i="47"/>
  <c r="D79" i="47"/>
  <c r="F79" i="47" s="1"/>
  <c r="D17" i="47"/>
  <c r="D78" i="47"/>
  <c r="F78" i="47" s="1"/>
  <c r="D16" i="47"/>
  <c r="D77" i="47"/>
  <c r="F77" i="47" s="1"/>
  <c r="D15" i="47"/>
  <c r="D76" i="47"/>
  <c r="F76" i="47" s="1"/>
  <c r="D14" i="47"/>
  <c r="D75" i="47"/>
  <c r="F75" i="47" s="1"/>
  <c r="D13" i="47"/>
  <c r="D74" i="47"/>
  <c r="F74" i="47" s="1"/>
  <c r="D12" i="47"/>
  <c r="D73" i="47"/>
  <c r="F73" i="47" s="1"/>
  <c r="D11" i="47"/>
  <c r="D72" i="47"/>
  <c r="F72" i="47" s="1"/>
  <c r="D10" i="47"/>
  <c r="D71" i="47"/>
  <c r="F71" i="47" s="1"/>
  <c r="D9" i="47"/>
  <c r="D70" i="47"/>
  <c r="F70" i="47" s="1"/>
  <c r="D8" i="47"/>
  <c r="D69" i="47"/>
  <c r="F69" i="47" s="1"/>
  <c r="D7" i="47"/>
  <c r="D68" i="47"/>
  <c r="F68" i="47" s="1"/>
  <c r="D6" i="47"/>
  <c r="D67" i="47"/>
  <c r="D64" i="47"/>
  <c r="F64" i="47" s="1"/>
  <c r="D5" i="47"/>
  <c r="D32" i="45"/>
  <c r="D94" i="45"/>
  <c r="F94" i="45" s="1"/>
  <c r="D93" i="45"/>
  <c r="F93" i="45" s="1"/>
  <c r="D31" i="45"/>
  <c r="D30" i="45"/>
  <c r="D92" i="45"/>
  <c r="F92" i="45" s="1"/>
  <c r="D91" i="45"/>
  <c r="F91" i="45" s="1"/>
  <c r="D29" i="45"/>
  <c r="D28" i="45"/>
  <c r="D90" i="45"/>
  <c r="F90" i="45" s="1"/>
  <c r="D89" i="45"/>
  <c r="F89" i="45" s="1"/>
  <c r="D27" i="45"/>
  <c r="D26" i="45"/>
  <c r="D88" i="45"/>
  <c r="F88" i="45" s="1"/>
  <c r="D87" i="45"/>
  <c r="F87" i="45" s="1"/>
  <c r="D25" i="45"/>
  <c r="D24" i="45"/>
  <c r="D86" i="45"/>
  <c r="F86" i="45" s="1"/>
  <c r="D85" i="45"/>
  <c r="F85" i="45" s="1"/>
  <c r="D23" i="45"/>
  <c r="D22" i="45"/>
  <c r="D84" i="45"/>
  <c r="F84" i="45" s="1"/>
  <c r="D83" i="45"/>
  <c r="F83" i="45" s="1"/>
  <c r="D21" i="45"/>
  <c r="D20" i="45"/>
  <c r="D82" i="45"/>
  <c r="F82" i="45" s="1"/>
  <c r="D81" i="45"/>
  <c r="F81" i="45" s="1"/>
  <c r="D19" i="45"/>
  <c r="D18" i="45"/>
  <c r="D80" i="45"/>
  <c r="F80" i="45" s="1"/>
  <c r="D79" i="45"/>
  <c r="F79" i="45" s="1"/>
  <c r="D17" i="45"/>
  <c r="D16" i="45"/>
  <c r="D78" i="45"/>
  <c r="F78" i="45" s="1"/>
  <c r="D77" i="45"/>
  <c r="F77" i="45" s="1"/>
  <c r="D15" i="45"/>
  <c r="D14" i="45"/>
  <c r="D76" i="45"/>
  <c r="F76" i="45" s="1"/>
  <c r="D75" i="45"/>
  <c r="F75" i="45" s="1"/>
  <c r="D13" i="45"/>
  <c r="D12" i="45"/>
  <c r="D74" i="45"/>
  <c r="F74" i="45" s="1"/>
  <c r="D73" i="45"/>
  <c r="F73" i="45" s="1"/>
  <c r="D11" i="45"/>
  <c r="D10" i="45"/>
  <c r="D72" i="45"/>
  <c r="F72" i="45" s="1"/>
  <c r="D71" i="45"/>
  <c r="D9" i="45"/>
  <c r="D8" i="45"/>
  <c r="D70" i="45"/>
  <c r="F70" i="45" s="1"/>
  <c r="D69" i="45"/>
  <c r="F69" i="45" s="1"/>
  <c r="D7" i="45"/>
  <c r="D6" i="45"/>
  <c r="D68" i="45"/>
  <c r="F68" i="45" s="1"/>
  <c r="D67" i="45"/>
  <c r="F67" i="45" s="1"/>
  <c r="D64" i="45"/>
  <c r="F64" i="45" s="1"/>
  <c r="D5" i="45"/>
  <c r="E95" i="44"/>
  <c r="D118" i="44"/>
  <c r="E64" i="44"/>
  <c r="E105" i="43"/>
  <c r="E95" i="43"/>
  <c r="D118" i="42"/>
  <c r="E64" i="42"/>
  <c r="E105" i="41"/>
  <c r="E95" i="41"/>
  <c r="D118" i="40"/>
  <c r="E64" i="40"/>
  <c r="M24" i="63" s="1"/>
  <c r="E105" i="39"/>
  <c r="E95" i="39"/>
  <c r="E105" i="44"/>
  <c r="D92" i="44"/>
  <c r="F92" i="44" s="1"/>
  <c r="D30" i="44"/>
  <c r="D91" i="44"/>
  <c r="F91" i="44" s="1"/>
  <c r="D29" i="44"/>
  <c r="D90" i="44"/>
  <c r="F90" i="44" s="1"/>
  <c r="D28" i="44"/>
  <c r="D89" i="44"/>
  <c r="F89" i="44" s="1"/>
  <c r="D27" i="44"/>
  <c r="D88" i="44"/>
  <c r="F88" i="44" s="1"/>
  <c r="D26" i="44"/>
  <c r="D87" i="44"/>
  <c r="F87" i="44" s="1"/>
  <c r="D25" i="44"/>
  <c r="D86" i="44"/>
  <c r="F86" i="44" s="1"/>
  <c r="D24" i="44"/>
  <c r="D85" i="44"/>
  <c r="F85" i="44" s="1"/>
  <c r="D23" i="44"/>
  <c r="D84" i="44"/>
  <c r="F84" i="44" s="1"/>
  <c r="D22" i="44"/>
  <c r="D83" i="44"/>
  <c r="F83" i="44" s="1"/>
  <c r="D21" i="44"/>
  <c r="D82" i="44"/>
  <c r="F82" i="44" s="1"/>
  <c r="D20" i="44"/>
  <c r="D81" i="44"/>
  <c r="F81" i="44" s="1"/>
  <c r="D19" i="44"/>
  <c r="D80" i="44"/>
  <c r="F80" i="44" s="1"/>
  <c r="D18" i="44"/>
  <c r="D79" i="44"/>
  <c r="F79" i="44" s="1"/>
  <c r="D17" i="44"/>
  <c r="D78" i="44"/>
  <c r="F78" i="44" s="1"/>
  <c r="D16" i="44"/>
  <c r="D77" i="44"/>
  <c r="F77" i="44" s="1"/>
  <c r="D15" i="44"/>
  <c r="D76" i="44"/>
  <c r="F76" i="44" s="1"/>
  <c r="D14" i="44"/>
  <c r="D75" i="44"/>
  <c r="F75" i="44" s="1"/>
  <c r="D13" i="44"/>
  <c r="D74" i="44"/>
  <c r="F74" i="44" s="1"/>
  <c r="D12" i="44"/>
  <c r="D73" i="44"/>
  <c r="F73" i="44" s="1"/>
  <c r="D11" i="44"/>
  <c r="D72" i="44"/>
  <c r="F72" i="44" s="1"/>
  <c r="D10" i="44"/>
  <c r="D71" i="44"/>
  <c r="F71" i="44" s="1"/>
  <c r="D9" i="44"/>
  <c r="D70" i="44"/>
  <c r="F70" i="44" s="1"/>
  <c r="D8" i="44"/>
  <c r="D69" i="44"/>
  <c r="F69" i="44" s="1"/>
  <c r="D7" i="44"/>
  <c r="D68" i="44"/>
  <c r="F68" i="44" s="1"/>
  <c r="D6" i="44"/>
  <c r="D67" i="44"/>
  <c r="F67" i="44" s="1"/>
  <c r="D64" i="44"/>
  <c r="D5" i="44"/>
  <c r="D94" i="43"/>
  <c r="F94" i="43" s="1"/>
  <c r="D32" i="43"/>
  <c r="D31" i="43"/>
  <c r="D93" i="43"/>
  <c r="F93" i="43" s="1"/>
  <c r="D92" i="43"/>
  <c r="F92" i="43" s="1"/>
  <c r="D30" i="43"/>
  <c r="D29" i="43"/>
  <c r="D91" i="43"/>
  <c r="F91" i="43" s="1"/>
  <c r="D90" i="43"/>
  <c r="F90" i="43" s="1"/>
  <c r="D28" i="43"/>
  <c r="D27" i="43"/>
  <c r="D89" i="43"/>
  <c r="F89" i="43" s="1"/>
  <c r="D88" i="43"/>
  <c r="F88" i="43" s="1"/>
  <c r="D26" i="43"/>
  <c r="D25" i="43"/>
  <c r="D87" i="43"/>
  <c r="F87" i="43" s="1"/>
  <c r="D86" i="43"/>
  <c r="F86" i="43" s="1"/>
  <c r="D24" i="43"/>
  <c r="D23" i="43"/>
  <c r="D85" i="43"/>
  <c r="F85" i="43" s="1"/>
  <c r="D84" i="43"/>
  <c r="F84" i="43" s="1"/>
  <c r="D22" i="43"/>
  <c r="D21" i="43"/>
  <c r="D83" i="43"/>
  <c r="F83" i="43" s="1"/>
  <c r="D82" i="43"/>
  <c r="F82" i="43" s="1"/>
  <c r="D20" i="43"/>
  <c r="D19" i="43"/>
  <c r="D81" i="43"/>
  <c r="F81" i="43" s="1"/>
  <c r="D80" i="43"/>
  <c r="F80" i="43" s="1"/>
  <c r="D18" i="43"/>
  <c r="D17" i="43"/>
  <c r="D79" i="43"/>
  <c r="F79" i="43" s="1"/>
  <c r="D78" i="43"/>
  <c r="F78" i="43" s="1"/>
  <c r="D16" i="43"/>
  <c r="D15" i="43"/>
  <c r="D77" i="43"/>
  <c r="F77" i="43" s="1"/>
  <c r="D76" i="43"/>
  <c r="F76" i="43" s="1"/>
  <c r="D14" i="43"/>
  <c r="D13" i="43"/>
  <c r="D75" i="43"/>
  <c r="F75" i="43" s="1"/>
  <c r="D74" i="43"/>
  <c r="F74" i="43" s="1"/>
  <c r="D12" i="43"/>
  <c r="D11" i="43"/>
  <c r="D73" i="43"/>
  <c r="F73" i="43" s="1"/>
  <c r="D72" i="43"/>
  <c r="F72" i="43" s="1"/>
  <c r="D10" i="43"/>
  <c r="D9" i="43"/>
  <c r="D71" i="43"/>
  <c r="F71" i="43" s="1"/>
  <c r="D70" i="43"/>
  <c r="F70" i="43" s="1"/>
  <c r="D8" i="43"/>
  <c r="D7" i="43"/>
  <c r="D69" i="43"/>
  <c r="F69" i="43" s="1"/>
  <c r="D68" i="43"/>
  <c r="F68" i="43" s="1"/>
  <c r="D6" i="43"/>
  <c r="D5" i="43"/>
  <c r="D67" i="43"/>
  <c r="F67" i="43" s="1"/>
  <c r="D64" i="43"/>
  <c r="D94" i="42"/>
  <c r="F94" i="42" s="1"/>
  <c r="D32" i="42"/>
  <c r="D31" i="42"/>
  <c r="D93" i="42"/>
  <c r="F93" i="42" s="1"/>
  <c r="D92" i="42"/>
  <c r="F92" i="42" s="1"/>
  <c r="D30" i="42"/>
  <c r="D29" i="42"/>
  <c r="D91" i="42"/>
  <c r="F91" i="42" s="1"/>
  <c r="D90" i="42"/>
  <c r="F90" i="42" s="1"/>
  <c r="D28" i="42"/>
  <c r="D27" i="42"/>
  <c r="D89" i="42"/>
  <c r="F89" i="42" s="1"/>
  <c r="D88" i="42"/>
  <c r="D26" i="42"/>
  <c r="D25" i="42"/>
  <c r="D87" i="42"/>
  <c r="F87" i="42" s="1"/>
  <c r="D86" i="42"/>
  <c r="F86" i="42" s="1"/>
  <c r="D24" i="42"/>
  <c r="D23" i="42"/>
  <c r="D85" i="42"/>
  <c r="F85" i="42" s="1"/>
  <c r="D84" i="42"/>
  <c r="F84" i="42" s="1"/>
  <c r="D22" i="42"/>
  <c r="D21" i="42"/>
  <c r="D83" i="42"/>
  <c r="F83" i="42" s="1"/>
  <c r="D82" i="42"/>
  <c r="F82" i="42" s="1"/>
  <c r="D20" i="42"/>
  <c r="D19" i="42"/>
  <c r="D81" i="42"/>
  <c r="F81" i="42" s="1"/>
  <c r="D80" i="42"/>
  <c r="F80" i="42" s="1"/>
  <c r="D18" i="42"/>
  <c r="D17" i="42"/>
  <c r="D79" i="42"/>
  <c r="F79" i="42" s="1"/>
  <c r="D78" i="42"/>
  <c r="F78" i="42" s="1"/>
  <c r="D16" i="42"/>
  <c r="D15" i="42"/>
  <c r="D77" i="42"/>
  <c r="F77" i="42" s="1"/>
  <c r="D76" i="42"/>
  <c r="F76" i="42" s="1"/>
  <c r="D14" i="42"/>
  <c r="D13" i="42"/>
  <c r="D75" i="42"/>
  <c r="F75" i="42" s="1"/>
  <c r="D74" i="42"/>
  <c r="F74" i="42" s="1"/>
  <c r="D12" i="42"/>
  <c r="D11" i="42"/>
  <c r="D73" i="42"/>
  <c r="F73" i="42" s="1"/>
  <c r="D72" i="42"/>
  <c r="F72" i="42" s="1"/>
  <c r="D10" i="42"/>
  <c r="D9" i="42"/>
  <c r="D71" i="42"/>
  <c r="F71" i="42" s="1"/>
  <c r="D70" i="42"/>
  <c r="F70" i="42" s="1"/>
  <c r="D8" i="42"/>
  <c r="D7" i="42"/>
  <c r="D69" i="42"/>
  <c r="F69" i="42" s="1"/>
  <c r="D68" i="42"/>
  <c r="F68" i="42" s="1"/>
  <c r="D6" i="42"/>
  <c r="D5" i="42"/>
  <c r="D67" i="42"/>
  <c r="F67" i="42" s="1"/>
  <c r="D64" i="42"/>
  <c r="D94" i="41"/>
  <c r="F94" i="41" s="1"/>
  <c r="D32" i="41"/>
  <c r="D31" i="41"/>
  <c r="D93" i="41"/>
  <c r="F93" i="41" s="1"/>
  <c r="D92" i="41"/>
  <c r="F92" i="41" s="1"/>
  <c r="D30" i="41"/>
  <c r="D29" i="41"/>
  <c r="D91" i="41"/>
  <c r="F91" i="41" s="1"/>
  <c r="D90" i="41"/>
  <c r="F90" i="41" s="1"/>
  <c r="D28" i="41"/>
  <c r="D27" i="41"/>
  <c r="D89" i="41"/>
  <c r="F89" i="41" s="1"/>
  <c r="D88" i="41"/>
  <c r="F88" i="41" s="1"/>
  <c r="D26" i="41"/>
  <c r="D25" i="41"/>
  <c r="D87" i="41"/>
  <c r="F87" i="41" s="1"/>
  <c r="D86" i="41"/>
  <c r="F86" i="41" s="1"/>
  <c r="D24" i="41"/>
  <c r="D23" i="41"/>
  <c r="D85" i="41"/>
  <c r="F85" i="41" s="1"/>
  <c r="D84" i="41"/>
  <c r="F84" i="41" s="1"/>
  <c r="D22" i="41"/>
  <c r="D21" i="41"/>
  <c r="D83" i="41"/>
  <c r="F83" i="41" s="1"/>
  <c r="D82" i="41"/>
  <c r="F82" i="41" s="1"/>
  <c r="D20" i="41"/>
  <c r="D19" i="41"/>
  <c r="D81" i="41"/>
  <c r="F81" i="41" s="1"/>
  <c r="D80" i="41"/>
  <c r="F80" i="41" s="1"/>
  <c r="D18" i="41"/>
  <c r="D17" i="41"/>
  <c r="D79" i="41"/>
  <c r="F79" i="41" s="1"/>
  <c r="D78" i="41"/>
  <c r="F78" i="41" s="1"/>
  <c r="D16" i="41"/>
  <c r="D15" i="41"/>
  <c r="D77" i="41"/>
  <c r="F77" i="41" s="1"/>
  <c r="D76" i="41"/>
  <c r="F76" i="41" s="1"/>
  <c r="D14" i="41"/>
  <c r="D13" i="41"/>
  <c r="D75" i="41"/>
  <c r="F75" i="41" s="1"/>
  <c r="D74" i="41"/>
  <c r="F74" i="41" s="1"/>
  <c r="D12" i="41"/>
  <c r="D11" i="41"/>
  <c r="D73" i="41"/>
  <c r="F73" i="41" s="1"/>
  <c r="D72" i="41"/>
  <c r="D10" i="41"/>
  <c r="D9" i="41"/>
  <c r="D71" i="41"/>
  <c r="F71" i="41" s="1"/>
  <c r="D70" i="41"/>
  <c r="F70" i="41" s="1"/>
  <c r="D8" i="41"/>
  <c r="D7" i="41"/>
  <c r="D69" i="41"/>
  <c r="F69" i="41" s="1"/>
  <c r="D68" i="41"/>
  <c r="F68" i="41" s="1"/>
  <c r="D6" i="41"/>
  <c r="D5" i="41"/>
  <c r="D67" i="41"/>
  <c r="F67" i="41" s="1"/>
  <c r="D64" i="41"/>
  <c r="D94" i="40"/>
  <c r="F94" i="40" s="1"/>
  <c r="D32" i="40"/>
  <c r="D31" i="40"/>
  <c r="D93" i="40"/>
  <c r="F93" i="40" s="1"/>
  <c r="D92" i="40"/>
  <c r="F92" i="40" s="1"/>
  <c r="D30" i="40"/>
  <c r="D29" i="40"/>
  <c r="D91" i="40"/>
  <c r="F91" i="40" s="1"/>
  <c r="D90" i="40"/>
  <c r="F90" i="40" s="1"/>
  <c r="D28" i="40"/>
  <c r="D27" i="40"/>
  <c r="D89" i="40"/>
  <c r="F89" i="40" s="1"/>
  <c r="D88" i="40"/>
  <c r="F88" i="40" s="1"/>
  <c r="D26" i="40"/>
  <c r="D25" i="40"/>
  <c r="D87" i="40"/>
  <c r="F87" i="40" s="1"/>
  <c r="D86" i="40"/>
  <c r="F86" i="40" s="1"/>
  <c r="D24" i="40"/>
  <c r="D23" i="40"/>
  <c r="D85" i="40"/>
  <c r="F85" i="40" s="1"/>
  <c r="D84" i="40"/>
  <c r="F84" i="40" s="1"/>
  <c r="D22" i="40"/>
  <c r="D21" i="40"/>
  <c r="D83" i="40"/>
  <c r="F83" i="40" s="1"/>
  <c r="D82" i="40"/>
  <c r="F82" i="40" s="1"/>
  <c r="D20" i="40"/>
  <c r="D19" i="40"/>
  <c r="D81" i="40"/>
  <c r="F81" i="40" s="1"/>
  <c r="D80" i="40"/>
  <c r="F80" i="40" s="1"/>
  <c r="D18" i="40"/>
  <c r="D17" i="40"/>
  <c r="D79" i="40"/>
  <c r="F79" i="40" s="1"/>
  <c r="D78" i="40"/>
  <c r="F78" i="40" s="1"/>
  <c r="D16" i="40"/>
  <c r="D15" i="40"/>
  <c r="D77" i="40"/>
  <c r="F77" i="40" s="1"/>
  <c r="D76" i="40"/>
  <c r="F76" i="40" s="1"/>
  <c r="D14" i="40"/>
  <c r="D13" i="40"/>
  <c r="D75" i="40"/>
  <c r="F75" i="40" s="1"/>
  <c r="D74" i="40"/>
  <c r="F74" i="40" s="1"/>
  <c r="D12" i="40"/>
  <c r="D11" i="40"/>
  <c r="D73" i="40"/>
  <c r="F73" i="40" s="1"/>
  <c r="D72" i="40"/>
  <c r="F72" i="40" s="1"/>
  <c r="D10" i="40"/>
  <c r="D9" i="40"/>
  <c r="D71" i="40"/>
  <c r="F71" i="40" s="1"/>
  <c r="D70" i="40"/>
  <c r="F70" i="40" s="1"/>
  <c r="D8" i="40"/>
  <c r="D7" i="40"/>
  <c r="D69" i="40"/>
  <c r="F69" i="40" s="1"/>
  <c r="D68" i="40"/>
  <c r="F68" i="40" s="1"/>
  <c r="D6" i="40"/>
  <c r="D5" i="40"/>
  <c r="D67" i="40"/>
  <c r="F67" i="40" s="1"/>
  <c r="D64" i="40"/>
  <c r="F64" i="40" s="1"/>
  <c r="D94" i="39"/>
  <c r="F94" i="39" s="1"/>
  <c r="D32" i="39"/>
  <c r="D31" i="39"/>
  <c r="D93" i="39"/>
  <c r="F93" i="39" s="1"/>
  <c r="D92" i="39"/>
  <c r="F92" i="39" s="1"/>
  <c r="D30" i="39"/>
  <c r="D29" i="39"/>
  <c r="D91" i="39"/>
  <c r="F91" i="39" s="1"/>
  <c r="D90" i="39"/>
  <c r="F90" i="39" s="1"/>
  <c r="D28" i="39"/>
  <c r="D27" i="39"/>
  <c r="D89" i="39"/>
  <c r="F89" i="39" s="1"/>
  <c r="D88" i="39"/>
  <c r="F88" i="39" s="1"/>
  <c r="D26" i="39"/>
  <c r="D25" i="39"/>
  <c r="D87" i="39"/>
  <c r="F87" i="39" s="1"/>
  <c r="D86" i="39"/>
  <c r="F86" i="39" s="1"/>
  <c r="D24" i="39"/>
  <c r="D23" i="39"/>
  <c r="D85" i="39"/>
  <c r="F85" i="39" s="1"/>
  <c r="D84" i="39"/>
  <c r="F84" i="39" s="1"/>
  <c r="D22" i="39"/>
  <c r="D21" i="39"/>
  <c r="D83" i="39"/>
  <c r="F83" i="39" s="1"/>
  <c r="D82" i="39"/>
  <c r="F82" i="39" s="1"/>
  <c r="D20" i="39"/>
  <c r="D19" i="39"/>
  <c r="D81" i="39"/>
  <c r="F81" i="39" s="1"/>
  <c r="D80" i="39"/>
  <c r="F80" i="39" s="1"/>
  <c r="D18" i="39"/>
  <c r="D17" i="39"/>
  <c r="D79" i="39"/>
  <c r="F79" i="39" s="1"/>
  <c r="D78" i="39"/>
  <c r="F78" i="39" s="1"/>
  <c r="D16" i="39"/>
  <c r="D15" i="39"/>
  <c r="D77" i="39"/>
  <c r="F77" i="39" s="1"/>
  <c r="D76" i="39"/>
  <c r="F76" i="39" s="1"/>
  <c r="D14" i="39"/>
  <c r="D13" i="39"/>
  <c r="D75" i="39"/>
  <c r="F75" i="39" s="1"/>
  <c r="D74" i="39"/>
  <c r="F74" i="39" s="1"/>
  <c r="D12" i="39"/>
  <c r="D11" i="39"/>
  <c r="D73" i="39"/>
  <c r="F73" i="39" s="1"/>
  <c r="D72" i="39"/>
  <c r="F72" i="39" s="1"/>
  <c r="D10" i="39"/>
  <c r="D9" i="39"/>
  <c r="D71" i="39"/>
  <c r="F71" i="39" s="1"/>
  <c r="D70" i="39"/>
  <c r="F70" i="39" s="1"/>
  <c r="D8" i="39"/>
  <c r="D7" i="39"/>
  <c r="D69" i="39"/>
  <c r="F69" i="39" s="1"/>
  <c r="D68" i="39"/>
  <c r="F68" i="39" s="1"/>
  <c r="D6" i="39"/>
  <c r="D5" i="39"/>
  <c r="D67" i="39"/>
  <c r="F67" i="39" s="1"/>
  <c r="D64" i="39"/>
  <c r="E95" i="38"/>
  <c r="D94" i="38"/>
  <c r="F94" i="38" s="1"/>
  <c r="D32" i="38"/>
  <c r="D93" i="38"/>
  <c r="F93" i="38" s="1"/>
  <c r="D31" i="38"/>
  <c r="D92" i="38"/>
  <c r="F92" i="38" s="1"/>
  <c r="D30" i="38"/>
  <c r="D91" i="38"/>
  <c r="F91" i="38" s="1"/>
  <c r="D29" i="38"/>
  <c r="D90" i="38"/>
  <c r="F90" i="38" s="1"/>
  <c r="D28" i="38"/>
  <c r="D89" i="38"/>
  <c r="F89" i="38" s="1"/>
  <c r="D27" i="38"/>
  <c r="D88" i="38"/>
  <c r="F88" i="38" s="1"/>
  <c r="D26" i="38"/>
  <c r="D87" i="38"/>
  <c r="F87" i="38" s="1"/>
  <c r="D25" i="38"/>
  <c r="D86" i="38"/>
  <c r="F86" i="38" s="1"/>
  <c r="D24" i="38"/>
  <c r="D85" i="38"/>
  <c r="F85" i="38" s="1"/>
  <c r="D23" i="38"/>
  <c r="D84" i="38"/>
  <c r="F84" i="38" s="1"/>
  <c r="D22" i="38"/>
  <c r="D83" i="38"/>
  <c r="F83" i="38" s="1"/>
  <c r="D21" i="38"/>
  <c r="D82" i="38"/>
  <c r="F82" i="38" s="1"/>
  <c r="D20" i="38"/>
  <c r="D81" i="38"/>
  <c r="F81" i="38" s="1"/>
  <c r="D19" i="38"/>
  <c r="D80" i="38"/>
  <c r="F80" i="38" s="1"/>
  <c r="D18" i="38"/>
  <c r="D79" i="38"/>
  <c r="F79" i="38" s="1"/>
  <c r="D17" i="38"/>
  <c r="D78" i="38"/>
  <c r="F78" i="38" s="1"/>
  <c r="D16" i="38"/>
  <c r="D77" i="38"/>
  <c r="F77" i="38" s="1"/>
  <c r="D15" i="38"/>
  <c r="D76" i="38"/>
  <c r="F76" i="38" s="1"/>
  <c r="D14" i="38"/>
  <c r="D75" i="38"/>
  <c r="F75" i="38" s="1"/>
  <c r="D13" i="38"/>
  <c r="D74" i="38"/>
  <c r="F74" i="38" s="1"/>
  <c r="D12" i="38"/>
  <c r="D73" i="38"/>
  <c r="F73" i="38" s="1"/>
  <c r="D11" i="38"/>
  <c r="D72" i="38"/>
  <c r="F72" i="38" s="1"/>
  <c r="D10" i="38"/>
  <c r="D71" i="38"/>
  <c r="F71" i="38" s="1"/>
  <c r="D9" i="38"/>
  <c r="D70" i="38"/>
  <c r="F70" i="38" s="1"/>
  <c r="D8" i="38"/>
  <c r="D69" i="38"/>
  <c r="F69" i="38" s="1"/>
  <c r="D7" i="38"/>
  <c r="D68" i="38"/>
  <c r="F68" i="38" s="1"/>
  <c r="D6" i="38"/>
  <c r="D67" i="38"/>
  <c r="D64" i="38"/>
  <c r="D5" i="38"/>
  <c r="D32" i="37"/>
  <c r="D94" i="37"/>
  <c r="F94" i="37" s="1"/>
  <c r="D93" i="37"/>
  <c r="F93" i="37" s="1"/>
  <c r="D31" i="37"/>
  <c r="D30" i="37"/>
  <c r="D92" i="37"/>
  <c r="F92" i="37" s="1"/>
  <c r="D91" i="37"/>
  <c r="F91" i="37" s="1"/>
  <c r="D29" i="37"/>
  <c r="D28" i="37"/>
  <c r="D90" i="37"/>
  <c r="F90" i="37" s="1"/>
  <c r="D89" i="37"/>
  <c r="F89" i="37" s="1"/>
  <c r="D27" i="37"/>
  <c r="D26" i="37"/>
  <c r="D88" i="37"/>
  <c r="F88" i="37" s="1"/>
  <c r="D87" i="37"/>
  <c r="F87" i="37" s="1"/>
  <c r="D25" i="37"/>
  <c r="D24" i="37"/>
  <c r="D86" i="37"/>
  <c r="F86" i="37" s="1"/>
  <c r="D85" i="37"/>
  <c r="F85" i="37" s="1"/>
  <c r="D23" i="37"/>
  <c r="D22" i="37"/>
  <c r="D84" i="37"/>
  <c r="F84" i="37" s="1"/>
  <c r="D83" i="37"/>
  <c r="F83" i="37" s="1"/>
  <c r="D21" i="37"/>
  <c r="D20" i="37"/>
  <c r="D82" i="37"/>
  <c r="F82" i="37" s="1"/>
  <c r="D81" i="37"/>
  <c r="F81" i="37" s="1"/>
  <c r="D19" i="37"/>
  <c r="D18" i="37"/>
  <c r="D80" i="37"/>
  <c r="F80" i="37" s="1"/>
  <c r="D79" i="37"/>
  <c r="F79" i="37" s="1"/>
  <c r="D17" i="37"/>
  <c r="D16" i="37"/>
  <c r="D78" i="37"/>
  <c r="F78" i="37" s="1"/>
  <c r="D77" i="37"/>
  <c r="F77" i="37" s="1"/>
  <c r="D15" i="37"/>
  <c r="D14" i="37"/>
  <c r="D76" i="37"/>
  <c r="F76" i="37" s="1"/>
  <c r="D75" i="37"/>
  <c r="F75" i="37" s="1"/>
  <c r="D13" i="37"/>
  <c r="D12" i="37"/>
  <c r="D74" i="37"/>
  <c r="F74" i="37" s="1"/>
  <c r="D73" i="37"/>
  <c r="F73" i="37" s="1"/>
  <c r="D11" i="37"/>
  <c r="D10" i="37"/>
  <c r="D72" i="37"/>
  <c r="F72" i="37" s="1"/>
  <c r="D71" i="37"/>
  <c r="F71" i="37" s="1"/>
  <c r="D9" i="37"/>
  <c r="D8" i="37"/>
  <c r="D70" i="37"/>
  <c r="F70" i="37" s="1"/>
  <c r="D69" i="37"/>
  <c r="F69" i="37" s="1"/>
  <c r="D7" i="37"/>
  <c r="D6" i="37"/>
  <c r="D68" i="37"/>
  <c r="F68" i="37" s="1"/>
  <c r="D67" i="37"/>
  <c r="F67" i="37" s="1"/>
  <c r="D64" i="37"/>
  <c r="F64" i="37" s="1"/>
  <c r="D5" i="37"/>
  <c r="D32" i="35"/>
  <c r="D94" i="35"/>
  <c r="F94" i="35" s="1"/>
  <c r="D93" i="35"/>
  <c r="F93" i="35" s="1"/>
  <c r="D31" i="35"/>
  <c r="D30" i="35"/>
  <c r="D92" i="35"/>
  <c r="F92" i="35" s="1"/>
  <c r="D91" i="35"/>
  <c r="F91" i="35" s="1"/>
  <c r="D29" i="35"/>
  <c r="D28" i="35"/>
  <c r="D90" i="35"/>
  <c r="F90" i="35" s="1"/>
  <c r="D89" i="35"/>
  <c r="F89" i="35" s="1"/>
  <c r="D27" i="35"/>
  <c r="D26" i="35"/>
  <c r="D88" i="35"/>
  <c r="F88" i="35" s="1"/>
  <c r="D87" i="35"/>
  <c r="F87" i="35" s="1"/>
  <c r="D25" i="35"/>
  <c r="D24" i="35"/>
  <c r="D86" i="35"/>
  <c r="F86" i="35" s="1"/>
  <c r="D85" i="35"/>
  <c r="F85" i="35" s="1"/>
  <c r="D23" i="35"/>
  <c r="D22" i="35"/>
  <c r="D84" i="35"/>
  <c r="F84" i="35" s="1"/>
  <c r="D83" i="35"/>
  <c r="F83" i="35" s="1"/>
  <c r="D21" i="35"/>
  <c r="D20" i="35"/>
  <c r="D82" i="35"/>
  <c r="F82" i="35" s="1"/>
  <c r="D81" i="35"/>
  <c r="F81" i="35" s="1"/>
  <c r="D19" i="35"/>
  <c r="D18" i="35"/>
  <c r="D80" i="35"/>
  <c r="F80" i="35" s="1"/>
  <c r="D79" i="35"/>
  <c r="F79" i="35" s="1"/>
  <c r="D17" i="35"/>
  <c r="D16" i="35"/>
  <c r="D78" i="35"/>
  <c r="F78" i="35" s="1"/>
  <c r="D77" i="35"/>
  <c r="F77" i="35" s="1"/>
  <c r="D15" i="35"/>
  <c r="D14" i="35"/>
  <c r="D76" i="35"/>
  <c r="F76" i="35" s="1"/>
  <c r="D75" i="35"/>
  <c r="F75" i="35" s="1"/>
  <c r="D13" i="35"/>
  <c r="D12" i="35"/>
  <c r="D74" i="35"/>
  <c r="D73" i="35"/>
  <c r="F73" i="35" s="1"/>
  <c r="D11" i="35"/>
  <c r="D10" i="35"/>
  <c r="D72" i="35"/>
  <c r="F72" i="35" s="1"/>
  <c r="D71" i="35"/>
  <c r="F71" i="35" s="1"/>
  <c r="D9" i="35"/>
  <c r="D8" i="35"/>
  <c r="D70" i="35"/>
  <c r="F70" i="35" s="1"/>
  <c r="D69" i="35"/>
  <c r="F69" i="35" s="1"/>
  <c r="D7" i="35"/>
  <c r="D6" i="35"/>
  <c r="D68" i="35"/>
  <c r="F68" i="35" s="1"/>
  <c r="D67" i="35"/>
  <c r="F67" i="35" s="1"/>
  <c r="D64" i="35"/>
  <c r="F64" i="35" s="1"/>
  <c r="D5" i="35"/>
  <c r="D32" i="33"/>
  <c r="D94" i="33"/>
  <c r="F94" i="33" s="1"/>
  <c r="D93" i="33"/>
  <c r="F93" i="33" s="1"/>
  <c r="D31" i="33"/>
  <c r="D30" i="33"/>
  <c r="D92" i="33"/>
  <c r="F92" i="33" s="1"/>
  <c r="D91" i="33"/>
  <c r="F91" i="33" s="1"/>
  <c r="D29" i="33"/>
  <c r="D28" i="33"/>
  <c r="D90" i="33"/>
  <c r="F90" i="33" s="1"/>
  <c r="D89" i="33"/>
  <c r="F89" i="33" s="1"/>
  <c r="D27" i="33"/>
  <c r="D26" i="33"/>
  <c r="D88" i="33"/>
  <c r="F88" i="33" s="1"/>
  <c r="D87" i="33"/>
  <c r="F87" i="33" s="1"/>
  <c r="D25" i="33"/>
  <c r="D24" i="33"/>
  <c r="D86" i="33"/>
  <c r="F86" i="33" s="1"/>
  <c r="D85" i="33"/>
  <c r="F85" i="33" s="1"/>
  <c r="D23" i="33"/>
  <c r="D22" i="33"/>
  <c r="D84" i="33"/>
  <c r="F84" i="33" s="1"/>
  <c r="D83" i="33"/>
  <c r="F83" i="33" s="1"/>
  <c r="D21" i="33"/>
  <c r="D20" i="33"/>
  <c r="D82" i="33"/>
  <c r="F82" i="33" s="1"/>
  <c r="D81" i="33"/>
  <c r="F81" i="33" s="1"/>
  <c r="D19" i="33"/>
  <c r="D18" i="33"/>
  <c r="D80" i="33"/>
  <c r="F80" i="33" s="1"/>
  <c r="D79" i="33"/>
  <c r="F79" i="33" s="1"/>
  <c r="D17" i="33"/>
  <c r="D16" i="33"/>
  <c r="D78" i="33"/>
  <c r="F78" i="33" s="1"/>
  <c r="D77" i="33"/>
  <c r="F77" i="33" s="1"/>
  <c r="D15" i="33"/>
  <c r="D14" i="33"/>
  <c r="D76" i="33"/>
  <c r="F76" i="33" s="1"/>
  <c r="D75" i="33"/>
  <c r="F75" i="33" s="1"/>
  <c r="D13" i="33"/>
  <c r="D12" i="33"/>
  <c r="D74" i="33"/>
  <c r="F74" i="33" s="1"/>
  <c r="D73" i="33"/>
  <c r="F73" i="33" s="1"/>
  <c r="D11" i="33"/>
  <c r="D10" i="33"/>
  <c r="D72" i="33"/>
  <c r="F72" i="33" s="1"/>
  <c r="D71" i="33"/>
  <c r="D9" i="33"/>
  <c r="D8" i="33"/>
  <c r="D70" i="33"/>
  <c r="F70" i="33" s="1"/>
  <c r="D69" i="33"/>
  <c r="F69" i="33" s="1"/>
  <c r="D7" i="33"/>
  <c r="D6" i="33"/>
  <c r="D68" i="33"/>
  <c r="F68" i="33" s="1"/>
  <c r="D67" i="33"/>
  <c r="F67" i="33" s="1"/>
  <c r="D64" i="33"/>
  <c r="F64" i="33" s="1"/>
  <c r="D5" i="33"/>
  <c r="D118" i="31"/>
  <c r="E64" i="31"/>
  <c r="E105" i="30"/>
  <c r="E95" i="30"/>
  <c r="D118" i="29"/>
  <c r="E64" i="29"/>
  <c r="E105" i="28"/>
  <c r="E95" i="28"/>
  <c r="D118" i="27"/>
  <c r="E64" i="27"/>
  <c r="E105" i="26"/>
  <c r="E95" i="26"/>
  <c r="E64" i="38"/>
  <c r="E95" i="37"/>
  <c r="E95" i="35"/>
  <c r="E95" i="33"/>
  <c r="D94" i="31"/>
  <c r="F94" i="31" s="1"/>
  <c r="D32" i="31"/>
  <c r="D31" i="31"/>
  <c r="D93" i="31"/>
  <c r="F93" i="31" s="1"/>
  <c r="D92" i="31"/>
  <c r="F92" i="31" s="1"/>
  <c r="D30" i="31"/>
  <c r="D29" i="31"/>
  <c r="D91" i="31"/>
  <c r="F91" i="31" s="1"/>
  <c r="D90" i="31"/>
  <c r="F90" i="31" s="1"/>
  <c r="D28" i="31"/>
  <c r="D27" i="31"/>
  <c r="D89" i="31"/>
  <c r="F89" i="31" s="1"/>
  <c r="D88" i="31"/>
  <c r="F88" i="31" s="1"/>
  <c r="D26" i="31"/>
  <c r="D25" i="31"/>
  <c r="D87" i="31"/>
  <c r="F87" i="31" s="1"/>
  <c r="D86" i="31"/>
  <c r="F86" i="31" s="1"/>
  <c r="D24" i="31"/>
  <c r="D23" i="31"/>
  <c r="D85" i="31"/>
  <c r="F85" i="31" s="1"/>
  <c r="D84" i="31"/>
  <c r="F84" i="31" s="1"/>
  <c r="D22" i="31"/>
  <c r="D21" i="31"/>
  <c r="D83" i="31"/>
  <c r="F83" i="31" s="1"/>
  <c r="D82" i="31"/>
  <c r="F82" i="31" s="1"/>
  <c r="D20" i="31"/>
  <c r="D19" i="31"/>
  <c r="D81" i="31"/>
  <c r="F81" i="31" s="1"/>
  <c r="D80" i="31"/>
  <c r="F80" i="31" s="1"/>
  <c r="D18" i="31"/>
  <c r="D17" i="31"/>
  <c r="D79" i="31"/>
  <c r="F79" i="31" s="1"/>
  <c r="D78" i="31"/>
  <c r="F78" i="31" s="1"/>
  <c r="D16" i="31"/>
  <c r="D15" i="31"/>
  <c r="D77" i="31"/>
  <c r="F77" i="31" s="1"/>
  <c r="D76" i="31"/>
  <c r="F76" i="31" s="1"/>
  <c r="D14" i="31"/>
  <c r="D13" i="31"/>
  <c r="D75" i="31"/>
  <c r="F75" i="31" s="1"/>
  <c r="D74" i="31"/>
  <c r="F74" i="31" s="1"/>
  <c r="D12" i="31"/>
  <c r="D11" i="31"/>
  <c r="D73" i="31"/>
  <c r="F73" i="31" s="1"/>
  <c r="D72" i="31"/>
  <c r="F72" i="31" s="1"/>
  <c r="D10" i="31"/>
  <c r="D9" i="31"/>
  <c r="D71" i="31"/>
  <c r="F71" i="31" s="1"/>
  <c r="D70" i="31"/>
  <c r="F70" i="31" s="1"/>
  <c r="D8" i="31"/>
  <c r="D7" i="31"/>
  <c r="D69" i="31"/>
  <c r="F69" i="31" s="1"/>
  <c r="D68" i="31"/>
  <c r="F68" i="31" s="1"/>
  <c r="D6" i="31"/>
  <c r="D5" i="31"/>
  <c r="D67" i="31"/>
  <c r="F67" i="31" s="1"/>
  <c r="D64" i="31"/>
  <c r="D94" i="30"/>
  <c r="F94" i="30" s="1"/>
  <c r="D32" i="30"/>
  <c r="D31" i="30"/>
  <c r="D93" i="30"/>
  <c r="F93" i="30" s="1"/>
  <c r="D92" i="30"/>
  <c r="F92" i="30" s="1"/>
  <c r="D30" i="30"/>
  <c r="D29" i="30"/>
  <c r="D91" i="30"/>
  <c r="F91" i="30" s="1"/>
  <c r="D90" i="30"/>
  <c r="F90" i="30" s="1"/>
  <c r="D28" i="30"/>
  <c r="D27" i="30"/>
  <c r="D89" i="30"/>
  <c r="F89" i="30" s="1"/>
  <c r="D88" i="30"/>
  <c r="F88" i="30" s="1"/>
  <c r="D26" i="30"/>
  <c r="D25" i="30"/>
  <c r="D87" i="30"/>
  <c r="F87" i="30" s="1"/>
  <c r="D86" i="30"/>
  <c r="F86" i="30" s="1"/>
  <c r="D24" i="30"/>
  <c r="D23" i="30"/>
  <c r="D85" i="30"/>
  <c r="F85" i="30" s="1"/>
  <c r="D84" i="30"/>
  <c r="F84" i="30" s="1"/>
  <c r="D22" i="30"/>
  <c r="D21" i="30"/>
  <c r="D83" i="30"/>
  <c r="F83" i="30" s="1"/>
  <c r="D82" i="30"/>
  <c r="F82" i="30" s="1"/>
  <c r="D20" i="30"/>
  <c r="D19" i="30"/>
  <c r="D81" i="30"/>
  <c r="F81" i="30" s="1"/>
  <c r="D80" i="30"/>
  <c r="F80" i="30" s="1"/>
  <c r="D18" i="30"/>
  <c r="D17" i="30"/>
  <c r="D79" i="30"/>
  <c r="F79" i="30" s="1"/>
  <c r="D78" i="30"/>
  <c r="F78" i="30" s="1"/>
  <c r="D16" i="30"/>
  <c r="D15" i="30"/>
  <c r="D77" i="30"/>
  <c r="F77" i="30" s="1"/>
  <c r="D76" i="30"/>
  <c r="F76" i="30" s="1"/>
  <c r="D14" i="30"/>
  <c r="D13" i="30"/>
  <c r="D75" i="30"/>
  <c r="F75" i="30" s="1"/>
  <c r="D74" i="30"/>
  <c r="F74" i="30" s="1"/>
  <c r="D12" i="30"/>
  <c r="D11" i="30"/>
  <c r="D73" i="30"/>
  <c r="F73" i="30" s="1"/>
  <c r="D72" i="30"/>
  <c r="F72" i="30" s="1"/>
  <c r="D10" i="30"/>
  <c r="D9" i="30"/>
  <c r="D71" i="30"/>
  <c r="F71" i="30" s="1"/>
  <c r="D70" i="30"/>
  <c r="F70" i="30" s="1"/>
  <c r="D8" i="30"/>
  <c r="D7" i="30"/>
  <c r="D69" i="30"/>
  <c r="F69" i="30" s="1"/>
  <c r="D68" i="30"/>
  <c r="F68" i="30" s="1"/>
  <c r="D6" i="30"/>
  <c r="D5" i="30"/>
  <c r="D67" i="30"/>
  <c r="F67" i="30" s="1"/>
  <c r="D64" i="30"/>
  <c r="D94" i="29"/>
  <c r="F94" i="29" s="1"/>
  <c r="D32" i="29"/>
  <c r="D31" i="29"/>
  <c r="D93" i="29"/>
  <c r="F93" i="29" s="1"/>
  <c r="D92" i="29"/>
  <c r="F92" i="29" s="1"/>
  <c r="D30" i="29"/>
  <c r="D29" i="29"/>
  <c r="D91" i="29"/>
  <c r="F91" i="29" s="1"/>
  <c r="D90" i="29"/>
  <c r="F90" i="29" s="1"/>
  <c r="D28" i="29"/>
  <c r="D27" i="29"/>
  <c r="D89" i="29"/>
  <c r="F89" i="29" s="1"/>
  <c r="D88" i="29"/>
  <c r="F88" i="29" s="1"/>
  <c r="D26" i="29"/>
  <c r="D25" i="29"/>
  <c r="D87" i="29"/>
  <c r="F87" i="29" s="1"/>
  <c r="D86" i="29"/>
  <c r="F86" i="29" s="1"/>
  <c r="D24" i="29"/>
  <c r="D23" i="29"/>
  <c r="D85" i="29"/>
  <c r="F85" i="29" s="1"/>
  <c r="D84" i="29"/>
  <c r="F84" i="29" s="1"/>
  <c r="D22" i="29"/>
  <c r="D21" i="29"/>
  <c r="D83" i="29"/>
  <c r="F83" i="29" s="1"/>
  <c r="D82" i="29"/>
  <c r="F82" i="29" s="1"/>
  <c r="D20" i="29"/>
  <c r="D19" i="29"/>
  <c r="D81" i="29"/>
  <c r="F81" i="29" s="1"/>
  <c r="D80" i="29"/>
  <c r="F80" i="29" s="1"/>
  <c r="D18" i="29"/>
  <c r="D17" i="29"/>
  <c r="D79" i="29"/>
  <c r="F79" i="29" s="1"/>
  <c r="D78" i="29"/>
  <c r="F78" i="29" s="1"/>
  <c r="D16" i="29"/>
  <c r="D15" i="29"/>
  <c r="D77" i="29"/>
  <c r="F77" i="29" s="1"/>
  <c r="D76" i="29"/>
  <c r="F76" i="29" s="1"/>
  <c r="D14" i="29"/>
  <c r="D13" i="29"/>
  <c r="D75" i="29"/>
  <c r="F75" i="29" s="1"/>
  <c r="D74" i="29"/>
  <c r="F74" i="29" s="1"/>
  <c r="D12" i="29"/>
  <c r="D11" i="29"/>
  <c r="D73" i="29"/>
  <c r="F73" i="29" s="1"/>
  <c r="D72" i="29"/>
  <c r="F72" i="29" s="1"/>
  <c r="D10" i="29"/>
  <c r="D9" i="29"/>
  <c r="D71" i="29"/>
  <c r="F71" i="29" s="1"/>
  <c r="D70" i="29"/>
  <c r="F70" i="29" s="1"/>
  <c r="D8" i="29"/>
  <c r="D7" i="29"/>
  <c r="D69" i="29"/>
  <c r="F69" i="29" s="1"/>
  <c r="D68" i="29"/>
  <c r="F68" i="29" s="1"/>
  <c r="D6" i="29"/>
  <c r="D5" i="29"/>
  <c r="D67" i="29"/>
  <c r="F67" i="29" s="1"/>
  <c r="D64" i="29"/>
  <c r="D94" i="28"/>
  <c r="F94" i="28" s="1"/>
  <c r="D32" i="28"/>
  <c r="D31" i="28"/>
  <c r="D93" i="28"/>
  <c r="F93" i="28" s="1"/>
  <c r="D92" i="28"/>
  <c r="F92" i="28" s="1"/>
  <c r="D30" i="28"/>
  <c r="D29" i="28"/>
  <c r="D91" i="28"/>
  <c r="F91" i="28" s="1"/>
  <c r="D90" i="28"/>
  <c r="F90" i="28" s="1"/>
  <c r="D28" i="28"/>
  <c r="D27" i="28"/>
  <c r="D89" i="28"/>
  <c r="F89" i="28" s="1"/>
  <c r="D88" i="28"/>
  <c r="F88" i="28" s="1"/>
  <c r="D26" i="28"/>
  <c r="D25" i="28"/>
  <c r="D87" i="28"/>
  <c r="F87" i="28" s="1"/>
  <c r="D86" i="28"/>
  <c r="F86" i="28" s="1"/>
  <c r="D24" i="28"/>
  <c r="D23" i="28"/>
  <c r="D85" i="28"/>
  <c r="F85" i="28" s="1"/>
  <c r="D84" i="28"/>
  <c r="F84" i="28" s="1"/>
  <c r="D22" i="28"/>
  <c r="D21" i="28"/>
  <c r="D83" i="28"/>
  <c r="F83" i="28" s="1"/>
  <c r="D82" i="28"/>
  <c r="F82" i="28" s="1"/>
  <c r="D20" i="28"/>
  <c r="D19" i="28"/>
  <c r="D81" i="28"/>
  <c r="F81" i="28" s="1"/>
  <c r="D80" i="28"/>
  <c r="F80" i="28" s="1"/>
  <c r="D18" i="28"/>
  <c r="D17" i="28"/>
  <c r="D79" i="28"/>
  <c r="F79" i="28" s="1"/>
  <c r="D78" i="28"/>
  <c r="F78" i="28" s="1"/>
  <c r="D16" i="28"/>
  <c r="D15" i="28"/>
  <c r="D77" i="28"/>
  <c r="F77" i="28" s="1"/>
  <c r="D76" i="28"/>
  <c r="F76" i="28" s="1"/>
  <c r="D14" i="28"/>
  <c r="D13" i="28"/>
  <c r="D75" i="28"/>
  <c r="F75" i="28" s="1"/>
  <c r="D74" i="28"/>
  <c r="F74" i="28" s="1"/>
  <c r="D12" i="28"/>
  <c r="D11" i="28"/>
  <c r="D73" i="28"/>
  <c r="F73" i="28" s="1"/>
  <c r="D72" i="28"/>
  <c r="F72" i="28" s="1"/>
  <c r="D10" i="28"/>
  <c r="D9" i="28"/>
  <c r="D71" i="28"/>
  <c r="F71" i="28" s="1"/>
  <c r="D70" i="28"/>
  <c r="F70" i="28" s="1"/>
  <c r="D8" i="28"/>
  <c r="D7" i="28"/>
  <c r="D69" i="28"/>
  <c r="F69" i="28" s="1"/>
  <c r="D68" i="28"/>
  <c r="F68" i="28" s="1"/>
  <c r="D6" i="28"/>
  <c r="D5" i="28"/>
  <c r="D67" i="28"/>
  <c r="F67" i="28" s="1"/>
  <c r="D64" i="28"/>
  <c r="D94" i="27"/>
  <c r="F94" i="27" s="1"/>
  <c r="D32" i="27"/>
  <c r="D31" i="27"/>
  <c r="D93" i="27"/>
  <c r="F93" i="27" s="1"/>
  <c r="D92" i="27"/>
  <c r="F92" i="27" s="1"/>
  <c r="D30" i="27"/>
  <c r="D29" i="27"/>
  <c r="D91" i="27"/>
  <c r="F91" i="27" s="1"/>
  <c r="D90" i="27"/>
  <c r="F90" i="27" s="1"/>
  <c r="D28" i="27"/>
  <c r="D27" i="27"/>
  <c r="D89" i="27"/>
  <c r="F89" i="27" s="1"/>
  <c r="D88" i="27"/>
  <c r="F88" i="27" s="1"/>
  <c r="D26" i="27"/>
  <c r="D25" i="27"/>
  <c r="D87" i="27"/>
  <c r="F87" i="27" s="1"/>
  <c r="D86" i="27"/>
  <c r="F86" i="27" s="1"/>
  <c r="D24" i="27"/>
  <c r="D23" i="27"/>
  <c r="D85" i="27"/>
  <c r="F85" i="27" s="1"/>
  <c r="D84" i="27"/>
  <c r="F84" i="27" s="1"/>
  <c r="D22" i="27"/>
  <c r="D21" i="27"/>
  <c r="D83" i="27"/>
  <c r="F83" i="27" s="1"/>
  <c r="D82" i="27"/>
  <c r="F82" i="27" s="1"/>
  <c r="D20" i="27"/>
  <c r="D19" i="27"/>
  <c r="D81" i="27"/>
  <c r="F81" i="27" s="1"/>
  <c r="D80" i="27"/>
  <c r="F80" i="27" s="1"/>
  <c r="D18" i="27"/>
  <c r="D17" i="27"/>
  <c r="D79" i="27"/>
  <c r="F79" i="27" s="1"/>
  <c r="D78" i="27"/>
  <c r="F78" i="27" s="1"/>
  <c r="D16" i="27"/>
  <c r="D15" i="27"/>
  <c r="D77" i="27"/>
  <c r="F77" i="27" s="1"/>
  <c r="D76" i="27"/>
  <c r="F76" i="27" s="1"/>
  <c r="D14" i="27"/>
  <c r="D13" i="27"/>
  <c r="D75" i="27"/>
  <c r="F75" i="27" s="1"/>
  <c r="D74" i="27"/>
  <c r="F74" i="27" s="1"/>
  <c r="D12" i="27"/>
  <c r="D11" i="27"/>
  <c r="D73" i="27"/>
  <c r="F73" i="27" s="1"/>
  <c r="D72" i="27"/>
  <c r="F72" i="27" s="1"/>
  <c r="D10" i="27"/>
  <c r="D9" i="27"/>
  <c r="D71" i="27"/>
  <c r="F71" i="27" s="1"/>
  <c r="D70" i="27"/>
  <c r="F70" i="27" s="1"/>
  <c r="D8" i="27"/>
  <c r="D7" i="27"/>
  <c r="D69" i="27"/>
  <c r="F69" i="27" s="1"/>
  <c r="D68" i="27"/>
  <c r="F68" i="27" s="1"/>
  <c r="D6" i="27"/>
  <c r="D5" i="27"/>
  <c r="D67" i="27"/>
  <c r="F67" i="27" s="1"/>
  <c r="D64" i="27"/>
  <c r="D94" i="26"/>
  <c r="F94" i="26" s="1"/>
  <c r="D32" i="26"/>
  <c r="D31" i="26"/>
  <c r="D93" i="26"/>
  <c r="F93" i="26" s="1"/>
  <c r="D92" i="26"/>
  <c r="F92" i="26" s="1"/>
  <c r="D30" i="26"/>
  <c r="D29" i="26"/>
  <c r="D91" i="26"/>
  <c r="F91" i="26" s="1"/>
  <c r="D90" i="26"/>
  <c r="F90" i="26" s="1"/>
  <c r="D28" i="26"/>
  <c r="D27" i="26"/>
  <c r="D89" i="26"/>
  <c r="F89" i="26" s="1"/>
  <c r="D88" i="26"/>
  <c r="F88" i="26" s="1"/>
  <c r="D26" i="26"/>
  <c r="D25" i="26"/>
  <c r="D87" i="26"/>
  <c r="F87" i="26" s="1"/>
  <c r="D86" i="26"/>
  <c r="F86" i="26" s="1"/>
  <c r="D24" i="26"/>
  <c r="D23" i="26"/>
  <c r="D85" i="26"/>
  <c r="F85" i="26" s="1"/>
  <c r="D84" i="26"/>
  <c r="F84" i="26" s="1"/>
  <c r="D22" i="26"/>
  <c r="D21" i="26"/>
  <c r="D83" i="26"/>
  <c r="F83" i="26" s="1"/>
  <c r="D82" i="26"/>
  <c r="F82" i="26" s="1"/>
  <c r="D20" i="26"/>
  <c r="D19" i="26"/>
  <c r="D81" i="26"/>
  <c r="F81" i="26" s="1"/>
  <c r="D80" i="26"/>
  <c r="F80" i="26" s="1"/>
  <c r="D18" i="26"/>
  <c r="D17" i="26"/>
  <c r="D79" i="26"/>
  <c r="F79" i="26" s="1"/>
  <c r="D78" i="26"/>
  <c r="F78" i="26" s="1"/>
  <c r="D16" i="26"/>
  <c r="D15" i="26"/>
  <c r="D77" i="26"/>
  <c r="F77" i="26" s="1"/>
  <c r="D76" i="26"/>
  <c r="F76" i="26" s="1"/>
  <c r="D14" i="26"/>
  <c r="D13" i="26"/>
  <c r="D75" i="26"/>
  <c r="F75" i="26" s="1"/>
  <c r="D74" i="26"/>
  <c r="F74" i="26" s="1"/>
  <c r="D12" i="26"/>
  <c r="D11" i="26"/>
  <c r="D73" i="26"/>
  <c r="F73" i="26" s="1"/>
  <c r="D72" i="26"/>
  <c r="F72" i="26" s="1"/>
  <c r="D10" i="26"/>
  <c r="D9" i="26"/>
  <c r="D71" i="26"/>
  <c r="F71" i="26" s="1"/>
  <c r="D70" i="26"/>
  <c r="F70" i="26" s="1"/>
  <c r="D8" i="26"/>
  <c r="D7" i="26"/>
  <c r="D69" i="26"/>
  <c r="F69" i="26" s="1"/>
  <c r="D68" i="26"/>
  <c r="F68" i="26" s="1"/>
  <c r="D6" i="26"/>
  <c r="D5" i="26"/>
  <c r="D67" i="26"/>
  <c r="F67" i="26" s="1"/>
  <c r="D64" i="26"/>
  <c r="E118" i="36"/>
  <c r="E118" i="33"/>
  <c r="D118" i="33"/>
  <c r="D31" i="25"/>
  <c r="D93" i="25"/>
  <c r="F93" i="25" s="1"/>
  <c r="D29" i="25"/>
  <c r="D91" i="25"/>
  <c r="F91" i="25" s="1"/>
  <c r="D27" i="25"/>
  <c r="D89" i="25"/>
  <c r="F89" i="25" s="1"/>
  <c r="D25" i="25"/>
  <c r="D87" i="25"/>
  <c r="F87" i="25" s="1"/>
  <c r="D23" i="25"/>
  <c r="D85" i="25"/>
  <c r="F85" i="25" s="1"/>
  <c r="D21" i="25"/>
  <c r="D83" i="25"/>
  <c r="F83" i="25" s="1"/>
  <c r="D19" i="25"/>
  <c r="D81" i="25"/>
  <c r="F81" i="25" s="1"/>
  <c r="D17" i="25"/>
  <c r="D79" i="25"/>
  <c r="F79" i="25" s="1"/>
  <c r="D15" i="25"/>
  <c r="D77" i="25"/>
  <c r="F77" i="25" s="1"/>
  <c r="D13" i="25"/>
  <c r="D75" i="25"/>
  <c r="F75" i="25" s="1"/>
  <c r="D11" i="25"/>
  <c r="D73" i="25"/>
  <c r="F73" i="25" s="1"/>
  <c r="D9" i="25"/>
  <c r="D71" i="25"/>
  <c r="F71" i="25" s="1"/>
  <c r="D7" i="25"/>
  <c r="D69" i="25"/>
  <c r="F69" i="25" s="1"/>
  <c r="D5" i="25"/>
  <c r="D33" i="25" s="1"/>
  <c r="D67" i="25"/>
  <c r="F67" i="25" s="1"/>
  <c r="D64" i="25"/>
  <c r="E64" i="25"/>
  <c r="D118" i="25"/>
  <c r="E64" i="24"/>
  <c r="D118" i="24"/>
  <c r="E64" i="23"/>
  <c r="D118" i="23"/>
  <c r="E64" i="22"/>
  <c r="D118" i="22"/>
  <c r="E64" i="21"/>
  <c r="D118" i="21"/>
  <c r="D118" i="8"/>
  <c r="E64" i="8"/>
  <c r="E105" i="7"/>
  <c r="E95" i="7"/>
  <c r="D118" i="6"/>
  <c r="E64" i="6"/>
  <c r="E105" i="5"/>
  <c r="E95" i="5"/>
  <c r="D118" i="4"/>
  <c r="E64" i="4"/>
  <c r="E105" i="3"/>
  <c r="E95" i="3"/>
  <c r="D118" i="59"/>
  <c r="E64" i="59"/>
  <c r="M62" i="63" s="1"/>
  <c r="E105" i="1"/>
  <c r="E95" i="1"/>
  <c r="D118" i="56"/>
  <c r="E64" i="56"/>
  <c r="D13" i="20"/>
  <c r="D75" i="20"/>
  <c r="F75" i="20" s="1"/>
  <c r="D73" i="20"/>
  <c r="F73" i="20" s="1"/>
  <c r="D11" i="20"/>
  <c r="D9" i="20"/>
  <c r="D71" i="20"/>
  <c r="F71" i="20" s="1"/>
  <c r="D69" i="20"/>
  <c r="F69" i="20" s="1"/>
  <c r="D7" i="20"/>
  <c r="D64" i="20"/>
  <c r="D5" i="20"/>
  <c r="D67" i="20"/>
  <c r="F67" i="20" s="1"/>
  <c r="D77" i="20"/>
  <c r="F77" i="20" s="1"/>
  <c r="D15" i="20"/>
  <c r="D17" i="20"/>
  <c r="D79" i="20"/>
  <c r="F79" i="20" s="1"/>
  <c r="D81" i="20"/>
  <c r="F81" i="20" s="1"/>
  <c r="D19" i="20"/>
  <c r="D21" i="20"/>
  <c r="D83" i="20"/>
  <c r="F83" i="20" s="1"/>
  <c r="D85" i="20"/>
  <c r="F85" i="20" s="1"/>
  <c r="D23" i="20"/>
  <c r="D25" i="20"/>
  <c r="D87" i="20"/>
  <c r="F87" i="20" s="1"/>
  <c r="D89" i="20"/>
  <c r="F89" i="20" s="1"/>
  <c r="D27" i="20"/>
  <c r="D29" i="20"/>
  <c r="D91" i="20"/>
  <c r="F91" i="20" s="1"/>
  <c r="D93" i="20"/>
  <c r="F93" i="20" s="1"/>
  <c r="D31" i="20"/>
  <c r="E95" i="20"/>
  <c r="E105" i="20"/>
  <c r="E118" i="20"/>
  <c r="D31" i="19"/>
  <c r="D93" i="19"/>
  <c r="F93" i="19" s="1"/>
  <c r="D29" i="19"/>
  <c r="D91" i="19"/>
  <c r="F91" i="19" s="1"/>
  <c r="D27" i="19"/>
  <c r="D89" i="19"/>
  <c r="F89" i="19" s="1"/>
  <c r="D25" i="19"/>
  <c r="D87" i="19"/>
  <c r="F87" i="19" s="1"/>
  <c r="D23" i="19"/>
  <c r="D85" i="19"/>
  <c r="F85" i="19" s="1"/>
  <c r="D21" i="19"/>
  <c r="D83" i="19"/>
  <c r="F83" i="19" s="1"/>
  <c r="D19" i="19"/>
  <c r="D81" i="19"/>
  <c r="F81" i="19" s="1"/>
  <c r="D17" i="19"/>
  <c r="D79" i="19"/>
  <c r="F79" i="19" s="1"/>
  <c r="D15" i="19"/>
  <c r="D77" i="19"/>
  <c r="F77" i="19" s="1"/>
  <c r="D13" i="19"/>
  <c r="D75" i="19"/>
  <c r="F75" i="19" s="1"/>
  <c r="D11" i="19"/>
  <c r="D73" i="19"/>
  <c r="F73" i="19" s="1"/>
  <c r="D9" i="19"/>
  <c r="D71" i="19"/>
  <c r="F71" i="19" s="1"/>
  <c r="D7" i="19"/>
  <c r="D69" i="19"/>
  <c r="F69" i="19" s="1"/>
  <c r="D5" i="19"/>
  <c r="D67" i="19"/>
  <c r="F67" i="19" s="1"/>
  <c r="D64" i="19"/>
  <c r="E95" i="19"/>
  <c r="E105" i="19"/>
  <c r="E118" i="19"/>
  <c r="D31" i="18"/>
  <c r="D93" i="18"/>
  <c r="F93" i="18" s="1"/>
  <c r="D29" i="18"/>
  <c r="D91" i="18"/>
  <c r="F91" i="18" s="1"/>
  <c r="D27" i="18"/>
  <c r="D89" i="18"/>
  <c r="F89" i="18" s="1"/>
  <c r="D25" i="18"/>
  <c r="D87" i="18"/>
  <c r="F87" i="18" s="1"/>
  <c r="D23" i="18"/>
  <c r="D85" i="18"/>
  <c r="F85" i="18" s="1"/>
  <c r="D21" i="18"/>
  <c r="D83" i="18"/>
  <c r="F83" i="18" s="1"/>
  <c r="D19" i="18"/>
  <c r="D81" i="18"/>
  <c r="F81" i="18" s="1"/>
  <c r="D17" i="18"/>
  <c r="D79" i="18"/>
  <c r="F79" i="18" s="1"/>
  <c r="D15" i="18"/>
  <c r="D77" i="18"/>
  <c r="F77" i="18" s="1"/>
  <c r="D13" i="18"/>
  <c r="D75" i="18"/>
  <c r="F75" i="18" s="1"/>
  <c r="D11" i="18"/>
  <c r="D73" i="18"/>
  <c r="F73" i="18" s="1"/>
  <c r="D9" i="18"/>
  <c r="D71" i="18"/>
  <c r="D7" i="18"/>
  <c r="D69" i="18"/>
  <c r="F69" i="18" s="1"/>
  <c r="D5" i="18"/>
  <c r="D67" i="18"/>
  <c r="F67" i="18" s="1"/>
  <c r="D64" i="18"/>
  <c r="E95" i="18"/>
  <c r="E105" i="18"/>
  <c r="E118" i="18"/>
  <c r="D31" i="17"/>
  <c r="D93" i="17"/>
  <c r="F93" i="17" s="1"/>
  <c r="D29" i="17"/>
  <c r="D91" i="17"/>
  <c r="F91" i="17" s="1"/>
  <c r="D27" i="17"/>
  <c r="D89" i="17"/>
  <c r="F89" i="17" s="1"/>
  <c r="D25" i="17"/>
  <c r="D87" i="17"/>
  <c r="F87" i="17" s="1"/>
  <c r="D23" i="17"/>
  <c r="D85" i="17"/>
  <c r="F85" i="17" s="1"/>
  <c r="D21" i="17"/>
  <c r="D83" i="17"/>
  <c r="F83" i="17" s="1"/>
  <c r="D19" i="17"/>
  <c r="D81" i="17"/>
  <c r="F81" i="17" s="1"/>
  <c r="D17" i="17"/>
  <c r="D79" i="17"/>
  <c r="F79" i="17" s="1"/>
  <c r="D15" i="17"/>
  <c r="D77" i="17"/>
  <c r="F77" i="17" s="1"/>
  <c r="D13" i="17"/>
  <c r="D75" i="17"/>
  <c r="F75" i="17" s="1"/>
  <c r="D11" i="17"/>
  <c r="D73" i="17"/>
  <c r="F73" i="17" s="1"/>
  <c r="D9" i="17"/>
  <c r="D71" i="17"/>
  <c r="F71" i="17" s="1"/>
  <c r="D7" i="17"/>
  <c r="D69" i="17"/>
  <c r="F69" i="17" s="1"/>
  <c r="D5" i="17"/>
  <c r="D67" i="17"/>
  <c r="F67" i="17" s="1"/>
  <c r="D64" i="17"/>
  <c r="E95" i="17"/>
  <c r="E105" i="17"/>
  <c r="E118" i="17"/>
  <c r="D31" i="16"/>
  <c r="D93" i="16"/>
  <c r="F93" i="16" s="1"/>
  <c r="D29" i="16"/>
  <c r="D91" i="16"/>
  <c r="F91" i="16" s="1"/>
  <c r="D27" i="16"/>
  <c r="D89" i="16"/>
  <c r="F89" i="16" s="1"/>
  <c r="D25" i="16"/>
  <c r="D87" i="16"/>
  <c r="F87" i="16" s="1"/>
  <c r="D23" i="16"/>
  <c r="D85" i="16"/>
  <c r="F85" i="16" s="1"/>
  <c r="D21" i="16"/>
  <c r="D83" i="16"/>
  <c r="F83" i="16" s="1"/>
  <c r="D19" i="16"/>
  <c r="D81" i="16"/>
  <c r="F81" i="16" s="1"/>
  <c r="D17" i="16"/>
  <c r="D79" i="16"/>
  <c r="F79" i="16" s="1"/>
  <c r="D15" i="16"/>
  <c r="D77" i="16"/>
  <c r="F77" i="16" s="1"/>
  <c r="D13" i="16"/>
  <c r="D75" i="16"/>
  <c r="F75" i="16" s="1"/>
  <c r="D11" i="16"/>
  <c r="D73" i="16"/>
  <c r="F73" i="16" s="1"/>
  <c r="D9" i="16"/>
  <c r="D71" i="16"/>
  <c r="F71" i="16" s="1"/>
  <c r="D7" i="16"/>
  <c r="D69" i="16"/>
  <c r="F69" i="16" s="1"/>
  <c r="D5" i="16"/>
  <c r="D67" i="16"/>
  <c r="F67" i="16" s="1"/>
  <c r="D64" i="16"/>
  <c r="E95" i="16"/>
  <c r="E105" i="16"/>
  <c r="D31" i="15"/>
  <c r="D93" i="15"/>
  <c r="F93" i="15" s="1"/>
  <c r="D29" i="15"/>
  <c r="D91" i="15"/>
  <c r="F91" i="15" s="1"/>
  <c r="D27" i="15"/>
  <c r="D89" i="15"/>
  <c r="F89" i="15" s="1"/>
  <c r="D25" i="15"/>
  <c r="D87" i="15"/>
  <c r="F87" i="15" s="1"/>
  <c r="D23" i="15"/>
  <c r="D85" i="15"/>
  <c r="F85" i="15" s="1"/>
  <c r="D21" i="15"/>
  <c r="D83" i="15"/>
  <c r="F83" i="15" s="1"/>
  <c r="D19" i="15"/>
  <c r="D81" i="15"/>
  <c r="F81" i="15" s="1"/>
  <c r="D17" i="15"/>
  <c r="D79" i="15"/>
  <c r="F79" i="15" s="1"/>
  <c r="D15" i="15"/>
  <c r="D77" i="15"/>
  <c r="F77" i="15" s="1"/>
  <c r="D13" i="15"/>
  <c r="D75" i="15"/>
  <c r="F75" i="15" s="1"/>
  <c r="D11" i="15"/>
  <c r="D73" i="15"/>
  <c r="F73" i="15" s="1"/>
  <c r="D9" i="15"/>
  <c r="D71" i="15"/>
  <c r="F71" i="15" s="1"/>
  <c r="D7" i="15"/>
  <c r="D69" i="15"/>
  <c r="F69" i="15" s="1"/>
  <c r="D5" i="15"/>
  <c r="D67" i="15"/>
  <c r="F67" i="15" s="1"/>
  <c r="D64" i="15"/>
  <c r="F64" i="15" s="1"/>
  <c r="E95" i="15"/>
  <c r="C109" i="15" s="1"/>
  <c r="F109" i="15" s="1"/>
  <c r="E105" i="15"/>
  <c r="D31" i="14"/>
  <c r="D93" i="14"/>
  <c r="F93" i="14" s="1"/>
  <c r="D29" i="14"/>
  <c r="D91" i="14"/>
  <c r="F91" i="14" s="1"/>
  <c r="D27" i="14"/>
  <c r="D89" i="14"/>
  <c r="F89" i="14" s="1"/>
  <c r="D25" i="14"/>
  <c r="D87" i="14"/>
  <c r="F87" i="14" s="1"/>
  <c r="D23" i="14"/>
  <c r="D85" i="14"/>
  <c r="F85" i="14" s="1"/>
  <c r="D21" i="14"/>
  <c r="D83" i="14"/>
  <c r="F83" i="14" s="1"/>
  <c r="D19" i="14"/>
  <c r="D81" i="14"/>
  <c r="F81" i="14" s="1"/>
  <c r="D17" i="14"/>
  <c r="D79" i="14"/>
  <c r="F79" i="14" s="1"/>
  <c r="D15" i="14"/>
  <c r="D77" i="14"/>
  <c r="F77" i="14" s="1"/>
  <c r="D13" i="14"/>
  <c r="D75" i="14"/>
  <c r="F75" i="14" s="1"/>
  <c r="D11" i="14"/>
  <c r="D73" i="14"/>
  <c r="F73" i="14" s="1"/>
  <c r="D9" i="14"/>
  <c r="D71" i="14"/>
  <c r="F71" i="14" s="1"/>
  <c r="D7" i="14"/>
  <c r="D69" i="14"/>
  <c r="F69" i="14" s="1"/>
  <c r="D5" i="14"/>
  <c r="D67" i="14"/>
  <c r="F67" i="14" s="1"/>
  <c r="D64" i="14"/>
  <c r="E95" i="14"/>
  <c r="E105" i="14"/>
  <c r="E118" i="14"/>
  <c r="D31" i="13"/>
  <c r="D93" i="13"/>
  <c r="F93" i="13" s="1"/>
  <c r="D29" i="13"/>
  <c r="D91" i="13"/>
  <c r="F91" i="13" s="1"/>
  <c r="D27" i="13"/>
  <c r="D89" i="13"/>
  <c r="F89" i="13" s="1"/>
  <c r="D25" i="13"/>
  <c r="D87" i="13"/>
  <c r="F87" i="13" s="1"/>
  <c r="D23" i="13"/>
  <c r="D85" i="13"/>
  <c r="F85" i="13" s="1"/>
  <c r="D21" i="13"/>
  <c r="D83" i="13"/>
  <c r="F83" i="13" s="1"/>
  <c r="D19" i="13"/>
  <c r="D81" i="13"/>
  <c r="F81" i="13" s="1"/>
  <c r="D17" i="13"/>
  <c r="D79" i="13"/>
  <c r="F79" i="13" s="1"/>
  <c r="D15" i="13"/>
  <c r="D77" i="13"/>
  <c r="F77" i="13" s="1"/>
  <c r="D13" i="13"/>
  <c r="D75" i="13"/>
  <c r="F75" i="13" s="1"/>
  <c r="D11" i="13"/>
  <c r="D73" i="13"/>
  <c r="F73" i="13" s="1"/>
  <c r="D9" i="13"/>
  <c r="D71" i="13"/>
  <c r="D7" i="13"/>
  <c r="D69" i="13"/>
  <c r="F69" i="13" s="1"/>
  <c r="D5" i="13"/>
  <c r="D67" i="13"/>
  <c r="F67" i="13" s="1"/>
  <c r="D64" i="13"/>
  <c r="E95" i="13"/>
  <c r="E105" i="13"/>
  <c r="E118" i="13"/>
  <c r="D31" i="12"/>
  <c r="D93" i="12"/>
  <c r="F93" i="12" s="1"/>
  <c r="D29" i="12"/>
  <c r="D91" i="12"/>
  <c r="F91" i="12" s="1"/>
  <c r="D27" i="12"/>
  <c r="D89" i="12"/>
  <c r="F89" i="12" s="1"/>
  <c r="D25" i="12"/>
  <c r="D87" i="12"/>
  <c r="F87" i="12" s="1"/>
  <c r="D23" i="12"/>
  <c r="D85" i="12"/>
  <c r="F85" i="12" s="1"/>
  <c r="D21" i="12"/>
  <c r="D83" i="12"/>
  <c r="F83" i="12" s="1"/>
  <c r="D19" i="12"/>
  <c r="D81" i="12"/>
  <c r="F81" i="12" s="1"/>
  <c r="D17" i="12"/>
  <c r="D79" i="12"/>
  <c r="F79" i="12" s="1"/>
  <c r="D15" i="12"/>
  <c r="D77" i="12"/>
  <c r="F77" i="12" s="1"/>
  <c r="D13" i="12"/>
  <c r="D75" i="12"/>
  <c r="F75" i="12" s="1"/>
  <c r="D11" i="12"/>
  <c r="D73" i="12"/>
  <c r="F73" i="12" s="1"/>
  <c r="D9" i="12"/>
  <c r="D71" i="12"/>
  <c r="F71" i="12" s="1"/>
  <c r="D7" i="12"/>
  <c r="D69" i="12"/>
  <c r="F69" i="12" s="1"/>
  <c r="D5" i="12"/>
  <c r="D67" i="12"/>
  <c r="F67" i="12" s="1"/>
  <c r="D64" i="12"/>
  <c r="F64" i="12" s="1"/>
  <c r="E95" i="12"/>
  <c r="C109" i="12" s="1"/>
  <c r="F109" i="12" s="1"/>
  <c r="E105" i="12"/>
  <c r="D31" i="11"/>
  <c r="D93" i="11"/>
  <c r="F93" i="11" s="1"/>
  <c r="D29" i="11"/>
  <c r="D91" i="11"/>
  <c r="F91" i="11" s="1"/>
  <c r="D27" i="11"/>
  <c r="D89" i="11"/>
  <c r="F89" i="11" s="1"/>
  <c r="D25" i="11"/>
  <c r="D87" i="11"/>
  <c r="F87" i="11" s="1"/>
  <c r="D23" i="11"/>
  <c r="D85" i="11"/>
  <c r="F85" i="11" s="1"/>
  <c r="D21" i="11"/>
  <c r="D83" i="11"/>
  <c r="F83" i="11" s="1"/>
  <c r="D19" i="11"/>
  <c r="D81" i="11"/>
  <c r="F81" i="11" s="1"/>
  <c r="D17" i="11"/>
  <c r="D79" i="11"/>
  <c r="F79" i="11" s="1"/>
  <c r="D15" i="11"/>
  <c r="D77" i="11"/>
  <c r="F77" i="11" s="1"/>
  <c r="D13" i="11"/>
  <c r="D75" i="11"/>
  <c r="F75" i="11" s="1"/>
  <c r="D11" i="11"/>
  <c r="D73" i="11"/>
  <c r="F73" i="11" s="1"/>
  <c r="D9" i="11"/>
  <c r="D71" i="11"/>
  <c r="F71" i="11" s="1"/>
  <c r="D7" i="11"/>
  <c r="D69" i="11"/>
  <c r="F69" i="11" s="1"/>
  <c r="D5" i="11"/>
  <c r="D67" i="11"/>
  <c r="F67" i="11" s="1"/>
  <c r="D64" i="11"/>
  <c r="E95" i="11"/>
  <c r="E105" i="11"/>
  <c r="E118" i="11"/>
  <c r="D31" i="10"/>
  <c r="D93" i="10"/>
  <c r="F93" i="10" s="1"/>
  <c r="D29" i="10"/>
  <c r="D91" i="10"/>
  <c r="F91" i="10" s="1"/>
  <c r="D27" i="10"/>
  <c r="D89" i="10"/>
  <c r="F89" i="10" s="1"/>
  <c r="D25" i="10"/>
  <c r="D87" i="10"/>
  <c r="F87" i="10" s="1"/>
  <c r="D23" i="10"/>
  <c r="D85" i="10"/>
  <c r="F85" i="10" s="1"/>
  <c r="D21" i="10"/>
  <c r="D83" i="10"/>
  <c r="F83" i="10" s="1"/>
  <c r="D19" i="10"/>
  <c r="D81" i="10"/>
  <c r="F81" i="10" s="1"/>
  <c r="D17" i="10"/>
  <c r="D79" i="10"/>
  <c r="F79" i="10" s="1"/>
  <c r="D15" i="10"/>
  <c r="D77" i="10"/>
  <c r="F77" i="10" s="1"/>
  <c r="D13" i="10"/>
  <c r="D75" i="10"/>
  <c r="F75" i="10" s="1"/>
  <c r="D11" i="10"/>
  <c r="D73" i="10"/>
  <c r="F73" i="10" s="1"/>
  <c r="D9" i="10"/>
  <c r="D71" i="10"/>
  <c r="F71" i="10" s="1"/>
  <c r="D7" i="10"/>
  <c r="D69" i="10"/>
  <c r="F69" i="10" s="1"/>
  <c r="D5" i="10"/>
  <c r="D67" i="10"/>
  <c r="F67" i="10" s="1"/>
  <c r="D64" i="10"/>
  <c r="E95" i="10"/>
  <c r="E105" i="10"/>
  <c r="E118" i="10"/>
  <c r="D31" i="9"/>
  <c r="D93" i="9"/>
  <c r="F93" i="9" s="1"/>
  <c r="D91" i="9"/>
  <c r="F91" i="9" s="1"/>
  <c r="D29" i="9"/>
  <c r="D27" i="9"/>
  <c r="D89" i="9"/>
  <c r="F89" i="9" s="1"/>
  <c r="D87" i="9"/>
  <c r="F87" i="9" s="1"/>
  <c r="D25" i="9"/>
  <c r="D23" i="9"/>
  <c r="D85" i="9"/>
  <c r="F85" i="9" s="1"/>
  <c r="D83" i="9"/>
  <c r="F83" i="9" s="1"/>
  <c r="D21" i="9"/>
  <c r="D82" i="9"/>
  <c r="F82" i="9" s="1"/>
  <c r="D20" i="9"/>
  <c r="D19" i="9"/>
  <c r="D81" i="9"/>
  <c r="F81" i="9" s="1"/>
  <c r="D80" i="9"/>
  <c r="F80" i="9" s="1"/>
  <c r="D18" i="9"/>
  <c r="D79" i="9"/>
  <c r="F79" i="9" s="1"/>
  <c r="D17" i="9"/>
  <c r="D78" i="9"/>
  <c r="F78" i="9" s="1"/>
  <c r="D16" i="9"/>
  <c r="D15" i="9"/>
  <c r="D77" i="9"/>
  <c r="F77" i="9" s="1"/>
  <c r="D76" i="9"/>
  <c r="F76" i="9" s="1"/>
  <c r="D14" i="9"/>
  <c r="D75" i="9"/>
  <c r="F75" i="9" s="1"/>
  <c r="D13" i="9"/>
  <c r="D74" i="9"/>
  <c r="F74" i="9" s="1"/>
  <c r="D12" i="9"/>
  <c r="D11" i="9"/>
  <c r="D73" i="9"/>
  <c r="F73" i="9" s="1"/>
  <c r="D72" i="9"/>
  <c r="F72" i="9" s="1"/>
  <c r="D10" i="9"/>
  <c r="D71" i="9"/>
  <c r="F71" i="9" s="1"/>
  <c r="D9" i="9"/>
  <c r="D70" i="9"/>
  <c r="F70" i="9" s="1"/>
  <c r="D8" i="9"/>
  <c r="D7" i="9"/>
  <c r="D69" i="9"/>
  <c r="F69" i="9" s="1"/>
  <c r="D68" i="9"/>
  <c r="F68" i="9" s="1"/>
  <c r="D6" i="9"/>
  <c r="D67" i="9"/>
  <c r="F67" i="9" s="1"/>
  <c r="D5" i="9"/>
  <c r="D64" i="9"/>
  <c r="E95" i="9"/>
  <c r="E105" i="9"/>
  <c r="E118" i="9"/>
  <c r="D94" i="8"/>
  <c r="F94" i="8" s="1"/>
  <c r="D32" i="8"/>
  <c r="D31" i="8"/>
  <c r="D93" i="8"/>
  <c r="F93" i="8" s="1"/>
  <c r="D92" i="8"/>
  <c r="F92" i="8" s="1"/>
  <c r="D30" i="8"/>
  <c r="D29" i="8"/>
  <c r="D91" i="8"/>
  <c r="F91" i="8" s="1"/>
  <c r="D90" i="8"/>
  <c r="F90" i="8" s="1"/>
  <c r="D28" i="8"/>
  <c r="D27" i="8"/>
  <c r="D89" i="8"/>
  <c r="F89" i="8" s="1"/>
  <c r="D88" i="8"/>
  <c r="F88" i="8" s="1"/>
  <c r="D26" i="8"/>
  <c r="D25" i="8"/>
  <c r="D87" i="8"/>
  <c r="F87" i="8" s="1"/>
  <c r="D86" i="8"/>
  <c r="F86" i="8" s="1"/>
  <c r="D24" i="8"/>
  <c r="D23" i="8"/>
  <c r="D85" i="8"/>
  <c r="F85" i="8" s="1"/>
  <c r="D84" i="8"/>
  <c r="F84" i="8" s="1"/>
  <c r="D22" i="8"/>
  <c r="D21" i="8"/>
  <c r="D83" i="8"/>
  <c r="F83" i="8" s="1"/>
  <c r="D82" i="8"/>
  <c r="F82" i="8" s="1"/>
  <c r="D20" i="8"/>
  <c r="D19" i="8"/>
  <c r="D81" i="8"/>
  <c r="F81" i="8" s="1"/>
  <c r="D80" i="8"/>
  <c r="F80" i="8" s="1"/>
  <c r="D18" i="8"/>
  <c r="D17" i="8"/>
  <c r="D79" i="8"/>
  <c r="F79" i="8" s="1"/>
  <c r="D78" i="8"/>
  <c r="F78" i="8" s="1"/>
  <c r="D16" i="8"/>
  <c r="D15" i="8"/>
  <c r="D77" i="8"/>
  <c r="F77" i="8" s="1"/>
  <c r="D76" i="8"/>
  <c r="F76" i="8" s="1"/>
  <c r="D14" i="8"/>
  <c r="D13" i="8"/>
  <c r="D75" i="8"/>
  <c r="F75" i="8" s="1"/>
  <c r="D74" i="8"/>
  <c r="D12" i="8"/>
  <c r="D11" i="8"/>
  <c r="D73" i="8"/>
  <c r="F73" i="8" s="1"/>
  <c r="D72" i="8"/>
  <c r="F72" i="8" s="1"/>
  <c r="D10" i="8"/>
  <c r="D9" i="8"/>
  <c r="D71" i="8"/>
  <c r="F71" i="8" s="1"/>
  <c r="D70" i="8"/>
  <c r="F70" i="8" s="1"/>
  <c r="D8" i="8"/>
  <c r="D7" i="8"/>
  <c r="D69" i="8"/>
  <c r="F69" i="8" s="1"/>
  <c r="D68" i="8"/>
  <c r="F68" i="8" s="1"/>
  <c r="D6" i="8"/>
  <c r="D5" i="8"/>
  <c r="D67" i="8"/>
  <c r="F67" i="8" s="1"/>
  <c r="D64" i="8"/>
  <c r="D94" i="7"/>
  <c r="F94" i="7" s="1"/>
  <c r="D32" i="7"/>
  <c r="D31" i="7"/>
  <c r="D93" i="7"/>
  <c r="F93" i="7" s="1"/>
  <c r="D92" i="7"/>
  <c r="F92" i="7" s="1"/>
  <c r="D30" i="7"/>
  <c r="D29" i="7"/>
  <c r="D91" i="7"/>
  <c r="F91" i="7" s="1"/>
  <c r="D90" i="7"/>
  <c r="F90" i="7" s="1"/>
  <c r="D28" i="7"/>
  <c r="D27" i="7"/>
  <c r="D89" i="7"/>
  <c r="F89" i="7" s="1"/>
  <c r="D88" i="7"/>
  <c r="F88" i="7" s="1"/>
  <c r="D26" i="7"/>
  <c r="D25" i="7"/>
  <c r="D87" i="7"/>
  <c r="F87" i="7" s="1"/>
  <c r="D86" i="7"/>
  <c r="F86" i="7" s="1"/>
  <c r="D24" i="7"/>
  <c r="D23" i="7"/>
  <c r="D85" i="7"/>
  <c r="F85" i="7" s="1"/>
  <c r="D84" i="7"/>
  <c r="F84" i="7" s="1"/>
  <c r="D22" i="7"/>
  <c r="D21" i="7"/>
  <c r="D83" i="7"/>
  <c r="F83" i="7" s="1"/>
  <c r="D82" i="7"/>
  <c r="F82" i="7" s="1"/>
  <c r="D20" i="7"/>
  <c r="D19" i="7"/>
  <c r="D81" i="7"/>
  <c r="F81" i="7" s="1"/>
  <c r="D80" i="7"/>
  <c r="F80" i="7" s="1"/>
  <c r="D18" i="7"/>
  <c r="D17" i="7"/>
  <c r="D79" i="7"/>
  <c r="F79" i="7" s="1"/>
  <c r="D78" i="7"/>
  <c r="F78" i="7" s="1"/>
  <c r="D16" i="7"/>
  <c r="D15" i="7"/>
  <c r="D77" i="7"/>
  <c r="F77" i="7" s="1"/>
  <c r="D76" i="7"/>
  <c r="F76" i="7" s="1"/>
  <c r="D14" i="7"/>
  <c r="D13" i="7"/>
  <c r="D75" i="7"/>
  <c r="F75" i="7" s="1"/>
  <c r="D74" i="7"/>
  <c r="F74" i="7" s="1"/>
  <c r="D12" i="7"/>
  <c r="D11" i="7"/>
  <c r="D73" i="7"/>
  <c r="F73" i="7" s="1"/>
  <c r="D72" i="7"/>
  <c r="F72" i="7" s="1"/>
  <c r="D10" i="7"/>
  <c r="D9" i="7"/>
  <c r="D71" i="7"/>
  <c r="F71" i="7" s="1"/>
  <c r="D70" i="7"/>
  <c r="F70" i="7" s="1"/>
  <c r="D8" i="7"/>
  <c r="D7" i="7"/>
  <c r="D69" i="7"/>
  <c r="F69" i="7" s="1"/>
  <c r="D68" i="7"/>
  <c r="F68" i="7" s="1"/>
  <c r="D6" i="7"/>
  <c r="D5" i="7"/>
  <c r="D67" i="7"/>
  <c r="F67" i="7" s="1"/>
  <c r="D64" i="7"/>
  <c r="D94" i="6"/>
  <c r="F94" i="6" s="1"/>
  <c r="D32" i="6"/>
  <c r="D31" i="6"/>
  <c r="D93" i="6"/>
  <c r="F93" i="6" s="1"/>
  <c r="D92" i="6"/>
  <c r="F92" i="6" s="1"/>
  <c r="D30" i="6"/>
  <c r="D29" i="6"/>
  <c r="D91" i="6"/>
  <c r="F91" i="6" s="1"/>
  <c r="D90" i="6"/>
  <c r="F90" i="6" s="1"/>
  <c r="D28" i="6"/>
  <c r="D27" i="6"/>
  <c r="D89" i="6"/>
  <c r="F89" i="6" s="1"/>
  <c r="D88" i="6"/>
  <c r="F88" i="6" s="1"/>
  <c r="D26" i="6"/>
  <c r="D25" i="6"/>
  <c r="D87" i="6"/>
  <c r="F87" i="6" s="1"/>
  <c r="D86" i="6"/>
  <c r="F86" i="6" s="1"/>
  <c r="D24" i="6"/>
  <c r="D23" i="6"/>
  <c r="D85" i="6"/>
  <c r="F85" i="6" s="1"/>
  <c r="D84" i="6"/>
  <c r="F84" i="6" s="1"/>
  <c r="D22" i="6"/>
  <c r="D21" i="6"/>
  <c r="D83" i="6"/>
  <c r="F83" i="6" s="1"/>
  <c r="D82" i="6"/>
  <c r="F82" i="6" s="1"/>
  <c r="D20" i="6"/>
  <c r="D19" i="6"/>
  <c r="D81" i="6"/>
  <c r="F81" i="6" s="1"/>
  <c r="D80" i="6"/>
  <c r="F80" i="6" s="1"/>
  <c r="D18" i="6"/>
  <c r="D17" i="6"/>
  <c r="D79" i="6"/>
  <c r="F79" i="6" s="1"/>
  <c r="D78" i="6"/>
  <c r="F78" i="6" s="1"/>
  <c r="D16" i="6"/>
  <c r="D15" i="6"/>
  <c r="D77" i="6"/>
  <c r="F77" i="6" s="1"/>
  <c r="D76" i="6"/>
  <c r="F76" i="6" s="1"/>
  <c r="D14" i="6"/>
  <c r="D13" i="6"/>
  <c r="D75" i="6"/>
  <c r="F75" i="6" s="1"/>
  <c r="D74" i="6"/>
  <c r="F74" i="6" s="1"/>
  <c r="D12" i="6"/>
  <c r="D11" i="6"/>
  <c r="D73" i="6"/>
  <c r="F73" i="6" s="1"/>
  <c r="D72" i="6"/>
  <c r="F72" i="6" s="1"/>
  <c r="D10" i="6"/>
  <c r="D9" i="6"/>
  <c r="D71" i="6"/>
  <c r="D70" i="6"/>
  <c r="F70" i="6" s="1"/>
  <c r="D8" i="6"/>
  <c r="D7" i="6"/>
  <c r="D69" i="6"/>
  <c r="F69" i="6" s="1"/>
  <c r="D68" i="6"/>
  <c r="F68" i="6" s="1"/>
  <c r="D6" i="6"/>
  <c r="D5" i="6"/>
  <c r="D67" i="6"/>
  <c r="F67" i="6" s="1"/>
  <c r="D64" i="6"/>
  <c r="D94" i="5"/>
  <c r="F94" i="5" s="1"/>
  <c r="D32" i="5"/>
  <c r="D31" i="5"/>
  <c r="D93" i="5"/>
  <c r="F93" i="5" s="1"/>
  <c r="D92" i="5"/>
  <c r="F92" i="5" s="1"/>
  <c r="D30" i="5"/>
  <c r="D29" i="5"/>
  <c r="D91" i="5"/>
  <c r="F91" i="5" s="1"/>
  <c r="D90" i="5"/>
  <c r="F90" i="5" s="1"/>
  <c r="D28" i="5"/>
  <c r="D27" i="5"/>
  <c r="D89" i="5"/>
  <c r="F89" i="5" s="1"/>
  <c r="D88" i="5"/>
  <c r="F88" i="5" s="1"/>
  <c r="D26" i="5"/>
  <c r="D25" i="5"/>
  <c r="D87" i="5"/>
  <c r="F87" i="5" s="1"/>
  <c r="D86" i="5"/>
  <c r="F86" i="5" s="1"/>
  <c r="D24" i="5"/>
  <c r="D23" i="5"/>
  <c r="D85" i="5"/>
  <c r="F85" i="5" s="1"/>
  <c r="D84" i="5"/>
  <c r="F84" i="5" s="1"/>
  <c r="D22" i="5"/>
  <c r="D21" i="5"/>
  <c r="D83" i="5"/>
  <c r="F83" i="5" s="1"/>
  <c r="D82" i="5"/>
  <c r="F82" i="5" s="1"/>
  <c r="D20" i="5"/>
  <c r="D19" i="5"/>
  <c r="D81" i="5"/>
  <c r="F81" i="5" s="1"/>
  <c r="D80" i="5"/>
  <c r="F80" i="5" s="1"/>
  <c r="D18" i="5"/>
  <c r="D17" i="5"/>
  <c r="D79" i="5"/>
  <c r="F79" i="5" s="1"/>
  <c r="D78" i="5"/>
  <c r="F78" i="5" s="1"/>
  <c r="D16" i="5"/>
  <c r="D15" i="5"/>
  <c r="D77" i="5"/>
  <c r="F77" i="5" s="1"/>
  <c r="D76" i="5"/>
  <c r="F76" i="5" s="1"/>
  <c r="D14" i="5"/>
  <c r="D13" i="5"/>
  <c r="D75" i="5"/>
  <c r="F75" i="5" s="1"/>
  <c r="D74" i="5"/>
  <c r="F74" i="5" s="1"/>
  <c r="D12" i="5"/>
  <c r="D11" i="5"/>
  <c r="D73" i="5"/>
  <c r="F73" i="5" s="1"/>
  <c r="D72" i="5"/>
  <c r="F72" i="5" s="1"/>
  <c r="D10" i="5"/>
  <c r="D9" i="5"/>
  <c r="D71" i="5"/>
  <c r="D70" i="5"/>
  <c r="F70" i="5" s="1"/>
  <c r="D8" i="5"/>
  <c r="D7" i="5"/>
  <c r="D69" i="5"/>
  <c r="F69" i="5" s="1"/>
  <c r="D68" i="5"/>
  <c r="F68" i="5" s="1"/>
  <c r="D6" i="5"/>
  <c r="D5" i="5"/>
  <c r="D67" i="5"/>
  <c r="F67" i="5" s="1"/>
  <c r="D64" i="5"/>
  <c r="D94" i="4"/>
  <c r="F94" i="4" s="1"/>
  <c r="D32" i="4"/>
  <c r="D31" i="4"/>
  <c r="D93" i="4"/>
  <c r="F93" i="4" s="1"/>
  <c r="D92" i="4"/>
  <c r="F92" i="4" s="1"/>
  <c r="D30" i="4"/>
  <c r="D29" i="4"/>
  <c r="D91" i="4"/>
  <c r="F91" i="4" s="1"/>
  <c r="D90" i="4"/>
  <c r="F90" i="4" s="1"/>
  <c r="D28" i="4"/>
  <c r="D27" i="4"/>
  <c r="D89" i="4"/>
  <c r="F89" i="4" s="1"/>
  <c r="D88" i="4"/>
  <c r="F88" i="4" s="1"/>
  <c r="D26" i="4"/>
  <c r="D25" i="4"/>
  <c r="D87" i="4"/>
  <c r="F87" i="4" s="1"/>
  <c r="D86" i="4"/>
  <c r="F86" i="4" s="1"/>
  <c r="D24" i="4"/>
  <c r="D23" i="4"/>
  <c r="D85" i="4"/>
  <c r="F85" i="4" s="1"/>
  <c r="D84" i="4"/>
  <c r="F84" i="4" s="1"/>
  <c r="D22" i="4"/>
  <c r="D21" i="4"/>
  <c r="D83" i="4"/>
  <c r="F83" i="4" s="1"/>
  <c r="D82" i="4"/>
  <c r="F82" i="4" s="1"/>
  <c r="D20" i="4"/>
  <c r="D19" i="4"/>
  <c r="D81" i="4"/>
  <c r="F81" i="4" s="1"/>
  <c r="D80" i="4"/>
  <c r="F80" i="4" s="1"/>
  <c r="D18" i="4"/>
  <c r="D17" i="4"/>
  <c r="D79" i="4"/>
  <c r="F79" i="4" s="1"/>
  <c r="D78" i="4"/>
  <c r="F78" i="4" s="1"/>
  <c r="D16" i="4"/>
  <c r="D15" i="4"/>
  <c r="D77" i="4"/>
  <c r="F77" i="4" s="1"/>
  <c r="D76" i="4"/>
  <c r="F76" i="4" s="1"/>
  <c r="D14" i="4"/>
  <c r="D13" i="4"/>
  <c r="D75" i="4"/>
  <c r="F75" i="4" s="1"/>
  <c r="D74" i="4"/>
  <c r="F74" i="4" s="1"/>
  <c r="D12" i="4"/>
  <c r="D11" i="4"/>
  <c r="D73" i="4"/>
  <c r="F73" i="4" s="1"/>
  <c r="D72" i="4"/>
  <c r="F72" i="4" s="1"/>
  <c r="D10" i="4"/>
  <c r="D9" i="4"/>
  <c r="D71" i="4"/>
  <c r="F71" i="4" s="1"/>
  <c r="D70" i="4"/>
  <c r="F70" i="4" s="1"/>
  <c r="D8" i="4"/>
  <c r="D7" i="4"/>
  <c r="D69" i="4"/>
  <c r="F69" i="4" s="1"/>
  <c r="D68" i="4"/>
  <c r="F68" i="4" s="1"/>
  <c r="D6" i="4"/>
  <c r="D5" i="4"/>
  <c r="D67" i="4"/>
  <c r="F67" i="4" s="1"/>
  <c r="D64" i="4"/>
  <c r="D94" i="3"/>
  <c r="F94" i="3" s="1"/>
  <c r="D32" i="3"/>
  <c r="D31" i="3"/>
  <c r="D93" i="3"/>
  <c r="F93" i="3" s="1"/>
  <c r="D92" i="3"/>
  <c r="F92" i="3" s="1"/>
  <c r="D30" i="3"/>
  <c r="D29" i="3"/>
  <c r="D91" i="3"/>
  <c r="F91" i="3" s="1"/>
  <c r="D90" i="3"/>
  <c r="F90" i="3" s="1"/>
  <c r="D28" i="3"/>
  <c r="D27" i="3"/>
  <c r="D89" i="3"/>
  <c r="F89" i="3" s="1"/>
  <c r="D88" i="3"/>
  <c r="F88" i="3" s="1"/>
  <c r="D26" i="3"/>
  <c r="D25" i="3"/>
  <c r="D87" i="3"/>
  <c r="F87" i="3" s="1"/>
  <c r="D86" i="3"/>
  <c r="F86" i="3" s="1"/>
  <c r="D24" i="3"/>
  <c r="D23" i="3"/>
  <c r="D85" i="3"/>
  <c r="F85" i="3" s="1"/>
  <c r="D84" i="3"/>
  <c r="F84" i="3" s="1"/>
  <c r="D22" i="3"/>
  <c r="D21" i="3"/>
  <c r="D83" i="3"/>
  <c r="F83" i="3" s="1"/>
  <c r="D82" i="3"/>
  <c r="F82" i="3" s="1"/>
  <c r="D20" i="3"/>
  <c r="D19" i="3"/>
  <c r="D81" i="3"/>
  <c r="F81" i="3" s="1"/>
  <c r="D80" i="3"/>
  <c r="F80" i="3" s="1"/>
  <c r="D18" i="3"/>
  <c r="D17" i="3"/>
  <c r="D79" i="3"/>
  <c r="F79" i="3" s="1"/>
  <c r="D78" i="3"/>
  <c r="F78" i="3" s="1"/>
  <c r="D16" i="3"/>
  <c r="D15" i="3"/>
  <c r="D77" i="3"/>
  <c r="F77" i="3" s="1"/>
  <c r="D76" i="3"/>
  <c r="F76" i="3" s="1"/>
  <c r="D14" i="3"/>
  <c r="D13" i="3"/>
  <c r="D75" i="3"/>
  <c r="F75" i="3" s="1"/>
  <c r="D74" i="3"/>
  <c r="F74" i="3" s="1"/>
  <c r="D12" i="3"/>
  <c r="D11" i="3"/>
  <c r="D73" i="3"/>
  <c r="F73" i="3" s="1"/>
  <c r="D72" i="3"/>
  <c r="F72" i="3" s="1"/>
  <c r="D10" i="3"/>
  <c r="D9" i="3"/>
  <c r="D71" i="3"/>
  <c r="F71" i="3" s="1"/>
  <c r="D70" i="3"/>
  <c r="F70" i="3" s="1"/>
  <c r="D8" i="3"/>
  <c r="D7" i="3"/>
  <c r="D69" i="3"/>
  <c r="F69" i="3" s="1"/>
  <c r="D68" i="3"/>
  <c r="F68" i="3" s="1"/>
  <c r="D6" i="3"/>
  <c r="D5" i="3"/>
  <c r="D67" i="3"/>
  <c r="F67" i="3" s="1"/>
  <c r="D64" i="3"/>
  <c r="D94" i="59"/>
  <c r="F94" i="59" s="1"/>
  <c r="D32" i="59"/>
  <c r="D31" i="59"/>
  <c r="D93" i="59"/>
  <c r="F93" i="59" s="1"/>
  <c r="D92" i="59"/>
  <c r="F92" i="59" s="1"/>
  <c r="D30" i="59"/>
  <c r="D29" i="59"/>
  <c r="D91" i="59"/>
  <c r="F91" i="59" s="1"/>
  <c r="D90" i="59"/>
  <c r="F90" i="59" s="1"/>
  <c r="D28" i="59"/>
  <c r="D27" i="59"/>
  <c r="D89" i="59"/>
  <c r="F89" i="59" s="1"/>
  <c r="D88" i="59"/>
  <c r="F88" i="59" s="1"/>
  <c r="D26" i="59"/>
  <c r="D25" i="59"/>
  <c r="D87" i="59"/>
  <c r="F87" i="59" s="1"/>
  <c r="D86" i="59"/>
  <c r="F86" i="59" s="1"/>
  <c r="D24" i="59"/>
  <c r="D23" i="59"/>
  <c r="D85" i="59"/>
  <c r="F85" i="59" s="1"/>
  <c r="D84" i="59"/>
  <c r="F84" i="59" s="1"/>
  <c r="D22" i="59"/>
  <c r="D21" i="59"/>
  <c r="D83" i="59"/>
  <c r="F83" i="59" s="1"/>
  <c r="D82" i="59"/>
  <c r="F82" i="59" s="1"/>
  <c r="D20" i="59"/>
  <c r="D19" i="59"/>
  <c r="D81" i="59"/>
  <c r="F81" i="59" s="1"/>
  <c r="D80" i="59"/>
  <c r="F80" i="59" s="1"/>
  <c r="D18" i="59"/>
  <c r="D17" i="59"/>
  <c r="D79" i="59"/>
  <c r="F79" i="59" s="1"/>
  <c r="D78" i="59"/>
  <c r="F78" i="59" s="1"/>
  <c r="D16" i="59"/>
  <c r="D15" i="59"/>
  <c r="D77" i="59"/>
  <c r="F77" i="59" s="1"/>
  <c r="D76" i="59"/>
  <c r="F76" i="59" s="1"/>
  <c r="D14" i="59"/>
  <c r="D13" i="59"/>
  <c r="D75" i="59"/>
  <c r="F75" i="59" s="1"/>
  <c r="D74" i="59"/>
  <c r="F74" i="59" s="1"/>
  <c r="D12" i="59"/>
  <c r="D11" i="59"/>
  <c r="D73" i="59"/>
  <c r="F73" i="59" s="1"/>
  <c r="D72" i="59"/>
  <c r="F72" i="59" s="1"/>
  <c r="D10" i="59"/>
  <c r="D9" i="59"/>
  <c r="D71" i="59"/>
  <c r="F71" i="59" s="1"/>
  <c r="D70" i="59"/>
  <c r="F70" i="59" s="1"/>
  <c r="D8" i="59"/>
  <c r="D7" i="59"/>
  <c r="D69" i="59"/>
  <c r="F69" i="59" s="1"/>
  <c r="D68" i="59"/>
  <c r="F68" i="59" s="1"/>
  <c r="D6" i="59"/>
  <c r="D5" i="59"/>
  <c r="D67" i="59"/>
  <c r="F67" i="59" s="1"/>
  <c r="D64" i="59"/>
  <c r="F64" i="59" s="1"/>
  <c r="D94" i="1"/>
  <c r="F94" i="1" s="1"/>
  <c r="D32" i="1"/>
  <c r="D31" i="1"/>
  <c r="D93" i="1"/>
  <c r="F93" i="1" s="1"/>
  <c r="D92" i="1"/>
  <c r="F92" i="1" s="1"/>
  <c r="D30" i="1"/>
  <c r="D29" i="1"/>
  <c r="D91" i="1"/>
  <c r="F91" i="1" s="1"/>
  <c r="D90" i="1"/>
  <c r="F90" i="1" s="1"/>
  <c r="D28" i="1"/>
  <c r="D27" i="1"/>
  <c r="D89" i="1"/>
  <c r="F89" i="1" s="1"/>
  <c r="D88" i="1"/>
  <c r="F88" i="1" s="1"/>
  <c r="D26" i="1"/>
  <c r="D25" i="1"/>
  <c r="D87" i="1"/>
  <c r="F87" i="1" s="1"/>
  <c r="D86" i="1"/>
  <c r="F86" i="1" s="1"/>
  <c r="D24" i="1"/>
  <c r="D23" i="1"/>
  <c r="D85" i="1"/>
  <c r="F85" i="1" s="1"/>
  <c r="D84" i="1"/>
  <c r="F84" i="1" s="1"/>
  <c r="D22" i="1"/>
  <c r="D21" i="1"/>
  <c r="D83" i="1"/>
  <c r="F83" i="1" s="1"/>
  <c r="D82" i="1"/>
  <c r="F82" i="1" s="1"/>
  <c r="D20" i="1"/>
  <c r="D19" i="1"/>
  <c r="D81" i="1"/>
  <c r="F81" i="1" s="1"/>
  <c r="D80" i="1"/>
  <c r="F80" i="1" s="1"/>
  <c r="D18" i="1"/>
  <c r="D17" i="1"/>
  <c r="D79" i="1"/>
  <c r="F79" i="1" s="1"/>
  <c r="D78" i="1"/>
  <c r="F78" i="1" s="1"/>
  <c r="D16" i="1"/>
  <c r="D15" i="1"/>
  <c r="D77" i="1"/>
  <c r="F77" i="1" s="1"/>
  <c r="D76" i="1"/>
  <c r="F76" i="1" s="1"/>
  <c r="D14" i="1"/>
  <c r="D13" i="1"/>
  <c r="D75" i="1"/>
  <c r="F75" i="1" s="1"/>
  <c r="D74" i="1"/>
  <c r="F74" i="1" s="1"/>
  <c r="D12" i="1"/>
  <c r="D11" i="1"/>
  <c r="D73" i="1"/>
  <c r="F73" i="1" s="1"/>
  <c r="D72" i="1"/>
  <c r="F72" i="1" s="1"/>
  <c r="D10" i="1"/>
  <c r="D9" i="1"/>
  <c r="D71" i="1"/>
  <c r="F71" i="1" s="1"/>
  <c r="D70" i="1"/>
  <c r="F70" i="1" s="1"/>
  <c r="D8" i="1"/>
  <c r="D7" i="1"/>
  <c r="D69" i="1"/>
  <c r="F69" i="1" s="1"/>
  <c r="D68" i="1"/>
  <c r="F68" i="1" s="1"/>
  <c r="D6" i="1"/>
  <c r="D5" i="1"/>
  <c r="D67" i="1"/>
  <c r="F67" i="1" s="1"/>
  <c r="D64" i="1"/>
  <c r="D94" i="56"/>
  <c r="F94" i="56" s="1"/>
  <c r="D32" i="56"/>
  <c r="D31" i="56"/>
  <c r="D93" i="56"/>
  <c r="F93" i="56" s="1"/>
  <c r="D92" i="56"/>
  <c r="F92" i="56" s="1"/>
  <c r="D30" i="56"/>
  <c r="D29" i="56"/>
  <c r="D91" i="56"/>
  <c r="F91" i="56" s="1"/>
  <c r="D90" i="56"/>
  <c r="F90" i="56" s="1"/>
  <c r="D28" i="56"/>
  <c r="D27" i="56"/>
  <c r="D89" i="56"/>
  <c r="F89" i="56" s="1"/>
  <c r="D88" i="56"/>
  <c r="F88" i="56" s="1"/>
  <c r="D26" i="56"/>
  <c r="D25" i="56"/>
  <c r="D87" i="56"/>
  <c r="F87" i="56" s="1"/>
  <c r="D86" i="56"/>
  <c r="F86" i="56" s="1"/>
  <c r="D24" i="56"/>
  <c r="D23" i="56"/>
  <c r="D85" i="56"/>
  <c r="F85" i="56" s="1"/>
  <c r="D84" i="56"/>
  <c r="F84" i="56" s="1"/>
  <c r="D22" i="56"/>
  <c r="D21" i="56"/>
  <c r="D83" i="56"/>
  <c r="F83" i="56" s="1"/>
  <c r="D82" i="56"/>
  <c r="F82" i="56" s="1"/>
  <c r="D20" i="56"/>
  <c r="D19" i="56"/>
  <c r="D81" i="56"/>
  <c r="F81" i="56" s="1"/>
  <c r="D80" i="56"/>
  <c r="F80" i="56" s="1"/>
  <c r="D18" i="56"/>
  <c r="D17" i="56"/>
  <c r="D79" i="56"/>
  <c r="F79" i="56" s="1"/>
  <c r="D78" i="56"/>
  <c r="F78" i="56" s="1"/>
  <c r="D16" i="56"/>
  <c r="D15" i="56"/>
  <c r="D77" i="56"/>
  <c r="F77" i="56" s="1"/>
  <c r="D76" i="56"/>
  <c r="F76" i="56" s="1"/>
  <c r="D14" i="56"/>
  <c r="D13" i="56"/>
  <c r="D75" i="56"/>
  <c r="F75" i="56" s="1"/>
  <c r="D74" i="56"/>
  <c r="F74" i="56" s="1"/>
  <c r="D12" i="56"/>
  <c r="D11" i="56"/>
  <c r="D73" i="56"/>
  <c r="F73" i="56" s="1"/>
  <c r="D72" i="56"/>
  <c r="F72" i="56" s="1"/>
  <c r="D10" i="56"/>
  <c r="D9" i="56"/>
  <c r="D71" i="56"/>
  <c r="F71" i="56" s="1"/>
  <c r="D70" i="56"/>
  <c r="F70" i="56" s="1"/>
  <c r="D8" i="56"/>
  <c r="D7" i="56"/>
  <c r="D69" i="56"/>
  <c r="F69" i="56" s="1"/>
  <c r="D68" i="56"/>
  <c r="F68" i="56" s="1"/>
  <c r="D6" i="56"/>
  <c r="D5" i="56"/>
  <c r="D67" i="56"/>
  <c r="F67" i="56" s="1"/>
  <c r="D64" i="56"/>
  <c r="D67" i="55"/>
  <c r="F67" i="55" s="1"/>
  <c r="D64" i="55"/>
  <c r="D5" i="55"/>
  <c r="D68" i="55"/>
  <c r="F68" i="55" s="1"/>
  <c r="D6" i="55"/>
  <c r="D69" i="55"/>
  <c r="F69" i="55" s="1"/>
  <c r="D7" i="55"/>
  <c r="D70" i="55"/>
  <c r="F70" i="55" s="1"/>
  <c r="D8" i="55"/>
  <c r="D71" i="55"/>
  <c r="F71" i="55" s="1"/>
  <c r="D9" i="55"/>
  <c r="D72" i="55"/>
  <c r="F72" i="55" s="1"/>
  <c r="D10" i="55"/>
  <c r="D73" i="55"/>
  <c r="F73" i="55" s="1"/>
  <c r="D11" i="55"/>
  <c r="D74" i="55"/>
  <c r="F74" i="55" s="1"/>
  <c r="D12" i="55"/>
  <c r="D75" i="55"/>
  <c r="F75" i="55" s="1"/>
  <c r="D13" i="55"/>
  <c r="D76" i="55"/>
  <c r="F76" i="55" s="1"/>
  <c r="D14" i="55"/>
  <c r="D77" i="55"/>
  <c r="F77" i="55" s="1"/>
  <c r="D15" i="55"/>
  <c r="D78" i="55"/>
  <c r="F78" i="55" s="1"/>
  <c r="D16" i="55"/>
  <c r="D79" i="55"/>
  <c r="F79" i="55" s="1"/>
  <c r="D17" i="55"/>
  <c r="D80" i="55"/>
  <c r="F80" i="55" s="1"/>
  <c r="D18" i="55"/>
  <c r="D81" i="55"/>
  <c r="F81" i="55" s="1"/>
  <c r="D19" i="55"/>
  <c r="D82" i="55"/>
  <c r="F82" i="55" s="1"/>
  <c r="D20" i="55"/>
  <c r="D83" i="55"/>
  <c r="F83" i="55" s="1"/>
  <c r="D21" i="55"/>
  <c r="D84" i="55"/>
  <c r="F84" i="55" s="1"/>
  <c r="D22" i="55"/>
  <c r="D85" i="55"/>
  <c r="F85" i="55" s="1"/>
  <c r="D23" i="55"/>
  <c r="D86" i="55"/>
  <c r="F86" i="55" s="1"/>
  <c r="D24" i="55"/>
  <c r="D87" i="55"/>
  <c r="F87" i="55" s="1"/>
  <c r="D25" i="55"/>
  <c r="D88" i="55"/>
  <c r="F88" i="55" s="1"/>
  <c r="F9" i="63" s="1"/>
  <c r="D26" i="55"/>
  <c r="D89" i="55"/>
  <c r="F89" i="55" s="1"/>
  <c r="D27" i="55"/>
  <c r="D90" i="55"/>
  <c r="F90" i="55" s="1"/>
  <c r="D28" i="55"/>
  <c r="D118" i="54"/>
  <c r="E64" i="54"/>
  <c r="E118" i="52"/>
  <c r="D118" i="52"/>
  <c r="E64" i="52"/>
  <c r="D82" i="53"/>
  <c r="F82" i="53" s="1"/>
  <c r="D20" i="53"/>
  <c r="D83" i="53"/>
  <c r="F83" i="53" s="1"/>
  <c r="D21" i="53"/>
  <c r="D84" i="53"/>
  <c r="F84" i="53" s="1"/>
  <c r="D22" i="53"/>
  <c r="D85" i="53"/>
  <c r="F85" i="53" s="1"/>
  <c r="D23" i="53"/>
  <c r="D86" i="53"/>
  <c r="F86" i="53" s="1"/>
  <c r="D24" i="53"/>
  <c r="D87" i="53"/>
  <c r="F87" i="53" s="1"/>
  <c r="D25" i="53"/>
  <c r="D88" i="53"/>
  <c r="F11" i="63" s="1"/>
  <c r="D26" i="53"/>
  <c r="D89" i="53"/>
  <c r="F89" i="53" s="1"/>
  <c r="D27" i="53"/>
  <c r="D90" i="53"/>
  <c r="F90" i="53" s="1"/>
  <c r="D28" i="53"/>
  <c r="D91" i="53"/>
  <c r="F91" i="53" s="1"/>
  <c r="D29" i="53"/>
  <c r="D92" i="53"/>
  <c r="F92" i="53" s="1"/>
  <c r="D30" i="53"/>
  <c r="D93" i="53"/>
  <c r="F93" i="53" s="1"/>
  <c r="D31" i="53"/>
  <c r="D94" i="53"/>
  <c r="F94" i="53" s="1"/>
  <c r="D32" i="53"/>
  <c r="E95" i="53"/>
  <c r="E105" i="53"/>
  <c r="E118" i="53"/>
  <c r="D94" i="52"/>
  <c r="F94" i="52" s="1"/>
  <c r="D32" i="52"/>
  <c r="D31" i="52"/>
  <c r="D93" i="52"/>
  <c r="F93" i="52" s="1"/>
  <c r="D92" i="52"/>
  <c r="F92" i="52" s="1"/>
  <c r="D30" i="52"/>
  <c r="D29" i="52"/>
  <c r="D91" i="52"/>
  <c r="F91" i="52" s="1"/>
  <c r="D90" i="52"/>
  <c r="F90" i="52" s="1"/>
  <c r="D28" i="52"/>
  <c r="D27" i="52"/>
  <c r="D89" i="52"/>
  <c r="F89" i="52" s="1"/>
  <c r="D88" i="52"/>
  <c r="F88" i="52" s="1"/>
  <c r="D26" i="52"/>
  <c r="D25" i="52"/>
  <c r="D87" i="52"/>
  <c r="F87" i="52" s="1"/>
  <c r="D86" i="52"/>
  <c r="F86" i="52" s="1"/>
  <c r="D24" i="52"/>
  <c r="D23" i="52"/>
  <c r="D85" i="52"/>
  <c r="F85" i="52" s="1"/>
  <c r="D84" i="52"/>
  <c r="F84" i="52" s="1"/>
  <c r="D22" i="52"/>
  <c r="D21" i="52"/>
  <c r="D83" i="52"/>
  <c r="F83" i="52" s="1"/>
  <c r="D82" i="52"/>
  <c r="F82" i="52" s="1"/>
  <c r="D20" i="52"/>
  <c r="D19" i="52"/>
  <c r="D81" i="52"/>
  <c r="F81" i="52" s="1"/>
  <c r="D80" i="52"/>
  <c r="F80" i="52" s="1"/>
  <c r="D18" i="52"/>
  <c r="D17" i="52"/>
  <c r="D79" i="52"/>
  <c r="F79" i="52" s="1"/>
  <c r="D78" i="52"/>
  <c r="F78" i="52" s="1"/>
  <c r="D16" i="52"/>
  <c r="D15" i="52"/>
  <c r="D77" i="52"/>
  <c r="F77" i="52" s="1"/>
  <c r="D76" i="52"/>
  <c r="F76" i="52" s="1"/>
  <c r="D14" i="52"/>
  <c r="D13" i="52"/>
  <c r="D75" i="52"/>
  <c r="F75" i="52" s="1"/>
  <c r="D74" i="52"/>
  <c r="F74" i="52" s="1"/>
  <c r="D12" i="52"/>
  <c r="D11" i="52"/>
  <c r="D73" i="52"/>
  <c r="F73" i="52" s="1"/>
  <c r="D72" i="52"/>
  <c r="F72" i="52" s="1"/>
  <c r="D10" i="52"/>
  <c r="D9" i="52"/>
  <c r="D71" i="52"/>
  <c r="F71" i="52" s="1"/>
  <c r="D70" i="52"/>
  <c r="F70" i="52" s="1"/>
  <c r="D8" i="52"/>
  <c r="D7" i="52"/>
  <c r="D69" i="52"/>
  <c r="F69" i="52" s="1"/>
  <c r="D68" i="52"/>
  <c r="F68" i="52" s="1"/>
  <c r="D6" i="52"/>
  <c r="D5" i="52"/>
  <c r="D67" i="52"/>
  <c r="F67" i="52" s="1"/>
  <c r="D64" i="52"/>
  <c r="D94" i="51"/>
  <c r="F94" i="51" s="1"/>
  <c r="D32" i="51"/>
  <c r="D93" i="51"/>
  <c r="F93" i="51" s="1"/>
  <c r="D31" i="51"/>
  <c r="D92" i="51"/>
  <c r="F92" i="51" s="1"/>
  <c r="D30" i="51"/>
  <c r="D91" i="51"/>
  <c r="F91" i="51" s="1"/>
  <c r="D29" i="51"/>
  <c r="D90" i="51"/>
  <c r="F90" i="51" s="1"/>
  <c r="D28" i="51"/>
  <c r="D89" i="51"/>
  <c r="F89" i="51" s="1"/>
  <c r="D27" i="51"/>
  <c r="D88" i="51"/>
  <c r="F88" i="51" s="1"/>
  <c r="D26" i="51"/>
  <c r="D87" i="51"/>
  <c r="F87" i="51" s="1"/>
  <c r="D25" i="51"/>
  <c r="D86" i="51"/>
  <c r="F86" i="51" s="1"/>
  <c r="D24" i="51"/>
  <c r="D85" i="51"/>
  <c r="F85" i="51" s="1"/>
  <c r="D23" i="51"/>
  <c r="D84" i="51"/>
  <c r="F84" i="51" s="1"/>
  <c r="D22" i="51"/>
  <c r="D83" i="51"/>
  <c r="F83" i="51" s="1"/>
  <c r="D21" i="51"/>
  <c r="D82" i="51"/>
  <c r="F82" i="51" s="1"/>
  <c r="D20" i="51"/>
  <c r="D81" i="51"/>
  <c r="F81" i="51" s="1"/>
  <c r="D19" i="51"/>
  <c r="D80" i="51"/>
  <c r="F80" i="51" s="1"/>
  <c r="D18" i="51"/>
  <c r="D79" i="51"/>
  <c r="F79" i="51" s="1"/>
  <c r="D17" i="51"/>
  <c r="D78" i="51"/>
  <c r="F78" i="51" s="1"/>
  <c r="D16" i="51"/>
  <c r="D77" i="51"/>
  <c r="F77" i="51" s="1"/>
  <c r="D15" i="51"/>
  <c r="D14" i="51"/>
  <c r="D76" i="51"/>
  <c r="F76" i="51" s="1"/>
  <c r="D75" i="51"/>
  <c r="F75" i="51" s="1"/>
  <c r="D13" i="51"/>
  <c r="D12" i="51"/>
  <c r="D74" i="51"/>
  <c r="F74" i="51" s="1"/>
  <c r="D73" i="51"/>
  <c r="F73" i="51" s="1"/>
  <c r="D11" i="51"/>
  <c r="D10" i="51"/>
  <c r="D72" i="51"/>
  <c r="D71" i="51"/>
  <c r="F71" i="51" s="1"/>
  <c r="D9" i="51"/>
  <c r="D8" i="51"/>
  <c r="D70" i="51"/>
  <c r="F70" i="51" s="1"/>
  <c r="D69" i="51"/>
  <c r="F69" i="51" s="1"/>
  <c r="D7" i="51"/>
  <c r="D6" i="51"/>
  <c r="D68" i="51"/>
  <c r="F68" i="51" s="1"/>
  <c r="D67" i="51"/>
  <c r="F67" i="51" s="1"/>
  <c r="D64" i="51"/>
  <c r="F64" i="51" s="1"/>
  <c r="D5" i="51"/>
  <c r="E105" i="51"/>
  <c r="E118" i="51"/>
  <c r="D32" i="49"/>
  <c r="D94" i="49"/>
  <c r="F94" i="49" s="1"/>
  <c r="D93" i="49"/>
  <c r="F93" i="49" s="1"/>
  <c r="D31" i="49"/>
  <c r="D30" i="49"/>
  <c r="D92" i="49"/>
  <c r="F92" i="49" s="1"/>
  <c r="D91" i="49"/>
  <c r="F91" i="49" s="1"/>
  <c r="D29" i="49"/>
  <c r="D28" i="49"/>
  <c r="D90" i="49"/>
  <c r="F90" i="49" s="1"/>
  <c r="D89" i="49"/>
  <c r="F89" i="49" s="1"/>
  <c r="D27" i="49"/>
  <c r="D26" i="49"/>
  <c r="D88" i="49"/>
  <c r="F88" i="49" s="1"/>
  <c r="D87" i="49"/>
  <c r="F87" i="49" s="1"/>
  <c r="D25" i="49"/>
  <c r="D24" i="49"/>
  <c r="D86" i="49"/>
  <c r="F86" i="49" s="1"/>
  <c r="D85" i="49"/>
  <c r="F85" i="49" s="1"/>
  <c r="D23" i="49"/>
  <c r="D22" i="49"/>
  <c r="D84" i="49"/>
  <c r="F84" i="49" s="1"/>
  <c r="D83" i="49"/>
  <c r="F83" i="49" s="1"/>
  <c r="D21" i="49"/>
  <c r="D20" i="49"/>
  <c r="D82" i="49"/>
  <c r="F82" i="49" s="1"/>
  <c r="D81" i="49"/>
  <c r="F81" i="49" s="1"/>
  <c r="D19" i="49"/>
  <c r="D18" i="49"/>
  <c r="D80" i="49"/>
  <c r="F80" i="49" s="1"/>
  <c r="D79" i="49"/>
  <c r="F79" i="49" s="1"/>
  <c r="D17" i="49"/>
  <c r="D16" i="49"/>
  <c r="D78" i="49"/>
  <c r="F78" i="49" s="1"/>
  <c r="D77" i="49"/>
  <c r="F77" i="49" s="1"/>
  <c r="D15" i="49"/>
  <c r="D14" i="49"/>
  <c r="D76" i="49"/>
  <c r="F76" i="49" s="1"/>
  <c r="D75" i="49"/>
  <c r="F75" i="49" s="1"/>
  <c r="D13" i="49"/>
  <c r="D12" i="49"/>
  <c r="D74" i="49"/>
  <c r="F74" i="49" s="1"/>
  <c r="D73" i="49"/>
  <c r="F73" i="49" s="1"/>
  <c r="D11" i="49"/>
  <c r="D10" i="49"/>
  <c r="D72" i="49"/>
  <c r="F72" i="49" s="1"/>
  <c r="D71" i="49"/>
  <c r="F71" i="49" s="1"/>
  <c r="D9" i="49"/>
  <c r="D8" i="49"/>
  <c r="D70" i="49"/>
  <c r="F70" i="49" s="1"/>
  <c r="D69" i="49"/>
  <c r="F69" i="49" s="1"/>
  <c r="D7" i="49"/>
  <c r="D6" i="49"/>
  <c r="D68" i="49"/>
  <c r="F68" i="49" s="1"/>
  <c r="D67" i="49"/>
  <c r="F67" i="49" s="1"/>
  <c r="D64" i="49"/>
  <c r="F64" i="49" s="1"/>
  <c r="D5" i="49"/>
  <c r="E95" i="51"/>
  <c r="E118" i="48"/>
  <c r="E105" i="48"/>
  <c r="E95" i="50"/>
  <c r="E95" i="48"/>
  <c r="D74" i="48"/>
  <c r="F74" i="48" s="1"/>
  <c r="D12" i="48"/>
  <c r="D75" i="48"/>
  <c r="F75" i="48" s="1"/>
  <c r="D13" i="48"/>
  <c r="D76" i="48"/>
  <c r="F76" i="48" s="1"/>
  <c r="D14" i="48"/>
  <c r="D77" i="48"/>
  <c r="F77" i="48" s="1"/>
  <c r="D15" i="48"/>
  <c r="D78" i="48"/>
  <c r="F78" i="48" s="1"/>
  <c r="D16" i="48"/>
  <c r="D79" i="48"/>
  <c r="F79" i="48" s="1"/>
  <c r="D17" i="48"/>
  <c r="D80" i="48"/>
  <c r="F80" i="48" s="1"/>
  <c r="D18" i="48"/>
  <c r="D81" i="48"/>
  <c r="F81" i="48" s="1"/>
  <c r="D19" i="48"/>
  <c r="D82" i="48"/>
  <c r="F82" i="48" s="1"/>
  <c r="D20" i="48"/>
  <c r="D83" i="48"/>
  <c r="F83" i="48" s="1"/>
  <c r="D21" i="48"/>
  <c r="D84" i="48"/>
  <c r="F84" i="48" s="1"/>
  <c r="D22" i="48"/>
  <c r="D85" i="48"/>
  <c r="F85" i="48" s="1"/>
  <c r="D23" i="48"/>
  <c r="D86" i="48"/>
  <c r="F86" i="48" s="1"/>
  <c r="D24" i="48"/>
  <c r="D87" i="48"/>
  <c r="F87" i="48" s="1"/>
  <c r="D25" i="48"/>
  <c r="D88" i="48"/>
  <c r="F88" i="48" s="1"/>
  <c r="F16" i="63" s="1"/>
  <c r="D26" i="48"/>
  <c r="D89" i="48"/>
  <c r="F89" i="48" s="1"/>
  <c r="D27" i="48"/>
  <c r="D90" i="48"/>
  <c r="F90" i="48" s="1"/>
  <c r="D28" i="48"/>
  <c r="D91" i="48"/>
  <c r="F91" i="48" s="1"/>
  <c r="D29" i="48"/>
  <c r="D92" i="48"/>
  <c r="F92" i="48" s="1"/>
  <c r="D30" i="48"/>
  <c r="D93" i="48"/>
  <c r="F93" i="48" s="1"/>
  <c r="D31" i="48"/>
  <c r="D94" i="48"/>
  <c r="F94" i="48" s="1"/>
  <c r="D32" i="48"/>
  <c r="E118" i="50"/>
  <c r="E118" i="47"/>
  <c r="D32" i="46"/>
  <c r="D94" i="46"/>
  <c r="F94" i="46" s="1"/>
  <c r="D93" i="46"/>
  <c r="F93" i="46" s="1"/>
  <c r="D31" i="46"/>
  <c r="D30" i="46"/>
  <c r="D92" i="46"/>
  <c r="F92" i="46" s="1"/>
  <c r="D91" i="46"/>
  <c r="F91" i="46" s="1"/>
  <c r="D29" i="46"/>
  <c r="D28" i="46"/>
  <c r="D90" i="46"/>
  <c r="F90" i="46" s="1"/>
  <c r="D89" i="46"/>
  <c r="F89" i="46" s="1"/>
  <c r="D27" i="46"/>
  <c r="D26" i="46"/>
  <c r="D88" i="46"/>
  <c r="F88" i="46" s="1"/>
  <c r="D87" i="46"/>
  <c r="F87" i="46" s="1"/>
  <c r="D25" i="46"/>
  <c r="D24" i="46"/>
  <c r="D86" i="46"/>
  <c r="F86" i="46" s="1"/>
  <c r="D85" i="46"/>
  <c r="F85" i="46" s="1"/>
  <c r="D23" i="46"/>
  <c r="D22" i="46"/>
  <c r="D84" i="46"/>
  <c r="F84" i="46" s="1"/>
  <c r="D83" i="46"/>
  <c r="F83" i="46" s="1"/>
  <c r="D21" i="46"/>
  <c r="D20" i="46"/>
  <c r="D82" i="46"/>
  <c r="F82" i="46" s="1"/>
  <c r="D81" i="46"/>
  <c r="F81" i="46" s="1"/>
  <c r="D19" i="46"/>
  <c r="D18" i="46"/>
  <c r="D80" i="46"/>
  <c r="F80" i="46" s="1"/>
  <c r="D79" i="46"/>
  <c r="F79" i="46" s="1"/>
  <c r="D17" i="46"/>
  <c r="D16" i="46"/>
  <c r="D78" i="46"/>
  <c r="F78" i="46" s="1"/>
  <c r="D77" i="46"/>
  <c r="F77" i="46" s="1"/>
  <c r="D15" i="46"/>
  <c r="D14" i="46"/>
  <c r="D76" i="46"/>
  <c r="F76" i="46" s="1"/>
  <c r="D75" i="46"/>
  <c r="F75" i="46" s="1"/>
  <c r="D13" i="46"/>
  <c r="D12" i="46"/>
  <c r="D74" i="46"/>
  <c r="F74" i="46" s="1"/>
  <c r="D73" i="46"/>
  <c r="F73" i="46" s="1"/>
  <c r="D11" i="46"/>
  <c r="D10" i="46"/>
  <c r="D72" i="46"/>
  <c r="D71" i="46"/>
  <c r="F71" i="46" s="1"/>
  <c r="D9" i="46"/>
  <c r="D8" i="46"/>
  <c r="D70" i="46"/>
  <c r="F70" i="46" s="1"/>
  <c r="D69" i="46"/>
  <c r="F69" i="46" s="1"/>
  <c r="D7" i="46"/>
  <c r="D6" i="46"/>
  <c r="D68" i="46"/>
  <c r="F68" i="46" s="1"/>
  <c r="D67" i="46"/>
  <c r="D64" i="46"/>
  <c r="F64" i="46" s="1"/>
  <c r="D5" i="46"/>
  <c r="E64" i="47"/>
  <c r="E95" i="46"/>
  <c r="E118" i="46"/>
  <c r="E118" i="44"/>
  <c r="E118" i="43"/>
  <c r="D118" i="43"/>
  <c r="E64" i="43"/>
  <c r="F64" i="43" s="1"/>
  <c r="E105" i="42"/>
  <c r="E95" i="42"/>
  <c r="E118" i="41"/>
  <c r="D118" i="41"/>
  <c r="E64" i="41"/>
  <c r="F64" i="41" s="1"/>
  <c r="E105" i="40"/>
  <c r="E95" i="40"/>
  <c r="C109" i="40" s="1"/>
  <c r="F109" i="40" s="1"/>
  <c r="E118" i="39"/>
  <c r="D118" i="39"/>
  <c r="E64" i="39"/>
  <c r="F64" i="39" s="1"/>
  <c r="E95" i="45"/>
  <c r="D93" i="44"/>
  <c r="F93" i="44" s="1"/>
  <c r="D31" i="44"/>
  <c r="D94" i="44"/>
  <c r="F94" i="44" s="1"/>
  <c r="D32" i="44"/>
  <c r="E105" i="38"/>
  <c r="E118" i="38"/>
  <c r="D32" i="36"/>
  <c r="D94" i="36"/>
  <c r="F94" i="36" s="1"/>
  <c r="D93" i="36"/>
  <c r="F93" i="36" s="1"/>
  <c r="D31" i="36"/>
  <c r="D30" i="36"/>
  <c r="D92" i="36"/>
  <c r="F92" i="36" s="1"/>
  <c r="D91" i="36"/>
  <c r="F91" i="36" s="1"/>
  <c r="D29" i="36"/>
  <c r="D28" i="36"/>
  <c r="D90" i="36"/>
  <c r="F90" i="36" s="1"/>
  <c r="D89" i="36"/>
  <c r="F89" i="36" s="1"/>
  <c r="D27" i="36"/>
  <c r="D26" i="36"/>
  <c r="D88" i="36"/>
  <c r="F88" i="36" s="1"/>
  <c r="D87" i="36"/>
  <c r="F87" i="36" s="1"/>
  <c r="D25" i="36"/>
  <c r="D24" i="36"/>
  <c r="D86" i="36"/>
  <c r="F86" i="36" s="1"/>
  <c r="D85" i="36"/>
  <c r="F85" i="36" s="1"/>
  <c r="D23" i="36"/>
  <c r="D22" i="36"/>
  <c r="D84" i="36"/>
  <c r="F84" i="36" s="1"/>
  <c r="D83" i="36"/>
  <c r="F83" i="36" s="1"/>
  <c r="D21" i="36"/>
  <c r="D20" i="36"/>
  <c r="D82" i="36"/>
  <c r="F82" i="36" s="1"/>
  <c r="D81" i="36"/>
  <c r="F81" i="36" s="1"/>
  <c r="D19" i="36"/>
  <c r="D18" i="36"/>
  <c r="D80" i="36"/>
  <c r="F80" i="36" s="1"/>
  <c r="D79" i="36"/>
  <c r="F79" i="36" s="1"/>
  <c r="D17" i="36"/>
  <c r="D16" i="36"/>
  <c r="D78" i="36"/>
  <c r="F78" i="36" s="1"/>
  <c r="D77" i="36"/>
  <c r="F77" i="36" s="1"/>
  <c r="D15" i="36"/>
  <c r="D14" i="36"/>
  <c r="D76" i="36"/>
  <c r="F76" i="36" s="1"/>
  <c r="D75" i="36"/>
  <c r="F75" i="36" s="1"/>
  <c r="D13" i="36"/>
  <c r="D12" i="36"/>
  <c r="D74" i="36"/>
  <c r="F74" i="36" s="1"/>
  <c r="D73" i="36"/>
  <c r="F73" i="36" s="1"/>
  <c r="D11" i="36"/>
  <c r="D10" i="36"/>
  <c r="D72" i="36"/>
  <c r="F72" i="36" s="1"/>
  <c r="D71" i="36"/>
  <c r="F71" i="36" s="1"/>
  <c r="D9" i="36"/>
  <c r="D8" i="36"/>
  <c r="D70" i="36"/>
  <c r="F70" i="36" s="1"/>
  <c r="D69" i="36"/>
  <c r="F69" i="36" s="1"/>
  <c r="D7" i="36"/>
  <c r="D6" i="36"/>
  <c r="D68" i="36"/>
  <c r="F68" i="36" s="1"/>
  <c r="D67" i="36"/>
  <c r="F67" i="36" s="1"/>
  <c r="D64" i="36"/>
  <c r="D5" i="36"/>
  <c r="D32" i="34"/>
  <c r="D94" i="34"/>
  <c r="F94" i="34" s="1"/>
  <c r="D93" i="34"/>
  <c r="F93" i="34" s="1"/>
  <c r="D31" i="34"/>
  <c r="D30" i="34"/>
  <c r="D92" i="34"/>
  <c r="F92" i="34" s="1"/>
  <c r="D91" i="34"/>
  <c r="F91" i="34" s="1"/>
  <c r="D29" i="34"/>
  <c r="D28" i="34"/>
  <c r="D90" i="34"/>
  <c r="F90" i="34" s="1"/>
  <c r="D89" i="34"/>
  <c r="F89" i="34" s="1"/>
  <c r="D27" i="34"/>
  <c r="D26" i="34"/>
  <c r="D88" i="34"/>
  <c r="F88" i="34" s="1"/>
  <c r="D87" i="34"/>
  <c r="F87" i="34" s="1"/>
  <c r="D25" i="34"/>
  <c r="D24" i="34"/>
  <c r="D86" i="34"/>
  <c r="F86" i="34" s="1"/>
  <c r="D85" i="34"/>
  <c r="F85" i="34" s="1"/>
  <c r="D23" i="34"/>
  <c r="D22" i="34"/>
  <c r="D84" i="34"/>
  <c r="F84" i="34" s="1"/>
  <c r="D83" i="34"/>
  <c r="F83" i="34" s="1"/>
  <c r="D21" i="34"/>
  <c r="D20" i="34"/>
  <c r="D82" i="34"/>
  <c r="F82" i="34" s="1"/>
  <c r="D81" i="34"/>
  <c r="F81" i="34" s="1"/>
  <c r="D19" i="34"/>
  <c r="D18" i="34"/>
  <c r="D80" i="34"/>
  <c r="F80" i="34" s="1"/>
  <c r="D79" i="34"/>
  <c r="F79" i="34" s="1"/>
  <c r="D17" i="34"/>
  <c r="D16" i="34"/>
  <c r="D78" i="34"/>
  <c r="F78" i="34" s="1"/>
  <c r="D77" i="34"/>
  <c r="F77" i="34" s="1"/>
  <c r="D15" i="34"/>
  <c r="D14" i="34"/>
  <c r="D76" i="34"/>
  <c r="F76" i="34" s="1"/>
  <c r="D75" i="34"/>
  <c r="F75" i="34" s="1"/>
  <c r="D13" i="34"/>
  <c r="D12" i="34"/>
  <c r="D74" i="34"/>
  <c r="F74" i="34" s="1"/>
  <c r="D73" i="34"/>
  <c r="F73" i="34" s="1"/>
  <c r="D11" i="34"/>
  <c r="D10" i="34"/>
  <c r="D72" i="34"/>
  <c r="F72" i="34" s="1"/>
  <c r="D71" i="34"/>
  <c r="F71" i="34" s="1"/>
  <c r="D9" i="34"/>
  <c r="D8" i="34"/>
  <c r="D70" i="34"/>
  <c r="F70" i="34" s="1"/>
  <c r="D69" i="34"/>
  <c r="F69" i="34" s="1"/>
  <c r="D7" i="34"/>
  <c r="D6" i="34"/>
  <c r="D68" i="34"/>
  <c r="F68" i="34" s="1"/>
  <c r="D67" i="34"/>
  <c r="F67" i="34" s="1"/>
  <c r="D64" i="34"/>
  <c r="D5" i="34"/>
  <c r="D32" i="32"/>
  <c r="D94" i="32"/>
  <c r="F94" i="32" s="1"/>
  <c r="D93" i="32"/>
  <c r="F93" i="32" s="1"/>
  <c r="D31" i="32"/>
  <c r="D30" i="32"/>
  <c r="D92" i="32"/>
  <c r="F92" i="32" s="1"/>
  <c r="D91" i="32"/>
  <c r="F91" i="32" s="1"/>
  <c r="D29" i="32"/>
  <c r="D28" i="32"/>
  <c r="D90" i="32"/>
  <c r="F90" i="32" s="1"/>
  <c r="D89" i="32"/>
  <c r="F89" i="32" s="1"/>
  <c r="D27" i="32"/>
  <c r="D26" i="32"/>
  <c r="D88" i="32"/>
  <c r="F88" i="32" s="1"/>
  <c r="D87" i="32"/>
  <c r="F87" i="32" s="1"/>
  <c r="D25" i="32"/>
  <c r="D24" i="32"/>
  <c r="D86" i="32"/>
  <c r="F86" i="32" s="1"/>
  <c r="D85" i="32"/>
  <c r="F85" i="32" s="1"/>
  <c r="D23" i="32"/>
  <c r="D22" i="32"/>
  <c r="D84" i="32"/>
  <c r="F84" i="32" s="1"/>
  <c r="D83" i="32"/>
  <c r="F83" i="32" s="1"/>
  <c r="D21" i="32"/>
  <c r="D20" i="32"/>
  <c r="D82" i="32"/>
  <c r="F82" i="32" s="1"/>
  <c r="D81" i="32"/>
  <c r="F81" i="32" s="1"/>
  <c r="D19" i="32"/>
  <c r="D18" i="32"/>
  <c r="D80" i="32"/>
  <c r="F80" i="32" s="1"/>
  <c r="D79" i="32"/>
  <c r="F79" i="32" s="1"/>
  <c r="D17" i="32"/>
  <c r="D16" i="32"/>
  <c r="D78" i="32"/>
  <c r="F78" i="32" s="1"/>
  <c r="D77" i="32"/>
  <c r="F77" i="32" s="1"/>
  <c r="D15" i="32"/>
  <c r="D14" i="32"/>
  <c r="D76" i="32"/>
  <c r="F76" i="32" s="1"/>
  <c r="D75" i="32"/>
  <c r="F75" i="32" s="1"/>
  <c r="D13" i="32"/>
  <c r="D12" i="32"/>
  <c r="D74" i="32"/>
  <c r="F74" i="32" s="1"/>
  <c r="D73" i="32"/>
  <c r="F73" i="32" s="1"/>
  <c r="D11" i="32"/>
  <c r="D10" i="32"/>
  <c r="D72" i="32"/>
  <c r="F72" i="32" s="1"/>
  <c r="D71" i="32"/>
  <c r="D9" i="32"/>
  <c r="D8" i="32"/>
  <c r="D70" i="32"/>
  <c r="F70" i="32" s="1"/>
  <c r="D69" i="32"/>
  <c r="F69" i="32" s="1"/>
  <c r="D7" i="32"/>
  <c r="D6" i="32"/>
  <c r="D68" i="32"/>
  <c r="F68" i="32" s="1"/>
  <c r="D67" i="32"/>
  <c r="F67" i="32" s="1"/>
  <c r="D64" i="32"/>
  <c r="D5" i="32"/>
  <c r="E95" i="36"/>
  <c r="E95" i="34"/>
  <c r="E95" i="32"/>
  <c r="E105" i="31"/>
  <c r="E95" i="31"/>
  <c r="E118" i="30"/>
  <c r="D118" i="30"/>
  <c r="E64" i="30"/>
  <c r="E105" i="29"/>
  <c r="E95" i="29"/>
  <c r="E118" i="28"/>
  <c r="D118" i="28"/>
  <c r="E64" i="28"/>
  <c r="F64" i="28" s="1"/>
  <c r="E105" i="27"/>
  <c r="E95" i="27"/>
  <c r="E118" i="26"/>
  <c r="D118" i="26"/>
  <c r="E64" i="26"/>
  <c r="E118" i="34"/>
  <c r="E95" i="25"/>
  <c r="E105" i="25"/>
  <c r="E118" i="25"/>
  <c r="D31" i="24"/>
  <c r="D93" i="24"/>
  <c r="F93" i="24" s="1"/>
  <c r="D29" i="24"/>
  <c r="D91" i="24"/>
  <c r="F91" i="24" s="1"/>
  <c r="D27" i="24"/>
  <c r="D89" i="24"/>
  <c r="F89" i="24" s="1"/>
  <c r="D25" i="24"/>
  <c r="D87" i="24"/>
  <c r="F87" i="24" s="1"/>
  <c r="D23" i="24"/>
  <c r="D85" i="24"/>
  <c r="F85" i="24" s="1"/>
  <c r="D21" i="24"/>
  <c r="D83" i="24"/>
  <c r="F83" i="24" s="1"/>
  <c r="D19" i="24"/>
  <c r="D81" i="24"/>
  <c r="F81" i="24" s="1"/>
  <c r="D17" i="24"/>
  <c r="D79" i="24"/>
  <c r="F79" i="24" s="1"/>
  <c r="D15" i="24"/>
  <c r="D77" i="24"/>
  <c r="F77" i="24" s="1"/>
  <c r="D13" i="24"/>
  <c r="D75" i="24"/>
  <c r="F75" i="24" s="1"/>
  <c r="D11" i="24"/>
  <c r="D73" i="24"/>
  <c r="F73" i="24" s="1"/>
  <c r="D9" i="24"/>
  <c r="D71" i="24"/>
  <c r="F71" i="24" s="1"/>
  <c r="D7" i="24"/>
  <c r="D69" i="24"/>
  <c r="F69" i="24" s="1"/>
  <c r="D5" i="24"/>
  <c r="D33" i="24" s="1"/>
  <c r="D64" i="24"/>
  <c r="D67" i="24"/>
  <c r="F67" i="24" s="1"/>
  <c r="E95" i="24"/>
  <c r="E105" i="24"/>
  <c r="E118" i="24"/>
  <c r="D31" i="23"/>
  <c r="D93" i="23"/>
  <c r="F93" i="23" s="1"/>
  <c r="D29" i="23"/>
  <c r="D91" i="23"/>
  <c r="F91" i="23" s="1"/>
  <c r="D27" i="23"/>
  <c r="D89" i="23"/>
  <c r="F89" i="23" s="1"/>
  <c r="D25" i="23"/>
  <c r="D87" i="23"/>
  <c r="F87" i="23" s="1"/>
  <c r="D23" i="23"/>
  <c r="D85" i="23"/>
  <c r="F85" i="23" s="1"/>
  <c r="D21" i="23"/>
  <c r="D83" i="23"/>
  <c r="F83" i="23" s="1"/>
  <c r="D19" i="23"/>
  <c r="D81" i="23"/>
  <c r="F81" i="23" s="1"/>
  <c r="D17" i="23"/>
  <c r="D79" i="23"/>
  <c r="F79" i="23" s="1"/>
  <c r="D15" i="23"/>
  <c r="D77" i="23"/>
  <c r="F77" i="23" s="1"/>
  <c r="D13" i="23"/>
  <c r="D75" i="23"/>
  <c r="F75" i="23" s="1"/>
  <c r="D11" i="23"/>
  <c r="D73" i="23"/>
  <c r="F73" i="23" s="1"/>
  <c r="D9" i="23"/>
  <c r="D71" i="23"/>
  <c r="F71" i="23" s="1"/>
  <c r="D7" i="23"/>
  <c r="D69" i="23"/>
  <c r="F69" i="23" s="1"/>
  <c r="D5" i="23"/>
  <c r="D33" i="23" s="1"/>
  <c r="D64" i="23"/>
  <c r="D67" i="23"/>
  <c r="F67" i="23" s="1"/>
  <c r="E95" i="23"/>
  <c r="E105" i="23"/>
  <c r="E118" i="23"/>
  <c r="D31" i="22"/>
  <c r="D93" i="22"/>
  <c r="F93" i="22" s="1"/>
  <c r="D29" i="22"/>
  <c r="D91" i="22"/>
  <c r="F91" i="22" s="1"/>
  <c r="D27" i="22"/>
  <c r="D89" i="22"/>
  <c r="F89" i="22" s="1"/>
  <c r="D25" i="22"/>
  <c r="D87" i="22"/>
  <c r="F87" i="22" s="1"/>
  <c r="D23" i="22"/>
  <c r="D85" i="22"/>
  <c r="F85" i="22" s="1"/>
  <c r="D21" i="22"/>
  <c r="D83" i="22"/>
  <c r="F83" i="22" s="1"/>
  <c r="D19" i="22"/>
  <c r="D81" i="22"/>
  <c r="F81" i="22" s="1"/>
  <c r="D17" i="22"/>
  <c r="D79" i="22"/>
  <c r="F79" i="22" s="1"/>
  <c r="D15" i="22"/>
  <c r="D77" i="22"/>
  <c r="F77" i="22" s="1"/>
  <c r="D13" i="22"/>
  <c r="D75" i="22"/>
  <c r="F75" i="22" s="1"/>
  <c r="D11" i="22"/>
  <c r="D73" i="22"/>
  <c r="F73" i="22" s="1"/>
  <c r="D9" i="22"/>
  <c r="D71" i="22"/>
  <c r="F71" i="22" s="1"/>
  <c r="D7" i="22"/>
  <c r="D69" i="22"/>
  <c r="F69" i="22" s="1"/>
  <c r="D5" i="22"/>
  <c r="D64" i="22"/>
  <c r="D67" i="22"/>
  <c r="F67" i="22" s="1"/>
  <c r="E95" i="22"/>
  <c r="E105" i="22"/>
  <c r="E118" i="22"/>
  <c r="D31" i="21"/>
  <c r="D93" i="21"/>
  <c r="F93" i="21" s="1"/>
  <c r="D29" i="21"/>
  <c r="D91" i="21"/>
  <c r="F91" i="21" s="1"/>
  <c r="D27" i="21"/>
  <c r="D89" i="21"/>
  <c r="F89" i="21" s="1"/>
  <c r="D25" i="21"/>
  <c r="D87" i="21"/>
  <c r="F87" i="21" s="1"/>
  <c r="D23" i="21"/>
  <c r="D85" i="21"/>
  <c r="F85" i="21" s="1"/>
  <c r="D21" i="21"/>
  <c r="D83" i="21"/>
  <c r="F83" i="21" s="1"/>
  <c r="D19" i="21"/>
  <c r="D81" i="21"/>
  <c r="F81" i="21" s="1"/>
  <c r="D17" i="21"/>
  <c r="D79" i="21"/>
  <c r="F79" i="21" s="1"/>
  <c r="D15" i="21"/>
  <c r="D77" i="21"/>
  <c r="F77" i="21" s="1"/>
  <c r="D13" i="21"/>
  <c r="D75" i="21"/>
  <c r="F75" i="21" s="1"/>
  <c r="D11" i="21"/>
  <c r="D73" i="21"/>
  <c r="F73" i="21" s="1"/>
  <c r="D9" i="21"/>
  <c r="D71" i="21"/>
  <c r="D7" i="21"/>
  <c r="D69" i="21"/>
  <c r="F69" i="21" s="1"/>
  <c r="D5" i="21"/>
  <c r="D64" i="21"/>
  <c r="D67" i="21"/>
  <c r="F67" i="21" s="1"/>
  <c r="E95" i="21"/>
  <c r="E105" i="21"/>
  <c r="E118" i="21"/>
  <c r="D92" i="20"/>
  <c r="F92" i="20" s="1"/>
  <c r="D30" i="20"/>
  <c r="D88" i="20"/>
  <c r="F88" i="20" s="1"/>
  <c r="F44" i="63" s="1"/>
  <c r="D26" i="20"/>
  <c r="D84" i="20"/>
  <c r="F84" i="20" s="1"/>
  <c r="D22" i="20"/>
  <c r="D80" i="20"/>
  <c r="F80" i="20" s="1"/>
  <c r="D18" i="20"/>
  <c r="D76" i="20"/>
  <c r="F76" i="20" s="1"/>
  <c r="D14" i="20"/>
  <c r="D74" i="20"/>
  <c r="F74" i="20" s="1"/>
  <c r="D12" i="20"/>
  <c r="D72" i="20"/>
  <c r="F72" i="20" s="1"/>
  <c r="D10" i="20"/>
  <c r="D70" i="20"/>
  <c r="F70" i="20" s="1"/>
  <c r="D8" i="20"/>
  <c r="D68" i="20"/>
  <c r="F68" i="20" s="1"/>
  <c r="D6" i="20"/>
  <c r="D94" i="19"/>
  <c r="F94" i="19" s="1"/>
  <c r="D32" i="19"/>
  <c r="D92" i="19"/>
  <c r="F92" i="19" s="1"/>
  <c r="D30" i="19"/>
  <c r="D90" i="19"/>
  <c r="F90" i="19" s="1"/>
  <c r="D28" i="19"/>
  <c r="D88" i="19"/>
  <c r="F88" i="19" s="1"/>
  <c r="F45" i="63" s="1"/>
  <c r="D26" i="19"/>
  <c r="D86" i="19"/>
  <c r="F86" i="19" s="1"/>
  <c r="D24" i="19"/>
  <c r="D84" i="19"/>
  <c r="F84" i="19" s="1"/>
  <c r="D22" i="19"/>
  <c r="D82" i="19"/>
  <c r="F82" i="19" s="1"/>
  <c r="D20" i="19"/>
  <c r="D80" i="19"/>
  <c r="F80" i="19" s="1"/>
  <c r="D18" i="19"/>
  <c r="D78" i="19"/>
  <c r="F78" i="19" s="1"/>
  <c r="D16" i="19"/>
  <c r="D76" i="19"/>
  <c r="F76" i="19" s="1"/>
  <c r="D14" i="19"/>
  <c r="D74" i="19"/>
  <c r="F74" i="19" s="1"/>
  <c r="D12" i="19"/>
  <c r="D72" i="19"/>
  <c r="F72" i="19" s="1"/>
  <c r="D10" i="19"/>
  <c r="D70" i="19"/>
  <c r="F70" i="19" s="1"/>
  <c r="D8" i="19"/>
  <c r="D68" i="19"/>
  <c r="F68" i="19" s="1"/>
  <c r="D6" i="19"/>
  <c r="D94" i="18"/>
  <c r="F94" i="18" s="1"/>
  <c r="D32" i="18"/>
  <c r="D92" i="18"/>
  <c r="F92" i="18" s="1"/>
  <c r="D30" i="18"/>
  <c r="D90" i="18"/>
  <c r="F90" i="18" s="1"/>
  <c r="D28" i="18"/>
  <c r="D88" i="18"/>
  <c r="F88" i="18" s="1"/>
  <c r="F46" i="63" s="1"/>
  <c r="D26" i="18"/>
  <c r="D86" i="18"/>
  <c r="F86" i="18" s="1"/>
  <c r="D24" i="18"/>
  <c r="D84" i="18"/>
  <c r="F84" i="18" s="1"/>
  <c r="D22" i="18"/>
  <c r="D82" i="18"/>
  <c r="F82" i="18" s="1"/>
  <c r="D20" i="18"/>
  <c r="D80" i="18"/>
  <c r="F80" i="18" s="1"/>
  <c r="D18" i="18"/>
  <c r="D78" i="18"/>
  <c r="F78" i="18" s="1"/>
  <c r="D16" i="18"/>
  <c r="D76" i="18"/>
  <c r="F76" i="18" s="1"/>
  <c r="D14" i="18"/>
  <c r="D74" i="18"/>
  <c r="F74" i="18" s="1"/>
  <c r="D12" i="18"/>
  <c r="D72" i="18"/>
  <c r="F72" i="18" s="1"/>
  <c r="D10" i="18"/>
  <c r="D70" i="18"/>
  <c r="F70" i="18" s="1"/>
  <c r="D8" i="18"/>
  <c r="D68" i="18"/>
  <c r="F68" i="18" s="1"/>
  <c r="D6" i="18"/>
  <c r="D94" i="17"/>
  <c r="F94" i="17" s="1"/>
  <c r="D32" i="17"/>
  <c r="D92" i="17"/>
  <c r="F92" i="17" s="1"/>
  <c r="D30" i="17"/>
  <c r="D90" i="17"/>
  <c r="F90" i="17" s="1"/>
  <c r="D28" i="17"/>
  <c r="D88" i="17"/>
  <c r="F88" i="17" s="1"/>
  <c r="F47" i="63" s="1"/>
  <c r="D26" i="17"/>
  <c r="D86" i="17"/>
  <c r="F86" i="17" s="1"/>
  <c r="D24" i="17"/>
  <c r="D84" i="17"/>
  <c r="F84" i="17" s="1"/>
  <c r="D22" i="17"/>
  <c r="D82" i="17"/>
  <c r="F82" i="17" s="1"/>
  <c r="D20" i="17"/>
  <c r="D80" i="17"/>
  <c r="F80" i="17" s="1"/>
  <c r="D18" i="17"/>
  <c r="D78" i="17"/>
  <c r="F78" i="17" s="1"/>
  <c r="D16" i="17"/>
  <c r="D76" i="17"/>
  <c r="F76" i="17" s="1"/>
  <c r="D14" i="17"/>
  <c r="D74" i="17"/>
  <c r="F74" i="17" s="1"/>
  <c r="D12" i="17"/>
  <c r="D72" i="17"/>
  <c r="F72" i="17" s="1"/>
  <c r="D10" i="17"/>
  <c r="D70" i="17"/>
  <c r="F70" i="17" s="1"/>
  <c r="D8" i="17"/>
  <c r="D68" i="17"/>
  <c r="F68" i="17" s="1"/>
  <c r="D6" i="17"/>
  <c r="D94" i="16"/>
  <c r="F94" i="16" s="1"/>
  <c r="D32" i="16"/>
  <c r="D92" i="16"/>
  <c r="F92" i="16" s="1"/>
  <c r="D30" i="16"/>
  <c r="D90" i="16"/>
  <c r="F90" i="16" s="1"/>
  <c r="D28" i="16"/>
  <c r="D88" i="16"/>
  <c r="F88" i="16" s="1"/>
  <c r="F48" i="63" s="1"/>
  <c r="D26" i="16"/>
  <c r="D86" i="16"/>
  <c r="F86" i="16" s="1"/>
  <c r="D24" i="16"/>
  <c r="D84" i="16"/>
  <c r="F84" i="16" s="1"/>
  <c r="D22" i="16"/>
  <c r="D82" i="16"/>
  <c r="F82" i="16" s="1"/>
  <c r="D20" i="16"/>
  <c r="D80" i="16"/>
  <c r="F80" i="16" s="1"/>
  <c r="D18" i="16"/>
  <c r="D78" i="16"/>
  <c r="F78" i="16" s="1"/>
  <c r="D16" i="16"/>
  <c r="D76" i="16"/>
  <c r="F76" i="16" s="1"/>
  <c r="D14" i="16"/>
  <c r="D74" i="16"/>
  <c r="F74" i="16" s="1"/>
  <c r="D12" i="16"/>
  <c r="D72" i="16"/>
  <c r="F72" i="16" s="1"/>
  <c r="D10" i="16"/>
  <c r="D70" i="16"/>
  <c r="F70" i="16" s="1"/>
  <c r="D8" i="16"/>
  <c r="D68" i="16"/>
  <c r="F68" i="16" s="1"/>
  <c r="D6" i="16"/>
  <c r="D94" i="15"/>
  <c r="F94" i="15" s="1"/>
  <c r="D32" i="15"/>
  <c r="D92" i="15"/>
  <c r="F92" i="15" s="1"/>
  <c r="D30" i="15"/>
  <c r="D90" i="15"/>
  <c r="F90" i="15" s="1"/>
  <c r="D28" i="15"/>
  <c r="D88" i="15"/>
  <c r="F88" i="15" s="1"/>
  <c r="D26" i="15"/>
  <c r="D86" i="15"/>
  <c r="F86" i="15" s="1"/>
  <c r="D24" i="15"/>
  <c r="D84" i="15"/>
  <c r="F84" i="15" s="1"/>
  <c r="D22" i="15"/>
  <c r="D82" i="15"/>
  <c r="F82" i="15" s="1"/>
  <c r="D20" i="15"/>
  <c r="D80" i="15"/>
  <c r="F80" i="15" s="1"/>
  <c r="D18" i="15"/>
  <c r="D78" i="15"/>
  <c r="F78" i="15" s="1"/>
  <c r="D16" i="15"/>
  <c r="D76" i="15"/>
  <c r="F76" i="15" s="1"/>
  <c r="D14" i="15"/>
  <c r="D74" i="15"/>
  <c r="F74" i="15" s="1"/>
  <c r="D12" i="15"/>
  <c r="D72" i="15"/>
  <c r="F72" i="15" s="1"/>
  <c r="D10" i="15"/>
  <c r="D70" i="15"/>
  <c r="F70" i="15" s="1"/>
  <c r="D8" i="15"/>
  <c r="D68" i="15"/>
  <c r="F68" i="15" s="1"/>
  <c r="D6" i="15"/>
  <c r="D94" i="14"/>
  <c r="F94" i="14" s="1"/>
  <c r="D32" i="14"/>
  <c r="D92" i="14"/>
  <c r="F92" i="14" s="1"/>
  <c r="D30" i="14"/>
  <c r="D90" i="14"/>
  <c r="F90" i="14" s="1"/>
  <c r="D28" i="14"/>
  <c r="D88" i="14"/>
  <c r="F88" i="14" s="1"/>
  <c r="F50" i="63" s="1"/>
  <c r="D26" i="14"/>
  <c r="D86" i="14"/>
  <c r="F86" i="14" s="1"/>
  <c r="D24" i="14"/>
  <c r="D84" i="14"/>
  <c r="F84" i="14" s="1"/>
  <c r="D22" i="14"/>
  <c r="D82" i="14"/>
  <c r="F82" i="14" s="1"/>
  <c r="D20" i="14"/>
  <c r="D80" i="14"/>
  <c r="F80" i="14" s="1"/>
  <c r="D18" i="14"/>
  <c r="D78" i="14"/>
  <c r="F78" i="14" s="1"/>
  <c r="D16" i="14"/>
  <c r="D76" i="14"/>
  <c r="F76" i="14" s="1"/>
  <c r="D14" i="14"/>
  <c r="D74" i="14"/>
  <c r="F74" i="14" s="1"/>
  <c r="D12" i="14"/>
  <c r="D72" i="14"/>
  <c r="F72" i="14" s="1"/>
  <c r="D10" i="14"/>
  <c r="D70" i="14"/>
  <c r="F70" i="14" s="1"/>
  <c r="D8" i="14"/>
  <c r="D68" i="14"/>
  <c r="F68" i="14" s="1"/>
  <c r="D6" i="14"/>
  <c r="D94" i="13"/>
  <c r="F94" i="13" s="1"/>
  <c r="D32" i="13"/>
  <c r="D92" i="13"/>
  <c r="F92" i="13" s="1"/>
  <c r="D30" i="13"/>
  <c r="D90" i="13"/>
  <c r="F90" i="13" s="1"/>
  <c r="D28" i="13"/>
  <c r="D88" i="13"/>
  <c r="F88" i="13" s="1"/>
  <c r="F51" i="63" s="1"/>
  <c r="D26" i="13"/>
  <c r="D86" i="13"/>
  <c r="F86" i="13" s="1"/>
  <c r="D24" i="13"/>
  <c r="D84" i="13"/>
  <c r="F84" i="13" s="1"/>
  <c r="D22" i="13"/>
  <c r="D82" i="13"/>
  <c r="F82" i="13" s="1"/>
  <c r="D20" i="13"/>
  <c r="D80" i="13"/>
  <c r="F80" i="13" s="1"/>
  <c r="D18" i="13"/>
  <c r="D78" i="13"/>
  <c r="F78" i="13" s="1"/>
  <c r="D16" i="13"/>
  <c r="D76" i="13"/>
  <c r="F76" i="13" s="1"/>
  <c r="D14" i="13"/>
  <c r="D74" i="13"/>
  <c r="F74" i="13" s="1"/>
  <c r="D12" i="13"/>
  <c r="D72" i="13"/>
  <c r="F72" i="13" s="1"/>
  <c r="D10" i="13"/>
  <c r="D70" i="13"/>
  <c r="F70" i="13" s="1"/>
  <c r="D8" i="13"/>
  <c r="D68" i="13"/>
  <c r="F68" i="13" s="1"/>
  <c r="D6" i="13"/>
  <c r="D94" i="12"/>
  <c r="F94" i="12" s="1"/>
  <c r="D32" i="12"/>
  <c r="D92" i="12"/>
  <c r="F92" i="12" s="1"/>
  <c r="D30" i="12"/>
  <c r="D90" i="12"/>
  <c r="F90" i="12" s="1"/>
  <c r="D28" i="12"/>
  <c r="D88" i="12"/>
  <c r="F88" i="12" s="1"/>
  <c r="D26" i="12"/>
  <c r="D86" i="12"/>
  <c r="F86" i="12" s="1"/>
  <c r="D24" i="12"/>
  <c r="D84" i="12"/>
  <c r="F84" i="12" s="1"/>
  <c r="D22" i="12"/>
  <c r="D82" i="12"/>
  <c r="F82" i="12" s="1"/>
  <c r="D20" i="12"/>
  <c r="D80" i="12"/>
  <c r="F80" i="12" s="1"/>
  <c r="D18" i="12"/>
  <c r="D78" i="12"/>
  <c r="F78" i="12" s="1"/>
  <c r="D16" i="12"/>
  <c r="D76" i="12"/>
  <c r="F76" i="12" s="1"/>
  <c r="D14" i="12"/>
  <c r="D74" i="12"/>
  <c r="F74" i="12" s="1"/>
  <c r="D12" i="12"/>
  <c r="D72" i="12"/>
  <c r="F72" i="12" s="1"/>
  <c r="D10" i="12"/>
  <c r="D70" i="12"/>
  <c r="F70" i="12" s="1"/>
  <c r="D8" i="12"/>
  <c r="D68" i="12"/>
  <c r="F68" i="12" s="1"/>
  <c r="D6" i="12"/>
  <c r="D94" i="11"/>
  <c r="F94" i="11" s="1"/>
  <c r="D32" i="11"/>
  <c r="D92" i="11"/>
  <c r="F92" i="11" s="1"/>
  <c r="D30" i="11"/>
  <c r="D90" i="11"/>
  <c r="F90" i="11" s="1"/>
  <c r="D28" i="11"/>
  <c r="D88" i="11"/>
  <c r="F88" i="11" s="1"/>
  <c r="F53" i="63" s="1"/>
  <c r="D26" i="11"/>
  <c r="D86" i="11"/>
  <c r="F86" i="11" s="1"/>
  <c r="D24" i="11"/>
  <c r="D84" i="11"/>
  <c r="F84" i="11" s="1"/>
  <c r="D22" i="11"/>
  <c r="D82" i="11"/>
  <c r="F82" i="11" s="1"/>
  <c r="D20" i="11"/>
  <c r="D80" i="11"/>
  <c r="F80" i="11" s="1"/>
  <c r="D18" i="11"/>
  <c r="D78" i="11"/>
  <c r="F78" i="11" s="1"/>
  <c r="D16" i="11"/>
  <c r="D76" i="11"/>
  <c r="F76" i="11" s="1"/>
  <c r="D14" i="11"/>
  <c r="D74" i="11"/>
  <c r="F74" i="11" s="1"/>
  <c r="D12" i="11"/>
  <c r="D72" i="11"/>
  <c r="F72" i="11" s="1"/>
  <c r="D10" i="11"/>
  <c r="D70" i="11"/>
  <c r="F70" i="11" s="1"/>
  <c r="D8" i="11"/>
  <c r="D68" i="11"/>
  <c r="F68" i="11" s="1"/>
  <c r="D6" i="11"/>
  <c r="D94" i="10"/>
  <c r="F94" i="10" s="1"/>
  <c r="D32" i="10"/>
  <c r="D92" i="10"/>
  <c r="F92" i="10" s="1"/>
  <c r="D30" i="10"/>
  <c r="D90" i="10"/>
  <c r="F90" i="10" s="1"/>
  <c r="D28" i="10"/>
  <c r="D88" i="10"/>
  <c r="F88" i="10" s="1"/>
  <c r="F54" i="63" s="1"/>
  <c r="D26" i="10"/>
  <c r="D86" i="10"/>
  <c r="F86" i="10" s="1"/>
  <c r="D24" i="10"/>
  <c r="D84" i="10"/>
  <c r="F84" i="10" s="1"/>
  <c r="D22" i="10"/>
  <c r="D82" i="10"/>
  <c r="F82" i="10" s="1"/>
  <c r="D20" i="10"/>
  <c r="D80" i="10"/>
  <c r="F80" i="10" s="1"/>
  <c r="D18" i="10"/>
  <c r="D78" i="10"/>
  <c r="F78" i="10" s="1"/>
  <c r="D16" i="10"/>
  <c r="D76" i="10"/>
  <c r="F76" i="10" s="1"/>
  <c r="D14" i="10"/>
  <c r="D74" i="10"/>
  <c r="F74" i="10" s="1"/>
  <c r="D12" i="10"/>
  <c r="D72" i="10"/>
  <c r="F72" i="10" s="1"/>
  <c r="D10" i="10"/>
  <c r="D70" i="10"/>
  <c r="F70" i="10" s="1"/>
  <c r="D8" i="10"/>
  <c r="D68" i="10"/>
  <c r="F68" i="10" s="1"/>
  <c r="D6" i="10"/>
  <c r="D94" i="9"/>
  <c r="F94" i="9" s="1"/>
  <c r="D32" i="9"/>
  <c r="D92" i="9"/>
  <c r="F92" i="9" s="1"/>
  <c r="D30" i="9"/>
  <c r="D90" i="9"/>
  <c r="F90" i="9" s="1"/>
  <c r="D28" i="9"/>
  <c r="D88" i="9"/>
  <c r="F88" i="9" s="1"/>
  <c r="F55" i="63" s="1"/>
  <c r="D26" i="9"/>
  <c r="D86" i="9"/>
  <c r="F86" i="9" s="1"/>
  <c r="D24" i="9"/>
  <c r="D84" i="9"/>
  <c r="F84" i="9" s="1"/>
  <c r="D22" i="9"/>
  <c r="D118" i="9"/>
  <c r="E64" i="9"/>
  <c r="E105" i="8"/>
  <c r="E95" i="8"/>
  <c r="E118" i="7"/>
  <c r="D118" i="7"/>
  <c r="E64" i="7"/>
  <c r="F64" i="7" s="1"/>
  <c r="E105" i="6"/>
  <c r="E95" i="6"/>
  <c r="E118" i="5"/>
  <c r="D118" i="5"/>
  <c r="E64" i="5"/>
  <c r="F64" i="5" s="1"/>
  <c r="E105" i="4"/>
  <c r="E95" i="4"/>
  <c r="E118" i="3"/>
  <c r="D118" i="3"/>
  <c r="E64" i="3"/>
  <c r="F64" i="3" s="1"/>
  <c r="E105" i="59"/>
  <c r="E95" i="59"/>
  <c r="C109" i="59" s="1"/>
  <c r="F109" i="59" s="1"/>
  <c r="E118" i="1"/>
  <c r="D118" i="1"/>
  <c r="E64" i="1"/>
  <c r="F64" i="1" s="1"/>
  <c r="E105" i="56"/>
  <c r="E95" i="56"/>
  <c r="D94" i="20"/>
  <c r="F94" i="20" s="1"/>
  <c r="D32" i="20"/>
  <c r="D90" i="20"/>
  <c r="F90" i="20" s="1"/>
  <c r="D28" i="20"/>
  <c r="D86" i="20"/>
  <c r="F86" i="20" s="1"/>
  <c r="D24" i="20"/>
  <c r="D82" i="20"/>
  <c r="F82" i="20" s="1"/>
  <c r="D20" i="20"/>
  <c r="D78" i="20"/>
  <c r="F78" i="20" s="1"/>
  <c r="D16" i="20"/>
  <c r="E64" i="20"/>
  <c r="F64" i="20" s="1"/>
  <c r="D118" i="20"/>
  <c r="E64" i="19"/>
  <c r="F64" i="19" s="1"/>
  <c r="D118" i="19"/>
  <c r="E64" i="18"/>
  <c r="F64" i="18" s="1"/>
  <c r="D118" i="18"/>
  <c r="E64" i="17"/>
  <c r="F64" i="17" s="1"/>
  <c r="D118" i="17"/>
  <c r="E64" i="16"/>
  <c r="F64" i="16" s="1"/>
  <c r="D118" i="16"/>
  <c r="E118" i="16"/>
  <c r="E64" i="15"/>
  <c r="D118" i="15"/>
  <c r="E118" i="15"/>
  <c r="E64" i="14"/>
  <c r="F64" i="14" s="1"/>
  <c r="D118" i="14"/>
  <c r="E64" i="13"/>
  <c r="F64" i="13" s="1"/>
  <c r="D118" i="13"/>
  <c r="E64" i="12"/>
  <c r="D118" i="12"/>
  <c r="E118" i="12"/>
  <c r="E64" i="11"/>
  <c r="D118" i="11"/>
  <c r="E64" i="10"/>
  <c r="D118" i="10"/>
  <c r="F120" i="60"/>
  <c r="D32" i="60"/>
  <c r="D94" i="60"/>
  <c r="D28" i="60"/>
  <c r="D90" i="60"/>
  <c r="D86" i="60"/>
  <c r="D78" i="60"/>
  <c r="D70" i="60"/>
  <c r="D29" i="60"/>
  <c r="D91" i="60"/>
  <c r="D25" i="60"/>
  <c r="D87" i="60"/>
  <c r="D21" i="60"/>
  <c r="D83" i="60"/>
  <c r="D13" i="60"/>
  <c r="D75" i="60"/>
  <c r="D9" i="60"/>
  <c r="D71" i="60"/>
  <c r="D67" i="60"/>
  <c r="F115" i="60"/>
  <c r="F113" i="60"/>
  <c r="F111" i="60"/>
  <c r="D30" i="60"/>
  <c r="D22" i="60"/>
  <c r="D84" i="60"/>
  <c r="D18" i="60"/>
  <c r="D80" i="60"/>
  <c r="D14" i="60"/>
  <c r="D76" i="60"/>
  <c r="D10" i="60"/>
  <c r="D72" i="60"/>
  <c r="D6" i="60"/>
  <c r="D27" i="60"/>
  <c r="D89" i="60"/>
  <c r="D23" i="60"/>
  <c r="D15" i="60"/>
  <c r="D11" i="60"/>
  <c r="D73" i="60"/>
  <c r="D118" i="57"/>
  <c r="D109" i="60"/>
  <c r="E118" i="57"/>
  <c r="E109" i="60"/>
  <c r="D95" i="57"/>
  <c r="D7" i="60" l="1"/>
  <c r="D19" i="60"/>
  <c r="D31" i="60"/>
  <c r="D26" i="60"/>
  <c r="D17" i="60"/>
  <c r="D74" i="60"/>
  <c r="D82" i="60"/>
  <c r="F24" i="63"/>
  <c r="F15" i="63"/>
  <c r="F52" i="63"/>
  <c r="F62" i="63"/>
  <c r="F49" i="63"/>
  <c r="F114" i="60"/>
  <c r="F110" i="60"/>
  <c r="F112" i="60"/>
  <c r="D64" i="60"/>
  <c r="E95" i="60"/>
  <c r="E64" i="63" s="1"/>
  <c r="E105" i="60"/>
  <c r="D5" i="60"/>
  <c r="F64" i="30"/>
  <c r="F64" i="54"/>
  <c r="F58" i="60"/>
  <c r="F64" i="10"/>
  <c r="F64" i="11"/>
  <c r="F64" i="9"/>
  <c r="F64" i="26"/>
  <c r="F40" i="60"/>
  <c r="F56" i="60"/>
  <c r="F49" i="60"/>
  <c r="F53" i="60"/>
  <c r="F55" i="60"/>
  <c r="F41" i="60"/>
  <c r="F59" i="60"/>
  <c r="F45" i="60"/>
  <c r="F61" i="60"/>
  <c r="F38" i="60"/>
  <c r="F69" i="60"/>
  <c r="F71" i="60"/>
  <c r="F73" i="60"/>
  <c r="F75" i="60"/>
  <c r="F77" i="60"/>
  <c r="F81" i="60"/>
  <c r="F83" i="60"/>
  <c r="F85" i="60"/>
  <c r="F33" i="63"/>
  <c r="F64" i="38"/>
  <c r="F27" i="63"/>
  <c r="F51" i="60"/>
  <c r="F47" i="60"/>
  <c r="F43" i="60"/>
  <c r="F36" i="60"/>
  <c r="F50" i="60"/>
  <c r="F68" i="60"/>
  <c r="F72" i="60"/>
  <c r="F76" i="60"/>
  <c r="F78" i="60"/>
  <c r="F80" i="60"/>
  <c r="F84" i="60"/>
  <c r="F86" i="60"/>
  <c r="F92" i="60"/>
  <c r="F87" i="60"/>
  <c r="F89" i="60"/>
  <c r="D95" i="38"/>
  <c r="D105" i="38" s="1"/>
  <c r="F67" i="38"/>
  <c r="F91" i="60"/>
  <c r="F74" i="60"/>
  <c r="F54" i="60"/>
  <c r="F46" i="60"/>
  <c r="F42" i="60"/>
  <c r="F39" i="60"/>
  <c r="F56" i="63"/>
  <c r="F22" i="63"/>
  <c r="F19" i="63"/>
  <c r="D95" i="47"/>
  <c r="F95" i="47" s="1"/>
  <c r="F67" i="47"/>
  <c r="F14" i="63"/>
  <c r="E64" i="60"/>
  <c r="M64" i="63" s="1"/>
  <c r="F79" i="60"/>
  <c r="F70" i="60"/>
  <c r="F82" i="60"/>
  <c r="F60" i="60"/>
  <c r="F52" i="60"/>
  <c r="F48" i="60"/>
  <c r="F44" i="60"/>
  <c r="F37" i="60"/>
  <c r="F90" i="60"/>
  <c r="F32" i="63"/>
  <c r="F28" i="63"/>
  <c r="F12" i="63"/>
  <c r="F60" i="63"/>
  <c r="F58" i="63"/>
  <c r="F38" i="63"/>
  <c r="F36" i="63"/>
  <c r="F34" i="63"/>
  <c r="F29" i="63"/>
  <c r="F20" i="63"/>
  <c r="F43" i="63"/>
  <c r="F41" i="63"/>
  <c r="F39" i="63"/>
  <c r="F42" i="63"/>
  <c r="F40" i="63"/>
  <c r="F30" i="63"/>
  <c r="F18" i="63"/>
  <c r="F13" i="63"/>
  <c r="F63" i="63"/>
  <c r="F61" i="63"/>
  <c r="F59" i="63"/>
  <c r="F57" i="63"/>
  <c r="F37" i="63"/>
  <c r="F35" i="63"/>
  <c r="F31" i="63"/>
  <c r="F26" i="63"/>
  <c r="F25" i="63"/>
  <c r="F23" i="63"/>
  <c r="F21" i="63"/>
  <c r="F8" i="63"/>
  <c r="F88" i="60"/>
  <c r="F105" i="38"/>
  <c r="F103" i="38"/>
  <c r="T26" i="63" s="1"/>
  <c r="F101" i="38"/>
  <c r="P26" i="63" s="1"/>
  <c r="F99" i="38"/>
  <c r="L26" i="63" s="1"/>
  <c r="F104" i="38"/>
  <c r="V26" i="63" s="1"/>
  <c r="F102" i="38"/>
  <c r="R26" i="63" s="1"/>
  <c r="F100" i="38"/>
  <c r="H26" i="63" s="1"/>
  <c r="F98" i="38"/>
  <c r="J26" i="63" s="1"/>
  <c r="F64" i="32"/>
  <c r="F64" i="36"/>
  <c r="D105" i="47"/>
  <c r="E32" i="47" s="1"/>
  <c r="F32" i="47" s="1"/>
  <c r="AC14" i="62" s="1"/>
  <c r="F64" i="34"/>
  <c r="F57" i="60"/>
  <c r="M12" i="63"/>
  <c r="F64" i="52"/>
  <c r="M8" i="63"/>
  <c r="F64" i="56"/>
  <c r="M60" i="63"/>
  <c r="F64" i="4"/>
  <c r="M58" i="63"/>
  <c r="F64" i="6"/>
  <c r="M56" i="63"/>
  <c r="F64" i="8"/>
  <c r="M37" i="63"/>
  <c r="F64" i="27"/>
  <c r="M35" i="63"/>
  <c r="F64" i="29"/>
  <c r="M33" i="63"/>
  <c r="F64" i="31"/>
  <c r="M22" i="63"/>
  <c r="F64" i="42"/>
  <c r="M20" i="63"/>
  <c r="F64" i="44"/>
  <c r="M16" i="63"/>
  <c r="F64" i="48"/>
  <c r="M43" i="63"/>
  <c r="F64" i="21"/>
  <c r="M42" i="63"/>
  <c r="F64" i="22"/>
  <c r="M41" i="63"/>
  <c r="F64" i="23"/>
  <c r="M40" i="63"/>
  <c r="F64" i="24"/>
  <c r="M39" i="63"/>
  <c r="F64" i="25"/>
  <c r="M11" i="63"/>
  <c r="F64" i="53"/>
  <c r="M9" i="63"/>
  <c r="F64" i="55"/>
  <c r="C109" i="6"/>
  <c r="F109" i="6" s="1"/>
  <c r="C109" i="27"/>
  <c r="F109" i="27" s="1"/>
  <c r="C109" i="31"/>
  <c r="F109" i="31" s="1"/>
  <c r="C109" i="32"/>
  <c r="F109" i="32" s="1"/>
  <c r="C109" i="36"/>
  <c r="F109" i="36" s="1"/>
  <c r="C109" i="45"/>
  <c r="F109" i="45" s="1"/>
  <c r="C109" i="46"/>
  <c r="F109" i="46" s="1"/>
  <c r="C109" i="50"/>
  <c r="F109" i="50" s="1"/>
  <c r="C109" i="13"/>
  <c r="F109" i="13" s="1"/>
  <c r="C109" i="14"/>
  <c r="F109" i="14" s="1"/>
  <c r="C109" i="16"/>
  <c r="F109" i="16" s="1"/>
  <c r="C109" i="17"/>
  <c r="F109" i="17" s="1"/>
  <c r="C109" i="18"/>
  <c r="F109" i="18" s="1"/>
  <c r="C109" i="19"/>
  <c r="F109" i="19" s="1"/>
  <c r="C109" i="20"/>
  <c r="F109" i="20" s="1"/>
  <c r="C109" i="1"/>
  <c r="F109" i="1" s="1"/>
  <c r="C109" i="3"/>
  <c r="F109" i="3" s="1"/>
  <c r="C109" i="5"/>
  <c r="F109" i="5" s="1"/>
  <c r="C109" i="7"/>
  <c r="F109" i="7" s="1"/>
  <c r="C109" i="33"/>
  <c r="F109" i="33" s="1"/>
  <c r="C109" i="37"/>
  <c r="F109" i="37" s="1"/>
  <c r="C109" i="26"/>
  <c r="F109" i="26" s="1"/>
  <c r="C109" i="28"/>
  <c r="F109" i="28" s="1"/>
  <c r="C109" i="30"/>
  <c r="F109" i="30" s="1"/>
  <c r="C109" i="38"/>
  <c r="F109" i="38" s="1"/>
  <c r="F95" i="38"/>
  <c r="C109" i="39"/>
  <c r="F109" i="39" s="1"/>
  <c r="C109" i="41"/>
  <c r="F109" i="41" s="1"/>
  <c r="C109" i="43"/>
  <c r="F109" i="43" s="1"/>
  <c r="C109" i="44"/>
  <c r="F109" i="44" s="1"/>
  <c r="C109" i="54"/>
  <c r="F109" i="54" s="1"/>
  <c r="C109" i="49"/>
  <c r="F109" i="49" s="1"/>
  <c r="F118" i="49" s="1"/>
  <c r="C109" i="56"/>
  <c r="F109" i="56" s="1"/>
  <c r="C109" i="4"/>
  <c r="F109" i="4" s="1"/>
  <c r="C109" i="8"/>
  <c r="F109" i="8" s="1"/>
  <c r="C109" i="21"/>
  <c r="F109" i="21" s="1"/>
  <c r="C109" i="22"/>
  <c r="F109" i="22" s="1"/>
  <c r="C109" i="23"/>
  <c r="F109" i="23" s="1"/>
  <c r="C109" i="24"/>
  <c r="F109" i="24" s="1"/>
  <c r="C109" i="25"/>
  <c r="F109" i="25" s="1"/>
  <c r="C109" i="29"/>
  <c r="F109" i="29" s="1"/>
  <c r="C109" i="34"/>
  <c r="F109" i="34" s="1"/>
  <c r="C109" i="42"/>
  <c r="F109" i="42" s="1"/>
  <c r="C109" i="48"/>
  <c r="F109" i="48" s="1"/>
  <c r="C109" i="51"/>
  <c r="F109" i="51" s="1"/>
  <c r="C109" i="53"/>
  <c r="F109" i="53" s="1"/>
  <c r="C109" i="9"/>
  <c r="F109" i="9" s="1"/>
  <c r="C109" i="10"/>
  <c r="F109" i="10" s="1"/>
  <c r="C109" i="11"/>
  <c r="F109" i="11" s="1"/>
  <c r="C109" i="35"/>
  <c r="F109" i="35" s="1"/>
  <c r="C109" i="52"/>
  <c r="F109" i="52" s="1"/>
  <c r="C109" i="55"/>
  <c r="F109" i="55" s="1"/>
  <c r="C109" i="57"/>
  <c r="F95" i="57"/>
  <c r="D33" i="21"/>
  <c r="D95" i="25"/>
  <c r="D105" i="25" s="1"/>
  <c r="E9" i="25" s="1"/>
  <c r="D33" i="27"/>
  <c r="D33" i="29"/>
  <c r="D33" i="22"/>
  <c r="D33" i="56"/>
  <c r="D33" i="59"/>
  <c r="D95" i="5"/>
  <c r="D105" i="5" s="1"/>
  <c r="E21" i="5" s="1"/>
  <c r="D95" i="7"/>
  <c r="D105" i="7" s="1"/>
  <c r="E24" i="7" s="1"/>
  <c r="D33" i="32"/>
  <c r="D33" i="34"/>
  <c r="B43" i="63"/>
  <c r="D33" i="49"/>
  <c r="B39" i="63"/>
  <c r="E63" i="63"/>
  <c r="E61" i="63"/>
  <c r="E51" i="63"/>
  <c r="E49" i="63"/>
  <c r="E47" i="63"/>
  <c r="E45" i="63"/>
  <c r="E43" i="63"/>
  <c r="E41" i="63"/>
  <c r="E39" i="63"/>
  <c r="E37" i="63"/>
  <c r="E35" i="63"/>
  <c r="E33" i="63"/>
  <c r="E31" i="63"/>
  <c r="E29" i="63"/>
  <c r="E27" i="63"/>
  <c r="E25" i="63"/>
  <c r="E58" i="63"/>
  <c r="E56" i="63"/>
  <c r="M54" i="63"/>
  <c r="E24" i="63"/>
  <c r="M10" i="63"/>
  <c r="M61" i="63"/>
  <c r="M57" i="63"/>
  <c r="M55" i="63"/>
  <c r="M53" i="63"/>
  <c r="M23" i="63"/>
  <c r="M21" i="63"/>
  <c r="M17" i="63"/>
  <c r="M50" i="63"/>
  <c r="M48" i="63"/>
  <c r="M46" i="63"/>
  <c r="M44" i="63"/>
  <c r="M38" i="63"/>
  <c r="M36" i="63"/>
  <c r="M34" i="63"/>
  <c r="M26" i="63"/>
  <c r="B42" i="63"/>
  <c r="B41" i="63"/>
  <c r="B40" i="63"/>
  <c r="B32" i="63"/>
  <c r="B30" i="63"/>
  <c r="B15" i="63"/>
  <c r="B8" i="63"/>
  <c r="B62" i="63"/>
  <c r="B37" i="63"/>
  <c r="B35" i="63"/>
  <c r="D33" i="40"/>
  <c r="B24" i="63" s="1"/>
  <c r="D33" i="42"/>
  <c r="B22" i="63" s="1"/>
  <c r="E8" i="63"/>
  <c r="M63" i="63"/>
  <c r="E59" i="63"/>
  <c r="M51" i="63"/>
  <c r="M49" i="63"/>
  <c r="M47" i="63"/>
  <c r="M45" i="63"/>
  <c r="M25" i="63"/>
  <c r="E54" i="63"/>
  <c r="E52" i="63"/>
  <c r="E22" i="63"/>
  <c r="E20" i="63"/>
  <c r="E18" i="63"/>
  <c r="E16" i="63"/>
  <c r="E14" i="63"/>
  <c r="E12" i="63"/>
  <c r="E10" i="63"/>
  <c r="M59" i="63"/>
  <c r="E57" i="63"/>
  <c r="E55" i="63"/>
  <c r="E53" i="63"/>
  <c r="E23" i="63"/>
  <c r="E21" i="63"/>
  <c r="E19" i="63"/>
  <c r="E17" i="63"/>
  <c r="E15" i="63"/>
  <c r="E13" i="63"/>
  <c r="E11" i="63"/>
  <c r="E9" i="63"/>
  <c r="E62" i="63"/>
  <c r="E60" i="63"/>
  <c r="M52" i="63"/>
  <c r="E50" i="63"/>
  <c r="E48" i="63"/>
  <c r="E46" i="63"/>
  <c r="E44" i="63"/>
  <c r="E42" i="63"/>
  <c r="E40" i="63"/>
  <c r="E38" i="63"/>
  <c r="E36" i="63"/>
  <c r="E34" i="63"/>
  <c r="E32" i="63"/>
  <c r="E30" i="63"/>
  <c r="E28" i="63"/>
  <c r="E26" i="63"/>
  <c r="E7" i="25"/>
  <c r="F7" i="25" s="1"/>
  <c r="E20" i="38"/>
  <c r="E10" i="5"/>
  <c r="F10" i="5" s="1"/>
  <c r="G56" i="62" s="1"/>
  <c r="E21" i="38"/>
  <c r="F21" i="38" s="1"/>
  <c r="R23" i="62" s="1"/>
  <c r="E5" i="38"/>
  <c r="F5" i="38" s="1"/>
  <c r="E6" i="38"/>
  <c r="F6" i="38" s="1"/>
  <c r="C23" i="62" s="1"/>
  <c r="E14" i="38"/>
  <c r="E22" i="38"/>
  <c r="E30" i="38"/>
  <c r="E11" i="38"/>
  <c r="E19" i="38"/>
  <c r="F19" i="38" s="1"/>
  <c r="P23" i="62" s="1"/>
  <c r="E27" i="38"/>
  <c r="E8" i="38"/>
  <c r="E16" i="38"/>
  <c r="E24" i="38"/>
  <c r="E32" i="38"/>
  <c r="E9" i="38"/>
  <c r="E17" i="38"/>
  <c r="E25" i="38"/>
  <c r="F25" i="38" s="1"/>
  <c r="V23" i="62" s="1"/>
  <c r="E10" i="38"/>
  <c r="E18" i="38"/>
  <c r="E26" i="38"/>
  <c r="F26" i="38" s="1"/>
  <c r="E7" i="38"/>
  <c r="E15" i="38"/>
  <c r="E23" i="38"/>
  <c r="E31" i="38"/>
  <c r="E5" i="47"/>
  <c r="E29" i="38"/>
  <c r="E13" i="38"/>
  <c r="E28" i="38"/>
  <c r="E12" i="38"/>
  <c r="E118" i="54"/>
  <c r="D33" i="4"/>
  <c r="B60" i="63" s="1"/>
  <c r="D33" i="6"/>
  <c r="B58" i="63" s="1"/>
  <c r="D33" i="8"/>
  <c r="B56" i="63" s="1"/>
  <c r="D95" i="26"/>
  <c r="F95" i="26" s="1"/>
  <c r="D95" i="28"/>
  <c r="F95" i="28" s="1"/>
  <c r="D95" i="30"/>
  <c r="F95" i="30" s="1"/>
  <c r="D33" i="33"/>
  <c r="B31" i="63" s="1"/>
  <c r="D33" i="35"/>
  <c r="B29" i="63" s="1"/>
  <c r="D33" i="37"/>
  <c r="B27" i="63" s="1"/>
  <c r="D95" i="39"/>
  <c r="F95" i="39" s="1"/>
  <c r="D95" i="41"/>
  <c r="F95" i="41" s="1"/>
  <c r="D95" i="43"/>
  <c r="F95" i="43" s="1"/>
  <c r="E118" i="55"/>
  <c r="D95" i="1"/>
  <c r="F95" i="1" s="1"/>
  <c r="D95" i="3"/>
  <c r="F95" i="3" s="1"/>
  <c r="D33" i="45"/>
  <c r="B19" i="63" s="1"/>
  <c r="D95" i="22"/>
  <c r="F95" i="22" s="1"/>
  <c r="D95" i="24"/>
  <c r="F95" i="24" s="1"/>
  <c r="D33" i="31"/>
  <c r="B33" i="63" s="1"/>
  <c r="D33" i="52"/>
  <c r="B12" i="63" s="1"/>
  <c r="D33" i="50"/>
  <c r="B14" i="63" s="1"/>
  <c r="D95" i="21"/>
  <c r="F95" i="21" s="1"/>
  <c r="D95" i="23"/>
  <c r="F95" i="23" s="1"/>
  <c r="D33" i="36"/>
  <c r="B28" i="63" s="1"/>
  <c r="D95" i="36"/>
  <c r="F95" i="36" s="1"/>
  <c r="D33" i="46"/>
  <c r="B18" i="63" s="1"/>
  <c r="D95" i="46"/>
  <c r="F95" i="46" s="1"/>
  <c r="D33" i="51"/>
  <c r="B13" i="63" s="1"/>
  <c r="D95" i="51"/>
  <c r="F95" i="51" s="1"/>
  <c r="D95" i="52"/>
  <c r="F95" i="52" s="1"/>
  <c r="D33" i="55"/>
  <c r="B9" i="63" s="1"/>
  <c r="D95" i="55"/>
  <c r="F95" i="55" s="1"/>
  <c r="D95" i="56"/>
  <c r="F95" i="56" s="1"/>
  <c r="D33" i="1"/>
  <c r="B63" i="63" s="1"/>
  <c r="D95" i="59"/>
  <c r="F95" i="59" s="1"/>
  <c r="D33" i="3"/>
  <c r="B61" i="63" s="1"/>
  <c r="D95" i="4"/>
  <c r="F95" i="4" s="1"/>
  <c r="D33" i="5"/>
  <c r="B59" i="63" s="1"/>
  <c r="D95" i="6"/>
  <c r="F95" i="6" s="1"/>
  <c r="D33" i="7"/>
  <c r="B57" i="63" s="1"/>
  <c r="D95" i="8"/>
  <c r="F95" i="8" s="1"/>
  <c r="D95" i="9"/>
  <c r="F95" i="9" s="1"/>
  <c r="D95" i="10"/>
  <c r="F95" i="10" s="1"/>
  <c r="D33" i="11"/>
  <c r="B53" i="63" s="1"/>
  <c r="D95" i="12"/>
  <c r="F95" i="12" s="1"/>
  <c r="D33" i="13"/>
  <c r="B51" i="63" s="1"/>
  <c r="D95" i="14"/>
  <c r="F95" i="14" s="1"/>
  <c r="D33" i="15"/>
  <c r="B49" i="63" s="1"/>
  <c r="D95" i="16"/>
  <c r="F95" i="16" s="1"/>
  <c r="D33" i="17"/>
  <c r="B47" i="63" s="1"/>
  <c r="D95" i="18"/>
  <c r="F95" i="18" s="1"/>
  <c r="D33" i="19"/>
  <c r="B45" i="63" s="1"/>
  <c r="D33" i="20"/>
  <c r="B44" i="63" s="1"/>
  <c r="D33" i="26"/>
  <c r="B38" i="63" s="1"/>
  <c r="D95" i="27"/>
  <c r="F95" i="27" s="1"/>
  <c r="D33" i="28"/>
  <c r="B36" i="63" s="1"/>
  <c r="D95" i="29"/>
  <c r="F95" i="29" s="1"/>
  <c r="D33" i="30"/>
  <c r="B34" i="63" s="1"/>
  <c r="D95" i="31"/>
  <c r="F95" i="31" s="1"/>
  <c r="D33" i="38"/>
  <c r="B26" i="63" s="1"/>
  <c r="U26" i="63" s="1"/>
  <c r="D33" i="39"/>
  <c r="B25" i="63" s="1"/>
  <c r="D95" i="40"/>
  <c r="F95" i="40" s="1"/>
  <c r="D33" i="41"/>
  <c r="B23" i="63" s="1"/>
  <c r="D95" i="42"/>
  <c r="F95" i="42" s="1"/>
  <c r="D33" i="43"/>
  <c r="B21" i="63" s="1"/>
  <c r="D33" i="44"/>
  <c r="B20" i="63" s="1"/>
  <c r="D95" i="44"/>
  <c r="F95" i="44" s="1"/>
  <c r="D33" i="47"/>
  <c r="B17" i="63" s="1"/>
  <c r="D33" i="48"/>
  <c r="B16" i="63" s="1"/>
  <c r="D95" i="48"/>
  <c r="F95" i="48" s="1"/>
  <c r="F116" i="60"/>
  <c r="D33" i="54"/>
  <c r="B10" i="63" s="1"/>
  <c r="D95" i="54"/>
  <c r="F95" i="54" s="1"/>
  <c r="E116" i="60"/>
  <c r="E118" i="60" s="1"/>
  <c r="E118" i="6"/>
  <c r="E118" i="31"/>
  <c r="E118" i="42"/>
  <c r="E118" i="4"/>
  <c r="D95" i="32"/>
  <c r="F95" i="32" s="1"/>
  <c r="D95" i="34"/>
  <c r="F95" i="34" s="1"/>
  <c r="D95" i="49"/>
  <c r="F95" i="49" s="1"/>
  <c r="D33" i="9"/>
  <c r="B55" i="63" s="1"/>
  <c r="D33" i="10"/>
  <c r="B54" i="63" s="1"/>
  <c r="D95" i="11"/>
  <c r="F95" i="11" s="1"/>
  <c r="D33" i="12"/>
  <c r="B52" i="63" s="1"/>
  <c r="D95" i="13"/>
  <c r="F95" i="13" s="1"/>
  <c r="D33" i="14"/>
  <c r="B50" i="63" s="1"/>
  <c r="D95" i="15"/>
  <c r="F95" i="15" s="1"/>
  <c r="D33" i="16"/>
  <c r="B48" i="63" s="1"/>
  <c r="D95" i="17"/>
  <c r="F95" i="17" s="1"/>
  <c r="D33" i="18"/>
  <c r="B46" i="63" s="1"/>
  <c r="D95" i="19"/>
  <c r="F95" i="19" s="1"/>
  <c r="D95" i="20"/>
  <c r="F95" i="20" s="1"/>
  <c r="D36" i="62"/>
  <c r="D95" i="33"/>
  <c r="F95" i="33" s="1"/>
  <c r="D95" i="35"/>
  <c r="F95" i="35" s="1"/>
  <c r="D95" i="37"/>
  <c r="F95" i="37" s="1"/>
  <c r="D95" i="45"/>
  <c r="F95" i="45" s="1"/>
  <c r="D95" i="50"/>
  <c r="F95" i="50" s="1"/>
  <c r="D33" i="53"/>
  <c r="B11" i="63" s="1"/>
  <c r="D95" i="53"/>
  <c r="F95" i="53" s="1"/>
  <c r="E118" i="59"/>
  <c r="E118" i="27"/>
  <c r="E118" i="56"/>
  <c r="E118" i="8"/>
  <c r="E118" i="29"/>
  <c r="E118" i="40"/>
  <c r="D105" i="57"/>
  <c r="D95" i="60"/>
  <c r="D118" i="60"/>
  <c r="D33" i="60"/>
  <c r="B64" i="63" s="1"/>
  <c r="E24" i="47" l="1"/>
  <c r="F24" i="47" s="1"/>
  <c r="U14" i="62" s="1"/>
  <c r="E26" i="25"/>
  <c r="E7" i="47"/>
  <c r="F7" i="47" s="1"/>
  <c r="D14" i="62" s="1"/>
  <c r="E30" i="47"/>
  <c r="E17" i="47"/>
  <c r="E20" i="25"/>
  <c r="E29" i="5"/>
  <c r="E26" i="47"/>
  <c r="F26" i="47" s="1"/>
  <c r="E25" i="47"/>
  <c r="E27" i="47"/>
  <c r="E23" i="47"/>
  <c r="E21" i="47"/>
  <c r="F21" i="47" s="1"/>
  <c r="R14" i="62" s="1"/>
  <c r="E20" i="47"/>
  <c r="F20" i="47" s="1"/>
  <c r="Q14" i="62" s="1"/>
  <c r="E14" i="47"/>
  <c r="E16" i="47"/>
  <c r="F16" i="47" s="1"/>
  <c r="M14" i="62" s="1"/>
  <c r="E19" i="47"/>
  <c r="F19" i="47" s="1"/>
  <c r="P14" i="62" s="1"/>
  <c r="E18" i="47"/>
  <c r="F18" i="47" s="1"/>
  <c r="O14" i="62" s="1"/>
  <c r="E9" i="5"/>
  <c r="E11" i="5"/>
  <c r="E15" i="5"/>
  <c r="E14" i="25"/>
  <c r="E23" i="5"/>
  <c r="F23" i="5" s="1"/>
  <c r="T56" i="62" s="1"/>
  <c r="E6" i="5"/>
  <c r="F6" i="5" s="1"/>
  <c r="C56" i="62" s="1"/>
  <c r="E24" i="25"/>
  <c r="F24" i="25" s="1"/>
  <c r="U36" i="62" s="1"/>
  <c r="E24" i="5"/>
  <c r="E10" i="47"/>
  <c r="E8" i="47"/>
  <c r="E9" i="47"/>
  <c r="E11" i="47"/>
  <c r="E31" i="47"/>
  <c r="F31" i="47" s="1"/>
  <c r="E15" i="47"/>
  <c r="E29" i="47"/>
  <c r="F29" i="47" s="1"/>
  <c r="Z14" i="62" s="1"/>
  <c r="E13" i="47"/>
  <c r="E28" i="47"/>
  <c r="F28" i="47" s="1"/>
  <c r="Y14" i="62" s="1"/>
  <c r="E12" i="47"/>
  <c r="E22" i="47"/>
  <c r="E6" i="47"/>
  <c r="E18" i="5"/>
  <c r="E21" i="25"/>
  <c r="E20" i="5"/>
  <c r="F20" i="5" s="1"/>
  <c r="Q56" i="62" s="1"/>
  <c r="E25" i="5"/>
  <c r="E27" i="5"/>
  <c r="E22" i="5"/>
  <c r="E19" i="25"/>
  <c r="E12" i="25"/>
  <c r="E8" i="5"/>
  <c r="F8" i="5" s="1"/>
  <c r="E56" i="62" s="1"/>
  <c r="E13" i="5"/>
  <c r="E29" i="7"/>
  <c r="E23" i="7"/>
  <c r="F23" i="7" s="1"/>
  <c r="T54" i="62" s="1"/>
  <c r="E18" i="7"/>
  <c r="F18" i="7" s="1"/>
  <c r="O54" i="62" s="1"/>
  <c r="E8" i="7"/>
  <c r="F8" i="7" s="1"/>
  <c r="E54" i="62" s="1"/>
  <c r="E30" i="7"/>
  <c r="F30" i="7" s="1"/>
  <c r="AA54" i="62" s="1"/>
  <c r="E15" i="25"/>
  <c r="E7" i="5"/>
  <c r="F7" i="5" s="1"/>
  <c r="D56" i="62" s="1"/>
  <c r="E5" i="25"/>
  <c r="F5" i="25" s="1"/>
  <c r="E10" i="25"/>
  <c r="F10" i="25" s="1"/>
  <c r="G36" i="62" s="1"/>
  <c r="E12" i="5"/>
  <c r="F12" i="5" s="1"/>
  <c r="I56" i="62" s="1"/>
  <c r="E28" i="5"/>
  <c r="F28" i="5" s="1"/>
  <c r="Y56" i="62" s="1"/>
  <c r="E17" i="5"/>
  <c r="F17" i="5" s="1"/>
  <c r="N56" i="62" s="1"/>
  <c r="E31" i="5"/>
  <c r="F31" i="5" s="1"/>
  <c r="E19" i="5"/>
  <c r="E30" i="5"/>
  <c r="E14" i="5"/>
  <c r="E8" i="25"/>
  <c r="F8" i="25" s="1"/>
  <c r="E36" i="62" s="1"/>
  <c r="E26" i="5"/>
  <c r="F26" i="5" s="1"/>
  <c r="W56" i="62" s="1"/>
  <c r="E32" i="5"/>
  <c r="F32" i="5" s="1"/>
  <c r="AC56" i="62" s="1"/>
  <c r="E16" i="5"/>
  <c r="F16" i="5" s="1"/>
  <c r="M56" i="62" s="1"/>
  <c r="E5" i="5"/>
  <c r="F5" i="5" s="1"/>
  <c r="B56" i="62" s="1"/>
  <c r="E28" i="7"/>
  <c r="F28" i="7" s="1"/>
  <c r="Y54" i="62" s="1"/>
  <c r="E7" i="7"/>
  <c r="F7" i="7" s="1"/>
  <c r="D54" i="62" s="1"/>
  <c r="E9" i="7"/>
  <c r="F67" i="60"/>
  <c r="E25" i="7"/>
  <c r="F25" i="7" s="1"/>
  <c r="V54" i="62" s="1"/>
  <c r="F12" i="38"/>
  <c r="I23" i="62" s="1"/>
  <c r="F13" i="38"/>
  <c r="J23" i="62" s="1"/>
  <c r="F10" i="47"/>
  <c r="G14" i="62" s="1"/>
  <c r="F8" i="47"/>
  <c r="E14" i="62" s="1"/>
  <c r="F9" i="47"/>
  <c r="F14" i="62" s="1"/>
  <c r="F15" i="25"/>
  <c r="L36" i="62" s="1"/>
  <c r="F18" i="5"/>
  <c r="O56" i="62" s="1"/>
  <c r="F27" i="47"/>
  <c r="X14" i="62" s="1"/>
  <c r="F21" i="25"/>
  <c r="R36" i="62" s="1"/>
  <c r="F23" i="47"/>
  <c r="T14" i="62" s="1"/>
  <c r="F5" i="47"/>
  <c r="B14" i="62" s="1"/>
  <c r="F30" i="47"/>
  <c r="AA14" i="62" s="1"/>
  <c r="F14" i="47"/>
  <c r="K14" i="62" s="1"/>
  <c r="F24" i="7"/>
  <c r="U54" i="62" s="1"/>
  <c r="F27" i="5"/>
  <c r="X56" i="62" s="1"/>
  <c r="F11" i="5"/>
  <c r="H56" i="62" s="1"/>
  <c r="F22" i="5"/>
  <c r="S56" i="62" s="1"/>
  <c r="F23" i="38"/>
  <c r="T23" i="62" s="1"/>
  <c r="F7" i="38"/>
  <c r="D23" i="62" s="1"/>
  <c r="F18" i="38"/>
  <c r="O23" i="62" s="1"/>
  <c r="F9" i="38"/>
  <c r="F23" i="62" s="1"/>
  <c r="F24" i="38"/>
  <c r="U23" i="62" s="1"/>
  <c r="F8" i="38"/>
  <c r="E23" i="62" s="1"/>
  <c r="F30" i="38"/>
  <c r="AA23" i="62" s="1"/>
  <c r="F14" i="38"/>
  <c r="K23" i="62" s="1"/>
  <c r="F19" i="25"/>
  <c r="P36" i="62" s="1"/>
  <c r="F12" i="25"/>
  <c r="I36" i="62" s="1"/>
  <c r="F15" i="5"/>
  <c r="L56" i="62" s="1"/>
  <c r="F14" i="25"/>
  <c r="K36" i="62" s="1"/>
  <c r="F24" i="5"/>
  <c r="U56" i="62" s="1"/>
  <c r="F13" i="5"/>
  <c r="J56" i="62" s="1"/>
  <c r="F29" i="5"/>
  <c r="Z56" i="62" s="1"/>
  <c r="F105" i="5"/>
  <c r="F103" i="5"/>
  <c r="T59" i="63" s="1"/>
  <c r="F101" i="5"/>
  <c r="P59" i="63" s="1"/>
  <c r="F99" i="5"/>
  <c r="L59" i="63" s="1"/>
  <c r="F104" i="5"/>
  <c r="V59" i="63" s="1"/>
  <c r="F102" i="5"/>
  <c r="R59" i="63" s="1"/>
  <c r="F100" i="5"/>
  <c r="H59" i="63" s="1"/>
  <c r="F98" i="5"/>
  <c r="J59" i="63" s="1"/>
  <c r="E22" i="25"/>
  <c r="F105" i="25"/>
  <c r="F103" i="25"/>
  <c r="T39" i="63" s="1"/>
  <c r="F101" i="25"/>
  <c r="P39" i="63" s="1"/>
  <c r="F99" i="25"/>
  <c r="L39" i="63" s="1"/>
  <c r="F104" i="25"/>
  <c r="V39" i="63" s="1"/>
  <c r="F102" i="25"/>
  <c r="R39" i="63" s="1"/>
  <c r="F100" i="25"/>
  <c r="H39" i="63" s="1"/>
  <c r="F98" i="25"/>
  <c r="J39" i="63" s="1"/>
  <c r="F95" i="25"/>
  <c r="F95" i="7"/>
  <c r="F95" i="5"/>
  <c r="F105" i="57"/>
  <c r="F103" i="57"/>
  <c r="F101" i="57"/>
  <c r="F99" i="57"/>
  <c r="F104" i="57"/>
  <c r="F102" i="57"/>
  <c r="F100" i="57"/>
  <c r="F98" i="57"/>
  <c r="U59" i="63"/>
  <c r="F28" i="38"/>
  <c r="Y23" i="62" s="1"/>
  <c r="F29" i="38"/>
  <c r="Z23" i="62" s="1"/>
  <c r="F25" i="47"/>
  <c r="V14" i="62" s="1"/>
  <c r="F20" i="25"/>
  <c r="Q36" i="62" s="1"/>
  <c r="F29" i="7"/>
  <c r="Z54" i="62" s="1"/>
  <c r="F11" i="47"/>
  <c r="H14" i="62" s="1"/>
  <c r="F9" i="5"/>
  <c r="F56" i="62" s="1"/>
  <c r="F25" i="5"/>
  <c r="V56" i="62" s="1"/>
  <c r="F15" i="47"/>
  <c r="L14" i="62" s="1"/>
  <c r="F13" i="47"/>
  <c r="J14" i="62" s="1"/>
  <c r="F12" i="47"/>
  <c r="I14" i="62" s="1"/>
  <c r="F22" i="47"/>
  <c r="S14" i="62" s="1"/>
  <c r="F6" i="47"/>
  <c r="C14" i="62" s="1"/>
  <c r="F9" i="7"/>
  <c r="F54" i="62" s="1"/>
  <c r="F19" i="5"/>
  <c r="P56" i="62" s="1"/>
  <c r="F30" i="5"/>
  <c r="AA56" i="62" s="1"/>
  <c r="F14" i="5"/>
  <c r="K56" i="62" s="1"/>
  <c r="F31" i="38"/>
  <c r="AB23" i="62" s="1"/>
  <c r="F15" i="38"/>
  <c r="L23" i="62" s="1"/>
  <c r="F10" i="38"/>
  <c r="G23" i="62" s="1"/>
  <c r="F17" i="38"/>
  <c r="N23" i="62" s="1"/>
  <c r="F32" i="38"/>
  <c r="AC23" i="62" s="1"/>
  <c r="F16" i="38"/>
  <c r="M23" i="62" s="1"/>
  <c r="F27" i="38"/>
  <c r="X23" i="62" s="1"/>
  <c r="F11" i="38"/>
  <c r="H23" i="62" s="1"/>
  <c r="F22" i="38"/>
  <c r="S23" i="62" s="1"/>
  <c r="F17" i="47"/>
  <c r="N14" i="62" s="1"/>
  <c r="F9" i="25"/>
  <c r="F36" i="62" s="1"/>
  <c r="F21" i="5"/>
  <c r="R56" i="62" s="1"/>
  <c r="F20" i="38"/>
  <c r="Q23" i="62" s="1"/>
  <c r="E27" i="7"/>
  <c r="F105" i="7"/>
  <c r="F103" i="7"/>
  <c r="T57" i="63" s="1"/>
  <c r="F101" i="7"/>
  <c r="P57" i="63" s="1"/>
  <c r="F99" i="7"/>
  <c r="L57" i="63" s="1"/>
  <c r="F104" i="7"/>
  <c r="V57" i="63" s="1"/>
  <c r="F102" i="7"/>
  <c r="R57" i="63" s="1"/>
  <c r="F100" i="7"/>
  <c r="H57" i="63" s="1"/>
  <c r="F98" i="7"/>
  <c r="J57" i="63" s="1"/>
  <c r="F105" i="47"/>
  <c r="F103" i="47"/>
  <c r="T17" i="63" s="1"/>
  <c r="F101" i="47"/>
  <c r="P17" i="63" s="1"/>
  <c r="F99" i="47"/>
  <c r="L17" i="63" s="1"/>
  <c r="F104" i="47"/>
  <c r="V17" i="63" s="1"/>
  <c r="F102" i="47"/>
  <c r="R17" i="63" s="1"/>
  <c r="F100" i="47"/>
  <c r="H17" i="63" s="1"/>
  <c r="F98" i="47"/>
  <c r="J17" i="63" s="1"/>
  <c r="W23" i="62"/>
  <c r="D26" i="63"/>
  <c r="F64" i="60"/>
  <c r="C118" i="49"/>
  <c r="F26" i="25"/>
  <c r="F109" i="57"/>
  <c r="F118" i="57" s="1"/>
  <c r="C118" i="57"/>
  <c r="S17" i="63"/>
  <c r="S26" i="63"/>
  <c r="Q57" i="63"/>
  <c r="Q59" i="63"/>
  <c r="Q39" i="63"/>
  <c r="Q26" i="63"/>
  <c r="K17" i="63"/>
  <c r="K59" i="63"/>
  <c r="K26" i="63"/>
  <c r="I57" i="63"/>
  <c r="I39" i="63"/>
  <c r="I26" i="63"/>
  <c r="G59" i="63"/>
  <c r="G26" i="63"/>
  <c r="O26" i="63"/>
  <c r="O39" i="63"/>
  <c r="E5" i="7"/>
  <c r="E25" i="25"/>
  <c r="E30" i="25"/>
  <c r="E20" i="7"/>
  <c r="E14" i="7"/>
  <c r="E19" i="7"/>
  <c r="E31" i="25"/>
  <c r="E12" i="7"/>
  <c r="E13" i="7"/>
  <c r="E13" i="25"/>
  <c r="E29" i="25"/>
  <c r="E18" i="25"/>
  <c r="E10" i="7"/>
  <c r="E26" i="7"/>
  <c r="C57" i="63" s="1"/>
  <c r="E15" i="7"/>
  <c r="E31" i="7"/>
  <c r="F31" i="7" s="1"/>
  <c r="AB54" i="62" s="1"/>
  <c r="E17" i="7"/>
  <c r="E32" i="7"/>
  <c r="E16" i="7"/>
  <c r="E32" i="25"/>
  <c r="E16" i="25"/>
  <c r="E27" i="25"/>
  <c r="E11" i="25"/>
  <c r="E23" i="25"/>
  <c r="E28" i="25"/>
  <c r="E21" i="7"/>
  <c r="E17" i="25"/>
  <c r="E6" i="25"/>
  <c r="E6" i="7"/>
  <c r="E22" i="7"/>
  <c r="E11" i="7"/>
  <c r="AB56" i="62"/>
  <c r="AB14" i="62"/>
  <c r="E29" i="57"/>
  <c r="E13" i="57"/>
  <c r="E28" i="57"/>
  <c r="E12" i="57"/>
  <c r="E27" i="57"/>
  <c r="E19" i="57"/>
  <c r="F19" i="57" s="1"/>
  <c r="P4" i="62" s="1"/>
  <c r="E11" i="57"/>
  <c r="E30" i="57"/>
  <c r="F30" i="57" s="1"/>
  <c r="AA4" i="62" s="1"/>
  <c r="E22" i="57"/>
  <c r="E14" i="57"/>
  <c r="E6" i="57"/>
  <c r="E17" i="57"/>
  <c r="E32" i="57"/>
  <c r="E16" i="57"/>
  <c r="E21" i="57"/>
  <c r="E5" i="57"/>
  <c r="F5" i="57" s="1"/>
  <c r="E20" i="57"/>
  <c r="E31" i="57"/>
  <c r="E23" i="57"/>
  <c r="E15" i="57"/>
  <c r="E7" i="57"/>
  <c r="E26" i="57"/>
  <c r="E18" i="57"/>
  <c r="E10" i="57"/>
  <c r="E25" i="57"/>
  <c r="E9" i="57"/>
  <c r="F9" i="57" s="1"/>
  <c r="F4" i="62" s="1"/>
  <c r="E24" i="57"/>
  <c r="E8" i="57"/>
  <c r="F8" i="57" s="1"/>
  <c r="E4" i="62" s="1"/>
  <c r="D105" i="41"/>
  <c r="D105" i="30"/>
  <c r="D105" i="26"/>
  <c r="D105" i="43"/>
  <c r="D105" i="39"/>
  <c r="D105" i="28"/>
  <c r="D105" i="3"/>
  <c r="D105" i="1"/>
  <c r="D105" i="24"/>
  <c r="D105" i="22"/>
  <c r="F118" i="52"/>
  <c r="C118" i="52"/>
  <c r="D105" i="53"/>
  <c r="D105" i="50"/>
  <c r="C118" i="47"/>
  <c r="F118" i="47"/>
  <c r="D105" i="45"/>
  <c r="F118" i="41"/>
  <c r="C118" i="41"/>
  <c r="D105" i="37"/>
  <c r="D105" i="35"/>
  <c r="D105" i="33"/>
  <c r="F118" i="30"/>
  <c r="C118" i="30"/>
  <c r="F118" i="26"/>
  <c r="C118" i="26"/>
  <c r="E33" i="38"/>
  <c r="F33" i="38" s="1"/>
  <c r="B23" i="62"/>
  <c r="C118" i="37"/>
  <c r="F118" i="37"/>
  <c r="C118" i="33"/>
  <c r="F118" i="33"/>
  <c r="D105" i="19"/>
  <c r="F118" i="19"/>
  <c r="C118" i="19"/>
  <c r="D105" i="15"/>
  <c r="F118" i="15"/>
  <c r="C118" i="15"/>
  <c r="D105" i="11"/>
  <c r="F118" i="11"/>
  <c r="C118" i="11"/>
  <c r="C118" i="50"/>
  <c r="F118" i="50"/>
  <c r="E33" i="47"/>
  <c r="C118" i="46"/>
  <c r="F118" i="46"/>
  <c r="F118" i="29"/>
  <c r="C118" i="29"/>
  <c r="F118" i="25"/>
  <c r="C118" i="25"/>
  <c r="F118" i="21"/>
  <c r="C118" i="21"/>
  <c r="F118" i="4"/>
  <c r="C118" i="4"/>
  <c r="F118" i="54"/>
  <c r="C118" i="54"/>
  <c r="D105" i="42"/>
  <c r="D105" i="40"/>
  <c r="F118" i="28"/>
  <c r="C118" i="28"/>
  <c r="C118" i="35"/>
  <c r="F118" i="35"/>
  <c r="B36" i="62"/>
  <c r="F118" i="7"/>
  <c r="C118" i="7"/>
  <c r="D105" i="18"/>
  <c r="D105" i="16"/>
  <c r="D105" i="14"/>
  <c r="D105" i="12"/>
  <c r="D105" i="10"/>
  <c r="D105" i="9"/>
  <c r="D105" i="8"/>
  <c r="D105" i="6"/>
  <c r="D105" i="4"/>
  <c r="D105" i="59"/>
  <c r="D105" i="56"/>
  <c r="D105" i="52"/>
  <c r="D105" i="51"/>
  <c r="C118" i="34"/>
  <c r="F118" i="34"/>
  <c r="F118" i="27"/>
  <c r="C118" i="27"/>
  <c r="D105" i="23"/>
  <c r="D105" i="21"/>
  <c r="F118" i="59"/>
  <c r="C118" i="59"/>
  <c r="F118" i="38"/>
  <c r="C118" i="38"/>
  <c r="F118" i="5"/>
  <c r="C118" i="5"/>
  <c r="F118" i="1"/>
  <c r="C118" i="1"/>
  <c r="D105" i="20"/>
  <c r="D105" i="17"/>
  <c r="F118" i="17"/>
  <c r="C118" i="17"/>
  <c r="D105" i="13"/>
  <c r="F118" i="13"/>
  <c r="C118" i="13"/>
  <c r="F118" i="9"/>
  <c r="C118" i="9"/>
  <c r="F118" i="53"/>
  <c r="C118" i="53"/>
  <c r="D105" i="49"/>
  <c r="F118" i="42"/>
  <c r="C118" i="42"/>
  <c r="C118" i="45"/>
  <c r="F118" i="45"/>
  <c r="D105" i="34"/>
  <c r="D105" i="32"/>
  <c r="C118" i="36"/>
  <c r="F118" i="36"/>
  <c r="C118" i="32"/>
  <c r="F118" i="32"/>
  <c r="F118" i="23"/>
  <c r="C118" i="23"/>
  <c r="F118" i="8"/>
  <c r="C118" i="8"/>
  <c r="F118" i="56"/>
  <c r="C118" i="56"/>
  <c r="C109" i="60"/>
  <c r="C118" i="60" s="1"/>
  <c r="F118" i="55"/>
  <c r="C118" i="55"/>
  <c r="D105" i="54"/>
  <c r="D105" i="48"/>
  <c r="C118" i="44"/>
  <c r="F118" i="44"/>
  <c r="F118" i="43"/>
  <c r="C118" i="43"/>
  <c r="F118" i="39"/>
  <c r="C118" i="39"/>
  <c r="D105" i="44"/>
  <c r="D105" i="31"/>
  <c r="D105" i="29"/>
  <c r="D105" i="27"/>
  <c r="F118" i="3"/>
  <c r="C118" i="3"/>
  <c r="F118" i="20"/>
  <c r="C118" i="20"/>
  <c r="F118" i="18"/>
  <c r="C118" i="18"/>
  <c r="F118" i="16"/>
  <c r="C118" i="16"/>
  <c r="F118" i="14"/>
  <c r="C118" i="14"/>
  <c r="F118" i="12"/>
  <c r="C118" i="12"/>
  <c r="F118" i="10"/>
  <c r="C118" i="10"/>
  <c r="D105" i="55"/>
  <c r="F118" i="51"/>
  <c r="C118" i="51"/>
  <c r="C118" i="48"/>
  <c r="F118" i="48"/>
  <c r="D105" i="46"/>
  <c r="F118" i="40"/>
  <c r="C118" i="40"/>
  <c r="D105" i="36"/>
  <c r="C118" i="31"/>
  <c r="F118" i="31"/>
  <c r="F118" i="24"/>
  <c r="C118" i="24"/>
  <c r="F118" i="22"/>
  <c r="C118" i="22"/>
  <c r="F118" i="6"/>
  <c r="C118" i="6"/>
  <c r="D105" i="60"/>
  <c r="O57" i="63" l="1"/>
  <c r="G17" i="63"/>
  <c r="E33" i="5"/>
  <c r="F33" i="5" s="1"/>
  <c r="G39" i="63"/>
  <c r="I59" i="63"/>
  <c r="S59" i="63"/>
  <c r="O17" i="63"/>
  <c r="G57" i="63"/>
  <c r="O59" i="63"/>
  <c r="K39" i="63"/>
  <c r="S39" i="63"/>
  <c r="F95" i="60"/>
  <c r="I17" i="63"/>
  <c r="K57" i="63"/>
  <c r="Q17" i="63"/>
  <c r="S57" i="63"/>
  <c r="F105" i="31"/>
  <c r="F103" i="31"/>
  <c r="F101" i="31"/>
  <c r="F99" i="31"/>
  <c r="F104" i="31"/>
  <c r="F102" i="31"/>
  <c r="F100" i="31"/>
  <c r="F98" i="31"/>
  <c r="F105" i="48"/>
  <c r="F103" i="48"/>
  <c r="F101" i="48"/>
  <c r="F99" i="48"/>
  <c r="F104" i="48"/>
  <c r="F102" i="48"/>
  <c r="F100" i="48"/>
  <c r="F98" i="48"/>
  <c r="F105" i="13"/>
  <c r="F103" i="13"/>
  <c r="F101" i="13"/>
  <c r="F99" i="13"/>
  <c r="F104" i="13"/>
  <c r="F102" i="13"/>
  <c r="F100" i="13"/>
  <c r="F98" i="13"/>
  <c r="F105" i="21"/>
  <c r="F103" i="21"/>
  <c r="F101" i="21"/>
  <c r="F99" i="21"/>
  <c r="F104" i="21"/>
  <c r="F102" i="21"/>
  <c r="F100" i="21"/>
  <c r="F98" i="21"/>
  <c r="F105" i="56"/>
  <c r="F103" i="56"/>
  <c r="F101" i="56"/>
  <c r="F99" i="56"/>
  <c r="F104" i="56"/>
  <c r="F102" i="56"/>
  <c r="F100" i="56"/>
  <c r="F98" i="56"/>
  <c r="F105" i="8"/>
  <c r="F103" i="8"/>
  <c r="F101" i="8"/>
  <c r="F99" i="8"/>
  <c r="F104" i="8"/>
  <c r="F102" i="8"/>
  <c r="F100" i="8"/>
  <c r="F98" i="8"/>
  <c r="F105" i="14"/>
  <c r="F103" i="14"/>
  <c r="F101" i="14"/>
  <c r="F99" i="14"/>
  <c r="F104" i="14"/>
  <c r="F102" i="14"/>
  <c r="F100" i="14"/>
  <c r="F98" i="14"/>
  <c r="F105" i="33"/>
  <c r="F103" i="33"/>
  <c r="F101" i="33"/>
  <c r="F99" i="33"/>
  <c r="F104" i="33"/>
  <c r="F102" i="33"/>
  <c r="F100" i="33"/>
  <c r="F98" i="33"/>
  <c r="F105" i="50"/>
  <c r="F103" i="50"/>
  <c r="F101" i="50"/>
  <c r="F99" i="50"/>
  <c r="F104" i="50"/>
  <c r="F102" i="50"/>
  <c r="F100" i="50"/>
  <c r="F98" i="50"/>
  <c r="F105" i="1"/>
  <c r="F103" i="1"/>
  <c r="F101" i="1"/>
  <c r="F99" i="1"/>
  <c r="F104" i="1"/>
  <c r="F102" i="1"/>
  <c r="F100" i="1"/>
  <c r="F98" i="1"/>
  <c r="F105" i="28"/>
  <c r="F103" i="28"/>
  <c r="F101" i="28"/>
  <c r="F104" i="28"/>
  <c r="F102" i="28"/>
  <c r="F100" i="28"/>
  <c r="F99" i="28"/>
  <c r="F98" i="28"/>
  <c r="F105" i="30"/>
  <c r="F103" i="30"/>
  <c r="F101" i="30"/>
  <c r="F99" i="30"/>
  <c r="F104" i="30"/>
  <c r="F102" i="30"/>
  <c r="F100" i="30"/>
  <c r="F98" i="30"/>
  <c r="F10" i="57"/>
  <c r="G4" i="62" s="1"/>
  <c r="F15" i="57"/>
  <c r="L4" i="62" s="1"/>
  <c r="F31" i="57"/>
  <c r="AB4" i="62" s="1"/>
  <c r="F16" i="57"/>
  <c r="M4" i="62" s="1"/>
  <c r="F12" i="57"/>
  <c r="I4" i="62" s="1"/>
  <c r="F11" i="7"/>
  <c r="H54" i="62" s="1"/>
  <c r="F17" i="25"/>
  <c r="N36" i="62" s="1"/>
  <c r="F11" i="25"/>
  <c r="H36" i="62" s="1"/>
  <c r="F16" i="7"/>
  <c r="M54" i="62" s="1"/>
  <c r="F15" i="7"/>
  <c r="L54" i="62" s="1"/>
  <c r="F29" i="25"/>
  <c r="Z36" i="62" s="1"/>
  <c r="F31" i="25"/>
  <c r="AB36" i="62" s="1"/>
  <c r="F30" i="25"/>
  <c r="AA36" i="62" s="1"/>
  <c r="F105" i="36"/>
  <c r="F103" i="36"/>
  <c r="F101" i="36"/>
  <c r="F99" i="36"/>
  <c r="F104" i="36"/>
  <c r="F102" i="36"/>
  <c r="F100" i="36"/>
  <c r="F98" i="36"/>
  <c r="F105" i="55"/>
  <c r="F103" i="55"/>
  <c r="F101" i="55"/>
  <c r="F99" i="55"/>
  <c r="F104" i="55"/>
  <c r="F102" i="55"/>
  <c r="F100" i="55"/>
  <c r="F98" i="55"/>
  <c r="F105" i="29"/>
  <c r="F103" i="29"/>
  <c r="F101" i="29"/>
  <c r="F99" i="29"/>
  <c r="F104" i="29"/>
  <c r="F102" i="29"/>
  <c r="F100" i="29"/>
  <c r="F98" i="29"/>
  <c r="F105" i="44"/>
  <c r="F103" i="44"/>
  <c r="F101" i="44"/>
  <c r="F99" i="44"/>
  <c r="F104" i="44"/>
  <c r="F102" i="44"/>
  <c r="F100" i="44"/>
  <c r="F98" i="44"/>
  <c r="F105" i="54"/>
  <c r="F103" i="54"/>
  <c r="F101" i="54"/>
  <c r="F99" i="54"/>
  <c r="F104" i="54"/>
  <c r="F102" i="54"/>
  <c r="F100" i="54"/>
  <c r="F98" i="54"/>
  <c r="F105" i="32"/>
  <c r="F103" i="32"/>
  <c r="F101" i="32"/>
  <c r="F99" i="32"/>
  <c r="F104" i="32"/>
  <c r="F102" i="32"/>
  <c r="F100" i="32"/>
  <c r="F98" i="32"/>
  <c r="F105" i="49"/>
  <c r="F103" i="49"/>
  <c r="F101" i="49"/>
  <c r="F99" i="49"/>
  <c r="F104" i="49"/>
  <c r="F102" i="49"/>
  <c r="F100" i="49"/>
  <c r="F98" i="49"/>
  <c r="F105" i="17"/>
  <c r="F103" i="17"/>
  <c r="F101" i="17"/>
  <c r="F99" i="17"/>
  <c r="F104" i="17"/>
  <c r="F102" i="17"/>
  <c r="F100" i="17"/>
  <c r="F98" i="17"/>
  <c r="F105" i="23"/>
  <c r="F103" i="23"/>
  <c r="F101" i="23"/>
  <c r="F99" i="23"/>
  <c r="F104" i="23"/>
  <c r="F102" i="23"/>
  <c r="F100" i="23"/>
  <c r="F98" i="23"/>
  <c r="F105" i="52"/>
  <c r="F103" i="52"/>
  <c r="F101" i="52"/>
  <c r="F99" i="52"/>
  <c r="F104" i="52"/>
  <c r="F102" i="52"/>
  <c r="F100" i="52"/>
  <c r="F98" i="52"/>
  <c r="F105" i="59"/>
  <c r="F103" i="59"/>
  <c r="F101" i="59"/>
  <c r="F99" i="59"/>
  <c r="F104" i="59"/>
  <c r="F102" i="59"/>
  <c r="F100" i="59"/>
  <c r="F98" i="59"/>
  <c r="F105" i="6"/>
  <c r="F103" i="6"/>
  <c r="F101" i="6"/>
  <c r="F99" i="6"/>
  <c r="F104" i="6"/>
  <c r="F102" i="6"/>
  <c r="F100" i="6"/>
  <c r="F98" i="6"/>
  <c r="F105" i="9"/>
  <c r="F103" i="9"/>
  <c r="F101" i="9"/>
  <c r="F99" i="9"/>
  <c r="F104" i="9"/>
  <c r="F102" i="9"/>
  <c r="F100" i="9"/>
  <c r="F98" i="9"/>
  <c r="F105" i="12"/>
  <c r="F103" i="12"/>
  <c r="F101" i="12"/>
  <c r="F99" i="12"/>
  <c r="F104" i="12"/>
  <c r="F102" i="12"/>
  <c r="F100" i="12"/>
  <c r="F98" i="12"/>
  <c r="F105" i="16"/>
  <c r="F103" i="16"/>
  <c r="F101" i="16"/>
  <c r="F99" i="16"/>
  <c r="F104" i="16"/>
  <c r="F102" i="16"/>
  <c r="F100" i="16"/>
  <c r="F98" i="16"/>
  <c r="F105" i="42"/>
  <c r="F103" i="42"/>
  <c r="F101" i="42"/>
  <c r="F99" i="42"/>
  <c r="F104" i="42"/>
  <c r="F102" i="42"/>
  <c r="F100" i="42"/>
  <c r="F98" i="42"/>
  <c r="F105" i="11"/>
  <c r="F103" i="11"/>
  <c r="F101" i="11"/>
  <c r="F99" i="11"/>
  <c r="F104" i="11"/>
  <c r="F102" i="11"/>
  <c r="F100" i="11"/>
  <c r="F98" i="11"/>
  <c r="F105" i="19"/>
  <c r="F103" i="19"/>
  <c r="F101" i="19"/>
  <c r="F99" i="19"/>
  <c r="F104" i="19"/>
  <c r="F102" i="19"/>
  <c r="F100" i="19"/>
  <c r="F98" i="19"/>
  <c r="F105" i="35"/>
  <c r="F103" i="35"/>
  <c r="F101" i="35"/>
  <c r="F99" i="35"/>
  <c r="F104" i="35"/>
  <c r="F102" i="35"/>
  <c r="F100" i="35"/>
  <c r="F98" i="35"/>
  <c r="F105" i="45"/>
  <c r="F103" i="45"/>
  <c r="F101" i="45"/>
  <c r="F99" i="45"/>
  <c r="F104" i="45"/>
  <c r="F102" i="45"/>
  <c r="F100" i="45"/>
  <c r="F98" i="45"/>
  <c r="F105" i="53"/>
  <c r="F103" i="53"/>
  <c r="F101" i="53"/>
  <c r="F99" i="53"/>
  <c r="F104" i="53"/>
  <c r="F102" i="53"/>
  <c r="F100" i="53"/>
  <c r="F98" i="53"/>
  <c r="F105" i="24"/>
  <c r="F103" i="24"/>
  <c r="F101" i="24"/>
  <c r="F99" i="24"/>
  <c r="F104" i="24"/>
  <c r="F102" i="24"/>
  <c r="F100" i="24"/>
  <c r="F98" i="24"/>
  <c r="F105" i="3"/>
  <c r="F103" i="3"/>
  <c r="F101" i="3"/>
  <c r="F99" i="3"/>
  <c r="F104" i="3"/>
  <c r="F102" i="3"/>
  <c r="F100" i="3"/>
  <c r="F98" i="3"/>
  <c r="F105" i="39"/>
  <c r="F103" i="39"/>
  <c r="F101" i="39"/>
  <c r="F99" i="39"/>
  <c r="F104" i="39"/>
  <c r="F102" i="39"/>
  <c r="F100" i="39"/>
  <c r="F98" i="39"/>
  <c r="F105" i="26"/>
  <c r="F103" i="26"/>
  <c r="F101" i="26"/>
  <c r="F99" i="26"/>
  <c r="F104" i="26"/>
  <c r="F102" i="26"/>
  <c r="F100" i="26"/>
  <c r="F98" i="26"/>
  <c r="F105" i="41"/>
  <c r="F103" i="41"/>
  <c r="F101" i="41"/>
  <c r="F99" i="41"/>
  <c r="F104" i="41"/>
  <c r="F102" i="41"/>
  <c r="F100" i="41"/>
  <c r="F98" i="41"/>
  <c r="F24" i="57"/>
  <c r="U4" i="62" s="1"/>
  <c r="F25" i="57"/>
  <c r="V4" i="62" s="1"/>
  <c r="F18" i="57"/>
  <c r="O4" i="62" s="1"/>
  <c r="F7" i="57"/>
  <c r="D4" i="62" s="1"/>
  <c r="F23" i="57"/>
  <c r="T4" i="62" s="1"/>
  <c r="F20" i="57"/>
  <c r="Q4" i="62" s="1"/>
  <c r="F21" i="57"/>
  <c r="R4" i="62" s="1"/>
  <c r="F32" i="57"/>
  <c r="AC4" i="62" s="1"/>
  <c r="F6" i="57"/>
  <c r="C4" i="62" s="1"/>
  <c r="F22" i="57"/>
  <c r="S4" i="62" s="1"/>
  <c r="F11" i="57"/>
  <c r="H4" i="62" s="1"/>
  <c r="F27" i="57"/>
  <c r="X4" i="62" s="1"/>
  <c r="F28" i="57"/>
  <c r="Y4" i="62" s="1"/>
  <c r="F29" i="57"/>
  <c r="Z4" i="62" s="1"/>
  <c r="F22" i="7"/>
  <c r="S54" i="62" s="1"/>
  <c r="F6" i="25"/>
  <c r="C36" i="62" s="1"/>
  <c r="F21" i="7"/>
  <c r="R54" i="62" s="1"/>
  <c r="F23" i="25"/>
  <c r="T36" i="62" s="1"/>
  <c r="F27" i="25"/>
  <c r="X36" i="62" s="1"/>
  <c r="F32" i="25"/>
  <c r="AC36" i="62" s="1"/>
  <c r="F32" i="7"/>
  <c r="AC54" i="62" s="1"/>
  <c r="F18" i="25"/>
  <c r="O36" i="62" s="1"/>
  <c r="F13" i="25"/>
  <c r="J36" i="62" s="1"/>
  <c r="F12" i="7"/>
  <c r="I54" i="62" s="1"/>
  <c r="F19" i="7"/>
  <c r="P54" i="62" s="1"/>
  <c r="F20" i="7"/>
  <c r="Q54" i="62" s="1"/>
  <c r="F25" i="25"/>
  <c r="V36" i="62" s="1"/>
  <c r="D59" i="63"/>
  <c r="F27" i="7"/>
  <c r="X54" i="62" s="1"/>
  <c r="J7" i="63"/>
  <c r="I7" i="63"/>
  <c r="R7" i="63"/>
  <c r="Q7" i="63"/>
  <c r="L7" i="63"/>
  <c r="K7" i="63"/>
  <c r="T7" i="63"/>
  <c r="S7" i="63"/>
  <c r="F22" i="25"/>
  <c r="S36" i="62" s="1"/>
  <c r="U39" i="63"/>
  <c r="F105" i="46"/>
  <c r="F103" i="46"/>
  <c r="F101" i="46"/>
  <c r="F99" i="46"/>
  <c r="F104" i="46"/>
  <c r="F102" i="46"/>
  <c r="F100" i="46"/>
  <c r="F98" i="46"/>
  <c r="F105" i="27"/>
  <c r="F103" i="27"/>
  <c r="F101" i="27"/>
  <c r="F99" i="27"/>
  <c r="F104" i="27"/>
  <c r="F102" i="27"/>
  <c r="F100" i="27"/>
  <c r="F98" i="27"/>
  <c r="F105" i="34"/>
  <c r="F103" i="34"/>
  <c r="F101" i="34"/>
  <c r="F99" i="34"/>
  <c r="F104" i="34"/>
  <c r="F102" i="34"/>
  <c r="F100" i="34"/>
  <c r="F98" i="34"/>
  <c r="F105" i="20"/>
  <c r="F103" i="20"/>
  <c r="F101" i="20"/>
  <c r="F99" i="20"/>
  <c r="F104" i="20"/>
  <c r="F102" i="20"/>
  <c r="F100" i="20"/>
  <c r="F98" i="20"/>
  <c r="F105" i="51"/>
  <c r="F103" i="51"/>
  <c r="F101" i="51"/>
  <c r="F99" i="51"/>
  <c r="F104" i="51"/>
  <c r="F102" i="51"/>
  <c r="F100" i="51"/>
  <c r="F98" i="51"/>
  <c r="F105" i="4"/>
  <c r="F103" i="4"/>
  <c r="F101" i="4"/>
  <c r="F99" i="4"/>
  <c r="F104" i="4"/>
  <c r="F102" i="4"/>
  <c r="F100" i="4"/>
  <c r="F98" i="4"/>
  <c r="F105" i="10"/>
  <c r="F103" i="10"/>
  <c r="F101" i="10"/>
  <c r="F99" i="10"/>
  <c r="F104" i="10"/>
  <c r="F102" i="10"/>
  <c r="F100" i="10"/>
  <c r="F98" i="10"/>
  <c r="F105" i="18"/>
  <c r="F103" i="18"/>
  <c r="F101" i="18"/>
  <c r="F99" i="18"/>
  <c r="F104" i="18"/>
  <c r="F102" i="18"/>
  <c r="F100" i="18"/>
  <c r="F98" i="18"/>
  <c r="F105" i="40"/>
  <c r="F103" i="40"/>
  <c r="F101" i="40"/>
  <c r="F99" i="40"/>
  <c r="F104" i="40"/>
  <c r="F102" i="40"/>
  <c r="F100" i="40"/>
  <c r="F98" i="40"/>
  <c r="F105" i="15"/>
  <c r="F103" i="15"/>
  <c r="F101" i="15"/>
  <c r="F99" i="15"/>
  <c r="F104" i="15"/>
  <c r="F102" i="15"/>
  <c r="F100" i="15"/>
  <c r="F98" i="15"/>
  <c r="F105" i="37"/>
  <c r="F103" i="37"/>
  <c r="F101" i="37"/>
  <c r="F99" i="37"/>
  <c r="F104" i="37"/>
  <c r="F102" i="37"/>
  <c r="F100" i="37"/>
  <c r="F98" i="37"/>
  <c r="F105" i="22"/>
  <c r="F103" i="22"/>
  <c r="F101" i="22"/>
  <c r="F99" i="22"/>
  <c r="F104" i="22"/>
  <c r="F102" i="22"/>
  <c r="F100" i="22"/>
  <c r="F98" i="22"/>
  <c r="F105" i="43"/>
  <c r="F103" i="43"/>
  <c r="F101" i="43"/>
  <c r="F99" i="43"/>
  <c r="F104" i="43"/>
  <c r="F102" i="43"/>
  <c r="F100" i="43"/>
  <c r="F98" i="43"/>
  <c r="F17" i="57"/>
  <c r="N4" i="62" s="1"/>
  <c r="F14" i="57"/>
  <c r="K4" i="62" s="1"/>
  <c r="F13" i="57"/>
  <c r="J4" i="62" s="1"/>
  <c r="F6" i="7"/>
  <c r="C54" i="62" s="1"/>
  <c r="F28" i="25"/>
  <c r="Y36" i="62" s="1"/>
  <c r="F16" i="25"/>
  <c r="M36" i="62" s="1"/>
  <c r="F17" i="7"/>
  <c r="N54" i="62" s="1"/>
  <c r="F10" i="7"/>
  <c r="G54" i="62" s="1"/>
  <c r="F13" i="7"/>
  <c r="J54" i="62" s="1"/>
  <c r="F14" i="7"/>
  <c r="K54" i="62" s="1"/>
  <c r="F5" i="7"/>
  <c r="B54" i="62" s="1"/>
  <c r="U57" i="63"/>
  <c r="H7" i="63"/>
  <c r="F100" i="60"/>
  <c r="G64" i="63" s="1"/>
  <c r="G7" i="63"/>
  <c r="V7" i="63"/>
  <c r="F104" i="60"/>
  <c r="U64" i="63" s="1"/>
  <c r="U7" i="63"/>
  <c r="P7" i="63"/>
  <c r="F101" i="60"/>
  <c r="O64" i="63" s="1"/>
  <c r="O7" i="63"/>
  <c r="U17" i="63"/>
  <c r="W36" i="62"/>
  <c r="D39" i="63"/>
  <c r="W14" i="62"/>
  <c r="D17" i="63"/>
  <c r="C17" i="63"/>
  <c r="F33" i="47"/>
  <c r="F26" i="57"/>
  <c r="F26" i="7"/>
  <c r="N64" i="63"/>
  <c r="F64" i="63"/>
  <c r="E33" i="25"/>
  <c r="E33" i="7"/>
  <c r="F33" i="7" s="1"/>
  <c r="AD56" i="62"/>
  <c r="D56" i="65"/>
  <c r="E56" i="65" s="1"/>
  <c r="C59" i="63"/>
  <c r="AD14" i="62"/>
  <c r="D14" i="65"/>
  <c r="E14" i="65" s="1"/>
  <c r="AD23" i="62"/>
  <c r="D23" i="65"/>
  <c r="E23" i="65" s="1"/>
  <c r="C26" i="63"/>
  <c r="C39" i="63"/>
  <c r="F109" i="60"/>
  <c r="F118" i="60" s="1"/>
  <c r="E8" i="36"/>
  <c r="F8" i="36" s="1"/>
  <c r="E16" i="36"/>
  <c r="F16" i="36" s="1"/>
  <c r="E24" i="36"/>
  <c r="F24" i="36" s="1"/>
  <c r="E32" i="36"/>
  <c r="F32" i="36" s="1"/>
  <c r="E9" i="36"/>
  <c r="F9" i="36" s="1"/>
  <c r="E17" i="36"/>
  <c r="F17" i="36" s="1"/>
  <c r="E25" i="36"/>
  <c r="F25" i="36" s="1"/>
  <c r="E6" i="36"/>
  <c r="F6" i="36" s="1"/>
  <c r="E14" i="36"/>
  <c r="E22" i="36"/>
  <c r="F22" i="36" s="1"/>
  <c r="E30" i="36"/>
  <c r="F30" i="36" s="1"/>
  <c r="E11" i="36"/>
  <c r="F11" i="36" s="1"/>
  <c r="E19" i="36"/>
  <c r="F19" i="36" s="1"/>
  <c r="E27" i="36"/>
  <c r="F27" i="36" s="1"/>
  <c r="E12" i="36"/>
  <c r="F12" i="36" s="1"/>
  <c r="E20" i="36"/>
  <c r="F20" i="36" s="1"/>
  <c r="E28" i="36"/>
  <c r="F28" i="36" s="1"/>
  <c r="E5" i="36"/>
  <c r="F5" i="36" s="1"/>
  <c r="E13" i="36"/>
  <c r="F13" i="36" s="1"/>
  <c r="E21" i="36"/>
  <c r="F21" i="36" s="1"/>
  <c r="E29" i="36"/>
  <c r="F29" i="36" s="1"/>
  <c r="E18" i="36"/>
  <c r="F18" i="36" s="1"/>
  <c r="E7" i="36"/>
  <c r="F7" i="36" s="1"/>
  <c r="E23" i="36"/>
  <c r="F23" i="36" s="1"/>
  <c r="E10" i="36"/>
  <c r="F10" i="36" s="1"/>
  <c r="E26" i="36"/>
  <c r="F26" i="36" s="1"/>
  <c r="D28" i="63" s="1"/>
  <c r="E15" i="36"/>
  <c r="F15" i="36" s="1"/>
  <c r="E31" i="36"/>
  <c r="F31" i="36" s="1"/>
  <c r="E5" i="46"/>
  <c r="F5" i="46" s="1"/>
  <c r="E13" i="46"/>
  <c r="F13" i="46" s="1"/>
  <c r="E21" i="46"/>
  <c r="F21" i="46" s="1"/>
  <c r="E29" i="46"/>
  <c r="F29" i="46" s="1"/>
  <c r="E10" i="46"/>
  <c r="F10" i="46" s="1"/>
  <c r="E18" i="46"/>
  <c r="F18" i="46" s="1"/>
  <c r="E26" i="46"/>
  <c r="F26" i="46" s="1"/>
  <c r="E7" i="46"/>
  <c r="F7" i="46" s="1"/>
  <c r="E15" i="46"/>
  <c r="F15" i="46" s="1"/>
  <c r="E23" i="46"/>
  <c r="F23" i="46" s="1"/>
  <c r="E31" i="46"/>
  <c r="F31" i="46" s="1"/>
  <c r="E12" i="46"/>
  <c r="F12" i="46" s="1"/>
  <c r="E20" i="46"/>
  <c r="F20" i="46" s="1"/>
  <c r="E28" i="46"/>
  <c r="F28" i="46" s="1"/>
  <c r="E9" i="46"/>
  <c r="F9" i="46" s="1"/>
  <c r="E17" i="46"/>
  <c r="F17" i="46" s="1"/>
  <c r="E25" i="46"/>
  <c r="F25" i="46" s="1"/>
  <c r="E6" i="46"/>
  <c r="F6" i="46" s="1"/>
  <c r="E14" i="46"/>
  <c r="E22" i="46"/>
  <c r="F22" i="46" s="1"/>
  <c r="E30" i="46"/>
  <c r="F30" i="46" s="1"/>
  <c r="E11" i="46"/>
  <c r="F11" i="46" s="1"/>
  <c r="E19" i="46"/>
  <c r="F19" i="46" s="1"/>
  <c r="E27" i="46"/>
  <c r="F27" i="46" s="1"/>
  <c r="E8" i="46"/>
  <c r="F8" i="46" s="1"/>
  <c r="E16" i="46"/>
  <c r="F16" i="46" s="1"/>
  <c r="E24" i="46"/>
  <c r="F24" i="46" s="1"/>
  <c r="E32" i="46"/>
  <c r="F32" i="46" s="1"/>
  <c r="E17" i="55"/>
  <c r="F17" i="55" s="1"/>
  <c r="E31" i="55"/>
  <c r="F31" i="55" s="1"/>
  <c r="E15" i="55"/>
  <c r="F15" i="55" s="1"/>
  <c r="E30" i="55"/>
  <c r="F30" i="55" s="1"/>
  <c r="E14" i="55"/>
  <c r="F14" i="55" s="1"/>
  <c r="E32" i="55"/>
  <c r="F32" i="55" s="1"/>
  <c r="E16" i="55"/>
  <c r="F16" i="55" s="1"/>
  <c r="E29" i="55"/>
  <c r="F29" i="55" s="1"/>
  <c r="E13" i="55"/>
  <c r="F13" i="55" s="1"/>
  <c r="E27" i="55"/>
  <c r="F27" i="55" s="1"/>
  <c r="E11" i="55"/>
  <c r="F11" i="55" s="1"/>
  <c r="E18" i="55"/>
  <c r="F18" i="55" s="1"/>
  <c r="E28" i="55"/>
  <c r="F28" i="55" s="1"/>
  <c r="E25" i="55"/>
  <c r="F25" i="55" s="1"/>
  <c r="E9" i="55"/>
  <c r="F9" i="55" s="1"/>
  <c r="E23" i="55"/>
  <c r="F23" i="55" s="1"/>
  <c r="E7" i="55"/>
  <c r="F7" i="55" s="1"/>
  <c r="E22" i="55"/>
  <c r="F22" i="55" s="1"/>
  <c r="E6" i="55"/>
  <c r="F6" i="55" s="1"/>
  <c r="E24" i="55"/>
  <c r="F24" i="55" s="1"/>
  <c r="E8" i="55"/>
  <c r="F8" i="55" s="1"/>
  <c r="E21" i="55"/>
  <c r="F21" i="55" s="1"/>
  <c r="E5" i="55"/>
  <c r="F5" i="55" s="1"/>
  <c r="E19" i="55"/>
  <c r="F19" i="55" s="1"/>
  <c r="E26" i="55"/>
  <c r="F26" i="55" s="1"/>
  <c r="E10" i="55"/>
  <c r="F10" i="55" s="1"/>
  <c r="E20" i="55"/>
  <c r="F20" i="55" s="1"/>
  <c r="E12" i="55"/>
  <c r="F12" i="55" s="1"/>
  <c r="E17" i="27"/>
  <c r="F17" i="27" s="1"/>
  <c r="E6" i="27"/>
  <c r="F6" i="27" s="1"/>
  <c r="E22" i="27"/>
  <c r="F22" i="27" s="1"/>
  <c r="E24" i="27"/>
  <c r="F24" i="27" s="1"/>
  <c r="E8" i="27"/>
  <c r="F8" i="27" s="1"/>
  <c r="E19" i="27"/>
  <c r="F19" i="27" s="1"/>
  <c r="E29" i="27"/>
  <c r="F29" i="27" s="1"/>
  <c r="E28" i="27"/>
  <c r="F28" i="27" s="1"/>
  <c r="E12" i="27"/>
  <c r="F12" i="27" s="1"/>
  <c r="E23" i="27"/>
  <c r="F23" i="27" s="1"/>
  <c r="E7" i="27"/>
  <c r="F7" i="27" s="1"/>
  <c r="E26" i="27"/>
  <c r="F26" i="27" s="1"/>
  <c r="D37" i="63" s="1"/>
  <c r="E21" i="27"/>
  <c r="F21" i="27" s="1"/>
  <c r="E9" i="27"/>
  <c r="F9" i="27" s="1"/>
  <c r="E25" i="27"/>
  <c r="F25" i="27" s="1"/>
  <c r="E14" i="27"/>
  <c r="F14" i="27" s="1"/>
  <c r="E30" i="27"/>
  <c r="F30" i="27" s="1"/>
  <c r="E32" i="27"/>
  <c r="E16" i="27"/>
  <c r="F16" i="27" s="1"/>
  <c r="E27" i="27"/>
  <c r="F27" i="27" s="1"/>
  <c r="E11" i="27"/>
  <c r="F11" i="27" s="1"/>
  <c r="E18" i="27"/>
  <c r="F18" i="27" s="1"/>
  <c r="E13" i="27"/>
  <c r="F13" i="27" s="1"/>
  <c r="E20" i="27"/>
  <c r="F20" i="27" s="1"/>
  <c r="E31" i="27"/>
  <c r="F31" i="27" s="1"/>
  <c r="E15" i="27"/>
  <c r="F15" i="27" s="1"/>
  <c r="E10" i="27"/>
  <c r="F10" i="27" s="1"/>
  <c r="E5" i="27"/>
  <c r="F5" i="27" s="1"/>
  <c r="E11" i="29"/>
  <c r="F11" i="29" s="1"/>
  <c r="E27" i="29"/>
  <c r="F27" i="29" s="1"/>
  <c r="E16" i="29"/>
  <c r="F16" i="29" s="1"/>
  <c r="E32" i="29"/>
  <c r="F32" i="29" s="1"/>
  <c r="E17" i="29"/>
  <c r="F17" i="29" s="1"/>
  <c r="E30" i="29"/>
  <c r="F30" i="29" s="1"/>
  <c r="E14" i="29"/>
  <c r="E21" i="29"/>
  <c r="F21" i="29" s="1"/>
  <c r="E28" i="29"/>
  <c r="F28" i="29" s="1"/>
  <c r="E23" i="29"/>
  <c r="F23" i="29" s="1"/>
  <c r="E18" i="29"/>
  <c r="F18" i="29" s="1"/>
  <c r="E29" i="29"/>
  <c r="F29" i="29" s="1"/>
  <c r="E20" i="29"/>
  <c r="F20" i="29" s="1"/>
  <c r="E15" i="29"/>
  <c r="F15" i="29" s="1"/>
  <c r="E19" i="29"/>
  <c r="F19" i="29" s="1"/>
  <c r="E8" i="29"/>
  <c r="F8" i="29" s="1"/>
  <c r="E24" i="29"/>
  <c r="F24" i="29" s="1"/>
  <c r="E9" i="29"/>
  <c r="F9" i="29" s="1"/>
  <c r="E25" i="29"/>
  <c r="F25" i="29" s="1"/>
  <c r="E22" i="29"/>
  <c r="F22" i="29" s="1"/>
  <c r="E6" i="29"/>
  <c r="F6" i="29" s="1"/>
  <c r="E5" i="29"/>
  <c r="F5" i="29" s="1"/>
  <c r="E12" i="29"/>
  <c r="F12" i="29" s="1"/>
  <c r="E7" i="29"/>
  <c r="F7" i="29" s="1"/>
  <c r="E26" i="29"/>
  <c r="F26" i="29" s="1"/>
  <c r="D35" i="63" s="1"/>
  <c r="E10" i="29"/>
  <c r="F10" i="29" s="1"/>
  <c r="E13" i="29"/>
  <c r="F13" i="29" s="1"/>
  <c r="E31" i="29"/>
  <c r="F31" i="29" s="1"/>
  <c r="E9" i="31"/>
  <c r="F9" i="31" s="1"/>
  <c r="E25" i="31"/>
  <c r="F25" i="31" s="1"/>
  <c r="E14" i="31"/>
  <c r="E30" i="31"/>
  <c r="F30" i="31" s="1"/>
  <c r="E19" i="31"/>
  <c r="F19" i="31" s="1"/>
  <c r="E8" i="31"/>
  <c r="F8" i="31" s="1"/>
  <c r="E24" i="31"/>
  <c r="F24" i="31" s="1"/>
  <c r="E20" i="31"/>
  <c r="F20" i="31" s="1"/>
  <c r="E15" i="31"/>
  <c r="F15" i="31" s="1"/>
  <c r="E18" i="31"/>
  <c r="F18" i="31" s="1"/>
  <c r="E13" i="31"/>
  <c r="F13" i="31" s="1"/>
  <c r="E28" i="31"/>
  <c r="F28" i="31" s="1"/>
  <c r="E23" i="31"/>
  <c r="F23" i="31" s="1"/>
  <c r="E10" i="31"/>
  <c r="F10" i="31" s="1"/>
  <c r="E5" i="31"/>
  <c r="F5" i="31" s="1"/>
  <c r="E17" i="31"/>
  <c r="F17" i="31" s="1"/>
  <c r="E6" i="31"/>
  <c r="F6" i="31" s="1"/>
  <c r="E22" i="31"/>
  <c r="F22" i="31" s="1"/>
  <c r="E11" i="31"/>
  <c r="F11" i="31" s="1"/>
  <c r="E27" i="31"/>
  <c r="F27" i="31" s="1"/>
  <c r="E16" i="31"/>
  <c r="F16" i="31" s="1"/>
  <c r="E32" i="31"/>
  <c r="E31" i="31"/>
  <c r="F31" i="31" s="1"/>
  <c r="E29" i="31"/>
  <c r="F29" i="31" s="1"/>
  <c r="E12" i="31"/>
  <c r="F12" i="31" s="1"/>
  <c r="E7" i="31"/>
  <c r="F7" i="31" s="1"/>
  <c r="E26" i="31"/>
  <c r="F26" i="31" s="1"/>
  <c r="E21" i="31"/>
  <c r="F21" i="31" s="1"/>
  <c r="E6" i="34"/>
  <c r="F6" i="34" s="1"/>
  <c r="E14" i="34"/>
  <c r="F14" i="34" s="1"/>
  <c r="E22" i="34"/>
  <c r="F22" i="34" s="1"/>
  <c r="E30" i="34"/>
  <c r="F30" i="34" s="1"/>
  <c r="E11" i="34"/>
  <c r="F11" i="34" s="1"/>
  <c r="E19" i="34"/>
  <c r="F19" i="34" s="1"/>
  <c r="E27" i="34"/>
  <c r="F27" i="34" s="1"/>
  <c r="E8" i="34"/>
  <c r="F8" i="34" s="1"/>
  <c r="E16" i="34"/>
  <c r="F16" i="34" s="1"/>
  <c r="E24" i="34"/>
  <c r="F24" i="34" s="1"/>
  <c r="E32" i="34"/>
  <c r="F32" i="34" s="1"/>
  <c r="E9" i="34"/>
  <c r="F9" i="34" s="1"/>
  <c r="E17" i="34"/>
  <c r="F17" i="34" s="1"/>
  <c r="E25" i="34"/>
  <c r="F25" i="34" s="1"/>
  <c r="E10" i="34"/>
  <c r="F10" i="34" s="1"/>
  <c r="E18" i="34"/>
  <c r="F18" i="34" s="1"/>
  <c r="E26" i="34"/>
  <c r="F26" i="34" s="1"/>
  <c r="E7" i="34"/>
  <c r="F7" i="34" s="1"/>
  <c r="E15" i="34"/>
  <c r="F15" i="34" s="1"/>
  <c r="E23" i="34"/>
  <c r="F23" i="34" s="1"/>
  <c r="E31" i="34"/>
  <c r="F31" i="34" s="1"/>
  <c r="E12" i="34"/>
  <c r="F12" i="34" s="1"/>
  <c r="E28" i="34"/>
  <c r="F28" i="34" s="1"/>
  <c r="E13" i="34"/>
  <c r="F13" i="34" s="1"/>
  <c r="E29" i="34"/>
  <c r="F29" i="34" s="1"/>
  <c r="E20" i="34"/>
  <c r="F20" i="34" s="1"/>
  <c r="E5" i="34"/>
  <c r="F5" i="34" s="1"/>
  <c r="E21" i="34"/>
  <c r="F21" i="34" s="1"/>
  <c r="E19" i="21"/>
  <c r="F19" i="21" s="1"/>
  <c r="E8" i="21"/>
  <c r="F8" i="21" s="1"/>
  <c r="E24" i="21"/>
  <c r="F24" i="21" s="1"/>
  <c r="E30" i="21"/>
  <c r="E14" i="21"/>
  <c r="F14" i="21" s="1"/>
  <c r="E25" i="21"/>
  <c r="E9" i="21"/>
  <c r="F9" i="21" s="1"/>
  <c r="E12" i="21"/>
  <c r="F12" i="21" s="1"/>
  <c r="E7" i="21"/>
  <c r="F7" i="21" s="1"/>
  <c r="E18" i="21"/>
  <c r="F18" i="21" s="1"/>
  <c r="E29" i="21"/>
  <c r="F29" i="21" s="1"/>
  <c r="E13" i="21"/>
  <c r="E20" i="21"/>
  <c r="F20" i="21" s="1"/>
  <c r="E15" i="21"/>
  <c r="F15" i="21" s="1"/>
  <c r="E11" i="21"/>
  <c r="F11" i="21" s="1"/>
  <c r="E27" i="21"/>
  <c r="F27" i="21" s="1"/>
  <c r="E16" i="21"/>
  <c r="F16" i="21" s="1"/>
  <c r="E32" i="21"/>
  <c r="E22" i="21"/>
  <c r="F22" i="21" s="1"/>
  <c r="E6" i="21"/>
  <c r="E17" i="21"/>
  <c r="F17" i="21" s="1"/>
  <c r="E28" i="21"/>
  <c r="F28" i="21" s="1"/>
  <c r="E23" i="21"/>
  <c r="F23" i="21" s="1"/>
  <c r="E26" i="21"/>
  <c r="F26" i="21" s="1"/>
  <c r="E10" i="21"/>
  <c r="F10" i="21" s="1"/>
  <c r="E21" i="21"/>
  <c r="F21" i="21" s="1"/>
  <c r="E5" i="21"/>
  <c r="F5" i="21" s="1"/>
  <c r="E31" i="21"/>
  <c r="F31" i="21" s="1"/>
  <c r="E9" i="23"/>
  <c r="F9" i="23" s="1"/>
  <c r="E25" i="23"/>
  <c r="E14" i="23"/>
  <c r="F14" i="23" s="1"/>
  <c r="E30" i="23"/>
  <c r="F30" i="23" s="1"/>
  <c r="E24" i="23"/>
  <c r="F24" i="23" s="1"/>
  <c r="E8" i="23"/>
  <c r="F8" i="23" s="1"/>
  <c r="E19" i="23"/>
  <c r="F19" i="23" s="1"/>
  <c r="E29" i="23"/>
  <c r="E28" i="23"/>
  <c r="F28" i="23" s="1"/>
  <c r="E12" i="23"/>
  <c r="E23" i="23"/>
  <c r="F23" i="23" s="1"/>
  <c r="E7" i="23"/>
  <c r="E10" i="23"/>
  <c r="F10" i="23" s="1"/>
  <c r="E5" i="23"/>
  <c r="F5" i="23" s="1"/>
  <c r="E17" i="23"/>
  <c r="F17" i="23" s="1"/>
  <c r="E6" i="23"/>
  <c r="F6" i="23" s="1"/>
  <c r="E22" i="23"/>
  <c r="F22" i="23" s="1"/>
  <c r="E32" i="23"/>
  <c r="E16" i="23"/>
  <c r="F16" i="23" s="1"/>
  <c r="E27" i="23"/>
  <c r="F27" i="23" s="1"/>
  <c r="E11" i="23"/>
  <c r="F11" i="23" s="1"/>
  <c r="E18" i="23"/>
  <c r="E13" i="23"/>
  <c r="F13" i="23" s="1"/>
  <c r="E20" i="23"/>
  <c r="E31" i="23"/>
  <c r="F31" i="23" s="1"/>
  <c r="E15" i="23"/>
  <c r="F15" i="23" s="1"/>
  <c r="E26" i="23"/>
  <c r="F26" i="23" s="1"/>
  <c r="E21" i="23"/>
  <c r="F21" i="23" s="1"/>
  <c r="E8" i="51"/>
  <c r="F8" i="51" s="1"/>
  <c r="E24" i="51"/>
  <c r="E9" i="51"/>
  <c r="F9" i="51" s="1"/>
  <c r="E25" i="51"/>
  <c r="F25" i="51" s="1"/>
  <c r="E14" i="51"/>
  <c r="F14" i="51" s="1"/>
  <c r="E30" i="51"/>
  <c r="E19" i="51"/>
  <c r="F19" i="51" s="1"/>
  <c r="E12" i="51"/>
  <c r="E28" i="51"/>
  <c r="F28" i="51" s="1"/>
  <c r="E13" i="51"/>
  <c r="E29" i="51"/>
  <c r="F29" i="51" s="1"/>
  <c r="E23" i="51"/>
  <c r="E18" i="51"/>
  <c r="F18" i="51" s="1"/>
  <c r="E31" i="51"/>
  <c r="E26" i="51"/>
  <c r="F26" i="51" s="1"/>
  <c r="E16" i="51"/>
  <c r="F16" i="51" s="1"/>
  <c r="E32" i="51"/>
  <c r="F32" i="51" s="1"/>
  <c r="E17" i="51"/>
  <c r="E6" i="51"/>
  <c r="F6" i="51" s="1"/>
  <c r="E22" i="51"/>
  <c r="F22" i="51" s="1"/>
  <c r="E11" i="51"/>
  <c r="F11" i="51" s="1"/>
  <c r="E27" i="51"/>
  <c r="E20" i="51"/>
  <c r="F20" i="51" s="1"/>
  <c r="E5" i="51"/>
  <c r="F5" i="51" s="1"/>
  <c r="E21" i="51"/>
  <c r="F21" i="51" s="1"/>
  <c r="E7" i="51"/>
  <c r="F7" i="51" s="1"/>
  <c r="E15" i="51"/>
  <c r="F15" i="51" s="1"/>
  <c r="E10" i="51"/>
  <c r="F10" i="51" s="1"/>
  <c r="E17" i="52"/>
  <c r="F17" i="52" s="1"/>
  <c r="E6" i="52"/>
  <c r="F6" i="52" s="1"/>
  <c r="E22" i="52"/>
  <c r="F22" i="52" s="1"/>
  <c r="E7" i="52"/>
  <c r="F7" i="52" s="1"/>
  <c r="E23" i="52"/>
  <c r="F23" i="52" s="1"/>
  <c r="E12" i="52"/>
  <c r="F12" i="52" s="1"/>
  <c r="E28" i="52"/>
  <c r="F28" i="52" s="1"/>
  <c r="E13" i="52"/>
  <c r="F13" i="52" s="1"/>
  <c r="E29" i="52"/>
  <c r="F29" i="52" s="1"/>
  <c r="E18" i="52"/>
  <c r="F18" i="52" s="1"/>
  <c r="E11" i="52"/>
  <c r="F11" i="52" s="1"/>
  <c r="E27" i="52"/>
  <c r="F27" i="52" s="1"/>
  <c r="E16" i="52"/>
  <c r="F16" i="52" s="1"/>
  <c r="E32" i="52"/>
  <c r="F32" i="52" s="1"/>
  <c r="E9" i="52"/>
  <c r="F9" i="52" s="1"/>
  <c r="E25" i="52"/>
  <c r="F25" i="52" s="1"/>
  <c r="E14" i="52"/>
  <c r="F14" i="52" s="1"/>
  <c r="E30" i="52"/>
  <c r="F30" i="52" s="1"/>
  <c r="E15" i="52"/>
  <c r="F15" i="52" s="1"/>
  <c r="E31" i="52"/>
  <c r="F31" i="52" s="1"/>
  <c r="E20" i="52"/>
  <c r="F20" i="52" s="1"/>
  <c r="E5" i="52"/>
  <c r="F5" i="52" s="1"/>
  <c r="E21" i="52"/>
  <c r="F21" i="52" s="1"/>
  <c r="E10" i="52"/>
  <c r="F10" i="52" s="1"/>
  <c r="E26" i="52"/>
  <c r="F26" i="52" s="1"/>
  <c r="E19" i="52"/>
  <c r="F19" i="52" s="1"/>
  <c r="E8" i="52"/>
  <c r="F8" i="52" s="1"/>
  <c r="E24" i="52"/>
  <c r="F24" i="52" s="1"/>
  <c r="E31" i="56"/>
  <c r="F31" i="56" s="1"/>
  <c r="E15" i="56"/>
  <c r="F15" i="56" s="1"/>
  <c r="E22" i="56"/>
  <c r="F22" i="56" s="1"/>
  <c r="E6" i="56"/>
  <c r="F6" i="56" s="1"/>
  <c r="E20" i="56"/>
  <c r="F20" i="56" s="1"/>
  <c r="E25" i="56"/>
  <c r="F25" i="56" s="1"/>
  <c r="E9" i="56"/>
  <c r="F9" i="56" s="1"/>
  <c r="E19" i="56"/>
  <c r="F19" i="56" s="1"/>
  <c r="E26" i="56"/>
  <c r="F26" i="56" s="1"/>
  <c r="E10" i="56"/>
  <c r="F10" i="56" s="1"/>
  <c r="E24" i="56"/>
  <c r="F24" i="56" s="1"/>
  <c r="E8" i="56"/>
  <c r="F8" i="56" s="1"/>
  <c r="E21" i="56"/>
  <c r="F21" i="56" s="1"/>
  <c r="E5" i="56"/>
  <c r="F5" i="56" s="1"/>
  <c r="E23" i="56"/>
  <c r="F23" i="56" s="1"/>
  <c r="E30" i="56"/>
  <c r="F30" i="56" s="1"/>
  <c r="E14" i="56"/>
  <c r="F14" i="56" s="1"/>
  <c r="E28" i="56"/>
  <c r="F28" i="56" s="1"/>
  <c r="E12" i="56"/>
  <c r="F12" i="56" s="1"/>
  <c r="E17" i="56"/>
  <c r="F17" i="56" s="1"/>
  <c r="E27" i="56"/>
  <c r="F27" i="56" s="1"/>
  <c r="E11" i="56"/>
  <c r="F11" i="56" s="1"/>
  <c r="E18" i="56"/>
  <c r="F18" i="56" s="1"/>
  <c r="E32" i="56"/>
  <c r="E16" i="56"/>
  <c r="F16" i="56" s="1"/>
  <c r="E29" i="56"/>
  <c r="F29" i="56" s="1"/>
  <c r="E13" i="56"/>
  <c r="F13" i="56" s="1"/>
  <c r="E7" i="56"/>
  <c r="F7" i="56" s="1"/>
  <c r="E29" i="59"/>
  <c r="F29" i="59" s="1"/>
  <c r="E28" i="59"/>
  <c r="F28" i="59" s="1"/>
  <c r="E14" i="59"/>
  <c r="E30" i="59"/>
  <c r="F30" i="59" s="1"/>
  <c r="E19" i="59"/>
  <c r="F19" i="59" s="1"/>
  <c r="E8" i="59"/>
  <c r="F8" i="59" s="1"/>
  <c r="E24" i="59"/>
  <c r="F24" i="59" s="1"/>
  <c r="E9" i="59"/>
  <c r="F9" i="59" s="1"/>
  <c r="E25" i="59"/>
  <c r="F25" i="59" s="1"/>
  <c r="E18" i="59"/>
  <c r="F18" i="59" s="1"/>
  <c r="E7" i="59"/>
  <c r="F7" i="59" s="1"/>
  <c r="E23" i="59"/>
  <c r="F23" i="59" s="1"/>
  <c r="E5" i="59"/>
  <c r="F5" i="59" s="1"/>
  <c r="E12" i="59"/>
  <c r="F12" i="59" s="1"/>
  <c r="E13" i="59"/>
  <c r="F13" i="59" s="1"/>
  <c r="E6" i="59"/>
  <c r="F6" i="59" s="1"/>
  <c r="E22" i="59"/>
  <c r="F22" i="59" s="1"/>
  <c r="E11" i="59"/>
  <c r="F11" i="59" s="1"/>
  <c r="E27" i="59"/>
  <c r="F27" i="59" s="1"/>
  <c r="E16" i="59"/>
  <c r="F16" i="59" s="1"/>
  <c r="E32" i="59"/>
  <c r="F32" i="59" s="1"/>
  <c r="E17" i="59"/>
  <c r="F17" i="59" s="1"/>
  <c r="E10" i="59"/>
  <c r="F10" i="59" s="1"/>
  <c r="E26" i="59"/>
  <c r="F26" i="59" s="1"/>
  <c r="D62" i="63" s="1"/>
  <c r="E15" i="59"/>
  <c r="F15" i="59" s="1"/>
  <c r="E31" i="59"/>
  <c r="F31" i="59" s="1"/>
  <c r="E21" i="59"/>
  <c r="F21" i="59" s="1"/>
  <c r="E20" i="59"/>
  <c r="F20" i="59" s="1"/>
  <c r="E18" i="4"/>
  <c r="F18" i="4" s="1"/>
  <c r="E7" i="4"/>
  <c r="F7" i="4" s="1"/>
  <c r="E8" i="4"/>
  <c r="F8" i="4" s="1"/>
  <c r="E24" i="4"/>
  <c r="F24" i="4" s="1"/>
  <c r="E9" i="4"/>
  <c r="F9" i="4" s="1"/>
  <c r="E25" i="4"/>
  <c r="F25" i="4" s="1"/>
  <c r="E14" i="4"/>
  <c r="E30" i="4"/>
  <c r="F30" i="4" s="1"/>
  <c r="E19" i="4"/>
  <c r="F19" i="4" s="1"/>
  <c r="E12" i="4"/>
  <c r="F12" i="4" s="1"/>
  <c r="E28" i="4"/>
  <c r="F28" i="4" s="1"/>
  <c r="E13" i="4"/>
  <c r="F13" i="4" s="1"/>
  <c r="E29" i="4"/>
  <c r="F29" i="4" s="1"/>
  <c r="E31" i="4"/>
  <c r="E26" i="4"/>
  <c r="F26" i="4" s="1"/>
  <c r="E23" i="4"/>
  <c r="F23" i="4" s="1"/>
  <c r="E16" i="4"/>
  <c r="F16" i="4" s="1"/>
  <c r="E32" i="4"/>
  <c r="E17" i="4"/>
  <c r="F17" i="4" s="1"/>
  <c r="E6" i="4"/>
  <c r="F6" i="4" s="1"/>
  <c r="E22" i="4"/>
  <c r="F22" i="4" s="1"/>
  <c r="E11" i="4"/>
  <c r="F11" i="4" s="1"/>
  <c r="E27" i="4"/>
  <c r="F27" i="4" s="1"/>
  <c r="E20" i="4"/>
  <c r="F20" i="4" s="1"/>
  <c r="E5" i="4"/>
  <c r="F5" i="4" s="1"/>
  <c r="E21" i="4"/>
  <c r="F21" i="4" s="1"/>
  <c r="E15" i="4"/>
  <c r="F15" i="4" s="1"/>
  <c r="E10" i="4"/>
  <c r="F10" i="4" s="1"/>
  <c r="E9" i="6"/>
  <c r="F9" i="6" s="1"/>
  <c r="E14" i="6"/>
  <c r="F14" i="6" s="1"/>
  <c r="E15" i="6"/>
  <c r="F15" i="6" s="1"/>
  <c r="E31" i="6"/>
  <c r="F31" i="6" s="1"/>
  <c r="E20" i="6"/>
  <c r="F20" i="6" s="1"/>
  <c r="E5" i="6"/>
  <c r="F5" i="6" s="1"/>
  <c r="E21" i="6"/>
  <c r="F21" i="6" s="1"/>
  <c r="E10" i="6"/>
  <c r="F10" i="6" s="1"/>
  <c r="E26" i="6"/>
  <c r="F26" i="6" s="1"/>
  <c r="E19" i="6"/>
  <c r="F19" i="6" s="1"/>
  <c r="E8" i="6"/>
  <c r="F8" i="6" s="1"/>
  <c r="E24" i="6"/>
  <c r="F24" i="6" s="1"/>
  <c r="E22" i="6"/>
  <c r="F22" i="6" s="1"/>
  <c r="E17" i="6"/>
  <c r="F17" i="6" s="1"/>
  <c r="E30" i="6"/>
  <c r="F30" i="6" s="1"/>
  <c r="E25" i="6"/>
  <c r="F25" i="6" s="1"/>
  <c r="E7" i="6"/>
  <c r="F7" i="6" s="1"/>
  <c r="E23" i="6"/>
  <c r="F23" i="6" s="1"/>
  <c r="E12" i="6"/>
  <c r="F12" i="6" s="1"/>
  <c r="E28" i="6"/>
  <c r="F28" i="6" s="1"/>
  <c r="E13" i="6"/>
  <c r="F13" i="6" s="1"/>
  <c r="E29" i="6"/>
  <c r="F29" i="6" s="1"/>
  <c r="E18" i="6"/>
  <c r="F18" i="6" s="1"/>
  <c r="E11" i="6"/>
  <c r="F11" i="6" s="1"/>
  <c r="E27" i="6"/>
  <c r="F27" i="6" s="1"/>
  <c r="E16" i="6"/>
  <c r="F16" i="6" s="1"/>
  <c r="E32" i="6"/>
  <c r="F32" i="6" s="1"/>
  <c r="E6" i="6"/>
  <c r="F6" i="6" s="1"/>
  <c r="E24" i="8"/>
  <c r="F24" i="8" s="1"/>
  <c r="E5" i="8"/>
  <c r="F5" i="8" s="1"/>
  <c r="E17" i="8"/>
  <c r="F17" i="8" s="1"/>
  <c r="E10" i="8"/>
  <c r="F10" i="8" s="1"/>
  <c r="E26" i="8"/>
  <c r="F26" i="8" s="1"/>
  <c r="E11" i="8"/>
  <c r="F11" i="8" s="1"/>
  <c r="E27" i="8"/>
  <c r="F27" i="8" s="1"/>
  <c r="E20" i="8"/>
  <c r="F20" i="8" s="1"/>
  <c r="E9" i="8"/>
  <c r="F9" i="8" s="1"/>
  <c r="E21" i="8"/>
  <c r="F21" i="8" s="1"/>
  <c r="E14" i="8"/>
  <c r="F14" i="8" s="1"/>
  <c r="E30" i="8"/>
  <c r="F30" i="8" s="1"/>
  <c r="E16" i="8"/>
  <c r="F16" i="8" s="1"/>
  <c r="E8" i="8"/>
  <c r="F8" i="8" s="1"/>
  <c r="E15" i="8"/>
  <c r="F15" i="8" s="1"/>
  <c r="E31" i="8"/>
  <c r="E6" i="8"/>
  <c r="F6" i="8" s="1"/>
  <c r="E25" i="8"/>
  <c r="F25" i="8" s="1"/>
  <c r="E18" i="8"/>
  <c r="F18" i="8" s="1"/>
  <c r="E7" i="8"/>
  <c r="F7" i="8" s="1"/>
  <c r="E19" i="8"/>
  <c r="F19" i="8" s="1"/>
  <c r="E12" i="8"/>
  <c r="F12" i="8" s="1"/>
  <c r="E28" i="8"/>
  <c r="F28" i="8" s="1"/>
  <c r="E13" i="8"/>
  <c r="F13" i="8" s="1"/>
  <c r="E29" i="8"/>
  <c r="F29" i="8" s="1"/>
  <c r="E22" i="8"/>
  <c r="F22" i="8" s="1"/>
  <c r="E32" i="8"/>
  <c r="F32" i="8" s="1"/>
  <c r="E23" i="8"/>
  <c r="F23" i="8" s="1"/>
  <c r="E14" i="9"/>
  <c r="F14" i="9" s="1"/>
  <c r="E30" i="9"/>
  <c r="F30" i="9" s="1"/>
  <c r="E19" i="9"/>
  <c r="F19" i="9" s="1"/>
  <c r="E25" i="9"/>
  <c r="F25" i="9" s="1"/>
  <c r="E9" i="9"/>
  <c r="F9" i="9" s="1"/>
  <c r="E24" i="9"/>
  <c r="F24" i="9" s="1"/>
  <c r="E8" i="9"/>
  <c r="F8" i="9" s="1"/>
  <c r="E31" i="9"/>
  <c r="E26" i="9"/>
  <c r="F26" i="9" s="1"/>
  <c r="E29" i="9"/>
  <c r="F29" i="9" s="1"/>
  <c r="E13" i="9"/>
  <c r="F13" i="9" s="1"/>
  <c r="E28" i="9"/>
  <c r="F28" i="9" s="1"/>
  <c r="E12" i="9"/>
  <c r="F12" i="9" s="1"/>
  <c r="E7" i="9"/>
  <c r="F7" i="9" s="1"/>
  <c r="E6" i="9"/>
  <c r="F6" i="9" s="1"/>
  <c r="E22" i="9"/>
  <c r="F22" i="9" s="1"/>
  <c r="E11" i="9"/>
  <c r="F11" i="9" s="1"/>
  <c r="E27" i="9"/>
  <c r="F27" i="9" s="1"/>
  <c r="E17" i="9"/>
  <c r="F17" i="9" s="1"/>
  <c r="E32" i="9"/>
  <c r="E16" i="9"/>
  <c r="F16" i="9" s="1"/>
  <c r="E15" i="9"/>
  <c r="F15" i="9" s="1"/>
  <c r="E10" i="9"/>
  <c r="F10" i="9" s="1"/>
  <c r="E21" i="9"/>
  <c r="F21" i="9" s="1"/>
  <c r="E5" i="9"/>
  <c r="F5" i="9" s="1"/>
  <c r="E20" i="9"/>
  <c r="F20" i="9" s="1"/>
  <c r="E23" i="9"/>
  <c r="F23" i="9" s="1"/>
  <c r="E18" i="9"/>
  <c r="F18" i="9" s="1"/>
  <c r="E15" i="16"/>
  <c r="F15" i="16" s="1"/>
  <c r="E8" i="16"/>
  <c r="F8" i="16" s="1"/>
  <c r="E24" i="16"/>
  <c r="F24" i="16" s="1"/>
  <c r="E9" i="16"/>
  <c r="F9" i="16" s="1"/>
  <c r="E25" i="16"/>
  <c r="F25" i="16" s="1"/>
  <c r="E14" i="16"/>
  <c r="F14" i="16" s="1"/>
  <c r="E30" i="16"/>
  <c r="F30" i="16" s="1"/>
  <c r="E19" i="16"/>
  <c r="F19" i="16" s="1"/>
  <c r="E12" i="16"/>
  <c r="F12" i="16" s="1"/>
  <c r="E28" i="16"/>
  <c r="F28" i="16" s="1"/>
  <c r="E13" i="16"/>
  <c r="F13" i="16" s="1"/>
  <c r="E29" i="16"/>
  <c r="F29" i="16" s="1"/>
  <c r="E23" i="16"/>
  <c r="F23" i="16" s="1"/>
  <c r="E18" i="16"/>
  <c r="F18" i="16" s="1"/>
  <c r="E10" i="16"/>
  <c r="F10" i="16" s="1"/>
  <c r="E31" i="16"/>
  <c r="F31" i="16" s="1"/>
  <c r="E26" i="16"/>
  <c r="F26" i="16" s="1"/>
  <c r="D48" i="63" s="1"/>
  <c r="E16" i="16"/>
  <c r="F16" i="16" s="1"/>
  <c r="E32" i="16"/>
  <c r="F32" i="16" s="1"/>
  <c r="E17" i="16"/>
  <c r="F17" i="16" s="1"/>
  <c r="E6" i="16"/>
  <c r="F6" i="16" s="1"/>
  <c r="E22" i="16"/>
  <c r="F22" i="16" s="1"/>
  <c r="E11" i="16"/>
  <c r="F11" i="16" s="1"/>
  <c r="E27" i="16"/>
  <c r="F27" i="16" s="1"/>
  <c r="E20" i="16"/>
  <c r="F20" i="16" s="1"/>
  <c r="E5" i="16"/>
  <c r="F5" i="16" s="1"/>
  <c r="E21" i="16"/>
  <c r="F21" i="16" s="1"/>
  <c r="E7" i="16"/>
  <c r="F7" i="16" s="1"/>
  <c r="E11" i="33"/>
  <c r="F11" i="33" s="1"/>
  <c r="E19" i="33"/>
  <c r="F19" i="33" s="1"/>
  <c r="E27" i="33"/>
  <c r="F27" i="33" s="1"/>
  <c r="E8" i="33"/>
  <c r="F8" i="33" s="1"/>
  <c r="E16" i="33"/>
  <c r="F16" i="33" s="1"/>
  <c r="E24" i="33"/>
  <c r="F24" i="33" s="1"/>
  <c r="E32" i="33"/>
  <c r="F32" i="33" s="1"/>
  <c r="E9" i="33"/>
  <c r="F9" i="33" s="1"/>
  <c r="E17" i="33"/>
  <c r="F17" i="33" s="1"/>
  <c r="E25" i="33"/>
  <c r="F25" i="33" s="1"/>
  <c r="E6" i="33"/>
  <c r="F6" i="33" s="1"/>
  <c r="E14" i="33"/>
  <c r="F14" i="33" s="1"/>
  <c r="E22" i="33"/>
  <c r="F22" i="33" s="1"/>
  <c r="E30" i="33"/>
  <c r="F30" i="33" s="1"/>
  <c r="E15" i="33"/>
  <c r="F15" i="33" s="1"/>
  <c r="E31" i="33"/>
  <c r="E20" i="33"/>
  <c r="F20" i="33" s="1"/>
  <c r="E13" i="33"/>
  <c r="F13" i="33" s="1"/>
  <c r="E29" i="33"/>
  <c r="F29" i="33" s="1"/>
  <c r="E18" i="33"/>
  <c r="F18" i="33" s="1"/>
  <c r="E7" i="33"/>
  <c r="F7" i="33" s="1"/>
  <c r="E23" i="33"/>
  <c r="F23" i="33" s="1"/>
  <c r="E12" i="33"/>
  <c r="F12" i="33" s="1"/>
  <c r="E28" i="33"/>
  <c r="F28" i="33" s="1"/>
  <c r="E5" i="33"/>
  <c r="F5" i="33" s="1"/>
  <c r="E21" i="33"/>
  <c r="F21" i="33" s="1"/>
  <c r="E10" i="33"/>
  <c r="F10" i="33" s="1"/>
  <c r="E26" i="33"/>
  <c r="F26" i="33" s="1"/>
  <c r="D31" i="63" s="1"/>
  <c r="E11" i="37"/>
  <c r="F11" i="37" s="1"/>
  <c r="E19" i="37"/>
  <c r="F19" i="37" s="1"/>
  <c r="E27" i="37"/>
  <c r="F27" i="37" s="1"/>
  <c r="E8" i="37"/>
  <c r="F8" i="37" s="1"/>
  <c r="E16" i="37"/>
  <c r="F16" i="37" s="1"/>
  <c r="E24" i="37"/>
  <c r="F24" i="37" s="1"/>
  <c r="E32" i="37"/>
  <c r="F32" i="37" s="1"/>
  <c r="E9" i="37"/>
  <c r="F9" i="37" s="1"/>
  <c r="E17" i="37"/>
  <c r="F17" i="37" s="1"/>
  <c r="E25" i="37"/>
  <c r="F25" i="37" s="1"/>
  <c r="E6" i="37"/>
  <c r="F6" i="37" s="1"/>
  <c r="E14" i="37"/>
  <c r="F14" i="37" s="1"/>
  <c r="E22" i="37"/>
  <c r="F22" i="37" s="1"/>
  <c r="E30" i="37"/>
  <c r="F30" i="37" s="1"/>
  <c r="E15" i="37"/>
  <c r="F15" i="37" s="1"/>
  <c r="E31" i="37"/>
  <c r="F31" i="37" s="1"/>
  <c r="E20" i="37"/>
  <c r="F20" i="37" s="1"/>
  <c r="E13" i="37"/>
  <c r="F13" i="37" s="1"/>
  <c r="E29" i="37"/>
  <c r="F29" i="37" s="1"/>
  <c r="E18" i="37"/>
  <c r="F18" i="37" s="1"/>
  <c r="E7" i="37"/>
  <c r="F7" i="37" s="1"/>
  <c r="E23" i="37"/>
  <c r="F23" i="37" s="1"/>
  <c r="E12" i="37"/>
  <c r="F12" i="37" s="1"/>
  <c r="E28" i="37"/>
  <c r="F28" i="37" s="1"/>
  <c r="E5" i="37"/>
  <c r="F5" i="37" s="1"/>
  <c r="E21" i="37"/>
  <c r="F21" i="37" s="1"/>
  <c r="E10" i="37"/>
  <c r="F10" i="37" s="1"/>
  <c r="E26" i="37"/>
  <c r="F26" i="37" s="1"/>
  <c r="D27" i="63" s="1"/>
  <c r="E11" i="50"/>
  <c r="F11" i="50" s="1"/>
  <c r="E19" i="50"/>
  <c r="F19" i="50" s="1"/>
  <c r="E27" i="50"/>
  <c r="F27" i="50" s="1"/>
  <c r="E8" i="50"/>
  <c r="F8" i="50" s="1"/>
  <c r="E16" i="50"/>
  <c r="F16" i="50" s="1"/>
  <c r="E24" i="50"/>
  <c r="F24" i="50" s="1"/>
  <c r="E32" i="50"/>
  <c r="F32" i="50" s="1"/>
  <c r="E5" i="50"/>
  <c r="F5" i="50" s="1"/>
  <c r="E13" i="50"/>
  <c r="F13" i="50" s="1"/>
  <c r="E21" i="50"/>
  <c r="F21" i="50" s="1"/>
  <c r="E29" i="50"/>
  <c r="F29" i="50" s="1"/>
  <c r="E10" i="50"/>
  <c r="F10" i="50" s="1"/>
  <c r="E18" i="50"/>
  <c r="F18" i="50" s="1"/>
  <c r="E26" i="50"/>
  <c r="F26" i="50" s="1"/>
  <c r="E7" i="50"/>
  <c r="F7" i="50" s="1"/>
  <c r="E15" i="50"/>
  <c r="F15" i="50" s="1"/>
  <c r="E23" i="50"/>
  <c r="F23" i="50" s="1"/>
  <c r="E31" i="50"/>
  <c r="F31" i="50" s="1"/>
  <c r="E12" i="50"/>
  <c r="F12" i="50" s="1"/>
  <c r="E20" i="50"/>
  <c r="F20" i="50" s="1"/>
  <c r="E28" i="50"/>
  <c r="F28" i="50" s="1"/>
  <c r="E9" i="50"/>
  <c r="F9" i="50" s="1"/>
  <c r="E17" i="50"/>
  <c r="F17" i="50" s="1"/>
  <c r="E25" i="50"/>
  <c r="F25" i="50" s="1"/>
  <c r="E6" i="50"/>
  <c r="F6" i="50" s="1"/>
  <c r="E14" i="50"/>
  <c r="F14" i="50" s="1"/>
  <c r="E22" i="50"/>
  <c r="F22" i="50" s="1"/>
  <c r="E30" i="50"/>
  <c r="F30" i="50" s="1"/>
  <c r="E12" i="53"/>
  <c r="F12" i="53" s="1"/>
  <c r="E13" i="53"/>
  <c r="F13" i="53" s="1"/>
  <c r="E14" i="53"/>
  <c r="F14" i="53" s="1"/>
  <c r="E30" i="53"/>
  <c r="F30" i="53" s="1"/>
  <c r="E19" i="53"/>
  <c r="F19" i="53" s="1"/>
  <c r="E8" i="53"/>
  <c r="F8" i="53" s="1"/>
  <c r="E24" i="53"/>
  <c r="F24" i="53" s="1"/>
  <c r="E9" i="53"/>
  <c r="F9" i="53" s="1"/>
  <c r="E25" i="53"/>
  <c r="F25" i="53" s="1"/>
  <c r="E18" i="53"/>
  <c r="F18" i="53" s="1"/>
  <c r="E7" i="53"/>
  <c r="F7" i="53" s="1"/>
  <c r="E23" i="53"/>
  <c r="F23" i="53" s="1"/>
  <c r="E21" i="53"/>
  <c r="F21" i="53" s="1"/>
  <c r="E20" i="53"/>
  <c r="F20" i="53" s="1"/>
  <c r="E29" i="53"/>
  <c r="F29" i="53" s="1"/>
  <c r="E28" i="53"/>
  <c r="F28" i="53" s="1"/>
  <c r="E6" i="53"/>
  <c r="F6" i="53" s="1"/>
  <c r="E22" i="53"/>
  <c r="F22" i="53" s="1"/>
  <c r="E11" i="53"/>
  <c r="F11" i="53" s="1"/>
  <c r="E27" i="53"/>
  <c r="F27" i="53" s="1"/>
  <c r="E16" i="53"/>
  <c r="F16" i="53" s="1"/>
  <c r="E32" i="53"/>
  <c r="E17" i="53"/>
  <c r="F17" i="53" s="1"/>
  <c r="E10" i="53"/>
  <c r="F10" i="53" s="1"/>
  <c r="E26" i="53"/>
  <c r="F26" i="53" s="1"/>
  <c r="D11" i="63" s="1"/>
  <c r="E15" i="53"/>
  <c r="F15" i="53" s="1"/>
  <c r="E31" i="53"/>
  <c r="F31" i="53" s="1"/>
  <c r="E5" i="53"/>
  <c r="F5" i="53" s="1"/>
  <c r="E15" i="24"/>
  <c r="F15" i="24" s="1"/>
  <c r="E8" i="24"/>
  <c r="F8" i="24" s="1"/>
  <c r="E24" i="24"/>
  <c r="F24" i="24" s="1"/>
  <c r="E9" i="24"/>
  <c r="E25" i="24"/>
  <c r="F25" i="24" s="1"/>
  <c r="E14" i="24"/>
  <c r="F14" i="24" s="1"/>
  <c r="E30" i="24"/>
  <c r="F30" i="24" s="1"/>
  <c r="E19" i="24"/>
  <c r="E12" i="24"/>
  <c r="F12" i="24" s="1"/>
  <c r="E28" i="24"/>
  <c r="E13" i="24"/>
  <c r="F13" i="24" s="1"/>
  <c r="E29" i="24"/>
  <c r="E23" i="24"/>
  <c r="F23" i="24" s="1"/>
  <c r="E18" i="24"/>
  <c r="E10" i="24"/>
  <c r="F10" i="24" s="1"/>
  <c r="E31" i="24"/>
  <c r="E26" i="24"/>
  <c r="F26" i="24" s="1"/>
  <c r="D40" i="63" s="1"/>
  <c r="E16" i="24"/>
  <c r="F16" i="24" s="1"/>
  <c r="E32" i="24"/>
  <c r="F32" i="24" s="1"/>
  <c r="E17" i="24"/>
  <c r="E6" i="24"/>
  <c r="F6" i="24" s="1"/>
  <c r="E22" i="24"/>
  <c r="F22" i="24" s="1"/>
  <c r="E11" i="24"/>
  <c r="F11" i="24" s="1"/>
  <c r="E27" i="24"/>
  <c r="E20" i="24"/>
  <c r="F20" i="24" s="1"/>
  <c r="E5" i="24"/>
  <c r="F5" i="24" s="1"/>
  <c r="E21" i="24"/>
  <c r="F21" i="24" s="1"/>
  <c r="E7" i="24"/>
  <c r="E15" i="44"/>
  <c r="F15" i="44" s="1"/>
  <c r="E31" i="44"/>
  <c r="E20" i="44"/>
  <c r="F20" i="44" s="1"/>
  <c r="E5" i="44"/>
  <c r="F5" i="44" s="1"/>
  <c r="E21" i="44"/>
  <c r="F21" i="44" s="1"/>
  <c r="E10" i="44"/>
  <c r="F10" i="44" s="1"/>
  <c r="E26" i="44"/>
  <c r="F26" i="44" s="1"/>
  <c r="E19" i="44"/>
  <c r="F19" i="44" s="1"/>
  <c r="E8" i="44"/>
  <c r="F8" i="44" s="1"/>
  <c r="E24" i="44"/>
  <c r="F24" i="44" s="1"/>
  <c r="E9" i="44"/>
  <c r="F9" i="44" s="1"/>
  <c r="E25" i="44"/>
  <c r="F25" i="44" s="1"/>
  <c r="E14" i="44"/>
  <c r="F14" i="44" s="1"/>
  <c r="E30" i="44"/>
  <c r="F30" i="44" s="1"/>
  <c r="E7" i="44"/>
  <c r="F7" i="44" s="1"/>
  <c r="E23" i="44"/>
  <c r="F23" i="44" s="1"/>
  <c r="E12" i="44"/>
  <c r="F12" i="44" s="1"/>
  <c r="E28" i="44"/>
  <c r="F28" i="44" s="1"/>
  <c r="E13" i="44"/>
  <c r="F13" i="44" s="1"/>
  <c r="E29" i="44"/>
  <c r="F29" i="44" s="1"/>
  <c r="E18" i="44"/>
  <c r="F18" i="44" s="1"/>
  <c r="E11" i="44"/>
  <c r="F11" i="44" s="1"/>
  <c r="E27" i="44"/>
  <c r="F27" i="44" s="1"/>
  <c r="E16" i="44"/>
  <c r="F16" i="44" s="1"/>
  <c r="E32" i="44"/>
  <c r="F32" i="44" s="1"/>
  <c r="E17" i="44"/>
  <c r="F17" i="44" s="1"/>
  <c r="E6" i="44"/>
  <c r="F6" i="44" s="1"/>
  <c r="E22" i="44"/>
  <c r="F22" i="44" s="1"/>
  <c r="E17" i="48"/>
  <c r="F17" i="48" s="1"/>
  <c r="E6" i="48"/>
  <c r="F6" i="48" s="1"/>
  <c r="E22" i="48"/>
  <c r="F22" i="48" s="1"/>
  <c r="E7" i="48"/>
  <c r="F7" i="48" s="1"/>
  <c r="E23" i="48"/>
  <c r="F23" i="48" s="1"/>
  <c r="E12" i="48"/>
  <c r="F12" i="48" s="1"/>
  <c r="E28" i="48"/>
  <c r="F28" i="48" s="1"/>
  <c r="E13" i="48"/>
  <c r="F13" i="48" s="1"/>
  <c r="E29" i="48"/>
  <c r="F29" i="48" s="1"/>
  <c r="E18" i="48"/>
  <c r="F18" i="48" s="1"/>
  <c r="E11" i="48"/>
  <c r="F11" i="48" s="1"/>
  <c r="E27" i="48"/>
  <c r="F27" i="48" s="1"/>
  <c r="E16" i="48"/>
  <c r="F16" i="48" s="1"/>
  <c r="E32" i="48"/>
  <c r="F32" i="48" s="1"/>
  <c r="E9" i="48"/>
  <c r="F9" i="48" s="1"/>
  <c r="E25" i="48"/>
  <c r="F25" i="48" s="1"/>
  <c r="E14" i="48"/>
  <c r="F14" i="48" s="1"/>
  <c r="E30" i="48"/>
  <c r="F30" i="48" s="1"/>
  <c r="E15" i="48"/>
  <c r="F15" i="48" s="1"/>
  <c r="E31" i="48"/>
  <c r="F31" i="48" s="1"/>
  <c r="E20" i="48"/>
  <c r="F20" i="48" s="1"/>
  <c r="E5" i="48"/>
  <c r="F5" i="48" s="1"/>
  <c r="E21" i="48"/>
  <c r="F21" i="48" s="1"/>
  <c r="E10" i="48"/>
  <c r="F10" i="48" s="1"/>
  <c r="E26" i="48"/>
  <c r="F26" i="48" s="1"/>
  <c r="E19" i="48"/>
  <c r="F19" i="48" s="1"/>
  <c r="E8" i="48"/>
  <c r="F8" i="48" s="1"/>
  <c r="E24" i="48"/>
  <c r="F24" i="48" s="1"/>
  <c r="E17" i="54"/>
  <c r="F17" i="54" s="1"/>
  <c r="E8" i="54"/>
  <c r="F8" i="54" s="1"/>
  <c r="E24" i="54"/>
  <c r="F24" i="54" s="1"/>
  <c r="E7" i="54"/>
  <c r="F7" i="54" s="1"/>
  <c r="E23" i="54"/>
  <c r="F23" i="54" s="1"/>
  <c r="E10" i="54"/>
  <c r="F10" i="54" s="1"/>
  <c r="E26" i="54"/>
  <c r="F26" i="54" s="1"/>
  <c r="E13" i="54"/>
  <c r="F13" i="54" s="1"/>
  <c r="E29" i="54"/>
  <c r="F29" i="54" s="1"/>
  <c r="E20" i="54"/>
  <c r="F20" i="54" s="1"/>
  <c r="E11" i="54"/>
  <c r="F11" i="54" s="1"/>
  <c r="E27" i="54"/>
  <c r="F27" i="54" s="1"/>
  <c r="E14" i="54"/>
  <c r="E30" i="54"/>
  <c r="F30" i="54" s="1"/>
  <c r="E9" i="54"/>
  <c r="F9" i="54" s="1"/>
  <c r="E25" i="54"/>
  <c r="F25" i="54" s="1"/>
  <c r="E16" i="54"/>
  <c r="F16" i="54" s="1"/>
  <c r="E32" i="54"/>
  <c r="E15" i="54"/>
  <c r="F15" i="54" s="1"/>
  <c r="E31" i="54"/>
  <c r="E18" i="54"/>
  <c r="F18" i="54" s="1"/>
  <c r="E5" i="54"/>
  <c r="F5" i="54" s="1"/>
  <c r="E21" i="54"/>
  <c r="F21" i="54" s="1"/>
  <c r="E12" i="54"/>
  <c r="F12" i="54" s="1"/>
  <c r="E28" i="54"/>
  <c r="F28" i="54" s="1"/>
  <c r="E19" i="54"/>
  <c r="F19" i="54" s="1"/>
  <c r="E6" i="54"/>
  <c r="F6" i="54" s="1"/>
  <c r="E22" i="54"/>
  <c r="F22" i="54" s="1"/>
  <c r="E8" i="32"/>
  <c r="F8" i="32" s="1"/>
  <c r="E16" i="32"/>
  <c r="F16" i="32" s="1"/>
  <c r="E24" i="32"/>
  <c r="F24" i="32" s="1"/>
  <c r="E32" i="32"/>
  <c r="E9" i="32"/>
  <c r="F9" i="32" s="1"/>
  <c r="E17" i="32"/>
  <c r="F17" i="32" s="1"/>
  <c r="E25" i="32"/>
  <c r="F25" i="32" s="1"/>
  <c r="E6" i="32"/>
  <c r="F6" i="32" s="1"/>
  <c r="E14" i="32"/>
  <c r="F14" i="32" s="1"/>
  <c r="E22" i="32"/>
  <c r="F22" i="32" s="1"/>
  <c r="E30" i="32"/>
  <c r="F30" i="32" s="1"/>
  <c r="E11" i="32"/>
  <c r="F11" i="32" s="1"/>
  <c r="E19" i="32"/>
  <c r="F19" i="32" s="1"/>
  <c r="E27" i="32"/>
  <c r="F27" i="32" s="1"/>
  <c r="E12" i="32"/>
  <c r="F12" i="32" s="1"/>
  <c r="E20" i="32"/>
  <c r="F20" i="32" s="1"/>
  <c r="E28" i="32"/>
  <c r="F28" i="32" s="1"/>
  <c r="E5" i="32"/>
  <c r="F5" i="32" s="1"/>
  <c r="E13" i="32"/>
  <c r="F13" i="32" s="1"/>
  <c r="E21" i="32"/>
  <c r="F21" i="32" s="1"/>
  <c r="E29" i="32"/>
  <c r="F29" i="32" s="1"/>
  <c r="E18" i="32"/>
  <c r="F18" i="32" s="1"/>
  <c r="E7" i="32"/>
  <c r="F7" i="32" s="1"/>
  <c r="E23" i="32"/>
  <c r="F23" i="32" s="1"/>
  <c r="E10" i="32"/>
  <c r="F10" i="32" s="1"/>
  <c r="E26" i="32"/>
  <c r="F26" i="32" s="1"/>
  <c r="E15" i="32"/>
  <c r="F15" i="32" s="1"/>
  <c r="E31" i="32"/>
  <c r="F31" i="32" s="1"/>
  <c r="E6" i="49"/>
  <c r="F6" i="49" s="1"/>
  <c r="E14" i="49"/>
  <c r="F14" i="49" s="1"/>
  <c r="E22" i="49"/>
  <c r="F22" i="49" s="1"/>
  <c r="E30" i="49"/>
  <c r="F30" i="49" s="1"/>
  <c r="E8" i="49"/>
  <c r="F8" i="49" s="1"/>
  <c r="E16" i="49"/>
  <c r="F16" i="49" s="1"/>
  <c r="E24" i="49"/>
  <c r="F24" i="49" s="1"/>
  <c r="E32" i="49"/>
  <c r="E9" i="49"/>
  <c r="F9" i="49" s="1"/>
  <c r="E17" i="49"/>
  <c r="F17" i="49" s="1"/>
  <c r="E25" i="49"/>
  <c r="F25" i="49" s="1"/>
  <c r="E15" i="49"/>
  <c r="F15" i="49" s="1"/>
  <c r="E23" i="49"/>
  <c r="F23" i="49" s="1"/>
  <c r="E31" i="49"/>
  <c r="F31" i="49" s="1"/>
  <c r="E10" i="49"/>
  <c r="F10" i="49" s="1"/>
  <c r="E18" i="49"/>
  <c r="F18" i="49" s="1"/>
  <c r="E26" i="49"/>
  <c r="F26" i="49" s="1"/>
  <c r="D15" i="63" s="1"/>
  <c r="E7" i="49"/>
  <c r="F7" i="49" s="1"/>
  <c r="E20" i="49"/>
  <c r="F20" i="49" s="1"/>
  <c r="E5" i="49"/>
  <c r="F5" i="49" s="1"/>
  <c r="E21" i="49"/>
  <c r="F21" i="49" s="1"/>
  <c r="E19" i="49"/>
  <c r="F19" i="49" s="1"/>
  <c r="E12" i="49"/>
  <c r="F12" i="49" s="1"/>
  <c r="E28" i="49"/>
  <c r="F28" i="49" s="1"/>
  <c r="E13" i="49"/>
  <c r="F13" i="49" s="1"/>
  <c r="E29" i="49"/>
  <c r="F29" i="49" s="1"/>
  <c r="E11" i="49"/>
  <c r="F11" i="49" s="1"/>
  <c r="E27" i="49"/>
  <c r="F27" i="49" s="1"/>
  <c r="E15" i="13"/>
  <c r="F15" i="13" s="1"/>
  <c r="E31" i="13"/>
  <c r="F31" i="13" s="1"/>
  <c r="E20" i="13"/>
  <c r="F20" i="13" s="1"/>
  <c r="E26" i="13"/>
  <c r="F26" i="13" s="1"/>
  <c r="E10" i="13"/>
  <c r="F10" i="13" s="1"/>
  <c r="E21" i="13"/>
  <c r="F21" i="13" s="1"/>
  <c r="E5" i="13"/>
  <c r="F5" i="13" s="1"/>
  <c r="E16" i="13"/>
  <c r="F16" i="13" s="1"/>
  <c r="E11" i="13"/>
  <c r="F11" i="13" s="1"/>
  <c r="E30" i="13"/>
  <c r="F30" i="13" s="1"/>
  <c r="E14" i="13"/>
  <c r="E25" i="13"/>
  <c r="F25" i="13" s="1"/>
  <c r="E9" i="13"/>
  <c r="F9" i="13" s="1"/>
  <c r="E24" i="13"/>
  <c r="F24" i="13" s="1"/>
  <c r="E19" i="13"/>
  <c r="F19" i="13" s="1"/>
  <c r="E7" i="13"/>
  <c r="F7" i="13" s="1"/>
  <c r="E23" i="13"/>
  <c r="F23" i="13" s="1"/>
  <c r="E12" i="13"/>
  <c r="F12" i="13" s="1"/>
  <c r="E28" i="13"/>
  <c r="F28" i="13" s="1"/>
  <c r="E18" i="13"/>
  <c r="F18" i="13" s="1"/>
  <c r="E29" i="13"/>
  <c r="F29" i="13" s="1"/>
  <c r="E13" i="13"/>
  <c r="F13" i="13" s="1"/>
  <c r="E32" i="13"/>
  <c r="F32" i="13" s="1"/>
  <c r="E27" i="13"/>
  <c r="F27" i="13" s="1"/>
  <c r="E22" i="13"/>
  <c r="F22" i="13" s="1"/>
  <c r="E6" i="13"/>
  <c r="F6" i="13" s="1"/>
  <c r="E17" i="13"/>
  <c r="F17" i="13" s="1"/>
  <c r="E8" i="13"/>
  <c r="F8" i="13" s="1"/>
  <c r="E15" i="17"/>
  <c r="F15" i="17" s="1"/>
  <c r="E31" i="17"/>
  <c r="E20" i="17"/>
  <c r="F20" i="17" s="1"/>
  <c r="E26" i="17"/>
  <c r="F26" i="17" s="1"/>
  <c r="E10" i="17"/>
  <c r="F10" i="17" s="1"/>
  <c r="E21" i="17"/>
  <c r="F21" i="17" s="1"/>
  <c r="E5" i="17"/>
  <c r="F5" i="17" s="1"/>
  <c r="E32" i="17"/>
  <c r="F32" i="17" s="1"/>
  <c r="E27" i="17"/>
  <c r="F27" i="17" s="1"/>
  <c r="E30" i="17"/>
  <c r="F30" i="17" s="1"/>
  <c r="E14" i="17"/>
  <c r="F14" i="17" s="1"/>
  <c r="E25" i="17"/>
  <c r="F25" i="17" s="1"/>
  <c r="E9" i="17"/>
  <c r="F9" i="17" s="1"/>
  <c r="E8" i="17"/>
  <c r="F8" i="17" s="1"/>
  <c r="E7" i="17"/>
  <c r="F7" i="17" s="1"/>
  <c r="E23" i="17"/>
  <c r="F23" i="17" s="1"/>
  <c r="E12" i="17"/>
  <c r="F12" i="17" s="1"/>
  <c r="E28" i="17"/>
  <c r="F28" i="17" s="1"/>
  <c r="E18" i="17"/>
  <c r="F18" i="17" s="1"/>
  <c r="E29" i="17"/>
  <c r="F29" i="17" s="1"/>
  <c r="E13" i="17"/>
  <c r="F13" i="17" s="1"/>
  <c r="E16" i="17"/>
  <c r="F16" i="17" s="1"/>
  <c r="E11" i="17"/>
  <c r="F11" i="17" s="1"/>
  <c r="E22" i="17"/>
  <c r="F22" i="17" s="1"/>
  <c r="E6" i="17"/>
  <c r="F6" i="17" s="1"/>
  <c r="E17" i="17"/>
  <c r="F17" i="17" s="1"/>
  <c r="E24" i="17"/>
  <c r="F24" i="17" s="1"/>
  <c r="E19" i="17"/>
  <c r="F19" i="17" s="1"/>
  <c r="E31" i="20"/>
  <c r="F31" i="20" s="1"/>
  <c r="E26" i="20"/>
  <c r="F26" i="20" s="1"/>
  <c r="E8" i="20"/>
  <c r="F8" i="20" s="1"/>
  <c r="E24" i="20"/>
  <c r="F24" i="20" s="1"/>
  <c r="E9" i="20"/>
  <c r="F9" i="20" s="1"/>
  <c r="E25" i="20"/>
  <c r="F25" i="20" s="1"/>
  <c r="E14" i="20"/>
  <c r="F14" i="20" s="1"/>
  <c r="E30" i="20"/>
  <c r="F30" i="20" s="1"/>
  <c r="E19" i="20"/>
  <c r="F19" i="20" s="1"/>
  <c r="E12" i="20"/>
  <c r="F12" i="20" s="1"/>
  <c r="E28" i="20"/>
  <c r="F28" i="20" s="1"/>
  <c r="E13" i="20"/>
  <c r="F13" i="20" s="1"/>
  <c r="E29" i="20"/>
  <c r="F29" i="20" s="1"/>
  <c r="E7" i="20"/>
  <c r="F7" i="20" s="1"/>
  <c r="E10" i="20"/>
  <c r="F10" i="20" s="1"/>
  <c r="E15" i="20"/>
  <c r="F15" i="20" s="1"/>
  <c r="E16" i="20"/>
  <c r="F16" i="20" s="1"/>
  <c r="E32" i="20"/>
  <c r="E17" i="20"/>
  <c r="F17" i="20" s="1"/>
  <c r="E6" i="20"/>
  <c r="F6" i="20" s="1"/>
  <c r="E22" i="20"/>
  <c r="F22" i="20" s="1"/>
  <c r="E11" i="20"/>
  <c r="F11" i="20" s="1"/>
  <c r="E27" i="20"/>
  <c r="F27" i="20" s="1"/>
  <c r="E20" i="20"/>
  <c r="F20" i="20" s="1"/>
  <c r="E5" i="20"/>
  <c r="F5" i="20" s="1"/>
  <c r="E21" i="20"/>
  <c r="F21" i="20" s="1"/>
  <c r="E23" i="20"/>
  <c r="F23" i="20" s="1"/>
  <c r="E18" i="20"/>
  <c r="F18" i="20" s="1"/>
  <c r="E30" i="10"/>
  <c r="F30" i="10" s="1"/>
  <c r="E25" i="10"/>
  <c r="F25" i="10" s="1"/>
  <c r="E7" i="10"/>
  <c r="F7" i="10" s="1"/>
  <c r="E23" i="10"/>
  <c r="F23" i="10" s="1"/>
  <c r="E12" i="10"/>
  <c r="F12" i="10" s="1"/>
  <c r="E28" i="10"/>
  <c r="F28" i="10" s="1"/>
  <c r="E13" i="10"/>
  <c r="F13" i="10" s="1"/>
  <c r="E29" i="10"/>
  <c r="F29" i="10" s="1"/>
  <c r="E18" i="10"/>
  <c r="F18" i="10" s="1"/>
  <c r="E11" i="10"/>
  <c r="F11" i="10" s="1"/>
  <c r="E27" i="10"/>
  <c r="F27" i="10" s="1"/>
  <c r="E16" i="10"/>
  <c r="F16" i="10" s="1"/>
  <c r="E32" i="10"/>
  <c r="F32" i="10" s="1"/>
  <c r="E6" i="10"/>
  <c r="F6" i="10" s="1"/>
  <c r="E9" i="10"/>
  <c r="F9" i="10" s="1"/>
  <c r="E14" i="10"/>
  <c r="F14" i="10" s="1"/>
  <c r="E15" i="10"/>
  <c r="F15" i="10" s="1"/>
  <c r="E31" i="10"/>
  <c r="E20" i="10"/>
  <c r="F20" i="10" s="1"/>
  <c r="E5" i="10"/>
  <c r="F5" i="10" s="1"/>
  <c r="E21" i="10"/>
  <c r="F21" i="10" s="1"/>
  <c r="E10" i="10"/>
  <c r="F10" i="10" s="1"/>
  <c r="E26" i="10"/>
  <c r="F26" i="10" s="1"/>
  <c r="E19" i="10"/>
  <c r="F19" i="10" s="1"/>
  <c r="E8" i="10"/>
  <c r="F8" i="10" s="1"/>
  <c r="E24" i="10"/>
  <c r="F24" i="10" s="1"/>
  <c r="E22" i="10"/>
  <c r="F22" i="10" s="1"/>
  <c r="E17" i="10"/>
  <c r="F17" i="10" s="1"/>
  <c r="E20" i="14"/>
  <c r="F20" i="14" s="1"/>
  <c r="E5" i="14"/>
  <c r="F5" i="14" s="1"/>
  <c r="E14" i="14"/>
  <c r="E30" i="14"/>
  <c r="F30" i="14" s="1"/>
  <c r="E19" i="14"/>
  <c r="F19" i="14" s="1"/>
  <c r="E8" i="14"/>
  <c r="F8" i="14" s="1"/>
  <c r="E24" i="14"/>
  <c r="F24" i="14" s="1"/>
  <c r="E9" i="14"/>
  <c r="F9" i="14" s="1"/>
  <c r="E25" i="14"/>
  <c r="F25" i="14" s="1"/>
  <c r="E18" i="14"/>
  <c r="F18" i="14" s="1"/>
  <c r="E7" i="14"/>
  <c r="F7" i="14" s="1"/>
  <c r="E23" i="14"/>
  <c r="F23" i="14" s="1"/>
  <c r="E29" i="14"/>
  <c r="F29" i="14" s="1"/>
  <c r="E28" i="14"/>
  <c r="F28" i="14" s="1"/>
  <c r="E21" i="14"/>
  <c r="F21" i="14" s="1"/>
  <c r="E6" i="14"/>
  <c r="F6" i="14" s="1"/>
  <c r="E22" i="14"/>
  <c r="F22" i="14" s="1"/>
  <c r="E11" i="14"/>
  <c r="F11" i="14" s="1"/>
  <c r="E27" i="14"/>
  <c r="F27" i="14" s="1"/>
  <c r="E16" i="14"/>
  <c r="F16" i="14" s="1"/>
  <c r="E32" i="14"/>
  <c r="F32" i="14" s="1"/>
  <c r="E17" i="14"/>
  <c r="F17" i="14" s="1"/>
  <c r="E10" i="14"/>
  <c r="F10" i="14" s="1"/>
  <c r="E26" i="14"/>
  <c r="F26" i="14" s="1"/>
  <c r="E15" i="14"/>
  <c r="F15" i="14" s="1"/>
  <c r="E31" i="14"/>
  <c r="F31" i="14" s="1"/>
  <c r="E13" i="14"/>
  <c r="F13" i="14" s="1"/>
  <c r="E12" i="14"/>
  <c r="F12" i="14" s="1"/>
  <c r="E20" i="18"/>
  <c r="F20" i="18" s="1"/>
  <c r="E21" i="18"/>
  <c r="F21" i="18" s="1"/>
  <c r="E14" i="18"/>
  <c r="E30" i="18"/>
  <c r="F30" i="18" s="1"/>
  <c r="E19" i="18"/>
  <c r="F19" i="18" s="1"/>
  <c r="E8" i="18"/>
  <c r="F8" i="18" s="1"/>
  <c r="E24" i="18"/>
  <c r="F24" i="18" s="1"/>
  <c r="E9" i="18"/>
  <c r="F9" i="18" s="1"/>
  <c r="E25" i="18"/>
  <c r="F25" i="18" s="1"/>
  <c r="E18" i="18"/>
  <c r="F18" i="18" s="1"/>
  <c r="E7" i="18"/>
  <c r="F7" i="18" s="1"/>
  <c r="E23" i="18"/>
  <c r="F23" i="18" s="1"/>
  <c r="E13" i="18"/>
  <c r="F13" i="18" s="1"/>
  <c r="E12" i="18"/>
  <c r="F12" i="18" s="1"/>
  <c r="E5" i="18"/>
  <c r="F5" i="18" s="1"/>
  <c r="E6" i="18"/>
  <c r="F6" i="18" s="1"/>
  <c r="E22" i="18"/>
  <c r="F22" i="18" s="1"/>
  <c r="E11" i="18"/>
  <c r="F11" i="18" s="1"/>
  <c r="E27" i="18"/>
  <c r="F27" i="18" s="1"/>
  <c r="E16" i="18"/>
  <c r="F16" i="18" s="1"/>
  <c r="E32" i="18"/>
  <c r="F32" i="18" s="1"/>
  <c r="E17" i="18"/>
  <c r="F17" i="18" s="1"/>
  <c r="E10" i="18"/>
  <c r="F10" i="18" s="1"/>
  <c r="E26" i="18"/>
  <c r="F26" i="18" s="1"/>
  <c r="E15" i="18"/>
  <c r="F15" i="18" s="1"/>
  <c r="E31" i="18"/>
  <c r="E29" i="18"/>
  <c r="F29" i="18" s="1"/>
  <c r="E28" i="18"/>
  <c r="F28" i="18" s="1"/>
  <c r="E5" i="40"/>
  <c r="F5" i="40" s="1"/>
  <c r="E6" i="40"/>
  <c r="F6" i="40" s="1"/>
  <c r="E9" i="40"/>
  <c r="F9" i="40" s="1"/>
  <c r="E25" i="40"/>
  <c r="F25" i="40" s="1"/>
  <c r="E10" i="40"/>
  <c r="F10" i="40" s="1"/>
  <c r="E32" i="40"/>
  <c r="F32" i="40" s="1"/>
  <c r="E19" i="40"/>
  <c r="F19" i="40" s="1"/>
  <c r="E8" i="40"/>
  <c r="F8" i="40" s="1"/>
  <c r="E14" i="40"/>
  <c r="F14" i="40" s="1"/>
  <c r="E13" i="40"/>
  <c r="F13" i="40" s="1"/>
  <c r="E29" i="40"/>
  <c r="F29" i="40" s="1"/>
  <c r="E31" i="40"/>
  <c r="F31" i="40" s="1"/>
  <c r="E28" i="40"/>
  <c r="F28" i="40" s="1"/>
  <c r="E23" i="40"/>
  <c r="F23" i="40" s="1"/>
  <c r="E18" i="40"/>
  <c r="F18" i="40" s="1"/>
  <c r="E16" i="40"/>
  <c r="F16" i="40" s="1"/>
  <c r="E22" i="40"/>
  <c r="F22" i="40" s="1"/>
  <c r="E17" i="40"/>
  <c r="F17" i="40" s="1"/>
  <c r="E12" i="40"/>
  <c r="F12" i="40" s="1"/>
  <c r="E26" i="40"/>
  <c r="F26" i="40" s="1"/>
  <c r="D24" i="63" s="1"/>
  <c r="E11" i="40"/>
  <c r="F11" i="40" s="1"/>
  <c r="E27" i="40"/>
  <c r="F27" i="40" s="1"/>
  <c r="E24" i="40"/>
  <c r="F24" i="40" s="1"/>
  <c r="E30" i="40"/>
  <c r="F30" i="40" s="1"/>
  <c r="E21" i="40"/>
  <c r="F21" i="40" s="1"/>
  <c r="E20" i="40"/>
  <c r="F20" i="40" s="1"/>
  <c r="E15" i="40"/>
  <c r="F15" i="40" s="1"/>
  <c r="E7" i="40"/>
  <c r="F7" i="40" s="1"/>
  <c r="E5" i="42"/>
  <c r="F5" i="42" s="1"/>
  <c r="E15" i="42"/>
  <c r="F15" i="42" s="1"/>
  <c r="E31" i="42"/>
  <c r="F31" i="42" s="1"/>
  <c r="E20" i="42"/>
  <c r="F20" i="42" s="1"/>
  <c r="E13" i="42"/>
  <c r="F13" i="42" s="1"/>
  <c r="E29" i="42"/>
  <c r="F29" i="42" s="1"/>
  <c r="E18" i="42"/>
  <c r="F18" i="42" s="1"/>
  <c r="E9" i="42"/>
  <c r="F9" i="42" s="1"/>
  <c r="E19" i="42"/>
  <c r="F19" i="42" s="1"/>
  <c r="E8" i="42"/>
  <c r="F8" i="42" s="1"/>
  <c r="E24" i="42"/>
  <c r="F24" i="42" s="1"/>
  <c r="E17" i="42"/>
  <c r="F17" i="42" s="1"/>
  <c r="E6" i="42"/>
  <c r="F6" i="42" s="1"/>
  <c r="E22" i="42"/>
  <c r="F22" i="42" s="1"/>
  <c r="E7" i="42"/>
  <c r="F7" i="42" s="1"/>
  <c r="E23" i="42"/>
  <c r="F23" i="42" s="1"/>
  <c r="E12" i="42"/>
  <c r="F12" i="42" s="1"/>
  <c r="E28" i="42"/>
  <c r="F28" i="42" s="1"/>
  <c r="E21" i="42"/>
  <c r="F21" i="42" s="1"/>
  <c r="E10" i="42"/>
  <c r="F10" i="42" s="1"/>
  <c r="E26" i="42"/>
  <c r="F26" i="42" s="1"/>
  <c r="E11" i="42"/>
  <c r="F11" i="42" s="1"/>
  <c r="E27" i="42"/>
  <c r="F27" i="42" s="1"/>
  <c r="E16" i="42"/>
  <c r="F16" i="42" s="1"/>
  <c r="E32" i="42"/>
  <c r="F32" i="42" s="1"/>
  <c r="E25" i="42"/>
  <c r="F25" i="42" s="1"/>
  <c r="E14" i="42"/>
  <c r="E30" i="42"/>
  <c r="F30" i="42" s="1"/>
  <c r="E8" i="11"/>
  <c r="F8" i="11" s="1"/>
  <c r="E24" i="11"/>
  <c r="F24" i="11" s="1"/>
  <c r="E9" i="11"/>
  <c r="F9" i="11" s="1"/>
  <c r="E25" i="11"/>
  <c r="F25" i="11" s="1"/>
  <c r="E19" i="11"/>
  <c r="F19" i="11" s="1"/>
  <c r="E30" i="11"/>
  <c r="F30" i="11" s="1"/>
  <c r="E14" i="11"/>
  <c r="F14" i="11" s="1"/>
  <c r="E21" i="11"/>
  <c r="F21" i="11" s="1"/>
  <c r="E20" i="11"/>
  <c r="F20" i="11" s="1"/>
  <c r="E23" i="11"/>
  <c r="F23" i="11" s="1"/>
  <c r="E7" i="11"/>
  <c r="F7" i="11" s="1"/>
  <c r="E18" i="11"/>
  <c r="F18" i="11" s="1"/>
  <c r="E29" i="11"/>
  <c r="F29" i="11" s="1"/>
  <c r="E28" i="11"/>
  <c r="F28" i="11" s="1"/>
  <c r="E16" i="11"/>
  <c r="F16" i="11" s="1"/>
  <c r="E32" i="11"/>
  <c r="F32" i="11" s="1"/>
  <c r="E17" i="11"/>
  <c r="F17" i="11" s="1"/>
  <c r="E27" i="11"/>
  <c r="F27" i="11" s="1"/>
  <c r="E11" i="11"/>
  <c r="F11" i="11" s="1"/>
  <c r="E22" i="11"/>
  <c r="F22" i="11" s="1"/>
  <c r="E6" i="11"/>
  <c r="F6" i="11" s="1"/>
  <c r="E5" i="11"/>
  <c r="F5" i="11" s="1"/>
  <c r="E31" i="11"/>
  <c r="F31" i="11" s="1"/>
  <c r="E15" i="11"/>
  <c r="F15" i="11" s="1"/>
  <c r="E26" i="11"/>
  <c r="F26" i="11" s="1"/>
  <c r="E10" i="11"/>
  <c r="F10" i="11" s="1"/>
  <c r="E13" i="11"/>
  <c r="F13" i="11" s="1"/>
  <c r="E12" i="11"/>
  <c r="E5" i="15"/>
  <c r="F5" i="15" s="1"/>
  <c r="E21" i="15"/>
  <c r="F21" i="15" s="1"/>
  <c r="E10" i="15"/>
  <c r="F10" i="15" s="1"/>
  <c r="E26" i="15"/>
  <c r="F26" i="15" s="1"/>
  <c r="E20" i="15"/>
  <c r="F20" i="15" s="1"/>
  <c r="E31" i="15"/>
  <c r="F31" i="15" s="1"/>
  <c r="E15" i="15"/>
  <c r="F15" i="15" s="1"/>
  <c r="E6" i="15"/>
  <c r="E24" i="15"/>
  <c r="F24" i="15" s="1"/>
  <c r="E8" i="15"/>
  <c r="F8" i="15" s="1"/>
  <c r="E19" i="15"/>
  <c r="F19" i="15" s="1"/>
  <c r="E14" i="15"/>
  <c r="F14" i="15" s="1"/>
  <c r="E9" i="15"/>
  <c r="F9" i="15" s="1"/>
  <c r="E13" i="15"/>
  <c r="F13" i="15" s="1"/>
  <c r="E29" i="15"/>
  <c r="F29" i="15" s="1"/>
  <c r="E18" i="15"/>
  <c r="F18" i="15" s="1"/>
  <c r="E28" i="15"/>
  <c r="F28" i="15" s="1"/>
  <c r="E12" i="15"/>
  <c r="F12" i="15" s="1"/>
  <c r="E23" i="15"/>
  <c r="F23" i="15" s="1"/>
  <c r="E7" i="15"/>
  <c r="F7" i="15" s="1"/>
  <c r="E22" i="15"/>
  <c r="F22" i="15" s="1"/>
  <c r="E17" i="15"/>
  <c r="F17" i="15" s="1"/>
  <c r="E32" i="15"/>
  <c r="F32" i="15" s="1"/>
  <c r="E16" i="15"/>
  <c r="F16" i="15" s="1"/>
  <c r="E27" i="15"/>
  <c r="F27" i="15" s="1"/>
  <c r="E11" i="15"/>
  <c r="F11" i="15" s="1"/>
  <c r="E30" i="15"/>
  <c r="F30" i="15" s="1"/>
  <c r="E25" i="15"/>
  <c r="F25" i="15" s="1"/>
  <c r="E9" i="19"/>
  <c r="F9" i="19" s="1"/>
  <c r="E12" i="19"/>
  <c r="F12" i="19" s="1"/>
  <c r="E27" i="19"/>
  <c r="F27" i="19" s="1"/>
  <c r="E29" i="19"/>
  <c r="F29" i="19" s="1"/>
  <c r="E14" i="19"/>
  <c r="E19" i="19"/>
  <c r="F19" i="19" s="1"/>
  <c r="E31" i="19"/>
  <c r="F31" i="19" s="1"/>
  <c r="E13" i="19"/>
  <c r="F13" i="19" s="1"/>
  <c r="E24" i="19"/>
  <c r="F24" i="19" s="1"/>
  <c r="E18" i="19"/>
  <c r="F18" i="19" s="1"/>
  <c r="E22" i="19"/>
  <c r="F22" i="19" s="1"/>
  <c r="E7" i="19"/>
  <c r="F7" i="19" s="1"/>
  <c r="E30" i="19"/>
  <c r="F30" i="19" s="1"/>
  <c r="E8" i="19"/>
  <c r="F8" i="19" s="1"/>
  <c r="E17" i="19"/>
  <c r="F17" i="19" s="1"/>
  <c r="E20" i="19"/>
  <c r="F20" i="19" s="1"/>
  <c r="E26" i="19"/>
  <c r="F26" i="19" s="1"/>
  <c r="E28" i="19"/>
  <c r="F28" i="19" s="1"/>
  <c r="E21" i="19"/>
  <c r="F21" i="19" s="1"/>
  <c r="E6" i="19"/>
  <c r="F6" i="19" s="1"/>
  <c r="E11" i="19"/>
  <c r="F11" i="19" s="1"/>
  <c r="E16" i="19"/>
  <c r="F16" i="19" s="1"/>
  <c r="E32" i="19"/>
  <c r="F32" i="19" s="1"/>
  <c r="E25" i="19"/>
  <c r="F25" i="19" s="1"/>
  <c r="E10" i="19"/>
  <c r="F10" i="19" s="1"/>
  <c r="E15" i="19"/>
  <c r="F15" i="19" s="1"/>
  <c r="E23" i="19"/>
  <c r="F23" i="19" s="1"/>
  <c r="E5" i="19"/>
  <c r="F5" i="19" s="1"/>
  <c r="E9" i="35"/>
  <c r="F9" i="35" s="1"/>
  <c r="E17" i="35"/>
  <c r="F17" i="35" s="1"/>
  <c r="E25" i="35"/>
  <c r="F25" i="35" s="1"/>
  <c r="E6" i="35"/>
  <c r="F6" i="35" s="1"/>
  <c r="E14" i="35"/>
  <c r="F14" i="35" s="1"/>
  <c r="E22" i="35"/>
  <c r="F22" i="35" s="1"/>
  <c r="E30" i="35"/>
  <c r="F30" i="35" s="1"/>
  <c r="E11" i="35"/>
  <c r="F11" i="35" s="1"/>
  <c r="E19" i="35"/>
  <c r="F19" i="35" s="1"/>
  <c r="E27" i="35"/>
  <c r="F27" i="35" s="1"/>
  <c r="E8" i="35"/>
  <c r="F8" i="35" s="1"/>
  <c r="E16" i="35"/>
  <c r="F16" i="35" s="1"/>
  <c r="E24" i="35"/>
  <c r="F24" i="35" s="1"/>
  <c r="E32" i="35"/>
  <c r="F32" i="35" s="1"/>
  <c r="E5" i="35"/>
  <c r="F5" i="35" s="1"/>
  <c r="E21" i="35"/>
  <c r="F21" i="35" s="1"/>
  <c r="E10" i="35"/>
  <c r="F10" i="35" s="1"/>
  <c r="E26" i="35"/>
  <c r="F26" i="35" s="1"/>
  <c r="E7" i="35"/>
  <c r="F7" i="35" s="1"/>
  <c r="E23" i="35"/>
  <c r="F23" i="35" s="1"/>
  <c r="E12" i="35"/>
  <c r="F12" i="35" s="1"/>
  <c r="E28" i="35"/>
  <c r="F28" i="35" s="1"/>
  <c r="E13" i="35"/>
  <c r="F13" i="35" s="1"/>
  <c r="E29" i="35"/>
  <c r="F29" i="35" s="1"/>
  <c r="E18" i="35"/>
  <c r="F18" i="35" s="1"/>
  <c r="E15" i="35"/>
  <c r="F15" i="35" s="1"/>
  <c r="E31" i="35"/>
  <c r="F31" i="35" s="1"/>
  <c r="E20" i="35"/>
  <c r="F20" i="35" s="1"/>
  <c r="E10" i="45"/>
  <c r="F10" i="45" s="1"/>
  <c r="E18" i="45"/>
  <c r="F18" i="45" s="1"/>
  <c r="E26" i="45"/>
  <c r="F26" i="45" s="1"/>
  <c r="E7" i="45"/>
  <c r="F7" i="45" s="1"/>
  <c r="E15" i="45"/>
  <c r="F15" i="45" s="1"/>
  <c r="E23" i="45"/>
  <c r="F23" i="45" s="1"/>
  <c r="E31" i="45"/>
  <c r="F31" i="45" s="1"/>
  <c r="E12" i="45"/>
  <c r="F12" i="45" s="1"/>
  <c r="E20" i="45"/>
  <c r="F20" i="45" s="1"/>
  <c r="E28" i="45"/>
  <c r="F28" i="45" s="1"/>
  <c r="E5" i="45"/>
  <c r="F5" i="45" s="1"/>
  <c r="E13" i="45"/>
  <c r="F13" i="45" s="1"/>
  <c r="E21" i="45"/>
  <c r="F21" i="45" s="1"/>
  <c r="E29" i="45"/>
  <c r="F29" i="45" s="1"/>
  <c r="E14" i="45"/>
  <c r="F14" i="45" s="1"/>
  <c r="E30" i="45"/>
  <c r="F30" i="45" s="1"/>
  <c r="E19" i="45"/>
  <c r="F19" i="45" s="1"/>
  <c r="E16" i="45"/>
  <c r="F16" i="45" s="1"/>
  <c r="E32" i="45"/>
  <c r="F32" i="45" s="1"/>
  <c r="E17" i="45"/>
  <c r="F17" i="45" s="1"/>
  <c r="E6" i="45"/>
  <c r="F6" i="45" s="1"/>
  <c r="E22" i="45"/>
  <c r="F22" i="45" s="1"/>
  <c r="E11" i="45"/>
  <c r="F11" i="45" s="1"/>
  <c r="E27" i="45"/>
  <c r="F27" i="45" s="1"/>
  <c r="E8" i="45"/>
  <c r="F8" i="45" s="1"/>
  <c r="E24" i="45"/>
  <c r="F24" i="45" s="1"/>
  <c r="E9" i="45"/>
  <c r="F9" i="45" s="1"/>
  <c r="E25" i="45"/>
  <c r="F25" i="45" s="1"/>
  <c r="E20" i="22"/>
  <c r="F20" i="22" s="1"/>
  <c r="E5" i="22"/>
  <c r="F5" i="22" s="1"/>
  <c r="E14" i="22"/>
  <c r="E30" i="22"/>
  <c r="E19" i="22"/>
  <c r="F19" i="22" s="1"/>
  <c r="E8" i="22"/>
  <c r="E24" i="22"/>
  <c r="F24" i="22" s="1"/>
  <c r="E9" i="22"/>
  <c r="E25" i="22"/>
  <c r="F25" i="22" s="1"/>
  <c r="E18" i="22"/>
  <c r="E7" i="22"/>
  <c r="F7" i="22" s="1"/>
  <c r="E23" i="22"/>
  <c r="E29" i="22"/>
  <c r="F29" i="22" s="1"/>
  <c r="E28" i="22"/>
  <c r="E21" i="22"/>
  <c r="F21" i="22" s="1"/>
  <c r="E6" i="22"/>
  <c r="E22" i="22"/>
  <c r="F22" i="22" s="1"/>
  <c r="E11" i="22"/>
  <c r="E27" i="22"/>
  <c r="F27" i="22" s="1"/>
  <c r="E16" i="22"/>
  <c r="E32" i="22"/>
  <c r="F32" i="22" s="1"/>
  <c r="E17" i="22"/>
  <c r="E10" i="22"/>
  <c r="F10" i="22" s="1"/>
  <c r="E26" i="22"/>
  <c r="E15" i="22"/>
  <c r="F15" i="22" s="1"/>
  <c r="E31" i="22"/>
  <c r="E13" i="22"/>
  <c r="F13" i="22" s="1"/>
  <c r="E12" i="22"/>
  <c r="E11" i="1"/>
  <c r="F11" i="1" s="1"/>
  <c r="E26" i="1"/>
  <c r="E27" i="1"/>
  <c r="F27" i="1" s="1"/>
  <c r="X60" i="62" s="1"/>
  <c r="E12" i="1"/>
  <c r="F12" i="1" s="1"/>
  <c r="E5" i="1"/>
  <c r="F5" i="1" s="1"/>
  <c r="E32" i="1"/>
  <c r="E17" i="1"/>
  <c r="F17" i="1" s="1"/>
  <c r="E6" i="1"/>
  <c r="F6" i="1" s="1"/>
  <c r="E21" i="1"/>
  <c r="F21" i="1" s="1"/>
  <c r="E20" i="1"/>
  <c r="F20" i="1" s="1"/>
  <c r="E30" i="1"/>
  <c r="F30" i="1" s="1"/>
  <c r="E31" i="1"/>
  <c r="E15" i="1"/>
  <c r="F15" i="1" s="1"/>
  <c r="L60" i="62" s="1"/>
  <c r="E9" i="1"/>
  <c r="E25" i="1"/>
  <c r="F25" i="1" s="1"/>
  <c r="E18" i="1"/>
  <c r="E19" i="1"/>
  <c r="F19" i="1" s="1"/>
  <c r="P60" i="62" s="1"/>
  <c r="E13" i="1"/>
  <c r="E16" i="1"/>
  <c r="F16" i="1" s="1"/>
  <c r="E7" i="1"/>
  <c r="E14" i="1"/>
  <c r="F14" i="1" s="1"/>
  <c r="E29" i="1"/>
  <c r="E28" i="1"/>
  <c r="F28" i="1" s="1"/>
  <c r="Y60" i="62" s="1"/>
  <c r="E22" i="1"/>
  <c r="F22" i="1" s="1"/>
  <c r="E23" i="1"/>
  <c r="F23" i="1" s="1"/>
  <c r="T60" i="62" s="1"/>
  <c r="E8" i="1"/>
  <c r="E24" i="1"/>
  <c r="F24" i="1" s="1"/>
  <c r="E10" i="1"/>
  <c r="E31" i="3"/>
  <c r="F31" i="3" s="1"/>
  <c r="AB58" i="62" s="1"/>
  <c r="E16" i="3"/>
  <c r="E15" i="3"/>
  <c r="F15" i="3" s="1"/>
  <c r="L58" i="62" s="1"/>
  <c r="E14" i="3"/>
  <c r="E5" i="3"/>
  <c r="F5" i="3" s="1"/>
  <c r="E21" i="3"/>
  <c r="E18" i="3"/>
  <c r="F18" i="3" s="1"/>
  <c r="E26" i="3"/>
  <c r="E24" i="3"/>
  <c r="F24" i="3" s="1"/>
  <c r="E20" i="3"/>
  <c r="E19" i="3"/>
  <c r="F19" i="3" s="1"/>
  <c r="E30" i="3"/>
  <c r="E6" i="3"/>
  <c r="F6" i="3" s="1"/>
  <c r="E17" i="3"/>
  <c r="E28" i="3"/>
  <c r="F28" i="3" s="1"/>
  <c r="Y58" i="62" s="1"/>
  <c r="E23" i="3"/>
  <c r="E8" i="3"/>
  <c r="F8" i="3" s="1"/>
  <c r="E7" i="3"/>
  <c r="E29" i="3"/>
  <c r="F29" i="3" s="1"/>
  <c r="E13" i="3"/>
  <c r="E10" i="3"/>
  <c r="F10" i="3" s="1"/>
  <c r="G58" i="62" s="1"/>
  <c r="E25" i="3"/>
  <c r="E32" i="3"/>
  <c r="F32" i="3" s="1"/>
  <c r="E27" i="3"/>
  <c r="F27" i="3" s="1"/>
  <c r="E12" i="3"/>
  <c r="F12" i="3" s="1"/>
  <c r="I58" i="62" s="1"/>
  <c r="E11" i="3"/>
  <c r="E22" i="3"/>
  <c r="F22" i="3" s="1"/>
  <c r="S58" i="62" s="1"/>
  <c r="E9" i="3"/>
  <c r="E16" i="28"/>
  <c r="F16" i="28" s="1"/>
  <c r="E32" i="28"/>
  <c r="E17" i="28"/>
  <c r="F17" i="28" s="1"/>
  <c r="E6" i="28"/>
  <c r="F6" i="28" s="1"/>
  <c r="E22" i="28"/>
  <c r="F22" i="28" s="1"/>
  <c r="E11" i="28"/>
  <c r="E27" i="28"/>
  <c r="F27" i="28" s="1"/>
  <c r="E20" i="28"/>
  <c r="E5" i="28"/>
  <c r="F5" i="28" s="1"/>
  <c r="E21" i="28"/>
  <c r="F21" i="28" s="1"/>
  <c r="E15" i="28"/>
  <c r="F15" i="28" s="1"/>
  <c r="L33" i="62" s="1"/>
  <c r="E10" i="28"/>
  <c r="E7" i="28"/>
  <c r="F7" i="28" s="1"/>
  <c r="E8" i="28"/>
  <c r="E24" i="28"/>
  <c r="F24" i="28" s="1"/>
  <c r="U33" i="62" s="1"/>
  <c r="E9" i="28"/>
  <c r="F9" i="28" s="1"/>
  <c r="E25" i="28"/>
  <c r="F25" i="28" s="1"/>
  <c r="V33" i="62" s="1"/>
  <c r="E14" i="28"/>
  <c r="E30" i="28"/>
  <c r="F30" i="28" s="1"/>
  <c r="AA33" i="62" s="1"/>
  <c r="E19" i="28"/>
  <c r="E12" i="28"/>
  <c r="F12" i="28" s="1"/>
  <c r="I33" i="62" s="1"/>
  <c r="E28" i="28"/>
  <c r="E13" i="28"/>
  <c r="F13" i="28" s="1"/>
  <c r="E29" i="28"/>
  <c r="F29" i="28" s="1"/>
  <c r="E31" i="28"/>
  <c r="F31" i="28" s="1"/>
  <c r="E26" i="28"/>
  <c r="E23" i="28"/>
  <c r="F23" i="28" s="1"/>
  <c r="T33" i="62" s="1"/>
  <c r="E18" i="28"/>
  <c r="E17" i="39"/>
  <c r="F17" i="39" s="1"/>
  <c r="N22" i="62" s="1"/>
  <c r="E6" i="39"/>
  <c r="F6" i="39" s="1"/>
  <c r="E22" i="39"/>
  <c r="F22" i="39" s="1"/>
  <c r="S22" i="62" s="1"/>
  <c r="E11" i="39"/>
  <c r="E27" i="39"/>
  <c r="F27" i="39" s="1"/>
  <c r="X22" i="62" s="1"/>
  <c r="E16" i="39"/>
  <c r="E32" i="39"/>
  <c r="F32" i="39" s="1"/>
  <c r="AC22" i="62" s="1"/>
  <c r="E31" i="39"/>
  <c r="E29" i="39"/>
  <c r="F29" i="39" s="1"/>
  <c r="Z22" i="62" s="1"/>
  <c r="E28" i="39"/>
  <c r="E23" i="39"/>
  <c r="F23" i="39" s="1"/>
  <c r="T22" i="62" s="1"/>
  <c r="E10" i="39"/>
  <c r="E5" i="39"/>
  <c r="F5" i="39" s="1"/>
  <c r="E9" i="39"/>
  <c r="E25" i="39"/>
  <c r="F25" i="39" s="1"/>
  <c r="V22" i="62" s="1"/>
  <c r="E14" i="39"/>
  <c r="E30" i="39"/>
  <c r="F30" i="39" s="1"/>
  <c r="AA22" i="62" s="1"/>
  <c r="E19" i="39"/>
  <c r="E8" i="39"/>
  <c r="F8" i="39" s="1"/>
  <c r="E22" i="62" s="1"/>
  <c r="E24" i="39"/>
  <c r="E20" i="39"/>
  <c r="F20" i="39" s="1"/>
  <c r="Q22" i="62" s="1"/>
  <c r="E15" i="39"/>
  <c r="E18" i="39"/>
  <c r="F18" i="39" s="1"/>
  <c r="O22" i="62" s="1"/>
  <c r="E13" i="39"/>
  <c r="E12" i="39"/>
  <c r="F12" i="39" s="1"/>
  <c r="I22" i="62" s="1"/>
  <c r="E7" i="39"/>
  <c r="E26" i="39"/>
  <c r="F26" i="39" s="1"/>
  <c r="D25" i="63" s="1"/>
  <c r="E21" i="39"/>
  <c r="E20" i="43"/>
  <c r="F20" i="43" s="1"/>
  <c r="Q18" i="62" s="1"/>
  <c r="E5" i="43"/>
  <c r="F5" i="43" s="1"/>
  <c r="E21" i="43"/>
  <c r="F21" i="43" s="1"/>
  <c r="R18" i="62" s="1"/>
  <c r="E10" i="43"/>
  <c r="E26" i="43"/>
  <c r="F26" i="43" s="1"/>
  <c r="W18" i="62" s="1"/>
  <c r="E15" i="43"/>
  <c r="E31" i="43"/>
  <c r="F31" i="43" s="1"/>
  <c r="AB18" i="62" s="1"/>
  <c r="E19" i="43"/>
  <c r="E14" i="43"/>
  <c r="E17" i="43"/>
  <c r="E16" i="43"/>
  <c r="F16" i="43" s="1"/>
  <c r="M18" i="62" s="1"/>
  <c r="E11" i="43"/>
  <c r="E6" i="43"/>
  <c r="F6" i="43" s="1"/>
  <c r="C18" i="62" s="1"/>
  <c r="E25" i="43"/>
  <c r="E24" i="43"/>
  <c r="F24" i="43" s="1"/>
  <c r="U18" i="62" s="1"/>
  <c r="E12" i="43"/>
  <c r="E28" i="43"/>
  <c r="F28" i="43" s="1"/>
  <c r="Y18" i="62" s="1"/>
  <c r="E13" i="43"/>
  <c r="F13" i="43" s="1"/>
  <c r="E29" i="43"/>
  <c r="F29" i="43" s="1"/>
  <c r="Z18" i="62" s="1"/>
  <c r="E18" i="43"/>
  <c r="E7" i="43"/>
  <c r="F7" i="43" s="1"/>
  <c r="D18" i="62" s="1"/>
  <c r="E23" i="43"/>
  <c r="E30" i="43"/>
  <c r="F30" i="43" s="1"/>
  <c r="AA18" i="62" s="1"/>
  <c r="E32" i="43"/>
  <c r="E27" i="43"/>
  <c r="F27" i="43" s="1"/>
  <c r="X18" i="62" s="1"/>
  <c r="E22" i="43"/>
  <c r="E9" i="43"/>
  <c r="F9" i="43" s="1"/>
  <c r="F18" i="62" s="1"/>
  <c r="E8" i="43"/>
  <c r="E6" i="26"/>
  <c r="F6" i="26" s="1"/>
  <c r="C35" i="62" s="1"/>
  <c r="E9" i="26"/>
  <c r="E28" i="26"/>
  <c r="F28" i="26" s="1"/>
  <c r="Y35" i="62" s="1"/>
  <c r="E27" i="26"/>
  <c r="E16" i="26"/>
  <c r="F16" i="26" s="1"/>
  <c r="M35" i="62" s="1"/>
  <c r="E18" i="26"/>
  <c r="E17" i="26"/>
  <c r="F17" i="26" s="1"/>
  <c r="N35" i="62" s="1"/>
  <c r="E10" i="26"/>
  <c r="E13" i="26"/>
  <c r="F13" i="26" s="1"/>
  <c r="J35" i="62" s="1"/>
  <c r="E32" i="26"/>
  <c r="E31" i="26"/>
  <c r="F31" i="26" s="1"/>
  <c r="AB35" i="62" s="1"/>
  <c r="E21" i="26"/>
  <c r="E7" i="26"/>
  <c r="F7" i="26" s="1"/>
  <c r="D35" i="62" s="1"/>
  <c r="E30" i="26"/>
  <c r="E12" i="26"/>
  <c r="F12" i="26" s="1"/>
  <c r="I35" i="62" s="1"/>
  <c r="E14" i="26"/>
  <c r="E20" i="26"/>
  <c r="F20" i="26" s="1"/>
  <c r="Q35" i="62" s="1"/>
  <c r="E19" i="26"/>
  <c r="E8" i="26"/>
  <c r="F8" i="26" s="1"/>
  <c r="E35" i="62" s="1"/>
  <c r="E11" i="26"/>
  <c r="E26" i="26"/>
  <c r="F26" i="26" s="1"/>
  <c r="W35" i="62" s="1"/>
  <c r="E25" i="26"/>
  <c r="E5" i="26"/>
  <c r="F5" i="26" s="1"/>
  <c r="E24" i="26"/>
  <c r="E23" i="26"/>
  <c r="F23" i="26" s="1"/>
  <c r="T35" i="62" s="1"/>
  <c r="E22" i="26"/>
  <c r="E29" i="26"/>
  <c r="F29" i="26" s="1"/>
  <c r="Z35" i="62" s="1"/>
  <c r="E15" i="26"/>
  <c r="E6" i="30"/>
  <c r="F6" i="30" s="1"/>
  <c r="C31" i="62" s="1"/>
  <c r="E22" i="30"/>
  <c r="E11" i="30"/>
  <c r="F11" i="30" s="1"/>
  <c r="H31" i="62" s="1"/>
  <c r="E27" i="30"/>
  <c r="E16" i="30"/>
  <c r="F16" i="30" s="1"/>
  <c r="M31" i="62" s="1"/>
  <c r="E32" i="30"/>
  <c r="E17" i="30"/>
  <c r="F17" i="30" s="1"/>
  <c r="N31" i="62" s="1"/>
  <c r="E10" i="30"/>
  <c r="E26" i="30"/>
  <c r="F26" i="30" s="1"/>
  <c r="W31" i="62" s="1"/>
  <c r="E15" i="30"/>
  <c r="E31" i="30"/>
  <c r="F31" i="30" s="1"/>
  <c r="AB31" i="62" s="1"/>
  <c r="E5" i="30"/>
  <c r="F5" i="30" s="1"/>
  <c r="E29" i="30"/>
  <c r="F29" i="30" s="1"/>
  <c r="Z31" i="62" s="1"/>
  <c r="E28" i="30"/>
  <c r="E14" i="30"/>
  <c r="E30" i="30"/>
  <c r="E19" i="30"/>
  <c r="F19" i="30" s="1"/>
  <c r="P31" i="62" s="1"/>
  <c r="E8" i="30"/>
  <c r="E24" i="30"/>
  <c r="F24" i="30" s="1"/>
  <c r="U31" i="62" s="1"/>
  <c r="E9" i="30"/>
  <c r="E25" i="30"/>
  <c r="F25" i="30" s="1"/>
  <c r="V31" i="62" s="1"/>
  <c r="E18" i="30"/>
  <c r="E7" i="30"/>
  <c r="F7" i="30" s="1"/>
  <c r="D31" i="62" s="1"/>
  <c r="E23" i="30"/>
  <c r="E21" i="30"/>
  <c r="F21" i="30" s="1"/>
  <c r="R31" i="62" s="1"/>
  <c r="E20" i="30"/>
  <c r="E13" i="30"/>
  <c r="F13" i="30" s="1"/>
  <c r="J31" i="62" s="1"/>
  <c r="E12" i="30"/>
  <c r="E18" i="41"/>
  <c r="F18" i="41" s="1"/>
  <c r="O20" i="62" s="1"/>
  <c r="E7" i="41"/>
  <c r="E23" i="41"/>
  <c r="F23" i="41" s="1"/>
  <c r="T20" i="62" s="1"/>
  <c r="E12" i="41"/>
  <c r="E28" i="41"/>
  <c r="F28" i="41" s="1"/>
  <c r="Y20" i="62" s="1"/>
  <c r="E13" i="41"/>
  <c r="E29" i="41"/>
  <c r="F29" i="41" s="1"/>
  <c r="Z20" i="62" s="1"/>
  <c r="E25" i="41"/>
  <c r="E24" i="41"/>
  <c r="F24" i="41" s="1"/>
  <c r="U20" i="62" s="1"/>
  <c r="E27" i="41"/>
  <c r="E22" i="41"/>
  <c r="F22" i="41" s="1"/>
  <c r="S20" i="62" s="1"/>
  <c r="E17" i="41"/>
  <c r="E16" i="41"/>
  <c r="F16" i="41" s="1"/>
  <c r="M20" i="62" s="1"/>
  <c r="E30" i="41"/>
  <c r="E10" i="41"/>
  <c r="F10" i="41" s="1"/>
  <c r="G20" i="62" s="1"/>
  <c r="E26" i="41"/>
  <c r="E15" i="41"/>
  <c r="F15" i="41" s="1"/>
  <c r="L20" i="62" s="1"/>
  <c r="E31" i="41"/>
  <c r="E20" i="41"/>
  <c r="F20" i="41" s="1"/>
  <c r="Q20" i="62" s="1"/>
  <c r="E5" i="41"/>
  <c r="F5" i="41" s="1"/>
  <c r="E21" i="41"/>
  <c r="F21" i="41" s="1"/>
  <c r="R20" i="62" s="1"/>
  <c r="E9" i="41"/>
  <c r="E8" i="41"/>
  <c r="F8" i="41" s="1"/>
  <c r="E20" i="62" s="1"/>
  <c r="E11" i="41"/>
  <c r="E6" i="41"/>
  <c r="F6" i="41" s="1"/>
  <c r="C20" i="62" s="1"/>
  <c r="E32" i="41"/>
  <c r="E19" i="41"/>
  <c r="F19" i="41" s="1"/>
  <c r="P20" i="62" s="1"/>
  <c r="E14" i="41"/>
  <c r="E8" i="12"/>
  <c r="F8" i="12" s="1"/>
  <c r="E49" i="62" s="1"/>
  <c r="E32" i="12"/>
  <c r="E19" i="12"/>
  <c r="F19" i="12" s="1"/>
  <c r="P49" i="62" s="1"/>
  <c r="E22" i="12"/>
  <c r="E6" i="12"/>
  <c r="F6" i="12" s="1"/>
  <c r="C49" i="62" s="1"/>
  <c r="E27" i="12"/>
  <c r="F27" i="12" s="1"/>
  <c r="E13" i="12"/>
  <c r="F13" i="12" s="1"/>
  <c r="J49" i="62" s="1"/>
  <c r="E20" i="12"/>
  <c r="E28" i="12"/>
  <c r="F28" i="12" s="1"/>
  <c r="Y49" i="62" s="1"/>
  <c r="E15" i="12"/>
  <c r="F15" i="12" s="1"/>
  <c r="E18" i="12"/>
  <c r="F18" i="12" s="1"/>
  <c r="O49" i="62" s="1"/>
  <c r="E30" i="12"/>
  <c r="E25" i="12"/>
  <c r="F25" i="12" s="1"/>
  <c r="V49" i="62" s="1"/>
  <c r="E9" i="12"/>
  <c r="E16" i="12"/>
  <c r="F16" i="12" s="1"/>
  <c r="M49" i="62" s="1"/>
  <c r="E29" i="12"/>
  <c r="E11" i="12"/>
  <c r="F11" i="12" s="1"/>
  <c r="H49" i="62" s="1"/>
  <c r="E14" i="12"/>
  <c r="E26" i="12"/>
  <c r="F26" i="12" s="1"/>
  <c r="D52" i="63" s="1"/>
  <c r="E21" i="12"/>
  <c r="E5" i="12"/>
  <c r="F5" i="12" s="1"/>
  <c r="E12" i="12"/>
  <c r="E23" i="12"/>
  <c r="F23" i="12" s="1"/>
  <c r="T49" i="62" s="1"/>
  <c r="E7" i="12"/>
  <c r="E10" i="12"/>
  <c r="F10" i="12" s="1"/>
  <c r="G49" i="62" s="1"/>
  <c r="E31" i="12"/>
  <c r="E17" i="12"/>
  <c r="F17" i="12" s="1"/>
  <c r="N49" i="62" s="1"/>
  <c r="E24" i="12"/>
  <c r="F24" i="12" s="1"/>
  <c r="E8" i="60"/>
  <c r="E9" i="60"/>
  <c r="E29" i="60"/>
  <c r="E25" i="60"/>
  <c r="E10" i="60"/>
  <c r="E22" i="60"/>
  <c r="E30" i="60"/>
  <c r="E21" i="60"/>
  <c r="E18" i="60"/>
  <c r="E11" i="60"/>
  <c r="E6" i="60"/>
  <c r="E20" i="60"/>
  <c r="E28" i="60"/>
  <c r="E31" i="60"/>
  <c r="E17" i="60"/>
  <c r="E32" i="60"/>
  <c r="E19" i="60"/>
  <c r="E7" i="60"/>
  <c r="E16" i="60"/>
  <c r="E26" i="60"/>
  <c r="E23" i="60"/>
  <c r="E12" i="60"/>
  <c r="E5" i="60"/>
  <c r="E27" i="60"/>
  <c r="E13" i="60"/>
  <c r="E14" i="60"/>
  <c r="E24" i="60"/>
  <c r="E15" i="60"/>
  <c r="AB33" i="62"/>
  <c r="Z33" i="62"/>
  <c r="X33" i="62"/>
  <c r="R33" i="62"/>
  <c r="N33" i="62"/>
  <c r="J33" i="62"/>
  <c r="F33" i="62"/>
  <c r="D33" i="62"/>
  <c r="C33" i="62"/>
  <c r="S33" i="62"/>
  <c r="M33" i="62"/>
  <c r="C22" i="62"/>
  <c r="J18" i="62"/>
  <c r="V60" i="62"/>
  <c r="R60" i="62"/>
  <c r="N60" i="62"/>
  <c r="H60" i="62"/>
  <c r="C60" i="62"/>
  <c r="K60" i="62"/>
  <c r="S60" i="62"/>
  <c r="AA60" i="62"/>
  <c r="I60" i="62"/>
  <c r="M60" i="62"/>
  <c r="Q60" i="62"/>
  <c r="U60" i="62"/>
  <c r="AC58" i="62"/>
  <c r="Z58" i="62"/>
  <c r="X58" i="62"/>
  <c r="P58" i="62"/>
  <c r="C58" i="62"/>
  <c r="O58" i="62"/>
  <c r="E58" i="62"/>
  <c r="U58" i="62"/>
  <c r="AA37" i="62"/>
  <c r="W37" i="62"/>
  <c r="S37" i="62"/>
  <c r="K37" i="62"/>
  <c r="G37" i="62"/>
  <c r="C37" i="62"/>
  <c r="R37" i="62"/>
  <c r="V37" i="62"/>
  <c r="L37" i="62"/>
  <c r="AC37" i="62"/>
  <c r="U37" i="62"/>
  <c r="Q37" i="62"/>
  <c r="M37" i="62"/>
  <c r="I37" i="62"/>
  <c r="E37" i="62"/>
  <c r="J37" i="62"/>
  <c r="T37" i="62"/>
  <c r="H37" i="62"/>
  <c r="S39" i="62"/>
  <c r="G39" i="62"/>
  <c r="V39" i="62"/>
  <c r="P39" i="62"/>
  <c r="L39" i="62"/>
  <c r="Z39" i="62"/>
  <c r="J39" i="62"/>
  <c r="AC39" i="62"/>
  <c r="U39" i="62"/>
  <c r="Q39" i="62"/>
  <c r="X39" i="62"/>
  <c r="D39" i="62"/>
  <c r="R39" i="62"/>
  <c r="C15" i="62"/>
  <c r="Z15" i="62"/>
  <c r="V15" i="62"/>
  <c r="R15" i="62"/>
  <c r="N15" i="62"/>
  <c r="J15" i="62"/>
  <c r="F15" i="62"/>
  <c r="AC15" i="62"/>
  <c r="Y15" i="62"/>
  <c r="U15" i="62"/>
  <c r="Q15" i="62"/>
  <c r="M15" i="62"/>
  <c r="I15" i="62"/>
  <c r="E15" i="62"/>
  <c r="AB15" i="62"/>
  <c r="X15" i="62"/>
  <c r="T15" i="62"/>
  <c r="P15" i="62"/>
  <c r="L15" i="62"/>
  <c r="H15" i="62"/>
  <c r="D15" i="62"/>
  <c r="AA15" i="62"/>
  <c r="W15" i="62"/>
  <c r="S15" i="62"/>
  <c r="O15" i="62"/>
  <c r="G15" i="62"/>
  <c r="U6" i="62"/>
  <c r="W6" i="62"/>
  <c r="Y6" i="62"/>
  <c r="Z6" i="62"/>
  <c r="AB6" i="62"/>
  <c r="C6" i="62"/>
  <c r="E6" i="62"/>
  <c r="G6" i="62"/>
  <c r="I6" i="62"/>
  <c r="K6" i="62"/>
  <c r="M6" i="62"/>
  <c r="O6" i="62"/>
  <c r="Q6" i="62"/>
  <c r="S6" i="62"/>
  <c r="V6" i="62"/>
  <c r="J6" i="62"/>
  <c r="AC6" i="62"/>
  <c r="X6" i="62"/>
  <c r="T6" i="62"/>
  <c r="P6" i="62"/>
  <c r="L6" i="62"/>
  <c r="H6" i="62"/>
  <c r="D6" i="62"/>
  <c r="AA6" i="62"/>
  <c r="R6" i="62"/>
  <c r="N6" i="62"/>
  <c r="F6" i="62"/>
  <c r="AA34" i="62"/>
  <c r="Y34" i="62"/>
  <c r="U34" i="62"/>
  <c r="S34" i="62"/>
  <c r="Q34" i="62"/>
  <c r="O34" i="62"/>
  <c r="M34" i="62"/>
  <c r="K34" i="62"/>
  <c r="I34" i="62"/>
  <c r="G34" i="62"/>
  <c r="E34" i="62"/>
  <c r="C34" i="62"/>
  <c r="D34" i="62"/>
  <c r="H34" i="62"/>
  <c r="L34" i="62"/>
  <c r="P34" i="62"/>
  <c r="T34" i="62"/>
  <c r="X34" i="62"/>
  <c r="AB34" i="62"/>
  <c r="F34" i="62"/>
  <c r="J34" i="62"/>
  <c r="N34" i="62"/>
  <c r="R34" i="62"/>
  <c r="V34" i="62"/>
  <c r="Z34" i="62"/>
  <c r="AC32" i="62"/>
  <c r="AA32" i="62"/>
  <c r="Y32" i="62"/>
  <c r="W32" i="62"/>
  <c r="U32" i="62"/>
  <c r="S32" i="62"/>
  <c r="Q32" i="62"/>
  <c r="O32" i="62"/>
  <c r="M32" i="62"/>
  <c r="I32" i="62"/>
  <c r="G32" i="62"/>
  <c r="E32" i="62"/>
  <c r="C32" i="62"/>
  <c r="D32" i="62"/>
  <c r="H32" i="62"/>
  <c r="L32" i="62"/>
  <c r="P32" i="62"/>
  <c r="T32" i="62"/>
  <c r="X32" i="62"/>
  <c r="AB32" i="62"/>
  <c r="F32" i="62"/>
  <c r="J32" i="62"/>
  <c r="N32" i="62"/>
  <c r="R32" i="62"/>
  <c r="V32" i="62"/>
  <c r="Z32" i="62"/>
  <c r="AA30" i="62"/>
  <c r="Y30" i="62"/>
  <c r="W30" i="62"/>
  <c r="U30" i="62"/>
  <c r="S30" i="62"/>
  <c r="Q30" i="62"/>
  <c r="O30" i="62"/>
  <c r="M30" i="62"/>
  <c r="I30" i="62"/>
  <c r="G30" i="62"/>
  <c r="E30" i="62"/>
  <c r="C30" i="62"/>
  <c r="D30" i="62"/>
  <c r="H30" i="62"/>
  <c r="L30" i="62"/>
  <c r="P30" i="62"/>
  <c r="T30" i="62"/>
  <c r="X30" i="62"/>
  <c r="AB30" i="62"/>
  <c r="F30" i="62"/>
  <c r="J30" i="62"/>
  <c r="N30" i="62"/>
  <c r="R30" i="62"/>
  <c r="V30" i="62"/>
  <c r="Z30" i="62"/>
  <c r="D27" i="62"/>
  <c r="F27" i="62"/>
  <c r="H27" i="62"/>
  <c r="J27" i="62"/>
  <c r="L27" i="62"/>
  <c r="N27" i="62"/>
  <c r="P27" i="62"/>
  <c r="R27" i="62"/>
  <c r="T27" i="62"/>
  <c r="V27" i="62"/>
  <c r="X27" i="62"/>
  <c r="Z27" i="62"/>
  <c r="AB27" i="62"/>
  <c r="AA27" i="62"/>
  <c r="W27" i="62"/>
  <c r="S27" i="62"/>
  <c r="O27" i="62"/>
  <c r="K27" i="62"/>
  <c r="G27" i="62"/>
  <c r="C27" i="62"/>
  <c r="AC27" i="62"/>
  <c r="Y27" i="62"/>
  <c r="U27" i="62"/>
  <c r="Q27" i="62"/>
  <c r="M27" i="62"/>
  <c r="I27" i="62"/>
  <c r="E27" i="62"/>
  <c r="F40" i="62"/>
  <c r="Z40" i="62"/>
  <c r="R40" i="62"/>
  <c r="Y40" i="62"/>
  <c r="U40" i="62"/>
  <c r="Q40" i="62"/>
  <c r="M40" i="62"/>
  <c r="I40" i="62"/>
  <c r="E40" i="62"/>
  <c r="X40" i="62"/>
  <c r="P40" i="62"/>
  <c r="H40" i="62"/>
  <c r="N40" i="62"/>
  <c r="W40" i="62"/>
  <c r="S40" i="62"/>
  <c r="O40" i="62"/>
  <c r="K40" i="62"/>
  <c r="G40" i="62"/>
  <c r="AB40" i="62"/>
  <c r="T40" i="62"/>
  <c r="L40" i="62"/>
  <c r="D40" i="62"/>
  <c r="AB38" i="62"/>
  <c r="T38" i="62"/>
  <c r="L38" i="62"/>
  <c r="AA38" i="62"/>
  <c r="W38" i="62"/>
  <c r="S38" i="62"/>
  <c r="K38" i="62"/>
  <c r="G38" i="62"/>
  <c r="C38" i="62"/>
  <c r="N38" i="62"/>
  <c r="F38" i="62"/>
  <c r="X38" i="62"/>
  <c r="P38" i="62"/>
  <c r="H38" i="62"/>
  <c r="Y38" i="62"/>
  <c r="U38" i="62"/>
  <c r="M38" i="62"/>
  <c r="E38" i="62"/>
  <c r="R38" i="62"/>
  <c r="J38" i="62"/>
  <c r="R10" i="62"/>
  <c r="S10" i="62"/>
  <c r="G10" i="62"/>
  <c r="Z10" i="62"/>
  <c r="D10" i="62"/>
  <c r="H10" i="62"/>
  <c r="L10" i="62"/>
  <c r="Y10" i="62"/>
  <c r="W10" i="62"/>
  <c r="O10" i="62"/>
  <c r="P10" i="62"/>
  <c r="C10" i="62"/>
  <c r="K10" i="62"/>
  <c r="F10" i="62"/>
  <c r="E10" i="62"/>
  <c r="AC10" i="62"/>
  <c r="M10" i="62"/>
  <c r="Q10" i="62"/>
  <c r="V10" i="62"/>
  <c r="AC9" i="62"/>
  <c r="AA9" i="62"/>
  <c r="Y9" i="62"/>
  <c r="W9" i="62"/>
  <c r="U9" i="62"/>
  <c r="S9" i="62"/>
  <c r="Q9" i="62"/>
  <c r="O9" i="62"/>
  <c r="M9" i="62"/>
  <c r="K9" i="62"/>
  <c r="I9" i="62"/>
  <c r="G9" i="62"/>
  <c r="E9" i="62"/>
  <c r="C9" i="62"/>
  <c r="AB9" i="62"/>
  <c r="Z9" i="62"/>
  <c r="X9" i="62"/>
  <c r="V9" i="62"/>
  <c r="T9" i="62"/>
  <c r="R9" i="62"/>
  <c r="P9" i="62"/>
  <c r="N9" i="62"/>
  <c r="L9" i="62"/>
  <c r="J9" i="62"/>
  <c r="H9" i="62"/>
  <c r="F9" i="62"/>
  <c r="D9" i="62"/>
  <c r="AA5" i="62"/>
  <c r="Y5" i="62"/>
  <c r="W5" i="62"/>
  <c r="U5" i="62"/>
  <c r="S5" i="62"/>
  <c r="Q5" i="62"/>
  <c r="O5" i="62"/>
  <c r="M5" i="62"/>
  <c r="K5" i="62"/>
  <c r="I5" i="62"/>
  <c r="G5" i="62"/>
  <c r="E5" i="62"/>
  <c r="C5" i="62"/>
  <c r="AB5" i="62"/>
  <c r="D5" i="62"/>
  <c r="H5" i="62"/>
  <c r="L5" i="62"/>
  <c r="P5" i="62"/>
  <c r="T5" i="62"/>
  <c r="X5" i="62"/>
  <c r="F5" i="62"/>
  <c r="J5" i="62"/>
  <c r="N5" i="62"/>
  <c r="R5" i="62"/>
  <c r="V5" i="62"/>
  <c r="Z5" i="62"/>
  <c r="AC59" i="62"/>
  <c r="AA59" i="62"/>
  <c r="Y59" i="62"/>
  <c r="W59" i="62"/>
  <c r="U59" i="62"/>
  <c r="S59" i="62"/>
  <c r="Q59" i="62"/>
  <c r="O59" i="62"/>
  <c r="M59" i="62"/>
  <c r="I59" i="62"/>
  <c r="G59" i="62"/>
  <c r="E59" i="62"/>
  <c r="C59" i="62"/>
  <c r="F59" i="62"/>
  <c r="J59" i="62"/>
  <c r="N59" i="62"/>
  <c r="R59" i="62"/>
  <c r="V59" i="62"/>
  <c r="Z59" i="62"/>
  <c r="D59" i="62"/>
  <c r="H59" i="62"/>
  <c r="L59" i="62"/>
  <c r="P59" i="62"/>
  <c r="T59" i="62"/>
  <c r="X59" i="62"/>
  <c r="AB59" i="62"/>
  <c r="AA57" i="62"/>
  <c r="Y57" i="62"/>
  <c r="W57" i="62"/>
  <c r="U57" i="62"/>
  <c r="S57" i="62"/>
  <c r="Q57" i="62"/>
  <c r="O57" i="62"/>
  <c r="M57" i="62"/>
  <c r="I57" i="62"/>
  <c r="G57" i="62"/>
  <c r="E57" i="62"/>
  <c r="C57" i="62"/>
  <c r="F57" i="62"/>
  <c r="J57" i="62"/>
  <c r="N57" i="62"/>
  <c r="R57" i="62"/>
  <c r="V57" i="62"/>
  <c r="Z57" i="62"/>
  <c r="D57" i="62"/>
  <c r="H57" i="62"/>
  <c r="L57" i="62"/>
  <c r="P57" i="62"/>
  <c r="T57" i="62"/>
  <c r="X57" i="62"/>
  <c r="AC55" i="62"/>
  <c r="AA55" i="62"/>
  <c r="Y55" i="62"/>
  <c r="W55" i="62"/>
  <c r="U55" i="62"/>
  <c r="S55" i="62"/>
  <c r="Q55" i="62"/>
  <c r="O55" i="62"/>
  <c r="M55" i="62"/>
  <c r="K55" i="62"/>
  <c r="I55" i="62"/>
  <c r="G55" i="62"/>
  <c r="E55" i="62"/>
  <c r="C55" i="62"/>
  <c r="F55" i="62"/>
  <c r="J55" i="62"/>
  <c r="N55" i="62"/>
  <c r="R55" i="62"/>
  <c r="V55" i="62"/>
  <c r="Z55" i="62"/>
  <c r="D55" i="62"/>
  <c r="H55" i="62"/>
  <c r="L55" i="62"/>
  <c r="P55" i="62"/>
  <c r="T55" i="62"/>
  <c r="X55" i="62"/>
  <c r="AB55" i="62"/>
  <c r="AC53" i="62"/>
  <c r="AA53" i="62"/>
  <c r="Y53" i="62"/>
  <c r="W53" i="62"/>
  <c r="U53" i="62"/>
  <c r="S53" i="62"/>
  <c r="Q53" i="62"/>
  <c r="O53" i="62"/>
  <c r="M53" i="62"/>
  <c r="K53" i="62"/>
  <c r="I53" i="62"/>
  <c r="G53" i="62"/>
  <c r="E53" i="62"/>
  <c r="C53" i="62"/>
  <c r="D53" i="62"/>
  <c r="H53" i="62"/>
  <c r="L53" i="62"/>
  <c r="P53" i="62"/>
  <c r="T53" i="62"/>
  <c r="X53" i="62"/>
  <c r="F53" i="62"/>
  <c r="J53" i="62"/>
  <c r="N53" i="62"/>
  <c r="R53" i="62"/>
  <c r="V53" i="62"/>
  <c r="Z53" i="62"/>
  <c r="S52" i="62"/>
  <c r="U52" i="62"/>
  <c r="W52" i="62"/>
  <c r="Y52" i="62"/>
  <c r="AA52" i="62"/>
  <c r="R52" i="62"/>
  <c r="T52" i="62"/>
  <c r="V52" i="62"/>
  <c r="X52" i="62"/>
  <c r="Z52" i="62"/>
  <c r="P52" i="62"/>
  <c r="N52" i="62"/>
  <c r="L52" i="62"/>
  <c r="J52" i="62"/>
  <c r="H52" i="62"/>
  <c r="F52" i="62"/>
  <c r="D52" i="62"/>
  <c r="E52" i="62"/>
  <c r="I52" i="62"/>
  <c r="M52" i="62"/>
  <c r="Q52" i="62"/>
  <c r="C52" i="62"/>
  <c r="G52" i="62"/>
  <c r="K52" i="62"/>
  <c r="O52" i="62"/>
  <c r="L49" i="62"/>
  <c r="X49" i="62"/>
  <c r="U49" i="62"/>
  <c r="D45" i="62"/>
  <c r="F45" i="62"/>
  <c r="H45" i="62"/>
  <c r="J45" i="62"/>
  <c r="L45" i="62"/>
  <c r="N45" i="62"/>
  <c r="P45" i="62"/>
  <c r="R45" i="62"/>
  <c r="T45" i="62"/>
  <c r="V45" i="62"/>
  <c r="X45" i="62"/>
  <c r="Z45" i="62"/>
  <c r="AB45" i="62"/>
  <c r="C45" i="62"/>
  <c r="AC45" i="62"/>
  <c r="Y45" i="62"/>
  <c r="U45" i="62"/>
  <c r="Q45" i="62"/>
  <c r="M45" i="62"/>
  <c r="I45" i="62"/>
  <c r="E45" i="62"/>
  <c r="AA45" i="62"/>
  <c r="W45" i="62"/>
  <c r="S45" i="62"/>
  <c r="O45" i="62"/>
  <c r="K45" i="62"/>
  <c r="G45" i="62"/>
  <c r="C50" i="62"/>
  <c r="E50" i="62"/>
  <c r="G50" i="62"/>
  <c r="K50" i="62"/>
  <c r="M50" i="62"/>
  <c r="O50" i="62"/>
  <c r="Q50" i="62"/>
  <c r="S50" i="62"/>
  <c r="U50" i="62"/>
  <c r="W50" i="62"/>
  <c r="Y50" i="62"/>
  <c r="AA50" i="62"/>
  <c r="AC50" i="62"/>
  <c r="D50" i="62"/>
  <c r="F50" i="62"/>
  <c r="H50" i="62"/>
  <c r="J50" i="62"/>
  <c r="L50" i="62"/>
  <c r="N50" i="62"/>
  <c r="P50" i="62"/>
  <c r="R50" i="62"/>
  <c r="T50" i="62"/>
  <c r="V50" i="62"/>
  <c r="X50" i="62"/>
  <c r="Z50" i="62"/>
  <c r="AB50" i="62"/>
  <c r="E46" i="62"/>
  <c r="G46" i="62"/>
  <c r="I46" i="62"/>
  <c r="K46" i="62"/>
  <c r="M46" i="62"/>
  <c r="O46" i="62"/>
  <c r="Q46" i="62"/>
  <c r="S46" i="62"/>
  <c r="U46" i="62"/>
  <c r="Y46" i="62"/>
  <c r="AA46" i="62"/>
  <c r="AC46" i="62"/>
  <c r="D46" i="62"/>
  <c r="F46" i="62"/>
  <c r="H46" i="62"/>
  <c r="J46" i="62"/>
  <c r="L46" i="62"/>
  <c r="N46" i="62"/>
  <c r="P46" i="62"/>
  <c r="R46" i="62"/>
  <c r="T46" i="62"/>
  <c r="V46" i="62"/>
  <c r="X46" i="62"/>
  <c r="Z46" i="62"/>
  <c r="AB46" i="62"/>
  <c r="C42" i="62"/>
  <c r="E42" i="62"/>
  <c r="G42" i="62"/>
  <c r="I42" i="62"/>
  <c r="M42" i="62"/>
  <c r="O42" i="62"/>
  <c r="Q42" i="62"/>
  <c r="S42" i="62"/>
  <c r="U42" i="62"/>
  <c r="W42" i="62"/>
  <c r="Y42" i="62"/>
  <c r="AA42" i="62"/>
  <c r="AC42" i="62"/>
  <c r="D42" i="62"/>
  <c r="F42" i="62"/>
  <c r="H42" i="62"/>
  <c r="J42" i="62"/>
  <c r="L42" i="62"/>
  <c r="N42" i="62"/>
  <c r="P42" i="62"/>
  <c r="R42" i="62"/>
  <c r="T42" i="62"/>
  <c r="V42" i="62"/>
  <c r="X42" i="62"/>
  <c r="Z42" i="62"/>
  <c r="AB42" i="62"/>
  <c r="AA26" i="62"/>
  <c r="S26" i="62"/>
  <c r="O26" i="62"/>
  <c r="K26" i="62"/>
  <c r="G26" i="62"/>
  <c r="C26" i="62"/>
  <c r="AB26" i="62"/>
  <c r="X26" i="62"/>
  <c r="T26" i="62"/>
  <c r="P26" i="62"/>
  <c r="L26" i="62"/>
  <c r="H26" i="62"/>
  <c r="D26" i="62"/>
  <c r="Z26" i="62"/>
  <c r="V26" i="62"/>
  <c r="R26" i="62"/>
  <c r="N26" i="62"/>
  <c r="J26" i="62"/>
  <c r="F26" i="62"/>
  <c r="AC26" i="62"/>
  <c r="Y26" i="62"/>
  <c r="U26" i="62"/>
  <c r="Q26" i="62"/>
  <c r="M26" i="62"/>
  <c r="I26" i="62"/>
  <c r="E26" i="62"/>
  <c r="D16" i="62"/>
  <c r="F16" i="62"/>
  <c r="H16" i="62"/>
  <c r="J16" i="62"/>
  <c r="L16" i="62"/>
  <c r="N16" i="62"/>
  <c r="P16" i="62"/>
  <c r="R16" i="62"/>
  <c r="T16" i="62"/>
  <c r="V16" i="62"/>
  <c r="X16" i="62"/>
  <c r="Z16" i="62"/>
  <c r="AB16" i="62"/>
  <c r="AA16" i="62"/>
  <c r="W16" i="62"/>
  <c r="S16" i="62"/>
  <c r="O16" i="62"/>
  <c r="K16" i="62"/>
  <c r="G16" i="62"/>
  <c r="C16" i="62"/>
  <c r="AC16" i="62"/>
  <c r="Y16" i="62"/>
  <c r="U16" i="62"/>
  <c r="Q16" i="62"/>
  <c r="M16" i="62"/>
  <c r="I16" i="62"/>
  <c r="E16" i="62"/>
  <c r="D25" i="62"/>
  <c r="F25" i="62"/>
  <c r="H25" i="62"/>
  <c r="J25" i="62"/>
  <c r="L25" i="62"/>
  <c r="N25" i="62"/>
  <c r="P25" i="62"/>
  <c r="R25" i="62"/>
  <c r="T25" i="62"/>
  <c r="V25" i="62"/>
  <c r="X25" i="62"/>
  <c r="Z25" i="62"/>
  <c r="AB25" i="62"/>
  <c r="AA25" i="62"/>
  <c r="W25" i="62"/>
  <c r="S25" i="62"/>
  <c r="O25" i="62"/>
  <c r="G25" i="62"/>
  <c r="C25" i="62"/>
  <c r="AC25" i="62"/>
  <c r="Y25" i="62"/>
  <c r="U25" i="62"/>
  <c r="Q25" i="62"/>
  <c r="M25" i="62"/>
  <c r="I25" i="62"/>
  <c r="E25" i="62"/>
  <c r="AC17" i="62"/>
  <c r="AA17" i="62"/>
  <c r="Y17" i="62"/>
  <c r="W17" i="62"/>
  <c r="U17" i="62"/>
  <c r="S17" i="62"/>
  <c r="Q17" i="62"/>
  <c r="O17" i="62"/>
  <c r="M17" i="62"/>
  <c r="K17" i="62"/>
  <c r="I17" i="62"/>
  <c r="G17" i="62"/>
  <c r="E17" i="62"/>
  <c r="C17" i="62"/>
  <c r="Z17" i="62"/>
  <c r="F17" i="62"/>
  <c r="J17" i="62"/>
  <c r="N17" i="62"/>
  <c r="R17" i="62"/>
  <c r="V17" i="62"/>
  <c r="D17" i="62"/>
  <c r="H17" i="62"/>
  <c r="L17" i="62"/>
  <c r="P17" i="62"/>
  <c r="T17" i="62"/>
  <c r="X17" i="62"/>
  <c r="AB13" i="62"/>
  <c r="X13" i="62"/>
  <c r="T13" i="62"/>
  <c r="P13" i="62"/>
  <c r="H13" i="62"/>
  <c r="D13" i="62"/>
  <c r="J13" i="62"/>
  <c r="F13" i="62"/>
  <c r="G13" i="62"/>
  <c r="N13" i="62"/>
  <c r="O13" i="62"/>
  <c r="W13" i="62"/>
  <c r="E13" i="62"/>
  <c r="V13" i="62"/>
  <c r="M13" i="62"/>
  <c r="U13" i="62"/>
  <c r="AC13" i="62"/>
  <c r="L13" i="62"/>
  <c r="C13" i="62"/>
  <c r="K13" i="62"/>
  <c r="S13" i="62"/>
  <c r="AA13" i="62"/>
  <c r="R13" i="62"/>
  <c r="Z13" i="62"/>
  <c r="I13" i="62"/>
  <c r="Q13" i="62"/>
  <c r="Y13" i="62"/>
  <c r="F7" i="62"/>
  <c r="D7" i="62"/>
  <c r="H7" i="62"/>
  <c r="J7" i="62"/>
  <c r="L7" i="62"/>
  <c r="N7" i="62"/>
  <c r="P7" i="62"/>
  <c r="R7" i="62"/>
  <c r="T7" i="62"/>
  <c r="V7" i="62"/>
  <c r="X7" i="62"/>
  <c r="Z7" i="62"/>
  <c r="E7" i="62"/>
  <c r="M7" i="62"/>
  <c r="C7" i="62"/>
  <c r="AA7" i="62"/>
  <c r="W7" i="62"/>
  <c r="S7" i="62"/>
  <c r="O7" i="62"/>
  <c r="G7" i="62"/>
  <c r="Y7" i="62"/>
  <c r="U7" i="62"/>
  <c r="Q7" i="62"/>
  <c r="I7" i="62"/>
  <c r="D29" i="62"/>
  <c r="F29" i="62"/>
  <c r="H29" i="62"/>
  <c r="J29" i="62"/>
  <c r="L29" i="62"/>
  <c r="N29" i="62"/>
  <c r="P29" i="62"/>
  <c r="R29" i="62"/>
  <c r="T29" i="62"/>
  <c r="V29" i="62"/>
  <c r="X29" i="62"/>
  <c r="Z29" i="62"/>
  <c r="AB29" i="62"/>
  <c r="Y29" i="62"/>
  <c r="U29" i="62"/>
  <c r="Q29" i="62"/>
  <c r="M29" i="62"/>
  <c r="I29" i="62"/>
  <c r="E29" i="62"/>
  <c r="AA29" i="62"/>
  <c r="S29" i="62"/>
  <c r="O29" i="62"/>
  <c r="K29" i="62"/>
  <c r="G29" i="62"/>
  <c r="C29" i="62"/>
  <c r="Z12" i="62"/>
  <c r="V12" i="62"/>
  <c r="R12" i="62"/>
  <c r="N12" i="62"/>
  <c r="J12" i="62"/>
  <c r="F12" i="62"/>
  <c r="Y12" i="62"/>
  <c r="U12" i="62"/>
  <c r="Q12" i="62"/>
  <c r="M12" i="62"/>
  <c r="I12" i="62"/>
  <c r="E12" i="62"/>
  <c r="AB12" i="62"/>
  <c r="X12" i="62"/>
  <c r="T12" i="62"/>
  <c r="P12" i="62"/>
  <c r="L12" i="62"/>
  <c r="H12" i="62"/>
  <c r="D12" i="62"/>
  <c r="AA12" i="62"/>
  <c r="W12" i="62"/>
  <c r="S12" i="62"/>
  <c r="O12" i="62"/>
  <c r="K12" i="62"/>
  <c r="G12" i="62"/>
  <c r="C12" i="62"/>
  <c r="C48" i="62"/>
  <c r="E48" i="62"/>
  <c r="G48" i="62"/>
  <c r="I48" i="62"/>
  <c r="M48" i="62"/>
  <c r="O48" i="62"/>
  <c r="Q48" i="62"/>
  <c r="S48" i="62"/>
  <c r="U48" i="62"/>
  <c r="W48" i="62"/>
  <c r="Y48" i="62"/>
  <c r="AA48" i="62"/>
  <c r="AC48" i="62"/>
  <c r="D48" i="62"/>
  <c r="F48" i="62"/>
  <c r="H48" i="62"/>
  <c r="J48" i="62"/>
  <c r="L48" i="62"/>
  <c r="N48" i="62"/>
  <c r="P48" i="62"/>
  <c r="R48" i="62"/>
  <c r="T48" i="62"/>
  <c r="V48" i="62"/>
  <c r="X48" i="62"/>
  <c r="Z48" i="62"/>
  <c r="AB48" i="62"/>
  <c r="C44" i="62"/>
  <c r="E44" i="62"/>
  <c r="G44" i="62"/>
  <c r="I44" i="62"/>
  <c r="K44" i="62"/>
  <c r="M44" i="62"/>
  <c r="O44" i="62"/>
  <c r="Q44" i="62"/>
  <c r="S44" i="62"/>
  <c r="U44" i="62"/>
  <c r="Y44" i="62"/>
  <c r="AA44" i="62"/>
  <c r="AC44" i="62"/>
  <c r="D44" i="62"/>
  <c r="F44" i="62"/>
  <c r="H44" i="62"/>
  <c r="J44" i="62"/>
  <c r="L44" i="62"/>
  <c r="N44" i="62"/>
  <c r="P44" i="62"/>
  <c r="R44" i="62"/>
  <c r="T44" i="62"/>
  <c r="V44" i="62"/>
  <c r="X44" i="62"/>
  <c r="Z44" i="62"/>
  <c r="K41" i="62"/>
  <c r="M41" i="62"/>
  <c r="O41" i="62"/>
  <c r="Q41" i="62"/>
  <c r="S41" i="62"/>
  <c r="U41" i="62"/>
  <c r="Y41" i="62"/>
  <c r="AA41" i="62"/>
  <c r="D41" i="62"/>
  <c r="F41" i="62"/>
  <c r="H41" i="62"/>
  <c r="J41" i="62"/>
  <c r="N41" i="62"/>
  <c r="R41" i="62"/>
  <c r="V41" i="62"/>
  <c r="Z41" i="62"/>
  <c r="L41" i="62"/>
  <c r="P41" i="62"/>
  <c r="T41" i="62"/>
  <c r="X41" i="62"/>
  <c r="AB41" i="62"/>
  <c r="G41" i="62"/>
  <c r="C41" i="62"/>
  <c r="I41" i="62"/>
  <c r="E41" i="62"/>
  <c r="D51" i="62"/>
  <c r="F51" i="62"/>
  <c r="H51" i="62"/>
  <c r="J51" i="62"/>
  <c r="L51" i="62"/>
  <c r="N51" i="62"/>
  <c r="P51" i="62"/>
  <c r="R51" i="62"/>
  <c r="T51" i="62"/>
  <c r="V51" i="62"/>
  <c r="X51" i="62"/>
  <c r="Z51" i="62"/>
  <c r="AC51" i="62"/>
  <c r="Y51" i="62"/>
  <c r="U51" i="62"/>
  <c r="Q51" i="62"/>
  <c r="M51" i="62"/>
  <c r="I51" i="62"/>
  <c r="E51" i="62"/>
  <c r="C51" i="62"/>
  <c r="AA51" i="62"/>
  <c r="W51" i="62"/>
  <c r="S51" i="62"/>
  <c r="O51" i="62"/>
  <c r="K51" i="62"/>
  <c r="G51" i="62"/>
  <c r="D47" i="62"/>
  <c r="F47" i="62"/>
  <c r="H47" i="62"/>
  <c r="J47" i="62"/>
  <c r="L47" i="62"/>
  <c r="N47" i="62"/>
  <c r="P47" i="62"/>
  <c r="R47" i="62"/>
  <c r="T47" i="62"/>
  <c r="V47" i="62"/>
  <c r="X47" i="62"/>
  <c r="Z47" i="62"/>
  <c r="AB47" i="62"/>
  <c r="AC47" i="62"/>
  <c r="Y47" i="62"/>
  <c r="U47" i="62"/>
  <c r="Q47" i="62"/>
  <c r="M47" i="62"/>
  <c r="I47" i="62"/>
  <c r="E47" i="62"/>
  <c r="C47" i="62"/>
  <c r="AA47" i="62"/>
  <c r="S47" i="62"/>
  <c r="O47" i="62"/>
  <c r="G47" i="62"/>
  <c r="D43" i="62"/>
  <c r="F43" i="62"/>
  <c r="H43" i="62"/>
  <c r="J43" i="62"/>
  <c r="L43" i="62"/>
  <c r="N43" i="62"/>
  <c r="P43" i="62"/>
  <c r="R43" i="62"/>
  <c r="T43" i="62"/>
  <c r="V43" i="62"/>
  <c r="X43" i="62"/>
  <c r="Z43" i="62"/>
  <c r="AC43" i="62"/>
  <c r="Y43" i="62"/>
  <c r="U43" i="62"/>
  <c r="Q43" i="62"/>
  <c r="M43" i="62"/>
  <c r="I43" i="62"/>
  <c r="E43" i="62"/>
  <c r="C43" i="62"/>
  <c r="AA43" i="62"/>
  <c r="W43" i="62"/>
  <c r="S43" i="62"/>
  <c r="O43" i="62"/>
  <c r="G43" i="62"/>
  <c r="AC21" i="62"/>
  <c r="AA21" i="62"/>
  <c r="Y21" i="62"/>
  <c r="U21" i="62"/>
  <c r="S21" i="62"/>
  <c r="Q21" i="62"/>
  <c r="O21" i="62"/>
  <c r="M21" i="62"/>
  <c r="K21" i="62"/>
  <c r="I21" i="62"/>
  <c r="G21" i="62"/>
  <c r="E21" i="62"/>
  <c r="C21" i="62"/>
  <c r="F21" i="62"/>
  <c r="J21" i="62"/>
  <c r="N21" i="62"/>
  <c r="R21" i="62"/>
  <c r="V21" i="62"/>
  <c r="Z21" i="62"/>
  <c r="D21" i="62"/>
  <c r="H21" i="62"/>
  <c r="L21" i="62"/>
  <c r="P21" i="62"/>
  <c r="T21" i="62"/>
  <c r="X21" i="62"/>
  <c r="AB21" i="62"/>
  <c r="AC19" i="62"/>
  <c r="AA19" i="62"/>
  <c r="Y19" i="62"/>
  <c r="W19" i="62"/>
  <c r="U19" i="62"/>
  <c r="S19" i="62"/>
  <c r="Q19" i="62"/>
  <c r="O19" i="62"/>
  <c r="M19" i="62"/>
  <c r="I19" i="62"/>
  <c r="G19" i="62"/>
  <c r="E19" i="62"/>
  <c r="C19" i="62"/>
  <c r="D19" i="62"/>
  <c r="H19" i="62"/>
  <c r="L19" i="62"/>
  <c r="P19" i="62"/>
  <c r="T19" i="62"/>
  <c r="X19" i="62"/>
  <c r="AB19" i="62"/>
  <c r="F19" i="62"/>
  <c r="J19" i="62"/>
  <c r="N19" i="62"/>
  <c r="R19" i="62"/>
  <c r="V19" i="62"/>
  <c r="Z19" i="62"/>
  <c r="AA28" i="62"/>
  <c r="W28" i="62"/>
  <c r="S28" i="62"/>
  <c r="O28" i="62"/>
  <c r="K28" i="62"/>
  <c r="Z28" i="62"/>
  <c r="V28" i="62"/>
  <c r="R28" i="62"/>
  <c r="N28" i="62"/>
  <c r="J28" i="62"/>
  <c r="F28" i="62"/>
  <c r="G28" i="62"/>
  <c r="AC28" i="62"/>
  <c r="Y28" i="62"/>
  <c r="U28" i="62"/>
  <c r="Q28" i="62"/>
  <c r="M28" i="62"/>
  <c r="I28" i="62"/>
  <c r="E28" i="62"/>
  <c r="X28" i="62"/>
  <c r="T28" i="62"/>
  <c r="P28" i="62"/>
  <c r="L28" i="62"/>
  <c r="H28" i="62"/>
  <c r="D28" i="62"/>
  <c r="C28" i="62"/>
  <c r="AA24" i="62"/>
  <c r="W24" i="62"/>
  <c r="S24" i="62"/>
  <c r="O24" i="62"/>
  <c r="K24" i="62"/>
  <c r="G24" i="62"/>
  <c r="C24" i="62"/>
  <c r="Z24" i="62"/>
  <c r="V24" i="62"/>
  <c r="R24" i="62"/>
  <c r="N24" i="62"/>
  <c r="J24" i="62"/>
  <c r="F24" i="62"/>
  <c r="AB24" i="62"/>
  <c r="X24" i="62"/>
  <c r="T24" i="62"/>
  <c r="P24" i="62"/>
  <c r="L24" i="62"/>
  <c r="H24" i="62"/>
  <c r="D24" i="62"/>
  <c r="AC24" i="62"/>
  <c r="Y24" i="62"/>
  <c r="U24" i="62"/>
  <c r="Q24" i="62"/>
  <c r="M24" i="62"/>
  <c r="I24" i="62"/>
  <c r="E24" i="62"/>
  <c r="D11" i="62"/>
  <c r="F11" i="62"/>
  <c r="H11" i="62"/>
  <c r="J11" i="62"/>
  <c r="L11" i="62"/>
  <c r="N11" i="62"/>
  <c r="P11" i="62"/>
  <c r="R11" i="62"/>
  <c r="T11" i="62"/>
  <c r="V11" i="62"/>
  <c r="X11" i="62"/>
  <c r="Z11" i="62"/>
  <c r="AB11" i="62"/>
  <c r="AA11" i="62"/>
  <c r="W11" i="62"/>
  <c r="S11" i="62"/>
  <c r="O11" i="62"/>
  <c r="K11" i="62"/>
  <c r="G11" i="62"/>
  <c r="C11" i="62"/>
  <c r="AC11" i="62"/>
  <c r="Y11" i="62"/>
  <c r="U11" i="62"/>
  <c r="Q11" i="62"/>
  <c r="M11" i="62"/>
  <c r="I11" i="62"/>
  <c r="E11" i="62"/>
  <c r="Y8" i="62"/>
  <c r="U8" i="62"/>
  <c r="Q8" i="62"/>
  <c r="C8" i="62"/>
  <c r="G8" i="62"/>
  <c r="K8" i="62"/>
  <c r="O8" i="62"/>
  <c r="AB8" i="62"/>
  <c r="X8" i="62"/>
  <c r="T8" i="62"/>
  <c r="R8" i="62"/>
  <c r="AA8" i="62"/>
  <c r="W8" i="62"/>
  <c r="S8" i="62"/>
  <c r="E8" i="62"/>
  <c r="I8" i="62"/>
  <c r="M8" i="62"/>
  <c r="Z8" i="62"/>
  <c r="V8" i="62"/>
  <c r="D8" i="62"/>
  <c r="H8" i="62"/>
  <c r="L8" i="62"/>
  <c r="P8" i="62"/>
  <c r="F8" i="62"/>
  <c r="J8" i="62"/>
  <c r="N8" i="62"/>
  <c r="E33" i="57"/>
  <c r="F33" i="57" s="1"/>
  <c r="B4" i="62"/>
  <c r="W22" i="62" l="1"/>
  <c r="D32" i="63"/>
  <c r="D29" i="63"/>
  <c r="D46" i="63"/>
  <c r="D50" i="63"/>
  <c r="W49" i="62"/>
  <c r="F31" i="12"/>
  <c r="AB49" i="62" s="1"/>
  <c r="F7" i="12"/>
  <c r="D49" i="62" s="1"/>
  <c r="F12" i="12"/>
  <c r="I49" i="62" s="1"/>
  <c r="F21" i="12"/>
  <c r="R49" i="62" s="1"/>
  <c r="F14" i="12"/>
  <c r="K49" i="62" s="1"/>
  <c r="F29" i="12"/>
  <c r="Z49" i="62" s="1"/>
  <c r="F9" i="12"/>
  <c r="F49" i="62" s="1"/>
  <c r="F30" i="12"/>
  <c r="AA49" i="62" s="1"/>
  <c r="F20" i="12"/>
  <c r="Q49" i="62" s="1"/>
  <c r="F22" i="12"/>
  <c r="S49" i="62" s="1"/>
  <c r="F32" i="12"/>
  <c r="AC49" i="62" s="1"/>
  <c r="F14" i="41"/>
  <c r="K20" i="62" s="1"/>
  <c r="F32" i="41"/>
  <c r="AC20" i="62" s="1"/>
  <c r="F11" i="41"/>
  <c r="H20" i="62" s="1"/>
  <c r="F9" i="41"/>
  <c r="F20" i="62" s="1"/>
  <c r="F31" i="41"/>
  <c r="AB20" i="62" s="1"/>
  <c r="F30" i="41"/>
  <c r="AA20" i="62" s="1"/>
  <c r="F17" i="41"/>
  <c r="N20" i="62" s="1"/>
  <c r="F27" i="41"/>
  <c r="X20" i="62" s="1"/>
  <c r="F25" i="41"/>
  <c r="V20" i="62" s="1"/>
  <c r="F13" i="41"/>
  <c r="J20" i="62" s="1"/>
  <c r="F12" i="41"/>
  <c r="I20" i="62" s="1"/>
  <c r="F7" i="41"/>
  <c r="D20" i="62" s="1"/>
  <c r="F12" i="30"/>
  <c r="I31" i="62" s="1"/>
  <c r="F20" i="30"/>
  <c r="Q31" i="62" s="1"/>
  <c r="F23" i="30"/>
  <c r="T31" i="62" s="1"/>
  <c r="F18" i="30"/>
  <c r="O31" i="62" s="1"/>
  <c r="F9" i="30"/>
  <c r="F31" i="62" s="1"/>
  <c r="F8" i="30"/>
  <c r="E31" i="62" s="1"/>
  <c r="F30" i="30"/>
  <c r="AA31" i="62" s="1"/>
  <c r="F28" i="30"/>
  <c r="Y31" i="62" s="1"/>
  <c r="F15" i="30"/>
  <c r="L31" i="62" s="1"/>
  <c r="F10" i="30"/>
  <c r="G31" i="62" s="1"/>
  <c r="F32" i="30"/>
  <c r="AC31" i="62" s="1"/>
  <c r="F27" i="30"/>
  <c r="X31" i="62" s="1"/>
  <c r="F22" i="30"/>
  <c r="S31" i="62" s="1"/>
  <c r="F15" i="26"/>
  <c r="L35" i="62" s="1"/>
  <c r="F22" i="26"/>
  <c r="S35" i="62" s="1"/>
  <c r="F24" i="26"/>
  <c r="U35" i="62" s="1"/>
  <c r="F25" i="26"/>
  <c r="V35" i="62" s="1"/>
  <c r="F11" i="26"/>
  <c r="H35" i="62" s="1"/>
  <c r="F19" i="26"/>
  <c r="P35" i="62" s="1"/>
  <c r="F14" i="26"/>
  <c r="K35" i="62" s="1"/>
  <c r="F30" i="26"/>
  <c r="AA35" i="62" s="1"/>
  <c r="F21" i="26"/>
  <c r="R35" i="62" s="1"/>
  <c r="F32" i="26"/>
  <c r="AC35" i="62" s="1"/>
  <c r="F10" i="26"/>
  <c r="G35" i="62" s="1"/>
  <c r="F18" i="26"/>
  <c r="O35" i="62" s="1"/>
  <c r="F27" i="26"/>
  <c r="X35" i="62" s="1"/>
  <c r="F9" i="26"/>
  <c r="F35" i="62" s="1"/>
  <c r="F8" i="43"/>
  <c r="E18" i="62" s="1"/>
  <c r="F22" i="43"/>
  <c r="S18" i="62" s="1"/>
  <c r="F32" i="43"/>
  <c r="AC18" i="62" s="1"/>
  <c r="F23" i="43"/>
  <c r="T18" i="62" s="1"/>
  <c r="F18" i="43"/>
  <c r="O18" i="62" s="1"/>
  <c r="F12" i="43"/>
  <c r="I18" i="62" s="1"/>
  <c r="F25" i="43"/>
  <c r="V18" i="62" s="1"/>
  <c r="F11" i="43"/>
  <c r="H18" i="62" s="1"/>
  <c r="F17" i="43"/>
  <c r="N18" i="62" s="1"/>
  <c r="F19" i="43"/>
  <c r="P18" i="62" s="1"/>
  <c r="F15" i="43"/>
  <c r="L18" i="62" s="1"/>
  <c r="F10" i="43"/>
  <c r="G18" i="62" s="1"/>
  <c r="F21" i="39"/>
  <c r="R22" i="62" s="1"/>
  <c r="F7" i="39"/>
  <c r="D22" i="62" s="1"/>
  <c r="F13" i="39"/>
  <c r="J22" i="62" s="1"/>
  <c r="F15" i="39"/>
  <c r="L22" i="62" s="1"/>
  <c r="F24" i="39"/>
  <c r="U22" i="62" s="1"/>
  <c r="F19" i="39"/>
  <c r="P22" i="62" s="1"/>
  <c r="F14" i="39"/>
  <c r="K22" i="62" s="1"/>
  <c r="F9" i="39"/>
  <c r="F22" i="62" s="1"/>
  <c r="F10" i="39"/>
  <c r="G22" i="62" s="1"/>
  <c r="F28" i="39"/>
  <c r="Y22" i="62" s="1"/>
  <c r="F31" i="39"/>
  <c r="AB22" i="62" s="1"/>
  <c r="F16" i="39"/>
  <c r="M22" i="62" s="1"/>
  <c r="F11" i="39"/>
  <c r="H22" i="62" s="1"/>
  <c r="F18" i="28"/>
  <c r="O33" i="62" s="1"/>
  <c r="F28" i="28"/>
  <c r="Y33" i="62" s="1"/>
  <c r="F19" i="28"/>
  <c r="P33" i="62" s="1"/>
  <c r="F14" i="28"/>
  <c r="K33" i="62" s="1"/>
  <c r="F8" i="28"/>
  <c r="E33" i="62" s="1"/>
  <c r="F10" i="28"/>
  <c r="G33" i="62" s="1"/>
  <c r="F20" i="28"/>
  <c r="Q33" i="62" s="1"/>
  <c r="F11" i="28"/>
  <c r="H33" i="62" s="1"/>
  <c r="F32" i="28"/>
  <c r="AC33" i="62" s="1"/>
  <c r="F9" i="3"/>
  <c r="F58" i="62" s="1"/>
  <c r="F11" i="3"/>
  <c r="H58" i="62" s="1"/>
  <c r="F25" i="3"/>
  <c r="V58" i="62" s="1"/>
  <c r="F13" i="3"/>
  <c r="J58" i="62" s="1"/>
  <c r="F7" i="3"/>
  <c r="D58" i="62" s="1"/>
  <c r="F23" i="3"/>
  <c r="T58" i="62" s="1"/>
  <c r="F17" i="3"/>
  <c r="N58" i="62" s="1"/>
  <c r="F30" i="3"/>
  <c r="AA58" i="62" s="1"/>
  <c r="F20" i="3"/>
  <c r="Q58" i="62" s="1"/>
  <c r="F21" i="3"/>
  <c r="R58" i="62" s="1"/>
  <c r="F14" i="3"/>
  <c r="K58" i="62" s="1"/>
  <c r="F16" i="3"/>
  <c r="M58" i="62" s="1"/>
  <c r="F10" i="1"/>
  <c r="G60" i="62" s="1"/>
  <c r="F8" i="1"/>
  <c r="E60" i="62" s="1"/>
  <c r="F29" i="1"/>
  <c r="Z60" i="62" s="1"/>
  <c r="F7" i="1"/>
  <c r="D60" i="62" s="1"/>
  <c r="F13" i="1"/>
  <c r="J60" i="62" s="1"/>
  <c r="F18" i="1"/>
  <c r="O60" i="62" s="1"/>
  <c r="F9" i="1"/>
  <c r="F60" i="62" s="1"/>
  <c r="F31" i="1"/>
  <c r="AB60" i="62" s="1"/>
  <c r="F32" i="1"/>
  <c r="AC60" i="62" s="1"/>
  <c r="F12" i="22"/>
  <c r="I39" i="62" s="1"/>
  <c r="F31" i="22"/>
  <c r="AB39" i="62" s="1"/>
  <c r="F17" i="22"/>
  <c r="N39" i="62" s="1"/>
  <c r="F16" i="22"/>
  <c r="M39" i="62" s="1"/>
  <c r="F11" i="22"/>
  <c r="H39" i="62" s="1"/>
  <c r="F6" i="22"/>
  <c r="C39" i="62" s="1"/>
  <c r="F28" i="22"/>
  <c r="Y39" i="62" s="1"/>
  <c r="F23" i="22"/>
  <c r="T39" i="62" s="1"/>
  <c r="F18" i="22"/>
  <c r="O39" i="62" s="1"/>
  <c r="F9" i="22"/>
  <c r="F39" i="62" s="1"/>
  <c r="F8" i="22"/>
  <c r="E39" i="62" s="1"/>
  <c r="F30" i="22"/>
  <c r="AA39" i="62" s="1"/>
  <c r="F6" i="15"/>
  <c r="C46" i="62" s="1"/>
  <c r="D49" i="63"/>
  <c r="F12" i="11"/>
  <c r="I50" i="62" s="1"/>
  <c r="F31" i="18"/>
  <c r="AB43" i="62" s="1"/>
  <c r="F31" i="10"/>
  <c r="AB51" i="62" s="1"/>
  <c r="F32" i="20"/>
  <c r="AC41" i="62" s="1"/>
  <c r="D44" i="63"/>
  <c r="D47" i="63"/>
  <c r="F31" i="17"/>
  <c r="AB44" i="62" s="1"/>
  <c r="D51" i="63"/>
  <c r="F32" i="49"/>
  <c r="AC12" i="62" s="1"/>
  <c r="F32" i="32"/>
  <c r="AC29" i="62" s="1"/>
  <c r="F31" i="54"/>
  <c r="AB7" i="62" s="1"/>
  <c r="F32" i="54"/>
  <c r="AC7" i="62" s="1"/>
  <c r="F31" i="44"/>
  <c r="AB17" i="62" s="1"/>
  <c r="F7" i="24"/>
  <c r="D37" i="62" s="1"/>
  <c r="F27" i="24"/>
  <c r="X37" i="62" s="1"/>
  <c r="F17" i="24"/>
  <c r="N37" i="62" s="1"/>
  <c r="F31" i="24"/>
  <c r="AB37" i="62" s="1"/>
  <c r="F18" i="24"/>
  <c r="O37" i="62" s="1"/>
  <c r="F29" i="24"/>
  <c r="Z37" i="62" s="1"/>
  <c r="F28" i="24"/>
  <c r="Y37" i="62" s="1"/>
  <c r="F19" i="24"/>
  <c r="P37" i="62" s="1"/>
  <c r="F9" i="24"/>
  <c r="F37" i="62" s="1"/>
  <c r="F32" i="53"/>
  <c r="AC8" i="62" s="1"/>
  <c r="D14" i="63"/>
  <c r="F31" i="33"/>
  <c r="AB28" i="62" s="1"/>
  <c r="F32" i="9"/>
  <c r="AC52" i="62" s="1"/>
  <c r="F31" i="9"/>
  <c r="AB52" i="62" s="1"/>
  <c r="F31" i="8"/>
  <c r="AB53" i="62" s="1"/>
  <c r="F32" i="4"/>
  <c r="AC57" i="62" s="1"/>
  <c r="F31" i="4"/>
  <c r="AB57" i="62" s="1"/>
  <c r="F32" i="56"/>
  <c r="AC5" i="62" s="1"/>
  <c r="F27" i="51"/>
  <c r="X10" i="62" s="1"/>
  <c r="F17" i="51"/>
  <c r="N10" i="62" s="1"/>
  <c r="F31" i="51"/>
  <c r="AB10" i="62" s="1"/>
  <c r="F23" i="51"/>
  <c r="T10" i="62" s="1"/>
  <c r="F13" i="51"/>
  <c r="J10" i="62" s="1"/>
  <c r="F12" i="51"/>
  <c r="I10" i="62" s="1"/>
  <c r="F30" i="51"/>
  <c r="AA10" i="62" s="1"/>
  <c r="F24" i="51"/>
  <c r="U10" i="62" s="1"/>
  <c r="F20" i="23"/>
  <c r="Q38" i="62" s="1"/>
  <c r="F18" i="23"/>
  <c r="O38" i="62" s="1"/>
  <c r="F32" i="23"/>
  <c r="AC38" i="62" s="1"/>
  <c r="F7" i="23"/>
  <c r="D38" i="62" s="1"/>
  <c r="F12" i="23"/>
  <c r="I38" i="62" s="1"/>
  <c r="F29" i="23"/>
  <c r="Z38" i="62" s="1"/>
  <c r="F25" i="23"/>
  <c r="V38" i="62" s="1"/>
  <c r="F6" i="21"/>
  <c r="C40" i="62" s="1"/>
  <c r="F32" i="21"/>
  <c r="AC40" i="62" s="1"/>
  <c r="F13" i="21"/>
  <c r="J40" i="62" s="1"/>
  <c r="F25" i="21"/>
  <c r="D43" i="63" s="1"/>
  <c r="F30" i="21"/>
  <c r="AA40" i="62" s="1"/>
  <c r="F32" i="31"/>
  <c r="AC30" i="62" s="1"/>
  <c r="F32" i="27"/>
  <c r="AC34" i="62" s="1"/>
  <c r="J21" i="63"/>
  <c r="I21" i="63"/>
  <c r="R21" i="63"/>
  <c r="Q21" i="63"/>
  <c r="L21" i="63"/>
  <c r="K21" i="63"/>
  <c r="T21" i="63"/>
  <c r="S21" i="63"/>
  <c r="J42" i="63"/>
  <c r="I42" i="63"/>
  <c r="R42" i="63"/>
  <c r="Q42" i="63"/>
  <c r="L42" i="63"/>
  <c r="K42" i="63"/>
  <c r="T42" i="63"/>
  <c r="S42" i="63"/>
  <c r="J27" i="63"/>
  <c r="I27" i="63"/>
  <c r="R27" i="63"/>
  <c r="Q27" i="63"/>
  <c r="L27" i="63"/>
  <c r="K27" i="63"/>
  <c r="T27" i="63"/>
  <c r="S27" i="63"/>
  <c r="J49" i="63"/>
  <c r="I49" i="63"/>
  <c r="R49" i="63"/>
  <c r="Q49" i="63"/>
  <c r="L49" i="63"/>
  <c r="K49" i="63"/>
  <c r="T49" i="63"/>
  <c r="S49" i="63"/>
  <c r="J24" i="63"/>
  <c r="I24" i="63"/>
  <c r="R24" i="63"/>
  <c r="Q24" i="63"/>
  <c r="L24" i="63"/>
  <c r="K24" i="63"/>
  <c r="T24" i="63"/>
  <c r="S24" i="63"/>
  <c r="J46" i="63"/>
  <c r="I46" i="63"/>
  <c r="R46" i="63"/>
  <c r="Q46" i="63"/>
  <c r="L46" i="63"/>
  <c r="K46" i="63"/>
  <c r="T46" i="63"/>
  <c r="S46" i="63"/>
  <c r="J54" i="63"/>
  <c r="I54" i="63"/>
  <c r="R54" i="63"/>
  <c r="Q54" i="63"/>
  <c r="L54" i="63"/>
  <c r="K54" i="63"/>
  <c r="T54" i="63"/>
  <c r="S54" i="63"/>
  <c r="J60" i="63"/>
  <c r="I60" i="63"/>
  <c r="R60" i="63"/>
  <c r="Q60" i="63"/>
  <c r="L60" i="63"/>
  <c r="K60" i="63"/>
  <c r="T60" i="63"/>
  <c r="S60" i="63"/>
  <c r="J13" i="63"/>
  <c r="I13" i="63"/>
  <c r="R13" i="63"/>
  <c r="Q13" i="63"/>
  <c r="L13" i="63"/>
  <c r="K13" i="63"/>
  <c r="T13" i="63"/>
  <c r="S13" i="63"/>
  <c r="J44" i="63"/>
  <c r="I44" i="63"/>
  <c r="R44" i="63"/>
  <c r="Q44" i="63"/>
  <c r="L44" i="63"/>
  <c r="K44" i="63"/>
  <c r="T44" i="63"/>
  <c r="S44" i="63"/>
  <c r="J30" i="63"/>
  <c r="I30" i="63"/>
  <c r="R30" i="63"/>
  <c r="Q30" i="63"/>
  <c r="L30" i="63"/>
  <c r="K30" i="63"/>
  <c r="T30" i="63"/>
  <c r="S30" i="63"/>
  <c r="J37" i="63"/>
  <c r="I37" i="63"/>
  <c r="R37" i="63"/>
  <c r="Q37" i="63"/>
  <c r="L37" i="63"/>
  <c r="K37" i="63"/>
  <c r="T37" i="63"/>
  <c r="S37" i="63"/>
  <c r="J18" i="63"/>
  <c r="I18" i="63"/>
  <c r="R18" i="63"/>
  <c r="Q18" i="63"/>
  <c r="L18" i="63"/>
  <c r="K18" i="63"/>
  <c r="T18" i="63"/>
  <c r="S18" i="63"/>
  <c r="F103" i="60"/>
  <c r="S64" i="63" s="1"/>
  <c r="F99" i="60"/>
  <c r="K64" i="63" s="1"/>
  <c r="F102" i="60"/>
  <c r="Q64" i="63" s="1"/>
  <c r="J23" i="63"/>
  <c r="I23" i="63"/>
  <c r="R23" i="63"/>
  <c r="Q23" i="63"/>
  <c r="L23" i="63"/>
  <c r="K23" i="63"/>
  <c r="T23" i="63"/>
  <c r="S23" i="63"/>
  <c r="J38" i="63"/>
  <c r="I38" i="63"/>
  <c r="R38" i="63"/>
  <c r="Q38" i="63"/>
  <c r="L38" i="63"/>
  <c r="K38" i="63"/>
  <c r="T38" i="63"/>
  <c r="S38" i="63"/>
  <c r="J25" i="63"/>
  <c r="I25" i="63"/>
  <c r="R25" i="63"/>
  <c r="Q25" i="63"/>
  <c r="L25" i="63"/>
  <c r="K25" i="63"/>
  <c r="T25" i="63"/>
  <c r="S25" i="63"/>
  <c r="J61" i="63"/>
  <c r="I61" i="63"/>
  <c r="R61" i="63"/>
  <c r="Q61" i="63"/>
  <c r="L61" i="63"/>
  <c r="K61" i="63"/>
  <c r="T61" i="63"/>
  <c r="S61" i="63"/>
  <c r="J40" i="63"/>
  <c r="I40" i="63"/>
  <c r="R40" i="63"/>
  <c r="Q40" i="63"/>
  <c r="L40" i="63"/>
  <c r="K40" i="63"/>
  <c r="T40" i="63"/>
  <c r="S40" i="63"/>
  <c r="J11" i="63"/>
  <c r="I11" i="63"/>
  <c r="R11" i="63"/>
  <c r="Q11" i="63"/>
  <c r="L11" i="63"/>
  <c r="K11" i="63"/>
  <c r="T11" i="63"/>
  <c r="S11" i="63"/>
  <c r="J19" i="63"/>
  <c r="I19" i="63"/>
  <c r="R19" i="63"/>
  <c r="Q19" i="63"/>
  <c r="L19" i="63"/>
  <c r="K19" i="63"/>
  <c r="T19" i="63"/>
  <c r="S19" i="63"/>
  <c r="J29" i="63"/>
  <c r="I29" i="63"/>
  <c r="R29" i="63"/>
  <c r="Q29" i="63"/>
  <c r="L29" i="63"/>
  <c r="K29" i="63"/>
  <c r="T29" i="63"/>
  <c r="S29" i="63"/>
  <c r="J45" i="63"/>
  <c r="I45" i="63"/>
  <c r="R45" i="63"/>
  <c r="Q45" i="63"/>
  <c r="L45" i="63"/>
  <c r="K45" i="63"/>
  <c r="T45" i="63"/>
  <c r="S45" i="63"/>
  <c r="J53" i="63"/>
  <c r="I53" i="63"/>
  <c r="R53" i="63"/>
  <c r="Q53" i="63"/>
  <c r="L53" i="63"/>
  <c r="K53" i="63"/>
  <c r="T53" i="63"/>
  <c r="S53" i="63"/>
  <c r="J22" i="63"/>
  <c r="I22" i="63"/>
  <c r="R22" i="63"/>
  <c r="Q22" i="63"/>
  <c r="L22" i="63"/>
  <c r="K22" i="63"/>
  <c r="T22" i="63"/>
  <c r="S22" i="63"/>
  <c r="J48" i="63"/>
  <c r="I48" i="63"/>
  <c r="R48" i="63"/>
  <c r="Q48" i="63"/>
  <c r="L48" i="63"/>
  <c r="K48" i="63"/>
  <c r="T48" i="63"/>
  <c r="S48" i="63"/>
  <c r="J52" i="63"/>
  <c r="I52" i="63"/>
  <c r="R52" i="63"/>
  <c r="Q52" i="63"/>
  <c r="L52" i="63"/>
  <c r="K52" i="63"/>
  <c r="T52" i="63"/>
  <c r="S52" i="63"/>
  <c r="J55" i="63"/>
  <c r="I55" i="63"/>
  <c r="R55" i="63"/>
  <c r="Q55" i="63"/>
  <c r="L55" i="63"/>
  <c r="K55" i="63"/>
  <c r="T55" i="63"/>
  <c r="S55" i="63"/>
  <c r="J58" i="63"/>
  <c r="I58" i="63"/>
  <c r="R58" i="63"/>
  <c r="Q58" i="63"/>
  <c r="L58" i="63"/>
  <c r="K58" i="63"/>
  <c r="T58" i="63"/>
  <c r="S58" i="63"/>
  <c r="J62" i="63"/>
  <c r="I62" i="63"/>
  <c r="R62" i="63"/>
  <c r="Q62" i="63"/>
  <c r="L62" i="63"/>
  <c r="K62" i="63"/>
  <c r="T62" i="63"/>
  <c r="S62" i="63"/>
  <c r="J12" i="63"/>
  <c r="I12" i="63"/>
  <c r="R12" i="63"/>
  <c r="Q12" i="63"/>
  <c r="L12" i="63"/>
  <c r="K12" i="63"/>
  <c r="T12" i="63"/>
  <c r="S12" i="63"/>
  <c r="J41" i="63"/>
  <c r="I41" i="63"/>
  <c r="R41" i="63"/>
  <c r="Q41" i="63"/>
  <c r="L41" i="63"/>
  <c r="K41" i="63"/>
  <c r="T41" i="63"/>
  <c r="S41" i="63"/>
  <c r="J47" i="63"/>
  <c r="I47" i="63"/>
  <c r="R47" i="63"/>
  <c r="Q47" i="63"/>
  <c r="L47" i="63"/>
  <c r="K47" i="63"/>
  <c r="T47" i="63"/>
  <c r="S47" i="63"/>
  <c r="J15" i="63"/>
  <c r="I15" i="63"/>
  <c r="R15" i="63"/>
  <c r="Q15" i="63"/>
  <c r="L15" i="63"/>
  <c r="K15" i="63"/>
  <c r="T15" i="63"/>
  <c r="S15" i="63"/>
  <c r="J32" i="63"/>
  <c r="I32" i="63"/>
  <c r="R32" i="63"/>
  <c r="Q32" i="63"/>
  <c r="L32" i="63"/>
  <c r="K32" i="63"/>
  <c r="T32" i="63"/>
  <c r="S32" i="63"/>
  <c r="J10" i="63"/>
  <c r="I10" i="63"/>
  <c r="R10" i="63"/>
  <c r="Q10" i="63"/>
  <c r="L10" i="63"/>
  <c r="K10" i="63"/>
  <c r="T10" i="63"/>
  <c r="S10" i="63"/>
  <c r="J20" i="63"/>
  <c r="I20" i="63"/>
  <c r="R20" i="63"/>
  <c r="Q20" i="63"/>
  <c r="L20" i="63"/>
  <c r="K20" i="63"/>
  <c r="T20" i="63"/>
  <c r="S20" i="63"/>
  <c r="J35" i="63"/>
  <c r="I35" i="63"/>
  <c r="R35" i="63"/>
  <c r="Q35" i="63"/>
  <c r="L35" i="63"/>
  <c r="K35" i="63"/>
  <c r="T35" i="63"/>
  <c r="S35" i="63"/>
  <c r="J9" i="63"/>
  <c r="I9" i="63"/>
  <c r="R9" i="63"/>
  <c r="Q9" i="63"/>
  <c r="L9" i="63"/>
  <c r="K9" i="63"/>
  <c r="T9" i="63"/>
  <c r="S9" i="63"/>
  <c r="J28" i="63"/>
  <c r="I28" i="63"/>
  <c r="R28" i="63"/>
  <c r="Q28" i="63"/>
  <c r="L28" i="63"/>
  <c r="K28" i="63"/>
  <c r="T28" i="63"/>
  <c r="S28" i="63"/>
  <c r="J34" i="63"/>
  <c r="I34" i="63"/>
  <c r="R34" i="63"/>
  <c r="Q34" i="63"/>
  <c r="L34" i="63"/>
  <c r="K34" i="63"/>
  <c r="T34" i="63"/>
  <c r="S34" i="63"/>
  <c r="J36" i="63"/>
  <c r="I36" i="63"/>
  <c r="H36" i="63"/>
  <c r="G36" i="63"/>
  <c r="V36" i="63"/>
  <c r="U36" i="63"/>
  <c r="T36" i="63"/>
  <c r="S36" i="63"/>
  <c r="J63" i="63"/>
  <c r="I63" i="63"/>
  <c r="R63" i="63"/>
  <c r="Q63" i="63"/>
  <c r="L63" i="63"/>
  <c r="K63" i="63"/>
  <c r="T63" i="63"/>
  <c r="S63" i="63"/>
  <c r="J14" i="63"/>
  <c r="I14" i="63"/>
  <c r="R14" i="63"/>
  <c r="Q14" i="63"/>
  <c r="L14" i="63"/>
  <c r="K14" i="63"/>
  <c r="T14" i="63"/>
  <c r="S14" i="63"/>
  <c r="J31" i="63"/>
  <c r="I31" i="63"/>
  <c r="R31" i="63"/>
  <c r="Q31" i="63"/>
  <c r="L31" i="63"/>
  <c r="K31" i="63"/>
  <c r="T31" i="63"/>
  <c r="S31" i="63"/>
  <c r="J50" i="63"/>
  <c r="I50" i="63"/>
  <c r="R50" i="63"/>
  <c r="Q50" i="63"/>
  <c r="L50" i="63"/>
  <c r="K50" i="63"/>
  <c r="T50" i="63"/>
  <c r="S50" i="63"/>
  <c r="J56" i="63"/>
  <c r="I56" i="63"/>
  <c r="R56" i="63"/>
  <c r="Q56" i="63"/>
  <c r="L56" i="63"/>
  <c r="K56" i="63"/>
  <c r="T56" i="63"/>
  <c r="S56" i="63"/>
  <c r="J8" i="63"/>
  <c r="I8" i="63"/>
  <c r="R8" i="63"/>
  <c r="Q8" i="63"/>
  <c r="L8" i="63"/>
  <c r="K8" i="63"/>
  <c r="T8" i="63"/>
  <c r="S8" i="63"/>
  <c r="J43" i="63"/>
  <c r="I43" i="63"/>
  <c r="R43" i="63"/>
  <c r="Q43" i="63"/>
  <c r="L43" i="63"/>
  <c r="K43" i="63"/>
  <c r="T43" i="63"/>
  <c r="S43" i="63"/>
  <c r="J51" i="63"/>
  <c r="I51" i="63"/>
  <c r="R51" i="63"/>
  <c r="Q51" i="63"/>
  <c r="L51" i="63"/>
  <c r="K51" i="63"/>
  <c r="T51" i="63"/>
  <c r="S51" i="63"/>
  <c r="J16" i="63"/>
  <c r="I16" i="63"/>
  <c r="R16" i="63"/>
  <c r="Q16" i="63"/>
  <c r="L16" i="63"/>
  <c r="K16" i="63"/>
  <c r="T16" i="63"/>
  <c r="S16" i="63"/>
  <c r="J33" i="63"/>
  <c r="I33" i="63"/>
  <c r="R33" i="63"/>
  <c r="Q33" i="63"/>
  <c r="L33" i="63"/>
  <c r="K33" i="63"/>
  <c r="T33" i="63"/>
  <c r="S33" i="63"/>
  <c r="F14" i="30"/>
  <c r="K31" i="62" s="1"/>
  <c r="D34" i="63"/>
  <c r="D38" i="63"/>
  <c r="F14" i="43"/>
  <c r="K18" i="62" s="1"/>
  <c r="D21" i="63"/>
  <c r="F14" i="22"/>
  <c r="K39" i="62" s="1"/>
  <c r="D19" i="63"/>
  <c r="D45" i="63"/>
  <c r="F14" i="19"/>
  <c r="K42" i="62" s="1"/>
  <c r="D53" i="63"/>
  <c r="F14" i="42"/>
  <c r="K19" i="62" s="1"/>
  <c r="D22" i="63"/>
  <c r="F14" i="18"/>
  <c r="K43" i="62" s="1"/>
  <c r="F14" i="14"/>
  <c r="K47" i="62" s="1"/>
  <c r="D54" i="63"/>
  <c r="F14" i="13"/>
  <c r="K48" i="62" s="1"/>
  <c r="F14" i="54"/>
  <c r="K7" i="62" s="1"/>
  <c r="D10" i="63"/>
  <c r="D16" i="63"/>
  <c r="D20" i="63"/>
  <c r="D55" i="63"/>
  <c r="D56" i="63"/>
  <c r="D58" i="63"/>
  <c r="D60" i="63"/>
  <c r="F14" i="4"/>
  <c r="K57" i="62" s="1"/>
  <c r="F14" i="59"/>
  <c r="K59" i="62" s="1"/>
  <c r="D8" i="63"/>
  <c r="D12" i="63"/>
  <c r="D13" i="63"/>
  <c r="D41" i="63"/>
  <c r="D30" i="63"/>
  <c r="D33" i="63"/>
  <c r="F14" i="31"/>
  <c r="K30" i="62" s="1"/>
  <c r="F14" i="29"/>
  <c r="K32" i="62" s="1"/>
  <c r="D9" i="63"/>
  <c r="F14" i="46"/>
  <c r="K15" i="62" s="1"/>
  <c r="D18" i="63"/>
  <c r="F14" i="36"/>
  <c r="K25" i="62" s="1"/>
  <c r="H21" i="63"/>
  <c r="G21" i="63"/>
  <c r="V21" i="63"/>
  <c r="U21" i="63"/>
  <c r="P21" i="63"/>
  <c r="O21" i="63"/>
  <c r="H42" i="63"/>
  <c r="G42" i="63"/>
  <c r="V42" i="63"/>
  <c r="U42" i="63"/>
  <c r="P42" i="63"/>
  <c r="O42" i="63"/>
  <c r="H27" i="63"/>
  <c r="G27" i="63"/>
  <c r="V27" i="63"/>
  <c r="U27" i="63"/>
  <c r="P27" i="63"/>
  <c r="O27" i="63"/>
  <c r="H49" i="63"/>
  <c r="G49" i="63"/>
  <c r="V49" i="63"/>
  <c r="U49" i="63"/>
  <c r="P49" i="63"/>
  <c r="O49" i="63"/>
  <c r="H24" i="63"/>
  <c r="G24" i="63"/>
  <c r="V24" i="63"/>
  <c r="U24" i="63"/>
  <c r="P24" i="63"/>
  <c r="O24" i="63"/>
  <c r="H46" i="63"/>
  <c r="G46" i="63"/>
  <c r="V46" i="63"/>
  <c r="U46" i="63"/>
  <c r="P46" i="63"/>
  <c r="O46" i="63"/>
  <c r="H54" i="63"/>
  <c r="G54" i="63"/>
  <c r="V54" i="63"/>
  <c r="U54" i="63"/>
  <c r="P54" i="63"/>
  <c r="O54" i="63"/>
  <c r="H60" i="63"/>
  <c r="G60" i="63"/>
  <c r="V60" i="63"/>
  <c r="U60" i="63"/>
  <c r="P60" i="63"/>
  <c r="O60" i="63"/>
  <c r="H13" i="63"/>
  <c r="G13" i="63"/>
  <c r="V13" i="63"/>
  <c r="U13" i="63"/>
  <c r="P13" i="63"/>
  <c r="O13" i="63"/>
  <c r="H44" i="63"/>
  <c r="G44" i="63"/>
  <c r="V44" i="63"/>
  <c r="U44" i="63"/>
  <c r="P44" i="63"/>
  <c r="O44" i="63"/>
  <c r="H30" i="63"/>
  <c r="G30" i="63"/>
  <c r="V30" i="63"/>
  <c r="U30" i="63"/>
  <c r="P30" i="63"/>
  <c r="O30" i="63"/>
  <c r="H37" i="63"/>
  <c r="G37" i="63"/>
  <c r="V37" i="63"/>
  <c r="U37" i="63"/>
  <c r="P37" i="63"/>
  <c r="O37" i="63"/>
  <c r="H18" i="63"/>
  <c r="G18" i="63"/>
  <c r="V18" i="63"/>
  <c r="U18" i="63"/>
  <c r="P18" i="63"/>
  <c r="O18" i="63"/>
  <c r="F98" i="60"/>
  <c r="H23" i="63"/>
  <c r="G23" i="63"/>
  <c r="V23" i="63"/>
  <c r="U23" i="63"/>
  <c r="P23" i="63"/>
  <c r="O23" i="63"/>
  <c r="H38" i="63"/>
  <c r="G38" i="63"/>
  <c r="V38" i="63"/>
  <c r="U38" i="63"/>
  <c r="P38" i="63"/>
  <c r="O38" i="63"/>
  <c r="H25" i="63"/>
  <c r="G25" i="63"/>
  <c r="V25" i="63"/>
  <c r="U25" i="63"/>
  <c r="P25" i="63"/>
  <c r="O25" i="63"/>
  <c r="H61" i="63"/>
  <c r="G61" i="63"/>
  <c r="V61" i="63"/>
  <c r="U61" i="63"/>
  <c r="P61" i="63"/>
  <c r="O61" i="63"/>
  <c r="H40" i="63"/>
  <c r="G40" i="63"/>
  <c r="V40" i="63"/>
  <c r="U40" i="63"/>
  <c r="P40" i="63"/>
  <c r="O40" i="63"/>
  <c r="H11" i="63"/>
  <c r="G11" i="63"/>
  <c r="V11" i="63"/>
  <c r="U11" i="63"/>
  <c r="P11" i="63"/>
  <c r="O11" i="63"/>
  <c r="H19" i="63"/>
  <c r="G19" i="63"/>
  <c r="V19" i="63"/>
  <c r="U19" i="63"/>
  <c r="P19" i="63"/>
  <c r="O19" i="63"/>
  <c r="H29" i="63"/>
  <c r="G29" i="63"/>
  <c r="V29" i="63"/>
  <c r="U29" i="63"/>
  <c r="P29" i="63"/>
  <c r="O29" i="63"/>
  <c r="H45" i="63"/>
  <c r="G45" i="63"/>
  <c r="V45" i="63"/>
  <c r="U45" i="63"/>
  <c r="P45" i="63"/>
  <c r="O45" i="63"/>
  <c r="H53" i="63"/>
  <c r="G53" i="63"/>
  <c r="V53" i="63"/>
  <c r="U53" i="63"/>
  <c r="P53" i="63"/>
  <c r="O53" i="63"/>
  <c r="H22" i="63"/>
  <c r="G22" i="63"/>
  <c r="V22" i="63"/>
  <c r="U22" i="63"/>
  <c r="P22" i="63"/>
  <c r="O22" i="63"/>
  <c r="H48" i="63"/>
  <c r="G48" i="63"/>
  <c r="V48" i="63"/>
  <c r="U48" i="63"/>
  <c r="P48" i="63"/>
  <c r="O48" i="63"/>
  <c r="H52" i="63"/>
  <c r="G52" i="63"/>
  <c r="V52" i="63"/>
  <c r="U52" i="63"/>
  <c r="P52" i="63"/>
  <c r="O52" i="63"/>
  <c r="H55" i="63"/>
  <c r="G55" i="63"/>
  <c r="V55" i="63"/>
  <c r="U55" i="63"/>
  <c r="P55" i="63"/>
  <c r="O55" i="63"/>
  <c r="H58" i="63"/>
  <c r="G58" i="63"/>
  <c r="V58" i="63"/>
  <c r="U58" i="63"/>
  <c r="P58" i="63"/>
  <c r="O58" i="63"/>
  <c r="H62" i="63"/>
  <c r="G62" i="63"/>
  <c r="V62" i="63"/>
  <c r="U62" i="63"/>
  <c r="P62" i="63"/>
  <c r="O62" i="63"/>
  <c r="H12" i="63"/>
  <c r="G12" i="63"/>
  <c r="V12" i="63"/>
  <c r="U12" i="63"/>
  <c r="P12" i="63"/>
  <c r="O12" i="63"/>
  <c r="H41" i="63"/>
  <c r="G41" i="63"/>
  <c r="V41" i="63"/>
  <c r="U41" i="63"/>
  <c r="P41" i="63"/>
  <c r="O41" i="63"/>
  <c r="H47" i="63"/>
  <c r="G47" i="63"/>
  <c r="V47" i="63"/>
  <c r="U47" i="63"/>
  <c r="P47" i="63"/>
  <c r="O47" i="63"/>
  <c r="H15" i="63"/>
  <c r="G15" i="63"/>
  <c r="V15" i="63"/>
  <c r="U15" i="63"/>
  <c r="P15" i="63"/>
  <c r="O15" i="63"/>
  <c r="H32" i="63"/>
  <c r="G32" i="63"/>
  <c r="V32" i="63"/>
  <c r="U32" i="63"/>
  <c r="P32" i="63"/>
  <c r="O32" i="63"/>
  <c r="H10" i="63"/>
  <c r="G10" i="63"/>
  <c r="V10" i="63"/>
  <c r="U10" i="63"/>
  <c r="P10" i="63"/>
  <c r="O10" i="63"/>
  <c r="H20" i="63"/>
  <c r="G20" i="63"/>
  <c r="V20" i="63"/>
  <c r="U20" i="63"/>
  <c r="P20" i="63"/>
  <c r="O20" i="63"/>
  <c r="H35" i="63"/>
  <c r="G35" i="63"/>
  <c r="V35" i="63"/>
  <c r="U35" i="63"/>
  <c r="P35" i="63"/>
  <c r="O35" i="63"/>
  <c r="H9" i="63"/>
  <c r="G9" i="63"/>
  <c r="V9" i="63"/>
  <c r="U9" i="63"/>
  <c r="P9" i="63"/>
  <c r="O9" i="63"/>
  <c r="H28" i="63"/>
  <c r="G28" i="63"/>
  <c r="V28" i="63"/>
  <c r="U28" i="63"/>
  <c r="P28" i="63"/>
  <c r="O28" i="63"/>
  <c r="H34" i="63"/>
  <c r="G34" i="63"/>
  <c r="V34" i="63"/>
  <c r="U34" i="63"/>
  <c r="P34" i="63"/>
  <c r="O34" i="63"/>
  <c r="L36" i="63"/>
  <c r="K36" i="63"/>
  <c r="R36" i="63"/>
  <c r="Q36" i="63"/>
  <c r="P36" i="63"/>
  <c r="O36" i="63"/>
  <c r="H63" i="63"/>
  <c r="G63" i="63"/>
  <c r="V63" i="63"/>
  <c r="U63" i="63"/>
  <c r="P63" i="63"/>
  <c r="O63" i="63"/>
  <c r="H14" i="63"/>
  <c r="G14" i="63"/>
  <c r="V14" i="63"/>
  <c r="U14" i="63"/>
  <c r="P14" i="63"/>
  <c r="O14" i="63"/>
  <c r="H31" i="63"/>
  <c r="G31" i="63"/>
  <c r="V31" i="63"/>
  <c r="U31" i="63"/>
  <c r="P31" i="63"/>
  <c r="O31" i="63"/>
  <c r="H50" i="63"/>
  <c r="G50" i="63"/>
  <c r="V50" i="63"/>
  <c r="U50" i="63"/>
  <c r="P50" i="63"/>
  <c r="O50" i="63"/>
  <c r="H56" i="63"/>
  <c r="G56" i="63"/>
  <c r="V56" i="63"/>
  <c r="U56" i="63"/>
  <c r="P56" i="63"/>
  <c r="O56" i="63"/>
  <c r="H8" i="63"/>
  <c r="G8" i="63"/>
  <c r="V8" i="63"/>
  <c r="U8" i="63"/>
  <c r="P8" i="63"/>
  <c r="O8" i="63"/>
  <c r="H43" i="63"/>
  <c r="G43" i="63"/>
  <c r="V43" i="63"/>
  <c r="U43" i="63"/>
  <c r="P43" i="63"/>
  <c r="O43" i="63"/>
  <c r="H51" i="63"/>
  <c r="G51" i="63"/>
  <c r="V51" i="63"/>
  <c r="U51" i="63"/>
  <c r="P51" i="63"/>
  <c r="O51" i="63"/>
  <c r="H16" i="63"/>
  <c r="G16" i="63"/>
  <c r="V16" i="63"/>
  <c r="U16" i="63"/>
  <c r="P16" i="63"/>
  <c r="O16" i="63"/>
  <c r="H33" i="63"/>
  <c r="G33" i="63"/>
  <c r="V33" i="63"/>
  <c r="U33" i="63"/>
  <c r="P33" i="63"/>
  <c r="O33" i="63"/>
  <c r="W54" i="62"/>
  <c r="D57" i="63"/>
  <c r="W21" i="62"/>
  <c r="W47" i="62"/>
  <c r="W41" i="62"/>
  <c r="W44" i="62"/>
  <c r="W29" i="62"/>
  <c r="W26" i="62"/>
  <c r="W46" i="62"/>
  <c r="W34" i="62"/>
  <c r="W4" i="62"/>
  <c r="D7" i="63"/>
  <c r="F26" i="41"/>
  <c r="F26" i="28"/>
  <c r="F26" i="3"/>
  <c r="F26" i="1"/>
  <c r="F26" i="22"/>
  <c r="D36" i="65"/>
  <c r="E36" i="65" s="1"/>
  <c r="F33" i="25"/>
  <c r="AD36" i="62" s="1"/>
  <c r="D54" i="65"/>
  <c r="E54" i="65" s="1"/>
  <c r="AD54" i="62"/>
  <c r="AD4" i="62"/>
  <c r="D4" i="65"/>
  <c r="C7" i="63"/>
  <c r="B20" i="62"/>
  <c r="E33" i="41"/>
  <c r="F33" i="41" s="1"/>
  <c r="B31" i="62"/>
  <c r="E33" i="30"/>
  <c r="B35" i="62"/>
  <c r="E33" i="26"/>
  <c r="F33" i="26" s="1"/>
  <c r="B18" i="62"/>
  <c r="E33" i="43"/>
  <c r="B22" i="62"/>
  <c r="E33" i="39"/>
  <c r="F33" i="39" s="1"/>
  <c r="B33" i="62"/>
  <c r="E33" i="28"/>
  <c r="F33" i="28" s="1"/>
  <c r="B58" i="62"/>
  <c r="E33" i="3"/>
  <c r="F33" i="3" s="1"/>
  <c r="B60" i="62"/>
  <c r="E33" i="1"/>
  <c r="E33" i="24"/>
  <c r="F33" i="24" s="1"/>
  <c r="B37" i="62"/>
  <c r="B39" i="62"/>
  <c r="E33" i="22"/>
  <c r="F33" i="22" s="1"/>
  <c r="E33" i="33"/>
  <c r="F33" i="33" s="1"/>
  <c r="B28" i="62"/>
  <c r="B51" i="62"/>
  <c r="E33" i="10"/>
  <c r="F33" i="10" s="1"/>
  <c r="E33" i="48"/>
  <c r="F33" i="48" s="1"/>
  <c r="B13" i="62"/>
  <c r="B17" i="62"/>
  <c r="E33" i="44"/>
  <c r="F33" i="44" s="1"/>
  <c r="B46" i="62"/>
  <c r="E33" i="15"/>
  <c r="F33" i="15" s="1"/>
  <c r="B50" i="62"/>
  <c r="E33" i="11"/>
  <c r="B52" i="62"/>
  <c r="E33" i="9"/>
  <c r="F33" i="9" s="1"/>
  <c r="B53" i="62"/>
  <c r="E33" i="8"/>
  <c r="B57" i="62"/>
  <c r="E33" i="4"/>
  <c r="F33" i="4" s="1"/>
  <c r="B5" i="62"/>
  <c r="E33" i="56"/>
  <c r="B9" i="62"/>
  <c r="E33" i="52"/>
  <c r="F33" i="52" s="1"/>
  <c r="E33" i="46"/>
  <c r="F33" i="46" s="1"/>
  <c r="B15" i="62"/>
  <c r="B8" i="62"/>
  <c r="E33" i="53"/>
  <c r="F33" i="53" s="1"/>
  <c r="E33" i="50"/>
  <c r="F33" i="50" s="1"/>
  <c r="B11" i="62"/>
  <c r="E33" i="37"/>
  <c r="F33" i="37" s="1"/>
  <c r="B24" i="62"/>
  <c r="B19" i="62"/>
  <c r="E33" i="42"/>
  <c r="F33" i="42" s="1"/>
  <c r="B21" i="62"/>
  <c r="E33" i="40"/>
  <c r="F33" i="40" s="1"/>
  <c r="B43" i="62"/>
  <c r="E33" i="18"/>
  <c r="F33" i="18" s="1"/>
  <c r="B47" i="62"/>
  <c r="E33" i="14"/>
  <c r="F33" i="14" s="1"/>
  <c r="B41" i="62"/>
  <c r="E33" i="20"/>
  <c r="F33" i="20" s="1"/>
  <c r="B44" i="62"/>
  <c r="E33" i="17"/>
  <c r="F33" i="17" s="1"/>
  <c r="B48" i="62"/>
  <c r="E33" i="13"/>
  <c r="F33" i="13" s="1"/>
  <c r="E33" i="49"/>
  <c r="F33" i="49" s="1"/>
  <c r="B12" i="62"/>
  <c r="E33" i="32"/>
  <c r="F33" i="32" s="1"/>
  <c r="B29" i="62"/>
  <c r="B7" i="62"/>
  <c r="E33" i="54"/>
  <c r="F33" i="54" s="1"/>
  <c r="E33" i="36"/>
  <c r="F33" i="36" s="1"/>
  <c r="B25" i="62"/>
  <c r="E33" i="45"/>
  <c r="F33" i="45" s="1"/>
  <c r="B16" i="62"/>
  <c r="E33" i="35"/>
  <c r="F33" i="35" s="1"/>
  <c r="B26" i="62"/>
  <c r="B42" i="62"/>
  <c r="E33" i="19"/>
  <c r="F33" i="19" s="1"/>
  <c r="B45" i="62"/>
  <c r="E33" i="16"/>
  <c r="F33" i="16" s="1"/>
  <c r="B49" i="62"/>
  <c r="E33" i="12"/>
  <c r="F33" i="12" s="1"/>
  <c r="B55" i="62"/>
  <c r="E33" i="6"/>
  <c r="F33" i="6" s="1"/>
  <c r="B59" i="62"/>
  <c r="E33" i="59"/>
  <c r="F33" i="59" s="1"/>
  <c r="E33" i="51"/>
  <c r="F33" i="51" s="1"/>
  <c r="B10" i="62"/>
  <c r="B38" i="62"/>
  <c r="E33" i="23"/>
  <c r="F33" i="23" s="1"/>
  <c r="B40" i="62"/>
  <c r="E33" i="21"/>
  <c r="F33" i="21" s="1"/>
  <c r="E33" i="34"/>
  <c r="F33" i="34" s="1"/>
  <c r="B27" i="62"/>
  <c r="B30" i="62"/>
  <c r="E33" i="31"/>
  <c r="F33" i="31" s="1"/>
  <c r="B32" i="62"/>
  <c r="E33" i="29"/>
  <c r="F33" i="29" s="1"/>
  <c r="B34" i="62"/>
  <c r="E33" i="27"/>
  <c r="F33" i="27" s="1"/>
  <c r="E33" i="55"/>
  <c r="F33" i="55" s="1"/>
  <c r="B6" i="62"/>
  <c r="E33" i="60"/>
  <c r="V64" i="63" l="1"/>
  <c r="M63" i="62"/>
  <c r="M62" i="62"/>
  <c r="M65" i="62"/>
  <c r="M64" i="62"/>
  <c r="Y62" i="62"/>
  <c r="Y63" i="62"/>
  <c r="Y65" i="62"/>
  <c r="Y64" i="62"/>
  <c r="G62" i="62"/>
  <c r="G63" i="62"/>
  <c r="G64" i="62"/>
  <c r="G65" i="62"/>
  <c r="P63" i="62"/>
  <c r="P64" i="62"/>
  <c r="P62" i="62"/>
  <c r="P65" i="62"/>
  <c r="H62" i="62"/>
  <c r="H63" i="62"/>
  <c r="H64" i="62"/>
  <c r="H65" i="62"/>
  <c r="I62" i="62"/>
  <c r="I63" i="62"/>
  <c r="I64" i="62"/>
  <c r="I65" i="62"/>
  <c r="T62" i="62"/>
  <c r="T63" i="62"/>
  <c r="T65" i="62"/>
  <c r="T64" i="62"/>
  <c r="S63" i="62"/>
  <c r="S62" i="62"/>
  <c r="S65" i="62"/>
  <c r="S64" i="62"/>
  <c r="K63" i="62"/>
  <c r="K64" i="62"/>
  <c r="K62" i="62"/>
  <c r="K65" i="62"/>
  <c r="Z63" i="62"/>
  <c r="Z62" i="62"/>
  <c r="Z65" i="62"/>
  <c r="Z64" i="62"/>
  <c r="C63" i="62"/>
  <c r="C62" i="62"/>
  <c r="C65" i="62"/>
  <c r="C64" i="62"/>
  <c r="U63" i="62"/>
  <c r="U62" i="62"/>
  <c r="U65" i="62"/>
  <c r="U64" i="62"/>
  <c r="R62" i="62"/>
  <c r="R63" i="62"/>
  <c r="R64" i="62"/>
  <c r="R65" i="62"/>
  <c r="L63" i="62"/>
  <c r="L62" i="62"/>
  <c r="L65" i="62"/>
  <c r="L64" i="62"/>
  <c r="N62" i="62"/>
  <c r="N63" i="62"/>
  <c r="N65" i="62"/>
  <c r="N64" i="62"/>
  <c r="O62" i="62"/>
  <c r="O63" i="62"/>
  <c r="O64" i="62"/>
  <c r="O65" i="62"/>
  <c r="E63" i="62"/>
  <c r="E62" i="62"/>
  <c r="E65" i="62"/>
  <c r="E64" i="62"/>
  <c r="Q62" i="62"/>
  <c r="Q63" i="62"/>
  <c r="Q65" i="62"/>
  <c r="Q64" i="62"/>
  <c r="D62" i="62"/>
  <c r="D63" i="62"/>
  <c r="D64" i="62"/>
  <c r="D65" i="62"/>
  <c r="J63" i="62"/>
  <c r="J64" i="62"/>
  <c r="J62" i="62"/>
  <c r="J65" i="62"/>
  <c r="X62" i="62"/>
  <c r="X63" i="62"/>
  <c r="X64" i="62"/>
  <c r="X65" i="62"/>
  <c r="AA62" i="62"/>
  <c r="AA63" i="62"/>
  <c r="AA65" i="62"/>
  <c r="AA64" i="62"/>
  <c r="F63" i="62"/>
  <c r="F64" i="62"/>
  <c r="F62" i="62"/>
  <c r="F65" i="62"/>
  <c r="F105" i="60"/>
  <c r="I64" i="63"/>
  <c r="V40" i="62"/>
  <c r="V63" i="62" s="1"/>
  <c r="P64" i="63"/>
  <c r="T64" i="63"/>
  <c r="L64" i="63"/>
  <c r="R64" i="63"/>
  <c r="J64" i="63"/>
  <c r="W60" i="62"/>
  <c r="D63" i="63"/>
  <c r="W33" i="62"/>
  <c r="D36" i="63"/>
  <c r="W39" i="62"/>
  <c r="D42" i="63"/>
  <c r="W58" i="62"/>
  <c r="D61" i="63"/>
  <c r="W20" i="62"/>
  <c r="W64" i="62" s="1"/>
  <c r="D23" i="63"/>
  <c r="W63" i="62"/>
  <c r="C8" i="63"/>
  <c r="F33" i="56"/>
  <c r="C56" i="63"/>
  <c r="F33" i="8"/>
  <c r="C53" i="63"/>
  <c r="F33" i="11"/>
  <c r="C63" i="63"/>
  <c r="F33" i="1"/>
  <c r="C21" i="63"/>
  <c r="F33" i="43"/>
  <c r="C34" i="63"/>
  <c r="F33" i="30"/>
  <c r="AD34" i="62"/>
  <c r="D34" i="65"/>
  <c r="E34" i="65" s="1"/>
  <c r="AD40" i="62"/>
  <c r="D40" i="65"/>
  <c r="E40" i="65" s="1"/>
  <c r="AD55" i="62"/>
  <c r="D55" i="65"/>
  <c r="E55" i="65" s="1"/>
  <c r="AD45" i="62"/>
  <c r="D45" i="65"/>
  <c r="E45" i="65" s="1"/>
  <c r="AD48" i="62"/>
  <c r="D48" i="65"/>
  <c r="E48" i="65" s="1"/>
  <c r="AD41" i="62"/>
  <c r="D41" i="65"/>
  <c r="E41" i="65" s="1"/>
  <c r="AD43" i="62"/>
  <c r="D43" i="65"/>
  <c r="E43" i="65" s="1"/>
  <c r="AD19" i="62"/>
  <c r="D19" i="65"/>
  <c r="E19" i="65" s="1"/>
  <c r="AD8" i="62"/>
  <c r="D8" i="65"/>
  <c r="E8" i="65" s="1"/>
  <c r="AD9" i="62"/>
  <c r="D9" i="65"/>
  <c r="E9" i="65" s="1"/>
  <c r="AD57" i="62"/>
  <c r="D57" i="65"/>
  <c r="E57" i="65" s="1"/>
  <c r="AD52" i="62"/>
  <c r="D52" i="65"/>
  <c r="E52" i="65" s="1"/>
  <c r="AD46" i="62"/>
  <c r="D46" i="65"/>
  <c r="E46" i="65" s="1"/>
  <c r="AD51" i="62"/>
  <c r="D51" i="65"/>
  <c r="E51" i="65" s="1"/>
  <c r="AD58" i="62"/>
  <c r="D58" i="65"/>
  <c r="E58" i="65" s="1"/>
  <c r="AD22" i="62"/>
  <c r="D22" i="65"/>
  <c r="E22" i="65" s="1"/>
  <c r="AD35" i="62"/>
  <c r="D35" i="65"/>
  <c r="E35" i="65" s="1"/>
  <c r="AD20" i="62"/>
  <c r="D20" i="65"/>
  <c r="E20" i="65" s="1"/>
  <c r="AD6" i="62"/>
  <c r="D6" i="65"/>
  <c r="E6" i="65" s="1"/>
  <c r="AD27" i="62"/>
  <c r="D27" i="65"/>
  <c r="E27" i="65" s="1"/>
  <c r="AD10" i="62"/>
  <c r="D10" i="65"/>
  <c r="E10" i="65" s="1"/>
  <c r="AD26" i="62"/>
  <c r="D26" i="65"/>
  <c r="E26" i="65" s="1"/>
  <c r="AD16" i="62"/>
  <c r="D16" i="65"/>
  <c r="E16" i="65" s="1"/>
  <c r="AD25" i="62"/>
  <c r="D25" i="65"/>
  <c r="E25" i="65" s="1"/>
  <c r="AD29" i="62"/>
  <c r="D29" i="65"/>
  <c r="E29" i="65" s="1"/>
  <c r="AD12" i="62"/>
  <c r="D12" i="65"/>
  <c r="E12" i="65" s="1"/>
  <c r="AD24" i="62"/>
  <c r="D24" i="65"/>
  <c r="E24" i="65" s="1"/>
  <c r="AD11" i="62"/>
  <c r="D11" i="65"/>
  <c r="E11" i="65" s="1"/>
  <c r="AD15" i="62"/>
  <c r="D15" i="65"/>
  <c r="E15" i="65" s="1"/>
  <c r="AD13" i="62"/>
  <c r="D13" i="65"/>
  <c r="E13" i="65" s="1"/>
  <c r="AD28" i="62"/>
  <c r="D28" i="65"/>
  <c r="E28" i="65" s="1"/>
  <c r="AD37" i="62"/>
  <c r="D37" i="65"/>
  <c r="E37" i="65" s="1"/>
  <c r="C37" i="63"/>
  <c r="C30" i="63"/>
  <c r="C44" i="63"/>
  <c r="C29" i="63"/>
  <c r="C61" i="63"/>
  <c r="C9" i="63"/>
  <c r="C43" i="63"/>
  <c r="C12" i="63"/>
  <c r="C60" i="63"/>
  <c r="C48" i="63"/>
  <c r="C27" i="63"/>
  <c r="C40" i="63"/>
  <c r="C16" i="63"/>
  <c r="C32" i="63"/>
  <c r="C51" i="63"/>
  <c r="C54" i="63"/>
  <c r="C46" i="63"/>
  <c r="C49" i="63"/>
  <c r="C23" i="63"/>
  <c r="AD32" i="62"/>
  <c r="D32" i="65"/>
  <c r="E32" i="65" s="1"/>
  <c r="AD30" i="62"/>
  <c r="D30" i="65"/>
  <c r="E30" i="65" s="1"/>
  <c r="AD38" i="62"/>
  <c r="D38" i="65"/>
  <c r="E38" i="65" s="1"/>
  <c r="AD59" i="62"/>
  <c r="D59" i="65"/>
  <c r="E59" i="65" s="1"/>
  <c r="AD49" i="62"/>
  <c r="D49" i="65"/>
  <c r="E49" i="65" s="1"/>
  <c r="AD42" i="62"/>
  <c r="D42" i="65"/>
  <c r="E42" i="65" s="1"/>
  <c r="AD7" i="62"/>
  <c r="D7" i="65"/>
  <c r="E7" i="65" s="1"/>
  <c r="AD44" i="62"/>
  <c r="D44" i="65"/>
  <c r="E44" i="65" s="1"/>
  <c r="AD47" i="62"/>
  <c r="D47" i="65"/>
  <c r="E47" i="65" s="1"/>
  <c r="AD21" i="62"/>
  <c r="D21" i="65"/>
  <c r="E21" i="65" s="1"/>
  <c r="AD5" i="62"/>
  <c r="D5" i="65"/>
  <c r="E5" i="65" s="1"/>
  <c r="AD53" i="62"/>
  <c r="D53" i="65"/>
  <c r="E53" i="65" s="1"/>
  <c r="AD50" i="62"/>
  <c r="D50" i="65"/>
  <c r="E50" i="65" s="1"/>
  <c r="AD17" i="62"/>
  <c r="D17" i="65"/>
  <c r="E17" i="65" s="1"/>
  <c r="AD39" i="62"/>
  <c r="D39" i="65"/>
  <c r="E39" i="65" s="1"/>
  <c r="AD60" i="62"/>
  <c r="D60" i="65"/>
  <c r="E60" i="65" s="1"/>
  <c r="AD33" i="62"/>
  <c r="D33" i="65"/>
  <c r="E33" i="65" s="1"/>
  <c r="AD18" i="62"/>
  <c r="D18" i="65"/>
  <c r="E18" i="65" s="1"/>
  <c r="AD31" i="62"/>
  <c r="D31" i="65"/>
  <c r="E31" i="65" s="1"/>
  <c r="C18" i="63"/>
  <c r="C33" i="63"/>
  <c r="C41" i="63"/>
  <c r="C11" i="63"/>
  <c r="C22" i="63"/>
  <c r="C45" i="63"/>
  <c r="C19" i="63"/>
  <c r="C36" i="63"/>
  <c r="C38" i="63"/>
  <c r="C28" i="63"/>
  <c r="C35" i="63"/>
  <c r="C13" i="63"/>
  <c r="C62" i="63"/>
  <c r="C58" i="63"/>
  <c r="C55" i="63"/>
  <c r="C31" i="63"/>
  <c r="C14" i="63"/>
  <c r="C20" i="63"/>
  <c r="C10" i="63"/>
  <c r="C15" i="63"/>
  <c r="C47" i="63"/>
  <c r="C50" i="63"/>
  <c r="C24" i="63"/>
  <c r="C42" i="63"/>
  <c r="C25" i="63"/>
  <c r="C52" i="63"/>
  <c r="E4" i="65"/>
  <c r="B65" i="62"/>
  <c r="C64" i="63"/>
  <c r="B63" i="62"/>
  <c r="B64" i="62"/>
  <c r="B62" i="62"/>
  <c r="W62" i="62" l="1"/>
  <c r="W65" i="62"/>
  <c r="V65" i="62"/>
  <c r="V64" i="62"/>
  <c r="F30" i="60"/>
  <c r="F24" i="60"/>
  <c r="F20" i="60"/>
  <c r="F16" i="60"/>
  <c r="F12" i="60"/>
  <c r="F8" i="60"/>
  <c r="F28" i="60"/>
  <c r="F22" i="60"/>
  <c r="F18" i="60"/>
  <c r="F14" i="60"/>
  <c r="F10" i="60"/>
  <c r="F6" i="60"/>
  <c r="F5" i="60"/>
  <c r="F9" i="60"/>
  <c r="F13" i="60"/>
  <c r="F17" i="60"/>
  <c r="F21" i="60"/>
  <c r="F25" i="60"/>
  <c r="F29" i="60"/>
  <c r="F7" i="60"/>
  <c r="F11" i="60"/>
  <c r="F15" i="60"/>
  <c r="F19" i="60"/>
  <c r="F23" i="60"/>
  <c r="F27" i="60"/>
  <c r="F26" i="60"/>
  <c r="F33" i="60"/>
  <c r="AD61" i="62" s="1"/>
  <c r="V62" i="62"/>
  <c r="H64" i="63"/>
  <c r="AD65" i="62"/>
  <c r="AD64" i="62"/>
  <c r="AD63" i="62"/>
  <c r="AD62" i="62"/>
  <c r="D61" i="65"/>
  <c r="B61" i="65"/>
  <c r="C61" i="65" s="1"/>
  <c r="T61" i="62" l="1"/>
  <c r="D61" i="62"/>
  <c r="N61" i="62"/>
  <c r="K61" i="62"/>
  <c r="M61" i="62"/>
  <c r="X61" i="62"/>
  <c r="P61" i="62"/>
  <c r="H61" i="62"/>
  <c r="Z61" i="62"/>
  <c r="R61" i="62"/>
  <c r="J61" i="62"/>
  <c r="B61" i="62"/>
  <c r="G61" i="62"/>
  <c r="O61" i="62"/>
  <c r="Y61" i="62"/>
  <c r="I61" i="62"/>
  <c r="Q61" i="62"/>
  <c r="AA61" i="62"/>
  <c r="W61" i="62"/>
  <c r="L61" i="62"/>
  <c r="V61" i="62"/>
  <c r="F61" i="62"/>
  <c r="C61" i="62"/>
  <c r="S61" i="62"/>
  <c r="E61" i="62"/>
  <c r="U61" i="62"/>
  <c r="D64" i="63"/>
  <c r="E61" i="65"/>
  <c r="D62" i="64" l="1"/>
  <c r="E62" i="64" s="1"/>
  <c r="D60" i="64"/>
  <c r="E60" i="64" s="1"/>
  <c r="D58" i="64"/>
  <c r="E58" i="64" s="1"/>
  <c r="D56" i="64"/>
  <c r="E56" i="64" s="1"/>
  <c r="D54" i="64"/>
  <c r="E54" i="64" s="1"/>
  <c r="D52" i="64"/>
  <c r="E52" i="64" s="1"/>
  <c r="D50" i="64"/>
  <c r="E50" i="64" s="1"/>
  <c r="D48" i="64"/>
  <c r="E48" i="64" s="1"/>
  <c r="D46" i="64"/>
  <c r="E46" i="64" s="1"/>
  <c r="D44" i="64"/>
  <c r="E44" i="64" s="1"/>
  <c r="D42" i="64"/>
  <c r="E42" i="64" s="1"/>
  <c r="D40" i="64"/>
  <c r="E40" i="64" s="1"/>
  <c r="D38" i="64"/>
  <c r="E38" i="64" s="1"/>
  <c r="D36" i="64"/>
  <c r="E36" i="64" s="1"/>
  <c r="D34" i="64"/>
  <c r="E34" i="64" s="1"/>
  <c r="D32" i="64"/>
  <c r="E32" i="64" s="1"/>
  <c r="D30" i="64"/>
  <c r="E30" i="64" s="1"/>
  <c r="D28" i="64"/>
  <c r="E28" i="64" s="1"/>
  <c r="D26" i="64"/>
  <c r="E26" i="64" s="1"/>
  <c r="D24" i="64"/>
  <c r="E24" i="64" s="1"/>
  <c r="D22" i="64"/>
  <c r="E22" i="64" s="1"/>
  <c r="D20" i="64"/>
  <c r="E20" i="64" s="1"/>
  <c r="D18" i="64"/>
  <c r="E18" i="64" s="1"/>
  <c r="D16" i="64"/>
  <c r="E16" i="64" s="1"/>
  <c r="D14" i="64"/>
  <c r="E14" i="64" s="1"/>
  <c r="D12" i="64"/>
  <c r="E12" i="64" s="1"/>
  <c r="D10" i="64"/>
  <c r="E10" i="64" s="1"/>
  <c r="D8" i="64"/>
  <c r="E8" i="64" s="1"/>
  <c r="D61" i="64"/>
  <c r="E61" i="64" s="1"/>
  <c r="D59" i="64"/>
  <c r="E59" i="64" s="1"/>
  <c r="D57" i="64"/>
  <c r="E57" i="64" s="1"/>
  <c r="D55" i="64"/>
  <c r="E55" i="64" s="1"/>
  <c r="D53" i="64"/>
  <c r="E53" i="64" s="1"/>
  <c r="D51" i="64"/>
  <c r="E51" i="64" s="1"/>
  <c r="D49" i="64"/>
  <c r="E49" i="64" s="1"/>
  <c r="D47" i="64"/>
  <c r="E47" i="64" s="1"/>
  <c r="D45" i="64"/>
  <c r="E45" i="64" s="1"/>
  <c r="D43" i="64"/>
  <c r="E43" i="64" s="1"/>
  <c r="D41" i="64"/>
  <c r="E41" i="64" s="1"/>
  <c r="D39" i="64"/>
  <c r="E39" i="64" s="1"/>
  <c r="D37" i="64"/>
  <c r="E37" i="64" s="1"/>
  <c r="D35" i="64"/>
  <c r="E35" i="64" s="1"/>
  <c r="D33" i="64"/>
  <c r="E33" i="64" s="1"/>
  <c r="D31" i="64"/>
  <c r="E31" i="64" s="1"/>
  <c r="D29" i="64"/>
  <c r="E29" i="64" s="1"/>
  <c r="D27" i="64"/>
  <c r="E27" i="64" s="1"/>
  <c r="D25" i="64"/>
  <c r="E25" i="64" s="1"/>
  <c r="D23" i="64"/>
  <c r="E23" i="64" s="1"/>
  <c r="D21" i="64"/>
  <c r="E21" i="64" s="1"/>
  <c r="D19" i="64"/>
  <c r="E19" i="64" s="1"/>
  <c r="D17" i="64"/>
  <c r="E17" i="64" s="1"/>
  <c r="D15" i="64"/>
  <c r="E15" i="64" s="1"/>
  <c r="D13" i="64"/>
  <c r="E13" i="64" s="1"/>
  <c r="D11" i="64"/>
  <c r="E11" i="64" s="1"/>
  <c r="D9" i="64"/>
  <c r="E9" i="64" s="1"/>
  <c r="D7" i="64"/>
  <c r="E7" i="64" s="1"/>
  <c r="C63" i="64" l="1"/>
  <c r="D63" i="64" s="1"/>
  <c r="E63" i="64" s="1"/>
  <c r="D6" i="64"/>
  <c r="E6" i="64" s="1"/>
</calcChain>
</file>

<file path=xl/connections.xml><?xml version="1.0" encoding="utf-8"?>
<connections xmlns="http://schemas.openxmlformats.org/spreadsheetml/2006/main">
  <connection id="1" keepAlive="1" name="Broadway AP_FRP_RFOE CCSurvey" type="5" refreshedVersion="4" deleted="1" background="1" saveData="1">
    <dbPr connection="" command="" commandType="3"/>
  </connection>
</connections>
</file>

<file path=xl/sharedStrings.xml><?xml version="1.0" encoding="utf-8"?>
<sst xmlns="http://schemas.openxmlformats.org/spreadsheetml/2006/main" count="9605" uniqueCount="1148">
  <si>
    <t>Agriculture</t>
  </si>
  <si>
    <t>Architecture and Precision Production Trades</t>
  </si>
  <si>
    <t>Biology, Physical Sciences, and Science Technology</t>
  </si>
  <si>
    <t>Business Management, Marketing, and Administrative Services</t>
  </si>
  <si>
    <t>Career Pilot</t>
  </si>
  <si>
    <t>Communications</t>
  </si>
  <si>
    <t>Computer and Information Sciences</t>
  </si>
  <si>
    <t>Construction Trades</t>
  </si>
  <si>
    <t>Consumer and Homemaking Education</t>
  </si>
  <si>
    <t>Engineering</t>
  </si>
  <si>
    <t>Engineering Related</t>
  </si>
  <si>
    <t>English Language, Lit, Philosophy, Humanities, &amp; Interdisciplinary</t>
  </si>
  <si>
    <t>Foreign Languages</t>
  </si>
  <si>
    <t>Health Occupations - Dental Hygiene</t>
  </si>
  <si>
    <t>Health Occupations - Other</t>
  </si>
  <si>
    <t>Health Occupations - Respiratory Therapy</t>
  </si>
  <si>
    <t>Health Occupations - Vocational Nursing</t>
  </si>
  <si>
    <t>Mathematics</t>
  </si>
  <si>
    <t>Mechanics and Repairers - Automotive</t>
  </si>
  <si>
    <t>Mechanics and Repairers - Electronics</t>
  </si>
  <si>
    <t>Physical Education and Fitness</t>
  </si>
  <si>
    <t>Protective Services and Public Administration</t>
  </si>
  <si>
    <t>Psychology, Social Sciences, and History</t>
  </si>
  <si>
    <t>Visual and Performing Arts</t>
  </si>
  <si>
    <t>Developmental Education - Math</t>
  </si>
  <si>
    <t>Developmental Education - Reading/Writing</t>
  </si>
  <si>
    <t>Fund</t>
  </si>
  <si>
    <t>Contact Hours</t>
  </si>
  <si>
    <t>Research</t>
  </si>
  <si>
    <t>Local Benefits</t>
  </si>
  <si>
    <t>Institutional Support</t>
  </si>
  <si>
    <t>Student Services</t>
  </si>
  <si>
    <t>Academic Support</t>
  </si>
  <si>
    <t>Scholarships and Fellowships</t>
  </si>
  <si>
    <t>Equipment Depreciation</t>
  </si>
  <si>
    <t>Total</t>
  </si>
  <si>
    <t>FICE</t>
  </si>
  <si>
    <t>Password</t>
  </si>
  <si>
    <t>Approved</t>
  </si>
  <si>
    <t>ApprovalDate</t>
  </si>
  <si>
    <t>LastMod</t>
  </si>
  <si>
    <t>CBNote</t>
  </si>
  <si>
    <t>dist_name</t>
  </si>
  <si>
    <t>person</t>
  </si>
  <si>
    <t>title</t>
  </si>
  <si>
    <t>phone</t>
  </si>
  <si>
    <t>email</t>
  </si>
  <si>
    <t>GrandTotal</t>
  </si>
  <si>
    <t>SecATotal</t>
  </si>
  <si>
    <t>SecBTotal</t>
  </si>
  <si>
    <t>AFRExb2</t>
  </si>
  <si>
    <t>Difference</t>
  </si>
  <si>
    <t>Sec2Local</t>
  </si>
  <si>
    <t>Sec2State</t>
  </si>
  <si>
    <t>Sec2_Total</t>
  </si>
  <si>
    <t>Sec3SW1</t>
  </si>
  <si>
    <t>Sec3SW2</t>
  </si>
  <si>
    <t>Sec3SW3</t>
  </si>
  <si>
    <t>Sec3SW4</t>
  </si>
  <si>
    <t>Sec3SW5</t>
  </si>
  <si>
    <t>Sec3SW6</t>
  </si>
  <si>
    <t>Sec3SWTotal</t>
  </si>
  <si>
    <t>Sec3Oth1</t>
  </si>
  <si>
    <t>Sec3Oth2</t>
  </si>
  <si>
    <t>Sec3Oth3</t>
  </si>
  <si>
    <t>Sec3Oth4</t>
  </si>
  <si>
    <t>Sec3Oth5</t>
  </si>
  <si>
    <t>Sec3Oth6</t>
  </si>
  <si>
    <t>Sec3OthTotal</t>
  </si>
  <si>
    <t>Sec3_1</t>
  </si>
  <si>
    <t>Sec3_2</t>
  </si>
  <si>
    <t>Sec3_3</t>
  </si>
  <si>
    <t>Sec3_4</t>
  </si>
  <si>
    <t>Sec3_5</t>
  </si>
  <si>
    <t>Sec3_6</t>
  </si>
  <si>
    <t>Sec3_Total</t>
  </si>
  <si>
    <t>Sec4SW1</t>
  </si>
  <si>
    <t>Sec4SW2</t>
  </si>
  <si>
    <t>Sec4SW3</t>
  </si>
  <si>
    <t>Sec4SW4</t>
  </si>
  <si>
    <t>Sec4SWTotal</t>
  </si>
  <si>
    <t>Sec4Oth1</t>
  </si>
  <si>
    <t>Sec4Oth2</t>
  </si>
  <si>
    <t>Sec4Oth3</t>
  </si>
  <si>
    <t>Sec4Oth4</t>
  </si>
  <si>
    <t>Sec4OthTotal</t>
  </si>
  <si>
    <t>Sec4_1</t>
  </si>
  <si>
    <t>Sec4_2</t>
  </si>
  <si>
    <t>Sec4_3</t>
  </si>
  <si>
    <t>Sec4_4</t>
  </si>
  <si>
    <t>Sec4_Total</t>
  </si>
  <si>
    <t>Sec5SW1</t>
  </si>
  <si>
    <t>Sec5SW2</t>
  </si>
  <si>
    <t>Sec5SW3</t>
  </si>
  <si>
    <t>Sec5SW4</t>
  </si>
  <si>
    <t>Sec5SW5</t>
  </si>
  <si>
    <t>Sec5SWTotal</t>
  </si>
  <si>
    <t>Sec5SB1</t>
  </si>
  <si>
    <t>Sec5SB2</t>
  </si>
  <si>
    <t>Sec5SB3</t>
  </si>
  <si>
    <t>Sec5SB4</t>
  </si>
  <si>
    <t>Sec5SB5</t>
  </si>
  <si>
    <t>Sec5SBTotal</t>
  </si>
  <si>
    <t>Sec5Oth1</t>
  </si>
  <si>
    <t>Sec5Oth2</t>
  </si>
  <si>
    <t>Sec5Oth3</t>
  </si>
  <si>
    <t>Sec5Oth4</t>
  </si>
  <si>
    <t>Sec5Oth5</t>
  </si>
  <si>
    <t>Sec5OthTotal</t>
  </si>
  <si>
    <t>Sec5_1</t>
  </si>
  <si>
    <t>Sec5_2</t>
  </si>
  <si>
    <t>Sec5_3</t>
  </si>
  <si>
    <t>Sec5_4</t>
  </si>
  <si>
    <t>Sec5_5</t>
  </si>
  <si>
    <t>Sec5_Total</t>
  </si>
  <si>
    <t>Sec6SW1</t>
  </si>
  <si>
    <t>Sec6SW2</t>
  </si>
  <si>
    <t>Sec6SW3</t>
  </si>
  <si>
    <t>Sec6SWTotal</t>
  </si>
  <si>
    <t>Sec6SB1</t>
  </si>
  <si>
    <t>Sec6SB2</t>
  </si>
  <si>
    <t>Sec6SB3</t>
  </si>
  <si>
    <t>Sec6SBTotal</t>
  </si>
  <si>
    <t>Sec6Oth1</t>
  </si>
  <si>
    <t>Sec6Oth2</t>
  </si>
  <si>
    <t>Sec6Oth3</t>
  </si>
  <si>
    <t>Sec6OthTotal</t>
  </si>
  <si>
    <t>Sec6_1</t>
  </si>
  <si>
    <t>Sec6_2</t>
  </si>
  <si>
    <t>Sec6_3</t>
  </si>
  <si>
    <t>Sec6_Total</t>
  </si>
  <si>
    <t>FICE_Link</t>
  </si>
  <si>
    <t>LocalBenefits</t>
  </si>
  <si>
    <t>StateBenefits</t>
  </si>
  <si>
    <t>HRS1</t>
  </si>
  <si>
    <t>HRS2</t>
  </si>
  <si>
    <t>HRS3</t>
  </si>
  <si>
    <t>HRS4</t>
  </si>
  <si>
    <t>HRS5</t>
  </si>
  <si>
    <t>HRS6</t>
  </si>
  <si>
    <t>HRS7</t>
  </si>
  <si>
    <t>HRS8</t>
  </si>
  <si>
    <t>HRS9</t>
  </si>
  <si>
    <t>HRS10</t>
  </si>
  <si>
    <t>HRS11</t>
  </si>
  <si>
    <t>HRS12</t>
  </si>
  <si>
    <t>HRS13</t>
  </si>
  <si>
    <t>HRS14</t>
  </si>
  <si>
    <t>HRS15</t>
  </si>
  <si>
    <t>HRS16</t>
  </si>
  <si>
    <t>HRS17</t>
  </si>
  <si>
    <t>HRS18</t>
  </si>
  <si>
    <t>HRS19</t>
  </si>
  <si>
    <t>HRS20</t>
  </si>
  <si>
    <t>HRS21</t>
  </si>
  <si>
    <t>HRS22</t>
  </si>
  <si>
    <t>HRS23</t>
  </si>
  <si>
    <t>HRS24</t>
  </si>
  <si>
    <t>HRS25</t>
  </si>
  <si>
    <t>HRS26</t>
  </si>
  <si>
    <t>HRS27</t>
  </si>
  <si>
    <t>HRS28</t>
  </si>
  <si>
    <t>HRS29</t>
  </si>
  <si>
    <t>HRSTotal</t>
  </si>
  <si>
    <t>FacSal1</t>
  </si>
  <si>
    <t>FacSal2</t>
  </si>
  <si>
    <t>FacSal3</t>
  </si>
  <si>
    <t>FacSal4</t>
  </si>
  <si>
    <t>FacSal5</t>
  </si>
  <si>
    <t>FacSal6</t>
  </si>
  <si>
    <t>FacSal7</t>
  </si>
  <si>
    <t>FacSal8</t>
  </si>
  <si>
    <t>FacSal9</t>
  </si>
  <si>
    <t>FacSal10</t>
  </si>
  <si>
    <t>FacSal11</t>
  </si>
  <si>
    <t>FacSal12</t>
  </si>
  <si>
    <t>FacSal13</t>
  </si>
  <si>
    <t>FacSal14</t>
  </si>
  <si>
    <t>FacSal15</t>
  </si>
  <si>
    <t>FacSal16</t>
  </si>
  <si>
    <t>FacSal17</t>
  </si>
  <si>
    <t>FacSal18</t>
  </si>
  <si>
    <t>FacSal19</t>
  </si>
  <si>
    <t>FacSal20</t>
  </si>
  <si>
    <t>FacSal21</t>
  </si>
  <si>
    <t>FacSal22</t>
  </si>
  <si>
    <t>FacSal23</t>
  </si>
  <si>
    <t>FacSal24</t>
  </si>
  <si>
    <t>FacSal25</t>
  </si>
  <si>
    <t>FacSal26</t>
  </si>
  <si>
    <t>FacSal27</t>
  </si>
  <si>
    <t>FacSal28</t>
  </si>
  <si>
    <t>FacSal29</t>
  </si>
  <si>
    <t>FacSalTotal</t>
  </si>
  <si>
    <t>OthSal1</t>
  </si>
  <si>
    <t>OthSal2</t>
  </si>
  <si>
    <t>OthSal3</t>
  </si>
  <si>
    <t>OthSal4</t>
  </si>
  <si>
    <t>OthSal5</t>
  </si>
  <si>
    <t>OthSal6</t>
  </si>
  <si>
    <t>OthSal7</t>
  </si>
  <si>
    <t>OthSal8</t>
  </si>
  <si>
    <t>OthSal9</t>
  </si>
  <si>
    <t>OthSal10</t>
  </si>
  <si>
    <t>OthSal11</t>
  </si>
  <si>
    <t>OthSal12</t>
  </si>
  <si>
    <t>OthSal13</t>
  </si>
  <si>
    <t>OthSal14</t>
  </si>
  <si>
    <t>OthSal15</t>
  </si>
  <si>
    <t>OthSal16</t>
  </si>
  <si>
    <t>OthSal17</t>
  </si>
  <si>
    <t>OthSal18</t>
  </si>
  <si>
    <t>OthSal19</t>
  </si>
  <si>
    <t>OthSal20</t>
  </si>
  <si>
    <t>OthSal21</t>
  </si>
  <si>
    <t>OthSal22</t>
  </si>
  <si>
    <t>OthSal23</t>
  </si>
  <si>
    <t>OthSal24</t>
  </si>
  <si>
    <t>OthSal25</t>
  </si>
  <si>
    <t>OthSal26</t>
  </si>
  <si>
    <t>OthSal27</t>
  </si>
  <si>
    <t>OthSal28</t>
  </si>
  <si>
    <t>OthSal29</t>
  </si>
  <si>
    <t>OthSalTotal</t>
  </si>
  <si>
    <t>Benefits1</t>
  </si>
  <si>
    <t>Benefits2</t>
  </si>
  <si>
    <t>Benefits3</t>
  </si>
  <si>
    <t>Benefits4</t>
  </si>
  <si>
    <t>Benefits5</t>
  </si>
  <si>
    <t>Benefits6</t>
  </si>
  <si>
    <t>Benefits7</t>
  </si>
  <si>
    <t>Benefits8</t>
  </si>
  <si>
    <t>Benefits9</t>
  </si>
  <si>
    <t>Benefits10</t>
  </si>
  <si>
    <t>Benefits11</t>
  </si>
  <si>
    <t>Benefits12</t>
  </si>
  <si>
    <t>Benefits13</t>
  </si>
  <si>
    <t>Benefits14</t>
  </si>
  <si>
    <t>Benefits15</t>
  </si>
  <si>
    <t>Benefits16</t>
  </si>
  <si>
    <t>Benefits17</t>
  </si>
  <si>
    <t>Benefits18</t>
  </si>
  <si>
    <t>Benefits19</t>
  </si>
  <si>
    <t>Benefits20</t>
  </si>
  <si>
    <t>Benefits21</t>
  </si>
  <si>
    <t>Benefits22</t>
  </si>
  <si>
    <t>Benefits23</t>
  </si>
  <si>
    <t>Benefits24</t>
  </si>
  <si>
    <t>Benefits25</t>
  </si>
  <si>
    <t>Benefits26</t>
  </si>
  <si>
    <t>Benefits27</t>
  </si>
  <si>
    <t>Benefits28</t>
  </si>
  <si>
    <t>Benefits29</t>
  </si>
  <si>
    <t>BenefitsTotal</t>
  </si>
  <si>
    <t>OtherOps1</t>
  </si>
  <si>
    <t>OtherOps2</t>
  </si>
  <si>
    <t>OtherOps3</t>
  </si>
  <si>
    <t>OtherOps4</t>
  </si>
  <si>
    <t>OtherOps5</t>
  </si>
  <si>
    <t>OtherOps6</t>
  </si>
  <si>
    <t>OtherOps7</t>
  </si>
  <si>
    <t>OtherOps8</t>
  </si>
  <si>
    <t>OtherOps9</t>
  </si>
  <si>
    <t>OtherOps10</t>
  </si>
  <si>
    <t>OtherOps11</t>
  </si>
  <si>
    <t>OtherOps12</t>
  </si>
  <si>
    <t>OtherOps13</t>
  </si>
  <si>
    <t>OtherOps14</t>
  </si>
  <si>
    <t>OtherOps15</t>
  </si>
  <si>
    <t>OtherOps16</t>
  </si>
  <si>
    <t>OtherOps17</t>
  </si>
  <si>
    <t>OtherOps18</t>
  </si>
  <si>
    <t>OtherOps19</t>
  </si>
  <si>
    <t>OtherOps20</t>
  </si>
  <si>
    <t>OtherOps21</t>
  </si>
  <si>
    <t>OtherOps22</t>
  </si>
  <si>
    <t>OtherOps23</t>
  </si>
  <si>
    <t>OtherOps24</t>
  </si>
  <si>
    <t>OtherOps25</t>
  </si>
  <si>
    <t>OtherOps26</t>
  </si>
  <si>
    <t>OtherOps27</t>
  </si>
  <si>
    <t>OtherOps28</t>
  </si>
  <si>
    <t>OtherOps29</t>
  </si>
  <si>
    <t>OtherOpsTotal</t>
  </si>
  <si>
    <t>DOE1</t>
  </si>
  <si>
    <t>DOE2</t>
  </si>
  <si>
    <t>DOE3</t>
  </si>
  <si>
    <t>DOE4</t>
  </si>
  <si>
    <t>DOE5</t>
  </si>
  <si>
    <t>DOE6</t>
  </si>
  <si>
    <t>DOE7</t>
  </si>
  <si>
    <t>DOE8</t>
  </si>
  <si>
    <t>DOE9</t>
  </si>
  <si>
    <t>DOE10</t>
  </si>
  <si>
    <t>DOE11</t>
  </si>
  <si>
    <t>DOE12</t>
  </si>
  <si>
    <t>DOE13</t>
  </si>
  <si>
    <t>DOE14</t>
  </si>
  <si>
    <t>DOE15</t>
  </si>
  <si>
    <t>DOE16</t>
  </si>
  <si>
    <t>DOE17</t>
  </si>
  <si>
    <t>DOE18</t>
  </si>
  <si>
    <t>DOE19</t>
  </si>
  <si>
    <t>DOE20</t>
  </si>
  <si>
    <t>DOE21</t>
  </si>
  <si>
    <t>DOE22</t>
  </si>
  <si>
    <t>DOE23</t>
  </si>
  <si>
    <t>DOE24</t>
  </si>
  <si>
    <t>DOE25</t>
  </si>
  <si>
    <t>DOE26</t>
  </si>
  <si>
    <t>DOE27</t>
  </si>
  <si>
    <t>DOE28</t>
  </si>
  <si>
    <t>DOE29</t>
  </si>
  <si>
    <t>DOETotal</t>
  </si>
  <si>
    <t>Total1</t>
  </si>
  <si>
    <t>Total2</t>
  </si>
  <si>
    <t>Total3</t>
  </si>
  <si>
    <t>Total4</t>
  </si>
  <si>
    <t>Total5</t>
  </si>
  <si>
    <t>Total6</t>
  </si>
  <si>
    <t>Total7</t>
  </si>
  <si>
    <t>Total8</t>
  </si>
  <si>
    <t>Total9</t>
  </si>
  <si>
    <t>Total10</t>
  </si>
  <si>
    <t>Total11</t>
  </si>
  <si>
    <t>Total12</t>
  </si>
  <si>
    <t>Total13</t>
  </si>
  <si>
    <t>Total14</t>
  </si>
  <si>
    <t>Total15</t>
  </si>
  <si>
    <t>Total16</t>
  </si>
  <si>
    <t>Total17</t>
  </si>
  <si>
    <t>Total18</t>
  </si>
  <si>
    <t>Total19</t>
  </si>
  <si>
    <t>Total20</t>
  </si>
  <si>
    <t>Total21</t>
  </si>
  <si>
    <t>Total22</t>
  </si>
  <si>
    <t>Total23</t>
  </si>
  <si>
    <t>Total24</t>
  </si>
  <si>
    <t>Total25</t>
  </si>
  <si>
    <t>Total26</t>
  </si>
  <si>
    <t>Total27</t>
  </si>
  <si>
    <t>Total28</t>
  </si>
  <si>
    <t>Total29</t>
  </si>
  <si>
    <t>Sec1_Total</t>
  </si>
  <si>
    <t>Comments</t>
  </si>
  <si>
    <t>PartA</t>
  </si>
  <si>
    <t>PartB</t>
  </si>
  <si>
    <t>GrandTotalExpenses</t>
  </si>
  <si>
    <t>AFRDifference</t>
  </si>
  <si>
    <t>Depreciation</t>
  </si>
  <si>
    <t>003539</t>
  </si>
  <si>
    <t>Alvin Community College</t>
  </si>
  <si>
    <t>003540</t>
  </si>
  <si>
    <t>Amarillo College</t>
  </si>
  <si>
    <t>003546</t>
  </si>
  <si>
    <t>Coastal Bend College</t>
  </si>
  <si>
    <t>003549</t>
  </si>
  <si>
    <t>Blinn College</t>
  </si>
  <si>
    <t>003553</t>
  </si>
  <si>
    <t>Cisco Junior College</t>
  </si>
  <si>
    <t>003554</t>
  </si>
  <si>
    <t>Clarendon College</t>
  </si>
  <si>
    <t>003558</t>
  </si>
  <si>
    <t>North Central Texas College</t>
  </si>
  <si>
    <t>003563</t>
  </si>
  <si>
    <t>Del Mar College</t>
  </si>
  <si>
    <t>003568</t>
  </si>
  <si>
    <t>Frank Phillips College</t>
  </si>
  <si>
    <t>003570</t>
  </si>
  <si>
    <t>Grayson County College</t>
  </si>
  <si>
    <t>003572</t>
  </si>
  <si>
    <t>Trinity Valley Community College</t>
  </si>
  <si>
    <t>003573</t>
  </si>
  <si>
    <t>Hill College</t>
  </si>
  <si>
    <t>003574</t>
  </si>
  <si>
    <t>Howard College</t>
  </si>
  <si>
    <t>003580</t>
  </si>
  <si>
    <t>Kilgore College</t>
  </si>
  <si>
    <t>003582</t>
  </si>
  <si>
    <t>Laredo Community College</t>
  </si>
  <si>
    <t>003583</t>
  </si>
  <si>
    <t>Lee College</t>
  </si>
  <si>
    <t>003590</t>
  </si>
  <si>
    <t>McLennan Community College</t>
  </si>
  <si>
    <t>003593</t>
  </si>
  <si>
    <t>Navarro College</t>
  </si>
  <si>
    <t>003596</t>
  </si>
  <si>
    <t>Odessa College</t>
  </si>
  <si>
    <t>003600</t>
  </si>
  <si>
    <t>Panola College</t>
  </si>
  <si>
    <t>003601</t>
  </si>
  <si>
    <t>Paris Junior College</t>
  </si>
  <si>
    <t>003603</t>
  </si>
  <si>
    <t>Ranger College</t>
  </si>
  <si>
    <t>003607</t>
  </si>
  <si>
    <t>Alamo Community College District</t>
  </si>
  <si>
    <t>003609</t>
  </si>
  <si>
    <t>San Jacinto College District</t>
  </si>
  <si>
    <t>003611</t>
  </si>
  <si>
    <t>South Plains College</t>
  </si>
  <si>
    <t>003614</t>
  </si>
  <si>
    <t>Southwest Texas Junior College</t>
  </si>
  <si>
    <t>003626</t>
  </si>
  <si>
    <t>Tarrant County College District</t>
  </si>
  <si>
    <t>003627</t>
  </si>
  <si>
    <t>Temple College</t>
  </si>
  <si>
    <t>003628</t>
  </si>
  <si>
    <t>Texarkana College</t>
  </si>
  <si>
    <t>003634</t>
  </si>
  <si>
    <t>Texas State Technical College-Waco</t>
  </si>
  <si>
    <t>003643</t>
  </si>
  <si>
    <t>Texas Southmost College</t>
  </si>
  <si>
    <t>003648</t>
  </si>
  <si>
    <t>Tyler Junior College</t>
  </si>
  <si>
    <t>003662</t>
  </si>
  <si>
    <t>Victoria College, The</t>
  </si>
  <si>
    <t>003664</t>
  </si>
  <si>
    <t>Weatherford College</t>
  </si>
  <si>
    <t>003668</t>
  </si>
  <si>
    <t>Wharton County Junior College</t>
  </si>
  <si>
    <t>004003</t>
  </si>
  <si>
    <t>Central Texas College</t>
  </si>
  <si>
    <t>006661</t>
  </si>
  <si>
    <t>Angelina College</t>
  </si>
  <si>
    <t>006662</t>
  </si>
  <si>
    <t>Galveston College</t>
  </si>
  <si>
    <t>007096</t>
  </si>
  <si>
    <t>College of the Mainland Community College District</t>
  </si>
  <si>
    <t>007857</t>
  </si>
  <si>
    <t>Brazosport College</t>
  </si>
  <si>
    <t>009225</t>
  </si>
  <si>
    <t>Texas State Technical College-Harlingen</t>
  </si>
  <si>
    <t>009549</t>
  </si>
  <si>
    <t>Western Texas College</t>
  </si>
  <si>
    <t>009797</t>
  </si>
  <si>
    <t>Midland College</t>
  </si>
  <si>
    <t>009932</t>
  </si>
  <si>
    <t>Texas State Technical College-West Texas</t>
  </si>
  <si>
    <t>010060</t>
  </si>
  <si>
    <t>Vernon College</t>
  </si>
  <si>
    <t>010387</t>
  </si>
  <si>
    <t>El Paso Community College</t>
  </si>
  <si>
    <t>010633</t>
  </si>
  <si>
    <t>Houston Community College System</t>
  </si>
  <si>
    <t>011145</t>
  </si>
  <si>
    <t>Lone Star College System District</t>
  </si>
  <si>
    <t>012015</t>
  </si>
  <si>
    <t>Austin Community College</t>
  </si>
  <si>
    <t>023154</t>
  </si>
  <si>
    <t>Northeast Texas Community College</t>
  </si>
  <si>
    <t>023485</t>
  </si>
  <si>
    <t>Lamar State College-Port Arthur</t>
  </si>
  <si>
    <t>023582</t>
  </si>
  <si>
    <t>Lamar State College-Orange</t>
  </si>
  <si>
    <t>023614</t>
  </si>
  <si>
    <t>Collin County Community College District</t>
  </si>
  <si>
    <t>029150</t>
  </si>
  <si>
    <t>Dallas County Community College District</t>
  </si>
  <si>
    <t>031034</t>
  </si>
  <si>
    <t>South Texas College</t>
  </si>
  <si>
    <t>033965</t>
  </si>
  <si>
    <t>Texas State Technical Collage-Marshall</t>
  </si>
  <si>
    <t>036273</t>
  </si>
  <si>
    <t>Lamar Institute of Technology</t>
  </si>
  <si>
    <t>Faculty Salaries</t>
  </si>
  <si>
    <t>Departmental Operating Expense</t>
  </si>
  <si>
    <t>Mechanics and Repairers - Diesel, Aviation Mechanics, and Transportation Workers</t>
  </si>
  <si>
    <t>Expense</t>
  </si>
  <si>
    <t>Expense per Contact Hour</t>
  </si>
  <si>
    <t>Health Occupations - Dental Assistants, Medical Lab, and Assoc. Degree Nursing</t>
  </si>
  <si>
    <t>Total Expense by
 Discipline</t>
  </si>
  <si>
    <t>Departmental Operating Expense by
 Discipline</t>
  </si>
  <si>
    <t>Faculty Salaries by
 Discipline</t>
  </si>
  <si>
    <t>Allocated Administrative Expense</t>
  </si>
  <si>
    <t>Not Used</t>
  </si>
  <si>
    <t>Other Allocated Administrative Expenses - Institutional Support - Salaries and Wages</t>
  </si>
  <si>
    <t>Other Allocated Administrative Expenses - Student Services - Salaries and Wages</t>
  </si>
  <si>
    <t>Other Allocated Administrative Expenses - Academic Support - Salaries and Wages</t>
  </si>
  <si>
    <t>Other Allocated Administrative Expenses - Scholarships and Fellowships - Salaries and Wages</t>
  </si>
  <si>
    <t>Other Allocated Administrative Expenses - Total - Salaries and Wages</t>
  </si>
  <si>
    <t>Other Allocated Administrative Expenses - Institutional Support - Other Operating Expenses</t>
  </si>
  <si>
    <t>Other Allocated Administrative Expenses - Student Services - Other Operating Expenses</t>
  </si>
  <si>
    <t>Other Allocated Administrative Expenses - Academic Support - Other Operating Expenses</t>
  </si>
  <si>
    <t>Other Allocated Administrative Expenses - Research - Salaries and Support</t>
  </si>
  <si>
    <t>Other Allocated Administrative Expenses - Scholarships and Fellowships - Other Operating Expenses</t>
  </si>
  <si>
    <t>Other Allocated Administrative Expenses - Equipment Depreciation - Other Operating Expenses</t>
  </si>
  <si>
    <t>Other Allocated Administrative Expenses - Total - Other Operating Expenses</t>
  </si>
  <si>
    <t>Reconciling Items Non-Fundable, Unrestricted Operating Expenses - Public Services - Museums - Salaries and Wages</t>
  </si>
  <si>
    <t>Reconciling Items Non-Fundable, Unrestricted Operating Expenses - Public Services - Non-state Funded Educational Programs - Salaries and Wages</t>
  </si>
  <si>
    <t>Reconciling Items Non-Fundable, Unrestricted Operating Expenses - Public Services - Other Public Services - Salaries and Wages</t>
  </si>
  <si>
    <t>Reconciling Items Non-Fundable, Unrestricted Operating Expenses - Public Services - Total - Salaries and Wages</t>
  </si>
  <si>
    <t>Reconciling Items Non-Fundable, Unrestricted Operating Expenses - Public Services - Non-state Funded Educational Programs - Other Operating Expenses</t>
  </si>
  <si>
    <t>Reconciling Items Non-Fundable, Unrestricted Operating Expenses - Public Services - Museums - Other Operating Expenses</t>
  </si>
  <si>
    <t>Reconciling Items Non-Fundable, Unrestricted Operating Expenses - Public Services - Other Public Services - Other Operating Expenses</t>
  </si>
  <si>
    <t>Reconciling Items Non-Fundable, Unrestricted Operating Expenses - Public Services - Depreciation of Public Service Equipment - Other Operating Expenses</t>
  </si>
  <si>
    <t>Reconciling Items Non-Fundable, Unrestricted Operating Expenses - Public Services - Total - Other Operating Expenses</t>
  </si>
  <si>
    <t xml:space="preserve">Reconciling Items Non-Fundable, Unrestricted Operating Expenses - Public Services - Non-state Funded Educational Programs </t>
  </si>
  <si>
    <t xml:space="preserve">Reconciling Items Non-Fundable, Unrestricted Operating Expenses - Public Services - Museums </t>
  </si>
  <si>
    <t xml:space="preserve">Reconciling Items Non-Fundable, Unrestricted Operating Expenses - Public Services - Other Public Services </t>
  </si>
  <si>
    <t xml:space="preserve">Reconciling Items Non-Fundable, Unrestricted Operating Expenses - Public Services - Depreciation of Public Service Equipment </t>
  </si>
  <si>
    <t xml:space="preserve">Reconciling Items Non-Fundable, Unrestricted Operating Expenses - Public Services - Total </t>
  </si>
  <si>
    <t>Reconciling Items Non-Fundable, Unrestricted Operating Expenses - Operations And Maintenance Of Plant - Physical Plant Services - Salaries And Wages</t>
  </si>
  <si>
    <t>Reconciling Items Non-Fundable, Unrestricted Operating Expenses - Operations And Maintenance Of Plant - Major Repairs and Renovations - Salaries And Wages</t>
  </si>
  <si>
    <t>Reconciling Items Non-Fundable, Unrestricted Operating Expenses - Operations And Maintenance Of Plant - Total - Salaries And Wages</t>
  </si>
  <si>
    <t>Reconciling Items Non-Fundable, Unrestricted Operating Expenses - Operations And Maintenance Of Plant - Staff Benefits</t>
  </si>
  <si>
    <t>Reconciling Items Non-Fundable, Unrestricted Operating Expenses - Operations And Maintenance Of Plant - Physical Plant Services - Other Operating Expense</t>
  </si>
  <si>
    <t>Reconciling Items Non-Fundable, Unrestricted Operating Expenses - Operations And Maintenance Of Plant - Major Repairs and Renovations - Other Operating Expenses</t>
  </si>
  <si>
    <t>Reconciling Items Non-Fundable, Unrestricted Operating Expenses - Operations And Maintenance Of Plant - Depreciation of Physical Plant Equipment - Other Operating Expenses</t>
  </si>
  <si>
    <t>Reconciling Items Non-Fundable, Unrestricted Operating Expenses - Operations And Maintenance Of Plant - Total - Other Operating Expenses</t>
  </si>
  <si>
    <t>Reconciling Items Non-Fundable, Unrestricted Operating Expenses - Operations And Maintenance Of Plant - Physical Plant Services - Total</t>
  </si>
  <si>
    <t>Reconciling Items Non-Fundable, Unrestricted Operating Expenses - Operations And Maintenance Of Plant - Major Repairs and Renovations - Total</t>
  </si>
  <si>
    <t>Reconciling Items Non-Fundable, Unrestricted Operating Expenses - Operations And Maintenance Of Plant - Staff Benefits - Total</t>
  </si>
  <si>
    <t>Reconciling Items Non-Fundable, Unrestricted Operating Expenses - Operations And Maintenance Of Plant - Depreciation of Physical Plant Equipment - Total</t>
  </si>
  <si>
    <t>Reconciling Items Non-Fundable, Unrestricted Operating Expenses - Operations And Maintenance Of Plant - Total</t>
  </si>
  <si>
    <t>Instructional Staff Benefits - Local Paid Benefits</t>
  </si>
  <si>
    <t>Fundable, Unrestricted Operating Expenses - Instructional Programs - 
Agriculture - Contact Hours</t>
  </si>
  <si>
    <t>Fundable, Unrestricted Operating Expenses - Instructional Programs - 
Architecture and Precision Production Trades - Contact Hours</t>
  </si>
  <si>
    <t>Fundable, Unrestricted Operating Expenses - Instructional Programs - 
Biology, Physical Sciences, and Science Technology - Contact Hours</t>
  </si>
  <si>
    <t>Fundable, Unrestricted Operating Expenses - Instructional Programs - 
Business Management, Marketing, and Administrative Services - Contact Hours</t>
  </si>
  <si>
    <t>Fundable, Unrestricted Operating Expenses - Instructional Programs - 
Career Pilot - Contact Hours</t>
  </si>
  <si>
    <t>Fundable, Unrestricted Operating Expenses - Instructional Programs - 
Communications - Contact Hours</t>
  </si>
  <si>
    <t>Fundable, Unrestricted Operating Expenses - Instructional Programs - 
Computer and Information Sciences - Contact Hours</t>
  </si>
  <si>
    <t>Fundable, Unrestricted Operating Expenses - Instructional Programs - 
Construction Trades - Contact Hours</t>
  </si>
  <si>
    <t>Fundable, Unrestricted Operating Expenses - Instructional Programs - 
Consumer and Homemaking Education - Contact Hours</t>
  </si>
  <si>
    <t>Fundable, Unrestricted Operating Expenses - Instructional Programs - 
Engineering - Contact Hours</t>
  </si>
  <si>
    <t>Fundable, Unrestricted Operating Expenses - Instructional Programs - 
Engineering Related - Contact Hours</t>
  </si>
  <si>
    <t>Fundable, Unrestricted Operating Expenses - Instructional Programs - 
English Language, Lit, Philosophy, Humanities, &amp; Interdisciplinary - Contact Hours</t>
  </si>
  <si>
    <t>Fundable, Unrestricted Operating Expenses - Instructional Programs - 
Foreign Languages - Contact Hours</t>
  </si>
  <si>
    <t>Fundable, Unrestricted Operating Expenses - Instructional Programs - 
Health Occupations - Dental Assistants, Medical Lab, and Assoc. Degree Nursing - Contact Hours</t>
  </si>
  <si>
    <t>Fundable, Unrestricted Operating Expenses - Instructional Programs - 
Health Occupations - Dental Hygiene - Contact Hours</t>
  </si>
  <si>
    <t>Fundable, Unrestricted Operating Expenses - Instructional Programs - 
Health Occupations - Other - Contact Hours</t>
  </si>
  <si>
    <t>Fundable, Unrestricted Operating Expenses - Instructional Programs - 
Health Occupations - Respiratory Therapy - Contact Hours</t>
  </si>
  <si>
    <t>Fundable, Unrestricted Operating Expenses - Instructional Programs - 
Health Occupations - Vocational Nursing - Contact Hours</t>
  </si>
  <si>
    <t>Fundable, Unrestricted Operating Expenses - Instructional Programs - 
Mathematics - Contact Hours</t>
  </si>
  <si>
    <t>Fundable, Unrestricted Operating Expenses - Instructional Programs - 
Mechanics and Repairers - Automotive - Contact Hours</t>
  </si>
  <si>
    <t>Fundable, Unrestricted Operating Expenses - Instructional Programs - 
Mechanics and Repairers - Diesel, Aviation Mechanics, and Transportation Workers - Contact Hours</t>
  </si>
  <si>
    <t>Fundable, Unrestricted Operating Expenses - Instructional Programs - 
Mechanics and Repairers - Electronics - Contact Hours</t>
  </si>
  <si>
    <t>Fundable, Unrestricted Operating Expenses - Instructional Programs - 
Physical Education and Fitness - Contact Hours</t>
  </si>
  <si>
    <t>Fundable, Unrestricted Operating Expenses - Instructional Programs - 
Protective Services and Public Administration - Contact Hours</t>
  </si>
  <si>
    <t>Fundable, Unrestricted Operating Expenses - Instructional Programs - 
Psychology, Social Sciences, and History - Contact Hours</t>
  </si>
  <si>
    <t>Fundable, Unrestricted Operating Expenses - Instructional Programs - 
Visual and Performing Arts - Contact Hours</t>
  </si>
  <si>
    <t>Fundable, Unrestricted Operating Expenses - Instructional Programs - 
Developmental Education - Math - Contact Hours</t>
  </si>
  <si>
    <t>Fundable, Unrestricted Operating Expenses - Instructional Programs - 
Developmental Education - Reading/Writing - Contact Hours</t>
  </si>
  <si>
    <t>Fundable, Unrestricted Operating Expenses - Instructional Programs - 
Total - Contact Hours</t>
  </si>
  <si>
    <t>Fundable, Unrestricted Operating Expenses - Instructional Programs - 
Agriculture - Faculty Salaries</t>
  </si>
  <si>
    <t>Fundable, Unrestricted Operating Expenses - Instructional Programs - 
Architecture and Precision Production Trades - Faculty Salaries</t>
  </si>
  <si>
    <t>Fundable, Unrestricted Operating Expenses - Instructional Programs - 
Biology, Physical Sciences, and Science Technology - Faculty Salaries</t>
  </si>
  <si>
    <t>Fundable, Unrestricted Operating Expenses - Instructional Programs - 
Business Management, Marketing, and Administrative Services - Faculty Salaries</t>
  </si>
  <si>
    <t>Fundable, Unrestricted Operating Expenses - Instructional Programs - 
Career Pilot - Faculty Salaries</t>
  </si>
  <si>
    <t>Fundable, Unrestricted Operating Expenses - Instructional Programs - 
Communications - Faculty Salaries</t>
  </si>
  <si>
    <t>Fundable, Unrestricted Operating Expenses - Instructional Programs - 
Computer and Information Sciences - Faculty Salaries</t>
  </si>
  <si>
    <t>Fundable, Unrestricted Operating Expenses - Instructional Programs - 
Construction Trades - Faculty Salaries</t>
  </si>
  <si>
    <t>Fundable, Unrestricted Operating Expenses - Instructional Programs - 
Consumer and Homemaking Education - Faculty Salaries</t>
  </si>
  <si>
    <t>Fundable, Unrestricted Operating Expenses - Instructional Programs - 
Engineering - Faculty Salaries</t>
  </si>
  <si>
    <t>Fundable, Unrestricted Operating Expenses - Instructional Programs - 
Engineering Related - Faculty Salaries</t>
  </si>
  <si>
    <t>Fundable, Unrestricted Operating Expenses - Instructional Programs - 
English Language, Lit, Philosophy, Humanities, &amp; Interdisciplinary - Faculty Salaries</t>
  </si>
  <si>
    <t>Fundable, Unrestricted Operating Expenses - Instructional Programs - 
Foreign Languages - Faculty Salaries</t>
  </si>
  <si>
    <t>Fundable, Unrestricted Operating Expenses - Instructional Programs - 
Health Occupations - Dental Assistants, Medical Lab, and Assoc. Degree Nursing - Faculty Salaries</t>
  </si>
  <si>
    <t>Fundable, Unrestricted Operating Expenses - Instructional Programs - 
Health Occupations - Dental Hygiene - Faculty Salaries</t>
  </si>
  <si>
    <t>Fundable, Unrestricted Operating Expenses - Instructional Programs - 
Health Occupations - Other - Faculty Salaries</t>
  </si>
  <si>
    <t>Fundable, Unrestricted Operating Expenses - Instructional Programs - 
Health Occupations - Respiratory Therapy - Faculty Salaries</t>
  </si>
  <si>
    <t>Fundable, Unrestricted Operating Expenses - Instructional Programs - 
Health Occupations - Vocational Nursing - Faculty Salaries</t>
  </si>
  <si>
    <t>Fundable, Unrestricted Operating Expenses - Instructional Programs - 
Mathematics - Faculty Salaries</t>
  </si>
  <si>
    <t>Fundable, Unrestricted Operating Expenses - Instructional Programs - 
Mechanics and Repairers - Automotive - Faculty Salaries</t>
  </si>
  <si>
    <t>Fundable, Unrestricted Operating Expenses - Instructional Programs - 
Mechanics and Repairers - Diesel, Aviation Mechanics, and Transportation Workers - Faculty Salaries</t>
  </si>
  <si>
    <t>Fundable, Unrestricted Operating Expenses - Instructional Programs - 
Mechanics and Repairers - Electronics - Faculty Salaries</t>
  </si>
  <si>
    <t>Fundable, Unrestricted Operating Expenses - Instructional Programs - 
Physical Education and Fitness - Faculty Salaries</t>
  </si>
  <si>
    <t>Fundable, Unrestricted Operating Expenses - Instructional Programs - 
Protective Services and Public Administration - Faculty Salaries</t>
  </si>
  <si>
    <t>Fundable, Unrestricted Operating Expenses - Instructional Programs - 
Psychology, Social Sciences, and History - Faculty Salaries</t>
  </si>
  <si>
    <t>Fundable, Unrestricted Operating Expenses - Instructional Programs - 
Visual and Performing Arts - Faculty Salaries</t>
  </si>
  <si>
    <t>Fundable, Unrestricted Operating Expenses - Instructional Programs - 
Developmental Education - Math - Faculty Salaries</t>
  </si>
  <si>
    <t>Fundable, Unrestricted Operating Expenses - Instructional Programs - 
Developmental Education - Reading/Writing - Faculty Salaries</t>
  </si>
  <si>
    <t>Fundable, Unrestricted Operating Expenses - Instructional Programs - 
Total - Faculty Salaries</t>
  </si>
  <si>
    <t>Fundable, Unrestricted Operating Expenses - Instructional Programs - 
Agriculture - Other Salaries and Wages</t>
  </si>
  <si>
    <t>Fundable, Unrestricted Operating Expenses - Instructional Programs - 
Architecture and Precision Production Trades - Other Salaries and Wages</t>
  </si>
  <si>
    <t>Fundable, Unrestricted Operating Expenses - Instructional Programs - 
Biology, Physical Sciences, and Science Technology - Other Salaries and Wages</t>
  </si>
  <si>
    <t>Fundable, Unrestricted Operating Expenses - Instructional Programs - 
Business Management, Marketing, and Administrative Services - Other Salaries and Wages</t>
  </si>
  <si>
    <t>Fundable, Unrestricted Operating Expenses - Instructional Programs - 
Career Pilot - Other Salaries and Wages</t>
  </si>
  <si>
    <t>Fundable, Unrestricted Operating Expenses - Instructional Programs - 
Communications - Other Salaries and Wages</t>
  </si>
  <si>
    <t>Fundable, Unrestricted Operating Expenses - Instructional Programs - 
Computer and Information Sciences - Other Salaries and Wages</t>
  </si>
  <si>
    <t>Fundable, Unrestricted Operating Expenses - Instructional Programs - 
Construction Trades - Other Salaries and Wages</t>
  </si>
  <si>
    <t>Fundable, Unrestricted Operating Expenses - Instructional Programs - 
Consumer and Homemaking Education - Other Salaries and Wages</t>
  </si>
  <si>
    <t>Fundable, Unrestricted Operating Expenses - Instructional Programs - 
Engineering - Other Salaries and Wages</t>
  </si>
  <si>
    <t>Fundable, Unrestricted Operating Expenses - Instructional Programs - 
Engineering Related - Other Salaries and Wages</t>
  </si>
  <si>
    <t>Fundable, Unrestricted Operating Expenses - Instructional Programs - 
English Language, Lit, Philosophy, Humanities, &amp; Interdisciplinary - Other Salaries and Wages</t>
  </si>
  <si>
    <t>Fundable, Unrestricted Operating Expenses - Instructional Programs - 
Foreign Languages - Other Salaries and Wages</t>
  </si>
  <si>
    <t>Fundable, Unrestricted Operating Expenses - Instructional Programs - 
Health Occupations - Dental Assistants, Medical Lab, and Assoc. Degree Nursing - Other Salaries and Wages</t>
  </si>
  <si>
    <t>Fundable, Unrestricted Operating Expenses - Instructional Programs - 
Health Occupations - Dental Hygiene - Other Salaries and Wages</t>
  </si>
  <si>
    <t>Fundable, Unrestricted Operating Expenses - Instructional Programs - 
Health Occupations - Other - Other Salaries and Wages</t>
  </si>
  <si>
    <t>Fundable, Unrestricted Operating Expenses - Instructional Programs - 
Health Occupations - Respiratory Therapy - Other Salaries and Wages</t>
  </si>
  <si>
    <t>Fundable, Unrestricted Operating Expenses - Instructional Programs - 
Health Occupations - Vocational Nursing - Other Salaries and Wages</t>
  </si>
  <si>
    <t>Fundable, Unrestricted Operating Expenses - Instructional Programs - 
Mathematics - Other Salaries and Wages</t>
  </si>
  <si>
    <t>Fundable, Unrestricted Operating Expenses - Instructional Programs - 
Mechanics and Repairers - Automotive - Other Salaries and Wages</t>
  </si>
  <si>
    <t>Fundable, Unrestricted Operating Expenses - Instructional Programs - 
Mechanics and Repairers - Diesel, Aviation Mechanics, and Transportation Workers - Other Salaries and Wages</t>
  </si>
  <si>
    <t>Fundable, Unrestricted Operating Expenses - Instructional Programs - 
Mechanics and Repairers - Electronics - Other Salaries and Wages</t>
  </si>
  <si>
    <t>Fundable, Unrestricted Operating Expenses - Instructional Programs - 
Physical Education and Fitness - Other Salaries and Wages</t>
  </si>
  <si>
    <t>Fundable, Unrestricted Operating Expenses - Instructional Programs - 
Protective Services and Public Administration - Other Salaries and Wages</t>
  </si>
  <si>
    <t>Fundable, Unrestricted Operating Expenses - Instructional Programs - 
Psychology, Social Sciences, and History - Other Salaries and Wages</t>
  </si>
  <si>
    <t>Fundable, Unrestricted Operating Expenses - Instructional Programs - 
Visual and Performing Arts - Other Salaries and Wages</t>
  </si>
  <si>
    <t>Fundable, Unrestricted Operating Expenses - Instructional Programs - 
Developmental Education - Math - Other Salaries and Wages</t>
  </si>
  <si>
    <t>Fundable, Unrestricted Operating Expenses - Instructional Programs - 
Developmental Education - Reading/Writing - Other Salaries and Wages</t>
  </si>
  <si>
    <t>Fundable, Unrestricted Operating Expenses - Instructional Programs - 
Total - Other Salaries and Wages</t>
  </si>
  <si>
    <t>Fundable, Unrestricted Operating Expenses - Instructional Programs - 
Agriculture - Staff Benefits</t>
  </si>
  <si>
    <t>Fundable, Unrestricted Operating Expenses - Instructional Programs - 
Architecture and Precision Production Trades - Staff Benefits</t>
  </si>
  <si>
    <t>Fundable, Unrestricted Operating Expenses - Instructional Programs - 
Biology, Physical Sciences, and Science Technology - Staff Benefits</t>
  </si>
  <si>
    <t>Fundable, Unrestricted Operating Expenses - Instructional Programs - 
Business Management, Marketing, and Administrative Services - Staff Benefits</t>
  </si>
  <si>
    <t>Fundable, Unrestricted Operating Expenses - Instructional Programs - 
Career Pilot - Staff Benefits</t>
  </si>
  <si>
    <t>Fundable, Unrestricted Operating Expenses - Instructional Programs - 
Communications - Staff Benefits</t>
  </si>
  <si>
    <t>Fundable, Unrestricted Operating Expenses - Instructional Programs - 
Computer and Information Sciences - Staff Benefits</t>
  </si>
  <si>
    <t>Fundable, Unrestricted Operating Expenses - Instructional Programs - 
Construction Trades - Staff Benefits</t>
  </si>
  <si>
    <t>Fundable, Unrestricted Operating Expenses - Instructional Programs - 
Consumer and Homemaking Education - Staff Benefits</t>
  </si>
  <si>
    <t>Fundable, Unrestricted Operating Expenses - Instructional Programs - 
Engineering - Staff Benefits</t>
  </si>
  <si>
    <t>Fundable, Unrestricted Operating Expenses - Instructional Programs - 
Engineering Related - Staff Benefits</t>
  </si>
  <si>
    <t>Fundable, Unrestricted Operating Expenses - Instructional Programs - 
English Language, Lit, Philosophy, Humanities, &amp; Interdisciplinary - Staff Benefits</t>
  </si>
  <si>
    <t>Fundable, Unrestricted Operating Expenses - Instructional Programs - 
Foreign Languages - Staff Benefits</t>
  </si>
  <si>
    <t>Fundable, Unrestricted Operating Expenses - Instructional Programs - 
Health Occupations - Dental Assistants, Medical Lab, and Assoc. Degree Nursing - Staff Benefits</t>
  </si>
  <si>
    <t>Fundable, Unrestricted Operating Expenses - Instructional Programs - 
Health Occupations - Dental Hygiene - Staff Benefits</t>
  </si>
  <si>
    <t>Fundable, Unrestricted Operating Expenses - Instructional Programs - 
Health Occupations - Other - Staff Benefits</t>
  </si>
  <si>
    <t>Fundable, Unrestricted Operating Expenses - Instructional Programs - 
Health Occupations - Respiratory Therapy - Staff Benefits</t>
  </si>
  <si>
    <t>Fundable, Unrestricted Operating Expenses - Instructional Programs - 
Health Occupations - Vocational Nursing - Staff Benefits</t>
  </si>
  <si>
    <t>Fundable, Unrestricted Operating Expenses - Instructional Programs - 
Mathematics - Staff Benefits</t>
  </si>
  <si>
    <t>Fundable, Unrestricted Operating Expenses - Instructional Programs - 
Mechanics and Repairers - Automotive - Staff Benefits</t>
  </si>
  <si>
    <t>Fundable, Unrestricted Operating Expenses - Instructional Programs - 
Mechanics and Repairers - Diesel, Aviation Mechanics, and Transportation Workers - Staff Benefits</t>
  </si>
  <si>
    <t>Fundable, Unrestricted Operating Expenses - Instructional Programs - 
Mechanics and Repairers - Electronics - Staff Benefits</t>
  </si>
  <si>
    <t>Fundable, Unrestricted Operating Expenses - Instructional Programs - 
Physical Education and Fitness - Staff Benefits</t>
  </si>
  <si>
    <t>Fundable, Unrestricted Operating Expenses - Instructional Programs - 
Protective Services and Public Administration - Staff Benefits</t>
  </si>
  <si>
    <t>Fundable, Unrestricted Operating Expenses - Instructional Programs - 
Psychology, Social Sciences, and History - Staff Benefits</t>
  </si>
  <si>
    <t>Fundable, Unrestricted Operating Expenses - Instructional Programs - 
Visual and Performing Arts - Staff Benefits</t>
  </si>
  <si>
    <t>Fundable, Unrestricted Operating Expenses - Instructional Programs - 
Developmental Education - Math - Staff Benefits</t>
  </si>
  <si>
    <t>Fundable, Unrestricted Operating Expenses - Instructional Programs - 
Developmental Education - Reading/Writing - Staff Benefits</t>
  </si>
  <si>
    <t>Fundable, Unrestricted Operating Expenses - Instructional Programs - 
Total - Staff Benefits</t>
  </si>
  <si>
    <t>Fundable, Unrestricted Operating Expenses - Instructional Programs - 
Agriculture - Other Operating Expense</t>
  </si>
  <si>
    <t>Fundable, Unrestricted Operating Expenses - Instructional Programs - 
Architecture and Precision Production Trades - Other Operating Expense</t>
  </si>
  <si>
    <t>Fundable, Unrestricted Operating Expenses - Instructional Programs - 
Biology, Physical Sciences, and Science Technology - Other Operating Expense</t>
  </si>
  <si>
    <t>Fundable, Unrestricted Operating Expenses - Instructional Programs - 
Business Management, Marketing, and Administrative Services - Other Operating Expense</t>
  </si>
  <si>
    <t>Fundable, Unrestricted Operating Expenses - Instructional Programs - 
Career Pilot - Other Operating Expense</t>
  </si>
  <si>
    <t>Fundable, Unrestricted Operating Expenses - Instructional Programs - 
Communications - Other Operating Expense</t>
  </si>
  <si>
    <t>Fundable, Unrestricted Operating Expenses - Instructional Programs - 
Computer and Information Sciences - Other Operating Expense</t>
  </si>
  <si>
    <t>Fundable, Unrestricted Operating Expenses - Instructional Programs - 
Construction Trades - Other Operating Expense</t>
  </si>
  <si>
    <t>Fundable, Unrestricted Operating Expenses - Instructional Programs - 
Consumer and Homemaking Education - Other Operating Expense</t>
  </si>
  <si>
    <t>Fundable, Unrestricted Operating Expenses - Instructional Programs - 
Engineering - Other Operating Expense</t>
  </si>
  <si>
    <t>Fundable, Unrestricted Operating Expenses - Instructional Programs - 
Engineering Related - Other Operating Expense</t>
  </si>
  <si>
    <t>Fundable, Unrestricted Operating Expenses - Instructional Programs - 
English Language, Lit, Philosophy, Humanities, &amp; Interdisciplinary - Other Operating Expense</t>
  </si>
  <si>
    <t>Fundable, Unrestricted Operating Expenses - Instructional Programs - 
Foreign Languages - Other Operating Expense</t>
  </si>
  <si>
    <t>Fundable, Unrestricted Operating Expenses - Instructional Programs - 
Health Occupations - Dental Assistants, Medical Lab, and Assoc. Degree Nursing - Other Operating Expense</t>
  </si>
  <si>
    <t>Fundable, Unrestricted Operating Expenses - Instructional Programs - 
Health Occupations - Dental Hygiene - Other Operating Expense</t>
  </si>
  <si>
    <t>Fundable, Unrestricted Operating Expenses - Instructional Programs - 
Health Occupations - Other - Other Operating Expense</t>
  </si>
  <si>
    <t>Fundable, Unrestricted Operating Expenses - Instructional Programs - 
Health Occupations - Respiratory Therapy - Other Operating Expense</t>
  </si>
  <si>
    <t>Fundable, Unrestricted Operating Expenses - Instructional Programs - 
Health Occupations - Vocational Nursing - Other Operating Expense</t>
  </si>
  <si>
    <t>Fundable, Unrestricted Operating Expenses - Instructional Programs - 
Mathematics - Other Operating Expense</t>
  </si>
  <si>
    <t>Fundable, Unrestricted Operating Expenses - Instructional Programs - 
Mechanics and Repairers - Automotive - Other Operating Expense</t>
  </si>
  <si>
    <t>Fundable, Unrestricted Operating Expenses - Instructional Programs - 
Mechanics and Repairers - Diesel, Aviation Mechanics, and Transportation Workers - Other Operating Expense</t>
  </si>
  <si>
    <t>Fundable, Unrestricted Operating Expenses - Instructional Programs - 
Mechanics and Repairers - Electronics - Other Operating Expense</t>
  </si>
  <si>
    <t>Fundable, Unrestricted Operating Expenses - Instructional Programs - 
Physical Education and Fitness - Other Operating Expense</t>
  </si>
  <si>
    <t>Fundable, Unrestricted Operating Expenses - Instructional Programs - 
Protective Services and Public Administration - Other Operating Expense</t>
  </si>
  <si>
    <t>Fundable, Unrestricted Operating Expenses - Instructional Programs - 
Psychology, Social Sciences, and History - Other Operating Expense</t>
  </si>
  <si>
    <t>Fundable, Unrestricted Operating Expenses - Instructional Programs - 
Visual and Performing Arts - Other Operating Expense</t>
  </si>
  <si>
    <t>Fundable, Unrestricted Operating Expenses - Instructional Programs - 
Developmental Education - Math - Other Operating Expense</t>
  </si>
  <si>
    <t>Fundable, Unrestricted Operating Expenses - Instructional Programs - 
Developmental Education - Reading/Writing - Other Operating Expense</t>
  </si>
  <si>
    <t>Fundable, Unrestricted Operating Expenses - Instructional Programs - 
Total - Other Operating Expense</t>
  </si>
  <si>
    <t>Fundable, Unrestricted Operating Expenses - Instructional Programs - 
Agriculture - Departmental Operating Expense</t>
  </si>
  <si>
    <t>Fundable, Unrestricted Operating Expenses - Instructional Programs - 
Architecture and Precision Production Trades - Departmental Operating Expense</t>
  </si>
  <si>
    <t>Fundable, Unrestricted Operating Expenses - Instructional Programs - 
Biology, Physical Sciences, and Science Technology - Departmental Operating Expense</t>
  </si>
  <si>
    <t>Fundable, Unrestricted Operating Expenses - Instructional Programs - 
Business Management, Marketing, and Administrative Services - Departmental Operating Expense</t>
  </si>
  <si>
    <t>Fundable, Unrestricted Operating Expenses - Instructional Programs - 
Career Pilot - Departmental Operating Expense</t>
  </si>
  <si>
    <t>Fundable, Unrestricted Operating Expenses - Instructional Programs - 
Communications - Departmental Operating Expense</t>
  </si>
  <si>
    <t>Fundable, Unrestricted Operating Expenses - Instructional Programs - 
Computer and Information Sciences - Departmental Operating Expense</t>
  </si>
  <si>
    <t>Fundable, Unrestricted Operating Expenses - Instructional Programs - 
Construction Trades - Departmental Operating Expense</t>
  </si>
  <si>
    <t>Fundable, Unrestricted Operating Expenses - Instructional Programs - 
Consumer and Homemaking Education - Departmental Operating Expense</t>
  </si>
  <si>
    <t>Fundable, Unrestricted Operating Expenses - Instructional Programs - 
Engineering - Departmental Operating Expense</t>
  </si>
  <si>
    <t>Fundable, Unrestricted Operating Expenses - Instructional Programs - 
Engineering Related - Departmental Operating Expense</t>
  </si>
  <si>
    <t>Fundable, Unrestricted Operating Expenses - Instructional Programs - 
English Language, Lit, Philosophy, Humanities, &amp; Interdisciplinary - Departmental Operating Expense</t>
  </si>
  <si>
    <t>Fundable, Unrestricted Operating Expenses - Instructional Programs - 
Foreign Languages - Departmental Operating Expense</t>
  </si>
  <si>
    <t>Fundable, Unrestricted Operating Expenses - Instructional Programs - 
Health Occupations - Dental Assistants, Medical Lab, and Assoc. Degree Nursing - Departmental Operating Expense</t>
  </si>
  <si>
    <t>Fundable, Unrestricted Operating Expenses - Instructional Programs - 
Health Occupations - Dental Hygiene - Departmental Operating Expense</t>
  </si>
  <si>
    <t>Fundable, Unrestricted Operating Expenses - Instructional Programs - 
Health Occupations - Other - Departmental Operating Expense</t>
  </si>
  <si>
    <t>Fundable, Unrestricted Operating Expenses - Instructional Programs - 
Health Occupations - Respiratory Therapy - Departmental Operating Expense</t>
  </si>
  <si>
    <t>Fundable, Unrestricted Operating Expenses - Instructional Programs - 
Health Occupations - Vocational Nursing - Departmental Operating Expense</t>
  </si>
  <si>
    <t>Fundable, Unrestricted Operating Expenses - Instructional Programs - 
Mathematics - Departmental Operating Expense</t>
  </si>
  <si>
    <t>Fundable, Unrestricted Operating Expenses - Instructional Programs - 
Mechanics and Repairers - Automotive - Departmental Operating Expense</t>
  </si>
  <si>
    <t>Fundable, Unrestricted Operating Expenses - Instructional Programs - 
Mechanics and Repairers - Diesel, Aviation Mechanics, and Transportation Workers - Departmental Operating Expense</t>
  </si>
  <si>
    <t>Fundable, Unrestricted Operating Expenses - Instructional Programs - 
Mechanics and Repairers - Electronics - Departmental Operating Expense</t>
  </si>
  <si>
    <t>Fundable, Unrestricted Operating Expenses - Instructional Programs - 
Physical Education and Fitness - Departmental Operating Expense</t>
  </si>
  <si>
    <t>Fundable, Unrestricted Operating Expenses - Instructional Programs - 
Protective Services and Public Administration - Departmental Operating Expense</t>
  </si>
  <si>
    <t>Fundable, Unrestricted Operating Expenses - Instructional Programs - 
Psychology, Social Sciences, and History - Departmental Operating Expense</t>
  </si>
  <si>
    <t>Fundable, Unrestricted Operating Expenses - Instructional Programs - 
Visual and Performing Arts - Departmental Operating Expense</t>
  </si>
  <si>
    <t>Fundable, Unrestricted Operating Expenses - Instructional Programs - 
Developmental Education - Math - Departmental Operating Expense</t>
  </si>
  <si>
    <t>Fundable, Unrestricted Operating Expenses - Instructional Programs - 
Developmental Education - Reading/Writing - Departmental Operating Expense</t>
  </si>
  <si>
    <t>Fundable, Unrestricted Operating Expenses - Instructional Programs - 
Total - Departmental Operating Expense</t>
  </si>
  <si>
    <t>Fundable, Unrestricted Operating Expenses - Instructional Programs - 
Agriculture - Total</t>
  </si>
  <si>
    <t>Fundable, Unrestricted Operating Expenses - Instructional Programs - 
Architecture and Precision Production Trades - Total</t>
  </si>
  <si>
    <t>Fundable, Unrestricted Operating Expenses - Instructional Programs - 
Biology, Physical Sciences, and Science Technology - Total</t>
  </si>
  <si>
    <t>Fundable, Unrestricted Operating Expenses - Instructional Programs - 
Business Management, Marketing, and Administrative Services - Total</t>
  </si>
  <si>
    <t>Fundable, Unrestricted Operating Expenses - Instructional Programs - 
Career Pilot - Total</t>
  </si>
  <si>
    <t>Fundable, Unrestricted Operating Expenses - Instructional Programs - 
Communications - Total</t>
  </si>
  <si>
    <t>Fundable, Unrestricted Operating Expenses - Instructional Programs - 
Computer and Information Sciences - Total</t>
  </si>
  <si>
    <t>Fundable, Unrestricted Operating Expenses - Instructional Programs - 
Construction Trades - Total</t>
  </si>
  <si>
    <t>Fundable, Unrestricted Operating Expenses - Instructional Programs - 
Consumer and Homemaking Education - Total</t>
  </si>
  <si>
    <t>Fundable, Unrestricted Operating Expenses - Instructional Programs - 
Engineering - Total</t>
  </si>
  <si>
    <t>Fundable, Unrestricted Operating Expenses - Instructional Programs - 
Engineering Related - Total</t>
  </si>
  <si>
    <t>Fundable, Unrestricted Operating Expenses - Instructional Programs - 
English Language, Lit, Philosophy, Humanities, &amp; Interdisciplinary - Total</t>
  </si>
  <si>
    <t>Fundable, Unrestricted Operating Expenses - Instructional Programs - 
Foreign Languages - Total</t>
  </si>
  <si>
    <t>Fundable, Unrestricted Operating Expenses - Instructional Programs - 
Health Occupations - Dental Assistants, Medical Lab, and Assoc. Degree Nursing - Total</t>
  </si>
  <si>
    <t>Fundable, Unrestricted Operating Expenses - Instructional Programs - 
Health Occupations - Dental Hygiene - Total</t>
  </si>
  <si>
    <t>Fundable, Unrestricted Operating Expenses - Instructional Programs - 
Health Occupations - Other - Total</t>
  </si>
  <si>
    <t>Fundable, Unrestricted Operating Expenses - Instructional Programs - 
Health Occupations - Respiratory Therapy - Total</t>
  </si>
  <si>
    <t>Fundable, Unrestricted Operating Expenses - Instructional Programs - 
Health Occupations - Vocational Nursing - Total</t>
  </si>
  <si>
    <t>Fundable, Unrestricted Operating Expenses - Instructional Programs - 
Mathematics - Total</t>
  </si>
  <si>
    <t>Fundable, Unrestricted Operating Expenses - Instructional Programs - 
Mechanics and Repairers - Automotive - Total</t>
  </si>
  <si>
    <t>Fundable, Unrestricted Operating Expenses - Instructional Programs - 
Mechanics and Repairers - Diesel, Aviation Mechanics, and Transportation Workers - Total</t>
  </si>
  <si>
    <t>Fundable, Unrestricted Operating Expenses - Instructional Programs - 
Mechanics and Repairers - Electronics - Total</t>
  </si>
  <si>
    <t>Fundable, Unrestricted Operating Expenses - Instructional Programs - 
Physical Education and Fitness - Total</t>
  </si>
  <si>
    <t>Fundable, Unrestricted Operating Expenses - Instructional Programs - 
Protective Services and Public Administration - Total</t>
  </si>
  <si>
    <t>Fundable, Unrestricted Operating Expenses - Instructional Programs - 
Psychology, Social Sciences, and History - Total</t>
  </si>
  <si>
    <t>Fundable, Unrestricted Operating Expenses - Instructional Programs - 
Visual and Performing Arts - Total</t>
  </si>
  <si>
    <t>Fundable, Unrestricted Operating Expenses - Instructional Programs - 
Developmental Education - Math - Total</t>
  </si>
  <si>
    <t>Fundable, Unrestricted Operating Expenses - Instructional Programs - 
Developmental Education - Reading/Writing - Total</t>
  </si>
  <si>
    <t>Fundable, Unrestricted Operating Expenses - Instructional Programs - 
Total - Total</t>
  </si>
  <si>
    <t>Depreciation Expense - Equipment and Furniture - AFR Schedule B</t>
  </si>
  <si>
    <t>Reconciliation Difference</t>
  </si>
  <si>
    <t>Total Unrestricted Educational Activities - AFR Schedule B</t>
  </si>
  <si>
    <t>Website Field Name</t>
  </si>
  <si>
    <t>Section and Part</t>
  </si>
  <si>
    <t>Model Address</t>
  </si>
  <si>
    <t>D104</t>
  </si>
  <si>
    <t>D98</t>
  </si>
  <si>
    <t>D99</t>
  </si>
  <si>
    <t>D100</t>
  </si>
  <si>
    <t>D101</t>
  </si>
  <si>
    <t>D102</t>
  </si>
  <si>
    <t>D103</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</si>
  <si>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</si>
  <si>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</si>
  <si>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</si>
  <si>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</si>
  <si>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</si>
  <si>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</si>
  <si>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</si>
  <si>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</si>
  <si>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</si>
  <si>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</si>
  <si>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</si>
  <si>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</si>
  <si>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</si>
  <si>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</si>
  <si>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</si>
  <si>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</si>
  <si>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</si>
  <si>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</si>
  <si>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</si>
  <si>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</si>
  <si>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</si>
  <si>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</si>
  <si>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</si>
  <si>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</si>
  <si>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</si>
  <si>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</si>
  <si>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</si>
  <si>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</si>
  <si>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</si>
  <si>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</si>
  <si>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</si>
  <si>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</si>
  <si>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</si>
  <si>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</si>
  <si>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</si>
  <si>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</si>
  <si>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</si>
  <si>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</si>
  <si>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</si>
  <si>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</si>
  <si>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</si>
  <si>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</si>
  <si>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</si>
  <si>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</si>
  <si>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</si>
  <si>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</si>
  <si>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</si>
  <si>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</si>
  <si>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</si>
  <si>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</si>
  <si>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</si>
  <si>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</si>
  <si>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</si>
  <si>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</si>
  <si>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</si>
  <si>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</si>
  <si>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</si>
  <si>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</si>
  <si>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</si>
  <si>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</si>
  <si>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</si>
  <si>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</si>
  <si>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</si>
  <si>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</si>
  <si>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</si>
  <si>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</si>
  <si>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</si>
  <si>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</si>
  <si>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</si>
  <si>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</si>
  <si>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</si>
  <si>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</si>
  <si>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</si>
  <si>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</si>
  <si>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</si>
  <si>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</si>
  <si>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</si>
  <si>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</si>
  <si>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</si>
  <si>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</si>
  <si>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</si>
  <si>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</si>
  <si>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</si>
  <si>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</si>
  <si>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I36</t>
  </si>
  <si>
    <t>I37</t>
  </si>
  <si>
    <t>I38</t>
  </si>
  <si>
    <t>I39</t>
  </si>
  <si>
    <t>I40</t>
  </si>
  <si>
    <t>I41</t>
  </si>
  <si>
    <t>I42</t>
  </si>
  <si>
    <t>I43</t>
  </si>
  <si>
    <t>I44</t>
  </si>
  <si>
    <t>I45</t>
  </si>
  <si>
    <t>I46</t>
  </si>
  <si>
    <t>I47</t>
  </si>
  <si>
    <t>I48</t>
  </si>
  <si>
    <t>I49</t>
  </si>
  <si>
    <t>I50</t>
  </si>
  <si>
    <t>I51</t>
  </si>
  <si>
    <t>I52</t>
  </si>
  <si>
    <t>I53</t>
  </si>
  <si>
    <t>I54</t>
  </si>
  <si>
    <t>I55</t>
  </si>
  <si>
    <t>I56</t>
  </si>
  <si>
    <t>I57</t>
  </si>
  <si>
    <t>I58</t>
  </si>
  <si>
    <t>I59</t>
  </si>
  <si>
    <t>I60</t>
  </si>
  <si>
    <t>I61</t>
  </si>
  <si>
    <t>I62</t>
  </si>
  <si>
    <t>I63</t>
  </si>
  <si>
    <t>I64</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</si>
  <si>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</si>
  <si>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</si>
  <si>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</si>
  <si>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</si>
  <si>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</si>
  <si>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</si>
  <si>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</si>
  <si>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</si>
  <si>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</si>
  <si>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</si>
  <si>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</si>
  <si>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</si>
  <si>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</si>
  <si>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</si>
  <si>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</si>
  <si>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</si>
  <si>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</si>
  <si>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</si>
  <si>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</si>
  <si>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</si>
  <si>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</si>
  <si>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</si>
  <si>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</si>
  <si>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</si>
  <si>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</si>
  <si>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</si>
  <si>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</si>
  <si>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</si>
  <si>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</si>
  <si>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</si>
  <si>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</si>
  <si>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</si>
  <si>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</si>
  <si>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</si>
  <si>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</si>
  <si>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</si>
  <si>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</si>
  <si>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</si>
  <si>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</si>
  <si>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</si>
  <si>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</si>
  <si>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</si>
  <si>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</si>
  <si>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</si>
  <si>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</si>
  <si>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</si>
  <si>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</si>
  <si>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</si>
  <si>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</si>
  <si>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</si>
  <si>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</si>
  <si>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</si>
  <si>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</si>
  <si>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</si>
  <si>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</si>
  <si>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</si>
  <si>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Total Expenses</t>
  </si>
  <si>
    <t>Total Fundable Expenses</t>
  </si>
  <si>
    <t>Section 1 Comments</t>
  </si>
  <si>
    <t>Other Allocated Administrative Expenses - Institutional Support - Total</t>
  </si>
  <si>
    <t>Other Allocated Administrative Expenses - Student Services - Total</t>
  </si>
  <si>
    <t>Other Allocated Administrative Expenses - Academic Support - Total</t>
  </si>
  <si>
    <t>Other Allocated Administrative Expenses - Research - Total</t>
  </si>
  <si>
    <t>Other Allocated Administrative Expenses - Scholarships and Fellowships - Total</t>
  </si>
  <si>
    <t>Other Allocated Administrative Expenses - Equipment Depreciation - Total</t>
  </si>
  <si>
    <t>Other Fundable Staff Benefits Excluding Instructional (Section 1) and Physical Plant (Section 5) Local</t>
  </si>
  <si>
    <t>Other Allocated Administrative Expenses - Total</t>
  </si>
  <si>
    <t>Website Password</t>
  </si>
  <si>
    <t>Certification  Flag</t>
  </si>
  <si>
    <t>Certification Date</t>
  </si>
  <si>
    <t>Last Modification Date</t>
  </si>
  <si>
    <t>Staff Notes</t>
  </si>
  <si>
    <t>Institution Name</t>
  </si>
  <si>
    <t>Institution Contact</t>
  </si>
  <si>
    <t>Institution Contact Title</t>
  </si>
  <si>
    <t>Institution Contact Phone</t>
  </si>
  <si>
    <t>Institution Contact Email</t>
  </si>
  <si>
    <t>FICE Code</t>
  </si>
  <si>
    <t>Password Page</t>
  </si>
  <si>
    <t>Coded</t>
  </si>
  <si>
    <t>Unknown</t>
  </si>
  <si>
    <t>Contact Information</t>
  </si>
  <si>
    <t>Part A Section 1</t>
  </si>
  <si>
    <t>Part A Section 2</t>
  </si>
  <si>
    <t>Part A Section 3</t>
  </si>
  <si>
    <t>Part B Section 4</t>
  </si>
  <si>
    <t>Part B Section 5</t>
  </si>
  <si>
    <t>Part A</t>
  </si>
  <si>
    <t>Part B</t>
  </si>
  <si>
    <t>All</t>
  </si>
  <si>
    <t>Unrestricted - Educational Activities</t>
  </si>
  <si>
    <t>Instruction</t>
  </si>
  <si>
    <t>Public Service</t>
  </si>
  <si>
    <t>Operation and Maintenance of Plant</t>
  </si>
  <si>
    <t>Salaries and Wages</t>
  </si>
  <si>
    <t>Other Expenses</t>
  </si>
  <si>
    <t>Annual Financial Report - Schedule B</t>
  </si>
  <si>
    <t>Other</t>
  </si>
  <si>
    <t>Depreciation Expense - Equipment</t>
  </si>
  <si>
    <t xml:space="preserve">Each year, the Texas Higher Education Coordinating Board revises the Texas Public Community and Technical Colleges Expense per Contact Hour Rates used in its Instruction and Operations Formula Funding Recommendation to the Legislative Budget Board (LBB).  The Report of Fundable Operating Expenses (RFOE),  completed by the institutions, collects departmental operating expense, faculty salaries, institutional support, student services, academic support, research, scholarships and fellowships, equipment depreciation, and local benefits for input into this summary using Annual Financial Report (AFR) Schedule B, which ties to the AFR Statement of Revenues, Expenses and Changes in Net Assets (SRECNA). The RFOE subcategorizes the expenditures collected in Schedule B funded with unrestricted funds, totals them for all institutions, and divides them by the statewide contact hours to determine rates by discipline. </t>
  </si>
  <si>
    <t>Rate History</t>
  </si>
  <si>
    <t>Expense per Contact Hour by
 Discipline</t>
  </si>
  <si>
    <t>College Of The Mainland</t>
  </si>
  <si>
    <t>TSTC-Harlingen</t>
  </si>
  <si>
    <t>TSTC-West Texas</t>
  </si>
  <si>
    <t>TSTC-Marshall</t>
  </si>
  <si>
    <t>TSTC-Waco</t>
  </si>
  <si>
    <t>Lamar-IOT</t>
  </si>
  <si>
    <t>Lamar-Orange</t>
  </si>
  <si>
    <t>Lamar-Port Arthur</t>
  </si>
  <si>
    <t>Institution</t>
  </si>
  <si>
    <t>Discipline</t>
  </si>
  <si>
    <t>All Disciplines</t>
  </si>
  <si>
    <t>Average</t>
  </si>
  <si>
    <t>Median</t>
  </si>
  <si>
    <t>Average (Excluding zero values)</t>
  </si>
  <si>
    <t>High</t>
  </si>
  <si>
    <t>Low (Excluding zero values)</t>
  </si>
  <si>
    <t>Median (Excluding zero values)</t>
  </si>
  <si>
    <t>Discipline Summary of Expense per Contact Hour by Institution</t>
  </si>
  <si>
    <t>AG</t>
  </si>
  <si>
    <t>ARCH</t>
  </si>
  <si>
    <t>AG - Agriculture</t>
  </si>
  <si>
    <t>ARCH - Architecture and Precision Production Trades</t>
  </si>
  <si>
    <t>BA - Business Management, Marketing, and Administrative Services</t>
  </si>
  <si>
    <t>SCI - Biology, Physical Sciences, and Science Technology</t>
  </si>
  <si>
    <t>CP - Career Pilot</t>
  </si>
  <si>
    <t>COMM - Communications</t>
  </si>
  <si>
    <t>CS - Computer and Information Sciences</t>
  </si>
  <si>
    <t>CNSTR - Construction Trades</t>
  </si>
  <si>
    <t>HE - Consumer and Homemaking Education</t>
  </si>
  <si>
    <t>ENG - Engineering</t>
  </si>
  <si>
    <t>LA - English Language, Lit, Philosophy, Humanities, &amp; Interdisciplinary</t>
  </si>
  <si>
    <t>FL - Foreign Languages</t>
  </si>
  <si>
    <t>HODA - Health Occupations - Dental Assistants, Medical Lab, and Assoc. Degree Nursing</t>
  </si>
  <si>
    <t>HODH - Health Occupations - Dental Hygiene</t>
  </si>
  <si>
    <t>HOO - Health Occupations - Other</t>
  </si>
  <si>
    <t>HORT - Health Occupations - Respiratory Therapy</t>
  </si>
  <si>
    <t>NUR - Health Occupations - Vocational Nursing</t>
  </si>
  <si>
    <t>MATH - Mathematics</t>
  </si>
  <si>
    <t>AUTO - Mechanics and Repairers - Automotive</t>
  </si>
  <si>
    <t>MECH - Mechanics and Repairers - Diesel, Aviation Mechanics, and Transportation Workers</t>
  </si>
  <si>
    <t>ELECT - Mechanics and Repairers - Electronics</t>
  </si>
  <si>
    <t>PE - Physical Education and Fitness</t>
  </si>
  <si>
    <t>PA - Protective Services and Public Administration</t>
  </si>
  <si>
    <t>SS - Psychology, Social Sciences, and History</t>
  </si>
  <si>
    <t>FA - Visual and Performing Arts</t>
  </si>
  <si>
    <t>DEM - Developmental Education - Math</t>
  </si>
  <si>
    <t>DER - Developmental Education - Reading/Writing</t>
  </si>
  <si>
    <t>Total - All Disciplines</t>
  </si>
  <si>
    <t>SCI</t>
  </si>
  <si>
    <t>BA</t>
  </si>
  <si>
    <t>CP</t>
  </si>
  <si>
    <t>COMM</t>
  </si>
  <si>
    <t>CS</t>
  </si>
  <si>
    <t>CNSTR</t>
  </si>
  <si>
    <t>HE</t>
  </si>
  <si>
    <t>ENG</t>
  </si>
  <si>
    <t>ENGR - Engineering Related</t>
  </si>
  <si>
    <t>ENGR</t>
  </si>
  <si>
    <t>LA</t>
  </si>
  <si>
    <t>FL</t>
  </si>
  <si>
    <t>HODA</t>
  </si>
  <si>
    <t>HODH</t>
  </si>
  <si>
    <t>HOO</t>
  </si>
  <si>
    <t>HORT</t>
  </si>
  <si>
    <t>NUR</t>
  </si>
  <si>
    <t>MATH</t>
  </si>
  <si>
    <t>AUTO</t>
  </si>
  <si>
    <t>MECH</t>
  </si>
  <si>
    <t>ELECT</t>
  </si>
  <si>
    <t>PE</t>
  </si>
  <si>
    <t>PA</t>
  </si>
  <si>
    <t>SS</t>
  </si>
  <si>
    <t>FA</t>
  </si>
  <si>
    <t>DEM</t>
  </si>
  <si>
    <t>DER</t>
  </si>
  <si>
    <t>Instructional Support</t>
  </si>
  <si>
    <t>Total Non-fundable Expenses</t>
  </si>
  <si>
    <t>This calculation is completed to indicate the relative change in financing assuming the legislature were to fund the institutions at the same total as the previous biennium. The percent funded used against the current rates is adjusted so that the total funded for all institutions is equal to the previous biennium's percent funded.</t>
  </si>
  <si>
    <t>Percent Change</t>
  </si>
  <si>
    <t>Total FTSE</t>
  </si>
  <si>
    <t>Total Expenditure</t>
  </si>
  <si>
    <t>Average Expenditure per FTSE</t>
  </si>
  <si>
    <t>Total for Instutions Reporting Expense</t>
  </si>
  <si>
    <t>Standard Deviation</t>
  </si>
  <si>
    <t>Summary of Expense divided  Contact Hours</t>
  </si>
  <si>
    <t>Average Total Expenditure per Full-Time Student Equivalent (FTSE)</t>
  </si>
  <si>
    <t>Discipline Analysis by Institution</t>
  </si>
  <si>
    <t>Percent of Rates to Maintain Funding Total</t>
  </si>
  <si>
    <t>Percent of Rates Funded</t>
  </si>
  <si>
    <t>Annual State Funded Semester Credit Hours</t>
  </si>
  <si>
    <t>Alvin</t>
  </si>
  <si>
    <t>Austin</t>
  </si>
  <si>
    <t>Mclennan</t>
  </si>
  <si>
    <t>Northeast Texas</t>
  </si>
  <si>
    <t>Cisco</t>
  </si>
  <si>
    <t>Laredo</t>
  </si>
  <si>
    <t>Paris</t>
  </si>
  <si>
    <t>Southwest Texas</t>
  </si>
  <si>
    <t>Temple</t>
  </si>
  <si>
    <t>Tyler</t>
  </si>
  <si>
    <t>Amarillo</t>
  </si>
  <si>
    <t>Angelina</t>
  </si>
  <si>
    <t>Blinn</t>
  </si>
  <si>
    <t>Brazosport</t>
  </si>
  <si>
    <t>Clarendon</t>
  </si>
  <si>
    <t>Coastal Bend</t>
  </si>
  <si>
    <t>Del Mar</t>
  </si>
  <si>
    <t>Frank Phillips</t>
  </si>
  <si>
    <t>Galveston</t>
  </si>
  <si>
    <t>Hill</t>
  </si>
  <si>
    <t xml:space="preserve">Howard </t>
  </si>
  <si>
    <t>Kilgore</t>
  </si>
  <si>
    <t>Lee</t>
  </si>
  <si>
    <t>Lonestar</t>
  </si>
  <si>
    <t>Midland</t>
  </si>
  <si>
    <t>Navarro</t>
  </si>
  <si>
    <t>North Central Texas</t>
  </si>
  <si>
    <t>Odessa</t>
  </si>
  <si>
    <t>Panola</t>
  </si>
  <si>
    <t>Ranger</t>
  </si>
  <si>
    <t>South Plains</t>
  </si>
  <si>
    <t>South Texas</t>
  </si>
  <si>
    <t>Texarkana</t>
  </si>
  <si>
    <t>Texas Southmost</t>
  </si>
  <si>
    <t>Vernon</t>
  </si>
  <si>
    <t>Victoria</t>
  </si>
  <si>
    <t>Weatherford</t>
  </si>
  <si>
    <t>Western Texas</t>
  </si>
  <si>
    <t>Collin</t>
  </si>
  <si>
    <t>Dallas</t>
  </si>
  <si>
    <t>El Paso</t>
  </si>
  <si>
    <t>Houston</t>
  </si>
  <si>
    <t>San Jacinto</t>
  </si>
  <si>
    <t>Tarrant</t>
  </si>
  <si>
    <t>Trinity Valley</t>
  </si>
  <si>
    <t>Wharton</t>
  </si>
  <si>
    <t>Alamo</t>
  </si>
  <si>
    <t>Central Texas</t>
  </si>
  <si>
    <t>Grayson</t>
  </si>
  <si>
    <t>per Hour</t>
  </si>
  <si>
    <t>Community and Technical Colleges, Report of Fundable Operating Expenses, Fiscal Year (FY) 2008</t>
  </si>
  <si>
    <t>Contact Hours for fall 2007 and spring and summer 2008</t>
  </si>
  <si>
    <t>1</t>
  </si>
  <si>
    <t>Dec 15 2008  1:21PM</t>
  </si>
  <si>
    <t>Dec  5 2008 11:11AM</t>
  </si>
  <si>
    <t>Dec 15 2008  3:24PM</t>
  </si>
  <si>
    <t>Dec 15 2008  4:52PM</t>
  </si>
  <si>
    <t>Dec 19 2008  3:28PM</t>
  </si>
  <si>
    <t>Dec 18 2008  1:39PM</t>
  </si>
  <si>
    <t>Dec 12 2008  2:28PM</t>
  </si>
  <si>
    <t>Dec 15 2008  9:48AM</t>
  </si>
  <si>
    <t>Dec 17 2008  9:34AM</t>
  </si>
  <si>
    <t>Dec 12 2008  2:48PM</t>
  </si>
  <si>
    <t>Dec 15 2008  8:52AM</t>
  </si>
  <si>
    <t>Dec 12 2008  9:27AM</t>
  </si>
  <si>
    <t>Jan  5 2009  6:10PM</t>
  </si>
  <si>
    <t>Dec 11 2008 10:59AM</t>
  </si>
  <si>
    <t>Dec 15 2008  1:20PM</t>
  </si>
  <si>
    <t>Dec 24 2008  5:38PM</t>
  </si>
  <si>
    <t>Dec 15 2008 10:19AM</t>
  </si>
  <si>
    <t>Dec 11 2008  1:09PM</t>
  </si>
  <si>
    <t>Dec 15 2008  1:37PM</t>
  </si>
  <si>
    <t>Dec 15 2008  2:12PM</t>
  </si>
  <si>
    <t>Dec  5 2008  4:54PM</t>
  </si>
  <si>
    <t>Dec  9 2008 11:30AM</t>
  </si>
  <si>
    <t>Dec 11 2008  1:02PM</t>
  </si>
  <si>
    <t>Dec 11 2008  3:31PM</t>
  </si>
  <si>
    <t>Dec 17 2008  3:39PM</t>
  </si>
  <si>
    <t>Dec 12 2008  2:36PM</t>
  </si>
  <si>
    <t>Dec 23 2008  1:07PM</t>
  </si>
  <si>
    <t>Jan  7 2009  3:32PM</t>
  </si>
  <si>
    <t>Dec 15 2008  3:21PM</t>
  </si>
  <si>
    <t>Dec 17 2008  3:45PM</t>
  </si>
  <si>
    <t>Dec 12 2008 12:29PM</t>
  </si>
  <si>
    <t>Dec 12 2008  3:53PM</t>
  </si>
  <si>
    <t>Dec 10 2008  9:46AM</t>
  </si>
  <si>
    <t>Dec 15 2008  4:09PM</t>
  </si>
  <si>
    <t>Dec 15 2008 11:08AM</t>
  </si>
  <si>
    <t>Dec 15 2008  3:06PM</t>
  </si>
  <si>
    <t>Dec 16 2008 10:47AM</t>
  </si>
  <si>
    <t>Dec 16 2008  7:59AM</t>
  </si>
  <si>
    <t>Dec 15 2008  2:56PM</t>
  </si>
  <si>
    <t>Dec  8 2008  9:51AM</t>
  </si>
  <si>
    <t>Dec 17 2008 10:17AM</t>
  </si>
  <si>
    <t>Dec 23 2008  1:29PM</t>
  </si>
  <si>
    <t>Dec 15 2008  2:29PM</t>
  </si>
  <si>
    <t>Dec 15 2008  6:14PM</t>
  </si>
  <si>
    <t>Dec 19 2008  4:02PM</t>
  </si>
  <si>
    <t>Dec 17 2008  8:59AM</t>
  </si>
  <si>
    <t>Dec 15 2008  5:41PM</t>
  </si>
  <si>
    <t>Dec 22 2008  3:12PM</t>
  </si>
  <si>
    <t>Dec 15 2008 12:27PM</t>
  </si>
  <si>
    <t>Dec 12 2008  1:12PM</t>
  </si>
  <si>
    <t>Dec  8 2008  8:11AM</t>
  </si>
  <si>
    <t>Jan  5 2009  4:40PM</t>
  </si>
  <si>
    <t>Multi-disciplined includes Operations of Child Care Center, Dental Clinic and Carter Fitness Center.  These departments are operated so that students can have clinicals, do observations and/or training</t>
  </si>
  <si>
    <t>There are not expenses for Protective Services and Public Administration.  The instuctor for these coursed is provided by TDCJ.</t>
  </si>
  <si>
    <t>#14 - These hours do not have any expenditures because the start up cost for this program was funded by Dept. of Labor grant.</t>
  </si>
  <si>
    <t>The depreciation expense for equipment and furniture varies in total from the $819,047 on schedule B by $59,118 which is the depreciation expense allocated to auxiliary enterprises which is not documented on this report.</t>
  </si>
  <si>
    <t>$12,969 of the Dean's salaries reported under Academic Support on our AFS have been allocated to Instruction on the RFOE. Also, our Bachelor program expenses of $68,719($67,511 faculty salaries and $1,208 other operating expenses) have been reported under Academic Support for RFOE purposes and under Instruction on our AFS. There were 11,088 contact hours associated with the Bachelor program.</t>
  </si>
  <si>
    <t>Reconciliation of Unrestricted Educational Activities on RFOE to AFR:_x000D_
_x000D_
Unrestricted Educational Activities per RFOE $247,453,906 Richland Collegiate High School Expenses excluded: Instruction $301,993 Public Service $650 Academic Support $2,697 Student Services $27,274 Institutional Support $105,644_x000D_
_x000D_
Unrestricted Educational Activities per AFR $247,892,164_x000D_
_x000D_
Depreciation expense for Auxiliary Fund equipment in the amount of $173,558 is excluded.</t>
  </si>
  <si>
    <t>Year over Year Change</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</si>
</sst>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
    <numFmt numFmtId="167" formatCode="&quot;$&quot;#,##0.00"/>
    <numFmt numFmtId="168" formatCode="&quot;$&quot;#,##0"/>
    <numFmt numFmtId="169" formatCode="&quot;$&quot;#,##0\ ;\(&quot;$&quot;#,##0\)"/>
  </numFmts>
  <fonts count="20" x14ac:knownFonts="1">
    <font>
      <sz val="11"/>
      <color theme="1"/>
      <name val="Calibri"/>
      <family val="2"/>
      <scheme val="minor"/>
    </font>
    <font>
      <sz val="11"/>
      <color theme="1"/>
      <name val="Calibri"/>
      <family val="2"/>
      <scheme val="minor"/>
    </font>
    <font>
      <sz val="11"/>
      <color theme="1"/>
      <name val="Tahoma"/>
      <family val="2"/>
    </font>
    <font>
      <b/>
      <sz val="11"/>
      <color theme="1"/>
      <name val="Tahoma"/>
      <family val="2"/>
    </font>
    <font>
      <sz val="10"/>
      <name val="MS Sans Serif"/>
      <family val="2"/>
    </font>
    <font>
      <sz val="11"/>
      <name val="Tahoma"/>
      <family val="2"/>
    </font>
    <font>
      <b/>
      <sz val="11"/>
      <name val="Tahoma"/>
      <family val="2"/>
    </font>
    <font>
      <b/>
      <sz val="11"/>
      <color theme="0"/>
      <name val="Tahoma"/>
      <family val="2"/>
    </font>
    <font>
      <sz val="11"/>
      <color theme="0"/>
      <name val="Tahoma"/>
      <family val="2"/>
    </font>
    <font>
      <sz val="12"/>
      <name val="Arial"/>
      <family val="2"/>
    </font>
    <font>
      <sz val="10"/>
      <name val="Arial"/>
      <family val="2"/>
    </font>
    <font>
      <sz val="11"/>
      <color indexed="8"/>
      <name val="Calibri"/>
      <family val="2"/>
    </font>
    <font>
      <sz val="11"/>
      <color indexed="8"/>
      <name val="Tahoma"/>
      <family val="2"/>
    </font>
    <font>
      <sz val="10"/>
      <name val="System"/>
      <family val="2"/>
    </font>
    <font>
      <i/>
      <sz val="10"/>
      <name val="System"/>
      <family val="2"/>
    </font>
    <font>
      <sz val="10"/>
      <color indexed="24"/>
      <name val="Arial"/>
      <family val="2"/>
    </font>
    <font>
      <b/>
      <sz val="18"/>
      <color indexed="24"/>
      <name val="Arial"/>
      <family val="2"/>
    </font>
    <font>
      <b/>
      <sz val="12"/>
      <color indexed="24"/>
      <name val="Arial"/>
      <family val="2"/>
    </font>
    <font>
      <sz val="10"/>
      <name val="Verdana"/>
      <family val="2"/>
    </font>
    <font>
      <sz val="10"/>
      <color indexed="8"/>
      <name val="Arial"/>
      <family val="2"/>
    </font>
  </fonts>
  <fills count="4">
    <fill>
      <patternFill patternType="none"/>
    </fill>
    <fill>
      <patternFill patternType="gray125"/>
    </fill>
    <fill>
      <patternFill patternType="solid">
        <fgColor rgb="FFFF0000"/>
        <bgColor indexed="64"/>
      </patternFill>
    </fill>
    <fill>
      <patternFill patternType="solid">
        <fgColor rgb="FFFFE1E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double">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right style="medium">
        <color indexed="64"/>
      </right>
      <top style="thin">
        <color indexed="64"/>
      </top>
      <bottom style="medium">
        <color indexed="64"/>
      </bottom>
      <diagonal/>
    </border>
  </borders>
  <cellStyleXfs count="29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37" fontId="9" fillId="0" borderId="0"/>
    <xf numFmtId="9" fontId="10"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9" fillId="0" borderId="0"/>
    <xf numFmtId="0" fontId="1" fillId="0" borderId="0"/>
    <xf numFmtId="0" fontId="1" fillId="0" borderId="0"/>
    <xf numFmtId="0" fontId="1" fillId="0" borderId="0"/>
    <xf numFmtId="9" fontId="1" fillId="0" borderId="0" applyFont="0" applyFill="0" applyBorder="0" applyAlignment="0" applyProtection="0"/>
    <xf numFmtId="0" fontId="10" fillId="0" borderId="0"/>
    <xf numFmtId="44" fontId="10" fillId="0" borderId="0" applyFont="0" applyFill="0" applyBorder="0" applyAlignment="0" applyProtection="0"/>
    <xf numFmtId="0" fontId="10" fillId="0" borderId="0"/>
    <xf numFmtId="0" fontId="4" fillId="0" borderId="0"/>
    <xf numFmtId="0" fontId="4" fillId="0" borderId="0"/>
    <xf numFmtId="0" fontId="9" fillId="0" borderId="0"/>
    <xf numFmtId="43"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3" fontId="10" fillId="0" borderId="0"/>
    <xf numFmtId="43" fontId="4" fillId="0" borderId="0" applyFont="0" applyFill="0" applyBorder="0" applyAlignment="0" applyProtection="0"/>
    <xf numFmtId="43" fontId="10" fillId="0" borderId="0" applyFont="0" applyFill="0" applyBorder="0" applyAlignment="0" applyProtection="0"/>
    <xf numFmtId="3" fontId="10" fillId="0" borderId="0"/>
    <xf numFmtId="44" fontId="10" fillId="0" borderId="0" applyFont="0" applyFill="0" applyBorder="0" applyAlignment="0" applyProtection="0"/>
    <xf numFmtId="44" fontId="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 fillId="0" borderId="0"/>
    <xf numFmtId="0" fontId="9" fillId="0" borderId="0"/>
    <xf numFmtId="0" fontId="9" fillId="0" borderId="0"/>
    <xf numFmtId="0" fontId="9" fillId="0" borderId="0"/>
    <xf numFmtId="0" fontId="2" fillId="0" borderId="0"/>
    <xf numFmtId="9" fontId="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4" fillId="0" borderId="0" applyFont="0" applyFill="0" applyBorder="0" applyAlignment="0" applyProtection="0"/>
    <xf numFmtId="0" fontId="10" fillId="0" borderId="0"/>
    <xf numFmtId="0" fontId="10" fillId="0" borderId="0"/>
    <xf numFmtId="0" fontId="10"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43" fontId="14" fillId="0" borderId="0" applyFont="0" applyFill="0" applyBorder="0" applyAlignment="0" applyProtection="0"/>
    <xf numFmtId="0" fontId="1" fillId="0" borderId="0"/>
    <xf numFmtId="43" fontId="10" fillId="0" borderId="0" applyFont="0" applyFill="0" applyBorder="0" applyAlignment="0" applyProtection="0"/>
    <xf numFmtId="3" fontId="15" fillId="0" borderId="0" applyFont="0" applyFill="0" applyBorder="0" applyAlignment="0" applyProtection="0"/>
    <xf numFmtId="169"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5" fillId="0" borderId="37" applyNumberFormat="0" applyFont="0" applyFill="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4"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43" fontId="19"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xf numFmtId="43" fontId="4" fillId="0" borderId="0" applyFont="0" applyFill="0" applyBorder="0" applyAlignment="0" applyProtection="0"/>
    <xf numFmtId="0" fontId="19" fillId="0" borderId="0"/>
    <xf numFmtId="0" fontId="4" fillId="0" borderId="0"/>
    <xf numFmtId="0" fontId="10" fillId="0" borderId="0"/>
    <xf numFmtId="0" fontId="4" fillId="0" borderId="0"/>
  </cellStyleXfs>
  <cellXfs count="214">
    <xf numFmtId="0" fontId="0" fillId="0" borderId="0" xfId="0"/>
    <xf numFmtId="0" fontId="2" fillId="0" borderId="0" xfId="0" applyFont="1"/>
    <xf numFmtId="22" fontId="0" fillId="0" borderId="0" xfId="0" applyNumberFormat="1"/>
    <xf numFmtId="43" fontId="2" fillId="0" borderId="0" xfId="2" applyNumberFormat="1" applyFont="1"/>
    <xf numFmtId="0" fontId="2" fillId="0" borderId="0" xfId="0" quotePrefix="1" applyFont="1"/>
    <xf numFmtId="165" fontId="2" fillId="0" borderId="0" xfId="2" applyNumberFormat="1" applyFont="1"/>
    <xf numFmtId="0" fontId="3" fillId="0" borderId="0" xfId="0" quotePrefix="1" applyFont="1"/>
    <xf numFmtId="0" fontId="2" fillId="0" borderId="0" xfId="0" applyFont="1"/>
    <xf numFmtId="0" fontId="2" fillId="0" borderId="0" xfId="0" applyFont="1"/>
    <xf numFmtId="44" fontId="2" fillId="0" borderId="0" xfId="2" applyNumberFormat="1" applyFont="1"/>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horizontal="right"/>
    </xf>
    <xf numFmtId="164" fontId="2" fillId="0" borderId="1" xfId="1" applyNumberFormat="1" applyFont="1" applyBorder="1"/>
    <xf numFmtId="165" fontId="2" fillId="0" borderId="1" xfId="2" applyNumberFormat="1" applyFont="1" applyBorder="1"/>
    <xf numFmtId="44" fontId="2" fillId="0" borderId="1" xfId="2" applyNumberFormat="1" applyFont="1" applyBorder="1"/>
    <xf numFmtId="164" fontId="2" fillId="0" borderId="1" xfId="2" applyNumberFormat="1" applyFont="1" applyBorder="1"/>
    <xf numFmtId="43" fontId="2" fillId="0" borderId="1" xfId="2" applyNumberFormat="1" applyFont="1" applyBorder="1"/>
    <xf numFmtId="0" fontId="5" fillId="0" borderId="5" xfId="4" applyFont="1" applyBorder="1" applyAlignment="1">
      <alignment horizontal="center"/>
    </xf>
    <xf numFmtId="44" fontId="2" fillId="0" borderId="6" xfId="2" applyNumberFormat="1" applyFont="1" applyBorder="1"/>
    <xf numFmtId="43" fontId="2" fillId="0" borderId="6" xfId="2" applyNumberFormat="1" applyFont="1" applyBorder="1"/>
    <xf numFmtId="0" fontId="5" fillId="0" borderId="7" xfId="4" applyFont="1" applyBorder="1" applyAlignment="1">
      <alignment horizontal="center"/>
    </xf>
    <xf numFmtId="164" fontId="2" fillId="0" borderId="8" xfId="1" applyNumberFormat="1" applyFont="1" applyBorder="1"/>
    <xf numFmtId="164" fontId="2" fillId="0" borderId="8" xfId="2" applyNumberFormat="1" applyFont="1" applyBorder="1"/>
    <xf numFmtId="43" fontId="2" fillId="0" borderId="9" xfId="2" applyNumberFormat="1" applyFont="1" applyBorder="1"/>
    <xf numFmtId="0" fontId="7" fillId="2" borderId="2" xfId="0" applyFont="1" applyFill="1" applyBorder="1" applyAlignment="1">
      <alignment horizontal="center"/>
    </xf>
    <xf numFmtId="0" fontId="7" fillId="2" borderId="3" xfId="0" applyFont="1" applyFill="1" applyBorder="1" applyAlignment="1">
      <alignment horizontal="center" wrapText="1"/>
    </xf>
    <xf numFmtId="164" fontId="7" fillId="2" borderId="3" xfId="1" applyNumberFormat="1" applyFont="1" applyFill="1" applyBorder="1" applyAlignment="1">
      <alignment horizontal="center" wrapText="1"/>
    </xf>
    <xf numFmtId="43" fontId="7" fillId="2" borderId="4" xfId="1" applyFont="1" applyFill="1" applyBorder="1" applyAlignment="1">
      <alignment horizontal="center" wrapText="1"/>
    </xf>
    <xf numFmtId="0" fontId="3" fillId="0" borderId="0" xfId="0" applyFont="1" applyAlignment="1">
      <alignment horizontal="right"/>
    </xf>
    <xf numFmtId="165" fontId="3" fillId="0" borderId="0" xfId="2" applyNumberFormat="1" applyFont="1"/>
    <xf numFmtId="44" fontId="3" fillId="0" borderId="0" xfId="2" applyNumberFormat="1" applyFont="1"/>
    <xf numFmtId="0" fontId="7" fillId="2" borderId="3" xfId="0" applyFont="1" applyFill="1" applyBorder="1" applyAlignment="1">
      <alignment horizontal="center"/>
    </xf>
    <xf numFmtId="164" fontId="3" fillId="0" borderId="0" xfId="0" applyNumberFormat="1" applyFont="1"/>
    <xf numFmtId="0" fontId="2" fillId="0" borderId="10" xfId="0" applyFont="1" applyBorder="1"/>
    <xf numFmtId="0" fontId="2" fillId="0" borderId="11" xfId="0" applyFont="1" applyBorder="1"/>
    <xf numFmtId="0" fontId="2" fillId="0" borderId="12" xfId="0" applyFont="1" applyBorder="1"/>
    <xf numFmtId="0" fontId="6" fillId="0" borderId="0" xfId="4" applyFont="1" applyAlignment="1"/>
    <xf numFmtId="0" fontId="6" fillId="0" borderId="0" xfId="4" applyFont="1" applyAlignment="1">
      <alignment horizontal="right"/>
    </xf>
    <xf numFmtId="0" fontId="0" fillId="0" borderId="0" xfId="0" applyAlignment="1">
      <alignment horizontal="center" wrapText="1"/>
    </xf>
    <xf numFmtId="0" fontId="0" fillId="0" borderId="0" xfId="0" applyAlignment="1"/>
    <xf numFmtId="0" fontId="2" fillId="0" borderId="5" xfId="0" applyFont="1" applyBorder="1"/>
    <xf numFmtId="0" fontId="2" fillId="0" borderId="7" xfId="0" applyFont="1" applyBorder="1"/>
    <xf numFmtId="0" fontId="7" fillId="2" borderId="4" xfId="0" applyFont="1" applyFill="1" applyBorder="1" applyAlignment="1">
      <alignment horizontal="center"/>
    </xf>
    <xf numFmtId="0" fontId="7" fillId="2" borderId="2" xfId="0" applyFont="1" applyFill="1" applyBorder="1" applyAlignment="1">
      <alignment horizontal="center" wrapText="1"/>
    </xf>
    <xf numFmtId="0" fontId="7" fillId="2" borderId="4" xfId="0" applyFont="1" applyFill="1" applyBorder="1" applyAlignment="1">
      <alignment horizontal="center" wrapText="1"/>
    </xf>
    <xf numFmtId="165" fontId="2" fillId="0" borderId="6" xfId="2" applyNumberFormat="1" applyFont="1" applyBorder="1"/>
    <xf numFmtId="41" fontId="2" fillId="0" borderId="6" xfId="2" applyNumberFormat="1" applyFont="1" applyBorder="1"/>
    <xf numFmtId="41" fontId="2" fillId="0" borderId="9" xfId="2" applyNumberFormat="1" applyFont="1" applyBorder="1"/>
    <xf numFmtId="41" fontId="2" fillId="0" borderId="1" xfId="2" applyNumberFormat="1" applyFont="1" applyBorder="1"/>
    <xf numFmtId="41" fontId="3" fillId="0" borderId="1" xfId="2" applyNumberFormat="1" applyFont="1" applyBorder="1"/>
    <xf numFmtId="41" fontId="2" fillId="0" borderId="8" xfId="2" applyNumberFormat="1" applyFont="1" applyBorder="1"/>
    <xf numFmtId="0" fontId="2" fillId="0" borderId="0" xfId="0" applyFont="1" applyBorder="1"/>
    <xf numFmtId="41" fontId="2" fillId="0" borderId="28" xfId="2" applyNumberFormat="1" applyFont="1" applyBorder="1"/>
    <xf numFmtId="41" fontId="2" fillId="0" borderId="29" xfId="2" applyNumberFormat="1" applyFont="1" applyBorder="1"/>
    <xf numFmtId="0" fontId="2" fillId="0" borderId="23" xfId="0" applyFont="1" applyBorder="1" applyAlignment="1">
      <alignment wrapText="1"/>
    </xf>
    <xf numFmtId="0" fontId="8" fillId="0" borderId="0" xfId="0" applyFont="1"/>
    <xf numFmtId="0" fontId="2" fillId="0" borderId="0" xfId="0" applyFont="1"/>
    <xf numFmtId="0" fontId="3" fillId="0" borderId="0" xfId="0" applyFont="1"/>
    <xf numFmtId="164" fontId="3" fillId="0" borderId="0" xfId="1" applyNumberFormat="1" applyFont="1"/>
    <xf numFmtId="0" fontId="0" fillId="0" borderId="0" xfId="0" quotePrefix="1"/>
    <xf numFmtId="0" fontId="2" fillId="0" borderId="0" xfId="0" applyFont="1"/>
    <xf numFmtId="164" fontId="2" fillId="0" borderId="0" xfId="1" applyNumberFormat="1" applyFont="1"/>
    <xf numFmtId="44" fontId="2" fillId="0" borderId="0" xfId="2" applyFont="1"/>
    <xf numFmtId="0" fontId="3" fillId="0" borderId="0" xfId="0" applyFont="1"/>
    <xf numFmtId="43" fontId="2" fillId="0" borderId="0" xfId="0" applyNumberFormat="1" applyFont="1"/>
    <xf numFmtId="43" fontId="2" fillId="0" borderId="8" xfId="2" applyNumberFormat="1" applyFont="1" applyBorder="1"/>
    <xf numFmtId="0" fontId="0" fillId="0" borderId="0" xfId="0"/>
    <xf numFmtId="0" fontId="2" fillId="0" borderId="0" xfId="0" applyFont="1"/>
    <xf numFmtId="164" fontId="2" fillId="0" borderId="0" xfId="0" applyNumberFormat="1" applyFont="1"/>
    <xf numFmtId="0" fontId="3" fillId="0" borderId="0" xfId="0" applyFont="1"/>
    <xf numFmtId="43" fontId="2" fillId="3" borderId="10" xfId="2" applyNumberFormat="1" applyFont="1" applyFill="1" applyBorder="1"/>
    <xf numFmtId="164" fontId="2" fillId="0" borderId="0" xfId="1" applyNumberFormat="1" applyFont="1" applyBorder="1" applyAlignment="1">
      <alignment wrapText="1"/>
    </xf>
    <xf numFmtId="43" fontId="2" fillId="0" borderId="27" xfId="0" applyNumberFormat="1" applyFont="1" applyBorder="1"/>
    <xf numFmtId="0" fontId="12" fillId="0" borderId="26" xfId="27" applyFont="1" applyFill="1" applyBorder="1" applyAlignment="1" applyProtection="1">
      <alignment horizontal="left" wrapText="1"/>
    </xf>
    <xf numFmtId="43" fontId="2" fillId="3" borderId="1" xfId="2" applyNumberFormat="1" applyFont="1" applyFill="1" applyBorder="1"/>
    <xf numFmtId="44" fontId="2" fillId="3" borderId="1" xfId="2" applyNumberFormat="1" applyFont="1" applyFill="1" applyBorder="1"/>
    <xf numFmtId="0" fontId="8" fillId="0" borderId="0" xfId="4" applyFont="1" applyFill="1" applyBorder="1" applyAlignment="1"/>
    <xf numFmtId="41" fontId="2" fillId="0" borderId="1" xfId="2" applyNumberFormat="1" applyFont="1" applyFill="1" applyBorder="1"/>
    <xf numFmtId="165" fontId="2" fillId="0" borderId="19" xfId="2" applyNumberFormat="1" applyFont="1" applyFill="1" applyBorder="1"/>
    <xf numFmtId="165" fontId="2" fillId="0" borderId="8" xfId="2" applyNumberFormat="1" applyFont="1" applyFill="1" applyBorder="1"/>
    <xf numFmtId="164" fontId="2" fillId="0" borderId="8" xfId="1" applyNumberFormat="1" applyFont="1" applyFill="1" applyBorder="1"/>
    <xf numFmtId="165" fontId="2" fillId="0" borderId="17" xfId="2" applyNumberFormat="1" applyFont="1" applyFill="1" applyBorder="1"/>
    <xf numFmtId="0" fontId="12" fillId="0" borderId="7" xfId="27" applyFont="1" applyFill="1" applyBorder="1" applyAlignment="1" applyProtection="1">
      <alignment horizontal="left" wrapText="1"/>
    </xf>
    <xf numFmtId="165" fontId="2" fillId="0" borderId="1" xfId="2" applyNumberFormat="1" applyFont="1" applyFill="1" applyBorder="1"/>
    <xf numFmtId="0" fontId="2" fillId="0" borderId="0" xfId="0" applyFont="1" applyAlignment="1">
      <alignment wrapText="1"/>
    </xf>
    <xf numFmtId="164" fontId="2" fillId="0" borderId="1" xfId="1" applyNumberFormat="1" applyFont="1" applyFill="1" applyBorder="1"/>
    <xf numFmtId="0" fontId="5" fillId="0" borderId="0" xfId="0" applyFont="1" applyFill="1" applyBorder="1" applyAlignment="1"/>
    <xf numFmtId="0" fontId="6" fillId="0" borderId="0" xfId="0" applyFont="1" applyFill="1" applyBorder="1" applyAlignment="1"/>
    <xf numFmtId="0" fontId="5" fillId="0" borderId="0" xfId="4" applyFont="1" applyFill="1" applyBorder="1" applyAlignment="1"/>
    <xf numFmtId="0" fontId="7" fillId="0" borderId="0" xfId="0" applyFont="1" applyFill="1" applyBorder="1" applyAlignment="1"/>
    <xf numFmtId="0" fontId="12" fillId="0" borderId="2" xfId="27" applyFont="1" applyFill="1" applyBorder="1" applyAlignment="1" applyProtection="1">
      <alignment horizontal="left" wrapText="1"/>
    </xf>
    <xf numFmtId="3" fontId="5" fillId="0" borderId="7" xfId="60" applyNumberFormat="1" applyFont="1" applyFill="1" applyBorder="1" applyAlignment="1" applyProtection="1">
      <alignment horizontal="left"/>
    </xf>
    <xf numFmtId="0" fontId="12" fillId="0" borderId="5" xfId="27" applyFont="1" applyFill="1" applyBorder="1" applyAlignment="1" applyProtection="1">
      <alignment horizontal="left" wrapText="1"/>
    </xf>
    <xf numFmtId="37" fontId="5" fillId="0" borderId="5" xfId="7" applyFont="1" applyFill="1" applyBorder="1"/>
    <xf numFmtId="37" fontId="5" fillId="0" borderId="5" xfId="7" applyFont="1" applyBorder="1"/>
    <xf numFmtId="43" fontId="2" fillId="0" borderId="6" xfId="0" applyNumberFormat="1" applyFont="1" applyBorder="1"/>
    <xf numFmtId="44" fontId="2" fillId="0" borderId="6" xfId="0" applyNumberFormat="1" applyFont="1" applyBorder="1"/>
    <xf numFmtId="3" fontId="5" fillId="0" borderId="5" xfId="60" applyNumberFormat="1" applyFont="1" applyFill="1" applyBorder="1" applyAlignment="1" applyProtection="1">
      <alignment horizontal="left"/>
    </xf>
    <xf numFmtId="165" fontId="5" fillId="0" borderId="8" xfId="2" applyNumberFormat="1" applyFont="1" applyFill="1" applyBorder="1" applyAlignment="1">
      <alignment horizontal="right" indent="1"/>
    </xf>
    <xf numFmtId="164" fontId="5" fillId="0" borderId="17" xfId="140" applyNumberFormat="1" applyFont="1" applyFill="1" applyBorder="1" applyAlignment="1">
      <alignment horizontal="right" indent="1"/>
    </xf>
    <xf numFmtId="10" fontId="5" fillId="0" borderId="9" xfId="3" applyNumberFormat="1" applyFont="1" applyFill="1" applyBorder="1" applyAlignment="1">
      <alignment horizontal="right" indent="1"/>
    </xf>
    <xf numFmtId="10" fontId="5" fillId="0" borderId="6" xfId="3" applyNumberFormat="1" applyFont="1" applyFill="1" applyBorder="1" applyAlignment="1">
      <alignment horizontal="right" indent="1"/>
    </xf>
    <xf numFmtId="165" fontId="5" fillId="0" borderId="19" xfId="2" applyNumberFormat="1" applyFont="1" applyFill="1" applyBorder="1" applyAlignment="1">
      <alignment horizontal="right" indent="1"/>
    </xf>
    <xf numFmtId="3" fontId="5" fillId="3" borderId="18" xfId="60" quotePrefix="1" applyNumberFormat="1" applyFont="1" applyFill="1" applyBorder="1" applyAlignment="1" applyProtection="1">
      <alignment horizontal="right"/>
    </xf>
    <xf numFmtId="3" fontId="5" fillId="3" borderId="18" xfId="60" applyNumberFormat="1" applyFont="1" applyFill="1" applyBorder="1" applyAlignment="1" applyProtection="1">
      <alignment horizontal="right"/>
    </xf>
    <xf numFmtId="3" fontId="5" fillId="3" borderId="13" xfId="60" applyNumberFormat="1" applyFont="1" applyFill="1" applyBorder="1" applyAlignment="1" applyProtection="1">
      <alignment horizontal="right"/>
    </xf>
    <xf numFmtId="10" fontId="6" fillId="3" borderId="30" xfId="3" applyNumberFormat="1" applyFont="1" applyFill="1" applyBorder="1" applyAlignment="1" applyProtection="1">
      <alignment horizontal="center" wrapText="1"/>
    </xf>
    <xf numFmtId="3" fontId="7" fillId="2" borderId="30" xfId="38" applyNumberFormat="1" applyFont="1" applyFill="1" applyBorder="1" applyAlignment="1" applyProtection="1">
      <alignment horizontal="center" wrapText="1"/>
    </xf>
    <xf numFmtId="165" fontId="5" fillId="0" borderId="1" xfId="140" applyNumberFormat="1" applyFont="1" applyFill="1" applyBorder="1" applyAlignment="1">
      <alignment horizontal="right" indent="1"/>
    </xf>
    <xf numFmtId="165" fontId="5" fillId="0" borderId="17" xfId="140" applyNumberFormat="1" applyFont="1" applyFill="1" applyBorder="1" applyAlignment="1">
      <alignment horizontal="right" indent="1"/>
    </xf>
    <xf numFmtId="10" fontId="6" fillId="3" borderId="31" xfId="108" quotePrefix="1" applyNumberFormat="1" applyFont="1" applyFill="1" applyBorder="1" applyAlignment="1" applyProtection="1">
      <alignment horizontal="center" wrapText="1"/>
    </xf>
    <xf numFmtId="167" fontId="7" fillId="2" borderId="31" xfId="38" applyNumberFormat="1" applyFont="1" applyFill="1" applyBorder="1" applyAlignment="1" applyProtection="1">
      <alignment horizontal="center" wrapText="1"/>
    </xf>
    <xf numFmtId="3" fontId="7" fillId="2" borderId="31" xfId="38" quotePrefix="1" applyNumberFormat="1" applyFont="1" applyFill="1" applyBorder="1" applyAlignment="1" applyProtection="1">
      <alignment horizontal="center" wrapText="1"/>
    </xf>
    <xf numFmtId="3" fontId="7" fillId="2" borderId="32" xfId="38" applyNumberFormat="1" applyFont="1" applyFill="1" applyBorder="1" applyAlignment="1" applyProtection="1">
      <alignment horizontal="center"/>
    </xf>
    <xf numFmtId="41" fontId="5" fillId="0" borderId="1" xfId="140" applyNumberFormat="1" applyFont="1" applyFill="1" applyBorder="1" applyAlignment="1">
      <alignment horizontal="right" indent="1"/>
    </xf>
    <xf numFmtId="0" fontId="5" fillId="0" borderId="0" xfId="38" applyFont="1" applyFill="1" applyBorder="1" applyAlignment="1">
      <alignment vertical="top" wrapText="1"/>
    </xf>
    <xf numFmtId="0" fontId="10" fillId="0" borderId="0" xfId="60"/>
    <xf numFmtId="0" fontId="6" fillId="0" borderId="0" xfId="60" applyFont="1"/>
    <xf numFmtId="0" fontId="5" fillId="0" borderId="0" xfId="38" applyFont="1" applyFill="1" applyBorder="1" applyAlignment="1">
      <alignment horizontal="right"/>
    </xf>
    <xf numFmtId="3" fontId="6" fillId="0" borderId="0" xfId="38" applyNumberFormat="1" applyFont="1" applyFill="1" applyBorder="1" applyAlignment="1" applyProtection="1">
      <alignment horizontal="left"/>
    </xf>
    <xf numFmtId="10" fontId="6" fillId="3" borderId="31" xfId="3" applyNumberFormat="1" applyFont="1" applyFill="1" applyBorder="1" applyAlignment="1" applyProtection="1">
      <alignment horizontal="center" wrapText="1"/>
    </xf>
    <xf numFmtId="0" fontId="10" fillId="0" borderId="0" xfId="60"/>
    <xf numFmtId="0" fontId="5" fillId="0" borderId="0" xfId="38" applyFont="1" applyFill="1" applyBorder="1" applyAlignment="1">
      <alignment horizontal="right"/>
    </xf>
    <xf numFmtId="168" fontId="0" fillId="0" borderId="0" xfId="0" applyNumberFormat="1"/>
    <xf numFmtId="0" fontId="7" fillId="2" borderId="34" xfId="60" applyFont="1" applyFill="1" applyBorder="1" applyAlignment="1">
      <alignment horizontal="center" wrapText="1"/>
    </xf>
    <xf numFmtId="37" fontId="5" fillId="0" borderId="33" xfId="7" applyFont="1" applyBorder="1"/>
    <xf numFmtId="0" fontId="7" fillId="2" borderId="30" xfId="60" applyFont="1" applyFill="1" applyBorder="1" applyAlignment="1">
      <alignment horizontal="center" wrapText="1"/>
    </xf>
    <xf numFmtId="0" fontId="7" fillId="2" borderId="31" xfId="60" applyFont="1" applyFill="1" applyBorder="1" applyAlignment="1">
      <alignment horizontal="center" wrapText="1"/>
    </xf>
    <xf numFmtId="0" fontId="10" fillId="0" borderId="0" xfId="60"/>
    <xf numFmtId="0" fontId="5" fillId="0" borderId="0" xfId="60" applyFont="1"/>
    <xf numFmtId="0" fontId="6" fillId="0" borderId="0" xfId="60" applyFont="1" applyFill="1" applyAlignment="1">
      <alignment horizontal="left"/>
    </xf>
    <xf numFmtId="0" fontId="6" fillId="0" borderId="0" xfId="60" quotePrefix="1" applyFont="1" applyFill="1" applyAlignment="1">
      <alignment horizontal="left"/>
    </xf>
    <xf numFmtId="164" fontId="5" fillId="0" borderId="3" xfId="33" applyNumberFormat="1" applyFont="1" applyFill="1" applyBorder="1" applyAlignment="1">
      <alignment horizontal="right"/>
    </xf>
    <xf numFmtId="168" fontId="5" fillId="0" borderId="3" xfId="60" applyNumberFormat="1" applyFont="1" applyFill="1" applyBorder="1"/>
    <xf numFmtId="168" fontId="5" fillId="0" borderId="4" xfId="60" applyNumberFormat="1" applyFont="1" applyFill="1" applyBorder="1"/>
    <xf numFmtId="3" fontId="5" fillId="0" borderId="1" xfId="60" applyNumberFormat="1" applyFont="1" applyFill="1" applyBorder="1" applyAlignment="1">
      <alignment horizontal="right"/>
    </xf>
    <xf numFmtId="3" fontId="5" fillId="0" borderId="6" xfId="60" applyNumberFormat="1" applyFont="1" applyFill="1" applyBorder="1" applyAlignment="1">
      <alignment horizontal="right"/>
    </xf>
    <xf numFmtId="3" fontId="5" fillId="0" borderId="1" xfId="60" applyNumberFormat="1" applyFont="1" applyFill="1" applyBorder="1"/>
    <xf numFmtId="3" fontId="5" fillId="0" borderId="6" xfId="60" applyNumberFormat="1" applyFont="1" applyFill="1" applyBorder="1"/>
    <xf numFmtId="3" fontId="6" fillId="0" borderId="8" xfId="60" applyNumberFormat="1" applyFont="1" applyFill="1" applyBorder="1" applyAlignment="1">
      <alignment horizontal="right"/>
    </xf>
    <xf numFmtId="168" fontId="6" fillId="0" borderId="8" xfId="60" applyNumberFormat="1" applyFont="1" applyFill="1" applyBorder="1"/>
    <xf numFmtId="168" fontId="6" fillId="0" borderId="9" xfId="60" applyNumberFormat="1" applyFont="1" applyFill="1" applyBorder="1"/>
    <xf numFmtId="166" fontId="2" fillId="0" borderId="0" xfId="3" applyNumberFormat="1" applyFont="1"/>
    <xf numFmtId="44" fontId="2" fillId="0" borderId="0" xfId="0" applyNumberFormat="1" applyFont="1"/>
    <xf numFmtId="3" fontId="6" fillId="3" borderId="32" xfId="38" applyNumberFormat="1" applyFont="1" applyFill="1" applyBorder="1" applyAlignment="1" applyProtection="1">
      <alignment horizontal="right"/>
    </xf>
    <xf numFmtId="44" fontId="2" fillId="0" borderId="3" xfId="2" applyFont="1" applyBorder="1"/>
    <xf numFmtId="44" fontId="2" fillId="0" borderId="4" xfId="2" applyFont="1" applyBorder="1"/>
    <xf numFmtId="0" fontId="12" fillId="0" borderId="5" xfId="27" applyFont="1" applyFill="1" applyBorder="1" applyAlignment="1" applyProtection="1">
      <alignment horizontal="left"/>
    </xf>
    <xf numFmtId="0" fontId="7" fillId="2" borderId="33" xfId="0" applyFont="1" applyFill="1" applyBorder="1" applyAlignment="1">
      <alignment horizontal="center" wrapText="1"/>
    </xf>
    <xf numFmtId="0" fontId="7" fillId="2" borderId="38" xfId="0" applyFont="1" applyFill="1" applyBorder="1" applyAlignment="1">
      <alignment horizontal="center" wrapText="1"/>
    </xf>
    <xf numFmtId="43" fontId="2" fillId="0" borderId="1" xfId="1" applyFont="1" applyFill="1" applyBorder="1"/>
    <xf numFmtId="44" fontId="2" fillId="0" borderId="1" xfId="2" applyFont="1" applyFill="1" applyBorder="1"/>
    <xf numFmtId="43" fontId="2" fillId="0" borderId="8" xfId="1" applyFont="1" applyFill="1" applyBorder="1"/>
    <xf numFmtId="0" fontId="7" fillId="2" borderId="6" xfId="0" applyFont="1" applyFill="1" applyBorder="1" applyAlignment="1">
      <alignment horizontal="center" wrapText="1"/>
    </xf>
    <xf numFmtId="44" fontId="2" fillId="0" borderId="6" xfId="2" applyFont="1" applyFill="1" applyBorder="1"/>
    <xf numFmtId="43" fontId="2" fillId="0" borderId="6" xfId="1" applyFont="1" applyFill="1" applyBorder="1"/>
    <xf numFmtId="43" fontId="2" fillId="0" borderId="9" xfId="1" applyFont="1" applyFill="1" applyBorder="1"/>
    <xf numFmtId="165" fontId="0" fillId="0" borderId="0" xfId="0" applyNumberFormat="1"/>
    <xf numFmtId="10" fontId="0" fillId="0" borderId="0" xfId="3" applyNumberFormat="1" applyFont="1"/>
    <xf numFmtId="43" fontId="0" fillId="0" borderId="0" xfId="0" applyNumberFormat="1"/>
    <xf numFmtId="0" fontId="4" fillId="0" borderId="0" xfId="4"/>
    <xf numFmtId="43" fontId="2" fillId="0" borderId="1" xfId="1" applyNumberFormat="1" applyFont="1" applyFill="1" applyBorder="1"/>
    <xf numFmtId="1" fontId="5" fillId="0" borderId="1" xfId="140" applyNumberFormat="1" applyFont="1" applyFill="1" applyBorder="1" applyAlignment="1">
      <alignment horizontal="right" indent="1"/>
    </xf>
    <xf numFmtId="0" fontId="5" fillId="0" borderId="17" xfId="4" applyFont="1" applyBorder="1" applyAlignment="1">
      <alignment horizontal="left" wrapText="1"/>
    </xf>
    <xf numFmtId="0" fontId="7" fillId="2" borderId="16" xfId="0" applyFont="1" applyFill="1" applyBorder="1" applyAlignment="1">
      <alignment horizontal="center" wrapText="1"/>
    </xf>
    <xf numFmtId="0" fontId="5" fillId="0" borderId="19" xfId="4" applyFont="1" applyBorder="1" applyAlignment="1">
      <alignment horizontal="left" wrapText="1"/>
    </xf>
    <xf numFmtId="0" fontId="7" fillId="2" borderId="2" xfId="0" applyFont="1" applyFill="1" applyBorder="1" applyAlignment="1">
      <alignment horizontal="center"/>
    </xf>
    <xf numFmtId="164" fontId="2" fillId="0" borderId="24" xfId="1" applyNumberFormat="1" applyFont="1" applyBorder="1" applyAlignment="1">
      <alignment horizontal="left" wrapText="1"/>
    </xf>
    <xf numFmtId="164" fontId="2" fillId="0" borderId="15" xfId="1" applyNumberFormat="1" applyFont="1" applyBorder="1" applyAlignment="1">
      <alignment horizontal="left" wrapText="1"/>
    </xf>
    <xf numFmtId="0" fontId="5" fillId="0" borderId="17" xfId="4" applyFont="1" applyBorder="1" applyAlignment="1">
      <alignment horizontal="left" wrapText="1"/>
    </xf>
    <xf numFmtId="0" fontId="5" fillId="0" borderId="18" xfId="4" applyFont="1" applyBorder="1" applyAlignment="1">
      <alignment horizontal="left" wrapText="1"/>
    </xf>
    <xf numFmtId="0" fontId="5" fillId="0" borderId="19" xfId="4" applyFont="1" applyBorder="1" applyAlignment="1">
      <alignment horizontal="left" wrapText="1"/>
    </xf>
    <xf numFmtId="0" fontId="5" fillId="0" borderId="20" xfId="4" applyFont="1" applyBorder="1" applyAlignment="1">
      <alignment horizontal="left" wrapText="1"/>
    </xf>
    <xf numFmtId="0" fontId="7" fillId="2" borderId="21" xfId="0" applyFont="1" applyFill="1" applyBorder="1" applyAlignment="1">
      <alignment horizontal="center"/>
    </xf>
    <xf numFmtId="0" fontId="7" fillId="2" borderId="13" xfId="0" applyFont="1" applyFill="1" applyBorder="1" applyAlignment="1">
      <alignment horizontal="center"/>
    </xf>
    <xf numFmtId="164" fontId="2" fillId="0" borderId="22" xfId="1" applyNumberFormat="1" applyFont="1" applyBorder="1" applyAlignment="1">
      <alignment horizontal="left" wrapText="1"/>
    </xf>
    <xf numFmtId="164" fontId="2" fillId="0" borderId="14" xfId="1" applyNumberFormat="1" applyFont="1" applyBorder="1" applyAlignment="1">
      <alignment horizontal="left" wrapText="1"/>
    </xf>
    <xf numFmtId="164" fontId="2" fillId="0" borderId="25" xfId="1" applyNumberFormat="1" applyFont="1" applyBorder="1" applyAlignment="1">
      <alignment horizontal="left" wrapText="1"/>
    </xf>
    <xf numFmtId="164" fontId="2" fillId="0" borderId="18" xfId="1" applyNumberFormat="1" applyFont="1" applyBorder="1" applyAlignment="1">
      <alignment horizontal="left" wrapText="1"/>
    </xf>
    <xf numFmtId="0" fontId="7" fillId="2" borderId="16" xfId="0" applyFont="1" applyFill="1" applyBorder="1" applyAlignment="1">
      <alignment horizontal="center" wrapText="1"/>
    </xf>
    <xf numFmtId="0" fontId="7" fillId="2" borderId="13" xfId="0" applyFont="1" applyFill="1" applyBorder="1" applyAlignment="1">
      <alignment horizontal="center" wrapText="1"/>
    </xf>
    <xf numFmtId="0" fontId="2" fillId="0" borderId="0" xfId="0" quotePrefix="1" applyFont="1" applyAlignment="1">
      <alignment horizontal="left" vertical="top" wrapText="1"/>
    </xf>
    <xf numFmtId="0" fontId="5" fillId="0" borderId="7" xfId="4" applyFont="1" applyBorder="1" applyAlignment="1">
      <alignment horizontal="left"/>
    </xf>
    <xf numFmtId="0" fontId="5" fillId="0" borderId="8" xfId="4" applyFont="1" applyBorder="1" applyAlignment="1">
      <alignment horizontal="left"/>
    </xf>
    <xf numFmtId="0" fontId="5" fillId="0" borderId="9" xfId="4" applyFont="1" applyBorder="1" applyAlignment="1">
      <alignment horizontal="left"/>
    </xf>
    <xf numFmtId="0" fontId="2" fillId="0" borderId="25" xfId="0" applyFont="1" applyBorder="1" applyAlignment="1">
      <alignment horizontal="left"/>
    </xf>
    <xf numFmtId="0" fontId="2" fillId="0" borderId="35" xfId="0" applyFont="1" applyBorder="1" applyAlignment="1">
      <alignment horizontal="left"/>
    </xf>
    <xf numFmtId="0" fontId="2" fillId="0" borderId="36" xfId="0" applyFont="1" applyBorder="1" applyAlignment="1">
      <alignment horizontal="left"/>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5" fillId="0" borderId="5" xfId="4" applyFont="1" applyBorder="1" applyAlignment="1">
      <alignment horizontal="left"/>
    </xf>
    <xf numFmtId="0" fontId="5" fillId="0" borderId="1" xfId="4" applyFont="1" applyBorder="1" applyAlignment="1">
      <alignment horizontal="left"/>
    </xf>
    <xf numFmtId="0" fontId="5" fillId="0" borderId="6" xfId="4" applyFont="1" applyBorder="1" applyAlignment="1">
      <alignment horizontal="left"/>
    </xf>
    <xf numFmtId="0" fontId="7" fillId="2" borderId="39" xfId="0" applyFont="1" applyFill="1" applyBorder="1" applyAlignment="1">
      <alignment horizontal="center" wrapText="1"/>
    </xf>
    <xf numFmtId="0" fontId="7" fillId="2" borderId="40" xfId="0" applyFont="1" applyFill="1" applyBorder="1" applyAlignment="1">
      <alignment horizontal="center" wrapText="1"/>
    </xf>
    <xf numFmtId="0" fontId="7" fillId="2" borderId="38" xfId="0" applyFont="1" applyFill="1" applyBorder="1" applyAlignment="1">
      <alignment horizontal="center" wrapText="1"/>
    </xf>
    <xf numFmtId="0" fontId="5" fillId="0" borderId="0" xfId="38" applyFont="1" applyFill="1" applyBorder="1" applyAlignment="1">
      <alignment horizontal="left" vertical="top" wrapText="1"/>
    </xf>
    <xf numFmtId="0" fontId="7" fillId="2" borderId="3" xfId="1" applyNumberFormat="1" applyFont="1" applyFill="1" applyBorder="1" applyAlignment="1">
      <alignment horizontal="center" wrapText="1"/>
    </xf>
    <xf numFmtId="0" fontId="7" fillId="2" borderId="39" xfId="1" applyNumberFormat="1" applyFont="1" applyFill="1" applyBorder="1" applyAlignment="1">
      <alignment horizontal="center" wrapText="1"/>
    </xf>
    <xf numFmtId="0" fontId="7" fillId="2" borderId="2" xfId="1" applyNumberFormat="1" applyFont="1" applyFill="1" applyBorder="1" applyAlignment="1">
      <alignment horizontal="center" wrapText="1"/>
    </xf>
    <xf numFmtId="0" fontId="7" fillId="2" borderId="13" xfId="1" applyNumberFormat="1" applyFont="1" applyFill="1" applyBorder="1" applyAlignment="1">
      <alignment horizontal="center" wrapText="1"/>
    </xf>
    <xf numFmtId="44" fontId="2" fillId="0" borderId="36" xfId="2" applyNumberFormat="1" applyFont="1" applyBorder="1"/>
    <xf numFmtId="166" fontId="2" fillId="0" borderId="5" xfId="3" applyNumberFormat="1" applyFont="1" applyBorder="1"/>
    <xf numFmtId="166" fontId="2" fillId="0" borderId="18" xfId="3" applyNumberFormat="1" applyFont="1" applyBorder="1"/>
    <xf numFmtId="166" fontId="2" fillId="0" borderId="36" xfId="3" applyNumberFormat="1" applyFont="1" applyBorder="1"/>
    <xf numFmtId="43" fontId="2" fillId="0" borderId="36" xfId="2" applyNumberFormat="1" applyFont="1" applyBorder="1"/>
    <xf numFmtId="43" fontId="2" fillId="0" borderId="41" xfId="2" applyNumberFormat="1" applyFont="1" applyBorder="1"/>
    <xf numFmtId="166" fontId="2" fillId="0" borderId="7" xfId="3" applyNumberFormat="1" applyFont="1" applyBorder="1"/>
    <xf numFmtId="166" fontId="2" fillId="0" borderId="20" xfId="3" applyNumberFormat="1" applyFont="1" applyBorder="1"/>
    <xf numFmtId="166" fontId="2" fillId="0" borderId="41" xfId="3" applyNumberFormat="1" applyFont="1" applyBorder="1"/>
  </cellXfs>
  <cellStyles count="290">
    <cellStyle name="Comma" xfId="1" builtinId="3"/>
    <cellStyle name="Comma 10" xfId="108"/>
    <cellStyle name="Comma 11" xfId="109"/>
    <cellStyle name="Comma 12" xfId="110"/>
    <cellStyle name="Comma 13" xfId="111"/>
    <cellStyle name="Comma 14" xfId="112"/>
    <cellStyle name="Comma 15" xfId="113"/>
    <cellStyle name="Comma 16" xfId="114"/>
    <cellStyle name="Comma 17" xfId="115"/>
    <cellStyle name="Comma 18" xfId="116"/>
    <cellStyle name="Comma 19" xfId="117"/>
    <cellStyle name="Comma 2" xfId="5"/>
    <cellStyle name="Comma 2 10" xfId="118"/>
    <cellStyle name="Comma 2 11" xfId="119"/>
    <cellStyle name="Comma 2 12" xfId="120"/>
    <cellStyle name="Comma 2 13" xfId="121"/>
    <cellStyle name="Comma 2 14" xfId="122"/>
    <cellStyle name="Comma 2 15" xfId="123"/>
    <cellStyle name="Comma 2 16" xfId="124"/>
    <cellStyle name="Comma 2 17" xfId="125"/>
    <cellStyle name="Comma 2 18" xfId="126"/>
    <cellStyle name="Comma 2 19" xfId="127"/>
    <cellStyle name="Comma 2 2" xfId="9"/>
    <cellStyle name="Comma 2 2 2" xfId="32"/>
    <cellStyle name="Comma 2 2 3" xfId="77"/>
    <cellStyle name="Comma 2 20" xfId="128"/>
    <cellStyle name="Comma 2 21" xfId="129"/>
    <cellStyle name="Comma 2 22" xfId="130"/>
    <cellStyle name="Comma 2 23" xfId="131"/>
    <cellStyle name="Comma 2 24" xfId="132"/>
    <cellStyle name="Comma 2 25" xfId="67"/>
    <cellStyle name="Comma 2 26" xfId="282"/>
    <cellStyle name="Comma 2 27" xfId="283"/>
    <cellStyle name="Comma 2 28" xfId="284"/>
    <cellStyle name="Comma 2 29" xfId="285"/>
    <cellStyle name="Comma 2 3" xfId="75"/>
    <cellStyle name="Comma 2 4" xfId="89"/>
    <cellStyle name="Comma 2 5" xfId="95"/>
    <cellStyle name="Comma 2 6" xfId="94"/>
    <cellStyle name="Comma 2 7" xfId="99"/>
    <cellStyle name="Comma 2 8" xfId="133"/>
    <cellStyle name="Comma 2 9" xfId="134"/>
    <cellStyle name="Comma 20" xfId="135"/>
    <cellStyle name="Comma 3" xfId="12"/>
    <cellStyle name="Comma 3 2" xfId="33"/>
    <cellStyle name="Comma 3 3" xfId="28"/>
    <cellStyle name="Comma 3 4" xfId="90"/>
    <cellStyle name="Comma 3 5" xfId="96"/>
    <cellStyle name="Comma 3 6" xfId="97"/>
    <cellStyle name="Comma 3 7" xfId="93"/>
    <cellStyle name="Comma 4" xfId="15"/>
    <cellStyle name="Comma 4 2" xfId="136"/>
    <cellStyle name="Comma 5" xfId="16"/>
    <cellStyle name="Comma 5 2" xfId="65"/>
    <cellStyle name="Comma 5 3" xfId="137"/>
    <cellStyle name="Comma 6" xfId="14"/>
    <cellStyle name="Comma 6 2" xfId="138"/>
    <cellStyle name="Comma 9" xfId="139"/>
    <cellStyle name="Comma0" xfId="31"/>
    <cellStyle name="Comma0 2" xfId="34"/>
    <cellStyle name="Comma0 3" xfId="68"/>
    <cellStyle name="Currency" xfId="2" builtinId="4"/>
    <cellStyle name="Currency 10" xfId="140"/>
    <cellStyle name="Currency 11" xfId="141"/>
    <cellStyle name="Currency 12" xfId="142"/>
    <cellStyle name="Currency 13" xfId="143"/>
    <cellStyle name="Currency 14" xfId="144"/>
    <cellStyle name="Currency 15" xfId="145"/>
    <cellStyle name="Currency 16" xfId="146"/>
    <cellStyle name="Currency 17" xfId="147"/>
    <cellStyle name="Currency 18" xfId="148"/>
    <cellStyle name="Currency 19" xfId="149"/>
    <cellStyle name="Currency 2" xfId="30"/>
    <cellStyle name="Currency 2 10" xfId="150"/>
    <cellStyle name="Currency 2 11" xfId="151"/>
    <cellStyle name="Currency 2 12" xfId="152"/>
    <cellStyle name="Currency 2 13" xfId="153"/>
    <cellStyle name="Currency 2 14" xfId="154"/>
    <cellStyle name="Currency 2 15" xfId="155"/>
    <cellStyle name="Currency 2 16" xfId="156"/>
    <cellStyle name="Currency 2 17" xfId="157"/>
    <cellStyle name="Currency 2 18" xfId="158"/>
    <cellStyle name="Currency 2 19" xfId="159"/>
    <cellStyle name="Currency 2 2" xfId="35"/>
    <cellStyle name="Currency 2 20" xfId="160"/>
    <cellStyle name="Currency 2 21" xfId="161"/>
    <cellStyle name="Currency 2 22" xfId="162"/>
    <cellStyle name="Currency 2 23" xfId="163"/>
    <cellStyle name="Currency 2 24" xfId="164"/>
    <cellStyle name="Currency 2 3" xfId="85"/>
    <cellStyle name="Currency 2 4" xfId="86"/>
    <cellStyle name="Currency 2 5" xfId="98"/>
    <cellStyle name="Currency 2 6" xfId="102"/>
    <cellStyle name="Currency 2 7" xfId="105"/>
    <cellStyle name="Currency 2 8" xfId="165"/>
    <cellStyle name="Currency 2 9" xfId="166"/>
    <cellStyle name="Currency 3" xfId="58"/>
    <cellStyle name="Currency 3 2" xfId="36"/>
    <cellStyle name="Currency 4" xfId="63"/>
    <cellStyle name="Currency 4 2" xfId="167"/>
    <cellStyle name="Currency 5" xfId="23"/>
    <cellStyle name="Currency 7" xfId="168"/>
    <cellStyle name="Currency 8" xfId="169"/>
    <cellStyle name="Currency 9" xfId="170"/>
    <cellStyle name="Currency0" xfId="69"/>
    <cellStyle name="Date" xfId="70"/>
    <cellStyle name="Fixed" xfId="71"/>
    <cellStyle name="Heading 1 10" xfId="171"/>
    <cellStyle name="Heading 1 11" xfId="172"/>
    <cellStyle name="Heading 1 12" xfId="173"/>
    <cellStyle name="Heading 1 13" xfId="174"/>
    <cellStyle name="Heading 1 14" xfId="175"/>
    <cellStyle name="Heading 1 15" xfId="176"/>
    <cellStyle name="Heading 1 16" xfId="177"/>
    <cellStyle name="Heading 1 17" xfId="178"/>
    <cellStyle name="Heading 1 18" xfId="179"/>
    <cellStyle name="Heading 1 19" xfId="180"/>
    <cellStyle name="Heading 1 2" xfId="181"/>
    <cellStyle name="Heading 1 20" xfId="72"/>
    <cellStyle name="Heading 1 3" xfId="182"/>
    <cellStyle name="Heading 1 4" xfId="183"/>
    <cellStyle name="Heading 1 5" xfId="184"/>
    <cellStyle name="Heading 1 6" xfId="185"/>
    <cellStyle name="Heading 1 7" xfId="186"/>
    <cellStyle name="Heading 1 8" xfId="187"/>
    <cellStyle name="Heading 1 9" xfId="188"/>
    <cellStyle name="Heading 2 10" xfId="189"/>
    <cellStyle name="Heading 2 11" xfId="190"/>
    <cellStyle name="Heading 2 12" xfId="191"/>
    <cellStyle name="Heading 2 13" xfId="192"/>
    <cellStyle name="Heading 2 14" xfId="193"/>
    <cellStyle name="Heading 2 15" xfId="194"/>
    <cellStyle name="Heading 2 16" xfId="195"/>
    <cellStyle name="Heading 2 17" xfId="196"/>
    <cellStyle name="Heading 2 18" xfId="197"/>
    <cellStyle name="Heading 2 19" xfId="198"/>
    <cellStyle name="Heading 2 2" xfId="199"/>
    <cellStyle name="Heading 2 20" xfId="73"/>
    <cellStyle name="Heading 2 3" xfId="200"/>
    <cellStyle name="Heading 2 4" xfId="201"/>
    <cellStyle name="Heading 2 5" xfId="202"/>
    <cellStyle name="Heading 2 6" xfId="203"/>
    <cellStyle name="Heading 2 7" xfId="204"/>
    <cellStyle name="Heading 2 8" xfId="205"/>
    <cellStyle name="Heading 2 9" xfId="206"/>
    <cellStyle name="Normal" xfId="0" builtinId="0"/>
    <cellStyle name="Normal 10" xfId="60"/>
    <cellStyle name="Normal 10 2" xfId="61"/>
    <cellStyle name="Normal 11" xfId="62"/>
    <cellStyle name="Normal 11 2" xfId="207"/>
    <cellStyle name="Normal 12" xfId="66"/>
    <cellStyle name="Normal 12 2" xfId="208"/>
    <cellStyle name="Normal 13" xfId="209"/>
    <cellStyle name="Normal 14" xfId="210"/>
    <cellStyle name="Normal 15" xfId="211"/>
    <cellStyle name="Normal 16" xfId="212"/>
    <cellStyle name="Normal 17" xfId="213"/>
    <cellStyle name="Normal 18" xfId="214"/>
    <cellStyle name="Normal 19" xfId="215"/>
    <cellStyle name="Normal 2" xfId="4"/>
    <cellStyle name="Normal 2 10" xfId="38"/>
    <cellStyle name="Normal 2 11" xfId="39"/>
    <cellStyle name="Normal 2 12" xfId="40"/>
    <cellStyle name="Normal 2 13" xfId="41"/>
    <cellStyle name="Normal 2 14" xfId="24"/>
    <cellStyle name="Normal 2 15" xfId="216"/>
    <cellStyle name="Normal 2 16" xfId="217"/>
    <cellStyle name="Normal 2 17" xfId="218"/>
    <cellStyle name="Normal 2 18" xfId="219"/>
    <cellStyle name="Normal 2 19" xfId="220"/>
    <cellStyle name="Normal 2 2" xfId="11"/>
    <cellStyle name="Normal 2 2 2" xfId="37"/>
    <cellStyle name="Normal 2 2 2 2" xfId="79"/>
    <cellStyle name="Normal 2 2 3" xfId="88"/>
    <cellStyle name="Normal 2 2 4" xfId="92"/>
    <cellStyle name="Normal 2 20" xfId="221"/>
    <cellStyle name="Normal 2 21" xfId="222"/>
    <cellStyle name="Normal 2 22" xfId="223"/>
    <cellStyle name="Normal 2 23" xfId="224"/>
    <cellStyle name="Normal 2 24" xfId="225"/>
    <cellStyle name="Normal 2 25" xfId="226"/>
    <cellStyle name="Normal 2 26" xfId="227"/>
    <cellStyle name="Normal 2 27" xfId="286"/>
    <cellStyle name="Normal 2 28" xfId="287"/>
    <cellStyle name="Normal 2 29" xfId="288"/>
    <cellStyle name="Normal 2 3" xfId="7"/>
    <cellStyle name="Normal 2 3 2" xfId="42"/>
    <cellStyle name="Normal 2 3 3" xfId="81"/>
    <cellStyle name="Normal 2 30" xfId="289"/>
    <cellStyle name="Normal 2 4" xfId="43"/>
    <cellStyle name="Normal 2 4 2" xfId="83"/>
    <cellStyle name="Normal 2 5" xfId="44"/>
    <cellStyle name="Normal 2 6" xfId="45"/>
    <cellStyle name="Normal 2 7" xfId="46"/>
    <cellStyle name="Normal 2 8" xfId="47"/>
    <cellStyle name="Normal 2 9" xfId="48"/>
    <cellStyle name="Normal 20" xfId="228"/>
    <cellStyle name="Normal 3" xfId="17"/>
    <cellStyle name="Normal 3 2" xfId="49"/>
    <cellStyle name="Normal 3 2 2" xfId="80"/>
    <cellStyle name="Normal 3 3" xfId="59"/>
    <cellStyle name="Normal 3 3 2" xfId="82"/>
    <cellStyle name="Normal 3 4" xfId="25"/>
    <cellStyle name="Normal 3 4 2" xfId="84"/>
    <cellStyle name="Normal 4" xfId="18"/>
    <cellStyle name="Normal 4 2" xfId="50"/>
    <cellStyle name="Normal 4 3" xfId="26"/>
    <cellStyle name="Normal 4 4" xfId="78"/>
    <cellStyle name="Normal 5" xfId="19"/>
    <cellStyle name="Normal 5 2" xfId="27"/>
    <cellStyle name="Normal 5 3" xfId="229"/>
    <cellStyle name="Normal 6" xfId="20"/>
    <cellStyle name="Normal 6 2" xfId="51"/>
    <cellStyle name="Normal 6 3" xfId="230"/>
    <cellStyle name="Normal 7" xfId="13"/>
    <cellStyle name="Normal 7 2" xfId="52"/>
    <cellStyle name="Normal 8" xfId="22"/>
    <cellStyle name="Normal 8 2" xfId="53"/>
    <cellStyle name="Normal 9" xfId="54"/>
    <cellStyle name="Normal 9 2" xfId="231"/>
    <cellStyle name="Percent" xfId="3" builtinId="5"/>
    <cellStyle name="Percent 10" xfId="232"/>
    <cellStyle name="Percent 11" xfId="233"/>
    <cellStyle name="Percent 12" xfId="234"/>
    <cellStyle name="Percent 13" xfId="235"/>
    <cellStyle name="Percent 14" xfId="236"/>
    <cellStyle name="Percent 15" xfId="237"/>
    <cellStyle name="Percent 16" xfId="238"/>
    <cellStyle name="Percent 17" xfId="239"/>
    <cellStyle name="Percent 18" xfId="240"/>
    <cellStyle name="Percent 19" xfId="241"/>
    <cellStyle name="Percent 2" xfId="6"/>
    <cellStyle name="Percent 2 10" xfId="242"/>
    <cellStyle name="Percent 2 11" xfId="243"/>
    <cellStyle name="Percent 2 12" xfId="244"/>
    <cellStyle name="Percent 2 13" xfId="245"/>
    <cellStyle name="Percent 2 14" xfId="246"/>
    <cellStyle name="Percent 2 15" xfId="247"/>
    <cellStyle name="Percent 2 16" xfId="248"/>
    <cellStyle name="Percent 2 17" xfId="249"/>
    <cellStyle name="Percent 2 18" xfId="250"/>
    <cellStyle name="Percent 2 19" xfId="251"/>
    <cellStyle name="Percent 2 2" xfId="8"/>
    <cellStyle name="Percent 2 2 2" xfId="55"/>
    <cellStyle name="Percent 2 20" xfId="252"/>
    <cellStyle name="Percent 2 21" xfId="253"/>
    <cellStyle name="Percent 2 22" xfId="254"/>
    <cellStyle name="Percent 2 23" xfId="255"/>
    <cellStyle name="Percent 2 24" xfId="256"/>
    <cellStyle name="Percent 2 3" xfId="87"/>
    <cellStyle name="Percent 2 4" xfId="76"/>
    <cellStyle name="Percent 2 5" xfId="100"/>
    <cellStyle name="Percent 2 6" xfId="103"/>
    <cellStyle name="Percent 2 7" xfId="106"/>
    <cellStyle name="Percent 2 8" xfId="257"/>
    <cellStyle name="Percent 2 9" xfId="258"/>
    <cellStyle name="Percent 20" xfId="259"/>
    <cellStyle name="Percent 3" xfId="10"/>
    <cellStyle name="Percent 3 2" xfId="56"/>
    <cellStyle name="Percent 3 3" xfId="29"/>
    <cellStyle name="Percent 3 4" xfId="91"/>
    <cellStyle name="Percent 3 5" xfId="101"/>
    <cellStyle name="Percent 3 6" xfId="104"/>
    <cellStyle name="Percent 3 7" xfId="107"/>
    <cellStyle name="Percent 4" xfId="21"/>
    <cellStyle name="Percent 4 2" xfId="57"/>
    <cellStyle name="Percent 5" xfId="64"/>
    <cellStyle name="Percent 5 2" xfId="260"/>
    <cellStyle name="Percent 6" xfId="261"/>
    <cellStyle name="Percent 8" xfId="262"/>
    <cellStyle name="Percent 9" xfId="263"/>
    <cellStyle name="Total 10" xfId="264"/>
    <cellStyle name="Total 11" xfId="265"/>
    <cellStyle name="Total 12" xfId="266"/>
    <cellStyle name="Total 13" xfId="267"/>
    <cellStyle name="Total 14" xfId="268"/>
    <cellStyle name="Total 15" xfId="269"/>
    <cellStyle name="Total 16" xfId="270"/>
    <cellStyle name="Total 17" xfId="271"/>
    <cellStyle name="Total 18" xfId="272"/>
    <cellStyle name="Total 19" xfId="273"/>
    <cellStyle name="Total 2" xfId="274"/>
    <cellStyle name="Total 20" xfId="74"/>
    <cellStyle name="Total 3" xfId="275"/>
    <cellStyle name="Total 4" xfId="276"/>
    <cellStyle name="Total 5" xfId="277"/>
    <cellStyle name="Total 6" xfId="278"/>
    <cellStyle name="Total 7" xfId="279"/>
    <cellStyle name="Total 8" xfId="280"/>
    <cellStyle name="Total 9" xfId="281"/>
  </cellStyles>
  <dxfs count="2">
    <dxf>
      <font>
        <b/>
        <i val="0"/>
        <strike val="0"/>
        <u val="none"/>
        <color theme="0"/>
      </font>
      <fill>
        <patternFill>
          <bgColor rgb="FFFF0000"/>
        </patternFill>
      </fill>
    </dxf>
    <dxf>
      <numFmt numFmtId="27" formatCode="m/d/yyyy\ h:mm"/>
    </dxf>
  </dxfs>
  <tableStyles count="0" defaultTableStyle="TableStyleMedium2" defaultPivotStyle="PivotStyleLight16"/>
  <colors>
    <mruColors>
      <color rgb="FFFFE1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trlProps/ctrlProp1.xml><?xml version="1.0" encoding="utf-8"?>
<formControlPr xmlns="http://schemas.microsoft.com/office/spreadsheetml/2009/9/main" objectType="Drop" dropLines="30" dropStyle="combo" dx="16" fmlaLink="A3" fmlaRange="$X$3:$X$31" noThreeD="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xdr:row>
          <xdr:rowOff>171450</xdr:rowOff>
        </xdr:from>
        <xdr:to>
          <xdr:col>3</xdr:col>
          <xdr:colOff>314325</xdr:colOff>
          <xdr:row>3</xdr:row>
          <xdr:rowOff>85725</xdr:rowOff>
        </xdr:to>
        <xdr:sp macro="" textlink="">
          <xdr:nvSpPr>
            <xdr:cNvPr id="63489" name="Drop Down 1" hidden="1">
              <a:extLst>
                <a:ext uri="{63B3BB69-23CF-44E3-9099-C40C66FF867C}">
                  <a14:compatExt spid="_x0000_s63489"/>
                </a:ext>
              </a:extLst>
            </xdr:cNvPr>
            <xdr:cNvSpPr/>
          </xdr:nvSpPr>
          <xdr:spPr>
            <a:xfrm>
              <a:off x="0" y="0"/>
              <a:ext cx="0" cy="0"/>
            </a:xfrm>
            <a:prstGeom prst="rect">
              <a:avLst/>
            </a:prstGeom>
          </xdr:spPr>
        </xdr:sp>
        <xdr:clientData/>
      </xdr:twoCellAnchor>
    </mc:Choice>
    <mc:Fallback/>
  </mc:AlternateContent>
</xdr:wsDr>
</file>

<file path=xl/queryTables/queryTable1.xml><?xml version="1.0" encoding="utf-8"?>
<queryTable xmlns="http://schemas.openxmlformats.org/spreadsheetml/2006/main" name="Broadway AP_FRP_RFOE CCSurvey" adjustColumnWidth="0" connectionId="1" autoFormatId="16" applyNumberFormats="0" applyBorderFormats="0" applyFontFormats="0" applyPatternFormats="0" applyAlignmentFormats="0" applyWidthHeightFormats="0">
  <queryTableRefresh nextId="315">
    <queryTableFields count="314">
      <queryTableField id="1" name="FICE" tableColumnId="1"/>
      <queryTableField id="2" name="Password" tableColumnId="2"/>
      <queryTableField id="3" name="Approved" tableColumnId="3"/>
      <queryTableField id="4" name="ApprovalDate" tableColumnId="4"/>
      <queryTableField id="5" name="LastMod" tableColumnId="5"/>
      <queryTableField id="6" name="CBNote" tableColumnId="6"/>
      <queryTableField id="7" name="dist_name" tableColumnId="7"/>
      <queryTableField id="8" name="person" tableColumnId="8"/>
      <queryTableField id="9" name="title" tableColumnId="9"/>
      <queryTableField id="10" name="phone" tableColumnId="10"/>
      <queryTableField id="11" name="email" tableColumnId="11"/>
      <queryTableField id="12" name="GrandTotal" tableColumnId="12"/>
      <queryTableField id="13" name="SecATotal" tableColumnId="13"/>
      <queryTableField id="14" name="SecBTotal" tableColumnId="14"/>
      <queryTableField id="15" name="AFRExb2" tableColumnId="15"/>
      <queryTableField id="16" name="Difference" tableColumnId="16"/>
      <queryTableField id="17" name="Sec2Local" tableColumnId="17"/>
      <queryTableField id="18" name="Sec2State" tableColumnId="18"/>
      <queryTableField id="19" name="Sec2_Total" tableColumnId="19"/>
      <queryTableField id="20" name="Sec3SW1" tableColumnId="20"/>
      <queryTableField id="21" name="Sec3SW2" tableColumnId="21"/>
      <queryTableField id="22" name="Sec3SW3" tableColumnId="22"/>
      <queryTableField id="23" name="Sec3SW4" tableColumnId="23"/>
      <queryTableField id="24" name="Sec3SW5" tableColumnId="24"/>
      <queryTableField id="25" name="Sec3SW6" tableColumnId="25"/>
      <queryTableField id="26" name="Sec3SWTotal" tableColumnId="26"/>
      <queryTableField id="27" name="Sec3Oth1" tableColumnId="27"/>
      <queryTableField id="28" name="Sec3Oth2" tableColumnId="28"/>
      <queryTableField id="29" name="Sec3Oth3" tableColumnId="29"/>
      <queryTableField id="30" name="Sec3Oth4" tableColumnId="30"/>
      <queryTableField id="31" name="Sec3Oth5" tableColumnId="31"/>
      <queryTableField id="32" name="Sec3Oth6" tableColumnId="32"/>
      <queryTableField id="33" name="Sec3OthTotal" tableColumnId="33"/>
      <queryTableField id="34" name="Sec3_1" tableColumnId="34"/>
      <queryTableField id="35" name="Sec3_2" tableColumnId="35"/>
      <queryTableField id="36" name="Sec3_3" tableColumnId="36"/>
      <queryTableField id="37" name="Sec3_4" tableColumnId="37"/>
      <queryTableField id="38" name="Sec3_5" tableColumnId="38"/>
      <queryTableField id="39" name="Sec3_6" tableColumnId="39"/>
      <queryTableField id="40" name="Sec3_Total" tableColumnId="40"/>
      <queryTableField id="41" name="Sec4SW1" tableColumnId="41"/>
      <queryTableField id="42" name="Sec4SW2" tableColumnId="42"/>
      <queryTableField id="43" name="Sec4SW3" tableColumnId="43"/>
      <queryTableField id="44" name="Sec4SW4" tableColumnId="44"/>
      <queryTableField id="45" name="Sec4SWTotal" tableColumnId="45"/>
      <queryTableField id="46" name="Sec4Oth1" tableColumnId="46"/>
      <queryTableField id="47" name="Sec4Oth2" tableColumnId="47"/>
      <queryTableField id="48" name="Sec4Oth3" tableColumnId="48"/>
      <queryTableField id="49" name="Sec4Oth4" tableColumnId="49"/>
      <queryTableField id="50" name="Sec4OthTotal" tableColumnId="50"/>
      <queryTableField id="51" name="Sec4_1" tableColumnId="51"/>
      <queryTableField id="52" name="Sec4_2" tableColumnId="52"/>
      <queryTableField id="53" name="Sec4_3" tableColumnId="53"/>
      <queryTableField id="54" name="Sec4_4" tableColumnId="54"/>
      <queryTableField id="55" name="Sec4_Total" tableColumnId="55"/>
      <queryTableField id="56" name="Sec5SW1" tableColumnId="56"/>
      <queryTableField id="57" name="Sec5SW2" tableColumnId="57"/>
      <queryTableField id="58" name="Sec5SW3" tableColumnId="58"/>
      <queryTableField id="59" name="Sec5SW4" tableColumnId="59"/>
      <queryTableField id="60" name="Sec5SW5" tableColumnId="60"/>
      <queryTableField id="61" name="Sec5SWTotal" tableColumnId="61"/>
      <queryTableField id="62" name="Sec5SB1" tableColumnId="62"/>
      <queryTableField id="63" name="Sec5SB2" tableColumnId="63"/>
      <queryTableField id="64" name="Sec5SB3" tableColumnId="64"/>
      <queryTableField id="65" name="Sec5SB4" tableColumnId="65"/>
      <queryTableField id="66" name="Sec5SB5" tableColumnId="66"/>
      <queryTableField id="67" name="Sec5SBTotal" tableColumnId="67"/>
      <queryTableField id="68" name="Sec5Oth1" tableColumnId="68"/>
      <queryTableField id="69" name="Sec5Oth2" tableColumnId="69"/>
      <queryTableField id="70" name="Sec5Oth3" tableColumnId="70"/>
      <queryTableField id="71" name="Sec5Oth4" tableColumnId="71"/>
      <queryTableField id="72" name="Sec5Oth5" tableColumnId="72"/>
      <queryTableField id="73" name="Sec5OthTotal" tableColumnId="73"/>
      <queryTableField id="74" name="Sec5_1" tableColumnId="74"/>
      <queryTableField id="75" name="Sec5_2" tableColumnId="75"/>
      <queryTableField id="76" name="Sec5_3" tableColumnId="76"/>
      <queryTableField id="77" name="Sec5_4" tableColumnId="77"/>
      <queryTableField id="78" name="Sec5_5" tableColumnId="78"/>
      <queryTableField id="79" name="Sec5_Total" tableColumnId="79"/>
      <queryTableField id="80" name="Sec6SW1" tableColumnId="80"/>
      <queryTableField id="81" name="Sec6SW2" tableColumnId="81"/>
      <queryTableField id="82" name="Sec6SW3" tableColumnId="82"/>
      <queryTableField id="83" name="Sec6SWTotal" tableColumnId="83"/>
      <queryTableField id="84" name="Sec6SB1" tableColumnId="84"/>
      <queryTableField id="85" name="Sec6SB2" tableColumnId="85"/>
      <queryTableField id="86" name="Sec6SB3" tableColumnId="86"/>
      <queryTableField id="87" name="Sec6SBTotal" tableColumnId="87"/>
      <queryTableField id="88" name="Sec6Oth1" tableColumnId="88"/>
      <queryTableField id="89" name="Sec6Oth2" tableColumnId="89"/>
      <queryTableField id="90" name="Sec6Oth3" tableColumnId="90"/>
      <queryTableField id="91" name="Sec6OthTotal" tableColumnId="91"/>
      <queryTableField id="92" name="Sec6_1" tableColumnId="92"/>
      <queryTableField id="93" name="Sec6_2" tableColumnId="93"/>
      <queryTableField id="94" name="Sec6_3" tableColumnId="94"/>
      <queryTableField id="95" name="Sec6_Total" tableColumnId="95"/>
      <queryTableField id="96" name="FICE_Link" tableColumnId="96"/>
      <queryTableField id="97" name="LocalBenefits" tableColumnId="97"/>
      <queryTableField id="98" name="StateBenefits" tableColumnId="98"/>
      <queryTableField id="99" name="HRS1" tableColumnId="99"/>
      <queryTableField id="100" name="HRS2" tableColumnId="100"/>
      <queryTableField id="101" name="HRS3" tableColumnId="101"/>
      <queryTableField id="102" name="HRS4" tableColumnId="102"/>
      <queryTableField id="103" name="HRS5" tableColumnId="103"/>
      <queryTableField id="104" name="HRS6" tableColumnId="104"/>
      <queryTableField id="105" name="HRS7" tableColumnId="105"/>
      <queryTableField id="106" name="HRS8" tableColumnId="106"/>
      <queryTableField id="107" name="HRS9" tableColumnId="107"/>
      <queryTableField id="108" name="HRS10" tableColumnId="108"/>
      <queryTableField id="109" name="HRS11" tableColumnId="109"/>
      <queryTableField id="110" name="HRS12" tableColumnId="110"/>
      <queryTableField id="111" name="HRS13" tableColumnId="111"/>
      <queryTableField id="112" name="HRS14" tableColumnId="112"/>
      <queryTableField id="113" name="HRS15" tableColumnId="113"/>
      <queryTableField id="114" name="HRS16" tableColumnId="114"/>
      <queryTableField id="115" name="HRS17" tableColumnId="115"/>
      <queryTableField id="116" name="HRS18" tableColumnId="116"/>
      <queryTableField id="117" name="HRS19" tableColumnId="117"/>
      <queryTableField id="118" name="HRS20" tableColumnId="118"/>
      <queryTableField id="119" name="HRS21" tableColumnId="119"/>
      <queryTableField id="120" name="HRS22" tableColumnId="120"/>
      <queryTableField id="121" name="HRS23" tableColumnId="121"/>
      <queryTableField id="122" name="HRS24" tableColumnId="122"/>
      <queryTableField id="123" name="HRS25" tableColumnId="123"/>
      <queryTableField id="124" name="HRS26" tableColumnId="124"/>
      <queryTableField id="125" name="HRS27" tableColumnId="125"/>
      <queryTableField id="126" name="HRS28" tableColumnId="126"/>
      <queryTableField id="127" name="HRS29" tableColumnId="127"/>
      <queryTableField id="128" name="HRSTotal" tableColumnId="128"/>
      <queryTableField id="129" name="FacSal1" tableColumnId="129"/>
      <queryTableField id="130" name="FacSal2" tableColumnId="130"/>
      <queryTableField id="131" name="FacSal3" tableColumnId="131"/>
      <queryTableField id="132" name="FacSal4" tableColumnId="132"/>
      <queryTableField id="133" name="FacSal5" tableColumnId="133"/>
      <queryTableField id="134" name="FacSal6" tableColumnId="134"/>
      <queryTableField id="135" name="FacSal7" tableColumnId="135"/>
      <queryTableField id="136" name="FacSal8" tableColumnId="136"/>
      <queryTableField id="137" name="FacSal9" tableColumnId="137"/>
      <queryTableField id="138" name="FacSal10" tableColumnId="138"/>
      <queryTableField id="139" name="FacSal11" tableColumnId="139"/>
      <queryTableField id="140" name="FacSal12" tableColumnId="140"/>
      <queryTableField id="141" name="FacSal13" tableColumnId="141"/>
      <queryTableField id="142" name="FacSal14" tableColumnId="142"/>
      <queryTableField id="143" name="FacSal15" tableColumnId="143"/>
      <queryTableField id="144" name="FacSal16" tableColumnId="144"/>
      <queryTableField id="145" name="FacSal17" tableColumnId="145"/>
      <queryTableField id="146" name="FacSal18" tableColumnId="146"/>
      <queryTableField id="147" name="FacSal19" tableColumnId="147"/>
      <queryTableField id="148" name="FacSal20" tableColumnId="148"/>
      <queryTableField id="149" name="FacSal21" tableColumnId="149"/>
      <queryTableField id="150" name="FacSal22" tableColumnId="150"/>
      <queryTableField id="151" name="FacSal23" tableColumnId="151"/>
      <queryTableField id="152" name="FacSal24" tableColumnId="152"/>
      <queryTableField id="153" name="FacSal25" tableColumnId="153"/>
      <queryTableField id="154" name="FacSal26" tableColumnId="154"/>
      <queryTableField id="155" name="FacSal27" tableColumnId="155"/>
      <queryTableField id="156" name="FacSal28" tableColumnId="156"/>
      <queryTableField id="157" name="FacSal29" tableColumnId="157"/>
      <queryTableField id="158" name="FacSalTotal" tableColumnId="158"/>
      <queryTableField id="159" name="OthSal1" tableColumnId="159"/>
      <queryTableField id="160" name="OthSal2" tableColumnId="160"/>
      <queryTableField id="161" name="OthSal3" tableColumnId="161"/>
      <queryTableField id="162" name="OthSal4" tableColumnId="162"/>
      <queryTableField id="163" name="OthSal5" tableColumnId="163"/>
      <queryTableField id="164" name="OthSal6" tableColumnId="164"/>
      <queryTableField id="165" name="OthSal7" tableColumnId="165"/>
      <queryTableField id="166" name="OthSal8" tableColumnId="166"/>
      <queryTableField id="167" name="OthSal9" tableColumnId="167"/>
      <queryTableField id="168" name="OthSal10" tableColumnId="168"/>
      <queryTableField id="169" name="OthSal11" tableColumnId="169"/>
      <queryTableField id="170" name="OthSal12" tableColumnId="170"/>
      <queryTableField id="171" name="OthSal13" tableColumnId="171"/>
      <queryTableField id="172" name="OthSal14" tableColumnId="172"/>
      <queryTableField id="173" name="OthSal15" tableColumnId="173"/>
      <queryTableField id="174" name="OthSal16" tableColumnId="174"/>
      <queryTableField id="175" name="OthSal17" tableColumnId="175"/>
      <queryTableField id="176" name="OthSal18" tableColumnId="176"/>
      <queryTableField id="177" name="OthSal19" tableColumnId="177"/>
      <queryTableField id="178" name="OthSal20" tableColumnId="178"/>
      <queryTableField id="179" name="OthSal21" tableColumnId="179"/>
      <queryTableField id="180" name="OthSal22" tableColumnId="180"/>
      <queryTableField id="181" name="OthSal23" tableColumnId="181"/>
      <queryTableField id="182" name="OthSal24" tableColumnId="182"/>
      <queryTableField id="183" name="OthSal25" tableColumnId="183"/>
      <queryTableField id="184" name="OthSal26" tableColumnId="184"/>
      <queryTableField id="185" name="OthSal27" tableColumnId="185"/>
      <queryTableField id="186" name="OthSal28" tableColumnId="186"/>
      <queryTableField id="187" name="OthSal29" tableColumnId="187"/>
      <queryTableField id="188" name="OthSalTotal" tableColumnId="188"/>
      <queryTableField id="189" name="Benefits1" tableColumnId="189"/>
      <queryTableField id="190" name="Benefits2" tableColumnId="190"/>
      <queryTableField id="191" name="Benefits3" tableColumnId="191"/>
      <queryTableField id="192" name="Benefits4" tableColumnId="192"/>
      <queryTableField id="193" name="Benefits5" tableColumnId="193"/>
      <queryTableField id="194" name="Benefits6" tableColumnId="194"/>
      <queryTableField id="195" name="Benefits7" tableColumnId="195"/>
      <queryTableField id="196" name="Benefits8" tableColumnId="196"/>
      <queryTableField id="197" name="Benefits9" tableColumnId="197"/>
      <queryTableField id="198" name="Benefits10" tableColumnId="198"/>
      <queryTableField id="199" name="Benefits11" tableColumnId="199"/>
      <queryTableField id="200" name="Benefits12" tableColumnId="200"/>
      <queryTableField id="201" name="Benefits13" tableColumnId="201"/>
      <queryTableField id="202" name="Benefits14" tableColumnId="202"/>
      <queryTableField id="203" name="Benefits15" tableColumnId="203"/>
      <queryTableField id="204" name="Benefits16" tableColumnId="204"/>
      <queryTableField id="205" name="Benefits17" tableColumnId="205"/>
      <queryTableField id="206" name="Benefits18" tableColumnId="206"/>
      <queryTableField id="207" name="Benefits19" tableColumnId="207"/>
      <queryTableField id="208" name="Benefits20" tableColumnId="208"/>
      <queryTableField id="209" name="Benefits21" tableColumnId="209"/>
      <queryTableField id="210" name="Benefits22" tableColumnId="210"/>
      <queryTableField id="211" name="Benefits23" tableColumnId="211"/>
      <queryTableField id="212" name="Benefits24" tableColumnId="212"/>
      <queryTableField id="213" name="Benefits25" tableColumnId="213"/>
      <queryTableField id="214" name="Benefits26" tableColumnId="214"/>
      <queryTableField id="215" name="Benefits27" tableColumnId="215"/>
      <queryTableField id="216" name="Benefits28" tableColumnId="216"/>
      <queryTableField id="217" name="Benefits29" tableColumnId="217"/>
      <queryTableField id="218" name="BenefitsTotal" tableColumnId="218"/>
      <queryTableField id="219" name="OtherOps1" tableColumnId="219"/>
      <queryTableField id="220" name="OtherOps2" tableColumnId="220"/>
      <queryTableField id="221" name="OtherOps3" tableColumnId="221"/>
      <queryTableField id="222" name="OtherOps4" tableColumnId="222"/>
      <queryTableField id="223" name="OtherOps5" tableColumnId="223"/>
      <queryTableField id="224" name="OtherOps6" tableColumnId="224"/>
      <queryTableField id="225" name="OtherOps7" tableColumnId="225"/>
      <queryTableField id="226" name="OtherOps8" tableColumnId="226"/>
      <queryTableField id="227" name="OtherOps9" tableColumnId="227"/>
      <queryTableField id="228" name="OtherOps10" tableColumnId="228"/>
      <queryTableField id="229" name="OtherOps11" tableColumnId="229"/>
      <queryTableField id="230" name="OtherOps12" tableColumnId="230"/>
      <queryTableField id="231" name="OtherOps13" tableColumnId="231"/>
      <queryTableField id="232" name="OtherOps14" tableColumnId="232"/>
      <queryTableField id="233" name="OtherOps15" tableColumnId="233"/>
      <queryTableField id="234" name="OtherOps16" tableColumnId="234"/>
      <queryTableField id="235" name="OtherOps17" tableColumnId="235"/>
      <queryTableField id="236" name="OtherOps18" tableColumnId="236"/>
      <queryTableField id="237" name="OtherOps19" tableColumnId="237"/>
      <queryTableField id="238" name="OtherOps20" tableColumnId="238"/>
      <queryTableField id="239" name="OtherOps21" tableColumnId="239"/>
      <queryTableField id="240" name="OtherOps22" tableColumnId="240"/>
      <queryTableField id="241" name="OtherOps23" tableColumnId="241"/>
      <queryTableField id="242" name="OtherOps24" tableColumnId="242"/>
      <queryTableField id="243" name="OtherOps25" tableColumnId="243"/>
      <queryTableField id="244" name="OtherOps26" tableColumnId="244"/>
      <queryTableField id="245" name="OtherOps27" tableColumnId="245"/>
      <queryTableField id="246" name="OtherOps28" tableColumnId="246"/>
      <queryTableField id="247" name="OtherOps29" tableColumnId="247"/>
      <queryTableField id="248" name="OtherOpsTotal" tableColumnId="248"/>
      <queryTableField id="249" name="DOE1" tableColumnId="249"/>
      <queryTableField id="250" name="DOE2" tableColumnId="250"/>
      <queryTableField id="251" name="DOE3" tableColumnId="251"/>
      <queryTableField id="252" name="DOE4" tableColumnId="252"/>
      <queryTableField id="253" name="DOE5" tableColumnId="253"/>
      <queryTableField id="254" name="DOE6" tableColumnId="254"/>
      <queryTableField id="255" name="DOE7" tableColumnId="255"/>
      <queryTableField id="256" name="DOE8" tableColumnId="256"/>
      <queryTableField id="257" name="DOE9" tableColumnId="257"/>
      <queryTableField id="258" name="DOE10" tableColumnId="258"/>
      <queryTableField id="259" name="DOE11" tableColumnId="259"/>
      <queryTableField id="260" name="DOE12" tableColumnId="260"/>
      <queryTableField id="261" name="DOE13" tableColumnId="261"/>
      <queryTableField id="262" name="DOE14" tableColumnId="262"/>
      <queryTableField id="263" name="DOE15" tableColumnId="263"/>
      <queryTableField id="264" name="DOE16" tableColumnId="264"/>
      <queryTableField id="265" name="DOE17" tableColumnId="265"/>
      <queryTableField id="266" name="DOE18" tableColumnId="266"/>
      <queryTableField id="267" name="DOE19" tableColumnId="267"/>
      <queryTableField id="268" name="DOE20" tableColumnId="268"/>
      <queryTableField id="269" name="DOE21" tableColumnId="269"/>
      <queryTableField id="270" name="DOE22" tableColumnId="270"/>
      <queryTableField id="271" name="DOE23" tableColumnId="271"/>
      <queryTableField id="272" name="DOE24" tableColumnId="272"/>
      <queryTableField id="273" name="DOE25" tableColumnId="273"/>
      <queryTableField id="274" name="DOE26" tableColumnId="274"/>
      <queryTableField id="275" name="DOE27" tableColumnId="275"/>
      <queryTableField id="276" name="DOE28" tableColumnId="276"/>
      <queryTableField id="277" name="DOE29" tableColumnId="277"/>
      <queryTableField id="278" name="DOETotal" tableColumnId="278"/>
      <queryTableField id="279" name="Total1" tableColumnId="279"/>
      <queryTableField id="280" name="Total2" tableColumnId="280"/>
      <queryTableField id="281" name="Total3" tableColumnId="281"/>
      <queryTableField id="282" name="Total4" tableColumnId="282"/>
      <queryTableField id="283" name="Total5" tableColumnId="283"/>
      <queryTableField id="284" name="Total6" tableColumnId="284"/>
      <queryTableField id="285" name="Total7" tableColumnId="285"/>
      <queryTableField id="286" name="Total8" tableColumnId="286"/>
      <queryTableField id="287" name="Total9" tableColumnId="287"/>
      <queryTableField id="288" name="Total10" tableColumnId="288"/>
      <queryTableField id="289" name="Total11" tableColumnId="289"/>
      <queryTableField id="290" name="Total12" tableColumnId="290"/>
      <queryTableField id="291" name="Total13" tableColumnId="291"/>
      <queryTableField id="292" name="Total14" tableColumnId="292"/>
      <queryTableField id="293" name="Total15" tableColumnId="293"/>
      <queryTableField id="294" name="Total16" tableColumnId="294"/>
      <queryTableField id="295" name="Total17" tableColumnId="295"/>
      <queryTableField id="296" name="Total18" tableColumnId="296"/>
      <queryTableField id="297" name="Total19" tableColumnId="297"/>
      <queryTableField id="298" name="Total20" tableColumnId="298"/>
      <queryTableField id="299" name="Total21" tableColumnId="299"/>
      <queryTableField id="300" name="Total22" tableColumnId="300"/>
      <queryTableField id="301" name="Total23" tableColumnId="301"/>
      <queryTableField id="302" name="Total24" tableColumnId="302"/>
      <queryTableField id="303" name="Total25" tableColumnId="303"/>
      <queryTableField id="304" name="Total26" tableColumnId="304"/>
      <queryTableField id="305" name="Total27" tableColumnId="305"/>
      <queryTableField id="306" name="Total28" tableColumnId="306"/>
      <queryTableField id="307" name="Total29" tableColumnId="307"/>
      <queryTableField id="308" name="Sec1_Total" tableColumnId="308"/>
      <queryTableField id="309" name="Comments" tableColumnId="309"/>
      <queryTableField id="310" name="PartA" tableColumnId="310"/>
      <queryTableField id="311" name="PartB" tableColumnId="311"/>
      <queryTableField id="312" name="GrandTotalExpenses" tableColumnId="312"/>
      <queryTableField id="313" name="AFRDifference" tableColumnId="313"/>
      <queryTableField id="314" name="Depreciation" tableColumnId="3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Broadway_AP_FRP_RFOE_CCSurvey" displayName="Table_Broadway_AP_FRP_RFOE_CCSurvey" ref="A4:LB63" tableType="queryTable" totalsRowShown="0">
  <autoFilter ref="A4:LB63"/>
  <sortState ref="A5:LB63">
    <sortCondition ref="G4"/>
  </sortState>
  <tableColumns count="314">
    <tableColumn id="1" uniqueName="1" name="FICE" queryTableFieldId="1"/>
    <tableColumn id="2" uniqueName="2" name="Password" queryTableFieldId="2"/>
    <tableColumn id="3" uniqueName="3" name="Approved" queryTableFieldId="3"/>
    <tableColumn id="4" uniqueName="4" name="ApprovalDate" queryTableFieldId="4"/>
    <tableColumn id="5" uniqueName="5" name="LastMod" queryTableFieldId="5" dataDxfId="1"/>
    <tableColumn id="6" uniqueName="6" name="CBNote" queryTableFieldId="6"/>
    <tableColumn id="7" uniqueName="7" name="dist_name" queryTableFieldId="7"/>
    <tableColumn id="8" uniqueName="8" name="person" queryTableFieldId="8"/>
    <tableColumn id="9" uniqueName="9" name="title" queryTableFieldId="9"/>
    <tableColumn id="10" uniqueName="10" name="phone" queryTableFieldId="10"/>
    <tableColumn id="11" uniqueName="11" name="email" queryTableFieldId="11"/>
    <tableColumn id="12" uniqueName="12" name="GrandTotal" queryTableFieldId="12"/>
    <tableColumn id="13" uniqueName="13" name="SecATotal" queryTableFieldId="13"/>
    <tableColumn id="14" uniqueName="14" name="SecBTotal" queryTableFieldId="14"/>
    <tableColumn id="15" uniqueName="15" name="AFRExb2" queryTableFieldId="15"/>
    <tableColumn id="16" uniqueName="16" name="Difference" queryTableFieldId="16"/>
    <tableColumn id="17" uniqueName="17" name="Sec2Local" queryTableFieldId="17"/>
    <tableColumn id="18" uniqueName="18" name="Sec2State" queryTableFieldId="18"/>
    <tableColumn id="19" uniqueName="19" name="Sec2_Total" queryTableFieldId="19"/>
    <tableColumn id="20" uniqueName="20" name="Sec3SW1" queryTableFieldId="20"/>
    <tableColumn id="21" uniqueName="21" name="Sec3SW2" queryTableFieldId="21"/>
    <tableColumn id="22" uniqueName="22" name="Sec3SW3" queryTableFieldId="22"/>
    <tableColumn id="23" uniqueName="23" name="Sec3SW4" queryTableFieldId="23"/>
    <tableColumn id="24" uniqueName="24" name="Sec3SW5" queryTableFieldId="24"/>
    <tableColumn id="25" uniqueName="25" name="Sec3SW6" queryTableFieldId="25"/>
    <tableColumn id="26" uniqueName="26" name="Sec3SWTotal" queryTableFieldId="26"/>
    <tableColumn id="27" uniqueName="27" name="Sec3Oth1" queryTableFieldId="27"/>
    <tableColumn id="28" uniqueName="28" name="Sec3Oth2" queryTableFieldId="28"/>
    <tableColumn id="29" uniqueName="29" name="Sec3Oth3" queryTableFieldId="29"/>
    <tableColumn id="30" uniqueName="30" name="Sec3Oth4" queryTableFieldId="30"/>
    <tableColumn id="31" uniqueName="31" name="Sec3Oth5" queryTableFieldId="31"/>
    <tableColumn id="32" uniqueName="32" name="Sec3Oth6" queryTableFieldId="32"/>
    <tableColumn id="33" uniqueName="33" name="Sec3OthTotal" queryTableFieldId="33"/>
    <tableColumn id="34" uniqueName="34" name="Sec3_1" queryTableFieldId="34"/>
    <tableColumn id="35" uniqueName="35" name="Sec3_2" queryTableFieldId="35"/>
    <tableColumn id="36" uniqueName="36" name="Sec3_3" queryTableFieldId="36"/>
    <tableColumn id="37" uniqueName="37" name="Sec3_4" queryTableFieldId="37"/>
    <tableColumn id="38" uniqueName="38" name="Sec3_5" queryTableFieldId="38"/>
    <tableColumn id="39" uniqueName="39" name="Sec3_6" queryTableFieldId="39"/>
    <tableColumn id="40" uniqueName="40" name="Sec3_Total" queryTableFieldId="40"/>
    <tableColumn id="41" uniqueName="41" name="Sec4SW1" queryTableFieldId="41"/>
    <tableColumn id="42" uniqueName="42" name="Sec4SW2" queryTableFieldId="42"/>
    <tableColumn id="43" uniqueName="43" name="Sec4SW3" queryTableFieldId="43"/>
    <tableColumn id="44" uniqueName="44" name="Sec4SW4" queryTableFieldId="44"/>
    <tableColumn id="45" uniqueName="45" name="Sec4SWTotal" queryTableFieldId="45"/>
    <tableColumn id="46" uniqueName="46" name="Sec4Oth1" queryTableFieldId="46"/>
    <tableColumn id="47" uniqueName="47" name="Sec4Oth2" queryTableFieldId="47"/>
    <tableColumn id="48" uniqueName="48" name="Sec4Oth3" queryTableFieldId="48"/>
    <tableColumn id="49" uniqueName="49" name="Sec4Oth4" queryTableFieldId="49"/>
    <tableColumn id="50" uniqueName="50" name="Sec4OthTotal" queryTableFieldId="50"/>
    <tableColumn id="51" uniqueName="51" name="Sec4_1" queryTableFieldId="51"/>
    <tableColumn id="52" uniqueName="52" name="Sec4_2" queryTableFieldId="52"/>
    <tableColumn id="53" uniqueName="53" name="Sec4_3" queryTableFieldId="53"/>
    <tableColumn id="54" uniqueName="54" name="Sec4_4" queryTableFieldId="54"/>
    <tableColumn id="55" uniqueName="55" name="Sec4_Total" queryTableFieldId="55"/>
    <tableColumn id="56" uniqueName="56" name="Sec5SW1" queryTableFieldId="56"/>
    <tableColumn id="57" uniqueName="57" name="Sec5SW2" queryTableFieldId="57"/>
    <tableColumn id="58" uniqueName="58" name="Sec5SW3" queryTableFieldId="58"/>
    <tableColumn id="59" uniqueName="59" name="Sec5SW4" queryTableFieldId="59"/>
    <tableColumn id="60" uniqueName="60" name="Sec5SW5" queryTableFieldId="60"/>
    <tableColumn id="61" uniqueName="61" name="Sec5SWTotal" queryTableFieldId="61"/>
    <tableColumn id="62" uniqueName="62" name="Sec5SB1" queryTableFieldId="62"/>
    <tableColumn id="63" uniqueName="63" name="Sec5SB2" queryTableFieldId="63"/>
    <tableColumn id="64" uniqueName="64" name="Sec5SB3" queryTableFieldId="64"/>
    <tableColumn id="65" uniqueName="65" name="Sec5SB4" queryTableFieldId="65"/>
    <tableColumn id="66" uniqueName="66" name="Sec5SB5" queryTableFieldId="66"/>
    <tableColumn id="67" uniqueName="67" name="Sec5SBTotal" queryTableFieldId="67"/>
    <tableColumn id="68" uniqueName="68" name="Sec5Oth1" queryTableFieldId="68"/>
    <tableColumn id="69" uniqueName="69" name="Sec5Oth2" queryTableFieldId="69"/>
    <tableColumn id="70" uniqueName="70" name="Sec5Oth3" queryTableFieldId="70"/>
    <tableColumn id="71" uniqueName="71" name="Sec5Oth4" queryTableFieldId="71"/>
    <tableColumn id="72" uniqueName="72" name="Sec5Oth5" queryTableFieldId="72"/>
    <tableColumn id="73" uniqueName="73" name="Sec5OthTotal" queryTableFieldId="73"/>
    <tableColumn id="74" uniqueName="74" name="Sec5_1" queryTableFieldId="74"/>
    <tableColumn id="75" uniqueName="75" name="Sec5_2" queryTableFieldId="75"/>
    <tableColumn id="76" uniqueName="76" name="Sec5_3" queryTableFieldId="76"/>
    <tableColumn id="77" uniqueName="77" name="Sec5_4" queryTableFieldId="77"/>
    <tableColumn id="78" uniqueName="78" name="Sec5_5" queryTableFieldId="78"/>
    <tableColumn id="79" uniqueName="79" name="Sec5_Total" queryTableFieldId="79"/>
    <tableColumn id="80" uniqueName="80" name="Sec6SW1" queryTableFieldId="80"/>
    <tableColumn id="81" uniqueName="81" name="Sec6SW2" queryTableFieldId="81"/>
    <tableColumn id="82" uniqueName="82" name="Sec6SW3" queryTableFieldId="82"/>
    <tableColumn id="83" uniqueName="83" name="Sec6SWTotal" queryTableFieldId="83"/>
    <tableColumn id="84" uniqueName="84" name="Sec6SB1" queryTableFieldId="84"/>
    <tableColumn id="85" uniqueName="85" name="Sec6SB2" queryTableFieldId="85"/>
    <tableColumn id="86" uniqueName="86" name="Sec6SB3" queryTableFieldId="86"/>
    <tableColumn id="87" uniqueName="87" name="Sec6SBTotal" queryTableFieldId="87"/>
    <tableColumn id="88" uniqueName="88" name="Sec6Oth1" queryTableFieldId="88"/>
    <tableColumn id="89" uniqueName="89" name="Sec6Oth2" queryTableFieldId="89"/>
    <tableColumn id="90" uniqueName="90" name="Sec6Oth3" queryTableFieldId="90"/>
    <tableColumn id="91" uniqueName="91" name="Sec6OthTotal" queryTableFieldId="91"/>
    <tableColumn id="92" uniqueName="92" name="Sec6_1" queryTableFieldId="92"/>
    <tableColumn id="93" uniqueName="93" name="Sec6_2" queryTableFieldId="93"/>
    <tableColumn id="94" uniqueName="94" name="Sec6_3" queryTableFieldId="94"/>
    <tableColumn id="95" uniqueName="95" name="Sec6_Total" queryTableFieldId="95"/>
    <tableColumn id="96" uniqueName="96" name="FICE_Link" queryTableFieldId="96"/>
    <tableColumn id="97" uniqueName="97" name="LocalBenefits" queryTableFieldId="97"/>
    <tableColumn id="98" uniqueName="98" name="StateBenefits" queryTableFieldId="98"/>
    <tableColumn id="99" uniqueName="99" name="HRS1" queryTableFieldId="99"/>
    <tableColumn id="100" uniqueName="100" name="HRS2" queryTableFieldId="100"/>
    <tableColumn id="101" uniqueName="101" name="HRS3" queryTableFieldId="101"/>
    <tableColumn id="102" uniqueName="102" name="HRS4" queryTableFieldId="102"/>
    <tableColumn id="103" uniqueName="103" name="HRS5" queryTableFieldId="103"/>
    <tableColumn id="104" uniqueName="104" name="HRS6" queryTableFieldId="104"/>
    <tableColumn id="105" uniqueName="105" name="HRS7" queryTableFieldId="105"/>
    <tableColumn id="106" uniqueName="106" name="HRS8" queryTableFieldId="106"/>
    <tableColumn id="107" uniqueName="107" name="HRS9" queryTableFieldId="107"/>
    <tableColumn id="108" uniqueName="108" name="HRS10" queryTableFieldId="108"/>
    <tableColumn id="109" uniqueName="109" name="HRS11" queryTableFieldId="109"/>
    <tableColumn id="110" uniqueName="110" name="HRS12" queryTableFieldId="110"/>
    <tableColumn id="111" uniqueName="111" name="HRS13" queryTableFieldId="111"/>
    <tableColumn id="112" uniqueName="112" name="HRS14" queryTableFieldId="112"/>
    <tableColumn id="113" uniqueName="113" name="HRS15" queryTableFieldId="113"/>
    <tableColumn id="114" uniqueName="114" name="HRS16" queryTableFieldId="114"/>
    <tableColumn id="115" uniqueName="115" name="HRS17" queryTableFieldId="115"/>
    <tableColumn id="116" uniqueName="116" name="HRS18" queryTableFieldId="116"/>
    <tableColumn id="117" uniqueName="117" name="HRS19" queryTableFieldId="117"/>
    <tableColumn id="118" uniqueName="118" name="HRS20" queryTableFieldId="118"/>
    <tableColumn id="119" uniqueName="119" name="HRS21" queryTableFieldId="119"/>
    <tableColumn id="120" uniqueName="120" name="HRS22" queryTableFieldId="120"/>
    <tableColumn id="121" uniqueName="121" name="HRS23" queryTableFieldId="121"/>
    <tableColumn id="122" uniqueName="122" name="HRS24" queryTableFieldId="122"/>
    <tableColumn id="123" uniqueName="123" name="HRS25" queryTableFieldId="123"/>
    <tableColumn id="124" uniqueName="124" name="HRS26" queryTableFieldId="124"/>
    <tableColumn id="125" uniqueName="125" name="HRS27" queryTableFieldId="125"/>
    <tableColumn id="126" uniqueName="126" name="HRS28" queryTableFieldId="126"/>
    <tableColumn id="127" uniqueName="127" name="HRS29" queryTableFieldId="127"/>
    <tableColumn id="128" uniqueName="128" name="HRSTotal" queryTableFieldId="128"/>
    <tableColumn id="129" uniqueName="129" name="FacSal1" queryTableFieldId="129"/>
    <tableColumn id="130" uniqueName="130" name="FacSal2" queryTableFieldId="130"/>
    <tableColumn id="131" uniqueName="131" name="FacSal3" queryTableFieldId="131"/>
    <tableColumn id="132" uniqueName="132" name="FacSal4" queryTableFieldId="132"/>
    <tableColumn id="133" uniqueName="133" name="FacSal5" queryTableFieldId="133"/>
    <tableColumn id="134" uniqueName="134" name="FacSal6" queryTableFieldId="134"/>
    <tableColumn id="135" uniqueName="135" name="FacSal7" queryTableFieldId="135"/>
    <tableColumn id="136" uniqueName="136" name="FacSal8" queryTableFieldId="136"/>
    <tableColumn id="137" uniqueName="137" name="FacSal9" queryTableFieldId="137"/>
    <tableColumn id="138" uniqueName="138" name="FacSal10" queryTableFieldId="138"/>
    <tableColumn id="139" uniqueName="139" name="FacSal11" queryTableFieldId="139"/>
    <tableColumn id="140" uniqueName="140" name="FacSal12" queryTableFieldId="140"/>
    <tableColumn id="141" uniqueName="141" name="FacSal13" queryTableFieldId="141"/>
    <tableColumn id="142" uniqueName="142" name="FacSal14" queryTableFieldId="142"/>
    <tableColumn id="143" uniqueName="143" name="FacSal15" queryTableFieldId="143"/>
    <tableColumn id="144" uniqueName="144" name="FacSal16" queryTableFieldId="144"/>
    <tableColumn id="145" uniqueName="145" name="FacSal17" queryTableFieldId="145"/>
    <tableColumn id="146" uniqueName="146" name="FacSal18" queryTableFieldId="146"/>
    <tableColumn id="147" uniqueName="147" name="FacSal19" queryTableFieldId="147"/>
    <tableColumn id="148" uniqueName="148" name="FacSal20" queryTableFieldId="148"/>
    <tableColumn id="149" uniqueName="149" name="FacSal21" queryTableFieldId="149"/>
    <tableColumn id="150" uniqueName="150" name="FacSal22" queryTableFieldId="150"/>
    <tableColumn id="151" uniqueName="151" name="FacSal23" queryTableFieldId="151"/>
    <tableColumn id="152" uniqueName="152" name="FacSal24" queryTableFieldId="152"/>
    <tableColumn id="153" uniqueName="153" name="FacSal25" queryTableFieldId="153"/>
    <tableColumn id="154" uniqueName="154" name="FacSal26" queryTableFieldId="154"/>
    <tableColumn id="155" uniqueName="155" name="FacSal27" queryTableFieldId="155"/>
    <tableColumn id="156" uniqueName="156" name="FacSal28" queryTableFieldId="156"/>
    <tableColumn id="157" uniqueName="157" name="FacSal29" queryTableFieldId="157"/>
    <tableColumn id="158" uniqueName="158" name="FacSalTotal" queryTableFieldId="158"/>
    <tableColumn id="159" uniqueName="159" name="OthSal1" queryTableFieldId="159"/>
    <tableColumn id="160" uniqueName="160" name="OthSal2" queryTableFieldId="160"/>
    <tableColumn id="161" uniqueName="161" name="OthSal3" queryTableFieldId="161"/>
    <tableColumn id="162" uniqueName="162" name="OthSal4" queryTableFieldId="162"/>
    <tableColumn id="163" uniqueName="163" name="OthSal5" queryTableFieldId="163"/>
    <tableColumn id="164" uniqueName="164" name="OthSal6" queryTableFieldId="164"/>
    <tableColumn id="165" uniqueName="165" name="OthSal7" queryTableFieldId="165"/>
    <tableColumn id="166" uniqueName="166" name="OthSal8" queryTableFieldId="166"/>
    <tableColumn id="167" uniqueName="167" name="OthSal9" queryTableFieldId="167"/>
    <tableColumn id="168" uniqueName="168" name="OthSal10" queryTableFieldId="168"/>
    <tableColumn id="169" uniqueName="169" name="OthSal11" queryTableFieldId="169"/>
    <tableColumn id="170" uniqueName="170" name="OthSal12" queryTableFieldId="170"/>
    <tableColumn id="171" uniqueName="171" name="OthSal13" queryTableFieldId="171"/>
    <tableColumn id="172" uniqueName="172" name="OthSal14" queryTableFieldId="172"/>
    <tableColumn id="173" uniqueName="173" name="OthSal15" queryTableFieldId="173"/>
    <tableColumn id="174" uniqueName="174" name="OthSal16" queryTableFieldId="174"/>
    <tableColumn id="175" uniqueName="175" name="OthSal17" queryTableFieldId="175"/>
    <tableColumn id="176" uniqueName="176" name="OthSal18" queryTableFieldId="176"/>
    <tableColumn id="177" uniqueName="177" name="OthSal19" queryTableFieldId="177"/>
    <tableColumn id="178" uniqueName="178" name="OthSal20" queryTableFieldId="178"/>
    <tableColumn id="179" uniqueName="179" name="OthSal21" queryTableFieldId="179"/>
    <tableColumn id="180" uniqueName="180" name="OthSal22" queryTableFieldId="180"/>
    <tableColumn id="181" uniqueName="181" name="OthSal23" queryTableFieldId="181"/>
    <tableColumn id="182" uniqueName="182" name="OthSal24" queryTableFieldId="182"/>
    <tableColumn id="183" uniqueName="183" name="OthSal25" queryTableFieldId="183"/>
    <tableColumn id="184" uniqueName="184" name="OthSal26" queryTableFieldId="184"/>
    <tableColumn id="185" uniqueName="185" name="OthSal27" queryTableFieldId="185"/>
    <tableColumn id="186" uniqueName="186" name="OthSal28" queryTableFieldId="186"/>
    <tableColumn id="187" uniqueName="187" name="OthSal29" queryTableFieldId="187"/>
    <tableColumn id="188" uniqueName="188" name="OthSalTotal" queryTableFieldId="188"/>
    <tableColumn id="189" uniqueName="189" name="Benefits1" queryTableFieldId="189"/>
    <tableColumn id="190" uniqueName="190" name="Benefits2" queryTableFieldId="190"/>
    <tableColumn id="191" uniqueName="191" name="Benefits3" queryTableFieldId="191"/>
    <tableColumn id="192" uniqueName="192" name="Benefits4" queryTableFieldId="192"/>
    <tableColumn id="193" uniqueName="193" name="Benefits5" queryTableFieldId="193"/>
    <tableColumn id="194" uniqueName="194" name="Benefits6" queryTableFieldId="194"/>
    <tableColumn id="195" uniqueName="195" name="Benefits7" queryTableFieldId="195"/>
    <tableColumn id="196" uniqueName="196" name="Benefits8" queryTableFieldId="196"/>
    <tableColumn id="197" uniqueName="197" name="Benefits9" queryTableFieldId="197"/>
    <tableColumn id="198" uniqueName="198" name="Benefits10" queryTableFieldId="198"/>
    <tableColumn id="199" uniqueName="199" name="Benefits11" queryTableFieldId="199"/>
    <tableColumn id="200" uniqueName="200" name="Benefits12" queryTableFieldId="200"/>
    <tableColumn id="201" uniqueName="201" name="Benefits13" queryTableFieldId="201"/>
    <tableColumn id="202" uniqueName="202" name="Benefits14" queryTableFieldId="202"/>
    <tableColumn id="203" uniqueName="203" name="Benefits15" queryTableFieldId="203"/>
    <tableColumn id="204" uniqueName="204" name="Benefits16" queryTableFieldId="204"/>
    <tableColumn id="205" uniqueName="205" name="Benefits17" queryTableFieldId="205"/>
    <tableColumn id="206" uniqueName="206" name="Benefits18" queryTableFieldId="206"/>
    <tableColumn id="207" uniqueName="207" name="Benefits19" queryTableFieldId="207"/>
    <tableColumn id="208" uniqueName="208" name="Benefits20" queryTableFieldId="208"/>
    <tableColumn id="209" uniqueName="209" name="Benefits21" queryTableFieldId="209"/>
    <tableColumn id="210" uniqueName="210" name="Benefits22" queryTableFieldId="210"/>
    <tableColumn id="211" uniqueName="211" name="Benefits23" queryTableFieldId="211"/>
    <tableColumn id="212" uniqueName="212" name="Benefits24" queryTableFieldId="212"/>
    <tableColumn id="213" uniqueName="213" name="Benefits25" queryTableFieldId="213"/>
    <tableColumn id="214" uniqueName="214" name="Benefits26" queryTableFieldId="214"/>
    <tableColumn id="215" uniqueName="215" name="Benefits27" queryTableFieldId="215"/>
    <tableColumn id="216" uniqueName="216" name="Benefits28" queryTableFieldId="216"/>
    <tableColumn id="217" uniqueName="217" name="Benefits29" queryTableFieldId="217"/>
    <tableColumn id="218" uniqueName="218" name="BenefitsTotal" queryTableFieldId="218"/>
    <tableColumn id="219" uniqueName="219" name="OtherOps1" queryTableFieldId="219"/>
    <tableColumn id="220" uniqueName="220" name="OtherOps2" queryTableFieldId="220"/>
    <tableColumn id="221" uniqueName="221" name="OtherOps3" queryTableFieldId="221"/>
    <tableColumn id="222" uniqueName="222" name="OtherOps4" queryTableFieldId="222"/>
    <tableColumn id="223" uniqueName="223" name="OtherOps5" queryTableFieldId="223"/>
    <tableColumn id="224" uniqueName="224" name="OtherOps6" queryTableFieldId="224"/>
    <tableColumn id="225" uniqueName="225" name="OtherOps7" queryTableFieldId="225"/>
    <tableColumn id="226" uniqueName="226" name="OtherOps8" queryTableFieldId="226"/>
    <tableColumn id="227" uniqueName="227" name="OtherOps9" queryTableFieldId="227"/>
    <tableColumn id="228" uniqueName="228" name="OtherOps10" queryTableFieldId="228"/>
    <tableColumn id="229" uniqueName="229" name="OtherOps11" queryTableFieldId="229"/>
    <tableColumn id="230" uniqueName="230" name="OtherOps12" queryTableFieldId="230"/>
    <tableColumn id="231" uniqueName="231" name="OtherOps13" queryTableFieldId="231"/>
    <tableColumn id="232" uniqueName="232" name="OtherOps14" queryTableFieldId="232"/>
    <tableColumn id="233" uniqueName="233" name="OtherOps15" queryTableFieldId="233"/>
    <tableColumn id="234" uniqueName="234" name="OtherOps16" queryTableFieldId="234"/>
    <tableColumn id="235" uniqueName="235" name="OtherOps17" queryTableFieldId="235"/>
    <tableColumn id="236" uniqueName="236" name="OtherOps18" queryTableFieldId="236"/>
    <tableColumn id="237" uniqueName="237" name="OtherOps19" queryTableFieldId="237"/>
    <tableColumn id="238" uniqueName="238" name="OtherOps20" queryTableFieldId="238"/>
    <tableColumn id="239" uniqueName="239" name="OtherOps21" queryTableFieldId="239"/>
    <tableColumn id="240" uniqueName="240" name="OtherOps22" queryTableFieldId="240"/>
    <tableColumn id="241" uniqueName="241" name="OtherOps23" queryTableFieldId="241"/>
    <tableColumn id="242" uniqueName="242" name="OtherOps24" queryTableFieldId="242"/>
    <tableColumn id="243" uniqueName="243" name="OtherOps25" queryTableFieldId="243"/>
    <tableColumn id="244" uniqueName="244" name="OtherOps26" queryTableFieldId="244"/>
    <tableColumn id="245" uniqueName="245" name="OtherOps27" queryTableFieldId="245"/>
    <tableColumn id="246" uniqueName="246" name="OtherOps28" queryTableFieldId="246"/>
    <tableColumn id="247" uniqueName="247" name="OtherOps29" queryTableFieldId="247"/>
    <tableColumn id="248" uniqueName="248" name="OtherOpsTotal" queryTableFieldId="248"/>
    <tableColumn id="249" uniqueName="249" name="DOE1" queryTableFieldId="249"/>
    <tableColumn id="250" uniqueName="250" name="DOE2" queryTableFieldId="250"/>
    <tableColumn id="251" uniqueName="251" name="DOE3" queryTableFieldId="251"/>
    <tableColumn id="252" uniqueName="252" name="DOE4" queryTableFieldId="252"/>
    <tableColumn id="253" uniqueName="253" name="DOE5" queryTableFieldId="253"/>
    <tableColumn id="254" uniqueName="254" name="DOE6" queryTableFieldId="254"/>
    <tableColumn id="255" uniqueName="255" name="DOE7" queryTableFieldId="255"/>
    <tableColumn id="256" uniqueName="256" name="DOE8" queryTableFieldId="256"/>
    <tableColumn id="257" uniqueName="257" name="DOE9" queryTableFieldId="257"/>
    <tableColumn id="258" uniqueName="258" name="DOE10" queryTableFieldId="258"/>
    <tableColumn id="259" uniqueName="259" name="DOE11" queryTableFieldId="259"/>
    <tableColumn id="260" uniqueName="260" name="DOE12" queryTableFieldId="260"/>
    <tableColumn id="261" uniqueName="261" name="DOE13" queryTableFieldId="261"/>
    <tableColumn id="262" uniqueName="262" name="DOE14" queryTableFieldId="262"/>
    <tableColumn id="263" uniqueName="263" name="DOE15" queryTableFieldId="263"/>
    <tableColumn id="264" uniqueName="264" name="DOE16" queryTableFieldId="264"/>
    <tableColumn id="265" uniqueName="265" name="DOE17" queryTableFieldId="265"/>
    <tableColumn id="266" uniqueName="266" name="DOE18" queryTableFieldId="266"/>
    <tableColumn id="267" uniqueName="267" name="DOE19" queryTableFieldId="267"/>
    <tableColumn id="268" uniqueName="268" name="DOE20" queryTableFieldId="268"/>
    <tableColumn id="269" uniqueName="269" name="DOE21" queryTableFieldId="269"/>
    <tableColumn id="270" uniqueName="270" name="DOE22" queryTableFieldId="270"/>
    <tableColumn id="271" uniqueName="271" name="DOE23" queryTableFieldId="271"/>
    <tableColumn id="272" uniqueName="272" name="DOE24" queryTableFieldId="272"/>
    <tableColumn id="273" uniqueName="273" name="DOE25" queryTableFieldId="273"/>
    <tableColumn id="274" uniqueName="274" name="DOE26" queryTableFieldId="274"/>
    <tableColumn id="275" uniqueName="275" name="DOE27" queryTableFieldId="275"/>
    <tableColumn id="276" uniqueName="276" name="DOE28" queryTableFieldId="276"/>
    <tableColumn id="277" uniqueName="277" name="DOE29" queryTableFieldId="277"/>
    <tableColumn id="278" uniqueName="278" name="DOETotal" queryTableFieldId="278"/>
    <tableColumn id="279" uniqueName="279" name="Total1" queryTableFieldId="279"/>
    <tableColumn id="280" uniqueName="280" name="Total2" queryTableFieldId="280"/>
    <tableColumn id="281" uniqueName="281" name="Total3" queryTableFieldId="281"/>
    <tableColumn id="282" uniqueName="282" name="Total4" queryTableFieldId="282"/>
    <tableColumn id="283" uniqueName="283" name="Total5" queryTableFieldId="283"/>
    <tableColumn id="284" uniqueName="284" name="Total6" queryTableFieldId="284"/>
    <tableColumn id="285" uniqueName="285" name="Total7" queryTableFieldId="285"/>
    <tableColumn id="286" uniqueName="286" name="Total8" queryTableFieldId="286"/>
    <tableColumn id="287" uniqueName="287" name="Total9" queryTableFieldId="287"/>
    <tableColumn id="288" uniqueName="288" name="Total10" queryTableFieldId="288"/>
    <tableColumn id="289" uniqueName="289" name="Total11" queryTableFieldId="289"/>
    <tableColumn id="290" uniqueName="290" name="Total12" queryTableFieldId="290"/>
    <tableColumn id="291" uniqueName="291" name="Total13" queryTableFieldId="291"/>
    <tableColumn id="292" uniqueName="292" name="Total14" queryTableFieldId="292"/>
    <tableColumn id="293" uniqueName="293" name="Total15" queryTableFieldId="293"/>
    <tableColumn id="294" uniqueName="294" name="Total16" queryTableFieldId="294"/>
    <tableColumn id="295" uniqueName="295" name="Total17" queryTableFieldId="295"/>
    <tableColumn id="296" uniqueName="296" name="Total18" queryTableFieldId="296"/>
    <tableColumn id="297" uniqueName="297" name="Total19" queryTableFieldId="297"/>
    <tableColumn id="298" uniqueName="298" name="Total20" queryTableFieldId="298"/>
    <tableColumn id="299" uniqueName="299" name="Total21" queryTableFieldId="299"/>
    <tableColumn id="300" uniqueName="300" name="Total22" queryTableFieldId="300"/>
    <tableColumn id="301" uniqueName="301" name="Total23" queryTableFieldId="301"/>
    <tableColumn id="302" uniqueName="302" name="Total24" queryTableFieldId="302"/>
    <tableColumn id="303" uniqueName="303" name="Total25" queryTableFieldId="303"/>
    <tableColumn id="304" uniqueName="304" name="Total26" queryTableFieldId="304"/>
    <tableColumn id="305" uniqueName="305" name="Total27" queryTableFieldId="305"/>
    <tableColumn id="306" uniqueName="306" name="Total28" queryTableFieldId="306"/>
    <tableColumn id="307" uniqueName="307" name="Total29" queryTableFieldId="307"/>
    <tableColumn id="308" uniqueName="308" name="Sec1_Total" queryTableFieldId="308"/>
    <tableColumn id="309" uniqueName="309" name="Comments" queryTableFieldId="309"/>
    <tableColumn id="310" uniqueName="310" name="PartA" queryTableFieldId="310"/>
    <tableColumn id="311" uniqueName="311" name="PartB" queryTableFieldId="311"/>
    <tableColumn id="312" uniqueName="312" name="GrandTotalExpenses" queryTableFieldId="312"/>
    <tableColumn id="313" uniqueName="313" name="AFRDifference" queryTableFieldId="313"/>
    <tableColumn id="314" uniqueName="314" name="Depreciation" queryTableFieldId="3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tabSelected="1" zoomScale="70" zoomScaleNormal="70" workbookViewId="0"/>
  </sheetViews>
  <sheetFormatPr defaultRowHeight="14.25" x14ac:dyDescent="0.2"/>
  <cols>
    <col min="1" max="1" width="9.42578125" style="11" customWidth="1"/>
    <col min="2" max="2" width="42.42578125" style="11" customWidth="1"/>
    <col min="3" max="3" width="17.85546875" style="11" customWidth="1"/>
    <col min="4" max="4" width="15.85546875" style="11" customWidth="1"/>
    <col min="5" max="5" width="18.28515625" style="11" bestFit="1" customWidth="1"/>
    <col min="6" max="6" width="17.7109375" style="11" bestFit="1" customWidth="1"/>
    <col min="7" max="7" width="2.85546875" style="11" customWidth="1"/>
    <col min="8" max="8" width="13.140625" style="11" bestFit="1" customWidth="1"/>
    <col min="9" max="9" width="16.5703125" style="11" bestFit="1" customWidth="1"/>
    <col min="10" max="10" width="15" style="11" bestFit="1" customWidth="1"/>
    <col min="11" max="11" width="16.140625" style="11" bestFit="1" customWidth="1"/>
    <col min="12" max="12" width="17.7109375" style="11" bestFit="1" customWidth="1"/>
    <col min="13" max="13" width="16.85546875" style="11" bestFit="1" customWidth="1"/>
    <col min="14" max="14" width="17.7109375" style="11" bestFit="1" customWidth="1"/>
    <col min="15" max="15" width="9.140625" style="11"/>
    <col min="16" max="16" width="20.5703125" style="11" bestFit="1" customWidth="1"/>
    <col min="17" max="17" width="18.140625" style="11" bestFit="1" customWidth="1"/>
    <col min="18" max="18" width="19.5703125" style="11" bestFit="1" customWidth="1"/>
    <col min="19" max="19" width="11" style="11" bestFit="1" customWidth="1"/>
    <col min="20" max="20" width="18.28515625" style="11" bestFit="1" customWidth="1"/>
    <col min="21" max="21" width="13.42578125" style="11" bestFit="1" customWidth="1"/>
    <col min="22" max="22" width="15.28515625" style="11" bestFit="1" customWidth="1"/>
    <col min="23" max="23" width="16.42578125" style="11" bestFit="1" customWidth="1"/>
    <col min="24" max="24" width="14.85546875" style="11" bestFit="1" customWidth="1"/>
    <col min="25" max="25" width="16.42578125" style="11" bestFit="1" customWidth="1"/>
    <col min="26" max="26" width="9.140625" style="11"/>
    <col min="27" max="27" width="13.140625" style="11" bestFit="1" customWidth="1"/>
    <col min="28" max="28" width="11.140625" style="11" bestFit="1" customWidth="1"/>
    <col min="29" max="29" width="13.140625" style="11" bestFit="1" customWidth="1"/>
    <col min="30" max="30" width="10" style="11" bestFit="1" customWidth="1"/>
    <col min="31" max="33" width="11.140625" style="11" bestFit="1" customWidth="1"/>
    <col min="34" max="34" width="13.140625" style="11" bestFit="1" customWidth="1"/>
    <col min="35" max="35" width="9.140625" style="11"/>
    <col min="36" max="36" width="17.85546875" style="11" bestFit="1" customWidth="1"/>
    <col min="37" max="37" width="9.140625" style="11"/>
    <col min="38" max="38" width="14.5703125" style="11" bestFit="1" customWidth="1"/>
    <col min="39" max="16384" width="9.140625" style="11"/>
  </cols>
  <sheetData>
    <row r="1" spans="1:10" x14ac:dyDescent="0.2">
      <c r="A1" s="39" t="s">
        <v>1086</v>
      </c>
      <c r="B1" s="39"/>
      <c r="C1" s="39"/>
      <c r="D1" s="39"/>
      <c r="E1" s="39"/>
      <c r="F1" s="39"/>
    </row>
    <row r="2" spans="1:10" x14ac:dyDescent="0.2">
      <c r="A2" s="6" t="s">
        <v>1030</v>
      </c>
      <c r="B2" s="12"/>
      <c r="C2" s="12"/>
    </row>
    <row r="3" spans="1:10" ht="15" thickBot="1" x14ac:dyDescent="0.25">
      <c r="A3" s="6" t="s">
        <v>1087</v>
      </c>
    </row>
    <row r="4" spans="1:10" ht="29.25" customHeight="1" x14ac:dyDescent="0.2">
      <c r="A4" s="27" t="s">
        <v>26</v>
      </c>
      <c r="B4" s="182" t="s">
        <v>470</v>
      </c>
      <c r="C4" s="183"/>
      <c r="D4" s="29" t="s">
        <v>27</v>
      </c>
      <c r="E4" s="29" t="s">
        <v>467</v>
      </c>
      <c r="F4" s="30" t="s">
        <v>468</v>
      </c>
    </row>
    <row r="5" spans="1:10" x14ac:dyDescent="0.2">
      <c r="A5" s="20">
        <v>1</v>
      </c>
      <c r="B5" s="172" t="s">
        <v>0</v>
      </c>
      <c r="C5" s="173"/>
      <c r="D5" s="15">
        <f>D36</f>
        <v>1534719</v>
      </c>
      <c r="E5" s="17">
        <f>E36+E67+IFERROR($E$105/$D$105*D5,0)</f>
        <v>13513303.567812849</v>
      </c>
      <c r="F5" s="21">
        <f>F36+F67+$F$105</f>
        <v>7.6999999999999993</v>
      </c>
      <c r="I5" s="146"/>
    </row>
    <row r="6" spans="1:10" x14ac:dyDescent="0.2">
      <c r="A6" s="20">
        <v>2</v>
      </c>
      <c r="B6" s="172" t="s">
        <v>1</v>
      </c>
      <c r="C6" s="173"/>
      <c r="D6" s="15">
        <f t="shared" ref="D6:D32" si="0">D37</f>
        <v>3407979</v>
      </c>
      <c r="E6" s="18">
        <f t="shared" ref="E6:E32" si="1">E37+E68+IFERROR($E$105/$D$105*D6,0)</f>
        <v>34957121.572165504</v>
      </c>
      <c r="F6" s="22">
        <f t="shared" ref="F6:F30" si="2">F37+F68+$F$105</f>
        <v>8.879999999999999</v>
      </c>
      <c r="I6" s="146"/>
      <c r="J6" s="70"/>
    </row>
    <row r="7" spans="1:10" x14ac:dyDescent="0.2">
      <c r="A7" s="20">
        <v>3</v>
      </c>
      <c r="B7" s="172" t="s">
        <v>2</v>
      </c>
      <c r="C7" s="173"/>
      <c r="D7" s="15">
        <f t="shared" si="0"/>
        <v>29317564</v>
      </c>
      <c r="E7" s="18">
        <f t="shared" si="1"/>
        <v>222492381.43544683</v>
      </c>
      <c r="F7" s="22">
        <f t="shared" si="2"/>
        <v>6.85</v>
      </c>
      <c r="I7" s="146"/>
      <c r="J7" s="70"/>
    </row>
    <row r="8" spans="1:10" x14ac:dyDescent="0.2">
      <c r="A8" s="20">
        <v>4</v>
      </c>
      <c r="B8" s="172" t="s">
        <v>3</v>
      </c>
      <c r="C8" s="173"/>
      <c r="D8" s="15">
        <f t="shared" si="0"/>
        <v>17818481</v>
      </c>
      <c r="E8" s="18">
        <f t="shared" si="1"/>
        <v>140847235.8428497</v>
      </c>
      <c r="F8" s="22">
        <f t="shared" si="2"/>
        <v>7.1099999999999994</v>
      </c>
      <c r="I8" s="146"/>
      <c r="J8" s="70"/>
    </row>
    <row r="9" spans="1:10" x14ac:dyDescent="0.2">
      <c r="A9" s="20">
        <v>5</v>
      </c>
      <c r="B9" s="172" t="s">
        <v>4</v>
      </c>
      <c r="C9" s="173"/>
      <c r="D9" s="15">
        <f t="shared" si="0"/>
        <v>180656</v>
      </c>
      <c r="E9" s="18">
        <f t="shared" si="1"/>
        <v>5463573.7946202513</v>
      </c>
      <c r="F9" s="22">
        <f t="shared" si="2"/>
        <v>33.869999999999997</v>
      </c>
      <c r="I9" s="146"/>
      <c r="J9" s="70"/>
    </row>
    <row r="10" spans="1:10" x14ac:dyDescent="0.2">
      <c r="A10" s="20">
        <v>6</v>
      </c>
      <c r="B10" s="172" t="s">
        <v>5</v>
      </c>
      <c r="C10" s="173"/>
      <c r="D10" s="15">
        <f t="shared" si="0"/>
        <v>4119103</v>
      </c>
      <c r="E10" s="18">
        <f t="shared" si="1"/>
        <v>33422474.947517172</v>
      </c>
      <c r="F10" s="22">
        <f t="shared" si="2"/>
        <v>7.65</v>
      </c>
      <c r="I10" s="146"/>
      <c r="J10" s="70"/>
    </row>
    <row r="11" spans="1:10" x14ac:dyDescent="0.2">
      <c r="A11" s="20">
        <v>7</v>
      </c>
      <c r="B11" s="172" t="s">
        <v>6</v>
      </c>
      <c r="C11" s="173"/>
      <c r="D11" s="15">
        <f t="shared" si="0"/>
        <v>11156743</v>
      </c>
      <c r="E11" s="18">
        <f t="shared" si="1"/>
        <v>108968818.36100617</v>
      </c>
      <c r="F11" s="22">
        <f t="shared" si="2"/>
        <v>8.52</v>
      </c>
      <c r="I11" s="146"/>
      <c r="J11" s="70"/>
    </row>
    <row r="12" spans="1:10" x14ac:dyDescent="0.2">
      <c r="A12" s="20">
        <v>8</v>
      </c>
      <c r="B12" s="172" t="s">
        <v>7</v>
      </c>
      <c r="C12" s="173"/>
      <c r="D12" s="15">
        <f t="shared" si="0"/>
        <v>1641826</v>
      </c>
      <c r="E12" s="18">
        <f t="shared" si="1"/>
        <v>15050395.870140981</v>
      </c>
      <c r="F12" s="22">
        <f t="shared" si="2"/>
        <v>8.0299999999999994</v>
      </c>
      <c r="I12" s="146"/>
      <c r="J12" s="70"/>
    </row>
    <row r="13" spans="1:10" x14ac:dyDescent="0.2">
      <c r="A13" s="20">
        <v>9</v>
      </c>
      <c r="B13" s="172" t="s">
        <v>8</v>
      </c>
      <c r="C13" s="173"/>
      <c r="D13" s="15">
        <f t="shared" si="0"/>
        <v>8752792</v>
      </c>
      <c r="E13" s="18">
        <f t="shared" si="1"/>
        <v>66186356.657391846</v>
      </c>
      <c r="F13" s="22">
        <f t="shared" si="2"/>
        <v>6.75</v>
      </c>
      <c r="I13" s="146"/>
      <c r="J13" s="70"/>
    </row>
    <row r="14" spans="1:10" x14ac:dyDescent="0.2">
      <c r="A14" s="20">
        <v>10</v>
      </c>
      <c r="B14" s="172" t="s">
        <v>9</v>
      </c>
      <c r="C14" s="173"/>
      <c r="D14" s="15">
        <f t="shared" si="0"/>
        <v>253339</v>
      </c>
      <c r="E14" s="18">
        <f t="shared" si="1"/>
        <v>2621275.5979114999</v>
      </c>
      <c r="F14" s="22">
        <f t="shared" si="2"/>
        <v>7.8599999999999994</v>
      </c>
      <c r="I14" s="146"/>
      <c r="J14" s="70"/>
    </row>
    <row r="15" spans="1:10" x14ac:dyDescent="0.2">
      <c r="A15" s="20">
        <v>11</v>
      </c>
      <c r="B15" s="172" t="s">
        <v>10</v>
      </c>
      <c r="C15" s="173"/>
      <c r="D15" s="15">
        <f t="shared" si="0"/>
        <v>6787477</v>
      </c>
      <c r="E15" s="18">
        <f t="shared" si="1"/>
        <v>60923755.490250431</v>
      </c>
      <c r="F15" s="22">
        <f t="shared" si="2"/>
        <v>7.41</v>
      </c>
      <c r="I15" s="146"/>
      <c r="J15" s="70"/>
    </row>
    <row r="16" spans="1:10" x14ac:dyDescent="0.2">
      <c r="A16" s="20">
        <v>12</v>
      </c>
      <c r="B16" s="172" t="s">
        <v>11</v>
      </c>
      <c r="C16" s="173"/>
      <c r="D16" s="15">
        <f t="shared" si="0"/>
        <v>38977120</v>
      </c>
      <c r="E16" s="18">
        <f t="shared" si="1"/>
        <v>322341355.27203584</v>
      </c>
      <c r="F16" s="22">
        <f t="shared" si="2"/>
        <v>7.3099999999999987</v>
      </c>
      <c r="I16" s="146"/>
      <c r="J16" s="70"/>
    </row>
    <row r="17" spans="1:10" x14ac:dyDescent="0.2">
      <c r="A17" s="20">
        <v>13</v>
      </c>
      <c r="B17" s="172" t="s">
        <v>12</v>
      </c>
      <c r="C17" s="173"/>
      <c r="D17" s="15">
        <f t="shared" si="0"/>
        <v>6066467</v>
      </c>
      <c r="E17" s="18">
        <f t="shared" si="1"/>
        <v>44366953.434226006</v>
      </c>
      <c r="F17" s="22">
        <f t="shared" si="2"/>
        <v>6.8699999999999992</v>
      </c>
      <c r="I17" s="146"/>
      <c r="J17" s="70"/>
    </row>
    <row r="18" spans="1:10" x14ac:dyDescent="0.2">
      <c r="A18" s="20">
        <v>14</v>
      </c>
      <c r="B18" s="172" t="s">
        <v>469</v>
      </c>
      <c r="C18" s="173"/>
      <c r="D18" s="15">
        <f t="shared" si="0"/>
        <v>7568757</v>
      </c>
      <c r="E18" s="18">
        <f t="shared" si="1"/>
        <v>88895848.899718761</v>
      </c>
      <c r="F18" s="22">
        <f t="shared" si="2"/>
        <v>10.549999999999999</v>
      </c>
      <c r="I18" s="146"/>
      <c r="J18" s="70"/>
    </row>
    <row r="19" spans="1:10" x14ac:dyDescent="0.2">
      <c r="A19" s="20">
        <v>15</v>
      </c>
      <c r="B19" s="172" t="s">
        <v>13</v>
      </c>
      <c r="C19" s="173"/>
      <c r="D19" s="15">
        <f t="shared" si="0"/>
        <v>440090</v>
      </c>
      <c r="E19" s="18">
        <f t="shared" si="1"/>
        <v>7689144.0581902983</v>
      </c>
      <c r="F19" s="22">
        <f t="shared" si="2"/>
        <v>16.87</v>
      </c>
      <c r="I19" s="146"/>
      <c r="J19" s="70"/>
    </row>
    <row r="20" spans="1:10" x14ac:dyDescent="0.2">
      <c r="A20" s="20">
        <v>16</v>
      </c>
      <c r="B20" s="172" t="s">
        <v>14</v>
      </c>
      <c r="C20" s="173"/>
      <c r="D20" s="15">
        <f t="shared" si="0"/>
        <v>10218719</v>
      </c>
      <c r="E20" s="18">
        <f t="shared" si="1"/>
        <v>99714919.687389642</v>
      </c>
      <c r="F20" s="22">
        <f t="shared" si="2"/>
        <v>8.34</v>
      </c>
      <c r="I20" s="146"/>
      <c r="J20" s="70"/>
    </row>
    <row r="21" spans="1:10" x14ac:dyDescent="0.2">
      <c r="A21" s="20">
        <v>17</v>
      </c>
      <c r="B21" s="172" t="s">
        <v>15</v>
      </c>
      <c r="C21" s="173"/>
      <c r="D21" s="15">
        <f t="shared" si="0"/>
        <v>821386</v>
      </c>
      <c r="E21" s="18">
        <f t="shared" si="1"/>
        <v>10296496.179755723</v>
      </c>
      <c r="F21" s="22">
        <f t="shared" si="2"/>
        <v>11.1</v>
      </c>
      <c r="I21" s="146"/>
      <c r="J21" s="70"/>
    </row>
    <row r="22" spans="1:10" x14ac:dyDescent="0.2">
      <c r="A22" s="20">
        <v>18</v>
      </c>
      <c r="B22" s="172" t="s">
        <v>16</v>
      </c>
      <c r="C22" s="173"/>
      <c r="D22" s="15">
        <f t="shared" si="0"/>
        <v>4770575</v>
      </c>
      <c r="E22" s="18">
        <f t="shared" si="1"/>
        <v>44183082.477280065</v>
      </c>
      <c r="F22" s="22">
        <f t="shared" si="2"/>
        <v>8.42</v>
      </c>
      <c r="I22" s="146"/>
      <c r="J22" s="70"/>
    </row>
    <row r="23" spans="1:10" x14ac:dyDescent="0.2">
      <c r="A23" s="20">
        <v>19</v>
      </c>
      <c r="B23" s="172" t="s">
        <v>17</v>
      </c>
      <c r="C23" s="173"/>
      <c r="D23" s="15">
        <f t="shared" si="0"/>
        <v>27448321</v>
      </c>
      <c r="E23" s="18">
        <f t="shared" si="1"/>
        <v>204348958.73215249</v>
      </c>
      <c r="F23" s="22">
        <f t="shared" si="2"/>
        <v>6.9799999999999995</v>
      </c>
      <c r="I23" s="146"/>
      <c r="J23" s="70"/>
    </row>
    <row r="24" spans="1:10" x14ac:dyDescent="0.2">
      <c r="A24" s="20">
        <v>20</v>
      </c>
      <c r="B24" s="172" t="s">
        <v>18</v>
      </c>
      <c r="C24" s="173"/>
      <c r="D24" s="15">
        <f t="shared" si="0"/>
        <v>3250692</v>
      </c>
      <c r="E24" s="18">
        <f t="shared" si="1"/>
        <v>30789331.988008674</v>
      </c>
      <c r="F24" s="22">
        <f t="shared" si="2"/>
        <v>8.57</v>
      </c>
      <c r="I24" s="146"/>
      <c r="J24" s="70"/>
    </row>
    <row r="25" spans="1:10" x14ac:dyDescent="0.2">
      <c r="A25" s="20">
        <v>21</v>
      </c>
      <c r="B25" s="172" t="s">
        <v>466</v>
      </c>
      <c r="C25" s="173"/>
      <c r="D25" s="15">
        <f t="shared" si="0"/>
        <v>2169847</v>
      </c>
      <c r="E25" s="18">
        <f t="shared" si="1"/>
        <v>22782623.482067406</v>
      </c>
      <c r="F25" s="22">
        <f t="shared" si="2"/>
        <v>9.33</v>
      </c>
      <c r="I25" s="146"/>
      <c r="J25" s="70"/>
    </row>
    <row r="26" spans="1:10" x14ac:dyDescent="0.2">
      <c r="A26" s="20">
        <v>22</v>
      </c>
      <c r="B26" s="172" t="s">
        <v>19</v>
      </c>
      <c r="C26" s="173"/>
      <c r="D26" s="15">
        <f t="shared" si="0"/>
        <v>1083987</v>
      </c>
      <c r="E26" s="18">
        <f t="shared" si="1"/>
        <v>9772455.6154571269</v>
      </c>
      <c r="F26" s="22">
        <f t="shared" si="2"/>
        <v>7.2200000000000006</v>
      </c>
      <c r="I26" s="146"/>
      <c r="J26" s="70"/>
    </row>
    <row r="27" spans="1:10" x14ac:dyDescent="0.2">
      <c r="A27" s="20">
        <v>23</v>
      </c>
      <c r="B27" s="172" t="s">
        <v>20</v>
      </c>
      <c r="C27" s="173"/>
      <c r="D27" s="15">
        <f t="shared" si="0"/>
        <v>5655572</v>
      </c>
      <c r="E27" s="18">
        <f t="shared" si="1"/>
        <v>52285300.898414925</v>
      </c>
      <c r="F27" s="22">
        <f t="shared" si="2"/>
        <v>8.3199999999999985</v>
      </c>
      <c r="I27" s="146"/>
      <c r="J27" s="70"/>
    </row>
    <row r="28" spans="1:10" x14ac:dyDescent="0.2">
      <c r="A28" s="20">
        <v>24</v>
      </c>
      <c r="B28" s="172" t="s">
        <v>21</v>
      </c>
      <c r="C28" s="173"/>
      <c r="D28" s="15">
        <f t="shared" si="0"/>
        <v>6831091</v>
      </c>
      <c r="E28" s="18">
        <f t="shared" si="1"/>
        <v>58198551.806744583</v>
      </c>
      <c r="F28" s="22">
        <f t="shared" si="2"/>
        <v>7.58</v>
      </c>
      <c r="I28" s="146"/>
      <c r="J28" s="70"/>
    </row>
    <row r="29" spans="1:10" x14ac:dyDescent="0.2">
      <c r="A29" s="20">
        <v>25</v>
      </c>
      <c r="B29" s="172" t="s">
        <v>22</v>
      </c>
      <c r="C29" s="173"/>
      <c r="D29" s="15">
        <f t="shared" si="0"/>
        <v>41354433</v>
      </c>
      <c r="E29" s="18">
        <f t="shared" si="1"/>
        <v>287776176.89758408</v>
      </c>
      <c r="F29" s="22">
        <f t="shared" si="2"/>
        <v>6.3100000000000005</v>
      </c>
      <c r="I29" s="146"/>
      <c r="J29" s="70"/>
    </row>
    <row r="30" spans="1:10" x14ac:dyDescent="0.2">
      <c r="A30" s="20">
        <v>26</v>
      </c>
      <c r="B30" s="172" t="s">
        <v>23</v>
      </c>
      <c r="C30" s="173"/>
      <c r="D30" s="15">
        <f t="shared" si="0"/>
        <v>12932275</v>
      </c>
      <c r="E30" s="18">
        <f t="shared" si="1"/>
        <v>123114745.43386112</v>
      </c>
      <c r="F30" s="22">
        <f t="shared" si="2"/>
        <v>8.36</v>
      </c>
      <c r="I30" s="146"/>
      <c r="J30" s="70"/>
    </row>
    <row r="31" spans="1:10" x14ac:dyDescent="0.2">
      <c r="A31" s="20">
        <v>28</v>
      </c>
      <c r="B31" s="172" t="s">
        <v>24</v>
      </c>
      <c r="C31" s="173"/>
      <c r="D31" s="15">
        <f t="shared" si="0"/>
        <v>0</v>
      </c>
      <c r="E31" s="18">
        <f t="shared" si="1"/>
        <v>0</v>
      </c>
      <c r="F31" s="22"/>
    </row>
    <row r="32" spans="1:10" ht="15.75" customHeight="1" thickBot="1" x14ac:dyDescent="0.25">
      <c r="A32" s="23">
        <v>29</v>
      </c>
      <c r="B32" s="174" t="s">
        <v>25</v>
      </c>
      <c r="C32" s="175"/>
      <c r="D32" s="24">
        <f t="shared" si="0"/>
        <v>0</v>
      </c>
      <c r="E32" s="25">
        <f t="shared" si="1"/>
        <v>0</v>
      </c>
      <c r="F32" s="26"/>
    </row>
    <row r="33" spans="1:14" x14ac:dyDescent="0.2">
      <c r="B33" s="14" t="s">
        <v>35</v>
      </c>
      <c r="C33" s="14"/>
      <c r="D33" s="64">
        <f>SUM(D5:D32)</f>
        <v>254560011</v>
      </c>
      <c r="E33" s="5">
        <f>SUM(E5:E32)</f>
        <v>2111002637.9999998</v>
      </c>
      <c r="F33" s="9">
        <f>F64+F95+$F$105</f>
        <v>7.6</v>
      </c>
    </row>
    <row r="34" spans="1:14" ht="15" thickBot="1" x14ac:dyDescent="0.25">
      <c r="H34" s="71"/>
      <c r="I34" s="71"/>
      <c r="J34" s="71"/>
      <c r="K34" s="71"/>
      <c r="L34" s="71"/>
      <c r="M34" s="71"/>
      <c r="N34" s="71"/>
    </row>
    <row r="35" spans="1:14" ht="29.25" customHeight="1" x14ac:dyDescent="0.2">
      <c r="A35" s="27" t="s">
        <v>26</v>
      </c>
      <c r="B35" s="182" t="s">
        <v>471</v>
      </c>
      <c r="C35" s="183"/>
      <c r="D35" s="29" t="s">
        <v>27</v>
      </c>
      <c r="E35" s="29" t="s">
        <v>467</v>
      </c>
      <c r="F35" s="30" t="s">
        <v>468</v>
      </c>
    </row>
    <row r="36" spans="1:14" x14ac:dyDescent="0.2">
      <c r="A36" s="20">
        <v>1</v>
      </c>
      <c r="B36" s="172" t="s">
        <v>0</v>
      </c>
      <c r="C36" s="173"/>
      <c r="D36" s="15">
        <f>SUM('1:57'!D36)</f>
        <v>1534719</v>
      </c>
      <c r="E36" s="16">
        <f>SUM('1:57'!E36)</f>
        <v>2984519</v>
      </c>
      <c r="F36" s="21">
        <f>ROUND(MEDIAN('1:57'!F36),2)</f>
        <v>1.1599999999999999</v>
      </c>
      <c r="I36" s="146"/>
    </row>
    <row r="37" spans="1:14" x14ac:dyDescent="0.2">
      <c r="A37" s="20">
        <v>2</v>
      </c>
      <c r="B37" s="172" t="s">
        <v>1</v>
      </c>
      <c r="C37" s="173"/>
      <c r="D37" s="15">
        <f>SUM('1:57'!D37)</f>
        <v>3407979</v>
      </c>
      <c r="E37" s="18">
        <f>SUM('1:57'!E37)</f>
        <v>8046820</v>
      </c>
      <c r="F37" s="22">
        <f>ROUND(MEDIAN('1:57'!F37),2)</f>
        <v>2.2200000000000002</v>
      </c>
      <c r="I37" s="146"/>
    </row>
    <row r="38" spans="1:14" x14ac:dyDescent="0.2">
      <c r="A38" s="20">
        <v>3</v>
      </c>
      <c r="B38" s="172" t="s">
        <v>2</v>
      </c>
      <c r="C38" s="173"/>
      <c r="D38" s="15">
        <f>SUM('1:57'!D38)</f>
        <v>29317564</v>
      </c>
      <c r="E38" s="18">
        <f>SUM('1:57'!E38)</f>
        <v>29374637</v>
      </c>
      <c r="F38" s="22">
        <f>ROUND(MEDIAN('1:57'!F38),2)</f>
        <v>0.81</v>
      </c>
      <c r="I38" s="146"/>
    </row>
    <row r="39" spans="1:14" x14ac:dyDescent="0.2">
      <c r="A39" s="20">
        <v>4</v>
      </c>
      <c r="B39" s="172" t="s">
        <v>3</v>
      </c>
      <c r="C39" s="173"/>
      <c r="D39" s="15">
        <f>SUM('1:57'!D39)</f>
        <v>17818481</v>
      </c>
      <c r="E39" s="18">
        <f>SUM('1:57'!E39)</f>
        <v>19582467</v>
      </c>
      <c r="F39" s="22">
        <f>ROUND(MEDIAN('1:57'!F39),2)</f>
        <v>0.81</v>
      </c>
      <c r="I39" s="146"/>
    </row>
    <row r="40" spans="1:14" x14ac:dyDescent="0.2">
      <c r="A40" s="20">
        <v>5</v>
      </c>
      <c r="B40" s="172" t="s">
        <v>4</v>
      </c>
      <c r="C40" s="173"/>
      <c r="D40" s="15">
        <f>SUM('1:57'!D40)</f>
        <v>180656</v>
      </c>
      <c r="E40" s="18">
        <f>SUM('1:57'!E40)</f>
        <v>3465653</v>
      </c>
      <c r="F40" s="22">
        <f>ROUND(MEDIAN('1:57'!F40),2)</f>
        <v>20.99</v>
      </c>
      <c r="I40" s="146"/>
    </row>
    <row r="41" spans="1:14" x14ac:dyDescent="0.2">
      <c r="A41" s="20">
        <v>6</v>
      </c>
      <c r="B41" s="172" t="s">
        <v>5</v>
      </c>
      <c r="C41" s="173"/>
      <c r="D41" s="15">
        <f>SUM('1:57'!D41)</f>
        <v>4119103</v>
      </c>
      <c r="E41" s="18">
        <f>SUM('1:57'!E41)</f>
        <v>9113634</v>
      </c>
      <c r="F41" s="22">
        <f>ROUND(MEDIAN('1:57'!F41),2)</f>
        <v>1.5</v>
      </c>
      <c r="I41" s="146"/>
    </row>
    <row r="42" spans="1:14" x14ac:dyDescent="0.2">
      <c r="A42" s="20">
        <v>7</v>
      </c>
      <c r="B42" s="172" t="s">
        <v>6</v>
      </c>
      <c r="C42" s="173"/>
      <c r="D42" s="15">
        <f>SUM('1:57'!D42)</f>
        <v>11156743</v>
      </c>
      <c r="E42" s="18">
        <f>SUM('1:57'!E42)</f>
        <v>22748020</v>
      </c>
      <c r="F42" s="22">
        <f>ROUND(MEDIAN('1:57'!F42),2)</f>
        <v>1.39</v>
      </c>
      <c r="I42" s="146"/>
    </row>
    <row r="43" spans="1:14" x14ac:dyDescent="0.2">
      <c r="A43" s="20">
        <v>8</v>
      </c>
      <c r="B43" s="172" t="s">
        <v>7</v>
      </c>
      <c r="C43" s="173"/>
      <c r="D43" s="15">
        <f>SUM('1:57'!D43)</f>
        <v>1641826</v>
      </c>
      <c r="E43" s="18">
        <f>SUM('1:57'!E43)</f>
        <v>3590333</v>
      </c>
      <c r="F43" s="22">
        <f>ROUND(MEDIAN('1:57'!F43),2)</f>
        <v>1.92</v>
      </c>
      <c r="I43" s="146"/>
    </row>
    <row r="44" spans="1:14" x14ac:dyDescent="0.2">
      <c r="A44" s="20">
        <v>9</v>
      </c>
      <c r="B44" s="172" t="s">
        <v>8</v>
      </c>
      <c r="C44" s="173"/>
      <c r="D44" s="15">
        <f>SUM('1:57'!D44)</f>
        <v>8752792</v>
      </c>
      <c r="E44" s="18">
        <f>SUM('1:57'!E44)</f>
        <v>11488314</v>
      </c>
      <c r="F44" s="22">
        <f>ROUND(MEDIAN('1:57'!F44),2)</f>
        <v>0.87</v>
      </c>
      <c r="I44" s="146"/>
    </row>
    <row r="45" spans="1:14" x14ac:dyDescent="0.2">
      <c r="A45" s="20">
        <v>10</v>
      </c>
      <c r="B45" s="172" t="s">
        <v>9</v>
      </c>
      <c r="C45" s="173"/>
      <c r="D45" s="15">
        <f>SUM('1:57'!D45)</f>
        <v>253339</v>
      </c>
      <c r="E45" s="18">
        <f>SUM('1:57'!E45)</f>
        <v>456097</v>
      </c>
      <c r="F45" s="22">
        <f>ROUND(MEDIAN('1:57'!F45),2)</f>
        <v>1.29</v>
      </c>
      <c r="I45" s="146"/>
    </row>
    <row r="46" spans="1:14" x14ac:dyDescent="0.2">
      <c r="A46" s="20">
        <v>11</v>
      </c>
      <c r="B46" s="172" t="s">
        <v>10</v>
      </c>
      <c r="C46" s="173"/>
      <c r="D46" s="15">
        <f>SUM('1:57'!D46)</f>
        <v>6787477</v>
      </c>
      <c r="E46" s="18">
        <f>SUM('1:57'!E46)</f>
        <v>13809588</v>
      </c>
      <c r="F46" s="22">
        <f>ROUND(MEDIAN('1:57'!F46),2)</f>
        <v>1.28</v>
      </c>
      <c r="I46" s="146"/>
    </row>
    <row r="47" spans="1:14" x14ac:dyDescent="0.2">
      <c r="A47" s="20">
        <v>12</v>
      </c>
      <c r="B47" s="172" t="s">
        <v>11</v>
      </c>
      <c r="C47" s="173"/>
      <c r="D47" s="15">
        <f>SUM('1:57'!D47)</f>
        <v>38977120</v>
      </c>
      <c r="E47" s="18">
        <f>SUM('1:57'!E47)</f>
        <v>35213340</v>
      </c>
      <c r="F47" s="22">
        <f>ROUND(MEDIAN('1:57'!F47),2)</f>
        <v>0.71</v>
      </c>
      <c r="I47" s="146"/>
    </row>
    <row r="48" spans="1:14" x14ac:dyDescent="0.2">
      <c r="A48" s="20">
        <v>13</v>
      </c>
      <c r="B48" s="172" t="s">
        <v>12</v>
      </c>
      <c r="C48" s="173"/>
      <c r="D48" s="15">
        <f>SUM('1:57'!D48)</f>
        <v>6066467</v>
      </c>
      <c r="E48" s="18">
        <f>SUM('1:57'!E48)</f>
        <v>3869336</v>
      </c>
      <c r="F48" s="22">
        <f>ROUND(MEDIAN('1:57'!F48),2)</f>
        <v>0.57999999999999996</v>
      </c>
      <c r="I48" s="146"/>
    </row>
    <row r="49" spans="1:9" x14ac:dyDescent="0.2">
      <c r="A49" s="20">
        <v>14</v>
      </c>
      <c r="B49" s="172" t="s">
        <v>469</v>
      </c>
      <c r="C49" s="173"/>
      <c r="D49" s="15">
        <f>SUM('1:57'!D49)</f>
        <v>7568757</v>
      </c>
      <c r="E49" s="18">
        <f>SUM('1:57'!E49)</f>
        <v>13891631</v>
      </c>
      <c r="F49" s="22">
        <f>ROUND(MEDIAN('1:57'!F49),2)</f>
        <v>1.56</v>
      </c>
      <c r="I49" s="146"/>
    </row>
    <row r="50" spans="1:9" x14ac:dyDescent="0.2">
      <c r="A50" s="20">
        <v>15</v>
      </c>
      <c r="B50" s="172" t="s">
        <v>13</v>
      </c>
      <c r="C50" s="173"/>
      <c r="D50" s="15">
        <f>SUM('1:57'!D50)</f>
        <v>440090</v>
      </c>
      <c r="E50" s="18">
        <f>SUM('1:57'!E50)</f>
        <v>2047241</v>
      </c>
      <c r="F50" s="22">
        <f>ROUND(MEDIAN('1:57'!F50),2)</f>
        <v>3.82</v>
      </c>
      <c r="I50" s="146"/>
    </row>
    <row r="51" spans="1:9" x14ac:dyDescent="0.2">
      <c r="A51" s="20">
        <v>16</v>
      </c>
      <c r="B51" s="172" t="s">
        <v>14</v>
      </c>
      <c r="C51" s="173"/>
      <c r="D51" s="15">
        <f>SUM('1:57'!D51)</f>
        <v>10218719</v>
      </c>
      <c r="E51" s="18">
        <f>SUM('1:57'!E51)</f>
        <v>18261311</v>
      </c>
      <c r="F51" s="22">
        <f>ROUND(MEDIAN('1:57'!F51),2)</f>
        <v>1.46</v>
      </c>
      <c r="I51" s="146"/>
    </row>
    <row r="52" spans="1:9" x14ac:dyDescent="0.2">
      <c r="A52" s="20">
        <v>17</v>
      </c>
      <c r="B52" s="172" t="s">
        <v>15</v>
      </c>
      <c r="C52" s="173"/>
      <c r="D52" s="15">
        <f>SUM('1:57'!D52)</f>
        <v>821386</v>
      </c>
      <c r="E52" s="18">
        <f>SUM('1:57'!E52)</f>
        <v>1446264</v>
      </c>
      <c r="F52" s="22">
        <f>ROUND(MEDIAN('1:57'!F52),2)</f>
        <v>1.35</v>
      </c>
      <c r="I52" s="146"/>
    </row>
    <row r="53" spans="1:9" x14ac:dyDescent="0.2">
      <c r="A53" s="20">
        <v>18</v>
      </c>
      <c r="B53" s="172" t="s">
        <v>16</v>
      </c>
      <c r="C53" s="173"/>
      <c r="D53" s="15">
        <f>SUM('1:57'!D53)</f>
        <v>4770575</v>
      </c>
      <c r="E53" s="18">
        <f>SUM('1:57'!E53)</f>
        <v>5569582</v>
      </c>
      <c r="F53" s="22">
        <f>ROUND(MEDIAN('1:57'!F53),2)</f>
        <v>0.91</v>
      </c>
      <c r="I53" s="146"/>
    </row>
    <row r="54" spans="1:9" x14ac:dyDescent="0.2">
      <c r="A54" s="20">
        <v>19</v>
      </c>
      <c r="B54" s="172" t="s">
        <v>17</v>
      </c>
      <c r="C54" s="173"/>
      <c r="D54" s="15">
        <f>SUM('1:57'!D54)</f>
        <v>27448321</v>
      </c>
      <c r="E54" s="18">
        <f>SUM('1:57'!E54)</f>
        <v>18396958</v>
      </c>
      <c r="F54" s="22">
        <f>ROUND(MEDIAN('1:57'!F54),2)</f>
        <v>0.61</v>
      </c>
      <c r="I54" s="146"/>
    </row>
    <row r="55" spans="1:9" x14ac:dyDescent="0.2">
      <c r="A55" s="20">
        <v>20</v>
      </c>
      <c r="B55" s="172" t="s">
        <v>18</v>
      </c>
      <c r="C55" s="173"/>
      <c r="D55" s="15">
        <f>SUM('1:57'!D55)</f>
        <v>3250692</v>
      </c>
      <c r="E55" s="18">
        <f>SUM('1:57'!E55)</f>
        <v>5878525</v>
      </c>
      <c r="F55" s="22">
        <f>ROUND(MEDIAN('1:57'!F55),2)</f>
        <v>1.7</v>
      </c>
      <c r="I55" s="146"/>
    </row>
    <row r="56" spans="1:9" ht="14.25" customHeight="1" x14ac:dyDescent="0.2">
      <c r="A56" s="20">
        <v>21</v>
      </c>
      <c r="B56" s="172" t="s">
        <v>466</v>
      </c>
      <c r="C56" s="173"/>
      <c r="D56" s="15">
        <f>SUM('1:57'!D56)</f>
        <v>2169847</v>
      </c>
      <c r="E56" s="18">
        <f>SUM('1:57'!E56)</f>
        <v>6673449</v>
      </c>
      <c r="F56" s="22">
        <f>ROUND(MEDIAN('1:57'!F56),2)</f>
        <v>2.81</v>
      </c>
      <c r="I56" s="146"/>
    </row>
    <row r="57" spans="1:9" x14ac:dyDescent="0.2">
      <c r="A57" s="20">
        <v>22</v>
      </c>
      <c r="B57" s="172" t="s">
        <v>19</v>
      </c>
      <c r="C57" s="173"/>
      <c r="D57" s="15">
        <f>SUM('1:57'!D57)</f>
        <v>1083987</v>
      </c>
      <c r="E57" s="18">
        <f>SUM('1:57'!E57)</f>
        <v>1761944</v>
      </c>
      <c r="F57" s="22">
        <f>ROUND(MEDIAN('1:57'!F57),2)</f>
        <v>1.01</v>
      </c>
      <c r="I57" s="146"/>
    </row>
    <row r="58" spans="1:9" x14ac:dyDescent="0.2">
      <c r="A58" s="20">
        <v>23</v>
      </c>
      <c r="B58" s="172" t="s">
        <v>20</v>
      </c>
      <c r="C58" s="173"/>
      <c r="D58" s="15">
        <f>SUM('1:57'!D58)</f>
        <v>5655572</v>
      </c>
      <c r="E58" s="18">
        <f>SUM('1:57'!E58)</f>
        <v>7122653</v>
      </c>
      <c r="F58" s="22">
        <f>ROUND(MEDIAN('1:57'!F58),2)</f>
        <v>1.02</v>
      </c>
      <c r="I58" s="146"/>
    </row>
    <row r="59" spans="1:9" x14ac:dyDescent="0.2">
      <c r="A59" s="20">
        <v>24</v>
      </c>
      <c r="B59" s="172" t="s">
        <v>21</v>
      </c>
      <c r="C59" s="173"/>
      <c r="D59" s="15">
        <f>SUM('1:57'!D59)</f>
        <v>6831091</v>
      </c>
      <c r="E59" s="18">
        <f>SUM('1:57'!E59)</f>
        <v>13606589</v>
      </c>
      <c r="F59" s="22">
        <f>ROUND(MEDIAN('1:57'!F59),2)</f>
        <v>1.37</v>
      </c>
      <c r="I59" s="146"/>
    </row>
    <row r="60" spans="1:9" x14ac:dyDescent="0.2">
      <c r="A60" s="20">
        <v>25</v>
      </c>
      <c r="B60" s="172" t="s">
        <v>22</v>
      </c>
      <c r="C60" s="173"/>
      <c r="D60" s="15">
        <f>SUM('1:57'!D60)</f>
        <v>41354433</v>
      </c>
      <c r="E60" s="18">
        <f>SUM('1:57'!E60)</f>
        <v>20166130</v>
      </c>
      <c r="F60" s="22">
        <f>ROUND(MEDIAN('1:57'!F60),2)</f>
        <v>0.39</v>
      </c>
      <c r="I60" s="146"/>
    </row>
    <row r="61" spans="1:9" x14ac:dyDescent="0.2">
      <c r="A61" s="20">
        <v>26</v>
      </c>
      <c r="B61" s="172" t="s">
        <v>23</v>
      </c>
      <c r="C61" s="173"/>
      <c r="D61" s="15">
        <f>SUM('1:57'!D61)</f>
        <v>12932275</v>
      </c>
      <c r="E61" s="18">
        <f>SUM('1:57'!E61)</f>
        <v>19609036</v>
      </c>
      <c r="F61" s="22">
        <f>ROUND(MEDIAN('1:57'!F61),2)</f>
        <v>1.23</v>
      </c>
      <c r="I61" s="146"/>
    </row>
    <row r="62" spans="1:9" x14ac:dyDescent="0.2">
      <c r="A62" s="20">
        <v>28</v>
      </c>
      <c r="B62" s="172" t="s">
        <v>24</v>
      </c>
      <c r="C62" s="173"/>
      <c r="D62" s="15">
        <f>SUM('1:57'!D62)</f>
        <v>0</v>
      </c>
      <c r="E62" s="18">
        <f>SUM('1:57'!E62)</f>
        <v>0</v>
      </c>
      <c r="F62" s="22"/>
    </row>
    <row r="63" spans="1:9" ht="15.75" customHeight="1" thickBot="1" x14ac:dyDescent="0.25">
      <c r="A63" s="23">
        <v>29</v>
      </c>
      <c r="B63" s="174" t="s">
        <v>25</v>
      </c>
      <c r="C63" s="175"/>
      <c r="D63" s="24">
        <f>SUM('1:57'!D63)</f>
        <v>0</v>
      </c>
      <c r="E63" s="25">
        <f>SUM('1:57'!E63)</f>
        <v>0</v>
      </c>
      <c r="F63" s="26"/>
    </row>
    <row r="64" spans="1:9" x14ac:dyDescent="0.2">
      <c r="C64" s="14" t="s">
        <v>35</v>
      </c>
      <c r="D64" s="64">
        <f>SUM(D36:D63)</f>
        <v>254560011</v>
      </c>
      <c r="E64" s="5">
        <f>SUM(E36:E63)</f>
        <v>298174071</v>
      </c>
      <c r="F64" s="9">
        <f>ROUND(MEDIAN('1:57'!F64),2)</f>
        <v>1.05</v>
      </c>
    </row>
    <row r="65" spans="1:9" ht="15" thickBot="1" x14ac:dyDescent="0.25"/>
    <row r="66" spans="1:9" ht="29.25" customHeight="1" x14ac:dyDescent="0.2">
      <c r="A66" s="27" t="s">
        <v>26</v>
      </c>
      <c r="B66" s="182" t="s">
        <v>472</v>
      </c>
      <c r="C66" s="183"/>
      <c r="D66" s="29" t="s">
        <v>27</v>
      </c>
      <c r="E66" s="29" t="s">
        <v>467</v>
      </c>
      <c r="F66" s="30" t="s">
        <v>468</v>
      </c>
    </row>
    <row r="67" spans="1:9" x14ac:dyDescent="0.2">
      <c r="A67" s="20">
        <v>1</v>
      </c>
      <c r="B67" s="172" t="s">
        <v>0</v>
      </c>
      <c r="C67" s="173"/>
      <c r="D67" s="15">
        <f>D36</f>
        <v>1534719</v>
      </c>
      <c r="E67" s="16">
        <f>SUM('1:57'!E67)</f>
        <v>4815786</v>
      </c>
      <c r="F67" s="21">
        <f>ROUND(MEDIAN('1:57'!F67),2)</f>
        <v>3.26</v>
      </c>
      <c r="I67" s="146"/>
    </row>
    <row r="68" spans="1:9" x14ac:dyDescent="0.2">
      <c r="A68" s="20">
        <v>2</v>
      </c>
      <c r="B68" s="172" t="s">
        <v>1</v>
      </c>
      <c r="C68" s="173"/>
      <c r="D68" s="15">
        <f t="shared" ref="D68:D94" si="3">D37</f>
        <v>3407979</v>
      </c>
      <c r="E68" s="18">
        <f>SUM('1:57'!E68)</f>
        <v>14224084</v>
      </c>
      <c r="F68" s="22">
        <f>ROUND(MEDIAN('1:57'!F68),2)</f>
        <v>3.38</v>
      </c>
      <c r="I68" s="146"/>
    </row>
    <row r="69" spans="1:9" x14ac:dyDescent="0.2">
      <c r="A69" s="20">
        <v>3</v>
      </c>
      <c r="B69" s="172" t="s">
        <v>2</v>
      </c>
      <c r="C69" s="173"/>
      <c r="D69" s="15">
        <f t="shared" si="3"/>
        <v>29317564</v>
      </c>
      <c r="E69" s="18">
        <f>SUM('1:57'!E69)</f>
        <v>83982977</v>
      </c>
      <c r="F69" s="22">
        <f>ROUND(MEDIAN('1:57'!F69),2)</f>
        <v>2.76</v>
      </c>
      <c r="I69" s="146"/>
    </row>
    <row r="70" spans="1:9" x14ac:dyDescent="0.2">
      <c r="A70" s="20">
        <v>4</v>
      </c>
      <c r="B70" s="172" t="s">
        <v>3</v>
      </c>
      <c r="C70" s="173"/>
      <c r="D70" s="15">
        <f t="shared" si="3"/>
        <v>17818481</v>
      </c>
      <c r="E70" s="18">
        <f>SUM('1:57'!E70)</f>
        <v>54935391</v>
      </c>
      <c r="F70" s="22">
        <f>ROUND(MEDIAN('1:57'!F70),2)</f>
        <v>3.02</v>
      </c>
      <c r="I70" s="146"/>
    </row>
    <row r="71" spans="1:9" x14ac:dyDescent="0.2">
      <c r="A71" s="20">
        <v>5</v>
      </c>
      <c r="B71" s="172" t="s">
        <v>4</v>
      </c>
      <c r="C71" s="173"/>
      <c r="D71" s="15">
        <f t="shared" si="3"/>
        <v>180656</v>
      </c>
      <c r="E71" s="18">
        <f>SUM('1:57'!E71)</f>
        <v>1325428</v>
      </c>
      <c r="F71" s="22">
        <f>ROUND(MEDIAN('1:57'!F71),2)</f>
        <v>9.6</v>
      </c>
      <c r="I71" s="146"/>
    </row>
    <row r="72" spans="1:9" x14ac:dyDescent="0.2">
      <c r="A72" s="20">
        <v>6</v>
      </c>
      <c r="B72" s="172" t="s">
        <v>5</v>
      </c>
      <c r="C72" s="173"/>
      <c r="D72" s="15">
        <f t="shared" si="3"/>
        <v>4119103</v>
      </c>
      <c r="E72" s="18">
        <f>SUM('1:57'!E72)</f>
        <v>8975461</v>
      </c>
      <c r="F72" s="22">
        <f>ROUND(MEDIAN('1:57'!F72),2)</f>
        <v>2.87</v>
      </c>
      <c r="I72" s="146"/>
    </row>
    <row r="73" spans="1:9" x14ac:dyDescent="0.2">
      <c r="A73" s="20">
        <v>7</v>
      </c>
      <c r="B73" s="172" t="s">
        <v>6</v>
      </c>
      <c r="C73" s="173"/>
      <c r="D73" s="15">
        <f t="shared" si="3"/>
        <v>11156743</v>
      </c>
      <c r="E73" s="18">
        <f>SUM('1:57'!E73)</f>
        <v>44689771</v>
      </c>
      <c r="F73" s="22">
        <f>ROUND(MEDIAN('1:57'!F73),2)</f>
        <v>3.85</v>
      </c>
      <c r="I73" s="146"/>
    </row>
    <row r="74" spans="1:9" x14ac:dyDescent="0.2">
      <c r="A74" s="20">
        <v>8</v>
      </c>
      <c r="B74" s="172" t="s">
        <v>7</v>
      </c>
      <c r="C74" s="173"/>
      <c r="D74" s="15">
        <f t="shared" si="3"/>
        <v>1641826</v>
      </c>
      <c r="E74" s="18">
        <f>SUM('1:57'!E74)</f>
        <v>5348358</v>
      </c>
      <c r="F74" s="22">
        <f>ROUND(MEDIAN('1:57'!F74),2)</f>
        <v>2.83</v>
      </c>
      <c r="I74" s="146"/>
    </row>
    <row r="75" spans="1:9" x14ac:dyDescent="0.2">
      <c r="A75" s="20">
        <v>9</v>
      </c>
      <c r="B75" s="172" t="s">
        <v>8</v>
      </c>
      <c r="C75" s="173"/>
      <c r="D75" s="15">
        <f t="shared" si="3"/>
        <v>8752792</v>
      </c>
      <c r="E75" s="18">
        <f>SUM('1:57'!E75)</f>
        <v>22115734</v>
      </c>
      <c r="F75" s="22">
        <f>ROUND(MEDIAN('1:57'!F75),2)</f>
        <v>2.6</v>
      </c>
      <c r="I75" s="146"/>
    </row>
    <row r="76" spans="1:9" x14ac:dyDescent="0.2">
      <c r="A76" s="20">
        <v>10</v>
      </c>
      <c r="B76" s="172" t="s">
        <v>9</v>
      </c>
      <c r="C76" s="173"/>
      <c r="D76" s="15">
        <f t="shared" si="3"/>
        <v>253339</v>
      </c>
      <c r="E76" s="18">
        <f>SUM('1:57'!E76)</f>
        <v>1222123</v>
      </c>
      <c r="F76" s="22">
        <f>ROUND(MEDIAN('1:57'!F76),2)</f>
        <v>3.29</v>
      </c>
      <c r="I76" s="146"/>
    </row>
    <row r="77" spans="1:9" x14ac:dyDescent="0.2">
      <c r="A77" s="20">
        <v>11</v>
      </c>
      <c r="B77" s="172" t="s">
        <v>10</v>
      </c>
      <c r="C77" s="173"/>
      <c r="D77" s="15">
        <f t="shared" si="3"/>
        <v>6787477</v>
      </c>
      <c r="E77" s="18">
        <f>SUM('1:57'!E77)</f>
        <v>21847753</v>
      </c>
      <c r="F77" s="22">
        <f>ROUND(MEDIAN('1:57'!F77),2)</f>
        <v>2.85</v>
      </c>
      <c r="I77" s="146"/>
    </row>
    <row r="78" spans="1:9" x14ac:dyDescent="0.2">
      <c r="A78" s="20">
        <v>12</v>
      </c>
      <c r="B78" s="172" t="s">
        <v>11</v>
      </c>
      <c r="C78" s="173"/>
      <c r="D78" s="15">
        <f t="shared" si="3"/>
        <v>38977120</v>
      </c>
      <c r="E78" s="18">
        <f>SUM('1:57'!E78)</f>
        <v>142035506</v>
      </c>
      <c r="F78" s="22">
        <f>ROUND(MEDIAN('1:57'!F78),2)</f>
        <v>3.32</v>
      </c>
      <c r="I78" s="146"/>
    </row>
    <row r="79" spans="1:9" x14ac:dyDescent="0.2">
      <c r="A79" s="20">
        <v>13</v>
      </c>
      <c r="B79" s="172" t="s">
        <v>12</v>
      </c>
      <c r="C79" s="173"/>
      <c r="D79" s="15">
        <f t="shared" si="3"/>
        <v>6066467</v>
      </c>
      <c r="E79" s="18">
        <f>SUM('1:57'!E79)</f>
        <v>17915166</v>
      </c>
      <c r="F79" s="22">
        <f>ROUND(MEDIAN('1:57'!F79),2)</f>
        <v>3.01</v>
      </c>
      <c r="I79" s="146"/>
    </row>
    <row r="80" spans="1:9" x14ac:dyDescent="0.2">
      <c r="A80" s="20">
        <v>14</v>
      </c>
      <c r="B80" s="172" t="s">
        <v>469</v>
      </c>
      <c r="C80" s="173"/>
      <c r="D80" s="15">
        <f t="shared" si="3"/>
        <v>7568757</v>
      </c>
      <c r="E80" s="18">
        <f>SUM('1:57'!E80)</f>
        <v>46829485</v>
      </c>
      <c r="F80" s="22">
        <f>ROUND(MEDIAN('1:57'!F80),2)</f>
        <v>5.71</v>
      </c>
      <c r="I80" s="146"/>
    </row>
    <row r="81" spans="1:9" x14ac:dyDescent="0.2">
      <c r="A81" s="20">
        <v>15</v>
      </c>
      <c r="B81" s="172" t="s">
        <v>13</v>
      </c>
      <c r="C81" s="173"/>
      <c r="D81" s="15">
        <f t="shared" si="3"/>
        <v>440090</v>
      </c>
      <c r="E81" s="18">
        <f>SUM('1:57'!E81)</f>
        <v>4003666</v>
      </c>
      <c r="F81" s="22">
        <f>ROUND(MEDIAN('1:57'!F81),2)</f>
        <v>9.77</v>
      </c>
      <c r="I81" s="146"/>
    </row>
    <row r="82" spans="1:9" x14ac:dyDescent="0.2">
      <c r="A82" s="20">
        <v>16</v>
      </c>
      <c r="B82" s="172" t="s">
        <v>14</v>
      </c>
      <c r="C82" s="173"/>
      <c r="D82" s="15">
        <f t="shared" si="3"/>
        <v>10218719</v>
      </c>
      <c r="E82" s="18">
        <f>SUM('1:57'!E82)</f>
        <v>43414380</v>
      </c>
      <c r="F82" s="22">
        <f>ROUND(MEDIAN('1:57'!F82),2)</f>
        <v>3.6</v>
      </c>
      <c r="I82" s="146"/>
    </row>
    <row r="83" spans="1:9" x14ac:dyDescent="0.2">
      <c r="A83" s="20">
        <v>17</v>
      </c>
      <c r="B83" s="172" t="s">
        <v>15</v>
      </c>
      <c r="C83" s="173"/>
      <c r="D83" s="15">
        <f t="shared" si="3"/>
        <v>821386</v>
      </c>
      <c r="E83" s="18">
        <f>SUM('1:57'!E83)</f>
        <v>5792619</v>
      </c>
      <c r="F83" s="22">
        <f>ROUND(MEDIAN('1:57'!F83),2)</f>
        <v>6.47</v>
      </c>
      <c r="I83" s="146"/>
    </row>
    <row r="84" spans="1:9" x14ac:dyDescent="0.2">
      <c r="A84" s="20">
        <v>18</v>
      </c>
      <c r="B84" s="172" t="s">
        <v>16</v>
      </c>
      <c r="C84" s="173"/>
      <c r="D84" s="15">
        <f t="shared" si="3"/>
        <v>4770575</v>
      </c>
      <c r="E84" s="18">
        <f>SUM('1:57'!E84)</f>
        <v>20855013</v>
      </c>
      <c r="F84" s="22">
        <f>ROUND(MEDIAN('1:57'!F84),2)</f>
        <v>4.2300000000000004</v>
      </c>
      <c r="I84" s="146"/>
    </row>
    <row r="85" spans="1:9" x14ac:dyDescent="0.2">
      <c r="A85" s="20">
        <v>19</v>
      </c>
      <c r="B85" s="172" t="s">
        <v>17</v>
      </c>
      <c r="C85" s="173"/>
      <c r="D85" s="15">
        <f t="shared" si="3"/>
        <v>27448321</v>
      </c>
      <c r="E85" s="18">
        <f>SUM('1:57'!E85)</f>
        <v>83775499</v>
      </c>
      <c r="F85" s="22">
        <f>ROUND(MEDIAN('1:57'!F85),2)</f>
        <v>3.09</v>
      </c>
      <c r="I85" s="146"/>
    </row>
    <row r="86" spans="1:9" x14ac:dyDescent="0.2">
      <c r="A86" s="20">
        <v>20</v>
      </c>
      <c r="B86" s="172" t="s">
        <v>18</v>
      </c>
      <c r="C86" s="173"/>
      <c r="D86" s="15">
        <f t="shared" si="3"/>
        <v>3250692</v>
      </c>
      <c r="E86" s="18">
        <f>SUM('1:57'!E86)</f>
        <v>12810091</v>
      </c>
      <c r="F86" s="22">
        <f>ROUND(MEDIAN('1:57'!F86),2)</f>
        <v>3.59</v>
      </c>
      <c r="I86" s="146"/>
    </row>
    <row r="87" spans="1:9" x14ac:dyDescent="0.2">
      <c r="A87" s="20">
        <v>21</v>
      </c>
      <c r="B87" s="172" t="s">
        <v>466</v>
      </c>
      <c r="C87" s="173"/>
      <c r="D87" s="15">
        <f t="shared" si="3"/>
        <v>2169847</v>
      </c>
      <c r="E87" s="18">
        <f>SUM('1:57'!E87)</f>
        <v>8031909</v>
      </c>
      <c r="F87" s="22">
        <f>ROUND(MEDIAN('1:57'!F87),2)</f>
        <v>3.24</v>
      </c>
      <c r="I87" s="146"/>
    </row>
    <row r="88" spans="1:9" x14ac:dyDescent="0.2">
      <c r="A88" s="20">
        <v>22</v>
      </c>
      <c r="B88" s="172" t="s">
        <v>19</v>
      </c>
      <c r="C88" s="173"/>
      <c r="D88" s="15">
        <f t="shared" si="3"/>
        <v>1083987</v>
      </c>
      <c r="E88" s="18">
        <f>SUM('1:57'!E88)</f>
        <v>3975365</v>
      </c>
      <c r="F88" s="22">
        <f>ROUND(MEDIAN('1:57'!F88),2)</f>
        <v>2.93</v>
      </c>
      <c r="I88" s="146"/>
    </row>
    <row r="89" spans="1:9" x14ac:dyDescent="0.2">
      <c r="A89" s="20">
        <v>23</v>
      </c>
      <c r="B89" s="172" t="s">
        <v>20</v>
      </c>
      <c r="C89" s="173"/>
      <c r="D89" s="15">
        <f t="shared" si="3"/>
        <v>5655572</v>
      </c>
      <c r="E89" s="18">
        <f>SUM('1:57'!E89)</f>
        <v>24109755</v>
      </c>
      <c r="F89" s="22">
        <f>ROUND(MEDIAN('1:57'!F89),2)</f>
        <v>4.0199999999999996</v>
      </c>
      <c r="I89" s="146"/>
    </row>
    <row r="90" spans="1:9" x14ac:dyDescent="0.2">
      <c r="A90" s="20">
        <v>24</v>
      </c>
      <c r="B90" s="172" t="s">
        <v>21</v>
      </c>
      <c r="C90" s="173"/>
      <c r="D90" s="15">
        <f t="shared" si="3"/>
        <v>6831091</v>
      </c>
      <c r="E90" s="18">
        <f>SUM('1:57'!E90)</f>
        <v>19163195</v>
      </c>
      <c r="F90" s="22">
        <f>ROUND(MEDIAN('1:57'!F90),2)</f>
        <v>2.93</v>
      </c>
      <c r="I90" s="146"/>
    </row>
    <row r="91" spans="1:9" x14ac:dyDescent="0.2">
      <c r="A91" s="20">
        <v>25</v>
      </c>
      <c r="B91" s="172" t="s">
        <v>22</v>
      </c>
      <c r="C91" s="173"/>
      <c r="D91" s="15">
        <f t="shared" si="3"/>
        <v>41354433</v>
      </c>
      <c r="E91" s="18">
        <f>SUM('1:57'!E91)</f>
        <v>113667979</v>
      </c>
      <c r="F91" s="22">
        <f>ROUND(MEDIAN('1:57'!F91),2)</f>
        <v>2.64</v>
      </c>
      <c r="I91" s="146"/>
    </row>
    <row r="92" spans="1:9" x14ac:dyDescent="0.2">
      <c r="A92" s="20">
        <v>26</v>
      </c>
      <c r="B92" s="172" t="s">
        <v>23</v>
      </c>
      <c r="C92" s="173"/>
      <c r="D92" s="15">
        <f t="shared" si="3"/>
        <v>12932275</v>
      </c>
      <c r="E92" s="18">
        <f>SUM('1:57'!E92)</f>
        <v>55365256</v>
      </c>
      <c r="F92" s="22">
        <f>ROUND(MEDIAN('1:57'!F92),2)</f>
        <v>3.85</v>
      </c>
      <c r="I92" s="146"/>
    </row>
    <row r="93" spans="1:9" x14ac:dyDescent="0.2">
      <c r="A93" s="20">
        <v>28</v>
      </c>
      <c r="B93" s="172" t="s">
        <v>24</v>
      </c>
      <c r="C93" s="173"/>
      <c r="D93" s="15">
        <f t="shared" si="3"/>
        <v>0</v>
      </c>
      <c r="E93" s="18">
        <f>SUM('1:57'!E93)</f>
        <v>0</v>
      </c>
      <c r="F93" s="22"/>
    </row>
    <row r="94" spans="1:9" ht="15.75" customHeight="1" thickBot="1" x14ac:dyDescent="0.25">
      <c r="A94" s="23">
        <v>29</v>
      </c>
      <c r="B94" s="174" t="s">
        <v>25</v>
      </c>
      <c r="C94" s="175"/>
      <c r="D94" s="24">
        <f t="shared" si="3"/>
        <v>0</v>
      </c>
      <c r="E94" s="25">
        <f>SUM('1:57'!E94)</f>
        <v>0</v>
      </c>
      <c r="F94" s="26"/>
    </row>
    <row r="95" spans="1:9" x14ac:dyDescent="0.2">
      <c r="C95" s="14" t="s">
        <v>35</v>
      </c>
      <c r="D95" s="64">
        <f>SUM(D67:D94)</f>
        <v>254560011</v>
      </c>
      <c r="E95" s="5">
        <f>SUM(E67:E94)</f>
        <v>865227750</v>
      </c>
      <c r="F95" s="9">
        <f>ROUND(MEDIAN('1:57'!F95),2)</f>
        <v>3.27</v>
      </c>
    </row>
    <row r="96" spans="1:9" ht="15" thickBot="1" x14ac:dyDescent="0.25"/>
    <row r="97" spans="2:6" ht="29.25" customHeight="1" x14ac:dyDescent="0.2">
      <c r="B97" s="176" t="s">
        <v>473</v>
      </c>
      <c r="C97" s="177"/>
      <c r="D97" s="29" t="s">
        <v>27</v>
      </c>
      <c r="E97" s="34" t="s">
        <v>467</v>
      </c>
      <c r="F97" s="30" t="s">
        <v>468</v>
      </c>
    </row>
    <row r="98" spans="2:6" x14ac:dyDescent="0.2">
      <c r="B98" s="178" t="s">
        <v>30</v>
      </c>
      <c r="C98" s="179"/>
      <c r="D98" s="36"/>
      <c r="E98" s="16">
        <f>SUM('1:57'!E98)</f>
        <v>405557297</v>
      </c>
      <c r="F98" s="21">
        <f>ROUND(MEDIAN('1:57'!F98),2)</f>
        <v>1.54</v>
      </c>
    </row>
    <row r="99" spans="2:6" x14ac:dyDescent="0.2">
      <c r="B99" s="178" t="s">
        <v>31</v>
      </c>
      <c r="C99" s="179"/>
      <c r="D99" s="37"/>
      <c r="E99" s="18">
        <f>SUM('1:57'!E99)</f>
        <v>208797311</v>
      </c>
      <c r="F99" s="22">
        <f>ROUND(MEDIAN('1:57'!F99),2)</f>
        <v>0.71</v>
      </c>
    </row>
    <row r="100" spans="2:6" x14ac:dyDescent="0.2">
      <c r="B100" s="178" t="s">
        <v>32</v>
      </c>
      <c r="C100" s="179"/>
      <c r="D100" s="37"/>
      <c r="E100" s="18">
        <f>SUM('1:57'!E100)</f>
        <v>218103285</v>
      </c>
      <c r="F100" s="22">
        <f>ROUND(MEDIAN('1:57'!F100),2)</f>
        <v>0.7</v>
      </c>
    </row>
    <row r="101" spans="2:6" x14ac:dyDescent="0.2">
      <c r="B101" s="178" t="s">
        <v>28</v>
      </c>
      <c r="C101" s="179"/>
      <c r="D101" s="37"/>
      <c r="E101" s="18">
        <f>SUM('1:57'!E101)</f>
        <v>716702</v>
      </c>
      <c r="F101" s="22">
        <f>ROUND(MEDIAN('1:57'!F101),2)</f>
        <v>0</v>
      </c>
    </row>
    <row r="102" spans="2:6" x14ac:dyDescent="0.2">
      <c r="B102" s="178" t="s">
        <v>33</v>
      </c>
      <c r="C102" s="179"/>
      <c r="D102" s="37"/>
      <c r="E102" s="18">
        <f>SUM('1:57'!E102)</f>
        <v>19975984</v>
      </c>
      <c r="F102" s="22">
        <f>ROUND(MEDIAN('1:57'!F102),2)</f>
        <v>0.01</v>
      </c>
    </row>
    <row r="103" spans="2:6" x14ac:dyDescent="0.2">
      <c r="B103" s="180" t="s">
        <v>34</v>
      </c>
      <c r="C103" s="181"/>
      <c r="D103" s="37"/>
      <c r="E103" s="18">
        <f>SUM('1:57'!E103)</f>
        <v>37941862</v>
      </c>
      <c r="F103" s="22">
        <f>ROUND(MEDIAN('1:57'!F103),2)</f>
        <v>0.15</v>
      </c>
    </row>
    <row r="104" spans="2:6" ht="15.75" customHeight="1" thickBot="1" x14ac:dyDescent="0.25">
      <c r="B104" s="170" t="s">
        <v>29</v>
      </c>
      <c r="C104" s="171"/>
      <c r="D104" s="38"/>
      <c r="E104" s="25">
        <f>SUM('1:57'!E104)</f>
        <v>56508376</v>
      </c>
      <c r="F104" s="26">
        <f>ROUND(MEDIAN('1:57'!F104),2)</f>
        <v>0.17</v>
      </c>
    </row>
    <row r="105" spans="2:6" x14ac:dyDescent="0.2">
      <c r="C105" s="14" t="s">
        <v>35</v>
      </c>
      <c r="D105" s="13">
        <f>D95</f>
        <v>254560011</v>
      </c>
      <c r="E105" s="5">
        <f>SUM(E98:E104)</f>
        <v>947600817</v>
      </c>
      <c r="F105" s="9">
        <f>SUM(F98:F104)</f>
        <v>3.28</v>
      </c>
    </row>
    <row r="107" spans="2:6" ht="15" thickBot="1" x14ac:dyDescent="0.25">
      <c r="B107" s="12" t="s">
        <v>940</v>
      </c>
    </row>
    <row r="108" spans="2:6" ht="28.5" x14ac:dyDescent="0.2">
      <c r="B108" s="46" t="s">
        <v>934</v>
      </c>
      <c r="C108" s="28" t="s">
        <v>938</v>
      </c>
      <c r="D108" s="28" t="s">
        <v>29</v>
      </c>
      <c r="E108" s="28" t="s">
        <v>939</v>
      </c>
      <c r="F108" s="47" t="s">
        <v>35</v>
      </c>
    </row>
    <row r="109" spans="2:6" x14ac:dyDescent="0.2">
      <c r="B109" s="43" t="s">
        <v>935</v>
      </c>
      <c r="C109" s="16">
        <f>SUM('1:57'!C109)</f>
        <v>983013791</v>
      </c>
      <c r="D109" s="16">
        <f>SUM('1:57'!D109)</f>
        <v>72954960</v>
      </c>
      <c r="E109" s="16">
        <f>SUM('1:57'!E109)</f>
        <v>116272376</v>
      </c>
      <c r="F109" s="48">
        <f>SUM('1:57'!F109)</f>
        <v>1172241127</v>
      </c>
    </row>
    <row r="110" spans="2:6" x14ac:dyDescent="0.2">
      <c r="B110" s="43" t="s">
        <v>28</v>
      </c>
      <c r="C110" s="51">
        <f>SUM('1:57'!C110)</f>
        <v>603575</v>
      </c>
      <c r="D110" s="52">
        <f>SUM('1:57'!D110)</f>
        <v>0</v>
      </c>
      <c r="E110" s="51">
        <f>SUM('1:57'!E110)</f>
        <v>603575</v>
      </c>
      <c r="F110" s="49">
        <f>SUM('1:57'!F110)</f>
        <v>1207150</v>
      </c>
    </row>
    <row r="111" spans="2:6" x14ac:dyDescent="0.2">
      <c r="B111" s="43" t="s">
        <v>936</v>
      </c>
      <c r="C111" s="51">
        <f>SUM('1:57'!C111)</f>
        <v>59589438</v>
      </c>
      <c r="D111" s="52">
        <f>SUM('1:57'!D111)</f>
        <v>0</v>
      </c>
      <c r="E111" s="51">
        <f>SUM('1:57'!E111)</f>
        <v>39256244</v>
      </c>
      <c r="F111" s="49">
        <f>SUM('1:57'!F111)</f>
        <v>98845682</v>
      </c>
    </row>
    <row r="112" spans="2:6" x14ac:dyDescent="0.2">
      <c r="B112" s="43" t="s">
        <v>32</v>
      </c>
      <c r="C112" s="51">
        <f>SUM('1:57'!C112)</f>
        <v>163580304</v>
      </c>
      <c r="D112" s="52">
        <f>SUM('1:57'!D112)</f>
        <v>0</v>
      </c>
      <c r="E112" s="51">
        <f>SUM('1:57'!E112)</f>
        <v>54522981</v>
      </c>
      <c r="F112" s="49">
        <f>SUM('1:57'!F112)</f>
        <v>218103285</v>
      </c>
    </row>
    <row r="113" spans="1:6" x14ac:dyDescent="0.2">
      <c r="B113" s="43" t="s">
        <v>31</v>
      </c>
      <c r="C113" s="51">
        <f>SUM('1:57'!C113)</f>
        <v>173410735</v>
      </c>
      <c r="D113" s="52">
        <f>SUM('1:57'!D113)</f>
        <v>0</v>
      </c>
      <c r="E113" s="51">
        <f>SUM('1:57'!E113)</f>
        <v>35386576</v>
      </c>
      <c r="F113" s="49">
        <f>SUM('1:57'!F113)</f>
        <v>208797311</v>
      </c>
    </row>
    <row r="114" spans="1:6" x14ac:dyDescent="0.2">
      <c r="B114" s="43" t="s">
        <v>1021</v>
      </c>
      <c r="C114" s="51">
        <f>SUM('1:57'!C114)</f>
        <v>244719614</v>
      </c>
      <c r="D114" s="52">
        <f>SUM('1:57'!D114)</f>
        <v>0</v>
      </c>
      <c r="E114" s="51">
        <f>SUM('1:57'!E114)</f>
        <v>160837683</v>
      </c>
      <c r="F114" s="49">
        <f>SUM('1:57'!F114)</f>
        <v>405557297</v>
      </c>
    </row>
    <row r="115" spans="1:6" x14ac:dyDescent="0.2">
      <c r="B115" s="43" t="s">
        <v>937</v>
      </c>
      <c r="C115" s="51">
        <f>SUM('1:57'!C115)</f>
        <v>87302395</v>
      </c>
      <c r="D115" s="51">
        <f>SUM('1:57'!D115)</f>
        <v>20876555</v>
      </c>
      <c r="E115" s="51">
        <f>SUM('1:57'!E115)</f>
        <v>249888001</v>
      </c>
      <c r="F115" s="49">
        <f>SUM('1:57'!F115)</f>
        <v>358066951</v>
      </c>
    </row>
    <row r="116" spans="1:6" x14ac:dyDescent="0.2">
      <c r="B116" s="43" t="s">
        <v>33</v>
      </c>
      <c r="C116" s="51">
        <f>SUM('1:57'!C116)</f>
        <v>51442</v>
      </c>
      <c r="D116" s="51">
        <f>SUM('1:57'!D116)</f>
        <v>0</v>
      </c>
      <c r="E116" s="51">
        <f>SUM('1:57'!E116)</f>
        <v>19975984</v>
      </c>
      <c r="F116" s="49">
        <f>SUM('1:57'!F116)</f>
        <v>20027426</v>
      </c>
    </row>
    <row r="117" spans="1:6" ht="15" thickBot="1" x14ac:dyDescent="0.25">
      <c r="B117" s="44" t="s">
        <v>941</v>
      </c>
      <c r="C117" s="53">
        <f>SUM('1:57'!C117)</f>
        <v>0</v>
      </c>
      <c r="D117" s="53">
        <f>SUM('1:57'!D117)</f>
        <v>56508376</v>
      </c>
      <c r="E117" s="53">
        <f>SUM('1:57'!E117)</f>
        <v>0</v>
      </c>
      <c r="F117" s="50">
        <f>SUM('1:57'!F117)</f>
        <v>56508376</v>
      </c>
    </row>
    <row r="118" spans="1:6" x14ac:dyDescent="0.2">
      <c r="B118" s="14" t="s">
        <v>35</v>
      </c>
      <c r="C118" s="5">
        <f>SUM(C109:C116)</f>
        <v>1712271294</v>
      </c>
      <c r="D118" s="5">
        <f>SUM(D109:D116)</f>
        <v>93831515</v>
      </c>
      <c r="E118" s="5">
        <f>SUM(E109:E116)</f>
        <v>676743420</v>
      </c>
      <c r="F118" s="5">
        <f>SUM(F109:F116)</f>
        <v>2482846229</v>
      </c>
    </row>
    <row r="119" spans="1:6" ht="15" thickBot="1" x14ac:dyDescent="0.25"/>
    <row r="120" spans="1:6" ht="15" thickBot="1" x14ac:dyDescent="0.25">
      <c r="B120" s="57" t="s">
        <v>942</v>
      </c>
      <c r="C120" s="55">
        <f>SUM('1:57'!C120)</f>
        <v>0</v>
      </c>
      <c r="D120" s="55">
        <f>SUM('1:57'!D120)</f>
        <v>0</v>
      </c>
      <c r="E120" s="55">
        <f>SUM('1:57'!E120)</f>
        <v>37941862</v>
      </c>
      <c r="F120" s="56">
        <f>SUM('1:57'!F120)</f>
        <v>37941862</v>
      </c>
    </row>
    <row r="122" spans="1:6" s="59" customFormat="1" ht="113.25" customHeight="1" x14ac:dyDescent="0.2">
      <c r="A122" s="184" t="s">
        <v>943</v>
      </c>
      <c r="B122" s="184"/>
      <c r="C122" s="184"/>
      <c r="D122" s="184"/>
      <c r="E122" s="184"/>
      <c r="F122" s="184"/>
    </row>
  </sheetData>
  <mergeCells count="96">
    <mergeCell ref="A122:F122"/>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78:C78"/>
    <mergeCell ref="B67:C67"/>
    <mergeCell ref="B68:C68"/>
    <mergeCell ref="B69:C69"/>
    <mergeCell ref="B70:C70"/>
    <mergeCell ref="B71:C71"/>
    <mergeCell ref="B72:C72"/>
    <mergeCell ref="B73:C73"/>
    <mergeCell ref="B74:C74"/>
    <mergeCell ref="B75:C75"/>
    <mergeCell ref="B76:C76"/>
    <mergeCell ref="B77:C77"/>
    <mergeCell ref="B90:C90"/>
    <mergeCell ref="B79:C79"/>
    <mergeCell ref="B80:C80"/>
    <mergeCell ref="B81:C81"/>
    <mergeCell ref="B82:C82"/>
    <mergeCell ref="B83:C83"/>
    <mergeCell ref="B84:C84"/>
    <mergeCell ref="B85:C85"/>
    <mergeCell ref="B86:C86"/>
    <mergeCell ref="B87:C87"/>
    <mergeCell ref="B88:C88"/>
    <mergeCell ref="B89:C89"/>
    <mergeCell ref="B104:C104"/>
    <mergeCell ref="B91:C91"/>
    <mergeCell ref="B92:C92"/>
    <mergeCell ref="B93:C93"/>
    <mergeCell ref="B94:C94"/>
    <mergeCell ref="B97:C97"/>
    <mergeCell ref="B98:C98"/>
    <mergeCell ref="B99:C99"/>
    <mergeCell ref="B100:C100"/>
    <mergeCell ref="B101:C101"/>
    <mergeCell ref="B102:C102"/>
    <mergeCell ref="B103:C103"/>
  </mergeCells>
  <pageMargins left="0.25" right="0.25" top="0.75" bottom="0.75" header="0.3" footer="0.3"/>
  <pageSetup orientation="landscape" r:id="rId1"/>
  <rowBreaks count="2" manualBreakCount="2">
    <brk id="64" max="16383" man="1"/>
    <brk id="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showGridLines="0" zoomScale="70" zoomScaleNormal="70" workbookViewId="0"/>
  </sheetViews>
  <sheetFormatPr defaultRowHeight="14.25" x14ac:dyDescent="0.2"/>
  <cols>
    <col min="1" max="1" width="6.5703125" style="70" customWidth="1"/>
    <col min="2" max="2" width="43.5703125" style="70" customWidth="1"/>
    <col min="3" max="12" width="8.140625" style="70" customWidth="1"/>
    <col min="13" max="13" width="2.85546875" style="70" customWidth="1"/>
    <col min="14" max="22" width="9.42578125" style="70" customWidth="1"/>
    <col min="23" max="36" width="9.140625" style="70"/>
    <col min="37" max="37" width="17.85546875" style="70" bestFit="1" customWidth="1"/>
    <col min="38" max="40" width="9.140625" style="70"/>
    <col min="41" max="41" width="17.85546875" style="70" bestFit="1" customWidth="1"/>
    <col min="42" max="16384" width="9.140625" style="70"/>
  </cols>
  <sheetData>
    <row r="1" spans="1:22" x14ac:dyDescent="0.2">
      <c r="A1" s="39" t="str">
        <f>Summary!A1</f>
        <v>Community and Technical Colleges, Report of Fundable Operating Expenses, Fiscal Year (FY) 2008</v>
      </c>
      <c r="B1" s="39"/>
      <c r="C1" s="39"/>
      <c r="D1" s="39"/>
      <c r="E1" s="39"/>
      <c r="F1" s="39"/>
      <c r="G1" s="39"/>
      <c r="H1" s="39"/>
      <c r="I1" s="39"/>
      <c r="J1" s="39"/>
      <c r="K1" s="39"/>
      <c r="L1" s="39"/>
    </row>
    <row r="2" spans="1:22" ht="15" thickBot="1" x14ac:dyDescent="0.25">
      <c r="A2" s="6" t="s">
        <v>944</v>
      </c>
      <c r="N2" s="72" t="s">
        <v>1147</v>
      </c>
      <c r="O2" s="72"/>
      <c r="P2" s="72"/>
      <c r="Q2" s="72"/>
      <c r="R2" s="72"/>
      <c r="S2" s="72"/>
      <c r="T2" s="72"/>
      <c r="U2" s="72"/>
      <c r="V2" s="72"/>
    </row>
    <row r="3" spans="1:22" ht="29.25" customHeight="1" x14ac:dyDescent="0.2">
      <c r="A3" s="169" t="s">
        <v>26</v>
      </c>
      <c r="B3" s="167" t="s">
        <v>945</v>
      </c>
      <c r="C3" s="201">
        <v>2008</v>
      </c>
      <c r="D3" s="201">
        <v>2007</v>
      </c>
      <c r="E3" s="201">
        <v>2006</v>
      </c>
      <c r="F3" s="201">
        <v>2005</v>
      </c>
      <c r="G3" s="201">
        <v>2004</v>
      </c>
      <c r="H3" s="201">
        <v>2003</v>
      </c>
      <c r="I3" s="201">
        <v>2002</v>
      </c>
      <c r="J3" s="201">
        <v>2001</v>
      </c>
      <c r="K3" s="201">
        <v>2000</v>
      </c>
      <c r="L3" s="202">
        <v>1999</v>
      </c>
      <c r="N3" s="203">
        <v>2008</v>
      </c>
      <c r="O3" s="204">
        <v>2007</v>
      </c>
      <c r="P3" s="204">
        <v>2006</v>
      </c>
      <c r="Q3" s="204">
        <v>2005</v>
      </c>
      <c r="R3" s="204">
        <v>2004</v>
      </c>
      <c r="S3" s="204">
        <v>2003</v>
      </c>
      <c r="T3" s="204">
        <v>2002</v>
      </c>
      <c r="U3" s="204">
        <v>2001</v>
      </c>
      <c r="V3" s="202">
        <v>2000</v>
      </c>
    </row>
    <row r="4" spans="1:22" x14ac:dyDescent="0.2">
      <c r="A4" s="20">
        <v>1</v>
      </c>
      <c r="B4" s="166" t="s">
        <v>0</v>
      </c>
      <c r="C4" s="17">
        <f>Summary!F5</f>
        <v>7.6999999999999993</v>
      </c>
      <c r="D4" s="17">
        <v>7.3699999999999992</v>
      </c>
      <c r="E4" s="17"/>
      <c r="F4" s="17">
        <v>7.25</v>
      </c>
      <c r="G4" s="17">
        <v>9.82</v>
      </c>
      <c r="H4" s="17">
        <v>7.1800000000000006</v>
      </c>
      <c r="I4" s="17">
        <v>7.58</v>
      </c>
      <c r="J4" s="17">
        <v>7</v>
      </c>
      <c r="K4" s="17">
        <v>6.669999999999999</v>
      </c>
      <c r="L4" s="205">
        <v>6.8100000000000005</v>
      </c>
      <c r="N4" s="206">
        <f>IFERROR(C4/D4-1,"")</f>
        <v>4.4776119402984982E-2</v>
      </c>
      <c r="O4" s="207" t="str">
        <f>IFERROR(D4/E4-1,"")</f>
        <v/>
      </c>
      <c r="P4" s="207">
        <f>IFERROR(E4/F4-1,"")</f>
        <v>-1</v>
      </c>
      <c r="Q4" s="207">
        <f>IFERROR(F4/G4-1,"")</f>
        <v>-0.26171079429735233</v>
      </c>
      <c r="R4" s="207">
        <f>IFERROR(G4/H4-1,"")</f>
        <v>0.36768802228412256</v>
      </c>
      <c r="S4" s="207">
        <f>IFERROR(H4/I4-1,"")</f>
        <v>-5.2770448548812632E-2</v>
      </c>
      <c r="T4" s="207">
        <f>IFERROR(I4/J4-1,"")</f>
        <v>8.2857142857142962E-2</v>
      </c>
      <c r="U4" s="207">
        <f>IFERROR(J4/K4-1,"")</f>
        <v>4.947526236881572E-2</v>
      </c>
      <c r="V4" s="208">
        <f>IFERROR(K4/L4-1,"")</f>
        <v>-2.0558002936857722E-2</v>
      </c>
    </row>
    <row r="5" spans="1:22" ht="28.5" x14ac:dyDescent="0.2">
      <c r="A5" s="20">
        <v>2</v>
      </c>
      <c r="B5" s="166" t="s">
        <v>1</v>
      </c>
      <c r="C5" s="19">
        <f>Summary!F6</f>
        <v>8.879999999999999</v>
      </c>
      <c r="D5" s="19">
        <v>10.29</v>
      </c>
      <c r="E5" s="19"/>
      <c r="F5" s="19">
        <v>8.82</v>
      </c>
      <c r="G5" s="19">
        <v>11.31</v>
      </c>
      <c r="H5" s="19">
        <v>7.3100000000000005</v>
      </c>
      <c r="I5" s="19">
        <v>7.27</v>
      </c>
      <c r="J5" s="19">
        <v>7.5600000000000005</v>
      </c>
      <c r="K5" s="19">
        <v>6.8299999999999992</v>
      </c>
      <c r="L5" s="209">
        <v>6.6400000000000006</v>
      </c>
      <c r="N5" s="206">
        <f>IFERROR(C5/D5-1,"")</f>
        <v>-0.13702623906705547</v>
      </c>
      <c r="O5" s="207" t="str">
        <f>IFERROR(D5/E5-1,"")</f>
        <v/>
      </c>
      <c r="P5" s="207">
        <f>IFERROR(E5/F5-1,"")</f>
        <v>-1</v>
      </c>
      <c r="Q5" s="207">
        <f>IFERROR(F5/G5-1,"")</f>
        <v>-0.22015915119363394</v>
      </c>
      <c r="R5" s="207">
        <f>IFERROR(G5/H5-1,"")</f>
        <v>0.54719562243502051</v>
      </c>
      <c r="S5" s="207">
        <f>IFERROR(H5/I5-1,"")</f>
        <v>5.5020632737277086E-3</v>
      </c>
      <c r="T5" s="207">
        <f>IFERROR(I5/J5-1,"")</f>
        <v>-3.8359788359788483E-2</v>
      </c>
      <c r="U5" s="207">
        <f>IFERROR(J5/K5-1,"")</f>
        <v>0.10688140556368975</v>
      </c>
      <c r="V5" s="208">
        <f>IFERROR(K5/L5-1,"")</f>
        <v>2.8614457831324991E-2</v>
      </c>
    </row>
    <row r="6" spans="1:22" ht="28.5" x14ac:dyDescent="0.2">
      <c r="A6" s="20">
        <v>3</v>
      </c>
      <c r="B6" s="166" t="s">
        <v>2</v>
      </c>
      <c r="C6" s="19">
        <f>Summary!F7</f>
        <v>6.85</v>
      </c>
      <c r="D6" s="19">
        <v>6.65</v>
      </c>
      <c r="E6" s="19"/>
      <c r="F6" s="19">
        <v>6.1899999999999995</v>
      </c>
      <c r="G6" s="19">
        <v>7.98</v>
      </c>
      <c r="H6" s="19">
        <v>5.86</v>
      </c>
      <c r="I6" s="19">
        <v>6.0399999999999991</v>
      </c>
      <c r="J6" s="19">
        <v>5.9</v>
      </c>
      <c r="K6" s="19">
        <v>5.6899999999999995</v>
      </c>
      <c r="L6" s="209">
        <v>5.51</v>
      </c>
      <c r="N6" s="206">
        <f>IFERROR(C6/D6-1,"")</f>
        <v>3.007518796992481E-2</v>
      </c>
      <c r="O6" s="207" t="str">
        <f>IFERROR(D6/E6-1,"")</f>
        <v/>
      </c>
      <c r="P6" s="207">
        <f>IFERROR(E6/F6-1,"")</f>
        <v>-1</v>
      </c>
      <c r="Q6" s="207">
        <f>IFERROR(F6/G6-1,"")</f>
        <v>-0.22431077694235602</v>
      </c>
      <c r="R6" s="207">
        <f>IFERROR(G6/H6-1,"")</f>
        <v>0.36177474402730381</v>
      </c>
      <c r="S6" s="207">
        <f>IFERROR(H6/I6-1,"")</f>
        <v>-2.9801324503311077E-2</v>
      </c>
      <c r="T6" s="207">
        <f>IFERROR(I6/J6-1,"")</f>
        <v>2.3728813559321882E-2</v>
      </c>
      <c r="U6" s="207">
        <f>IFERROR(J6/K6-1,"")</f>
        <v>3.6906854130052791E-2</v>
      </c>
      <c r="V6" s="208">
        <f>IFERROR(K6/L6-1,"")</f>
        <v>3.2667876588021727E-2</v>
      </c>
    </row>
    <row r="7" spans="1:22" ht="28.5" x14ac:dyDescent="0.2">
      <c r="A7" s="20">
        <v>4</v>
      </c>
      <c r="B7" s="166" t="s">
        <v>3</v>
      </c>
      <c r="C7" s="19">
        <f>Summary!F8</f>
        <v>7.1099999999999994</v>
      </c>
      <c r="D7" s="19">
        <v>6.9700000000000006</v>
      </c>
      <c r="E7" s="19"/>
      <c r="F7" s="19">
        <v>6.58</v>
      </c>
      <c r="G7" s="19">
        <v>8.86</v>
      </c>
      <c r="H7" s="19">
        <v>6.69</v>
      </c>
      <c r="I7" s="19">
        <v>6.4599999999999991</v>
      </c>
      <c r="J7" s="19">
        <v>6.07</v>
      </c>
      <c r="K7" s="19">
        <v>6.129999999999999</v>
      </c>
      <c r="L7" s="209">
        <v>6.22</v>
      </c>
      <c r="N7" s="206">
        <f>IFERROR(C7/D7-1,"")</f>
        <v>2.0086083213773032E-2</v>
      </c>
      <c r="O7" s="207" t="str">
        <f>IFERROR(D7/E7-1,"")</f>
        <v/>
      </c>
      <c r="P7" s="207">
        <f>IFERROR(E7/F7-1,"")</f>
        <v>-1</v>
      </c>
      <c r="Q7" s="207">
        <f>IFERROR(F7/G7-1,"")</f>
        <v>-0.2573363431151241</v>
      </c>
      <c r="R7" s="207">
        <f>IFERROR(G7/H7-1,"")</f>
        <v>0.32436472346786238</v>
      </c>
      <c r="S7" s="207">
        <f>IFERROR(H7/I7-1,"")</f>
        <v>3.5603715170278827E-2</v>
      </c>
      <c r="T7" s="207">
        <f>IFERROR(I7/J7-1,"")</f>
        <v>6.4250411861614287E-2</v>
      </c>
      <c r="U7" s="207">
        <f>IFERROR(J7/K7-1,"")</f>
        <v>-9.7879282218594765E-3</v>
      </c>
      <c r="V7" s="208">
        <f>IFERROR(K7/L7-1,"")</f>
        <v>-1.4469453376205865E-2</v>
      </c>
    </row>
    <row r="8" spans="1:22" x14ac:dyDescent="0.2">
      <c r="A8" s="20">
        <v>5</v>
      </c>
      <c r="B8" s="166" t="s">
        <v>4</v>
      </c>
      <c r="C8" s="19">
        <f>Summary!F9</f>
        <v>33.869999999999997</v>
      </c>
      <c r="D8" s="19">
        <v>30.76</v>
      </c>
      <c r="E8" s="19"/>
      <c r="F8" s="19">
        <v>23.45</v>
      </c>
      <c r="G8" s="19">
        <v>25.28</v>
      </c>
      <c r="H8" s="19">
        <v>13.77</v>
      </c>
      <c r="I8" s="19">
        <v>11.03</v>
      </c>
      <c r="J8" s="19">
        <v>16.04</v>
      </c>
      <c r="K8" s="19">
        <v>19.419999999999998</v>
      </c>
      <c r="L8" s="209">
        <v>18.690000000000001</v>
      </c>
      <c r="N8" s="206">
        <f>IFERROR(C8/D8-1,"")</f>
        <v>0.10110533159947965</v>
      </c>
      <c r="O8" s="207" t="str">
        <f>IFERROR(D8/E8-1,"")</f>
        <v/>
      </c>
      <c r="P8" s="207">
        <f>IFERROR(E8/F8-1,"")</f>
        <v>-1</v>
      </c>
      <c r="Q8" s="207">
        <f>IFERROR(F8/G8-1,"")</f>
        <v>-7.2389240506329222E-2</v>
      </c>
      <c r="R8" s="207">
        <f>IFERROR(G8/H8-1,"")</f>
        <v>0.8358750907770518</v>
      </c>
      <c r="S8" s="207">
        <f>IFERROR(H8/I8-1,"")</f>
        <v>0.24841341795104266</v>
      </c>
      <c r="T8" s="207">
        <f>IFERROR(I8/J8-1,"")</f>
        <v>-0.31234413965087282</v>
      </c>
      <c r="U8" s="207">
        <f>IFERROR(J8/K8-1,"")</f>
        <v>-0.17404737384140057</v>
      </c>
      <c r="V8" s="208">
        <f>IFERROR(K8/L8-1,"")</f>
        <v>3.9058319957196108E-2</v>
      </c>
    </row>
    <row r="9" spans="1:22" x14ac:dyDescent="0.2">
      <c r="A9" s="20">
        <v>6</v>
      </c>
      <c r="B9" s="166" t="s">
        <v>5</v>
      </c>
      <c r="C9" s="19">
        <f>Summary!F10</f>
        <v>7.65</v>
      </c>
      <c r="D9" s="19">
        <v>7.3000000000000007</v>
      </c>
      <c r="E9" s="19"/>
      <c r="F9" s="19">
        <v>7.3</v>
      </c>
      <c r="G9" s="19">
        <v>10.010000000000002</v>
      </c>
      <c r="H9" s="19">
        <v>7.2100000000000009</v>
      </c>
      <c r="I9" s="19">
        <v>7.26</v>
      </c>
      <c r="J9" s="19">
        <v>6.99</v>
      </c>
      <c r="K9" s="19">
        <v>9.2100000000000009</v>
      </c>
      <c r="L9" s="209">
        <v>8.2100000000000009</v>
      </c>
      <c r="N9" s="206">
        <f>IFERROR(C9/D9-1,"")</f>
        <v>4.7945205479452024E-2</v>
      </c>
      <c r="O9" s="207" t="str">
        <f>IFERROR(D9/E9-1,"")</f>
        <v/>
      </c>
      <c r="P9" s="207">
        <f>IFERROR(E9/F9-1,"")</f>
        <v>-1</v>
      </c>
      <c r="Q9" s="207">
        <f>IFERROR(F9/G9-1,"")</f>
        <v>-0.27072927072927089</v>
      </c>
      <c r="R9" s="207">
        <f>IFERROR(G9/H9-1,"")</f>
        <v>0.38834951456310685</v>
      </c>
      <c r="S9" s="207">
        <f>IFERROR(H9/I9-1,"")</f>
        <v>-6.8870523415976992E-3</v>
      </c>
      <c r="T9" s="207">
        <f>IFERROR(I9/J9-1,"")</f>
        <v>3.8626609442059978E-2</v>
      </c>
      <c r="U9" s="207">
        <f>IFERROR(J9/K9-1,"")</f>
        <v>-0.24104234527687296</v>
      </c>
      <c r="V9" s="208">
        <f>IFERROR(K9/L9-1,"")</f>
        <v>0.12180267965895242</v>
      </c>
    </row>
    <row r="10" spans="1:22" x14ac:dyDescent="0.2">
      <c r="A10" s="20">
        <v>7</v>
      </c>
      <c r="B10" s="166" t="s">
        <v>6</v>
      </c>
      <c r="C10" s="19">
        <f>Summary!F11</f>
        <v>8.52</v>
      </c>
      <c r="D10" s="19">
        <v>8.44</v>
      </c>
      <c r="E10" s="19"/>
      <c r="F10" s="19">
        <v>7.57</v>
      </c>
      <c r="G10" s="19">
        <v>9.93</v>
      </c>
      <c r="H10" s="19">
        <v>6.94</v>
      </c>
      <c r="I10" s="19">
        <v>6.92</v>
      </c>
      <c r="J10" s="19">
        <v>6.6899999999999995</v>
      </c>
      <c r="K10" s="19">
        <v>6.3199999999999994</v>
      </c>
      <c r="L10" s="209">
        <v>5.4399999999999995</v>
      </c>
      <c r="N10" s="206">
        <f>IFERROR(C10/D10-1,"")</f>
        <v>9.4786729857820884E-3</v>
      </c>
      <c r="O10" s="207" t="str">
        <f>IFERROR(D10/E10-1,"")</f>
        <v/>
      </c>
      <c r="P10" s="207">
        <f>IFERROR(E10/F10-1,"")</f>
        <v>-1</v>
      </c>
      <c r="Q10" s="207">
        <f>IFERROR(F10/G10-1,"")</f>
        <v>-0.2376636455186304</v>
      </c>
      <c r="R10" s="207">
        <f>IFERROR(G10/H10-1,"")</f>
        <v>0.4308357348703169</v>
      </c>
      <c r="S10" s="207">
        <f>IFERROR(H10/I10-1,"")</f>
        <v>2.8901734104047616E-3</v>
      </c>
      <c r="T10" s="207">
        <f>IFERROR(I10/J10-1,"")</f>
        <v>3.4379671150971625E-2</v>
      </c>
      <c r="U10" s="207">
        <f>IFERROR(J10/K10-1,"")</f>
        <v>5.8544303797468444E-2</v>
      </c>
      <c r="V10" s="208">
        <f>IFERROR(K10/L10-1,"")</f>
        <v>0.16176470588235303</v>
      </c>
    </row>
    <row r="11" spans="1:22" x14ac:dyDescent="0.2">
      <c r="A11" s="20">
        <v>8</v>
      </c>
      <c r="B11" s="166" t="s">
        <v>7</v>
      </c>
      <c r="C11" s="19">
        <f>Summary!F12</f>
        <v>8.0299999999999994</v>
      </c>
      <c r="D11" s="19">
        <v>7.77</v>
      </c>
      <c r="E11" s="19"/>
      <c r="F11" s="19">
        <v>8.1999999999999993</v>
      </c>
      <c r="G11" s="19">
        <v>10.92</v>
      </c>
      <c r="H11" s="19">
        <v>7.36</v>
      </c>
      <c r="I11" s="19">
        <v>6.75</v>
      </c>
      <c r="J11" s="19">
        <v>6.1199999999999992</v>
      </c>
      <c r="K11" s="19">
        <v>6.42</v>
      </c>
      <c r="L11" s="209">
        <v>5.99</v>
      </c>
      <c r="N11" s="206">
        <f>IFERROR(C11/D11-1,"")</f>
        <v>3.3462033462033469E-2</v>
      </c>
      <c r="O11" s="207" t="str">
        <f>IFERROR(D11/E11-1,"")</f>
        <v/>
      </c>
      <c r="P11" s="207">
        <f>IFERROR(E11/F11-1,"")</f>
        <v>-1</v>
      </c>
      <c r="Q11" s="207">
        <f>IFERROR(F11/G11-1,"")</f>
        <v>-0.2490842490842492</v>
      </c>
      <c r="R11" s="207">
        <f>IFERROR(G11/H11-1,"")</f>
        <v>0.48369565217391286</v>
      </c>
      <c r="S11" s="207">
        <f>IFERROR(H11/I11-1,"")</f>
        <v>9.0370370370370434E-2</v>
      </c>
      <c r="T11" s="207">
        <f>IFERROR(I11/J11-1,"")</f>
        <v>0.10294117647058831</v>
      </c>
      <c r="U11" s="207">
        <f>IFERROR(J11/K11-1,"")</f>
        <v>-4.6728971962616939E-2</v>
      </c>
      <c r="V11" s="208">
        <f>IFERROR(K11/L11-1,"")</f>
        <v>7.178631051752915E-2</v>
      </c>
    </row>
    <row r="12" spans="1:22" x14ac:dyDescent="0.2">
      <c r="A12" s="20">
        <v>9</v>
      </c>
      <c r="B12" s="166" t="s">
        <v>8</v>
      </c>
      <c r="C12" s="19">
        <f>Summary!F13</f>
        <v>6.75</v>
      </c>
      <c r="D12" s="19">
        <v>6.49</v>
      </c>
      <c r="E12" s="19"/>
      <c r="F12" s="19">
        <v>6.14</v>
      </c>
      <c r="G12" s="19">
        <v>8.0800000000000018</v>
      </c>
      <c r="H12" s="19">
        <v>5.49</v>
      </c>
      <c r="I12" s="19">
        <v>5.51</v>
      </c>
      <c r="J12" s="19">
        <v>5.52</v>
      </c>
      <c r="K12" s="19">
        <v>5.1399999999999988</v>
      </c>
      <c r="L12" s="209">
        <v>5.35</v>
      </c>
      <c r="N12" s="206">
        <f>IFERROR(C12/D12-1,"")</f>
        <v>4.006163328197232E-2</v>
      </c>
      <c r="O12" s="207" t="str">
        <f>IFERROR(D12/E12-1,"")</f>
        <v/>
      </c>
      <c r="P12" s="207">
        <f>IFERROR(E12/F12-1,"")</f>
        <v>-1</v>
      </c>
      <c r="Q12" s="207">
        <f>IFERROR(F12/G12-1,"")</f>
        <v>-0.24009900990099031</v>
      </c>
      <c r="R12" s="207">
        <f>IFERROR(G12/H12-1,"")</f>
        <v>0.47176684881602937</v>
      </c>
      <c r="S12" s="207">
        <f>IFERROR(H12/I12-1,"")</f>
        <v>-3.6297640653356611E-3</v>
      </c>
      <c r="T12" s="207">
        <f>IFERROR(I12/J12-1,"")</f>
        <v>-1.8115942028985588E-3</v>
      </c>
      <c r="U12" s="207">
        <f>IFERROR(J12/K12-1,"")</f>
        <v>7.3929961089494345E-2</v>
      </c>
      <c r="V12" s="208">
        <f>IFERROR(K12/L12-1,"")</f>
        <v>-3.9252336448598268E-2</v>
      </c>
    </row>
    <row r="13" spans="1:22" x14ac:dyDescent="0.2">
      <c r="A13" s="20">
        <v>10</v>
      </c>
      <c r="B13" s="166" t="s">
        <v>9</v>
      </c>
      <c r="C13" s="19">
        <f>Summary!F14</f>
        <v>7.8599999999999994</v>
      </c>
      <c r="D13" s="19">
        <v>7.5299999999999994</v>
      </c>
      <c r="E13" s="19"/>
      <c r="F13" s="19">
        <v>10.3</v>
      </c>
      <c r="G13" s="19">
        <v>11.38</v>
      </c>
      <c r="H13" s="19">
        <v>8.9200000000000017</v>
      </c>
      <c r="I13" s="19">
        <v>8.5399999999999991</v>
      </c>
      <c r="J13" s="19">
        <v>11.49</v>
      </c>
      <c r="K13" s="19">
        <v>9.8299999999999983</v>
      </c>
      <c r="L13" s="209">
        <v>7.6400000000000006</v>
      </c>
      <c r="N13" s="206">
        <f>IFERROR(C13/D13-1,"")</f>
        <v>4.3824701195219085E-2</v>
      </c>
      <c r="O13" s="207" t="str">
        <f>IFERROR(D13/E13-1,"")</f>
        <v/>
      </c>
      <c r="P13" s="207">
        <f>IFERROR(E13/F13-1,"")</f>
        <v>-1</v>
      </c>
      <c r="Q13" s="207">
        <f>IFERROR(F13/G13-1,"")</f>
        <v>-9.4903339191564129E-2</v>
      </c>
      <c r="R13" s="207">
        <f>IFERROR(G13/H13-1,"")</f>
        <v>0.2757847533632285</v>
      </c>
      <c r="S13" s="207">
        <f>IFERROR(H13/I13-1,"")</f>
        <v>4.4496487119438211E-2</v>
      </c>
      <c r="T13" s="207">
        <f>IFERROR(I13/J13-1,"")</f>
        <v>-0.25674499564839004</v>
      </c>
      <c r="U13" s="207">
        <f>IFERROR(J13/K13-1,"")</f>
        <v>0.1688708036622586</v>
      </c>
      <c r="V13" s="208">
        <f>IFERROR(K13/L13-1,"")</f>
        <v>0.28664921465968551</v>
      </c>
    </row>
    <row r="14" spans="1:22" x14ac:dyDescent="0.2">
      <c r="A14" s="20">
        <v>11</v>
      </c>
      <c r="B14" s="166" t="s">
        <v>10</v>
      </c>
      <c r="C14" s="19">
        <f>Summary!F15</f>
        <v>7.41</v>
      </c>
      <c r="D14" s="19">
        <v>7.09</v>
      </c>
      <c r="E14" s="19"/>
      <c r="F14" s="19">
        <v>6.82</v>
      </c>
      <c r="G14" s="19">
        <v>9.52</v>
      </c>
      <c r="H14" s="19">
        <v>7.23</v>
      </c>
      <c r="I14" s="19">
        <v>6.8899999999999988</v>
      </c>
      <c r="J14" s="19">
        <v>6.58</v>
      </c>
      <c r="K14" s="19">
        <v>6.71</v>
      </c>
      <c r="L14" s="209">
        <v>6.42</v>
      </c>
      <c r="N14" s="206">
        <f>IFERROR(C14/D14-1,"")</f>
        <v>4.5133991537376739E-2</v>
      </c>
      <c r="O14" s="207" t="str">
        <f>IFERROR(D14/E14-1,"")</f>
        <v/>
      </c>
      <c r="P14" s="207">
        <f>IFERROR(E14/F14-1,"")</f>
        <v>-1</v>
      </c>
      <c r="Q14" s="207">
        <f>IFERROR(F14/G14-1,"")</f>
        <v>-0.28361344537815125</v>
      </c>
      <c r="R14" s="207">
        <f>IFERROR(G14/H14-1,"")</f>
        <v>0.31673582295988911</v>
      </c>
      <c r="S14" s="207">
        <f>IFERROR(H14/I14-1,"")</f>
        <v>4.9346879535558941E-2</v>
      </c>
      <c r="T14" s="207">
        <f>IFERROR(I14/J14-1,"")</f>
        <v>4.711246200607877E-2</v>
      </c>
      <c r="U14" s="207">
        <f>IFERROR(J14/K14-1,"")</f>
        <v>-1.9374068554396384E-2</v>
      </c>
      <c r="V14" s="208">
        <f>IFERROR(K14/L14-1,"")</f>
        <v>4.5171339563862878E-2</v>
      </c>
    </row>
    <row r="15" spans="1:22" ht="28.5" x14ac:dyDescent="0.2">
      <c r="A15" s="20">
        <v>12</v>
      </c>
      <c r="B15" s="166" t="s">
        <v>11</v>
      </c>
      <c r="C15" s="19">
        <f>Summary!F16</f>
        <v>7.3099999999999987</v>
      </c>
      <c r="D15" s="19">
        <v>7.08</v>
      </c>
      <c r="E15" s="19"/>
      <c r="F15" s="19">
        <v>6.48</v>
      </c>
      <c r="G15" s="19">
        <v>8.33</v>
      </c>
      <c r="H15" s="19">
        <v>5.83</v>
      </c>
      <c r="I15" s="19">
        <v>5.9399999999999995</v>
      </c>
      <c r="J15" s="19">
        <v>5.75</v>
      </c>
      <c r="K15" s="19">
        <v>5.68</v>
      </c>
      <c r="L15" s="209">
        <v>5.26</v>
      </c>
      <c r="N15" s="206">
        <f>IFERROR(C15/D15-1,"")</f>
        <v>3.2485875706214529E-2</v>
      </c>
      <c r="O15" s="207" t="str">
        <f>IFERROR(D15/E15-1,"")</f>
        <v/>
      </c>
      <c r="P15" s="207">
        <f>IFERROR(E15/F15-1,"")</f>
        <v>-1</v>
      </c>
      <c r="Q15" s="207">
        <f>IFERROR(F15/G15-1,"")</f>
        <v>-0.22208883553421366</v>
      </c>
      <c r="R15" s="207">
        <f>IFERROR(G15/H15-1,"")</f>
        <v>0.42881646655231553</v>
      </c>
      <c r="S15" s="207">
        <f>IFERROR(H15/I15-1,"")</f>
        <v>-1.8518518518518379E-2</v>
      </c>
      <c r="T15" s="207">
        <f>IFERROR(I15/J15-1,"")</f>
        <v>3.3043478260869508E-2</v>
      </c>
      <c r="U15" s="207">
        <f>IFERROR(J15/K15-1,"")</f>
        <v>1.2323943661971981E-2</v>
      </c>
      <c r="V15" s="208">
        <f>IFERROR(K15/L15-1,"")</f>
        <v>7.9847908745247054E-2</v>
      </c>
    </row>
    <row r="16" spans="1:22" x14ac:dyDescent="0.2">
      <c r="A16" s="20">
        <v>13</v>
      </c>
      <c r="B16" s="166" t="s">
        <v>12</v>
      </c>
      <c r="C16" s="19">
        <f>Summary!F17</f>
        <v>6.8699999999999992</v>
      </c>
      <c r="D16" s="19">
        <v>6.68</v>
      </c>
      <c r="E16" s="19"/>
      <c r="F16" s="19">
        <v>5.97</v>
      </c>
      <c r="G16" s="19">
        <v>7.870000000000001</v>
      </c>
      <c r="H16" s="19">
        <v>6.1400000000000006</v>
      </c>
      <c r="I16" s="19">
        <v>6.06</v>
      </c>
      <c r="J16" s="19">
        <v>5.93</v>
      </c>
      <c r="K16" s="19">
        <v>5.81</v>
      </c>
      <c r="L16" s="209">
        <v>5.6999999999999993</v>
      </c>
      <c r="N16" s="206">
        <f>IFERROR(C16/D16-1,"")</f>
        <v>2.8443113772455009E-2</v>
      </c>
      <c r="O16" s="207" t="str">
        <f>IFERROR(D16/E16-1,"")</f>
        <v/>
      </c>
      <c r="P16" s="207">
        <f>IFERROR(E16/F16-1,"")</f>
        <v>-1</v>
      </c>
      <c r="Q16" s="207">
        <f>IFERROR(F16/G16-1,"")</f>
        <v>-0.24142312579415515</v>
      </c>
      <c r="R16" s="207">
        <f>IFERROR(G16/H16-1,"")</f>
        <v>0.28175895765472325</v>
      </c>
      <c r="S16" s="207">
        <f>IFERROR(H16/I16-1,"")</f>
        <v>1.3201320132013361E-2</v>
      </c>
      <c r="T16" s="207">
        <f>IFERROR(I16/J16-1,"")</f>
        <v>2.1922428330522825E-2</v>
      </c>
      <c r="U16" s="207">
        <f>IFERROR(J16/K16-1,"")</f>
        <v>2.0654044750430423E-2</v>
      </c>
      <c r="V16" s="208">
        <f>IFERROR(K16/L16-1,"")</f>
        <v>1.9298245614035148E-2</v>
      </c>
    </row>
    <row r="17" spans="1:22" ht="28.5" x14ac:dyDescent="0.2">
      <c r="A17" s="20">
        <v>14</v>
      </c>
      <c r="B17" s="166" t="s">
        <v>469</v>
      </c>
      <c r="C17" s="19">
        <f>Summary!F18</f>
        <v>10.549999999999999</v>
      </c>
      <c r="D17" s="19">
        <v>10.75</v>
      </c>
      <c r="E17" s="19"/>
      <c r="F17" s="19">
        <v>9.9600000000000009</v>
      </c>
      <c r="G17" s="19">
        <v>11.930000000000001</v>
      </c>
      <c r="H17" s="19">
        <v>8.9</v>
      </c>
      <c r="I17" s="19">
        <v>9.8099999999999987</v>
      </c>
      <c r="J17" s="19">
        <v>9.73</v>
      </c>
      <c r="K17" s="19">
        <v>8.92</v>
      </c>
      <c r="L17" s="209">
        <v>9.0399999999999991</v>
      </c>
      <c r="N17" s="206">
        <f>IFERROR(C17/D17-1,"")</f>
        <v>-1.8604651162790753E-2</v>
      </c>
      <c r="O17" s="207" t="str">
        <f>IFERROR(D17/E17-1,"")</f>
        <v/>
      </c>
      <c r="P17" s="207">
        <f>IFERROR(E17/F17-1,"")</f>
        <v>-1</v>
      </c>
      <c r="Q17" s="207">
        <f>IFERROR(F17/G17-1,"")</f>
        <v>-0.16512992455993303</v>
      </c>
      <c r="R17" s="207">
        <f>IFERROR(G17/H17-1,"")</f>
        <v>0.34044943820224738</v>
      </c>
      <c r="S17" s="207">
        <f>IFERROR(H17/I17-1,"")</f>
        <v>-9.2762487257899928E-2</v>
      </c>
      <c r="T17" s="207">
        <f>IFERROR(I17/J17-1,"")</f>
        <v>8.2219938335044152E-3</v>
      </c>
      <c r="U17" s="207">
        <f>IFERROR(J17/K17-1,"")</f>
        <v>9.0807174887892472E-2</v>
      </c>
      <c r="V17" s="208">
        <f>IFERROR(K17/L17-1,"")</f>
        <v>-1.327433628318575E-2</v>
      </c>
    </row>
    <row r="18" spans="1:22" x14ac:dyDescent="0.2">
      <c r="A18" s="20">
        <v>15</v>
      </c>
      <c r="B18" s="166" t="s">
        <v>13</v>
      </c>
      <c r="C18" s="19">
        <f>Summary!F19</f>
        <v>16.87</v>
      </c>
      <c r="D18" s="19">
        <v>16.05</v>
      </c>
      <c r="E18" s="19"/>
      <c r="F18" s="19">
        <v>14.870000000000001</v>
      </c>
      <c r="G18" s="19">
        <v>17.009999999999998</v>
      </c>
      <c r="H18" s="19">
        <v>12.530000000000001</v>
      </c>
      <c r="I18" s="19">
        <v>12.22</v>
      </c>
      <c r="J18" s="19">
        <v>11.790000000000001</v>
      </c>
      <c r="K18" s="19">
        <v>12.639999999999997</v>
      </c>
      <c r="L18" s="209">
        <v>11.21</v>
      </c>
      <c r="N18" s="206">
        <f>IFERROR(C18/D18-1,"")</f>
        <v>5.109034267912782E-2</v>
      </c>
      <c r="O18" s="207" t="str">
        <f>IFERROR(D18/E18-1,"")</f>
        <v/>
      </c>
      <c r="P18" s="207">
        <f>IFERROR(E18/F18-1,"")</f>
        <v>-1</v>
      </c>
      <c r="Q18" s="207">
        <f>IFERROR(F18/G18-1,"")</f>
        <v>-0.12580834803057006</v>
      </c>
      <c r="R18" s="207">
        <f>IFERROR(G18/H18-1,"")</f>
        <v>0.35754189944134041</v>
      </c>
      <c r="S18" s="207">
        <f>IFERROR(H18/I18-1,"")</f>
        <v>2.5368248772504209E-2</v>
      </c>
      <c r="T18" s="207">
        <f>IFERROR(I18/J18-1,"")</f>
        <v>3.6471586089906749E-2</v>
      </c>
      <c r="U18" s="207">
        <f>IFERROR(J18/K18-1,"")</f>
        <v>-6.7246835443037667E-2</v>
      </c>
      <c r="V18" s="208">
        <f>IFERROR(K18/L18-1,"")</f>
        <v>0.12756467439785868</v>
      </c>
    </row>
    <row r="19" spans="1:22" x14ac:dyDescent="0.2">
      <c r="A19" s="20">
        <v>16</v>
      </c>
      <c r="B19" s="166" t="s">
        <v>14</v>
      </c>
      <c r="C19" s="19">
        <f>Summary!F20</f>
        <v>8.34</v>
      </c>
      <c r="D19" s="19">
        <v>8.09</v>
      </c>
      <c r="E19" s="19"/>
      <c r="F19" s="19">
        <v>7.39</v>
      </c>
      <c r="G19" s="19">
        <v>9.24</v>
      </c>
      <c r="H19" s="19">
        <v>6.78</v>
      </c>
      <c r="I19" s="19">
        <v>6.5499999999999989</v>
      </c>
      <c r="J19" s="19">
        <v>6.6899999999999995</v>
      </c>
      <c r="K19" s="19">
        <v>6.26</v>
      </c>
      <c r="L19" s="209">
        <v>6.51</v>
      </c>
      <c r="N19" s="206">
        <f>IFERROR(C19/D19-1,"")</f>
        <v>3.0902348578492056E-2</v>
      </c>
      <c r="O19" s="207" t="str">
        <f>IFERROR(D19/E19-1,"")</f>
        <v/>
      </c>
      <c r="P19" s="207">
        <f>IFERROR(E19/F19-1,"")</f>
        <v>-1</v>
      </c>
      <c r="Q19" s="207">
        <f>IFERROR(F19/G19-1,"")</f>
        <v>-0.20021645021645029</v>
      </c>
      <c r="R19" s="207">
        <f>IFERROR(G19/H19-1,"")</f>
        <v>0.36283185840707954</v>
      </c>
      <c r="S19" s="207">
        <f>IFERROR(H19/I19-1,"")</f>
        <v>3.5114503816794151E-2</v>
      </c>
      <c r="T19" s="207">
        <f>IFERROR(I19/J19-1,"")</f>
        <v>-2.0926756352765419E-2</v>
      </c>
      <c r="U19" s="207">
        <f>IFERROR(J19/K19-1,"")</f>
        <v>6.8690095846645427E-2</v>
      </c>
      <c r="V19" s="208">
        <f>IFERROR(K19/L19-1,"")</f>
        <v>-3.8402457757296449E-2</v>
      </c>
    </row>
    <row r="20" spans="1:22" x14ac:dyDescent="0.2">
      <c r="A20" s="20">
        <v>17</v>
      </c>
      <c r="B20" s="166" t="s">
        <v>15</v>
      </c>
      <c r="C20" s="19">
        <f>Summary!F21</f>
        <v>11.1</v>
      </c>
      <c r="D20" s="19">
        <v>11.56</v>
      </c>
      <c r="E20" s="19"/>
      <c r="F20" s="19">
        <v>9.26</v>
      </c>
      <c r="G20" s="19">
        <v>12.15</v>
      </c>
      <c r="H20" s="19">
        <v>10.030000000000001</v>
      </c>
      <c r="I20" s="19">
        <v>11.94</v>
      </c>
      <c r="J20" s="19">
        <v>10.23</v>
      </c>
      <c r="K20" s="19">
        <v>8.7399999999999984</v>
      </c>
      <c r="L20" s="209">
        <v>8.64</v>
      </c>
      <c r="N20" s="206">
        <f>IFERROR(C20/D20-1,"")</f>
        <v>-3.979238754325265E-2</v>
      </c>
      <c r="O20" s="207" t="str">
        <f>IFERROR(D20/E20-1,"")</f>
        <v/>
      </c>
      <c r="P20" s="207">
        <f>IFERROR(E20/F20-1,"")</f>
        <v>-1</v>
      </c>
      <c r="Q20" s="207">
        <f>IFERROR(F20/G20-1,"")</f>
        <v>-0.23786008230452682</v>
      </c>
      <c r="R20" s="207">
        <f>IFERROR(G20/H20-1,"")</f>
        <v>0.21136590229312047</v>
      </c>
      <c r="S20" s="207">
        <f>IFERROR(H20/I20-1,"")</f>
        <v>-0.15996649916247896</v>
      </c>
      <c r="T20" s="207">
        <f>IFERROR(I20/J20-1,"")</f>
        <v>0.1671554252199412</v>
      </c>
      <c r="U20" s="207">
        <f>IFERROR(J20/K20-1,"")</f>
        <v>0.17048054919908484</v>
      </c>
      <c r="V20" s="208">
        <f>IFERROR(K20/L20-1,"")</f>
        <v>1.1574074074073737E-2</v>
      </c>
    </row>
    <row r="21" spans="1:22" x14ac:dyDescent="0.2">
      <c r="A21" s="20">
        <v>18</v>
      </c>
      <c r="B21" s="166" t="s">
        <v>16</v>
      </c>
      <c r="C21" s="19">
        <f>Summary!F22</f>
        <v>8.42</v>
      </c>
      <c r="D21" s="19">
        <v>8.24</v>
      </c>
      <c r="E21" s="19"/>
      <c r="F21" s="19">
        <v>6.89</v>
      </c>
      <c r="G21" s="19">
        <v>9.32</v>
      </c>
      <c r="H21" s="19">
        <v>6.5400000000000009</v>
      </c>
      <c r="I21" s="19">
        <v>6.66</v>
      </c>
      <c r="J21" s="19">
        <v>6.59</v>
      </c>
      <c r="K21" s="19">
        <v>6.9999999999999991</v>
      </c>
      <c r="L21" s="209">
        <v>5.76</v>
      </c>
      <c r="N21" s="206">
        <f>IFERROR(C21/D21-1,"")</f>
        <v>2.1844660194174637E-2</v>
      </c>
      <c r="O21" s="207" t="str">
        <f>IFERROR(D21/E21-1,"")</f>
        <v/>
      </c>
      <c r="P21" s="207">
        <f>IFERROR(E21/F21-1,"")</f>
        <v>-1</v>
      </c>
      <c r="Q21" s="207">
        <f>IFERROR(F21/G21-1,"")</f>
        <v>-0.26072961373390569</v>
      </c>
      <c r="R21" s="207">
        <f>IFERROR(G21/H21-1,"")</f>
        <v>0.4250764525993882</v>
      </c>
      <c r="S21" s="207">
        <f>IFERROR(H21/I21-1,"")</f>
        <v>-1.8018018018017945E-2</v>
      </c>
      <c r="T21" s="207">
        <f>IFERROR(I21/J21-1,"")</f>
        <v>1.0622154779969639E-2</v>
      </c>
      <c r="U21" s="207">
        <f>IFERROR(J21/K21-1,"")</f>
        <v>-5.8571428571428497E-2</v>
      </c>
      <c r="V21" s="208">
        <f>IFERROR(K21/L21-1,"")</f>
        <v>0.21527777777777768</v>
      </c>
    </row>
    <row r="22" spans="1:22" x14ac:dyDescent="0.2">
      <c r="A22" s="20">
        <v>19</v>
      </c>
      <c r="B22" s="166" t="s">
        <v>17</v>
      </c>
      <c r="C22" s="19">
        <f>Summary!F23</f>
        <v>6.9799999999999995</v>
      </c>
      <c r="D22" s="19">
        <v>6.84</v>
      </c>
      <c r="E22" s="19"/>
      <c r="F22" s="19">
        <v>6.1099999999999994</v>
      </c>
      <c r="G22" s="19">
        <v>8.0300000000000011</v>
      </c>
      <c r="H22" s="19">
        <v>5.5600000000000005</v>
      </c>
      <c r="I22" s="19">
        <v>5.5499999999999989</v>
      </c>
      <c r="J22" s="19">
        <v>5.3900000000000006</v>
      </c>
      <c r="K22" s="19">
        <v>5.26</v>
      </c>
      <c r="L22" s="209">
        <v>4.96</v>
      </c>
      <c r="N22" s="206">
        <f>IFERROR(C22/D22-1,"")</f>
        <v>2.0467836257309857E-2</v>
      </c>
      <c r="O22" s="207" t="str">
        <f>IFERROR(D22/E22-1,"")</f>
        <v/>
      </c>
      <c r="P22" s="207">
        <f>IFERROR(E22/F22-1,"")</f>
        <v>-1</v>
      </c>
      <c r="Q22" s="207">
        <f>IFERROR(F22/G22-1,"")</f>
        <v>-0.2391033623910338</v>
      </c>
      <c r="R22" s="207">
        <f>IFERROR(G22/H22-1,"")</f>
        <v>0.44424460431654689</v>
      </c>
      <c r="S22" s="207">
        <f>IFERROR(H22/I22-1,"")</f>
        <v>1.8018018018020054E-3</v>
      </c>
      <c r="T22" s="207">
        <f>IFERROR(I22/J22-1,"")</f>
        <v>2.9684601113172171E-2</v>
      </c>
      <c r="U22" s="207">
        <f>IFERROR(J22/K22-1,"")</f>
        <v>2.4714828897338448E-2</v>
      </c>
      <c r="V22" s="208">
        <f>IFERROR(K22/L22-1,"")</f>
        <v>6.0483870967741993E-2</v>
      </c>
    </row>
    <row r="23" spans="1:22" x14ac:dyDescent="0.2">
      <c r="A23" s="20">
        <v>20</v>
      </c>
      <c r="B23" s="166" t="s">
        <v>18</v>
      </c>
      <c r="C23" s="19">
        <f>Summary!F24</f>
        <v>8.57</v>
      </c>
      <c r="D23" s="19">
        <v>8.5299999999999994</v>
      </c>
      <c r="E23" s="19"/>
      <c r="F23" s="19">
        <v>7.6000000000000005</v>
      </c>
      <c r="G23" s="19">
        <v>9.5400000000000009</v>
      </c>
      <c r="H23" s="19">
        <v>7.0500000000000007</v>
      </c>
      <c r="I23" s="19">
        <v>7.6199999999999992</v>
      </c>
      <c r="J23" s="19">
        <v>7.74</v>
      </c>
      <c r="K23" s="19">
        <v>7.669999999999999</v>
      </c>
      <c r="L23" s="209">
        <v>6.49</v>
      </c>
      <c r="N23" s="206">
        <f>IFERROR(C23/D23-1,"")</f>
        <v>4.6893317702227932E-3</v>
      </c>
      <c r="O23" s="207" t="str">
        <f>IFERROR(D23/E23-1,"")</f>
        <v/>
      </c>
      <c r="P23" s="207">
        <f>IFERROR(E23/F23-1,"")</f>
        <v>-1</v>
      </c>
      <c r="Q23" s="207">
        <f>IFERROR(F23/G23-1,"")</f>
        <v>-0.20335429769392033</v>
      </c>
      <c r="R23" s="207">
        <f>IFERROR(G23/H23-1,"")</f>
        <v>0.35319148936170208</v>
      </c>
      <c r="S23" s="207">
        <f>IFERROR(H23/I23-1,"")</f>
        <v>-7.480314960629908E-2</v>
      </c>
      <c r="T23" s="207">
        <f>IFERROR(I23/J23-1,"")</f>
        <v>-1.5503875968992387E-2</v>
      </c>
      <c r="U23" s="207">
        <f>IFERROR(J23/K23-1,"")</f>
        <v>9.1264667535855271E-3</v>
      </c>
      <c r="V23" s="208">
        <f>IFERROR(K23/L23-1,"")</f>
        <v>0.18181818181818166</v>
      </c>
    </row>
    <row r="24" spans="1:22" ht="28.5" x14ac:dyDescent="0.2">
      <c r="A24" s="20">
        <v>21</v>
      </c>
      <c r="B24" s="166" t="s">
        <v>466</v>
      </c>
      <c r="C24" s="19">
        <f>Summary!F25</f>
        <v>9.33</v>
      </c>
      <c r="D24" s="19">
        <v>8.879999999999999</v>
      </c>
      <c r="E24" s="19"/>
      <c r="F24" s="19">
        <v>9.3099999999999987</v>
      </c>
      <c r="G24" s="19">
        <v>10.89</v>
      </c>
      <c r="H24" s="19">
        <v>8.3000000000000007</v>
      </c>
      <c r="I24" s="19">
        <v>8.76</v>
      </c>
      <c r="J24" s="19">
        <v>7.41</v>
      </c>
      <c r="K24" s="19">
        <v>7.8199999999999994</v>
      </c>
      <c r="L24" s="209">
        <v>7.32</v>
      </c>
      <c r="N24" s="206">
        <f>IFERROR(C24/D24-1,"")</f>
        <v>5.067567567567588E-2</v>
      </c>
      <c r="O24" s="207" t="str">
        <f>IFERROR(D24/E24-1,"")</f>
        <v/>
      </c>
      <c r="P24" s="207">
        <f>IFERROR(E24/F24-1,"")</f>
        <v>-1</v>
      </c>
      <c r="Q24" s="207">
        <f>IFERROR(F24/G24-1,"")</f>
        <v>-0.14508723599632711</v>
      </c>
      <c r="R24" s="207">
        <f>IFERROR(G24/H24-1,"")</f>
        <v>0.31204819277108431</v>
      </c>
      <c r="S24" s="207">
        <f>IFERROR(H24/I24-1,"")</f>
        <v>-5.2511415525114069E-2</v>
      </c>
      <c r="T24" s="207">
        <f>IFERROR(I24/J24-1,"")</f>
        <v>0.18218623481781382</v>
      </c>
      <c r="U24" s="207">
        <f>IFERROR(J24/K24-1,"")</f>
        <v>-5.2429667519181544E-2</v>
      </c>
      <c r="V24" s="208">
        <f>IFERROR(K24/L24-1,"")</f>
        <v>6.8306010928961713E-2</v>
      </c>
    </row>
    <row r="25" spans="1:22" x14ac:dyDescent="0.2">
      <c r="A25" s="20">
        <v>22</v>
      </c>
      <c r="B25" s="166" t="s">
        <v>19</v>
      </c>
      <c r="C25" s="19">
        <f>Summary!F26</f>
        <v>7.2200000000000006</v>
      </c>
      <c r="D25" s="19">
        <v>7.52</v>
      </c>
      <c r="E25" s="19"/>
      <c r="F25" s="19">
        <v>8.52</v>
      </c>
      <c r="G25" s="19">
        <v>10.200000000000001</v>
      </c>
      <c r="H25" s="19">
        <v>7.1400000000000006</v>
      </c>
      <c r="I25" s="19">
        <v>8.36</v>
      </c>
      <c r="J25" s="19">
        <v>7.41</v>
      </c>
      <c r="K25" s="19">
        <v>7.3299999999999992</v>
      </c>
      <c r="L25" s="209">
        <v>6.4700000000000006</v>
      </c>
      <c r="N25" s="206">
        <f>IFERROR(C25/D25-1,"")</f>
        <v>-3.9893617021276473E-2</v>
      </c>
      <c r="O25" s="207" t="str">
        <f>IFERROR(D25/E25-1,"")</f>
        <v/>
      </c>
      <c r="P25" s="207">
        <f>IFERROR(E25/F25-1,"")</f>
        <v>-1</v>
      </c>
      <c r="Q25" s="207">
        <f>IFERROR(F25/G25-1,"")</f>
        <v>-0.16470588235294126</v>
      </c>
      <c r="R25" s="207">
        <f>IFERROR(G25/H25-1,"")</f>
        <v>0.4285714285714286</v>
      </c>
      <c r="S25" s="207">
        <f>IFERROR(H25/I25-1,"")</f>
        <v>-0.14593301435406691</v>
      </c>
      <c r="T25" s="207">
        <f>IFERROR(I25/J25-1,"")</f>
        <v>0.12820512820512819</v>
      </c>
      <c r="U25" s="207">
        <f>IFERROR(J25/K25-1,"")</f>
        <v>1.0914051841746319E-2</v>
      </c>
      <c r="V25" s="208">
        <f>IFERROR(K25/L25-1,"")</f>
        <v>0.13292117465224096</v>
      </c>
    </row>
    <row r="26" spans="1:22" x14ac:dyDescent="0.2">
      <c r="A26" s="20">
        <v>23</v>
      </c>
      <c r="B26" s="166" t="s">
        <v>20</v>
      </c>
      <c r="C26" s="19">
        <f>Summary!F27</f>
        <v>8.3199999999999985</v>
      </c>
      <c r="D26" s="19">
        <v>8.02</v>
      </c>
      <c r="E26" s="19"/>
      <c r="F26" s="19">
        <v>7.42</v>
      </c>
      <c r="G26" s="19">
        <v>9.6900000000000013</v>
      </c>
      <c r="H26" s="19">
        <v>6.8800000000000008</v>
      </c>
      <c r="I26" s="19">
        <v>7.32</v>
      </c>
      <c r="J26" s="19">
        <v>6.98</v>
      </c>
      <c r="K26" s="19">
        <v>6.879999999999999</v>
      </c>
      <c r="L26" s="209">
        <v>6.21</v>
      </c>
      <c r="N26" s="206">
        <f>IFERROR(C26/D26-1,"")</f>
        <v>3.740648379052347E-2</v>
      </c>
      <c r="O26" s="207" t="str">
        <f>IFERROR(D26/E26-1,"")</f>
        <v/>
      </c>
      <c r="P26" s="207">
        <f>IFERROR(E26/F26-1,"")</f>
        <v>-1</v>
      </c>
      <c r="Q26" s="207">
        <f>IFERROR(F26/G26-1,"")</f>
        <v>-0.23426212590299289</v>
      </c>
      <c r="R26" s="207">
        <f>IFERROR(G26/H26-1,"")</f>
        <v>0.40843023255813948</v>
      </c>
      <c r="S26" s="207">
        <f>IFERROR(H26/I26-1,"")</f>
        <v>-6.0109289617486295E-2</v>
      </c>
      <c r="T26" s="207">
        <f>IFERROR(I26/J26-1,"")</f>
        <v>4.871060171919761E-2</v>
      </c>
      <c r="U26" s="207">
        <f>IFERROR(J26/K26-1,"")</f>
        <v>1.453488372093048E-2</v>
      </c>
      <c r="V26" s="208">
        <f>IFERROR(K26/L26-1,"")</f>
        <v>0.10789049919484683</v>
      </c>
    </row>
    <row r="27" spans="1:22" x14ac:dyDescent="0.2">
      <c r="A27" s="20">
        <v>24</v>
      </c>
      <c r="B27" s="166" t="s">
        <v>21</v>
      </c>
      <c r="C27" s="19">
        <f>Summary!F28</f>
        <v>7.58</v>
      </c>
      <c r="D27" s="19">
        <v>7.4399999999999995</v>
      </c>
      <c r="E27" s="19"/>
      <c r="F27" s="19">
        <v>6.81</v>
      </c>
      <c r="G27" s="19">
        <v>8.5500000000000007</v>
      </c>
      <c r="H27" s="19">
        <v>6.2200000000000006</v>
      </c>
      <c r="I27" s="19">
        <v>6.34</v>
      </c>
      <c r="J27" s="19">
        <v>5.9</v>
      </c>
      <c r="K27" s="19">
        <v>5.5799999999999992</v>
      </c>
      <c r="L27" s="209">
        <v>4.9399999999999995</v>
      </c>
      <c r="N27" s="206">
        <f>IFERROR(C27/D27-1,"")</f>
        <v>1.8817204301075252E-2</v>
      </c>
      <c r="O27" s="207" t="str">
        <f>IFERROR(D27/E27-1,"")</f>
        <v/>
      </c>
      <c r="P27" s="207">
        <f>IFERROR(E27/F27-1,"")</f>
        <v>-1</v>
      </c>
      <c r="Q27" s="207">
        <f>IFERROR(F27/G27-1,"")</f>
        <v>-0.20350877192982464</v>
      </c>
      <c r="R27" s="207">
        <f>IFERROR(G27/H27-1,"")</f>
        <v>0.37459807073954976</v>
      </c>
      <c r="S27" s="207">
        <f>IFERROR(H27/I27-1,"")</f>
        <v>-1.8927444794952564E-2</v>
      </c>
      <c r="T27" s="207">
        <f>IFERROR(I27/J27-1,"")</f>
        <v>7.4576271186440612E-2</v>
      </c>
      <c r="U27" s="207">
        <f>IFERROR(J27/K27-1,"")</f>
        <v>5.7347670250896376E-2</v>
      </c>
      <c r="V27" s="208">
        <f>IFERROR(K27/L27-1,"")</f>
        <v>0.12955465587044523</v>
      </c>
    </row>
    <row r="28" spans="1:22" x14ac:dyDescent="0.2">
      <c r="A28" s="20">
        <v>25</v>
      </c>
      <c r="B28" s="166" t="s">
        <v>22</v>
      </c>
      <c r="C28" s="19">
        <f>Summary!F29</f>
        <v>6.3100000000000005</v>
      </c>
      <c r="D28" s="19">
        <v>6.2</v>
      </c>
      <c r="E28" s="19"/>
      <c r="F28" s="19">
        <v>5.63</v>
      </c>
      <c r="G28" s="19">
        <v>7.4200000000000008</v>
      </c>
      <c r="H28" s="19">
        <v>5.36</v>
      </c>
      <c r="I28" s="19">
        <v>5.3199999999999994</v>
      </c>
      <c r="J28" s="19">
        <v>5.27</v>
      </c>
      <c r="K28" s="19">
        <v>5.17</v>
      </c>
      <c r="L28" s="209">
        <v>4.97</v>
      </c>
      <c r="N28" s="206">
        <f>IFERROR(C28/D28-1,"")</f>
        <v>1.7741935483871041E-2</v>
      </c>
      <c r="O28" s="207" t="str">
        <f>IFERROR(D28/E28-1,"")</f>
        <v/>
      </c>
      <c r="P28" s="207">
        <f>IFERROR(E28/F28-1,"")</f>
        <v>-1</v>
      </c>
      <c r="Q28" s="207">
        <f>IFERROR(F28/G28-1,"")</f>
        <v>-0.24123989218328856</v>
      </c>
      <c r="R28" s="207">
        <f>IFERROR(G28/H28-1,"")</f>
        <v>0.38432835820895539</v>
      </c>
      <c r="S28" s="207">
        <f>IFERROR(H28/I28-1,"")</f>
        <v>7.5187969924814801E-3</v>
      </c>
      <c r="T28" s="207">
        <f>IFERROR(I28/J28-1,"")</f>
        <v>9.4876660341556285E-3</v>
      </c>
      <c r="U28" s="207">
        <f>IFERROR(J28/K28-1,"")</f>
        <v>1.934235976789167E-2</v>
      </c>
      <c r="V28" s="208">
        <f>IFERROR(K28/L28-1,"")</f>
        <v>4.0241448692152959E-2</v>
      </c>
    </row>
    <row r="29" spans="1:22" x14ac:dyDescent="0.2">
      <c r="A29" s="20">
        <v>26</v>
      </c>
      <c r="B29" s="166" t="s">
        <v>23</v>
      </c>
      <c r="C29" s="19">
        <f>Summary!F30</f>
        <v>8.36</v>
      </c>
      <c r="D29" s="19">
        <v>8.44</v>
      </c>
      <c r="E29" s="19"/>
      <c r="F29" s="19">
        <v>7.54</v>
      </c>
      <c r="G29" s="19">
        <v>9.81</v>
      </c>
      <c r="H29" s="19">
        <v>7.1800000000000006</v>
      </c>
      <c r="I29" s="19">
        <v>7.5</v>
      </c>
      <c r="J29" s="19">
        <v>7.5299999999999994</v>
      </c>
      <c r="K29" s="19">
        <v>7.35</v>
      </c>
      <c r="L29" s="209">
        <v>7.33</v>
      </c>
      <c r="N29" s="206">
        <f>IFERROR(C29/D29-1,"")</f>
        <v>-9.4786729857819774E-3</v>
      </c>
      <c r="O29" s="207" t="str">
        <f>IFERROR(D29/E29-1,"")</f>
        <v/>
      </c>
      <c r="P29" s="207">
        <f>IFERROR(E29/F29-1,"")</f>
        <v>-1</v>
      </c>
      <c r="Q29" s="207">
        <f>IFERROR(F29/G29-1,"")</f>
        <v>-0.23139653414882777</v>
      </c>
      <c r="R29" s="207">
        <f>IFERROR(G29/H29-1,"")</f>
        <v>0.36629526462395545</v>
      </c>
      <c r="S29" s="207">
        <f>IFERROR(H29/I29-1,"")</f>
        <v>-4.2666666666666631E-2</v>
      </c>
      <c r="T29" s="207">
        <f>IFERROR(I29/J29-1,"")</f>
        <v>-3.9840637450198058E-3</v>
      </c>
      <c r="U29" s="207">
        <f>IFERROR(J29/K29-1,"")</f>
        <v>2.4489795918367419E-2</v>
      </c>
      <c r="V29" s="208">
        <f>IFERROR(K29/L29-1,"")</f>
        <v>2.7285129604364133E-3</v>
      </c>
    </row>
    <row r="30" spans="1:22" x14ac:dyDescent="0.2">
      <c r="A30" s="20">
        <v>28</v>
      </c>
      <c r="B30" s="166" t="s">
        <v>24</v>
      </c>
      <c r="C30" s="19">
        <f>Summary!F31</f>
        <v>0</v>
      </c>
      <c r="D30" s="19">
        <v>0</v>
      </c>
      <c r="E30" s="19"/>
      <c r="F30" s="19">
        <v>0</v>
      </c>
      <c r="G30" s="19">
        <v>0</v>
      </c>
      <c r="H30" s="19">
        <v>0</v>
      </c>
      <c r="I30" s="19">
        <v>0</v>
      </c>
      <c r="J30" s="19">
        <v>0</v>
      </c>
      <c r="K30" s="19">
        <v>0</v>
      </c>
      <c r="L30" s="209">
        <v>0</v>
      </c>
      <c r="N30" s="206" t="str">
        <f>IFERROR(C30/D30-1,"")</f>
        <v/>
      </c>
      <c r="O30" s="207" t="str">
        <f>IFERROR(D30/E30-1,"")</f>
        <v/>
      </c>
      <c r="P30" s="207" t="str">
        <f>IFERROR(E30/F30-1,"")</f>
        <v/>
      </c>
      <c r="Q30" s="207" t="str">
        <f>IFERROR(F30/G30-1,"")</f>
        <v/>
      </c>
      <c r="R30" s="207" t="str">
        <f>IFERROR(G30/H30-1,"")</f>
        <v/>
      </c>
      <c r="S30" s="207" t="str">
        <f>IFERROR(H30/I30-1,"")</f>
        <v/>
      </c>
      <c r="T30" s="207" t="str">
        <f>IFERROR(I30/J30-1,"")</f>
        <v/>
      </c>
      <c r="U30" s="207" t="str">
        <f>IFERROR(J30/K30-1,"")</f>
        <v/>
      </c>
      <c r="V30" s="208" t="str">
        <f>IFERROR(K30/L30-1,"")</f>
        <v/>
      </c>
    </row>
    <row r="31" spans="1:22" ht="15" thickBot="1" x14ac:dyDescent="0.25">
      <c r="A31" s="23">
        <v>29</v>
      </c>
      <c r="B31" s="168" t="s">
        <v>25</v>
      </c>
      <c r="C31" s="68">
        <f>Summary!F32</f>
        <v>0</v>
      </c>
      <c r="D31" s="68">
        <v>0</v>
      </c>
      <c r="E31" s="68"/>
      <c r="F31" s="68">
        <v>0</v>
      </c>
      <c r="G31" s="68">
        <v>0</v>
      </c>
      <c r="H31" s="68">
        <v>0</v>
      </c>
      <c r="I31" s="68">
        <v>0</v>
      </c>
      <c r="J31" s="68">
        <v>0</v>
      </c>
      <c r="K31" s="68">
        <v>0</v>
      </c>
      <c r="L31" s="210">
        <v>0</v>
      </c>
      <c r="N31" s="211" t="str">
        <f>IFERROR(C31/D31-1,"")</f>
        <v/>
      </c>
      <c r="O31" s="212" t="str">
        <f>IFERROR(D31/E31-1,"")</f>
        <v/>
      </c>
      <c r="P31" s="212" t="str">
        <f>IFERROR(E31/F31-1,"")</f>
        <v/>
      </c>
      <c r="Q31" s="212" t="str">
        <f>IFERROR(F31/G31-1,"")</f>
        <v/>
      </c>
      <c r="R31" s="212" t="str">
        <f>IFERROR(G31/H31-1,"")</f>
        <v/>
      </c>
      <c r="S31" s="212" t="str">
        <f>IFERROR(H31/I31-1,"")</f>
        <v/>
      </c>
      <c r="T31" s="212" t="str">
        <f>IFERROR(I31/J31-1,"")</f>
        <v/>
      </c>
      <c r="U31" s="212" t="str">
        <f>IFERROR(J31/K31-1,"")</f>
        <v/>
      </c>
      <c r="V31" s="213" t="str">
        <f>IFERROR(K31/L31-1,"")</f>
        <v/>
      </c>
    </row>
    <row r="32" spans="1:22" x14ac:dyDescent="0.2">
      <c r="B32" s="14" t="s">
        <v>957</v>
      </c>
      <c r="C32" s="65">
        <f>AVERAGE(C4:C31)</f>
        <v>8.67</v>
      </c>
      <c r="D32" s="65">
        <f>AVERAGE(D4:D31)</f>
        <v>8.463571428571429</v>
      </c>
      <c r="E32" s="65"/>
      <c r="F32" s="65">
        <f>AVERAGE(F4:F31)</f>
        <v>7.7992857142857117</v>
      </c>
      <c r="G32" s="65">
        <f>AVERAGE(G4:G31)</f>
        <v>9.7524999999999995</v>
      </c>
      <c r="H32" s="65">
        <f>AVERAGE(H4:H31)</f>
        <v>6.9428571428571448</v>
      </c>
      <c r="I32" s="65">
        <f>AVERAGE(I4:I31)</f>
        <v>7.007142857142858</v>
      </c>
      <c r="J32" s="65">
        <f>AVERAGE(J4:J31)</f>
        <v>7.0107142857142861</v>
      </c>
      <c r="K32" s="65">
        <f>AVERAGE(K4:K31)</f>
        <v>7.017142857142856</v>
      </c>
      <c r="L32" s="65">
        <f>AVERAGE(L4:L31)</f>
        <v>6.5617857142857163</v>
      </c>
      <c r="N32" s="145">
        <f t="shared" ref="N32:P34" si="0">IFERROR(C32/D32-1,"")</f>
        <v>2.4390243902439046E-2</v>
      </c>
      <c r="O32" s="145" t="str">
        <f t="shared" si="0"/>
        <v/>
      </c>
      <c r="P32" s="145">
        <f t="shared" si="0"/>
        <v>-1</v>
      </c>
      <c r="Q32" s="145">
        <f>IFERROR(F32/G32-1,"")</f>
        <v>-0.20027831691507691</v>
      </c>
      <c r="R32" s="145">
        <f>IFERROR(G32/H32-1,"")</f>
        <v>0.40468106995884723</v>
      </c>
      <c r="S32" s="145">
        <f>IFERROR(H32/I32-1,"")</f>
        <v>-9.1743119266053386E-3</v>
      </c>
      <c r="T32" s="145">
        <f>IFERROR(I32/J32-1,"")</f>
        <v>-5.0942435048384471E-4</v>
      </c>
      <c r="U32" s="145">
        <f>IFERROR(J32/K32-1,"")</f>
        <v>-9.1612377850136539E-4</v>
      </c>
      <c r="V32" s="145">
        <f>IFERROR(K32/L32-1,"")</f>
        <v>6.9395308332879324E-2</v>
      </c>
    </row>
    <row r="33" spans="2:22" x14ac:dyDescent="0.2">
      <c r="B33" s="14" t="s">
        <v>958</v>
      </c>
      <c r="C33" s="146">
        <f>MEDIAN(C4:C31)</f>
        <v>7.7799999999999994</v>
      </c>
      <c r="D33" s="146">
        <f>MEDIAN(D4:D31)</f>
        <v>7.5249999999999995</v>
      </c>
      <c r="E33" s="146"/>
      <c r="F33" s="146">
        <f>MEDIAN(F4:F31)</f>
        <v>7.3449999999999998</v>
      </c>
      <c r="G33" s="146">
        <f>MEDIAN(G4:G31)</f>
        <v>9.615000000000002</v>
      </c>
      <c r="H33" s="146">
        <f>MEDIAN(H4:H31)</f>
        <v>6.995000000000001</v>
      </c>
      <c r="I33" s="146">
        <f>MEDIAN(I4:I31)</f>
        <v>6.9049999999999994</v>
      </c>
      <c r="J33" s="146">
        <f>MEDIAN(J4:J31)</f>
        <v>6.6899999999999995</v>
      </c>
      <c r="K33" s="146">
        <f>MEDIAN(K4:K31)</f>
        <v>6.6899999999999995</v>
      </c>
      <c r="L33" s="146">
        <f>MEDIAN(L4:L31)</f>
        <v>6.32</v>
      </c>
      <c r="N33" s="145">
        <f t="shared" si="0"/>
        <v>3.3887043189368748E-2</v>
      </c>
      <c r="O33" s="145" t="str">
        <f t="shared" si="0"/>
        <v/>
      </c>
      <c r="P33" s="145">
        <f t="shared" si="0"/>
        <v>-1</v>
      </c>
      <c r="Q33" s="145">
        <f>IFERROR(F33/G33-1,"")</f>
        <v>-0.23608944357774331</v>
      </c>
      <c r="R33" s="145">
        <f>IFERROR(G33/H33-1,"")</f>
        <v>0.37455325232308812</v>
      </c>
      <c r="S33" s="145">
        <f>IFERROR(H33/I33-1,"")</f>
        <v>1.3034033309196502E-2</v>
      </c>
      <c r="T33" s="145">
        <f>IFERROR(I33/J33-1,"")</f>
        <v>3.2137518684603794E-2</v>
      </c>
      <c r="U33" s="145">
        <f>IFERROR(J33/K33-1,"")</f>
        <v>0</v>
      </c>
      <c r="V33" s="145">
        <f>IFERROR(K33/L33-1,"")</f>
        <v>5.8544303797468222E-2</v>
      </c>
    </row>
    <row r="34" spans="2:22" x14ac:dyDescent="0.2">
      <c r="B34" s="14" t="s">
        <v>1029</v>
      </c>
      <c r="C34" s="65">
        <f>STDEV(C4:C31)</f>
        <v>5.7536854533678099</v>
      </c>
      <c r="D34" s="65">
        <f>STDEV(D4:D31)</f>
        <v>5.2587227109122772</v>
      </c>
      <c r="E34" s="65"/>
      <c r="F34" s="65">
        <f>STDEV(F4:F31)</f>
        <v>4.1137528406386368</v>
      </c>
      <c r="G34" s="65">
        <f>STDEV(G4:G31)</f>
        <v>4.4105652824905679</v>
      </c>
      <c r="H34" s="65">
        <f>STDEV(H4:H31)</f>
        <v>2.7509807774855881</v>
      </c>
      <c r="I34" s="65">
        <f>STDEV(I4:I31)</f>
        <v>2.6772025990973756</v>
      </c>
      <c r="J34" s="65">
        <f>STDEV(J4:J31)</f>
        <v>3.0868057666898725</v>
      </c>
      <c r="K34" s="65">
        <f>STDEV(K4:K31)</f>
        <v>3.4645515525558972</v>
      </c>
      <c r="L34" s="65">
        <f>STDEV(L4:L31)</f>
        <v>3.252536393250347</v>
      </c>
      <c r="N34" s="145">
        <f t="shared" si="0"/>
        <v>9.4122236456477326E-2</v>
      </c>
      <c r="O34" s="145" t="str">
        <f t="shared" si="0"/>
        <v/>
      </c>
      <c r="P34" s="145">
        <f t="shared" si="0"/>
        <v>-1</v>
      </c>
      <c r="Q34" s="145">
        <f>IFERROR(F34/G34-1,"")</f>
        <v>-6.7295782477189925E-2</v>
      </c>
      <c r="R34" s="145">
        <f>IFERROR(G34/H34-1,"")</f>
        <v>0.60327012045567585</v>
      </c>
      <c r="S34" s="145">
        <f>IFERROR(H34/I34-1,"")</f>
        <v>2.7557936187977417E-2</v>
      </c>
      <c r="T34" s="145">
        <f>IFERROR(I34/J34-1,"")</f>
        <v>-0.13269483036884877</v>
      </c>
      <c r="U34" s="145">
        <f>IFERROR(J34/K34-1,"")</f>
        <v>-0.10903165391992831</v>
      </c>
      <c r="V34" s="145">
        <f>IFERROR(K34/L34-1,"")</f>
        <v>6.5184561730200263E-2</v>
      </c>
    </row>
  </sheetData>
  <pageMargins left="0.25" right="0.25" top="0.25" bottom="0.2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showGridLines="0" zoomScale="70" zoomScaleNormal="70" workbookViewId="0">
      <pane xSplit="1" ySplit="3" topLeftCell="B4" activePane="bottomRight" state="frozen"/>
      <selection pane="topRight" activeCell="B1" sqref="B1"/>
      <selection pane="bottomLeft" activeCell="A5" sqref="A5"/>
      <selection pane="bottomRight" activeCell="B4" sqref="B4"/>
    </sheetView>
  </sheetViews>
  <sheetFormatPr defaultRowHeight="15" x14ac:dyDescent="0.25"/>
  <cols>
    <col min="1" max="1" width="37.5703125" customWidth="1"/>
    <col min="2" max="2" width="22.7109375" style="69" customWidth="1"/>
    <col min="3" max="3" width="12.5703125" bestFit="1" customWidth="1"/>
    <col min="4" max="4" width="19.28515625" customWidth="1"/>
    <col min="5" max="5" width="25.5703125" customWidth="1"/>
  </cols>
  <sheetData>
    <row r="1" spans="1:5" x14ac:dyDescent="0.25">
      <c r="A1" s="133" t="str">
        <f>Summary!A1</f>
        <v>Community and Technical Colleges, Report of Fundable Operating Expenses, Fiscal Year (FY) 2008</v>
      </c>
      <c r="B1" s="133"/>
      <c r="C1" s="132"/>
      <c r="D1" s="131"/>
      <c r="E1" s="131"/>
    </row>
    <row r="2" spans="1:5" ht="15.75" thickBot="1" x14ac:dyDescent="0.3">
      <c r="A2" s="134" t="s">
        <v>1031</v>
      </c>
      <c r="B2" s="134"/>
      <c r="C2" s="131"/>
      <c r="D2" s="131"/>
      <c r="E2" s="131"/>
    </row>
    <row r="3" spans="1:5" ht="44.25" thickBot="1" x14ac:dyDescent="0.3">
      <c r="A3" s="127" t="s">
        <v>954</v>
      </c>
      <c r="B3" s="130" t="s">
        <v>1035</v>
      </c>
      <c r="C3" s="130" t="s">
        <v>1025</v>
      </c>
      <c r="D3" s="130" t="s">
        <v>1026</v>
      </c>
      <c r="E3" s="129" t="s">
        <v>1027</v>
      </c>
    </row>
    <row r="4" spans="1:5" x14ac:dyDescent="0.25">
      <c r="A4" s="128" t="s">
        <v>1082</v>
      </c>
      <c r="B4" s="108">
        <v>998865</v>
      </c>
      <c r="C4" s="135">
        <f>B4/30</f>
        <v>33295.5</v>
      </c>
      <c r="D4" s="136">
        <f>'1'!$E$33</f>
        <v>191239470.99999991</v>
      </c>
      <c r="E4" s="137">
        <f>IFERROR(D4/C4,"")</f>
        <v>5743.7032331696446</v>
      </c>
    </row>
    <row r="5" spans="1:5" x14ac:dyDescent="0.25">
      <c r="A5" s="97" t="s">
        <v>1036</v>
      </c>
      <c r="B5" s="107">
        <v>92788</v>
      </c>
      <c r="C5" s="138">
        <f t="shared" ref="C5:C60" si="0">B5/30</f>
        <v>3092.9333333333334</v>
      </c>
      <c r="D5" s="138">
        <f>'2'!$E$33</f>
        <v>20109761.999999996</v>
      </c>
      <c r="E5" s="139">
        <f t="shared" ref="E5:E61" si="1">IFERROR(D5/C5,"")</f>
        <v>6501.8414019054171</v>
      </c>
    </row>
    <row r="6" spans="1:5" x14ac:dyDescent="0.25">
      <c r="A6" s="97" t="s">
        <v>1046</v>
      </c>
      <c r="B6" s="107">
        <v>178668</v>
      </c>
      <c r="C6" s="138">
        <f t="shared" si="0"/>
        <v>5955.6</v>
      </c>
      <c r="D6" s="138">
        <f>'3'!$E$33</f>
        <v>34512276</v>
      </c>
      <c r="E6" s="139">
        <f t="shared" si="1"/>
        <v>5794.928470683054</v>
      </c>
    </row>
    <row r="7" spans="1:5" x14ac:dyDescent="0.25">
      <c r="A7" s="97" t="s">
        <v>1047</v>
      </c>
      <c r="B7" s="107">
        <v>94431</v>
      </c>
      <c r="C7" s="138">
        <f t="shared" si="0"/>
        <v>3147.7</v>
      </c>
      <c r="D7" s="138">
        <f>'4'!$E$33</f>
        <v>13509317</v>
      </c>
      <c r="E7" s="139">
        <f t="shared" si="1"/>
        <v>4291.8057629380182</v>
      </c>
    </row>
    <row r="8" spans="1:5" x14ac:dyDescent="0.25">
      <c r="A8" s="97" t="s">
        <v>1037</v>
      </c>
      <c r="B8" s="107">
        <v>637122</v>
      </c>
      <c r="C8" s="138">
        <f t="shared" si="0"/>
        <v>21237.4</v>
      </c>
      <c r="D8" s="138">
        <f>'5'!$E$33</f>
        <v>136750474</v>
      </c>
      <c r="E8" s="139">
        <f t="shared" si="1"/>
        <v>6439.1344514865277</v>
      </c>
    </row>
    <row r="9" spans="1:5" x14ac:dyDescent="0.25">
      <c r="A9" s="97" t="s">
        <v>1048</v>
      </c>
      <c r="B9" s="107">
        <v>328749</v>
      </c>
      <c r="C9" s="138">
        <f t="shared" si="0"/>
        <v>10958.3</v>
      </c>
      <c r="D9" s="140">
        <f>'6'!$E$33</f>
        <v>39123737.999999993</v>
      </c>
      <c r="E9" s="141">
        <f t="shared" si="1"/>
        <v>3570.2379018643396</v>
      </c>
    </row>
    <row r="10" spans="1:5" x14ac:dyDescent="0.25">
      <c r="A10" s="97" t="s">
        <v>1049</v>
      </c>
      <c r="B10" s="107">
        <v>66827</v>
      </c>
      <c r="C10" s="138">
        <f t="shared" si="0"/>
        <v>2227.5666666666666</v>
      </c>
      <c r="D10" s="140">
        <f>'7'!$E$33</f>
        <v>14287859</v>
      </c>
      <c r="E10" s="141">
        <f t="shared" si="1"/>
        <v>6414.1106139733938</v>
      </c>
    </row>
    <row r="11" spans="1:5" x14ac:dyDescent="0.25">
      <c r="A11" s="97" t="s">
        <v>1083</v>
      </c>
      <c r="B11" s="107">
        <v>261238</v>
      </c>
      <c r="C11" s="138">
        <f t="shared" si="0"/>
        <v>8707.9333333333325</v>
      </c>
      <c r="D11" s="138">
        <f>'8'!$E$33</f>
        <v>44599542.999999993</v>
      </c>
      <c r="E11" s="139">
        <f t="shared" si="1"/>
        <v>5121.7138777666341</v>
      </c>
    </row>
    <row r="12" spans="1:5" x14ac:dyDescent="0.25">
      <c r="A12" s="97" t="s">
        <v>1040</v>
      </c>
      <c r="B12" s="107">
        <v>71870</v>
      </c>
      <c r="C12" s="138">
        <f t="shared" si="0"/>
        <v>2395.6666666666665</v>
      </c>
      <c r="D12" s="140">
        <f>'9'!$E$33</f>
        <v>9248686</v>
      </c>
      <c r="E12" s="141">
        <f t="shared" si="1"/>
        <v>3860.5896758035342</v>
      </c>
    </row>
    <row r="13" spans="1:5" x14ac:dyDescent="0.25">
      <c r="A13" s="97" t="s">
        <v>1050</v>
      </c>
      <c r="B13" s="107">
        <v>25155</v>
      </c>
      <c r="C13" s="138">
        <f t="shared" si="0"/>
        <v>838.5</v>
      </c>
      <c r="D13" s="138">
        <f>'10'!$E$33</f>
        <v>3668635</v>
      </c>
      <c r="E13" s="139">
        <f t="shared" si="1"/>
        <v>4375.2355396541443</v>
      </c>
    </row>
    <row r="14" spans="1:5" x14ac:dyDescent="0.25">
      <c r="A14" s="97" t="s">
        <v>1051</v>
      </c>
      <c r="B14" s="107">
        <v>63382</v>
      </c>
      <c r="C14" s="138">
        <f t="shared" si="0"/>
        <v>2112.7333333333331</v>
      </c>
      <c r="D14" s="138">
        <f>'11'!$E$33</f>
        <v>0</v>
      </c>
      <c r="E14" s="139">
        <f t="shared" si="1"/>
        <v>0</v>
      </c>
    </row>
    <row r="15" spans="1:5" x14ac:dyDescent="0.25">
      <c r="A15" s="97" t="s">
        <v>946</v>
      </c>
      <c r="B15" s="106">
        <v>71997</v>
      </c>
      <c r="C15" s="138">
        <f t="shared" si="0"/>
        <v>2399.9</v>
      </c>
      <c r="D15" s="140">
        <f>'12'!$E$33</f>
        <v>24391320</v>
      </c>
      <c r="E15" s="141">
        <f t="shared" si="1"/>
        <v>10163.473478061585</v>
      </c>
    </row>
    <row r="16" spans="1:5" x14ac:dyDescent="0.25">
      <c r="A16" s="97" t="s">
        <v>1074</v>
      </c>
      <c r="B16" s="106">
        <v>412203</v>
      </c>
      <c r="C16" s="138">
        <f t="shared" si="0"/>
        <v>13740.1</v>
      </c>
      <c r="D16" s="140">
        <f>'13'!$E$33</f>
        <v>70034922</v>
      </c>
      <c r="E16" s="141">
        <f t="shared" si="1"/>
        <v>5097.1187982620213</v>
      </c>
    </row>
    <row r="17" spans="1:5" x14ac:dyDescent="0.25">
      <c r="A17" s="97" t="s">
        <v>1075</v>
      </c>
      <c r="B17" s="107">
        <v>1151165</v>
      </c>
      <c r="C17" s="138">
        <f t="shared" si="0"/>
        <v>38372.166666666664</v>
      </c>
      <c r="D17" s="140">
        <f>'14'!$E$33</f>
        <v>214562812</v>
      </c>
      <c r="E17" s="141">
        <f t="shared" si="1"/>
        <v>5591.6261873840849</v>
      </c>
    </row>
    <row r="18" spans="1:5" x14ac:dyDescent="0.25">
      <c r="A18" s="97" t="s">
        <v>1052</v>
      </c>
      <c r="B18" s="107">
        <v>204427</v>
      </c>
      <c r="C18" s="138">
        <f t="shared" si="0"/>
        <v>6814.2333333333336</v>
      </c>
      <c r="D18" s="138">
        <f>'15'!$E$33</f>
        <v>57594376.999999985</v>
      </c>
      <c r="E18" s="139">
        <f t="shared" si="1"/>
        <v>8452.0699809712005</v>
      </c>
    </row>
    <row r="19" spans="1:5" x14ac:dyDescent="0.25">
      <c r="A19" s="96" t="s">
        <v>1076</v>
      </c>
      <c r="B19" s="107">
        <v>471363</v>
      </c>
      <c r="C19" s="138">
        <f t="shared" si="0"/>
        <v>15712.1</v>
      </c>
      <c r="D19" s="138">
        <f>'16'!$E$33</f>
        <v>81085588.999999985</v>
      </c>
      <c r="E19" s="139">
        <f t="shared" si="1"/>
        <v>5160.7098350952438</v>
      </c>
    </row>
    <row r="20" spans="1:5" x14ac:dyDescent="0.25">
      <c r="A20" s="97" t="s">
        <v>1053</v>
      </c>
      <c r="B20" s="107">
        <v>26276</v>
      </c>
      <c r="C20" s="138">
        <f t="shared" si="0"/>
        <v>875.86666666666667</v>
      </c>
      <c r="D20" s="138">
        <f>'17'!$E$33</f>
        <v>5764019</v>
      </c>
      <c r="E20" s="139">
        <f t="shared" si="1"/>
        <v>6580.9320292281927</v>
      </c>
    </row>
    <row r="21" spans="1:5" x14ac:dyDescent="0.25">
      <c r="A21" s="97" t="s">
        <v>1054</v>
      </c>
      <c r="B21" s="107">
        <v>40208</v>
      </c>
      <c r="C21" s="138">
        <f t="shared" si="0"/>
        <v>1340.2666666666667</v>
      </c>
      <c r="D21" s="138">
        <f>'18'!$E$33</f>
        <v>0</v>
      </c>
      <c r="E21" s="139">
        <f t="shared" si="1"/>
        <v>0</v>
      </c>
    </row>
    <row r="22" spans="1:5" x14ac:dyDescent="0.25">
      <c r="A22" s="97" t="s">
        <v>1084</v>
      </c>
      <c r="B22" s="107">
        <v>82457</v>
      </c>
      <c r="C22" s="138">
        <f t="shared" si="0"/>
        <v>2748.5666666666666</v>
      </c>
      <c r="D22" s="138">
        <f>'19'!$E$33</f>
        <v>13664320</v>
      </c>
      <c r="E22" s="139">
        <f t="shared" si="1"/>
        <v>4971.4348084456142</v>
      </c>
    </row>
    <row r="23" spans="1:5" x14ac:dyDescent="0.25">
      <c r="A23" s="97" t="s">
        <v>1055</v>
      </c>
      <c r="B23" s="107">
        <v>70448</v>
      </c>
      <c r="C23" s="138">
        <f t="shared" si="0"/>
        <v>2348.2666666666669</v>
      </c>
      <c r="D23" s="138">
        <f>'20'!$E$33</f>
        <v>10335070</v>
      </c>
      <c r="E23" s="139">
        <f t="shared" si="1"/>
        <v>4401.148364751306</v>
      </c>
    </row>
    <row r="24" spans="1:5" x14ac:dyDescent="0.25">
      <c r="A24" s="97" t="s">
        <v>1077</v>
      </c>
      <c r="B24" s="107">
        <v>846337</v>
      </c>
      <c r="C24" s="138">
        <f t="shared" si="0"/>
        <v>28211.233333333334</v>
      </c>
      <c r="D24" s="138">
        <f>'21'!$E$33</f>
        <v>166950232</v>
      </c>
      <c r="E24" s="139">
        <f t="shared" si="1"/>
        <v>5917.8636406065198</v>
      </c>
    </row>
    <row r="25" spans="1:5" x14ac:dyDescent="0.25">
      <c r="A25" s="97" t="s">
        <v>1056</v>
      </c>
      <c r="B25" s="107">
        <v>61090</v>
      </c>
      <c r="C25" s="138">
        <f t="shared" si="0"/>
        <v>2036.3333333333333</v>
      </c>
      <c r="D25" s="140">
        <f>'22'!$E$33</f>
        <v>15565901</v>
      </c>
      <c r="E25" s="141">
        <f t="shared" si="1"/>
        <v>7644.082992306433</v>
      </c>
    </row>
    <row r="26" spans="1:5" x14ac:dyDescent="0.25">
      <c r="A26" s="97" t="s">
        <v>1057</v>
      </c>
      <c r="B26" s="107">
        <v>115663</v>
      </c>
      <c r="C26" s="138">
        <f t="shared" si="0"/>
        <v>3855.4333333333334</v>
      </c>
      <c r="D26" s="140">
        <f>'23'!$E$33</f>
        <v>18384957</v>
      </c>
      <c r="E26" s="141">
        <f t="shared" si="1"/>
        <v>4768.583816778053</v>
      </c>
    </row>
    <row r="27" spans="1:5" x14ac:dyDescent="0.25">
      <c r="A27" s="97" t="s">
        <v>1041</v>
      </c>
      <c r="B27" s="107">
        <v>154193</v>
      </c>
      <c r="C27" s="138">
        <f t="shared" si="0"/>
        <v>5139.7666666666664</v>
      </c>
      <c r="D27" s="138">
        <f>'24'!$E$33</f>
        <v>33753934</v>
      </c>
      <c r="E27" s="139">
        <f t="shared" si="1"/>
        <v>6567.2113520069006</v>
      </c>
    </row>
    <row r="28" spans="1:5" x14ac:dyDescent="0.25">
      <c r="A28" s="97" t="s">
        <v>1058</v>
      </c>
      <c r="B28" s="107">
        <v>125718</v>
      </c>
      <c r="C28" s="138">
        <f t="shared" si="0"/>
        <v>4190.6000000000004</v>
      </c>
      <c r="D28" s="140">
        <f>'25'!$E$33</f>
        <v>29033951</v>
      </c>
      <c r="E28" s="141">
        <f t="shared" si="1"/>
        <v>6928.3517873335559</v>
      </c>
    </row>
    <row r="29" spans="1:5" x14ac:dyDescent="0.25">
      <c r="A29" s="96" t="s">
        <v>1059</v>
      </c>
      <c r="B29" s="106">
        <v>832324</v>
      </c>
      <c r="C29" s="138">
        <f t="shared" si="0"/>
        <v>27744.133333333335</v>
      </c>
      <c r="D29" s="140">
        <f>'26'!$E$33</f>
        <v>152541391.00000003</v>
      </c>
      <c r="E29" s="141">
        <f t="shared" si="1"/>
        <v>5498.1494345951824</v>
      </c>
    </row>
    <row r="30" spans="1:5" x14ac:dyDescent="0.25">
      <c r="A30" s="97" t="s">
        <v>1038</v>
      </c>
      <c r="B30" s="107">
        <v>174178</v>
      </c>
      <c r="C30" s="138">
        <f t="shared" si="0"/>
        <v>5805.9333333333334</v>
      </c>
      <c r="D30" s="140">
        <f>'27'!$E$33</f>
        <v>29680633.000000004</v>
      </c>
      <c r="E30" s="141">
        <f t="shared" si="1"/>
        <v>5112.1208763448894</v>
      </c>
    </row>
    <row r="31" spans="1:5" x14ac:dyDescent="0.25">
      <c r="A31" s="97" t="s">
        <v>1060</v>
      </c>
      <c r="B31" s="107">
        <v>111509</v>
      </c>
      <c r="C31" s="138">
        <f t="shared" si="0"/>
        <v>3716.9666666666667</v>
      </c>
      <c r="D31" s="140">
        <f>'28'!$E$33</f>
        <v>26095441.999999996</v>
      </c>
      <c r="E31" s="141">
        <f t="shared" si="1"/>
        <v>7020.628469450895</v>
      </c>
    </row>
    <row r="32" spans="1:5" x14ac:dyDescent="0.25">
      <c r="A32" s="97" t="s">
        <v>1061</v>
      </c>
      <c r="B32" s="107">
        <v>165450</v>
      </c>
      <c r="C32" s="138">
        <f t="shared" si="0"/>
        <v>5515</v>
      </c>
      <c r="D32" s="140">
        <f>'29'!$E$33</f>
        <v>19666734</v>
      </c>
      <c r="E32" s="141">
        <f t="shared" si="1"/>
        <v>3566.0442429737082</v>
      </c>
    </row>
    <row r="33" spans="1:5" x14ac:dyDescent="0.25">
      <c r="A33" s="97" t="s">
        <v>1062</v>
      </c>
      <c r="B33" s="107">
        <v>145014</v>
      </c>
      <c r="C33" s="138">
        <f t="shared" si="0"/>
        <v>4833.8</v>
      </c>
      <c r="D33" s="138">
        <f>'30'!$E$33</f>
        <v>16235310</v>
      </c>
      <c r="E33" s="139">
        <f t="shared" si="1"/>
        <v>3358.7053663784186</v>
      </c>
    </row>
    <row r="34" spans="1:5" x14ac:dyDescent="0.25">
      <c r="A34" s="97" t="s">
        <v>1039</v>
      </c>
      <c r="B34" s="107">
        <v>52949</v>
      </c>
      <c r="C34" s="138">
        <f t="shared" si="0"/>
        <v>1764.9666666666667</v>
      </c>
      <c r="D34" s="138">
        <f>'31'!$E$33</f>
        <v>8929016.0000000019</v>
      </c>
      <c r="E34" s="139">
        <f t="shared" si="1"/>
        <v>5059.0281213998387</v>
      </c>
    </row>
    <row r="35" spans="1:5" x14ac:dyDescent="0.25">
      <c r="A35" s="97" t="s">
        <v>1063</v>
      </c>
      <c r="B35" s="106">
        <v>85524</v>
      </c>
      <c r="C35" s="138">
        <f t="shared" si="0"/>
        <v>2850.8</v>
      </c>
      <c r="D35" s="138">
        <f>'32'!$E$33</f>
        <v>19384637.000000004</v>
      </c>
      <c r="E35" s="139">
        <f t="shared" si="1"/>
        <v>6799.7183246807926</v>
      </c>
    </row>
    <row r="36" spans="1:5" x14ac:dyDescent="0.25">
      <c r="A36" s="97" t="s">
        <v>1064</v>
      </c>
      <c r="B36" s="107">
        <v>40729</v>
      </c>
      <c r="C36" s="138">
        <f t="shared" si="0"/>
        <v>1357.6333333333334</v>
      </c>
      <c r="D36" s="138">
        <f>'33'!$E$33</f>
        <v>8985085</v>
      </c>
      <c r="E36" s="139">
        <f t="shared" si="1"/>
        <v>6618.1971077119488</v>
      </c>
    </row>
    <row r="37" spans="1:5" x14ac:dyDescent="0.25">
      <c r="A37" s="97" t="s">
        <v>1042</v>
      </c>
      <c r="B37" s="106">
        <v>90017</v>
      </c>
      <c r="C37" s="138">
        <f t="shared" si="0"/>
        <v>3000.5666666666666</v>
      </c>
      <c r="D37" s="138">
        <f>'34'!$E$33</f>
        <v>12682934</v>
      </c>
      <c r="E37" s="139">
        <f t="shared" si="1"/>
        <v>4226.8462623726627</v>
      </c>
    </row>
    <row r="38" spans="1:5" x14ac:dyDescent="0.25">
      <c r="A38" s="97" t="s">
        <v>1065</v>
      </c>
      <c r="B38" s="106">
        <v>18238</v>
      </c>
      <c r="C38" s="138">
        <f t="shared" si="0"/>
        <v>607.93333333333328</v>
      </c>
      <c r="D38" s="138">
        <f>'35'!$E$33</f>
        <v>2678849</v>
      </c>
      <c r="E38" s="139">
        <f t="shared" si="1"/>
        <v>4406.4848119311328</v>
      </c>
    </row>
    <row r="39" spans="1:5" x14ac:dyDescent="0.25">
      <c r="A39" s="97" t="s">
        <v>1078</v>
      </c>
      <c r="B39" s="107">
        <v>476825</v>
      </c>
      <c r="C39" s="138">
        <f t="shared" si="0"/>
        <v>15894.166666666666</v>
      </c>
      <c r="D39" s="138">
        <f>'36'!$E$33</f>
        <v>91234511</v>
      </c>
      <c r="E39" s="139">
        <f t="shared" si="1"/>
        <v>5740.125475803492</v>
      </c>
    </row>
    <row r="40" spans="1:5" x14ac:dyDescent="0.25">
      <c r="A40" s="97" t="s">
        <v>1066</v>
      </c>
      <c r="B40" s="106">
        <v>192922</v>
      </c>
      <c r="C40" s="138">
        <f t="shared" si="0"/>
        <v>6430.7333333333336</v>
      </c>
      <c r="D40" s="140">
        <f>'37'!$E$33</f>
        <v>27138670</v>
      </c>
      <c r="E40" s="141">
        <f t="shared" si="1"/>
        <v>4220.1516675132953</v>
      </c>
    </row>
    <row r="41" spans="1:5" x14ac:dyDescent="0.25">
      <c r="A41" s="97" t="s">
        <v>1067</v>
      </c>
      <c r="B41" s="106">
        <v>375255</v>
      </c>
      <c r="C41" s="138">
        <f t="shared" si="0"/>
        <v>12508.5</v>
      </c>
      <c r="D41" s="140">
        <f>'38'!$E$33</f>
        <v>65267325</v>
      </c>
      <c r="E41" s="141">
        <f t="shared" si="1"/>
        <v>5217.8378702482314</v>
      </c>
    </row>
    <row r="42" spans="1:5" x14ac:dyDescent="0.25">
      <c r="A42" s="97" t="s">
        <v>1043</v>
      </c>
      <c r="B42" s="106">
        <v>93303</v>
      </c>
      <c r="C42" s="138">
        <f t="shared" si="0"/>
        <v>3110.1</v>
      </c>
      <c r="D42" s="140">
        <f>'39'!$E$33</f>
        <v>15762315.000000004</v>
      </c>
      <c r="E42" s="141">
        <f t="shared" si="1"/>
        <v>5068.1055271534688</v>
      </c>
    </row>
    <row r="43" spans="1:5" x14ac:dyDescent="0.25">
      <c r="A43" s="97" t="s">
        <v>1079</v>
      </c>
      <c r="B43" s="106">
        <v>728201</v>
      </c>
      <c r="C43" s="138">
        <f t="shared" si="0"/>
        <v>24273.366666666665</v>
      </c>
      <c r="D43" s="140">
        <f>'40'!$E$33</f>
        <v>113400957.00000001</v>
      </c>
      <c r="E43" s="141">
        <f t="shared" si="1"/>
        <v>4671.826473734588</v>
      </c>
    </row>
    <row r="44" spans="1:5" x14ac:dyDescent="0.25">
      <c r="A44" s="97" t="s">
        <v>1044</v>
      </c>
      <c r="B44" s="106">
        <v>95894</v>
      </c>
      <c r="C44" s="138">
        <f t="shared" si="0"/>
        <v>3196.4666666666667</v>
      </c>
      <c r="D44" s="140">
        <f>'41'!$E$33</f>
        <v>16346843</v>
      </c>
      <c r="E44" s="141">
        <f t="shared" si="1"/>
        <v>5114.0351846830872</v>
      </c>
    </row>
    <row r="45" spans="1:5" x14ac:dyDescent="0.25">
      <c r="A45" s="97" t="s">
        <v>1068</v>
      </c>
      <c r="B45" s="106">
        <v>87473</v>
      </c>
      <c r="C45" s="138">
        <f t="shared" si="0"/>
        <v>2915.7666666666669</v>
      </c>
      <c r="D45" s="140">
        <f>'42'!$E$33</f>
        <v>14839812</v>
      </c>
      <c r="E45" s="141">
        <f t="shared" si="1"/>
        <v>5089.5060190001486</v>
      </c>
    </row>
    <row r="46" spans="1:5" x14ac:dyDescent="0.25">
      <c r="A46" s="97" t="s">
        <v>1069</v>
      </c>
      <c r="B46" s="106">
        <v>189835</v>
      </c>
      <c r="C46" s="138">
        <f t="shared" si="0"/>
        <v>6327.833333333333</v>
      </c>
      <c r="D46" s="140">
        <f>'43'!$E$33</f>
        <v>0</v>
      </c>
      <c r="E46" s="141">
        <f t="shared" si="1"/>
        <v>0</v>
      </c>
    </row>
    <row r="47" spans="1:5" x14ac:dyDescent="0.25">
      <c r="A47" s="97" t="s">
        <v>1080</v>
      </c>
      <c r="B47" s="106">
        <v>131916</v>
      </c>
      <c r="C47" s="138">
        <f t="shared" si="0"/>
        <v>4397.2</v>
      </c>
      <c r="D47" s="140">
        <f>'44'!$E$33</f>
        <v>17586898</v>
      </c>
      <c r="E47" s="141">
        <f t="shared" si="1"/>
        <v>3999.5674520149187</v>
      </c>
    </row>
    <row r="48" spans="1:5" x14ac:dyDescent="0.25">
      <c r="A48" s="97" t="s">
        <v>1045</v>
      </c>
      <c r="B48" s="106">
        <v>205968</v>
      </c>
      <c r="C48" s="138">
        <f t="shared" si="0"/>
        <v>6865.6</v>
      </c>
      <c r="D48" s="140">
        <f>'45'!$E$33</f>
        <v>35569461.999999993</v>
      </c>
      <c r="E48" s="141">
        <f t="shared" si="1"/>
        <v>5180.8235259846178</v>
      </c>
    </row>
    <row r="49" spans="1:5" x14ac:dyDescent="0.25">
      <c r="A49" s="97" t="s">
        <v>1070</v>
      </c>
      <c r="B49" s="106">
        <v>57233</v>
      </c>
      <c r="C49" s="138">
        <f t="shared" si="0"/>
        <v>1907.7666666666667</v>
      </c>
      <c r="D49" s="140">
        <f>'46'!$E$33</f>
        <v>0</v>
      </c>
      <c r="E49" s="141">
        <f t="shared" si="1"/>
        <v>0</v>
      </c>
    </row>
    <row r="50" spans="1:5" x14ac:dyDescent="0.25">
      <c r="A50" s="97" t="s">
        <v>1071</v>
      </c>
      <c r="B50" s="106">
        <v>74015</v>
      </c>
      <c r="C50" s="138">
        <f t="shared" si="0"/>
        <v>2467.1666666666665</v>
      </c>
      <c r="D50" s="140">
        <f>'47'!$E$33</f>
        <v>15386480</v>
      </c>
      <c r="E50" s="141">
        <f t="shared" si="1"/>
        <v>6236.4980071607115</v>
      </c>
    </row>
    <row r="51" spans="1:5" x14ac:dyDescent="0.25">
      <c r="A51" s="97" t="s">
        <v>1072</v>
      </c>
      <c r="B51" s="106">
        <v>91593</v>
      </c>
      <c r="C51" s="138">
        <f t="shared" si="0"/>
        <v>3053.1</v>
      </c>
      <c r="D51" s="140">
        <f>'48'!$E$33</f>
        <v>18011246</v>
      </c>
      <c r="E51" s="141">
        <f t="shared" si="1"/>
        <v>5899.3305165241891</v>
      </c>
    </row>
    <row r="52" spans="1:5" x14ac:dyDescent="0.25">
      <c r="A52" s="97" t="s">
        <v>1073</v>
      </c>
      <c r="B52" s="106">
        <v>41029</v>
      </c>
      <c r="C52" s="138">
        <f t="shared" si="0"/>
        <v>1367.6333333333334</v>
      </c>
      <c r="D52" s="140">
        <f>'49'!$E$33</f>
        <v>6397574.9999999991</v>
      </c>
      <c r="E52" s="141">
        <f t="shared" si="1"/>
        <v>4677.8437202954001</v>
      </c>
    </row>
    <row r="53" spans="1:5" x14ac:dyDescent="0.25">
      <c r="A53" s="97" t="s">
        <v>1081</v>
      </c>
      <c r="B53" s="106">
        <v>120743</v>
      </c>
      <c r="C53" s="138">
        <f t="shared" si="0"/>
        <v>4024.7666666666669</v>
      </c>
      <c r="D53" s="140">
        <f>'50'!$E$33</f>
        <v>20748577.000000004</v>
      </c>
      <c r="E53" s="141">
        <f t="shared" si="1"/>
        <v>5155.2248163454615</v>
      </c>
    </row>
    <row r="54" spans="1:5" x14ac:dyDescent="0.25">
      <c r="A54" s="95" t="s">
        <v>947</v>
      </c>
      <c r="B54" s="106">
        <v>110187</v>
      </c>
      <c r="C54" s="138">
        <f t="shared" si="0"/>
        <v>3672.9</v>
      </c>
      <c r="D54" s="140">
        <f>'51'!$E$33</f>
        <v>21311585</v>
      </c>
      <c r="E54" s="141">
        <f t="shared" si="1"/>
        <v>5802.3863976694165</v>
      </c>
    </row>
    <row r="55" spans="1:5" x14ac:dyDescent="0.25">
      <c r="A55" s="95" t="s">
        <v>948</v>
      </c>
      <c r="B55" s="106">
        <v>39449</v>
      </c>
      <c r="C55" s="138">
        <f t="shared" si="0"/>
        <v>1314.9666666666667</v>
      </c>
      <c r="D55" s="140">
        <f>'52'!$E$33</f>
        <v>13720657</v>
      </c>
      <c r="E55" s="141">
        <f t="shared" si="1"/>
        <v>10434.224188192349</v>
      </c>
    </row>
    <row r="56" spans="1:5" x14ac:dyDescent="0.25">
      <c r="A56" s="95" t="s">
        <v>949</v>
      </c>
      <c r="B56" s="106">
        <v>16611</v>
      </c>
      <c r="C56" s="138">
        <f t="shared" si="0"/>
        <v>553.70000000000005</v>
      </c>
      <c r="D56" s="140">
        <f>'53'!$E$33</f>
        <v>4865946</v>
      </c>
      <c r="E56" s="141">
        <f t="shared" si="1"/>
        <v>8788.0549033772786</v>
      </c>
    </row>
    <row r="57" spans="1:5" x14ac:dyDescent="0.25">
      <c r="A57" s="95" t="s">
        <v>950</v>
      </c>
      <c r="B57" s="106">
        <v>122169</v>
      </c>
      <c r="C57" s="138">
        <f t="shared" si="0"/>
        <v>4072.3</v>
      </c>
      <c r="D57" s="140">
        <f>'54'!$E$33</f>
        <v>32537666</v>
      </c>
      <c r="E57" s="141">
        <f t="shared" si="1"/>
        <v>7989.9972988237605</v>
      </c>
    </row>
    <row r="58" spans="1:5" x14ac:dyDescent="0.25">
      <c r="A58" s="95" t="s">
        <v>951</v>
      </c>
      <c r="B58" s="106">
        <v>57077</v>
      </c>
      <c r="C58" s="138">
        <f t="shared" si="0"/>
        <v>1902.5666666666666</v>
      </c>
      <c r="D58" s="140">
        <f>'55'!$E$33</f>
        <v>19200729</v>
      </c>
      <c r="E58" s="141">
        <f t="shared" si="1"/>
        <v>10092.01377087093</v>
      </c>
    </row>
    <row r="59" spans="1:5" x14ac:dyDescent="0.25">
      <c r="A59" s="95" t="s">
        <v>952</v>
      </c>
      <c r="B59" s="106">
        <v>42154</v>
      </c>
      <c r="C59" s="138">
        <f t="shared" si="0"/>
        <v>1405.1333333333334</v>
      </c>
      <c r="D59" s="140">
        <f>'56'!$E$33</f>
        <v>0</v>
      </c>
      <c r="E59" s="141">
        <f t="shared" si="1"/>
        <v>0</v>
      </c>
    </row>
    <row r="60" spans="1:5" x14ac:dyDescent="0.25">
      <c r="A60" s="76" t="s">
        <v>953</v>
      </c>
      <c r="B60" s="106">
        <v>44993</v>
      </c>
      <c r="C60" s="138">
        <f t="shared" si="0"/>
        <v>1499.7666666666667</v>
      </c>
      <c r="D60" s="140">
        <f>'57'!$E$33</f>
        <v>16624187.999999996</v>
      </c>
      <c r="E60" s="141">
        <f t="shared" si="1"/>
        <v>11084.516258084588</v>
      </c>
    </row>
    <row r="61" spans="1:5" ht="30" thickBot="1" x14ac:dyDescent="0.3">
      <c r="A61" s="85" t="s">
        <v>1028</v>
      </c>
      <c r="B61" s="142">
        <f>SUMIF(D4:D60,"&gt;0",B4:B60)</f>
        <v>11370605</v>
      </c>
      <c r="C61" s="142">
        <f>B61/30</f>
        <v>379020.16666666669</v>
      </c>
      <c r="D61" s="143">
        <f>SUM(D4:D60)</f>
        <v>2111002638</v>
      </c>
      <c r="E61" s="144">
        <f t="shared" si="1"/>
        <v>5569.6314435335671</v>
      </c>
    </row>
    <row r="63" spans="1:5" x14ac:dyDescent="0.25">
      <c r="D63" s="126"/>
    </row>
    <row r="87" ht="15" customHeight="1" x14ac:dyDescent="0.25"/>
  </sheetData>
  <pageMargins left="0.25" right="0.25" top="0.25" bottom="0.2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6"/>
  <sheetViews>
    <sheetView showGridLines="0" zoomScale="70" zoomScaleNormal="70" workbookViewId="0">
      <pane xSplit="1" ySplit="3" topLeftCell="B4" activePane="bottomRight" state="frozen"/>
      <selection activeCell="A49" sqref="A49"/>
      <selection pane="topRight" activeCell="A49" sqref="A49"/>
      <selection pane="bottomLeft" activeCell="A49" sqref="A49"/>
      <selection pane="bottomRight" activeCell="B4" sqref="B4"/>
    </sheetView>
  </sheetViews>
  <sheetFormatPr defaultRowHeight="14.25" x14ac:dyDescent="0.2"/>
  <cols>
    <col min="1" max="1" width="31.5703125" style="63" customWidth="1"/>
    <col min="2" max="2" width="8.140625" style="63" bestFit="1" customWidth="1"/>
    <col min="3" max="3" width="9.140625" style="63" bestFit="1" customWidth="1"/>
    <col min="4" max="5" width="8.140625" style="63" bestFit="1" customWidth="1"/>
    <col min="6" max="6" width="11.42578125" style="63" bestFit="1" customWidth="1"/>
    <col min="7" max="7" width="11.140625" style="63" bestFit="1" customWidth="1"/>
    <col min="8" max="8" width="9.140625" style="63" bestFit="1" customWidth="1"/>
    <col min="9" max="9" width="9.7109375" style="63" bestFit="1" customWidth="1"/>
    <col min="10" max="10" width="8.140625" style="63" bestFit="1" customWidth="1"/>
    <col min="11" max="11" width="9.7109375" style="63" bestFit="1" customWidth="1"/>
    <col min="12" max="12" width="9.140625" style="63" bestFit="1" customWidth="1"/>
    <col min="13" max="14" width="8.140625" style="63" bestFit="1" customWidth="1"/>
    <col min="15" max="16" width="10" style="63" bestFit="1" customWidth="1"/>
    <col min="17" max="17" width="8.140625" style="63" bestFit="1" customWidth="1"/>
    <col min="18" max="19" width="9.140625" style="63" bestFit="1" customWidth="1"/>
    <col min="20" max="20" width="8.28515625" style="63" bestFit="1" customWidth="1"/>
    <col min="21" max="21" width="9.7109375" style="63" bestFit="1" customWidth="1"/>
    <col min="22" max="22" width="9.140625" style="63" bestFit="1" customWidth="1"/>
    <col min="23" max="23" width="10" style="63" bestFit="1" customWidth="1"/>
    <col min="24" max="26" width="8.140625" style="63" bestFit="1" customWidth="1"/>
    <col min="27" max="27" width="9.140625" style="63" bestFit="1" customWidth="1"/>
    <col min="28" max="28" width="6.7109375" style="63" bestFit="1" customWidth="1"/>
    <col min="29" max="29" width="6.42578125" style="63" bestFit="1" customWidth="1"/>
    <col min="30" max="31" width="8.140625" style="63" bestFit="1" customWidth="1"/>
    <col min="32" max="37" width="9.140625" style="63"/>
    <col min="38" max="38" width="17.85546875" style="63" bestFit="1" customWidth="1"/>
    <col min="39" max="41" width="9.140625" style="63"/>
    <col min="42" max="42" width="17.85546875" style="63" bestFit="1" customWidth="1"/>
    <col min="43" max="16384" width="9.140625" style="63"/>
  </cols>
  <sheetData>
    <row r="1" spans="1:30" x14ac:dyDescent="0.2">
      <c r="A1" s="39" t="str">
        <f>Summary!A1</f>
        <v>Community and Technical Colleges, Report of Fundable Operating Expenses, Fiscal Year (FY) 2008</v>
      </c>
      <c r="B1" s="39"/>
      <c r="C1" s="39"/>
      <c r="E1" s="39"/>
      <c r="F1" s="39"/>
      <c r="G1" s="39"/>
      <c r="H1" s="39"/>
      <c r="J1" s="39"/>
      <c r="K1" s="40"/>
      <c r="L1" s="39"/>
    </row>
    <row r="2" spans="1:30" ht="15" thickBot="1" x14ac:dyDescent="0.25">
      <c r="A2" s="66" t="s">
        <v>963</v>
      </c>
    </row>
    <row r="3" spans="1:30" s="70" customFormat="1" x14ac:dyDescent="0.2">
      <c r="A3" s="27" t="s">
        <v>954</v>
      </c>
      <c r="B3" s="34" t="s">
        <v>964</v>
      </c>
      <c r="C3" s="34" t="s">
        <v>965</v>
      </c>
      <c r="D3" s="34" t="s">
        <v>994</v>
      </c>
      <c r="E3" s="34" t="s">
        <v>995</v>
      </c>
      <c r="F3" s="34" t="s">
        <v>996</v>
      </c>
      <c r="G3" s="34" t="s">
        <v>997</v>
      </c>
      <c r="H3" s="34" t="s">
        <v>998</v>
      </c>
      <c r="I3" s="34" t="s">
        <v>999</v>
      </c>
      <c r="J3" s="34" t="s">
        <v>1000</v>
      </c>
      <c r="K3" s="34" t="s">
        <v>1001</v>
      </c>
      <c r="L3" s="34" t="s">
        <v>1003</v>
      </c>
      <c r="M3" s="34" t="s">
        <v>1004</v>
      </c>
      <c r="N3" s="34" t="s">
        <v>1005</v>
      </c>
      <c r="O3" s="34" t="s">
        <v>1006</v>
      </c>
      <c r="P3" s="34" t="s">
        <v>1007</v>
      </c>
      <c r="Q3" s="34" t="s">
        <v>1008</v>
      </c>
      <c r="R3" s="34" t="s">
        <v>1009</v>
      </c>
      <c r="S3" s="34" t="s">
        <v>1010</v>
      </c>
      <c r="T3" s="34" t="s">
        <v>1011</v>
      </c>
      <c r="U3" s="34" t="s">
        <v>1012</v>
      </c>
      <c r="V3" s="34" t="s">
        <v>1013</v>
      </c>
      <c r="W3" s="34" t="s">
        <v>1014</v>
      </c>
      <c r="X3" s="34" t="s">
        <v>1015</v>
      </c>
      <c r="Y3" s="34" t="s">
        <v>1016</v>
      </c>
      <c r="Z3" s="34" t="s">
        <v>1017</v>
      </c>
      <c r="AA3" s="34" t="s">
        <v>1018</v>
      </c>
      <c r="AB3" s="34" t="s">
        <v>1019</v>
      </c>
      <c r="AC3" s="34" t="s">
        <v>1020</v>
      </c>
      <c r="AD3" s="45" t="s">
        <v>35</v>
      </c>
    </row>
    <row r="4" spans="1:30" x14ac:dyDescent="0.2">
      <c r="A4" s="97" t="s">
        <v>1082</v>
      </c>
      <c r="B4" s="78">
        <f>'1'!$F$5</f>
        <v>6.93</v>
      </c>
      <c r="C4" s="78">
        <f>'1'!$F$6</f>
        <v>12.48</v>
      </c>
      <c r="D4" s="78">
        <f>'1'!$F$7</f>
        <v>9.0299999999999994</v>
      </c>
      <c r="E4" s="78">
        <f>'1'!$F$8</f>
        <v>9.83</v>
      </c>
      <c r="F4" s="78">
        <f>'1'!$F$9</f>
        <v>36.07</v>
      </c>
      <c r="G4" s="78">
        <f>'1'!$F$10</f>
        <v>10.5</v>
      </c>
      <c r="H4" s="78">
        <f>'1'!$F$11</f>
        <v>10.79</v>
      </c>
      <c r="I4" s="78">
        <f>'1'!$F$12</f>
        <v>11.76</v>
      </c>
      <c r="J4" s="78">
        <f>'1'!$F$13</f>
        <v>8.76</v>
      </c>
      <c r="K4" s="78">
        <f>'1'!$F$14</f>
        <v>15.24</v>
      </c>
      <c r="L4" s="78">
        <f>'1'!$F$15</f>
        <v>13.35</v>
      </c>
      <c r="M4" s="78">
        <f>'1'!$F$16</f>
        <v>9.3000000000000007</v>
      </c>
      <c r="N4" s="78">
        <f>'1'!$F$17</f>
        <v>7.7</v>
      </c>
      <c r="O4" s="78">
        <f>'1'!$F$18</f>
        <v>15.39</v>
      </c>
      <c r="P4" s="78" t="str">
        <f>'1'!$F$19</f>
        <v/>
      </c>
      <c r="Q4" s="78">
        <f>'1'!$F$20</f>
        <v>9.8800000000000008</v>
      </c>
      <c r="R4" s="78">
        <f>'1'!$F$21</f>
        <v>15.1</v>
      </c>
      <c r="S4" s="78">
        <f>'1'!$F$22</f>
        <v>10.47</v>
      </c>
      <c r="T4" s="78">
        <f>'1'!$F$23</f>
        <v>8.65</v>
      </c>
      <c r="U4" s="78">
        <f>'1'!$F$24</f>
        <v>10.37</v>
      </c>
      <c r="V4" s="78">
        <f>'1'!$F$25</f>
        <v>12.62</v>
      </c>
      <c r="W4" s="78">
        <f>'1'!$F$26</f>
        <v>4.95</v>
      </c>
      <c r="X4" s="78">
        <f>'1'!$F$27</f>
        <v>9.82</v>
      </c>
      <c r="Y4" s="78">
        <f>'1'!$F$28</f>
        <v>9</v>
      </c>
      <c r="Z4" s="78">
        <f>'1'!$F$29</f>
        <v>8.2799999999999994</v>
      </c>
      <c r="AA4" s="78">
        <f>'1'!$F$30</f>
        <v>10.18</v>
      </c>
      <c r="AB4" s="78" t="str">
        <f>'1'!$F$31</f>
        <v/>
      </c>
      <c r="AC4" s="78" t="str">
        <f>'1'!$F$32</f>
        <v/>
      </c>
      <c r="AD4" s="99">
        <f>'1'!$F$33</f>
        <v>9.43</v>
      </c>
    </row>
    <row r="5" spans="1:30" x14ac:dyDescent="0.2">
      <c r="A5" s="97" t="s">
        <v>1036</v>
      </c>
      <c r="B5" s="77">
        <f>'2'!$F$5</f>
        <v>5.33</v>
      </c>
      <c r="C5" s="77">
        <f>'2'!$F$6</f>
        <v>9.5299999999999994</v>
      </c>
      <c r="D5" s="77">
        <f>'2'!$F$7</f>
        <v>6.06</v>
      </c>
      <c r="E5" s="77">
        <f>'2'!$F$8</f>
        <v>9.56</v>
      </c>
      <c r="F5" s="77" t="str">
        <f>'2'!$F$9</f>
        <v/>
      </c>
      <c r="G5" s="77">
        <f>'2'!$F$10</f>
        <v>8.89</v>
      </c>
      <c r="H5" s="77">
        <f>'2'!$F$11</f>
        <v>10.72</v>
      </c>
      <c r="I5" s="77">
        <f>'2'!$F$12</f>
        <v>14.76</v>
      </c>
      <c r="J5" s="77">
        <f>'2'!$F$13</f>
        <v>7.83</v>
      </c>
      <c r="K5" s="77" t="str">
        <f>'2'!$F$14</f>
        <v/>
      </c>
      <c r="L5" s="77">
        <f>'2'!$F$15</f>
        <v>7.58</v>
      </c>
      <c r="M5" s="77">
        <f>'2'!$F$16</f>
        <v>7.7</v>
      </c>
      <c r="N5" s="77">
        <f>'2'!$F$17</f>
        <v>8.6999999999999993</v>
      </c>
      <c r="O5" s="77">
        <f>'2'!$F$18</f>
        <v>10.72</v>
      </c>
      <c r="P5" s="77" t="str">
        <f>'2'!$F$19</f>
        <v/>
      </c>
      <c r="Q5" s="77">
        <f>'2'!$F$20</f>
        <v>10.54</v>
      </c>
      <c r="R5" s="77">
        <f>'2'!$F$21</f>
        <v>12.37</v>
      </c>
      <c r="S5" s="77">
        <f>'2'!$F$22</f>
        <v>10.06</v>
      </c>
      <c r="T5" s="77">
        <f>'2'!$F$23</f>
        <v>7.24</v>
      </c>
      <c r="U5" s="77">
        <f>'2'!$F$24</f>
        <v>7.61</v>
      </c>
      <c r="V5" s="77">
        <f>'2'!$F$25</f>
        <v>17.98</v>
      </c>
      <c r="W5" s="77">
        <f>'2'!$F$26</f>
        <v>12.56</v>
      </c>
      <c r="X5" s="77">
        <f>'2'!$F$27</f>
        <v>10.16</v>
      </c>
      <c r="Y5" s="77">
        <f>'2'!$F$28</f>
        <v>7.6</v>
      </c>
      <c r="Z5" s="77">
        <f>'2'!$F$29</f>
        <v>7.48</v>
      </c>
      <c r="AA5" s="77">
        <f>'2'!$F$30</f>
        <v>12.81</v>
      </c>
      <c r="AB5" s="77" t="str">
        <f>'2'!$F$31</f>
        <v/>
      </c>
      <c r="AC5" s="77" t="str">
        <f>'2'!$F$32</f>
        <v/>
      </c>
      <c r="AD5" s="98">
        <f>'2'!$F$33</f>
        <v>8.68</v>
      </c>
    </row>
    <row r="6" spans="1:30" x14ac:dyDescent="0.2">
      <c r="A6" s="97" t="s">
        <v>1046</v>
      </c>
      <c r="B6" s="77">
        <f>'3'!$F$5</f>
        <v>7.44</v>
      </c>
      <c r="C6" s="77">
        <f>'3'!$F$6</f>
        <v>7.96</v>
      </c>
      <c r="D6" s="77">
        <f>'3'!$F$7</f>
        <v>7.13</v>
      </c>
      <c r="E6" s="77">
        <f>'3'!$F$8</f>
        <v>7.78</v>
      </c>
      <c r="F6" s="77" t="str">
        <f>'3'!$F$9</f>
        <v/>
      </c>
      <c r="G6" s="77">
        <f>'3'!$F$10</f>
        <v>7.74</v>
      </c>
      <c r="H6" s="77">
        <f>'3'!$F$11</f>
        <v>7.74</v>
      </c>
      <c r="I6" s="77">
        <f>'3'!$F$12</f>
        <v>8.27</v>
      </c>
      <c r="J6" s="77">
        <f>'3'!$F$13</f>
        <v>6.74</v>
      </c>
      <c r="K6" s="77">
        <f>'3'!$F$14</f>
        <v>7.12</v>
      </c>
      <c r="L6" s="77">
        <f>'3'!$F$15</f>
        <v>7.74</v>
      </c>
      <c r="M6" s="77">
        <f>'3'!$F$16</f>
        <v>8.34</v>
      </c>
      <c r="N6" s="77">
        <f>'3'!$F$17</f>
        <v>7.5</v>
      </c>
      <c r="O6" s="77">
        <f>'3'!$F$18</f>
        <v>8.32</v>
      </c>
      <c r="P6" s="77">
        <f>'3'!$F$19</f>
        <v>8.06</v>
      </c>
      <c r="Q6" s="77">
        <f>'3'!$F$20</f>
        <v>7.93</v>
      </c>
      <c r="R6" s="77">
        <f>'3'!$F$21</f>
        <v>8.16</v>
      </c>
      <c r="S6" s="77">
        <f>'3'!$F$22</f>
        <v>8.4700000000000006</v>
      </c>
      <c r="T6" s="77">
        <f>'3'!$F$23</f>
        <v>7.29</v>
      </c>
      <c r="U6" s="77">
        <f>'3'!$F$24</f>
        <v>7.96</v>
      </c>
      <c r="V6" s="77">
        <f>'3'!$F$25</f>
        <v>7.96</v>
      </c>
      <c r="W6" s="77">
        <f>'3'!$F$26</f>
        <v>7.58</v>
      </c>
      <c r="X6" s="77">
        <f>'3'!$F$27</f>
        <v>5.6</v>
      </c>
      <c r="Y6" s="77">
        <f>'3'!$F$28</f>
        <v>7.42</v>
      </c>
      <c r="Z6" s="77">
        <f>'3'!$F$29</f>
        <v>5.79</v>
      </c>
      <c r="AA6" s="77">
        <f>'3'!$F$30</f>
        <v>7.48</v>
      </c>
      <c r="AB6" s="77" t="str">
        <f>'3'!$F$31</f>
        <v/>
      </c>
      <c r="AC6" s="77" t="str">
        <f>'3'!$F$32</f>
        <v/>
      </c>
      <c r="AD6" s="98">
        <f>'3'!$F$33</f>
        <v>7.45</v>
      </c>
    </row>
    <row r="7" spans="1:30" x14ac:dyDescent="0.2">
      <c r="A7" s="97" t="s">
        <v>1047</v>
      </c>
      <c r="B7" s="77" t="str">
        <f>'4'!$F$5</f>
        <v/>
      </c>
      <c r="C7" s="77">
        <f>'4'!$F$6</f>
        <v>8.4600000000000009</v>
      </c>
      <c r="D7" s="77">
        <f>'4'!$F$7</f>
        <v>5.39</v>
      </c>
      <c r="E7" s="77">
        <f>'4'!$F$8</f>
        <v>5.65</v>
      </c>
      <c r="F7" s="77" t="str">
        <f>'4'!$F$9</f>
        <v/>
      </c>
      <c r="G7" s="77">
        <f>'4'!$F$10</f>
        <v>12.59</v>
      </c>
      <c r="H7" s="77">
        <f>'4'!$F$11</f>
        <v>10.210000000000001</v>
      </c>
      <c r="I7" s="77">
        <f>'4'!$F$12</f>
        <v>5.61</v>
      </c>
      <c r="J7" s="77">
        <f>'4'!$F$13</f>
        <v>6.66</v>
      </c>
      <c r="K7" s="77">
        <f>'4'!$F$14</f>
        <v>12.31</v>
      </c>
      <c r="L7" s="77">
        <f>'4'!$F$15</f>
        <v>5.61</v>
      </c>
      <c r="M7" s="77">
        <f>'4'!$F$16</f>
        <v>5.37</v>
      </c>
      <c r="N7" s="77">
        <f>'4'!$F$17</f>
        <v>5.46</v>
      </c>
      <c r="O7" s="77">
        <f>'4'!$F$18</f>
        <v>9.58</v>
      </c>
      <c r="P7" s="77" t="str">
        <f>'4'!$F$19</f>
        <v/>
      </c>
      <c r="Q7" s="77">
        <f>'4'!$F$20</f>
        <v>5.85</v>
      </c>
      <c r="R7" s="77">
        <f>'4'!$F$21</f>
        <v>7.98</v>
      </c>
      <c r="S7" s="77">
        <f>'4'!$F$22</f>
        <v>6.24</v>
      </c>
      <c r="T7" s="77">
        <f>'4'!$F$23</f>
        <v>6.83</v>
      </c>
      <c r="U7" s="77">
        <f>'4'!$F$24</f>
        <v>9.1999999999999993</v>
      </c>
      <c r="V7" s="77">
        <f>'4'!$F$25</f>
        <v>7.98</v>
      </c>
      <c r="W7" s="77">
        <f>'4'!$F$26</f>
        <v>5.66</v>
      </c>
      <c r="X7" s="77">
        <f>'4'!$F$27</f>
        <v>6.39</v>
      </c>
      <c r="Y7" s="77">
        <f>'4'!$F$28</f>
        <v>5.93</v>
      </c>
      <c r="Z7" s="77">
        <f>'4'!$F$29</f>
        <v>5.28</v>
      </c>
      <c r="AA7" s="77">
        <f>'4'!$F$30</f>
        <v>7.49</v>
      </c>
      <c r="AB7" s="77" t="str">
        <f>'4'!$F$31</f>
        <v/>
      </c>
      <c r="AC7" s="77" t="str">
        <f>'4'!$F$32</f>
        <v/>
      </c>
      <c r="AD7" s="98">
        <f>'4'!$F$33</f>
        <v>6.3</v>
      </c>
    </row>
    <row r="8" spans="1:30" x14ac:dyDescent="0.2">
      <c r="A8" s="97" t="s">
        <v>1037</v>
      </c>
      <c r="B8" s="77">
        <f>'5'!$F$5</f>
        <v>6.53</v>
      </c>
      <c r="C8" s="77">
        <f>'5'!$F$6</f>
        <v>15.75</v>
      </c>
      <c r="D8" s="77">
        <f>'5'!$F$7</f>
        <v>10.89</v>
      </c>
      <c r="E8" s="77">
        <f>'5'!$F$8</f>
        <v>9.69</v>
      </c>
      <c r="F8" s="77" t="str">
        <f>'5'!$F$9</f>
        <v/>
      </c>
      <c r="G8" s="77">
        <f>'5'!$F$10</f>
        <v>9.36</v>
      </c>
      <c r="H8" s="77">
        <f>'5'!$F$11</f>
        <v>16.63</v>
      </c>
      <c r="I8" s="77">
        <f>'5'!$F$12</f>
        <v>5.84</v>
      </c>
      <c r="J8" s="77">
        <f>'5'!$F$13</f>
        <v>14.69</v>
      </c>
      <c r="K8" s="77">
        <f>'5'!$F$14</f>
        <v>16.989999999999998</v>
      </c>
      <c r="L8" s="77">
        <f>'5'!$F$15</f>
        <v>12.33</v>
      </c>
      <c r="M8" s="77">
        <f>'5'!$F$16</f>
        <v>9.8699999999999992</v>
      </c>
      <c r="N8" s="77">
        <f>'5'!$F$17</f>
        <v>9.5</v>
      </c>
      <c r="O8" s="77">
        <f>'5'!$F$18</f>
        <v>15.12</v>
      </c>
      <c r="P8" s="77">
        <f>'5'!$F$19</f>
        <v>32.54</v>
      </c>
      <c r="Q8" s="77">
        <f>'5'!$F$20</f>
        <v>15.01</v>
      </c>
      <c r="R8" s="77" t="str">
        <f>'5'!$F$21</f>
        <v/>
      </c>
      <c r="S8" s="77">
        <f>'5'!$F$22</f>
        <v>16.87</v>
      </c>
      <c r="T8" s="77">
        <f>'5'!$F$23</f>
        <v>8.99</v>
      </c>
      <c r="U8" s="77">
        <f>'5'!$F$24</f>
        <v>14.52</v>
      </c>
      <c r="V8" s="77">
        <f>'5'!$F$25</f>
        <v>12.64</v>
      </c>
      <c r="W8" s="77">
        <f>'5'!$F$26</f>
        <v>4.93</v>
      </c>
      <c r="X8" s="77">
        <f>'5'!$F$27</f>
        <v>9.84</v>
      </c>
      <c r="Y8" s="77">
        <f>'5'!$F$28</f>
        <v>9.1</v>
      </c>
      <c r="Z8" s="77">
        <f>'5'!$F$29</f>
        <v>8.4700000000000006</v>
      </c>
      <c r="AA8" s="77">
        <f>'5'!$F$30</f>
        <v>14.03</v>
      </c>
      <c r="AB8" s="77" t="str">
        <f>'5'!$F$31</f>
        <v/>
      </c>
      <c r="AC8" s="77" t="str">
        <f>'5'!$F$32</f>
        <v/>
      </c>
      <c r="AD8" s="98">
        <f>'5'!$F$33</f>
        <v>10.6</v>
      </c>
    </row>
    <row r="9" spans="1:30" x14ac:dyDescent="0.2">
      <c r="A9" s="97" t="s">
        <v>1048</v>
      </c>
      <c r="B9" s="77">
        <f>'6'!$F$5</f>
        <v>6.53</v>
      </c>
      <c r="C9" s="77">
        <f>'6'!$F$6</f>
        <v>12.83</v>
      </c>
      <c r="D9" s="77">
        <f>'6'!$F$7</f>
        <v>4.78</v>
      </c>
      <c r="E9" s="77">
        <f>'6'!$F$8</f>
        <v>7.02</v>
      </c>
      <c r="F9" s="77" t="str">
        <f>'6'!$F$9</f>
        <v/>
      </c>
      <c r="G9" s="77">
        <f>'6'!$F$10</f>
        <v>4.45</v>
      </c>
      <c r="H9" s="77">
        <f>'6'!$F$11</f>
        <v>16.77</v>
      </c>
      <c r="I9" s="77">
        <f>'6'!$F$12</f>
        <v>12.83</v>
      </c>
      <c r="J9" s="77">
        <f>'6'!$F$13</f>
        <v>3.87</v>
      </c>
      <c r="K9" s="77" t="str">
        <f>'6'!$F$14</f>
        <v/>
      </c>
      <c r="L9" s="77">
        <f>'6'!$F$15</f>
        <v>9.0399999999999991</v>
      </c>
      <c r="M9" s="77">
        <f>'6'!$F$16</f>
        <v>6.49</v>
      </c>
      <c r="N9" s="77">
        <f>'6'!$F$17</f>
        <v>6.12</v>
      </c>
      <c r="O9" s="77">
        <f>'6'!$F$18</f>
        <v>13.47</v>
      </c>
      <c r="P9" s="77">
        <f>'6'!$F$19</f>
        <v>21.61</v>
      </c>
      <c r="Q9" s="77">
        <f>'6'!$F$20</f>
        <v>6.87</v>
      </c>
      <c r="R9" s="77" t="str">
        <f>'6'!$F$21</f>
        <v/>
      </c>
      <c r="S9" s="77">
        <f>'6'!$F$22</f>
        <v>7.27</v>
      </c>
      <c r="T9" s="77">
        <f>'6'!$F$23</f>
        <v>5.71</v>
      </c>
      <c r="U9" s="77">
        <f>'6'!$F$24</f>
        <v>12.83</v>
      </c>
      <c r="V9" s="77">
        <f>'6'!$F$25</f>
        <v>12.83</v>
      </c>
      <c r="W9" s="77">
        <f>'6'!$F$26</f>
        <v>12.83</v>
      </c>
      <c r="X9" s="77">
        <f>'6'!$F$27</f>
        <v>6.76</v>
      </c>
      <c r="Y9" s="77">
        <f>'6'!$F$28</f>
        <v>5.07</v>
      </c>
      <c r="Z9" s="77">
        <f>'6'!$F$29</f>
        <v>4.8</v>
      </c>
      <c r="AA9" s="77">
        <f>'6'!$F$30</f>
        <v>6.51</v>
      </c>
      <c r="AB9" s="77" t="str">
        <f>'6'!$F$31</f>
        <v/>
      </c>
      <c r="AC9" s="77" t="str">
        <f>'6'!$F$32</f>
        <v/>
      </c>
      <c r="AD9" s="98">
        <f>'6'!$F$33</f>
        <v>6.04</v>
      </c>
    </row>
    <row r="10" spans="1:30" x14ac:dyDescent="0.2">
      <c r="A10" s="97" t="s">
        <v>1049</v>
      </c>
      <c r="B10" s="77" t="str">
        <f>'7'!$F$5</f>
        <v/>
      </c>
      <c r="C10" s="77">
        <f>'7'!$F$6</f>
        <v>9.4600000000000009</v>
      </c>
      <c r="D10" s="77">
        <f>'7'!$F$7</f>
        <v>9.57</v>
      </c>
      <c r="E10" s="77">
        <f>'7'!$F$8</f>
        <v>10.16</v>
      </c>
      <c r="F10" s="77" t="str">
        <f>'7'!$F$9</f>
        <v/>
      </c>
      <c r="G10" s="77">
        <f>'7'!$F$10</f>
        <v>5.14</v>
      </c>
      <c r="H10" s="77">
        <f>'7'!$F$11</f>
        <v>15.6</v>
      </c>
      <c r="I10" s="77">
        <f>'7'!$F$12</f>
        <v>8.81</v>
      </c>
      <c r="J10" s="77">
        <f>'7'!$F$13</f>
        <v>8.41</v>
      </c>
      <c r="K10" s="77" t="str">
        <f>'7'!$F$14</f>
        <v/>
      </c>
      <c r="L10" s="77">
        <f>'7'!$F$15</f>
        <v>6.72</v>
      </c>
      <c r="M10" s="77">
        <f>'7'!$F$16</f>
        <v>9.24</v>
      </c>
      <c r="N10" s="77">
        <f>'7'!$F$17</f>
        <v>9.2100000000000009</v>
      </c>
      <c r="O10" s="77">
        <f>'7'!$F$18</f>
        <v>37.39</v>
      </c>
      <c r="P10" s="77" t="str">
        <f>'7'!$F$19</f>
        <v/>
      </c>
      <c r="Q10" s="77">
        <f>'7'!$F$20</f>
        <v>15.62</v>
      </c>
      <c r="R10" s="77" t="str">
        <f>'7'!$F$21</f>
        <v/>
      </c>
      <c r="S10" s="77">
        <f>'7'!$F$22</f>
        <v>13.83</v>
      </c>
      <c r="T10" s="77">
        <f>'7'!$F$23</f>
        <v>8.66</v>
      </c>
      <c r="U10" s="77">
        <f>'7'!$F$24</f>
        <v>9.2200000000000006</v>
      </c>
      <c r="V10" s="77" t="str">
        <f>'7'!$F$25</f>
        <v/>
      </c>
      <c r="W10" s="77">
        <f>'7'!$F$26</f>
        <v>13.48</v>
      </c>
      <c r="X10" s="77">
        <f>'7'!$F$27</f>
        <v>10.68</v>
      </c>
      <c r="Y10" s="77">
        <f>'7'!$F$28</f>
        <v>8.3000000000000007</v>
      </c>
      <c r="Z10" s="77">
        <f>'7'!$F$29</f>
        <v>8.33</v>
      </c>
      <c r="AA10" s="77">
        <f>'7'!$F$30</f>
        <v>14.11</v>
      </c>
      <c r="AB10" s="77" t="str">
        <f>'7'!$F$31</f>
        <v/>
      </c>
      <c r="AC10" s="77" t="str">
        <f>'7'!$F$32</f>
        <v/>
      </c>
      <c r="AD10" s="98">
        <f>'7'!$F$33</f>
        <v>9.5399999999999991</v>
      </c>
    </row>
    <row r="11" spans="1:30" x14ac:dyDescent="0.2">
      <c r="A11" s="97" t="s">
        <v>1083</v>
      </c>
      <c r="B11" s="77">
        <f>'8'!$F$5</f>
        <v>5.2</v>
      </c>
      <c r="C11" s="77">
        <f>'8'!$F$6</f>
        <v>12.49</v>
      </c>
      <c r="D11" s="77">
        <f>'8'!$F$7</f>
        <v>7.2</v>
      </c>
      <c r="E11" s="77">
        <f>'8'!$F$8</f>
        <v>6.79</v>
      </c>
      <c r="F11" s="77">
        <f>'8'!$F$9</f>
        <v>56.23</v>
      </c>
      <c r="G11" s="77">
        <f>'8'!$F$10</f>
        <v>7.41</v>
      </c>
      <c r="H11" s="77">
        <f>'8'!$F$11</f>
        <v>14.68</v>
      </c>
      <c r="I11" s="77">
        <f>'8'!$F$12</f>
        <v>8.98</v>
      </c>
      <c r="J11" s="77">
        <f>'8'!$F$13</f>
        <v>5.46</v>
      </c>
      <c r="K11" s="77">
        <f>'8'!$F$14</f>
        <v>2.98</v>
      </c>
      <c r="L11" s="77">
        <f>'8'!$F$15</f>
        <v>3.46</v>
      </c>
      <c r="M11" s="77">
        <f>'8'!$F$16</f>
        <v>6.71</v>
      </c>
      <c r="N11" s="77">
        <f>'8'!$F$17</f>
        <v>7.37</v>
      </c>
      <c r="O11" s="77">
        <f>'8'!$F$18</f>
        <v>11.72</v>
      </c>
      <c r="P11" s="77" t="str">
        <f>'8'!$F$19</f>
        <v/>
      </c>
      <c r="Q11" s="77">
        <f>'8'!$F$20</f>
        <v>9.5399999999999991</v>
      </c>
      <c r="R11" s="77" t="str">
        <f>'8'!$F$21</f>
        <v/>
      </c>
      <c r="S11" s="77">
        <f>'8'!$F$22</f>
        <v>9.11</v>
      </c>
      <c r="T11" s="77">
        <f>'8'!$F$23</f>
        <v>5.88</v>
      </c>
      <c r="U11" s="77">
        <f>'8'!$F$24</f>
        <v>9.7100000000000009</v>
      </c>
      <c r="V11" s="77">
        <f>'8'!$F$25</f>
        <v>6.87</v>
      </c>
      <c r="W11" s="77">
        <f>'8'!$F$26</f>
        <v>17.899999999999999</v>
      </c>
      <c r="X11" s="77">
        <f>'8'!$F$27</f>
        <v>7.67</v>
      </c>
      <c r="Y11" s="77">
        <f>'8'!$F$28</f>
        <v>8.1999999999999993</v>
      </c>
      <c r="Z11" s="77">
        <f>'8'!$F$29</f>
        <v>5.79</v>
      </c>
      <c r="AA11" s="77">
        <f>'8'!$F$30</f>
        <v>6.62</v>
      </c>
      <c r="AB11" s="77" t="str">
        <f>'8'!$F$31</f>
        <v/>
      </c>
      <c r="AC11" s="77" t="str">
        <f>'8'!$F$32</f>
        <v/>
      </c>
      <c r="AD11" s="98">
        <f>'8'!$F$33</f>
        <v>7.74</v>
      </c>
    </row>
    <row r="12" spans="1:30" x14ac:dyDescent="0.2">
      <c r="A12" s="97" t="s">
        <v>1040</v>
      </c>
      <c r="B12" s="77">
        <f>'9'!$F$5</f>
        <v>9.89</v>
      </c>
      <c r="C12" s="77">
        <f>'9'!$F$6</f>
        <v>6.05</v>
      </c>
      <c r="D12" s="77">
        <f>'9'!$F$7</f>
        <v>4.79</v>
      </c>
      <c r="E12" s="77">
        <f>'9'!$F$8</f>
        <v>4.83</v>
      </c>
      <c r="F12" s="77" t="str">
        <f>'9'!$F$9</f>
        <v/>
      </c>
      <c r="G12" s="77" t="str">
        <f>'9'!$F$10</f>
        <v/>
      </c>
      <c r="H12" s="77">
        <f>'9'!$F$11</f>
        <v>17.600000000000001</v>
      </c>
      <c r="I12" s="77">
        <f>'9'!$F$12</f>
        <v>5.98</v>
      </c>
      <c r="J12" s="77">
        <f>'9'!$F$13</f>
        <v>5.3</v>
      </c>
      <c r="K12" s="77" t="str">
        <f>'9'!$F$14</f>
        <v/>
      </c>
      <c r="L12" s="77">
        <f>'9'!$F$15</f>
        <v>6.21</v>
      </c>
      <c r="M12" s="77">
        <f>'9'!$F$16</f>
        <v>5.81</v>
      </c>
      <c r="N12" s="77">
        <f>'9'!$F$17</f>
        <v>5.2</v>
      </c>
      <c r="O12" s="77">
        <f>'9'!$F$18</f>
        <v>6.53</v>
      </c>
      <c r="P12" s="77" t="str">
        <f>'9'!$F$19</f>
        <v/>
      </c>
      <c r="Q12" s="77">
        <f>'9'!$F$20</f>
        <v>4.41</v>
      </c>
      <c r="R12" s="77">
        <f>'9'!$F$21</f>
        <v>18.940000000000001</v>
      </c>
      <c r="S12" s="77">
        <f>'9'!$F$22</f>
        <v>7.26</v>
      </c>
      <c r="T12" s="77">
        <f>'9'!$F$23</f>
        <v>5.95</v>
      </c>
      <c r="U12" s="77">
        <f>'9'!$F$24</f>
        <v>7.77</v>
      </c>
      <c r="V12" s="77" t="str">
        <f>'9'!$F$25</f>
        <v/>
      </c>
      <c r="W12" s="77" t="str">
        <f>'9'!$F$26</f>
        <v/>
      </c>
      <c r="X12" s="77">
        <f>'9'!$F$27</f>
        <v>10.28</v>
      </c>
      <c r="Y12" s="77">
        <f>'9'!$F$28</f>
        <v>8.7200000000000006</v>
      </c>
      <c r="Z12" s="77">
        <f>'9'!$F$29</f>
        <v>5.56</v>
      </c>
      <c r="AA12" s="77">
        <f>'9'!$F$30</f>
        <v>7.44</v>
      </c>
      <c r="AB12" s="77" t="str">
        <f>'9'!$F$31</f>
        <v/>
      </c>
      <c r="AC12" s="77" t="str">
        <f>'9'!$F$32</f>
        <v/>
      </c>
      <c r="AD12" s="98">
        <f>'9'!$F$33</f>
        <v>6.14</v>
      </c>
    </row>
    <row r="13" spans="1:30" x14ac:dyDescent="0.2">
      <c r="A13" s="97" t="s">
        <v>1050</v>
      </c>
      <c r="B13" s="77">
        <f>'10'!$F$5</f>
        <v>10.25</v>
      </c>
      <c r="C13" s="77" t="str">
        <f>'10'!$F$6</f>
        <v/>
      </c>
      <c r="D13" s="77">
        <f>'10'!$F$7</f>
        <v>6.04</v>
      </c>
      <c r="E13" s="77">
        <f>'10'!$F$8</f>
        <v>5.84</v>
      </c>
      <c r="F13" s="77" t="str">
        <f>'10'!$F$9</f>
        <v/>
      </c>
      <c r="G13" s="77" t="str">
        <f>'10'!$F$10</f>
        <v/>
      </c>
      <c r="H13" s="77">
        <f>'10'!$F$11</f>
        <v>10.19</v>
      </c>
      <c r="I13" s="77" t="str">
        <f>'10'!$F$12</f>
        <v/>
      </c>
      <c r="J13" s="77">
        <f>'10'!$F$13</f>
        <v>3.96</v>
      </c>
      <c r="K13" s="77" t="str">
        <f>'10'!$F$14</f>
        <v/>
      </c>
      <c r="L13" s="77">
        <f>'10'!$F$15</f>
        <v>5.05</v>
      </c>
      <c r="M13" s="77">
        <f>'10'!$F$16</f>
        <v>6.08</v>
      </c>
      <c r="N13" s="77">
        <f>'10'!$F$17</f>
        <v>7.15</v>
      </c>
      <c r="O13" s="77" t="str">
        <f>'10'!$F$18</f>
        <v/>
      </c>
      <c r="P13" s="77" t="str">
        <f>'10'!$F$19</f>
        <v/>
      </c>
      <c r="Q13" s="77">
        <f>'10'!$F$20</f>
        <v>3.48</v>
      </c>
      <c r="R13" s="77" t="str">
        <f>'10'!$F$21</f>
        <v/>
      </c>
      <c r="S13" s="77">
        <f>'10'!$F$22</f>
        <v>6.96</v>
      </c>
      <c r="T13" s="77">
        <f>'10'!$F$23</f>
        <v>5.79</v>
      </c>
      <c r="U13" s="77" t="str">
        <f>'10'!$F$24</f>
        <v/>
      </c>
      <c r="V13" s="77" t="str">
        <f>'10'!$F$25</f>
        <v/>
      </c>
      <c r="W13" s="77">
        <f>'10'!$F$26</f>
        <v>4.09</v>
      </c>
      <c r="X13" s="77">
        <f>'10'!$F$27</f>
        <v>9.35</v>
      </c>
      <c r="Y13" s="77">
        <f>'10'!$F$28</f>
        <v>3.15</v>
      </c>
      <c r="Z13" s="77">
        <f>'10'!$F$29</f>
        <v>5.73</v>
      </c>
      <c r="AA13" s="77">
        <f>'10'!$F$30</f>
        <v>6.03</v>
      </c>
      <c r="AB13" s="77" t="str">
        <f>'10'!$F$31</f>
        <v/>
      </c>
      <c r="AC13" s="77" t="str">
        <f>'10'!$F$32</f>
        <v/>
      </c>
      <c r="AD13" s="98">
        <f>'10'!$F$33</f>
        <v>6.62</v>
      </c>
    </row>
    <row r="14" spans="1:30" x14ac:dyDescent="0.2">
      <c r="A14" s="97" t="s">
        <v>1051</v>
      </c>
      <c r="B14" s="77" t="str">
        <f>'11'!$F$5</f>
        <v/>
      </c>
      <c r="C14" s="77" t="str">
        <f>'11'!$F$6</f>
        <v/>
      </c>
      <c r="D14" s="77" t="str">
        <f>'11'!$F$7</f>
        <v/>
      </c>
      <c r="E14" s="77" t="str">
        <f>'11'!$F$8</f>
        <v/>
      </c>
      <c r="F14" s="77" t="str">
        <f>'11'!$F$9</f>
        <v/>
      </c>
      <c r="G14" s="77" t="str">
        <f>'11'!$F$10</f>
        <v/>
      </c>
      <c r="H14" s="77" t="str">
        <f>'11'!$F$11</f>
        <v/>
      </c>
      <c r="I14" s="77" t="str">
        <f>'11'!$F$12</f>
        <v/>
      </c>
      <c r="J14" s="77" t="str">
        <f>'11'!$F$13</f>
        <v/>
      </c>
      <c r="K14" s="77" t="str">
        <f>'11'!$F$14</f>
        <v/>
      </c>
      <c r="L14" s="77" t="str">
        <f>'11'!$F$15</f>
        <v/>
      </c>
      <c r="M14" s="77" t="str">
        <f>'11'!$F$16</f>
        <v/>
      </c>
      <c r="N14" s="77" t="str">
        <f>'11'!$F$17</f>
        <v/>
      </c>
      <c r="O14" s="77" t="str">
        <f>'11'!$F$18</f>
        <v/>
      </c>
      <c r="P14" s="77" t="str">
        <f>'11'!$F$19</f>
        <v/>
      </c>
      <c r="Q14" s="77" t="str">
        <f>'11'!$F$20</f>
        <v/>
      </c>
      <c r="R14" s="77" t="str">
        <f>'11'!$F$21</f>
        <v/>
      </c>
      <c r="S14" s="77" t="str">
        <f>'11'!$F$22</f>
        <v/>
      </c>
      <c r="T14" s="77" t="str">
        <f>'11'!$F$23</f>
        <v/>
      </c>
      <c r="U14" s="77" t="str">
        <f>'11'!$F$24</f>
        <v/>
      </c>
      <c r="V14" s="77" t="str">
        <f>'11'!$F$25</f>
        <v/>
      </c>
      <c r="W14" s="77" t="str">
        <f>'11'!$F$26</f>
        <v/>
      </c>
      <c r="X14" s="77" t="str">
        <f>'11'!$F$27</f>
        <v/>
      </c>
      <c r="Y14" s="77" t="str">
        <f>'11'!$F$28</f>
        <v/>
      </c>
      <c r="Z14" s="77" t="str">
        <f>'11'!$F$29</f>
        <v/>
      </c>
      <c r="AA14" s="77" t="str">
        <f>'11'!$F$30</f>
        <v/>
      </c>
      <c r="AB14" s="77" t="str">
        <f>'11'!$F$31</f>
        <v/>
      </c>
      <c r="AC14" s="77" t="str">
        <f>'11'!$F$32</f>
        <v/>
      </c>
      <c r="AD14" s="98" t="str">
        <f>'11'!$F$33</f>
        <v/>
      </c>
    </row>
    <row r="15" spans="1:30" x14ac:dyDescent="0.2">
      <c r="A15" s="97" t="s">
        <v>946</v>
      </c>
      <c r="B15" s="77">
        <f>'12'!$F$5</f>
        <v>7.62</v>
      </c>
      <c r="C15" s="77">
        <f>'12'!$F$6</f>
        <v>27.1</v>
      </c>
      <c r="D15" s="77">
        <f>'12'!$F$7</f>
        <v>10.85</v>
      </c>
      <c r="E15" s="77">
        <f>'12'!$F$8</f>
        <v>12.8</v>
      </c>
      <c r="F15" s="77" t="str">
        <f>'12'!$F$9</f>
        <v/>
      </c>
      <c r="G15" s="77">
        <f>'12'!$F$10</f>
        <v>7.62</v>
      </c>
      <c r="H15" s="77">
        <f>'12'!$F$11</f>
        <v>21.16</v>
      </c>
      <c r="I15" s="77">
        <f>'12'!$F$12</f>
        <v>9.61</v>
      </c>
      <c r="J15" s="77">
        <f>'12'!$F$13</f>
        <v>20.2</v>
      </c>
      <c r="K15" s="77" t="str">
        <f>'12'!$F$14</f>
        <v/>
      </c>
      <c r="L15" s="77">
        <f>'12'!$F$15</f>
        <v>8.25</v>
      </c>
      <c r="M15" s="77">
        <f>'12'!$F$16</f>
        <v>11.92</v>
      </c>
      <c r="N15" s="77">
        <f>'12'!$F$17</f>
        <v>11.97</v>
      </c>
      <c r="O15" s="77">
        <f>'12'!$F$18</f>
        <v>20.29</v>
      </c>
      <c r="P15" s="77" t="str">
        <f>'12'!$F$19</f>
        <v/>
      </c>
      <c r="Q15" s="77">
        <f>'12'!$F$20</f>
        <v>12.61</v>
      </c>
      <c r="R15" s="77" t="str">
        <f>'12'!$F$21</f>
        <v/>
      </c>
      <c r="S15" s="77">
        <f>'12'!$F$22</f>
        <v>17.8</v>
      </c>
      <c r="T15" s="77">
        <f>'12'!$F$23</f>
        <v>11.29</v>
      </c>
      <c r="U15" s="77" t="str">
        <f>'12'!$F$24</f>
        <v/>
      </c>
      <c r="V15" s="77" t="str">
        <f>'12'!$F$25</f>
        <v/>
      </c>
      <c r="W15" s="77">
        <f>'12'!$F$26</f>
        <v>9.64</v>
      </c>
      <c r="X15" s="77">
        <f>'12'!$F$27</f>
        <v>12.89</v>
      </c>
      <c r="Y15" s="77">
        <f>'12'!$F$28</f>
        <v>15.59</v>
      </c>
      <c r="Z15" s="77">
        <f>'12'!$F$29</f>
        <v>13.2</v>
      </c>
      <c r="AA15" s="77">
        <f>'12'!$F$30</f>
        <v>17.18</v>
      </c>
      <c r="AB15" s="77" t="str">
        <f>'12'!$F$31</f>
        <v/>
      </c>
      <c r="AC15" s="77" t="str">
        <f>'12'!$F$32</f>
        <v/>
      </c>
      <c r="AD15" s="98">
        <f>'12'!$F$33</f>
        <v>13.81</v>
      </c>
    </row>
    <row r="16" spans="1:30" x14ac:dyDescent="0.2">
      <c r="A16" s="97" t="s">
        <v>1074</v>
      </c>
      <c r="B16" s="77">
        <f>'13'!$F$5</f>
        <v>6.59</v>
      </c>
      <c r="C16" s="77">
        <f>'13'!$F$6</f>
        <v>9.9600000000000009</v>
      </c>
      <c r="D16" s="77">
        <f>'13'!$F$7</f>
        <v>7.46</v>
      </c>
      <c r="E16" s="77">
        <f>'13'!$F$8</f>
        <v>7.92</v>
      </c>
      <c r="F16" s="77">
        <f>'13'!$F$9</f>
        <v>3.54</v>
      </c>
      <c r="G16" s="77">
        <f>'13'!$F$10</f>
        <v>9.4700000000000006</v>
      </c>
      <c r="H16" s="77">
        <f>'13'!$F$11</f>
        <v>7.26</v>
      </c>
      <c r="I16" s="77">
        <f>'13'!$F$12</f>
        <v>10.01</v>
      </c>
      <c r="J16" s="77">
        <f>'13'!$F$13</f>
        <v>7.41</v>
      </c>
      <c r="K16" s="77">
        <f>'13'!$F$14</f>
        <v>14.08</v>
      </c>
      <c r="L16" s="77">
        <f>'13'!$F$15</f>
        <v>16.190000000000001</v>
      </c>
      <c r="M16" s="77">
        <f>'13'!$F$16</f>
        <v>7.45</v>
      </c>
      <c r="N16" s="77">
        <f>'13'!$F$17</f>
        <v>6.66</v>
      </c>
      <c r="O16" s="77">
        <f>'13'!$F$18</f>
        <v>16.05</v>
      </c>
      <c r="P16" s="77">
        <f>'13'!$F$19</f>
        <v>29.51</v>
      </c>
      <c r="Q16" s="77">
        <f>'13'!$F$20</f>
        <v>10.55</v>
      </c>
      <c r="R16" s="77">
        <f>'13'!$F$21</f>
        <v>12.88</v>
      </c>
      <c r="S16" s="77" t="str">
        <f>'13'!$F$22</f>
        <v/>
      </c>
      <c r="T16" s="77">
        <f>'13'!$F$23</f>
        <v>6.92</v>
      </c>
      <c r="U16" s="77" t="str">
        <f>'13'!$F$24</f>
        <v/>
      </c>
      <c r="V16" s="77" t="str">
        <f>'13'!$F$25</f>
        <v/>
      </c>
      <c r="W16" s="77">
        <f>'13'!$F$26</f>
        <v>4.88</v>
      </c>
      <c r="X16" s="77">
        <f>'13'!$F$27</f>
        <v>8.5</v>
      </c>
      <c r="Y16" s="77">
        <f>'13'!$F$28</f>
        <v>11.22</v>
      </c>
      <c r="Z16" s="77">
        <f>'13'!$F$29</f>
        <v>6.57</v>
      </c>
      <c r="AA16" s="77">
        <f>'13'!$F$30</f>
        <v>10.28</v>
      </c>
      <c r="AB16" s="77" t="str">
        <f>'13'!$F$31</f>
        <v/>
      </c>
      <c r="AC16" s="77" t="str">
        <f>'13'!$F$32</f>
        <v/>
      </c>
      <c r="AD16" s="98">
        <f>'13'!$F$33</f>
        <v>7.91</v>
      </c>
    </row>
    <row r="17" spans="1:30" x14ac:dyDescent="0.2">
      <c r="A17" s="97" t="s">
        <v>1075</v>
      </c>
      <c r="B17" s="77">
        <f>'14'!$F$5</f>
        <v>15.27</v>
      </c>
      <c r="C17" s="77">
        <f>'14'!$F$6</f>
        <v>11.16</v>
      </c>
      <c r="D17" s="77">
        <f>'14'!$F$7</f>
        <v>7.91</v>
      </c>
      <c r="E17" s="77">
        <f>'14'!$F$8</f>
        <v>8.2799999999999994</v>
      </c>
      <c r="F17" s="77">
        <f>'14'!$F$9</f>
        <v>13.04</v>
      </c>
      <c r="G17" s="77">
        <f>'14'!$F$10</f>
        <v>7.96</v>
      </c>
      <c r="H17" s="77">
        <f>'14'!$F$11</f>
        <v>8.24</v>
      </c>
      <c r="I17" s="77">
        <f>'14'!$F$12</f>
        <v>11.99</v>
      </c>
      <c r="J17" s="77">
        <f>'14'!$F$13</f>
        <v>7.29</v>
      </c>
      <c r="K17" s="77">
        <f>'14'!$F$14</f>
        <v>10.11</v>
      </c>
      <c r="L17" s="77">
        <f>'14'!$F$15</f>
        <v>6.03</v>
      </c>
      <c r="M17" s="77">
        <f>'14'!$F$16</f>
        <v>8.34</v>
      </c>
      <c r="N17" s="77">
        <f>'14'!$F$17</f>
        <v>7.18</v>
      </c>
      <c r="O17" s="77">
        <f>'14'!$F$18</f>
        <v>12.27</v>
      </c>
      <c r="P17" s="77" t="str">
        <f>'14'!$F$19</f>
        <v/>
      </c>
      <c r="Q17" s="77">
        <f>'14'!$F$20</f>
        <v>7.89</v>
      </c>
      <c r="R17" s="77">
        <f>'14'!$F$21</f>
        <v>17.52</v>
      </c>
      <c r="S17" s="77">
        <f>'14'!$F$22</f>
        <v>12.73</v>
      </c>
      <c r="T17" s="77">
        <f>'14'!$F$23</f>
        <v>7.33</v>
      </c>
      <c r="U17" s="77">
        <f>'14'!$F$24</f>
        <v>9.5</v>
      </c>
      <c r="V17" s="77">
        <f>'14'!$F$25</f>
        <v>6.08</v>
      </c>
      <c r="W17" s="77">
        <f>'14'!$F$26</f>
        <v>12.78</v>
      </c>
      <c r="X17" s="77">
        <f>'14'!$F$27</f>
        <v>9.1199999999999992</v>
      </c>
      <c r="Y17" s="77">
        <f>'14'!$F$28</f>
        <v>6.66</v>
      </c>
      <c r="Z17" s="77">
        <f>'14'!$F$29</f>
        <v>6.94</v>
      </c>
      <c r="AA17" s="77">
        <f>'14'!$F$30</f>
        <v>9.09</v>
      </c>
      <c r="AB17" s="77" t="str">
        <f>'14'!$F$31</f>
        <v/>
      </c>
      <c r="AC17" s="77" t="str">
        <f>'14'!$F$32</f>
        <v/>
      </c>
      <c r="AD17" s="98">
        <f>'14'!$F$33</f>
        <v>8</v>
      </c>
    </row>
    <row r="18" spans="1:30" x14ac:dyDescent="0.2">
      <c r="A18" s="97" t="s">
        <v>1052</v>
      </c>
      <c r="B18" s="77">
        <f>'15'!$F$5</f>
        <v>9.51</v>
      </c>
      <c r="C18" s="77">
        <f>'15'!$F$6</f>
        <v>11.75</v>
      </c>
      <c r="D18" s="77">
        <f>'15'!$F$7</f>
        <v>9.64</v>
      </c>
      <c r="E18" s="77">
        <f>'15'!$F$8</f>
        <v>11.73</v>
      </c>
      <c r="F18" s="77" t="str">
        <f>'15'!$F$9</f>
        <v/>
      </c>
      <c r="G18" s="77">
        <f>'15'!$F$10</f>
        <v>12.93</v>
      </c>
      <c r="H18" s="77">
        <f>'15'!$F$11</f>
        <v>10.65</v>
      </c>
      <c r="I18" s="77">
        <f>'15'!$F$12</f>
        <v>8.82</v>
      </c>
      <c r="J18" s="77">
        <f>'15'!$F$13</f>
        <v>11.11</v>
      </c>
      <c r="K18" s="77">
        <f>'15'!$F$14</f>
        <v>12.43</v>
      </c>
      <c r="L18" s="77">
        <f>'15'!$F$15</f>
        <v>11.48</v>
      </c>
      <c r="M18" s="77">
        <f>'15'!$F$16</f>
        <v>12.02</v>
      </c>
      <c r="N18" s="77">
        <f>'15'!$F$17</f>
        <v>10.84</v>
      </c>
      <c r="O18" s="77">
        <f>'15'!$F$18</f>
        <v>15</v>
      </c>
      <c r="P18" s="77">
        <f>'15'!$F$19</f>
        <v>21.76</v>
      </c>
      <c r="Q18" s="77">
        <f>'15'!$F$20</f>
        <v>11.06</v>
      </c>
      <c r="R18" s="77">
        <f>'15'!$F$21</f>
        <v>24.55</v>
      </c>
      <c r="S18" s="77">
        <f>'15'!$F$22</f>
        <v>13.81</v>
      </c>
      <c r="T18" s="77">
        <f>'15'!$F$23</f>
        <v>11.74</v>
      </c>
      <c r="U18" s="77">
        <f>'15'!$F$24</f>
        <v>11.75</v>
      </c>
      <c r="V18" s="77">
        <f>'15'!$F$25</f>
        <v>11.52</v>
      </c>
      <c r="W18" s="77">
        <f>'15'!$F$26</f>
        <v>14.26</v>
      </c>
      <c r="X18" s="77">
        <f>'15'!$F$27</f>
        <v>10.210000000000001</v>
      </c>
      <c r="Y18" s="77">
        <f>'15'!$F$28</f>
        <v>12.18</v>
      </c>
      <c r="Z18" s="77">
        <f>'15'!$F$29</f>
        <v>9.73</v>
      </c>
      <c r="AA18" s="77">
        <f>'15'!$F$30</f>
        <v>14.28</v>
      </c>
      <c r="AB18" s="77" t="str">
        <f>'15'!$F$31</f>
        <v/>
      </c>
      <c r="AC18" s="77" t="str">
        <f>'15'!$F$32</f>
        <v/>
      </c>
      <c r="AD18" s="98">
        <f>'15'!$F$33</f>
        <v>11.64</v>
      </c>
    </row>
    <row r="19" spans="1:30" x14ac:dyDescent="0.2">
      <c r="A19" s="96" t="s">
        <v>1076</v>
      </c>
      <c r="B19" s="77">
        <f>'16'!$F$5</f>
        <v>8.6300000000000008</v>
      </c>
      <c r="C19" s="77">
        <f>'16'!$F$6</f>
        <v>18.43</v>
      </c>
      <c r="D19" s="77">
        <f>'16'!$F$7</f>
        <v>7.34</v>
      </c>
      <c r="E19" s="77">
        <f>'16'!$F$8</f>
        <v>8.6999999999999993</v>
      </c>
      <c r="F19" s="77" t="str">
        <f>'16'!$F$9</f>
        <v/>
      </c>
      <c r="G19" s="77">
        <f>'16'!$F$10</f>
        <v>8.01</v>
      </c>
      <c r="H19" s="77">
        <f>'16'!$F$11</f>
        <v>10.75</v>
      </c>
      <c r="I19" s="77">
        <f>'16'!$F$12</f>
        <v>5.55</v>
      </c>
      <c r="J19" s="77">
        <f>'16'!$F$13</f>
        <v>5.92</v>
      </c>
      <c r="K19" s="77">
        <f>'16'!$F$14</f>
        <v>7.67</v>
      </c>
      <c r="L19" s="77">
        <f>'16'!$F$15</f>
        <v>5.48</v>
      </c>
      <c r="M19" s="77">
        <f>'16'!$F$16</f>
        <v>9.77</v>
      </c>
      <c r="N19" s="77">
        <f>'16'!$F$17</f>
        <v>6.63</v>
      </c>
      <c r="O19" s="77">
        <f>'16'!$F$18</f>
        <v>14.41</v>
      </c>
      <c r="P19" s="77">
        <f>'16'!$F$19</f>
        <v>15.19</v>
      </c>
      <c r="Q19" s="77">
        <f>'16'!$F$20</f>
        <v>12.84</v>
      </c>
      <c r="R19" s="77">
        <f>'16'!$F$21</f>
        <v>16.07</v>
      </c>
      <c r="S19" s="77">
        <f>'16'!$F$22</f>
        <v>7</v>
      </c>
      <c r="T19" s="77">
        <f>'16'!$F$23</f>
        <v>7.08</v>
      </c>
      <c r="U19" s="77">
        <f>'16'!$F$24</f>
        <v>9.6999999999999993</v>
      </c>
      <c r="V19" s="77">
        <f>'16'!$F$25</f>
        <v>15.44</v>
      </c>
      <c r="W19" s="77">
        <f>'16'!$F$26</f>
        <v>4.46</v>
      </c>
      <c r="X19" s="77">
        <f>'16'!$F$27</f>
        <v>23.39</v>
      </c>
      <c r="Y19" s="77">
        <f>'16'!$F$28</f>
        <v>9.06</v>
      </c>
      <c r="Z19" s="77">
        <f>'16'!$F$29</f>
        <v>6.69</v>
      </c>
      <c r="AA19" s="77">
        <f>'16'!$F$30</f>
        <v>7.76</v>
      </c>
      <c r="AB19" s="77" t="str">
        <f>'16'!$F$31</f>
        <v/>
      </c>
      <c r="AC19" s="77" t="str">
        <f>'16'!$F$32</f>
        <v/>
      </c>
      <c r="AD19" s="98">
        <f>'16'!$F$33</f>
        <v>8.42</v>
      </c>
    </row>
    <row r="20" spans="1:30" x14ac:dyDescent="0.2">
      <c r="A20" s="97" t="s">
        <v>1053</v>
      </c>
      <c r="B20" s="77">
        <f>'17'!$F$5</f>
        <v>9.77</v>
      </c>
      <c r="C20" s="77">
        <f>'17'!$F$6</f>
        <v>9.3000000000000007</v>
      </c>
      <c r="D20" s="77">
        <f>'17'!$F$7</f>
        <v>7.12</v>
      </c>
      <c r="E20" s="77">
        <f>'17'!$F$8</f>
        <v>7.09</v>
      </c>
      <c r="F20" s="77" t="str">
        <f>'17'!$F$9</f>
        <v/>
      </c>
      <c r="G20" s="77">
        <f>'17'!$F$10</f>
        <v>3.6</v>
      </c>
      <c r="H20" s="77">
        <f>'17'!$F$11</f>
        <v>15.08</v>
      </c>
      <c r="I20" s="77">
        <f>'17'!$F$12</f>
        <v>13.47</v>
      </c>
      <c r="J20" s="77">
        <f>'17'!$F$13</f>
        <v>7.63</v>
      </c>
      <c r="K20" s="77">
        <f>'17'!$F$14</f>
        <v>67.81</v>
      </c>
      <c r="L20" s="77">
        <f>'17'!$F$15</f>
        <v>9.76</v>
      </c>
      <c r="M20" s="77">
        <f>'17'!$F$16</f>
        <v>7.12</v>
      </c>
      <c r="N20" s="77">
        <f>'17'!$F$17</f>
        <v>5.3</v>
      </c>
      <c r="O20" s="77">
        <f>'17'!$F$18</f>
        <v>6.96</v>
      </c>
      <c r="P20" s="77" t="str">
        <f>'17'!$F$19</f>
        <v/>
      </c>
      <c r="Q20" s="77">
        <f>'17'!$F$20</f>
        <v>6.96</v>
      </c>
      <c r="R20" s="77" t="str">
        <f>'17'!$F$21</f>
        <v/>
      </c>
      <c r="S20" s="77">
        <f>'17'!$F$22</f>
        <v>7.31</v>
      </c>
      <c r="T20" s="77">
        <f>'17'!$F$23</f>
        <v>7.19</v>
      </c>
      <c r="U20" s="77" t="str">
        <f>'17'!$F$24</f>
        <v/>
      </c>
      <c r="V20" s="77">
        <f>'17'!$F$25</f>
        <v>5.39</v>
      </c>
      <c r="W20" s="77">
        <f>'17'!$F$26</f>
        <v>5.85</v>
      </c>
      <c r="X20" s="77">
        <f>'17'!$F$27</f>
        <v>7.24</v>
      </c>
      <c r="Y20" s="77">
        <f>'17'!$F$28</f>
        <v>5.52</v>
      </c>
      <c r="Z20" s="77">
        <f>'17'!$F$29</f>
        <v>6.92</v>
      </c>
      <c r="AA20" s="77">
        <f>'17'!$F$30</f>
        <v>8.83</v>
      </c>
      <c r="AB20" s="77" t="str">
        <f>'17'!$F$31</f>
        <v/>
      </c>
      <c r="AC20" s="77" t="str">
        <f>'17'!$F$32</f>
        <v/>
      </c>
      <c r="AD20" s="98">
        <f>'17'!$F$33</f>
        <v>8.2799999999999994</v>
      </c>
    </row>
    <row r="21" spans="1:30" x14ac:dyDescent="0.2">
      <c r="A21" s="97" t="s">
        <v>1054</v>
      </c>
      <c r="B21" s="77" t="str">
        <f>'18'!$F$5</f>
        <v/>
      </c>
      <c r="C21" s="77" t="str">
        <f>'18'!$F$6</f>
        <v/>
      </c>
      <c r="D21" s="77" t="str">
        <f>'18'!$F$7</f>
        <v/>
      </c>
      <c r="E21" s="77" t="str">
        <f>'18'!$F$8</f>
        <v/>
      </c>
      <c r="F21" s="77" t="str">
        <f>'18'!$F$9</f>
        <v/>
      </c>
      <c r="G21" s="77" t="str">
        <f>'18'!$F$10</f>
        <v/>
      </c>
      <c r="H21" s="77" t="str">
        <f>'18'!$F$11</f>
        <v/>
      </c>
      <c r="I21" s="77" t="str">
        <f>'18'!$F$12</f>
        <v/>
      </c>
      <c r="J21" s="77" t="str">
        <f>'18'!$F$13</f>
        <v/>
      </c>
      <c r="K21" s="77" t="str">
        <f>'18'!$F$14</f>
        <v/>
      </c>
      <c r="L21" s="77" t="str">
        <f>'18'!$F$15</f>
        <v/>
      </c>
      <c r="M21" s="77" t="str">
        <f>'18'!$F$16</f>
        <v/>
      </c>
      <c r="N21" s="77" t="str">
        <f>'18'!$F$17</f>
        <v/>
      </c>
      <c r="O21" s="77" t="str">
        <f>'18'!$F$18</f>
        <v/>
      </c>
      <c r="P21" s="77" t="str">
        <f>'18'!$F$19</f>
        <v/>
      </c>
      <c r="Q21" s="77" t="str">
        <f>'18'!$F$20</f>
        <v/>
      </c>
      <c r="R21" s="77" t="str">
        <f>'18'!$F$21</f>
        <v/>
      </c>
      <c r="S21" s="77" t="str">
        <f>'18'!$F$22</f>
        <v/>
      </c>
      <c r="T21" s="77" t="str">
        <f>'18'!$F$23</f>
        <v/>
      </c>
      <c r="U21" s="77" t="str">
        <f>'18'!$F$24</f>
        <v/>
      </c>
      <c r="V21" s="77" t="str">
        <f>'18'!$F$25</f>
        <v/>
      </c>
      <c r="W21" s="77" t="str">
        <f>'18'!$F$26</f>
        <v/>
      </c>
      <c r="X21" s="77" t="str">
        <f>'18'!$F$27</f>
        <v/>
      </c>
      <c r="Y21" s="77" t="str">
        <f>'18'!$F$28</f>
        <v/>
      </c>
      <c r="Z21" s="77" t="str">
        <f>'18'!$F$29</f>
        <v/>
      </c>
      <c r="AA21" s="77" t="str">
        <f>'18'!$F$30</f>
        <v/>
      </c>
      <c r="AB21" s="77" t="str">
        <f>'18'!$F$31</f>
        <v/>
      </c>
      <c r="AC21" s="77" t="str">
        <f>'18'!$F$32</f>
        <v/>
      </c>
      <c r="AD21" s="98" t="str">
        <f>'18'!$F$33</f>
        <v/>
      </c>
    </row>
    <row r="22" spans="1:30" x14ac:dyDescent="0.2">
      <c r="A22" s="97" t="s">
        <v>1084</v>
      </c>
      <c r="B22" s="77">
        <f>'19'!$F$5</f>
        <v>8.93</v>
      </c>
      <c r="C22" s="77">
        <f>'19'!$F$6</f>
        <v>11.85</v>
      </c>
      <c r="D22" s="77">
        <f>'19'!$F$7</f>
        <v>6.31</v>
      </c>
      <c r="E22" s="77">
        <f>'19'!$F$8</f>
        <v>7.54</v>
      </c>
      <c r="F22" s="77" t="str">
        <f>'19'!$F$9</f>
        <v/>
      </c>
      <c r="G22" s="77">
        <f>'19'!$F$10</f>
        <v>3.06</v>
      </c>
      <c r="H22" s="77">
        <f>'19'!$F$11</f>
        <v>8.2799999999999994</v>
      </c>
      <c r="I22" s="77">
        <f>'19'!$F$12</f>
        <v>3.06</v>
      </c>
      <c r="J22" s="77">
        <f>'19'!$F$13</f>
        <v>5.26</v>
      </c>
      <c r="K22" s="77">
        <f>'19'!$F$14</f>
        <v>3.06</v>
      </c>
      <c r="L22" s="77">
        <f>'19'!$F$15</f>
        <v>6.01</v>
      </c>
      <c r="M22" s="77">
        <f>'19'!$F$16</f>
        <v>6.08</v>
      </c>
      <c r="N22" s="77">
        <f>'19'!$F$17</f>
        <v>6.22</v>
      </c>
      <c r="O22" s="77">
        <f>'19'!$F$18</f>
        <v>9.89</v>
      </c>
      <c r="P22" s="77" t="str">
        <f>'19'!$F$19</f>
        <v/>
      </c>
      <c r="Q22" s="77">
        <f>'19'!$F$20</f>
        <v>6.76</v>
      </c>
      <c r="R22" s="77" t="str">
        <f>'19'!$F$21</f>
        <v/>
      </c>
      <c r="S22" s="77">
        <f>'19'!$F$22</f>
        <v>8.39</v>
      </c>
      <c r="T22" s="77">
        <f>'19'!$F$23</f>
        <v>5.82</v>
      </c>
      <c r="U22" s="77">
        <f>'19'!$F$24</f>
        <v>7.37</v>
      </c>
      <c r="V22" s="77">
        <f>'19'!$F$25</f>
        <v>3.06</v>
      </c>
      <c r="W22" s="77">
        <f>'19'!$F$26</f>
        <v>18.29</v>
      </c>
      <c r="X22" s="77">
        <f>'19'!$F$27</f>
        <v>18.88</v>
      </c>
      <c r="Y22" s="77">
        <f>'19'!$F$28</f>
        <v>6.93</v>
      </c>
      <c r="Z22" s="77">
        <f>'19'!$F$29</f>
        <v>5.8</v>
      </c>
      <c r="AA22" s="77">
        <f>'19'!$F$30</f>
        <v>7.86</v>
      </c>
      <c r="AB22" s="77" t="str">
        <f>'19'!$F$31</f>
        <v/>
      </c>
      <c r="AC22" s="77" t="str">
        <f>'19'!$F$32</f>
        <v/>
      </c>
      <c r="AD22" s="98">
        <f>'19'!$F$33</f>
        <v>7.02</v>
      </c>
    </row>
    <row r="23" spans="1:30" x14ac:dyDescent="0.2">
      <c r="A23" s="97" t="s">
        <v>1055</v>
      </c>
      <c r="B23" s="77">
        <f>'20'!$F$5</f>
        <v>12.33</v>
      </c>
      <c r="C23" s="77">
        <f>'20'!$F$6</f>
        <v>6.45</v>
      </c>
      <c r="D23" s="77">
        <f>'20'!$F$7</f>
        <v>5.34</v>
      </c>
      <c r="E23" s="77">
        <f>'20'!$F$8</f>
        <v>4.13</v>
      </c>
      <c r="F23" s="77" t="str">
        <f>'20'!$F$9</f>
        <v/>
      </c>
      <c r="G23" s="77">
        <f>'20'!$F$10</f>
        <v>8.1199999999999992</v>
      </c>
      <c r="H23" s="77">
        <f>'20'!$F$11</f>
        <v>6.52</v>
      </c>
      <c r="I23" s="77">
        <f>'20'!$F$12</f>
        <v>8.16</v>
      </c>
      <c r="J23" s="77">
        <f>'20'!$F$13</f>
        <v>5.21</v>
      </c>
      <c r="K23" s="77" t="str">
        <f>'20'!$F$14</f>
        <v/>
      </c>
      <c r="L23" s="77">
        <f>'20'!$F$15</f>
        <v>4.63</v>
      </c>
      <c r="M23" s="77">
        <f>'20'!$F$16</f>
        <v>4.87</v>
      </c>
      <c r="N23" s="77">
        <f>'20'!$F$17</f>
        <v>4.6500000000000004</v>
      </c>
      <c r="O23" s="77">
        <f>'20'!$F$18</f>
        <v>6.49</v>
      </c>
      <c r="P23" s="77" t="str">
        <f>'20'!$F$19</f>
        <v/>
      </c>
      <c r="Q23" s="77">
        <f>'20'!$F$20</f>
        <v>4.2300000000000004</v>
      </c>
      <c r="R23" s="77" t="str">
        <f>'20'!$F$21</f>
        <v/>
      </c>
      <c r="S23" s="77">
        <f>'20'!$F$22</f>
        <v>9.69</v>
      </c>
      <c r="T23" s="77">
        <f>'20'!$F$23</f>
        <v>5.19</v>
      </c>
      <c r="U23" s="77">
        <f>'20'!$F$24</f>
        <v>4.72</v>
      </c>
      <c r="V23" s="77">
        <f>'20'!$F$25</f>
        <v>8.1199999999999992</v>
      </c>
      <c r="W23" s="77">
        <f>'20'!$F$26</f>
        <v>8.1199999999999992</v>
      </c>
      <c r="X23" s="77">
        <f>'20'!$F$27</f>
        <v>9.5</v>
      </c>
      <c r="Y23" s="77">
        <f>'20'!$F$28</f>
        <v>6.84</v>
      </c>
      <c r="Z23" s="77">
        <f>'20'!$F$29</f>
        <v>5.22</v>
      </c>
      <c r="AA23" s="77">
        <f>'20'!$F$30</f>
        <v>6.32</v>
      </c>
      <c r="AB23" s="77" t="str">
        <f>'20'!$F$31</f>
        <v/>
      </c>
      <c r="AC23" s="77" t="str">
        <f>'20'!$F$32</f>
        <v/>
      </c>
      <c r="AD23" s="98">
        <f>'20'!$F$33</f>
        <v>5.78</v>
      </c>
    </row>
    <row r="24" spans="1:30" x14ac:dyDescent="0.2">
      <c r="A24" s="97" t="s">
        <v>1077</v>
      </c>
      <c r="B24" s="77">
        <f>'21'!$F$5</f>
        <v>8.36</v>
      </c>
      <c r="C24" s="77">
        <f>'21'!$F$6</f>
        <v>8.58</v>
      </c>
      <c r="D24" s="77">
        <f>'21'!$F$7</f>
        <v>7.74</v>
      </c>
      <c r="E24" s="77">
        <f>'21'!$F$8</f>
        <v>8.08</v>
      </c>
      <c r="F24" s="77" t="str">
        <f>'21'!$F$9</f>
        <v/>
      </c>
      <c r="G24" s="77">
        <f>'21'!$F$10</f>
        <v>7.31</v>
      </c>
      <c r="H24" s="77">
        <f>'21'!$F$11</f>
        <v>19.809999999999999</v>
      </c>
      <c r="I24" s="77">
        <f>'21'!$F$12</f>
        <v>9.44</v>
      </c>
      <c r="J24" s="77">
        <f>'21'!$F$13</f>
        <v>7.87</v>
      </c>
      <c r="K24" s="77">
        <f>'21'!$F$14</f>
        <v>9.1999999999999993</v>
      </c>
      <c r="L24" s="77">
        <f>'21'!$F$15</f>
        <v>9.11</v>
      </c>
      <c r="M24" s="77">
        <f>'21'!$F$16</f>
        <v>8.74</v>
      </c>
      <c r="N24" s="77">
        <f>'21'!$F$17</f>
        <v>8.26</v>
      </c>
      <c r="O24" s="77">
        <f>'21'!$F$18</f>
        <v>10.69</v>
      </c>
      <c r="P24" s="77" t="str">
        <f>'21'!$F$19</f>
        <v/>
      </c>
      <c r="Q24" s="77">
        <f>'21'!$F$20</f>
        <v>11.58</v>
      </c>
      <c r="R24" s="77">
        <f>'21'!$F$21</f>
        <v>14.44</v>
      </c>
      <c r="S24" s="77">
        <f>'21'!$F$22</f>
        <v>13.33</v>
      </c>
      <c r="T24" s="77">
        <f>'21'!$F$23</f>
        <v>7.72</v>
      </c>
      <c r="U24" s="77">
        <f>'21'!$F$24</f>
        <v>10.25</v>
      </c>
      <c r="V24" s="77">
        <f>'21'!$F$25</f>
        <v>15.16</v>
      </c>
      <c r="W24" s="77">
        <f>'21'!$F$26</f>
        <v>8.8000000000000007</v>
      </c>
      <c r="X24" s="77">
        <f>'21'!$F$27</f>
        <v>11.47</v>
      </c>
      <c r="Y24" s="77">
        <f>'21'!$F$28</f>
        <v>9.81</v>
      </c>
      <c r="Z24" s="77">
        <f>'21'!$F$29</f>
        <v>7.48</v>
      </c>
      <c r="AA24" s="77">
        <f>'21'!$F$30</f>
        <v>9.4700000000000006</v>
      </c>
      <c r="AB24" s="77" t="str">
        <f>'21'!$F$31</f>
        <v/>
      </c>
      <c r="AC24" s="77" t="str">
        <f>'21'!$F$32</f>
        <v/>
      </c>
      <c r="AD24" s="98">
        <f>'21'!$F$33</f>
        <v>8.64</v>
      </c>
    </row>
    <row r="25" spans="1:30" x14ac:dyDescent="0.2">
      <c r="A25" s="97" t="s">
        <v>1056</v>
      </c>
      <c r="B25" s="77">
        <f>'22'!$F$5</f>
        <v>5.98</v>
      </c>
      <c r="C25" s="77">
        <f>'22'!$F$6</f>
        <v>6.79</v>
      </c>
      <c r="D25" s="77">
        <f>'22'!$F$7</f>
        <v>6.26</v>
      </c>
      <c r="E25" s="77">
        <f>'22'!$F$8</f>
        <v>4.45</v>
      </c>
      <c r="F25" s="77" t="str">
        <f>'22'!$F$9</f>
        <v/>
      </c>
      <c r="G25" s="77">
        <f>'22'!$F$10</f>
        <v>4.49</v>
      </c>
      <c r="H25" s="77">
        <f>'22'!$F$11</f>
        <v>6.47</v>
      </c>
      <c r="I25" s="77">
        <f>'22'!$F$12</f>
        <v>7.99</v>
      </c>
      <c r="J25" s="77">
        <f>'22'!$F$13</f>
        <v>4.41</v>
      </c>
      <c r="K25" s="77" t="str">
        <f>'22'!$F$14</f>
        <v/>
      </c>
      <c r="L25" s="77">
        <f>'22'!$F$15</f>
        <v>7.52</v>
      </c>
      <c r="M25" s="77">
        <f>'22'!$F$16</f>
        <v>10.16</v>
      </c>
      <c r="N25" s="77">
        <f>'22'!$F$17</f>
        <v>7.34</v>
      </c>
      <c r="O25" s="77">
        <f>'22'!$F$18</f>
        <v>14.13</v>
      </c>
      <c r="P25" s="77">
        <f>'22'!$F$19</f>
        <v>16.559999999999999</v>
      </c>
      <c r="Q25" s="77">
        <f>'22'!$F$20</f>
        <v>7.58</v>
      </c>
      <c r="R25" s="77">
        <f>'22'!$F$21</f>
        <v>12.82</v>
      </c>
      <c r="S25" s="77">
        <f>'22'!$F$22</f>
        <v>8.1199999999999992</v>
      </c>
      <c r="T25" s="77">
        <f>'22'!$F$23</f>
        <v>5.34</v>
      </c>
      <c r="U25" s="77">
        <f>'22'!$F$24</f>
        <v>48.31</v>
      </c>
      <c r="V25" s="77">
        <f>'22'!$F$25</f>
        <v>7.69</v>
      </c>
      <c r="W25" s="77">
        <f>'22'!$F$26</f>
        <v>7.26</v>
      </c>
      <c r="X25" s="77">
        <f>'22'!$F$27</f>
        <v>19.12</v>
      </c>
      <c r="Y25" s="77">
        <f>'22'!$F$28</f>
        <v>6.29</v>
      </c>
      <c r="Z25" s="77">
        <f>'22'!$F$29</f>
        <v>5.66</v>
      </c>
      <c r="AA25" s="77">
        <f>'22'!$F$30</f>
        <v>7.27</v>
      </c>
      <c r="AB25" s="77" t="str">
        <f>'22'!$F$31</f>
        <v/>
      </c>
      <c r="AC25" s="77" t="str">
        <f>'22'!$F$32</f>
        <v/>
      </c>
      <c r="AD25" s="98">
        <f>'22'!$F$33</f>
        <v>6.8</v>
      </c>
    </row>
    <row r="26" spans="1:30" x14ac:dyDescent="0.2">
      <c r="A26" s="97" t="s">
        <v>1057</v>
      </c>
      <c r="B26" s="77">
        <f>'23'!$F$5</f>
        <v>10.64</v>
      </c>
      <c r="C26" s="77">
        <f>'23'!$F$6</f>
        <v>7.96</v>
      </c>
      <c r="D26" s="77">
        <f>'23'!$F$7</f>
        <v>6.05</v>
      </c>
      <c r="E26" s="77">
        <f>'23'!$F$8</f>
        <v>5.0599999999999996</v>
      </c>
      <c r="F26" s="77" t="str">
        <f>'23'!$F$9</f>
        <v/>
      </c>
      <c r="G26" s="77">
        <f>'23'!$F$10</f>
        <v>9.81</v>
      </c>
      <c r="H26" s="77">
        <f>'23'!$F$11</f>
        <v>3.66</v>
      </c>
      <c r="I26" s="77">
        <f>'23'!$F$12</f>
        <v>2.2200000000000002</v>
      </c>
      <c r="J26" s="77">
        <f>'23'!$F$13</f>
        <v>5.2</v>
      </c>
      <c r="K26" s="77">
        <f>'23'!$F$14</f>
        <v>24.95</v>
      </c>
      <c r="L26" s="77">
        <f>'23'!$F$15</f>
        <v>7.15</v>
      </c>
      <c r="M26" s="77">
        <f>'23'!$F$16</f>
        <v>5.0599999999999996</v>
      </c>
      <c r="N26" s="77">
        <f>'23'!$F$17</f>
        <v>9.5</v>
      </c>
      <c r="O26" s="77">
        <f>'23'!$F$18</f>
        <v>6.36</v>
      </c>
      <c r="P26" s="77" t="str">
        <f>'23'!$F$19</f>
        <v/>
      </c>
      <c r="Q26" s="77">
        <f>'23'!$F$20</f>
        <v>6.19</v>
      </c>
      <c r="R26" s="77" t="str">
        <f>'23'!$F$21</f>
        <v/>
      </c>
      <c r="S26" s="77">
        <f>'23'!$F$22</f>
        <v>5.94</v>
      </c>
      <c r="T26" s="77">
        <f>'23'!$F$23</f>
        <v>5.1100000000000003</v>
      </c>
      <c r="U26" s="77">
        <f>'23'!$F$24</f>
        <v>7.09</v>
      </c>
      <c r="V26" s="77">
        <f>'23'!$F$25</f>
        <v>5.84</v>
      </c>
      <c r="W26" s="77">
        <f>'23'!$F$26</f>
        <v>2.2999999999999998</v>
      </c>
      <c r="X26" s="77">
        <f>'23'!$F$27</f>
        <v>6.95</v>
      </c>
      <c r="Y26" s="77">
        <f>'23'!$F$28</f>
        <v>4.3899999999999997</v>
      </c>
      <c r="Z26" s="77">
        <f>'23'!$F$29</f>
        <v>4.3099999999999996</v>
      </c>
      <c r="AA26" s="77">
        <f>'23'!$F$30</f>
        <v>6.51</v>
      </c>
      <c r="AB26" s="77" t="str">
        <f>'23'!$F$31</f>
        <v/>
      </c>
      <c r="AC26" s="77" t="str">
        <f>'23'!$F$32</f>
        <v/>
      </c>
      <c r="AD26" s="98">
        <f>'23'!$F$33</f>
        <v>5.33</v>
      </c>
    </row>
    <row r="27" spans="1:30" x14ac:dyDescent="0.2">
      <c r="A27" s="97" t="s">
        <v>1041</v>
      </c>
      <c r="B27" s="77" t="str">
        <f>'24'!$F$5</f>
        <v/>
      </c>
      <c r="C27" s="77" t="str">
        <f>'24'!$F$6</f>
        <v/>
      </c>
      <c r="D27" s="77">
        <f>'24'!$F$7</f>
        <v>9.27</v>
      </c>
      <c r="E27" s="77">
        <f>'24'!$F$8</f>
        <v>10.74</v>
      </c>
      <c r="F27" s="77" t="str">
        <f>'24'!$F$9</f>
        <v/>
      </c>
      <c r="G27" s="77">
        <f>'24'!$F$10</f>
        <v>8.4</v>
      </c>
      <c r="H27" s="77">
        <f>'24'!$F$11</f>
        <v>11.07</v>
      </c>
      <c r="I27" s="77">
        <f>'24'!$F$12</f>
        <v>10.1</v>
      </c>
      <c r="J27" s="77" t="str">
        <f>'24'!$F$13</f>
        <v/>
      </c>
      <c r="K27" s="77" t="str">
        <f>'24'!$F$14</f>
        <v/>
      </c>
      <c r="L27" s="77" t="str">
        <f>'24'!$F$15</f>
        <v/>
      </c>
      <c r="M27" s="77">
        <f>'24'!$F$16</f>
        <v>12.29</v>
      </c>
      <c r="N27" s="77">
        <f>'24'!$F$17</f>
        <v>10.95</v>
      </c>
      <c r="O27" s="77">
        <f>'24'!$F$18</f>
        <v>15.58</v>
      </c>
      <c r="P27" s="77" t="str">
        <f>'24'!$F$19</f>
        <v/>
      </c>
      <c r="Q27" s="77">
        <f>'24'!$F$20</f>
        <v>11</v>
      </c>
      <c r="R27" s="77" t="str">
        <f>'24'!$F$21</f>
        <v/>
      </c>
      <c r="S27" s="77">
        <f>'24'!$F$22</f>
        <v>17.03</v>
      </c>
      <c r="T27" s="77">
        <f>'24'!$F$23</f>
        <v>8.74</v>
      </c>
      <c r="U27" s="77">
        <f>'24'!$F$24</f>
        <v>22.85</v>
      </c>
      <c r="V27" s="77" t="str">
        <f>'24'!$F$25</f>
        <v/>
      </c>
      <c r="W27" s="77">
        <f>'24'!$F$26</f>
        <v>11.07</v>
      </c>
      <c r="X27" s="77">
        <f>'24'!$F$27</f>
        <v>9.92</v>
      </c>
      <c r="Y27" s="77">
        <f>'24'!$F$28</f>
        <v>11.3</v>
      </c>
      <c r="Z27" s="77">
        <f>'24'!$F$29</f>
        <v>8.01</v>
      </c>
      <c r="AA27" s="77">
        <f>'24'!$F$30</f>
        <v>12.6</v>
      </c>
      <c r="AB27" s="77" t="str">
        <f>'24'!$F$31</f>
        <v/>
      </c>
      <c r="AC27" s="77" t="str">
        <f>'24'!$F$32</f>
        <v/>
      </c>
      <c r="AD27" s="98">
        <f>'24'!$F$33</f>
        <v>10.58</v>
      </c>
    </row>
    <row r="28" spans="1:30" x14ac:dyDescent="0.2">
      <c r="A28" s="97" t="s">
        <v>1058</v>
      </c>
      <c r="B28" s="77">
        <f>'25'!$F$5</f>
        <v>7.12</v>
      </c>
      <c r="C28" s="77">
        <f>'25'!$F$6</f>
        <v>13.32</v>
      </c>
      <c r="D28" s="77">
        <f>'25'!$F$7</f>
        <v>8.9700000000000006</v>
      </c>
      <c r="E28" s="77">
        <f>'25'!$F$8</f>
        <v>8.08</v>
      </c>
      <c r="F28" s="77">
        <f>'25'!$F$9</f>
        <v>4.5</v>
      </c>
      <c r="G28" s="77">
        <f>'25'!$F$10</f>
        <v>10.91</v>
      </c>
      <c r="H28" s="77">
        <f>'25'!$F$11</f>
        <v>10.67</v>
      </c>
      <c r="I28" s="77">
        <f>'25'!$F$12</f>
        <v>13.63</v>
      </c>
      <c r="J28" s="77">
        <f>'25'!$F$13</f>
        <v>7.33</v>
      </c>
      <c r="K28" s="77" t="str">
        <f>'25'!$F$14</f>
        <v/>
      </c>
      <c r="L28" s="77">
        <f>'25'!$F$15</f>
        <v>7.56</v>
      </c>
      <c r="M28" s="77">
        <f>'25'!$F$16</f>
        <v>11.46</v>
      </c>
      <c r="N28" s="77">
        <f>'25'!$F$17</f>
        <v>9.0299999999999994</v>
      </c>
      <c r="O28" s="77">
        <f>'25'!$F$18</f>
        <v>11.69</v>
      </c>
      <c r="P28" s="77" t="str">
        <f>'25'!$F$19</f>
        <v/>
      </c>
      <c r="Q28" s="77">
        <f>'25'!$F$20</f>
        <v>27.66</v>
      </c>
      <c r="R28" s="77" t="str">
        <f>'25'!$F$21</f>
        <v/>
      </c>
      <c r="S28" s="77">
        <f>'25'!$F$22</f>
        <v>13.22</v>
      </c>
      <c r="T28" s="77">
        <f>'25'!$F$23</f>
        <v>10.6</v>
      </c>
      <c r="U28" s="77">
        <f>'25'!$F$24</f>
        <v>7.65</v>
      </c>
      <c r="V28" s="77">
        <f>'25'!$F$25</f>
        <v>8.02</v>
      </c>
      <c r="W28" s="77">
        <f>'25'!$F$26</f>
        <v>4.5</v>
      </c>
      <c r="X28" s="77">
        <f>'25'!$F$27</f>
        <v>20.059999999999999</v>
      </c>
      <c r="Y28" s="77">
        <f>'25'!$F$28</f>
        <v>6.99</v>
      </c>
      <c r="Z28" s="77">
        <f>'25'!$F$29</f>
        <v>9</v>
      </c>
      <c r="AA28" s="77">
        <f>'25'!$F$30</f>
        <v>11.05</v>
      </c>
      <c r="AB28" s="77" t="str">
        <f>'25'!$F$31</f>
        <v/>
      </c>
      <c r="AC28" s="77" t="str">
        <f>'25'!$F$32</f>
        <v/>
      </c>
      <c r="AD28" s="98">
        <f>'25'!$F$33</f>
        <v>10</v>
      </c>
    </row>
    <row r="29" spans="1:30" x14ac:dyDescent="0.2">
      <c r="A29" s="96" t="s">
        <v>1059</v>
      </c>
      <c r="B29" s="77">
        <f>'26'!$F$5</f>
        <v>9.74</v>
      </c>
      <c r="C29" s="77">
        <f>'26'!$F$6</f>
        <v>8.9499999999999993</v>
      </c>
      <c r="D29" s="77">
        <f>'26'!$F$7</f>
        <v>8.25</v>
      </c>
      <c r="E29" s="77">
        <f>'26'!$F$8</f>
        <v>8.68</v>
      </c>
      <c r="F29" s="77">
        <f>'26'!$F$9</f>
        <v>4.43</v>
      </c>
      <c r="G29" s="77">
        <f>'26'!$F$10</f>
        <v>6.32</v>
      </c>
      <c r="H29" s="77">
        <f>'26'!$F$11</f>
        <v>8.93</v>
      </c>
      <c r="I29" s="77">
        <f>'26'!$F$12</f>
        <v>9.1999999999999993</v>
      </c>
      <c r="J29" s="77">
        <f>'26'!$F$13</f>
        <v>7.52</v>
      </c>
      <c r="K29" s="77">
        <f>'26'!$F$14</f>
        <v>17.989999999999998</v>
      </c>
      <c r="L29" s="77">
        <f>'26'!$F$15</f>
        <v>10.95</v>
      </c>
      <c r="M29" s="77">
        <f>'26'!$F$16</f>
        <v>8.9</v>
      </c>
      <c r="N29" s="77">
        <f>'26'!$F$17</f>
        <v>7.7</v>
      </c>
      <c r="O29" s="77">
        <f>'26'!$F$18</f>
        <v>12.49</v>
      </c>
      <c r="P29" s="77">
        <f>'26'!$F$19</f>
        <v>22.52</v>
      </c>
      <c r="Q29" s="77">
        <f>'26'!$F$20</f>
        <v>10.62</v>
      </c>
      <c r="R29" s="77">
        <f>'26'!$F$21</f>
        <v>14.16</v>
      </c>
      <c r="S29" s="77">
        <f>'26'!$F$22</f>
        <v>9.7799999999999994</v>
      </c>
      <c r="T29" s="77">
        <f>'26'!$F$23</f>
        <v>7.84</v>
      </c>
      <c r="U29" s="77">
        <f>'26'!$F$24</f>
        <v>8.77</v>
      </c>
      <c r="V29" s="77">
        <f>'26'!$F$25</f>
        <v>15.47</v>
      </c>
      <c r="W29" s="77">
        <f>'26'!$F$26</f>
        <v>8.8699999999999992</v>
      </c>
      <c r="X29" s="77">
        <f>'26'!$F$27</f>
        <v>9.49</v>
      </c>
      <c r="Y29" s="77">
        <f>'26'!$F$28</f>
        <v>8.4</v>
      </c>
      <c r="Z29" s="77">
        <f>'26'!$F$29</f>
        <v>7.66</v>
      </c>
      <c r="AA29" s="77">
        <f>'26'!$F$30</f>
        <v>10.64</v>
      </c>
      <c r="AB29" s="77" t="str">
        <f>'26'!$F$31</f>
        <v/>
      </c>
      <c r="AC29" s="77" t="str">
        <f>'26'!$F$32</f>
        <v/>
      </c>
      <c r="AD29" s="98">
        <f>'26'!$F$33</f>
        <v>8.6999999999999993</v>
      </c>
    </row>
    <row r="30" spans="1:30" x14ac:dyDescent="0.2">
      <c r="A30" s="97" t="s">
        <v>1038</v>
      </c>
      <c r="B30" s="77">
        <f>'27'!$F$5</f>
        <v>16.59</v>
      </c>
      <c r="C30" s="77" t="str">
        <f>'27'!$F$6</f>
        <v/>
      </c>
      <c r="D30" s="77">
        <f>'27'!$F$7</f>
        <v>5.91</v>
      </c>
      <c r="E30" s="77">
        <f>'27'!$F$8</f>
        <v>7.31</v>
      </c>
      <c r="F30" s="77" t="str">
        <f>'27'!$F$9</f>
        <v/>
      </c>
      <c r="G30" s="77">
        <f>'27'!$F$10</f>
        <v>3.37</v>
      </c>
      <c r="H30" s="77">
        <f>'27'!$F$11</f>
        <v>13.57</v>
      </c>
      <c r="I30" s="77" t="str">
        <f>'27'!$F$12</f>
        <v/>
      </c>
      <c r="J30" s="77">
        <f>'27'!$F$13</f>
        <v>9.9499999999999993</v>
      </c>
      <c r="K30" s="77">
        <f>'27'!$F$14</f>
        <v>3.01</v>
      </c>
      <c r="L30" s="77">
        <f>'27'!$F$15</f>
        <v>6.41</v>
      </c>
      <c r="M30" s="77">
        <f>'27'!$F$16</f>
        <v>7.72</v>
      </c>
      <c r="N30" s="77">
        <f>'27'!$F$17</f>
        <v>5.83</v>
      </c>
      <c r="O30" s="77">
        <f>'27'!$F$18</f>
        <v>13.28</v>
      </c>
      <c r="P30" s="77" t="str">
        <f>'27'!$F$19</f>
        <v/>
      </c>
      <c r="Q30" s="77">
        <f>'27'!$F$20</f>
        <v>8.4499999999999993</v>
      </c>
      <c r="R30" s="77">
        <f>'27'!$F$21</f>
        <v>9.43</v>
      </c>
      <c r="S30" s="77">
        <f>'27'!$F$22</f>
        <v>7.56</v>
      </c>
      <c r="T30" s="77">
        <f>'27'!$F$23</f>
        <v>6.56</v>
      </c>
      <c r="U30" s="77" t="str">
        <f>'27'!$F$24</f>
        <v/>
      </c>
      <c r="V30" s="77">
        <f>'27'!$F$25</f>
        <v>3.27</v>
      </c>
      <c r="W30" s="77">
        <f>'27'!$F$26</f>
        <v>3.01</v>
      </c>
      <c r="X30" s="77">
        <f>'27'!$F$27</f>
        <v>10.1</v>
      </c>
      <c r="Y30" s="77">
        <f>'27'!$F$28</f>
        <v>7.35</v>
      </c>
      <c r="Z30" s="77">
        <f>'27'!$F$29</f>
        <v>5.69</v>
      </c>
      <c r="AA30" s="77">
        <f>'27'!$F$30</f>
        <v>10.33</v>
      </c>
      <c r="AB30" s="77" t="str">
        <f>'27'!$F$31</f>
        <v/>
      </c>
      <c r="AC30" s="77" t="str">
        <f>'27'!$F$32</f>
        <v/>
      </c>
      <c r="AD30" s="98">
        <f>'27'!$F$33</f>
        <v>7.83</v>
      </c>
    </row>
    <row r="31" spans="1:30" x14ac:dyDescent="0.2">
      <c r="A31" s="97" t="s">
        <v>1060</v>
      </c>
      <c r="B31" s="77">
        <f>'28'!$F$5</f>
        <v>4.72</v>
      </c>
      <c r="C31" s="77">
        <f>'28'!$F$6</f>
        <v>9.34</v>
      </c>
      <c r="D31" s="77">
        <f>'28'!$F$7</f>
        <v>7.95</v>
      </c>
      <c r="E31" s="77">
        <f>'28'!$F$8</f>
        <v>9.76</v>
      </c>
      <c r="F31" s="77">
        <f>'28'!$F$9</f>
        <v>41.03</v>
      </c>
      <c r="G31" s="77">
        <f>'28'!$F$10</f>
        <v>14.47</v>
      </c>
      <c r="H31" s="77">
        <f>'28'!$F$11</f>
        <v>18.73</v>
      </c>
      <c r="I31" s="77">
        <f>'28'!$F$12</f>
        <v>9.67</v>
      </c>
      <c r="J31" s="77">
        <f>'28'!$F$13</f>
        <v>8.0299999999999994</v>
      </c>
      <c r="K31" s="77">
        <f>'28'!$F$14</f>
        <v>10.58</v>
      </c>
      <c r="L31" s="77">
        <f>'28'!$F$15</f>
        <v>19.079999999999998</v>
      </c>
      <c r="M31" s="77">
        <f>'28'!$F$16</f>
        <v>9.32</v>
      </c>
      <c r="N31" s="77">
        <f>'28'!$F$17</f>
        <v>6.01</v>
      </c>
      <c r="O31" s="77">
        <f>'28'!$F$18</f>
        <v>10.11</v>
      </c>
      <c r="P31" s="77" t="str">
        <f>'28'!$F$19</f>
        <v/>
      </c>
      <c r="Q31" s="77">
        <f>'28'!$F$20</f>
        <v>10.9</v>
      </c>
      <c r="R31" s="77">
        <f>'28'!$F$21</f>
        <v>10.45</v>
      </c>
      <c r="S31" s="77">
        <f>'28'!$F$22</f>
        <v>9.67</v>
      </c>
      <c r="T31" s="77">
        <f>'28'!$F$23</f>
        <v>8.57</v>
      </c>
      <c r="U31" s="77">
        <f>'28'!$F$24</f>
        <v>13.29</v>
      </c>
      <c r="V31" s="77">
        <f>'28'!$F$25</f>
        <v>20.9</v>
      </c>
      <c r="W31" s="77">
        <f>'28'!$F$26</f>
        <v>13.75</v>
      </c>
      <c r="X31" s="77">
        <f>'28'!$F$27</f>
        <v>9.76</v>
      </c>
      <c r="Y31" s="77">
        <f>'28'!$F$28</f>
        <v>10.43</v>
      </c>
      <c r="Z31" s="77">
        <f>'28'!$F$29</f>
        <v>7.7</v>
      </c>
      <c r="AA31" s="77">
        <f>'28'!$F$30</f>
        <v>9.5399999999999991</v>
      </c>
      <c r="AB31" s="77" t="str">
        <f>'28'!$F$31</f>
        <v/>
      </c>
      <c r="AC31" s="77" t="str">
        <f>'28'!$F$32</f>
        <v/>
      </c>
      <c r="AD31" s="98">
        <f>'28'!$F$33</f>
        <v>9.7899999999999991</v>
      </c>
    </row>
    <row r="32" spans="1:30" x14ac:dyDescent="0.2">
      <c r="A32" s="97" t="s">
        <v>1061</v>
      </c>
      <c r="B32" s="77">
        <f>'29'!$F$5</f>
        <v>6.72</v>
      </c>
      <c r="C32" s="77">
        <f>'29'!$F$6</f>
        <v>2.46</v>
      </c>
      <c r="D32" s="77">
        <f>'29'!$F$7</f>
        <v>5.01</v>
      </c>
      <c r="E32" s="77">
        <f>'29'!$F$8</f>
        <v>5.54</v>
      </c>
      <c r="F32" s="77" t="str">
        <f>'29'!$F$9</f>
        <v/>
      </c>
      <c r="G32" s="77">
        <f>'29'!$F$10</f>
        <v>10.08</v>
      </c>
      <c r="H32" s="77">
        <f>'29'!$F$11</f>
        <v>4</v>
      </c>
      <c r="I32" s="77">
        <f>'29'!$F$12</f>
        <v>4.43</v>
      </c>
      <c r="J32" s="77">
        <f>'29'!$F$13</f>
        <v>3.06</v>
      </c>
      <c r="K32" s="77">
        <f>'29'!$F$14</f>
        <v>19.34</v>
      </c>
      <c r="L32" s="77">
        <f>'29'!$F$15</f>
        <v>6.34</v>
      </c>
      <c r="M32" s="77">
        <f>'29'!$F$16</f>
        <v>5.09</v>
      </c>
      <c r="N32" s="77">
        <f>'29'!$F$17</f>
        <v>3.91</v>
      </c>
      <c r="O32" s="77">
        <f>'29'!$F$18</f>
        <v>8.65</v>
      </c>
      <c r="P32" s="77" t="str">
        <f>'29'!$F$19</f>
        <v/>
      </c>
      <c r="Q32" s="77">
        <f>'29'!$F$20</f>
        <v>4.41</v>
      </c>
      <c r="R32" s="77" t="str">
        <f>'29'!$F$21</f>
        <v/>
      </c>
      <c r="S32" s="77">
        <f>'29'!$F$22</f>
        <v>8.1199999999999992</v>
      </c>
      <c r="T32" s="77">
        <f>'29'!$F$23</f>
        <v>5.04</v>
      </c>
      <c r="U32" s="77">
        <f>'29'!$F$24</f>
        <v>6.34</v>
      </c>
      <c r="V32" s="77">
        <f>'29'!$F$25</f>
        <v>6.34</v>
      </c>
      <c r="W32" s="77">
        <f>'29'!$F$26</f>
        <v>2.84</v>
      </c>
      <c r="X32" s="77">
        <f>'29'!$F$27</f>
        <v>5.37</v>
      </c>
      <c r="Y32" s="77">
        <f>'29'!$F$28</f>
        <v>3.79</v>
      </c>
      <c r="Z32" s="77">
        <f>'29'!$F$29</f>
        <v>4.78</v>
      </c>
      <c r="AA32" s="77">
        <f>'29'!$F$30</f>
        <v>5.92</v>
      </c>
      <c r="AB32" s="77" t="str">
        <f>'29'!$F$31</f>
        <v/>
      </c>
      <c r="AC32" s="77" t="str">
        <f>'29'!$F$32</f>
        <v/>
      </c>
      <c r="AD32" s="98">
        <f>'29'!$F$33</f>
        <v>4.91</v>
      </c>
    </row>
    <row r="33" spans="1:30" x14ac:dyDescent="0.2">
      <c r="A33" s="97" t="s">
        <v>1062</v>
      </c>
      <c r="B33" s="77">
        <f>'30'!$F$5</f>
        <v>9.18</v>
      </c>
      <c r="C33" s="77">
        <f>'30'!$F$6</f>
        <v>25.75</v>
      </c>
      <c r="D33" s="77">
        <f>'30'!$F$7</f>
        <v>5.28</v>
      </c>
      <c r="E33" s="77">
        <f>'30'!$F$8</f>
        <v>5.46</v>
      </c>
      <c r="F33" s="77" t="str">
        <f>'30'!$F$9</f>
        <v/>
      </c>
      <c r="G33" s="77">
        <f>'30'!$F$10</f>
        <v>4.5</v>
      </c>
      <c r="H33" s="77">
        <f>'30'!$F$11</f>
        <v>12.1</v>
      </c>
      <c r="I33" s="77" t="str">
        <f>'30'!$F$12</f>
        <v/>
      </c>
      <c r="J33" s="77">
        <f>'30'!$F$13</f>
        <v>4.75</v>
      </c>
      <c r="K33" s="77" t="str">
        <f>'30'!$F$14</f>
        <v/>
      </c>
      <c r="L33" s="77">
        <f>'30'!$F$15</f>
        <v>3.2</v>
      </c>
      <c r="M33" s="77">
        <f>'30'!$F$16</f>
        <v>5.63</v>
      </c>
      <c r="N33" s="77">
        <f>'30'!$F$17</f>
        <v>4.1900000000000004</v>
      </c>
      <c r="O33" s="77">
        <f>'30'!$F$18</f>
        <v>7.64</v>
      </c>
      <c r="P33" s="77" t="str">
        <f>'30'!$F$19</f>
        <v/>
      </c>
      <c r="Q33" s="77">
        <f>'30'!$F$20</f>
        <v>7.41</v>
      </c>
      <c r="R33" s="77" t="str">
        <f>'30'!$F$21</f>
        <v/>
      </c>
      <c r="S33" s="77">
        <f>'30'!$F$22</f>
        <v>5.12</v>
      </c>
      <c r="T33" s="77">
        <f>'30'!$F$23</f>
        <v>5.05</v>
      </c>
      <c r="U33" s="77" t="str">
        <f>'30'!$F$24</f>
        <v/>
      </c>
      <c r="V33" s="77" t="str">
        <f>'30'!$F$25</f>
        <v/>
      </c>
      <c r="W33" s="77">
        <f>'30'!$F$26</f>
        <v>15.35</v>
      </c>
      <c r="X33" s="77">
        <f>'30'!$F$27</f>
        <v>8.41</v>
      </c>
      <c r="Y33" s="77">
        <f>'30'!$F$28</f>
        <v>6.59</v>
      </c>
      <c r="Z33" s="77">
        <f>'30'!$F$29</f>
        <v>4.5599999999999996</v>
      </c>
      <c r="AA33" s="77">
        <f>'30'!$F$30</f>
        <v>6.05</v>
      </c>
      <c r="AB33" s="77" t="str">
        <f>'30'!$F$31</f>
        <v/>
      </c>
      <c r="AC33" s="77" t="str">
        <f>'30'!$F$32</f>
        <v/>
      </c>
      <c r="AD33" s="98">
        <f>'30'!$F$33</f>
        <v>5.73</v>
      </c>
    </row>
    <row r="34" spans="1:30" x14ac:dyDescent="0.2">
      <c r="A34" s="97" t="s">
        <v>1039</v>
      </c>
      <c r="B34" s="77">
        <f>'31'!$F$5</f>
        <v>16.170000000000002</v>
      </c>
      <c r="C34" s="77">
        <f>'31'!$F$6</f>
        <v>7.6</v>
      </c>
      <c r="D34" s="77">
        <f>'31'!$F$7</f>
        <v>7.3</v>
      </c>
      <c r="E34" s="77">
        <f>'31'!$F$8</f>
        <v>7.16</v>
      </c>
      <c r="F34" s="77" t="str">
        <f>'31'!$F$9</f>
        <v/>
      </c>
      <c r="G34" s="77">
        <f>'31'!$F$10</f>
        <v>13.67</v>
      </c>
      <c r="H34" s="77">
        <f>'31'!$F$11</f>
        <v>14.83</v>
      </c>
      <c r="I34" s="77">
        <f>'31'!$F$12</f>
        <v>7.01</v>
      </c>
      <c r="J34" s="77">
        <f>'31'!$F$13</f>
        <v>5.46</v>
      </c>
      <c r="K34" s="77" t="str">
        <f>'31'!$F$14</f>
        <v/>
      </c>
      <c r="L34" s="77">
        <f>'31'!$F$15</f>
        <v>3.28</v>
      </c>
      <c r="M34" s="77">
        <f>'31'!$F$16</f>
        <v>6.56</v>
      </c>
      <c r="N34" s="77">
        <f>'31'!$F$17</f>
        <v>12.39</v>
      </c>
      <c r="O34" s="77">
        <f>'31'!$F$18</f>
        <v>10.61</v>
      </c>
      <c r="P34" s="77">
        <f>'31'!$F$19</f>
        <v>16.059999999999999</v>
      </c>
      <c r="Q34" s="77">
        <f>'31'!$F$20</f>
        <v>8.43</v>
      </c>
      <c r="R34" s="77" t="str">
        <f>'31'!$F$21</f>
        <v/>
      </c>
      <c r="S34" s="77">
        <f>'31'!$F$22</f>
        <v>9.7799999999999994</v>
      </c>
      <c r="T34" s="77">
        <f>'31'!$F$23</f>
        <v>6.81</v>
      </c>
      <c r="U34" s="77">
        <f>'31'!$F$24</f>
        <v>7.85</v>
      </c>
      <c r="V34" s="77">
        <f>'31'!$F$25</f>
        <v>18.63</v>
      </c>
      <c r="W34" s="77">
        <f>'31'!$F$26</f>
        <v>3.28</v>
      </c>
      <c r="X34" s="77">
        <f>'31'!$F$27</f>
        <v>6.66</v>
      </c>
      <c r="Y34" s="77">
        <f>'31'!$F$28</f>
        <v>10.95</v>
      </c>
      <c r="Z34" s="77">
        <f>'31'!$F$29</f>
        <v>6.15</v>
      </c>
      <c r="AA34" s="77">
        <f>'31'!$F$30</f>
        <v>10.52</v>
      </c>
      <c r="AB34" s="77" t="str">
        <f>'31'!$F$31</f>
        <v/>
      </c>
      <c r="AC34" s="77" t="str">
        <f>'31'!$F$32</f>
        <v/>
      </c>
      <c r="AD34" s="98">
        <f>'31'!$F$33</f>
        <v>7.84</v>
      </c>
    </row>
    <row r="35" spans="1:30" x14ac:dyDescent="0.2">
      <c r="A35" s="97" t="s">
        <v>1063</v>
      </c>
      <c r="B35" s="77">
        <f>'32'!$F$5</f>
        <v>12.25</v>
      </c>
      <c r="C35" s="77">
        <f>'32'!$F$6</f>
        <v>7.16</v>
      </c>
      <c r="D35" s="77">
        <f>'32'!$F$7</f>
        <v>8.1300000000000008</v>
      </c>
      <c r="E35" s="77">
        <f>'32'!$F$8</f>
        <v>8.51</v>
      </c>
      <c r="F35" s="77" t="str">
        <f>'32'!$F$9</f>
        <v/>
      </c>
      <c r="G35" s="77">
        <f>'32'!$F$10</f>
        <v>5.04</v>
      </c>
      <c r="H35" s="77">
        <f>'32'!$F$11</f>
        <v>8.7799999999999994</v>
      </c>
      <c r="I35" s="77">
        <f>'32'!$F$12</f>
        <v>5.61</v>
      </c>
      <c r="J35" s="77">
        <f>'32'!$F$13</f>
        <v>9.6199999999999992</v>
      </c>
      <c r="K35" s="77" t="str">
        <f>'32'!$F$14</f>
        <v/>
      </c>
      <c r="L35" s="77">
        <f>'32'!$F$15</f>
        <v>8.16</v>
      </c>
      <c r="M35" s="77">
        <f>'32'!$F$16</f>
        <v>9.0500000000000007</v>
      </c>
      <c r="N35" s="77">
        <f>'32'!$F$17</f>
        <v>8.9700000000000006</v>
      </c>
      <c r="O35" s="77">
        <f>'32'!$F$18</f>
        <v>12.16</v>
      </c>
      <c r="P35" s="77" t="str">
        <f>'32'!$F$19</f>
        <v/>
      </c>
      <c r="Q35" s="77">
        <f>'32'!$F$20</f>
        <v>11.36</v>
      </c>
      <c r="R35" s="77">
        <f>'32'!$F$21</f>
        <v>24.08</v>
      </c>
      <c r="S35" s="77">
        <f>'32'!$F$22</f>
        <v>10.67</v>
      </c>
      <c r="T35" s="77">
        <f>'32'!$F$23</f>
        <v>8.52</v>
      </c>
      <c r="U35" s="77">
        <f>'32'!$F$24</f>
        <v>10.06</v>
      </c>
      <c r="V35" s="77">
        <f>'32'!$F$25</f>
        <v>13.58</v>
      </c>
      <c r="W35" s="77">
        <f>'32'!$F$26</f>
        <v>7.3</v>
      </c>
      <c r="X35" s="77">
        <f>'32'!$F$27</f>
        <v>9.76</v>
      </c>
      <c r="Y35" s="77">
        <f>'32'!$F$28</f>
        <v>10.57</v>
      </c>
      <c r="Z35" s="77">
        <f>'32'!$F$29</f>
        <v>8.01</v>
      </c>
      <c r="AA35" s="77">
        <f>'32'!$F$30</f>
        <v>10.97</v>
      </c>
      <c r="AB35" s="77" t="str">
        <f>'32'!$F$31</f>
        <v/>
      </c>
      <c r="AC35" s="77" t="str">
        <f>'32'!$F$32</f>
        <v/>
      </c>
      <c r="AD35" s="98">
        <f>'32'!$F$33</f>
        <v>9.18</v>
      </c>
    </row>
    <row r="36" spans="1:30" x14ac:dyDescent="0.2">
      <c r="A36" s="97" t="s">
        <v>1064</v>
      </c>
      <c r="B36" s="77">
        <f>'33'!$F$5</f>
        <v>6.47</v>
      </c>
      <c r="C36" s="77">
        <f>'33'!$F$6</f>
        <v>13.66</v>
      </c>
      <c r="D36" s="77">
        <f>'33'!$F$7</f>
        <v>8.56</v>
      </c>
      <c r="E36" s="77">
        <f>'33'!$F$8</f>
        <v>8.49</v>
      </c>
      <c r="F36" s="77" t="str">
        <f>'33'!$F$9</f>
        <v/>
      </c>
      <c r="G36" s="77">
        <f>'33'!$F$10</f>
        <v>17.510000000000002</v>
      </c>
      <c r="H36" s="77">
        <f>'33'!$F$11</f>
        <v>15.87</v>
      </c>
      <c r="I36" s="77">
        <f>'33'!$F$12</f>
        <v>8.16</v>
      </c>
      <c r="J36" s="77">
        <f>'33'!$F$13</f>
        <v>7.07</v>
      </c>
      <c r="K36" s="77" t="str">
        <f>'33'!$F$14</f>
        <v/>
      </c>
      <c r="L36" s="77">
        <f>'33'!$F$15</f>
        <v>15.01</v>
      </c>
      <c r="M36" s="77">
        <f>'33'!$F$16</f>
        <v>8.2100000000000009</v>
      </c>
      <c r="N36" s="77">
        <f>'33'!$F$17</f>
        <v>11.65</v>
      </c>
      <c r="O36" s="77">
        <f>'33'!$F$18</f>
        <v>10.92</v>
      </c>
      <c r="P36" s="77" t="str">
        <f>'33'!$F$19</f>
        <v/>
      </c>
      <c r="Q36" s="77">
        <f>'33'!$F$20</f>
        <v>8.7799999999999994</v>
      </c>
      <c r="R36" s="77" t="str">
        <f>'33'!$F$21</f>
        <v/>
      </c>
      <c r="S36" s="77">
        <f>'33'!$F$22</f>
        <v>7.94</v>
      </c>
      <c r="T36" s="77">
        <f>'33'!$F$23</f>
        <v>10.58</v>
      </c>
      <c r="U36" s="77" t="str">
        <f>'33'!$F$24</f>
        <v/>
      </c>
      <c r="V36" s="77" t="str">
        <f>'33'!$F$25</f>
        <v/>
      </c>
      <c r="W36" s="77">
        <f>'33'!$F$26</f>
        <v>30.38</v>
      </c>
      <c r="X36" s="77">
        <f>'33'!$F$27</f>
        <v>8.75</v>
      </c>
      <c r="Y36" s="77">
        <f>'33'!$F$28</f>
        <v>6.41</v>
      </c>
      <c r="Z36" s="77">
        <f>'33'!$F$29</f>
        <v>7.35</v>
      </c>
      <c r="AA36" s="77">
        <f>'33'!$F$30</f>
        <v>9.58</v>
      </c>
      <c r="AB36" s="77" t="str">
        <f>'33'!$F$31</f>
        <v/>
      </c>
      <c r="AC36" s="77" t="str">
        <f>'33'!$F$32</f>
        <v/>
      </c>
      <c r="AD36" s="98">
        <f>'33'!$F$33</f>
        <v>9.17</v>
      </c>
    </row>
    <row r="37" spans="1:30" x14ac:dyDescent="0.2">
      <c r="A37" s="97" t="s">
        <v>1042</v>
      </c>
      <c r="B37" s="77">
        <f>'34'!$F$5</f>
        <v>14.53</v>
      </c>
      <c r="C37" s="77">
        <f>'34'!$F$6</f>
        <v>6.41</v>
      </c>
      <c r="D37" s="77">
        <f>'34'!$F$7</f>
        <v>4.3499999999999996</v>
      </c>
      <c r="E37" s="77">
        <f>'34'!$F$8</f>
        <v>5.55</v>
      </c>
      <c r="F37" s="77" t="str">
        <f>'34'!$F$9</f>
        <v/>
      </c>
      <c r="G37" s="77">
        <f>'34'!$F$10</f>
        <v>11.04</v>
      </c>
      <c r="H37" s="77">
        <f>'34'!$F$11</f>
        <v>5.47</v>
      </c>
      <c r="I37" s="77">
        <f>'34'!$F$12</f>
        <v>6.83</v>
      </c>
      <c r="J37" s="77">
        <f>'34'!$F$13</f>
        <v>4.26</v>
      </c>
      <c r="K37" s="77" t="str">
        <f>'34'!$F$14</f>
        <v/>
      </c>
      <c r="L37" s="77">
        <f>'34'!$F$15</f>
        <v>4.72</v>
      </c>
      <c r="M37" s="77">
        <f>'34'!$F$16</f>
        <v>5.19</v>
      </c>
      <c r="N37" s="77">
        <f>'34'!$F$17</f>
        <v>4.9800000000000004</v>
      </c>
      <c r="O37" s="77">
        <f>'34'!$F$18</f>
        <v>11.63</v>
      </c>
      <c r="P37" s="77" t="str">
        <f>'34'!$F$19</f>
        <v/>
      </c>
      <c r="Q37" s="77">
        <f>'34'!$F$20</f>
        <v>6.16</v>
      </c>
      <c r="R37" s="77" t="str">
        <f>'34'!$F$21</f>
        <v/>
      </c>
      <c r="S37" s="77">
        <f>'34'!$F$22</f>
        <v>7.23</v>
      </c>
      <c r="T37" s="77">
        <f>'34'!$F$23</f>
        <v>4.16</v>
      </c>
      <c r="U37" s="77" t="str">
        <f>'34'!$F$24</f>
        <v/>
      </c>
      <c r="V37" s="77">
        <f>'34'!$F$25</f>
        <v>14.85</v>
      </c>
      <c r="W37" s="77">
        <f>'34'!$F$26</f>
        <v>2.31</v>
      </c>
      <c r="X37" s="77">
        <f>'34'!$F$27</f>
        <v>6.05</v>
      </c>
      <c r="Y37" s="77">
        <f>'34'!$F$28</f>
        <v>4.9800000000000004</v>
      </c>
      <c r="Z37" s="77">
        <f>'34'!$F$29</f>
        <v>5</v>
      </c>
      <c r="AA37" s="77">
        <f>'34'!$F$30</f>
        <v>6.65</v>
      </c>
      <c r="AB37" s="77" t="str">
        <f>'34'!$F$31</f>
        <v/>
      </c>
      <c r="AC37" s="77" t="str">
        <f>'34'!$F$32</f>
        <v/>
      </c>
      <c r="AD37" s="98">
        <f>'34'!$F$33</f>
        <v>5.44</v>
      </c>
    </row>
    <row r="38" spans="1:30" x14ac:dyDescent="0.2">
      <c r="A38" s="97" t="s">
        <v>1065</v>
      </c>
      <c r="B38" s="77">
        <f>'35'!$F$5</f>
        <v>7.29</v>
      </c>
      <c r="C38" s="77">
        <f>'35'!$F$6</f>
        <v>5.22</v>
      </c>
      <c r="D38" s="77">
        <f>'35'!$F$7</f>
        <v>4.8899999999999997</v>
      </c>
      <c r="E38" s="77">
        <f>'35'!$F$8</f>
        <v>7.82</v>
      </c>
      <c r="F38" s="77" t="str">
        <f>'35'!$F$9</f>
        <v/>
      </c>
      <c r="G38" s="77" t="str">
        <f>'35'!$F$10</f>
        <v/>
      </c>
      <c r="H38" s="77">
        <f>'35'!$F$11</f>
        <v>5.64</v>
      </c>
      <c r="I38" s="77" t="str">
        <f>'35'!$F$12</f>
        <v/>
      </c>
      <c r="J38" s="77">
        <f>'35'!$F$13</f>
        <v>5.29</v>
      </c>
      <c r="K38" s="77" t="str">
        <f>'35'!$F$14</f>
        <v/>
      </c>
      <c r="L38" s="77" t="str">
        <f>'35'!$F$15</f>
        <v/>
      </c>
      <c r="M38" s="77">
        <f>'35'!$F$16</f>
        <v>5.73</v>
      </c>
      <c r="N38" s="77">
        <f>'35'!$F$17</f>
        <v>4.5199999999999996</v>
      </c>
      <c r="O38" s="77" t="str">
        <f>'35'!$F$18</f>
        <v/>
      </c>
      <c r="P38" s="77" t="str">
        <f>'35'!$F$19</f>
        <v/>
      </c>
      <c r="Q38" s="77">
        <f>'35'!$F$20</f>
        <v>7.92</v>
      </c>
      <c r="R38" s="77" t="str">
        <f>'35'!$F$21</f>
        <v/>
      </c>
      <c r="S38" s="77">
        <f>'35'!$F$22</f>
        <v>5.41</v>
      </c>
      <c r="T38" s="77">
        <f>'35'!$F$23</f>
        <v>6.1</v>
      </c>
      <c r="U38" s="77" t="str">
        <f>'35'!$F$24</f>
        <v/>
      </c>
      <c r="V38" s="77" t="str">
        <f>'35'!$F$25</f>
        <v/>
      </c>
      <c r="W38" s="77">
        <f>'35'!$F$26</f>
        <v>6.16</v>
      </c>
      <c r="X38" s="77">
        <f>'35'!$F$27</f>
        <v>11.25</v>
      </c>
      <c r="Y38" s="77" t="str">
        <f>'35'!$F$28</f>
        <v/>
      </c>
      <c r="Z38" s="77">
        <f>'35'!$F$29</f>
        <v>4.75</v>
      </c>
      <c r="AA38" s="77">
        <f>'35'!$F$30</f>
        <v>8.7200000000000006</v>
      </c>
      <c r="AB38" s="77" t="str">
        <f>'35'!$F$31</f>
        <v/>
      </c>
      <c r="AC38" s="77" t="str">
        <f>'35'!$F$32</f>
        <v/>
      </c>
      <c r="AD38" s="98">
        <f>'35'!$F$33</f>
        <v>6.3</v>
      </c>
    </row>
    <row r="39" spans="1:30" x14ac:dyDescent="0.2">
      <c r="A39" s="97" t="s">
        <v>1078</v>
      </c>
      <c r="B39" s="77">
        <f>'36'!$F$5</f>
        <v>7.86</v>
      </c>
      <c r="C39" s="77">
        <f>'36'!$F$6</f>
        <v>6.94</v>
      </c>
      <c r="D39" s="77">
        <f>'36'!$F$7</f>
        <v>7.07</v>
      </c>
      <c r="E39" s="77">
        <f>'36'!$F$8</f>
        <v>7.17</v>
      </c>
      <c r="F39" s="77">
        <f>'36'!$F$9</f>
        <v>32.32</v>
      </c>
      <c r="G39" s="77">
        <f>'36'!$F$10</f>
        <v>5.81</v>
      </c>
      <c r="H39" s="77">
        <f>'36'!$F$11</f>
        <v>10.11</v>
      </c>
      <c r="I39" s="77">
        <f>'36'!$F$12</f>
        <v>7.4</v>
      </c>
      <c r="J39" s="77">
        <f>'36'!$F$13</f>
        <v>8.42</v>
      </c>
      <c r="K39" s="77">
        <f>'36'!$F$14</f>
        <v>10</v>
      </c>
      <c r="L39" s="77">
        <f>'36'!$F$15</f>
        <v>18.38</v>
      </c>
      <c r="M39" s="77">
        <f>'36'!$F$16</f>
        <v>7.52</v>
      </c>
      <c r="N39" s="77">
        <f>'36'!$F$17</f>
        <v>9.36</v>
      </c>
      <c r="O39" s="77">
        <f>'36'!$F$18</f>
        <v>10.76</v>
      </c>
      <c r="P39" s="77" t="str">
        <f>'36'!$F$19</f>
        <v/>
      </c>
      <c r="Q39" s="77">
        <f>'36'!$F$20</f>
        <v>10.92</v>
      </c>
      <c r="R39" s="77">
        <f>'36'!$F$21</f>
        <v>10.15</v>
      </c>
      <c r="S39" s="77">
        <f>'36'!$F$22</f>
        <v>10.99</v>
      </c>
      <c r="T39" s="77">
        <f>'36'!$F$23</f>
        <v>7.64</v>
      </c>
      <c r="U39" s="77">
        <f>'36'!$F$24</f>
        <v>10.07</v>
      </c>
      <c r="V39" s="77">
        <f>'36'!$F$25</f>
        <v>18.309999999999999</v>
      </c>
      <c r="W39" s="77">
        <f>'36'!$F$26</f>
        <v>7.95</v>
      </c>
      <c r="X39" s="77">
        <f>'36'!$F$27</f>
        <v>8.6199999999999992</v>
      </c>
      <c r="Y39" s="77">
        <f>'36'!$F$28</f>
        <v>12.33</v>
      </c>
      <c r="Z39" s="77">
        <f>'36'!$F$29</f>
        <v>7.43</v>
      </c>
      <c r="AA39" s="77">
        <f>'36'!$F$30</f>
        <v>9.68</v>
      </c>
      <c r="AB39" s="77" t="str">
        <f>'36'!$F$31</f>
        <v/>
      </c>
      <c r="AC39" s="77" t="str">
        <f>'36'!$F$32</f>
        <v/>
      </c>
      <c r="AD39" s="98">
        <f>'36'!$F$33</f>
        <v>8.52</v>
      </c>
    </row>
    <row r="40" spans="1:30" x14ac:dyDescent="0.2">
      <c r="A40" s="97" t="s">
        <v>1066</v>
      </c>
      <c r="B40" s="77">
        <f>'37'!$F$5</f>
        <v>11.14</v>
      </c>
      <c r="C40" s="77">
        <f>'37'!$F$6</f>
        <v>6.41</v>
      </c>
      <c r="D40" s="77">
        <f>'37'!$F$7</f>
        <v>5.81</v>
      </c>
      <c r="E40" s="77">
        <f>'37'!$F$8</f>
        <v>5.85</v>
      </c>
      <c r="F40" s="77">
        <f>'37'!$F$9</f>
        <v>2.4900000000000002</v>
      </c>
      <c r="G40" s="77">
        <f>'37'!$F$10</f>
        <v>5.32</v>
      </c>
      <c r="H40" s="77">
        <f>'37'!$F$11</f>
        <v>6.83</v>
      </c>
      <c r="I40" s="77">
        <f>'37'!$F$12</f>
        <v>2.4900000000000002</v>
      </c>
      <c r="J40" s="77">
        <f>'37'!$F$13</f>
        <v>5.99</v>
      </c>
      <c r="K40" s="77">
        <f>'37'!$F$14</f>
        <v>2.4900000000000002</v>
      </c>
      <c r="L40" s="77">
        <f>'37'!$F$15</f>
        <v>4.0599999999999996</v>
      </c>
      <c r="M40" s="77">
        <f>'37'!$F$16</f>
        <v>6.54</v>
      </c>
      <c r="N40" s="77">
        <f>'37'!$F$17</f>
        <v>5.29</v>
      </c>
      <c r="O40" s="77">
        <f>'37'!$F$18</f>
        <v>6.33</v>
      </c>
      <c r="P40" s="77" t="str">
        <f>'37'!$F$19</f>
        <v/>
      </c>
      <c r="Q40" s="77">
        <f>'37'!$F$20</f>
        <v>8.75</v>
      </c>
      <c r="R40" s="77">
        <f>'37'!$F$21</f>
        <v>8.4499999999999993</v>
      </c>
      <c r="S40" s="77">
        <f>'37'!$F$22</f>
        <v>6.14</v>
      </c>
      <c r="T40" s="77">
        <f>'37'!$F$23</f>
        <v>5.31</v>
      </c>
      <c r="U40" s="77">
        <f>'37'!$F$24</f>
        <v>6.11</v>
      </c>
      <c r="V40" s="77">
        <f>'37'!$F$25</f>
        <v>5.6</v>
      </c>
      <c r="W40" s="77">
        <f>'37'!$F$26</f>
        <v>18.899999999999999</v>
      </c>
      <c r="X40" s="77">
        <f>'37'!$F$27</f>
        <v>11.04</v>
      </c>
      <c r="Y40" s="77">
        <f>'37'!$F$28</f>
        <v>4.5999999999999996</v>
      </c>
      <c r="Z40" s="77">
        <f>'37'!$F$29</f>
        <v>5.42</v>
      </c>
      <c r="AA40" s="77">
        <f>'37'!$F$30</f>
        <v>9.7799999999999994</v>
      </c>
      <c r="AB40" s="77" t="str">
        <f>'37'!$F$31</f>
        <v/>
      </c>
      <c r="AC40" s="77" t="str">
        <f>'37'!$F$32</f>
        <v/>
      </c>
      <c r="AD40" s="98">
        <f>'37'!$F$33</f>
        <v>6.33</v>
      </c>
    </row>
    <row r="41" spans="1:30" x14ac:dyDescent="0.2">
      <c r="A41" s="97" t="s">
        <v>1067</v>
      </c>
      <c r="B41" s="77">
        <f>'38'!$F$5</f>
        <v>7.08</v>
      </c>
      <c r="C41" s="77">
        <f>'38'!$F$6</f>
        <v>18.579999999999998</v>
      </c>
      <c r="D41" s="77">
        <f>'38'!$F$7</f>
        <v>7.08</v>
      </c>
      <c r="E41" s="77">
        <f>'38'!$F$8</f>
        <v>5.96</v>
      </c>
      <c r="F41" s="77" t="str">
        <f>'38'!$F$9</f>
        <v/>
      </c>
      <c r="G41" s="77">
        <f>'38'!$F$10</f>
        <v>10.4</v>
      </c>
      <c r="H41" s="77">
        <f>'38'!$F$11</f>
        <v>7.88</v>
      </c>
      <c r="I41" s="77">
        <f>'38'!$F$12</f>
        <v>12.83</v>
      </c>
      <c r="J41" s="77">
        <f>'38'!$F$13</f>
        <v>9.8699999999999992</v>
      </c>
      <c r="K41" s="77">
        <f>'38'!$F$14</f>
        <v>6.65</v>
      </c>
      <c r="L41" s="77">
        <f>'38'!$F$15</f>
        <v>5.95</v>
      </c>
      <c r="M41" s="77">
        <f>'38'!$F$16</f>
        <v>9.07</v>
      </c>
      <c r="N41" s="77">
        <f>'38'!$F$17</f>
        <v>6.93</v>
      </c>
      <c r="O41" s="77">
        <f>'38'!$F$18</f>
        <v>10.29</v>
      </c>
      <c r="P41" s="77" t="str">
        <f>'38'!$F$19</f>
        <v/>
      </c>
      <c r="Q41" s="77">
        <f>'38'!$F$20</f>
        <v>13.37</v>
      </c>
      <c r="R41" s="77">
        <f>'38'!$F$21</f>
        <v>16.829999999999998</v>
      </c>
      <c r="S41" s="77">
        <f>'38'!$F$22</f>
        <v>10.97</v>
      </c>
      <c r="T41" s="77">
        <f>'38'!$F$23</f>
        <v>6.83</v>
      </c>
      <c r="U41" s="77">
        <f>'38'!$F$24</f>
        <v>7.73</v>
      </c>
      <c r="V41" s="77">
        <f>'38'!$F$25</f>
        <v>9.0299999999999994</v>
      </c>
      <c r="W41" s="77">
        <f>'38'!$F$26</f>
        <v>11.2</v>
      </c>
      <c r="X41" s="77">
        <f>'38'!$F$27</f>
        <v>10.98</v>
      </c>
      <c r="Y41" s="77">
        <f>'38'!$F$28</f>
        <v>8.81</v>
      </c>
      <c r="Z41" s="77">
        <f>'38'!$F$29</f>
        <v>7.33</v>
      </c>
      <c r="AA41" s="77">
        <f>'38'!$F$30</f>
        <v>7.5</v>
      </c>
      <c r="AB41" s="77" t="str">
        <f>'38'!$F$31</f>
        <v/>
      </c>
      <c r="AC41" s="77" t="str">
        <f>'38'!$F$32</f>
        <v/>
      </c>
      <c r="AD41" s="98">
        <f>'38'!$F$33</f>
        <v>8.18</v>
      </c>
    </row>
    <row r="42" spans="1:30" x14ac:dyDescent="0.2">
      <c r="A42" s="97" t="s">
        <v>1043</v>
      </c>
      <c r="B42" s="77">
        <f>'39'!$F$5</f>
        <v>9.8699999999999992</v>
      </c>
      <c r="C42" s="77">
        <f>'39'!$F$6</f>
        <v>13.71</v>
      </c>
      <c r="D42" s="77">
        <f>'39'!$F$7</f>
        <v>7.33</v>
      </c>
      <c r="E42" s="77">
        <f>'39'!$F$8</f>
        <v>9.5399999999999991</v>
      </c>
      <c r="F42" s="77" t="str">
        <f>'39'!$F$9</f>
        <v/>
      </c>
      <c r="G42" s="77">
        <f>'39'!$F$10</f>
        <v>5.38</v>
      </c>
      <c r="H42" s="77">
        <f>'39'!$F$11</f>
        <v>5.67</v>
      </c>
      <c r="I42" s="77">
        <f>'39'!$F$12</f>
        <v>9.06</v>
      </c>
      <c r="J42" s="77">
        <f>'39'!$F$13</f>
        <v>7.08</v>
      </c>
      <c r="K42" s="77">
        <f>'39'!$F$14</f>
        <v>4.93</v>
      </c>
      <c r="L42" s="77">
        <f>'39'!$F$15</f>
        <v>14.84</v>
      </c>
      <c r="M42" s="77">
        <f>'39'!$F$16</f>
        <v>7.41</v>
      </c>
      <c r="N42" s="77">
        <f>'39'!$F$17</f>
        <v>5.49</v>
      </c>
      <c r="O42" s="77">
        <f>'39'!$F$18</f>
        <v>3.33</v>
      </c>
      <c r="P42" s="77" t="str">
        <f>'39'!$F$19</f>
        <v/>
      </c>
      <c r="Q42" s="77">
        <f>'39'!$F$20</f>
        <v>5.17</v>
      </c>
      <c r="R42" s="77" t="str">
        <f>'39'!$F$21</f>
        <v/>
      </c>
      <c r="S42" s="77">
        <f>'39'!$F$22</f>
        <v>9.1</v>
      </c>
      <c r="T42" s="77">
        <f>'39'!$F$23</f>
        <v>7.93</v>
      </c>
      <c r="U42" s="77">
        <f>'39'!$F$24</f>
        <v>8.19</v>
      </c>
      <c r="V42" s="77">
        <f>'39'!$F$25</f>
        <v>15.47</v>
      </c>
      <c r="W42" s="77">
        <f>'39'!$F$26</f>
        <v>3.81</v>
      </c>
      <c r="X42" s="77">
        <f>'39'!$F$27</f>
        <v>8.2200000000000006</v>
      </c>
      <c r="Y42" s="77">
        <f>'39'!$F$28</f>
        <v>9.24</v>
      </c>
      <c r="Z42" s="77">
        <f>'39'!$F$29</f>
        <v>6.51</v>
      </c>
      <c r="AA42" s="77">
        <f>'39'!$F$30</f>
        <v>7.3</v>
      </c>
      <c r="AB42" s="77" t="str">
        <f>'39'!$F$31</f>
        <v/>
      </c>
      <c r="AC42" s="77" t="str">
        <f>'39'!$F$32</f>
        <v/>
      </c>
      <c r="AD42" s="98">
        <f>'39'!$F$33</f>
        <v>7.59</v>
      </c>
    </row>
    <row r="43" spans="1:30" x14ac:dyDescent="0.2">
      <c r="A43" s="97" t="s">
        <v>1079</v>
      </c>
      <c r="B43" s="77">
        <f>'40'!$F$5</f>
        <v>9.51</v>
      </c>
      <c r="C43" s="77">
        <f>'40'!$F$6</f>
        <v>18.52</v>
      </c>
      <c r="D43" s="77">
        <f>'40'!$F$7</f>
        <v>6.98</v>
      </c>
      <c r="E43" s="77">
        <f>'40'!$F$8</f>
        <v>7.2</v>
      </c>
      <c r="F43" s="77">
        <f>'40'!$F$9</f>
        <v>3.15</v>
      </c>
      <c r="G43" s="77">
        <f>'40'!$F$10</f>
        <v>9.31</v>
      </c>
      <c r="H43" s="77">
        <f>'40'!$F$11</f>
        <v>9</v>
      </c>
      <c r="I43" s="77">
        <f>'40'!$F$12</f>
        <v>6.06</v>
      </c>
      <c r="J43" s="77">
        <f>'40'!$F$13</f>
        <v>7.54</v>
      </c>
      <c r="K43" s="77">
        <f>'40'!$F$14</f>
        <v>11.31</v>
      </c>
      <c r="L43" s="77">
        <f>'40'!$F$15</f>
        <v>10.66</v>
      </c>
      <c r="M43" s="77">
        <f>'40'!$F$16</f>
        <v>7.28</v>
      </c>
      <c r="N43" s="77">
        <f>'40'!$F$17</f>
        <v>6.77</v>
      </c>
      <c r="O43" s="77">
        <f>'40'!$F$18</f>
        <v>13.95</v>
      </c>
      <c r="P43" s="77">
        <f>'40'!$F$19</f>
        <v>17.670000000000002</v>
      </c>
      <c r="Q43" s="77">
        <f>'40'!$F$20</f>
        <v>11.48</v>
      </c>
      <c r="R43" s="77">
        <f>'40'!$F$21</f>
        <v>14.47</v>
      </c>
      <c r="S43" s="77" t="str">
        <f>'40'!$F$22</f>
        <v/>
      </c>
      <c r="T43" s="77">
        <f>'40'!$F$23</f>
        <v>7.25</v>
      </c>
      <c r="U43" s="77">
        <f>'40'!$F$24</f>
        <v>9.81</v>
      </c>
      <c r="V43" s="77">
        <f>'40'!$F$25</f>
        <v>10.32</v>
      </c>
      <c r="W43" s="77">
        <f>'40'!$F$26</f>
        <v>5.04</v>
      </c>
      <c r="X43" s="77">
        <f>'40'!$F$27</f>
        <v>8.2100000000000009</v>
      </c>
      <c r="Y43" s="77">
        <f>'40'!$F$28</f>
        <v>14.33</v>
      </c>
      <c r="Z43" s="77">
        <f>'40'!$F$29</f>
        <v>6.28</v>
      </c>
      <c r="AA43" s="77">
        <f>'40'!$F$30</f>
        <v>8.52</v>
      </c>
      <c r="AB43" s="77" t="str">
        <f>'40'!$F$31</f>
        <v/>
      </c>
      <c r="AC43" s="77" t="str">
        <f>'40'!$F$32</f>
        <v/>
      </c>
      <c r="AD43" s="98">
        <f>'40'!$F$33</f>
        <v>7.77</v>
      </c>
    </row>
    <row r="44" spans="1:30" x14ac:dyDescent="0.2">
      <c r="A44" s="97" t="s">
        <v>1044</v>
      </c>
      <c r="B44" s="77">
        <f>'41'!$F$5</f>
        <v>7.25</v>
      </c>
      <c r="C44" s="77">
        <f>'41'!$F$6</f>
        <v>15.62</v>
      </c>
      <c r="D44" s="77">
        <f>'41'!$F$7</f>
        <v>7.48</v>
      </c>
      <c r="E44" s="77">
        <f>'41'!$F$8</f>
        <v>6</v>
      </c>
      <c r="F44" s="77" t="str">
        <f>'41'!$F$9</f>
        <v/>
      </c>
      <c r="G44" s="77">
        <f>'41'!$F$10</f>
        <v>8.7200000000000006</v>
      </c>
      <c r="H44" s="77">
        <f>'41'!$F$11</f>
        <v>7.6</v>
      </c>
      <c r="I44" s="77" t="str">
        <f>'41'!$F$12</f>
        <v/>
      </c>
      <c r="J44" s="77">
        <f>'41'!$F$13</f>
        <v>7.08</v>
      </c>
      <c r="K44" s="77" t="str">
        <f>'41'!$F$14</f>
        <v/>
      </c>
      <c r="L44" s="77">
        <f>'41'!$F$15</f>
        <v>6.82</v>
      </c>
      <c r="M44" s="77">
        <f>'41'!$F$16</f>
        <v>6.67</v>
      </c>
      <c r="N44" s="77">
        <f>'41'!$F$17</f>
        <v>7.11</v>
      </c>
      <c r="O44" s="77">
        <f>'41'!$F$18</f>
        <v>9.8800000000000008</v>
      </c>
      <c r="P44" s="77">
        <f>'41'!$F$19</f>
        <v>23.29</v>
      </c>
      <c r="Q44" s="77">
        <f>'41'!$F$20</f>
        <v>9.17</v>
      </c>
      <c r="R44" s="77">
        <f>'41'!$F$21</f>
        <v>9.5</v>
      </c>
      <c r="S44" s="77">
        <f>'41'!$F$22</f>
        <v>8.99</v>
      </c>
      <c r="T44" s="77">
        <f>'41'!$F$23</f>
        <v>7.41</v>
      </c>
      <c r="U44" s="77" t="str">
        <f>'41'!$F$24</f>
        <v/>
      </c>
      <c r="V44" s="77" t="str">
        <f>'41'!$F$25</f>
        <v/>
      </c>
      <c r="W44" s="77">
        <f>'41'!$F$26</f>
        <v>7.77</v>
      </c>
      <c r="X44" s="77">
        <f>'41'!$F$27</f>
        <v>6.53</v>
      </c>
      <c r="Y44" s="77">
        <f>'41'!$F$28</f>
        <v>7.05</v>
      </c>
      <c r="Z44" s="77">
        <f>'41'!$F$29</f>
        <v>6.1</v>
      </c>
      <c r="AA44" s="77">
        <f>'41'!$F$30</f>
        <v>10.37</v>
      </c>
      <c r="AB44" s="77" t="str">
        <f>'41'!$F$31</f>
        <v/>
      </c>
      <c r="AC44" s="77" t="str">
        <f>'41'!$F$32</f>
        <v/>
      </c>
      <c r="AD44" s="98">
        <f>'41'!$F$33</f>
        <v>7.61</v>
      </c>
    </row>
    <row r="45" spans="1:30" x14ac:dyDescent="0.2">
      <c r="A45" s="97" t="s">
        <v>1068</v>
      </c>
      <c r="B45" s="77">
        <f>'42'!$F$5</f>
        <v>8.7799999999999994</v>
      </c>
      <c r="C45" s="77">
        <f>'42'!$F$6</f>
        <v>6.17</v>
      </c>
      <c r="D45" s="77">
        <f>'42'!$F$7</f>
        <v>5.95</v>
      </c>
      <c r="E45" s="77">
        <f>'42'!$F$8</f>
        <v>6.42</v>
      </c>
      <c r="F45" s="77" t="str">
        <f>'42'!$F$9</f>
        <v/>
      </c>
      <c r="G45" s="77">
        <f>'42'!$F$10</f>
        <v>6.98</v>
      </c>
      <c r="H45" s="77">
        <f>'42'!$F$11</f>
        <v>8.64</v>
      </c>
      <c r="I45" s="77">
        <f>'42'!$F$12</f>
        <v>4.97</v>
      </c>
      <c r="J45" s="77">
        <f>'42'!$F$13</f>
        <v>5.53</v>
      </c>
      <c r="K45" s="77" t="str">
        <f>'42'!$F$14</f>
        <v/>
      </c>
      <c r="L45" s="77">
        <f>'42'!$F$15</f>
        <v>4.16</v>
      </c>
      <c r="M45" s="77">
        <f>'42'!$F$16</f>
        <v>5.26</v>
      </c>
      <c r="N45" s="77">
        <f>'42'!$F$17</f>
        <v>5.93</v>
      </c>
      <c r="O45" s="77">
        <f>'42'!$F$18</f>
        <v>10.27</v>
      </c>
      <c r="P45" s="77">
        <f>'42'!$F$19</f>
        <v>3.83</v>
      </c>
      <c r="Q45" s="77">
        <f>'42'!$F$20</f>
        <v>4.67</v>
      </c>
      <c r="R45" s="77" t="str">
        <f>'42'!$F$21</f>
        <v/>
      </c>
      <c r="S45" s="77">
        <f>'42'!$F$22</f>
        <v>6.06</v>
      </c>
      <c r="T45" s="77">
        <f>'42'!$F$23</f>
        <v>5.23</v>
      </c>
      <c r="U45" s="77">
        <f>'42'!$F$24</f>
        <v>5.75</v>
      </c>
      <c r="V45" s="77">
        <f>'42'!$F$25</f>
        <v>4.37</v>
      </c>
      <c r="W45" s="77">
        <f>'42'!$F$26</f>
        <v>4.6399999999999997</v>
      </c>
      <c r="X45" s="77">
        <f>'42'!$F$27</f>
        <v>3.08</v>
      </c>
      <c r="Y45" s="77">
        <f>'42'!$F$28</f>
        <v>5.85</v>
      </c>
      <c r="Z45" s="77">
        <f>'42'!$F$29</f>
        <v>5.2</v>
      </c>
      <c r="AA45" s="77">
        <f>'42'!$F$30</f>
        <v>5.46</v>
      </c>
      <c r="AB45" s="77" t="str">
        <f>'42'!$F$31</f>
        <v/>
      </c>
      <c r="AC45" s="77" t="str">
        <f>'42'!$F$32</f>
        <v/>
      </c>
      <c r="AD45" s="98">
        <f>'42'!$F$33</f>
        <v>5.83</v>
      </c>
    </row>
    <row r="46" spans="1:30" x14ac:dyDescent="0.2">
      <c r="A46" s="97" t="s">
        <v>1069</v>
      </c>
      <c r="B46" s="77" t="str">
        <f>'43'!$F$5</f>
        <v/>
      </c>
      <c r="C46" s="77" t="str">
        <f>'43'!$F$6</f>
        <v/>
      </c>
      <c r="D46" s="77" t="str">
        <f>'43'!$F$7</f>
        <v/>
      </c>
      <c r="E46" s="77" t="str">
        <f>'43'!$F$8</f>
        <v/>
      </c>
      <c r="F46" s="77" t="str">
        <f>'43'!$F$9</f>
        <v/>
      </c>
      <c r="G46" s="77" t="str">
        <f>'43'!$F$10</f>
        <v/>
      </c>
      <c r="H46" s="77" t="str">
        <f>'43'!$F$11</f>
        <v/>
      </c>
      <c r="I46" s="77" t="str">
        <f>'43'!$F$12</f>
        <v/>
      </c>
      <c r="J46" s="77" t="str">
        <f>'43'!$F$13</f>
        <v/>
      </c>
      <c r="K46" s="77" t="str">
        <f>'43'!$F$14</f>
        <v/>
      </c>
      <c r="L46" s="77" t="str">
        <f>'43'!$F$15</f>
        <v/>
      </c>
      <c r="M46" s="77" t="str">
        <f>'43'!$F$16</f>
        <v/>
      </c>
      <c r="N46" s="77" t="str">
        <f>'43'!$F$17</f>
        <v/>
      </c>
      <c r="O46" s="77" t="str">
        <f>'43'!$F$18</f>
        <v/>
      </c>
      <c r="P46" s="77" t="str">
        <f>'43'!$F$19</f>
        <v/>
      </c>
      <c r="Q46" s="77" t="str">
        <f>'43'!$F$20</f>
        <v/>
      </c>
      <c r="R46" s="77" t="str">
        <f>'43'!$F$21</f>
        <v/>
      </c>
      <c r="S46" s="77" t="str">
        <f>'43'!$F$22</f>
        <v/>
      </c>
      <c r="T46" s="77" t="str">
        <f>'43'!$F$23</f>
        <v/>
      </c>
      <c r="U46" s="77" t="str">
        <f>'43'!$F$24</f>
        <v/>
      </c>
      <c r="V46" s="77" t="str">
        <f>'43'!$F$25</f>
        <v/>
      </c>
      <c r="W46" s="77" t="str">
        <f>'43'!$F$26</f>
        <v/>
      </c>
      <c r="X46" s="77" t="str">
        <f>'43'!$F$27</f>
        <v/>
      </c>
      <c r="Y46" s="77" t="str">
        <f>'43'!$F$28</f>
        <v/>
      </c>
      <c r="Z46" s="77" t="str">
        <f>'43'!$F$29</f>
        <v/>
      </c>
      <c r="AA46" s="77" t="str">
        <f>'43'!$F$30</f>
        <v/>
      </c>
      <c r="AB46" s="77" t="str">
        <f>'43'!$F$31</f>
        <v/>
      </c>
      <c r="AC46" s="77" t="str">
        <f>'43'!$F$32</f>
        <v/>
      </c>
      <c r="AD46" s="98" t="str">
        <f>'43'!$F$33</f>
        <v/>
      </c>
    </row>
    <row r="47" spans="1:30" x14ac:dyDescent="0.2">
      <c r="A47" s="97" t="s">
        <v>1080</v>
      </c>
      <c r="B47" s="77">
        <f>'44'!$F$5</f>
        <v>5.98</v>
      </c>
      <c r="C47" s="77">
        <f>'44'!$F$6</f>
        <v>4.24</v>
      </c>
      <c r="D47" s="77">
        <f>'44'!$F$7</f>
        <v>5.39</v>
      </c>
      <c r="E47" s="77">
        <f>'44'!$F$8</f>
        <v>6.88</v>
      </c>
      <c r="F47" s="77" t="str">
        <f>'44'!$F$9</f>
        <v/>
      </c>
      <c r="G47" s="77">
        <f>'44'!$F$10</f>
        <v>3.59</v>
      </c>
      <c r="H47" s="77">
        <f>'44'!$F$11</f>
        <v>3.8</v>
      </c>
      <c r="I47" s="77">
        <f>'44'!$F$12</f>
        <v>5.58</v>
      </c>
      <c r="J47" s="77">
        <f>'44'!$F$13</f>
        <v>4.8600000000000003</v>
      </c>
      <c r="K47" s="77" t="str">
        <f>'44'!$F$14</f>
        <v/>
      </c>
      <c r="L47" s="77">
        <f>'44'!$F$15</f>
        <v>4.74</v>
      </c>
      <c r="M47" s="77">
        <f>'44'!$F$16</f>
        <v>5.15</v>
      </c>
      <c r="N47" s="77">
        <f>'44'!$F$17</f>
        <v>3.67</v>
      </c>
      <c r="O47" s="77">
        <f>'44'!$F$18</f>
        <v>7.32</v>
      </c>
      <c r="P47" s="77" t="str">
        <f>'44'!$F$19</f>
        <v/>
      </c>
      <c r="Q47" s="77">
        <f>'44'!$F$20</f>
        <v>6.16</v>
      </c>
      <c r="R47" s="77" t="str">
        <f>'44'!$F$21</f>
        <v/>
      </c>
      <c r="S47" s="77">
        <f>'44'!$F$22</f>
        <v>5.53</v>
      </c>
      <c r="T47" s="77">
        <f>'44'!$F$23</f>
        <v>5.68</v>
      </c>
      <c r="U47" s="77">
        <f>'44'!$F$24</f>
        <v>5.28</v>
      </c>
      <c r="V47" s="77" t="str">
        <f>'44'!$F$25</f>
        <v/>
      </c>
      <c r="W47" s="77">
        <f>'44'!$F$26</f>
        <v>3.69</v>
      </c>
      <c r="X47" s="77">
        <f>'44'!$F$27</f>
        <v>7.56</v>
      </c>
      <c r="Y47" s="77">
        <f>'44'!$F$28</f>
        <v>4.83</v>
      </c>
      <c r="Z47" s="77">
        <f>'44'!$F$29</f>
        <v>5</v>
      </c>
      <c r="AA47" s="77">
        <f>'44'!$F$30</f>
        <v>7.86</v>
      </c>
      <c r="AB47" s="77" t="str">
        <f>'44'!$F$31</f>
        <v/>
      </c>
      <c r="AC47" s="77" t="str">
        <f>'44'!$F$32</f>
        <v/>
      </c>
      <c r="AD47" s="98">
        <f>'44'!$F$33</f>
        <v>5.4</v>
      </c>
    </row>
    <row r="48" spans="1:30" x14ac:dyDescent="0.2">
      <c r="A48" s="97" t="s">
        <v>1045</v>
      </c>
      <c r="B48" s="77">
        <f>'45'!$F$5</f>
        <v>5.16</v>
      </c>
      <c r="C48" s="77">
        <f>'45'!$F$6</f>
        <v>11.35</v>
      </c>
      <c r="D48" s="77">
        <f>'45'!$F$7</f>
        <v>6.68</v>
      </c>
      <c r="E48" s="77">
        <f>'45'!$F$8</f>
        <v>5.21</v>
      </c>
      <c r="F48" s="77">
        <f>'45'!$F$9</f>
        <v>3.29</v>
      </c>
      <c r="G48" s="77">
        <f>'45'!$F$10</f>
        <v>6.1</v>
      </c>
      <c r="H48" s="77">
        <f>'45'!$F$11</f>
        <v>21.18</v>
      </c>
      <c r="I48" s="77">
        <f>'45'!$F$12</f>
        <v>8.08</v>
      </c>
      <c r="J48" s="77">
        <f>'45'!$F$13</f>
        <v>8.16</v>
      </c>
      <c r="K48" s="77">
        <f>'45'!$F$14</f>
        <v>3.75</v>
      </c>
      <c r="L48" s="77">
        <f>'45'!$F$15</f>
        <v>7.94</v>
      </c>
      <c r="M48" s="77">
        <f>'45'!$F$16</f>
        <v>8.56</v>
      </c>
      <c r="N48" s="77">
        <f>'45'!$F$17</f>
        <v>5.0199999999999996</v>
      </c>
      <c r="O48" s="77">
        <f>'45'!$F$18</f>
        <v>10.220000000000001</v>
      </c>
      <c r="P48" s="77">
        <f>'45'!$F$19</f>
        <v>14.77</v>
      </c>
      <c r="Q48" s="77">
        <f>'45'!$F$20</f>
        <v>9.2799999999999994</v>
      </c>
      <c r="R48" s="77">
        <f>'45'!$F$21</f>
        <v>9.93</v>
      </c>
      <c r="S48" s="77">
        <f>'45'!$F$22</f>
        <v>7.12</v>
      </c>
      <c r="T48" s="77">
        <f>'45'!$F$23</f>
        <v>6.89</v>
      </c>
      <c r="U48" s="77">
        <f>'45'!$F$24</f>
        <v>15.37</v>
      </c>
      <c r="V48" s="77">
        <f>'45'!$F$25</f>
        <v>8.08</v>
      </c>
      <c r="W48" s="77">
        <f>'45'!$F$26</f>
        <v>5.68</v>
      </c>
      <c r="X48" s="77">
        <f>'45'!$F$27</f>
        <v>12.44</v>
      </c>
      <c r="Y48" s="77">
        <f>'45'!$F$28</f>
        <v>8.91</v>
      </c>
      <c r="Z48" s="77">
        <f>'45'!$F$29</f>
        <v>6.03</v>
      </c>
      <c r="AA48" s="77">
        <f>'45'!$F$30</f>
        <v>7.56</v>
      </c>
      <c r="AB48" s="77" t="str">
        <f>'45'!$F$31</f>
        <v/>
      </c>
      <c r="AC48" s="77" t="str">
        <f>'45'!$F$32</f>
        <v/>
      </c>
      <c r="AD48" s="98">
        <f>'45'!$F$33</f>
        <v>7.56</v>
      </c>
    </row>
    <row r="49" spans="1:30" x14ac:dyDescent="0.2">
      <c r="A49" s="97" t="s">
        <v>1070</v>
      </c>
      <c r="B49" s="77" t="str">
        <f>'46'!$F$5</f>
        <v/>
      </c>
      <c r="C49" s="77" t="str">
        <f>'46'!$F$6</f>
        <v/>
      </c>
      <c r="D49" s="77" t="str">
        <f>'46'!$F$7</f>
        <v/>
      </c>
      <c r="E49" s="77" t="str">
        <f>'46'!$F$8</f>
        <v/>
      </c>
      <c r="F49" s="77" t="str">
        <f>'46'!$F$9</f>
        <v/>
      </c>
      <c r="G49" s="77" t="str">
        <f>'46'!$F$10</f>
        <v/>
      </c>
      <c r="H49" s="77" t="str">
        <f>'46'!$F$11</f>
        <v/>
      </c>
      <c r="I49" s="77" t="str">
        <f>'46'!$F$12</f>
        <v/>
      </c>
      <c r="J49" s="77" t="str">
        <f>'46'!$F$13</f>
        <v/>
      </c>
      <c r="K49" s="77" t="str">
        <f>'46'!$F$14</f>
        <v/>
      </c>
      <c r="L49" s="77" t="str">
        <f>'46'!$F$15</f>
        <v/>
      </c>
      <c r="M49" s="77" t="str">
        <f>'46'!$F$16</f>
        <v/>
      </c>
      <c r="N49" s="77" t="str">
        <f>'46'!$F$17</f>
        <v/>
      </c>
      <c r="O49" s="77" t="str">
        <f>'46'!$F$18</f>
        <v/>
      </c>
      <c r="P49" s="77" t="str">
        <f>'46'!$F$19</f>
        <v/>
      </c>
      <c r="Q49" s="77" t="str">
        <f>'46'!$F$20</f>
        <v/>
      </c>
      <c r="R49" s="77" t="str">
        <f>'46'!$F$21</f>
        <v/>
      </c>
      <c r="S49" s="77" t="str">
        <f>'46'!$F$22</f>
        <v/>
      </c>
      <c r="T49" s="77" t="str">
        <f>'46'!$F$23</f>
        <v/>
      </c>
      <c r="U49" s="77" t="str">
        <f>'46'!$F$24</f>
        <v/>
      </c>
      <c r="V49" s="77" t="str">
        <f>'46'!$F$25</f>
        <v/>
      </c>
      <c r="W49" s="77" t="str">
        <f>'46'!$F$26</f>
        <v/>
      </c>
      <c r="X49" s="77" t="str">
        <f>'46'!$F$27</f>
        <v/>
      </c>
      <c r="Y49" s="77" t="str">
        <f>'46'!$F$28</f>
        <v/>
      </c>
      <c r="Z49" s="77" t="str">
        <f>'46'!$F$29</f>
        <v/>
      </c>
      <c r="AA49" s="77" t="str">
        <f>'46'!$F$30</f>
        <v/>
      </c>
      <c r="AB49" s="77" t="str">
        <f>'46'!$F$31</f>
        <v/>
      </c>
      <c r="AC49" s="77" t="str">
        <f>'46'!$F$32</f>
        <v/>
      </c>
      <c r="AD49" s="98" t="str">
        <f>'46'!$F$33</f>
        <v/>
      </c>
    </row>
    <row r="50" spans="1:30" x14ac:dyDescent="0.2">
      <c r="A50" s="97" t="s">
        <v>1071</v>
      </c>
      <c r="B50" s="77">
        <f>'47'!$F$5</f>
        <v>7.54</v>
      </c>
      <c r="C50" s="77">
        <f>'47'!$F$6</f>
        <v>7.34</v>
      </c>
      <c r="D50" s="77">
        <f>'47'!$F$7</f>
        <v>8.31</v>
      </c>
      <c r="E50" s="77">
        <f>'47'!$F$8</f>
        <v>6.94</v>
      </c>
      <c r="F50" s="77" t="str">
        <f>'47'!$F$9</f>
        <v/>
      </c>
      <c r="G50" s="77">
        <f>'47'!$F$10</f>
        <v>9.4</v>
      </c>
      <c r="H50" s="77">
        <f>'47'!$F$11</f>
        <v>9.19</v>
      </c>
      <c r="I50" s="77">
        <f>'47'!$F$12</f>
        <v>17.77</v>
      </c>
      <c r="J50" s="77">
        <f>'47'!$F$13</f>
        <v>5.21</v>
      </c>
      <c r="K50" s="77" t="str">
        <f>'47'!$F$14</f>
        <v/>
      </c>
      <c r="L50" s="77">
        <f>'47'!$F$15</f>
        <v>10.09</v>
      </c>
      <c r="M50" s="77">
        <f>'47'!$F$16</f>
        <v>8</v>
      </c>
      <c r="N50" s="77">
        <f>'47'!$F$17</f>
        <v>10.29</v>
      </c>
      <c r="O50" s="77">
        <f>'47'!$F$18</f>
        <v>12.58</v>
      </c>
      <c r="P50" s="77" t="str">
        <f>'47'!$F$19</f>
        <v/>
      </c>
      <c r="Q50" s="77">
        <f>'47'!$F$20</f>
        <v>7.42</v>
      </c>
      <c r="R50" s="77">
        <f>'47'!$F$21</f>
        <v>11.28</v>
      </c>
      <c r="S50" s="77">
        <f>'47'!$F$22</f>
        <v>8.6999999999999993</v>
      </c>
      <c r="T50" s="77">
        <f>'47'!$F$23</f>
        <v>9.36</v>
      </c>
      <c r="U50" s="77" t="str">
        <f>'47'!$F$24</f>
        <v/>
      </c>
      <c r="V50" s="77">
        <f>'47'!$F$25</f>
        <v>18.57</v>
      </c>
      <c r="W50" s="77">
        <f>'47'!$F$26</f>
        <v>3.61</v>
      </c>
      <c r="X50" s="77">
        <f>'47'!$F$27</f>
        <v>8.02</v>
      </c>
      <c r="Y50" s="77">
        <f>'47'!$F$28</f>
        <v>12.58</v>
      </c>
      <c r="Z50" s="77">
        <f>'47'!$F$29</f>
        <v>6.9</v>
      </c>
      <c r="AA50" s="77">
        <f>'47'!$F$30</f>
        <v>11</v>
      </c>
      <c r="AB50" s="77" t="str">
        <f>'47'!$F$31</f>
        <v/>
      </c>
      <c r="AC50" s="77" t="str">
        <f>'47'!$F$32</f>
        <v/>
      </c>
      <c r="AD50" s="98">
        <f>'47'!$F$33</f>
        <v>8.68</v>
      </c>
    </row>
    <row r="51" spans="1:30" x14ac:dyDescent="0.2">
      <c r="A51" s="97" t="s">
        <v>1072</v>
      </c>
      <c r="B51" s="77">
        <f>'48'!$F$5</f>
        <v>12.7</v>
      </c>
      <c r="C51" s="77">
        <f>'48'!$F$6</f>
        <v>8.56</v>
      </c>
      <c r="D51" s="77">
        <f>'48'!$F$7</f>
        <v>7.37</v>
      </c>
      <c r="E51" s="77">
        <f>'48'!$F$8</f>
        <v>9.0500000000000007</v>
      </c>
      <c r="F51" s="77" t="str">
        <f>'48'!$F$9</f>
        <v/>
      </c>
      <c r="G51" s="77">
        <f>'48'!$F$10</f>
        <v>10.48</v>
      </c>
      <c r="H51" s="77">
        <f>'48'!$F$11</f>
        <v>7.91</v>
      </c>
      <c r="I51" s="77">
        <f>'48'!$F$12</f>
        <v>8.56</v>
      </c>
      <c r="J51" s="77">
        <f>'48'!$F$13</f>
        <v>7.7</v>
      </c>
      <c r="K51" s="77" t="str">
        <f>'48'!$F$14</f>
        <v/>
      </c>
      <c r="L51" s="77">
        <f>'48'!$F$15</f>
        <v>8.2200000000000006</v>
      </c>
      <c r="M51" s="77">
        <f>'48'!$F$16</f>
        <v>8.14</v>
      </c>
      <c r="N51" s="77">
        <f>'48'!$F$17</f>
        <v>7.9</v>
      </c>
      <c r="O51" s="77">
        <f>'48'!$F$18</f>
        <v>11.15</v>
      </c>
      <c r="P51" s="77" t="str">
        <f>'48'!$F$19</f>
        <v/>
      </c>
      <c r="Q51" s="77">
        <f>'48'!$F$20</f>
        <v>9.2200000000000006</v>
      </c>
      <c r="R51" s="77">
        <f>'48'!$F$21</f>
        <v>11.02</v>
      </c>
      <c r="S51" s="77">
        <f>'48'!$F$22</f>
        <v>8.17</v>
      </c>
      <c r="T51" s="77">
        <f>'48'!$F$23</f>
        <v>8.59</v>
      </c>
      <c r="U51" s="77" t="str">
        <f>'48'!$F$24</f>
        <v/>
      </c>
      <c r="V51" s="77">
        <f>'48'!$F$25</f>
        <v>24.94</v>
      </c>
      <c r="W51" s="77">
        <f>'48'!$F$26</f>
        <v>8.2799999999999994</v>
      </c>
      <c r="X51" s="77">
        <f>'48'!$F$27</f>
        <v>8.08</v>
      </c>
      <c r="Y51" s="77">
        <f>'48'!$F$28</f>
        <v>9.76</v>
      </c>
      <c r="Z51" s="77">
        <f>'48'!$F$29</f>
        <v>7.21</v>
      </c>
      <c r="AA51" s="77">
        <f>'48'!$F$30</f>
        <v>10.220000000000001</v>
      </c>
      <c r="AB51" s="77" t="str">
        <f>'48'!$F$31</f>
        <v/>
      </c>
      <c r="AC51" s="77" t="str">
        <f>'48'!$F$32</f>
        <v/>
      </c>
      <c r="AD51" s="98">
        <f>'48'!$F$33</f>
        <v>8.57</v>
      </c>
    </row>
    <row r="52" spans="1:30" x14ac:dyDescent="0.2">
      <c r="A52" s="97" t="s">
        <v>1073</v>
      </c>
      <c r="B52" s="77">
        <f>'49'!$F$5</f>
        <v>7.74</v>
      </c>
      <c r="C52" s="77">
        <f>'49'!$F$6</f>
        <v>7.55</v>
      </c>
      <c r="D52" s="77">
        <f>'49'!$F$7</f>
        <v>5.71</v>
      </c>
      <c r="E52" s="77">
        <f>'49'!$F$8</f>
        <v>7.9</v>
      </c>
      <c r="F52" s="77" t="str">
        <f>'49'!$F$9</f>
        <v/>
      </c>
      <c r="G52" s="77">
        <f>'49'!$F$10</f>
        <v>155.38999999999999</v>
      </c>
      <c r="H52" s="77">
        <f>'49'!$F$11</f>
        <v>5.32</v>
      </c>
      <c r="I52" s="77" t="str">
        <f>'49'!$F$12</f>
        <v/>
      </c>
      <c r="J52" s="77">
        <f>'49'!$F$13</f>
        <v>7.67</v>
      </c>
      <c r="K52" s="77" t="str">
        <f>'49'!$F$14</f>
        <v/>
      </c>
      <c r="L52" s="77">
        <f>'49'!$F$15</f>
        <v>7.63</v>
      </c>
      <c r="M52" s="77">
        <f>'49'!$F$16</f>
        <v>6.43</v>
      </c>
      <c r="N52" s="77">
        <f>'49'!$F$17</f>
        <v>5.34</v>
      </c>
      <c r="O52" s="77" t="str">
        <f>'49'!$F$18</f>
        <v/>
      </c>
      <c r="P52" s="77" t="str">
        <f>'49'!$F$19</f>
        <v/>
      </c>
      <c r="Q52" s="77">
        <f>'49'!$F$20</f>
        <v>7.41</v>
      </c>
      <c r="R52" s="77" t="str">
        <f>'49'!$F$21</f>
        <v/>
      </c>
      <c r="S52" s="77">
        <f>'49'!$F$22</f>
        <v>7.24</v>
      </c>
      <c r="T52" s="77">
        <f>'49'!$F$23</f>
        <v>5.18</v>
      </c>
      <c r="U52" s="77" t="str">
        <f>'49'!$F$24</f>
        <v/>
      </c>
      <c r="V52" s="77" t="str">
        <f>'49'!$F$25</f>
        <v/>
      </c>
      <c r="W52" s="77">
        <f>'49'!$F$26</f>
        <v>7.57</v>
      </c>
      <c r="X52" s="77">
        <f>'49'!$F$27</f>
        <v>8.49</v>
      </c>
      <c r="Y52" s="77">
        <f>'49'!$F$28</f>
        <v>5.49</v>
      </c>
      <c r="Z52" s="77">
        <f>'49'!$F$29</f>
        <v>6.57</v>
      </c>
      <c r="AA52" s="77">
        <f>'49'!$F$30</f>
        <v>8.09</v>
      </c>
      <c r="AB52" s="77" t="str">
        <f>'49'!$F$31</f>
        <v/>
      </c>
      <c r="AC52" s="77" t="str">
        <f>'49'!$F$32</f>
        <v/>
      </c>
      <c r="AD52" s="98">
        <f>'49'!$F$33</f>
        <v>6.48</v>
      </c>
    </row>
    <row r="53" spans="1:30" x14ac:dyDescent="0.2">
      <c r="A53" s="97" t="s">
        <v>1081</v>
      </c>
      <c r="B53" s="77">
        <f>'50'!$F$5</f>
        <v>13.61</v>
      </c>
      <c r="C53" s="77">
        <f>'50'!$F$6</f>
        <v>16.739999999999998</v>
      </c>
      <c r="D53" s="77">
        <f>'50'!$F$7</f>
        <v>7.96</v>
      </c>
      <c r="E53" s="77">
        <f>'50'!$F$8</f>
        <v>6.71</v>
      </c>
      <c r="F53" s="77" t="str">
        <f>'50'!$F$9</f>
        <v/>
      </c>
      <c r="G53" s="77" t="str">
        <f>'50'!$F$10</f>
        <v/>
      </c>
      <c r="H53" s="77">
        <f>'50'!$F$11</f>
        <v>11.12</v>
      </c>
      <c r="I53" s="77">
        <f>'50'!$F$12</f>
        <v>4.3099999999999996</v>
      </c>
      <c r="J53" s="77">
        <f>'50'!$F$13</f>
        <v>9.3699999999999992</v>
      </c>
      <c r="K53" s="77">
        <f>'50'!$F$14</f>
        <v>4.3099999999999996</v>
      </c>
      <c r="L53" s="77">
        <f>'50'!$F$15</f>
        <v>7.81</v>
      </c>
      <c r="M53" s="77">
        <f>'50'!$F$16</f>
        <v>7.94</v>
      </c>
      <c r="N53" s="77">
        <f>'50'!$F$17</f>
        <v>9.0500000000000007</v>
      </c>
      <c r="O53" s="77">
        <f>'50'!$F$18</f>
        <v>15.8</v>
      </c>
      <c r="P53" s="77">
        <f>'50'!$F$19</f>
        <v>20.190000000000001</v>
      </c>
      <c r="Q53" s="77">
        <f>'50'!$F$20</f>
        <v>9.8699999999999992</v>
      </c>
      <c r="R53" s="77" t="str">
        <f>'50'!$F$21</f>
        <v/>
      </c>
      <c r="S53" s="77">
        <f>'50'!$F$22</f>
        <v>10.210000000000001</v>
      </c>
      <c r="T53" s="77">
        <f>'50'!$F$23</f>
        <v>7.74</v>
      </c>
      <c r="U53" s="77">
        <f>'50'!$F$24</f>
        <v>13.4</v>
      </c>
      <c r="V53" s="77" t="str">
        <f>'50'!$F$25</f>
        <v/>
      </c>
      <c r="W53" s="77">
        <f>'50'!$F$26</f>
        <v>7.48</v>
      </c>
      <c r="X53" s="77">
        <f>'50'!$F$27</f>
        <v>8.7799999999999994</v>
      </c>
      <c r="Y53" s="77">
        <f>'50'!$F$28</f>
        <v>13.14</v>
      </c>
      <c r="Z53" s="77">
        <f>'50'!$F$29</f>
        <v>7.12</v>
      </c>
      <c r="AA53" s="77">
        <f>'50'!$F$30</f>
        <v>9.15</v>
      </c>
      <c r="AB53" s="77" t="str">
        <f>'50'!$F$31</f>
        <v/>
      </c>
      <c r="AC53" s="77" t="str">
        <f>'50'!$F$32</f>
        <v/>
      </c>
      <c r="AD53" s="98">
        <f>'50'!$F$33</f>
        <v>8.65</v>
      </c>
    </row>
    <row r="54" spans="1:30" x14ac:dyDescent="0.2">
      <c r="A54" s="95" t="s">
        <v>947</v>
      </c>
      <c r="B54" s="77">
        <f>'51'!$F$5</f>
        <v>10.92</v>
      </c>
      <c r="C54" s="77">
        <f>'51'!$F$6</f>
        <v>11.71</v>
      </c>
      <c r="D54" s="77">
        <f>'51'!$F$7</f>
        <v>6.48</v>
      </c>
      <c r="E54" s="77">
        <f>'51'!$F$8</f>
        <v>5.48</v>
      </c>
      <c r="F54" s="77" t="str">
        <f>'51'!$F$9</f>
        <v/>
      </c>
      <c r="G54" s="77">
        <f>'51'!$F$10</f>
        <v>11.7</v>
      </c>
      <c r="H54" s="77">
        <f>'51'!$F$11</f>
        <v>12.12</v>
      </c>
      <c r="I54" s="77">
        <f>'51'!$F$12</f>
        <v>15.52</v>
      </c>
      <c r="J54" s="77">
        <f>'51'!$F$13</f>
        <v>8.1300000000000008</v>
      </c>
      <c r="K54" s="77">
        <f>'51'!$F$14</f>
        <v>3.91</v>
      </c>
      <c r="L54" s="77">
        <f>'51'!$F$15</f>
        <v>8.2100000000000009</v>
      </c>
      <c r="M54" s="77">
        <f>'51'!$F$16</f>
        <v>6.74</v>
      </c>
      <c r="N54" s="77">
        <f>'51'!$F$17</f>
        <v>6.15</v>
      </c>
      <c r="O54" s="77">
        <f>'51'!$F$18</f>
        <v>7.31</v>
      </c>
      <c r="P54" s="77">
        <f>'51'!$F$19</f>
        <v>12.47</v>
      </c>
      <c r="Q54" s="77">
        <f>'51'!$F$20</f>
        <v>11.03</v>
      </c>
      <c r="R54" s="77" t="str">
        <f>'51'!$F$21</f>
        <v/>
      </c>
      <c r="S54" s="77" t="str">
        <f>'51'!$F$22</f>
        <v/>
      </c>
      <c r="T54" s="77">
        <f>'51'!$F$23</f>
        <v>8</v>
      </c>
      <c r="U54" s="77">
        <f>'51'!$F$24</f>
        <v>8.0299999999999994</v>
      </c>
      <c r="V54" s="77">
        <f>'51'!$F$25</f>
        <v>6.58</v>
      </c>
      <c r="W54" s="77">
        <f>'51'!$F$26</f>
        <v>4.21</v>
      </c>
      <c r="X54" s="77">
        <f>'51'!$F$27</f>
        <v>3.91</v>
      </c>
      <c r="Y54" s="77">
        <f>'51'!$F$28</f>
        <v>6.08</v>
      </c>
      <c r="Z54" s="77">
        <f>'51'!$F$29</f>
        <v>5.64</v>
      </c>
      <c r="AA54" s="77">
        <f>'51'!$F$30</f>
        <v>5.21</v>
      </c>
      <c r="AB54" s="77" t="str">
        <f>'51'!$F$31</f>
        <v/>
      </c>
      <c r="AC54" s="77" t="str">
        <f>'51'!$F$32</f>
        <v/>
      </c>
      <c r="AD54" s="98">
        <f>'51'!$F$33</f>
        <v>7.56</v>
      </c>
    </row>
    <row r="55" spans="1:30" x14ac:dyDescent="0.2">
      <c r="A55" s="95" t="s">
        <v>948</v>
      </c>
      <c r="B55" s="77" t="str">
        <f>'52'!$F$5</f>
        <v/>
      </c>
      <c r="C55" s="77">
        <f>'52'!$F$6</f>
        <v>11.31</v>
      </c>
      <c r="D55" s="77">
        <f>'52'!$F$7</f>
        <v>9.43</v>
      </c>
      <c r="E55" s="77">
        <f>'52'!$F$8</f>
        <v>8.35</v>
      </c>
      <c r="F55" s="77">
        <f>'52'!$F$9</f>
        <v>4.6399999999999997</v>
      </c>
      <c r="G55" s="77">
        <f>'52'!$F$10</f>
        <v>11.31</v>
      </c>
      <c r="H55" s="77">
        <f>'52'!$F$11</f>
        <v>8.35</v>
      </c>
      <c r="I55" s="77">
        <f>'52'!$F$12</f>
        <v>11.31</v>
      </c>
      <c r="J55" s="77">
        <f>'52'!$F$13</f>
        <v>11.31</v>
      </c>
      <c r="K55" s="77" t="str">
        <f>'52'!$F$14</f>
        <v/>
      </c>
      <c r="L55" s="77">
        <f>'52'!$F$15</f>
        <v>13.92</v>
      </c>
      <c r="M55" s="77">
        <f>'52'!$F$16</f>
        <v>9.43</v>
      </c>
      <c r="N55" s="77">
        <f>'52'!$F$17</f>
        <v>9.43</v>
      </c>
      <c r="O55" s="77">
        <f>'52'!$F$18</f>
        <v>9.2200000000000006</v>
      </c>
      <c r="P55" s="77" t="str">
        <f>'52'!$F$19</f>
        <v/>
      </c>
      <c r="Q55" s="77">
        <f>'52'!$F$20</f>
        <v>9.2200000000000006</v>
      </c>
      <c r="R55" s="77" t="str">
        <f>'52'!$F$21</f>
        <v/>
      </c>
      <c r="S55" s="77">
        <f>'52'!$F$22</f>
        <v>9.2200000000000006</v>
      </c>
      <c r="T55" s="77">
        <f>'52'!$F$23</f>
        <v>9.43</v>
      </c>
      <c r="U55" s="77">
        <f>'52'!$F$24</f>
        <v>9.77</v>
      </c>
      <c r="V55" s="77">
        <f>'52'!$F$25</f>
        <v>9.77</v>
      </c>
      <c r="W55" s="77">
        <f>'52'!$F$26</f>
        <v>11.31</v>
      </c>
      <c r="X55" s="77" t="str">
        <f>'52'!$F$27</f>
        <v/>
      </c>
      <c r="Y55" s="77">
        <f>'52'!$F$28</f>
        <v>8.35</v>
      </c>
      <c r="Z55" s="77">
        <f>'52'!$F$29</f>
        <v>9.43</v>
      </c>
      <c r="AA55" s="77">
        <f>'52'!$F$30</f>
        <v>8.35</v>
      </c>
      <c r="AB55" s="77" t="str">
        <f>'52'!$F$31</f>
        <v/>
      </c>
      <c r="AC55" s="77" t="str">
        <f>'52'!$F$32</f>
        <v/>
      </c>
      <c r="AD55" s="98">
        <f>'52'!$F$33</f>
        <v>9.39</v>
      </c>
    </row>
    <row r="56" spans="1:30" x14ac:dyDescent="0.2">
      <c r="A56" s="95" t="s">
        <v>949</v>
      </c>
      <c r="B56" s="77">
        <f>'53'!$F$5</f>
        <v>11.07</v>
      </c>
      <c r="C56" s="77">
        <f>'53'!$F$6</f>
        <v>14.19</v>
      </c>
      <c r="D56" s="77">
        <f>'53'!$F$7</f>
        <v>8.7100000000000009</v>
      </c>
      <c r="E56" s="77">
        <f>'53'!$F$8</f>
        <v>8.48</v>
      </c>
      <c r="F56" s="77">
        <f>'53'!$F$9</f>
        <v>5.76</v>
      </c>
      <c r="G56" s="77">
        <f>'53'!$F$10</f>
        <v>11.07</v>
      </c>
      <c r="H56" s="77">
        <f>'53'!$F$11</f>
        <v>8.48</v>
      </c>
      <c r="I56" s="77">
        <f>'53'!$F$12</f>
        <v>11.07</v>
      </c>
      <c r="J56" s="77">
        <f>'53'!$F$13</f>
        <v>11.07</v>
      </c>
      <c r="K56" s="77" t="str">
        <f>'53'!$F$14</f>
        <v/>
      </c>
      <c r="L56" s="77">
        <f>'53'!$F$15</f>
        <v>11.49</v>
      </c>
      <c r="M56" s="77">
        <f>'53'!$F$16</f>
        <v>9.7100000000000009</v>
      </c>
      <c r="N56" s="77">
        <f>'53'!$F$17</f>
        <v>8.3000000000000007</v>
      </c>
      <c r="O56" s="77" t="str">
        <f>'53'!$F$18</f>
        <v/>
      </c>
      <c r="P56" s="77" t="str">
        <f>'53'!$F$19</f>
        <v/>
      </c>
      <c r="Q56" s="77">
        <f>'53'!$F$20</f>
        <v>11.05</v>
      </c>
      <c r="R56" s="77" t="str">
        <f>'53'!$F$21</f>
        <v/>
      </c>
      <c r="S56" s="77" t="str">
        <f>'53'!$F$22</f>
        <v/>
      </c>
      <c r="T56" s="77">
        <f>'53'!$F$23</f>
        <v>10.29</v>
      </c>
      <c r="U56" s="77">
        <f>'53'!$F$24</f>
        <v>12.29</v>
      </c>
      <c r="V56" s="77">
        <f>'53'!$F$25</f>
        <v>12.29</v>
      </c>
      <c r="W56" s="77">
        <f>'53'!$F$26</f>
        <v>11.07</v>
      </c>
      <c r="X56" s="77" t="str">
        <f>'53'!$F$27</f>
        <v/>
      </c>
      <c r="Y56" s="77">
        <f>'53'!$F$28</f>
        <v>8.4700000000000006</v>
      </c>
      <c r="Z56" s="77">
        <f>'53'!$F$29</f>
        <v>7.14</v>
      </c>
      <c r="AA56" s="77">
        <f>'53'!$F$30</f>
        <v>8.48</v>
      </c>
      <c r="AB56" s="77" t="str">
        <f>'53'!$F$31</f>
        <v/>
      </c>
      <c r="AC56" s="77" t="str">
        <f>'53'!$F$32</f>
        <v/>
      </c>
      <c r="AD56" s="98">
        <f>'53'!$F$33</f>
        <v>10.53</v>
      </c>
    </row>
    <row r="57" spans="1:30" x14ac:dyDescent="0.2">
      <c r="A57" s="95" t="s">
        <v>950</v>
      </c>
      <c r="B57" s="77">
        <f>'54'!$F$5</f>
        <v>9.6199999999999992</v>
      </c>
      <c r="C57" s="77">
        <f>'54'!$F$6</f>
        <v>8.09</v>
      </c>
      <c r="D57" s="77">
        <f>'54'!$F$7</f>
        <v>9.84</v>
      </c>
      <c r="E57" s="77">
        <f>'54'!$F$8</f>
        <v>6.77</v>
      </c>
      <c r="F57" s="77">
        <f>'54'!$F$9</f>
        <v>27.82</v>
      </c>
      <c r="G57" s="77">
        <f>'54'!$F$10</f>
        <v>8.5</v>
      </c>
      <c r="H57" s="77">
        <f>'54'!$F$11</f>
        <v>8.83</v>
      </c>
      <c r="I57" s="77">
        <f>'54'!$F$12</f>
        <v>7.87</v>
      </c>
      <c r="J57" s="77">
        <f>'54'!$F$13</f>
        <v>8.5299999999999994</v>
      </c>
      <c r="K57" s="77">
        <f>'54'!$F$14</f>
        <v>13.28</v>
      </c>
      <c r="L57" s="77">
        <f>'54'!$F$15</f>
        <v>8.8800000000000008</v>
      </c>
      <c r="M57" s="77">
        <f>'54'!$F$16</f>
        <v>7.07</v>
      </c>
      <c r="N57" s="77">
        <f>'54'!$F$17</f>
        <v>8.2799999999999994</v>
      </c>
      <c r="O57" s="77">
        <f>'54'!$F$18</f>
        <v>6.19</v>
      </c>
      <c r="P57" s="77" t="str">
        <f>'54'!$F$19</f>
        <v/>
      </c>
      <c r="Q57" s="77">
        <f>'54'!$F$20</f>
        <v>3.72</v>
      </c>
      <c r="R57" s="77" t="str">
        <f>'54'!$F$21</f>
        <v/>
      </c>
      <c r="S57" s="77" t="str">
        <f>'54'!$F$22</f>
        <v/>
      </c>
      <c r="T57" s="77">
        <f>'54'!$F$23</f>
        <v>8.41</v>
      </c>
      <c r="U57" s="77">
        <f>'54'!$F$24</f>
        <v>7.5</v>
      </c>
      <c r="V57" s="77">
        <f>'54'!$F$25</f>
        <v>7.97</v>
      </c>
      <c r="W57" s="77">
        <f>'54'!$F$26</f>
        <v>10.27</v>
      </c>
      <c r="X57" s="77" t="str">
        <f>'54'!$F$27</f>
        <v/>
      </c>
      <c r="Y57" s="77">
        <f>'54'!$F$28</f>
        <v>9.23</v>
      </c>
      <c r="Z57" s="77">
        <f>'54'!$F$29</f>
        <v>7.85</v>
      </c>
      <c r="AA57" s="77">
        <f>'54'!$F$30</f>
        <v>6.32</v>
      </c>
      <c r="AB57" s="77" t="str">
        <f>'54'!$F$31</f>
        <v/>
      </c>
      <c r="AC57" s="77" t="str">
        <f>'54'!$F$32</f>
        <v/>
      </c>
      <c r="AD57" s="98">
        <f>'54'!$F$33</f>
        <v>8.34</v>
      </c>
    </row>
    <row r="58" spans="1:30" x14ac:dyDescent="0.2">
      <c r="A58" s="95" t="s">
        <v>951</v>
      </c>
      <c r="B58" s="77" t="str">
        <f>'55'!$F$5</f>
        <v/>
      </c>
      <c r="C58" s="77">
        <f>'55'!$F$6</f>
        <v>12.45</v>
      </c>
      <c r="D58" s="77">
        <f>'55'!$F$7</f>
        <v>12.45</v>
      </c>
      <c r="E58" s="77">
        <f>'55'!$F$8</f>
        <v>12.45</v>
      </c>
      <c r="F58" s="77" t="str">
        <f>'55'!$F$9</f>
        <v/>
      </c>
      <c r="G58" s="77" t="str">
        <f>'55'!$F$10</f>
        <v/>
      </c>
      <c r="H58" s="77">
        <f>'55'!$F$11</f>
        <v>12.45</v>
      </c>
      <c r="I58" s="77">
        <f>'55'!$F$12</f>
        <v>12.45</v>
      </c>
      <c r="J58" s="77">
        <f>'55'!$F$13</f>
        <v>12.45</v>
      </c>
      <c r="K58" s="77" t="str">
        <f>'55'!$F$14</f>
        <v/>
      </c>
      <c r="L58" s="77">
        <f>'55'!$F$15</f>
        <v>12.45</v>
      </c>
      <c r="M58" s="77">
        <f>'55'!$F$16</f>
        <v>12.45</v>
      </c>
      <c r="N58" s="77" t="str">
        <f>'55'!$F$17</f>
        <v/>
      </c>
      <c r="O58" s="77" t="str">
        <f>'55'!$F$18</f>
        <v/>
      </c>
      <c r="P58" s="77">
        <f>'55'!$F$19</f>
        <v>12.45</v>
      </c>
      <c r="Q58" s="77">
        <f>'55'!$F$20</f>
        <v>12.45</v>
      </c>
      <c r="R58" s="77">
        <f>'55'!$F$21</f>
        <v>12.45</v>
      </c>
      <c r="S58" s="77" t="str">
        <f>'55'!$F$22</f>
        <v/>
      </c>
      <c r="T58" s="77">
        <f>'55'!$F$23</f>
        <v>12.45</v>
      </c>
      <c r="U58" s="77">
        <f>'55'!$F$24</f>
        <v>12.44</v>
      </c>
      <c r="V58" s="77">
        <f>'55'!$F$25</f>
        <v>12.45</v>
      </c>
      <c r="W58" s="77">
        <f>'55'!$F$26</f>
        <v>12.45</v>
      </c>
      <c r="X58" s="77" t="str">
        <f>'55'!$F$27</f>
        <v/>
      </c>
      <c r="Y58" s="77">
        <f>'55'!$F$28</f>
        <v>12.45</v>
      </c>
      <c r="Z58" s="77">
        <f>'55'!$F$29</f>
        <v>12.45</v>
      </c>
      <c r="AA58" s="77">
        <f>'55'!$F$30</f>
        <v>12.45</v>
      </c>
      <c r="AB58" s="77" t="str">
        <f>'55'!$F$31</f>
        <v/>
      </c>
      <c r="AC58" s="77" t="str">
        <f>'55'!$F$32</f>
        <v/>
      </c>
      <c r="AD58" s="98">
        <f>'55'!$F$33</f>
        <v>12.45</v>
      </c>
    </row>
    <row r="59" spans="1:30" x14ac:dyDescent="0.2">
      <c r="A59" s="95" t="s">
        <v>952</v>
      </c>
      <c r="B59" s="77" t="str">
        <f>'56'!$F$5</f>
        <v/>
      </c>
      <c r="C59" s="77" t="str">
        <f>'56'!$F$6</f>
        <v/>
      </c>
      <c r="D59" s="77" t="str">
        <f>'56'!$F$7</f>
        <v/>
      </c>
      <c r="E59" s="77" t="str">
        <f>'56'!$F$8</f>
        <v/>
      </c>
      <c r="F59" s="77" t="str">
        <f>'56'!$F$9</f>
        <v/>
      </c>
      <c r="G59" s="77" t="str">
        <f>'56'!$F$10</f>
        <v/>
      </c>
      <c r="H59" s="77" t="str">
        <f>'56'!$F$11</f>
        <v/>
      </c>
      <c r="I59" s="77" t="str">
        <f>'56'!$F$12</f>
        <v/>
      </c>
      <c r="J59" s="77" t="str">
        <f>'56'!$F$13</f>
        <v/>
      </c>
      <c r="K59" s="77" t="str">
        <f>'56'!$F$14</f>
        <v/>
      </c>
      <c r="L59" s="77" t="str">
        <f>'56'!$F$15</f>
        <v/>
      </c>
      <c r="M59" s="77" t="str">
        <f>'56'!$F$16</f>
        <v/>
      </c>
      <c r="N59" s="77" t="str">
        <f>'56'!$F$17</f>
        <v/>
      </c>
      <c r="O59" s="77" t="str">
        <f>'56'!$F$18</f>
        <v/>
      </c>
      <c r="P59" s="77" t="str">
        <f>'56'!$F$19</f>
        <v/>
      </c>
      <c r="Q59" s="77" t="str">
        <f>'56'!$F$20</f>
        <v/>
      </c>
      <c r="R59" s="77" t="str">
        <f>'56'!$F$21</f>
        <v/>
      </c>
      <c r="S59" s="77" t="str">
        <f>'56'!$F$22</f>
        <v/>
      </c>
      <c r="T59" s="77" t="str">
        <f>'56'!$F$23</f>
        <v/>
      </c>
      <c r="U59" s="77" t="str">
        <f>'56'!$F$24</f>
        <v/>
      </c>
      <c r="V59" s="77" t="str">
        <f>'56'!$F$25</f>
        <v/>
      </c>
      <c r="W59" s="77" t="str">
        <f>'56'!$F$26</f>
        <v/>
      </c>
      <c r="X59" s="77" t="str">
        <f>'56'!$F$27</f>
        <v/>
      </c>
      <c r="Y59" s="77" t="str">
        <f>'56'!$F$28</f>
        <v/>
      </c>
      <c r="Z59" s="77" t="str">
        <f>'56'!$F$29</f>
        <v/>
      </c>
      <c r="AA59" s="77" t="str">
        <f>'56'!$F$30</f>
        <v/>
      </c>
      <c r="AB59" s="77" t="str">
        <f>'56'!$F$31</f>
        <v/>
      </c>
      <c r="AC59" s="77" t="str">
        <f>'56'!$F$32</f>
        <v/>
      </c>
      <c r="AD59" s="98" t="str">
        <f>'56'!$F$33</f>
        <v/>
      </c>
    </row>
    <row r="60" spans="1:30" ht="15" thickBot="1" x14ac:dyDescent="0.25">
      <c r="A60" s="76" t="s">
        <v>953</v>
      </c>
      <c r="B60" s="73" t="str">
        <f>'57'!$F$5</f>
        <v/>
      </c>
      <c r="C60" s="73">
        <f>'57'!$F$6</f>
        <v>12.66</v>
      </c>
      <c r="D60" s="73">
        <f>'57'!$F$7</f>
        <v>12.66</v>
      </c>
      <c r="E60" s="73">
        <f>'57'!$F$8</f>
        <v>12.66</v>
      </c>
      <c r="F60" s="73" t="str">
        <f>'57'!$F$9</f>
        <v/>
      </c>
      <c r="G60" s="73">
        <f>'57'!$F$10</f>
        <v>12.66</v>
      </c>
      <c r="H60" s="73">
        <f>'57'!$F$11</f>
        <v>12.66</v>
      </c>
      <c r="I60" s="73">
        <f>'57'!$F$12</f>
        <v>12.66</v>
      </c>
      <c r="J60" s="73">
        <f>'57'!$F$13</f>
        <v>12.66</v>
      </c>
      <c r="K60" s="73" t="str">
        <f>'57'!$F$14</f>
        <v/>
      </c>
      <c r="L60" s="73">
        <f>'57'!$F$15</f>
        <v>12.66</v>
      </c>
      <c r="M60" s="73">
        <f>'57'!$F$16</f>
        <v>12.66</v>
      </c>
      <c r="N60" s="73">
        <f>'57'!$F$17</f>
        <v>12.66</v>
      </c>
      <c r="O60" s="73">
        <f>'57'!$F$18</f>
        <v>12.66</v>
      </c>
      <c r="P60" s="73" t="str">
        <f>'57'!$F$19</f>
        <v/>
      </c>
      <c r="Q60" s="73">
        <f>'57'!$F$20</f>
        <v>12.66</v>
      </c>
      <c r="R60" s="73" t="str">
        <f>'57'!$F$21</f>
        <v/>
      </c>
      <c r="S60" s="73">
        <f>'57'!$F$22</f>
        <v>12.66</v>
      </c>
      <c r="T60" s="73">
        <f>'57'!$F$23</f>
        <v>12.66</v>
      </c>
      <c r="U60" s="73">
        <f>'57'!$F$24</f>
        <v>12.66</v>
      </c>
      <c r="V60" s="73">
        <f>'57'!$F$25</f>
        <v>12.66</v>
      </c>
      <c r="W60" s="73">
        <f>'57'!$F$26</f>
        <v>12.66</v>
      </c>
      <c r="X60" s="73">
        <f>'57'!$F$27</f>
        <v>12.66</v>
      </c>
      <c r="Y60" s="73">
        <f>'57'!$F$28</f>
        <v>12.66</v>
      </c>
      <c r="Z60" s="73">
        <f>'57'!$F$29</f>
        <v>12.66</v>
      </c>
      <c r="AA60" s="73">
        <f>'57'!$F$30</f>
        <v>12.66</v>
      </c>
      <c r="AB60" s="73" t="str">
        <f>'57'!$F$31</f>
        <v/>
      </c>
      <c r="AC60" s="73" t="str">
        <f>'57'!$F$32</f>
        <v/>
      </c>
      <c r="AD60" s="75">
        <f>'57'!$F$33</f>
        <v>12.66</v>
      </c>
    </row>
    <row r="61" spans="1:30" s="70" customFormat="1" x14ac:dyDescent="0.2">
      <c r="A61" s="93" t="s">
        <v>35</v>
      </c>
      <c r="B61" s="148">
        <f>Summary!$F$5</f>
        <v>7.6999999999999993</v>
      </c>
      <c r="C61" s="148">
        <f>Summary!$F$6</f>
        <v>8.879999999999999</v>
      </c>
      <c r="D61" s="148">
        <f>Summary!$F$7</f>
        <v>6.85</v>
      </c>
      <c r="E61" s="148">
        <f>Summary!$F$8</f>
        <v>7.1099999999999994</v>
      </c>
      <c r="F61" s="148">
        <f>Summary!$F$9</f>
        <v>33.869999999999997</v>
      </c>
      <c r="G61" s="148">
        <f>Summary!$F$10</f>
        <v>7.65</v>
      </c>
      <c r="H61" s="148">
        <f>Summary!$F$11</f>
        <v>8.52</v>
      </c>
      <c r="I61" s="148">
        <f>Summary!$F$12</f>
        <v>8.0299999999999994</v>
      </c>
      <c r="J61" s="148">
        <f>Summary!$F$13</f>
        <v>6.75</v>
      </c>
      <c r="K61" s="148">
        <f>Summary!$F$14</f>
        <v>7.8599999999999994</v>
      </c>
      <c r="L61" s="148">
        <f>Summary!$F$15</f>
        <v>7.41</v>
      </c>
      <c r="M61" s="148">
        <f>Summary!$F$16</f>
        <v>7.3099999999999987</v>
      </c>
      <c r="N61" s="148">
        <f>Summary!$F$17</f>
        <v>6.8699999999999992</v>
      </c>
      <c r="O61" s="148">
        <f>Summary!$F$18</f>
        <v>10.549999999999999</v>
      </c>
      <c r="P61" s="148">
        <f>Summary!$F$19</f>
        <v>16.87</v>
      </c>
      <c r="Q61" s="148">
        <f>Summary!$F$20</f>
        <v>8.34</v>
      </c>
      <c r="R61" s="148">
        <f>Summary!$F$21</f>
        <v>11.1</v>
      </c>
      <c r="S61" s="148">
        <f>Summary!$F$22</f>
        <v>8.42</v>
      </c>
      <c r="T61" s="148">
        <f>Summary!$F$23</f>
        <v>6.9799999999999995</v>
      </c>
      <c r="U61" s="148">
        <f>Summary!$F$24</f>
        <v>8.57</v>
      </c>
      <c r="V61" s="148">
        <f>Summary!$F$25</f>
        <v>9.33</v>
      </c>
      <c r="W61" s="148">
        <f>Summary!$F$26</f>
        <v>7.2200000000000006</v>
      </c>
      <c r="X61" s="148">
        <f>Summary!$F$27</f>
        <v>8.3199999999999985</v>
      </c>
      <c r="Y61" s="148">
        <f>Summary!$F$28</f>
        <v>7.58</v>
      </c>
      <c r="Z61" s="148">
        <f>Summary!$F$29</f>
        <v>6.3100000000000005</v>
      </c>
      <c r="AA61" s="148">
        <f>Summary!$F$30</f>
        <v>8.36</v>
      </c>
      <c r="AB61" s="148"/>
      <c r="AC61" s="148"/>
      <c r="AD61" s="149">
        <f>Summary!$F$33</f>
        <v>7.6</v>
      </c>
    </row>
    <row r="62" spans="1:30" s="70" customFormat="1" x14ac:dyDescent="0.2">
      <c r="A62" s="100" t="s">
        <v>959</v>
      </c>
      <c r="B62" s="19">
        <f>AVERAGE(B$4:B$60)</f>
        <v>9.0943478260869579</v>
      </c>
      <c r="C62" s="19">
        <f t="shared" ref="C62:AD62" si="0">AVERAGE(C$4:C$60)</f>
        <v>10.945918367346939</v>
      </c>
      <c r="D62" s="19">
        <f t="shared" si="0"/>
        <v>7.4126923076923061</v>
      </c>
      <c r="E62" s="19">
        <f t="shared" si="0"/>
        <v>7.7125000000000012</v>
      </c>
      <c r="F62" s="19">
        <f t="shared" si="0"/>
        <v>17.022142857142857</v>
      </c>
      <c r="G62" s="19">
        <f t="shared" si="0"/>
        <v>11.614680851063829</v>
      </c>
      <c r="H62" s="19">
        <f t="shared" si="0"/>
        <v>10.684807692307695</v>
      </c>
      <c r="I62" s="19">
        <f t="shared" si="0"/>
        <v>8.8215217391304339</v>
      </c>
      <c r="J62" s="19">
        <f t="shared" si="0"/>
        <v>7.6501960784313718</v>
      </c>
      <c r="K62" s="19">
        <f t="shared" si="0"/>
        <v>12.134615384615385</v>
      </c>
      <c r="L62" s="19">
        <f t="shared" si="0"/>
        <v>8.6463999999999999</v>
      </c>
      <c r="M62" s="19">
        <f t="shared" si="0"/>
        <v>7.9542307692307697</v>
      </c>
      <c r="N62" s="19">
        <f t="shared" si="0"/>
        <v>7.4815686274509803</v>
      </c>
      <c r="O62" s="19">
        <f t="shared" si="0"/>
        <v>11.548936170212764</v>
      </c>
      <c r="P62" s="19">
        <f t="shared" si="0"/>
        <v>18.030000000000005</v>
      </c>
      <c r="Q62" s="19">
        <f t="shared" si="0"/>
        <v>9.2980769230769287</v>
      </c>
      <c r="R62" s="19">
        <f t="shared" si="0"/>
        <v>13.459583333333333</v>
      </c>
      <c r="S62" s="19">
        <f t="shared" si="0"/>
        <v>9.419347826086959</v>
      </c>
      <c r="T62" s="19">
        <f t="shared" si="0"/>
        <v>7.5494230769230786</v>
      </c>
      <c r="U62" s="19">
        <f t="shared" si="0"/>
        <v>10.745897435897435</v>
      </c>
      <c r="V62" s="19">
        <f t="shared" si="0"/>
        <v>11.144871794871797</v>
      </c>
      <c r="W62" s="19">
        <f t="shared" si="0"/>
        <v>8.7652941176470591</v>
      </c>
      <c r="X62" s="19">
        <f t="shared" si="0"/>
        <v>9.708750000000002</v>
      </c>
      <c r="Y62" s="19">
        <f t="shared" si="0"/>
        <v>8.4098039215686295</v>
      </c>
      <c r="Z62" s="19">
        <f t="shared" si="0"/>
        <v>6.9415384615384603</v>
      </c>
      <c r="AA62" s="19">
        <f t="shared" si="0"/>
        <v>9.1553846153846159</v>
      </c>
      <c r="AB62" s="19"/>
      <c r="AC62" s="19"/>
      <c r="AD62" s="22">
        <f t="shared" si="0"/>
        <v>8.1488461538461525</v>
      </c>
    </row>
    <row r="63" spans="1:30" s="70" customFormat="1" x14ac:dyDescent="0.2">
      <c r="A63" s="100" t="s">
        <v>960</v>
      </c>
      <c r="B63" s="19">
        <f>MAX(B$4:B$60)</f>
        <v>16.59</v>
      </c>
      <c r="C63" s="19">
        <f t="shared" ref="C63:AD63" si="1">MAX(C$4:C$60)</f>
        <v>27.1</v>
      </c>
      <c r="D63" s="19">
        <f t="shared" si="1"/>
        <v>12.66</v>
      </c>
      <c r="E63" s="19">
        <f t="shared" si="1"/>
        <v>12.8</v>
      </c>
      <c r="F63" s="19">
        <f t="shared" si="1"/>
        <v>56.23</v>
      </c>
      <c r="G63" s="19">
        <f t="shared" si="1"/>
        <v>155.38999999999999</v>
      </c>
      <c r="H63" s="19">
        <f t="shared" si="1"/>
        <v>21.18</v>
      </c>
      <c r="I63" s="19">
        <f t="shared" si="1"/>
        <v>17.77</v>
      </c>
      <c r="J63" s="19">
        <f t="shared" si="1"/>
        <v>20.2</v>
      </c>
      <c r="K63" s="19">
        <f t="shared" si="1"/>
        <v>67.81</v>
      </c>
      <c r="L63" s="19">
        <f t="shared" si="1"/>
        <v>19.079999999999998</v>
      </c>
      <c r="M63" s="19">
        <f t="shared" si="1"/>
        <v>12.66</v>
      </c>
      <c r="N63" s="19">
        <f t="shared" si="1"/>
        <v>12.66</v>
      </c>
      <c r="O63" s="19">
        <f t="shared" si="1"/>
        <v>37.39</v>
      </c>
      <c r="P63" s="19">
        <f t="shared" si="1"/>
        <v>32.54</v>
      </c>
      <c r="Q63" s="19">
        <f t="shared" si="1"/>
        <v>27.66</v>
      </c>
      <c r="R63" s="19">
        <f t="shared" si="1"/>
        <v>24.55</v>
      </c>
      <c r="S63" s="19">
        <f t="shared" si="1"/>
        <v>17.8</v>
      </c>
      <c r="T63" s="19">
        <f t="shared" si="1"/>
        <v>12.66</v>
      </c>
      <c r="U63" s="19">
        <f t="shared" si="1"/>
        <v>48.31</v>
      </c>
      <c r="V63" s="19">
        <f t="shared" si="1"/>
        <v>24.94</v>
      </c>
      <c r="W63" s="19">
        <f t="shared" si="1"/>
        <v>30.38</v>
      </c>
      <c r="X63" s="19">
        <f t="shared" si="1"/>
        <v>23.39</v>
      </c>
      <c r="Y63" s="19">
        <f t="shared" si="1"/>
        <v>15.59</v>
      </c>
      <c r="Z63" s="19">
        <f t="shared" si="1"/>
        <v>13.2</v>
      </c>
      <c r="AA63" s="19">
        <f t="shared" si="1"/>
        <v>17.18</v>
      </c>
      <c r="AB63" s="19"/>
      <c r="AC63" s="19"/>
      <c r="AD63" s="22">
        <f t="shared" si="1"/>
        <v>13.81</v>
      </c>
    </row>
    <row r="64" spans="1:30" s="70" customFormat="1" x14ac:dyDescent="0.2">
      <c r="A64" s="100" t="s">
        <v>961</v>
      </c>
      <c r="B64" s="19">
        <f>MIN(B$4:B$60)</f>
        <v>4.72</v>
      </c>
      <c r="C64" s="19">
        <f t="shared" ref="C64:AD64" si="2">MIN(C$4:C$60)</f>
        <v>2.46</v>
      </c>
      <c r="D64" s="19">
        <f t="shared" si="2"/>
        <v>4.3499999999999996</v>
      </c>
      <c r="E64" s="19">
        <f t="shared" si="2"/>
        <v>4.13</v>
      </c>
      <c r="F64" s="19">
        <f t="shared" si="2"/>
        <v>2.4900000000000002</v>
      </c>
      <c r="G64" s="19">
        <f t="shared" si="2"/>
        <v>3.06</v>
      </c>
      <c r="H64" s="19">
        <f t="shared" si="2"/>
        <v>3.66</v>
      </c>
      <c r="I64" s="19">
        <f t="shared" si="2"/>
        <v>2.2200000000000002</v>
      </c>
      <c r="J64" s="19">
        <f t="shared" si="2"/>
        <v>3.06</v>
      </c>
      <c r="K64" s="19">
        <f t="shared" si="2"/>
        <v>2.4900000000000002</v>
      </c>
      <c r="L64" s="19">
        <f t="shared" si="2"/>
        <v>3.2</v>
      </c>
      <c r="M64" s="19">
        <f t="shared" si="2"/>
        <v>4.87</v>
      </c>
      <c r="N64" s="19">
        <f t="shared" si="2"/>
        <v>3.67</v>
      </c>
      <c r="O64" s="19">
        <f t="shared" si="2"/>
        <v>3.33</v>
      </c>
      <c r="P64" s="19">
        <f t="shared" si="2"/>
        <v>3.83</v>
      </c>
      <c r="Q64" s="19">
        <f t="shared" si="2"/>
        <v>3.48</v>
      </c>
      <c r="R64" s="19">
        <f t="shared" si="2"/>
        <v>7.98</v>
      </c>
      <c r="S64" s="19">
        <f t="shared" si="2"/>
        <v>5.12</v>
      </c>
      <c r="T64" s="19">
        <f t="shared" si="2"/>
        <v>4.16</v>
      </c>
      <c r="U64" s="19">
        <f t="shared" si="2"/>
        <v>4.72</v>
      </c>
      <c r="V64" s="19">
        <f t="shared" si="2"/>
        <v>3.06</v>
      </c>
      <c r="W64" s="19">
        <f t="shared" si="2"/>
        <v>2.2999999999999998</v>
      </c>
      <c r="X64" s="19">
        <f t="shared" si="2"/>
        <v>3.08</v>
      </c>
      <c r="Y64" s="19">
        <f t="shared" si="2"/>
        <v>3.15</v>
      </c>
      <c r="Z64" s="19">
        <f t="shared" si="2"/>
        <v>4.3099999999999996</v>
      </c>
      <c r="AA64" s="19">
        <f t="shared" si="2"/>
        <v>5.21</v>
      </c>
      <c r="AB64" s="19"/>
      <c r="AC64" s="19"/>
      <c r="AD64" s="22">
        <f t="shared" si="2"/>
        <v>4.91</v>
      </c>
    </row>
    <row r="65" spans="1:30" s="70" customFormat="1" ht="15" thickBot="1" x14ac:dyDescent="0.25">
      <c r="A65" s="94" t="s">
        <v>962</v>
      </c>
      <c r="B65" s="68">
        <f>MEDIAN(B$4:B$60)</f>
        <v>8.7050000000000001</v>
      </c>
      <c r="C65" s="68">
        <f t="shared" ref="C65:AD65" si="3">MEDIAN(C$4:C$60)</f>
        <v>9.5299999999999994</v>
      </c>
      <c r="D65" s="68">
        <f t="shared" si="3"/>
        <v>7.25</v>
      </c>
      <c r="E65" s="68">
        <f t="shared" si="3"/>
        <v>7.4249999999999998</v>
      </c>
      <c r="F65" s="68">
        <f t="shared" si="3"/>
        <v>5.1999999999999993</v>
      </c>
      <c r="G65" s="68">
        <f t="shared" si="3"/>
        <v>8.5</v>
      </c>
      <c r="H65" s="68">
        <f t="shared" si="3"/>
        <v>10.149999999999999</v>
      </c>
      <c r="I65" s="68">
        <f t="shared" si="3"/>
        <v>8.6850000000000005</v>
      </c>
      <c r="J65" s="68">
        <f t="shared" si="3"/>
        <v>7.41</v>
      </c>
      <c r="K65" s="68">
        <f t="shared" si="3"/>
        <v>10.055</v>
      </c>
      <c r="L65" s="68">
        <f t="shared" si="3"/>
        <v>7.7750000000000004</v>
      </c>
      <c r="M65" s="68">
        <f t="shared" si="3"/>
        <v>7.71</v>
      </c>
      <c r="N65" s="68">
        <f t="shared" si="3"/>
        <v>7.18</v>
      </c>
      <c r="O65" s="68">
        <f t="shared" si="3"/>
        <v>10.76</v>
      </c>
      <c r="P65" s="68">
        <f t="shared" si="3"/>
        <v>17.115000000000002</v>
      </c>
      <c r="Q65" s="68">
        <f t="shared" si="3"/>
        <v>9.1950000000000003</v>
      </c>
      <c r="R65" s="68">
        <f t="shared" si="3"/>
        <v>12.635</v>
      </c>
      <c r="S65" s="68">
        <f t="shared" si="3"/>
        <v>8.8449999999999989</v>
      </c>
      <c r="T65" s="68">
        <f t="shared" si="3"/>
        <v>7.27</v>
      </c>
      <c r="U65" s="68">
        <f t="shared" si="3"/>
        <v>9.5</v>
      </c>
      <c r="V65" s="68">
        <f t="shared" si="3"/>
        <v>10.32</v>
      </c>
      <c r="W65" s="68">
        <f t="shared" si="3"/>
        <v>7.58</v>
      </c>
      <c r="X65" s="68">
        <f t="shared" si="3"/>
        <v>9.2349999999999994</v>
      </c>
      <c r="Y65" s="68">
        <f t="shared" si="3"/>
        <v>8.35</v>
      </c>
      <c r="Z65" s="68">
        <f t="shared" si="3"/>
        <v>6.6300000000000008</v>
      </c>
      <c r="AA65" s="68">
        <f t="shared" si="3"/>
        <v>8.7750000000000004</v>
      </c>
      <c r="AB65" s="68"/>
      <c r="AC65" s="68"/>
      <c r="AD65" s="26">
        <f t="shared" si="3"/>
        <v>7.9550000000000001</v>
      </c>
    </row>
    <row r="66" spans="1:30" ht="15" thickBot="1" x14ac:dyDescent="0.25">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spans="1:30" ht="15" customHeight="1" x14ac:dyDescent="0.2">
      <c r="B67" s="191" t="s">
        <v>955</v>
      </c>
      <c r="C67" s="192"/>
      <c r="D67" s="192"/>
      <c r="E67" s="192"/>
      <c r="F67" s="192"/>
      <c r="G67" s="192"/>
      <c r="H67" s="192"/>
      <c r="I67" s="192"/>
      <c r="J67" s="192"/>
      <c r="K67" s="193"/>
      <c r="L67" s="191" t="s">
        <v>955</v>
      </c>
      <c r="M67" s="192"/>
      <c r="N67" s="192"/>
      <c r="O67" s="192"/>
      <c r="P67" s="192"/>
      <c r="Q67" s="192"/>
      <c r="R67" s="192"/>
      <c r="S67" s="192"/>
      <c r="T67" s="192"/>
      <c r="U67" s="193"/>
      <c r="V67" s="191" t="s">
        <v>955</v>
      </c>
      <c r="W67" s="192"/>
      <c r="X67" s="192"/>
      <c r="Y67" s="192"/>
      <c r="Z67" s="192"/>
      <c r="AA67" s="192"/>
      <c r="AB67" s="192"/>
      <c r="AC67" s="192"/>
      <c r="AD67" s="193"/>
    </row>
    <row r="68" spans="1:30" x14ac:dyDescent="0.2">
      <c r="B68" s="194" t="s">
        <v>966</v>
      </c>
      <c r="C68" s="195"/>
      <c r="D68" s="195"/>
      <c r="E68" s="195"/>
      <c r="F68" s="195"/>
      <c r="G68" s="195"/>
      <c r="H68" s="195"/>
      <c r="I68" s="195"/>
      <c r="J68" s="195"/>
      <c r="K68" s="196"/>
      <c r="L68" s="194" t="s">
        <v>1002</v>
      </c>
      <c r="M68" s="195"/>
      <c r="N68" s="195"/>
      <c r="O68" s="195"/>
      <c r="P68" s="195"/>
      <c r="Q68" s="195"/>
      <c r="R68" s="195"/>
      <c r="S68" s="195"/>
      <c r="T68" s="195"/>
      <c r="U68" s="196"/>
      <c r="V68" s="194" t="s">
        <v>985</v>
      </c>
      <c r="W68" s="195"/>
      <c r="X68" s="195"/>
      <c r="Y68" s="195"/>
      <c r="Z68" s="195"/>
      <c r="AA68" s="195"/>
      <c r="AB68" s="195"/>
      <c r="AC68" s="195"/>
      <c r="AD68" s="196"/>
    </row>
    <row r="69" spans="1:30" x14ac:dyDescent="0.2">
      <c r="B69" s="194" t="s">
        <v>967</v>
      </c>
      <c r="C69" s="195"/>
      <c r="D69" s="195"/>
      <c r="E69" s="195"/>
      <c r="F69" s="195"/>
      <c r="G69" s="195"/>
      <c r="H69" s="195"/>
      <c r="I69" s="195"/>
      <c r="J69" s="195"/>
      <c r="K69" s="196"/>
      <c r="L69" s="194" t="s">
        <v>976</v>
      </c>
      <c r="M69" s="195"/>
      <c r="N69" s="195"/>
      <c r="O69" s="195"/>
      <c r="P69" s="195"/>
      <c r="Q69" s="195"/>
      <c r="R69" s="195"/>
      <c r="S69" s="195"/>
      <c r="T69" s="195"/>
      <c r="U69" s="196"/>
      <c r="V69" s="194" t="s">
        <v>986</v>
      </c>
      <c r="W69" s="195"/>
      <c r="X69" s="195"/>
      <c r="Y69" s="195"/>
      <c r="Z69" s="195"/>
      <c r="AA69" s="195"/>
      <c r="AB69" s="195"/>
      <c r="AC69" s="195"/>
      <c r="AD69" s="196"/>
    </row>
    <row r="70" spans="1:30" x14ac:dyDescent="0.2">
      <c r="B70" s="194" t="s">
        <v>969</v>
      </c>
      <c r="C70" s="195"/>
      <c r="D70" s="195"/>
      <c r="E70" s="195"/>
      <c r="F70" s="195"/>
      <c r="G70" s="195"/>
      <c r="H70" s="195"/>
      <c r="I70" s="195"/>
      <c r="J70" s="195"/>
      <c r="K70" s="196"/>
      <c r="L70" s="194" t="s">
        <v>977</v>
      </c>
      <c r="M70" s="195"/>
      <c r="N70" s="195"/>
      <c r="O70" s="195"/>
      <c r="P70" s="195"/>
      <c r="Q70" s="195"/>
      <c r="R70" s="195"/>
      <c r="S70" s="195"/>
      <c r="T70" s="195"/>
      <c r="U70" s="196"/>
      <c r="V70" s="194" t="s">
        <v>987</v>
      </c>
      <c r="W70" s="195"/>
      <c r="X70" s="195"/>
      <c r="Y70" s="195"/>
      <c r="Z70" s="195"/>
      <c r="AA70" s="195"/>
      <c r="AB70" s="195"/>
      <c r="AC70" s="195"/>
      <c r="AD70" s="196"/>
    </row>
    <row r="71" spans="1:30" x14ac:dyDescent="0.2">
      <c r="B71" s="194" t="s">
        <v>968</v>
      </c>
      <c r="C71" s="195"/>
      <c r="D71" s="195"/>
      <c r="E71" s="195"/>
      <c r="F71" s="195"/>
      <c r="G71" s="195"/>
      <c r="H71" s="195"/>
      <c r="I71" s="195"/>
      <c r="J71" s="195"/>
      <c r="K71" s="196"/>
      <c r="L71" s="194" t="s">
        <v>978</v>
      </c>
      <c r="M71" s="195"/>
      <c r="N71" s="195"/>
      <c r="O71" s="195"/>
      <c r="P71" s="195"/>
      <c r="Q71" s="195"/>
      <c r="R71" s="195"/>
      <c r="S71" s="195"/>
      <c r="T71" s="195"/>
      <c r="U71" s="196"/>
      <c r="V71" s="194" t="s">
        <v>988</v>
      </c>
      <c r="W71" s="195"/>
      <c r="X71" s="195"/>
      <c r="Y71" s="195"/>
      <c r="Z71" s="195"/>
      <c r="AA71" s="195"/>
      <c r="AB71" s="195"/>
      <c r="AC71" s="195"/>
      <c r="AD71" s="196"/>
    </row>
    <row r="72" spans="1:30" x14ac:dyDescent="0.2">
      <c r="B72" s="194" t="s">
        <v>970</v>
      </c>
      <c r="C72" s="195"/>
      <c r="D72" s="195"/>
      <c r="E72" s="195"/>
      <c r="F72" s="195"/>
      <c r="G72" s="195"/>
      <c r="H72" s="195"/>
      <c r="I72" s="195"/>
      <c r="J72" s="195"/>
      <c r="K72" s="196"/>
      <c r="L72" s="194" t="s">
        <v>979</v>
      </c>
      <c r="M72" s="195"/>
      <c r="N72" s="195"/>
      <c r="O72" s="195"/>
      <c r="P72" s="195"/>
      <c r="Q72" s="195"/>
      <c r="R72" s="195"/>
      <c r="S72" s="195"/>
      <c r="T72" s="195"/>
      <c r="U72" s="196"/>
      <c r="V72" s="194" t="s">
        <v>989</v>
      </c>
      <c r="W72" s="195"/>
      <c r="X72" s="195"/>
      <c r="Y72" s="195"/>
      <c r="Z72" s="195"/>
      <c r="AA72" s="195"/>
      <c r="AB72" s="195"/>
      <c r="AC72" s="195"/>
      <c r="AD72" s="196"/>
    </row>
    <row r="73" spans="1:30" x14ac:dyDescent="0.2">
      <c r="B73" s="194" t="s">
        <v>971</v>
      </c>
      <c r="C73" s="195"/>
      <c r="D73" s="195"/>
      <c r="E73" s="195"/>
      <c r="F73" s="195"/>
      <c r="G73" s="195"/>
      <c r="H73" s="195"/>
      <c r="I73" s="195"/>
      <c r="J73" s="195"/>
      <c r="K73" s="196"/>
      <c r="L73" s="194" t="s">
        <v>980</v>
      </c>
      <c r="M73" s="195"/>
      <c r="N73" s="195"/>
      <c r="O73" s="195"/>
      <c r="P73" s="195"/>
      <c r="Q73" s="195"/>
      <c r="R73" s="195"/>
      <c r="S73" s="195"/>
      <c r="T73" s="195"/>
      <c r="U73" s="196"/>
      <c r="V73" s="194" t="s">
        <v>990</v>
      </c>
      <c r="W73" s="195"/>
      <c r="X73" s="195"/>
      <c r="Y73" s="195"/>
      <c r="Z73" s="195"/>
      <c r="AA73" s="195"/>
      <c r="AB73" s="195"/>
      <c r="AC73" s="195"/>
      <c r="AD73" s="196"/>
    </row>
    <row r="74" spans="1:30" x14ac:dyDescent="0.2">
      <c r="B74" s="194" t="s">
        <v>972</v>
      </c>
      <c r="C74" s="195"/>
      <c r="D74" s="195"/>
      <c r="E74" s="195"/>
      <c r="F74" s="195"/>
      <c r="G74" s="195"/>
      <c r="H74" s="195"/>
      <c r="I74" s="195"/>
      <c r="J74" s="195"/>
      <c r="K74" s="196"/>
      <c r="L74" s="194" t="s">
        <v>981</v>
      </c>
      <c r="M74" s="195"/>
      <c r="N74" s="195"/>
      <c r="O74" s="195"/>
      <c r="P74" s="195"/>
      <c r="Q74" s="195"/>
      <c r="R74" s="195"/>
      <c r="S74" s="195"/>
      <c r="T74" s="195"/>
      <c r="U74" s="196"/>
      <c r="V74" s="188"/>
      <c r="W74" s="189"/>
      <c r="X74" s="189"/>
      <c r="Y74" s="189"/>
      <c r="Z74" s="189"/>
      <c r="AA74" s="189"/>
      <c r="AB74" s="189"/>
      <c r="AC74" s="189"/>
      <c r="AD74" s="190"/>
    </row>
    <row r="75" spans="1:30" x14ac:dyDescent="0.2">
      <c r="B75" s="194" t="s">
        <v>973</v>
      </c>
      <c r="C75" s="195"/>
      <c r="D75" s="195"/>
      <c r="E75" s="195"/>
      <c r="F75" s="195"/>
      <c r="G75" s="195"/>
      <c r="H75" s="195"/>
      <c r="I75" s="195"/>
      <c r="J75" s="195"/>
      <c r="K75" s="196"/>
      <c r="L75" s="194" t="s">
        <v>982</v>
      </c>
      <c r="M75" s="195"/>
      <c r="N75" s="195"/>
      <c r="O75" s="195"/>
      <c r="P75" s="195"/>
      <c r="Q75" s="195"/>
      <c r="R75" s="195"/>
      <c r="S75" s="195"/>
      <c r="T75" s="195"/>
      <c r="U75" s="196"/>
      <c r="V75" s="194" t="s">
        <v>991</v>
      </c>
      <c r="W75" s="195"/>
      <c r="X75" s="195"/>
      <c r="Y75" s="195"/>
      <c r="Z75" s="195"/>
      <c r="AA75" s="195"/>
      <c r="AB75" s="195"/>
      <c r="AC75" s="195"/>
      <c r="AD75" s="196"/>
    </row>
    <row r="76" spans="1:30" x14ac:dyDescent="0.2">
      <c r="B76" s="194" t="s">
        <v>974</v>
      </c>
      <c r="C76" s="195"/>
      <c r="D76" s="195"/>
      <c r="E76" s="195"/>
      <c r="F76" s="195"/>
      <c r="G76" s="195"/>
      <c r="H76" s="195"/>
      <c r="I76" s="195"/>
      <c r="J76" s="195"/>
      <c r="K76" s="196"/>
      <c r="L76" s="194" t="s">
        <v>983</v>
      </c>
      <c r="M76" s="195"/>
      <c r="N76" s="195"/>
      <c r="O76" s="195"/>
      <c r="P76" s="195"/>
      <c r="Q76" s="195"/>
      <c r="R76" s="195"/>
      <c r="S76" s="195"/>
      <c r="T76" s="195"/>
      <c r="U76" s="196"/>
      <c r="V76" s="194" t="s">
        <v>992</v>
      </c>
      <c r="W76" s="195"/>
      <c r="X76" s="195"/>
      <c r="Y76" s="195"/>
      <c r="Z76" s="195"/>
      <c r="AA76" s="195"/>
      <c r="AB76" s="195"/>
      <c r="AC76" s="195"/>
      <c r="AD76" s="196"/>
    </row>
    <row r="77" spans="1:30" ht="15" thickBot="1" x14ac:dyDescent="0.25">
      <c r="B77" s="185" t="s">
        <v>975</v>
      </c>
      <c r="C77" s="186"/>
      <c r="D77" s="186"/>
      <c r="E77" s="186"/>
      <c r="F77" s="186"/>
      <c r="G77" s="186"/>
      <c r="H77" s="186"/>
      <c r="I77" s="186"/>
      <c r="J77" s="186"/>
      <c r="K77" s="187"/>
      <c r="L77" s="185" t="s">
        <v>984</v>
      </c>
      <c r="M77" s="186"/>
      <c r="N77" s="186"/>
      <c r="O77" s="186"/>
      <c r="P77" s="186"/>
      <c r="Q77" s="186"/>
      <c r="R77" s="186"/>
      <c r="S77" s="186"/>
      <c r="T77" s="186"/>
      <c r="U77" s="187"/>
      <c r="V77" s="185" t="s">
        <v>993</v>
      </c>
      <c r="W77" s="186"/>
      <c r="X77" s="186"/>
      <c r="Y77" s="186"/>
      <c r="Z77" s="186"/>
      <c r="AA77" s="186"/>
      <c r="AB77" s="186"/>
      <c r="AC77" s="186"/>
      <c r="AD77" s="187"/>
    </row>
    <row r="95" s="70" customFormat="1" x14ac:dyDescent="0.2"/>
    <row r="96" s="70" customFormat="1" x14ac:dyDescent="0.2"/>
  </sheetData>
  <mergeCells count="33">
    <mergeCell ref="B67:K67"/>
    <mergeCell ref="B73:K73"/>
    <mergeCell ref="B74:K74"/>
    <mergeCell ref="B75:K75"/>
    <mergeCell ref="B76:K76"/>
    <mergeCell ref="B77:K77"/>
    <mergeCell ref="B68:K68"/>
    <mergeCell ref="B69:K69"/>
    <mergeCell ref="B70:K70"/>
    <mergeCell ref="B71:K71"/>
    <mergeCell ref="B72:K72"/>
    <mergeCell ref="V73:AD73"/>
    <mergeCell ref="V75:AD75"/>
    <mergeCell ref="V76:AD76"/>
    <mergeCell ref="V68:AD68"/>
    <mergeCell ref="V69:AD69"/>
    <mergeCell ref="V70:AD70"/>
    <mergeCell ref="V77:AD77"/>
    <mergeCell ref="V74:AD74"/>
    <mergeCell ref="V67:AD67"/>
    <mergeCell ref="L67:U67"/>
    <mergeCell ref="L68:U68"/>
    <mergeCell ref="L69:U69"/>
    <mergeCell ref="L70:U70"/>
    <mergeCell ref="L71:U71"/>
    <mergeCell ref="L72:U72"/>
    <mergeCell ref="L73:U73"/>
    <mergeCell ref="L74:U74"/>
    <mergeCell ref="L75:U75"/>
    <mergeCell ref="L76:U76"/>
    <mergeCell ref="L77:U77"/>
    <mergeCell ref="V71:AD71"/>
    <mergeCell ref="V72:AD72"/>
  </mergeCells>
  <conditionalFormatting sqref="B4:AC60">
    <cfRule type="top10" dxfId="0" priority="1" rank="10"/>
  </conditionalFormatting>
  <pageMargins left="0.25" right="0.25"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90"/>
  <sheetViews>
    <sheetView showGridLines="0" zoomScale="70" zoomScaleNormal="70" workbookViewId="0">
      <pane xSplit="1" ySplit="6" topLeftCell="B7" activePane="bottomRight" state="frozen"/>
      <selection pane="topRight" activeCell="B1" sqref="B1"/>
      <selection pane="bottomLeft" activeCell="A7" sqref="A7"/>
      <selection pane="bottomRight" activeCell="B7" sqref="B7"/>
    </sheetView>
  </sheetViews>
  <sheetFormatPr defaultRowHeight="14.25" x14ac:dyDescent="0.2"/>
  <cols>
    <col min="1" max="1" width="27.140625" style="70" customWidth="1"/>
    <col min="2" max="3" width="14.5703125" style="70" bestFit="1" customWidth="1"/>
    <col min="4" max="4" width="11.42578125" style="70" bestFit="1" customWidth="1"/>
    <col min="5" max="5" width="14.5703125" style="70" bestFit="1" customWidth="1"/>
    <col min="6" max="6" width="11.42578125" style="70" bestFit="1" customWidth="1"/>
    <col min="7" max="7" width="13.42578125" style="70" bestFit="1" customWidth="1"/>
    <col min="8" max="8" width="11.42578125" style="70" bestFit="1" customWidth="1"/>
    <col min="9" max="9" width="13.5703125" style="70" bestFit="1" customWidth="1"/>
    <col min="10" max="10" width="11.42578125" style="70" bestFit="1" customWidth="1"/>
    <col min="11" max="11" width="13.42578125" style="70" bestFit="1" customWidth="1"/>
    <col min="12" max="12" width="11.42578125" style="70" bestFit="1" customWidth="1"/>
    <col min="13" max="13" width="13.5703125" style="70" bestFit="1" customWidth="1"/>
    <col min="14" max="22" width="11.42578125" style="70" bestFit="1" customWidth="1"/>
    <col min="23" max="23" width="13.140625" style="70" customWidth="1"/>
    <col min="24" max="24" width="13.140625" style="70" hidden="1" customWidth="1"/>
    <col min="25" max="25" width="13.140625" style="70" customWidth="1"/>
    <col min="26" max="26" width="9.140625" style="70"/>
    <col min="27" max="27" width="17.85546875" style="70" bestFit="1" customWidth="1"/>
    <col min="28" max="30" width="9.140625" style="70"/>
    <col min="31" max="31" width="17.85546875" style="70" bestFit="1" customWidth="1"/>
    <col min="32" max="16384" width="9.140625" style="70"/>
  </cols>
  <sheetData>
    <row r="1" spans="1:24" x14ac:dyDescent="0.2">
      <c r="A1" s="39" t="str">
        <f>Summary!A1</f>
        <v>Community and Technical Colleges, Report of Fundable Operating Expenses, Fiscal Year (FY) 2008</v>
      </c>
      <c r="B1" s="39"/>
      <c r="D1" s="39"/>
      <c r="E1" s="39"/>
      <c r="F1" s="39"/>
      <c r="G1" s="39"/>
      <c r="I1" s="39"/>
      <c r="J1" s="40"/>
      <c r="K1" s="39"/>
    </row>
    <row r="2" spans="1:24" x14ac:dyDescent="0.2">
      <c r="A2" s="72" t="s">
        <v>1032</v>
      </c>
      <c r="B2" s="72"/>
      <c r="X2" s="92" t="s">
        <v>955</v>
      </c>
    </row>
    <row r="3" spans="1:24" x14ac:dyDescent="0.2">
      <c r="A3" s="4">
        <v>1</v>
      </c>
      <c r="X3" s="79" t="s">
        <v>0</v>
      </c>
    </row>
    <row r="4" spans="1:24" ht="15" thickBot="1" x14ac:dyDescent="0.25">
      <c r="X4" s="79" t="s">
        <v>1</v>
      </c>
    </row>
    <row r="5" spans="1:24" s="87" customFormat="1" ht="56.25" customHeight="1" x14ac:dyDescent="0.2">
      <c r="A5" s="46" t="s">
        <v>954</v>
      </c>
      <c r="B5" s="198" t="s">
        <v>27</v>
      </c>
      <c r="C5" s="182" t="s">
        <v>35</v>
      </c>
      <c r="D5" s="183"/>
      <c r="E5" s="182" t="s">
        <v>464</v>
      </c>
      <c r="F5" s="183"/>
      <c r="G5" s="182" t="s">
        <v>32</v>
      </c>
      <c r="H5" s="183"/>
      <c r="I5" s="182" t="s">
        <v>30</v>
      </c>
      <c r="J5" s="183"/>
      <c r="K5" s="182" t="s">
        <v>31</v>
      </c>
      <c r="L5" s="183"/>
      <c r="M5" s="182" t="s">
        <v>465</v>
      </c>
      <c r="N5" s="183"/>
      <c r="O5" s="182" t="s">
        <v>28</v>
      </c>
      <c r="P5" s="183"/>
      <c r="Q5" s="182" t="s">
        <v>33</v>
      </c>
      <c r="R5" s="183"/>
      <c r="S5" s="182" t="s">
        <v>34</v>
      </c>
      <c r="T5" s="183"/>
      <c r="U5" s="182" t="s">
        <v>29</v>
      </c>
      <c r="V5" s="197"/>
      <c r="X5" s="79" t="s">
        <v>2</v>
      </c>
    </row>
    <row r="6" spans="1:24" s="87" customFormat="1" x14ac:dyDescent="0.2">
      <c r="A6" s="151"/>
      <c r="B6" s="199"/>
      <c r="C6" s="152" t="s">
        <v>467</v>
      </c>
      <c r="D6" s="152" t="s">
        <v>1085</v>
      </c>
      <c r="E6" s="152" t="s">
        <v>467</v>
      </c>
      <c r="F6" s="152" t="s">
        <v>1085</v>
      </c>
      <c r="G6" s="152" t="s">
        <v>467</v>
      </c>
      <c r="H6" s="152" t="s">
        <v>1085</v>
      </c>
      <c r="I6" s="152" t="s">
        <v>467</v>
      </c>
      <c r="J6" s="152" t="s">
        <v>1085</v>
      </c>
      <c r="K6" s="152" t="s">
        <v>467</v>
      </c>
      <c r="L6" s="152" t="s">
        <v>1085</v>
      </c>
      <c r="M6" s="152" t="s">
        <v>467</v>
      </c>
      <c r="N6" s="152" t="s">
        <v>1085</v>
      </c>
      <c r="O6" s="152" t="s">
        <v>467</v>
      </c>
      <c r="P6" s="152" t="s">
        <v>1085</v>
      </c>
      <c r="Q6" s="152" t="s">
        <v>467</v>
      </c>
      <c r="R6" s="152" t="s">
        <v>1085</v>
      </c>
      <c r="S6" s="152" t="s">
        <v>467</v>
      </c>
      <c r="T6" s="152" t="s">
        <v>1085</v>
      </c>
      <c r="U6" s="152" t="s">
        <v>467</v>
      </c>
      <c r="V6" s="156" t="s">
        <v>1085</v>
      </c>
      <c r="X6" s="79" t="s">
        <v>3</v>
      </c>
    </row>
    <row r="7" spans="1:24" x14ac:dyDescent="0.2">
      <c r="A7" s="97" t="s">
        <v>1082</v>
      </c>
      <c r="B7" s="88">
        <f ca="1">OFFSET('1'!$D$4,$A$3,0)</f>
        <v>71760</v>
      </c>
      <c r="C7" s="86">
        <f ca="1">OFFSET('1'!$E$4,$A$3,0)</f>
        <v>496985.9798868036</v>
      </c>
      <c r="D7" s="154">
        <f ca="1">OFFSET('1'!$F$4,$A$3,0)</f>
        <v>6.93</v>
      </c>
      <c r="E7" s="86">
        <f ca="1">OFFSET('1'!$E$66,$A$3,0)</f>
        <v>109155</v>
      </c>
      <c r="F7" s="154">
        <f ca="1">OFFSET('1'!$F$66,$A$3,0)</f>
        <v>1.52</v>
      </c>
      <c r="G7" s="86">
        <f ca="1">IFERROR('1'!$F$100*'Discipline Analysis'!$B7,"")</f>
        <v>66019.199999999997</v>
      </c>
      <c r="H7" s="154">
        <f>'1'!$F$100</f>
        <v>0.92</v>
      </c>
      <c r="I7" s="86">
        <f ca="1">IFERROR('1'!$F$98*'Discipline Analysis'!$B7,"")</f>
        <v>133473.60000000001</v>
      </c>
      <c r="J7" s="154">
        <f>'1'!$F$98</f>
        <v>1.86</v>
      </c>
      <c r="K7" s="86">
        <f ca="1">IFERROR('1'!$F$99*'Discipline Analysis'!$B7,"")</f>
        <v>71760</v>
      </c>
      <c r="L7" s="154">
        <f>'1'!$F$99</f>
        <v>1</v>
      </c>
      <c r="M7" s="86">
        <f ca="1">OFFSET('1'!$E$35,$A$3,0)</f>
        <v>76984</v>
      </c>
      <c r="N7" s="154">
        <f ca="1">OFFSET('1'!$F$35,$A$3,0)</f>
        <v>1.07</v>
      </c>
      <c r="O7" s="86">
        <f ca="1">IFERROR('1'!$F$101*'Discipline Analysis'!$B7,"")</f>
        <v>0</v>
      </c>
      <c r="P7" s="154">
        <f>'1'!$F$101</f>
        <v>0</v>
      </c>
      <c r="Q7" s="86">
        <f ca="1">IFERROR('1'!$F$102*'Discipline Analysis'!$B7,"")</f>
        <v>2152.7999999999997</v>
      </c>
      <c r="R7" s="154">
        <f>'1'!$F$102</f>
        <v>0.03</v>
      </c>
      <c r="S7" s="86">
        <f ca="1">IFERROR('1'!$F$103*'Discipline Analysis'!$B7,"")</f>
        <v>11481.6</v>
      </c>
      <c r="T7" s="154">
        <f>'1'!$F$103</f>
        <v>0.16</v>
      </c>
      <c r="U7" s="84">
        <f ca="1">IFERROR('1'!$F$104*'Discipline Analysis'!$B7,"")</f>
        <v>25833.599999999999</v>
      </c>
      <c r="V7" s="157">
        <f>'1'!$F$104</f>
        <v>0.36</v>
      </c>
      <c r="X7" s="79" t="s">
        <v>4</v>
      </c>
    </row>
    <row r="8" spans="1:24" x14ac:dyDescent="0.2">
      <c r="A8" s="97" t="s">
        <v>1036</v>
      </c>
      <c r="B8" s="88">
        <f ca="1">OFFSET('2'!$D$4,$A$3,0)</f>
        <v>39312</v>
      </c>
      <c r="C8" s="80">
        <f ca="1">OFFSET('2'!$E$4,$A$3,0)</f>
        <v>209379.57466960503</v>
      </c>
      <c r="D8" s="153">
        <f ca="1">OFFSET('2'!$F$4,$A$3,0)</f>
        <v>5.33</v>
      </c>
      <c r="E8" s="80">
        <f ca="1">OFFSET('2'!$E$66,$A$3,0)</f>
        <v>67356</v>
      </c>
      <c r="F8" s="153">
        <f ca="1">OFFSET('2'!$F$66,$A$3,0)</f>
        <v>1.71</v>
      </c>
      <c r="G8" s="80">
        <f ca="1">IFERROR('2'!$F$100*'Discipline Analysis'!$B8,"")</f>
        <v>41670.720000000001</v>
      </c>
      <c r="H8" s="153">
        <f>'2'!$F$100</f>
        <v>1.06</v>
      </c>
      <c r="I8" s="80">
        <f ca="1">IFERROR('2'!$F$98*'Discipline Analysis'!$B8,"")</f>
        <v>54250.559999999998</v>
      </c>
      <c r="J8" s="153">
        <f>'2'!$F$98</f>
        <v>1.38</v>
      </c>
      <c r="K8" s="80">
        <f ca="1">IFERROR('2'!$F$99*'Discipline Analysis'!$B8,"")</f>
        <v>28304.639999999999</v>
      </c>
      <c r="L8" s="153">
        <f>'2'!$F$99</f>
        <v>0.72</v>
      </c>
      <c r="M8" s="80">
        <f ca="1">OFFSET('2'!$E$35,$A$3,0)</f>
        <v>7191</v>
      </c>
      <c r="N8" s="153">
        <f ca="1">OFFSET('2'!$F$35,$A$3,0)</f>
        <v>0.18</v>
      </c>
      <c r="O8" s="80">
        <f ca="1">IFERROR('2'!$F$101*'Discipline Analysis'!$B8,"")</f>
        <v>0</v>
      </c>
      <c r="P8" s="153">
        <f>'2'!$F$101</f>
        <v>0</v>
      </c>
      <c r="Q8" s="80">
        <f ca="1">IFERROR('2'!$F$102*'Discipline Analysis'!$B8,"")</f>
        <v>0</v>
      </c>
      <c r="R8" s="153">
        <f>'2'!$F$102</f>
        <v>0</v>
      </c>
      <c r="S8" s="80">
        <f ca="1">IFERROR('2'!$F$103*'Discipline Analysis'!$B8,"")</f>
        <v>5110.5600000000004</v>
      </c>
      <c r="T8" s="153">
        <f>'2'!$F$103</f>
        <v>0.13</v>
      </c>
      <c r="U8" s="80">
        <f ca="1">IFERROR('2'!$F$104*'Discipline Analysis'!$B8,"")</f>
        <v>5110.5600000000004</v>
      </c>
      <c r="V8" s="158">
        <f>'2'!$F$104</f>
        <v>0.13</v>
      </c>
      <c r="X8" s="79" t="s">
        <v>5</v>
      </c>
    </row>
    <row r="9" spans="1:24" x14ac:dyDescent="0.2">
      <c r="A9" s="97" t="s">
        <v>1046</v>
      </c>
      <c r="B9" s="88">
        <f ca="1">OFFSET('3'!$D$4,$A$3,0)</f>
        <v>10184</v>
      </c>
      <c r="C9" s="80">
        <f ca="1">OFFSET('3'!$E$4,$A$3,0)</f>
        <v>75770.544177313277</v>
      </c>
      <c r="D9" s="153">
        <f ca="1">OFFSET('3'!$F$4,$A$3,0)</f>
        <v>7.44</v>
      </c>
      <c r="E9" s="80">
        <f ca="1">OFFSET('3'!$E$66,$A$3,0)</f>
        <v>29498</v>
      </c>
      <c r="F9" s="153">
        <f ca="1">OFFSET('3'!$F$66,$A$3,0)</f>
        <v>2.9</v>
      </c>
      <c r="G9" s="80">
        <f ca="1">IFERROR('3'!$F$100*'Discipline Analysis'!$B9,"")</f>
        <v>5397.52</v>
      </c>
      <c r="H9" s="153">
        <f>'3'!$F$100</f>
        <v>0.53</v>
      </c>
      <c r="I9" s="80">
        <f ca="1">IFERROR('3'!$F$98*'Discipline Analysis'!$B9,"")</f>
        <v>18942.240000000002</v>
      </c>
      <c r="J9" s="153">
        <f>'3'!$F$98</f>
        <v>1.86</v>
      </c>
      <c r="K9" s="80">
        <f ca="1">IFERROR('3'!$F$99*'Discipline Analysis'!$B9,"")</f>
        <v>5397.52</v>
      </c>
      <c r="L9" s="153">
        <f>'3'!$F$99</f>
        <v>0.53</v>
      </c>
      <c r="M9" s="80">
        <f ca="1">OFFSET('3'!$E$35,$A$3,0)</f>
        <v>11524</v>
      </c>
      <c r="N9" s="153">
        <f ca="1">OFFSET('3'!$F$35,$A$3,0)</f>
        <v>1.1299999999999999</v>
      </c>
      <c r="O9" s="80">
        <f ca="1">IFERROR('3'!$F$101*'Discipline Analysis'!$B9,"")</f>
        <v>0</v>
      </c>
      <c r="P9" s="153">
        <f>'3'!$F$101</f>
        <v>0</v>
      </c>
      <c r="Q9" s="80">
        <f ca="1">IFERROR('3'!$F$102*'Discipline Analysis'!$B9,"")</f>
        <v>0</v>
      </c>
      <c r="R9" s="153">
        <f>'3'!$F$102</f>
        <v>0</v>
      </c>
      <c r="S9" s="80">
        <f ca="1">IFERROR('3'!$F$103*'Discipline Analysis'!$B9,"")</f>
        <v>1527.6</v>
      </c>
      <c r="T9" s="153">
        <f>'3'!$F$103</f>
        <v>0.15</v>
      </c>
      <c r="U9" s="80">
        <f ca="1">IFERROR('3'!$F$104*'Discipline Analysis'!$B9,"")</f>
        <v>3564.3999999999996</v>
      </c>
      <c r="V9" s="158">
        <f>'3'!$F$104</f>
        <v>0.35</v>
      </c>
      <c r="X9" s="79" t="s">
        <v>6</v>
      </c>
    </row>
    <row r="10" spans="1:24" x14ac:dyDescent="0.2">
      <c r="A10" s="97" t="s">
        <v>1047</v>
      </c>
      <c r="B10" s="88">
        <f ca="1">OFFSET('4'!$D$4,$A$3,0)</f>
        <v>0</v>
      </c>
      <c r="C10" s="80">
        <f ca="1">OFFSET('4'!$E$4,$A$3,0)</f>
        <v>0</v>
      </c>
      <c r="D10" s="153" t="str">
        <f ca="1">OFFSET('4'!$F$4,$A$3,0)</f>
        <v/>
      </c>
      <c r="E10" s="80">
        <f ca="1">OFFSET('4'!$E$66,$A$3,0)</f>
        <v>0</v>
      </c>
      <c r="F10" s="153" t="str">
        <f ca="1">OFFSET('4'!$F$66,$A$3,0)</f>
        <v/>
      </c>
      <c r="G10" s="80">
        <f ca="1">IFERROR('4'!$F$100*'Discipline Analysis'!$B10,"")</f>
        <v>0</v>
      </c>
      <c r="H10" s="153">
        <f>'4'!$F$100</f>
        <v>0.86</v>
      </c>
      <c r="I10" s="80">
        <f ca="1">IFERROR('4'!$F$98*'Discipline Analysis'!$B10,"")</f>
        <v>0</v>
      </c>
      <c r="J10" s="153">
        <f>'4'!$F$98</f>
        <v>0.93</v>
      </c>
      <c r="K10" s="80">
        <f ca="1">IFERROR('4'!$F$99*'Discipline Analysis'!$B10,"")</f>
        <v>0</v>
      </c>
      <c r="L10" s="153">
        <f>'4'!$F$99</f>
        <v>0.41</v>
      </c>
      <c r="M10" s="80">
        <f ca="1">OFFSET('4'!$E$35,$A$3,0)</f>
        <v>0</v>
      </c>
      <c r="N10" s="153" t="str">
        <f ca="1">OFFSET('4'!$F$35,$A$3,0)</f>
        <v/>
      </c>
      <c r="O10" s="80">
        <f ca="1">IFERROR('4'!$F$101*'Discipline Analysis'!$B10,"")</f>
        <v>0</v>
      </c>
      <c r="P10" s="153">
        <f>'4'!$F$101</f>
        <v>0</v>
      </c>
      <c r="Q10" s="80">
        <f ca="1">IFERROR('4'!$F$102*'Discipline Analysis'!$B10,"")</f>
        <v>0</v>
      </c>
      <c r="R10" s="153">
        <f>'4'!$F$102</f>
        <v>0</v>
      </c>
      <c r="S10" s="80">
        <f ca="1">IFERROR('4'!$F$103*'Discipline Analysis'!$B10,"")</f>
        <v>0</v>
      </c>
      <c r="T10" s="153">
        <f>'4'!$F$103</f>
        <v>0.13</v>
      </c>
      <c r="U10" s="80">
        <f ca="1">IFERROR('4'!$F$104*'Discipline Analysis'!$B10,"")</f>
        <v>0</v>
      </c>
      <c r="V10" s="158">
        <f>'4'!$F$104</f>
        <v>0.08</v>
      </c>
      <c r="X10" s="79" t="s">
        <v>7</v>
      </c>
    </row>
    <row r="11" spans="1:24" x14ac:dyDescent="0.2">
      <c r="A11" s="97" t="s">
        <v>1037</v>
      </c>
      <c r="B11" s="88">
        <f ca="1">OFFSET('5'!$D$4,$A$3,0)</f>
        <v>85570</v>
      </c>
      <c r="C11" s="80">
        <f ca="1">OFFSET('5'!$E$4,$A$3,0)</f>
        <v>559145.36645058857</v>
      </c>
      <c r="D11" s="153">
        <f ca="1">OFFSET('5'!$F$4,$A$3,0)</f>
        <v>6.53</v>
      </c>
      <c r="E11" s="80">
        <f ca="1">OFFSET('5'!$E$66,$A$3,0)</f>
        <v>113776</v>
      </c>
      <c r="F11" s="153">
        <f ca="1">OFFSET('5'!$F$66,$A$3,0)</f>
        <v>1.33</v>
      </c>
      <c r="G11" s="80">
        <f ca="1">IFERROR('5'!$F$100*'Discipline Analysis'!$B11,"")</f>
        <v>116375.20000000001</v>
      </c>
      <c r="H11" s="153">
        <f>'5'!$F$100</f>
        <v>1.36</v>
      </c>
      <c r="I11" s="80">
        <f ca="1">IFERROR('5'!$F$98*'Discipline Analysis'!$B11,"")</f>
        <v>167717.19999999998</v>
      </c>
      <c r="J11" s="153">
        <f>'5'!$F$98</f>
        <v>1.96</v>
      </c>
      <c r="K11" s="80">
        <f ca="1">IFERROR('5'!$F$99*'Discipline Analysis'!$B11,"")</f>
        <v>98405.499999999985</v>
      </c>
      <c r="L11" s="153">
        <f>'5'!$F$99</f>
        <v>1.1499999999999999</v>
      </c>
      <c r="M11" s="80">
        <f ca="1">OFFSET('5'!$E$35,$A$3,0)</f>
        <v>23208</v>
      </c>
      <c r="N11" s="153">
        <f ca="1">OFFSET('5'!$F$35,$A$3,0)</f>
        <v>0.27</v>
      </c>
      <c r="O11" s="80">
        <f ca="1">IFERROR('5'!$F$101*'Discipline Analysis'!$B11,"")</f>
        <v>0</v>
      </c>
      <c r="P11" s="153">
        <f>'5'!$F$101</f>
        <v>0</v>
      </c>
      <c r="Q11" s="80">
        <f ca="1">IFERROR('5'!$F$102*'Discipline Analysis'!$B11,"")</f>
        <v>0</v>
      </c>
      <c r="R11" s="153">
        <f>'5'!$F$102</f>
        <v>0</v>
      </c>
      <c r="S11" s="80">
        <f ca="1">IFERROR('5'!$F$103*'Discipline Analysis'!$B11,"")</f>
        <v>11979.800000000001</v>
      </c>
      <c r="T11" s="153">
        <f>'5'!$F$103</f>
        <v>0.14000000000000001</v>
      </c>
      <c r="U11" s="80">
        <f ca="1">IFERROR('5'!$F$104*'Discipline Analysis'!$B11,"")</f>
        <v>28238.100000000002</v>
      </c>
      <c r="V11" s="158">
        <f>'5'!$F$104</f>
        <v>0.33</v>
      </c>
      <c r="X11" s="79" t="s">
        <v>8</v>
      </c>
    </row>
    <row r="12" spans="1:24" x14ac:dyDescent="0.2">
      <c r="A12" s="97" t="s">
        <v>1048</v>
      </c>
      <c r="B12" s="88">
        <f ca="1">OFFSET('6'!$D$4,$A$3,0)</f>
        <v>59744</v>
      </c>
      <c r="C12" s="80">
        <f ca="1">OFFSET('6'!$E$4,$A$3,0)</f>
        <v>389838.04795064882</v>
      </c>
      <c r="D12" s="153">
        <f ca="1">OFFSET('6'!$F$4,$A$3,0)</f>
        <v>6.53</v>
      </c>
      <c r="E12" s="80">
        <f ca="1">OFFSET('6'!$E$66,$A$3,0)</f>
        <v>221421</v>
      </c>
      <c r="F12" s="153">
        <f ca="1">OFFSET('6'!$F$66,$A$3,0)</f>
        <v>3.71</v>
      </c>
      <c r="G12" s="80">
        <f ca="1">IFERROR('6'!$F$100*'Discipline Analysis'!$B12,"")</f>
        <v>26287.360000000001</v>
      </c>
      <c r="H12" s="153">
        <f>'6'!$F$100</f>
        <v>0.44</v>
      </c>
      <c r="I12" s="80">
        <f ca="1">IFERROR('6'!$F$98*'Discipline Analysis'!$B12,"")</f>
        <v>58549.119999999995</v>
      </c>
      <c r="J12" s="153">
        <f>'6'!$F$98</f>
        <v>0.98</v>
      </c>
      <c r="K12" s="80">
        <f ca="1">IFERROR('6'!$F$99*'Discipline Analysis'!$B12,"")</f>
        <v>31664.320000000003</v>
      </c>
      <c r="L12" s="153">
        <f>'6'!$F$99</f>
        <v>0.53</v>
      </c>
      <c r="M12" s="80">
        <f ca="1">OFFSET('6'!$E$35,$A$3,0)</f>
        <v>39519</v>
      </c>
      <c r="N12" s="153">
        <f ca="1">OFFSET('6'!$F$35,$A$3,0)</f>
        <v>0.66</v>
      </c>
      <c r="O12" s="80">
        <f ca="1">IFERROR('6'!$F$101*'Discipline Analysis'!$B12,"")</f>
        <v>0</v>
      </c>
      <c r="P12" s="153">
        <f>'6'!$F$101</f>
        <v>0</v>
      </c>
      <c r="Q12" s="80">
        <f ca="1">IFERROR('6'!$F$102*'Discipline Analysis'!$B12,"")</f>
        <v>3584.64</v>
      </c>
      <c r="R12" s="153">
        <f>'6'!$F$102</f>
        <v>0.06</v>
      </c>
      <c r="S12" s="80">
        <f ca="1">IFERROR('6'!$F$103*'Discipline Analysis'!$B12,"")</f>
        <v>2987.2000000000003</v>
      </c>
      <c r="T12" s="153">
        <f>'6'!$F$103</f>
        <v>0.05</v>
      </c>
      <c r="U12" s="80">
        <f ca="1">IFERROR('6'!$F$104*'Discipline Analysis'!$B12,"")</f>
        <v>5376.96</v>
      </c>
      <c r="V12" s="158">
        <f>'6'!$F$104</f>
        <v>0.09</v>
      </c>
      <c r="X12" s="79" t="s">
        <v>9</v>
      </c>
    </row>
    <row r="13" spans="1:24" x14ac:dyDescent="0.2">
      <c r="A13" s="97" t="s">
        <v>1049</v>
      </c>
      <c r="B13" s="88">
        <f ca="1">OFFSET('7'!$D$4,$A$3,0)</f>
        <v>0</v>
      </c>
      <c r="C13" s="80">
        <f ca="1">OFFSET('7'!$E$4,$A$3,0)</f>
        <v>0</v>
      </c>
      <c r="D13" s="153" t="str">
        <f ca="1">OFFSET('7'!$F$4,$A$3,0)</f>
        <v/>
      </c>
      <c r="E13" s="80">
        <f ca="1">OFFSET('7'!$E$66,$A$3,0)</f>
        <v>0</v>
      </c>
      <c r="F13" s="153" t="str">
        <f ca="1">OFFSET('7'!$F$66,$A$3,0)</f>
        <v/>
      </c>
      <c r="G13" s="80">
        <f ca="1">IFERROR('7'!$F$100*'Discipline Analysis'!$B13,"")</f>
        <v>0</v>
      </c>
      <c r="H13" s="153">
        <f>'7'!$F$100</f>
        <v>0.92</v>
      </c>
      <c r="I13" s="80">
        <f ca="1">IFERROR('7'!$F$98*'Discipline Analysis'!$B13,"")</f>
        <v>0</v>
      </c>
      <c r="J13" s="153">
        <f>'7'!$F$98</f>
        <v>2.59</v>
      </c>
      <c r="K13" s="80">
        <f ca="1">IFERROR('7'!$F$99*'Discipline Analysis'!$B13,"")</f>
        <v>0</v>
      </c>
      <c r="L13" s="153">
        <f>'7'!$F$99</f>
        <v>1.1000000000000001</v>
      </c>
      <c r="M13" s="80">
        <f ca="1">OFFSET('7'!$E$35,$A$3,0)</f>
        <v>0</v>
      </c>
      <c r="N13" s="153" t="str">
        <f ca="1">OFFSET('7'!$F$35,$A$3,0)</f>
        <v/>
      </c>
      <c r="O13" s="80">
        <f ca="1">IFERROR('7'!$F$101*'Discipline Analysis'!$B13,"")</f>
        <v>0</v>
      </c>
      <c r="P13" s="153">
        <f>'7'!$F$101</f>
        <v>0</v>
      </c>
      <c r="Q13" s="80">
        <f ca="1">IFERROR('7'!$F$102*'Discipline Analysis'!$B13,"")</f>
        <v>0</v>
      </c>
      <c r="R13" s="153">
        <f>'7'!$F$102</f>
        <v>0.18</v>
      </c>
      <c r="S13" s="80">
        <f ca="1">IFERROR('7'!$F$103*'Discipline Analysis'!$B13,"")</f>
        <v>0</v>
      </c>
      <c r="T13" s="153">
        <f>'7'!$F$103</f>
        <v>0.23</v>
      </c>
      <c r="U13" s="80">
        <f ca="1">IFERROR('7'!$F$104*'Discipline Analysis'!$B13,"")</f>
        <v>0</v>
      </c>
      <c r="V13" s="158">
        <f>'7'!$F$104</f>
        <v>0.13</v>
      </c>
      <c r="X13" s="79" t="s">
        <v>10</v>
      </c>
    </row>
    <row r="14" spans="1:24" x14ac:dyDescent="0.2">
      <c r="A14" s="97" t="s">
        <v>1083</v>
      </c>
      <c r="B14" s="88">
        <f ca="1">OFFSET('8'!$D$4,$A$3,0)</f>
        <v>72622</v>
      </c>
      <c r="C14" s="80">
        <f ca="1">OFFSET('8'!$E$4,$A$3,0)</f>
        <v>377500.36829438008</v>
      </c>
      <c r="D14" s="153">
        <f ca="1">OFFSET('8'!$F$4,$A$3,0)</f>
        <v>5.2</v>
      </c>
      <c r="E14" s="80">
        <f ca="1">OFFSET('8'!$E$66,$A$3,0)</f>
        <v>87639</v>
      </c>
      <c r="F14" s="153">
        <f ca="1">OFFSET('8'!$F$66,$A$3,0)</f>
        <v>1.21</v>
      </c>
      <c r="G14" s="80">
        <f ca="1">IFERROR('8'!$F$100*'Discipline Analysis'!$B14,"")</f>
        <v>26143.919999999998</v>
      </c>
      <c r="H14" s="153">
        <f>'8'!$F$100</f>
        <v>0.36</v>
      </c>
      <c r="I14" s="80">
        <f ca="1">IFERROR('8'!$F$98*'Discipline Analysis'!$B14,"")</f>
        <v>111837.88</v>
      </c>
      <c r="J14" s="153">
        <f>'8'!$F$98</f>
        <v>1.54</v>
      </c>
      <c r="K14" s="80">
        <f ca="1">IFERROR('8'!$F$99*'Discipline Analysis'!$B14,"")</f>
        <v>47204.3</v>
      </c>
      <c r="L14" s="153">
        <f>'8'!$F$99</f>
        <v>0.65</v>
      </c>
      <c r="M14" s="80">
        <f ca="1">OFFSET('8'!$E$35,$A$3,0)</f>
        <v>73228</v>
      </c>
      <c r="N14" s="153">
        <f ca="1">OFFSET('8'!$F$35,$A$3,0)</f>
        <v>1.01</v>
      </c>
      <c r="O14" s="80">
        <f ca="1">IFERROR('8'!$F$101*'Discipline Analysis'!$B14,"")</f>
        <v>0</v>
      </c>
      <c r="P14" s="153">
        <f>'8'!$F$101</f>
        <v>0</v>
      </c>
      <c r="Q14" s="80">
        <f ca="1">IFERROR('8'!$F$102*'Discipline Analysis'!$B14,"")</f>
        <v>0</v>
      </c>
      <c r="R14" s="153">
        <f>'8'!$F$102</f>
        <v>0</v>
      </c>
      <c r="S14" s="80">
        <f ca="1">IFERROR('8'!$F$103*'Discipline Analysis'!$B14,"")</f>
        <v>10893.3</v>
      </c>
      <c r="T14" s="153">
        <f>'8'!$F$103</f>
        <v>0.15</v>
      </c>
      <c r="U14" s="80">
        <f ca="1">IFERROR('8'!$F$104*'Discipline Analysis'!$B14,"")</f>
        <v>19607.940000000002</v>
      </c>
      <c r="V14" s="158">
        <f>'8'!$F$104</f>
        <v>0.27</v>
      </c>
      <c r="X14" s="79" t="s">
        <v>11</v>
      </c>
    </row>
    <row r="15" spans="1:24" x14ac:dyDescent="0.2">
      <c r="A15" s="97" t="s">
        <v>1040</v>
      </c>
      <c r="B15" s="88">
        <f ca="1">OFFSET('9'!$D$4,$A$3,0)</f>
        <v>7360</v>
      </c>
      <c r="C15" s="80">
        <f ca="1">OFFSET('9'!$E$4,$A$3,0)</f>
        <v>72773.29885383854</v>
      </c>
      <c r="D15" s="153">
        <f ca="1">OFFSET('9'!$F$4,$A$3,0)</f>
        <v>9.89</v>
      </c>
      <c r="E15" s="80">
        <f ca="1">OFFSET('9'!$E$66,$A$3,0)</f>
        <v>46166</v>
      </c>
      <c r="F15" s="153">
        <f ca="1">OFFSET('9'!$F$66,$A$3,0)</f>
        <v>6.27</v>
      </c>
      <c r="G15" s="80">
        <f ca="1">IFERROR('9'!$F$100*'Discipline Analysis'!$B15,"")</f>
        <v>3900.8</v>
      </c>
      <c r="H15" s="153">
        <f>'9'!$F$100</f>
        <v>0.53</v>
      </c>
      <c r="I15" s="80">
        <f ca="1">IFERROR('9'!$F$98*'Discipline Analysis'!$B15,"")</f>
        <v>8979.1999999999989</v>
      </c>
      <c r="J15" s="153">
        <f>'9'!$F$98</f>
        <v>1.22</v>
      </c>
      <c r="K15" s="80">
        <f ca="1">IFERROR('9'!$F$99*'Discipline Analysis'!$B15,"")</f>
        <v>4195.2</v>
      </c>
      <c r="L15" s="153">
        <f>'9'!$F$99</f>
        <v>0.56999999999999995</v>
      </c>
      <c r="M15" s="80">
        <f ca="1">OFFSET('9'!$E$35,$A$3,0)</f>
        <v>7552</v>
      </c>
      <c r="N15" s="153">
        <f ca="1">OFFSET('9'!$F$35,$A$3,0)</f>
        <v>1.03</v>
      </c>
      <c r="O15" s="80">
        <f ca="1">IFERROR('9'!$F$101*'Discipline Analysis'!$B15,"")</f>
        <v>0</v>
      </c>
      <c r="P15" s="153">
        <f>'9'!$F$101</f>
        <v>0</v>
      </c>
      <c r="Q15" s="80">
        <f ca="1">IFERROR('9'!$F$102*'Discipline Analysis'!$B15,"")</f>
        <v>0</v>
      </c>
      <c r="R15" s="153">
        <f>'9'!$F$102</f>
        <v>0</v>
      </c>
      <c r="S15" s="80">
        <f ca="1">IFERROR('9'!$F$103*'Discipline Analysis'!$B15,"")</f>
        <v>1472</v>
      </c>
      <c r="T15" s="153">
        <f>'9'!$F$103</f>
        <v>0.2</v>
      </c>
      <c r="U15" s="80">
        <f ca="1">IFERROR('9'!$F$104*'Discipline Analysis'!$B15,"")</f>
        <v>588.80000000000007</v>
      </c>
      <c r="V15" s="158">
        <f>'9'!$F$104</f>
        <v>0.08</v>
      </c>
      <c r="X15" s="79" t="s">
        <v>12</v>
      </c>
    </row>
    <row r="16" spans="1:24" x14ac:dyDescent="0.2">
      <c r="A16" s="97" t="s">
        <v>1050</v>
      </c>
      <c r="B16" s="88">
        <f ca="1">OFFSET('10'!$D$4,$A$3,0)</f>
        <v>34368</v>
      </c>
      <c r="C16" s="80">
        <f ca="1">OFFSET('10'!$E$4,$A$3,0)</f>
        <v>352163.33373965416</v>
      </c>
      <c r="D16" s="153">
        <f ca="1">OFFSET('10'!$F$4,$A$3,0)</f>
        <v>10.25</v>
      </c>
      <c r="E16" s="80">
        <f ca="1">OFFSET('10'!$E$66,$A$3,0)</f>
        <v>173229</v>
      </c>
      <c r="F16" s="153">
        <f ca="1">OFFSET('10'!$F$66,$A$3,0)</f>
        <v>5.04</v>
      </c>
      <c r="G16" s="80">
        <f ca="1">IFERROR('10'!$F$100*'Discipline Analysis'!$B16,"")</f>
        <v>22339.200000000001</v>
      </c>
      <c r="H16" s="153">
        <f>'10'!$F$100</f>
        <v>0.65</v>
      </c>
      <c r="I16" s="80">
        <f ca="1">IFERROR('10'!$F$98*'Discipline Analysis'!$B16,"")</f>
        <v>45709.440000000002</v>
      </c>
      <c r="J16" s="153">
        <f>'10'!$F$98</f>
        <v>1.33</v>
      </c>
      <c r="K16" s="80">
        <f ca="1">IFERROR('10'!$F$99*'Discipline Analysis'!$B16,"")</f>
        <v>20620.8</v>
      </c>
      <c r="L16" s="153">
        <f>'10'!$F$99</f>
        <v>0.6</v>
      </c>
      <c r="M16" s="80">
        <f ca="1">OFFSET('10'!$E$35,$A$3,0)</f>
        <v>70511</v>
      </c>
      <c r="N16" s="153">
        <f ca="1">OFFSET('10'!$F$35,$A$3,0)</f>
        <v>2.0499999999999998</v>
      </c>
      <c r="O16" s="80">
        <f ca="1">IFERROR('10'!$F$101*'Discipline Analysis'!$B16,"")</f>
        <v>0</v>
      </c>
      <c r="P16" s="153">
        <f>'10'!$F$101</f>
        <v>0</v>
      </c>
      <c r="Q16" s="80">
        <f ca="1">IFERROR('10'!$F$102*'Discipline Analysis'!$B16,"")</f>
        <v>0</v>
      </c>
      <c r="R16" s="153">
        <f>'10'!$F$102</f>
        <v>0</v>
      </c>
      <c r="S16" s="80">
        <f ca="1">IFERROR('10'!$F$103*'Discipline Analysis'!$B16,"")</f>
        <v>17184</v>
      </c>
      <c r="T16" s="153">
        <f>'10'!$F$103</f>
        <v>0.5</v>
      </c>
      <c r="U16" s="80">
        <f ca="1">IFERROR('10'!$F$104*'Discipline Analysis'!$B16,"")</f>
        <v>2749.44</v>
      </c>
      <c r="V16" s="158">
        <f>'10'!$F$104</f>
        <v>0.08</v>
      </c>
      <c r="X16" s="79" t="s">
        <v>469</v>
      </c>
    </row>
    <row r="17" spans="1:24" x14ac:dyDescent="0.2">
      <c r="A17" s="97" t="s">
        <v>1051</v>
      </c>
      <c r="B17" s="88">
        <f ca="1">OFFSET('11'!$D$4,$A$3,0)</f>
        <v>0</v>
      </c>
      <c r="C17" s="80">
        <f ca="1">OFFSET('11'!$E$4,$A$3,0)</f>
        <v>0</v>
      </c>
      <c r="D17" s="153" t="str">
        <f ca="1">OFFSET('11'!$F$4,$A$3,0)</f>
        <v/>
      </c>
      <c r="E17" s="80">
        <f ca="1">OFFSET('11'!$E$66,$A$3,0)</f>
        <v>0</v>
      </c>
      <c r="F17" s="153" t="str">
        <f ca="1">OFFSET('11'!$F$66,$A$3,0)</f>
        <v/>
      </c>
      <c r="G17" s="80" t="str">
        <f ca="1">IFERROR('11'!$F$100*'Discipline Analysis'!$B17,"")</f>
        <v/>
      </c>
      <c r="H17" s="164" t="str">
        <f>'11'!$F$100</f>
        <v/>
      </c>
      <c r="I17" s="80" t="str">
        <f ca="1">IFERROR('11'!$F$98*'Discipline Analysis'!$B17,"")</f>
        <v/>
      </c>
      <c r="J17" s="153" t="str">
        <f>'11'!$F$98</f>
        <v/>
      </c>
      <c r="K17" s="80" t="str">
        <f ca="1">IFERROR('11'!$F$99*'Discipline Analysis'!$B17,"")</f>
        <v/>
      </c>
      <c r="L17" s="153" t="str">
        <f>'11'!$F$99</f>
        <v/>
      </c>
      <c r="M17" s="80">
        <f ca="1">OFFSET('11'!$E$35,$A$3,0)</f>
        <v>0</v>
      </c>
      <c r="N17" s="153" t="str">
        <f ca="1">OFFSET('11'!$F$35,$A$3,0)</f>
        <v/>
      </c>
      <c r="O17" s="80" t="str">
        <f ca="1">IFERROR('11'!$F$101*'Discipline Analysis'!$B17,"")</f>
        <v/>
      </c>
      <c r="P17" s="153" t="str">
        <f>'11'!$F$101</f>
        <v/>
      </c>
      <c r="Q17" s="80" t="str">
        <f ca="1">IFERROR('11'!$F$102*'Discipline Analysis'!$B17,"")</f>
        <v/>
      </c>
      <c r="R17" s="153" t="str">
        <f>'11'!$F$102</f>
        <v/>
      </c>
      <c r="S17" s="80" t="str">
        <f ca="1">IFERROR('11'!$F$103*'Discipline Analysis'!$B17,"")</f>
        <v/>
      </c>
      <c r="T17" s="153" t="str">
        <f>'11'!$F$103</f>
        <v/>
      </c>
      <c r="U17" s="80" t="str">
        <f ca="1">IFERROR('11'!$F$104*'Discipline Analysis'!$B17,"")</f>
        <v/>
      </c>
      <c r="V17" s="158" t="str">
        <f>'11'!$F$104</f>
        <v/>
      </c>
      <c r="X17" s="79" t="s">
        <v>13</v>
      </c>
    </row>
    <row r="18" spans="1:24" x14ac:dyDescent="0.2">
      <c r="A18" s="97" t="s">
        <v>946</v>
      </c>
      <c r="B18" s="88">
        <f ca="1">OFFSET('12'!$D$4,$A$3,0)</f>
        <v>3261</v>
      </c>
      <c r="C18" s="80">
        <f ca="1">OFFSET('12'!$E$4,$A$3,0)</f>
        <v>24859.811823739175</v>
      </c>
      <c r="D18" s="153">
        <f ca="1">OFFSET('12'!$F$4,$A$3,0)</f>
        <v>7.62</v>
      </c>
      <c r="E18" s="80">
        <f ca="1">OFFSET('12'!$E$66,$A$3,0)</f>
        <v>0</v>
      </c>
      <c r="F18" s="153" t="str">
        <f ca="1">OFFSET('12'!$F$66,$A$3,0)</f>
        <v/>
      </c>
      <c r="G18" s="80">
        <f ca="1">IFERROR('12'!$F$100*'Discipline Analysis'!$B18,"")</f>
        <v>4500.1799999999994</v>
      </c>
      <c r="H18" s="153">
        <f>'12'!$F$100</f>
        <v>1.38</v>
      </c>
      <c r="I18" s="80">
        <f ca="1">IFERROR('12'!$F$98*'Discipline Analysis'!$B18,"")</f>
        <v>11772.21</v>
      </c>
      <c r="J18" s="153">
        <f>'12'!$F$98</f>
        <v>3.61</v>
      </c>
      <c r="K18" s="80">
        <f ca="1">IFERROR('12'!$F$99*'Discipline Analysis'!$B18,"")</f>
        <v>5511.09</v>
      </c>
      <c r="L18" s="153">
        <f>'12'!$F$99</f>
        <v>1.69</v>
      </c>
      <c r="M18" s="80">
        <f ca="1">OFFSET('12'!$E$35,$A$3,0)</f>
        <v>0</v>
      </c>
      <c r="N18" s="153" t="str">
        <f ca="1">OFFSET('12'!$F$35,$A$3,0)</f>
        <v/>
      </c>
      <c r="O18" s="80">
        <f ca="1">IFERROR('12'!$F$101*'Discipline Analysis'!$B18,"")</f>
        <v>0</v>
      </c>
      <c r="P18" s="153">
        <f>'12'!$F$101</f>
        <v>0</v>
      </c>
      <c r="Q18" s="80">
        <f ca="1">IFERROR('12'!$F$102*'Discipline Analysis'!$B18,"")</f>
        <v>0</v>
      </c>
      <c r="R18" s="153">
        <f>'12'!$F$102</f>
        <v>0</v>
      </c>
      <c r="S18" s="80">
        <f ca="1">IFERROR('12'!$F$103*'Discipline Analysis'!$B18,"")</f>
        <v>978.3</v>
      </c>
      <c r="T18" s="153">
        <f>'12'!$F$103</f>
        <v>0.3</v>
      </c>
      <c r="U18" s="80">
        <f ca="1">IFERROR('12'!$F$104*'Discipline Analysis'!$B18,"")</f>
        <v>2119.65</v>
      </c>
      <c r="V18" s="158">
        <f>'12'!$F$104</f>
        <v>0.65</v>
      </c>
      <c r="X18" s="79" t="s">
        <v>14</v>
      </c>
    </row>
    <row r="19" spans="1:24" x14ac:dyDescent="0.2">
      <c r="A19" s="97" t="s">
        <v>1074</v>
      </c>
      <c r="B19" s="88">
        <f ca="1">OFFSET('13'!$D$4,$A$3,0)</f>
        <v>95914</v>
      </c>
      <c r="C19" s="80">
        <f ca="1">OFFSET('13'!$E$4,$A$3,0)</f>
        <v>632193.28262223548</v>
      </c>
      <c r="D19" s="153">
        <f ca="1">OFFSET('13'!$F$4,$A$3,0)</f>
        <v>6.59</v>
      </c>
      <c r="E19" s="80">
        <f ca="1">OFFSET('13'!$E$66,$A$3,0)</f>
        <v>192392</v>
      </c>
      <c r="F19" s="153">
        <f ca="1">OFFSET('13'!$F$66,$A$3,0)</f>
        <v>2.0099999999999998</v>
      </c>
      <c r="G19" s="80">
        <f ca="1">IFERROR('13'!$F$100*'Discipline Analysis'!$B19,"")</f>
        <v>80567.759999999995</v>
      </c>
      <c r="H19" s="153">
        <f>'13'!$F$100</f>
        <v>0.84</v>
      </c>
      <c r="I19" s="80">
        <f ca="1">IFERROR('13'!$F$98*'Discipline Analysis'!$B19,"")</f>
        <v>109341.95999999999</v>
      </c>
      <c r="J19" s="153">
        <f>'13'!$F$98</f>
        <v>1.1399999999999999</v>
      </c>
      <c r="K19" s="80">
        <f ca="1">IFERROR('13'!$F$99*'Discipline Analysis'!$B19,"")</f>
        <v>73853.78</v>
      </c>
      <c r="L19" s="153">
        <f>'13'!$F$99</f>
        <v>0.77</v>
      </c>
      <c r="M19" s="80">
        <f ca="1">OFFSET('13'!$E$35,$A$3,0)</f>
        <v>100001</v>
      </c>
      <c r="N19" s="153">
        <f ca="1">OFFSET('13'!$F$35,$A$3,0)</f>
        <v>1.04</v>
      </c>
      <c r="O19" s="80">
        <f ca="1">IFERROR('13'!$F$101*'Discipline Analysis'!$B19,"")</f>
        <v>0</v>
      </c>
      <c r="P19" s="153">
        <f>'13'!$F$101</f>
        <v>0</v>
      </c>
      <c r="Q19" s="80">
        <f ca="1">IFERROR('13'!$F$102*'Discipline Analysis'!$B19,"")</f>
        <v>46038.720000000001</v>
      </c>
      <c r="R19" s="153">
        <f>'13'!$F$102</f>
        <v>0.48</v>
      </c>
      <c r="S19" s="80">
        <f ca="1">IFERROR('13'!$F$103*'Discipline Analysis'!$B19,"")</f>
        <v>21101.08</v>
      </c>
      <c r="T19" s="153">
        <f>'13'!$F$103</f>
        <v>0.22</v>
      </c>
      <c r="U19" s="80">
        <f ca="1">IFERROR('13'!$F$104*'Discipline Analysis'!$B19,"")</f>
        <v>8632.26</v>
      </c>
      <c r="V19" s="158">
        <f>'13'!$F$104</f>
        <v>0.09</v>
      </c>
      <c r="X19" s="79" t="s">
        <v>15</v>
      </c>
    </row>
    <row r="20" spans="1:24" x14ac:dyDescent="0.2">
      <c r="A20" s="97" t="s">
        <v>1075</v>
      </c>
      <c r="B20" s="88">
        <f ca="1">OFFSET('14'!$D$4,$A$3,0)</f>
        <v>104261</v>
      </c>
      <c r="C20" s="80">
        <f ca="1">OFFSET('14'!$E$4,$A$3,0)</f>
        <v>1591788.6526182769</v>
      </c>
      <c r="D20" s="153">
        <f ca="1">OFFSET('14'!$F$4,$A$3,0)</f>
        <v>15.27</v>
      </c>
      <c r="E20" s="80">
        <f ca="1">OFFSET('14'!$E$66,$A$3,0)</f>
        <v>597793</v>
      </c>
      <c r="F20" s="153">
        <f ca="1">OFFSET('14'!$F$66,$A$3,0)</f>
        <v>5.73</v>
      </c>
      <c r="G20" s="80">
        <f ca="1">IFERROR('14'!$F$100*'Discipline Analysis'!$B20,"")</f>
        <v>62556.6</v>
      </c>
      <c r="H20" s="153">
        <f>'14'!$F$100</f>
        <v>0.6</v>
      </c>
      <c r="I20" s="80">
        <f ca="1">IFERROR('14'!$F$98*'Discipline Analysis'!$B20,"")</f>
        <v>179328.91999999998</v>
      </c>
      <c r="J20" s="153">
        <f>'14'!$F$98</f>
        <v>1.72</v>
      </c>
      <c r="K20" s="80">
        <f ca="1">IFERROR('14'!$F$99*'Discipline Analysis'!$B20,"")</f>
        <v>93834.900000000009</v>
      </c>
      <c r="L20" s="153">
        <f>'14'!$F$99</f>
        <v>0.9</v>
      </c>
      <c r="M20" s="80">
        <f ca="1">OFFSET('14'!$E$35,$A$3,0)</f>
        <v>631244</v>
      </c>
      <c r="N20" s="153">
        <f ca="1">OFFSET('14'!$F$35,$A$3,0)</f>
        <v>6.05</v>
      </c>
      <c r="O20" s="80">
        <f ca="1">IFERROR('14'!$F$101*'Discipline Analysis'!$B20,"")</f>
        <v>0</v>
      </c>
      <c r="P20" s="153">
        <f>'14'!$F$101</f>
        <v>0</v>
      </c>
      <c r="Q20" s="80">
        <f ca="1">IFERROR('14'!$F$102*'Discipline Analysis'!$B20,"")</f>
        <v>0</v>
      </c>
      <c r="R20" s="153">
        <f>'14'!$F$102</f>
        <v>0</v>
      </c>
      <c r="S20" s="80">
        <f ca="1">IFERROR('14'!$F$103*'Discipline Analysis'!$B20,"")</f>
        <v>12511.32</v>
      </c>
      <c r="T20" s="153">
        <f>'14'!$F$103</f>
        <v>0.12</v>
      </c>
      <c r="U20" s="80">
        <f ca="1">IFERROR('14'!$F$104*'Discipline Analysis'!$B20,"")</f>
        <v>15639.15</v>
      </c>
      <c r="V20" s="158">
        <f>'14'!$F$104</f>
        <v>0.15</v>
      </c>
      <c r="X20" s="79" t="s">
        <v>16</v>
      </c>
    </row>
    <row r="21" spans="1:24" x14ac:dyDescent="0.2">
      <c r="A21" s="97" t="s">
        <v>1052</v>
      </c>
      <c r="B21" s="88">
        <f ca="1">OFFSET('15'!$D$4,$A$3,0)</f>
        <v>704</v>
      </c>
      <c r="C21" s="80">
        <f ca="1">OFFSET('15'!$E$4,$A$3,0)</f>
        <v>6691.7975981952113</v>
      </c>
      <c r="D21" s="153">
        <f ca="1">OFFSET('15'!$F$4,$A$3,0)</f>
        <v>9.51</v>
      </c>
      <c r="E21" s="80">
        <f ca="1">OFFSET('15'!$E$66,$A$3,0)</f>
        <v>1000</v>
      </c>
      <c r="F21" s="153">
        <f ca="1">OFFSET('15'!$F$66,$A$3,0)</f>
        <v>1.42</v>
      </c>
      <c r="G21" s="80">
        <f ca="1">IFERROR('15'!$F$100*'Discipline Analysis'!$B21,"")</f>
        <v>711.04</v>
      </c>
      <c r="H21" s="153">
        <f>'15'!$F$100</f>
        <v>1.01</v>
      </c>
      <c r="I21" s="80">
        <f ca="1">IFERROR('15'!$F$98*'Discipline Analysis'!$B21,"")</f>
        <v>1781.12</v>
      </c>
      <c r="J21" s="153">
        <f>'15'!$F$98</f>
        <v>2.5299999999999998</v>
      </c>
      <c r="K21" s="80">
        <f ca="1">IFERROR('15'!$F$99*'Discipline Analysis'!$B21,"")</f>
        <v>844.8</v>
      </c>
      <c r="L21" s="153">
        <f>'15'!$F$99</f>
        <v>1.2</v>
      </c>
      <c r="M21" s="80">
        <f ca="1">OFFSET('15'!$E$35,$A$3,0)</f>
        <v>2058</v>
      </c>
      <c r="N21" s="153">
        <f ca="1">OFFSET('15'!$F$35,$A$3,0)</f>
        <v>2.92</v>
      </c>
      <c r="O21" s="80">
        <f ca="1">IFERROR('15'!$F$101*'Discipline Analysis'!$B21,"")</f>
        <v>0</v>
      </c>
      <c r="P21" s="153">
        <f>'15'!$F$101</f>
        <v>0</v>
      </c>
      <c r="Q21" s="80">
        <f ca="1">IFERROR('15'!$F$102*'Discipline Analysis'!$B21,"")</f>
        <v>0</v>
      </c>
      <c r="R21" s="153">
        <f>'15'!$F$102</f>
        <v>0</v>
      </c>
      <c r="S21" s="80">
        <f ca="1">IFERROR('15'!$F$103*'Discipline Analysis'!$B21,"")</f>
        <v>0</v>
      </c>
      <c r="T21" s="153">
        <f>'15'!$F$103</f>
        <v>0</v>
      </c>
      <c r="U21" s="80">
        <f ca="1">IFERROR('15'!$F$104*'Discipline Analysis'!$B21,"")</f>
        <v>302.71999999999997</v>
      </c>
      <c r="V21" s="158">
        <f>'15'!$F$104</f>
        <v>0.43</v>
      </c>
      <c r="X21" s="79" t="s">
        <v>17</v>
      </c>
    </row>
    <row r="22" spans="1:24" x14ac:dyDescent="0.2">
      <c r="A22" s="96" t="s">
        <v>1076</v>
      </c>
      <c r="B22" s="88">
        <f ca="1">OFFSET('16'!$D$4,$A$3,0)</f>
        <v>3168</v>
      </c>
      <c r="C22" s="80">
        <f ca="1">OFFSET('16'!$E$4,$A$3,0)</f>
        <v>27328.792760821285</v>
      </c>
      <c r="D22" s="153">
        <f ca="1">OFFSET('16'!$F$4,$A$3,0)</f>
        <v>8.6300000000000008</v>
      </c>
      <c r="E22" s="80">
        <f ca="1">OFFSET('16'!$E$66,$A$3,0)</f>
        <v>6704</v>
      </c>
      <c r="F22" s="153">
        <f ca="1">OFFSET('16'!$F$66,$A$3,0)</f>
        <v>2.12</v>
      </c>
      <c r="G22" s="80">
        <f ca="1">IFERROR('16'!$F$100*'Discipline Analysis'!$B22,"")</f>
        <v>4245.12</v>
      </c>
      <c r="H22" s="153">
        <f>'16'!$F$100</f>
        <v>1.34</v>
      </c>
      <c r="I22" s="80">
        <f ca="1">IFERROR('16'!$F$98*'Discipline Analysis'!$B22,"")</f>
        <v>5797.4400000000005</v>
      </c>
      <c r="J22" s="153">
        <f>'16'!$F$98</f>
        <v>1.83</v>
      </c>
      <c r="K22" s="80">
        <f ca="1">IFERROR('16'!$F$99*'Discipline Analysis'!$B22,"")</f>
        <v>2566.0800000000004</v>
      </c>
      <c r="L22" s="153">
        <f>'16'!$F$99</f>
        <v>0.81</v>
      </c>
      <c r="M22" s="80">
        <f ca="1">OFFSET('16'!$E$35,$A$3,0)</f>
        <v>6496</v>
      </c>
      <c r="N22" s="153">
        <f ca="1">OFFSET('16'!$F$35,$A$3,0)</f>
        <v>2.0499999999999998</v>
      </c>
      <c r="O22" s="80">
        <f ca="1">IFERROR('16'!$F$101*'Discipline Analysis'!$B22,"")</f>
        <v>0</v>
      </c>
      <c r="P22" s="153">
        <f>'16'!$F$101</f>
        <v>0</v>
      </c>
      <c r="Q22" s="80">
        <f ca="1">IFERROR('16'!$F$102*'Discipline Analysis'!$B22,"")</f>
        <v>506.88</v>
      </c>
      <c r="R22" s="153">
        <f>'16'!$F$102</f>
        <v>0.16</v>
      </c>
      <c r="S22" s="80">
        <f ca="1">IFERROR('16'!$F$103*'Discipline Analysis'!$B22,"")</f>
        <v>506.88</v>
      </c>
      <c r="T22" s="153">
        <f>'16'!$F$103</f>
        <v>0.16</v>
      </c>
      <c r="U22" s="80">
        <f ca="1">IFERROR('16'!$F$104*'Discipline Analysis'!$B22,"")</f>
        <v>506.88</v>
      </c>
      <c r="V22" s="158">
        <f>'16'!$F$104</f>
        <v>0.16</v>
      </c>
      <c r="X22" s="79" t="s">
        <v>18</v>
      </c>
    </row>
    <row r="23" spans="1:24" x14ac:dyDescent="0.2">
      <c r="A23" s="97" t="s">
        <v>1053</v>
      </c>
      <c r="B23" s="88">
        <f ca="1">OFFSET('17'!$D$4,$A$3,0)</f>
        <v>11064</v>
      </c>
      <c r="C23" s="80">
        <f ca="1">OFFSET('17'!$E$4,$A$3,0)</f>
        <v>108051.71757074201</v>
      </c>
      <c r="D23" s="153">
        <f ca="1">OFFSET('17'!$F$4,$A$3,0)</f>
        <v>9.77</v>
      </c>
      <c r="E23" s="80">
        <f ca="1">OFFSET('17'!$E$66,$A$3,0)</f>
        <v>45645</v>
      </c>
      <c r="F23" s="153">
        <f ca="1">OFFSET('17'!$F$66,$A$3,0)</f>
        <v>4.13</v>
      </c>
      <c r="G23" s="80">
        <f ca="1">IFERROR('17'!$F$100*'Discipline Analysis'!$B23,"")</f>
        <v>2212.8000000000002</v>
      </c>
      <c r="H23" s="153">
        <f>'17'!$F$100</f>
        <v>0.2</v>
      </c>
      <c r="I23" s="80">
        <f ca="1">IFERROR('17'!$F$98*'Discipline Analysis'!$B23,"")</f>
        <v>26000.400000000001</v>
      </c>
      <c r="J23" s="153">
        <f>'17'!$F$98</f>
        <v>2.35</v>
      </c>
      <c r="K23" s="80">
        <f ca="1">IFERROR('17'!$F$99*'Discipline Analysis'!$B23,"")</f>
        <v>8076.72</v>
      </c>
      <c r="L23" s="153">
        <f>'17'!$F$99</f>
        <v>0.73</v>
      </c>
      <c r="M23" s="80">
        <f ca="1">OFFSET('17'!$E$35,$A$3,0)</f>
        <v>22598</v>
      </c>
      <c r="N23" s="153">
        <f ca="1">OFFSET('17'!$F$35,$A$3,0)</f>
        <v>2.04</v>
      </c>
      <c r="O23" s="80">
        <f ca="1">IFERROR('17'!$F$101*'Discipline Analysis'!$B23,"")</f>
        <v>0</v>
      </c>
      <c r="P23" s="153">
        <f>'17'!$F$101</f>
        <v>0</v>
      </c>
      <c r="Q23" s="80">
        <f ca="1">IFERROR('17'!$F$102*'Discipline Analysis'!$B23,"")</f>
        <v>1548.96</v>
      </c>
      <c r="R23" s="153">
        <f>'17'!$F$102</f>
        <v>0.14000000000000001</v>
      </c>
      <c r="S23" s="80">
        <f ca="1">IFERROR('17'!$F$103*'Discipline Analysis'!$B23,"")</f>
        <v>0</v>
      </c>
      <c r="T23" s="153">
        <f>'17'!$F$103</f>
        <v>0</v>
      </c>
      <c r="U23" s="80">
        <f ca="1">IFERROR('17'!$F$104*'Discipline Analysis'!$B23,"")</f>
        <v>1880.88</v>
      </c>
      <c r="V23" s="158">
        <f>'17'!$F$104</f>
        <v>0.17</v>
      </c>
      <c r="X23" s="79" t="s">
        <v>466</v>
      </c>
    </row>
    <row r="24" spans="1:24" x14ac:dyDescent="0.2">
      <c r="A24" s="97" t="s">
        <v>1054</v>
      </c>
      <c r="B24" s="88">
        <f ca="1">OFFSET('18'!$D$4,$A$3,0)</f>
        <v>0</v>
      </c>
      <c r="C24" s="80">
        <f ca="1">OFFSET('18'!$E$4,$A$3,0)</f>
        <v>0</v>
      </c>
      <c r="D24" s="153" t="str">
        <f ca="1">OFFSET('18'!$F$4,$A$3,0)</f>
        <v/>
      </c>
      <c r="E24" s="80">
        <f ca="1">OFFSET('18'!$E$66,$A$3,0)</f>
        <v>0</v>
      </c>
      <c r="F24" s="153" t="str">
        <f ca="1">OFFSET('18'!$F$66,$A$3,0)</f>
        <v/>
      </c>
      <c r="G24" s="80" t="str">
        <f ca="1">IFERROR('18'!$F$100*'Discipline Analysis'!$B24,"")</f>
        <v/>
      </c>
      <c r="H24" s="153" t="str">
        <f>'18'!$F$100</f>
        <v/>
      </c>
      <c r="I24" s="80" t="str">
        <f ca="1">IFERROR('18'!$F$98*'Discipline Analysis'!$B24,"")</f>
        <v/>
      </c>
      <c r="J24" s="153" t="str">
        <f>'18'!$F$98</f>
        <v/>
      </c>
      <c r="K24" s="80" t="str">
        <f ca="1">IFERROR('18'!$F$99*'Discipline Analysis'!$B24,"")</f>
        <v/>
      </c>
      <c r="L24" s="153" t="str">
        <f>'18'!$F$99</f>
        <v/>
      </c>
      <c r="M24" s="80">
        <f ca="1">OFFSET('18'!$E$35,$A$3,0)</f>
        <v>0</v>
      </c>
      <c r="N24" s="153" t="str">
        <f ca="1">OFFSET('18'!$F$35,$A$3,0)</f>
        <v/>
      </c>
      <c r="O24" s="80" t="str">
        <f ca="1">IFERROR('18'!$F$101*'Discipline Analysis'!$B24,"")</f>
        <v/>
      </c>
      <c r="P24" s="153" t="str">
        <f>'18'!$F$101</f>
        <v/>
      </c>
      <c r="Q24" s="80" t="str">
        <f ca="1">IFERROR('18'!$F$102*'Discipline Analysis'!$B24,"")</f>
        <v/>
      </c>
      <c r="R24" s="153" t="str">
        <f>'18'!$F$102</f>
        <v/>
      </c>
      <c r="S24" s="80" t="str">
        <f ca="1">IFERROR('18'!$F$103*'Discipline Analysis'!$B24,"")</f>
        <v/>
      </c>
      <c r="T24" s="153" t="str">
        <f>'18'!$F$103</f>
        <v/>
      </c>
      <c r="U24" s="80" t="str">
        <f ca="1">IFERROR('18'!$F$104*'Discipline Analysis'!$B24,"")</f>
        <v/>
      </c>
      <c r="V24" s="158" t="str">
        <f>'18'!$F$104</f>
        <v/>
      </c>
      <c r="X24" s="79" t="s">
        <v>19</v>
      </c>
    </row>
    <row r="25" spans="1:24" x14ac:dyDescent="0.2">
      <c r="A25" s="97" t="s">
        <v>1084</v>
      </c>
      <c r="B25" s="88">
        <f ca="1">OFFSET('19'!$D$4,$A$3,0)</f>
        <v>14424</v>
      </c>
      <c r="C25" s="80">
        <f ca="1">OFFSET('19'!$E$4,$A$3,0)</f>
        <v>128826.98721909808</v>
      </c>
      <c r="D25" s="153">
        <f ca="1">OFFSET('19'!$F$4,$A$3,0)</f>
        <v>8.93</v>
      </c>
      <c r="E25" s="80">
        <f ca="1">OFFSET('19'!$E$66,$A$3,0)</f>
        <v>0</v>
      </c>
      <c r="F25" s="153">
        <f ca="1">OFFSET('19'!$F$66,$A$3,0)</f>
        <v>0</v>
      </c>
      <c r="G25" s="80">
        <f ca="1">IFERROR('19'!$F$100*'Discipline Analysis'!$B25,"")</f>
        <v>8077.4400000000005</v>
      </c>
      <c r="H25" s="153">
        <f>'19'!$F$100</f>
        <v>0.56000000000000005</v>
      </c>
      <c r="I25" s="80">
        <f ca="1">IFERROR('19'!$F$98*'Discipline Analysis'!$B25,"")</f>
        <v>21203.279999999999</v>
      </c>
      <c r="J25" s="153">
        <f>'19'!$F$98</f>
        <v>1.47</v>
      </c>
      <c r="K25" s="80">
        <f ca="1">IFERROR('19'!$F$99*'Discipline Analysis'!$B25,"")</f>
        <v>10529.52</v>
      </c>
      <c r="L25" s="153">
        <f>'19'!$F$99</f>
        <v>0.73</v>
      </c>
      <c r="M25" s="80">
        <f ca="1">OFFSET('19'!$E$35,$A$3,0)</f>
        <v>84636</v>
      </c>
      <c r="N25" s="153">
        <f ca="1">OFFSET('19'!$F$35,$A$3,0)</f>
        <v>5.87</v>
      </c>
      <c r="O25" s="80">
        <f ca="1">IFERROR('19'!$F$101*'Discipline Analysis'!$B25,"")</f>
        <v>0</v>
      </c>
      <c r="P25" s="153">
        <f>'19'!$F$101</f>
        <v>0</v>
      </c>
      <c r="Q25" s="80">
        <f ca="1">IFERROR('19'!$F$102*'Discipline Analysis'!$B25,"")</f>
        <v>0</v>
      </c>
      <c r="R25" s="153">
        <f>'19'!$F$102</f>
        <v>0</v>
      </c>
      <c r="S25" s="80">
        <f ca="1">IFERROR('19'!$F$103*'Discipline Analysis'!$B25,"")</f>
        <v>1875.1200000000001</v>
      </c>
      <c r="T25" s="153">
        <f>'19'!$F$103</f>
        <v>0.13</v>
      </c>
      <c r="U25" s="80">
        <f ca="1">IFERROR('19'!$F$104*'Discipline Analysis'!$B25,"")</f>
        <v>2596.3199999999997</v>
      </c>
      <c r="V25" s="158">
        <f>'19'!$F$104</f>
        <v>0.18</v>
      </c>
      <c r="X25" s="79" t="s">
        <v>20</v>
      </c>
    </row>
    <row r="26" spans="1:24" x14ac:dyDescent="0.2">
      <c r="A26" s="97" t="s">
        <v>1055</v>
      </c>
      <c r="B26" s="88">
        <f ca="1">OFFSET('20'!$D$4,$A$3,0)</f>
        <v>7008</v>
      </c>
      <c r="C26" s="80">
        <f ca="1">OFFSET('20'!$E$4,$A$3,0)</f>
        <v>86424.601332249425</v>
      </c>
      <c r="D26" s="153">
        <f ca="1">OFFSET('20'!$F$4,$A$3,0)</f>
        <v>12.33</v>
      </c>
      <c r="E26" s="80">
        <f ca="1">OFFSET('20'!$E$66,$A$3,0)</f>
        <v>56968</v>
      </c>
      <c r="F26" s="153">
        <f ca="1">OFFSET('20'!$F$66,$A$3,0)</f>
        <v>8.1300000000000008</v>
      </c>
      <c r="G26" s="80">
        <f ca="1">IFERROR('20'!$F$100*'Discipline Analysis'!$B26,"")</f>
        <v>3433.92</v>
      </c>
      <c r="H26" s="153">
        <f>'20'!$F$100</f>
        <v>0.49</v>
      </c>
      <c r="I26" s="80">
        <f ca="1">IFERROR('20'!$F$98*'Discipline Analysis'!$B26,"")</f>
        <v>11142.720000000001</v>
      </c>
      <c r="J26" s="153">
        <f>'20'!$F$98</f>
        <v>1.59</v>
      </c>
      <c r="K26" s="80">
        <f ca="1">IFERROR('20'!$F$99*'Discipline Analysis'!$B26,"")</f>
        <v>4695.3600000000006</v>
      </c>
      <c r="L26" s="153">
        <f>'20'!$F$99</f>
        <v>0.67</v>
      </c>
      <c r="M26" s="80">
        <f ca="1">OFFSET('20'!$E$35,$A$3,0)</f>
        <v>10209</v>
      </c>
      <c r="N26" s="153">
        <f ca="1">OFFSET('20'!$F$35,$A$3,0)</f>
        <v>1.46</v>
      </c>
      <c r="O26" s="80">
        <f ca="1">IFERROR('20'!$F$101*'Discipline Analysis'!$B26,"")</f>
        <v>0</v>
      </c>
      <c r="P26" s="153">
        <f>'20'!$F$101</f>
        <v>0</v>
      </c>
      <c r="Q26" s="80">
        <f ca="1">IFERROR('20'!$F$102*'Discipline Analysis'!$B26,"")</f>
        <v>0</v>
      </c>
      <c r="R26" s="153">
        <f>'20'!$F$102</f>
        <v>0</v>
      </c>
      <c r="S26" s="80">
        <f ca="1">IFERROR('20'!$F$103*'Discipline Analysis'!$B26,"")</f>
        <v>0</v>
      </c>
      <c r="T26" s="153">
        <f>'20'!$F$103</f>
        <v>0</v>
      </c>
      <c r="U26" s="80">
        <f ca="1">IFERROR('20'!$F$104*'Discipline Analysis'!$B26,"")</f>
        <v>0</v>
      </c>
      <c r="V26" s="158">
        <f>'20'!$F$104</f>
        <v>0</v>
      </c>
      <c r="X26" s="79" t="s">
        <v>21</v>
      </c>
    </row>
    <row r="27" spans="1:24" x14ac:dyDescent="0.2">
      <c r="A27" s="97" t="s">
        <v>1077</v>
      </c>
      <c r="B27" s="88">
        <f ca="1">OFFSET('21'!$D$4,$A$3,0)</f>
        <v>81920</v>
      </c>
      <c r="C27" s="80">
        <f ca="1">OFFSET('21'!$E$4,$A$3,0)</f>
        <v>685212.50969897548</v>
      </c>
      <c r="D27" s="153">
        <f ca="1">OFFSET('21'!$F$4,$A$3,0)</f>
        <v>8.36</v>
      </c>
      <c r="E27" s="80">
        <f ca="1">OFFSET('21'!$E$66,$A$3,0)</f>
        <v>244844</v>
      </c>
      <c r="F27" s="153">
        <f ca="1">OFFSET('21'!$F$66,$A$3,0)</f>
        <v>2.99</v>
      </c>
      <c r="G27" s="80">
        <f ca="1">IFERROR('21'!$F$100*'Discipline Analysis'!$B27,"")</f>
        <v>71270.399999999994</v>
      </c>
      <c r="H27" s="153">
        <f>'21'!$F$100</f>
        <v>0.87</v>
      </c>
      <c r="I27" s="80">
        <f ca="1">IFERROR('21'!$F$98*'Discipline Analysis'!$B27,"")</f>
        <v>171212.79999999999</v>
      </c>
      <c r="J27" s="153">
        <f>'21'!$F$98</f>
        <v>2.09</v>
      </c>
      <c r="K27" s="80">
        <f ca="1">IFERROR('21'!$F$99*'Discipline Analysis'!$B27,"")</f>
        <v>82739.199999999997</v>
      </c>
      <c r="L27" s="153">
        <f>'21'!$F$99</f>
        <v>1.01</v>
      </c>
      <c r="M27" s="80">
        <f ca="1">OFFSET('21'!$E$35,$A$3,0)</f>
        <v>89839</v>
      </c>
      <c r="N27" s="153">
        <f ca="1">OFFSET('21'!$F$35,$A$3,0)</f>
        <v>1.1000000000000001</v>
      </c>
      <c r="O27" s="80">
        <f ca="1">IFERROR('21'!$F$101*'Discipline Analysis'!$B27,"")</f>
        <v>0</v>
      </c>
      <c r="P27" s="153">
        <f>'21'!$F$101</f>
        <v>0</v>
      </c>
      <c r="Q27" s="80">
        <f ca="1">IFERROR('21'!$F$102*'Discipline Analysis'!$B27,"")</f>
        <v>0</v>
      </c>
      <c r="R27" s="153">
        <f>'21'!$F$102</f>
        <v>0</v>
      </c>
      <c r="S27" s="80">
        <f ca="1">IFERROR('21'!$F$103*'Discipline Analysis'!$B27,"")</f>
        <v>16384</v>
      </c>
      <c r="T27" s="153">
        <f>'21'!$F$103</f>
        <v>0.2</v>
      </c>
      <c r="U27" s="80">
        <f ca="1">IFERROR('21'!$F$104*'Discipline Analysis'!$B27,"")</f>
        <v>9011.2000000000007</v>
      </c>
      <c r="V27" s="158">
        <f>'21'!$F$104</f>
        <v>0.11</v>
      </c>
      <c r="X27" s="79" t="s">
        <v>22</v>
      </c>
    </row>
    <row r="28" spans="1:24" x14ac:dyDescent="0.2">
      <c r="A28" s="97" t="s">
        <v>1056</v>
      </c>
      <c r="B28" s="88">
        <f ca="1">OFFSET('22'!$D$4,$A$3,0)</f>
        <v>95694</v>
      </c>
      <c r="C28" s="80">
        <f ca="1">OFFSET('22'!$E$4,$A$3,0)</f>
        <v>571902.29519579711</v>
      </c>
      <c r="D28" s="153">
        <f ca="1">OFFSET('22'!$F$4,$A$3,0)</f>
        <v>5.98</v>
      </c>
      <c r="E28" s="80">
        <f ca="1">OFFSET('22'!$E$66,$A$3,0)</f>
        <v>220532</v>
      </c>
      <c r="F28" s="153">
        <f ca="1">OFFSET('22'!$F$66,$A$3,0)</f>
        <v>2.2999999999999998</v>
      </c>
      <c r="G28" s="80">
        <f ca="1">IFERROR('22'!$F$100*'Discipline Analysis'!$B28,"")</f>
        <v>48803.94</v>
      </c>
      <c r="H28" s="153">
        <f>'22'!$F$100</f>
        <v>0.51</v>
      </c>
      <c r="I28" s="80">
        <f ca="1">IFERROR('22'!$F$98*'Discipline Analysis'!$B28,"")</f>
        <v>143541</v>
      </c>
      <c r="J28" s="153">
        <f>'22'!$F$98</f>
        <v>1.5</v>
      </c>
      <c r="K28" s="80">
        <f ca="1">IFERROR('22'!$F$99*'Discipline Analysis'!$B28,"")</f>
        <v>65071.920000000006</v>
      </c>
      <c r="L28" s="153">
        <f>'22'!$F$99</f>
        <v>0.68</v>
      </c>
      <c r="M28" s="80">
        <f ca="1">OFFSET('22'!$E$35,$A$3,0)</f>
        <v>63441</v>
      </c>
      <c r="N28" s="153">
        <f ca="1">OFFSET('22'!$F$35,$A$3,0)</f>
        <v>0.66</v>
      </c>
      <c r="O28" s="80">
        <f ca="1">IFERROR('22'!$F$101*'Discipline Analysis'!$B28,"")</f>
        <v>0</v>
      </c>
      <c r="P28" s="153">
        <f>'22'!$F$101</f>
        <v>0</v>
      </c>
      <c r="Q28" s="80">
        <f ca="1">IFERROR('22'!$F$102*'Discipline Analysis'!$B28,"")</f>
        <v>0</v>
      </c>
      <c r="R28" s="153">
        <f>'22'!$F$102</f>
        <v>0</v>
      </c>
      <c r="S28" s="80">
        <f ca="1">IFERROR('22'!$F$103*'Discipline Analysis'!$B28,"")</f>
        <v>16267.980000000001</v>
      </c>
      <c r="T28" s="153">
        <f>'22'!$F$103</f>
        <v>0.17</v>
      </c>
      <c r="U28" s="80">
        <f ca="1">IFERROR('22'!$F$104*'Discipline Analysis'!$B28,"")</f>
        <v>13397.160000000002</v>
      </c>
      <c r="V28" s="158">
        <f>'22'!$F$104</f>
        <v>0.14000000000000001</v>
      </c>
      <c r="X28" s="79" t="s">
        <v>23</v>
      </c>
    </row>
    <row r="29" spans="1:24" x14ac:dyDescent="0.2">
      <c r="A29" s="97" t="s">
        <v>1057</v>
      </c>
      <c r="B29" s="88">
        <f ca="1">OFFSET('23'!$D$4,$A$3,0)</f>
        <v>8276</v>
      </c>
      <c r="C29" s="80">
        <f ca="1">OFFSET('23'!$E$4,$A$3,0)</f>
        <v>88062.474080489206</v>
      </c>
      <c r="D29" s="153">
        <f ca="1">OFFSET('23'!$F$4,$A$3,0)</f>
        <v>10.64</v>
      </c>
      <c r="E29" s="80">
        <f ca="1">OFFSET('23'!$E$66,$A$3,0)</f>
        <v>60825</v>
      </c>
      <c r="F29" s="153">
        <f ca="1">OFFSET('23'!$F$66,$A$3,0)</f>
        <v>7.35</v>
      </c>
      <c r="G29" s="80">
        <f ca="1">IFERROR('23'!$F$100*'Discipline Analysis'!$B29,"")</f>
        <v>5213.88</v>
      </c>
      <c r="H29" s="153">
        <f>'23'!$F$100</f>
        <v>0.63</v>
      </c>
      <c r="I29" s="80">
        <f ca="1">IFERROR('23'!$F$98*'Discipline Analysis'!$B29,"")</f>
        <v>8110.48</v>
      </c>
      <c r="J29" s="153">
        <f>'23'!$F$98</f>
        <v>0.98</v>
      </c>
      <c r="K29" s="80">
        <f ca="1">IFERROR('23'!$F$99*'Discipline Analysis'!$B29,"")</f>
        <v>3144.88</v>
      </c>
      <c r="L29" s="153">
        <f>'23'!$F$99</f>
        <v>0.38</v>
      </c>
      <c r="M29" s="80">
        <f ca="1">OFFSET('23'!$E$35,$A$3,0)</f>
        <v>8852</v>
      </c>
      <c r="N29" s="153">
        <f ca="1">OFFSET('23'!$F$35,$A$3,0)</f>
        <v>1.07</v>
      </c>
      <c r="O29" s="80">
        <f ca="1">IFERROR('23'!$F$101*'Discipline Analysis'!$B29,"")</f>
        <v>0</v>
      </c>
      <c r="P29" s="153">
        <f>'23'!$F$101</f>
        <v>0</v>
      </c>
      <c r="Q29" s="80">
        <f ca="1">IFERROR('23'!$F$102*'Discipline Analysis'!$B29,"")</f>
        <v>82.76</v>
      </c>
      <c r="R29" s="153">
        <f>'23'!$F$102</f>
        <v>0.01</v>
      </c>
      <c r="S29" s="80">
        <f ca="1">IFERROR('23'!$F$103*'Discipline Analysis'!$B29,"")</f>
        <v>579.32000000000005</v>
      </c>
      <c r="T29" s="153">
        <f>'23'!$F$103</f>
        <v>7.0000000000000007E-2</v>
      </c>
      <c r="U29" s="80">
        <f ca="1">IFERROR('23'!$F$104*'Discipline Analysis'!$B29,"")</f>
        <v>1158.6400000000001</v>
      </c>
      <c r="V29" s="158">
        <f>'23'!$F$104</f>
        <v>0.14000000000000001</v>
      </c>
      <c r="X29" s="79" t="s">
        <v>24</v>
      </c>
    </row>
    <row r="30" spans="1:24" x14ac:dyDescent="0.2">
      <c r="A30" s="97" t="s">
        <v>1041</v>
      </c>
      <c r="B30" s="88">
        <f ca="1">OFFSET('24'!$D$4,$A$3,0)</f>
        <v>0</v>
      </c>
      <c r="C30" s="80">
        <f ca="1">OFFSET('24'!$E$4,$A$3,0)</f>
        <v>0</v>
      </c>
      <c r="D30" s="153" t="str">
        <f ca="1">OFFSET('24'!$F$4,$A$3,0)</f>
        <v/>
      </c>
      <c r="E30" s="80">
        <f ca="1">OFFSET('24'!$E$66,$A$3,0)</f>
        <v>0</v>
      </c>
      <c r="F30" s="153" t="str">
        <f ca="1">OFFSET('24'!$F$66,$A$3,0)</f>
        <v/>
      </c>
      <c r="G30" s="80">
        <f ca="1">IFERROR('24'!$F$100*'Discipline Analysis'!$B30,"")</f>
        <v>0</v>
      </c>
      <c r="H30" s="153">
        <f>'24'!$F$100</f>
        <v>1.39</v>
      </c>
      <c r="I30" s="80">
        <f ca="1">IFERROR('24'!$F$98*'Discipline Analysis'!$B30,"")</f>
        <v>0</v>
      </c>
      <c r="J30" s="153">
        <f>'24'!$F$98</f>
        <v>1.66</v>
      </c>
      <c r="K30" s="80">
        <f ca="1">IFERROR('24'!$F$99*'Discipline Analysis'!$B30,"")</f>
        <v>0</v>
      </c>
      <c r="L30" s="153">
        <f>'24'!$F$99</f>
        <v>1.25</v>
      </c>
      <c r="M30" s="80">
        <f ca="1">OFFSET('24'!$E$35,$A$3,0)</f>
        <v>0</v>
      </c>
      <c r="N30" s="153" t="str">
        <f ca="1">OFFSET('24'!$F$35,$A$3,0)</f>
        <v/>
      </c>
      <c r="O30" s="80">
        <f ca="1">IFERROR('24'!$F$101*'Discipline Analysis'!$B30,"")</f>
        <v>0</v>
      </c>
      <c r="P30" s="153">
        <f>'24'!$F$101</f>
        <v>0</v>
      </c>
      <c r="Q30" s="80">
        <f ca="1">IFERROR('24'!$F$102*'Discipline Analysis'!$B30,"")</f>
        <v>0</v>
      </c>
      <c r="R30" s="153">
        <f>'24'!$F$102</f>
        <v>0.09</v>
      </c>
      <c r="S30" s="80">
        <f ca="1">IFERROR('24'!$F$103*'Discipline Analysis'!$B30,"")</f>
        <v>0</v>
      </c>
      <c r="T30" s="153">
        <f>'24'!$F$103</f>
        <v>0.31</v>
      </c>
      <c r="U30" s="80">
        <f ca="1">IFERROR('24'!$F$104*'Discipline Analysis'!$B30,"")</f>
        <v>0</v>
      </c>
      <c r="V30" s="158">
        <f>'24'!$F$104</f>
        <v>0.45</v>
      </c>
      <c r="X30" s="79" t="s">
        <v>25</v>
      </c>
    </row>
    <row r="31" spans="1:24" x14ac:dyDescent="0.2">
      <c r="A31" s="97" t="s">
        <v>1058</v>
      </c>
      <c r="B31" s="88">
        <f ca="1">OFFSET('25'!$D$4,$A$3,0)</f>
        <v>70176</v>
      </c>
      <c r="C31" s="80">
        <f ca="1">OFFSET('25'!$E$4,$A$3,0)</f>
        <v>499710.74166750489</v>
      </c>
      <c r="D31" s="153">
        <f ca="1">OFFSET('25'!$F$4,$A$3,0)</f>
        <v>7.12</v>
      </c>
      <c r="E31" s="80">
        <f ca="1">OFFSET('25'!$E$66,$A$3,0)</f>
        <v>142296</v>
      </c>
      <c r="F31" s="153">
        <f ca="1">OFFSET('25'!$F$66,$A$3,0)</f>
        <v>2.0299999999999998</v>
      </c>
      <c r="G31" s="80">
        <f ca="1">IFERROR('25'!$F$100*'Discipline Analysis'!$B31,"")</f>
        <v>55439.040000000001</v>
      </c>
      <c r="H31" s="153">
        <f>'25'!$F$100</f>
        <v>0.79</v>
      </c>
      <c r="I31" s="80">
        <f ca="1">IFERROR('25'!$F$98*'Discipline Analysis'!$B31,"")</f>
        <v>172632.95999999999</v>
      </c>
      <c r="J31" s="153">
        <f>'25'!$F$98</f>
        <v>2.46</v>
      </c>
      <c r="K31" s="80">
        <f ca="1">IFERROR('25'!$F$99*'Discipline Analysis'!$B31,"")</f>
        <v>40000.32</v>
      </c>
      <c r="L31" s="153">
        <f>'25'!$F$99</f>
        <v>0.56999999999999995</v>
      </c>
      <c r="M31" s="80">
        <f ca="1">OFFSET('25'!$E$35,$A$3,0)</f>
        <v>41850</v>
      </c>
      <c r="N31" s="153">
        <f ca="1">OFFSET('25'!$F$35,$A$3,0)</f>
        <v>0.6</v>
      </c>
      <c r="O31" s="80">
        <f ca="1">IFERROR('25'!$F$101*'Discipline Analysis'!$B31,"")</f>
        <v>0</v>
      </c>
      <c r="P31" s="153">
        <f>'25'!$F$101</f>
        <v>0</v>
      </c>
      <c r="Q31" s="80">
        <f ca="1">IFERROR('25'!$F$102*'Discipline Analysis'!$B31,"")</f>
        <v>0</v>
      </c>
      <c r="R31" s="153">
        <f>'25'!$F$102</f>
        <v>0</v>
      </c>
      <c r="S31" s="80">
        <f ca="1">IFERROR('25'!$F$103*'Discipline Analysis'!$B31,"")</f>
        <v>14035.2</v>
      </c>
      <c r="T31" s="153">
        <f>'25'!$F$103</f>
        <v>0.2</v>
      </c>
      <c r="U31" s="80">
        <f ca="1">IFERROR('25'!$F$104*'Discipline Analysis'!$B31,"")</f>
        <v>34386.239999999998</v>
      </c>
      <c r="V31" s="158">
        <f>'25'!$F$104</f>
        <v>0.49</v>
      </c>
      <c r="X31" s="79" t="s">
        <v>956</v>
      </c>
    </row>
    <row r="32" spans="1:24" x14ac:dyDescent="0.2">
      <c r="A32" s="96" t="s">
        <v>1059</v>
      </c>
      <c r="B32" s="88">
        <f ca="1">OFFSET('26'!$D$4,$A$3,0)</f>
        <v>30852</v>
      </c>
      <c r="C32" s="80">
        <f ca="1">OFFSET('26'!$E$4,$A$3,0)</f>
        <v>300475.79169672902</v>
      </c>
      <c r="D32" s="153">
        <f ca="1">OFFSET('26'!$F$4,$A$3,0)</f>
        <v>9.74</v>
      </c>
      <c r="E32" s="80">
        <f ca="1">OFFSET('26'!$E$66,$A$3,0)</f>
        <v>134287</v>
      </c>
      <c r="F32" s="153">
        <f ca="1">OFFSET('26'!$F$66,$A$3,0)</f>
        <v>4.3499999999999996</v>
      </c>
      <c r="G32" s="80">
        <f ca="1">IFERROR('26'!$F$100*'Discipline Analysis'!$B32,"")</f>
        <v>53682.48</v>
      </c>
      <c r="H32" s="153">
        <f>'26'!$F$100</f>
        <v>1.74</v>
      </c>
      <c r="I32" s="80">
        <f ca="1">IFERROR('26'!$F$98*'Discipline Analysis'!$B32,"")</f>
        <v>47203.56</v>
      </c>
      <c r="J32" s="153">
        <f>'26'!$F$98</f>
        <v>1.53</v>
      </c>
      <c r="K32" s="80">
        <f ca="1">IFERROR('26'!$F$99*'Discipline Analysis'!$B32,"")</f>
        <v>25298.639999999999</v>
      </c>
      <c r="L32" s="153">
        <f>'26'!$F$99</f>
        <v>0.82</v>
      </c>
      <c r="M32" s="80">
        <f ca="1">OFFSET('26'!$E$35,$A$3,0)</f>
        <v>29662</v>
      </c>
      <c r="N32" s="153">
        <f ca="1">OFFSET('26'!$F$35,$A$3,0)</f>
        <v>0.96</v>
      </c>
      <c r="O32" s="80">
        <f ca="1">IFERROR('26'!$F$101*'Discipline Analysis'!$B32,"")</f>
        <v>0</v>
      </c>
      <c r="P32" s="153">
        <f>'26'!$F$101</f>
        <v>0</v>
      </c>
      <c r="Q32" s="80">
        <f ca="1">IFERROR('26'!$F$102*'Discipline Analysis'!$B32,"")</f>
        <v>0</v>
      </c>
      <c r="R32" s="153">
        <f>'26'!$F$102</f>
        <v>0</v>
      </c>
      <c r="S32" s="80">
        <f ca="1">IFERROR('26'!$F$103*'Discipline Analysis'!$B32,"")</f>
        <v>3393.72</v>
      </c>
      <c r="T32" s="153">
        <f>'26'!$F$103</f>
        <v>0.11</v>
      </c>
      <c r="U32" s="80">
        <f ca="1">IFERROR('26'!$F$104*'Discipline Analysis'!$B32,"")</f>
        <v>6787.44</v>
      </c>
      <c r="V32" s="158">
        <f>'26'!$F$104</f>
        <v>0.22</v>
      </c>
    </row>
    <row r="33" spans="1:22" x14ac:dyDescent="0.2">
      <c r="A33" s="97" t="s">
        <v>1038</v>
      </c>
      <c r="B33" s="88">
        <f ca="1">OFFSET('27'!$D$4,$A$3,0)</f>
        <v>33794</v>
      </c>
      <c r="C33" s="80">
        <f ca="1">OFFSET('27'!$E$4,$A$3,0)</f>
        <v>560680.39631694404</v>
      </c>
      <c r="D33" s="153">
        <f ca="1">OFFSET('27'!$F$4,$A$3,0)</f>
        <v>16.59</v>
      </c>
      <c r="E33" s="80">
        <f ca="1">OFFSET('27'!$E$66,$A$3,0)</f>
        <v>102560</v>
      </c>
      <c r="F33" s="153">
        <f ca="1">OFFSET('27'!$F$66,$A$3,0)</f>
        <v>3.03</v>
      </c>
      <c r="G33" s="80">
        <f ca="1">IFERROR('27'!$F$100*'Discipline Analysis'!$B33,"")</f>
        <v>13855.539999999999</v>
      </c>
      <c r="H33" s="153">
        <f>'27'!$F$100</f>
        <v>0.41</v>
      </c>
      <c r="I33" s="80">
        <f ca="1">IFERROR('27'!$F$98*'Discipline Analysis'!$B33,"")</f>
        <v>59815.38</v>
      </c>
      <c r="J33" s="153">
        <f>'27'!$F$98</f>
        <v>1.77</v>
      </c>
      <c r="K33" s="80">
        <f ca="1">IFERROR('27'!$F$99*'Discipline Analysis'!$B33,"")</f>
        <v>18248.760000000002</v>
      </c>
      <c r="L33" s="153">
        <f>'27'!$F$99</f>
        <v>0.54</v>
      </c>
      <c r="M33" s="80">
        <f ca="1">OFFSET('27'!$E$35,$A$3,0)</f>
        <v>356288</v>
      </c>
      <c r="N33" s="153">
        <f ca="1">OFFSET('27'!$F$35,$A$3,0)</f>
        <v>10.54</v>
      </c>
      <c r="O33" s="80">
        <f ca="1">IFERROR('27'!$F$101*'Discipline Analysis'!$B33,"")</f>
        <v>0</v>
      </c>
      <c r="P33" s="153">
        <f>'27'!$F$101</f>
        <v>0</v>
      </c>
      <c r="Q33" s="80">
        <f ca="1">IFERROR('27'!$F$102*'Discipline Analysis'!$B33,"")</f>
        <v>7434.68</v>
      </c>
      <c r="R33" s="153">
        <f>'27'!$F$102</f>
        <v>0.22</v>
      </c>
      <c r="S33" s="80">
        <f ca="1">IFERROR('27'!$F$103*'Discipline Analysis'!$B33,"")</f>
        <v>0</v>
      </c>
      <c r="T33" s="153">
        <f>'27'!$F$103</f>
        <v>0</v>
      </c>
      <c r="U33" s="80">
        <f ca="1">IFERROR('27'!$F$104*'Discipline Analysis'!$B33,"")</f>
        <v>2703.52</v>
      </c>
      <c r="V33" s="158">
        <f>'27'!$F$104</f>
        <v>0.08</v>
      </c>
    </row>
    <row r="34" spans="1:22" x14ac:dyDescent="0.2">
      <c r="A34" s="97" t="s">
        <v>1060</v>
      </c>
      <c r="B34" s="88">
        <f ca="1">OFFSET('28'!$D$4,$A$3,0)</f>
        <v>3984</v>
      </c>
      <c r="C34" s="80">
        <f ca="1">OFFSET('28'!$E$4,$A$3,0)</f>
        <v>18818.725967867889</v>
      </c>
      <c r="D34" s="153">
        <f ca="1">OFFSET('28'!$F$4,$A$3,0)</f>
        <v>4.72</v>
      </c>
      <c r="E34" s="80">
        <f ca="1">OFFSET('28'!$E$66,$A$3,0)</f>
        <v>2112</v>
      </c>
      <c r="F34" s="153">
        <f ca="1">OFFSET('28'!$F$66,$A$3,0)</f>
        <v>0.53</v>
      </c>
      <c r="G34" s="80">
        <f ca="1">IFERROR('28'!$F$100*'Discipline Analysis'!$B34,"")</f>
        <v>5856.48</v>
      </c>
      <c r="H34" s="153">
        <f>'28'!$F$100</f>
        <v>1.47</v>
      </c>
      <c r="I34" s="80">
        <f ca="1">IFERROR('28'!$F$98*'Discipline Analysis'!$B34,"")</f>
        <v>5816.6399999999994</v>
      </c>
      <c r="J34" s="153">
        <f>'28'!$F$98</f>
        <v>1.46</v>
      </c>
      <c r="K34" s="80">
        <f ca="1">IFERROR('28'!$F$99*'Discipline Analysis'!$B34,"")</f>
        <v>2709.1200000000003</v>
      </c>
      <c r="L34" s="153">
        <f>'28'!$F$99</f>
        <v>0.68</v>
      </c>
      <c r="M34" s="80">
        <f ca="1">OFFSET('28'!$E$35,$A$3,0)</f>
        <v>236</v>
      </c>
      <c r="N34" s="153">
        <f ca="1">OFFSET('28'!$F$35,$A$3,0)</f>
        <v>0.06</v>
      </c>
      <c r="O34" s="80">
        <f ca="1">IFERROR('28'!$F$101*'Discipline Analysis'!$B34,"")</f>
        <v>0</v>
      </c>
      <c r="P34" s="153">
        <f>'28'!$F$101</f>
        <v>0</v>
      </c>
      <c r="Q34" s="80">
        <f ca="1">IFERROR('28'!$F$102*'Discipline Analysis'!$B34,"")</f>
        <v>79.680000000000007</v>
      </c>
      <c r="R34" s="153">
        <f>'28'!$F$102</f>
        <v>0.02</v>
      </c>
      <c r="S34" s="80">
        <f ca="1">IFERROR('28'!$F$103*'Discipline Analysis'!$B34,"")</f>
        <v>836.64</v>
      </c>
      <c r="T34" s="153">
        <f>'28'!$F$103</f>
        <v>0.21</v>
      </c>
      <c r="U34" s="80">
        <f ca="1">IFERROR('28'!$F$104*'Discipline Analysis'!$B34,"")</f>
        <v>1155.3599999999999</v>
      </c>
      <c r="V34" s="158">
        <f>'28'!$F$104</f>
        <v>0.28999999999999998</v>
      </c>
    </row>
    <row r="35" spans="1:22" x14ac:dyDescent="0.2">
      <c r="A35" s="97" t="s">
        <v>1061</v>
      </c>
      <c r="B35" s="88">
        <f ca="1">OFFSET('29'!$D$4,$A$3,0)</f>
        <v>19696</v>
      </c>
      <c r="C35" s="80">
        <f ca="1">OFFSET('29'!$E$4,$A$3,0)</f>
        <v>132332.92823500629</v>
      </c>
      <c r="D35" s="153">
        <f ca="1">OFFSET('29'!$F$4,$A$3,0)</f>
        <v>6.72</v>
      </c>
      <c r="E35" s="80">
        <f ca="1">OFFSET('29'!$E$66,$A$3,0)</f>
        <v>65284</v>
      </c>
      <c r="F35" s="153">
        <f ca="1">OFFSET('29'!$F$66,$A$3,0)</f>
        <v>3.31</v>
      </c>
      <c r="G35" s="80">
        <f ca="1">IFERROR('29'!$F$100*'Discipline Analysis'!$B35,"")</f>
        <v>11423.679999999998</v>
      </c>
      <c r="H35" s="153">
        <f>'29'!$F$100</f>
        <v>0.57999999999999996</v>
      </c>
      <c r="I35" s="80">
        <f ca="1">IFERROR('29'!$F$98*'Discipline Analysis'!$B35,"")</f>
        <v>17923.36</v>
      </c>
      <c r="J35" s="153">
        <f>'29'!$F$98</f>
        <v>0.91</v>
      </c>
      <c r="K35" s="80">
        <f ca="1">IFERROR('29'!$F$99*'Discipline Analysis'!$B35,"")</f>
        <v>9651.0399999999991</v>
      </c>
      <c r="L35" s="153">
        <f>'29'!$F$99</f>
        <v>0.49</v>
      </c>
      <c r="M35" s="80">
        <f ca="1">OFFSET('29'!$E$35,$A$3,0)</f>
        <v>24085</v>
      </c>
      <c r="N35" s="153">
        <f ca="1">OFFSET('29'!$F$35,$A$3,0)</f>
        <v>1.22</v>
      </c>
      <c r="O35" s="80">
        <f ca="1">IFERROR('29'!$F$101*'Discipline Analysis'!$B35,"")</f>
        <v>0</v>
      </c>
      <c r="P35" s="153">
        <f>'29'!$F$101</f>
        <v>0</v>
      </c>
      <c r="Q35" s="80">
        <f ca="1">IFERROR('29'!$F$102*'Discipline Analysis'!$B35,"")</f>
        <v>0</v>
      </c>
      <c r="R35" s="153">
        <f>'29'!$F$102</f>
        <v>0</v>
      </c>
      <c r="S35" s="80">
        <f ca="1">IFERROR('29'!$F$103*'Discipline Analysis'!$B35,"")</f>
        <v>787.84</v>
      </c>
      <c r="T35" s="153">
        <f>'29'!$F$103</f>
        <v>0.04</v>
      </c>
      <c r="U35" s="80">
        <f ca="1">IFERROR('29'!$F$104*'Discipline Analysis'!$B35,"")</f>
        <v>3348.32</v>
      </c>
      <c r="V35" s="158">
        <f>'29'!$F$104</f>
        <v>0.17</v>
      </c>
    </row>
    <row r="36" spans="1:22" x14ac:dyDescent="0.2">
      <c r="A36" s="97" t="s">
        <v>1062</v>
      </c>
      <c r="B36" s="88">
        <f ca="1">OFFSET('30'!$D$4,$A$3,0)</f>
        <v>64304</v>
      </c>
      <c r="C36" s="80">
        <f ca="1">OFFSET('30'!$E$4,$A$3,0)</f>
        <v>590323.65639183833</v>
      </c>
      <c r="D36" s="153">
        <f ca="1">OFFSET('30'!$F$4,$A$3,0)</f>
        <v>9.18</v>
      </c>
      <c r="E36" s="80">
        <f ca="1">OFFSET('30'!$E$66,$A$3,0)</f>
        <v>248234</v>
      </c>
      <c r="F36" s="153">
        <f ca="1">OFFSET('30'!$F$66,$A$3,0)</f>
        <v>3.86</v>
      </c>
      <c r="G36" s="80">
        <f ca="1">IFERROR('30'!$F$100*'Discipline Analysis'!$B36,"")</f>
        <v>45012.799999999996</v>
      </c>
      <c r="H36" s="153">
        <f>'30'!$F$100</f>
        <v>0.7</v>
      </c>
      <c r="I36" s="80">
        <f ca="1">IFERROR('30'!$F$98*'Discipline Analysis'!$B36,"")</f>
        <v>58516.639999999999</v>
      </c>
      <c r="J36" s="153">
        <f>'30'!$F$98</f>
        <v>0.91</v>
      </c>
      <c r="K36" s="80">
        <f ca="1">IFERROR('30'!$F$99*'Discipline Analysis'!$B36,"")</f>
        <v>25078.560000000001</v>
      </c>
      <c r="L36" s="153">
        <f>'30'!$F$99</f>
        <v>0.39</v>
      </c>
      <c r="M36" s="80">
        <f ca="1">OFFSET('30'!$E$35,$A$3,0)</f>
        <v>197485</v>
      </c>
      <c r="N36" s="153">
        <f ca="1">OFFSET('30'!$F$35,$A$3,0)</f>
        <v>3.07</v>
      </c>
      <c r="O36" s="80">
        <f ca="1">IFERROR('30'!$F$101*'Discipline Analysis'!$B36,"")</f>
        <v>1929.12</v>
      </c>
      <c r="P36" s="153">
        <f>'30'!$F$101</f>
        <v>0.03</v>
      </c>
      <c r="Q36" s="80">
        <f ca="1">IFERROR('30'!$F$102*'Discipline Analysis'!$B36,"")</f>
        <v>0</v>
      </c>
      <c r="R36" s="153">
        <f>'30'!$F$102</f>
        <v>0</v>
      </c>
      <c r="S36" s="80">
        <f ca="1">IFERROR('30'!$F$103*'Discipline Analysis'!$B36,"")</f>
        <v>9645.6</v>
      </c>
      <c r="T36" s="153">
        <f>'30'!$F$103</f>
        <v>0.15</v>
      </c>
      <c r="U36" s="80">
        <f ca="1">IFERROR('30'!$F$104*'Discipline Analysis'!$B36,"")</f>
        <v>4501.2800000000007</v>
      </c>
      <c r="V36" s="158">
        <f>'30'!$F$104</f>
        <v>7.0000000000000007E-2</v>
      </c>
    </row>
    <row r="37" spans="1:22" x14ac:dyDescent="0.2">
      <c r="A37" s="97" t="s">
        <v>1039</v>
      </c>
      <c r="B37" s="88">
        <f ca="1">OFFSET('31'!$D$4,$A$3,0)</f>
        <v>13040</v>
      </c>
      <c r="C37" s="80">
        <f ca="1">OFFSET('31'!$E$4,$A$3,0)</f>
        <v>210854.57657523209</v>
      </c>
      <c r="D37" s="153">
        <f ca="1">OFFSET('31'!$F$4,$A$3,0)</f>
        <v>16.170000000000002</v>
      </c>
      <c r="E37" s="80">
        <f ca="1">OFFSET('31'!$E$66,$A$3,0)</f>
        <v>94667</v>
      </c>
      <c r="F37" s="153">
        <f ca="1">OFFSET('31'!$F$66,$A$3,0)</f>
        <v>7.26</v>
      </c>
      <c r="G37" s="80">
        <f ca="1">IFERROR('31'!$F$100*'Discipline Analysis'!$B37,"")</f>
        <v>8606.4</v>
      </c>
      <c r="H37" s="153">
        <f>'31'!$F$100</f>
        <v>0.66</v>
      </c>
      <c r="I37" s="80">
        <f ca="1">IFERROR('31'!$F$98*'Discipline Analysis'!$B37,"")</f>
        <v>25297.599999999999</v>
      </c>
      <c r="J37" s="153">
        <f>'31'!$F$98</f>
        <v>1.94</v>
      </c>
      <c r="K37" s="80">
        <f ca="1">IFERROR('31'!$F$99*'Discipline Analysis'!$B37,"")</f>
        <v>6780.8</v>
      </c>
      <c r="L37" s="153">
        <f>'31'!$F$99</f>
        <v>0.52</v>
      </c>
      <c r="M37" s="80">
        <f ca="1">OFFSET('31'!$E$35,$A$3,0)</f>
        <v>73406</v>
      </c>
      <c r="N37" s="153">
        <f ca="1">OFFSET('31'!$F$35,$A$3,0)</f>
        <v>5.63</v>
      </c>
      <c r="O37" s="80">
        <f ca="1">IFERROR('31'!$F$101*'Discipline Analysis'!$B37,"")</f>
        <v>0</v>
      </c>
      <c r="P37" s="153">
        <f>'31'!$F$101</f>
        <v>0</v>
      </c>
      <c r="Q37" s="80">
        <f ca="1">IFERROR('31'!$F$102*'Discipline Analysis'!$B37,"")</f>
        <v>0</v>
      </c>
      <c r="R37" s="153">
        <f>'31'!$F$102</f>
        <v>0</v>
      </c>
      <c r="S37" s="80">
        <f ca="1">IFERROR('31'!$F$103*'Discipline Analysis'!$B37,"")</f>
        <v>0</v>
      </c>
      <c r="T37" s="153">
        <f>'31'!$F$103</f>
        <v>0</v>
      </c>
      <c r="U37" s="80">
        <f ca="1">IFERROR('31'!$F$104*'Discipline Analysis'!$B37,"")</f>
        <v>2086.4</v>
      </c>
      <c r="V37" s="158">
        <f>'31'!$F$104</f>
        <v>0.16</v>
      </c>
    </row>
    <row r="38" spans="1:22" x14ac:dyDescent="0.2">
      <c r="A38" s="97" t="s">
        <v>1063</v>
      </c>
      <c r="B38" s="88">
        <f ca="1">OFFSET('32'!$D$4,$A$3,0)</f>
        <v>7768</v>
      </c>
      <c r="C38" s="80">
        <f ca="1">OFFSET('32'!$E$4,$A$3,0)</f>
        <v>95161.074908306633</v>
      </c>
      <c r="D38" s="153">
        <f ca="1">OFFSET('32'!$F$4,$A$3,0)</f>
        <v>12.25</v>
      </c>
      <c r="E38" s="80">
        <f ca="1">OFFSET('32'!$E$66,$A$3,0)</f>
        <v>51777</v>
      </c>
      <c r="F38" s="153">
        <f ca="1">OFFSET('32'!$F$66,$A$3,0)</f>
        <v>6.67</v>
      </c>
      <c r="G38" s="80">
        <f ca="1">IFERROR('32'!$F$100*'Discipline Analysis'!$B38,"")</f>
        <v>8389.44</v>
      </c>
      <c r="H38" s="153">
        <f>'32'!$F$100</f>
        <v>1.08</v>
      </c>
      <c r="I38" s="80">
        <f ca="1">IFERROR('32'!$F$98*'Discipline Analysis'!$B38,"")</f>
        <v>12894.88</v>
      </c>
      <c r="J38" s="153">
        <f>'32'!$F$98</f>
        <v>1.66</v>
      </c>
      <c r="K38" s="80">
        <f ca="1">IFERROR('32'!$F$99*'Discipline Analysis'!$B38,"")</f>
        <v>7301.9199999999992</v>
      </c>
      <c r="L38" s="153">
        <f>'32'!$F$99</f>
        <v>0.94</v>
      </c>
      <c r="M38" s="80">
        <f ca="1">OFFSET('32'!$E$35,$A$3,0)</f>
        <v>8165</v>
      </c>
      <c r="N38" s="153">
        <f ca="1">OFFSET('32'!$F$35,$A$3,0)</f>
        <v>1.05</v>
      </c>
      <c r="O38" s="80">
        <f ca="1">IFERROR('32'!$F$101*'Discipline Analysis'!$B38,"")</f>
        <v>0</v>
      </c>
      <c r="P38" s="153">
        <f>'32'!$F$101</f>
        <v>0</v>
      </c>
      <c r="Q38" s="80">
        <f ca="1">IFERROR('32'!$F$102*'Discipline Analysis'!$B38,"")</f>
        <v>2097.36</v>
      </c>
      <c r="R38" s="153">
        <f>'32'!$F$102</f>
        <v>0.27</v>
      </c>
      <c r="S38" s="80">
        <f ca="1">IFERROR('32'!$F$103*'Discipline Analysis'!$B38,"")</f>
        <v>1631.28</v>
      </c>
      <c r="T38" s="153">
        <f>'32'!$F$103</f>
        <v>0.21</v>
      </c>
      <c r="U38" s="80">
        <f ca="1">IFERROR('32'!$F$104*'Discipline Analysis'!$B38,"")</f>
        <v>2874.16</v>
      </c>
      <c r="V38" s="158">
        <f>'32'!$F$104</f>
        <v>0.37</v>
      </c>
    </row>
    <row r="39" spans="1:22" x14ac:dyDescent="0.2">
      <c r="A39" s="97" t="s">
        <v>1064</v>
      </c>
      <c r="B39" s="88">
        <f ca="1">OFFSET('33'!$D$4,$A$3,0)</f>
        <v>8821</v>
      </c>
      <c r="C39" s="80">
        <f ca="1">OFFSET('33'!$E$4,$A$3,0)</f>
        <v>57031.884250224677</v>
      </c>
      <c r="D39" s="153">
        <f ca="1">OFFSET('33'!$F$4,$A$3,0)</f>
        <v>6.47</v>
      </c>
      <c r="E39" s="80">
        <f ca="1">OFFSET('33'!$E$66,$A$3,0)</f>
        <v>9302</v>
      </c>
      <c r="F39" s="153">
        <f ca="1">OFFSET('33'!$F$66,$A$3,0)</f>
        <v>1.05</v>
      </c>
      <c r="G39" s="80">
        <f ca="1">IFERROR('33'!$F$100*'Discipline Analysis'!$B39,"")</f>
        <v>13231.5</v>
      </c>
      <c r="H39" s="153">
        <f>'33'!$F$100</f>
        <v>1.5</v>
      </c>
      <c r="I39" s="80">
        <f ca="1">IFERROR('33'!$F$98*'Discipline Analysis'!$B39,"")</f>
        <v>13319.710000000001</v>
      </c>
      <c r="J39" s="153">
        <f>'33'!$F$98</f>
        <v>1.51</v>
      </c>
      <c r="K39" s="80">
        <f ca="1">IFERROR('33'!$F$99*'Discipline Analysis'!$B39,"")</f>
        <v>7056.8</v>
      </c>
      <c r="L39" s="153">
        <f>'33'!$F$99</f>
        <v>0.8</v>
      </c>
      <c r="M39" s="80">
        <f ca="1">OFFSET('33'!$E$35,$A$3,0)</f>
        <v>9845</v>
      </c>
      <c r="N39" s="153">
        <f ca="1">OFFSET('33'!$F$35,$A$3,0)</f>
        <v>1.1200000000000001</v>
      </c>
      <c r="O39" s="80">
        <f ca="1">IFERROR('33'!$F$101*'Discipline Analysis'!$B39,"")</f>
        <v>0</v>
      </c>
      <c r="P39" s="153">
        <f>'33'!$F$101</f>
        <v>0</v>
      </c>
      <c r="Q39" s="80">
        <f ca="1">IFERROR('33'!$F$102*'Discipline Analysis'!$B39,"")</f>
        <v>0</v>
      </c>
      <c r="R39" s="153">
        <f>'33'!$F$102</f>
        <v>0</v>
      </c>
      <c r="S39" s="80">
        <f ca="1">IFERROR('33'!$F$103*'Discipline Analysis'!$B39,"")</f>
        <v>1852.4099999999999</v>
      </c>
      <c r="T39" s="153">
        <f>'33'!$F$103</f>
        <v>0.21</v>
      </c>
      <c r="U39" s="80">
        <f ca="1">IFERROR('33'!$F$104*'Discipline Analysis'!$B39,"")</f>
        <v>2469.88</v>
      </c>
      <c r="V39" s="158">
        <f>'33'!$F$104</f>
        <v>0.28000000000000003</v>
      </c>
    </row>
    <row r="40" spans="1:22" x14ac:dyDescent="0.2">
      <c r="A40" s="97" t="s">
        <v>1042</v>
      </c>
      <c r="B40" s="88">
        <f ca="1">OFFSET('34'!$D$4,$A$3,0)</f>
        <v>4304</v>
      </c>
      <c r="C40" s="80">
        <f ca="1">OFFSET('34'!$E$4,$A$3,0)</f>
        <v>62533.138758951129</v>
      </c>
      <c r="D40" s="153">
        <f ca="1">OFFSET('34'!$F$4,$A$3,0)</f>
        <v>14.53</v>
      </c>
      <c r="E40" s="80">
        <f ca="1">OFFSET('34'!$E$66,$A$3,0)</f>
        <v>41804</v>
      </c>
      <c r="F40" s="153">
        <f ca="1">OFFSET('34'!$F$66,$A$3,0)</f>
        <v>9.7100000000000009</v>
      </c>
      <c r="G40" s="80">
        <f ca="1">IFERROR('34'!$F$100*'Discipline Analysis'!$B40,"")</f>
        <v>1807.6799999999998</v>
      </c>
      <c r="H40" s="153">
        <f>'34'!$F$100</f>
        <v>0.42</v>
      </c>
      <c r="I40" s="80">
        <f ca="1">IFERROR('34'!$F$98*'Discipline Analysis'!$B40,"")</f>
        <v>4088.7999999999997</v>
      </c>
      <c r="J40" s="153">
        <f>'34'!$F$98</f>
        <v>0.95</v>
      </c>
      <c r="K40" s="80">
        <f ca="1">IFERROR('34'!$F$99*'Discipline Analysis'!$B40,"")</f>
        <v>2152</v>
      </c>
      <c r="L40" s="153">
        <f>'34'!$F$99</f>
        <v>0.5</v>
      </c>
      <c r="M40" s="80">
        <f ca="1">OFFSET('34'!$E$35,$A$3,0)</f>
        <v>12046</v>
      </c>
      <c r="N40" s="153">
        <f ca="1">OFFSET('34'!$F$35,$A$3,0)</f>
        <v>2.8</v>
      </c>
      <c r="O40" s="80">
        <f ca="1">IFERROR('34'!$F$101*'Discipline Analysis'!$B40,"")</f>
        <v>0</v>
      </c>
      <c r="P40" s="153">
        <f>'34'!$F$101</f>
        <v>0</v>
      </c>
      <c r="Q40" s="80">
        <f ca="1">IFERROR('34'!$F$102*'Discipline Analysis'!$B40,"")</f>
        <v>0</v>
      </c>
      <c r="R40" s="153">
        <f>'34'!$F$102</f>
        <v>0</v>
      </c>
      <c r="S40" s="80">
        <f ca="1">IFERROR('34'!$F$103*'Discipline Analysis'!$B40,"")</f>
        <v>0</v>
      </c>
      <c r="T40" s="153">
        <f>'34'!$F$103</f>
        <v>0</v>
      </c>
      <c r="U40" s="80">
        <f ca="1">IFERROR('34'!$F$104*'Discipline Analysis'!$B40,"")</f>
        <v>602.56000000000006</v>
      </c>
      <c r="V40" s="158">
        <f>'34'!$F$104</f>
        <v>0.14000000000000001</v>
      </c>
    </row>
    <row r="41" spans="1:22" x14ac:dyDescent="0.2">
      <c r="A41" s="97" t="s">
        <v>1065</v>
      </c>
      <c r="B41" s="88">
        <f ca="1">OFFSET('35'!$D$4,$A$3,0)</f>
        <v>2112</v>
      </c>
      <c r="C41" s="80">
        <f ca="1">OFFSET('35'!$E$4,$A$3,0)</f>
        <v>15390.998533434864</v>
      </c>
      <c r="D41" s="153">
        <f ca="1">OFFSET('35'!$F$4,$A$3,0)</f>
        <v>7.29</v>
      </c>
      <c r="E41" s="80">
        <f ca="1">OFFSET('35'!$E$66,$A$3,0)</f>
        <v>6210</v>
      </c>
      <c r="F41" s="153">
        <f ca="1">OFFSET('35'!$F$66,$A$3,0)</f>
        <v>2.94</v>
      </c>
      <c r="G41" s="80">
        <f ca="1">IFERROR('35'!$F$100*'Discipline Analysis'!$B41,"")</f>
        <v>612.4799999999999</v>
      </c>
      <c r="H41" s="153">
        <f>'35'!$F$100</f>
        <v>0.28999999999999998</v>
      </c>
      <c r="I41" s="80">
        <f ca="1">IFERROR('35'!$F$98*'Discipline Analysis'!$B41,"")</f>
        <v>3442.56</v>
      </c>
      <c r="J41" s="153">
        <f>'35'!$F$98</f>
        <v>1.63</v>
      </c>
      <c r="K41" s="80">
        <f ca="1">IFERROR('35'!$F$99*'Discipline Analysis'!$B41,"")</f>
        <v>1056</v>
      </c>
      <c r="L41" s="153">
        <f>'35'!$F$99</f>
        <v>0.5</v>
      </c>
      <c r="M41" s="80">
        <f ca="1">OFFSET('35'!$E$35,$A$3,0)</f>
        <v>2777</v>
      </c>
      <c r="N41" s="153">
        <f ca="1">OFFSET('35'!$F$35,$A$3,0)</f>
        <v>1.31</v>
      </c>
      <c r="O41" s="80">
        <f ca="1">IFERROR('35'!$F$101*'Discipline Analysis'!$B41,"")</f>
        <v>0</v>
      </c>
      <c r="P41" s="153">
        <f>'35'!$F$101</f>
        <v>0</v>
      </c>
      <c r="Q41" s="80">
        <f ca="1">IFERROR('35'!$F$102*'Discipline Analysis'!$B41,"")</f>
        <v>612.4799999999999</v>
      </c>
      <c r="R41" s="153">
        <f>'35'!$F$102</f>
        <v>0.28999999999999998</v>
      </c>
      <c r="S41" s="80">
        <f ca="1">IFERROR('35'!$F$103*'Discipline Analysis'!$B41,"")</f>
        <v>464.64</v>
      </c>
      <c r="T41" s="153">
        <f>'35'!$F$103</f>
        <v>0.22</v>
      </c>
      <c r="U41" s="80">
        <f ca="1">IFERROR('35'!$F$104*'Discipline Analysis'!$B41,"")</f>
        <v>190.07999999999998</v>
      </c>
      <c r="V41" s="158">
        <f>'35'!$F$104</f>
        <v>0.09</v>
      </c>
    </row>
    <row r="42" spans="1:22" x14ac:dyDescent="0.2">
      <c r="A42" s="97" t="s">
        <v>1078</v>
      </c>
      <c r="B42" s="88">
        <f ca="1">OFFSET('36'!$D$4,$A$3,0)</f>
        <v>12768</v>
      </c>
      <c r="C42" s="80">
        <f ca="1">OFFSET('36'!$E$4,$A$3,0)</f>
        <v>100379.71298661</v>
      </c>
      <c r="D42" s="153">
        <f ca="1">OFFSET('36'!$F$4,$A$3,0)</f>
        <v>7.86</v>
      </c>
      <c r="E42" s="80">
        <f ca="1">OFFSET('36'!$E$66,$A$3,0)</f>
        <v>34040</v>
      </c>
      <c r="F42" s="153">
        <f ca="1">OFFSET('36'!$F$66,$A$3,0)</f>
        <v>2.67</v>
      </c>
      <c r="G42" s="80">
        <f ca="1">IFERROR('36'!$F$100*'Discipline Analysis'!$B42,"")</f>
        <v>11874.24</v>
      </c>
      <c r="H42" s="153">
        <f>'36'!$F$100</f>
        <v>0.93</v>
      </c>
      <c r="I42" s="80">
        <f ca="1">IFERROR('36'!$F$98*'Discipline Analysis'!$B42,"")</f>
        <v>18002.879999999997</v>
      </c>
      <c r="J42" s="153">
        <f>'36'!$F$98</f>
        <v>1.41</v>
      </c>
      <c r="K42" s="80">
        <f ca="1">IFERROR('36'!$F$99*'Discipline Analysis'!$B42,"")</f>
        <v>11108.16</v>
      </c>
      <c r="L42" s="153">
        <f>'36'!$F$99</f>
        <v>0.87</v>
      </c>
      <c r="M42" s="80">
        <f ca="1">OFFSET('36'!$E$35,$A$3,0)</f>
        <v>21872</v>
      </c>
      <c r="N42" s="153">
        <f ca="1">OFFSET('36'!$F$35,$A$3,0)</f>
        <v>1.71</v>
      </c>
      <c r="O42" s="80">
        <f ca="1">IFERROR('36'!$F$101*'Discipline Analysis'!$B42,"")</f>
        <v>0</v>
      </c>
      <c r="P42" s="153">
        <f>'36'!$F$101</f>
        <v>0</v>
      </c>
      <c r="Q42" s="80">
        <f ca="1">IFERROR('36'!$F$102*'Discipline Analysis'!$B42,"")</f>
        <v>0</v>
      </c>
      <c r="R42" s="153">
        <f>'36'!$F$102</f>
        <v>0</v>
      </c>
      <c r="S42" s="80">
        <f ca="1">IFERROR('36'!$F$103*'Discipline Analysis'!$B42,"")</f>
        <v>0</v>
      </c>
      <c r="T42" s="153">
        <f>'36'!$F$103</f>
        <v>0</v>
      </c>
      <c r="U42" s="80">
        <f ca="1">IFERROR('36'!$F$104*'Discipline Analysis'!$B42,"")</f>
        <v>3575.0400000000004</v>
      </c>
      <c r="V42" s="158">
        <f>'36'!$F$104</f>
        <v>0.28000000000000003</v>
      </c>
    </row>
    <row r="43" spans="1:22" x14ac:dyDescent="0.2">
      <c r="A43" s="97" t="s">
        <v>1066</v>
      </c>
      <c r="B43" s="88">
        <f ca="1">OFFSET('37'!$D$4,$A$3,0)</f>
        <v>29868</v>
      </c>
      <c r="C43" s="80">
        <f ca="1">OFFSET('37'!$E$4,$A$3,0)</f>
        <v>332866.43015113607</v>
      </c>
      <c r="D43" s="153">
        <f ca="1">OFFSET('37'!$F$4,$A$3,0)</f>
        <v>11.14</v>
      </c>
      <c r="E43" s="80">
        <f ca="1">OFFSET('37'!$E$66,$A$3,0)</f>
        <v>223816</v>
      </c>
      <c r="F43" s="153">
        <f ca="1">OFFSET('37'!$F$66,$A$3,0)</f>
        <v>7.49</v>
      </c>
      <c r="G43" s="80">
        <f ca="1">IFERROR('37'!$F$100*'Discipline Analysis'!$B43,"")</f>
        <v>11051.16</v>
      </c>
      <c r="H43" s="153">
        <f>'37'!$F$100</f>
        <v>0.37</v>
      </c>
      <c r="I43" s="80">
        <f ca="1">IFERROR('37'!$F$98*'Discipline Analysis'!$B43,"")</f>
        <v>24193.08</v>
      </c>
      <c r="J43" s="153">
        <f>'37'!$F$98</f>
        <v>0.81</v>
      </c>
      <c r="K43" s="80">
        <f ca="1">IFERROR('37'!$F$99*'Discipline Analysis'!$B43,"")</f>
        <v>24193.08</v>
      </c>
      <c r="L43" s="153">
        <f>'37'!$F$99</f>
        <v>0.81</v>
      </c>
      <c r="M43" s="80">
        <f ca="1">OFFSET('37'!$E$35,$A$3,0)</f>
        <v>34716</v>
      </c>
      <c r="N43" s="153">
        <f ca="1">OFFSET('37'!$F$35,$A$3,0)</f>
        <v>1.1599999999999999</v>
      </c>
      <c r="O43" s="80">
        <f ca="1">IFERROR('37'!$F$101*'Discipline Analysis'!$B43,"")</f>
        <v>0</v>
      </c>
      <c r="P43" s="153">
        <f>'37'!$F$101</f>
        <v>0</v>
      </c>
      <c r="Q43" s="80">
        <f ca="1">IFERROR('37'!$F$102*'Discipline Analysis'!$B43,"")</f>
        <v>896.04</v>
      </c>
      <c r="R43" s="153">
        <f>'37'!$F$102</f>
        <v>0.03</v>
      </c>
      <c r="S43" s="80">
        <f ca="1">IFERROR('37'!$F$103*'Discipline Analysis'!$B43,"")</f>
        <v>5077.5600000000004</v>
      </c>
      <c r="T43" s="153">
        <f>'37'!$F$103</f>
        <v>0.17</v>
      </c>
      <c r="U43" s="80">
        <f ca="1">IFERROR('37'!$F$104*'Discipline Analysis'!$B43,"")</f>
        <v>9259.08</v>
      </c>
      <c r="V43" s="158">
        <f>'37'!$F$104</f>
        <v>0.31</v>
      </c>
    </row>
    <row r="44" spans="1:22" x14ac:dyDescent="0.2">
      <c r="A44" s="97" t="s">
        <v>1067</v>
      </c>
      <c r="B44" s="88">
        <f ca="1">OFFSET('38'!$D$4,$A$3,0)</f>
        <v>21648</v>
      </c>
      <c r="C44" s="80">
        <f ca="1">OFFSET('38'!$E$4,$A$3,0)</f>
        <v>153312.61126847926</v>
      </c>
      <c r="D44" s="153">
        <f ca="1">OFFSET('38'!$F$4,$A$3,0)</f>
        <v>7.08</v>
      </c>
      <c r="E44" s="80">
        <f ca="1">OFFSET('38'!$E$66,$A$3,0)</f>
        <v>58294</v>
      </c>
      <c r="F44" s="153">
        <f ca="1">OFFSET('38'!$F$66,$A$3,0)</f>
        <v>2.69</v>
      </c>
      <c r="G44" s="80">
        <f ca="1">IFERROR('38'!$F$100*'Discipline Analysis'!$B44,"")</f>
        <v>14504.160000000002</v>
      </c>
      <c r="H44" s="153">
        <f>'38'!$F$100</f>
        <v>0.67</v>
      </c>
      <c r="I44" s="80">
        <f ca="1">IFERROR('38'!$F$98*'Discipline Analysis'!$B44,"")</f>
        <v>35502.720000000001</v>
      </c>
      <c r="J44" s="153">
        <f>'38'!$F$98</f>
        <v>1.64</v>
      </c>
      <c r="K44" s="80">
        <f ca="1">IFERROR('38'!$F$99*'Discipline Analysis'!$B44,"")</f>
        <v>15803.039999999999</v>
      </c>
      <c r="L44" s="153">
        <f>'38'!$F$99</f>
        <v>0.73</v>
      </c>
      <c r="M44" s="80">
        <f ca="1">OFFSET('38'!$E$35,$A$3,0)</f>
        <v>19094</v>
      </c>
      <c r="N44" s="153">
        <f ca="1">OFFSET('38'!$F$35,$A$3,0)</f>
        <v>0.88</v>
      </c>
      <c r="O44" s="80">
        <f ca="1">IFERROR('38'!$F$101*'Discipline Analysis'!$B44,"")</f>
        <v>0</v>
      </c>
      <c r="P44" s="153">
        <f>'38'!$F$101</f>
        <v>0</v>
      </c>
      <c r="Q44" s="80">
        <f ca="1">IFERROR('38'!$F$102*'Discipline Analysis'!$B44,"")</f>
        <v>0</v>
      </c>
      <c r="R44" s="153">
        <f>'38'!$F$102</f>
        <v>0</v>
      </c>
      <c r="S44" s="80">
        <f ca="1">IFERROR('38'!$F$103*'Discipline Analysis'!$B44,"")</f>
        <v>4979.04</v>
      </c>
      <c r="T44" s="153">
        <f>'38'!$F$103</f>
        <v>0.23</v>
      </c>
      <c r="U44" s="80">
        <f ca="1">IFERROR('38'!$F$104*'Discipline Analysis'!$B44,"")</f>
        <v>4979.04</v>
      </c>
      <c r="V44" s="158">
        <f>'38'!$F$104</f>
        <v>0.23</v>
      </c>
    </row>
    <row r="45" spans="1:22" x14ac:dyDescent="0.2">
      <c r="A45" s="97" t="s">
        <v>1043</v>
      </c>
      <c r="B45" s="88">
        <f ca="1">OFFSET('39'!$D$4,$A$3,0)</f>
        <v>20672</v>
      </c>
      <c r="C45" s="80">
        <f ca="1">OFFSET('39'!$E$4,$A$3,0)</f>
        <v>204077.59508338993</v>
      </c>
      <c r="D45" s="153">
        <f ca="1">OFFSET('39'!$F$4,$A$3,0)</f>
        <v>9.8699999999999992</v>
      </c>
      <c r="E45" s="80">
        <f ca="1">OFFSET('39'!$E$66,$A$3,0)</f>
        <v>108329</v>
      </c>
      <c r="F45" s="153">
        <f ca="1">OFFSET('39'!$F$66,$A$3,0)</f>
        <v>5.24</v>
      </c>
      <c r="G45" s="80">
        <f ca="1">IFERROR('39'!$F$100*'Discipline Analysis'!$B45,"")</f>
        <v>18398.080000000002</v>
      </c>
      <c r="H45" s="153">
        <f>'39'!$F$100</f>
        <v>0.89</v>
      </c>
      <c r="I45" s="80">
        <f ca="1">IFERROR('39'!$F$98*'Discipline Analysis'!$B45,"")</f>
        <v>31834.880000000001</v>
      </c>
      <c r="J45" s="153">
        <f>'39'!$F$98</f>
        <v>1.54</v>
      </c>
      <c r="K45" s="80">
        <f ca="1">IFERROR('39'!$F$99*'Discipline Analysis'!$B45,"")</f>
        <v>12196.48</v>
      </c>
      <c r="L45" s="153">
        <f>'39'!$F$99</f>
        <v>0.59</v>
      </c>
      <c r="M45" s="80">
        <f ca="1">OFFSET('39'!$E$35,$A$3,0)</f>
        <v>26923</v>
      </c>
      <c r="N45" s="153">
        <f ca="1">OFFSET('39'!$F$35,$A$3,0)</f>
        <v>1.3</v>
      </c>
      <c r="O45" s="80">
        <f ca="1">IFERROR('39'!$F$101*'Discipline Analysis'!$B45,"")</f>
        <v>0</v>
      </c>
      <c r="P45" s="153">
        <f>'39'!$F$101</f>
        <v>0</v>
      </c>
      <c r="Q45" s="80">
        <f ca="1">IFERROR('39'!$F$102*'Discipline Analysis'!$B45,"")</f>
        <v>0</v>
      </c>
      <c r="R45" s="153">
        <f>'39'!$F$102</f>
        <v>0</v>
      </c>
      <c r="S45" s="80">
        <f ca="1">IFERROR('39'!$F$103*'Discipline Analysis'!$B45,"")</f>
        <v>3100.7999999999997</v>
      </c>
      <c r="T45" s="153">
        <f>'39'!$F$103</f>
        <v>0.15</v>
      </c>
      <c r="U45" s="80">
        <f ca="1">IFERROR('39'!$F$104*'Discipline Analysis'!$B45,"")</f>
        <v>3100.7999999999997</v>
      </c>
      <c r="V45" s="158">
        <f>'39'!$F$104</f>
        <v>0.15</v>
      </c>
    </row>
    <row r="46" spans="1:22" x14ac:dyDescent="0.2">
      <c r="A46" s="97" t="s">
        <v>1079</v>
      </c>
      <c r="B46" s="88">
        <f ca="1">OFFSET('40'!$D$4,$A$3,0)</f>
        <v>27236</v>
      </c>
      <c r="C46" s="80">
        <f ca="1">OFFSET('40'!$E$4,$A$3,0)</f>
        <v>259133.15325505554</v>
      </c>
      <c r="D46" s="153">
        <f ca="1">OFFSET('40'!$F$4,$A$3,0)</f>
        <v>9.51</v>
      </c>
      <c r="E46" s="80">
        <f ca="1">OFFSET('40'!$E$66,$A$3,0)</f>
        <v>99287</v>
      </c>
      <c r="F46" s="153">
        <f ca="1">OFFSET('40'!$F$66,$A$3,0)</f>
        <v>3.65</v>
      </c>
      <c r="G46" s="80">
        <f ca="1">IFERROR('40'!$F$100*'Discipline Analysis'!$B46,"")</f>
        <v>19065.199999999997</v>
      </c>
      <c r="H46" s="153">
        <f>'40'!$F$100</f>
        <v>0.7</v>
      </c>
      <c r="I46" s="80">
        <f ca="1">IFERROR('40'!$F$98*'Discipline Analysis'!$B46,"")</f>
        <v>30776.679999999997</v>
      </c>
      <c r="J46" s="153">
        <f>'40'!$F$98</f>
        <v>1.1299999999999999</v>
      </c>
      <c r="K46" s="80">
        <f ca="1">IFERROR('40'!$F$99*'Discipline Analysis'!$B46,"")</f>
        <v>21788.800000000003</v>
      </c>
      <c r="L46" s="153">
        <f>'40'!$F$99</f>
        <v>0.8</v>
      </c>
      <c r="M46" s="80">
        <f ca="1">OFFSET('40'!$E$35,$A$3,0)</f>
        <v>74142</v>
      </c>
      <c r="N46" s="153">
        <f ca="1">OFFSET('40'!$F$35,$A$3,0)</f>
        <v>2.72</v>
      </c>
      <c r="O46" s="80">
        <f ca="1">IFERROR('40'!$F$101*'Discipline Analysis'!$B46,"")</f>
        <v>0</v>
      </c>
      <c r="P46" s="153">
        <f>'40'!$F$101</f>
        <v>0</v>
      </c>
      <c r="Q46" s="80">
        <f ca="1">IFERROR('40'!$F$102*'Discipline Analysis'!$B46,"")</f>
        <v>817.07999999999993</v>
      </c>
      <c r="R46" s="153">
        <f>'40'!$F$102</f>
        <v>0.03</v>
      </c>
      <c r="S46" s="80">
        <f ca="1">IFERROR('40'!$F$103*'Discipline Analysis'!$B46,"")</f>
        <v>4357.76</v>
      </c>
      <c r="T46" s="153">
        <f>'40'!$F$103</f>
        <v>0.16</v>
      </c>
      <c r="U46" s="80">
        <f ca="1">IFERROR('40'!$F$104*'Discipline Analysis'!$B46,"")</f>
        <v>8715.52</v>
      </c>
      <c r="V46" s="158">
        <f>'40'!$F$104</f>
        <v>0.32</v>
      </c>
    </row>
    <row r="47" spans="1:22" x14ac:dyDescent="0.2">
      <c r="A47" s="97" t="s">
        <v>1044</v>
      </c>
      <c r="B47" s="88">
        <f ca="1">OFFSET('41'!$D$4,$A$3,0)</f>
        <v>19984</v>
      </c>
      <c r="C47" s="80">
        <f ca="1">OFFSET('41'!$E$4,$A$3,0)</f>
        <v>144921.834711798</v>
      </c>
      <c r="D47" s="153">
        <f ca="1">OFFSET('41'!$F$4,$A$3,0)</f>
        <v>7.25</v>
      </c>
      <c r="E47" s="80">
        <f ca="1">OFFSET('41'!$E$66,$A$3,0)</f>
        <v>66122</v>
      </c>
      <c r="F47" s="153">
        <f ca="1">OFFSET('41'!$F$66,$A$3,0)</f>
        <v>3.31</v>
      </c>
      <c r="G47" s="80">
        <f ca="1">IFERROR('41'!$F$100*'Discipline Analysis'!$B47,"")</f>
        <v>12989.6</v>
      </c>
      <c r="H47" s="153">
        <f>'41'!$F$100</f>
        <v>0.65</v>
      </c>
      <c r="I47" s="80">
        <f ca="1">IFERROR('41'!$F$98*'Discipline Analysis'!$B47,"")</f>
        <v>35771.360000000001</v>
      </c>
      <c r="J47" s="153">
        <f>'41'!$F$98</f>
        <v>1.79</v>
      </c>
      <c r="K47" s="80">
        <f ca="1">IFERROR('41'!$F$99*'Discipline Analysis'!$B47,"")</f>
        <v>10791.36</v>
      </c>
      <c r="L47" s="153">
        <f>'41'!$F$99</f>
        <v>0.54</v>
      </c>
      <c r="M47" s="80">
        <f ca="1">OFFSET('41'!$E$35,$A$3,0)</f>
        <v>12321</v>
      </c>
      <c r="N47" s="153">
        <f ca="1">OFFSET('41'!$F$35,$A$3,0)</f>
        <v>0.62</v>
      </c>
      <c r="O47" s="80">
        <f ca="1">IFERROR('41'!$F$101*'Discipline Analysis'!$B47,"")</f>
        <v>0</v>
      </c>
      <c r="P47" s="153">
        <f>'41'!$F$101</f>
        <v>0</v>
      </c>
      <c r="Q47" s="80">
        <f ca="1">IFERROR('41'!$F$102*'Discipline Analysis'!$B47,"")</f>
        <v>1998.4</v>
      </c>
      <c r="R47" s="153">
        <f>'41'!$F$102</f>
        <v>0.1</v>
      </c>
      <c r="S47" s="80">
        <f ca="1">IFERROR('41'!$F$103*'Discipline Analysis'!$B47,"")</f>
        <v>0</v>
      </c>
      <c r="T47" s="153">
        <f>'41'!$F$103</f>
        <v>0</v>
      </c>
      <c r="U47" s="80">
        <f ca="1">IFERROR('41'!$F$104*'Discipline Analysis'!$B47,"")</f>
        <v>4996</v>
      </c>
      <c r="V47" s="158">
        <f>'41'!$F$104</f>
        <v>0.25</v>
      </c>
    </row>
    <row r="48" spans="1:22" x14ac:dyDescent="0.2">
      <c r="A48" s="97" t="s">
        <v>1068</v>
      </c>
      <c r="B48" s="88">
        <f ca="1">OFFSET('42'!$D$4,$A$3,0)</f>
        <v>22171</v>
      </c>
      <c r="C48" s="80">
        <f ca="1">OFFSET('42'!$E$4,$A$3,0)</f>
        <v>194644.52568763483</v>
      </c>
      <c r="D48" s="153">
        <f ca="1">OFFSET('42'!$F$4,$A$3,0)</f>
        <v>8.7799999999999994</v>
      </c>
      <c r="E48" s="80">
        <f ca="1">OFFSET('42'!$E$66,$A$3,0)</f>
        <v>98888</v>
      </c>
      <c r="F48" s="153">
        <f ca="1">OFFSET('42'!$F$66,$A$3,0)</f>
        <v>4.46</v>
      </c>
      <c r="G48" s="80">
        <f ca="1">IFERROR('42'!$F$100*'Discipline Analysis'!$B48,"")</f>
        <v>12859.179999999998</v>
      </c>
      <c r="H48" s="153">
        <f>'42'!$F$100</f>
        <v>0.57999999999999996</v>
      </c>
      <c r="I48" s="80">
        <f ca="1">IFERROR('42'!$F$98*'Discipline Analysis'!$B48,"")</f>
        <v>16406.54</v>
      </c>
      <c r="J48" s="153">
        <f>'42'!$F$98</f>
        <v>0.74</v>
      </c>
      <c r="K48" s="80">
        <f ca="1">IFERROR('42'!$F$99*'Discipline Analysis'!$B48,"")</f>
        <v>7316.43</v>
      </c>
      <c r="L48" s="153">
        <f>'42'!$F$99</f>
        <v>0.33</v>
      </c>
      <c r="M48" s="80">
        <f ca="1">OFFSET('42'!$E$35,$A$3,0)</f>
        <v>48204</v>
      </c>
      <c r="N48" s="153">
        <f ca="1">OFFSET('42'!$F$35,$A$3,0)</f>
        <v>2.17</v>
      </c>
      <c r="O48" s="80">
        <f ca="1">IFERROR('42'!$F$101*'Discipline Analysis'!$B48,"")</f>
        <v>0</v>
      </c>
      <c r="P48" s="153">
        <f>'42'!$F$101</f>
        <v>0</v>
      </c>
      <c r="Q48" s="80">
        <f ca="1">IFERROR('42'!$F$102*'Discipline Analysis'!$B48,"")</f>
        <v>443.42</v>
      </c>
      <c r="R48" s="153">
        <f>'42'!$F$102</f>
        <v>0.02</v>
      </c>
      <c r="S48" s="80">
        <f ca="1">IFERROR('42'!$F$103*'Discipline Analysis'!$B48,"")</f>
        <v>7759.8499999999995</v>
      </c>
      <c r="T48" s="153">
        <f>'42'!$F$103</f>
        <v>0.35</v>
      </c>
      <c r="U48" s="80">
        <f ca="1">IFERROR('42'!$F$104*'Discipline Analysis'!$B48,"")</f>
        <v>2882.23</v>
      </c>
      <c r="V48" s="158">
        <f>'42'!$F$104</f>
        <v>0.13</v>
      </c>
    </row>
    <row r="49" spans="1:25" x14ac:dyDescent="0.2">
      <c r="A49" s="97" t="s">
        <v>1069</v>
      </c>
      <c r="B49" s="88">
        <f ca="1">OFFSET('43'!$D$4,$A$3,0)</f>
        <v>0</v>
      </c>
      <c r="C49" s="80">
        <f ca="1">OFFSET('43'!$E$4,$A$3,0)</f>
        <v>0</v>
      </c>
      <c r="D49" s="153" t="str">
        <f ca="1">OFFSET('43'!$F$4,$A$3,0)</f>
        <v/>
      </c>
      <c r="E49" s="80">
        <f ca="1">OFFSET('43'!$E$66,$A$3,0)</f>
        <v>0</v>
      </c>
      <c r="F49" s="153" t="str">
        <f ca="1">OFFSET('43'!$F$66,$A$3,0)</f>
        <v/>
      </c>
      <c r="G49" s="80" t="str">
        <f ca="1">IFERROR('43'!$F$100*'Discipline Analysis'!$B49,"")</f>
        <v/>
      </c>
      <c r="H49" s="153" t="str">
        <f>'43'!$F$100</f>
        <v/>
      </c>
      <c r="I49" s="80" t="str">
        <f ca="1">IFERROR('43'!$F$98*'Discipline Analysis'!$B49,"")</f>
        <v/>
      </c>
      <c r="J49" s="153" t="str">
        <f>'43'!$F$98</f>
        <v/>
      </c>
      <c r="K49" s="80" t="str">
        <f ca="1">IFERROR('43'!$F$99*'Discipline Analysis'!$B49,"")</f>
        <v/>
      </c>
      <c r="L49" s="153" t="str">
        <f>'43'!$F$99</f>
        <v/>
      </c>
      <c r="M49" s="80">
        <f ca="1">OFFSET('43'!$E$35,$A$3,0)</f>
        <v>0</v>
      </c>
      <c r="N49" s="153" t="str">
        <f ca="1">OFFSET('43'!$F$35,$A$3,0)</f>
        <v/>
      </c>
      <c r="O49" s="80" t="str">
        <f ca="1">IFERROR('43'!$F$101*'Discipline Analysis'!$B49,"")</f>
        <v/>
      </c>
      <c r="P49" s="153" t="str">
        <f>'43'!$F$101</f>
        <v/>
      </c>
      <c r="Q49" s="80" t="str">
        <f ca="1">IFERROR('43'!$F$102*'Discipline Analysis'!$B49,"")</f>
        <v/>
      </c>
      <c r="R49" s="153" t="str">
        <f>'43'!$F$102</f>
        <v/>
      </c>
      <c r="S49" s="80" t="str">
        <f ca="1">IFERROR('43'!$F$103*'Discipline Analysis'!$B49,"")</f>
        <v/>
      </c>
      <c r="T49" s="153" t="str">
        <f>'43'!$F$103</f>
        <v/>
      </c>
      <c r="U49" s="80" t="str">
        <f ca="1">IFERROR('43'!$F$104*'Discipline Analysis'!$B49,"")</f>
        <v/>
      </c>
      <c r="V49" s="158" t="str">
        <f>'43'!$F$104</f>
        <v/>
      </c>
    </row>
    <row r="50" spans="1:25" x14ac:dyDescent="0.2">
      <c r="A50" s="97" t="s">
        <v>1080</v>
      </c>
      <c r="B50" s="88">
        <f ca="1">OFFSET('44'!$D$4,$A$3,0)</f>
        <v>74336</v>
      </c>
      <c r="C50" s="80">
        <f ca="1">OFFSET('44'!$E$4,$A$3,0)</f>
        <v>444453.82642440149</v>
      </c>
      <c r="D50" s="153">
        <f ca="1">OFFSET('44'!$F$4,$A$3,0)</f>
        <v>5.98</v>
      </c>
      <c r="E50" s="80">
        <f ca="1">OFFSET('44'!$E$66,$A$3,0)</f>
        <v>219453</v>
      </c>
      <c r="F50" s="153">
        <f ca="1">OFFSET('44'!$F$66,$A$3,0)</f>
        <v>2.95</v>
      </c>
      <c r="G50" s="80">
        <f ca="1">IFERROR('44'!$F$100*'Discipline Analysis'!$B50,"")</f>
        <v>55008.639999999999</v>
      </c>
      <c r="H50" s="153">
        <f>'44'!$F$100</f>
        <v>0.74</v>
      </c>
      <c r="I50" s="80">
        <f ca="1">IFERROR('44'!$F$98*'Discipline Analysis'!$B50,"")</f>
        <v>46831.68</v>
      </c>
      <c r="J50" s="153">
        <f>'44'!$F$98</f>
        <v>0.63</v>
      </c>
      <c r="K50" s="80">
        <f ca="1">IFERROR('44'!$F$99*'Discipline Analysis'!$B50,"")</f>
        <v>37911.360000000001</v>
      </c>
      <c r="L50" s="153">
        <f>'44'!$F$99</f>
        <v>0.51</v>
      </c>
      <c r="M50" s="80">
        <f ca="1">OFFSET('44'!$E$35,$A$3,0)</f>
        <v>62522</v>
      </c>
      <c r="N50" s="153">
        <f ca="1">OFFSET('44'!$F$35,$A$3,0)</f>
        <v>0.84</v>
      </c>
      <c r="O50" s="80">
        <f ca="1">IFERROR('44'!$F$101*'Discipline Analysis'!$B50,"")</f>
        <v>0</v>
      </c>
      <c r="P50" s="153">
        <f>'44'!$F$101</f>
        <v>0</v>
      </c>
      <c r="Q50" s="80">
        <f ca="1">IFERROR('44'!$F$102*'Discipline Analysis'!$B50,"")</f>
        <v>0</v>
      </c>
      <c r="R50" s="153">
        <f>'44'!$F$102</f>
        <v>0</v>
      </c>
      <c r="S50" s="80">
        <f ca="1">IFERROR('44'!$F$103*'Discipline Analysis'!$B50,"")</f>
        <v>8176.96</v>
      </c>
      <c r="T50" s="153">
        <f>'44'!$F$103</f>
        <v>0.11</v>
      </c>
      <c r="U50" s="80">
        <f ca="1">IFERROR('44'!$F$104*'Discipline Analysis'!$B50,"")</f>
        <v>14867.2</v>
      </c>
      <c r="V50" s="158">
        <f>'44'!$F$104</f>
        <v>0.2</v>
      </c>
    </row>
    <row r="51" spans="1:25" x14ac:dyDescent="0.2">
      <c r="A51" s="97" t="s">
        <v>1045</v>
      </c>
      <c r="B51" s="88">
        <f ca="1">OFFSET('45'!$D$4,$A$3,0)</f>
        <v>37562</v>
      </c>
      <c r="C51" s="80">
        <f ca="1">OFFSET('45'!$E$4,$A$3,0)</f>
        <v>193963.07899272488</v>
      </c>
      <c r="D51" s="153">
        <f ca="1">OFFSET('45'!$F$4,$A$3,0)</f>
        <v>5.16</v>
      </c>
      <c r="E51" s="80">
        <f ca="1">OFFSET('45'!$E$66,$A$3,0)</f>
        <v>43859</v>
      </c>
      <c r="F51" s="153">
        <f ca="1">OFFSET('45'!$F$66,$A$3,0)</f>
        <v>1.17</v>
      </c>
      <c r="G51" s="80">
        <f ca="1">IFERROR('45'!$F$100*'Discipline Analysis'!$B51,"")</f>
        <v>18781</v>
      </c>
      <c r="H51" s="153">
        <f>'45'!$F$100</f>
        <v>0.5</v>
      </c>
      <c r="I51" s="80">
        <f ca="1">IFERROR('45'!$F$98*'Discipline Analysis'!$B51,"")</f>
        <v>45825.64</v>
      </c>
      <c r="J51" s="153">
        <f>'45'!$F$98</f>
        <v>1.22</v>
      </c>
      <c r="K51" s="80">
        <f ca="1">IFERROR('45'!$F$99*'Discipline Analysis'!$B51,"")</f>
        <v>36435.14</v>
      </c>
      <c r="L51" s="153">
        <f>'45'!$F$99</f>
        <v>0.97</v>
      </c>
      <c r="M51" s="80">
        <f ca="1">OFFSET('45'!$E$35,$A$3,0)</f>
        <v>26365</v>
      </c>
      <c r="N51" s="153">
        <f ca="1">OFFSET('45'!$F$35,$A$3,0)</f>
        <v>0.7</v>
      </c>
      <c r="O51" s="80">
        <f ca="1">IFERROR('45'!$F$101*'Discipline Analysis'!$B51,"")</f>
        <v>0</v>
      </c>
      <c r="P51" s="153">
        <f>'45'!$F$101</f>
        <v>0</v>
      </c>
      <c r="Q51" s="80">
        <f ca="1">IFERROR('45'!$F$102*'Discipline Analysis'!$B51,"")</f>
        <v>7136.78</v>
      </c>
      <c r="R51" s="153">
        <f>'45'!$F$102</f>
        <v>0.19</v>
      </c>
      <c r="S51" s="80">
        <f ca="1">IFERROR('45'!$F$103*'Discipline Analysis'!$B51,"")</f>
        <v>5634.3</v>
      </c>
      <c r="T51" s="153">
        <f>'45'!$F$103</f>
        <v>0.15</v>
      </c>
      <c r="U51" s="80">
        <f ca="1">IFERROR('45'!$F$104*'Discipline Analysis'!$B51,"")</f>
        <v>10141.74</v>
      </c>
      <c r="V51" s="158">
        <f>'45'!$F$104</f>
        <v>0.27</v>
      </c>
    </row>
    <row r="52" spans="1:25" x14ac:dyDescent="0.2">
      <c r="A52" s="97" t="s">
        <v>1070</v>
      </c>
      <c r="B52" s="88">
        <f ca="1">OFFSET('46'!$D$4,$A$3,0)</f>
        <v>0</v>
      </c>
      <c r="C52" s="80">
        <f ca="1">OFFSET('46'!$E$4,$A$3,0)</f>
        <v>0</v>
      </c>
      <c r="D52" s="153" t="str">
        <f ca="1">OFFSET('46'!$F$4,$A$3,0)</f>
        <v/>
      </c>
      <c r="E52" s="80">
        <f ca="1">OFFSET('46'!$E$66,$A$3,0)</f>
        <v>0</v>
      </c>
      <c r="F52" s="153" t="str">
        <f ca="1">OFFSET('46'!$F$66,$A$3,0)</f>
        <v/>
      </c>
      <c r="G52" s="80" t="str">
        <f ca="1">IFERROR('46'!$F$100*'Discipline Analysis'!$B52,"")</f>
        <v/>
      </c>
      <c r="H52" s="153" t="str">
        <f>'46'!$F$100</f>
        <v/>
      </c>
      <c r="I52" s="80" t="str">
        <f ca="1">IFERROR('46'!$F$98*'Discipline Analysis'!$B52,"")</f>
        <v/>
      </c>
      <c r="J52" s="153" t="str">
        <f>'46'!$F$98</f>
        <v/>
      </c>
      <c r="K52" s="80" t="str">
        <f ca="1">IFERROR('46'!$F$99*'Discipline Analysis'!$B52,"")</f>
        <v/>
      </c>
      <c r="L52" s="153" t="str">
        <f>'46'!$F$99</f>
        <v/>
      </c>
      <c r="M52" s="80">
        <f ca="1">OFFSET('46'!$E$35,$A$3,0)</f>
        <v>0</v>
      </c>
      <c r="N52" s="153" t="str">
        <f ca="1">OFFSET('46'!$F$35,$A$3,0)</f>
        <v/>
      </c>
      <c r="O52" s="80" t="str">
        <f ca="1">IFERROR('46'!$F$101*'Discipline Analysis'!$B52,"")</f>
        <v/>
      </c>
      <c r="P52" s="153" t="str">
        <f>'46'!$F$101</f>
        <v/>
      </c>
      <c r="Q52" s="80" t="str">
        <f ca="1">IFERROR('46'!$F$102*'Discipline Analysis'!$B52,"")</f>
        <v/>
      </c>
      <c r="R52" s="153" t="str">
        <f>'46'!$F$102</f>
        <v/>
      </c>
      <c r="S52" s="80" t="str">
        <f ca="1">IFERROR('46'!$F$103*'Discipline Analysis'!$B52,"")</f>
        <v/>
      </c>
      <c r="T52" s="153" t="str">
        <f>'46'!$F$103</f>
        <v/>
      </c>
      <c r="U52" s="80" t="str">
        <f ca="1">IFERROR('46'!$F$104*'Discipline Analysis'!$B52,"")</f>
        <v/>
      </c>
      <c r="V52" s="158" t="str">
        <f>'46'!$F$104</f>
        <v/>
      </c>
    </row>
    <row r="53" spans="1:25" x14ac:dyDescent="0.2">
      <c r="A53" s="97" t="s">
        <v>1071</v>
      </c>
      <c r="B53" s="88">
        <f ca="1">OFFSET('47'!$D$4,$A$3,0)</f>
        <v>10752</v>
      </c>
      <c r="C53" s="80">
        <f ca="1">OFFSET('47'!$E$4,$A$3,0)</f>
        <v>81038.498024388624</v>
      </c>
      <c r="D53" s="153">
        <f ca="1">OFFSET('47'!$F$4,$A$3,0)</f>
        <v>7.54</v>
      </c>
      <c r="E53" s="80">
        <f ca="1">OFFSET('47'!$E$66,$A$3,0)</f>
        <v>2100</v>
      </c>
      <c r="F53" s="153">
        <f ca="1">OFFSET('47'!$F$66,$A$3,0)</f>
        <v>0.2</v>
      </c>
      <c r="G53" s="80">
        <f ca="1">IFERROR('47'!$F$100*'Discipline Analysis'!$B53,"")</f>
        <v>8494.08</v>
      </c>
      <c r="H53" s="153">
        <f>'47'!$F$100</f>
        <v>0.79</v>
      </c>
      <c r="I53" s="80">
        <f ca="1">IFERROR('47'!$F$98*'Discipline Analysis'!$B53,"")</f>
        <v>15052.8</v>
      </c>
      <c r="J53" s="153">
        <f>'47'!$F$98</f>
        <v>1.4</v>
      </c>
      <c r="K53" s="80">
        <f ca="1">IFERROR('47'!$F$99*'Discipline Analysis'!$B53,"")</f>
        <v>8494.08</v>
      </c>
      <c r="L53" s="153">
        <f>'47'!$F$99</f>
        <v>0.79</v>
      </c>
      <c r="M53" s="80">
        <f ca="1">OFFSET('47'!$E$35,$A$3,0)</f>
        <v>42483</v>
      </c>
      <c r="N53" s="153">
        <f ca="1">OFFSET('47'!$F$35,$A$3,0)</f>
        <v>3.95</v>
      </c>
      <c r="O53" s="80">
        <f ca="1">IFERROR('47'!$F$101*'Discipline Analysis'!$B53,"")</f>
        <v>0</v>
      </c>
      <c r="P53" s="153">
        <f>'47'!$F$101</f>
        <v>0</v>
      </c>
      <c r="Q53" s="80">
        <f ca="1">IFERROR('47'!$F$102*'Discipline Analysis'!$B53,"")</f>
        <v>430.08</v>
      </c>
      <c r="R53" s="153">
        <f>'47'!$F$102</f>
        <v>0.04</v>
      </c>
      <c r="S53" s="80">
        <f ca="1">IFERROR('47'!$F$103*'Discipline Analysis'!$B53,"")</f>
        <v>1290.24</v>
      </c>
      <c r="T53" s="153">
        <f>'47'!$F$103</f>
        <v>0.12</v>
      </c>
      <c r="U53" s="80">
        <f ca="1">IFERROR('47'!$F$104*'Discipline Analysis'!$B53,"")</f>
        <v>2688</v>
      </c>
      <c r="V53" s="158">
        <f>'47'!$F$104</f>
        <v>0.25</v>
      </c>
    </row>
    <row r="54" spans="1:25" x14ac:dyDescent="0.2">
      <c r="A54" s="97" t="s">
        <v>1072</v>
      </c>
      <c r="B54" s="88">
        <f ca="1">OFFSET('48'!$D$4,$A$3,0)</f>
        <v>19216</v>
      </c>
      <c r="C54" s="80">
        <f ca="1">OFFSET('48'!$E$4,$A$3,0)</f>
        <v>244034.90631156112</v>
      </c>
      <c r="D54" s="153">
        <f ca="1">OFFSET('48'!$F$4,$A$3,0)</f>
        <v>12.7</v>
      </c>
      <c r="E54" s="80">
        <f ca="1">OFFSET('48'!$E$66,$A$3,0)</f>
        <v>71696</v>
      </c>
      <c r="F54" s="153">
        <f ca="1">OFFSET('48'!$F$66,$A$3,0)</f>
        <v>3.73</v>
      </c>
      <c r="G54" s="80">
        <f ca="1">IFERROR('48'!$F$100*'Discipline Analysis'!$B54,"")</f>
        <v>10568.800000000001</v>
      </c>
      <c r="H54" s="153">
        <f>'48'!$F$100</f>
        <v>0.55000000000000004</v>
      </c>
      <c r="I54" s="80">
        <f ca="1">IFERROR('48'!$F$98*'Discipline Analysis'!$B54,"")</f>
        <v>49000.799999999996</v>
      </c>
      <c r="J54" s="153">
        <f>'48'!$F$98</f>
        <v>2.5499999999999998</v>
      </c>
      <c r="K54" s="80">
        <f ca="1">IFERROR('48'!$F$99*'Discipline Analysis'!$B54,"")</f>
        <v>13259.039999999999</v>
      </c>
      <c r="L54" s="153">
        <f>'48'!$F$99</f>
        <v>0.69</v>
      </c>
      <c r="M54" s="80">
        <f ca="1">OFFSET('48'!$E$35,$A$3,0)</f>
        <v>95429</v>
      </c>
      <c r="N54" s="153">
        <f ca="1">OFFSET('48'!$F$35,$A$3,0)</f>
        <v>4.97</v>
      </c>
      <c r="O54" s="80">
        <f ca="1">IFERROR('48'!$F$101*'Discipline Analysis'!$B54,"")</f>
        <v>0</v>
      </c>
      <c r="P54" s="153">
        <f>'48'!$F$101</f>
        <v>0</v>
      </c>
      <c r="Q54" s="80">
        <f ca="1">IFERROR('48'!$F$102*'Discipline Analysis'!$B54,"")</f>
        <v>0</v>
      </c>
      <c r="R54" s="153">
        <f>'48'!$F$102</f>
        <v>0</v>
      </c>
      <c r="S54" s="80">
        <f ca="1">IFERROR('48'!$F$103*'Discipline Analysis'!$B54,"")</f>
        <v>2498.08</v>
      </c>
      <c r="T54" s="153">
        <f>'48'!$F$103</f>
        <v>0.13</v>
      </c>
      <c r="U54" s="80">
        <f ca="1">IFERROR('48'!$F$104*'Discipline Analysis'!$B54,"")</f>
        <v>1729.4399999999998</v>
      </c>
      <c r="V54" s="158">
        <f>'48'!$F$104</f>
        <v>0.09</v>
      </c>
    </row>
    <row r="55" spans="1:25" x14ac:dyDescent="0.2">
      <c r="A55" s="97" t="s">
        <v>1073</v>
      </c>
      <c r="B55" s="88">
        <f ca="1">OFFSET('49'!$D$4,$A$3,0)</f>
        <v>75073</v>
      </c>
      <c r="C55" s="80">
        <f ca="1">OFFSET('49'!$E$4,$A$3,0)</f>
        <v>580967.30727625452</v>
      </c>
      <c r="D55" s="153">
        <f ca="1">OFFSET('49'!$F$4,$A$3,0)</f>
        <v>7.74</v>
      </c>
      <c r="E55" s="80">
        <f ca="1">OFFSET('49'!$E$66,$A$3,0)</f>
        <v>244979</v>
      </c>
      <c r="F55" s="153">
        <f ca="1">OFFSET('49'!$F$66,$A$3,0)</f>
        <v>3.26</v>
      </c>
      <c r="G55" s="80">
        <f ca="1">IFERROR('49'!$F$100*'Discipline Analysis'!$B55,"")</f>
        <v>57055.48</v>
      </c>
      <c r="H55" s="153">
        <f>'49'!$F$100</f>
        <v>0.76</v>
      </c>
      <c r="I55" s="80">
        <f ca="1">IFERROR('49'!$F$98*'Discipline Analysis'!$B55,"")</f>
        <v>150146</v>
      </c>
      <c r="J55" s="153">
        <f>'49'!$F$98</f>
        <v>2</v>
      </c>
      <c r="K55" s="80">
        <f ca="1">IFERROR('49'!$F$99*'Discipline Analysis'!$B55,"")</f>
        <v>28527.74</v>
      </c>
      <c r="L55" s="153">
        <f>'49'!$F$99</f>
        <v>0.38</v>
      </c>
      <c r="M55" s="80">
        <f ca="1">OFFSET('49'!$E$35,$A$3,0)</f>
        <v>73932</v>
      </c>
      <c r="N55" s="153">
        <f ca="1">OFFSET('49'!$F$35,$A$3,0)</f>
        <v>0.98</v>
      </c>
      <c r="O55" s="80">
        <f ca="1">IFERROR('49'!$F$101*'Discipline Analysis'!$B55,"")</f>
        <v>0</v>
      </c>
      <c r="P55" s="153">
        <f>'49'!$F$101</f>
        <v>0</v>
      </c>
      <c r="Q55" s="80">
        <f ca="1">IFERROR('49'!$F$102*'Discipline Analysis'!$B55,"")</f>
        <v>5255.1100000000006</v>
      </c>
      <c r="R55" s="153">
        <f>'49'!$F$102</f>
        <v>7.0000000000000007E-2</v>
      </c>
      <c r="S55" s="80">
        <f ca="1">IFERROR('49'!$F$103*'Discipline Analysis'!$B55,"")</f>
        <v>15014.6</v>
      </c>
      <c r="T55" s="153">
        <f>'49'!$F$103</f>
        <v>0.2</v>
      </c>
      <c r="U55" s="80">
        <f ca="1">IFERROR('49'!$F$104*'Discipline Analysis'!$B55,"")</f>
        <v>6005.84</v>
      </c>
      <c r="V55" s="158">
        <f>'49'!$F$104</f>
        <v>0.08</v>
      </c>
    </row>
    <row r="56" spans="1:25" x14ac:dyDescent="0.2">
      <c r="A56" s="97" t="s">
        <v>1081</v>
      </c>
      <c r="B56" s="88">
        <f ca="1">OFFSET('50'!$D$4,$A$3,0)</f>
        <v>9760</v>
      </c>
      <c r="C56" s="80">
        <f ca="1">OFFSET('50'!$E$4,$A$3,0)</f>
        <v>132856.17569238404</v>
      </c>
      <c r="D56" s="153">
        <f ca="1">OFFSET('50'!$F$4,$A$3,0)</f>
        <v>13.61</v>
      </c>
      <c r="E56" s="80">
        <f ca="1">OFFSET('50'!$E$66,$A$3,0)</f>
        <v>77669</v>
      </c>
      <c r="F56" s="153">
        <f ca="1">OFFSET('50'!$F$66,$A$3,0)</f>
        <v>7.96</v>
      </c>
      <c r="G56" s="80">
        <f ca="1">IFERROR('50'!$F$100*'Discipline Analysis'!$B56,"")</f>
        <v>8881.6</v>
      </c>
      <c r="H56" s="153">
        <f>'50'!$F$100</f>
        <v>0.91</v>
      </c>
      <c r="I56" s="80">
        <f ca="1">IFERROR('50'!$F$98*'Discipline Analysis'!$B56,"")</f>
        <v>19520</v>
      </c>
      <c r="J56" s="153">
        <f>'50'!$F$98</f>
        <v>2</v>
      </c>
      <c r="K56" s="80">
        <f ca="1">IFERROR('50'!$F$99*'Discipline Analysis'!$B56,"")</f>
        <v>6344</v>
      </c>
      <c r="L56" s="153">
        <f>'50'!$F$99</f>
        <v>0.65</v>
      </c>
      <c r="M56" s="80">
        <f ca="1">OFFSET('50'!$E$35,$A$3,0)</f>
        <v>13163</v>
      </c>
      <c r="N56" s="153">
        <f ca="1">OFFSET('50'!$F$35,$A$3,0)</f>
        <v>1.35</v>
      </c>
      <c r="O56" s="80">
        <f ca="1">IFERROR('50'!$F$101*'Discipline Analysis'!$B56,"")</f>
        <v>0</v>
      </c>
      <c r="P56" s="153">
        <f>'50'!$F$101</f>
        <v>0</v>
      </c>
      <c r="Q56" s="80">
        <f ca="1">IFERROR('50'!$F$102*'Discipline Analysis'!$B56,"")</f>
        <v>2342.4</v>
      </c>
      <c r="R56" s="153">
        <f>'50'!$F$102</f>
        <v>0.24</v>
      </c>
      <c r="S56" s="80">
        <f ca="1">IFERROR('50'!$F$103*'Discipline Analysis'!$B56,"")</f>
        <v>2440</v>
      </c>
      <c r="T56" s="153">
        <f>'50'!$F$103</f>
        <v>0.25</v>
      </c>
      <c r="U56" s="80">
        <f ca="1">IFERROR('50'!$F$104*'Discipline Analysis'!$B56,"")</f>
        <v>2537.6</v>
      </c>
      <c r="V56" s="158">
        <f>'50'!$F$104</f>
        <v>0.26</v>
      </c>
    </row>
    <row r="57" spans="1:25" x14ac:dyDescent="0.2">
      <c r="A57" s="95" t="s">
        <v>947</v>
      </c>
      <c r="B57" s="88">
        <f ca="1">OFFSET('51'!$D$4,$A$3,0)</f>
        <v>33280</v>
      </c>
      <c r="C57" s="80">
        <f ca="1">OFFSET('51'!$E$4,$A$3,0)</f>
        <v>363543.52072035812</v>
      </c>
      <c r="D57" s="153">
        <f ca="1">OFFSET('51'!$F$4,$A$3,0)</f>
        <v>10.92</v>
      </c>
      <c r="E57" s="80">
        <f ca="1">OFFSET('51'!$E$66,$A$3,0)</f>
        <v>85467</v>
      </c>
      <c r="F57" s="153">
        <f ca="1">OFFSET('51'!$F$66,$A$3,0)</f>
        <v>2.57</v>
      </c>
      <c r="G57" s="80">
        <f ca="1">IFERROR('51'!$F$100*'Discipline Analysis'!$B57,"")</f>
        <v>12979.2</v>
      </c>
      <c r="H57" s="153">
        <f>'51'!$F$100</f>
        <v>0.39</v>
      </c>
      <c r="I57" s="80">
        <f ca="1">IFERROR('51'!$F$98*'Discipline Analysis'!$B57,"")</f>
        <v>32947.199999999997</v>
      </c>
      <c r="J57" s="153">
        <f>'51'!$F$98</f>
        <v>0.99</v>
      </c>
      <c r="K57" s="80">
        <f ca="1">IFERROR('51'!$F$99*'Discipline Analysis'!$B57,"")</f>
        <v>27622.399999999998</v>
      </c>
      <c r="L57" s="153">
        <f>'51'!$F$99</f>
        <v>0.83</v>
      </c>
      <c r="M57" s="80">
        <f ca="1">OFFSET('51'!$E$35,$A$3,0)</f>
        <v>183980</v>
      </c>
      <c r="N57" s="153">
        <f ca="1">OFFSET('51'!$F$35,$A$3,0)</f>
        <v>5.53</v>
      </c>
      <c r="O57" s="80">
        <f ca="1">IFERROR('51'!$F$101*'Discipline Analysis'!$B57,"")</f>
        <v>1664</v>
      </c>
      <c r="P57" s="153">
        <f>'51'!$F$101</f>
        <v>0.05</v>
      </c>
      <c r="Q57" s="80">
        <f ca="1">IFERROR('51'!$F$102*'Discipline Analysis'!$B57,"")</f>
        <v>11980.8</v>
      </c>
      <c r="R57" s="153">
        <f>'51'!$F$102</f>
        <v>0.36</v>
      </c>
      <c r="S57" s="80">
        <f ca="1">IFERROR('51'!$F$103*'Discipline Analysis'!$B57,"")</f>
        <v>4326.4000000000005</v>
      </c>
      <c r="T57" s="153">
        <f>'51'!$F$103</f>
        <v>0.13</v>
      </c>
      <c r="U57" s="80">
        <f ca="1">IFERROR('51'!$F$104*'Discipline Analysis'!$B57,"")</f>
        <v>2329.6000000000004</v>
      </c>
      <c r="V57" s="158">
        <f>'51'!$F$104</f>
        <v>7.0000000000000007E-2</v>
      </c>
    </row>
    <row r="58" spans="1:25" x14ac:dyDescent="0.2">
      <c r="A58" s="95" t="s">
        <v>948</v>
      </c>
      <c r="B58" s="88">
        <f ca="1">OFFSET('52'!$D$4,$A$3,0)</f>
        <v>0</v>
      </c>
      <c r="C58" s="80">
        <f ca="1">OFFSET('52'!$E$4,$A$3,0)</f>
        <v>0</v>
      </c>
      <c r="D58" s="153" t="str">
        <f ca="1">OFFSET('52'!$F$4,$A$3,0)</f>
        <v/>
      </c>
      <c r="E58" s="80">
        <f ca="1">OFFSET('52'!$E$66,$A$3,0)</f>
        <v>0</v>
      </c>
      <c r="F58" s="153" t="str">
        <f ca="1">OFFSET('52'!$F$66,$A$3,0)</f>
        <v/>
      </c>
      <c r="G58" s="80">
        <f ca="1">IFERROR('52'!$F$100*'Discipline Analysis'!$B58,"")</f>
        <v>0</v>
      </c>
      <c r="H58" s="153">
        <f>'52'!$F$100</f>
        <v>1.28</v>
      </c>
      <c r="I58" s="80">
        <f ca="1">IFERROR('52'!$F$98*'Discipline Analysis'!$B58,"")</f>
        <v>0</v>
      </c>
      <c r="J58" s="153">
        <f>'52'!$F$98</f>
        <v>1.1499999999999999</v>
      </c>
      <c r="K58" s="80">
        <f ca="1">IFERROR('52'!$F$99*'Discipline Analysis'!$B58,"")</f>
        <v>0</v>
      </c>
      <c r="L58" s="153">
        <f>'52'!$F$99</f>
        <v>1.42</v>
      </c>
      <c r="M58" s="80">
        <f ca="1">OFFSET('52'!$E$35,$A$3,0)</f>
        <v>0</v>
      </c>
      <c r="N58" s="153" t="str">
        <f ca="1">OFFSET('52'!$F$35,$A$3,0)</f>
        <v/>
      </c>
      <c r="O58" s="80">
        <f ca="1">IFERROR('52'!$F$101*'Discipline Analysis'!$B58,"")</f>
        <v>0</v>
      </c>
      <c r="P58" s="153">
        <f>'52'!$F$101</f>
        <v>0.04</v>
      </c>
      <c r="Q58" s="80">
        <f ca="1">IFERROR('52'!$F$102*'Discipline Analysis'!$B58,"")</f>
        <v>0</v>
      </c>
      <c r="R58" s="153">
        <f>'52'!$F$102</f>
        <v>0.55000000000000004</v>
      </c>
      <c r="S58" s="80">
        <f ca="1">IFERROR('52'!$F$103*'Discipline Analysis'!$B58,"")</f>
        <v>0</v>
      </c>
      <c r="T58" s="153">
        <f>'52'!$F$103</f>
        <v>0.12</v>
      </c>
      <c r="U58" s="80">
        <f ca="1">IFERROR('52'!$F$104*'Discipline Analysis'!$B58,"")</f>
        <v>0</v>
      </c>
      <c r="V58" s="158">
        <f>'52'!$F$104</f>
        <v>7.0000000000000007E-2</v>
      </c>
    </row>
    <row r="59" spans="1:25" x14ac:dyDescent="0.2">
      <c r="A59" s="95" t="s">
        <v>949</v>
      </c>
      <c r="B59" s="88">
        <f ca="1">OFFSET('53'!$D$4,$A$3,0)</f>
        <v>672</v>
      </c>
      <c r="C59" s="80">
        <f ca="1">OFFSET('53'!$E$4,$A$3,0)</f>
        <v>7435.7239544121085</v>
      </c>
      <c r="D59" s="153">
        <f ca="1">OFFSET('53'!$F$4,$A$3,0)</f>
        <v>11.07</v>
      </c>
      <c r="E59" s="80">
        <f ca="1">OFFSET('53'!$E$66,$A$3,0)</f>
        <v>3091</v>
      </c>
      <c r="F59" s="153">
        <f ca="1">OFFSET('53'!$F$66,$A$3,0)</f>
        <v>4.5999999999999996</v>
      </c>
      <c r="G59" s="80">
        <f ca="1">IFERROR('53'!$F$100*'Discipline Analysis'!$B59,"")</f>
        <v>840</v>
      </c>
      <c r="H59" s="153">
        <f>'53'!$F$100</f>
        <v>1.25</v>
      </c>
      <c r="I59" s="80">
        <f ca="1">IFERROR('53'!$F$98*'Discipline Analysis'!$B59,"")</f>
        <v>1014.72</v>
      </c>
      <c r="J59" s="153">
        <f>'53'!$F$98</f>
        <v>1.51</v>
      </c>
      <c r="K59" s="80">
        <f ca="1">IFERROR('53'!$F$99*'Discipline Analysis'!$B59,"")</f>
        <v>1068.48</v>
      </c>
      <c r="L59" s="153">
        <f>'53'!$F$99</f>
        <v>1.59</v>
      </c>
      <c r="M59" s="80">
        <f ca="1">OFFSET('53'!$E$35,$A$3,0)</f>
        <v>474</v>
      </c>
      <c r="N59" s="153">
        <f ca="1">OFFSET('53'!$F$35,$A$3,0)</f>
        <v>0.71</v>
      </c>
      <c r="O59" s="80">
        <f ca="1">IFERROR('53'!$F$101*'Discipline Analysis'!$B59,"")</f>
        <v>235.2</v>
      </c>
      <c r="P59" s="153">
        <f>'53'!$F$101</f>
        <v>0.35</v>
      </c>
      <c r="Q59" s="80">
        <f ca="1">IFERROR('53'!$F$102*'Discipline Analysis'!$B59,"")</f>
        <v>423.36</v>
      </c>
      <c r="R59" s="153">
        <f>'53'!$F$102</f>
        <v>0.63</v>
      </c>
      <c r="S59" s="80">
        <f ca="1">IFERROR('53'!$F$103*'Discipline Analysis'!$B59,"")</f>
        <v>201.6</v>
      </c>
      <c r="T59" s="153">
        <f>'53'!$F$103</f>
        <v>0.3</v>
      </c>
      <c r="U59" s="80">
        <f ca="1">IFERROR('53'!$F$104*'Discipline Analysis'!$B59,"")</f>
        <v>87.36</v>
      </c>
      <c r="V59" s="158">
        <f>'53'!$F$104</f>
        <v>0.13</v>
      </c>
      <c r="Y59" s="163"/>
    </row>
    <row r="60" spans="1:25" x14ac:dyDescent="0.2">
      <c r="A60" s="95" t="s">
        <v>950</v>
      </c>
      <c r="B60" s="88">
        <f ca="1">OFFSET('54'!$D$4,$A$3,0)</f>
        <v>54256</v>
      </c>
      <c r="C60" s="80">
        <f ca="1">OFFSET('54'!$E$4,$A$3,0)</f>
        <v>522023.74784365692</v>
      </c>
      <c r="D60" s="153">
        <f ca="1">OFFSET('54'!$F$4,$A$3,0)</f>
        <v>9.6199999999999992</v>
      </c>
      <c r="E60" s="80">
        <f ca="1">OFFSET('54'!$E$66,$A$3,0)</f>
        <v>205220</v>
      </c>
      <c r="F60" s="153">
        <f ca="1">OFFSET('54'!$F$66,$A$3,0)</f>
        <v>3.78</v>
      </c>
      <c r="G60" s="80">
        <f ca="1">IFERROR('54'!$F$100*'Discipline Analysis'!$B60,"")</f>
        <v>20074.72</v>
      </c>
      <c r="H60" s="153">
        <f>'54'!$F$100</f>
        <v>0.37</v>
      </c>
      <c r="I60" s="80">
        <f ca="1">IFERROR('54'!$F$98*'Discipline Analysis'!$B60,"")</f>
        <v>51000.639999999999</v>
      </c>
      <c r="J60" s="153">
        <f>'54'!$F$98</f>
        <v>0.94</v>
      </c>
      <c r="K60" s="80">
        <f ca="1">IFERROR('54'!$F$99*'Discipline Analysis'!$B60,"")</f>
        <v>29840.800000000003</v>
      </c>
      <c r="L60" s="153">
        <f>'54'!$F$99</f>
        <v>0.55000000000000004</v>
      </c>
      <c r="M60" s="80">
        <f ca="1">OFFSET('54'!$E$35,$A$3,0)</f>
        <v>163963</v>
      </c>
      <c r="N60" s="153">
        <f ca="1">OFFSET('54'!$F$35,$A$3,0)</f>
        <v>3.02</v>
      </c>
      <c r="O60" s="80">
        <f ca="1">IFERROR('54'!$F$101*'Discipline Analysis'!$B60,"")</f>
        <v>3797.9200000000005</v>
      </c>
      <c r="P60" s="153">
        <f>'54'!$F$101</f>
        <v>7.0000000000000007E-2</v>
      </c>
      <c r="Q60" s="80">
        <f ca="1">IFERROR('54'!$F$102*'Discipline Analysis'!$B60,"")</f>
        <v>34723.840000000004</v>
      </c>
      <c r="R60" s="153">
        <f>'54'!$F$102</f>
        <v>0.64</v>
      </c>
      <c r="S60" s="80">
        <f ca="1">IFERROR('54'!$F$103*'Discipline Analysis'!$B60,"")</f>
        <v>10851.2</v>
      </c>
      <c r="T60" s="153">
        <f>'54'!$F$103</f>
        <v>0.2</v>
      </c>
      <c r="U60" s="80">
        <f ca="1">IFERROR('54'!$F$104*'Discipline Analysis'!$B60,"")</f>
        <v>2712.8</v>
      </c>
      <c r="V60" s="158">
        <f>'54'!$F$104</f>
        <v>0.05</v>
      </c>
      <c r="Y60" s="163"/>
    </row>
    <row r="61" spans="1:25" x14ac:dyDescent="0.2">
      <c r="A61" s="95" t="s">
        <v>951</v>
      </c>
      <c r="B61" s="88">
        <f ca="1">OFFSET('55'!$D$4,$A$3,0)</f>
        <v>0</v>
      </c>
      <c r="C61" s="80">
        <f ca="1">OFFSET('55'!$E$4,$A$3,0)</f>
        <v>0</v>
      </c>
      <c r="D61" s="153" t="str">
        <f ca="1">OFFSET('55'!$F$4,$A$3,0)</f>
        <v/>
      </c>
      <c r="E61" s="80">
        <f ca="1">OFFSET('55'!$E$66,$A$3,0)</f>
        <v>0</v>
      </c>
      <c r="F61" s="153" t="str">
        <f ca="1">OFFSET('55'!$F$66,$A$3,0)</f>
        <v/>
      </c>
      <c r="G61" s="80">
        <f ca="1">IFERROR('55'!$F$100*'Discipline Analysis'!$B61,"")</f>
        <v>0</v>
      </c>
      <c r="H61" s="153">
        <f>'55'!$F$100</f>
        <v>0.18</v>
      </c>
      <c r="I61" s="80">
        <f ca="1">IFERROR('55'!$F$98*'Discipline Analysis'!$B61,"")</f>
        <v>0</v>
      </c>
      <c r="J61" s="153">
        <f>'55'!$F$98</f>
        <v>1.83</v>
      </c>
      <c r="K61" s="80">
        <f ca="1">IFERROR('55'!$F$99*'Discipline Analysis'!$B61,"")</f>
        <v>0</v>
      </c>
      <c r="L61" s="153">
        <f>'55'!$F$99</f>
        <v>0.75</v>
      </c>
      <c r="M61" s="80">
        <f ca="1">OFFSET('55'!$E$35,$A$3,0)</f>
        <v>0</v>
      </c>
      <c r="N61" s="153" t="str">
        <f ca="1">OFFSET('55'!$F$35,$A$3,0)</f>
        <v/>
      </c>
      <c r="O61" s="80">
        <f ca="1">IFERROR('55'!$F$101*'Discipline Analysis'!$B61,"")</f>
        <v>0</v>
      </c>
      <c r="P61" s="153">
        <f>'55'!$F$101</f>
        <v>0</v>
      </c>
      <c r="Q61" s="80">
        <f ca="1">IFERROR('55'!$F$102*'Discipline Analysis'!$B61,"")</f>
        <v>0</v>
      </c>
      <c r="R61" s="153">
        <f>'55'!$F$102</f>
        <v>1.43</v>
      </c>
      <c r="S61" s="80">
        <f ca="1">IFERROR('55'!$F$103*'Discipline Analysis'!$B61,"")</f>
        <v>0</v>
      </c>
      <c r="T61" s="153">
        <f>'55'!$F$103</f>
        <v>0.61</v>
      </c>
      <c r="U61" s="80">
        <f ca="1">IFERROR('55'!$F$104*'Discipline Analysis'!$B61,"")</f>
        <v>0</v>
      </c>
      <c r="V61" s="158">
        <f>'55'!$F$104</f>
        <v>0.31</v>
      </c>
      <c r="Y61" s="163"/>
    </row>
    <row r="62" spans="1:25" x14ac:dyDescent="0.2">
      <c r="A62" s="95" t="s">
        <v>952</v>
      </c>
      <c r="B62" s="88">
        <f ca="1">OFFSET('56'!$D$4,$A$3,0)</f>
        <v>0</v>
      </c>
      <c r="C62" s="80">
        <f ca="1">OFFSET('56'!$E$4,$A$3,0)</f>
        <v>0</v>
      </c>
      <c r="D62" s="153" t="str">
        <f ca="1">OFFSET('56'!$F$4,$A$3,0)</f>
        <v/>
      </c>
      <c r="E62" s="80">
        <f ca="1">OFFSET('56'!$E$66,$A$3,0)</f>
        <v>0</v>
      </c>
      <c r="F62" s="153" t="str">
        <f ca="1">OFFSET('56'!$F$66,$A$3,0)</f>
        <v/>
      </c>
      <c r="G62" s="80" t="str">
        <f ca="1">IFERROR('56'!$F$100*'Discipline Analysis'!$B62,"")</f>
        <v/>
      </c>
      <c r="H62" s="153" t="str">
        <f>'56'!$F$100</f>
        <v/>
      </c>
      <c r="I62" s="80" t="str">
        <f ca="1">IFERROR('56'!$F$98*'Discipline Analysis'!$B62,"")</f>
        <v/>
      </c>
      <c r="J62" s="153" t="str">
        <f>'56'!$F$98</f>
        <v/>
      </c>
      <c r="K62" s="80" t="str">
        <f ca="1">IFERROR('56'!$F$99*'Discipline Analysis'!$B62,"")</f>
        <v/>
      </c>
      <c r="L62" s="153" t="str">
        <f>'56'!$F$99</f>
        <v/>
      </c>
      <c r="M62" s="80">
        <f ca="1">OFFSET('56'!$E$35,$A$3,0)</f>
        <v>0</v>
      </c>
      <c r="N62" s="153" t="str">
        <f ca="1">OFFSET('56'!$F$35,$A$3,0)</f>
        <v/>
      </c>
      <c r="O62" s="80" t="str">
        <f ca="1">IFERROR('56'!$F$101*'Discipline Analysis'!$B62,"")</f>
        <v/>
      </c>
      <c r="P62" s="153" t="str">
        <f>'56'!$F$101</f>
        <v/>
      </c>
      <c r="Q62" s="80" t="str">
        <f ca="1">IFERROR('56'!$F$102*'Discipline Analysis'!$B62,"")</f>
        <v/>
      </c>
      <c r="R62" s="153" t="str">
        <f>'56'!$F$102</f>
        <v/>
      </c>
      <c r="S62" s="80" t="str">
        <f ca="1">IFERROR('56'!$F$103*'Discipline Analysis'!$B62,"")</f>
        <v/>
      </c>
      <c r="T62" s="153" t="str">
        <f>'56'!$F$103</f>
        <v/>
      </c>
      <c r="U62" s="80" t="str">
        <f ca="1">IFERROR('56'!$F$104*'Discipline Analysis'!$B62,"")</f>
        <v/>
      </c>
      <c r="V62" s="158" t="str">
        <f>'56'!$F$104</f>
        <v/>
      </c>
    </row>
    <row r="63" spans="1:25" x14ac:dyDescent="0.2">
      <c r="A63" s="76" t="s">
        <v>953</v>
      </c>
      <c r="B63" s="88">
        <f ca="1">OFFSET('57'!$D$4,$A$3,0)</f>
        <v>0</v>
      </c>
      <c r="C63" s="80">
        <f ca="1">OFFSET('57'!$E$4,$A$3,0)</f>
        <v>0</v>
      </c>
      <c r="D63" s="153" t="str">
        <f ca="1">OFFSET('57'!$F$4,$A$3,0)</f>
        <v/>
      </c>
      <c r="E63" s="80">
        <f ca="1">OFFSET('57'!$E$66,$A$3,0)</f>
        <v>0</v>
      </c>
      <c r="F63" s="153" t="str">
        <f ca="1">OFFSET('57'!$F$66,$A$3,0)</f>
        <v/>
      </c>
      <c r="G63" s="80">
        <f ca="1">IFERROR('57'!$F$100*'Discipline Analysis'!$B63,"")</f>
        <v>0</v>
      </c>
      <c r="H63" s="153">
        <f>'57'!$F$100</f>
        <v>1.27</v>
      </c>
      <c r="I63" s="80">
        <f ca="1">IFERROR('57'!$F$98*'Discipline Analysis'!$B63,"")</f>
        <v>0</v>
      </c>
      <c r="J63" s="153">
        <f>'57'!$F$98</f>
        <v>1.75</v>
      </c>
      <c r="K63" s="80">
        <f ca="1">IFERROR('57'!$F$99*'Discipline Analysis'!$B63,"")</f>
        <v>0</v>
      </c>
      <c r="L63" s="153">
        <f>'57'!$F$99</f>
        <v>0.57999999999999996</v>
      </c>
      <c r="M63" s="80">
        <f ca="1">OFFSET('57'!$E$35,$A$3,0)</f>
        <v>0</v>
      </c>
      <c r="N63" s="153" t="str">
        <f ca="1">OFFSET('57'!$F$35,$A$3,0)</f>
        <v/>
      </c>
      <c r="O63" s="80">
        <f ca="1">IFERROR('57'!$F$101*'Discipline Analysis'!$B63,"")</f>
        <v>0</v>
      </c>
      <c r="P63" s="153">
        <f>'57'!$F$101</f>
        <v>0</v>
      </c>
      <c r="Q63" s="80">
        <f ca="1">IFERROR('57'!$F$102*'Discipline Analysis'!$B63,"")</f>
        <v>0</v>
      </c>
      <c r="R63" s="153">
        <f>'57'!$F$102</f>
        <v>1.35</v>
      </c>
      <c r="S63" s="80">
        <f ca="1">IFERROR('57'!$F$103*'Discipline Analysis'!$B63,"")</f>
        <v>0</v>
      </c>
      <c r="T63" s="153">
        <f>'57'!$F$103</f>
        <v>0.97</v>
      </c>
      <c r="U63" s="80">
        <f ca="1">IFERROR('57'!$F$104*'Discipline Analysis'!$B63,"")</f>
        <v>0</v>
      </c>
      <c r="V63" s="158">
        <f>'57'!$F$104</f>
        <v>0.77</v>
      </c>
      <c r="Y63" s="163"/>
    </row>
    <row r="64" spans="1:25" ht="15" thickBot="1" x14ac:dyDescent="0.25">
      <c r="A64" s="85" t="s">
        <v>35</v>
      </c>
      <c r="B64" s="83">
        <f ca="1">OFFSET(Summary!$D$4,$A$3,0)</f>
        <v>1534719</v>
      </c>
      <c r="C64" s="82">
        <f ca="1">OFFSET(Summary!$E$4,$A$3,0)</f>
        <v>13513303.567812849</v>
      </c>
      <c r="D64" s="155">
        <f ca="1">MEDIAN(D7:D63)</f>
        <v>8.7050000000000001</v>
      </c>
      <c r="E64" s="82">
        <f ca="1">OFFSET(Summary!$E$66,$A$3,0)</f>
        <v>4815786</v>
      </c>
      <c r="F64" s="155">
        <f ca="1">MEDIAN(F7:F63)</f>
        <v>3.26</v>
      </c>
      <c r="G64" s="82">
        <f ca="1">Summary!$F$100*B64</f>
        <v>1074303.3</v>
      </c>
      <c r="H64" s="155">
        <f>MEDIAN(H7:H63)</f>
        <v>0.7</v>
      </c>
      <c r="I64" s="82">
        <f ca="1">Summary!$F$98*'Discipline Analysis'!B64</f>
        <v>2363467.2600000002</v>
      </c>
      <c r="J64" s="155">
        <f>MEDIAN(J7:J63)</f>
        <v>1.5350000000000001</v>
      </c>
      <c r="K64" s="82">
        <f ca="1">Summary!$F$99*'Discipline Analysis'!B64</f>
        <v>1089650.49</v>
      </c>
      <c r="L64" s="155">
        <f>MEDIAN(L7:L63)</f>
        <v>0.70499999999999996</v>
      </c>
      <c r="M64" s="82">
        <f ca="1">OFFSET(Summary!$E$35,$A$3,0)</f>
        <v>2984519</v>
      </c>
      <c r="N64" s="155">
        <f ca="1">MEDIAN(N7:N63)</f>
        <v>1.1599999999999999</v>
      </c>
      <c r="O64" s="82">
        <f ca="1">IFERROR(Summary!$F$101*'Discipline Analysis'!B64,"")</f>
        <v>0</v>
      </c>
      <c r="P64" s="155">
        <f>MEDIAN(P7:P63)</f>
        <v>0</v>
      </c>
      <c r="Q64" s="82">
        <f ca="1">Summary!$F$102*'Discipline Analysis'!B64</f>
        <v>15347.19</v>
      </c>
      <c r="R64" s="155">
        <f>MEDIAN(R7:R63)</f>
        <v>5.0000000000000001E-3</v>
      </c>
      <c r="S64" s="82">
        <f ca="1">Summary!$F$103*'Discipline Analysis'!B64</f>
        <v>230207.85</v>
      </c>
      <c r="T64" s="155">
        <f>MEDIAN(T7:T63)</f>
        <v>0.15</v>
      </c>
      <c r="U64" s="81">
        <f ca="1">Summary!$F$104*'Discipline Analysis'!B64</f>
        <v>260902.23</v>
      </c>
      <c r="V64" s="159">
        <f>MEDIAN(V7:V63)</f>
        <v>0.16500000000000001</v>
      </c>
    </row>
    <row r="65" spans="2:22" x14ac:dyDescent="0.2">
      <c r="C65" s="3"/>
      <c r="D65" s="3"/>
      <c r="E65" s="3"/>
      <c r="F65" s="3"/>
      <c r="G65" s="3"/>
      <c r="H65" s="3"/>
      <c r="I65" s="3"/>
      <c r="J65" s="3"/>
      <c r="K65" s="3"/>
      <c r="L65" s="3"/>
      <c r="M65" s="3"/>
      <c r="N65" s="3"/>
      <c r="O65" s="3"/>
      <c r="P65" s="3"/>
      <c r="Q65" s="3"/>
      <c r="R65" s="3"/>
      <c r="S65" s="3"/>
      <c r="T65" s="3"/>
      <c r="U65" s="3"/>
      <c r="V65" s="3"/>
    </row>
    <row r="66" spans="2:22" ht="15" customHeight="1" x14ac:dyDescent="0.2">
      <c r="C66" s="67"/>
      <c r="G66" s="67"/>
      <c r="I66" s="67"/>
      <c r="K66" s="67"/>
      <c r="M66" s="67"/>
      <c r="O66" s="67"/>
      <c r="Q66" s="67"/>
      <c r="S66" s="67"/>
      <c r="U66" s="67"/>
    </row>
    <row r="80" spans="2:22" x14ac:dyDescent="0.2">
      <c r="B80" s="90"/>
      <c r="C80" s="90"/>
      <c r="D80" s="90"/>
      <c r="E80" s="90"/>
      <c r="F80" s="90"/>
      <c r="G80" s="90"/>
      <c r="H80" s="90"/>
      <c r="I80" s="90"/>
      <c r="J80" s="90"/>
      <c r="K80" s="90"/>
      <c r="L80" s="90"/>
      <c r="M80" s="90"/>
      <c r="N80" s="90"/>
      <c r="O80" s="90"/>
      <c r="P80" s="90"/>
      <c r="Q80" s="90"/>
      <c r="R80" s="90"/>
      <c r="S80" s="90"/>
      <c r="T80" s="90"/>
      <c r="U80" s="90"/>
      <c r="V80" s="90"/>
    </row>
    <row r="81" spans="2:21" x14ac:dyDescent="0.2">
      <c r="B81" s="91"/>
      <c r="C81" s="91"/>
      <c r="D81" s="91"/>
      <c r="E81" s="91"/>
      <c r="F81" s="91"/>
      <c r="G81" s="91"/>
      <c r="H81" s="91"/>
      <c r="I81" s="91"/>
      <c r="K81" s="91"/>
      <c r="L81" s="91"/>
      <c r="M81" s="91"/>
      <c r="N81" s="91"/>
      <c r="O81" s="91"/>
      <c r="P81" s="91"/>
      <c r="Q81" s="91"/>
      <c r="R81" s="91"/>
      <c r="S81" s="91"/>
      <c r="U81" s="91"/>
    </row>
    <row r="82" spans="2:21" x14ac:dyDescent="0.2">
      <c r="B82" s="91"/>
      <c r="C82" s="91"/>
      <c r="D82" s="91"/>
      <c r="E82" s="91"/>
      <c r="F82" s="91"/>
      <c r="G82" s="91"/>
      <c r="H82" s="91"/>
      <c r="I82" s="91"/>
      <c r="K82" s="91"/>
      <c r="L82" s="91"/>
      <c r="M82" s="91"/>
      <c r="N82" s="91"/>
      <c r="O82" s="91"/>
      <c r="P82" s="91"/>
      <c r="Q82" s="91"/>
      <c r="R82" s="91"/>
      <c r="S82" s="91"/>
      <c r="U82" s="91"/>
    </row>
    <row r="83" spans="2:21" x14ac:dyDescent="0.2">
      <c r="B83" s="91"/>
      <c r="C83" s="91"/>
      <c r="D83" s="91"/>
      <c r="E83" s="91"/>
      <c r="F83" s="91"/>
      <c r="G83" s="91"/>
      <c r="H83" s="91"/>
      <c r="I83" s="91"/>
      <c r="K83" s="91"/>
      <c r="L83" s="91"/>
      <c r="M83" s="91"/>
      <c r="N83" s="91"/>
      <c r="O83" s="91"/>
      <c r="P83" s="91"/>
      <c r="Q83" s="91"/>
      <c r="R83" s="91"/>
      <c r="S83" s="91"/>
      <c r="U83" s="91"/>
    </row>
    <row r="84" spans="2:21" x14ac:dyDescent="0.2">
      <c r="B84" s="91"/>
      <c r="C84" s="91"/>
      <c r="D84" s="91"/>
      <c r="E84" s="91"/>
      <c r="F84" s="91"/>
      <c r="G84" s="91"/>
      <c r="H84" s="91"/>
      <c r="I84" s="91"/>
      <c r="K84" s="91"/>
      <c r="L84" s="91"/>
      <c r="M84" s="91"/>
      <c r="N84" s="91"/>
      <c r="O84" s="91"/>
      <c r="P84" s="91"/>
      <c r="Q84" s="91"/>
      <c r="R84" s="91"/>
      <c r="S84" s="91"/>
      <c r="U84" s="91"/>
    </row>
    <row r="85" spans="2:21" x14ac:dyDescent="0.2">
      <c r="B85" s="91"/>
      <c r="C85" s="91"/>
      <c r="D85" s="91"/>
      <c r="E85" s="91"/>
      <c r="F85" s="91"/>
      <c r="G85" s="91"/>
      <c r="H85" s="91"/>
      <c r="I85" s="91"/>
      <c r="K85" s="91"/>
      <c r="L85" s="91"/>
      <c r="M85" s="91"/>
      <c r="N85" s="91"/>
      <c r="O85" s="91"/>
      <c r="P85" s="91"/>
      <c r="Q85" s="91"/>
      <c r="R85" s="91"/>
      <c r="S85" s="91"/>
      <c r="U85" s="91"/>
    </row>
    <row r="86" spans="2:21" x14ac:dyDescent="0.2">
      <c r="B86" s="91"/>
      <c r="C86" s="91"/>
      <c r="D86" s="91"/>
      <c r="E86" s="91"/>
      <c r="F86" s="91"/>
      <c r="G86" s="91"/>
      <c r="H86" s="91"/>
      <c r="I86" s="91"/>
      <c r="K86" s="91"/>
      <c r="L86" s="91"/>
      <c r="M86" s="91"/>
      <c r="N86" s="91"/>
      <c r="O86" s="91"/>
      <c r="P86" s="91"/>
      <c r="Q86" s="91"/>
      <c r="R86" s="91"/>
      <c r="S86" s="91"/>
      <c r="U86" s="91"/>
    </row>
    <row r="87" spans="2:21" x14ac:dyDescent="0.2">
      <c r="B87" s="91"/>
      <c r="C87" s="91"/>
      <c r="D87" s="91"/>
      <c r="E87" s="91"/>
      <c r="F87" s="91"/>
      <c r="G87" s="91"/>
      <c r="H87" s="91"/>
      <c r="I87" s="91"/>
      <c r="K87" s="91"/>
      <c r="L87" s="91"/>
      <c r="M87" s="91"/>
      <c r="N87" s="91"/>
      <c r="O87" s="91"/>
      <c r="P87" s="91"/>
      <c r="Q87" s="91"/>
      <c r="R87" s="91"/>
      <c r="S87" s="91"/>
      <c r="U87" s="89"/>
    </row>
    <row r="88" spans="2:21" x14ac:dyDescent="0.2">
      <c r="B88" s="91"/>
      <c r="C88" s="91"/>
      <c r="D88" s="91"/>
      <c r="E88" s="91"/>
      <c r="F88" s="91"/>
      <c r="G88" s="91"/>
      <c r="H88" s="91"/>
      <c r="I88" s="91"/>
      <c r="K88" s="91"/>
      <c r="L88" s="91"/>
      <c r="M88" s="91"/>
      <c r="N88" s="91"/>
      <c r="O88" s="91"/>
      <c r="P88" s="91"/>
      <c r="Q88" s="91"/>
      <c r="R88" s="91"/>
      <c r="S88" s="91"/>
      <c r="U88" s="91"/>
    </row>
    <row r="89" spans="2:21" x14ac:dyDescent="0.2">
      <c r="B89" s="91"/>
      <c r="C89" s="91"/>
      <c r="D89" s="91"/>
      <c r="E89" s="91"/>
      <c r="F89" s="91"/>
      <c r="G89" s="91"/>
      <c r="H89" s="91"/>
      <c r="I89" s="91"/>
      <c r="K89" s="91"/>
      <c r="L89" s="91"/>
      <c r="M89" s="91"/>
      <c r="N89" s="91"/>
      <c r="O89" s="91"/>
      <c r="P89" s="91"/>
      <c r="Q89" s="91"/>
      <c r="R89" s="91"/>
      <c r="S89" s="91"/>
      <c r="U89" s="91"/>
    </row>
    <row r="90" spans="2:21" x14ac:dyDescent="0.2">
      <c r="B90" s="91"/>
      <c r="C90" s="91"/>
      <c r="D90" s="91"/>
      <c r="E90" s="91"/>
      <c r="F90" s="91"/>
      <c r="G90" s="91"/>
      <c r="H90" s="91"/>
      <c r="I90" s="91"/>
      <c r="K90" s="91"/>
      <c r="L90" s="91"/>
      <c r="M90" s="91"/>
      <c r="N90" s="91"/>
      <c r="O90" s="91"/>
      <c r="P90" s="91"/>
      <c r="Q90" s="91"/>
      <c r="R90" s="91"/>
      <c r="S90" s="91"/>
      <c r="U90" s="91"/>
    </row>
  </sheetData>
  <mergeCells count="11">
    <mergeCell ref="O5:P5"/>
    <mergeCell ref="Q5:R5"/>
    <mergeCell ref="S5:T5"/>
    <mergeCell ref="U5:V5"/>
    <mergeCell ref="B5:B6"/>
    <mergeCell ref="C5:D5"/>
    <mergeCell ref="E5:F5"/>
    <mergeCell ref="G5:H5"/>
    <mergeCell ref="I5:J5"/>
    <mergeCell ref="K5:L5"/>
    <mergeCell ref="M5:N5"/>
  </mergeCells>
  <pageMargins left="0.25" right="0.25" top="0.25" bottom="0.25" header="0.3" footer="0.3"/>
  <pageSetup scale="58" orientation="landscape" r:id="rId1"/>
  <colBreaks count="1" manualBreakCount="1">
    <brk id="12" max="62" man="1"/>
  </colBreaks>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sizeWithCells="1">
                  <from>
                    <xdr:col>0</xdr:col>
                    <xdr:colOff>0</xdr:colOff>
                    <xdr:row>1</xdr:row>
                    <xdr:rowOff>171450</xdr:rowOff>
                  </from>
                  <to>
                    <xdr:col>3</xdr:col>
                    <xdr:colOff>314325</xdr:colOff>
                    <xdr:row>3</xdr:row>
                    <xdr:rowOff>85725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
  <sheetViews>
    <sheetView showGridLines="0" zoomScale="70" zoomScaleNormal="70" workbookViewId="0">
      <pane xSplit="1" ySplit="5" topLeftCell="B6" activePane="bottomRight" state="frozen"/>
      <selection pane="topRight" activeCell="B1" sqref="B1"/>
      <selection pane="bottomLeft" activeCell="A6" sqref="A6"/>
      <selection pane="bottomRight" activeCell="B6" sqref="B6"/>
    </sheetView>
  </sheetViews>
  <sheetFormatPr defaultRowHeight="15" x14ac:dyDescent="0.25"/>
  <cols>
    <col min="1" max="1" width="37.5703125" customWidth="1"/>
    <col min="2" max="2" width="23.5703125" customWidth="1"/>
    <col min="3" max="3" width="28.7109375" customWidth="1"/>
    <col min="4" max="4" width="18" style="69" customWidth="1"/>
    <col min="5" max="5" width="18" customWidth="1"/>
    <col min="7" max="7" width="13.5703125" bestFit="1" customWidth="1"/>
    <col min="8" max="8" width="12" bestFit="1" customWidth="1"/>
  </cols>
  <sheetData>
    <row r="1" spans="1:6" x14ac:dyDescent="0.25">
      <c r="A1" s="120" t="str">
        <f>Summary!A1</f>
        <v>Community and Technical Colleges, Report of Fundable Operating Expenses, Fiscal Year (FY) 2008</v>
      </c>
      <c r="B1" s="119"/>
      <c r="C1" s="119"/>
      <c r="D1" s="124"/>
      <c r="E1" s="119"/>
      <c r="F1" s="119"/>
    </row>
    <row r="2" spans="1:6" x14ac:dyDescent="0.25">
      <c r="A2" s="122" t="s">
        <v>1033</v>
      </c>
      <c r="B2" s="121"/>
      <c r="C2" s="121"/>
      <c r="D2" s="125"/>
      <c r="E2" s="121"/>
      <c r="F2" s="121"/>
    </row>
    <row r="3" spans="1:6" ht="47.25" customHeight="1" thickBot="1" x14ac:dyDescent="0.3">
      <c r="A3" s="200" t="s">
        <v>1023</v>
      </c>
      <c r="B3" s="200"/>
      <c r="C3" s="200"/>
      <c r="D3" s="200"/>
      <c r="E3" s="200"/>
      <c r="F3" s="118"/>
    </row>
    <row r="4" spans="1:6" ht="60" customHeight="1" thickBot="1" x14ac:dyDescent="0.3">
      <c r="A4" s="116" t="s">
        <v>954</v>
      </c>
      <c r="B4" s="115" t="str">
        <f>"FY 2008 - 2009 Rates @ "&amp;TEXT(B5,"0.00%")&amp;" (Using FY 2008 CH)"</f>
        <v>FY 2008 - 2009 Rates @ 47.99% (Using FY 2008 CH)</v>
      </c>
      <c r="C4" s="114" t="str">
        <f>"Annual Budget Neutral Percent Funded "&amp;TEXT(C5,"0.00%")&amp;" (Using FY 2008 CH)"</f>
        <v>Annual Budget Neutral Percent Funded 47.11% (Using FY 2008 CH)</v>
      </c>
      <c r="D4" s="114" t="s">
        <v>51</v>
      </c>
      <c r="E4" s="110" t="s">
        <v>1024</v>
      </c>
    </row>
    <row r="5" spans="1:6" x14ac:dyDescent="0.25">
      <c r="A5" s="147" t="s">
        <v>1034</v>
      </c>
      <c r="B5" s="113">
        <v>0.47991153155235239</v>
      </c>
      <c r="C5" s="113">
        <v>0.47113765785774747</v>
      </c>
      <c r="D5" s="123">
        <f>C5-B5</f>
        <v>-8.7738736946049167E-3</v>
      </c>
      <c r="E5" s="109"/>
    </row>
    <row r="6" spans="1:6" x14ac:dyDescent="0.25">
      <c r="A6" s="97" t="s">
        <v>395</v>
      </c>
      <c r="B6" s="111">
        <f>$B$5*('Rate History'!$D$4*SUMIF(Data!$G:$G,Neutral!$A6,Data!$CU:$CU)+'Rate History'!$D$5*SUMIF(Data!$G:$G,Neutral!$A6,Data!$CV:$CV)+'Rate History'!$D$6*SUMIF(Data!$G:$G,Neutral!$A6,Data!$CW:$CW)+'Rate History'!$D$7*SUMIF(Data!$G:$G,Neutral!$A6,Data!$CX:$CX)+'Rate History'!$D$8*SUMIF(Data!$G:$G,Neutral!$A6,Data!$CY:$CY)+'Rate History'!$D$9*SUMIF(Data!$G:$G,Neutral!$A6,Data!$CZ:$CZ)+'Rate History'!$D$10*SUMIF(Data!$G:$G,Neutral!$A6,Data!$DA:$DA)+'Rate History'!$D$11*SUMIF(Data!$G:$G,Neutral!$A6,Data!$DB:$DB)+'Rate History'!$D$12*SUMIF(Data!$G:$G,Neutral!$A6,Data!$DC:$DC)+'Rate History'!$D$13*SUMIF(Data!$G:$G,Neutral!$A6,Data!$DD:$DD)+'Rate History'!$D$14*SUMIF(Data!$G:$G,Neutral!$A6,Data!$DE:$DE)+'Rate History'!$D$15*SUMIF(Data!$G:$G,Neutral!$A6,Data!$DF:$DF)+'Rate History'!$D$16*SUMIF(Data!$G:$G,Neutral!$A6,Data!$DG:$DG)+'Rate History'!$D$17*SUMIF(Data!$G:$G,Neutral!$A6,Data!$DH:$DH)+'Rate History'!$D$18*SUMIF(Data!$G:$G,Neutral!$A6,Data!$DI:$DI)+'Rate History'!$D$19*SUMIF(Data!$G:$G,Neutral!$A6,Data!$DJ:$DJ)+'Rate History'!$D$20*SUMIF(Data!$G:$G,Neutral!$A6,Data!$DK:$DK)+'Rate History'!$D$21*SUMIF(Data!$G:$G,Neutral!$A6,Data!$DL:$DL)+'Rate History'!$D$22*SUMIF(Data!$G:$G,Neutral!$A6,Data!$DM:$DM)+'Rate History'!$D$23*SUMIF(Data!$G:$G,Neutral!$A6,Data!$DN:$DN)+'Rate History'!$D$24*SUMIF(Data!$G:$G,Neutral!$A6,Data!$DO:$DO)+'Rate History'!$D$25*SUMIF(Data!$G:$G,Neutral!$A6,Data!$DP:$DP)+'Rate History'!$D$26*SUMIF(Data!$G:$G,Neutral!$A6,Data!$DQ:$DQ)+'Rate History'!$D$27*SUMIF(Data!$G:$G,Neutral!$A6,Data!$DR:$DR)+'Rate History'!$D$28*SUMIF(Data!$G:$G,Neutral!$A6,Data!$DS:$DS)+'Rate History'!$D$29*SUMIF(Data!$G:$G,Neutral!$A6,Data!$DT:$DT)+'Rate History'!$D$30*SUMIF(Data!$G:$G,Neutral!$A6,Data!$DV:$DV)+'Rate History'!$D$31*SUMIF(Data!$G:$G,Neutral!$A6,Data!$DW:$DW))</f>
        <v>69921277.105886504</v>
      </c>
      <c r="C6" s="165">
        <f>$C$5*('Rate History'!$C$4*SUMIF(Data!$G:$G,Neutral!$A6,Data!$CU:$CU)+'Rate History'!$C$5*SUMIF(Data!$G:$G,Neutral!$A6,Data!$CV:$CV)+'Rate History'!$C$6*SUMIF(Data!$G:$G,Neutral!$A6,Data!$CW:$CW)+'Rate History'!$C$7*SUMIF(Data!$G:$G,Neutral!$A6,Data!$CX:$CX)+'Rate History'!$C$8*SUMIF(Data!$G:$G,Neutral!$A6,Data!$CY:$CY)+'Rate History'!$C$9*SUMIF(Data!$G:$G,Neutral!$A6,Data!$CZ:$CZ)+'Rate History'!$C$10*SUMIF(Data!$G:$G,Neutral!$A6,Data!$DA:$DA)+'Rate History'!$C$11*SUMIF(Data!$G:$G,Neutral!$A6,Data!$DB:$DB)+'Rate History'!$C$12*SUMIF(Data!$G:$G,Neutral!$A6,Data!$DC:$DC)+'Rate History'!$C$13*SUMIF(Data!$G:$G,Neutral!$A6,Data!$DD:$DD)+'Rate History'!$C$14*SUMIF(Data!$G:$G,Neutral!$A6,Data!$DE:$DE)+'Rate History'!$C$15*SUMIF(Data!$G:$G,Neutral!$A6,Data!$DF:$DF)+'Rate History'!$C$16*SUMIF(Data!$G:$G,Neutral!$A6,Data!$DG:$DG)+'Rate History'!$C$17*SUMIF(Data!$G:$G,Neutral!$A6,Data!$DH:$DH)+'Rate History'!$C$18*SUMIF(Data!$G:$G,Neutral!$A6,Data!$DI:$DI)+'Rate History'!$C$19*SUMIF(Data!$G:$G,Neutral!$A6,Data!$DJ:$DJ)+'Rate History'!$C$20*SUMIF(Data!$G:$G,Neutral!$A6,Data!$DK:$DK)+'Rate History'!$C$21*SUMIF(Data!$G:$G,Neutral!$A6,Data!$DL:$DL)+'Rate History'!$C$22*SUMIF(Data!$G:$G,Neutral!$A6,Data!$DM:$DM)+'Rate History'!$C$23*SUMIF(Data!$G:$G,Neutral!$A6,Data!$DN:$DN)+'Rate History'!$C$24*SUMIF(Data!$G:$G,Neutral!$A6,Data!$DO:$DO)+'Rate History'!$C$25*SUMIF(Data!$G:$G,Neutral!$A6,Data!$DP:$DP)+'Rate History'!$C$26*SUMIF(Data!$G:$G,Neutral!$A6,Data!$DQ:$DQ)+'Rate History'!$C$27*SUMIF(Data!$G:$G,Neutral!$A6,Data!$DR:$DR)+'Rate History'!$C$28*SUMIF(Data!$G:$G,Neutral!$A6,Data!$DS:$DS)+'Rate History'!$C$29*SUMIF(Data!$G:$G,Neutral!$A6,Data!$DT:$DT)+'Rate History'!$C$30*SUMIF(Data!$G:$G,Neutral!$A6,Data!$DV:$DV)+'Rate History'!$C$31*SUMIF(Data!$G:$G,Neutral!$A6,Data!$DW:$DW))</f>
        <v>70044341.296091974</v>
      </c>
      <c r="D6" s="112">
        <f>C6-B6</f>
        <v>123064.19020546973</v>
      </c>
      <c r="E6" s="104">
        <f>IFERROR(D6/B6,"")</f>
        <v>1.7600392226690214E-3</v>
      </c>
    </row>
    <row r="7" spans="1:6" x14ac:dyDescent="0.25">
      <c r="A7" s="97" t="s">
        <v>351</v>
      </c>
      <c r="B7" s="117">
        <f>$B$5*('Rate History'!$D$4*SUMIF(Data!$G:$G,Neutral!$A7,Data!$CU:$CU)+'Rate History'!$D$5*SUMIF(Data!$G:$G,Neutral!$A7,Data!$CV:$CV)+'Rate History'!$D$6*SUMIF(Data!$G:$G,Neutral!$A7,Data!$CW:$CW)+'Rate History'!$D$7*SUMIF(Data!$G:$G,Neutral!$A7,Data!$CX:$CX)+'Rate History'!$D$8*SUMIF(Data!$G:$G,Neutral!$A7,Data!$CY:$CY)+'Rate History'!$D$9*SUMIF(Data!$G:$G,Neutral!$A7,Data!$CZ:$CZ)+'Rate History'!$D$10*SUMIF(Data!$G:$G,Neutral!$A7,Data!$DA:$DA)+'Rate History'!$D$11*SUMIF(Data!$G:$G,Neutral!$A7,Data!$DB:$DB)+'Rate History'!$D$12*SUMIF(Data!$G:$G,Neutral!$A7,Data!$DC:$DC)+'Rate History'!$D$13*SUMIF(Data!$G:$G,Neutral!$A7,Data!$DD:$DD)+'Rate History'!$D$14*SUMIF(Data!$G:$G,Neutral!$A7,Data!$DE:$DE)+'Rate History'!$D$15*SUMIF(Data!$G:$G,Neutral!$A7,Data!$DF:$DF)+'Rate History'!$D$16*SUMIF(Data!$G:$G,Neutral!$A7,Data!$DG:$DG)+'Rate History'!$D$17*SUMIF(Data!$G:$G,Neutral!$A7,Data!$DH:$DH)+'Rate History'!$D$18*SUMIF(Data!$G:$G,Neutral!$A7,Data!$DI:$DI)+'Rate History'!$D$19*SUMIF(Data!$G:$G,Neutral!$A7,Data!$DJ:$DJ)+'Rate History'!$D$20*SUMIF(Data!$G:$G,Neutral!$A7,Data!$DK:$DK)+'Rate History'!$D$21*SUMIF(Data!$G:$G,Neutral!$A7,Data!$DL:$DL)+'Rate History'!$D$22*SUMIF(Data!$G:$G,Neutral!$A7,Data!$DM:$DM)+'Rate History'!$D$23*SUMIF(Data!$G:$G,Neutral!$A7,Data!$DN:$DN)+'Rate History'!$D$24*SUMIF(Data!$G:$G,Neutral!$A7,Data!$DO:$DO)+'Rate History'!$D$25*SUMIF(Data!$G:$G,Neutral!$A7,Data!$DP:$DP)+'Rate History'!$D$26*SUMIF(Data!$G:$G,Neutral!$A7,Data!$DQ:$DQ)+'Rate History'!$D$27*SUMIF(Data!$G:$G,Neutral!$A7,Data!$DR:$DR)+'Rate History'!$D$28*SUMIF(Data!$G:$G,Neutral!$A7,Data!$DS:$DS)+'Rate History'!$D$29*SUMIF(Data!$G:$G,Neutral!$A7,Data!$DT:$DT)+'Rate History'!$D$30*SUMIF(Data!$G:$G,Neutral!$A7,Data!$DV:$DV)+'Rate History'!$D$31*SUMIF(Data!$G:$G,Neutral!$A7,Data!$DW:$DW))</f>
        <v>8297339.2895745551</v>
      </c>
      <c r="C7" s="117">
        <f>$C$5*('Rate History'!$C$4*SUMIF(Data!$G:$G,Neutral!$A7,Data!$CU:$CU)+'Rate History'!$C$5*SUMIF(Data!$G:$G,Neutral!$A7,Data!$CV:$CV)+'Rate History'!$C$6*SUMIF(Data!$G:$G,Neutral!$A7,Data!$CW:$CW)+'Rate History'!$C$7*SUMIF(Data!$G:$G,Neutral!$A7,Data!$CX:$CX)+'Rate History'!$C$8*SUMIF(Data!$G:$G,Neutral!$A7,Data!$CY:$CY)+'Rate History'!$C$9*SUMIF(Data!$G:$G,Neutral!$A7,Data!$CZ:$CZ)+'Rate History'!$C$10*SUMIF(Data!$G:$G,Neutral!$A7,Data!$DA:$DA)+'Rate History'!$C$11*SUMIF(Data!$G:$G,Neutral!$A7,Data!$DB:$DB)+'Rate History'!$C$12*SUMIF(Data!$G:$G,Neutral!$A7,Data!$DC:$DC)+'Rate History'!$C$13*SUMIF(Data!$G:$G,Neutral!$A7,Data!$DD:$DD)+'Rate History'!$C$14*SUMIF(Data!$G:$G,Neutral!$A7,Data!$DE:$DE)+'Rate History'!$C$15*SUMIF(Data!$G:$G,Neutral!$A7,Data!$DF:$DF)+'Rate History'!$C$16*SUMIF(Data!$G:$G,Neutral!$A7,Data!$DG:$DG)+'Rate History'!$C$17*SUMIF(Data!$G:$G,Neutral!$A7,Data!$DH:$DH)+'Rate History'!$C$18*SUMIF(Data!$G:$G,Neutral!$A7,Data!$DI:$DI)+'Rate History'!$C$19*SUMIF(Data!$G:$G,Neutral!$A7,Data!$DJ:$DJ)+'Rate History'!$C$20*SUMIF(Data!$G:$G,Neutral!$A7,Data!$DK:$DK)+'Rate History'!$C$21*SUMIF(Data!$G:$G,Neutral!$A7,Data!$DL:$DL)+'Rate History'!$C$22*SUMIF(Data!$G:$G,Neutral!$A7,Data!$DM:$DM)+'Rate History'!$C$23*SUMIF(Data!$G:$G,Neutral!$A7,Data!$DN:$DN)+'Rate History'!$C$24*SUMIF(Data!$G:$G,Neutral!$A7,Data!$DO:$DO)+'Rate History'!$C$25*SUMIF(Data!$G:$G,Neutral!$A7,Data!$DP:$DP)+'Rate History'!$C$26*SUMIF(Data!$G:$G,Neutral!$A7,Data!$DQ:$DQ)+'Rate History'!$C$27*SUMIF(Data!$G:$G,Neutral!$A7,Data!$DR:$DR)+'Rate History'!$C$28*SUMIF(Data!$G:$G,Neutral!$A7,Data!$DS:$DS)+'Rate History'!$C$29*SUMIF(Data!$G:$G,Neutral!$A7,Data!$DT:$DT)+'Rate History'!$C$30*SUMIF(Data!$G:$G,Neutral!$A7,Data!$DV:$DV)+'Rate History'!$C$31*SUMIF(Data!$G:$G,Neutral!$A7,Data!$DW:$DW))</f>
        <v>8281428.9418199472</v>
      </c>
      <c r="D7" s="102">
        <f t="shared" ref="D7:D63" si="0">C7-B7</f>
        <v>-15910.347754607908</v>
      </c>
      <c r="E7" s="104">
        <f t="shared" ref="E7:E63" si="1">IFERROR(D7/B7,"")</f>
        <v>-1.9175240639609556E-3</v>
      </c>
    </row>
    <row r="8" spans="1:6" x14ac:dyDescent="0.25">
      <c r="A8" s="97" t="s">
        <v>353</v>
      </c>
      <c r="B8" s="117">
        <f>$B$5*('Rate History'!$D$4*SUMIF(Data!$G:$G,Neutral!$A8,Data!$CU:$CU)+'Rate History'!$D$5*SUMIF(Data!$G:$G,Neutral!$A8,Data!$CV:$CV)+'Rate History'!$D$6*SUMIF(Data!$G:$G,Neutral!$A8,Data!$CW:$CW)+'Rate History'!$D$7*SUMIF(Data!$G:$G,Neutral!$A8,Data!$CX:$CX)+'Rate History'!$D$8*SUMIF(Data!$G:$G,Neutral!$A8,Data!$CY:$CY)+'Rate History'!$D$9*SUMIF(Data!$G:$G,Neutral!$A8,Data!$CZ:$CZ)+'Rate History'!$D$10*SUMIF(Data!$G:$G,Neutral!$A8,Data!$DA:$DA)+'Rate History'!$D$11*SUMIF(Data!$G:$G,Neutral!$A8,Data!$DB:$DB)+'Rate History'!$D$12*SUMIF(Data!$G:$G,Neutral!$A8,Data!$DC:$DC)+'Rate History'!$D$13*SUMIF(Data!$G:$G,Neutral!$A8,Data!$DD:$DD)+'Rate History'!$D$14*SUMIF(Data!$G:$G,Neutral!$A8,Data!$DE:$DE)+'Rate History'!$D$15*SUMIF(Data!$G:$G,Neutral!$A8,Data!$DF:$DF)+'Rate History'!$D$16*SUMIF(Data!$G:$G,Neutral!$A8,Data!$DG:$DG)+'Rate History'!$D$17*SUMIF(Data!$G:$G,Neutral!$A8,Data!$DH:$DH)+'Rate History'!$D$18*SUMIF(Data!$G:$G,Neutral!$A8,Data!$DI:$DI)+'Rate History'!$D$19*SUMIF(Data!$G:$G,Neutral!$A8,Data!$DJ:$DJ)+'Rate History'!$D$20*SUMIF(Data!$G:$G,Neutral!$A8,Data!$DK:$DK)+'Rate History'!$D$21*SUMIF(Data!$G:$G,Neutral!$A8,Data!$DL:$DL)+'Rate History'!$D$22*SUMIF(Data!$G:$G,Neutral!$A8,Data!$DM:$DM)+'Rate History'!$D$23*SUMIF(Data!$G:$G,Neutral!$A8,Data!$DN:$DN)+'Rate History'!$D$24*SUMIF(Data!$G:$G,Neutral!$A8,Data!$DO:$DO)+'Rate History'!$D$25*SUMIF(Data!$G:$G,Neutral!$A8,Data!$DP:$DP)+'Rate History'!$D$26*SUMIF(Data!$G:$G,Neutral!$A8,Data!$DQ:$DQ)+'Rate History'!$D$27*SUMIF(Data!$G:$G,Neutral!$A8,Data!$DR:$DR)+'Rate History'!$D$28*SUMIF(Data!$G:$G,Neutral!$A8,Data!$DS:$DS)+'Rate History'!$D$29*SUMIF(Data!$G:$G,Neutral!$A8,Data!$DT:$DT)+'Rate History'!$D$30*SUMIF(Data!$G:$G,Neutral!$A8,Data!$DV:$DV)+'Rate History'!$D$31*SUMIF(Data!$G:$G,Neutral!$A8,Data!$DW:$DW))</f>
        <v>16787843.911225535</v>
      </c>
      <c r="C8" s="117">
        <f>$C$5*('Rate History'!$C$4*SUMIF(Data!$G:$G,Neutral!$A8,Data!$CU:$CU)+'Rate History'!$C$5*SUMIF(Data!$G:$G,Neutral!$A8,Data!$CV:$CV)+'Rate History'!$C$6*SUMIF(Data!$G:$G,Neutral!$A8,Data!$CW:$CW)+'Rate History'!$C$7*SUMIF(Data!$G:$G,Neutral!$A8,Data!$CX:$CX)+'Rate History'!$C$8*SUMIF(Data!$G:$G,Neutral!$A8,Data!$CY:$CY)+'Rate History'!$C$9*SUMIF(Data!$G:$G,Neutral!$A8,Data!$CZ:$CZ)+'Rate History'!$C$10*SUMIF(Data!$G:$G,Neutral!$A8,Data!$DA:$DA)+'Rate History'!$C$11*SUMIF(Data!$G:$G,Neutral!$A8,Data!$DB:$DB)+'Rate History'!$C$12*SUMIF(Data!$G:$G,Neutral!$A8,Data!$DC:$DC)+'Rate History'!$C$13*SUMIF(Data!$G:$G,Neutral!$A8,Data!$DD:$DD)+'Rate History'!$C$14*SUMIF(Data!$G:$G,Neutral!$A8,Data!$DE:$DE)+'Rate History'!$C$15*SUMIF(Data!$G:$G,Neutral!$A8,Data!$DF:$DF)+'Rate History'!$C$16*SUMIF(Data!$G:$G,Neutral!$A8,Data!$DG:$DG)+'Rate History'!$C$17*SUMIF(Data!$G:$G,Neutral!$A8,Data!$DH:$DH)+'Rate History'!$C$18*SUMIF(Data!$G:$G,Neutral!$A8,Data!$DI:$DI)+'Rate History'!$C$19*SUMIF(Data!$G:$G,Neutral!$A8,Data!$DJ:$DJ)+'Rate History'!$C$20*SUMIF(Data!$G:$G,Neutral!$A8,Data!$DK:$DK)+'Rate History'!$C$21*SUMIF(Data!$G:$G,Neutral!$A8,Data!$DL:$DL)+'Rate History'!$C$22*SUMIF(Data!$G:$G,Neutral!$A8,Data!$DM:$DM)+'Rate History'!$C$23*SUMIF(Data!$G:$G,Neutral!$A8,Data!$DN:$DN)+'Rate History'!$C$24*SUMIF(Data!$G:$G,Neutral!$A8,Data!$DO:$DO)+'Rate History'!$C$25*SUMIF(Data!$G:$G,Neutral!$A8,Data!$DP:$DP)+'Rate History'!$C$26*SUMIF(Data!$G:$G,Neutral!$A8,Data!$DQ:$DQ)+'Rate History'!$C$27*SUMIF(Data!$G:$G,Neutral!$A8,Data!$DR:$DR)+'Rate History'!$C$28*SUMIF(Data!$G:$G,Neutral!$A8,Data!$DS:$DS)+'Rate History'!$C$29*SUMIF(Data!$G:$G,Neutral!$A8,Data!$DT:$DT)+'Rate History'!$C$30*SUMIF(Data!$G:$G,Neutral!$A8,Data!$DV:$DV)+'Rate History'!$C$31*SUMIF(Data!$G:$G,Neutral!$A8,Data!$DW:$DW))</f>
        <v>16800625.535574868</v>
      </c>
      <c r="D8" s="102">
        <f t="shared" si="0"/>
        <v>12781.624349333346</v>
      </c>
      <c r="E8" s="104">
        <f t="shared" si="1"/>
        <v>7.6136187689871543E-4</v>
      </c>
    </row>
    <row r="9" spans="1:6" x14ac:dyDescent="0.25">
      <c r="A9" s="97" t="s">
        <v>423</v>
      </c>
      <c r="B9" s="117">
        <f>$B$5*('Rate History'!$D$4*SUMIF(Data!$G:$G,Neutral!$A9,Data!$CU:$CU)+'Rate History'!$D$5*SUMIF(Data!$G:$G,Neutral!$A9,Data!$CV:$CV)+'Rate History'!$D$6*SUMIF(Data!$G:$G,Neutral!$A9,Data!$CW:$CW)+'Rate History'!$D$7*SUMIF(Data!$G:$G,Neutral!$A9,Data!$CX:$CX)+'Rate History'!$D$8*SUMIF(Data!$G:$G,Neutral!$A9,Data!$CY:$CY)+'Rate History'!$D$9*SUMIF(Data!$G:$G,Neutral!$A9,Data!$CZ:$CZ)+'Rate History'!$D$10*SUMIF(Data!$G:$G,Neutral!$A9,Data!$DA:$DA)+'Rate History'!$D$11*SUMIF(Data!$G:$G,Neutral!$A9,Data!$DB:$DB)+'Rate History'!$D$12*SUMIF(Data!$G:$G,Neutral!$A9,Data!$DC:$DC)+'Rate History'!$D$13*SUMIF(Data!$G:$G,Neutral!$A9,Data!$DD:$DD)+'Rate History'!$D$14*SUMIF(Data!$G:$G,Neutral!$A9,Data!$DE:$DE)+'Rate History'!$D$15*SUMIF(Data!$G:$G,Neutral!$A9,Data!$DF:$DF)+'Rate History'!$D$16*SUMIF(Data!$G:$G,Neutral!$A9,Data!$DG:$DG)+'Rate History'!$D$17*SUMIF(Data!$G:$G,Neutral!$A9,Data!$DH:$DH)+'Rate History'!$D$18*SUMIF(Data!$G:$G,Neutral!$A9,Data!$DI:$DI)+'Rate History'!$D$19*SUMIF(Data!$G:$G,Neutral!$A9,Data!$DJ:$DJ)+'Rate History'!$D$20*SUMIF(Data!$G:$G,Neutral!$A9,Data!$DK:$DK)+'Rate History'!$D$21*SUMIF(Data!$G:$G,Neutral!$A9,Data!$DL:$DL)+'Rate History'!$D$22*SUMIF(Data!$G:$G,Neutral!$A9,Data!$DM:$DM)+'Rate History'!$D$23*SUMIF(Data!$G:$G,Neutral!$A9,Data!$DN:$DN)+'Rate History'!$D$24*SUMIF(Data!$G:$G,Neutral!$A9,Data!$DO:$DO)+'Rate History'!$D$25*SUMIF(Data!$G:$G,Neutral!$A9,Data!$DP:$DP)+'Rate History'!$D$26*SUMIF(Data!$G:$G,Neutral!$A9,Data!$DQ:$DQ)+'Rate History'!$D$27*SUMIF(Data!$G:$G,Neutral!$A9,Data!$DR:$DR)+'Rate History'!$D$28*SUMIF(Data!$G:$G,Neutral!$A9,Data!$DS:$DS)+'Rate History'!$D$29*SUMIF(Data!$G:$G,Neutral!$A9,Data!$DT:$DT)+'Rate History'!$D$30*SUMIF(Data!$G:$G,Neutral!$A9,Data!$DV:$DV)+'Rate History'!$D$31*SUMIF(Data!$G:$G,Neutral!$A9,Data!$DW:$DW))</f>
        <v>7737302.4869744424</v>
      </c>
      <c r="C9" s="117">
        <f>$C$5*('Rate History'!$C$4*SUMIF(Data!$G:$G,Neutral!$A9,Data!$CU:$CU)+'Rate History'!$C$5*SUMIF(Data!$G:$G,Neutral!$A9,Data!$CV:$CV)+'Rate History'!$C$6*SUMIF(Data!$G:$G,Neutral!$A9,Data!$CW:$CW)+'Rate History'!$C$7*SUMIF(Data!$G:$G,Neutral!$A9,Data!$CX:$CX)+'Rate History'!$C$8*SUMIF(Data!$G:$G,Neutral!$A9,Data!$CY:$CY)+'Rate History'!$C$9*SUMIF(Data!$G:$G,Neutral!$A9,Data!$CZ:$CZ)+'Rate History'!$C$10*SUMIF(Data!$G:$G,Neutral!$A9,Data!$DA:$DA)+'Rate History'!$C$11*SUMIF(Data!$G:$G,Neutral!$A9,Data!$DB:$DB)+'Rate History'!$C$12*SUMIF(Data!$G:$G,Neutral!$A9,Data!$DC:$DC)+'Rate History'!$C$13*SUMIF(Data!$G:$G,Neutral!$A9,Data!$DD:$DD)+'Rate History'!$C$14*SUMIF(Data!$G:$G,Neutral!$A9,Data!$DE:$DE)+'Rate History'!$C$15*SUMIF(Data!$G:$G,Neutral!$A9,Data!$DF:$DF)+'Rate History'!$C$16*SUMIF(Data!$G:$G,Neutral!$A9,Data!$DG:$DG)+'Rate History'!$C$17*SUMIF(Data!$G:$G,Neutral!$A9,Data!$DH:$DH)+'Rate History'!$C$18*SUMIF(Data!$G:$G,Neutral!$A9,Data!$DI:$DI)+'Rate History'!$C$19*SUMIF(Data!$G:$G,Neutral!$A9,Data!$DJ:$DJ)+'Rate History'!$C$20*SUMIF(Data!$G:$G,Neutral!$A9,Data!$DK:$DK)+'Rate History'!$C$21*SUMIF(Data!$G:$G,Neutral!$A9,Data!$DL:$DL)+'Rate History'!$C$22*SUMIF(Data!$G:$G,Neutral!$A9,Data!$DM:$DM)+'Rate History'!$C$23*SUMIF(Data!$G:$G,Neutral!$A9,Data!$DN:$DN)+'Rate History'!$C$24*SUMIF(Data!$G:$G,Neutral!$A9,Data!$DO:$DO)+'Rate History'!$C$25*SUMIF(Data!$G:$G,Neutral!$A9,Data!$DP:$DP)+'Rate History'!$C$26*SUMIF(Data!$G:$G,Neutral!$A9,Data!$DQ:$DQ)+'Rate History'!$C$27*SUMIF(Data!$G:$G,Neutral!$A9,Data!$DR:$DR)+'Rate History'!$C$28*SUMIF(Data!$G:$G,Neutral!$A9,Data!$DS:$DS)+'Rate History'!$C$29*SUMIF(Data!$G:$G,Neutral!$A9,Data!$DT:$DT)+'Rate History'!$C$30*SUMIF(Data!$G:$G,Neutral!$A9,Data!$DV:$DV)+'Rate History'!$C$31*SUMIF(Data!$G:$G,Neutral!$A9,Data!$DW:$DW))</f>
        <v>7709531.4523213338</v>
      </c>
      <c r="D9" s="102">
        <f t="shared" si="0"/>
        <v>-27771.034653108567</v>
      </c>
      <c r="E9" s="104">
        <f t="shared" si="1"/>
        <v>-3.5892398804183265E-3</v>
      </c>
    </row>
    <row r="10" spans="1:6" x14ac:dyDescent="0.25">
      <c r="A10" s="97" t="s">
        <v>447</v>
      </c>
      <c r="B10" s="117">
        <f>$B$5*('Rate History'!$D$4*SUMIF(Data!$G:$G,Neutral!$A10,Data!$CU:$CU)+'Rate History'!$D$5*SUMIF(Data!$G:$G,Neutral!$A10,Data!$CV:$CV)+'Rate History'!$D$6*SUMIF(Data!$G:$G,Neutral!$A10,Data!$CW:$CW)+'Rate History'!$D$7*SUMIF(Data!$G:$G,Neutral!$A10,Data!$CX:$CX)+'Rate History'!$D$8*SUMIF(Data!$G:$G,Neutral!$A10,Data!$CY:$CY)+'Rate History'!$D$9*SUMIF(Data!$G:$G,Neutral!$A10,Data!$CZ:$CZ)+'Rate History'!$D$10*SUMIF(Data!$G:$G,Neutral!$A10,Data!$DA:$DA)+'Rate History'!$D$11*SUMIF(Data!$G:$G,Neutral!$A10,Data!$DB:$DB)+'Rate History'!$D$12*SUMIF(Data!$G:$G,Neutral!$A10,Data!$DC:$DC)+'Rate History'!$D$13*SUMIF(Data!$G:$G,Neutral!$A10,Data!$DD:$DD)+'Rate History'!$D$14*SUMIF(Data!$G:$G,Neutral!$A10,Data!$DE:$DE)+'Rate History'!$D$15*SUMIF(Data!$G:$G,Neutral!$A10,Data!$DF:$DF)+'Rate History'!$D$16*SUMIF(Data!$G:$G,Neutral!$A10,Data!$DG:$DG)+'Rate History'!$D$17*SUMIF(Data!$G:$G,Neutral!$A10,Data!$DH:$DH)+'Rate History'!$D$18*SUMIF(Data!$G:$G,Neutral!$A10,Data!$DI:$DI)+'Rate History'!$D$19*SUMIF(Data!$G:$G,Neutral!$A10,Data!$DJ:$DJ)+'Rate History'!$D$20*SUMIF(Data!$G:$G,Neutral!$A10,Data!$DK:$DK)+'Rate History'!$D$21*SUMIF(Data!$G:$G,Neutral!$A10,Data!$DL:$DL)+'Rate History'!$D$22*SUMIF(Data!$G:$G,Neutral!$A10,Data!$DM:$DM)+'Rate History'!$D$23*SUMIF(Data!$G:$G,Neutral!$A10,Data!$DN:$DN)+'Rate History'!$D$24*SUMIF(Data!$G:$G,Neutral!$A10,Data!$DO:$DO)+'Rate History'!$D$25*SUMIF(Data!$G:$G,Neutral!$A10,Data!$DP:$DP)+'Rate History'!$D$26*SUMIF(Data!$G:$G,Neutral!$A10,Data!$DQ:$DQ)+'Rate History'!$D$27*SUMIF(Data!$G:$G,Neutral!$A10,Data!$DR:$DR)+'Rate History'!$D$28*SUMIF(Data!$G:$G,Neutral!$A10,Data!$DS:$DS)+'Rate History'!$D$29*SUMIF(Data!$G:$G,Neutral!$A10,Data!$DT:$DT)+'Rate History'!$D$30*SUMIF(Data!$G:$G,Neutral!$A10,Data!$DV:$DV)+'Rate History'!$D$31*SUMIF(Data!$G:$G,Neutral!$A10,Data!$DW:$DW))</f>
        <v>44300832.818450511</v>
      </c>
      <c r="C10" s="117">
        <f>$C$5*('Rate History'!$C$4*SUMIF(Data!$G:$G,Neutral!$A10,Data!$CU:$CU)+'Rate History'!$C$5*SUMIF(Data!$G:$G,Neutral!$A10,Data!$CV:$CV)+'Rate History'!$C$6*SUMIF(Data!$G:$G,Neutral!$A10,Data!$CW:$CW)+'Rate History'!$C$7*SUMIF(Data!$G:$G,Neutral!$A10,Data!$CX:$CX)+'Rate History'!$C$8*SUMIF(Data!$G:$G,Neutral!$A10,Data!$CY:$CY)+'Rate History'!$C$9*SUMIF(Data!$G:$G,Neutral!$A10,Data!$CZ:$CZ)+'Rate History'!$C$10*SUMIF(Data!$G:$G,Neutral!$A10,Data!$DA:$DA)+'Rate History'!$C$11*SUMIF(Data!$G:$G,Neutral!$A10,Data!$DB:$DB)+'Rate History'!$C$12*SUMIF(Data!$G:$G,Neutral!$A10,Data!$DC:$DC)+'Rate History'!$C$13*SUMIF(Data!$G:$G,Neutral!$A10,Data!$DD:$DD)+'Rate History'!$C$14*SUMIF(Data!$G:$G,Neutral!$A10,Data!$DE:$DE)+'Rate History'!$C$15*SUMIF(Data!$G:$G,Neutral!$A10,Data!$DF:$DF)+'Rate History'!$C$16*SUMIF(Data!$G:$G,Neutral!$A10,Data!$DG:$DG)+'Rate History'!$C$17*SUMIF(Data!$G:$G,Neutral!$A10,Data!$DH:$DH)+'Rate History'!$C$18*SUMIF(Data!$G:$G,Neutral!$A10,Data!$DI:$DI)+'Rate History'!$C$19*SUMIF(Data!$G:$G,Neutral!$A10,Data!$DJ:$DJ)+'Rate History'!$C$20*SUMIF(Data!$G:$G,Neutral!$A10,Data!$DK:$DK)+'Rate History'!$C$21*SUMIF(Data!$G:$G,Neutral!$A10,Data!$DL:$DL)+'Rate History'!$C$22*SUMIF(Data!$G:$G,Neutral!$A10,Data!$DM:$DM)+'Rate History'!$C$23*SUMIF(Data!$G:$G,Neutral!$A10,Data!$DN:$DN)+'Rate History'!$C$24*SUMIF(Data!$G:$G,Neutral!$A10,Data!$DO:$DO)+'Rate History'!$C$25*SUMIF(Data!$G:$G,Neutral!$A10,Data!$DP:$DP)+'Rate History'!$C$26*SUMIF(Data!$G:$G,Neutral!$A10,Data!$DQ:$DQ)+'Rate History'!$C$27*SUMIF(Data!$G:$G,Neutral!$A10,Data!$DR:$DR)+'Rate History'!$C$28*SUMIF(Data!$G:$G,Neutral!$A10,Data!$DS:$DS)+'Rate History'!$C$29*SUMIF(Data!$G:$G,Neutral!$A10,Data!$DT:$DT)+'Rate History'!$C$30*SUMIF(Data!$G:$G,Neutral!$A10,Data!$DV:$DV)+'Rate History'!$C$31*SUMIF(Data!$G:$G,Neutral!$A10,Data!$DW:$DW))</f>
        <v>44307018.15200638</v>
      </c>
      <c r="D10" s="102">
        <f t="shared" si="0"/>
        <v>6185.3335558697581</v>
      </c>
      <c r="E10" s="104">
        <f t="shared" si="1"/>
        <v>1.3962115748970019E-4</v>
      </c>
    </row>
    <row r="11" spans="1:6" x14ac:dyDescent="0.25">
      <c r="A11" s="97" t="s">
        <v>357</v>
      </c>
      <c r="B11" s="117">
        <f>$B$5*('Rate History'!$D$4*SUMIF(Data!$G:$G,Neutral!$A11,Data!$CU:$CU)+'Rate History'!$D$5*SUMIF(Data!$G:$G,Neutral!$A11,Data!$CV:$CV)+'Rate History'!$D$6*SUMIF(Data!$G:$G,Neutral!$A11,Data!$CW:$CW)+'Rate History'!$D$7*SUMIF(Data!$G:$G,Neutral!$A11,Data!$CX:$CX)+'Rate History'!$D$8*SUMIF(Data!$G:$G,Neutral!$A11,Data!$CY:$CY)+'Rate History'!$D$9*SUMIF(Data!$G:$G,Neutral!$A11,Data!$CZ:$CZ)+'Rate History'!$D$10*SUMIF(Data!$G:$G,Neutral!$A11,Data!$DA:$DA)+'Rate History'!$D$11*SUMIF(Data!$G:$G,Neutral!$A11,Data!$DB:$DB)+'Rate History'!$D$12*SUMIF(Data!$G:$G,Neutral!$A11,Data!$DC:$DC)+'Rate History'!$D$13*SUMIF(Data!$G:$G,Neutral!$A11,Data!$DD:$DD)+'Rate History'!$D$14*SUMIF(Data!$G:$G,Neutral!$A11,Data!$DE:$DE)+'Rate History'!$D$15*SUMIF(Data!$G:$G,Neutral!$A11,Data!$DF:$DF)+'Rate History'!$D$16*SUMIF(Data!$G:$G,Neutral!$A11,Data!$DG:$DG)+'Rate History'!$D$17*SUMIF(Data!$G:$G,Neutral!$A11,Data!$DH:$DH)+'Rate History'!$D$18*SUMIF(Data!$G:$G,Neutral!$A11,Data!$DI:$DI)+'Rate History'!$D$19*SUMIF(Data!$G:$G,Neutral!$A11,Data!$DJ:$DJ)+'Rate History'!$D$20*SUMIF(Data!$G:$G,Neutral!$A11,Data!$DK:$DK)+'Rate History'!$D$21*SUMIF(Data!$G:$G,Neutral!$A11,Data!$DL:$DL)+'Rate History'!$D$22*SUMIF(Data!$G:$G,Neutral!$A11,Data!$DM:$DM)+'Rate History'!$D$23*SUMIF(Data!$G:$G,Neutral!$A11,Data!$DN:$DN)+'Rate History'!$D$24*SUMIF(Data!$G:$G,Neutral!$A11,Data!$DO:$DO)+'Rate History'!$D$25*SUMIF(Data!$G:$G,Neutral!$A11,Data!$DP:$DP)+'Rate History'!$D$26*SUMIF(Data!$G:$G,Neutral!$A11,Data!$DQ:$DQ)+'Rate History'!$D$27*SUMIF(Data!$G:$G,Neutral!$A11,Data!$DR:$DR)+'Rate History'!$D$28*SUMIF(Data!$G:$G,Neutral!$A11,Data!$DS:$DS)+'Rate History'!$D$29*SUMIF(Data!$G:$G,Neutral!$A11,Data!$DT:$DT)+'Rate History'!$D$30*SUMIF(Data!$G:$G,Neutral!$A11,Data!$DV:$DV)+'Rate History'!$D$31*SUMIF(Data!$G:$G,Neutral!$A11,Data!$DW:$DW))</f>
        <v>21792601.908310425</v>
      </c>
      <c r="C11" s="117">
        <f>$C$5*('Rate History'!$C$4*SUMIF(Data!$G:$G,Neutral!$A11,Data!$CU:$CU)+'Rate History'!$C$5*SUMIF(Data!$G:$G,Neutral!$A11,Data!$CV:$CV)+'Rate History'!$C$6*SUMIF(Data!$G:$G,Neutral!$A11,Data!$CW:$CW)+'Rate History'!$C$7*SUMIF(Data!$G:$G,Neutral!$A11,Data!$CX:$CX)+'Rate History'!$C$8*SUMIF(Data!$G:$G,Neutral!$A11,Data!$CY:$CY)+'Rate History'!$C$9*SUMIF(Data!$G:$G,Neutral!$A11,Data!$CZ:$CZ)+'Rate History'!$C$10*SUMIF(Data!$G:$G,Neutral!$A11,Data!$DA:$DA)+'Rate History'!$C$11*SUMIF(Data!$G:$G,Neutral!$A11,Data!$DB:$DB)+'Rate History'!$C$12*SUMIF(Data!$G:$G,Neutral!$A11,Data!$DC:$DC)+'Rate History'!$C$13*SUMIF(Data!$G:$G,Neutral!$A11,Data!$DD:$DD)+'Rate History'!$C$14*SUMIF(Data!$G:$G,Neutral!$A11,Data!$DE:$DE)+'Rate History'!$C$15*SUMIF(Data!$G:$G,Neutral!$A11,Data!$DF:$DF)+'Rate History'!$C$16*SUMIF(Data!$G:$G,Neutral!$A11,Data!$DG:$DG)+'Rate History'!$C$17*SUMIF(Data!$G:$G,Neutral!$A11,Data!$DH:$DH)+'Rate History'!$C$18*SUMIF(Data!$G:$G,Neutral!$A11,Data!$DI:$DI)+'Rate History'!$C$19*SUMIF(Data!$G:$G,Neutral!$A11,Data!$DJ:$DJ)+'Rate History'!$C$20*SUMIF(Data!$G:$G,Neutral!$A11,Data!$DK:$DK)+'Rate History'!$C$21*SUMIF(Data!$G:$G,Neutral!$A11,Data!$DL:$DL)+'Rate History'!$C$22*SUMIF(Data!$G:$G,Neutral!$A11,Data!$DM:$DM)+'Rate History'!$C$23*SUMIF(Data!$G:$G,Neutral!$A11,Data!$DN:$DN)+'Rate History'!$C$24*SUMIF(Data!$G:$G,Neutral!$A11,Data!$DO:$DO)+'Rate History'!$C$25*SUMIF(Data!$G:$G,Neutral!$A11,Data!$DP:$DP)+'Rate History'!$C$26*SUMIF(Data!$G:$G,Neutral!$A11,Data!$DQ:$DQ)+'Rate History'!$C$27*SUMIF(Data!$G:$G,Neutral!$A11,Data!$DR:$DR)+'Rate History'!$C$28*SUMIF(Data!$G:$G,Neutral!$A11,Data!$DS:$DS)+'Rate History'!$C$29*SUMIF(Data!$G:$G,Neutral!$A11,Data!$DT:$DT)+'Rate History'!$C$30*SUMIF(Data!$G:$G,Neutral!$A11,Data!$DV:$DV)+'Rate History'!$C$31*SUMIF(Data!$G:$G,Neutral!$A11,Data!$DW:$DW))</f>
        <v>21864674.992365319</v>
      </c>
      <c r="D11" s="102">
        <f t="shared" si="0"/>
        <v>72073.084054894745</v>
      </c>
      <c r="E11" s="104">
        <f t="shared" si="1"/>
        <v>3.3072271203839266E-3</v>
      </c>
    </row>
    <row r="12" spans="1:6" x14ac:dyDescent="0.25">
      <c r="A12" s="97" t="s">
        <v>429</v>
      </c>
      <c r="B12" s="117">
        <f>$B$5*('Rate History'!$D$4*SUMIF(Data!$G:$G,Neutral!$A12,Data!$CU:$CU)+'Rate History'!$D$5*SUMIF(Data!$G:$G,Neutral!$A12,Data!$CV:$CV)+'Rate History'!$D$6*SUMIF(Data!$G:$G,Neutral!$A12,Data!$CW:$CW)+'Rate History'!$D$7*SUMIF(Data!$G:$G,Neutral!$A12,Data!$CX:$CX)+'Rate History'!$D$8*SUMIF(Data!$G:$G,Neutral!$A12,Data!$CY:$CY)+'Rate History'!$D$9*SUMIF(Data!$G:$G,Neutral!$A12,Data!$CZ:$CZ)+'Rate History'!$D$10*SUMIF(Data!$G:$G,Neutral!$A12,Data!$DA:$DA)+'Rate History'!$D$11*SUMIF(Data!$G:$G,Neutral!$A12,Data!$DB:$DB)+'Rate History'!$D$12*SUMIF(Data!$G:$G,Neutral!$A12,Data!$DC:$DC)+'Rate History'!$D$13*SUMIF(Data!$G:$G,Neutral!$A12,Data!$DD:$DD)+'Rate History'!$D$14*SUMIF(Data!$G:$G,Neutral!$A12,Data!$DE:$DE)+'Rate History'!$D$15*SUMIF(Data!$G:$G,Neutral!$A12,Data!$DF:$DF)+'Rate History'!$D$16*SUMIF(Data!$G:$G,Neutral!$A12,Data!$DG:$DG)+'Rate History'!$D$17*SUMIF(Data!$G:$G,Neutral!$A12,Data!$DH:$DH)+'Rate History'!$D$18*SUMIF(Data!$G:$G,Neutral!$A12,Data!$DI:$DI)+'Rate History'!$D$19*SUMIF(Data!$G:$G,Neutral!$A12,Data!$DJ:$DJ)+'Rate History'!$D$20*SUMIF(Data!$G:$G,Neutral!$A12,Data!$DK:$DK)+'Rate History'!$D$21*SUMIF(Data!$G:$G,Neutral!$A12,Data!$DL:$DL)+'Rate History'!$D$22*SUMIF(Data!$G:$G,Neutral!$A12,Data!$DM:$DM)+'Rate History'!$D$23*SUMIF(Data!$G:$G,Neutral!$A12,Data!$DN:$DN)+'Rate History'!$D$24*SUMIF(Data!$G:$G,Neutral!$A12,Data!$DO:$DO)+'Rate History'!$D$25*SUMIF(Data!$G:$G,Neutral!$A12,Data!$DP:$DP)+'Rate History'!$D$26*SUMIF(Data!$G:$G,Neutral!$A12,Data!$DQ:$DQ)+'Rate History'!$D$27*SUMIF(Data!$G:$G,Neutral!$A12,Data!$DR:$DR)+'Rate History'!$D$28*SUMIF(Data!$G:$G,Neutral!$A12,Data!$DS:$DS)+'Rate History'!$D$29*SUMIF(Data!$G:$G,Neutral!$A12,Data!$DT:$DT)+'Rate History'!$D$30*SUMIF(Data!$G:$G,Neutral!$A12,Data!$DV:$DV)+'Rate History'!$D$31*SUMIF(Data!$G:$G,Neutral!$A12,Data!$DW:$DW))</f>
        <v>5196085.9446707284</v>
      </c>
      <c r="C12" s="117">
        <f>$C$5*('Rate History'!$C$4*SUMIF(Data!$G:$G,Neutral!$A12,Data!$CU:$CU)+'Rate History'!$C$5*SUMIF(Data!$G:$G,Neutral!$A12,Data!$CV:$CV)+'Rate History'!$C$6*SUMIF(Data!$G:$G,Neutral!$A12,Data!$CW:$CW)+'Rate History'!$C$7*SUMIF(Data!$G:$G,Neutral!$A12,Data!$CX:$CX)+'Rate History'!$C$8*SUMIF(Data!$G:$G,Neutral!$A12,Data!$CY:$CY)+'Rate History'!$C$9*SUMIF(Data!$G:$G,Neutral!$A12,Data!$CZ:$CZ)+'Rate History'!$C$10*SUMIF(Data!$G:$G,Neutral!$A12,Data!$DA:$DA)+'Rate History'!$C$11*SUMIF(Data!$G:$G,Neutral!$A12,Data!$DB:$DB)+'Rate History'!$C$12*SUMIF(Data!$G:$G,Neutral!$A12,Data!$DC:$DC)+'Rate History'!$C$13*SUMIF(Data!$G:$G,Neutral!$A12,Data!$DD:$DD)+'Rate History'!$C$14*SUMIF(Data!$G:$G,Neutral!$A12,Data!$DE:$DE)+'Rate History'!$C$15*SUMIF(Data!$G:$G,Neutral!$A12,Data!$DF:$DF)+'Rate History'!$C$16*SUMIF(Data!$G:$G,Neutral!$A12,Data!$DG:$DG)+'Rate History'!$C$17*SUMIF(Data!$G:$G,Neutral!$A12,Data!$DH:$DH)+'Rate History'!$C$18*SUMIF(Data!$G:$G,Neutral!$A12,Data!$DI:$DI)+'Rate History'!$C$19*SUMIF(Data!$G:$G,Neutral!$A12,Data!$DJ:$DJ)+'Rate History'!$C$20*SUMIF(Data!$G:$G,Neutral!$A12,Data!$DK:$DK)+'Rate History'!$C$21*SUMIF(Data!$G:$G,Neutral!$A12,Data!$DL:$DL)+'Rate History'!$C$22*SUMIF(Data!$G:$G,Neutral!$A12,Data!$DM:$DM)+'Rate History'!$C$23*SUMIF(Data!$G:$G,Neutral!$A12,Data!$DN:$DN)+'Rate History'!$C$24*SUMIF(Data!$G:$G,Neutral!$A12,Data!$DO:$DO)+'Rate History'!$C$25*SUMIF(Data!$G:$G,Neutral!$A12,Data!$DP:$DP)+'Rate History'!$C$26*SUMIF(Data!$G:$G,Neutral!$A12,Data!$DQ:$DQ)+'Rate History'!$C$27*SUMIF(Data!$G:$G,Neutral!$A12,Data!$DR:$DR)+'Rate History'!$C$28*SUMIF(Data!$G:$G,Neutral!$A12,Data!$DS:$DS)+'Rate History'!$C$29*SUMIF(Data!$G:$G,Neutral!$A12,Data!$DT:$DT)+'Rate History'!$C$30*SUMIF(Data!$G:$G,Neutral!$A12,Data!$DV:$DV)+'Rate History'!$C$31*SUMIF(Data!$G:$G,Neutral!$A12,Data!$DW:$DW))</f>
        <v>5159650.3593460312</v>
      </c>
      <c r="D12" s="102">
        <f t="shared" si="0"/>
        <v>-36435.585324697196</v>
      </c>
      <c r="E12" s="104">
        <f t="shared" si="1"/>
        <v>-7.0121213761036218E-3</v>
      </c>
    </row>
    <row r="13" spans="1:6" x14ac:dyDescent="0.25">
      <c r="A13" s="97" t="s">
        <v>421</v>
      </c>
      <c r="B13" s="117">
        <f>$B$5*('Rate History'!$D$4*SUMIF(Data!$G:$G,Neutral!$A13,Data!$CU:$CU)+'Rate History'!$D$5*SUMIF(Data!$G:$G,Neutral!$A13,Data!$CV:$CV)+'Rate History'!$D$6*SUMIF(Data!$G:$G,Neutral!$A13,Data!$CW:$CW)+'Rate History'!$D$7*SUMIF(Data!$G:$G,Neutral!$A13,Data!$CX:$CX)+'Rate History'!$D$8*SUMIF(Data!$G:$G,Neutral!$A13,Data!$CY:$CY)+'Rate History'!$D$9*SUMIF(Data!$G:$G,Neutral!$A13,Data!$CZ:$CZ)+'Rate History'!$D$10*SUMIF(Data!$G:$G,Neutral!$A13,Data!$DA:$DA)+'Rate History'!$D$11*SUMIF(Data!$G:$G,Neutral!$A13,Data!$DB:$DB)+'Rate History'!$D$12*SUMIF(Data!$G:$G,Neutral!$A13,Data!$DC:$DC)+'Rate History'!$D$13*SUMIF(Data!$G:$G,Neutral!$A13,Data!$DD:$DD)+'Rate History'!$D$14*SUMIF(Data!$G:$G,Neutral!$A13,Data!$DE:$DE)+'Rate History'!$D$15*SUMIF(Data!$G:$G,Neutral!$A13,Data!$DF:$DF)+'Rate History'!$D$16*SUMIF(Data!$G:$G,Neutral!$A13,Data!$DG:$DG)+'Rate History'!$D$17*SUMIF(Data!$G:$G,Neutral!$A13,Data!$DH:$DH)+'Rate History'!$D$18*SUMIF(Data!$G:$G,Neutral!$A13,Data!$DI:$DI)+'Rate History'!$D$19*SUMIF(Data!$G:$G,Neutral!$A13,Data!$DJ:$DJ)+'Rate History'!$D$20*SUMIF(Data!$G:$G,Neutral!$A13,Data!$DK:$DK)+'Rate History'!$D$21*SUMIF(Data!$G:$G,Neutral!$A13,Data!$DL:$DL)+'Rate History'!$D$22*SUMIF(Data!$G:$G,Neutral!$A13,Data!$DM:$DM)+'Rate History'!$D$23*SUMIF(Data!$G:$G,Neutral!$A13,Data!$DN:$DN)+'Rate History'!$D$24*SUMIF(Data!$G:$G,Neutral!$A13,Data!$DO:$DO)+'Rate History'!$D$25*SUMIF(Data!$G:$G,Neutral!$A13,Data!$DP:$DP)+'Rate History'!$D$26*SUMIF(Data!$G:$G,Neutral!$A13,Data!$DQ:$DQ)+'Rate History'!$D$27*SUMIF(Data!$G:$G,Neutral!$A13,Data!$DR:$DR)+'Rate History'!$D$28*SUMIF(Data!$G:$G,Neutral!$A13,Data!$DS:$DS)+'Rate History'!$D$29*SUMIF(Data!$G:$G,Neutral!$A13,Data!$DT:$DT)+'Rate History'!$D$30*SUMIF(Data!$G:$G,Neutral!$A13,Data!$DV:$DV)+'Rate History'!$D$31*SUMIF(Data!$G:$G,Neutral!$A13,Data!$DW:$DW))</f>
        <v>20369866.78791517</v>
      </c>
      <c r="C13" s="117">
        <f>$C$5*('Rate History'!$C$4*SUMIF(Data!$G:$G,Neutral!$A13,Data!$CU:$CU)+'Rate History'!$C$5*SUMIF(Data!$G:$G,Neutral!$A13,Data!$CV:$CV)+'Rate History'!$C$6*SUMIF(Data!$G:$G,Neutral!$A13,Data!$CW:$CW)+'Rate History'!$C$7*SUMIF(Data!$G:$G,Neutral!$A13,Data!$CX:$CX)+'Rate History'!$C$8*SUMIF(Data!$G:$G,Neutral!$A13,Data!$CY:$CY)+'Rate History'!$C$9*SUMIF(Data!$G:$G,Neutral!$A13,Data!$CZ:$CZ)+'Rate History'!$C$10*SUMIF(Data!$G:$G,Neutral!$A13,Data!$DA:$DA)+'Rate History'!$C$11*SUMIF(Data!$G:$G,Neutral!$A13,Data!$DB:$DB)+'Rate History'!$C$12*SUMIF(Data!$G:$G,Neutral!$A13,Data!$DC:$DC)+'Rate History'!$C$13*SUMIF(Data!$G:$G,Neutral!$A13,Data!$DD:$DD)+'Rate History'!$C$14*SUMIF(Data!$G:$G,Neutral!$A13,Data!$DE:$DE)+'Rate History'!$C$15*SUMIF(Data!$G:$G,Neutral!$A13,Data!$DF:$DF)+'Rate History'!$C$16*SUMIF(Data!$G:$G,Neutral!$A13,Data!$DG:$DG)+'Rate History'!$C$17*SUMIF(Data!$G:$G,Neutral!$A13,Data!$DH:$DH)+'Rate History'!$C$18*SUMIF(Data!$G:$G,Neutral!$A13,Data!$DI:$DI)+'Rate History'!$C$19*SUMIF(Data!$G:$G,Neutral!$A13,Data!$DJ:$DJ)+'Rate History'!$C$20*SUMIF(Data!$G:$G,Neutral!$A13,Data!$DK:$DK)+'Rate History'!$C$21*SUMIF(Data!$G:$G,Neutral!$A13,Data!$DL:$DL)+'Rate History'!$C$22*SUMIF(Data!$G:$G,Neutral!$A13,Data!$DM:$DM)+'Rate History'!$C$23*SUMIF(Data!$G:$G,Neutral!$A13,Data!$DN:$DN)+'Rate History'!$C$24*SUMIF(Data!$G:$G,Neutral!$A13,Data!$DO:$DO)+'Rate History'!$C$25*SUMIF(Data!$G:$G,Neutral!$A13,Data!$DP:$DP)+'Rate History'!$C$26*SUMIF(Data!$G:$G,Neutral!$A13,Data!$DQ:$DQ)+'Rate History'!$C$27*SUMIF(Data!$G:$G,Neutral!$A13,Data!$DR:$DR)+'Rate History'!$C$28*SUMIF(Data!$G:$G,Neutral!$A13,Data!$DS:$DS)+'Rate History'!$C$29*SUMIF(Data!$G:$G,Neutral!$A13,Data!$DT:$DT)+'Rate History'!$C$30*SUMIF(Data!$G:$G,Neutral!$A13,Data!$DV:$DV)+'Rate History'!$C$31*SUMIF(Data!$G:$G,Neutral!$A13,Data!$DW:$DW))</f>
        <v>20347586.287918475</v>
      </c>
      <c r="D13" s="102">
        <f t="shared" si="0"/>
        <v>-22280.499996695668</v>
      </c>
      <c r="E13" s="104">
        <f t="shared" si="1"/>
        <v>-1.0937970399450044E-3</v>
      </c>
    </row>
    <row r="14" spans="1:6" x14ac:dyDescent="0.25">
      <c r="A14" s="97" t="s">
        <v>359</v>
      </c>
      <c r="B14" s="117">
        <f>$B$5*('Rate History'!$D$4*SUMIF(Data!$G:$G,Neutral!$A14,Data!$CU:$CU)+'Rate History'!$D$5*SUMIF(Data!$G:$G,Neutral!$A14,Data!$CV:$CV)+'Rate History'!$D$6*SUMIF(Data!$G:$G,Neutral!$A14,Data!$CW:$CW)+'Rate History'!$D$7*SUMIF(Data!$G:$G,Neutral!$A14,Data!$CX:$CX)+'Rate History'!$D$8*SUMIF(Data!$G:$G,Neutral!$A14,Data!$CY:$CY)+'Rate History'!$D$9*SUMIF(Data!$G:$G,Neutral!$A14,Data!$CZ:$CZ)+'Rate History'!$D$10*SUMIF(Data!$G:$G,Neutral!$A14,Data!$DA:$DA)+'Rate History'!$D$11*SUMIF(Data!$G:$G,Neutral!$A14,Data!$DB:$DB)+'Rate History'!$D$12*SUMIF(Data!$G:$G,Neutral!$A14,Data!$DC:$DC)+'Rate History'!$D$13*SUMIF(Data!$G:$G,Neutral!$A14,Data!$DD:$DD)+'Rate History'!$D$14*SUMIF(Data!$G:$G,Neutral!$A14,Data!$DE:$DE)+'Rate History'!$D$15*SUMIF(Data!$G:$G,Neutral!$A14,Data!$DF:$DF)+'Rate History'!$D$16*SUMIF(Data!$G:$G,Neutral!$A14,Data!$DG:$DG)+'Rate History'!$D$17*SUMIF(Data!$G:$G,Neutral!$A14,Data!$DH:$DH)+'Rate History'!$D$18*SUMIF(Data!$G:$G,Neutral!$A14,Data!$DI:$DI)+'Rate History'!$D$19*SUMIF(Data!$G:$G,Neutral!$A14,Data!$DJ:$DJ)+'Rate History'!$D$20*SUMIF(Data!$G:$G,Neutral!$A14,Data!$DK:$DK)+'Rate History'!$D$21*SUMIF(Data!$G:$G,Neutral!$A14,Data!$DL:$DL)+'Rate History'!$D$22*SUMIF(Data!$G:$G,Neutral!$A14,Data!$DM:$DM)+'Rate History'!$D$23*SUMIF(Data!$G:$G,Neutral!$A14,Data!$DN:$DN)+'Rate History'!$D$24*SUMIF(Data!$G:$G,Neutral!$A14,Data!$DO:$DO)+'Rate History'!$D$25*SUMIF(Data!$G:$G,Neutral!$A14,Data!$DP:$DP)+'Rate History'!$D$26*SUMIF(Data!$G:$G,Neutral!$A14,Data!$DQ:$DQ)+'Rate History'!$D$27*SUMIF(Data!$G:$G,Neutral!$A14,Data!$DR:$DR)+'Rate History'!$D$28*SUMIF(Data!$G:$G,Neutral!$A14,Data!$DS:$DS)+'Rate History'!$D$29*SUMIF(Data!$G:$G,Neutral!$A14,Data!$DT:$DT)+'Rate History'!$D$30*SUMIF(Data!$G:$G,Neutral!$A14,Data!$DV:$DV)+'Rate History'!$D$31*SUMIF(Data!$G:$G,Neutral!$A14,Data!$DW:$DW))</f>
        <v>5268484.6928507648</v>
      </c>
      <c r="C14" s="117">
        <f>$C$5*('Rate History'!$C$4*SUMIF(Data!$G:$G,Neutral!$A14,Data!$CU:$CU)+'Rate History'!$C$5*SUMIF(Data!$G:$G,Neutral!$A14,Data!$CV:$CV)+'Rate History'!$C$6*SUMIF(Data!$G:$G,Neutral!$A14,Data!$CW:$CW)+'Rate History'!$C$7*SUMIF(Data!$G:$G,Neutral!$A14,Data!$CX:$CX)+'Rate History'!$C$8*SUMIF(Data!$G:$G,Neutral!$A14,Data!$CY:$CY)+'Rate History'!$C$9*SUMIF(Data!$G:$G,Neutral!$A14,Data!$CZ:$CZ)+'Rate History'!$C$10*SUMIF(Data!$G:$G,Neutral!$A14,Data!$DA:$DA)+'Rate History'!$C$11*SUMIF(Data!$G:$G,Neutral!$A14,Data!$DB:$DB)+'Rate History'!$C$12*SUMIF(Data!$G:$G,Neutral!$A14,Data!$DC:$DC)+'Rate History'!$C$13*SUMIF(Data!$G:$G,Neutral!$A14,Data!$DD:$DD)+'Rate History'!$C$14*SUMIF(Data!$G:$G,Neutral!$A14,Data!$DE:$DE)+'Rate History'!$C$15*SUMIF(Data!$G:$G,Neutral!$A14,Data!$DF:$DF)+'Rate History'!$C$16*SUMIF(Data!$G:$G,Neutral!$A14,Data!$DG:$DG)+'Rate History'!$C$17*SUMIF(Data!$G:$G,Neutral!$A14,Data!$DH:$DH)+'Rate History'!$C$18*SUMIF(Data!$G:$G,Neutral!$A14,Data!$DI:$DI)+'Rate History'!$C$19*SUMIF(Data!$G:$G,Neutral!$A14,Data!$DJ:$DJ)+'Rate History'!$C$20*SUMIF(Data!$G:$G,Neutral!$A14,Data!$DK:$DK)+'Rate History'!$C$21*SUMIF(Data!$G:$G,Neutral!$A14,Data!$DL:$DL)+'Rate History'!$C$22*SUMIF(Data!$G:$G,Neutral!$A14,Data!$DM:$DM)+'Rate History'!$C$23*SUMIF(Data!$G:$G,Neutral!$A14,Data!$DN:$DN)+'Rate History'!$C$24*SUMIF(Data!$G:$G,Neutral!$A14,Data!$DO:$DO)+'Rate History'!$C$25*SUMIF(Data!$G:$G,Neutral!$A14,Data!$DP:$DP)+'Rate History'!$C$26*SUMIF(Data!$G:$G,Neutral!$A14,Data!$DQ:$DQ)+'Rate History'!$C$27*SUMIF(Data!$G:$G,Neutral!$A14,Data!$DR:$DR)+'Rate History'!$C$28*SUMIF(Data!$G:$G,Neutral!$A14,Data!$DS:$DS)+'Rate History'!$C$29*SUMIF(Data!$G:$G,Neutral!$A14,Data!$DT:$DT)+'Rate History'!$C$30*SUMIF(Data!$G:$G,Neutral!$A14,Data!$DV:$DV)+'Rate History'!$C$31*SUMIF(Data!$G:$G,Neutral!$A14,Data!$DW:$DW))</f>
        <v>5265243.4226093022</v>
      </c>
      <c r="D14" s="102">
        <f t="shared" si="0"/>
        <v>-3241.2702414626256</v>
      </c>
      <c r="E14" s="104">
        <f t="shared" si="1"/>
        <v>-6.1521868818580202E-4</v>
      </c>
    </row>
    <row r="15" spans="1:6" x14ac:dyDescent="0.25">
      <c r="A15" s="97" t="s">
        <v>361</v>
      </c>
      <c r="B15" s="117">
        <f>$B$5*('Rate History'!$D$4*SUMIF(Data!$G:$G,Neutral!$A15,Data!$CU:$CU)+'Rate History'!$D$5*SUMIF(Data!$G:$G,Neutral!$A15,Data!$CV:$CV)+'Rate History'!$D$6*SUMIF(Data!$G:$G,Neutral!$A15,Data!$CW:$CW)+'Rate History'!$D$7*SUMIF(Data!$G:$G,Neutral!$A15,Data!$CX:$CX)+'Rate History'!$D$8*SUMIF(Data!$G:$G,Neutral!$A15,Data!$CY:$CY)+'Rate History'!$D$9*SUMIF(Data!$G:$G,Neutral!$A15,Data!$CZ:$CZ)+'Rate History'!$D$10*SUMIF(Data!$G:$G,Neutral!$A15,Data!$DA:$DA)+'Rate History'!$D$11*SUMIF(Data!$G:$G,Neutral!$A15,Data!$DB:$DB)+'Rate History'!$D$12*SUMIF(Data!$G:$G,Neutral!$A15,Data!$DC:$DC)+'Rate History'!$D$13*SUMIF(Data!$G:$G,Neutral!$A15,Data!$DD:$DD)+'Rate History'!$D$14*SUMIF(Data!$G:$G,Neutral!$A15,Data!$DE:$DE)+'Rate History'!$D$15*SUMIF(Data!$G:$G,Neutral!$A15,Data!$DF:$DF)+'Rate History'!$D$16*SUMIF(Data!$G:$G,Neutral!$A15,Data!$DG:$DG)+'Rate History'!$D$17*SUMIF(Data!$G:$G,Neutral!$A15,Data!$DH:$DH)+'Rate History'!$D$18*SUMIF(Data!$G:$G,Neutral!$A15,Data!$DI:$DI)+'Rate History'!$D$19*SUMIF(Data!$G:$G,Neutral!$A15,Data!$DJ:$DJ)+'Rate History'!$D$20*SUMIF(Data!$G:$G,Neutral!$A15,Data!$DK:$DK)+'Rate History'!$D$21*SUMIF(Data!$G:$G,Neutral!$A15,Data!$DL:$DL)+'Rate History'!$D$22*SUMIF(Data!$G:$G,Neutral!$A15,Data!$DM:$DM)+'Rate History'!$D$23*SUMIF(Data!$G:$G,Neutral!$A15,Data!$DN:$DN)+'Rate History'!$D$24*SUMIF(Data!$G:$G,Neutral!$A15,Data!$DO:$DO)+'Rate History'!$D$25*SUMIF(Data!$G:$G,Neutral!$A15,Data!$DP:$DP)+'Rate History'!$D$26*SUMIF(Data!$G:$G,Neutral!$A15,Data!$DQ:$DQ)+'Rate History'!$D$27*SUMIF(Data!$G:$G,Neutral!$A15,Data!$DR:$DR)+'Rate History'!$D$28*SUMIF(Data!$G:$G,Neutral!$A15,Data!$DS:$DS)+'Rate History'!$D$29*SUMIF(Data!$G:$G,Neutral!$A15,Data!$DT:$DT)+'Rate History'!$D$30*SUMIF(Data!$G:$G,Neutral!$A15,Data!$DV:$DV)+'Rate History'!$D$31*SUMIF(Data!$G:$G,Neutral!$A15,Data!$DW:$DW))</f>
        <v>1915276.5605093173</v>
      </c>
      <c r="C15" s="117">
        <f>$C$5*('Rate History'!$C$4*SUMIF(Data!$G:$G,Neutral!$A15,Data!$CU:$CU)+'Rate History'!$C$5*SUMIF(Data!$G:$G,Neutral!$A15,Data!$CV:$CV)+'Rate History'!$C$6*SUMIF(Data!$G:$G,Neutral!$A15,Data!$CW:$CW)+'Rate History'!$C$7*SUMIF(Data!$G:$G,Neutral!$A15,Data!$CX:$CX)+'Rate History'!$C$8*SUMIF(Data!$G:$G,Neutral!$A15,Data!$CY:$CY)+'Rate History'!$C$9*SUMIF(Data!$G:$G,Neutral!$A15,Data!$CZ:$CZ)+'Rate History'!$C$10*SUMIF(Data!$G:$G,Neutral!$A15,Data!$DA:$DA)+'Rate History'!$C$11*SUMIF(Data!$G:$G,Neutral!$A15,Data!$DB:$DB)+'Rate History'!$C$12*SUMIF(Data!$G:$G,Neutral!$A15,Data!$DC:$DC)+'Rate History'!$C$13*SUMIF(Data!$G:$G,Neutral!$A15,Data!$DD:$DD)+'Rate History'!$C$14*SUMIF(Data!$G:$G,Neutral!$A15,Data!$DE:$DE)+'Rate History'!$C$15*SUMIF(Data!$G:$G,Neutral!$A15,Data!$DF:$DF)+'Rate History'!$C$16*SUMIF(Data!$G:$G,Neutral!$A15,Data!$DG:$DG)+'Rate History'!$C$17*SUMIF(Data!$G:$G,Neutral!$A15,Data!$DH:$DH)+'Rate History'!$C$18*SUMIF(Data!$G:$G,Neutral!$A15,Data!$DI:$DI)+'Rate History'!$C$19*SUMIF(Data!$G:$G,Neutral!$A15,Data!$DJ:$DJ)+'Rate History'!$C$20*SUMIF(Data!$G:$G,Neutral!$A15,Data!$DK:$DK)+'Rate History'!$C$21*SUMIF(Data!$G:$G,Neutral!$A15,Data!$DL:$DL)+'Rate History'!$C$22*SUMIF(Data!$G:$G,Neutral!$A15,Data!$DM:$DM)+'Rate History'!$C$23*SUMIF(Data!$G:$G,Neutral!$A15,Data!$DN:$DN)+'Rate History'!$C$24*SUMIF(Data!$G:$G,Neutral!$A15,Data!$DO:$DO)+'Rate History'!$C$25*SUMIF(Data!$G:$G,Neutral!$A15,Data!$DP:$DP)+'Rate History'!$C$26*SUMIF(Data!$G:$G,Neutral!$A15,Data!$DQ:$DQ)+'Rate History'!$C$27*SUMIF(Data!$G:$G,Neutral!$A15,Data!$DR:$DR)+'Rate History'!$C$28*SUMIF(Data!$G:$G,Neutral!$A15,Data!$DS:$DS)+'Rate History'!$C$29*SUMIF(Data!$G:$G,Neutral!$A15,Data!$DT:$DT)+'Rate History'!$C$30*SUMIF(Data!$G:$G,Neutral!$A15,Data!$DV:$DV)+'Rate History'!$C$31*SUMIF(Data!$G:$G,Neutral!$A15,Data!$DW:$DW))</f>
        <v>1926334.8220718054</v>
      </c>
      <c r="D15" s="102">
        <f t="shared" si="0"/>
        <v>11058.261562488042</v>
      </c>
      <c r="E15" s="104">
        <f t="shared" si="1"/>
        <v>5.7737152902593812E-3</v>
      </c>
    </row>
    <row r="16" spans="1:6" x14ac:dyDescent="0.25">
      <c r="A16" s="97" t="s">
        <v>355</v>
      </c>
      <c r="B16" s="117">
        <f>$B$5*('Rate History'!$D$4*SUMIF(Data!$G:$G,Neutral!$A16,Data!$CU:$CU)+'Rate History'!$D$5*SUMIF(Data!$G:$G,Neutral!$A16,Data!$CV:$CV)+'Rate History'!$D$6*SUMIF(Data!$G:$G,Neutral!$A16,Data!$CW:$CW)+'Rate History'!$D$7*SUMIF(Data!$G:$G,Neutral!$A16,Data!$CX:$CX)+'Rate History'!$D$8*SUMIF(Data!$G:$G,Neutral!$A16,Data!$CY:$CY)+'Rate History'!$D$9*SUMIF(Data!$G:$G,Neutral!$A16,Data!$CZ:$CZ)+'Rate History'!$D$10*SUMIF(Data!$G:$G,Neutral!$A16,Data!$DA:$DA)+'Rate History'!$D$11*SUMIF(Data!$G:$G,Neutral!$A16,Data!$DB:$DB)+'Rate History'!$D$12*SUMIF(Data!$G:$G,Neutral!$A16,Data!$DC:$DC)+'Rate History'!$D$13*SUMIF(Data!$G:$G,Neutral!$A16,Data!$DD:$DD)+'Rate History'!$D$14*SUMIF(Data!$G:$G,Neutral!$A16,Data!$DE:$DE)+'Rate History'!$D$15*SUMIF(Data!$G:$G,Neutral!$A16,Data!$DF:$DF)+'Rate History'!$D$16*SUMIF(Data!$G:$G,Neutral!$A16,Data!$DG:$DG)+'Rate History'!$D$17*SUMIF(Data!$G:$G,Neutral!$A16,Data!$DH:$DH)+'Rate History'!$D$18*SUMIF(Data!$G:$G,Neutral!$A16,Data!$DI:$DI)+'Rate History'!$D$19*SUMIF(Data!$G:$G,Neutral!$A16,Data!$DJ:$DJ)+'Rate History'!$D$20*SUMIF(Data!$G:$G,Neutral!$A16,Data!$DK:$DK)+'Rate History'!$D$21*SUMIF(Data!$G:$G,Neutral!$A16,Data!$DL:$DL)+'Rate History'!$D$22*SUMIF(Data!$G:$G,Neutral!$A16,Data!$DM:$DM)+'Rate History'!$D$23*SUMIF(Data!$G:$G,Neutral!$A16,Data!$DN:$DN)+'Rate History'!$D$24*SUMIF(Data!$G:$G,Neutral!$A16,Data!$DO:$DO)+'Rate History'!$D$25*SUMIF(Data!$G:$G,Neutral!$A16,Data!$DP:$DP)+'Rate History'!$D$26*SUMIF(Data!$G:$G,Neutral!$A16,Data!$DQ:$DQ)+'Rate History'!$D$27*SUMIF(Data!$G:$G,Neutral!$A16,Data!$DR:$DR)+'Rate History'!$D$28*SUMIF(Data!$G:$G,Neutral!$A16,Data!$DS:$DS)+'Rate History'!$D$29*SUMIF(Data!$G:$G,Neutral!$A16,Data!$DT:$DT)+'Rate History'!$D$30*SUMIF(Data!$G:$G,Neutral!$A16,Data!$DV:$DV)+'Rate History'!$D$31*SUMIF(Data!$G:$G,Neutral!$A16,Data!$DW:$DW))</f>
        <v>5864400.113470111</v>
      </c>
      <c r="C16" s="117">
        <f>$C$5*('Rate History'!$C$4*SUMIF(Data!$G:$G,Neutral!$A16,Data!$CU:$CU)+'Rate History'!$C$5*SUMIF(Data!$G:$G,Neutral!$A16,Data!$CV:$CV)+'Rate History'!$C$6*SUMIF(Data!$G:$G,Neutral!$A16,Data!$CW:$CW)+'Rate History'!$C$7*SUMIF(Data!$G:$G,Neutral!$A16,Data!$CX:$CX)+'Rate History'!$C$8*SUMIF(Data!$G:$G,Neutral!$A16,Data!$CY:$CY)+'Rate History'!$C$9*SUMIF(Data!$G:$G,Neutral!$A16,Data!$CZ:$CZ)+'Rate History'!$C$10*SUMIF(Data!$G:$G,Neutral!$A16,Data!$DA:$DA)+'Rate History'!$C$11*SUMIF(Data!$G:$G,Neutral!$A16,Data!$DB:$DB)+'Rate History'!$C$12*SUMIF(Data!$G:$G,Neutral!$A16,Data!$DC:$DC)+'Rate History'!$C$13*SUMIF(Data!$G:$G,Neutral!$A16,Data!$DD:$DD)+'Rate History'!$C$14*SUMIF(Data!$G:$G,Neutral!$A16,Data!$DE:$DE)+'Rate History'!$C$15*SUMIF(Data!$G:$G,Neutral!$A16,Data!$DF:$DF)+'Rate History'!$C$16*SUMIF(Data!$G:$G,Neutral!$A16,Data!$DG:$DG)+'Rate History'!$C$17*SUMIF(Data!$G:$G,Neutral!$A16,Data!$DH:$DH)+'Rate History'!$C$18*SUMIF(Data!$G:$G,Neutral!$A16,Data!$DI:$DI)+'Rate History'!$C$19*SUMIF(Data!$G:$G,Neutral!$A16,Data!$DJ:$DJ)+'Rate History'!$C$20*SUMIF(Data!$G:$G,Neutral!$A16,Data!$DK:$DK)+'Rate History'!$C$21*SUMIF(Data!$G:$G,Neutral!$A16,Data!$DL:$DL)+'Rate History'!$C$22*SUMIF(Data!$G:$G,Neutral!$A16,Data!$DM:$DM)+'Rate History'!$C$23*SUMIF(Data!$G:$G,Neutral!$A16,Data!$DN:$DN)+'Rate History'!$C$24*SUMIF(Data!$G:$G,Neutral!$A16,Data!$DO:$DO)+'Rate History'!$C$25*SUMIF(Data!$G:$G,Neutral!$A16,Data!$DP:$DP)+'Rate History'!$C$26*SUMIF(Data!$G:$G,Neutral!$A16,Data!$DQ:$DQ)+'Rate History'!$C$27*SUMIF(Data!$G:$G,Neutral!$A16,Data!$DR:$DR)+'Rate History'!$C$28*SUMIF(Data!$G:$G,Neutral!$A16,Data!$DS:$DS)+'Rate History'!$C$29*SUMIF(Data!$G:$G,Neutral!$A16,Data!$DT:$DT)+'Rate History'!$C$30*SUMIF(Data!$G:$G,Neutral!$A16,Data!$DV:$DV)+'Rate History'!$C$31*SUMIF(Data!$G:$G,Neutral!$A16,Data!$DW:$DW))</f>
        <v>5872750.9521041652</v>
      </c>
      <c r="D16" s="102">
        <f t="shared" si="0"/>
        <v>8350.8386340541765</v>
      </c>
      <c r="E16" s="104">
        <f t="shared" si="1"/>
        <v>1.423988553385519E-3</v>
      </c>
    </row>
    <row r="17" spans="1:10" x14ac:dyDescent="0.25">
      <c r="A17" s="97" t="s">
        <v>427</v>
      </c>
      <c r="B17" s="117">
        <f>$B$5*('Rate History'!$D$4*SUMIF(Data!$G:$G,Neutral!$A17,Data!$CU:$CU)+'Rate History'!$D$5*SUMIF(Data!$G:$G,Neutral!$A17,Data!$CV:$CV)+'Rate History'!$D$6*SUMIF(Data!$G:$G,Neutral!$A17,Data!$CW:$CW)+'Rate History'!$D$7*SUMIF(Data!$G:$G,Neutral!$A17,Data!$CX:$CX)+'Rate History'!$D$8*SUMIF(Data!$G:$G,Neutral!$A17,Data!$CY:$CY)+'Rate History'!$D$9*SUMIF(Data!$G:$G,Neutral!$A17,Data!$CZ:$CZ)+'Rate History'!$D$10*SUMIF(Data!$G:$G,Neutral!$A17,Data!$DA:$DA)+'Rate History'!$D$11*SUMIF(Data!$G:$G,Neutral!$A17,Data!$DB:$DB)+'Rate History'!$D$12*SUMIF(Data!$G:$G,Neutral!$A17,Data!$DC:$DC)+'Rate History'!$D$13*SUMIF(Data!$G:$G,Neutral!$A17,Data!$DD:$DD)+'Rate History'!$D$14*SUMIF(Data!$G:$G,Neutral!$A17,Data!$DE:$DE)+'Rate History'!$D$15*SUMIF(Data!$G:$G,Neutral!$A17,Data!$DF:$DF)+'Rate History'!$D$16*SUMIF(Data!$G:$G,Neutral!$A17,Data!$DG:$DG)+'Rate History'!$D$17*SUMIF(Data!$G:$G,Neutral!$A17,Data!$DH:$DH)+'Rate History'!$D$18*SUMIF(Data!$G:$G,Neutral!$A17,Data!$DI:$DI)+'Rate History'!$D$19*SUMIF(Data!$G:$G,Neutral!$A17,Data!$DJ:$DJ)+'Rate History'!$D$20*SUMIF(Data!$G:$G,Neutral!$A17,Data!$DK:$DK)+'Rate History'!$D$21*SUMIF(Data!$G:$G,Neutral!$A17,Data!$DL:$DL)+'Rate History'!$D$22*SUMIF(Data!$G:$G,Neutral!$A17,Data!$DM:$DM)+'Rate History'!$D$23*SUMIF(Data!$G:$G,Neutral!$A17,Data!$DN:$DN)+'Rate History'!$D$24*SUMIF(Data!$G:$G,Neutral!$A17,Data!$DO:$DO)+'Rate History'!$D$25*SUMIF(Data!$G:$G,Neutral!$A17,Data!$DP:$DP)+'Rate History'!$D$26*SUMIF(Data!$G:$G,Neutral!$A17,Data!$DQ:$DQ)+'Rate History'!$D$27*SUMIF(Data!$G:$G,Neutral!$A17,Data!$DR:$DR)+'Rate History'!$D$28*SUMIF(Data!$G:$G,Neutral!$A17,Data!$DS:$DS)+'Rate History'!$D$29*SUMIF(Data!$G:$G,Neutral!$A17,Data!$DT:$DT)+'Rate History'!$D$30*SUMIF(Data!$G:$G,Neutral!$A17,Data!$DV:$DV)+'Rate History'!$D$31*SUMIF(Data!$G:$G,Neutral!$A17,Data!$DW:$DW))</f>
        <v>6199680.4476063047</v>
      </c>
      <c r="C17" s="117">
        <f>$C$5*('Rate History'!$C$4*SUMIF(Data!$G:$G,Neutral!$A17,Data!$CU:$CU)+'Rate History'!$C$5*SUMIF(Data!$G:$G,Neutral!$A17,Data!$CV:$CV)+'Rate History'!$C$6*SUMIF(Data!$G:$G,Neutral!$A17,Data!$CW:$CW)+'Rate History'!$C$7*SUMIF(Data!$G:$G,Neutral!$A17,Data!$CX:$CX)+'Rate History'!$C$8*SUMIF(Data!$G:$G,Neutral!$A17,Data!$CY:$CY)+'Rate History'!$C$9*SUMIF(Data!$G:$G,Neutral!$A17,Data!$CZ:$CZ)+'Rate History'!$C$10*SUMIF(Data!$G:$G,Neutral!$A17,Data!$DA:$DA)+'Rate History'!$C$11*SUMIF(Data!$G:$G,Neutral!$A17,Data!$DB:$DB)+'Rate History'!$C$12*SUMIF(Data!$G:$G,Neutral!$A17,Data!$DC:$DC)+'Rate History'!$C$13*SUMIF(Data!$G:$G,Neutral!$A17,Data!$DD:$DD)+'Rate History'!$C$14*SUMIF(Data!$G:$G,Neutral!$A17,Data!$DE:$DE)+'Rate History'!$C$15*SUMIF(Data!$G:$G,Neutral!$A17,Data!$DF:$DF)+'Rate History'!$C$16*SUMIF(Data!$G:$G,Neutral!$A17,Data!$DG:$DG)+'Rate History'!$C$17*SUMIF(Data!$G:$G,Neutral!$A17,Data!$DH:$DH)+'Rate History'!$C$18*SUMIF(Data!$G:$G,Neutral!$A17,Data!$DI:$DI)+'Rate History'!$C$19*SUMIF(Data!$G:$G,Neutral!$A17,Data!$DJ:$DJ)+'Rate History'!$C$20*SUMIF(Data!$G:$G,Neutral!$A17,Data!$DK:$DK)+'Rate History'!$C$21*SUMIF(Data!$G:$G,Neutral!$A17,Data!$DL:$DL)+'Rate History'!$C$22*SUMIF(Data!$G:$G,Neutral!$A17,Data!$DM:$DM)+'Rate History'!$C$23*SUMIF(Data!$G:$G,Neutral!$A17,Data!$DN:$DN)+'Rate History'!$C$24*SUMIF(Data!$G:$G,Neutral!$A17,Data!$DO:$DO)+'Rate History'!$C$25*SUMIF(Data!$G:$G,Neutral!$A17,Data!$DP:$DP)+'Rate History'!$C$26*SUMIF(Data!$G:$G,Neutral!$A17,Data!$DQ:$DQ)+'Rate History'!$C$27*SUMIF(Data!$G:$G,Neutral!$A17,Data!$DR:$DR)+'Rate History'!$C$28*SUMIF(Data!$G:$G,Neutral!$A17,Data!$DS:$DS)+'Rate History'!$C$29*SUMIF(Data!$G:$G,Neutral!$A17,Data!$DT:$DT)+'Rate History'!$C$30*SUMIF(Data!$G:$G,Neutral!$A17,Data!$DV:$DV)+'Rate History'!$C$31*SUMIF(Data!$G:$G,Neutral!$A17,Data!$DW:$DW))</f>
        <v>6171954.6625184435</v>
      </c>
      <c r="D17" s="102">
        <f t="shared" si="0"/>
        <v>-27725.785087861121</v>
      </c>
      <c r="E17" s="104">
        <f t="shared" si="1"/>
        <v>-4.4721313174400854E-3</v>
      </c>
    </row>
    <row r="18" spans="1:10" x14ac:dyDescent="0.25">
      <c r="A18" s="97" t="s">
        <v>455</v>
      </c>
      <c r="B18" s="117">
        <f>$B$5*('Rate History'!$D$4*SUMIF(Data!$G:$G,Neutral!$A18,Data!$CU:$CU)+'Rate History'!$D$5*SUMIF(Data!$G:$G,Neutral!$A18,Data!$CV:$CV)+'Rate History'!$D$6*SUMIF(Data!$G:$G,Neutral!$A18,Data!$CW:$CW)+'Rate History'!$D$7*SUMIF(Data!$G:$G,Neutral!$A18,Data!$CX:$CX)+'Rate History'!$D$8*SUMIF(Data!$G:$G,Neutral!$A18,Data!$CY:$CY)+'Rate History'!$D$9*SUMIF(Data!$G:$G,Neutral!$A18,Data!$CZ:$CZ)+'Rate History'!$D$10*SUMIF(Data!$G:$G,Neutral!$A18,Data!$DA:$DA)+'Rate History'!$D$11*SUMIF(Data!$G:$G,Neutral!$A18,Data!$DB:$DB)+'Rate History'!$D$12*SUMIF(Data!$G:$G,Neutral!$A18,Data!$DC:$DC)+'Rate History'!$D$13*SUMIF(Data!$G:$G,Neutral!$A18,Data!$DD:$DD)+'Rate History'!$D$14*SUMIF(Data!$G:$G,Neutral!$A18,Data!$DE:$DE)+'Rate History'!$D$15*SUMIF(Data!$G:$G,Neutral!$A18,Data!$DF:$DF)+'Rate History'!$D$16*SUMIF(Data!$G:$G,Neutral!$A18,Data!$DG:$DG)+'Rate History'!$D$17*SUMIF(Data!$G:$G,Neutral!$A18,Data!$DH:$DH)+'Rate History'!$D$18*SUMIF(Data!$G:$G,Neutral!$A18,Data!$DI:$DI)+'Rate History'!$D$19*SUMIF(Data!$G:$G,Neutral!$A18,Data!$DJ:$DJ)+'Rate History'!$D$20*SUMIF(Data!$G:$G,Neutral!$A18,Data!$DK:$DK)+'Rate History'!$D$21*SUMIF(Data!$G:$G,Neutral!$A18,Data!$DL:$DL)+'Rate History'!$D$22*SUMIF(Data!$G:$G,Neutral!$A18,Data!$DM:$DM)+'Rate History'!$D$23*SUMIF(Data!$G:$G,Neutral!$A18,Data!$DN:$DN)+'Rate History'!$D$24*SUMIF(Data!$G:$G,Neutral!$A18,Data!$DO:$DO)+'Rate History'!$D$25*SUMIF(Data!$G:$G,Neutral!$A18,Data!$DP:$DP)+'Rate History'!$D$26*SUMIF(Data!$G:$G,Neutral!$A18,Data!$DQ:$DQ)+'Rate History'!$D$27*SUMIF(Data!$G:$G,Neutral!$A18,Data!$DR:$DR)+'Rate History'!$D$28*SUMIF(Data!$G:$G,Neutral!$A18,Data!$DS:$DS)+'Rate History'!$D$29*SUMIF(Data!$G:$G,Neutral!$A18,Data!$DT:$DT)+'Rate History'!$D$30*SUMIF(Data!$G:$G,Neutral!$A18,Data!$DV:$DV)+'Rate History'!$D$31*SUMIF(Data!$G:$G,Neutral!$A18,Data!$DW:$DW))</f>
        <v>30265352.946714498</v>
      </c>
      <c r="C18" s="117">
        <f>$C$5*('Rate History'!$C$4*SUMIF(Data!$G:$G,Neutral!$A18,Data!$CU:$CU)+'Rate History'!$C$5*SUMIF(Data!$G:$G,Neutral!$A18,Data!$CV:$CV)+'Rate History'!$C$6*SUMIF(Data!$G:$G,Neutral!$A18,Data!$CW:$CW)+'Rate History'!$C$7*SUMIF(Data!$G:$G,Neutral!$A18,Data!$CX:$CX)+'Rate History'!$C$8*SUMIF(Data!$G:$G,Neutral!$A18,Data!$CY:$CY)+'Rate History'!$C$9*SUMIF(Data!$G:$G,Neutral!$A18,Data!$CZ:$CZ)+'Rate History'!$C$10*SUMIF(Data!$G:$G,Neutral!$A18,Data!$DA:$DA)+'Rate History'!$C$11*SUMIF(Data!$G:$G,Neutral!$A18,Data!$DB:$DB)+'Rate History'!$C$12*SUMIF(Data!$G:$G,Neutral!$A18,Data!$DC:$DC)+'Rate History'!$C$13*SUMIF(Data!$G:$G,Neutral!$A18,Data!$DD:$DD)+'Rate History'!$C$14*SUMIF(Data!$G:$G,Neutral!$A18,Data!$DE:$DE)+'Rate History'!$C$15*SUMIF(Data!$G:$G,Neutral!$A18,Data!$DF:$DF)+'Rate History'!$C$16*SUMIF(Data!$G:$G,Neutral!$A18,Data!$DG:$DG)+'Rate History'!$C$17*SUMIF(Data!$G:$G,Neutral!$A18,Data!$DH:$DH)+'Rate History'!$C$18*SUMIF(Data!$G:$G,Neutral!$A18,Data!$DI:$DI)+'Rate History'!$C$19*SUMIF(Data!$G:$G,Neutral!$A18,Data!$DJ:$DJ)+'Rate History'!$C$20*SUMIF(Data!$G:$G,Neutral!$A18,Data!$DK:$DK)+'Rate History'!$C$21*SUMIF(Data!$G:$G,Neutral!$A18,Data!$DL:$DL)+'Rate History'!$C$22*SUMIF(Data!$G:$G,Neutral!$A18,Data!$DM:$DM)+'Rate History'!$C$23*SUMIF(Data!$G:$G,Neutral!$A18,Data!$DN:$DN)+'Rate History'!$C$24*SUMIF(Data!$G:$G,Neutral!$A18,Data!$DO:$DO)+'Rate History'!$C$25*SUMIF(Data!$G:$G,Neutral!$A18,Data!$DP:$DP)+'Rate History'!$C$26*SUMIF(Data!$G:$G,Neutral!$A18,Data!$DQ:$DQ)+'Rate History'!$C$27*SUMIF(Data!$G:$G,Neutral!$A18,Data!$DR:$DR)+'Rate History'!$C$28*SUMIF(Data!$G:$G,Neutral!$A18,Data!$DS:$DS)+'Rate History'!$C$29*SUMIF(Data!$G:$G,Neutral!$A18,Data!$DT:$DT)+'Rate History'!$C$30*SUMIF(Data!$G:$G,Neutral!$A18,Data!$DV:$DV)+'Rate History'!$C$31*SUMIF(Data!$G:$G,Neutral!$A18,Data!$DW:$DW))</f>
        <v>30336955.354220279</v>
      </c>
      <c r="D18" s="102">
        <f t="shared" si="0"/>
        <v>71602.407505780458</v>
      </c>
      <c r="E18" s="104">
        <f t="shared" si="1"/>
        <v>2.3658209977542445E-3</v>
      </c>
    </row>
    <row r="19" spans="1:10" x14ac:dyDescent="0.25">
      <c r="A19" s="97" t="s">
        <v>457</v>
      </c>
      <c r="B19" s="117">
        <f>$B$5*('Rate History'!$D$4*SUMIF(Data!$G:$G,Neutral!$A19,Data!$CU:$CU)+'Rate History'!$D$5*SUMIF(Data!$G:$G,Neutral!$A19,Data!$CV:$CV)+'Rate History'!$D$6*SUMIF(Data!$G:$G,Neutral!$A19,Data!$CW:$CW)+'Rate History'!$D$7*SUMIF(Data!$G:$G,Neutral!$A19,Data!$CX:$CX)+'Rate History'!$D$8*SUMIF(Data!$G:$G,Neutral!$A19,Data!$CY:$CY)+'Rate History'!$D$9*SUMIF(Data!$G:$G,Neutral!$A19,Data!$CZ:$CZ)+'Rate History'!$D$10*SUMIF(Data!$G:$G,Neutral!$A19,Data!$DA:$DA)+'Rate History'!$D$11*SUMIF(Data!$G:$G,Neutral!$A19,Data!$DB:$DB)+'Rate History'!$D$12*SUMIF(Data!$G:$G,Neutral!$A19,Data!$DC:$DC)+'Rate History'!$D$13*SUMIF(Data!$G:$G,Neutral!$A19,Data!$DD:$DD)+'Rate History'!$D$14*SUMIF(Data!$G:$G,Neutral!$A19,Data!$DE:$DE)+'Rate History'!$D$15*SUMIF(Data!$G:$G,Neutral!$A19,Data!$DF:$DF)+'Rate History'!$D$16*SUMIF(Data!$G:$G,Neutral!$A19,Data!$DG:$DG)+'Rate History'!$D$17*SUMIF(Data!$G:$G,Neutral!$A19,Data!$DH:$DH)+'Rate History'!$D$18*SUMIF(Data!$G:$G,Neutral!$A19,Data!$DI:$DI)+'Rate History'!$D$19*SUMIF(Data!$G:$G,Neutral!$A19,Data!$DJ:$DJ)+'Rate History'!$D$20*SUMIF(Data!$G:$G,Neutral!$A19,Data!$DK:$DK)+'Rate History'!$D$21*SUMIF(Data!$G:$G,Neutral!$A19,Data!$DL:$DL)+'Rate History'!$D$22*SUMIF(Data!$G:$G,Neutral!$A19,Data!$DM:$DM)+'Rate History'!$D$23*SUMIF(Data!$G:$G,Neutral!$A19,Data!$DN:$DN)+'Rate History'!$D$24*SUMIF(Data!$G:$G,Neutral!$A19,Data!$DO:$DO)+'Rate History'!$D$25*SUMIF(Data!$G:$G,Neutral!$A19,Data!$DP:$DP)+'Rate History'!$D$26*SUMIF(Data!$G:$G,Neutral!$A19,Data!$DQ:$DQ)+'Rate History'!$D$27*SUMIF(Data!$G:$G,Neutral!$A19,Data!$DR:$DR)+'Rate History'!$D$28*SUMIF(Data!$G:$G,Neutral!$A19,Data!$DS:$DS)+'Rate History'!$D$29*SUMIF(Data!$G:$G,Neutral!$A19,Data!$DT:$DT)+'Rate History'!$D$30*SUMIF(Data!$G:$G,Neutral!$A19,Data!$DV:$DV)+'Rate History'!$D$31*SUMIF(Data!$G:$G,Neutral!$A19,Data!$DW:$DW))</f>
        <v>92895294.297073424</v>
      </c>
      <c r="C19" s="117">
        <f>$C$5*('Rate History'!$C$4*SUMIF(Data!$G:$G,Neutral!$A19,Data!$CU:$CU)+'Rate History'!$C$5*SUMIF(Data!$G:$G,Neutral!$A19,Data!$CV:$CV)+'Rate History'!$C$6*SUMIF(Data!$G:$G,Neutral!$A19,Data!$CW:$CW)+'Rate History'!$C$7*SUMIF(Data!$G:$G,Neutral!$A19,Data!$CX:$CX)+'Rate History'!$C$8*SUMIF(Data!$G:$G,Neutral!$A19,Data!$CY:$CY)+'Rate History'!$C$9*SUMIF(Data!$G:$G,Neutral!$A19,Data!$CZ:$CZ)+'Rate History'!$C$10*SUMIF(Data!$G:$G,Neutral!$A19,Data!$DA:$DA)+'Rate History'!$C$11*SUMIF(Data!$G:$G,Neutral!$A19,Data!$DB:$DB)+'Rate History'!$C$12*SUMIF(Data!$G:$G,Neutral!$A19,Data!$DC:$DC)+'Rate History'!$C$13*SUMIF(Data!$G:$G,Neutral!$A19,Data!$DD:$DD)+'Rate History'!$C$14*SUMIF(Data!$G:$G,Neutral!$A19,Data!$DE:$DE)+'Rate History'!$C$15*SUMIF(Data!$G:$G,Neutral!$A19,Data!$DF:$DF)+'Rate History'!$C$16*SUMIF(Data!$G:$G,Neutral!$A19,Data!$DG:$DG)+'Rate History'!$C$17*SUMIF(Data!$G:$G,Neutral!$A19,Data!$DH:$DH)+'Rate History'!$C$18*SUMIF(Data!$G:$G,Neutral!$A19,Data!$DI:$DI)+'Rate History'!$C$19*SUMIF(Data!$G:$G,Neutral!$A19,Data!$DJ:$DJ)+'Rate History'!$C$20*SUMIF(Data!$G:$G,Neutral!$A19,Data!$DK:$DK)+'Rate History'!$C$21*SUMIF(Data!$G:$G,Neutral!$A19,Data!$DL:$DL)+'Rate History'!$C$22*SUMIF(Data!$G:$G,Neutral!$A19,Data!$DM:$DM)+'Rate History'!$C$23*SUMIF(Data!$G:$G,Neutral!$A19,Data!$DN:$DN)+'Rate History'!$C$24*SUMIF(Data!$G:$G,Neutral!$A19,Data!$DO:$DO)+'Rate History'!$C$25*SUMIF(Data!$G:$G,Neutral!$A19,Data!$DP:$DP)+'Rate History'!$C$26*SUMIF(Data!$G:$G,Neutral!$A19,Data!$DQ:$DQ)+'Rate History'!$C$27*SUMIF(Data!$G:$G,Neutral!$A19,Data!$DR:$DR)+'Rate History'!$C$28*SUMIF(Data!$G:$G,Neutral!$A19,Data!$DS:$DS)+'Rate History'!$C$29*SUMIF(Data!$G:$G,Neutral!$A19,Data!$DT:$DT)+'Rate History'!$C$30*SUMIF(Data!$G:$G,Neutral!$A19,Data!$DV:$DV)+'Rate History'!$C$31*SUMIF(Data!$G:$G,Neutral!$A19,Data!$DW:$DW))</f>
        <v>93144760.268951029</v>
      </c>
      <c r="D19" s="102">
        <f t="shared" si="0"/>
        <v>249465.97187760472</v>
      </c>
      <c r="E19" s="104">
        <f t="shared" si="1"/>
        <v>2.6854532704296938E-3</v>
      </c>
      <c r="I19" s="69"/>
    </row>
    <row r="20" spans="1:10" x14ac:dyDescent="0.25">
      <c r="A20" s="97" t="s">
        <v>365</v>
      </c>
      <c r="B20" s="117">
        <f>$B$5*('Rate History'!$D$4*SUMIF(Data!$G:$G,Neutral!$A20,Data!$CU:$CU)+'Rate History'!$D$5*SUMIF(Data!$G:$G,Neutral!$A20,Data!$CV:$CV)+'Rate History'!$D$6*SUMIF(Data!$G:$G,Neutral!$A20,Data!$CW:$CW)+'Rate History'!$D$7*SUMIF(Data!$G:$G,Neutral!$A20,Data!$CX:$CX)+'Rate History'!$D$8*SUMIF(Data!$G:$G,Neutral!$A20,Data!$CY:$CY)+'Rate History'!$D$9*SUMIF(Data!$G:$G,Neutral!$A20,Data!$CZ:$CZ)+'Rate History'!$D$10*SUMIF(Data!$G:$G,Neutral!$A20,Data!$DA:$DA)+'Rate History'!$D$11*SUMIF(Data!$G:$G,Neutral!$A20,Data!$DB:$DB)+'Rate History'!$D$12*SUMIF(Data!$G:$G,Neutral!$A20,Data!$DC:$DC)+'Rate History'!$D$13*SUMIF(Data!$G:$G,Neutral!$A20,Data!$DD:$DD)+'Rate History'!$D$14*SUMIF(Data!$G:$G,Neutral!$A20,Data!$DE:$DE)+'Rate History'!$D$15*SUMIF(Data!$G:$G,Neutral!$A20,Data!$DF:$DF)+'Rate History'!$D$16*SUMIF(Data!$G:$G,Neutral!$A20,Data!$DG:$DG)+'Rate History'!$D$17*SUMIF(Data!$G:$G,Neutral!$A20,Data!$DH:$DH)+'Rate History'!$D$18*SUMIF(Data!$G:$G,Neutral!$A20,Data!$DI:$DI)+'Rate History'!$D$19*SUMIF(Data!$G:$G,Neutral!$A20,Data!$DJ:$DJ)+'Rate History'!$D$20*SUMIF(Data!$G:$G,Neutral!$A20,Data!$DK:$DK)+'Rate History'!$D$21*SUMIF(Data!$G:$G,Neutral!$A20,Data!$DL:$DL)+'Rate History'!$D$22*SUMIF(Data!$G:$G,Neutral!$A20,Data!$DM:$DM)+'Rate History'!$D$23*SUMIF(Data!$G:$G,Neutral!$A20,Data!$DN:$DN)+'Rate History'!$D$24*SUMIF(Data!$G:$G,Neutral!$A20,Data!$DO:$DO)+'Rate History'!$D$25*SUMIF(Data!$G:$G,Neutral!$A20,Data!$DP:$DP)+'Rate History'!$D$26*SUMIF(Data!$G:$G,Neutral!$A20,Data!$DQ:$DQ)+'Rate History'!$D$27*SUMIF(Data!$G:$G,Neutral!$A20,Data!$DR:$DR)+'Rate History'!$D$28*SUMIF(Data!$G:$G,Neutral!$A20,Data!$DS:$DS)+'Rate History'!$D$29*SUMIF(Data!$G:$G,Neutral!$A20,Data!$DT:$DT)+'Rate History'!$D$30*SUMIF(Data!$G:$G,Neutral!$A20,Data!$DV:$DV)+'Rate History'!$D$31*SUMIF(Data!$G:$G,Neutral!$A20,Data!$DW:$DW))</f>
        <v>18063627.423556656</v>
      </c>
      <c r="C20" s="117">
        <f>$C$5*('Rate History'!$C$4*SUMIF(Data!$G:$G,Neutral!$A20,Data!$CU:$CU)+'Rate History'!$C$5*SUMIF(Data!$G:$G,Neutral!$A20,Data!$CV:$CV)+'Rate History'!$C$6*SUMIF(Data!$G:$G,Neutral!$A20,Data!$CW:$CW)+'Rate History'!$C$7*SUMIF(Data!$G:$G,Neutral!$A20,Data!$CX:$CX)+'Rate History'!$C$8*SUMIF(Data!$G:$G,Neutral!$A20,Data!$CY:$CY)+'Rate History'!$C$9*SUMIF(Data!$G:$G,Neutral!$A20,Data!$CZ:$CZ)+'Rate History'!$C$10*SUMIF(Data!$G:$G,Neutral!$A20,Data!$DA:$DA)+'Rate History'!$C$11*SUMIF(Data!$G:$G,Neutral!$A20,Data!$DB:$DB)+'Rate History'!$C$12*SUMIF(Data!$G:$G,Neutral!$A20,Data!$DC:$DC)+'Rate History'!$C$13*SUMIF(Data!$G:$G,Neutral!$A20,Data!$DD:$DD)+'Rate History'!$C$14*SUMIF(Data!$G:$G,Neutral!$A20,Data!$DE:$DE)+'Rate History'!$C$15*SUMIF(Data!$G:$G,Neutral!$A20,Data!$DF:$DF)+'Rate History'!$C$16*SUMIF(Data!$G:$G,Neutral!$A20,Data!$DG:$DG)+'Rate History'!$C$17*SUMIF(Data!$G:$G,Neutral!$A20,Data!$DH:$DH)+'Rate History'!$C$18*SUMIF(Data!$G:$G,Neutral!$A20,Data!$DI:$DI)+'Rate History'!$C$19*SUMIF(Data!$G:$G,Neutral!$A20,Data!$DJ:$DJ)+'Rate History'!$C$20*SUMIF(Data!$G:$G,Neutral!$A20,Data!$DK:$DK)+'Rate History'!$C$21*SUMIF(Data!$G:$G,Neutral!$A20,Data!$DL:$DL)+'Rate History'!$C$22*SUMIF(Data!$G:$G,Neutral!$A20,Data!$DM:$DM)+'Rate History'!$C$23*SUMIF(Data!$G:$G,Neutral!$A20,Data!$DN:$DN)+'Rate History'!$C$24*SUMIF(Data!$G:$G,Neutral!$A20,Data!$DO:$DO)+'Rate History'!$C$25*SUMIF(Data!$G:$G,Neutral!$A20,Data!$DP:$DP)+'Rate History'!$C$26*SUMIF(Data!$G:$G,Neutral!$A20,Data!$DQ:$DQ)+'Rate History'!$C$27*SUMIF(Data!$G:$G,Neutral!$A20,Data!$DR:$DR)+'Rate History'!$C$28*SUMIF(Data!$G:$G,Neutral!$A20,Data!$DS:$DS)+'Rate History'!$C$29*SUMIF(Data!$G:$G,Neutral!$A20,Data!$DT:$DT)+'Rate History'!$C$30*SUMIF(Data!$G:$G,Neutral!$A20,Data!$DV:$DV)+'Rate History'!$C$31*SUMIF(Data!$G:$G,Neutral!$A20,Data!$DW:$DW))</f>
        <v>18017428.255736686</v>
      </c>
      <c r="D20" s="102">
        <f t="shared" si="0"/>
        <v>-46199.167819969356</v>
      </c>
      <c r="E20" s="104">
        <f t="shared" si="1"/>
        <v>-2.5575797560860522E-3</v>
      </c>
      <c r="I20" s="69"/>
      <c r="J20" s="162"/>
    </row>
    <row r="21" spans="1:10" x14ac:dyDescent="0.25">
      <c r="A21" s="96" t="s">
        <v>441</v>
      </c>
      <c r="B21" s="117">
        <f>$B$5*('Rate History'!$D$4*SUMIF(Data!$G:$G,Neutral!$A21,Data!$CU:$CU)+'Rate History'!$D$5*SUMIF(Data!$G:$G,Neutral!$A21,Data!$CV:$CV)+'Rate History'!$D$6*SUMIF(Data!$G:$G,Neutral!$A21,Data!$CW:$CW)+'Rate History'!$D$7*SUMIF(Data!$G:$G,Neutral!$A21,Data!$CX:$CX)+'Rate History'!$D$8*SUMIF(Data!$G:$G,Neutral!$A21,Data!$CY:$CY)+'Rate History'!$D$9*SUMIF(Data!$G:$G,Neutral!$A21,Data!$CZ:$CZ)+'Rate History'!$D$10*SUMIF(Data!$G:$G,Neutral!$A21,Data!$DA:$DA)+'Rate History'!$D$11*SUMIF(Data!$G:$G,Neutral!$A21,Data!$DB:$DB)+'Rate History'!$D$12*SUMIF(Data!$G:$G,Neutral!$A21,Data!$DC:$DC)+'Rate History'!$D$13*SUMIF(Data!$G:$G,Neutral!$A21,Data!$DD:$DD)+'Rate History'!$D$14*SUMIF(Data!$G:$G,Neutral!$A21,Data!$DE:$DE)+'Rate History'!$D$15*SUMIF(Data!$G:$G,Neutral!$A21,Data!$DF:$DF)+'Rate History'!$D$16*SUMIF(Data!$G:$G,Neutral!$A21,Data!$DG:$DG)+'Rate History'!$D$17*SUMIF(Data!$G:$G,Neutral!$A21,Data!$DH:$DH)+'Rate History'!$D$18*SUMIF(Data!$G:$G,Neutral!$A21,Data!$DI:$DI)+'Rate History'!$D$19*SUMIF(Data!$G:$G,Neutral!$A21,Data!$DJ:$DJ)+'Rate History'!$D$20*SUMIF(Data!$G:$G,Neutral!$A21,Data!$DK:$DK)+'Rate History'!$D$21*SUMIF(Data!$G:$G,Neutral!$A21,Data!$DL:$DL)+'Rate History'!$D$22*SUMIF(Data!$G:$G,Neutral!$A21,Data!$DM:$DM)+'Rate History'!$D$23*SUMIF(Data!$G:$G,Neutral!$A21,Data!$DN:$DN)+'Rate History'!$D$24*SUMIF(Data!$G:$G,Neutral!$A21,Data!$DO:$DO)+'Rate History'!$D$25*SUMIF(Data!$G:$G,Neutral!$A21,Data!$DP:$DP)+'Rate History'!$D$26*SUMIF(Data!$G:$G,Neutral!$A21,Data!$DQ:$DQ)+'Rate History'!$D$27*SUMIF(Data!$G:$G,Neutral!$A21,Data!$DR:$DR)+'Rate History'!$D$28*SUMIF(Data!$G:$G,Neutral!$A21,Data!$DS:$DS)+'Rate History'!$D$29*SUMIF(Data!$G:$G,Neutral!$A21,Data!$DT:$DT)+'Rate History'!$D$30*SUMIF(Data!$G:$G,Neutral!$A21,Data!$DV:$DV)+'Rate History'!$D$31*SUMIF(Data!$G:$G,Neutral!$A21,Data!$DW:$DW))</f>
        <v>32861770.847420834</v>
      </c>
      <c r="C21" s="117">
        <f>$C$5*('Rate History'!$C$4*SUMIF(Data!$G:$G,Neutral!$A21,Data!$CU:$CU)+'Rate History'!$C$5*SUMIF(Data!$G:$G,Neutral!$A21,Data!$CV:$CV)+'Rate History'!$C$6*SUMIF(Data!$G:$G,Neutral!$A21,Data!$CW:$CW)+'Rate History'!$C$7*SUMIF(Data!$G:$G,Neutral!$A21,Data!$CX:$CX)+'Rate History'!$C$8*SUMIF(Data!$G:$G,Neutral!$A21,Data!$CY:$CY)+'Rate History'!$C$9*SUMIF(Data!$G:$G,Neutral!$A21,Data!$CZ:$CZ)+'Rate History'!$C$10*SUMIF(Data!$G:$G,Neutral!$A21,Data!$DA:$DA)+'Rate History'!$C$11*SUMIF(Data!$G:$G,Neutral!$A21,Data!$DB:$DB)+'Rate History'!$C$12*SUMIF(Data!$G:$G,Neutral!$A21,Data!$DC:$DC)+'Rate History'!$C$13*SUMIF(Data!$G:$G,Neutral!$A21,Data!$DD:$DD)+'Rate History'!$C$14*SUMIF(Data!$G:$G,Neutral!$A21,Data!$DE:$DE)+'Rate History'!$C$15*SUMIF(Data!$G:$G,Neutral!$A21,Data!$DF:$DF)+'Rate History'!$C$16*SUMIF(Data!$G:$G,Neutral!$A21,Data!$DG:$DG)+'Rate History'!$C$17*SUMIF(Data!$G:$G,Neutral!$A21,Data!$DH:$DH)+'Rate History'!$C$18*SUMIF(Data!$G:$G,Neutral!$A21,Data!$DI:$DI)+'Rate History'!$C$19*SUMIF(Data!$G:$G,Neutral!$A21,Data!$DJ:$DJ)+'Rate History'!$C$20*SUMIF(Data!$G:$G,Neutral!$A21,Data!$DK:$DK)+'Rate History'!$C$21*SUMIF(Data!$G:$G,Neutral!$A21,Data!$DL:$DL)+'Rate History'!$C$22*SUMIF(Data!$G:$G,Neutral!$A21,Data!$DM:$DM)+'Rate History'!$C$23*SUMIF(Data!$G:$G,Neutral!$A21,Data!$DN:$DN)+'Rate History'!$C$24*SUMIF(Data!$G:$G,Neutral!$A21,Data!$DO:$DO)+'Rate History'!$C$25*SUMIF(Data!$G:$G,Neutral!$A21,Data!$DP:$DP)+'Rate History'!$C$26*SUMIF(Data!$G:$G,Neutral!$A21,Data!$DQ:$DQ)+'Rate History'!$C$27*SUMIF(Data!$G:$G,Neutral!$A21,Data!$DR:$DR)+'Rate History'!$C$28*SUMIF(Data!$G:$G,Neutral!$A21,Data!$DS:$DS)+'Rate History'!$C$29*SUMIF(Data!$G:$G,Neutral!$A21,Data!$DT:$DT)+'Rate History'!$C$30*SUMIF(Data!$G:$G,Neutral!$A21,Data!$DV:$DV)+'Rate History'!$C$31*SUMIF(Data!$G:$G,Neutral!$A21,Data!$DW:$DW))</f>
        <v>32944411.593816642</v>
      </c>
      <c r="D21" s="102">
        <f t="shared" si="0"/>
        <v>82640.746395807713</v>
      </c>
      <c r="E21" s="104">
        <f t="shared" si="1"/>
        <v>2.5147989370236205E-3</v>
      </c>
      <c r="I21" s="69"/>
    </row>
    <row r="22" spans="1:10" x14ac:dyDescent="0.25">
      <c r="A22" s="97" t="s">
        <v>367</v>
      </c>
      <c r="B22" s="117">
        <f>$B$5*('Rate History'!$D$4*SUMIF(Data!$G:$G,Neutral!$A22,Data!$CU:$CU)+'Rate History'!$D$5*SUMIF(Data!$G:$G,Neutral!$A22,Data!$CV:$CV)+'Rate History'!$D$6*SUMIF(Data!$G:$G,Neutral!$A22,Data!$CW:$CW)+'Rate History'!$D$7*SUMIF(Data!$G:$G,Neutral!$A22,Data!$CX:$CX)+'Rate History'!$D$8*SUMIF(Data!$G:$G,Neutral!$A22,Data!$CY:$CY)+'Rate History'!$D$9*SUMIF(Data!$G:$G,Neutral!$A22,Data!$CZ:$CZ)+'Rate History'!$D$10*SUMIF(Data!$G:$G,Neutral!$A22,Data!$DA:$DA)+'Rate History'!$D$11*SUMIF(Data!$G:$G,Neutral!$A22,Data!$DB:$DB)+'Rate History'!$D$12*SUMIF(Data!$G:$G,Neutral!$A22,Data!$DC:$DC)+'Rate History'!$D$13*SUMIF(Data!$G:$G,Neutral!$A22,Data!$DD:$DD)+'Rate History'!$D$14*SUMIF(Data!$G:$G,Neutral!$A22,Data!$DE:$DE)+'Rate History'!$D$15*SUMIF(Data!$G:$G,Neutral!$A22,Data!$DF:$DF)+'Rate History'!$D$16*SUMIF(Data!$G:$G,Neutral!$A22,Data!$DG:$DG)+'Rate History'!$D$17*SUMIF(Data!$G:$G,Neutral!$A22,Data!$DH:$DH)+'Rate History'!$D$18*SUMIF(Data!$G:$G,Neutral!$A22,Data!$DI:$DI)+'Rate History'!$D$19*SUMIF(Data!$G:$G,Neutral!$A22,Data!$DJ:$DJ)+'Rate History'!$D$20*SUMIF(Data!$G:$G,Neutral!$A22,Data!$DK:$DK)+'Rate History'!$D$21*SUMIF(Data!$G:$G,Neutral!$A22,Data!$DL:$DL)+'Rate History'!$D$22*SUMIF(Data!$G:$G,Neutral!$A22,Data!$DM:$DM)+'Rate History'!$D$23*SUMIF(Data!$G:$G,Neutral!$A22,Data!$DN:$DN)+'Rate History'!$D$24*SUMIF(Data!$G:$G,Neutral!$A22,Data!$DO:$DO)+'Rate History'!$D$25*SUMIF(Data!$G:$G,Neutral!$A22,Data!$DP:$DP)+'Rate History'!$D$26*SUMIF(Data!$G:$G,Neutral!$A22,Data!$DQ:$DQ)+'Rate History'!$D$27*SUMIF(Data!$G:$G,Neutral!$A22,Data!$DR:$DR)+'Rate History'!$D$28*SUMIF(Data!$G:$G,Neutral!$A22,Data!$DS:$DS)+'Rate History'!$D$29*SUMIF(Data!$G:$G,Neutral!$A22,Data!$DT:$DT)+'Rate History'!$D$30*SUMIF(Data!$G:$G,Neutral!$A22,Data!$DV:$DV)+'Rate History'!$D$31*SUMIF(Data!$G:$G,Neutral!$A22,Data!$DW:$DW))</f>
        <v>2503749.5034991177</v>
      </c>
      <c r="C22" s="117">
        <f>$C$5*('Rate History'!$C$4*SUMIF(Data!$G:$G,Neutral!$A22,Data!$CU:$CU)+'Rate History'!$C$5*SUMIF(Data!$G:$G,Neutral!$A22,Data!$CV:$CV)+'Rate History'!$C$6*SUMIF(Data!$G:$G,Neutral!$A22,Data!$CW:$CW)+'Rate History'!$C$7*SUMIF(Data!$G:$G,Neutral!$A22,Data!$CX:$CX)+'Rate History'!$C$8*SUMIF(Data!$G:$G,Neutral!$A22,Data!$CY:$CY)+'Rate History'!$C$9*SUMIF(Data!$G:$G,Neutral!$A22,Data!$CZ:$CZ)+'Rate History'!$C$10*SUMIF(Data!$G:$G,Neutral!$A22,Data!$DA:$DA)+'Rate History'!$C$11*SUMIF(Data!$G:$G,Neutral!$A22,Data!$DB:$DB)+'Rate History'!$C$12*SUMIF(Data!$G:$G,Neutral!$A22,Data!$DC:$DC)+'Rate History'!$C$13*SUMIF(Data!$G:$G,Neutral!$A22,Data!$DD:$DD)+'Rate History'!$C$14*SUMIF(Data!$G:$G,Neutral!$A22,Data!$DE:$DE)+'Rate History'!$C$15*SUMIF(Data!$G:$G,Neutral!$A22,Data!$DF:$DF)+'Rate History'!$C$16*SUMIF(Data!$G:$G,Neutral!$A22,Data!$DG:$DG)+'Rate History'!$C$17*SUMIF(Data!$G:$G,Neutral!$A22,Data!$DH:$DH)+'Rate History'!$C$18*SUMIF(Data!$G:$G,Neutral!$A22,Data!$DI:$DI)+'Rate History'!$C$19*SUMIF(Data!$G:$G,Neutral!$A22,Data!$DJ:$DJ)+'Rate History'!$C$20*SUMIF(Data!$G:$G,Neutral!$A22,Data!$DK:$DK)+'Rate History'!$C$21*SUMIF(Data!$G:$G,Neutral!$A22,Data!$DL:$DL)+'Rate History'!$C$22*SUMIF(Data!$G:$G,Neutral!$A22,Data!$DM:$DM)+'Rate History'!$C$23*SUMIF(Data!$G:$G,Neutral!$A22,Data!$DN:$DN)+'Rate History'!$C$24*SUMIF(Data!$G:$G,Neutral!$A22,Data!$DO:$DO)+'Rate History'!$C$25*SUMIF(Data!$G:$G,Neutral!$A22,Data!$DP:$DP)+'Rate History'!$C$26*SUMIF(Data!$G:$G,Neutral!$A22,Data!$DQ:$DQ)+'Rate History'!$C$27*SUMIF(Data!$G:$G,Neutral!$A22,Data!$DR:$DR)+'Rate History'!$C$28*SUMIF(Data!$G:$G,Neutral!$A22,Data!$DS:$DS)+'Rate History'!$C$29*SUMIF(Data!$G:$G,Neutral!$A22,Data!$DT:$DT)+'Rate History'!$C$30*SUMIF(Data!$G:$G,Neutral!$A22,Data!$DV:$DV)+'Rate History'!$C$31*SUMIF(Data!$G:$G,Neutral!$A22,Data!$DW:$DW))</f>
        <v>2469273.708223023</v>
      </c>
      <c r="D22" s="102">
        <f t="shared" si="0"/>
        <v>-34475.795276094694</v>
      </c>
      <c r="E22" s="104">
        <f t="shared" si="1"/>
        <v>-1.3769666345580103E-2</v>
      </c>
      <c r="I22" s="69"/>
    </row>
    <row r="23" spans="1:10" x14ac:dyDescent="0.25">
      <c r="A23" s="97" t="s">
        <v>425</v>
      </c>
      <c r="B23" s="117">
        <f>$B$5*('Rate History'!$D$4*SUMIF(Data!$G:$G,Neutral!$A23,Data!$CU:$CU)+'Rate History'!$D$5*SUMIF(Data!$G:$G,Neutral!$A23,Data!$CV:$CV)+'Rate History'!$D$6*SUMIF(Data!$G:$G,Neutral!$A23,Data!$CW:$CW)+'Rate History'!$D$7*SUMIF(Data!$G:$G,Neutral!$A23,Data!$CX:$CX)+'Rate History'!$D$8*SUMIF(Data!$G:$G,Neutral!$A23,Data!$CY:$CY)+'Rate History'!$D$9*SUMIF(Data!$G:$G,Neutral!$A23,Data!$CZ:$CZ)+'Rate History'!$D$10*SUMIF(Data!$G:$G,Neutral!$A23,Data!$DA:$DA)+'Rate History'!$D$11*SUMIF(Data!$G:$G,Neutral!$A23,Data!$DB:$DB)+'Rate History'!$D$12*SUMIF(Data!$G:$G,Neutral!$A23,Data!$DC:$DC)+'Rate History'!$D$13*SUMIF(Data!$G:$G,Neutral!$A23,Data!$DD:$DD)+'Rate History'!$D$14*SUMIF(Data!$G:$G,Neutral!$A23,Data!$DE:$DE)+'Rate History'!$D$15*SUMIF(Data!$G:$G,Neutral!$A23,Data!$DF:$DF)+'Rate History'!$D$16*SUMIF(Data!$G:$G,Neutral!$A23,Data!$DG:$DG)+'Rate History'!$D$17*SUMIF(Data!$G:$G,Neutral!$A23,Data!$DH:$DH)+'Rate History'!$D$18*SUMIF(Data!$G:$G,Neutral!$A23,Data!$DI:$DI)+'Rate History'!$D$19*SUMIF(Data!$G:$G,Neutral!$A23,Data!$DJ:$DJ)+'Rate History'!$D$20*SUMIF(Data!$G:$G,Neutral!$A23,Data!$DK:$DK)+'Rate History'!$D$21*SUMIF(Data!$G:$G,Neutral!$A23,Data!$DL:$DL)+'Rate History'!$D$22*SUMIF(Data!$G:$G,Neutral!$A23,Data!$DM:$DM)+'Rate History'!$D$23*SUMIF(Data!$G:$G,Neutral!$A23,Data!$DN:$DN)+'Rate History'!$D$24*SUMIF(Data!$G:$G,Neutral!$A23,Data!$DO:$DO)+'Rate History'!$D$25*SUMIF(Data!$G:$G,Neutral!$A23,Data!$DP:$DP)+'Rate History'!$D$26*SUMIF(Data!$G:$G,Neutral!$A23,Data!$DQ:$DQ)+'Rate History'!$D$27*SUMIF(Data!$G:$G,Neutral!$A23,Data!$DR:$DR)+'Rate History'!$D$28*SUMIF(Data!$G:$G,Neutral!$A23,Data!$DS:$DS)+'Rate History'!$D$29*SUMIF(Data!$G:$G,Neutral!$A23,Data!$DT:$DT)+'Rate History'!$D$30*SUMIF(Data!$G:$G,Neutral!$A23,Data!$DV:$DV)+'Rate History'!$D$31*SUMIF(Data!$G:$G,Neutral!$A23,Data!$DW:$DW))</f>
        <v>3487168.0361384694</v>
      </c>
      <c r="C23" s="117">
        <f>$C$5*('Rate History'!$C$4*SUMIF(Data!$G:$G,Neutral!$A23,Data!$CU:$CU)+'Rate History'!$C$5*SUMIF(Data!$G:$G,Neutral!$A23,Data!$CV:$CV)+'Rate History'!$C$6*SUMIF(Data!$G:$G,Neutral!$A23,Data!$CW:$CW)+'Rate History'!$C$7*SUMIF(Data!$G:$G,Neutral!$A23,Data!$CX:$CX)+'Rate History'!$C$8*SUMIF(Data!$G:$G,Neutral!$A23,Data!$CY:$CY)+'Rate History'!$C$9*SUMIF(Data!$G:$G,Neutral!$A23,Data!$CZ:$CZ)+'Rate History'!$C$10*SUMIF(Data!$G:$G,Neutral!$A23,Data!$DA:$DA)+'Rate History'!$C$11*SUMIF(Data!$G:$G,Neutral!$A23,Data!$DB:$DB)+'Rate History'!$C$12*SUMIF(Data!$G:$G,Neutral!$A23,Data!$DC:$DC)+'Rate History'!$C$13*SUMIF(Data!$G:$G,Neutral!$A23,Data!$DD:$DD)+'Rate History'!$C$14*SUMIF(Data!$G:$G,Neutral!$A23,Data!$DE:$DE)+'Rate History'!$C$15*SUMIF(Data!$G:$G,Neutral!$A23,Data!$DF:$DF)+'Rate History'!$C$16*SUMIF(Data!$G:$G,Neutral!$A23,Data!$DG:$DG)+'Rate History'!$C$17*SUMIF(Data!$G:$G,Neutral!$A23,Data!$DH:$DH)+'Rate History'!$C$18*SUMIF(Data!$G:$G,Neutral!$A23,Data!$DI:$DI)+'Rate History'!$C$19*SUMIF(Data!$G:$G,Neutral!$A23,Data!$DJ:$DJ)+'Rate History'!$C$20*SUMIF(Data!$G:$G,Neutral!$A23,Data!$DK:$DK)+'Rate History'!$C$21*SUMIF(Data!$G:$G,Neutral!$A23,Data!$DL:$DL)+'Rate History'!$C$22*SUMIF(Data!$G:$G,Neutral!$A23,Data!$DM:$DM)+'Rate History'!$C$23*SUMIF(Data!$G:$G,Neutral!$A23,Data!$DN:$DN)+'Rate History'!$C$24*SUMIF(Data!$G:$G,Neutral!$A23,Data!$DO:$DO)+'Rate History'!$C$25*SUMIF(Data!$G:$G,Neutral!$A23,Data!$DP:$DP)+'Rate History'!$C$26*SUMIF(Data!$G:$G,Neutral!$A23,Data!$DQ:$DQ)+'Rate History'!$C$27*SUMIF(Data!$G:$G,Neutral!$A23,Data!$DR:$DR)+'Rate History'!$C$28*SUMIF(Data!$G:$G,Neutral!$A23,Data!$DS:$DS)+'Rate History'!$C$29*SUMIF(Data!$G:$G,Neutral!$A23,Data!$DT:$DT)+'Rate History'!$C$30*SUMIF(Data!$G:$G,Neutral!$A23,Data!$DV:$DV)+'Rate History'!$C$31*SUMIF(Data!$G:$G,Neutral!$A23,Data!$DW:$DW))</f>
        <v>3476189.8879737374</v>
      </c>
      <c r="D23" s="102">
        <f t="shared" si="0"/>
        <v>-10978.148164731916</v>
      </c>
      <c r="E23" s="104">
        <f t="shared" si="1"/>
        <v>-3.1481557673626237E-3</v>
      </c>
      <c r="I23" s="69"/>
    </row>
    <row r="24" spans="1:10" x14ac:dyDescent="0.25">
      <c r="A24" s="97" t="s">
        <v>369</v>
      </c>
      <c r="B24" s="117">
        <f>$B$5*('Rate History'!$D$4*SUMIF(Data!$G:$G,Neutral!$A24,Data!$CU:$CU)+'Rate History'!$D$5*SUMIF(Data!$G:$G,Neutral!$A24,Data!$CV:$CV)+'Rate History'!$D$6*SUMIF(Data!$G:$G,Neutral!$A24,Data!$CW:$CW)+'Rate History'!$D$7*SUMIF(Data!$G:$G,Neutral!$A24,Data!$CX:$CX)+'Rate History'!$D$8*SUMIF(Data!$G:$G,Neutral!$A24,Data!$CY:$CY)+'Rate History'!$D$9*SUMIF(Data!$G:$G,Neutral!$A24,Data!$CZ:$CZ)+'Rate History'!$D$10*SUMIF(Data!$G:$G,Neutral!$A24,Data!$DA:$DA)+'Rate History'!$D$11*SUMIF(Data!$G:$G,Neutral!$A24,Data!$DB:$DB)+'Rate History'!$D$12*SUMIF(Data!$G:$G,Neutral!$A24,Data!$DC:$DC)+'Rate History'!$D$13*SUMIF(Data!$G:$G,Neutral!$A24,Data!$DD:$DD)+'Rate History'!$D$14*SUMIF(Data!$G:$G,Neutral!$A24,Data!$DE:$DE)+'Rate History'!$D$15*SUMIF(Data!$G:$G,Neutral!$A24,Data!$DF:$DF)+'Rate History'!$D$16*SUMIF(Data!$G:$G,Neutral!$A24,Data!$DG:$DG)+'Rate History'!$D$17*SUMIF(Data!$G:$G,Neutral!$A24,Data!$DH:$DH)+'Rate History'!$D$18*SUMIF(Data!$G:$G,Neutral!$A24,Data!$DI:$DI)+'Rate History'!$D$19*SUMIF(Data!$G:$G,Neutral!$A24,Data!$DJ:$DJ)+'Rate History'!$D$20*SUMIF(Data!$G:$G,Neutral!$A24,Data!$DK:$DK)+'Rate History'!$D$21*SUMIF(Data!$G:$G,Neutral!$A24,Data!$DL:$DL)+'Rate History'!$D$22*SUMIF(Data!$G:$G,Neutral!$A24,Data!$DM:$DM)+'Rate History'!$D$23*SUMIF(Data!$G:$G,Neutral!$A24,Data!$DN:$DN)+'Rate History'!$D$24*SUMIF(Data!$G:$G,Neutral!$A24,Data!$DO:$DO)+'Rate History'!$D$25*SUMIF(Data!$G:$G,Neutral!$A24,Data!$DP:$DP)+'Rate History'!$D$26*SUMIF(Data!$G:$G,Neutral!$A24,Data!$DQ:$DQ)+'Rate History'!$D$27*SUMIF(Data!$G:$G,Neutral!$A24,Data!$DR:$DR)+'Rate History'!$D$28*SUMIF(Data!$G:$G,Neutral!$A24,Data!$DS:$DS)+'Rate History'!$D$29*SUMIF(Data!$G:$G,Neutral!$A24,Data!$DT:$DT)+'Rate History'!$D$30*SUMIF(Data!$G:$G,Neutral!$A24,Data!$DV:$DV)+'Rate History'!$D$31*SUMIF(Data!$G:$G,Neutral!$A24,Data!$DW:$DW))</f>
        <v>7011843.4572439929</v>
      </c>
      <c r="C24" s="117">
        <f>$C$5*('Rate History'!$C$4*SUMIF(Data!$G:$G,Neutral!$A24,Data!$CU:$CU)+'Rate History'!$C$5*SUMIF(Data!$G:$G,Neutral!$A24,Data!$CV:$CV)+'Rate History'!$C$6*SUMIF(Data!$G:$G,Neutral!$A24,Data!$CW:$CW)+'Rate History'!$C$7*SUMIF(Data!$G:$G,Neutral!$A24,Data!$CX:$CX)+'Rate History'!$C$8*SUMIF(Data!$G:$G,Neutral!$A24,Data!$CY:$CY)+'Rate History'!$C$9*SUMIF(Data!$G:$G,Neutral!$A24,Data!$CZ:$CZ)+'Rate History'!$C$10*SUMIF(Data!$G:$G,Neutral!$A24,Data!$DA:$DA)+'Rate History'!$C$11*SUMIF(Data!$G:$G,Neutral!$A24,Data!$DB:$DB)+'Rate History'!$C$12*SUMIF(Data!$G:$G,Neutral!$A24,Data!$DC:$DC)+'Rate History'!$C$13*SUMIF(Data!$G:$G,Neutral!$A24,Data!$DD:$DD)+'Rate History'!$C$14*SUMIF(Data!$G:$G,Neutral!$A24,Data!$DE:$DE)+'Rate History'!$C$15*SUMIF(Data!$G:$G,Neutral!$A24,Data!$DF:$DF)+'Rate History'!$C$16*SUMIF(Data!$G:$G,Neutral!$A24,Data!$DG:$DG)+'Rate History'!$C$17*SUMIF(Data!$G:$G,Neutral!$A24,Data!$DH:$DH)+'Rate History'!$C$18*SUMIF(Data!$G:$G,Neutral!$A24,Data!$DI:$DI)+'Rate History'!$C$19*SUMIF(Data!$G:$G,Neutral!$A24,Data!$DJ:$DJ)+'Rate History'!$C$20*SUMIF(Data!$G:$G,Neutral!$A24,Data!$DK:$DK)+'Rate History'!$C$21*SUMIF(Data!$G:$G,Neutral!$A24,Data!$DL:$DL)+'Rate History'!$C$22*SUMIF(Data!$G:$G,Neutral!$A24,Data!$DM:$DM)+'Rate History'!$C$23*SUMIF(Data!$G:$G,Neutral!$A24,Data!$DN:$DN)+'Rate History'!$C$24*SUMIF(Data!$G:$G,Neutral!$A24,Data!$DO:$DO)+'Rate History'!$C$25*SUMIF(Data!$G:$G,Neutral!$A24,Data!$DP:$DP)+'Rate History'!$C$26*SUMIF(Data!$G:$G,Neutral!$A24,Data!$DQ:$DQ)+'Rate History'!$C$27*SUMIF(Data!$G:$G,Neutral!$A24,Data!$DR:$DR)+'Rate History'!$C$28*SUMIF(Data!$G:$G,Neutral!$A24,Data!$DS:$DS)+'Rate History'!$C$29*SUMIF(Data!$G:$G,Neutral!$A24,Data!$DT:$DT)+'Rate History'!$C$30*SUMIF(Data!$G:$G,Neutral!$A24,Data!$DV:$DV)+'Rate History'!$C$31*SUMIF(Data!$G:$G,Neutral!$A24,Data!$DW:$DW))</f>
        <v>6987993.0856390698</v>
      </c>
      <c r="D24" s="102">
        <f t="shared" si="0"/>
        <v>-23850.371604923159</v>
      </c>
      <c r="E24" s="104">
        <f t="shared" si="1"/>
        <v>-3.4014409691766785E-3</v>
      </c>
      <c r="H24" s="69"/>
      <c r="I24" s="69"/>
    </row>
    <row r="25" spans="1:10" x14ac:dyDescent="0.25">
      <c r="A25" s="97" t="s">
        <v>373</v>
      </c>
      <c r="B25" s="117">
        <f>$B$5*('Rate History'!$D$4*SUMIF(Data!$G:$G,Neutral!$A25,Data!$CU:$CU)+'Rate History'!$D$5*SUMIF(Data!$G:$G,Neutral!$A25,Data!$CV:$CV)+'Rate History'!$D$6*SUMIF(Data!$G:$G,Neutral!$A25,Data!$CW:$CW)+'Rate History'!$D$7*SUMIF(Data!$G:$G,Neutral!$A25,Data!$CX:$CX)+'Rate History'!$D$8*SUMIF(Data!$G:$G,Neutral!$A25,Data!$CY:$CY)+'Rate History'!$D$9*SUMIF(Data!$G:$G,Neutral!$A25,Data!$CZ:$CZ)+'Rate History'!$D$10*SUMIF(Data!$G:$G,Neutral!$A25,Data!$DA:$DA)+'Rate History'!$D$11*SUMIF(Data!$G:$G,Neutral!$A25,Data!$DB:$DB)+'Rate History'!$D$12*SUMIF(Data!$G:$G,Neutral!$A25,Data!$DC:$DC)+'Rate History'!$D$13*SUMIF(Data!$G:$G,Neutral!$A25,Data!$DD:$DD)+'Rate History'!$D$14*SUMIF(Data!$G:$G,Neutral!$A25,Data!$DE:$DE)+'Rate History'!$D$15*SUMIF(Data!$G:$G,Neutral!$A25,Data!$DF:$DF)+'Rate History'!$D$16*SUMIF(Data!$G:$G,Neutral!$A25,Data!$DG:$DG)+'Rate History'!$D$17*SUMIF(Data!$G:$G,Neutral!$A25,Data!$DH:$DH)+'Rate History'!$D$18*SUMIF(Data!$G:$G,Neutral!$A25,Data!$DI:$DI)+'Rate History'!$D$19*SUMIF(Data!$G:$G,Neutral!$A25,Data!$DJ:$DJ)+'Rate History'!$D$20*SUMIF(Data!$G:$G,Neutral!$A25,Data!$DK:$DK)+'Rate History'!$D$21*SUMIF(Data!$G:$G,Neutral!$A25,Data!$DL:$DL)+'Rate History'!$D$22*SUMIF(Data!$G:$G,Neutral!$A25,Data!$DM:$DM)+'Rate History'!$D$23*SUMIF(Data!$G:$G,Neutral!$A25,Data!$DN:$DN)+'Rate History'!$D$24*SUMIF(Data!$G:$G,Neutral!$A25,Data!$DO:$DO)+'Rate History'!$D$25*SUMIF(Data!$G:$G,Neutral!$A25,Data!$DP:$DP)+'Rate History'!$D$26*SUMIF(Data!$G:$G,Neutral!$A25,Data!$DQ:$DQ)+'Rate History'!$D$27*SUMIF(Data!$G:$G,Neutral!$A25,Data!$DR:$DR)+'Rate History'!$D$28*SUMIF(Data!$G:$G,Neutral!$A25,Data!$DS:$DS)+'Rate History'!$D$29*SUMIF(Data!$G:$G,Neutral!$A25,Data!$DT:$DT)+'Rate History'!$D$30*SUMIF(Data!$G:$G,Neutral!$A25,Data!$DV:$DV)+'Rate History'!$D$31*SUMIF(Data!$G:$G,Neutral!$A25,Data!$DW:$DW))</f>
        <v>6242467.3969213478</v>
      </c>
      <c r="C25" s="117">
        <f>$C$5*('Rate History'!$C$4*SUMIF(Data!$G:$G,Neutral!$A25,Data!$CU:$CU)+'Rate History'!$C$5*SUMIF(Data!$G:$G,Neutral!$A25,Data!$CV:$CV)+'Rate History'!$C$6*SUMIF(Data!$G:$G,Neutral!$A25,Data!$CW:$CW)+'Rate History'!$C$7*SUMIF(Data!$G:$G,Neutral!$A25,Data!$CX:$CX)+'Rate History'!$C$8*SUMIF(Data!$G:$G,Neutral!$A25,Data!$CY:$CY)+'Rate History'!$C$9*SUMIF(Data!$G:$G,Neutral!$A25,Data!$CZ:$CZ)+'Rate History'!$C$10*SUMIF(Data!$G:$G,Neutral!$A25,Data!$DA:$DA)+'Rate History'!$C$11*SUMIF(Data!$G:$G,Neutral!$A25,Data!$DB:$DB)+'Rate History'!$C$12*SUMIF(Data!$G:$G,Neutral!$A25,Data!$DC:$DC)+'Rate History'!$C$13*SUMIF(Data!$G:$G,Neutral!$A25,Data!$DD:$DD)+'Rate History'!$C$14*SUMIF(Data!$G:$G,Neutral!$A25,Data!$DE:$DE)+'Rate History'!$C$15*SUMIF(Data!$G:$G,Neutral!$A25,Data!$DF:$DF)+'Rate History'!$C$16*SUMIF(Data!$G:$G,Neutral!$A25,Data!$DG:$DG)+'Rate History'!$C$17*SUMIF(Data!$G:$G,Neutral!$A25,Data!$DH:$DH)+'Rate History'!$C$18*SUMIF(Data!$G:$G,Neutral!$A25,Data!$DI:$DI)+'Rate History'!$C$19*SUMIF(Data!$G:$G,Neutral!$A25,Data!$DJ:$DJ)+'Rate History'!$C$20*SUMIF(Data!$G:$G,Neutral!$A25,Data!$DK:$DK)+'Rate History'!$C$21*SUMIF(Data!$G:$G,Neutral!$A25,Data!$DL:$DL)+'Rate History'!$C$22*SUMIF(Data!$G:$G,Neutral!$A25,Data!$DM:$DM)+'Rate History'!$C$23*SUMIF(Data!$G:$G,Neutral!$A25,Data!$DN:$DN)+'Rate History'!$C$24*SUMIF(Data!$G:$G,Neutral!$A25,Data!$DO:$DO)+'Rate History'!$C$25*SUMIF(Data!$G:$G,Neutral!$A25,Data!$DP:$DP)+'Rate History'!$C$26*SUMIF(Data!$G:$G,Neutral!$A25,Data!$DQ:$DQ)+'Rate History'!$C$27*SUMIF(Data!$G:$G,Neutral!$A25,Data!$DR:$DR)+'Rate History'!$C$28*SUMIF(Data!$G:$G,Neutral!$A25,Data!$DS:$DS)+'Rate History'!$C$29*SUMIF(Data!$G:$G,Neutral!$A25,Data!$DT:$DT)+'Rate History'!$C$30*SUMIF(Data!$G:$G,Neutral!$A25,Data!$DV:$DV)+'Rate History'!$C$31*SUMIF(Data!$G:$G,Neutral!$A25,Data!$DW:$DW))</f>
        <v>6244466.4417819902</v>
      </c>
      <c r="D25" s="102">
        <f t="shared" si="0"/>
        <v>1999.0448606424034</v>
      </c>
      <c r="E25" s="104">
        <f t="shared" si="1"/>
        <v>3.2023312795006185E-4</v>
      </c>
      <c r="H25" s="69"/>
      <c r="I25" s="69"/>
    </row>
    <row r="26" spans="1:10" x14ac:dyDescent="0.25">
      <c r="A26" s="97" t="s">
        <v>443</v>
      </c>
      <c r="B26" s="117">
        <f>$B$5*('Rate History'!$D$4*SUMIF(Data!$G:$G,Neutral!$A26,Data!$CU:$CU)+'Rate History'!$D$5*SUMIF(Data!$G:$G,Neutral!$A26,Data!$CV:$CV)+'Rate History'!$D$6*SUMIF(Data!$G:$G,Neutral!$A26,Data!$CW:$CW)+'Rate History'!$D$7*SUMIF(Data!$G:$G,Neutral!$A26,Data!$CX:$CX)+'Rate History'!$D$8*SUMIF(Data!$G:$G,Neutral!$A26,Data!$CY:$CY)+'Rate History'!$D$9*SUMIF(Data!$G:$G,Neutral!$A26,Data!$CZ:$CZ)+'Rate History'!$D$10*SUMIF(Data!$G:$G,Neutral!$A26,Data!$DA:$DA)+'Rate History'!$D$11*SUMIF(Data!$G:$G,Neutral!$A26,Data!$DB:$DB)+'Rate History'!$D$12*SUMIF(Data!$G:$G,Neutral!$A26,Data!$DC:$DC)+'Rate History'!$D$13*SUMIF(Data!$G:$G,Neutral!$A26,Data!$DD:$DD)+'Rate History'!$D$14*SUMIF(Data!$G:$G,Neutral!$A26,Data!$DE:$DE)+'Rate History'!$D$15*SUMIF(Data!$G:$G,Neutral!$A26,Data!$DF:$DF)+'Rate History'!$D$16*SUMIF(Data!$G:$G,Neutral!$A26,Data!$DG:$DG)+'Rate History'!$D$17*SUMIF(Data!$G:$G,Neutral!$A26,Data!$DH:$DH)+'Rate History'!$D$18*SUMIF(Data!$G:$G,Neutral!$A26,Data!$DI:$DI)+'Rate History'!$D$19*SUMIF(Data!$G:$G,Neutral!$A26,Data!$DJ:$DJ)+'Rate History'!$D$20*SUMIF(Data!$G:$G,Neutral!$A26,Data!$DK:$DK)+'Rate History'!$D$21*SUMIF(Data!$G:$G,Neutral!$A26,Data!$DL:$DL)+'Rate History'!$D$22*SUMIF(Data!$G:$G,Neutral!$A26,Data!$DM:$DM)+'Rate History'!$D$23*SUMIF(Data!$G:$G,Neutral!$A26,Data!$DN:$DN)+'Rate History'!$D$24*SUMIF(Data!$G:$G,Neutral!$A26,Data!$DO:$DO)+'Rate History'!$D$25*SUMIF(Data!$G:$G,Neutral!$A26,Data!$DP:$DP)+'Rate History'!$D$26*SUMIF(Data!$G:$G,Neutral!$A26,Data!$DQ:$DQ)+'Rate History'!$D$27*SUMIF(Data!$G:$G,Neutral!$A26,Data!$DR:$DR)+'Rate History'!$D$28*SUMIF(Data!$G:$G,Neutral!$A26,Data!$DS:$DS)+'Rate History'!$D$29*SUMIF(Data!$G:$G,Neutral!$A26,Data!$DT:$DT)+'Rate History'!$D$30*SUMIF(Data!$G:$G,Neutral!$A26,Data!$DV:$DV)+'Rate History'!$D$31*SUMIF(Data!$G:$G,Neutral!$A26,Data!$DW:$DW))</f>
        <v>66026478.535282344</v>
      </c>
      <c r="C26" s="117">
        <f>$C$5*('Rate History'!$C$4*SUMIF(Data!$G:$G,Neutral!$A26,Data!$CU:$CU)+'Rate History'!$C$5*SUMIF(Data!$G:$G,Neutral!$A26,Data!$CV:$CV)+'Rate History'!$C$6*SUMIF(Data!$G:$G,Neutral!$A26,Data!$CW:$CW)+'Rate History'!$C$7*SUMIF(Data!$G:$G,Neutral!$A26,Data!$CX:$CX)+'Rate History'!$C$8*SUMIF(Data!$G:$G,Neutral!$A26,Data!$CY:$CY)+'Rate History'!$C$9*SUMIF(Data!$G:$G,Neutral!$A26,Data!$CZ:$CZ)+'Rate History'!$C$10*SUMIF(Data!$G:$G,Neutral!$A26,Data!$DA:$DA)+'Rate History'!$C$11*SUMIF(Data!$G:$G,Neutral!$A26,Data!$DB:$DB)+'Rate History'!$C$12*SUMIF(Data!$G:$G,Neutral!$A26,Data!$DC:$DC)+'Rate History'!$C$13*SUMIF(Data!$G:$G,Neutral!$A26,Data!$DD:$DD)+'Rate History'!$C$14*SUMIF(Data!$G:$G,Neutral!$A26,Data!$DE:$DE)+'Rate History'!$C$15*SUMIF(Data!$G:$G,Neutral!$A26,Data!$DF:$DF)+'Rate History'!$C$16*SUMIF(Data!$G:$G,Neutral!$A26,Data!$DG:$DG)+'Rate History'!$C$17*SUMIF(Data!$G:$G,Neutral!$A26,Data!$DH:$DH)+'Rate History'!$C$18*SUMIF(Data!$G:$G,Neutral!$A26,Data!$DI:$DI)+'Rate History'!$C$19*SUMIF(Data!$G:$G,Neutral!$A26,Data!$DJ:$DJ)+'Rate History'!$C$20*SUMIF(Data!$G:$G,Neutral!$A26,Data!$DK:$DK)+'Rate History'!$C$21*SUMIF(Data!$G:$G,Neutral!$A26,Data!$DL:$DL)+'Rate History'!$C$22*SUMIF(Data!$G:$G,Neutral!$A26,Data!$DM:$DM)+'Rate History'!$C$23*SUMIF(Data!$G:$G,Neutral!$A26,Data!$DN:$DN)+'Rate History'!$C$24*SUMIF(Data!$G:$G,Neutral!$A26,Data!$DO:$DO)+'Rate History'!$C$25*SUMIF(Data!$G:$G,Neutral!$A26,Data!$DP:$DP)+'Rate History'!$C$26*SUMIF(Data!$G:$G,Neutral!$A26,Data!$DQ:$DQ)+'Rate History'!$C$27*SUMIF(Data!$G:$G,Neutral!$A26,Data!$DR:$DR)+'Rate History'!$C$28*SUMIF(Data!$G:$G,Neutral!$A26,Data!$DS:$DS)+'Rate History'!$C$29*SUMIF(Data!$G:$G,Neutral!$A26,Data!$DT:$DT)+'Rate History'!$C$30*SUMIF(Data!$G:$G,Neutral!$A26,Data!$DV:$DV)+'Rate History'!$C$31*SUMIF(Data!$G:$G,Neutral!$A26,Data!$DW:$DW))</f>
        <v>66107073.97151424</v>
      </c>
      <c r="D26" s="102">
        <f t="shared" si="0"/>
        <v>80595.436231896281</v>
      </c>
      <c r="E26" s="104">
        <f t="shared" si="1"/>
        <v>1.2206532594166563E-3</v>
      </c>
      <c r="H26" s="69"/>
      <c r="I26" s="69"/>
    </row>
    <row r="27" spans="1:10" x14ac:dyDescent="0.25">
      <c r="A27" s="97" t="s">
        <v>375</v>
      </c>
      <c r="B27" s="117">
        <f>$B$5*('Rate History'!$D$4*SUMIF(Data!$G:$G,Neutral!$A27,Data!$CU:$CU)+'Rate History'!$D$5*SUMIF(Data!$G:$G,Neutral!$A27,Data!$CV:$CV)+'Rate History'!$D$6*SUMIF(Data!$G:$G,Neutral!$A27,Data!$CW:$CW)+'Rate History'!$D$7*SUMIF(Data!$G:$G,Neutral!$A27,Data!$CX:$CX)+'Rate History'!$D$8*SUMIF(Data!$G:$G,Neutral!$A27,Data!$CY:$CY)+'Rate History'!$D$9*SUMIF(Data!$G:$G,Neutral!$A27,Data!$CZ:$CZ)+'Rate History'!$D$10*SUMIF(Data!$G:$G,Neutral!$A27,Data!$DA:$DA)+'Rate History'!$D$11*SUMIF(Data!$G:$G,Neutral!$A27,Data!$DB:$DB)+'Rate History'!$D$12*SUMIF(Data!$G:$G,Neutral!$A27,Data!$DC:$DC)+'Rate History'!$D$13*SUMIF(Data!$G:$G,Neutral!$A27,Data!$DD:$DD)+'Rate History'!$D$14*SUMIF(Data!$G:$G,Neutral!$A27,Data!$DE:$DE)+'Rate History'!$D$15*SUMIF(Data!$G:$G,Neutral!$A27,Data!$DF:$DF)+'Rate History'!$D$16*SUMIF(Data!$G:$G,Neutral!$A27,Data!$DG:$DG)+'Rate History'!$D$17*SUMIF(Data!$G:$G,Neutral!$A27,Data!$DH:$DH)+'Rate History'!$D$18*SUMIF(Data!$G:$G,Neutral!$A27,Data!$DI:$DI)+'Rate History'!$D$19*SUMIF(Data!$G:$G,Neutral!$A27,Data!$DJ:$DJ)+'Rate History'!$D$20*SUMIF(Data!$G:$G,Neutral!$A27,Data!$DK:$DK)+'Rate History'!$D$21*SUMIF(Data!$G:$G,Neutral!$A27,Data!$DL:$DL)+'Rate History'!$D$22*SUMIF(Data!$G:$G,Neutral!$A27,Data!$DM:$DM)+'Rate History'!$D$23*SUMIF(Data!$G:$G,Neutral!$A27,Data!$DN:$DN)+'Rate History'!$D$24*SUMIF(Data!$G:$G,Neutral!$A27,Data!$DO:$DO)+'Rate History'!$D$25*SUMIF(Data!$G:$G,Neutral!$A27,Data!$DP:$DP)+'Rate History'!$D$26*SUMIF(Data!$G:$G,Neutral!$A27,Data!$DQ:$DQ)+'Rate History'!$D$27*SUMIF(Data!$G:$G,Neutral!$A27,Data!$DR:$DR)+'Rate History'!$D$28*SUMIF(Data!$G:$G,Neutral!$A27,Data!$DS:$DS)+'Rate History'!$D$29*SUMIF(Data!$G:$G,Neutral!$A27,Data!$DT:$DT)+'Rate History'!$D$30*SUMIF(Data!$G:$G,Neutral!$A27,Data!$DV:$DV)+'Rate History'!$D$31*SUMIF(Data!$G:$G,Neutral!$A27,Data!$DW:$DW))</f>
        <v>8089658.9660387142</v>
      </c>
      <c r="C27" s="117">
        <f>$C$5*('Rate History'!$C$4*SUMIF(Data!$G:$G,Neutral!$A27,Data!$CU:$CU)+'Rate History'!$C$5*SUMIF(Data!$G:$G,Neutral!$A27,Data!$CV:$CV)+'Rate History'!$C$6*SUMIF(Data!$G:$G,Neutral!$A27,Data!$CW:$CW)+'Rate History'!$C$7*SUMIF(Data!$G:$G,Neutral!$A27,Data!$CX:$CX)+'Rate History'!$C$8*SUMIF(Data!$G:$G,Neutral!$A27,Data!$CY:$CY)+'Rate History'!$C$9*SUMIF(Data!$G:$G,Neutral!$A27,Data!$CZ:$CZ)+'Rate History'!$C$10*SUMIF(Data!$G:$G,Neutral!$A27,Data!$DA:$DA)+'Rate History'!$C$11*SUMIF(Data!$G:$G,Neutral!$A27,Data!$DB:$DB)+'Rate History'!$C$12*SUMIF(Data!$G:$G,Neutral!$A27,Data!$DC:$DC)+'Rate History'!$C$13*SUMIF(Data!$G:$G,Neutral!$A27,Data!$DD:$DD)+'Rate History'!$C$14*SUMIF(Data!$G:$G,Neutral!$A27,Data!$DE:$DE)+'Rate History'!$C$15*SUMIF(Data!$G:$G,Neutral!$A27,Data!$DF:$DF)+'Rate History'!$C$16*SUMIF(Data!$G:$G,Neutral!$A27,Data!$DG:$DG)+'Rate History'!$C$17*SUMIF(Data!$G:$G,Neutral!$A27,Data!$DH:$DH)+'Rate History'!$C$18*SUMIF(Data!$G:$G,Neutral!$A27,Data!$DI:$DI)+'Rate History'!$C$19*SUMIF(Data!$G:$G,Neutral!$A27,Data!$DJ:$DJ)+'Rate History'!$C$20*SUMIF(Data!$G:$G,Neutral!$A27,Data!$DK:$DK)+'Rate History'!$C$21*SUMIF(Data!$G:$G,Neutral!$A27,Data!$DL:$DL)+'Rate History'!$C$22*SUMIF(Data!$G:$G,Neutral!$A27,Data!$DM:$DM)+'Rate History'!$C$23*SUMIF(Data!$G:$G,Neutral!$A27,Data!$DN:$DN)+'Rate History'!$C$24*SUMIF(Data!$G:$G,Neutral!$A27,Data!$DO:$DO)+'Rate History'!$C$25*SUMIF(Data!$G:$G,Neutral!$A27,Data!$DP:$DP)+'Rate History'!$C$26*SUMIF(Data!$G:$G,Neutral!$A27,Data!$DQ:$DQ)+'Rate History'!$C$27*SUMIF(Data!$G:$G,Neutral!$A27,Data!$DR:$DR)+'Rate History'!$C$28*SUMIF(Data!$G:$G,Neutral!$A27,Data!$DS:$DS)+'Rate History'!$C$29*SUMIF(Data!$G:$G,Neutral!$A27,Data!$DT:$DT)+'Rate History'!$C$30*SUMIF(Data!$G:$G,Neutral!$A27,Data!$DV:$DV)+'Rate History'!$C$31*SUMIF(Data!$G:$G,Neutral!$A27,Data!$DW:$DW))</f>
        <v>8141175.5342942504</v>
      </c>
      <c r="D27" s="102">
        <f t="shared" si="0"/>
        <v>51516.568255536258</v>
      </c>
      <c r="E27" s="104">
        <f t="shared" si="1"/>
        <v>6.3682002506914729E-3</v>
      </c>
      <c r="H27" s="69"/>
      <c r="I27" s="69"/>
    </row>
    <row r="28" spans="1:10" x14ac:dyDescent="0.25">
      <c r="A28" s="97" t="s">
        <v>377</v>
      </c>
      <c r="B28" s="117">
        <f>$B$5*('Rate History'!$D$4*SUMIF(Data!$G:$G,Neutral!$A28,Data!$CU:$CU)+'Rate History'!$D$5*SUMIF(Data!$G:$G,Neutral!$A28,Data!$CV:$CV)+'Rate History'!$D$6*SUMIF(Data!$G:$G,Neutral!$A28,Data!$CW:$CW)+'Rate History'!$D$7*SUMIF(Data!$G:$G,Neutral!$A28,Data!$CX:$CX)+'Rate History'!$D$8*SUMIF(Data!$G:$G,Neutral!$A28,Data!$CY:$CY)+'Rate History'!$D$9*SUMIF(Data!$G:$G,Neutral!$A28,Data!$CZ:$CZ)+'Rate History'!$D$10*SUMIF(Data!$G:$G,Neutral!$A28,Data!$DA:$DA)+'Rate History'!$D$11*SUMIF(Data!$G:$G,Neutral!$A28,Data!$DB:$DB)+'Rate History'!$D$12*SUMIF(Data!$G:$G,Neutral!$A28,Data!$DC:$DC)+'Rate History'!$D$13*SUMIF(Data!$G:$G,Neutral!$A28,Data!$DD:$DD)+'Rate History'!$D$14*SUMIF(Data!$G:$G,Neutral!$A28,Data!$DE:$DE)+'Rate History'!$D$15*SUMIF(Data!$G:$G,Neutral!$A28,Data!$DF:$DF)+'Rate History'!$D$16*SUMIF(Data!$G:$G,Neutral!$A28,Data!$DG:$DG)+'Rate History'!$D$17*SUMIF(Data!$G:$G,Neutral!$A28,Data!$DH:$DH)+'Rate History'!$D$18*SUMIF(Data!$G:$G,Neutral!$A28,Data!$DI:$DI)+'Rate History'!$D$19*SUMIF(Data!$G:$G,Neutral!$A28,Data!$DJ:$DJ)+'Rate History'!$D$20*SUMIF(Data!$G:$G,Neutral!$A28,Data!$DK:$DK)+'Rate History'!$D$21*SUMIF(Data!$G:$G,Neutral!$A28,Data!$DL:$DL)+'Rate History'!$D$22*SUMIF(Data!$G:$G,Neutral!$A28,Data!$DM:$DM)+'Rate History'!$D$23*SUMIF(Data!$G:$G,Neutral!$A28,Data!$DN:$DN)+'Rate History'!$D$24*SUMIF(Data!$G:$G,Neutral!$A28,Data!$DO:$DO)+'Rate History'!$D$25*SUMIF(Data!$G:$G,Neutral!$A28,Data!$DP:$DP)+'Rate History'!$D$26*SUMIF(Data!$G:$G,Neutral!$A28,Data!$DQ:$DQ)+'Rate History'!$D$27*SUMIF(Data!$G:$G,Neutral!$A28,Data!$DR:$DR)+'Rate History'!$D$28*SUMIF(Data!$G:$G,Neutral!$A28,Data!$DS:$DS)+'Rate History'!$D$29*SUMIF(Data!$G:$G,Neutral!$A28,Data!$DT:$DT)+'Rate History'!$D$30*SUMIF(Data!$G:$G,Neutral!$A28,Data!$DV:$DV)+'Rate History'!$D$31*SUMIF(Data!$G:$G,Neutral!$A28,Data!$DW:$DW))</f>
        <v>12405257.477017596</v>
      </c>
      <c r="C28" s="117">
        <f>$C$5*('Rate History'!$C$4*SUMIF(Data!$G:$G,Neutral!$A28,Data!$CU:$CU)+'Rate History'!$C$5*SUMIF(Data!$G:$G,Neutral!$A28,Data!$CV:$CV)+'Rate History'!$C$6*SUMIF(Data!$G:$G,Neutral!$A28,Data!$CW:$CW)+'Rate History'!$C$7*SUMIF(Data!$G:$G,Neutral!$A28,Data!$CX:$CX)+'Rate History'!$C$8*SUMIF(Data!$G:$G,Neutral!$A28,Data!$CY:$CY)+'Rate History'!$C$9*SUMIF(Data!$G:$G,Neutral!$A28,Data!$CZ:$CZ)+'Rate History'!$C$10*SUMIF(Data!$G:$G,Neutral!$A28,Data!$DA:$DA)+'Rate History'!$C$11*SUMIF(Data!$G:$G,Neutral!$A28,Data!$DB:$DB)+'Rate History'!$C$12*SUMIF(Data!$G:$G,Neutral!$A28,Data!$DC:$DC)+'Rate History'!$C$13*SUMIF(Data!$G:$G,Neutral!$A28,Data!$DD:$DD)+'Rate History'!$C$14*SUMIF(Data!$G:$G,Neutral!$A28,Data!$DE:$DE)+'Rate History'!$C$15*SUMIF(Data!$G:$G,Neutral!$A28,Data!$DF:$DF)+'Rate History'!$C$16*SUMIF(Data!$G:$G,Neutral!$A28,Data!$DG:$DG)+'Rate History'!$C$17*SUMIF(Data!$G:$G,Neutral!$A28,Data!$DH:$DH)+'Rate History'!$C$18*SUMIF(Data!$G:$G,Neutral!$A28,Data!$DI:$DI)+'Rate History'!$C$19*SUMIF(Data!$G:$G,Neutral!$A28,Data!$DJ:$DJ)+'Rate History'!$C$20*SUMIF(Data!$G:$G,Neutral!$A28,Data!$DK:$DK)+'Rate History'!$C$21*SUMIF(Data!$G:$G,Neutral!$A28,Data!$DL:$DL)+'Rate History'!$C$22*SUMIF(Data!$G:$G,Neutral!$A28,Data!$DM:$DM)+'Rate History'!$C$23*SUMIF(Data!$G:$G,Neutral!$A28,Data!$DN:$DN)+'Rate History'!$C$24*SUMIF(Data!$G:$G,Neutral!$A28,Data!$DO:$DO)+'Rate History'!$C$25*SUMIF(Data!$G:$G,Neutral!$A28,Data!$DP:$DP)+'Rate History'!$C$26*SUMIF(Data!$G:$G,Neutral!$A28,Data!$DQ:$DQ)+'Rate History'!$C$27*SUMIF(Data!$G:$G,Neutral!$A28,Data!$DR:$DR)+'Rate History'!$C$28*SUMIF(Data!$G:$G,Neutral!$A28,Data!$DS:$DS)+'Rate History'!$C$29*SUMIF(Data!$G:$G,Neutral!$A28,Data!$DT:$DT)+'Rate History'!$C$30*SUMIF(Data!$G:$G,Neutral!$A28,Data!$DV:$DV)+'Rate History'!$C$31*SUMIF(Data!$G:$G,Neutral!$A28,Data!$DW:$DW))</f>
        <v>12390080.325523786</v>
      </c>
      <c r="D28" s="102">
        <f t="shared" si="0"/>
        <v>-15177.151493810117</v>
      </c>
      <c r="E28" s="104">
        <f t="shared" si="1"/>
        <v>-1.2234451015569669E-3</v>
      </c>
      <c r="H28" s="69"/>
      <c r="I28" s="69"/>
    </row>
    <row r="29" spans="1:10" x14ac:dyDescent="0.25">
      <c r="A29" s="97" t="s">
        <v>379</v>
      </c>
      <c r="B29" s="117">
        <f>$B$5*('Rate History'!$D$4*SUMIF(Data!$G:$G,Neutral!$A29,Data!$CU:$CU)+'Rate History'!$D$5*SUMIF(Data!$G:$G,Neutral!$A29,Data!$CV:$CV)+'Rate History'!$D$6*SUMIF(Data!$G:$G,Neutral!$A29,Data!$CW:$CW)+'Rate History'!$D$7*SUMIF(Data!$G:$G,Neutral!$A29,Data!$CX:$CX)+'Rate History'!$D$8*SUMIF(Data!$G:$G,Neutral!$A29,Data!$CY:$CY)+'Rate History'!$D$9*SUMIF(Data!$G:$G,Neutral!$A29,Data!$CZ:$CZ)+'Rate History'!$D$10*SUMIF(Data!$G:$G,Neutral!$A29,Data!$DA:$DA)+'Rate History'!$D$11*SUMIF(Data!$G:$G,Neutral!$A29,Data!$DB:$DB)+'Rate History'!$D$12*SUMIF(Data!$G:$G,Neutral!$A29,Data!$DC:$DC)+'Rate History'!$D$13*SUMIF(Data!$G:$G,Neutral!$A29,Data!$DD:$DD)+'Rate History'!$D$14*SUMIF(Data!$G:$G,Neutral!$A29,Data!$DE:$DE)+'Rate History'!$D$15*SUMIF(Data!$G:$G,Neutral!$A29,Data!$DF:$DF)+'Rate History'!$D$16*SUMIF(Data!$G:$G,Neutral!$A29,Data!$DG:$DG)+'Rate History'!$D$17*SUMIF(Data!$G:$G,Neutral!$A29,Data!$DH:$DH)+'Rate History'!$D$18*SUMIF(Data!$G:$G,Neutral!$A29,Data!$DI:$DI)+'Rate History'!$D$19*SUMIF(Data!$G:$G,Neutral!$A29,Data!$DJ:$DJ)+'Rate History'!$D$20*SUMIF(Data!$G:$G,Neutral!$A29,Data!$DK:$DK)+'Rate History'!$D$21*SUMIF(Data!$G:$G,Neutral!$A29,Data!$DL:$DL)+'Rate History'!$D$22*SUMIF(Data!$G:$G,Neutral!$A29,Data!$DM:$DM)+'Rate History'!$D$23*SUMIF(Data!$G:$G,Neutral!$A29,Data!$DN:$DN)+'Rate History'!$D$24*SUMIF(Data!$G:$G,Neutral!$A29,Data!$DO:$DO)+'Rate History'!$D$25*SUMIF(Data!$G:$G,Neutral!$A29,Data!$DP:$DP)+'Rate History'!$D$26*SUMIF(Data!$G:$G,Neutral!$A29,Data!$DQ:$DQ)+'Rate History'!$D$27*SUMIF(Data!$G:$G,Neutral!$A29,Data!$DR:$DR)+'Rate History'!$D$28*SUMIF(Data!$G:$G,Neutral!$A29,Data!$DS:$DS)+'Rate History'!$D$29*SUMIF(Data!$G:$G,Neutral!$A29,Data!$DT:$DT)+'Rate History'!$D$30*SUMIF(Data!$G:$G,Neutral!$A29,Data!$DV:$DV)+'Rate History'!$D$31*SUMIF(Data!$G:$G,Neutral!$A29,Data!$DW:$DW))</f>
        <v>11196028.35023527</v>
      </c>
      <c r="C29" s="117">
        <f>$C$5*('Rate History'!$C$4*SUMIF(Data!$G:$G,Neutral!$A29,Data!$CU:$CU)+'Rate History'!$C$5*SUMIF(Data!$G:$G,Neutral!$A29,Data!$CV:$CV)+'Rate History'!$C$6*SUMIF(Data!$G:$G,Neutral!$A29,Data!$CW:$CW)+'Rate History'!$C$7*SUMIF(Data!$G:$G,Neutral!$A29,Data!$CX:$CX)+'Rate History'!$C$8*SUMIF(Data!$G:$G,Neutral!$A29,Data!$CY:$CY)+'Rate History'!$C$9*SUMIF(Data!$G:$G,Neutral!$A29,Data!$CZ:$CZ)+'Rate History'!$C$10*SUMIF(Data!$G:$G,Neutral!$A29,Data!$DA:$DA)+'Rate History'!$C$11*SUMIF(Data!$G:$G,Neutral!$A29,Data!$DB:$DB)+'Rate History'!$C$12*SUMIF(Data!$G:$G,Neutral!$A29,Data!$DC:$DC)+'Rate History'!$C$13*SUMIF(Data!$G:$G,Neutral!$A29,Data!$DD:$DD)+'Rate History'!$C$14*SUMIF(Data!$G:$G,Neutral!$A29,Data!$DE:$DE)+'Rate History'!$C$15*SUMIF(Data!$G:$G,Neutral!$A29,Data!$DF:$DF)+'Rate History'!$C$16*SUMIF(Data!$G:$G,Neutral!$A29,Data!$DG:$DG)+'Rate History'!$C$17*SUMIF(Data!$G:$G,Neutral!$A29,Data!$DH:$DH)+'Rate History'!$C$18*SUMIF(Data!$G:$G,Neutral!$A29,Data!$DI:$DI)+'Rate History'!$C$19*SUMIF(Data!$G:$G,Neutral!$A29,Data!$DJ:$DJ)+'Rate History'!$C$20*SUMIF(Data!$G:$G,Neutral!$A29,Data!$DK:$DK)+'Rate History'!$C$21*SUMIF(Data!$G:$G,Neutral!$A29,Data!$DL:$DL)+'Rate History'!$C$22*SUMIF(Data!$G:$G,Neutral!$A29,Data!$DM:$DM)+'Rate History'!$C$23*SUMIF(Data!$G:$G,Neutral!$A29,Data!$DN:$DN)+'Rate History'!$C$24*SUMIF(Data!$G:$G,Neutral!$A29,Data!$DO:$DO)+'Rate History'!$C$25*SUMIF(Data!$G:$G,Neutral!$A29,Data!$DP:$DP)+'Rate History'!$C$26*SUMIF(Data!$G:$G,Neutral!$A29,Data!$DQ:$DQ)+'Rate History'!$C$27*SUMIF(Data!$G:$G,Neutral!$A29,Data!$DR:$DR)+'Rate History'!$C$28*SUMIF(Data!$G:$G,Neutral!$A29,Data!$DS:$DS)+'Rate History'!$C$29*SUMIF(Data!$G:$G,Neutral!$A29,Data!$DT:$DT)+'Rate History'!$C$30*SUMIF(Data!$G:$G,Neutral!$A29,Data!$DV:$DV)+'Rate History'!$C$31*SUMIF(Data!$G:$G,Neutral!$A29,Data!$DW:$DW))</f>
        <v>11206025.700810054</v>
      </c>
      <c r="D29" s="102">
        <f t="shared" si="0"/>
        <v>9997.3505747839808</v>
      </c>
      <c r="E29" s="104">
        <f t="shared" si="1"/>
        <v>8.9293723292277114E-4</v>
      </c>
      <c r="H29" s="69"/>
      <c r="I29" s="69"/>
    </row>
    <row r="30" spans="1:10" x14ac:dyDescent="0.25">
      <c r="A30" s="97" t="s">
        <v>381</v>
      </c>
      <c r="B30" s="117">
        <f>$B$5*('Rate History'!$D$4*SUMIF(Data!$G:$G,Neutral!$A30,Data!$CU:$CU)+'Rate History'!$D$5*SUMIF(Data!$G:$G,Neutral!$A30,Data!$CV:$CV)+'Rate History'!$D$6*SUMIF(Data!$G:$G,Neutral!$A30,Data!$CW:$CW)+'Rate History'!$D$7*SUMIF(Data!$G:$G,Neutral!$A30,Data!$CX:$CX)+'Rate History'!$D$8*SUMIF(Data!$G:$G,Neutral!$A30,Data!$CY:$CY)+'Rate History'!$D$9*SUMIF(Data!$G:$G,Neutral!$A30,Data!$CZ:$CZ)+'Rate History'!$D$10*SUMIF(Data!$G:$G,Neutral!$A30,Data!$DA:$DA)+'Rate History'!$D$11*SUMIF(Data!$G:$G,Neutral!$A30,Data!$DB:$DB)+'Rate History'!$D$12*SUMIF(Data!$G:$G,Neutral!$A30,Data!$DC:$DC)+'Rate History'!$D$13*SUMIF(Data!$G:$G,Neutral!$A30,Data!$DD:$DD)+'Rate History'!$D$14*SUMIF(Data!$G:$G,Neutral!$A30,Data!$DE:$DE)+'Rate History'!$D$15*SUMIF(Data!$G:$G,Neutral!$A30,Data!$DF:$DF)+'Rate History'!$D$16*SUMIF(Data!$G:$G,Neutral!$A30,Data!$DG:$DG)+'Rate History'!$D$17*SUMIF(Data!$G:$G,Neutral!$A30,Data!$DH:$DH)+'Rate History'!$D$18*SUMIF(Data!$G:$G,Neutral!$A30,Data!$DI:$DI)+'Rate History'!$D$19*SUMIF(Data!$G:$G,Neutral!$A30,Data!$DJ:$DJ)+'Rate History'!$D$20*SUMIF(Data!$G:$G,Neutral!$A30,Data!$DK:$DK)+'Rate History'!$D$21*SUMIF(Data!$G:$G,Neutral!$A30,Data!$DL:$DL)+'Rate History'!$D$22*SUMIF(Data!$G:$G,Neutral!$A30,Data!$DM:$DM)+'Rate History'!$D$23*SUMIF(Data!$G:$G,Neutral!$A30,Data!$DN:$DN)+'Rate History'!$D$24*SUMIF(Data!$G:$G,Neutral!$A30,Data!$DO:$DO)+'Rate History'!$D$25*SUMIF(Data!$G:$G,Neutral!$A30,Data!$DP:$DP)+'Rate History'!$D$26*SUMIF(Data!$G:$G,Neutral!$A30,Data!$DQ:$DQ)+'Rate History'!$D$27*SUMIF(Data!$G:$G,Neutral!$A30,Data!$DR:$DR)+'Rate History'!$D$28*SUMIF(Data!$G:$G,Neutral!$A30,Data!$DS:$DS)+'Rate History'!$D$29*SUMIF(Data!$G:$G,Neutral!$A30,Data!$DT:$DT)+'Rate History'!$D$30*SUMIF(Data!$G:$G,Neutral!$A30,Data!$DV:$DV)+'Rate History'!$D$31*SUMIF(Data!$G:$G,Neutral!$A30,Data!$DW:$DW))</f>
        <v>10620490.285188135</v>
      </c>
      <c r="C30" s="117">
        <f>$C$5*('Rate History'!$C$4*SUMIF(Data!$G:$G,Neutral!$A30,Data!$CU:$CU)+'Rate History'!$C$5*SUMIF(Data!$G:$G,Neutral!$A30,Data!$CV:$CV)+'Rate History'!$C$6*SUMIF(Data!$G:$G,Neutral!$A30,Data!$CW:$CW)+'Rate History'!$C$7*SUMIF(Data!$G:$G,Neutral!$A30,Data!$CX:$CX)+'Rate History'!$C$8*SUMIF(Data!$G:$G,Neutral!$A30,Data!$CY:$CY)+'Rate History'!$C$9*SUMIF(Data!$G:$G,Neutral!$A30,Data!$CZ:$CZ)+'Rate History'!$C$10*SUMIF(Data!$G:$G,Neutral!$A30,Data!$DA:$DA)+'Rate History'!$C$11*SUMIF(Data!$G:$G,Neutral!$A30,Data!$DB:$DB)+'Rate History'!$C$12*SUMIF(Data!$G:$G,Neutral!$A30,Data!$DC:$DC)+'Rate History'!$C$13*SUMIF(Data!$G:$G,Neutral!$A30,Data!$DD:$DD)+'Rate History'!$C$14*SUMIF(Data!$G:$G,Neutral!$A30,Data!$DE:$DE)+'Rate History'!$C$15*SUMIF(Data!$G:$G,Neutral!$A30,Data!$DF:$DF)+'Rate History'!$C$16*SUMIF(Data!$G:$G,Neutral!$A30,Data!$DG:$DG)+'Rate History'!$C$17*SUMIF(Data!$G:$G,Neutral!$A30,Data!$DH:$DH)+'Rate History'!$C$18*SUMIF(Data!$G:$G,Neutral!$A30,Data!$DI:$DI)+'Rate History'!$C$19*SUMIF(Data!$G:$G,Neutral!$A30,Data!$DJ:$DJ)+'Rate History'!$C$20*SUMIF(Data!$G:$G,Neutral!$A30,Data!$DK:$DK)+'Rate History'!$C$21*SUMIF(Data!$G:$G,Neutral!$A30,Data!$DL:$DL)+'Rate History'!$C$22*SUMIF(Data!$G:$G,Neutral!$A30,Data!$DM:$DM)+'Rate History'!$C$23*SUMIF(Data!$G:$G,Neutral!$A30,Data!$DN:$DN)+'Rate History'!$C$24*SUMIF(Data!$G:$G,Neutral!$A30,Data!$DO:$DO)+'Rate History'!$C$25*SUMIF(Data!$G:$G,Neutral!$A30,Data!$DP:$DP)+'Rate History'!$C$26*SUMIF(Data!$G:$G,Neutral!$A30,Data!$DQ:$DQ)+'Rate History'!$C$27*SUMIF(Data!$G:$G,Neutral!$A30,Data!$DR:$DR)+'Rate History'!$C$28*SUMIF(Data!$G:$G,Neutral!$A30,Data!$DS:$DS)+'Rate History'!$C$29*SUMIF(Data!$G:$G,Neutral!$A30,Data!$DT:$DT)+'Rate History'!$C$30*SUMIF(Data!$G:$G,Neutral!$A30,Data!$DV:$DV)+'Rate History'!$C$31*SUMIF(Data!$G:$G,Neutral!$A30,Data!$DW:$DW))</f>
        <v>10546724.538637396</v>
      </c>
      <c r="D30" s="102">
        <f t="shared" si="0"/>
        <v>-73765.746550738811</v>
      </c>
      <c r="E30" s="104">
        <f t="shared" si="1"/>
        <v>-6.9456065181488086E-3</v>
      </c>
      <c r="H30" s="69"/>
      <c r="I30" s="69"/>
    </row>
    <row r="31" spans="1:10" x14ac:dyDescent="0.25">
      <c r="A31" s="96" t="s">
        <v>445</v>
      </c>
      <c r="B31" s="117">
        <f>$B$5*('Rate History'!$D$4*SUMIF(Data!$G:$G,Neutral!$A31,Data!$CU:$CU)+'Rate History'!$D$5*SUMIF(Data!$G:$G,Neutral!$A31,Data!$CV:$CV)+'Rate History'!$D$6*SUMIF(Data!$G:$G,Neutral!$A31,Data!$CW:$CW)+'Rate History'!$D$7*SUMIF(Data!$G:$G,Neutral!$A31,Data!$CX:$CX)+'Rate History'!$D$8*SUMIF(Data!$G:$G,Neutral!$A31,Data!$CY:$CY)+'Rate History'!$D$9*SUMIF(Data!$G:$G,Neutral!$A31,Data!$CZ:$CZ)+'Rate History'!$D$10*SUMIF(Data!$G:$G,Neutral!$A31,Data!$DA:$DA)+'Rate History'!$D$11*SUMIF(Data!$G:$G,Neutral!$A31,Data!$DB:$DB)+'Rate History'!$D$12*SUMIF(Data!$G:$G,Neutral!$A31,Data!$DC:$DC)+'Rate History'!$D$13*SUMIF(Data!$G:$G,Neutral!$A31,Data!$DD:$DD)+'Rate History'!$D$14*SUMIF(Data!$G:$G,Neutral!$A31,Data!$DE:$DE)+'Rate History'!$D$15*SUMIF(Data!$G:$G,Neutral!$A31,Data!$DF:$DF)+'Rate History'!$D$16*SUMIF(Data!$G:$G,Neutral!$A31,Data!$DG:$DG)+'Rate History'!$D$17*SUMIF(Data!$G:$G,Neutral!$A31,Data!$DH:$DH)+'Rate History'!$D$18*SUMIF(Data!$G:$G,Neutral!$A31,Data!$DI:$DI)+'Rate History'!$D$19*SUMIF(Data!$G:$G,Neutral!$A31,Data!$DJ:$DJ)+'Rate History'!$D$20*SUMIF(Data!$G:$G,Neutral!$A31,Data!$DK:$DK)+'Rate History'!$D$21*SUMIF(Data!$G:$G,Neutral!$A31,Data!$DL:$DL)+'Rate History'!$D$22*SUMIF(Data!$G:$G,Neutral!$A31,Data!$DM:$DM)+'Rate History'!$D$23*SUMIF(Data!$G:$G,Neutral!$A31,Data!$DN:$DN)+'Rate History'!$D$24*SUMIF(Data!$G:$G,Neutral!$A31,Data!$DO:$DO)+'Rate History'!$D$25*SUMIF(Data!$G:$G,Neutral!$A31,Data!$DP:$DP)+'Rate History'!$D$26*SUMIF(Data!$G:$G,Neutral!$A31,Data!$DQ:$DQ)+'Rate History'!$D$27*SUMIF(Data!$G:$G,Neutral!$A31,Data!$DR:$DR)+'Rate History'!$D$28*SUMIF(Data!$G:$G,Neutral!$A31,Data!$DS:$DS)+'Rate History'!$D$29*SUMIF(Data!$G:$G,Neutral!$A31,Data!$DT:$DT)+'Rate History'!$D$30*SUMIF(Data!$G:$G,Neutral!$A31,Data!$DV:$DV)+'Rate History'!$D$31*SUMIF(Data!$G:$G,Neutral!$A31,Data!$DW:$DW))</f>
        <v>60469063.167248994</v>
      </c>
      <c r="C31" s="117">
        <f>$C$5*('Rate History'!$C$4*SUMIF(Data!$G:$G,Neutral!$A31,Data!$CU:$CU)+'Rate History'!$C$5*SUMIF(Data!$G:$G,Neutral!$A31,Data!$CV:$CV)+'Rate History'!$C$6*SUMIF(Data!$G:$G,Neutral!$A31,Data!$CW:$CW)+'Rate History'!$C$7*SUMIF(Data!$G:$G,Neutral!$A31,Data!$CX:$CX)+'Rate History'!$C$8*SUMIF(Data!$G:$G,Neutral!$A31,Data!$CY:$CY)+'Rate History'!$C$9*SUMIF(Data!$G:$G,Neutral!$A31,Data!$CZ:$CZ)+'Rate History'!$C$10*SUMIF(Data!$G:$G,Neutral!$A31,Data!$DA:$DA)+'Rate History'!$C$11*SUMIF(Data!$G:$G,Neutral!$A31,Data!$DB:$DB)+'Rate History'!$C$12*SUMIF(Data!$G:$G,Neutral!$A31,Data!$DC:$DC)+'Rate History'!$C$13*SUMIF(Data!$G:$G,Neutral!$A31,Data!$DD:$DD)+'Rate History'!$C$14*SUMIF(Data!$G:$G,Neutral!$A31,Data!$DE:$DE)+'Rate History'!$C$15*SUMIF(Data!$G:$G,Neutral!$A31,Data!$DF:$DF)+'Rate History'!$C$16*SUMIF(Data!$G:$G,Neutral!$A31,Data!$DG:$DG)+'Rate History'!$C$17*SUMIF(Data!$G:$G,Neutral!$A31,Data!$DH:$DH)+'Rate History'!$C$18*SUMIF(Data!$G:$G,Neutral!$A31,Data!$DI:$DI)+'Rate History'!$C$19*SUMIF(Data!$G:$G,Neutral!$A31,Data!$DJ:$DJ)+'Rate History'!$C$20*SUMIF(Data!$G:$G,Neutral!$A31,Data!$DK:$DK)+'Rate History'!$C$21*SUMIF(Data!$G:$G,Neutral!$A31,Data!$DL:$DL)+'Rate History'!$C$22*SUMIF(Data!$G:$G,Neutral!$A31,Data!$DM:$DM)+'Rate History'!$C$23*SUMIF(Data!$G:$G,Neutral!$A31,Data!$DN:$DN)+'Rate History'!$C$24*SUMIF(Data!$G:$G,Neutral!$A31,Data!$DO:$DO)+'Rate History'!$C$25*SUMIF(Data!$G:$G,Neutral!$A31,Data!$DP:$DP)+'Rate History'!$C$26*SUMIF(Data!$G:$G,Neutral!$A31,Data!$DQ:$DQ)+'Rate History'!$C$27*SUMIF(Data!$G:$G,Neutral!$A31,Data!$DR:$DR)+'Rate History'!$C$28*SUMIF(Data!$G:$G,Neutral!$A31,Data!$DS:$DS)+'Rate History'!$C$29*SUMIF(Data!$G:$G,Neutral!$A31,Data!$DT:$DT)+'Rate History'!$C$30*SUMIF(Data!$G:$G,Neutral!$A31,Data!$DV:$DV)+'Rate History'!$C$31*SUMIF(Data!$G:$G,Neutral!$A31,Data!$DW:$DW))</f>
        <v>60475374.161601216</v>
      </c>
      <c r="D31" s="102">
        <f t="shared" si="0"/>
        <v>6310.994352221489</v>
      </c>
      <c r="E31" s="104">
        <f t="shared" si="1"/>
        <v>1.0436732473870413E-4</v>
      </c>
      <c r="H31" s="69"/>
      <c r="I31" s="69"/>
    </row>
    <row r="32" spans="1:10" x14ac:dyDescent="0.25">
      <c r="A32" s="97" t="s">
        <v>383</v>
      </c>
      <c r="B32" s="117">
        <f>$B$5*('Rate History'!$D$4*SUMIF(Data!$G:$G,Neutral!$A32,Data!$CU:$CU)+'Rate History'!$D$5*SUMIF(Data!$G:$G,Neutral!$A32,Data!$CV:$CV)+'Rate History'!$D$6*SUMIF(Data!$G:$G,Neutral!$A32,Data!$CW:$CW)+'Rate History'!$D$7*SUMIF(Data!$G:$G,Neutral!$A32,Data!$CX:$CX)+'Rate History'!$D$8*SUMIF(Data!$G:$G,Neutral!$A32,Data!$CY:$CY)+'Rate History'!$D$9*SUMIF(Data!$G:$G,Neutral!$A32,Data!$CZ:$CZ)+'Rate History'!$D$10*SUMIF(Data!$G:$G,Neutral!$A32,Data!$DA:$DA)+'Rate History'!$D$11*SUMIF(Data!$G:$G,Neutral!$A32,Data!$DB:$DB)+'Rate History'!$D$12*SUMIF(Data!$G:$G,Neutral!$A32,Data!$DC:$DC)+'Rate History'!$D$13*SUMIF(Data!$G:$G,Neutral!$A32,Data!$DD:$DD)+'Rate History'!$D$14*SUMIF(Data!$G:$G,Neutral!$A32,Data!$DE:$DE)+'Rate History'!$D$15*SUMIF(Data!$G:$G,Neutral!$A32,Data!$DF:$DF)+'Rate History'!$D$16*SUMIF(Data!$G:$G,Neutral!$A32,Data!$DG:$DG)+'Rate History'!$D$17*SUMIF(Data!$G:$G,Neutral!$A32,Data!$DH:$DH)+'Rate History'!$D$18*SUMIF(Data!$G:$G,Neutral!$A32,Data!$DI:$DI)+'Rate History'!$D$19*SUMIF(Data!$G:$G,Neutral!$A32,Data!$DJ:$DJ)+'Rate History'!$D$20*SUMIF(Data!$G:$G,Neutral!$A32,Data!$DK:$DK)+'Rate History'!$D$21*SUMIF(Data!$G:$G,Neutral!$A32,Data!$DL:$DL)+'Rate History'!$D$22*SUMIF(Data!$G:$G,Neutral!$A32,Data!$DM:$DM)+'Rate History'!$D$23*SUMIF(Data!$G:$G,Neutral!$A32,Data!$DN:$DN)+'Rate History'!$D$24*SUMIF(Data!$G:$G,Neutral!$A32,Data!$DO:$DO)+'Rate History'!$D$25*SUMIF(Data!$G:$G,Neutral!$A32,Data!$DP:$DP)+'Rate History'!$D$26*SUMIF(Data!$G:$G,Neutral!$A32,Data!$DQ:$DQ)+'Rate History'!$D$27*SUMIF(Data!$G:$G,Neutral!$A32,Data!$DR:$DR)+'Rate History'!$D$28*SUMIF(Data!$G:$G,Neutral!$A32,Data!$DS:$DS)+'Rate History'!$D$29*SUMIF(Data!$G:$G,Neutral!$A32,Data!$DT:$DT)+'Rate History'!$D$30*SUMIF(Data!$G:$G,Neutral!$A32,Data!$DV:$DV)+'Rate History'!$D$31*SUMIF(Data!$G:$G,Neutral!$A32,Data!$DW:$DW))</f>
        <v>13411883.230762573</v>
      </c>
      <c r="C32" s="117">
        <f>$C$5*('Rate History'!$C$4*SUMIF(Data!$G:$G,Neutral!$A32,Data!$CU:$CU)+'Rate History'!$C$5*SUMIF(Data!$G:$G,Neutral!$A32,Data!$CV:$CV)+'Rate History'!$C$6*SUMIF(Data!$G:$G,Neutral!$A32,Data!$CW:$CW)+'Rate History'!$C$7*SUMIF(Data!$G:$G,Neutral!$A32,Data!$CX:$CX)+'Rate History'!$C$8*SUMIF(Data!$G:$G,Neutral!$A32,Data!$CY:$CY)+'Rate History'!$C$9*SUMIF(Data!$G:$G,Neutral!$A32,Data!$CZ:$CZ)+'Rate History'!$C$10*SUMIF(Data!$G:$G,Neutral!$A32,Data!$DA:$DA)+'Rate History'!$C$11*SUMIF(Data!$G:$G,Neutral!$A32,Data!$DB:$DB)+'Rate History'!$C$12*SUMIF(Data!$G:$G,Neutral!$A32,Data!$DC:$DC)+'Rate History'!$C$13*SUMIF(Data!$G:$G,Neutral!$A32,Data!$DD:$DD)+'Rate History'!$C$14*SUMIF(Data!$G:$G,Neutral!$A32,Data!$DE:$DE)+'Rate History'!$C$15*SUMIF(Data!$G:$G,Neutral!$A32,Data!$DF:$DF)+'Rate History'!$C$16*SUMIF(Data!$G:$G,Neutral!$A32,Data!$DG:$DG)+'Rate History'!$C$17*SUMIF(Data!$G:$G,Neutral!$A32,Data!$DH:$DH)+'Rate History'!$C$18*SUMIF(Data!$G:$G,Neutral!$A32,Data!$DI:$DI)+'Rate History'!$C$19*SUMIF(Data!$G:$G,Neutral!$A32,Data!$DJ:$DJ)+'Rate History'!$C$20*SUMIF(Data!$G:$G,Neutral!$A32,Data!$DK:$DK)+'Rate History'!$C$21*SUMIF(Data!$G:$G,Neutral!$A32,Data!$DL:$DL)+'Rate History'!$C$22*SUMIF(Data!$G:$G,Neutral!$A32,Data!$DM:$DM)+'Rate History'!$C$23*SUMIF(Data!$G:$G,Neutral!$A32,Data!$DN:$DN)+'Rate History'!$C$24*SUMIF(Data!$G:$G,Neutral!$A32,Data!$DO:$DO)+'Rate History'!$C$25*SUMIF(Data!$G:$G,Neutral!$A32,Data!$DP:$DP)+'Rate History'!$C$26*SUMIF(Data!$G:$G,Neutral!$A32,Data!$DQ:$DQ)+'Rate History'!$C$27*SUMIF(Data!$G:$G,Neutral!$A32,Data!$DR:$DR)+'Rate History'!$C$28*SUMIF(Data!$G:$G,Neutral!$A32,Data!$DS:$DS)+'Rate History'!$C$29*SUMIF(Data!$G:$G,Neutral!$A32,Data!$DT:$DT)+'Rate History'!$C$30*SUMIF(Data!$G:$G,Neutral!$A32,Data!$DV:$DV)+'Rate History'!$C$31*SUMIF(Data!$G:$G,Neutral!$A32,Data!$DW:$DW))</f>
        <v>13422031.05018336</v>
      </c>
      <c r="D32" s="102">
        <f t="shared" si="0"/>
        <v>10147.819420786574</v>
      </c>
      <c r="E32" s="104">
        <f t="shared" si="1"/>
        <v>7.5662897194860154E-4</v>
      </c>
      <c r="H32" s="69"/>
      <c r="I32" s="69"/>
    </row>
    <row r="33" spans="1:9" x14ac:dyDescent="0.25">
      <c r="A33" s="97" t="s">
        <v>435</v>
      </c>
      <c r="B33" s="117">
        <f>$B$5*('Rate History'!$D$4*SUMIF(Data!$G:$G,Neutral!$A33,Data!$CU:$CU)+'Rate History'!$D$5*SUMIF(Data!$G:$G,Neutral!$A33,Data!$CV:$CV)+'Rate History'!$D$6*SUMIF(Data!$G:$G,Neutral!$A33,Data!$CW:$CW)+'Rate History'!$D$7*SUMIF(Data!$G:$G,Neutral!$A33,Data!$CX:$CX)+'Rate History'!$D$8*SUMIF(Data!$G:$G,Neutral!$A33,Data!$CY:$CY)+'Rate History'!$D$9*SUMIF(Data!$G:$G,Neutral!$A33,Data!$CZ:$CZ)+'Rate History'!$D$10*SUMIF(Data!$G:$G,Neutral!$A33,Data!$DA:$DA)+'Rate History'!$D$11*SUMIF(Data!$G:$G,Neutral!$A33,Data!$DB:$DB)+'Rate History'!$D$12*SUMIF(Data!$G:$G,Neutral!$A33,Data!$DC:$DC)+'Rate History'!$D$13*SUMIF(Data!$G:$G,Neutral!$A33,Data!$DD:$DD)+'Rate History'!$D$14*SUMIF(Data!$G:$G,Neutral!$A33,Data!$DE:$DE)+'Rate History'!$D$15*SUMIF(Data!$G:$G,Neutral!$A33,Data!$DF:$DF)+'Rate History'!$D$16*SUMIF(Data!$G:$G,Neutral!$A33,Data!$DG:$DG)+'Rate History'!$D$17*SUMIF(Data!$G:$G,Neutral!$A33,Data!$DH:$DH)+'Rate History'!$D$18*SUMIF(Data!$G:$G,Neutral!$A33,Data!$DI:$DI)+'Rate History'!$D$19*SUMIF(Data!$G:$G,Neutral!$A33,Data!$DJ:$DJ)+'Rate History'!$D$20*SUMIF(Data!$G:$G,Neutral!$A33,Data!$DK:$DK)+'Rate History'!$D$21*SUMIF(Data!$G:$G,Neutral!$A33,Data!$DL:$DL)+'Rate History'!$D$22*SUMIF(Data!$G:$G,Neutral!$A33,Data!$DM:$DM)+'Rate History'!$D$23*SUMIF(Data!$G:$G,Neutral!$A33,Data!$DN:$DN)+'Rate History'!$D$24*SUMIF(Data!$G:$G,Neutral!$A33,Data!$DO:$DO)+'Rate History'!$D$25*SUMIF(Data!$G:$G,Neutral!$A33,Data!$DP:$DP)+'Rate History'!$D$26*SUMIF(Data!$G:$G,Neutral!$A33,Data!$DQ:$DQ)+'Rate History'!$D$27*SUMIF(Data!$G:$G,Neutral!$A33,Data!$DR:$DR)+'Rate History'!$D$28*SUMIF(Data!$G:$G,Neutral!$A33,Data!$DS:$DS)+'Rate History'!$D$29*SUMIF(Data!$G:$G,Neutral!$A33,Data!$DT:$DT)+'Rate History'!$D$30*SUMIF(Data!$G:$G,Neutral!$A33,Data!$DV:$DV)+'Rate History'!$D$31*SUMIF(Data!$G:$G,Neutral!$A33,Data!$DW:$DW))</f>
        <v>9815131.5620262157</v>
      </c>
      <c r="C33" s="117">
        <f>$C$5*('Rate History'!$C$4*SUMIF(Data!$G:$G,Neutral!$A33,Data!$CU:$CU)+'Rate History'!$C$5*SUMIF(Data!$G:$G,Neutral!$A33,Data!$CV:$CV)+'Rate History'!$C$6*SUMIF(Data!$G:$G,Neutral!$A33,Data!$CW:$CW)+'Rate History'!$C$7*SUMIF(Data!$G:$G,Neutral!$A33,Data!$CX:$CX)+'Rate History'!$C$8*SUMIF(Data!$G:$G,Neutral!$A33,Data!$CY:$CY)+'Rate History'!$C$9*SUMIF(Data!$G:$G,Neutral!$A33,Data!$CZ:$CZ)+'Rate History'!$C$10*SUMIF(Data!$G:$G,Neutral!$A33,Data!$DA:$DA)+'Rate History'!$C$11*SUMIF(Data!$G:$G,Neutral!$A33,Data!$DB:$DB)+'Rate History'!$C$12*SUMIF(Data!$G:$G,Neutral!$A33,Data!$DC:$DC)+'Rate History'!$C$13*SUMIF(Data!$G:$G,Neutral!$A33,Data!$DD:$DD)+'Rate History'!$C$14*SUMIF(Data!$G:$G,Neutral!$A33,Data!$DE:$DE)+'Rate History'!$C$15*SUMIF(Data!$G:$G,Neutral!$A33,Data!$DF:$DF)+'Rate History'!$C$16*SUMIF(Data!$G:$G,Neutral!$A33,Data!$DG:$DG)+'Rate History'!$C$17*SUMIF(Data!$G:$G,Neutral!$A33,Data!$DH:$DH)+'Rate History'!$C$18*SUMIF(Data!$G:$G,Neutral!$A33,Data!$DI:$DI)+'Rate History'!$C$19*SUMIF(Data!$G:$G,Neutral!$A33,Data!$DJ:$DJ)+'Rate History'!$C$20*SUMIF(Data!$G:$G,Neutral!$A33,Data!$DK:$DK)+'Rate History'!$C$21*SUMIF(Data!$G:$G,Neutral!$A33,Data!$DL:$DL)+'Rate History'!$C$22*SUMIF(Data!$G:$G,Neutral!$A33,Data!$DM:$DM)+'Rate History'!$C$23*SUMIF(Data!$G:$G,Neutral!$A33,Data!$DN:$DN)+'Rate History'!$C$24*SUMIF(Data!$G:$G,Neutral!$A33,Data!$DO:$DO)+'Rate History'!$C$25*SUMIF(Data!$G:$G,Neutral!$A33,Data!$DP:$DP)+'Rate History'!$C$26*SUMIF(Data!$G:$G,Neutral!$A33,Data!$DQ:$DQ)+'Rate History'!$C$27*SUMIF(Data!$G:$G,Neutral!$A33,Data!$DR:$DR)+'Rate History'!$C$28*SUMIF(Data!$G:$G,Neutral!$A33,Data!$DS:$DS)+'Rate History'!$C$29*SUMIF(Data!$G:$G,Neutral!$A33,Data!$DT:$DT)+'Rate History'!$C$30*SUMIF(Data!$G:$G,Neutral!$A33,Data!$DV:$DV)+'Rate History'!$C$31*SUMIF(Data!$G:$G,Neutral!$A33,Data!$DW:$DW))</f>
        <v>9815387.9032391589</v>
      </c>
      <c r="D33" s="102">
        <f t="shared" si="0"/>
        <v>256.3412129431963</v>
      </c>
      <c r="E33" s="104">
        <f t="shared" si="1"/>
        <v>2.6116941104992966E-5</v>
      </c>
      <c r="H33" s="69"/>
      <c r="I33" s="69"/>
    </row>
    <row r="34" spans="1:9" x14ac:dyDescent="0.25">
      <c r="A34" s="97" t="s">
        <v>385</v>
      </c>
      <c r="B34" s="117">
        <f>$B$5*('Rate History'!$D$4*SUMIF(Data!$G:$G,Neutral!$A34,Data!$CU:$CU)+'Rate History'!$D$5*SUMIF(Data!$G:$G,Neutral!$A34,Data!$CV:$CV)+'Rate History'!$D$6*SUMIF(Data!$G:$G,Neutral!$A34,Data!$CW:$CW)+'Rate History'!$D$7*SUMIF(Data!$G:$G,Neutral!$A34,Data!$CX:$CX)+'Rate History'!$D$8*SUMIF(Data!$G:$G,Neutral!$A34,Data!$CY:$CY)+'Rate History'!$D$9*SUMIF(Data!$G:$G,Neutral!$A34,Data!$CZ:$CZ)+'Rate History'!$D$10*SUMIF(Data!$G:$G,Neutral!$A34,Data!$DA:$DA)+'Rate History'!$D$11*SUMIF(Data!$G:$G,Neutral!$A34,Data!$DB:$DB)+'Rate History'!$D$12*SUMIF(Data!$G:$G,Neutral!$A34,Data!$DC:$DC)+'Rate History'!$D$13*SUMIF(Data!$G:$G,Neutral!$A34,Data!$DD:$DD)+'Rate History'!$D$14*SUMIF(Data!$G:$G,Neutral!$A34,Data!$DE:$DE)+'Rate History'!$D$15*SUMIF(Data!$G:$G,Neutral!$A34,Data!$DF:$DF)+'Rate History'!$D$16*SUMIF(Data!$G:$G,Neutral!$A34,Data!$DG:$DG)+'Rate History'!$D$17*SUMIF(Data!$G:$G,Neutral!$A34,Data!$DH:$DH)+'Rate History'!$D$18*SUMIF(Data!$G:$G,Neutral!$A34,Data!$DI:$DI)+'Rate History'!$D$19*SUMIF(Data!$G:$G,Neutral!$A34,Data!$DJ:$DJ)+'Rate History'!$D$20*SUMIF(Data!$G:$G,Neutral!$A34,Data!$DK:$DK)+'Rate History'!$D$21*SUMIF(Data!$G:$G,Neutral!$A34,Data!$DL:$DL)+'Rate History'!$D$22*SUMIF(Data!$G:$G,Neutral!$A34,Data!$DM:$DM)+'Rate History'!$D$23*SUMIF(Data!$G:$G,Neutral!$A34,Data!$DN:$DN)+'Rate History'!$D$24*SUMIF(Data!$G:$G,Neutral!$A34,Data!$DO:$DO)+'Rate History'!$D$25*SUMIF(Data!$G:$G,Neutral!$A34,Data!$DP:$DP)+'Rate History'!$D$26*SUMIF(Data!$G:$G,Neutral!$A34,Data!$DQ:$DQ)+'Rate History'!$D$27*SUMIF(Data!$G:$G,Neutral!$A34,Data!$DR:$DR)+'Rate History'!$D$28*SUMIF(Data!$G:$G,Neutral!$A34,Data!$DS:$DS)+'Rate History'!$D$29*SUMIF(Data!$G:$G,Neutral!$A34,Data!$DT:$DT)+'Rate History'!$D$30*SUMIF(Data!$G:$G,Neutral!$A34,Data!$DV:$DV)+'Rate History'!$D$31*SUMIF(Data!$G:$G,Neutral!$A34,Data!$DW:$DW))</f>
        <v>13923874.832570767</v>
      </c>
      <c r="C34" s="117">
        <f>$C$5*('Rate History'!$C$4*SUMIF(Data!$G:$G,Neutral!$A34,Data!$CU:$CU)+'Rate History'!$C$5*SUMIF(Data!$G:$G,Neutral!$A34,Data!$CV:$CV)+'Rate History'!$C$6*SUMIF(Data!$G:$G,Neutral!$A34,Data!$CW:$CW)+'Rate History'!$C$7*SUMIF(Data!$G:$G,Neutral!$A34,Data!$CX:$CX)+'Rate History'!$C$8*SUMIF(Data!$G:$G,Neutral!$A34,Data!$CY:$CY)+'Rate History'!$C$9*SUMIF(Data!$G:$G,Neutral!$A34,Data!$CZ:$CZ)+'Rate History'!$C$10*SUMIF(Data!$G:$G,Neutral!$A34,Data!$DA:$DA)+'Rate History'!$C$11*SUMIF(Data!$G:$G,Neutral!$A34,Data!$DB:$DB)+'Rate History'!$C$12*SUMIF(Data!$G:$G,Neutral!$A34,Data!$DC:$DC)+'Rate History'!$C$13*SUMIF(Data!$G:$G,Neutral!$A34,Data!$DD:$DD)+'Rate History'!$C$14*SUMIF(Data!$G:$G,Neutral!$A34,Data!$DE:$DE)+'Rate History'!$C$15*SUMIF(Data!$G:$G,Neutral!$A34,Data!$DF:$DF)+'Rate History'!$C$16*SUMIF(Data!$G:$G,Neutral!$A34,Data!$DG:$DG)+'Rate History'!$C$17*SUMIF(Data!$G:$G,Neutral!$A34,Data!$DH:$DH)+'Rate History'!$C$18*SUMIF(Data!$G:$G,Neutral!$A34,Data!$DI:$DI)+'Rate History'!$C$19*SUMIF(Data!$G:$G,Neutral!$A34,Data!$DJ:$DJ)+'Rate History'!$C$20*SUMIF(Data!$G:$G,Neutral!$A34,Data!$DK:$DK)+'Rate History'!$C$21*SUMIF(Data!$G:$G,Neutral!$A34,Data!$DL:$DL)+'Rate History'!$C$22*SUMIF(Data!$G:$G,Neutral!$A34,Data!$DM:$DM)+'Rate History'!$C$23*SUMIF(Data!$G:$G,Neutral!$A34,Data!$DN:$DN)+'Rate History'!$C$24*SUMIF(Data!$G:$G,Neutral!$A34,Data!$DO:$DO)+'Rate History'!$C$25*SUMIF(Data!$G:$G,Neutral!$A34,Data!$DP:$DP)+'Rate History'!$C$26*SUMIF(Data!$G:$G,Neutral!$A34,Data!$DQ:$DQ)+'Rate History'!$C$27*SUMIF(Data!$G:$G,Neutral!$A34,Data!$DR:$DR)+'Rate History'!$C$28*SUMIF(Data!$G:$G,Neutral!$A34,Data!$DS:$DS)+'Rate History'!$C$29*SUMIF(Data!$G:$G,Neutral!$A34,Data!$DT:$DT)+'Rate History'!$C$30*SUMIF(Data!$G:$G,Neutral!$A34,Data!$DV:$DV)+'Rate History'!$C$31*SUMIF(Data!$G:$G,Neutral!$A34,Data!$DW:$DW))</f>
        <v>13971163.577944046</v>
      </c>
      <c r="D34" s="102">
        <f t="shared" si="0"/>
        <v>47288.745373278856</v>
      </c>
      <c r="E34" s="104">
        <f t="shared" si="1"/>
        <v>3.3962345928779027E-3</v>
      </c>
      <c r="H34" s="69"/>
      <c r="I34" s="69"/>
    </row>
    <row r="35" spans="1:9" x14ac:dyDescent="0.25">
      <c r="A35" s="97" t="s">
        <v>363</v>
      </c>
      <c r="B35" s="117">
        <f>$B$5*('Rate History'!$D$4*SUMIF(Data!$G:$G,Neutral!$A35,Data!$CU:$CU)+'Rate History'!$D$5*SUMIF(Data!$G:$G,Neutral!$A35,Data!$CV:$CV)+'Rate History'!$D$6*SUMIF(Data!$G:$G,Neutral!$A35,Data!$CW:$CW)+'Rate History'!$D$7*SUMIF(Data!$G:$G,Neutral!$A35,Data!$CX:$CX)+'Rate History'!$D$8*SUMIF(Data!$G:$G,Neutral!$A35,Data!$CY:$CY)+'Rate History'!$D$9*SUMIF(Data!$G:$G,Neutral!$A35,Data!$CZ:$CZ)+'Rate History'!$D$10*SUMIF(Data!$G:$G,Neutral!$A35,Data!$DA:$DA)+'Rate History'!$D$11*SUMIF(Data!$G:$G,Neutral!$A35,Data!$DB:$DB)+'Rate History'!$D$12*SUMIF(Data!$G:$G,Neutral!$A35,Data!$DC:$DC)+'Rate History'!$D$13*SUMIF(Data!$G:$G,Neutral!$A35,Data!$DD:$DD)+'Rate History'!$D$14*SUMIF(Data!$G:$G,Neutral!$A35,Data!$DE:$DE)+'Rate History'!$D$15*SUMIF(Data!$G:$G,Neutral!$A35,Data!$DF:$DF)+'Rate History'!$D$16*SUMIF(Data!$G:$G,Neutral!$A35,Data!$DG:$DG)+'Rate History'!$D$17*SUMIF(Data!$G:$G,Neutral!$A35,Data!$DH:$DH)+'Rate History'!$D$18*SUMIF(Data!$G:$G,Neutral!$A35,Data!$DI:$DI)+'Rate History'!$D$19*SUMIF(Data!$G:$G,Neutral!$A35,Data!$DJ:$DJ)+'Rate History'!$D$20*SUMIF(Data!$G:$G,Neutral!$A35,Data!$DK:$DK)+'Rate History'!$D$21*SUMIF(Data!$G:$G,Neutral!$A35,Data!$DL:$DL)+'Rate History'!$D$22*SUMIF(Data!$G:$G,Neutral!$A35,Data!$DM:$DM)+'Rate History'!$D$23*SUMIF(Data!$G:$G,Neutral!$A35,Data!$DN:$DN)+'Rate History'!$D$24*SUMIF(Data!$G:$G,Neutral!$A35,Data!$DO:$DO)+'Rate History'!$D$25*SUMIF(Data!$G:$G,Neutral!$A35,Data!$DP:$DP)+'Rate History'!$D$26*SUMIF(Data!$G:$G,Neutral!$A35,Data!$DQ:$DQ)+'Rate History'!$D$27*SUMIF(Data!$G:$G,Neutral!$A35,Data!$DR:$DR)+'Rate History'!$D$28*SUMIF(Data!$G:$G,Neutral!$A35,Data!$DS:$DS)+'Rate History'!$D$29*SUMIF(Data!$G:$G,Neutral!$A35,Data!$DT:$DT)+'Rate History'!$D$30*SUMIF(Data!$G:$G,Neutral!$A35,Data!$DV:$DV)+'Rate History'!$D$31*SUMIF(Data!$G:$G,Neutral!$A35,Data!$DW:$DW))</f>
        <v>9761047.994366426</v>
      </c>
      <c r="C35" s="117">
        <f>$C$5*('Rate History'!$C$4*SUMIF(Data!$G:$G,Neutral!$A35,Data!$CU:$CU)+'Rate History'!$C$5*SUMIF(Data!$G:$G,Neutral!$A35,Data!$CV:$CV)+'Rate History'!$C$6*SUMIF(Data!$G:$G,Neutral!$A35,Data!$CW:$CW)+'Rate History'!$C$7*SUMIF(Data!$G:$G,Neutral!$A35,Data!$CX:$CX)+'Rate History'!$C$8*SUMIF(Data!$G:$G,Neutral!$A35,Data!$CY:$CY)+'Rate History'!$C$9*SUMIF(Data!$G:$G,Neutral!$A35,Data!$CZ:$CZ)+'Rate History'!$C$10*SUMIF(Data!$G:$G,Neutral!$A35,Data!$DA:$DA)+'Rate History'!$C$11*SUMIF(Data!$G:$G,Neutral!$A35,Data!$DB:$DB)+'Rate History'!$C$12*SUMIF(Data!$G:$G,Neutral!$A35,Data!$DC:$DC)+'Rate History'!$C$13*SUMIF(Data!$G:$G,Neutral!$A35,Data!$DD:$DD)+'Rate History'!$C$14*SUMIF(Data!$G:$G,Neutral!$A35,Data!$DE:$DE)+'Rate History'!$C$15*SUMIF(Data!$G:$G,Neutral!$A35,Data!$DF:$DF)+'Rate History'!$C$16*SUMIF(Data!$G:$G,Neutral!$A35,Data!$DG:$DG)+'Rate History'!$C$17*SUMIF(Data!$G:$G,Neutral!$A35,Data!$DH:$DH)+'Rate History'!$C$18*SUMIF(Data!$G:$G,Neutral!$A35,Data!$DI:$DI)+'Rate History'!$C$19*SUMIF(Data!$G:$G,Neutral!$A35,Data!$DJ:$DJ)+'Rate History'!$C$20*SUMIF(Data!$G:$G,Neutral!$A35,Data!$DK:$DK)+'Rate History'!$C$21*SUMIF(Data!$G:$G,Neutral!$A35,Data!$DL:$DL)+'Rate History'!$C$22*SUMIF(Data!$G:$G,Neutral!$A35,Data!$DM:$DM)+'Rate History'!$C$23*SUMIF(Data!$G:$G,Neutral!$A35,Data!$DN:$DN)+'Rate History'!$C$24*SUMIF(Data!$G:$G,Neutral!$A35,Data!$DO:$DO)+'Rate History'!$C$25*SUMIF(Data!$G:$G,Neutral!$A35,Data!$DP:$DP)+'Rate History'!$C$26*SUMIF(Data!$G:$G,Neutral!$A35,Data!$DQ:$DQ)+'Rate History'!$C$27*SUMIF(Data!$G:$G,Neutral!$A35,Data!$DR:$DR)+'Rate History'!$C$28*SUMIF(Data!$G:$G,Neutral!$A35,Data!$DS:$DS)+'Rate History'!$C$29*SUMIF(Data!$G:$G,Neutral!$A35,Data!$DT:$DT)+'Rate History'!$C$30*SUMIF(Data!$G:$G,Neutral!$A35,Data!$DV:$DV)+'Rate History'!$C$31*SUMIF(Data!$G:$G,Neutral!$A35,Data!$DW:$DW))</f>
        <v>9779612.4373884797</v>
      </c>
      <c r="D35" s="102">
        <f t="shared" si="0"/>
        <v>18564.443022053689</v>
      </c>
      <c r="E35" s="104">
        <f t="shared" si="1"/>
        <v>1.9018903536554812E-3</v>
      </c>
      <c r="H35" s="69"/>
      <c r="I35" s="69"/>
    </row>
    <row r="36" spans="1:9" x14ac:dyDescent="0.25">
      <c r="A36" s="97" t="s">
        <v>449</v>
      </c>
      <c r="B36" s="117">
        <f>$B$5*('Rate History'!$D$4*SUMIF(Data!$G:$G,Neutral!$A36,Data!$CU:$CU)+'Rate History'!$D$5*SUMIF(Data!$G:$G,Neutral!$A36,Data!$CV:$CV)+'Rate History'!$D$6*SUMIF(Data!$G:$G,Neutral!$A36,Data!$CW:$CW)+'Rate History'!$D$7*SUMIF(Data!$G:$G,Neutral!$A36,Data!$CX:$CX)+'Rate History'!$D$8*SUMIF(Data!$G:$G,Neutral!$A36,Data!$CY:$CY)+'Rate History'!$D$9*SUMIF(Data!$G:$G,Neutral!$A36,Data!$CZ:$CZ)+'Rate History'!$D$10*SUMIF(Data!$G:$G,Neutral!$A36,Data!$DA:$DA)+'Rate History'!$D$11*SUMIF(Data!$G:$G,Neutral!$A36,Data!$DB:$DB)+'Rate History'!$D$12*SUMIF(Data!$G:$G,Neutral!$A36,Data!$DC:$DC)+'Rate History'!$D$13*SUMIF(Data!$G:$G,Neutral!$A36,Data!$DD:$DD)+'Rate History'!$D$14*SUMIF(Data!$G:$G,Neutral!$A36,Data!$DE:$DE)+'Rate History'!$D$15*SUMIF(Data!$G:$G,Neutral!$A36,Data!$DF:$DF)+'Rate History'!$D$16*SUMIF(Data!$G:$G,Neutral!$A36,Data!$DG:$DG)+'Rate History'!$D$17*SUMIF(Data!$G:$G,Neutral!$A36,Data!$DH:$DH)+'Rate History'!$D$18*SUMIF(Data!$G:$G,Neutral!$A36,Data!$DI:$DI)+'Rate History'!$D$19*SUMIF(Data!$G:$G,Neutral!$A36,Data!$DJ:$DJ)+'Rate History'!$D$20*SUMIF(Data!$G:$G,Neutral!$A36,Data!$DK:$DK)+'Rate History'!$D$21*SUMIF(Data!$G:$G,Neutral!$A36,Data!$DL:$DL)+'Rate History'!$D$22*SUMIF(Data!$G:$G,Neutral!$A36,Data!$DM:$DM)+'Rate History'!$D$23*SUMIF(Data!$G:$G,Neutral!$A36,Data!$DN:$DN)+'Rate History'!$D$24*SUMIF(Data!$G:$G,Neutral!$A36,Data!$DO:$DO)+'Rate History'!$D$25*SUMIF(Data!$G:$G,Neutral!$A36,Data!$DP:$DP)+'Rate History'!$D$26*SUMIF(Data!$G:$G,Neutral!$A36,Data!$DQ:$DQ)+'Rate History'!$D$27*SUMIF(Data!$G:$G,Neutral!$A36,Data!$DR:$DR)+'Rate History'!$D$28*SUMIF(Data!$G:$G,Neutral!$A36,Data!$DS:$DS)+'Rate History'!$D$29*SUMIF(Data!$G:$G,Neutral!$A36,Data!$DT:$DT)+'Rate History'!$D$30*SUMIF(Data!$G:$G,Neutral!$A36,Data!$DV:$DV)+'Rate History'!$D$31*SUMIF(Data!$G:$G,Neutral!$A36,Data!$DW:$DW))</f>
        <v>4089772.5980598214</v>
      </c>
      <c r="C36" s="117">
        <f>$C$5*('Rate History'!$C$4*SUMIF(Data!$G:$G,Neutral!$A36,Data!$CU:$CU)+'Rate History'!$C$5*SUMIF(Data!$G:$G,Neutral!$A36,Data!$CV:$CV)+'Rate History'!$C$6*SUMIF(Data!$G:$G,Neutral!$A36,Data!$CW:$CW)+'Rate History'!$C$7*SUMIF(Data!$G:$G,Neutral!$A36,Data!$CX:$CX)+'Rate History'!$C$8*SUMIF(Data!$G:$G,Neutral!$A36,Data!$CY:$CY)+'Rate History'!$C$9*SUMIF(Data!$G:$G,Neutral!$A36,Data!$CZ:$CZ)+'Rate History'!$C$10*SUMIF(Data!$G:$G,Neutral!$A36,Data!$DA:$DA)+'Rate History'!$C$11*SUMIF(Data!$G:$G,Neutral!$A36,Data!$DB:$DB)+'Rate History'!$C$12*SUMIF(Data!$G:$G,Neutral!$A36,Data!$DC:$DC)+'Rate History'!$C$13*SUMIF(Data!$G:$G,Neutral!$A36,Data!$DD:$DD)+'Rate History'!$C$14*SUMIF(Data!$G:$G,Neutral!$A36,Data!$DE:$DE)+'Rate History'!$C$15*SUMIF(Data!$G:$G,Neutral!$A36,Data!$DF:$DF)+'Rate History'!$C$16*SUMIF(Data!$G:$G,Neutral!$A36,Data!$DG:$DG)+'Rate History'!$C$17*SUMIF(Data!$G:$G,Neutral!$A36,Data!$DH:$DH)+'Rate History'!$C$18*SUMIF(Data!$G:$G,Neutral!$A36,Data!$DI:$DI)+'Rate History'!$C$19*SUMIF(Data!$G:$G,Neutral!$A36,Data!$DJ:$DJ)+'Rate History'!$C$20*SUMIF(Data!$G:$G,Neutral!$A36,Data!$DK:$DK)+'Rate History'!$C$21*SUMIF(Data!$G:$G,Neutral!$A36,Data!$DL:$DL)+'Rate History'!$C$22*SUMIF(Data!$G:$G,Neutral!$A36,Data!$DM:$DM)+'Rate History'!$C$23*SUMIF(Data!$G:$G,Neutral!$A36,Data!$DN:$DN)+'Rate History'!$C$24*SUMIF(Data!$G:$G,Neutral!$A36,Data!$DO:$DO)+'Rate History'!$C$25*SUMIF(Data!$G:$G,Neutral!$A36,Data!$DP:$DP)+'Rate History'!$C$26*SUMIF(Data!$G:$G,Neutral!$A36,Data!$DQ:$DQ)+'Rate History'!$C$27*SUMIF(Data!$G:$G,Neutral!$A36,Data!$DR:$DR)+'Rate History'!$C$28*SUMIF(Data!$G:$G,Neutral!$A36,Data!$DS:$DS)+'Rate History'!$C$29*SUMIF(Data!$G:$G,Neutral!$A36,Data!$DT:$DT)+'Rate History'!$C$30*SUMIF(Data!$G:$G,Neutral!$A36,Data!$DV:$DV)+'Rate History'!$C$31*SUMIF(Data!$G:$G,Neutral!$A36,Data!$DW:$DW))</f>
        <v>4084106.6240813308</v>
      </c>
      <c r="D36" s="102">
        <f t="shared" si="0"/>
        <v>-5665.9739784905687</v>
      </c>
      <c r="E36" s="104">
        <f t="shared" si="1"/>
        <v>-1.3854007387057398E-3</v>
      </c>
      <c r="H36" s="69"/>
      <c r="I36" s="69"/>
    </row>
    <row r="37" spans="1:9" x14ac:dyDescent="0.25">
      <c r="A37" s="97" t="s">
        <v>387</v>
      </c>
      <c r="B37" s="117">
        <f>$B$5*('Rate History'!$D$4*SUMIF(Data!$G:$G,Neutral!$A37,Data!$CU:$CU)+'Rate History'!$D$5*SUMIF(Data!$G:$G,Neutral!$A37,Data!$CV:$CV)+'Rate History'!$D$6*SUMIF(Data!$G:$G,Neutral!$A37,Data!$CW:$CW)+'Rate History'!$D$7*SUMIF(Data!$G:$G,Neutral!$A37,Data!$CX:$CX)+'Rate History'!$D$8*SUMIF(Data!$G:$G,Neutral!$A37,Data!$CY:$CY)+'Rate History'!$D$9*SUMIF(Data!$G:$G,Neutral!$A37,Data!$CZ:$CZ)+'Rate History'!$D$10*SUMIF(Data!$G:$G,Neutral!$A37,Data!$DA:$DA)+'Rate History'!$D$11*SUMIF(Data!$G:$G,Neutral!$A37,Data!$DB:$DB)+'Rate History'!$D$12*SUMIF(Data!$G:$G,Neutral!$A37,Data!$DC:$DC)+'Rate History'!$D$13*SUMIF(Data!$G:$G,Neutral!$A37,Data!$DD:$DD)+'Rate History'!$D$14*SUMIF(Data!$G:$G,Neutral!$A37,Data!$DE:$DE)+'Rate History'!$D$15*SUMIF(Data!$G:$G,Neutral!$A37,Data!$DF:$DF)+'Rate History'!$D$16*SUMIF(Data!$G:$G,Neutral!$A37,Data!$DG:$DG)+'Rate History'!$D$17*SUMIF(Data!$G:$G,Neutral!$A37,Data!$DH:$DH)+'Rate History'!$D$18*SUMIF(Data!$G:$G,Neutral!$A37,Data!$DI:$DI)+'Rate History'!$D$19*SUMIF(Data!$G:$G,Neutral!$A37,Data!$DJ:$DJ)+'Rate History'!$D$20*SUMIF(Data!$G:$G,Neutral!$A37,Data!$DK:$DK)+'Rate History'!$D$21*SUMIF(Data!$G:$G,Neutral!$A37,Data!$DL:$DL)+'Rate History'!$D$22*SUMIF(Data!$G:$G,Neutral!$A37,Data!$DM:$DM)+'Rate History'!$D$23*SUMIF(Data!$G:$G,Neutral!$A37,Data!$DN:$DN)+'Rate History'!$D$24*SUMIF(Data!$G:$G,Neutral!$A37,Data!$DO:$DO)+'Rate History'!$D$25*SUMIF(Data!$G:$G,Neutral!$A37,Data!$DP:$DP)+'Rate History'!$D$26*SUMIF(Data!$G:$G,Neutral!$A37,Data!$DQ:$DQ)+'Rate History'!$D$27*SUMIF(Data!$G:$G,Neutral!$A37,Data!$DR:$DR)+'Rate History'!$D$28*SUMIF(Data!$G:$G,Neutral!$A37,Data!$DS:$DS)+'Rate History'!$D$29*SUMIF(Data!$G:$G,Neutral!$A37,Data!$DT:$DT)+'Rate History'!$D$30*SUMIF(Data!$G:$G,Neutral!$A37,Data!$DV:$DV)+'Rate History'!$D$31*SUMIF(Data!$G:$G,Neutral!$A37,Data!$DW:$DW))</f>
        <v>7572139.3640799932</v>
      </c>
      <c r="C37" s="117">
        <f>$C$5*('Rate History'!$C$4*SUMIF(Data!$G:$G,Neutral!$A37,Data!$CU:$CU)+'Rate History'!$C$5*SUMIF(Data!$G:$G,Neutral!$A37,Data!$CV:$CV)+'Rate History'!$C$6*SUMIF(Data!$G:$G,Neutral!$A37,Data!$CW:$CW)+'Rate History'!$C$7*SUMIF(Data!$G:$G,Neutral!$A37,Data!$CX:$CX)+'Rate History'!$C$8*SUMIF(Data!$G:$G,Neutral!$A37,Data!$CY:$CY)+'Rate History'!$C$9*SUMIF(Data!$G:$G,Neutral!$A37,Data!$CZ:$CZ)+'Rate History'!$C$10*SUMIF(Data!$G:$G,Neutral!$A37,Data!$DA:$DA)+'Rate History'!$C$11*SUMIF(Data!$G:$G,Neutral!$A37,Data!$DB:$DB)+'Rate History'!$C$12*SUMIF(Data!$G:$G,Neutral!$A37,Data!$DC:$DC)+'Rate History'!$C$13*SUMIF(Data!$G:$G,Neutral!$A37,Data!$DD:$DD)+'Rate History'!$C$14*SUMIF(Data!$G:$G,Neutral!$A37,Data!$DE:$DE)+'Rate History'!$C$15*SUMIF(Data!$G:$G,Neutral!$A37,Data!$DF:$DF)+'Rate History'!$C$16*SUMIF(Data!$G:$G,Neutral!$A37,Data!$DG:$DG)+'Rate History'!$C$17*SUMIF(Data!$G:$G,Neutral!$A37,Data!$DH:$DH)+'Rate History'!$C$18*SUMIF(Data!$G:$G,Neutral!$A37,Data!$DI:$DI)+'Rate History'!$C$19*SUMIF(Data!$G:$G,Neutral!$A37,Data!$DJ:$DJ)+'Rate History'!$C$20*SUMIF(Data!$G:$G,Neutral!$A37,Data!$DK:$DK)+'Rate History'!$C$21*SUMIF(Data!$G:$G,Neutral!$A37,Data!$DL:$DL)+'Rate History'!$C$22*SUMIF(Data!$G:$G,Neutral!$A37,Data!$DM:$DM)+'Rate History'!$C$23*SUMIF(Data!$G:$G,Neutral!$A37,Data!$DN:$DN)+'Rate History'!$C$24*SUMIF(Data!$G:$G,Neutral!$A37,Data!$DO:$DO)+'Rate History'!$C$25*SUMIF(Data!$G:$G,Neutral!$A37,Data!$DP:$DP)+'Rate History'!$C$26*SUMIF(Data!$G:$G,Neutral!$A37,Data!$DQ:$DQ)+'Rate History'!$C$27*SUMIF(Data!$G:$G,Neutral!$A37,Data!$DR:$DR)+'Rate History'!$C$28*SUMIF(Data!$G:$G,Neutral!$A37,Data!$DS:$DS)+'Rate History'!$C$29*SUMIF(Data!$G:$G,Neutral!$A37,Data!$DT:$DT)+'Rate History'!$C$30*SUMIF(Data!$G:$G,Neutral!$A37,Data!$DV:$DV)+'Rate History'!$C$31*SUMIF(Data!$G:$G,Neutral!$A37,Data!$DW:$DW))</f>
        <v>7550162.1337339785</v>
      </c>
      <c r="D37" s="102">
        <f t="shared" si="0"/>
        <v>-21977.230346014723</v>
      </c>
      <c r="E37" s="104">
        <f t="shared" si="1"/>
        <v>-2.9023805940852402E-3</v>
      </c>
      <c r="H37" s="69"/>
      <c r="I37" s="69"/>
    </row>
    <row r="38" spans="1:9" x14ac:dyDescent="0.25">
      <c r="A38" s="97" t="s">
        <v>389</v>
      </c>
      <c r="B38" s="117">
        <f>$B$5*('Rate History'!$D$4*SUMIF(Data!$G:$G,Neutral!$A38,Data!$CU:$CU)+'Rate History'!$D$5*SUMIF(Data!$G:$G,Neutral!$A38,Data!$CV:$CV)+'Rate History'!$D$6*SUMIF(Data!$G:$G,Neutral!$A38,Data!$CW:$CW)+'Rate History'!$D$7*SUMIF(Data!$G:$G,Neutral!$A38,Data!$CX:$CX)+'Rate History'!$D$8*SUMIF(Data!$G:$G,Neutral!$A38,Data!$CY:$CY)+'Rate History'!$D$9*SUMIF(Data!$G:$G,Neutral!$A38,Data!$CZ:$CZ)+'Rate History'!$D$10*SUMIF(Data!$G:$G,Neutral!$A38,Data!$DA:$DA)+'Rate History'!$D$11*SUMIF(Data!$G:$G,Neutral!$A38,Data!$DB:$DB)+'Rate History'!$D$12*SUMIF(Data!$G:$G,Neutral!$A38,Data!$DC:$DC)+'Rate History'!$D$13*SUMIF(Data!$G:$G,Neutral!$A38,Data!$DD:$DD)+'Rate History'!$D$14*SUMIF(Data!$G:$G,Neutral!$A38,Data!$DE:$DE)+'Rate History'!$D$15*SUMIF(Data!$G:$G,Neutral!$A38,Data!$DF:$DF)+'Rate History'!$D$16*SUMIF(Data!$G:$G,Neutral!$A38,Data!$DG:$DG)+'Rate History'!$D$17*SUMIF(Data!$G:$G,Neutral!$A38,Data!$DH:$DH)+'Rate History'!$D$18*SUMIF(Data!$G:$G,Neutral!$A38,Data!$DI:$DI)+'Rate History'!$D$19*SUMIF(Data!$G:$G,Neutral!$A38,Data!$DJ:$DJ)+'Rate History'!$D$20*SUMIF(Data!$G:$G,Neutral!$A38,Data!$DK:$DK)+'Rate History'!$D$21*SUMIF(Data!$G:$G,Neutral!$A38,Data!$DL:$DL)+'Rate History'!$D$22*SUMIF(Data!$G:$G,Neutral!$A38,Data!$DM:$DM)+'Rate History'!$D$23*SUMIF(Data!$G:$G,Neutral!$A38,Data!$DN:$DN)+'Rate History'!$D$24*SUMIF(Data!$G:$G,Neutral!$A38,Data!$DO:$DO)+'Rate History'!$D$25*SUMIF(Data!$G:$G,Neutral!$A38,Data!$DP:$DP)+'Rate History'!$D$26*SUMIF(Data!$G:$G,Neutral!$A38,Data!$DQ:$DQ)+'Rate History'!$D$27*SUMIF(Data!$G:$G,Neutral!$A38,Data!$DR:$DR)+'Rate History'!$D$28*SUMIF(Data!$G:$G,Neutral!$A38,Data!$DS:$DS)+'Rate History'!$D$29*SUMIF(Data!$G:$G,Neutral!$A38,Data!$DT:$DT)+'Rate History'!$D$30*SUMIF(Data!$G:$G,Neutral!$A38,Data!$DV:$DV)+'Rate History'!$D$31*SUMIF(Data!$G:$G,Neutral!$A38,Data!$DW:$DW))</f>
        <v>3608319.8306238884</v>
      </c>
      <c r="C38" s="117">
        <f>$C$5*('Rate History'!$C$4*SUMIF(Data!$G:$G,Neutral!$A38,Data!$CU:$CU)+'Rate History'!$C$5*SUMIF(Data!$G:$G,Neutral!$A38,Data!$CV:$CV)+'Rate History'!$C$6*SUMIF(Data!$G:$G,Neutral!$A38,Data!$CW:$CW)+'Rate History'!$C$7*SUMIF(Data!$G:$G,Neutral!$A38,Data!$CX:$CX)+'Rate History'!$C$8*SUMIF(Data!$G:$G,Neutral!$A38,Data!$CY:$CY)+'Rate History'!$C$9*SUMIF(Data!$G:$G,Neutral!$A38,Data!$CZ:$CZ)+'Rate History'!$C$10*SUMIF(Data!$G:$G,Neutral!$A38,Data!$DA:$DA)+'Rate History'!$C$11*SUMIF(Data!$G:$G,Neutral!$A38,Data!$DB:$DB)+'Rate History'!$C$12*SUMIF(Data!$G:$G,Neutral!$A38,Data!$DC:$DC)+'Rate History'!$C$13*SUMIF(Data!$G:$G,Neutral!$A38,Data!$DD:$DD)+'Rate History'!$C$14*SUMIF(Data!$G:$G,Neutral!$A38,Data!$DE:$DE)+'Rate History'!$C$15*SUMIF(Data!$G:$G,Neutral!$A38,Data!$DF:$DF)+'Rate History'!$C$16*SUMIF(Data!$G:$G,Neutral!$A38,Data!$DG:$DG)+'Rate History'!$C$17*SUMIF(Data!$G:$G,Neutral!$A38,Data!$DH:$DH)+'Rate History'!$C$18*SUMIF(Data!$G:$G,Neutral!$A38,Data!$DI:$DI)+'Rate History'!$C$19*SUMIF(Data!$G:$G,Neutral!$A38,Data!$DJ:$DJ)+'Rate History'!$C$20*SUMIF(Data!$G:$G,Neutral!$A38,Data!$DK:$DK)+'Rate History'!$C$21*SUMIF(Data!$G:$G,Neutral!$A38,Data!$DL:$DL)+'Rate History'!$C$22*SUMIF(Data!$G:$G,Neutral!$A38,Data!$DM:$DM)+'Rate History'!$C$23*SUMIF(Data!$G:$G,Neutral!$A38,Data!$DN:$DN)+'Rate History'!$C$24*SUMIF(Data!$G:$G,Neutral!$A38,Data!$DO:$DO)+'Rate History'!$C$25*SUMIF(Data!$G:$G,Neutral!$A38,Data!$DP:$DP)+'Rate History'!$C$26*SUMIF(Data!$G:$G,Neutral!$A38,Data!$DQ:$DQ)+'Rate History'!$C$27*SUMIF(Data!$G:$G,Neutral!$A38,Data!$DR:$DR)+'Rate History'!$C$28*SUMIF(Data!$G:$G,Neutral!$A38,Data!$DS:$DS)+'Rate History'!$C$29*SUMIF(Data!$G:$G,Neutral!$A38,Data!$DT:$DT)+'Rate History'!$C$30*SUMIF(Data!$G:$G,Neutral!$A38,Data!$DV:$DV)+'Rate History'!$C$31*SUMIF(Data!$G:$G,Neutral!$A38,Data!$DW:$DW))</f>
        <v>3591978.1816979847</v>
      </c>
      <c r="D38" s="102">
        <f t="shared" si="0"/>
        <v>-16341.648925903719</v>
      </c>
      <c r="E38" s="104">
        <f t="shared" si="1"/>
        <v>-4.5288803911481988E-3</v>
      </c>
      <c r="H38" s="69"/>
      <c r="I38" s="69"/>
    </row>
    <row r="39" spans="1:9" x14ac:dyDescent="0.25">
      <c r="A39" s="97" t="s">
        <v>391</v>
      </c>
      <c r="B39" s="117">
        <f>$B$5*('Rate History'!$D$4*SUMIF(Data!$G:$G,Neutral!$A39,Data!$CU:$CU)+'Rate History'!$D$5*SUMIF(Data!$G:$G,Neutral!$A39,Data!$CV:$CV)+'Rate History'!$D$6*SUMIF(Data!$G:$G,Neutral!$A39,Data!$CW:$CW)+'Rate History'!$D$7*SUMIF(Data!$G:$G,Neutral!$A39,Data!$CX:$CX)+'Rate History'!$D$8*SUMIF(Data!$G:$G,Neutral!$A39,Data!$CY:$CY)+'Rate History'!$D$9*SUMIF(Data!$G:$G,Neutral!$A39,Data!$CZ:$CZ)+'Rate History'!$D$10*SUMIF(Data!$G:$G,Neutral!$A39,Data!$DA:$DA)+'Rate History'!$D$11*SUMIF(Data!$G:$G,Neutral!$A39,Data!$DB:$DB)+'Rate History'!$D$12*SUMIF(Data!$G:$G,Neutral!$A39,Data!$DC:$DC)+'Rate History'!$D$13*SUMIF(Data!$G:$G,Neutral!$A39,Data!$DD:$DD)+'Rate History'!$D$14*SUMIF(Data!$G:$G,Neutral!$A39,Data!$DE:$DE)+'Rate History'!$D$15*SUMIF(Data!$G:$G,Neutral!$A39,Data!$DF:$DF)+'Rate History'!$D$16*SUMIF(Data!$G:$G,Neutral!$A39,Data!$DG:$DG)+'Rate History'!$D$17*SUMIF(Data!$G:$G,Neutral!$A39,Data!$DH:$DH)+'Rate History'!$D$18*SUMIF(Data!$G:$G,Neutral!$A39,Data!$DI:$DI)+'Rate History'!$D$19*SUMIF(Data!$G:$G,Neutral!$A39,Data!$DJ:$DJ)+'Rate History'!$D$20*SUMIF(Data!$G:$G,Neutral!$A39,Data!$DK:$DK)+'Rate History'!$D$21*SUMIF(Data!$G:$G,Neutral!$A39,Data!$DL:$DL)+'Rate History'!$D$22*SUMIF(Data!$G:$G,Neutral!$A39,Data!$DM:$DM)+'Rate History'!$D$23*SUMIF(Data!$G:$G,Neutral!$A39,Data!$DN:$DN)+'Rate History'!$D$24*SUMIF(Data!$G:$G,Neutral!$A39,Data!$DO:$DO)+'Rate History'!$D$25*SUMIF(Data!$G:$G,Neutral!$A39,Data!$DP:$DP)+'Rate History'!$D$26*SUMIF(Data!$G:$G,Neutral!$A39,Data!$DQ:$DQ)+'Rate History'!$D$27*SUMIF(Data!$G:$G,Neutral!$A39,Data!$DR:$DR)+'Rate History'!$D$28*SUMIF(Data!$G:$G,Neutral!$A39,Data!$DS:$DS)+'Rate History'!$D$29*SUMIF(Data!$G:$G,Neutral!$A39,Data!$DT:$DT)+'Rate History'!$D$30*SUMIF(Data!$G:$G,Neutral!$A39,Data!$DV:$DV)+'Rate History'!$D$31*SUMIF(Data!$G:$G,Neutral!$A39,Data!$DW:$DW))</f>
        <v>8329737.9538997347</v>
      </c>
      <c r="C39" s="117">
        <f>$C$5*('Rate History'!$C$4*SUMIF(Data!$G:$G,Neutral!$A39,Data!$CU:$CU)+'Rate History'!$C$5*SUMIF(Data!$G:$G,Neutral!$A39,Data!$CV:$CV)+'Rate History'!$C$6*SUMIF(Data!$G:$G,Neutral!$A39,Data!$CW:$CW)+'Rate History'!$C$7*SUMIF(Data!$G:$G,Neutral!$A39,Data!$CX:$CX)+'Rate History'!$C$8*SUMIF(Data!$G:$G,Neutral!$A39,Data!$CY:$CY)+'Rate History'!$C$9*SUMIF(Data!$G:$G,Neutral!$A39,Data!$CZ:$CZ)+'Rate History'!$C$10*SUMIF(Data!$G:$G,Neutral!$A39,Data!$DA:$DA)+'Rate History'!$C$11*SUMIF(Data!$G:$G,Neutral!$A39,Data!$DB:$DB)+'Rate History'!$C$12*SUMIF(Data!$G:$G,Neutral!$A39,Data!$DC:$DC)+'Rate History'!$C$13*SUMIF(Data!$G:$G,Neutral!$A39,Data!$DD:$DD)+'Rate History'!$C$14*SUMIF(Data!$G:$G,Neutral!$A39,Data!$DE:$DE)+'Rate History'!$C$15*SUMIF(Data!$G:$G,Neutral!$A39,Data!$DF:$DF)+'Rate History'!$C$16*SUMIF(Data!$G:$G,Neutral!$A39,Data!$DG:$DG)+'Rate History'!$C$17*SUMIF(Data!$G:$G,Neutral!$A39,Data!$DH:$DH)+'Rate History'!$C$18*SUMIF(Data!$G:$G,Neutral!$A39,Data!$DI:$DI)+'Rate History'!$C$19*SUMIF(Data!$G:$G,Neutral!$A39,Data!$DJ:$DJ)+'Rate History'!$C$20*SUMIF(Data!$G:$G,Neutral!$A39,Data!$DK:$DK)+'Rate History'!$C$21*SUMIF(Data!$G:$G,Neutral!$A39,Data!$DL:$DL)+'Rate History'!$C$22*SUMIF(Data!$G:$G,Neutral!$A39,Data!$DM:$DM)+'Rate History'!$C$23*SUMIF(Data!$G:$G,Neutral!$A39,Data!$DN:$DN)+'Rate History'!$C$24*SUMIF(Data!$G:$G,Neutral!$A39,Data!$DO:$DO)+'Rate History'!$C$25*SUMIF(Data!$G:$G,Neutral!$A39,Data!$DP:$DP)+'Rate History'!$C$26*SUMIF(Data!$G:$G,Neutral!$A39,Data!$DQ:$DQ)+'Rate History'!$C$27*SUMIF(Data!$G:$G,Neutral!$A39,Data!$DR:$DR)+'Rate History'!$C$28*SUMIF(Data!$G:$G,Neutral!$A39,Data!$DS:$DS)+'Rate History'!$C$29*SUMIF(Data!$G:$G,Neutral!$A39,Data!$DT:$DT)+'Rate History'!$C$30*SUMIF(Data!$G:$G,Neutral!$A39,Data!$DV:$DV)+'Rate History'!$C$31*SUMIF(Data!$G:$G,Neutral!$A39,Data!$DW:$DW))</f>
        <v>8223375.1570295189</v>
      </c>
      <c r="D39" s="102">
        <f t="shared" si="0"/>
        <v>-106362.7968702158</v>
      </c>
      <c r="E39" s="104">
        <f t="shared" si="1"/>
        <v>-1.2769044771740977E-2</v>
      </c>
      <c r="H39" s="69"/>
      <c r="I39" s="69"/>
    </row>
    <row r="40" spans="1:9" x14ac:dyDescent="0.25">
      <c r="A40" s="97" t="s">
        <v>393</v>
      </c>
      <c r="B40" s="117">
        <f>$B$5*('Rate History'!$D$4*SUMIF(Data!$G:$G,Neutral!$A40,Data!$CU:$CU)+'Rate History'!$D$5*SUMIF(Data!$G:$G,Neutral!$A40,Data!$CV:$CV)+'Rate History'!$D$6*SUMIF(Data!$G:$G,Neutral!$A40,Data!$CW:$CW)+'Rate History'!$D$7*SUMIF(Data!$G:$G,Neutral!$A40,Data!$CX:$CX)+'Rate History'!$D$8*SUMIF(Data!$G:$G,Neutral!$A40,Data!$CY:$CY)+'Rate History'!$D$9*SUMIF(Data!$G:$G,Neutral!$A40,Data!$CZ:$CZ)+'Rate History'!$D$10*SUMIF(Data!$G:$G,Neutral!$A40,Data!$DA:$DA)+'Rate History'!$D$11*SUMIF(Data!$G:$G,Neutral!$A40,Data!$DB:$DB)+'Rate History'!$D$12*SUMIF(Data!$G:$G,Neutral!$A40,Data!$DC:$DC)+'Rate History'!$D$13*SUMIF(Data!$G:$G,Neutral!$A40,Data!$DD:$DD)+'Rate History'!$D$14*SUMIF(Data!$G:$G,Neutral!$A40,Data!$DE:$DE)+'Rate History'!$D$15*SUMIF(Data!$G:$G,Neutral!$A40,Data!$DF:$DF)+'Rate History'!$D$16*SUMIF(Data!$G:$G,Neutral!$A40,Data!$DG:$DG)+'Rate History'!$D$17*SUMIF(Data!$G:$G,Neutral!$A40,Data!$DH:$DH)+'Rate History'!$D$18*SUMIF(Data!$G:$G,Neutral!$A40,Data!$DI:$DI)+'Rate History'!$D$19*SUMIF(Data!$G:$G,Neutral!$A40,Data!$DJ:$DJ)+'Rate History'!$D$20*SUMIF(Data!$G:$G,Neutral!$A40,Data!$DK:$DK)+'Rate History'!$D$21*SUMIF(Data!$G:$G,Neutral!$A40,Data!$DL:$DL)+'Rate History'!$D$22*SUMIF(Data!$G:$G,Neutral!$A40,Data!$DM:$DM)+'Rate History'!$D$23*SUMIF(Data!$G:$G,Neutral!$A40,Data!$DN:$DN)+'Rate History'!$D$24*SUMIF(Data!$G:$G,Neutral!$A40,Data!$DO:$DO)+'Rate History'!$D$25*SUMIF(Data!$G:$G,Neutral!$A40,Data!$DP:$DP)+'Rate History'!$D$26*SUMIF(Data!$G:$G,Neutral!$A40,Data!$DQ:$DQ)+'Rate History'!$D$27*SUMIF(Data!$G:$G,Neutral!$A40,Data!$DR:$DR)+'Rate History'!$D$28*SUMIF(Data!$G:$G,Neutral!$A40,Data!$DS:$DS)+'Rate History'!$D$29*SUMIF(Data!$G:$G,Neutral!$A40,Data!$DT:$DT)+'Rate History'!$D$30*SUMIF(Data!$G:$G,Neutral!$A40,Data!$DV:$DV)+'Rate History'!$D$31*SUMIF(Data!$G:$G,Neutral!$A40,Data!$DW:$DW))</f>
        <v>1538500.9397487922</v>
      </c>
      <c r="C40" s="117">
        <f>$C$5*('Rate History'!$C$4*SUMIF(Data!$G:$G,Neutral!$A40,Data!$CU:$CU)+'Rate History'!$C$5*SUMIF(Data!$G:$G,Neutral!$A40,Data!$CV:$CV)+'Rate History'!$C$6*SUMIF(Data!$G:$G,Neutral!$A40,Data!$CW:$CW)+'Rate History'!$C$7*SUMIF(Data!$G:$G,Neutral!$A40,Data!$CX:$CX)+'Rate History'!$C$8*SUMIF(Data!$G:$G,Neutral!$A40,Data!$CY:$CY)+'Rate History'!$C$9*SUMIF(Data!$G:$G,Neutral!$A40,Data!$CZ:$CZ)+'Rate History'!$C$10*SUMIF(Data!$G:$G,Neutral!$A40,Data!$DA:$DA)+'Rate History'!$C$11*SUMIF(Data!$G:$G,Neutral!$A40,Data!$DB:$DB)+'Rate History'!$C$12*SUMIF(Data!$G:$G,Neutral!$A40,Data!$DC:$DC)+'Rate History'!$C$13*SUMIF(Data!$G:$G,Neutral!$A40,Data!$DD:$DD)+'Rate History'!$C$14*SUMIF(Data!$G:$G,Neutral!$A40,Data!$DE:$DE)+'Rate History'!$C$15*SUMIF(Data!$G:$G,Neutral!$A40,Data!$DF:$DF)+'Rate History'!$C$16*SUMIF(Data!$G:$G,Neutral!$A40,Data!$DG:$DG)+'Rate History'!$C$17*SUMIF(Data!$G:$G,Neutral!$A40,Data!$DH:$DH)+'Rate History'!$C$18*SUMIF(Data!$G:$G,Neutral!$A40,Data!$DI:$DI)+'Rate History'!$C$19*SUMIF(Data!$G:$G,Neutral!$A40,Data!$DJ:$DJ)+'Rate History'!$C$20*SUMIF(Data!$G:$G,Neutral!$A40,Data!$DK:$DK)+'Rate History'!$C$21*SUMIF(Data!$G:$G,Neutral!$A40,Data!$DL:$DL)+'Rate History'!$C$22*SUMIF(Data!$G:$G,Neutral!$A40,Data!$DM:$DM)+'Rate History'!$C$23*SUMIF(Data!$G:$G,Neutral!$A40,Data!$DN:$DN)+'Rate History'!$C$24*SUMIF(Data!$G:$G,Neutral!$A40,Data!$DO:$DO)+'Rate History'!$C$25*SUMIF(Data!$G:$G,Neutral!$A40,Data!$DP:$DP)+'Rate History'!$C$26*SUMIF(Data!$G:$G,Neutral!$A40,Data!$DQ:$DQ)+'Rate History'!$C$27*SUMIF(Data!$G:$G,Neutral!$A40,Data!$DR:$DR)+'Rate History'!$C$28*SUMIF(Data!$G:$G,Neutral!$A40,Data!$DS:$DS)+'Rate History'!$C$29*SUMIF(Data!$G:$G,Neutral!$A40,Data!$DT:$DT)+'Rate History'!$C$30*SUMIF(Data!$G:$G,Neutral!$A40,Data!$DV:$DV)+'Rate History'!$C$31*SUMIF(Data!$G:$G,Neutral!$A40,Data!$DW:$DW))</f>
        <v>1533098.8525110274</v>
      </c>
      <c r="D40" s="102">
        <f t="shared" si="0"/>
        <v>-5402.0872377648484</v>
      </c>
      <c r="E40" s="104">
        <f t="shared" si="1"/>
        <v>-3.511266778067036E-3</v>
      </c>
      <c r="H40" s="69"/>
      <c r="I40" s="69"/>
    </row>
    <row r="41" spans="1:9" x14ac:dyDescent="0.25">
      <c r="A41" s="97" t="s">
        <v>397</v>
      </c>
      <c r="B41" s="117">
        <f>$B$5*('Rate History'!$D$4*SUMIF(Data!$G:$G,Neutral!$A41,Data!$CU:$CU)+'Rate History'!$D$5*SUMIF(Data!$G:$G,Neutral!$A41,Data!$CV:$CV)+'Rate History'!$D$6*SUMIF(Data!$G:$G,Neutral!$A41,Data!$CW:$CW)+'Rate History'!$D$7*SUMIF(Data!$G:$G,Neutral!$A41,Data!$CX:$CX)+'Rate History'!$D$8*SUMIF(Data!$G:$G,Neutral!$A41,Data!$CY:$CY)+'Rate History'!$D$9*SUMIF(Data!$G:$G,Neutral!$A41,Data!$CZ:$CZ)+'Rate History'!$D$10*SUMIF(Data!$G:$G,Neutral!$A41,Data!$DA:$DA)+'Rate History'!$D$11*SUMIF(Data!$G:$G,Neutral!$A41,Data!$DB:$DB)+'Rate History'!$D$12*SUMIF(Data!$G:$G,Neutral!$A41,Data!$DC:$DC)+'Rate History'!$D$13*SUMIF(Data!$G:$G,Neutral!$A41,Data!$DD:$DD)+'Rate History'!$D$14*SUMIF(Data!$G:$G,Neutral!$A41,Data!$DE:$DE)+'Rate History'!$D$15*SUMIF(Data!$G:$G,Neutral!$A41,Data!$DF:$DF)+'Rate History'!$D$16*SUMIF(Data!$G:$G,Neutral!$A41,Data!$DG:$DG)+'Rate History'!$D$17*SUMIF(Data!$G:$G,Neutral!$A41,Data!$DH:$DH)+'Rate History'!$D$18*SUMIF(Data!$G:$G,Neutral!$A41,Data!$DI:$DI)+'Rate History'!$D$19*SUMIF(Data!$G:$G,Neutral!$A41,Data!$DJ:$DJ)+'Rate History'!$D$20*SUMIF(Data!$G:$G,Neutral!$A41,Data!$DK:$DK)+'Rate History'!$D$21*SUMIF(Data!$G:$G,Neutral!$A41,Data!$DL:$DL)+'Rate History'!$D$22*SUMIF(Data!$G:$G,Neutral!$A41,Data!$DM:$DM)+'Rate History'!$D$23*SUMIF(Data!$G:$G,Neutral!$A41,Data!$DN:$DN)+'Rate History'!$D$24*SUMIF(Data!$G:$G,Neutral!$A41,Data!$DO:$DO)+'Rate History'!$D$25*SUMIF(Data!$G:$G,Neutral!$A41,Data!$DP:$DP)+'Rate History'!$D$26*SUMIF(Data!$G:$G,Neutral!$A41,Data!$DQ:$DQ)+'Rate History'!$D$27*SUMIF(Data!$G:$G,Neutral!$A41,Data!$DR:$DR)+'Rate History'!$D$28*SUMIF(Data!$G:$G,Neutral!$A41,Data!$DS:$DS)+'Rate History'!$D$29*SUMIF(Data!$G:$G,Neutral!$A41,Data!$DT:$DT)+'Rate History'!$D$30*SUMIF(Data!$G:$G,Neutral!$A41,Data!$DV:$DV)+'Rate History'!$D$31*SUMIF(Data!$G:$G,Neutral!$A41,Data!$DW:$DW))</f>
        <v>38126770.03880024</v>
      </c>
      <c r="C41" s="117">
        <f>$C$5*('Rate History'!$C$4*SUMIF(Data!$G:$G,Neutral!$A41,Data!$CU:$CU)+'Rate History'!$C$5*SUMIF(Data!$G:$G,Neutral!$A41,Data!$CV:$CV)+'Rate History'!$C$6*SUMIF(Data!$G:$G,Neutral!$A41,Data!$CW:$CW)+'Rate History'!$C$7*SUMIF(Data!$G:$G,Neutral!$A41,Data!$CX:$CX)+'Rate History'!$C$8*SUMIF(Data!$G:$G,Neutral!$A41,Data!$CY:$CY)+'Rate History'!$C$9*SUMIF(Data!$G:$G,Neutral!$A41,Data!$CZ:$CZ)+'Rate History'!$C$10*SUMIF(Data!$G:$G,Neutral!$A41,Data!$DA:$DA)+'Rate History'!$C$11*SUMIF(Data!$G:$G,Neutral!$A41,Data!$DB:$DB)+'Rate History'!$C$12*SUMIF(Data!$G:$G,Neutral!$A41,Data!$DC:$DC)+'Rate History'!$C$13*SUMIF(Data!$G:$G,Neutral!$A41,Data!$DD:$DD)+'Rate History'!$C$14*SUMIF(Data!$G:$G,Neutral!$A41,Data!$DE:$DE)+'Rate History'!$C$15*SUMIF(Data!$G:$G,Neutral!$A41,Data!$DF:$DF)+'Rate History'!$C$16*SUMIF(Data!$G:$G,Neutral!$A41,Data!$DG:$DG)+'Rate History'!$C$17*SUMIF(Data!$G:$G,Neutral!$A41,Data!$DH:$DH)+'Rate History'!$C$18*SUMIF(Data!$G:$G,Neutral!$A41,Data!$DI:$DI)+'Rate History'!$C$19*SUMIF(Data!$G:$G,Neutral!$A41,Data!$DJ:$DJ)+'Rate History'!$C$20*SUMIF(Data!$G:$G,Neutral!$A41,Data!$DK:$DK)+'Rate History'!$C$21*SUMIF(Data!$G:$G,Neutral!$A41,Data!$DL:$DL)+'Rate History'!$C$22*SUMIF(Data!$G:$G,Neutral!$A41,Data!$DM:$DM)+'Rate History'!$C$23*SUMIF(Data!$G:$G,Neutral!$A41,Data!$DN:$DN)+'Rate History'!$C$24*SUMIF(Data!$G:$G,Neutral!$A41,Data!$DO:$DO)+'Rate History'!$C$25*SUMIF(Data!$G:$G,Neutral!$A41,Data!$DP:$DP)+'Rate History'!$C$26*SUMIF(Data!$G:$G,Neutral!$A41,Data!$DQ:$DQ)+'Rate History'!$C$27*SUMIF(Data!$G:$G,Neutral!$A41,Data!$DR:$DR)+'Rate History'!$C$28*SUMIF(Data!$G:$G,Neutral!$A41,Data!$DS:$DS)+'Rate History'!$C$29*SUMIF(Data!$G:$G,Neutral!$A41,Data!$DT:$DT)+'Rate History'!$C$30*SUMIF(Data!$G:$G,Neutral!$A41,Data!$DV:$DV)+'Rate History'!$C$31*SUMIF(Data!$G:$G,Neutral!$A41,Data!$DW:$DW))</f>
        <v>38089262.162452906</v>
      </c>
      <c r="D41" s="102">
        <f t="shared" si="0"/>
        <v>-37507.876347333193</v>
      </c>
      <c r="E41" s="104">
        <f t="shared" si="1"/>
        <v>-9.8376747647814858E-4</v>
      </c>
      <c r="H41" s="69"/>
      <c r="I41" s="162"/>
    </row>
    <row r="42" spans="1:9" x14ac:dyDescent="0.25">
      <c r="A42" s="97" t="s">
        <v>399</v>
      </c>
      <c r="B42" s="117">
        <f>$B$5*('Rate History'!$D$4*SUMIF(Data!$G:$G,Neutral!$A42,Data!$CU:$CU)+'Rate History'!$D$5*SUMIF(Data!$G:$G,Neutral!$A42,Data!$CV:$CV)+'Rate History'!$D$6*SUMIF(Data!$G:$G,Neutral!$A42,Data!$CW:$CW)+'Rate History'!$D$7*SUMIF(Data!$G:$G,Neutral!$A42,Data!$CX:$CX)+'Rate History'!$D$8*SUMIF(Data!$G:$G,Neutral!$A42,Data!$CY:$CY)+'Rate History'!$D$9*SUMIF(Data!$G:$G,Neutral!$A42,Data!$CZ:$CZ)+'Rate History'!$D$10*SUMIF(Data!$G:$G,Neutral!$A42,Data!$DA:$DA)+'Rate History'!$D$11*SUMIF(Data!$G:$G,Neutral!$A42,Data!$DB:$DB)+'Rate History'!$D$12*SUMIF(Data!$G:$G,Neutral!$A42,Data!$DC:$DC)+'Rate History'!$D$13*SUMIF(Data!$G:$G,Neutral!$A42,Data!$DD:$DD)+'Rate History'!$D$14*SUMIF(Data!$G:$G,Neutral!$A42,Data!$DE:$DE)+'Rate History'!$D$15*SUMIF(Data!$G:$G,Neutral!$A42,Data!$DF:$DF)+'Rate History'!$D$16*SUMIF(Data!$G:$G,Neutral!$A42,Data!$DG:$DG)+'Rate History'!$D$17*SUMIF(Data!$G:$G,Neutral!$A42,Data!$DH:$DH)+'Rate History'!$D$18*SUMIF(Data!$G:$G,Neutral!$A42,Data!$DI:$DI)+'Rate History'!$D$19*SUMIF(Data!$G:$G,Neutral!$A42,Data!$DJ:$DJ)+'Rate History'!$D$20*SUMIF(Data!$G:$G,Neutral!$A42,Data!$DK:$DK)+'Rate History'!$D$21*SUMIF(Data!$G:$G,Neutral!$A42,Data!$DL:$DL)+'Rate History'!$D$22*SUMIF(Data!$G:$G,Neutral!$A42,Data!$DM:$DM)+'Rate History'!$D$23*SUMIF(Data!$G:$G,Neutral!$A42,Data!$DN:$DN)+'Rate History'!$D$24*SUMIF(Data!$G:$G,Neutral!$A42,Data!$DO:$DO)+'Rate History'!$D$25*SUMIF(Data!$G:$G,Neutral!$A42,Data!$DP:$DP)+'Rate History'!$D$26*SUMIF(Data!$G:$G,Neutral!$A42,Data!$DQ:$DQ)+'Rate History'!$D$27*SUMIF(Data!$G:$G,Neutral!$A42,Data!$DR:$DR)+'Rate History'!$D$28*SUMIF(Data!$G:$G,Neutral!$A42,Data!$DS:$DS)+'Rate History'!$D$29*SUMIF(Data!$G:$G,Neutral!$A42,Data!$DT:$DT)+'Rate History'!$D$30*SUMIF(Data!$G:$G,Neutral!$A42,Data!$DV:$DV)+'Rate History'!$D$31*SUMIF(Data!$G:$G,Neutral!$A42,Data!$DW:$DW))</f>
        <v>15057295.684496257</v>
      </c>
      <c r="C42" s="117">
        <f>$C$5*('Rate History'!$C$4*SUMIF(Data!$G:$G,Neutral!$A42,Data!$CU:$CU)+'Rate History'!$C$5*SUMIF(Data!$G:$G,Neutral!$A42,Data!$CV:$CV)+'Rate History'!$C$6*SUMIF(Data!$G:$G,Neutral!$A42,Data!$CW:$CW)+'Rate History'!$C$7*SUMIF(Data!$G:$G,Neutral!$A42,Data!$CX:$CX)+'Rate History'!$C$8*SUMIF(Data!$G:$G,Neutral!$A42,Data!$CY:$CY)+'Rate History'!$C$9*SUMIF(Data!$G:$G,Neutral!$A42,Data!$CZ:$CZ)+'Rate History'!$C$10*SUMIF(Data!$G:$G,Neutral!$A42,Data!$DA:$DA)+'Rate History'!$C$11*SUMIF(Data!$G:$G,Neutral!$A42,Data!$DB:$DB)+'Rate History'!$C$12*SUMIF(Data!$G:$G,Neutral!$A42,Data!$DC:$DC)+'Rate History'!$C$13*SUMIF(Data!$G:$G,Neutral!$A42,Data!$DD:$DD)+'Rate History'!$C$14*SUMIF(Data!$G:$G,Neutral!$A42,Data!$DE:$DE)+'Rate History'!$C$15*SUMIF(Data!$G:$G,Neutral!$A42,Data!$DF:$DF)+'Rate History'!$C$16*SUMIF(Data!$G:$G,Neutral!$A42,Data!$DG:$DG)+'Rate History'!$C$17*SUMIF(Data!$G:$G,Neutral!$A42,Data!$DH:$DH)+'Rate History'!$C$18*SUMIF(Data!$G:$G,Neutral!$A42,Data!$DI:$DI)+'Rate History'!$C$19*SUMIF(Data!$G:$G,Neutral!$A42,Data!$DJ:$DJ)+'Rate History'!$C$20*SUMIF(Data!$G:$G,Neutral!$A42,Data!$DK:$DK)+'Rate History'!$C$21*SUMIF(Data!$G:$G,Neutral!$A42,Data!$DL:$DL)+'Rate History'!$C$22*SUMIF(Data!$G:$G,Neutral!$A42,Data!$DM:$DM)+'Rate History'!$C$23*SUMIF(Data!$G:$G,Neutral!$A42,Data!$DN:$DN)+'Rate History'!$C$24*SUMIF(Data!$G:$G,Neutral!$A42,Data!$DO:$DO)+'Rate History'!$C$25*SUMIF(Data!$G:$G,Neutral!$A42,Data!$DP:$DP)+'Rate History'!$C$26*SUMIF(Data!$G:$G,Neutral!$A42,Data!$DQ:$DQ)+'Rate History'!$C$27*SUMIF(Data!$G:$G,Neutral!$A42,Data!$DR:$DR)+'Rate History'!$C$28*SUMIF(Data!$G:$G,Neutral!$A42,Data!$DS:$DS)+'Rate History'!$C$29*SUMIF(Data!$G:$G,Neutral!$A42,Data!$DT:$DT)+'Rate History'!$C$30*SUMIF(Data!$G:$G,Neutral!$A42,Data!$DV:$DV)+'Rate History'!$C$31*SUMIF(Data!$G:$G,Neutral!$A42,Data!$DW:$DW))</f>
        <v>15035987.894989636</v>
      </c>
      <c r="D42" s="102">
        <f t="shared" si="0"/>
        <v>-21307.789506621659</v>
      </c>
      <c r="E42" s="104">
        <f t="shared" si="1"/>
        <v>-1.415113972196297E-3</v>
      </c>
      <c r="H42" s="69"/>
      <c r="I42" s="69"/>
    </row>
    <row r="43" spans="1:9" x14ac:dyDescent="0.25">
      <c r="A43" s="97" t="s">
        <v>459</v>
      </c>
      <c r="B43" s="117">
        <f>$B$5*('Rate History'!$D$4*SUMIF(Data!$G:$G,Neutral!$A43,Data!$CU:$CU)+'Rate History'!$D$5*SUMIF(Data!$G:$G,Neutral!$A43,Data!$CV:$CV)+'Rate History'!$D$6*SUMIF(Data!$G:$G,Neutral!$A43,Data!$CW:$CW)+'Rate History'!$D$7*SUMIF(Data!$G:$G,Neutral!$A43,Data!$CX:$CX)+'Rate History'!$D$8*SUMIF(Data!$G:$G,Neutral!$A43,Data!$CY:$CY)+'Rate History'!$D$9*SUMIF(Data!$G:$G,Neutral!$A43,Data!$CZ:$CZ)+'Rate History'!$D$10*SUMIF(Data!$G:$G,Neutral!$A43,Data!$DA:$DA)+'Rate History'!$D$11*SUMIF(Data!$G:$G,Neutral!$A43,Data!$DB:$DB)+'Rate History'!$D$12*SUMIF(Data!$G:$G,Neutral!$A43,Data!$DC:$DC)+'Rate History'!$D$13*SUMIF(Data!$G:$G,Neutral!$A43,Data!$DD:$DD)+'Rate History'!$D$14*SUMIF(Data!$G:$G,Neutral!$A43,Data!$DE:$DE)+'Rate History'!$D$15*SUMIF(Data!$G:$G,Neutral!$A43,Data!$DF:$DF)+'Rate History'!$D$16*SUMIF(Data!$G:$G,Neutral!$A43,Data!$DG:$DG)+'Rate History'!$D$17*SUMIF(Data!$G:$G,Neutral!$A43,Data!$DH:$DH)+'Rate History'!$D$18*SUMIF(Data!$G:$G,Neutral!$A43,Data!$DI:$DI)+'Rate History'!$D$19*SUMIF(Data!$G:$G,Neutral!$A43,Data!$DJ:$DJ)+'Rate History'!$D$20*SUMIF(Data!$G:$G,Neutral!$A43,Data!$DK:$DK)+'Rate History'!$D$21*SUMIF(Data!$G:$G,Neutral!$A43,Data!$DL:$DL)+'Rate History'!$D$22*SUMIF(Data!$G:$G,Neutral!$A43,Data!$DM:$DM)+'Rate History'!$D$23*SUMIF(Data!$G:$G,Neutral!$A43,Data!$DN:$DN)+'Rate History'!$D$24*SUMIF(Data!$G:$G,Neutral!$A43,Data!$DO:$DO)+'Rate History'!$D$25*SUMIF(Data!$G:$G,Neutral!$A43,Data!$DP:$DP)+'Rate History'!$D$26*SUMIF(Data!$G:$G,Neutral!$A43,Data!$DQ:$DQ)+'Rate History'!$D$27*SUMIF(Data!$G:$G,Neutral!$A43,Data!$DR:$DR)+'Rate History'!$D$28*SUMIF(Data!$G:$G,Neutral!$A43,Data!$DS:$DS)+'Rate History'!$D$29*SUMIF(Data!$G:$G,Neutral!$A43,Data!$DT:$DT)+'Rate History'!$D$30*SUMIF(Data!$G:$G,Neutral!$A43,Data!$DV:$DV)+'Rate History'!$D$31*SUMIF(Data!$G:$G,Neutral!$A43,Data!$DW:$DW))</f>
        <v>27850429.601513378</v>
      </c>
      <c r="C43" s="117">
        <f>$C$5*('Rate History'!$C$4*SUMIF(Data!$G:$G,Neutral!$A43,Data!$CU:$CU)+'Rate History'!$C$5*SUMIF(Data!$G:$G,Neutral!$A43,Data!$CV:$CV)+'Rate History'!$C$6*SUMIF(Data!$G:$G,Neutral!$A43,Data!$CW:$CW)+'Rate History'!$C$7*SUMIF(Data!$G:$G,Neutral!$A43,Data!$CX:$CX)+'Rate History'!$C$8*SUMIF(Data!$G:$G,Neutral!$A43,Data!$CY:$CY)+'Rate History'!$C$9*SUMIF(Data!$G:$G,Neutral!$A43,Data!$CZ:$CZ)+'Rate History'!$C$10*SUMIF(Data!$G:$G,Neutral!$A43,Data!$DA:$DA)+'Rate History'!$C$11*SUMIF(Data!$G:$G,Neutral!$A43,Data!$DB:$DB)+'Rate History'!$C$12*SUMIF(Data!$G:$G,Neutral!$A43,Data!$DC:$DC)+'Rate History'!$C$13*SUMIF(Data!$G:$G,Neutral!$A43,Data!$DD:$DD)+'Rate History'!$C$14*SUMIF(Data!$G:$G,Neutral!$A43,Data!$DE:$DE)+'Rate History'!$C$15*SUMIF(Data!$G:$G,Neutral!$A43,Data!$DF:$DF)+'Rate History'!$C$16*SUMIF(Data!$G:$G,Neutral!$A43,Data!$DG:$DG)+'Rate History'!$C$17*SUMIF(Data!$G:$G,Neutral!$A43,Data!$DH:$DH)+'Rate History'!$C$18*SUMIF(Data!$G:$G,Neutral!$A43,Data!$DI:$DI)+'Rate History'!$C$19*SUMIF(Data!$G:$G,Neutral!$A43,Data!$DJ:$DJ)+'Rate History'!$C$20*SUMIF(Data!$G:$G,Neutral!$A43,Data!$DK:$DK)+'Rate History'!$C$21*SUMIF(Data!$G:$G,Neutral!$A43,Data!$DL:$DL)+'Rate History'!$C$22*SUMIF(Data!$G:$G,Neutral!$A43,Data!$DM:$DM)+'Rate History'!$C$23*SUMIF(Data!$G:$G,Neutral!$A43,Data!$DN:$DN)+'Rate History'!$C$24*SUMIF(Data!$G:$G,Neutral!$A43,Data!$DO:$DO)+'Rate History'!$C$25*SUMIF(Data!$G:$G,Neutral!$A43,Data!$DP:$DP)+'Rate History'!$C$26*SUMIF(Data!$G:$G,Neutral!$A43,Data!$DQ:$DQ)+'Rate History'!$C$27*SUMIF(Data!$G:$G,Neutral!$A43,Data!$DR:$DR)+'Rate History'!$C$28*SUMIF(Data!$G:$G,Neutral!$A43,Data!$DS:$DS)+'Rate History'!$C$29*SUMIF(Data!$G:$G,Neutral!$A43,Data!$DT:$DT)+'Rate History'!$C$30*SUMIF(Data!$G:$G,Neutral!$A43,Data!$DV:$DV)+'Rate History'!$C$31*SUMIF(Data!$G:$G,Neutral!$A43,Data!$DW:$DW))</f>
        <v>27832970.192721713</v>
      </c>
      <c r="D43" s="102">
        <f t="shared" si="0"/>
        <v>-17459.408791664988</v>
      </c>
      <c r="E43" s="104">
        <f t="shared" si="1"/>
        <v>-6.2689908347827615E-4</v>
      </c>
      <c r="H43" s="69"/>
      <c r="I43" s="69"/>
    </row>
    <row r="44" spans="1:9" x14ac:dyDescent="0.25">
      <c r="A44" s="97" t="s">
        <v>401</v>
      </c>
      <c r="B44" s="117">
        <f>$B$5*('Rate History'!$D$4*SUMIF(Data!$G:$G,Neutral!$A44,Data!$CU:$CU)+'Rate History'!$D$5*SUMIF(Data!$G:$G,Neutral!$A44,Data!$CV:$CV)+'Rate History'!$D$6*SUMIF(Data!$G:$G,Neutral!$A44,Data!$CW:$CW)+'Rate History'!$D$7*SUMIF(Data!$G:$G,Neutral!$A44,Data!$CX:$CX)+'Rate History'!$D$8*SUMIF(Data!$G:$G,Neutral!$A44,Data!$CY:$CY)+'Rate History'!$D$9*SUMIF(Data!$G:$G,Neutral!$A44,Data!$CZ:$CZ)+'Rate History'!$D$10*SUMIF(Data!$G:$G,Neutral!$A44,Data!$DA:$DA)+'Rate History'!$D$11*SUMIF(Data!$G:$G,Neutral!$A44,Data!$DB:$DB)+'Rate History'!$D$12*SUMIF(Data!$G:$G,Neutral!$A44,Data!$DC:$DC)+'Rate History'!$D$13*SUMIF(Data!$G:$G,Neutral!$A44,Data!$DD:$DD)+'Rate History'!$D$14*SUMIF(Data!$G:$G,Neutral!$A44,Data!$DE:$DE)+'Rate History'!$D$15*SUMIF(Data!$G:$G,Neutral!$A44,Data!$DF:$DF)+'Rate History'!$D$16*SUMIF(Data!$G:$G,Neutral!$A44,Data!$DG:$DG)+'Rate History'!$D$17*SUMIF(Data!$G:$G,Neutral!$A44,Data!$DH:$DH)+'Rate History'!$D$18*SUMIF(Data!$G:$G,Neutral!$A44,Data!$DI:$DI)+'Rate History'!$D$19*SUMIF(Data!$G:$G,Neutral!$A44,Data!$DJ:$DJ)+'Rate History'!$D$20*SUMIF(Data!$G:$G,Neutral!$A44,Data!$DK:$DK)+'Rate History'!$D$21*SUMIF(Data!$G:$G,Neutral!$A44,Data!$DL:$DL)+'Rate History'!$D$22*SUMIF(Data!$G:$G,Neutral!$A44,Data!$DM:$DM)+'Rate History'!$D$23*SUMIF(Data!$G:$G,Neutral!$A44,Data!$DN:$DN)+'Rate History'!$D$24*SUMIF(Data!$G:$G,Neutral!$A44,Data!$DO:$DO)+'Rate History'!$D$25*SUMIF(Data!$G:$G,Neutral!$A44,Data!$DP:$DP)+'Rate History'!$D$26*SUMIF(Data!$G:$G,Neutral!$A44,Data!$DQ:$DQ)+'Rate History'!$D$27*SUMIF(Data!$G:$G,Neutral!$A44,Data!$DR:$DR)+'Rate History'!$D$28*SUMIF(Data!$G:$G,Neutral!$A44,Data!$DS:$DS)+'Rate History'!$D$29*SUMIF(Data!$G:$G,Neutral!$A44,Data!$DT:$DT)+'Rate History'!$D$30*SUMIF(Data!$G:$G,Neutral!$A44,Data!$DV:$DV)+'Rate History'!$D$31*SUMIF(Data!$G:$G,Neutral!$A44,Data!$DW:$DW))</f>
        <v>7125355.4200807475</v>
      </c>
      <c r="C44" s="117">
        <f>$C$5*('Rate History'!$C$4*SUMIF(Data!$G:$G,Neutral!$A44,Data!$CU:$CU)+'Rate History'!$C$5*SUMIF(Data!$G:$G,Neutral!$A44,Data!$CV:$CV)+'Rate History'!$C$6*SUMIF(Data!$G:$G,Neutral!$A44,Data!$CW:$CW)+'Rate History'!$C$7*SUMIF(Data!$G:$G,Neutral!$A44,Data!$CX:$CX)+'Rate History'!$C$8*SUMIF(Data!$G:$G,Neutral!$A44,Data!$CY:$CY)+'Rate History'!$C$9*SUMIF(Data!$G:$G,Neutral!$A44,Data!$CZ:$CZ)+'Rate History'!$C$10*SUMIF(Data!$G:$G,Neutral!$A44,Data!$DA:$DA)+'Rate History'!$C$11*SUMIF(Data!$G:$G,Neutral!$A44,Data!$DB:$DB)+'Rate History'!$C$12*SUMIF(Data!$G:$G,Neutral!$A44,Data!$DC:$DC)+'Rate History'!$C$13*SUMIF(Data!$G:$G,Neutral!$A44,Data!$DD:$DD)+'Rate History'!$C$14*SUMIF(Data!$G:$G,Neutral!$A44,Data!$DE:$DE)+'Rate History'!$C$15*SUMIF(Data!$G:$G,Neutral!$A44,Data!$DF:$DF)+'Rate History'!$C$16*SUMIF(Data!$G:$G,Neutral!$A44,Data!$DG:$DG)+'Rate History'!$C$17*SUMIF(Data!$G:$G,Neutral!$A44,Data!$DH:$DH)+'Rate History'!$C$18*SUMIF(Data!$G:$G,Neutral!$A44,Data!$DI:$DI)+'Rate History'!$C$19*SUMIF(Data!$G:$G,Neutral!$A44,Data!$DJ:$DJ)+'Rate History'!$C$20*SUMIF(Data!$G:$G,Neutral!$A44,Data!$DK:$DK)+'Rate History'!$C$21*SUMIF(Data!$G:$G,Neutral!$A44,Data!$DL:$DL)+'Rate History'!$C$22*SUMIF(Data!$G:$G,Neutral!$A44,Data!$DM:$DM)+'Rate History'!$C$23*SUMIF(Data!$G:$G,Neutral!$A44,Data!$DN:$DN)+'Rate History'!$C$24*SUMIF(Data!$G:$G,Neutral!$A44,Data!$DO:$DO)+'Rate History'!$C$25*SUMIF(Data!$G:$G,Neutral!$A44,Data!$DP:$DP)+'Rate History'!$C$26*SUMIF(Data!$G:$G,Neutral!$A44,Data!$DQ:$DQ)+'Rate History'!$C$27*SUMIF(Data!$G:$G,Neutral!$A44,Data!$DR:$DR)+'Rate History'!$C$28*SUMIF(Data!$G:$G,Neutral!$A44,Data!$DS:$DS)+'Rate History'!$C$29*SUMIF(Data!$G:$G,Neutral!$A44,Data!$DT:$DT)+'Rate History'!$C$30*SUMIF(Data!$G:$G,Neutral!$A44,Data!$DV:$DV)+'Rate History'!$C$31*SUMIF(Data!$G:$G,Neutral!$A44,Data!$DW:$DW))</f>
        <v>7150978.0747996299</v>
      </c>
      <c r="D44" s="102">
        <f t="shared" si="0"/>
        <v>25622.654718882404</v>
      </c>
      <c r="E44" s="104">
        <f t="shared" si="1"/>
        <v>3.5959826855334661E-3</v>
      </c>
      <c r="H44" s="69"/>
      <c r="I44" s="69"/>
    </row>
    <row r="45" spans="1:9" x14ac:dyDescent="0.25">
      <c r="A45" s="97" t="s">
        <v>403</v>
      </c>
      <c r="B45" s="117">
        <f>$B$5*('Rate History'!$D$4*SUMIF(Data!$G:$G,Neutral!$A45,Data!$CU:$CU)+'Rate History'!$D$5*SUMIF(Data!$G:$G,Neutral!$A45,Data!$CV:$CV)+'Rate History'!$D$6*SUMIF(Data!$G:$G,Neutral!$A45,Data!$CW:$CW)+'Rate History'!$D$7*SUMIF(Data!$G:$G,Neutral!$A45,Data!$CX:$CX)+'Rate History'!$D$8*SUMIF(Data!$G:$G,Neutral!$A45,Data!$CY:$CY)+'Rate History'!$D$9*SUMIF(Data!$G:$G,Neutral!$A45,Data!$CZ:$CZ)+'Rate History'!$D$10*SUMIF(Data!$G:$G,Neutral!$A45,Data!$DA:$DA)+'Rate History'!$D$11*SUMIF(Data!$G:$G,Neutral!$A45,Data!$DB:$DB)+'Rate History'!$D$12*SUMIF(Data!$G:$G,Neutral!$A45,Data!$DC:$DC)+'Rate History'!$D$13*SUMIF(Data!$G:$G,Neutral!$A45,Data!$DD:$DD)+'Rate History'!$D$14*SUMIF(Data!$G:$G,Neutral!$A45,Data!$DE:$DE)+'Rate History'!$D$15*SUMIF(Data!$G:$G,Neutral!$A45,Data!$DF:$DF)+'Rate History'!$D$16*SUMIF(Data!$G:$G,Neutral!$A45,Data!$DG:$DG)+'Rate History'!$D$17*SUMIF(Data!$G:$G,Neutral!$A45,Data!$DH:$DH)+'Rate History'!$D$18*SUMIF(Data!$G:$G,Neutral!$A45,Data!$DI:$DI)+'Rate History'!$D$19*SUMIF(Data!$G:$G,Neutral!$A45,Data!$DJ:$DJ)+'Rate History'!$D$20*SUMIF(Data!$G:$G,Neutral!$A45,Data!$DK:$DK)+'Rate History'!$D$21*SUMIF(Data!$G:$G,Neutral!$A45,Data!$DL:$DL)+'Rate History'!$D$22*SUMIF(Data!$G:$G,Neutral!$A45,Data!$DM:$DM)+'Rate History'!$D$23*SUMIF(Data!$G:$G,Neutral!$A45,Data!$DN:$DN)+'Rate History'!$D$24*SUMIF(Data!$G:$G,Neutral!$A45,Data!$DO:$DO)+'Rate History'!$D$25*SUMIF(Data!$G:$G,Neutral!$A45,Data!$DP:$DP)+'Rate History'!$D$26*SUMIF(Data!$G:$G,Neutral!$A45,Data!$DQ:$DQ)+'Rate History'!$D$27*SUMIF(Data!$G:$G,Neutral!$A45,Data!$DR:$DR)+'Rate History'!$D$28*SUMIF(Data!$G:$G,Neutral!$A45,Data!$DS:$DS)+'Rate History'!$D$29*SUMIF(Data!$G:$G,Neutral!$A45,Data!$DT:$DT)+'Rate History'!$D$30*SUMIF(Data!$G:$G,Neutral!$A45,Data!$DV:$DV)+'Rate History'!$D$31*SUMIF(Data!$G:$G,Neutral!$A45,Data!$DW:$DW))</f>
        <v>49951604.498478651</v>
      </c>
      <c r="C45" s="117">
        <f>$C$5*('Rate History'!$C$4*SUMIF(Data!$G:$G,Neutral!$A45,Data!$CU:$CU)+'Rate History'!$C$5*SUMIF(Data!$G:$G,Neutral!$A45,Data!$CV:$CV)+'Rate History'!$C$6*SUMIF(Data!$G:$G,Neutral!$A45,Data!$CW:$CW)+'Rate History'!$C$7*SUMIF(Data!$G:$G,Neutral!$A45,Data!$CX:$CX)+'Rate History'!$C$8*SUMIF(Data!$G:$G,Neutral!$A45,Data!$CY:$CY)+'Rate History'!$C$9*SUMIF(Data!$G:$G,Neutral!$A45,Data!$CZ:$CZ)+'Rate History'!$C$10*SUMIF(Data!$G:$G,Neutral!$A45,Data!$DA:$DA)+'Rate History'!$C$11*SUMIF(Data!$G:$G,Neutral!$A45,Data!$DB:$DB)+'Rate History'!$C$12*SUMIF(Data!$G:$G,Neutral!$A45,Data!$DC:$DC)+'Rate History'!$C$13*SUMIF(Data!$G:$G,Neutral!$A45,Data!$DD:$DD)+'Rate History'!$C$14*SUMIF(Data!$G:$G,Neutral!$A45,Data!$DE:$DE)+'Rate History'!$C$15*SUMIF(Data!$G:$G,Neutral!$A45,Data!$DF:$DF)+'Rate History'!$C$16*SUMIF(Data!$G:$G,Neutral!$A45,Data!$DG:$DG)+'Rate History'!$C$17*SUMIF(Data!$G:$G,Neutral!$A45,Data!$DH:$DH)+'Rate History'!$C$18*SUMIF(Data!$G:$G,Neutral!$A45,Data!$DI:$DI)+'Rate History'!$C$19*SUMIF(Data!$G:$G,Neutral!$A45,Data!$DJ:$DJ)+'Rate History'!$C$20*SUMIF(Data!$G:$G,Neutral!$A45,Data!$DK:$DK)+'Rate History'!$C$21*SUMIF(Data!$G:$G,Neutral!$A45,Data!$DL:$DL)+'Rate History'!$C$22*SUMIF(Data!$G:$G,Neutral!$A45,Data!$DM:$DM)+'Rate History'!$C$23*SUMIF(Data!$G:$G,Neutral!$A45,Data!$DN:$DN)+'Rate History'!$C$24*SUMIF(Data!$G:$G,Neutral!$A45,Data!$DO:$DO)+'Rate History'!$C$25*SUMIF(Data!$G:$G,Neutral!$A45,Data!$DP:$DP)+'Rate History'!$C$26*SUMIF(Data!$G:$G,Neutral!$A45,Data!$DQ:$DQ)+'Rate History'!$C$27*SUMIF(Data!$G:$G,Neutral!$A45,Data!$DR:$DR)+'Rate History'!$C$28*SUMIF(Data!$G:$G,Neutral!$A45,Data!$DS:$DS)+'Rate History'!$C$29*SUMIF(Data!$G:$G,Neutral!$A45,Data!$DT:$DT)+'Rate History'!$C$30*SUMIF(Data!$G:$G,Neutral!$A45,Data!$DV:$DV)+'Rate History'!$C$31*SUMIF(Data!$G:$G,Neutral!$A45,Data!$DW:$DW))</f>
        <v>50067141.705912493</v>
      </c>
      <c r="D45" s="102">
        <f t="shared" si="0"/>
        <v>115537.20743384212</v>
      </c>
      <c r="E45" s="104">
        <f t="shared" si="1"/>
        <v>2.3129829080337345E-3</v>
      </c>
      <c r="H45" s="69"/>
      <c r="I45" s="69"/>
    </row>
    <row r="46" spans="1:9" x14ac:dyDescent="0.25">
      <c r="A46" s="97" t="s">
        <v>405</v>
      </c>
      <c r="B46" s="117">
        <f>$B$5*('Rate History'!$D$4*SUMIF(Data!$G:$G,Neutral!$A46,Data!$CU:$CU)+'Rate History'!$D$5*SUMIF(Data!$G:$G,Neutral!$A46,Data!$CV:$CV)+'Rate History'!$D$6*SUMIF(Data!$G:$G,Neutral!$A46,Data!$CW:$CW)+'Rate History'!$D$7*SUMIF(Data!$G:$G,Neutral!$A46,Data!$CX:$CX)+'Rate History'!$D$8*SUMIF(Data!$G:$G,Neutral!$A46,Data!$CY:$CY)+'Rate History'!$D$9*SUMIF(Data!$G:$G,Neutral!$A46,Data!$CZ:$CZ)+'Rate History'!$D$10*SUMIF(Data!$G:$G,Neutral!$A46,Data!$DA:$DA)+'Rate History'!$D$11*SUMIF(Data!$G:$G,Neutral!$A46,Data!$DB:$DB)+'Rate History'!$D$12*SUMIF(Data!$G:$G,Neutral!$A46,Data!$DC:$DC)+'Rate History'!$D$13*SUMIF(Data!$G:$G,Neutral!$A46,Data!$DD:$DD)+'Rate History'!$D$14*SUMIF(Data!$G:$G,Neutral!$A46,Data!$DE:$DE)+'Rate History'!$D$15*SUMIF(Data!$G:$G,Neutral!$A46,Data!$DF:$DF)+'Rate History'!$D$16*SUMIF(Data!$G:$G,Neutral!$A46,Data!$DG:$DG)+'Rate History'!$D$17*SUMIF(Data!$G:$G,Neutral!$A46,Data!$DH:$DH)+'Rate History'!$D$18*SUMIF(Data!$G:$G,Neutral!$A46,Data!$DI:$DI)+'Rate History'!$D$19*SUMIF(Data!$G:$G,Neutral!$A46,Data!$DJ:$DJ)+'Rate History'!$D$20*SUMIF(Data!$G:$G,Neutral!$A46,Data!$DK:$DK)+'Rate History'!$D$21*SUMIF(Data!$G:$G,Neutral!$A46,Data!$DL:$DL)+'Rate History'!$D$22*SUMIF(Data!$G:$G,Neutral!$A46,Data!$DM:$DM)+'Rate History'!$D$23*SUMIF(Data!$G:$G,Neutral!$A46,Data!$DN:$DN)+'Rate History'!$D$24*SUMIF(Data!$G:$G,Neutral!$A46,Data!$DO:$DO)+'Rate History'!$D$25*SUMIF(Data!$G:$G,Neutral!$A46,Data!$DP:$DP)+'Rate History'!$D$26*SUMIF(Data!$G:$G,Neutral!$A46,Data!$DQ:$DQ)+'Rate History'!$D$27*SUMIF(Data!$G:$G,Neutral!$A46,Data!$DR:$DR)+'Rate History'!$D$28*SUMIF(Data!$G:$G,Neutral!$A46,Data!$DS:$DS)+'Rate History'!$D$29*SUMIF(Data!$G:$G,Neutral!$A46,Data!$DT:$DT)+'Rate History'!$D$30*SUMIF(Data!$G:$G,Neutral!$A46,Data!$DV:$DV)+'Rate History'!$D$31*SUMIF(Data!$G:$G,Neutral!$A46,Data!$DW:$DW))</f>
        <v>7713366.1890692022</v>
      </c>
      <c r="C46" s="117">
        <f>$C$5*('Rate History'!$C$4*SUMIF(Data!$G:$G,Neutral!$A46,Data!$CU:$CU)+'Rate History'!$C$5*SUMIF(Data!$G:$G,Neutral!$A46,Data!$CV:$CV)+'Rate History'!$C$6*SUMIF(Data!$G:$G,Neutral!$A46,Data!$CW:$CW)+'Rate History'!$C$7*SUMIF(Data!$G:$G,Neutral!$A46,Data!$CX:$CX)+'Rate History'!$C$8*SUMIF(Data!$G:$G,Neutral!$A46,Data!$CY:$CY)+'Rate History'!$C$9*SUMIF(Data!$G:$G,Neutral!$A46,Data!$CZ:$CZ)+'Rate History'!$C$10*SUMIF(Data!$G:$G,Neutral!$A46,Data!$DA:$DA)+'Rate History'!$C$11*SUMIF(Data!$G:$G,Neutral!$A46,Data!$DB:$DB)+'Rate History'!$C$12*SUMIF(Data!$G:$G,Neutral!$A46,Data!$DC:$DC)+'Rate History'!$C$13*SUMIF(Data!$G:$G,Neutral!$A46,Data!$DD:$DD)+'Rate History'!$C$14*SUMIF(Data!$G:$G,Neutral!$A46,Data!$DE:$DE)+'Rate History'!$C$15*SUMIF(Data!$G:$G,Neutral!$A46,Data!$DF:$DF)+'Rate History'!$C$16*SUMIF(Data!$G:$G,Neutral!$A46,Data!$DG:$DG)+'Rate History'!$C$17*SUMIF(Data!$G:$G,Neutral!$A46,Data!$DH:$DH)+'Rate History'!$C$18*SUMIF(Data!$G:$G,Neutral!$A46,Data!$DI:$DI)+'Rate History'!$C$19*SUMIF(Data!$G:$G,Neutral!$A46,Data!$DJ:$DJ)+'Rate History'!$C$20*SUMIF(Data!$G:$G,Neutral!$A46,Data!$DK:$DK)+'Rate History'!$C$21*SUMIF(Data!$G:$G,Neutral!$A46,Data!$DL:$DL)+'Rate History'!$C$22*SUMIF(Data!$G:$G,Neutral!$A46,Data!$DM:$DM)+'Rate History'!$C$23*SUMIF(Data!$G:$G,Neutral!$A46,Data!$DN:$DN)+'Rate History'!$C$24*SUMIF(Data!$G:$G,Neutral!$A46,Data!$DO:$DO)+'Rate History'!$C$25*SUMIF(Data!$G:$G,Neutral!$A46,Data!$DP:$DP)+'Rate History'!$C$26*SUMIF(Data!$G:$G,Neutral!$A46,Data!$DQ:$DQ)+'Rate History'!$C$27*SUMIF(Data!$G:$G,Neutral!$A46,Data!$DR:$DR)+'Rate History'!$C$28*SUMIF(Data!$G:$G,Neutral!$A46,Data!$DS:$DS)+'Rate History'!$C$29*SUMIF(Data!$G:$G,Neutral!$A46,Data!$DT:$DT)+'Rate History'!$C$30*SUMIF(Data!$G:$G,Neutral!$A46,Data!$DV:$DV)+'Rate History'!$C$31*SUMIF(Data!$G:$G,Neutral!$A46,Data!$DW:$DW))</f>
        <v>7710232.1470916066</v>
      </c>
      <c r="D46" s="102">
        <f t="shared" si="0"/>
        <v>-3134.0419775955379</v>
      </c>
      <c r="E46" s="104">
        <f t="shared" si="1"/>
        <v>-4.0631313239566724E-4</v>
      </c>
      <c r="H46" s="69"/>
      <c r="I46" s="69"/>
    </row>
    <row r="47" spans="1:9" x14ac:dyDescent="0.25">
      <c r="A47" s="97" t="s">
        <v>407</v>
      </c>
      <c r="B47" s="117">
        <f>$B$5*('Rate History'!$D$4*SUMIF(Data!$G:$G,Neutral!$A47,Data!$CU:$CU)+'Rate History'!$D$5*SUMIF(Data!$G:$G,Neutral!$A47,Data!$CV:$CV)+'Rate History'!$D$6*SUMIF(Data!$G:$G,Neutral!$A47,Data!$CW:$CW)+'Rate History'!$D$7*SUMIF(Data!$G:$G,Neutral!$A47,Data!$CX:$CX)+'Rate History'!$D$8*SUMIF(Data!$G:$G,Neutral!$A47,Data!$CY:$CY)+'Rate History'!$D$9*SUMIF(Data!$G:$G,Neutral!$A47,Data!$CZ:$CZ)+'Rate History'!$D$10*SUMIF(Data!$G:$G,Neutral!$A47,Data!$DA:$DA)+'Rate History'!$D$11*SUMIF(Data!$G:$G,Neutral!$A47,Data!$DB:$DB)+'Rate History'!$D$12*SUMIF(Data!$G:$G,Neutral!$A47,Data!$DC:$DC)+'Rate History'!$D$13*SUMIF(Data!$G:$G,Neutral!$A47,Data!$DD:$DD)+'Rate History'!$D$14*SUMIF(Data!$G:$G,Neutral!$A47,Data!$DE:$DE)+'Rate History'!$D$15*SUMIF(Data!$G:$G,Neutral!$A47,Data!$DF:$DF)+'Rate History'!$D$16*SUMIF(Data!$G:$G,Neutral!$A47,Data!$DG:$DG)+'Rate History'!$D$17*SUMIF(Data!$G:$G,Neutral!$A47,Data!$DH:$DH)+'Rate History'!$D$18*SUMIF(Data!$G:$G,Neutral!$A47,Data!$DI:$DI)+'Rate History'!$D$19*SUMIF(Data!$G:$G,Neutral!$A47,Data!$DJ:$DJ)+'Rate History'!$D$20*SUMIF(Data!$G:$G,Neutral!$A47,Data!$DK:$DK)+'Rate History'!$D$21*SUMIF(Data!$G:$G,Neutral!$A47,Data!$DL:$DL)+'Rate History'!$D$22*SUMIF(Data!$G:$G,Neutral!$A47,Data!$DM:$DM)+'Rate History'!$D$23*SUMIF(Data!$G:$G,Neutral!$A47,Data!$DN:$DN)+'Rate History'!$D$24*SUMIF(Data!$G:$G,Neutral!$A47,Data!$DO:$DO)+'Rate History'!$D$25*SUMIF(Data!$G:$G,Neutral!$A47,Data!$DP:$DP)+'Rate History'!$D$26*SUMIF(Data!$G:$G,Neutral!$A47,Data!$DQ:$DQ)+'Rate History'!$D$27*SUMIF(Data!$G:$G,Neutral!$A47,Data!$DR:$DR)+'Rate History'!$D$28*SUMIF(Data!$G:$G,Neutral!$A47,Data!$DS:$DS)+'Rate History'!$D$29*SUMIF(Data!$G:$G,Neutral!$A47,Data!$DT:$DT)+'Rate History'!$D$30*SUMIF(Data!$G:$G,Neutral!$A47,Data!$DV:$DV)+'Rate History'!$D$31*SUMIF(Data!$G:$G,Neutral!$A47,Data!$DW:$DW))</f>
        <v>9126787.0568839777</v>
      </c>
      <c r="C47" s="117">
        <f>$C$5*('Rate History'!$C$4*SUMIF(Data!$G:$G,Neutral!$A47,Data!$CU:$CU)+'Rate History'!$C$5*SUMIF(Data!$G:$G,Neutral!$A47,Data!$CV:$CV)+'Rate History'!$C$6*SUMIF(Data!$G:$G,Neutral!$A47,Data!$CW:$CW)+'Rate History'!$C$7*SUMIF(Data!$G:$G,Neutral!$A47,Data!$CX:$CX)+'Rate History'!$C$8*SUMIF(Data!$G:$G,Neutral!$A47,Data!$CY:$CY)+'Rate History'!$C$9*SUMIF(Data!$G:$G,Neutral!$A47,Data!$CZ:$CZ)+'Rate History'!$C$10*SUMIF(Data!$G:$G,Neutral!$A47,Data!$DA:$DA)+'Rate History'!$C$11*SUMIF(Data!$G:$G,Neutral!$A47,Data!$DB:$DB)+'Rate History'!$C$12*SUMIF(Data!$G:$G,Neutral!$A47,Data!$DC:$DC)+'Rate History'!$C$13*SUMIF(Data!$G:$G,Neutral!$A47,Data!$DD:$DD)+'Rate History'!$C$14*SUMIF(Data!$G:$G,Neutral!$A47,Data!$DE:$DE)+'Rate History'!$C$15*SUMIF(Data!$G:$G,Neutral!$A47,Data!$DF:$DF)+'Rate History'!$C$16*SUMIF(Data!$G:$G,Neutral!$A47,Data!$DG:$DG)+'Rate History'!$C$17*SUMIF(Data!$G:$G,Neutral!$A47,Data!$DH:$DH)+'Rate History'!$C$18*SUMIF(Data!$G:$G,Neutral!$A47,Data!$DI:$DI)+'Rate History'!$C$19*SUMIF(Data!$G:$G,Neutral!$A47,Data!$DJ:$DJ)+'Rate History'!$C$20*SUMIF(Data!$G:$G,Neutral!$A47,Data!$DK:$DK)+'Rate History'!$C$21*SUMIF(Data!$G:$G,Neutral!$A47,Data!$DL:$DL)+'Rate History'!$C$22*SUMIF(Data!$G:$G,Neutral!$A47,Data!$DM:$DM)+'Rate History'!$C$23*SUMIF(Data!$G:$G,Neutral!$A47,Data!$DN:$DN)+'Rate History'!$C$24*SUMIF(Data!$G:$G,Neutral!$A47,Data!$DO:$DO)+'Rate History'!$C$25*SUMIF(Data!$G:$G,Neutral!$A47,Data!$DP:$DP)+'Rate History'!$C$26*SUMIF(Data!$G:$G,Neutral!$A47,Data!$DQ:$DQ)+'Rate History'!$C$27*SUMIF(Data!$G:$G,Neutral!$A47,Data!$DR:$DR)+'Rate History'!$C$28*SUMIF(Data!$G:$G,Neutral!$A47,Data!$DS:$DS)+'Rate History'!$C$29*SUMIF(Data!$G:$G,Neutral!$A47,Data!$DT:$DT)+'Rate History'!$C$30*SUMIF(Data!$G:$G,Neutral!$A47,Data!$DV:$DV)+'Rate History'!$C$31*SUMIF(Data!$G:$G,Neutral!$A47,Data!$DW:$DW))</f>
        <v>9059881.448989287</v>
      </c>
      <c r="D47" s="102">
        <f t="shared" si="0"/>
        <v>-66905.607894690707</v>
      </c>
      <c r="E47" s="104">
        <f t="shared" si="1"/>
        <v>-7.3306857580539729E-3</v>
      </c>
      <c r="H47" s="69"/>
      <c r="I47" s="69"/>
    </row>
    <row r="48" spans="1:9" x14ac:dyDescent="0.25">
      <c r="A48" s="97" t="s">
        <v>411</v>
      </c>
      <c r="B48" s="117">
        <f>$B$5*('Rate History'!$D$4*SUMIF(Data!$G:$G,Neutral!$A48,Data!$CU:$CU)+'Rate History'!$D$5*SUMIF(Data!$G:$G,Neutral!$A48,Data!$CV:$CV)+'Rate History'!$D$6*SUMIF(Data!$G:$G,Neutral!$A48,Data!$CW:$CW)+'Rate History'!$D$7*SUMIF(Data!$G:$G,Neutral!$A48,Data!$CX:$CX)+'Rate History'!$D$8*SUMIF(Data!$G:$G,Neutral!$A48,Data!$CY:$CY)+'Rate History'!$D$9*SUMIF(Data!$G:$G,Neutral!$A48,Data!$CZ:$CZ)+'Rate History'!$D$10*SUMIF(Data!$G:$G,Neutral!$A48,Data!$DA:$DA)+'Rate History'!$D$11*SUMIF(Data!$G:$G,Neutral!$A48,Data!$DB:$DB)+'Rate History'!$D$12*SUMIF(Data!$G:$G,Neutral!$A48,Data!$DC:$DC)+'Rate History'!$D$13*SUMIF(Data!$G:$G,Neutral!$A48,Data!$DD:$DD)+'Rate History'!$D$14*SUMIF(Data!$G:$G,Neutral!$A48,Data!$DE:$DE)+'Rate History'!$D$15*SUMIF(Data!$G:$G,Neutral!$A48,Data!$DF:$DF)+'Rate History'!$D$16*SUMIF(Data!$G:$G,Neutral!$A48,Data!$DG:$DG)+'Rate History'!$D$17*SUMIF(Data!$G:$G,Neutral!$A48,Data!$DH:$DH)+'Rate History'!$D$18*SUMIF(Data!$G:$G,Neutral!$A48,Data!$DI:$DI)+'Rate History'!$D$19*SUMIF(Data!$G:$G,Neutral!$A48,Data!$DJ:$DJ)+'Rate History'!$D$20*SUMIF(Data!$G:$G,Neutral!$A48,Data!$DK:$DK)+'Rate History'!$D$21*SUMIF(Data!$G:$G,Neutral!$A48,Data!$DL:$DL)+'Rate History'!$D$22*SUMIF(Data!$G:$G,Neutral!$A48,Data!$DM:$DM)+'Rate History'!$D$23*SUMIF(Data!$G:$G,Neutral!$A48,Data!$DN:$DN)+'Rate History'!$D$24*SUMIF(Data!$G:$G,Neutral!$A48,Data!$DO:$DO)+'Rate History'!$D$25*SUMIF(Data!$G:$G,Neutral!$A48,Data!$DP:$DP)+'Rate History'!$D$26*SUMIF(Data!$G:$G,Neutral!$A48,Data!$DQ:$DQ)+'Rate History'!$D$27*SUMIF(Data!$G:$G,Neutral!$A48,Data!$DR:$DR)+'Rate History'!$D$28*SUMIF(Data!$G:$G,Neutral!$A48,Data!$DS:$DS)+'Rate History'!$D$29*SUMIF(Data!$G:$G,Neutral!$A48,Data!$DT:$DT)+'Rate History'!$D$30*SUMIF(Data!$G:$G,Neutral!$A48,Data!$DV:$DV)+'Rate History'!$D$31*SUMIF(Data!$G:$G,Neutral!$A48,Data!$DW:$DW))</f>
        <v>13798642.623882132</v>
      </c>
      <c r="C48" s="117">
        <f>$C$5*('Rate History'!$C$4*SUMIF(Data!$G:$G,Neutral!$A48,Data!$CU:$CU)+'Rate History'!$C$5*SUMIF(Data!$G:$G,Neutral!$A48,Data!$CV:$CV)+'Rate History'!$C$6*SUMIF(Data!$G:$G,Neutral!$A48,Data!$CW:$CW)+'Rate History'!$C$7*SUMIF(Data!$G:$G,Neutral!$A48,Data!$CX:$CX)+'Rate History'!$C$8*SUMIF(Data!$G:$G,Neutral!$A48,Data!$CY:$CY)+'Rate History'!$C$9*SUMIF(Data!$G:$G,Neutral!$A48,Data!$CZ:$CZ)+'Rate History'!$C$10*SUMIF(Data!$G:$G,Neutral!$A48,Data!$DA:$DA)+'Rate History'!$C$11*SUMIF(Data!$G:$G,Neutral!$A48,Data!$DB:$DB)+'Rate History'!$C$12*SUMIF(Data!$G:$G,Neutral!$A48,Data!$DC:$DC)+'Rate History'!$C$13*SUMIF(Data!$G:$G,Neutral!$A48,Data!$DD:$DD)+'Rate History'!$C$14*SUMIF(Data!$G:$G,Neutral!$A48,Data!$DE:$DE)+'Rate History'!$C$15*SUMIF(Data!$G:$G,Neutral!$A48,Data!$DF:$DF)+'Rate History'!$C$16*SUMIF(Data!$G:$G,Neutral!$A48,Data!$DG:$DG)+'Rate History'!$C$17*SUMIF(Data!$G:$G,Neutral!$A48,Data!$DH:$DH)+'Rate History'!$C$18*SUMIF(Data!$G:$G,Neutral!$A48,Data!$DI:$DI)+'Rate History'!$C$19*SUMIF(Data!$G:$G,Neutral!$A48,Data!$DJ:$DJ)+'Rate History'!$C$20*SUMIF(Data!$G:$G,Neutral!$A48,Data!$DK:$DK)+'Rate History'!$C$21*SUMIF(Data!$G:$G,Neutral!$A48,Data!$DL:$DL)+'Rate History'!$C$22*SUMIF(Data!$G:$G,Neutral!$A48,Data!$DM:$DM)+'Rate History'!$C$23*SUMIF(Data!$G:$G,Neutral!$A48,Data!$DN:$DN)+'Rate History'!$C$24*SUMIF(Data!$G:$G,Neutral!$A48,Data!$DO:$DO)+'Rate History'!$C$25*SUMIF(Data!$G:$G,Neutral!$A48,Data!$DP:$DP)+'Rate History'!$C$26*SUMIF(Data!$G:$G,Neutral!$A48,Data!$DQ:$DQ)+'Rate History'!$C$27*SUMIF(Data!$G:$G,Neutral!$A48,Data!$DR:$DR)+'Rate History'!$C$28*SUMIF(Data!$G:$G,Neutral!$A48,Data!$DS:$DS)+'Rate History'!$C$29*SUMIF(Data!$G:$G,Neutral!$A48,Data!$DT:$DT)+'Rate History'!$C$30*SUMIF(Data!$G:$G,Neutral!$A48,Data!$DV:$DV)+'Rate History'!$C$31*SUMIF(Data!$G:$G,Neutral!$A48,Data!$DW:$DW))</f>
        <v>13794514.607316535</v>
      </c>
      <c r="D48" s="102">
        <f t="shared" si="0"/>
        <v>-4128.0165655966848</v>
      </c>
      <c r="E48" s="104">
        <f t="shared" si="1"/>
        <v>-2.9916106084609226E-4</v>
      </c>
      <c r="H48" s="69"/>
      <c r="I48" s="69"/>
    </row>
    <row r="49" spans="1:9" x14ac:dyDescent="0.25">
      <c r="A49" s="97" t="s">
        <v>371</v>
      </c>
      <c r="B49" s="117">
        <f>$B$5*('Rate History'!$D$4*SUMIF(Data!$G:$G,Neutral!$A49,Data!$CU:$CU)+'Rate History'!$D$5*SUMIF(Data!$G:$G,Neutral!$A49,Data!$CV:$CV)+'Rate History'!$D$6*SUMIF(Data!$G:$G,Neutral!$A49,Data!$CW:$CW)+'Rate History'!$D$7*SUMIF(Data!$G:$G,Neutral!$A49,Data!$CX:$CX)+'Rate History'!$D$8*SUMIF(Data!$G:$G,Neutral!$A49,Data!$CY:$CY)+'Rate History'!$D$9*SUMIF(Data!$G:$G,Neutral!$A49,Data!$CZ:$CZ)+'Rate History'!$D$10*SUMIF(Data!$G:$G,Neutral!$A49,Data!$DA:$DA)+'Rate History'!$D$11*SUMIF(Data!$G:$G,Neutral!$A49,Data!$DB:$DB)+'Rate History'!$D$12*SUMIF(Data!$G:$G,Neutral!$A49,Data!$DC:$DC)+'Rate History'!$D$13*SUMIF(Data!$G:$G,Neutral!$A49,Data!$DD:$DD)+'Rate History'!$D$14*SUMIF(Data!$G:$G,Neutral!$A49,Data!$DE:$DE)+'Rate History'!$D$15*SUMIF(Data!$G:$G,Neutral!$A49,Data!$DF:$DF)+'Rate History'!$D$16*SUMIF(Data!$G:$G,Neutral!$A49,Data!$DG:$DG)+'Rate History'!$D$17*SUMIF(Data!$G:$G,Neutral!$A49,Data!$DH:$DH)+'Rate History'!$D$18*SUMIF(Data!$G:$G,Neutral!$A49,Data!$DI:$DI)+'Rate History'!$D$19*SUMIF(Data!$G:$G,Neutral!$A49,Data!$DJ:$DJ)+'Rate History'!$D$20*SUMIF(Data!$G:$G,Neutral!$A49,Data!$DK:$DK)+'Rate History'!$D$21*SUMIF(Data!$G:$G,Neutral!$A49,Data!$DL:$DL)+'Rate History'!$D$22*SUMIF(Data!$G:$G,Neutral!$A49,Data!$DM:$DM)+'Rate History'!$D$23*SUMIF(Data!$G:$G,Neutral!$A49,Data!$DN:$DN)+'Rate History'!$D$24*SUMIF(Data!$G:$G,Neutral!$A49,Data!$DO:$DO)+'Rate History'!$D$25*SUMIF(Data!$G:$G,Neutral!$A49,Data!$DP:$DP)+'Rate History'!$D$26*SUMIF(Data!$G:$G,Neutral!$A49,Data!$DQ:$DQ)+'Rate History'!$D$27*SUMIF(Data!$G:$G,Neutral!$A49,Data!$DR:$DR)+'Rate History'!$D$28*SUMIF(Data!$G:$G,Neutral!$A49,Data!$DS:$DS)+'Rate History'!$D$29*SUMIF(Data!$G:$G,Neutral!$A49,Data!$DT:$DT)+'Rate History'!$D$30*SUMIF(Data!$G:$G,Neutral!$A49,Data!$DV:$DV)+'Rate History'!$D$31*SUMIF(Data!$G:$G,Neutral!$A49,Data!$DW:$DW))</f>
        <v>11702675.042941341</v>
      </c>
      <c r="C49" s="117">
        <f>$C$5*('Rate History'!$C$4*SUMIF(Data!$G:$G,Neutral!$A49,Data!$CU:$CU)+'Rate History'!$C$5*SUMIF(Data!$G:$G,Neutral!$A49,Data!$CV:$CV)+'Rate History'!$C$6*SUMIF(Data!$G:$G,Neutral!$A49,Data!$CW:$CW)+'Rate History'!$C$7*SUMIF(Data!$G:$G,Neutral!$A49,Data!$CX:$CX)+'Rate History'!$C$8*SUMIF(Data!$G:$G,Neutral!$A49,Data!$CY:$CY)+'Rate History'!$C$9*SUMIF(Data!$G:$G,Neutral!$A49,Data!$CZ:$CZ)+'Rate History'!$C$10*SUMIF(Data!$G:$G,Neutral!$A49,Data!$DA:$DA)+'Rate History'!$C$11*SUMIF(Data!$G:$G,Neutral!$A49,Data!$DB:$DB)+'Rate History'!$C$12*SUMIF(Data!$G:$G,Neutral!$A49,Data!$DC:$DC)+'Rate History'!$C$13*SUMIF(Data!$G:$G,Neutral!$A49,Data!$DD:$DD)+'Rate History'!$C$14*SUMIF(Data!$G:$G,Neutral!$A49,Data!$DE:$DE)+'Rate History'!$C$15*SUMIF(Data!$G:$G,Neutral!$A49,Data!$DF:$DF)+'Rate History'!$C$16*SUMIF(Data!$G:$G,Neutral!$A49,Data!$DG:$DG)+'Rate History'!$C$17*SUMIF(Data!$G:$G,Neutral!$A49,Data!$DH:$DH)+'Rate History'!$C$18*SUMIF(Data!$G:$G,Neutral!$A49,Data!$DI:$DI)+'Rate History'!$C$19*SUMIF(Data!$G:$G,Neutral!$A49,Data!$DJ:$DJ)+'Rate History'!$C$20*SUMIF(Data!$G:$G,Neutral!$A49,Data!$DK:$DK)+'Rate History'!$C$21*SUMIF(Data!$G:$G,Neutral!$A49,Data!$DL:$DL)+'Rate History'!$C$22*SUMIF(Data!$G:$G,Neutral!$A49,Data!$DM:$DM)+'Rate History'!$C$23*SUMIF(Data!$G:$G,Neutral!$A49,Data!$DN:$DN)+'Rate History'!$C$24*SUMIF(Data!$G:$G,Neutral!$A49,Data!$DO:$DO)+'Rate History'!$C$25*SUMIF(Data!$G:$G,Neutral!$A49,Data!$DP:$DP)+'Rate History'!$C$26*SUMIF(Data!$G:$G,Neutral!$A49,Data!$DQ:$DQ)+'Rate History'!$C$27*SUMIF(Data!$G:$G,Neutral!$A49,Data!$DR:$DR)+'Rate History'!$C$28*SUMIF(Data!$G:$G,Neutral!$A49,Data!$DS:$DS)+'Rate History'!$C$29*SUMIF(Data!$G:$G,Neutral!$A49,Data!$DT:$DT)+'Rate History'!$C$30*SUMIF(Data!$G:$G,Neutral!$A49,Data!$DV:$DV)+'Rate History'!$C$31*SUMIF(Data!$G:$G,Neutral!$A49,Data!$DW:$DW))</f>
        <v>11630428.227372138</v>
      </c>
      <c r="D49" s="102">
        <f t="shared" si="0"/>
        <v>-72246.815569203347</v>
      </c>
      <c r="E49" s="104">
        <f t="shared" si="1"/>
        <v>-6.1735300095152341E-3</v>
      </c>
      <c r="H49" s="69"/>
      <c r="I49" s="69"/>
    </row>
    <row r="50" spans="1:9" x14ac:dyDescent="0.25">
      <c r="A50" s="97" t="s">
        <v>413</v>
      </c>
      <c r="B50" s="117">
        <f>$B$5*('Rate History'!$D$4*SUMIF(Data!$G:$G,Neutral!$A50,Data!$CU:$CU)+'Rate History'!$D$5*SUMIF(Data!$G:$G,Neutral!$A50,Data!$CV:$CV)+'Rate History'!$D$6*SUMIF(Data!$G:$G,Neutral!$A50,Data!$CW:$CW)+'Rate History'!$D$7*SUMIF(Data!$G:$G,Neutral!$A50,Data!$CX:$CX)+'Rate History'!$D$8*SUMIF(Data!$G:$G,Neutral!$A50,Data!$CY:$CY)+'Rate History'!$D$9*SUMIF(Data!$G:$G,Neutral!$A50,Data!$CZ:$CZ)+'Rate History'!$D$10*SUMIF(Data!$G:$G,Neutral!$A50,Data!$DA:$DA)+'Rate History'!$D$11*SUMIF(Data!$G:$G,Neutral!$A50,Data!$DB:$DB)+'Rate History'!$D$12*SUMIF(Data!$G:$G,Neutral!$A50,Data!$DC:$DC)+'Rate History'!$D$13*SUMIF(Data!$G:$G,Neutral!$A50,Data!$DD:$DD)+'Rate History'!$D$14*SUMIF(Data!$G:$G,Neutral!$A50,Data!$DE:$DE)+'Rate History'!$D$15*SUMIF(Data!$G:$G,Neutral!$A50,Data!$DF:$DF)+'Rate History'!$D$16*SUMIF(Data!$G:$G,Neutral!$A50,Data!$DG:$DG)+'Rate History'!$D$17*SUMIF(Data!$G:$G,Neutral!$A50,Data!$DH:$DH)+'Rate History'!$D$18*SUMIF(Data!$G:$G,Neutral!$A50,Data!$DI:$DI)+'Rate History'!$D$19*SUMIF(Data!$G:$G,Neutral!$A50,Data!$DJ:$DJ)+'Rate History'!$D$20*SUMIF(Data!$G:$G,Neutral!$A50,Data!$DK:$DK)+'Rate History'!$D$21*SUMIF(Data!$G:$G,Neutral!$A50,Data!$DL:$DL)+'Rate History'!$D$22*SUMIF(Data!$G:$G,Neutral!$A50,Data!$DM:$DM)+'Rate History'!$D$23*SUMIF(Data!$G:$G,Neutral!$A50,Data!$DN:$DN)+'Rate History'!$D$24*SUMIF(Data!$G:$G,Neutral!$A50,Data!$DO:$DO)+'Rate History'!$D$25*SUMIF(Data!$G:$G,Neutral!$A50,Data!$DP:$DP)+'Rate History'!$D$26*SUMIF(Data!$G:$G,Neutral!$A50,Data!$DQ:$DQ)+'Rate History'!$D$27*SUMIF(Data!$G:$G,Neutral!$A50,Data!$DR:$DR)+'Rate History'!$D$28*SUMIF(Data!$G:$G,Neutral!$A50,Data!$DS:$DS)+'Rate History'!$D$29*SUMIF(Data!$G:$G,Neutral!$A50,Data!$DT:$DT)+'Rate History'!$D$30*SUMIF(Data!$G:$G,Neutral!$A50,Data!$DV:$DV)+'Rate History'!$D$31*SUMIF(Data!$G:$G,Neutral!$A50,Data!$DW:$DW))</f>
        <v>16602843.290039832</v>
      </c>
      <c r="C50" s="117">
        <f>$C$5*('Rate History'!$C$4*SUMIF(Data!$G:$G,Neutral!$A50,Data!$CU:$CU)+'Rate History'!$C$5*SUMIF(Data!$G:$G,Neutral!$A50,Data!$CV:$CV)+'Rate History'!$C$6*SUMIF(Data!$G:$G,Neutral!$A50,Data!$CW:$CW)+'Rate History'!$C$7*SUMIF(Data!$G:$G,Neutral!$A50,Data!$CX:$CX)+'Rate History'!$C$8*SUMIF(Data!$G:$G,Neutral!$A50,Data!$CY:$CY)+'Rate History'!$C$9*SUMIF(Data!$G:$G,Neutral!$A50,Data!$CZ:$CZ)+'Rate History'!$C$10*SUMIF(Data!$G:$G,Neutral!$A50,Data!$DA:$DA)+'Rate History'!$C$11*SUMIF(Data!$G:$G,Neutral!$A50,Data!$DB:$DB)+'Rate History'!$C$12*SUMIF(Data!$G:$G,Neutral!$A50,Data!$DC:$DC)+'Rate History'!$C$13*SUMIF(Data!$G:$G,Neutral!$A50,Data!$DD:$DD)+'Rate History'!$C$14*SUMIF(Data!$G:$G,Neutral!$A50,Data!$DE:$DE)+'Rate History'!$C$15*SUMIF(Data!$G:$G,Neutral!$A50,Data!$DF:$DF)+'Rate History'!$C$16*SUMIF(Data!$G:$G,Neutral!$A50,Data!$DG:$DG)+'Rate History'!$C$17*SUMIF(Data!$G:$G,Neutral!$A50,Data!$DH:$DH)+'Rate History'!$C$18*SUMIF(Data!$G:$G,Neutral!$A50,Data!$DI:$DI)+'Rate History'!$C$19*SUMIF(Data!$G:$G,Neutral!$A50,Data!$DJ:$DJ)+'Rate History'!$C$20*SUMIF(Data!$G:$G,Neutral!$A50,Data!$DK:$DK)+'Rate History'!$C$21*SUMIF(Data!$G:$G,Neutral!$A50,Data!$DL:$DL)+'Rate History'!$C$22*SUMIF(Data!$G:$G,Neutral!$A50,Data!$DM:$DM)+'Rate History'!$C$23*SUMIF(Data!$G:$G,Neutral!$A50,Data!$DN:$DN)+'Rate History'!$C$24*SUMIF(Data!$G:$G,Neutral!$A50,Data!$DO:$DO)+'Rate History'!$C$25*SUMIF(Data!$G:$G,Neutral!$A50,Data!$DP:$DP)+'Rate History'!$C$26*SUMIF(Data!$G:$G,Neutral!$A50,Data!$DQ:$DQ)+'Rate History'!$C$27*SUMIF(Data!$G:$G,Neutral!$A50,Data!$DR:$DR)+'Rate History'!$C$28*SUMIF(Data!$G:$G,Neutral!$A50,Data!$DS:$DS)+'Rate History'!$C$29*SUMIF(Data!$G:$G,Neutral!$A50,Data!$DT:$DT)+'Rate History'!$C$30*SUMIF(Data!$G:$G,Neutral!$A50,Data!$DV:$DV)+'Rate History'!$C$31*SUMIF(Data!$G:$G,Neutral!$A50,Data!$DW:$DW))</f>
        <v>16608831.312549964</v>
      </c>
      <c r="D50" s="102">
        <f t="shared" si="0"/>
        <v>5988.022510131821</v>
      </c>
      <c r="E50" s="104">
        <f t="shared" si="1"/>
        <v>3.6066247241664203E-4</v>
      </c>
      <c r="H50" s="69"/>
      <c r="I50" s="69"/>
    </row>
    <row r="51" spans="1:9" x14ac:dyDescent="0.25">
      <c r="A51" s="97" t="s">
        <v>439</v>
      </c>
      <c r="B51" s="117">
        <f>$B$5*('Rate History'!$D$4*SUMIF(Data!$G:$G,Neutral!$A51,Data!$CU:$CU)+'Rate History'!$D$5*SUMIF(Data!$G:$G,Neutral!$A51,Data!$CV:$CV)+'Rate History'!$D$6*SUMIF(Data!$G:$G,Neutral!$A51,Data!$CW:$CW)+'Rate History'!$D$7*SUMIF(Data!$G:$G,Neutral!$A51,Data!$CX:$CX)+'Rate History'!$D$8*SUMIF(Data!$G:$G,Neutral!$A51,Data!$CY:$CY)+'Rate History'!$D$9*SUMIF(Data!$G:$G,Neutral!$A51,Data!$CZ:$CZ)+'Rate History'!$D$10*SUMIF(Data!$G:$G,Neutral!$A51,Data!$DA:$DA)+'Rate History'!$D$11*SUMIF(Data!$G:$G,Neutral!$A51,Data!$DB:$DB)+'Rate History'!$D$12*SUMIF(Data!$G:$G,Neutral!$A51,Data!$DC:$DC)+'Rate History'!$D$13*SUMIF(Data!$G:$G,Neutral!$A51,Data!$DD:$DD)+'Rate History'!$D$14*SUMIF(Data!$G:$G,Neutral!$A51,Data!$DE:$DE)+'Rate History'!$D$15*SUMIF(Data!$G:$G,Neutral!$A51,Data!$DF:$DF)+'Rate History'!$D$16*SUMIF(Data!$G:$G,Neutral!$A51,Data!$DG:$DG)+'Rate History'!$D$17*SUMIF(Data!$G:$G,Neutral!$A51,Data!$DH:$DH)+'Rate History'!$D$18*SUMIF(Data!$G:$G,Neutral!$A51,Data!$DI:$DI)+'Rate History'!$D$19*SUMIF(Data!$G:$G,Neutral!$A51,Data!$DJ:$DJ)+'Rate History'!$D$20*SUMIF(Data!$G:$G,Neutral!$A51,Data!$DK:$DK)+'Rate History'!$D$21*SUMIF(Data!$G:$G,Neutral!$A51,Data!$DL:$DL)+'Rate History'!$D$22*SUMIF(Data!$G:$G,Neutral!$A51,Data!$DM:$DM)+'Rate History'!$D$23*SUMIF(Data!$G:$G,Neutral!$A51,Data!$DN:$DN)+'Rate History'!$D$24*SUMIF(Data!$G:$G,Neutral!$A51,Data!$DO:$DO)+'Rate History'!$D$25*SUMIF(Data!$G:$G,Neutral!$A51,Data!$DP:$DP)+'Rate History'!$D$26*SUMIF(Data!$G:$G,Neutral!$A51,Data!$DQ:$DQ)+'Rate History'!$D$27*SUMIF(Data!$G:$G,Neutral!$A51,Data!$DR:$DR)+'Rate History'!$D$28*SUMIF(Data!$G:$G,Neutral!$A51,Data!$DS:$DS)+'Rate History'!$D$29*SUMIF(Data!$G:$G,Neutral!$A51,Data!$DT:$DT)+'Rate History'!$D$30*SUMIF(Data!$G:$G,Neutral!$A51,Data!$DV:$DV)+'Rate History'!$D$31*SUMIF(Data!$G:$G,Neutral!$A51,Data!$DW:$DW))</f>
        <v>5233234.7781343283</v>
      </c>
      <c r="C51" s="117">
        <f>$C$5*('Rate History'!$C$4*SUMIF(Data!$G:$G,Neutral!$A51,Data!$CU:$CU)+'Rate History'!$C$5*SUMIF(Data!$G:$G,Neutral!$A51,Data!$CV:$CV)+'Rate History'!$C$6*SUMIF(Data!$G:$G,Neutral!$A51,Data!$CW:$CW)+'Rate History'!$C$7*SUMIF(Data!$G:$G,Neutral!$A51,Data!$CX:$CX)+'Rate History'!$C$8*SUMIF(Data!$G:$G,Neutral!$A51,Data!$CY:$CY)+'Rate History'!$C$9*SUMIF(Data!$G:$G,Neutral!$A51,Data!$CZ:$CZ)+'Rate History'!$C$10*SUMIF(Data!$G:$G,Neutral!$A51,Data!$DA:$DA)+'Rate History'!$C$11*SUMIF(Data!$G:$G,Neutral!$A51,Data!$DB:$DB)+'Rate History'!$C$12*SUMIF(Data!$G:$G,Neutral!$A51,Data!$DC:$DC)+'Rate History'!$C$13*SUMIF(Data!$G:$G,Neutral!$A51,Data!$DD:$DD)+'Rate History'!$C$14*SUMIF(Data!$G:$G,Neutral!$A51,Data!$DE:$DE)+'Rate History'!$C$15*SUMIF(Data!$G:$G,Neutral!$A51,Data!$DF:$DF)+'Rate History'!$C$16*SUMIF(Data!$G:$G,Neutral!$A51,Data!$DG:$DG)+'Rate History'!$C$17*SUMIF(Data!$G:$G,Neutral!$A51,Data!$DH:$DH)+'Rate History'!$C$18*SUMIF(Data!$G:$G,Neutral!$A51,Data!$DI:$DI)+'Rate History'!$C$19*SUMIF(Data!$G:$G,Neutral!$A51,Data!$DJ:$DJ)+'Rate History'!$C$20*SUMIF(Data!$G:$G,Neutral!$A51,Data!$DK:$DK)+'Rate History'!$C$21*SUMIF(Data!$G:$G,Neutral!$A51,Data!$DL:$DL)+'Rate History'!$C$22*SUMIF(Data!$G:$G,Neutral!$A51,Data!$DM:$DM)+'Rate History'!$C$23*SUMIF(Data!$G:$G,Neutral!$A51,Data!$DN:$DN)+'Rate History'!$C$24*SUMIF(Data!$G:$G,Neutral!$A51,Data!$DO:$DO)+'Rate History'!$C$25*SUMIF(Data!$G:$G,Neutral!$A51,Data!$DP:$DP)+'Rate History'!$C$26*SUMIF(Data!$G:$G,Neutral!$A51,Data!$DQ:$DQ)+'Rate History'!$C$27*SUMIF(Data!$G:$G,Neutral!$A51,Data!$DR:$DR)+'Rate History'!$C$28*SUMIF(Data!$G:$G,Neutral!$A51,Data!$DS:$DS)+'Rate History'!$C$29*SUMIF(Data!$G:$G,Neutral!$A51,Data!$DT:$DT)+'Rate History'!$C$30*SUMIF(Data!$G:$G,Neutral!$A51,Data!$DV:$DV)+'Rate History'!$C$31*SUMIF(Data!$G:$G,Neutral!$A51,Data!$DW:$DW))</f>
        <v>5198832.8807263914</v>
      </c>
      <c r="D51" s="102">
        <f t="shared" si="0"/>
        <v>-34401.897407936864</v>
      </c>
      <c r="E51" s="104">
        <f t="shared" si="1"/>
        <v>-6.5737347675812272E-3</v>
      </c>
      <c r="H51" s="69"/>
      <c r="I51" s="69"/>
    </row>
    <row r="52" spans="1:9" x14ac:dyDescent="0.25">
      <c r="A52" s="97" t="s">
        <v>415</v>
      </c>
      <c r="B52" s="117">
        <f>$B$5*('Rate History'!$D$4*SUMIF(Data!$G:$G,Neutral!$A52,Data!$CU:$CU)+'Rate History'!$D$5*SUMIF(Data!$G:$G,Neutral!$A52,Data!$CV:$CV)+'Rate History'!$D$6*SUMIF(Data!$G:$G,Neutral!$A52,Data!$CW:$CW)+'Rate History'!$D$7*SUMIF(Data!$G:$G,Neutral!$A52,Data!$CX:$CX)+'Rate History'!$D$8*SUMIF(Data!$G:$G,Neutral!$A52,Data!$CY:$CY)+'Rate History'!$D$9*SUMIF(Data!$G:$G,Neutral!$A52,Data!$CZ:$CZ)+'Rate History'!$D$10*SUMIF(Data!$G:$G,Neutral!$A52,Data!$DA:$DA)+'Rate History'!$D$11*SUMIF(Data!$G:$G,Neutral!$A52,Data!$DB:$DB)+'Rate History'!$D$12*SUMIF(Data!$G:$G,Neutral!$A52,Data!$DC:$DC)+'Rate History'!$D$13*SUMIF(Data!$G:$G,Neutral!$A52,Data!$DD:$DD)+'Rate History'!$D$14*SUMIF(Data!$G:$G,Neutral!$A52,Data!$DE:$DE)+'Rate History'!$D$15*SUMIF(Data!$G:$G,Neutral!$A52,Data!$DF:$DF)+'Rate History'!$D$16*SUMIF(Data!$G:$G,Neutral!$A52,Data!$DG:$DG)+'Rate History'!$D$17*SUMIF(Data!$G:$G,Neutral!$A52,Data!$DH:$DH)+'Rate History'!$D$18*SUMIF(Data!$G:$G,Neutral!$A52,Data!$DI:$DI)+'Rate History'!$D$19*SUMIF(Data!$G:$G,Neutral!$A52,Data!$DJ:$DJ)+'Rate History'!$D$20*SUMIF(Data!$G:$G,Neutral!$A52,Data!$DK:$DK)+'Rate History'!$D$21*SUMIF(Data!$G:$G,Neutral!$A52,Data!$DL:$DL)+'Rate History'!$D$22*SUMIF(Data!$G:$G,Neutral!$A52,Data!$DM:$DM)+'Rate History'!$D$23*SUMIF(Data!$G:$G,Neutral!$A52,Data!$DN:$DN)+'Rate History'!$D$24*SUMIF(Data!$G:$G,Neutral!$A52,Data!$DO:$DO)+'Rate History'!$D$25*SUMIF(Data!$G:$G,Neutral!$A52,Data!$DP:$DP)+'Rate History'!$D$26*SUMIF(Data!$G:$G,Neutral!$A52,Data!$DQ:$DQ)+'Rate History'!$D$27*SUMIF(Data!$G:$G,Neutral!$A52,Data!$DR:$DR)+'Rate History'!$D$28*SUMIF(Data!$G:$G,Neutral!$A52,Data!$DS:$DS)+'Rate History'!$D$29*SUMIF(Data!$G:$G,Neutral!$A52,Data!$DT:$DT)+'Rate History'!$D$30*SUMIF(Data!$G:$G,Neutral!$A52,Data!$DV:$DV)+'Rate History'!$D$31*SUMIF(Data!$G:$G,Neutral!$A52,Data!$DW:$DW))</f>
        <v>6461048.819713207</v>
      </c>
      <c r="C52" s="117">
        <f>$C$5*('Rate History'!$C$4*SUMIF(Data!$G:$G,Neutral!$A52,Data!$CU:$CU)+'Rate History'!$C$5*SUMIF(Data!$G:$G,Neutral!$A52,Data!$CV:$CV)+'Rate History'!$C$6*SUMIF(Data!$G:$G,Neutral!$A52,Data!$CW:$CW)+'Rate History'!$C$7*SUMIF(Data!$G:$G,Neutral!$A52,Data!$CX:$CX)+'Rate History'!$C$8*SUMIF(Data!$G:$G,Neutral!$A52,Data!$CY:$CY)+'Rate History'!$C$9*SUMIF(Data!$G:$G,Neutral!$A52,Data!$CZ:$CZ)+'Rate History'!$C$10*SUMIF(Data!$G:$G,Neutral!$A52,Data!$DA:$DA)+'Rate History'!$C$11*SUMIF(Data!$G:$G,Neutral!$A52,Data!$DB:$DB)+'Rate History'!$C$12*SUMIF(Data!$G:$G,Neutral!$A52,Data!$DC:$DC)+'Rate History'!$C$13*SUMIF(Data!$G:$G,Neutral!$A52,Data!$DD:$DD)+'Rate History'!$C$14*SUMIF(Data!$G:$G,Neutral!$A52,Data!$DE:$DE)+'Rate History'!$C$15*SUMIF(Data!$G:$G,Neutral!$A52,Data!$DF:$DF)+'Rate History'!$C$16*SUMIF(Data!$G:$G,Neutral!$A52,Data!$DG:$DG)+'Rate History'!$C$17*SUMIF(Data!$G:$G,Neutral!$A52,Data!$DH:$DH)+'Rate History'!$C$18*SUMIF(Data!$G:$G,Neutral!$A52,Data!$DI:$DI)+'Rate History'!$C$19*SUMIF(Data!$G:$G,Neutral!$A52,Data!$DJ:$DJ)+'Rate History'!$C$20*SUMIF(Data!$G:$G,Neutral!$A52,Data!$DK:$DK)+'Rate History'!$C$21*SUMIF(Data!$G:$G,Neutral!$A52,Data!$DL:$DL)+'Rate History'!$C$22*SUMIF(Data!$G:$G,Neutral!$A52,Data!$DM:$DM)+'Rate History'!$C$23*SUMIF(Data!$G:$G,Neutral!$A52,Data!$DN:$DN)+'Rate History'!$C$24*SUMIF(Data!$G:$G,Neutral!$A52,Data!$DO:$DO)+'Rate History'!$C$25*SUMIF(Data!$G:$G,Neutral!$A52,Data!$DP:$DP)+'Rate History'!$C$26*SUMIF(Data!$G:$G,Neutral!$A52,Data!$DQ:$DQ)+'Rate History'!$C$27*SUMIF(Data!$G:$G,Neutral!$A52,Data!$DR:$DR)+'Rate History'!$C$28*SUMIF(Data!$G:$G,Neutral!$A52,Data!$DS:$DS)+'Rate History'!$C$29*SUMIF(Data!$G:$G,Neutral!$A52,Data!$DT:$DT)+'Rate History'!$C$30*SUMIF(Data!$G:$G,Neutral!$A52,Data!$DV:$DV)+'Rate History'!$C$31*SUMIF(Data!$G:$G,Neutral!$A52,Data!$DW:$DW))</f>
        <v>6433125.6724291202</v>
      </c>
      <c r="D52" s="102">
        <f t="shared" si="0"/>
        <v>-27923.147284086794</v>
      </c>
      <c r="E52" s="104">
        <f t="shared" si="1"/>
        <v>-4.3217669550632259E-3</v>
      </c>
      <c r="H52" s="69"/>
      <c r="I52" s="69"/>
    </row>
    <row r="53" spans="1:9" x14ac:dyDescent="0.25">
      <c r="A53" s="97" t="s">
        <v>417</v>
      </c>
      <c r="B53" s="117">
        <f>$B$5*('Rate History'!$D$4*SUMIF(Data!$G:$G,Neutral!$A53,Data!$CU:$CU)+'Rate History'!$D$5*SUMIF(Data!$G:$G,Neutral!$A53,Data!$CV:$CV)+'Rate History'!$D$6*SUMIF(Data!$G:$G,Neutral!$A53,Data!$CW:$CW)+'Rate History'!$D$7*SUMIF(Data!$G:$G,Neutral!$A53,Data!$CX:$CX)+'Rate History'!$D$8*SUMIF(Data!$G:$G,Neutral!$A53,Data!$CY:$CY)+'Rate History'!$D$9*SUMIF(Data!$G:$G,Neutral!$A53,Data!$CZ:$CZ)+'Rate History'!$D$10*SUMIF(Data!$G:$G,Neutral!$A53,Data!$DA:$DA)+'Rate History'!$D$11*SUMIF(Data!$G:$G,Neutral!$A53,Data!$DB:$DB)+'Rate History'!$D$12*SUMIF(Data!$G:$G,Neutral!$A53,Data!$DC:$DC)+'Rate History'!$D$13*SUMIF(Data!$G:$G,Neutral!$A53,Data!$DD:$DD)+'Rate History'!$D$14*SUMIF(Data!$G:$G,Neutral!$A53,Data!$DE:$DE)+'Rate History'!$D$15*SUMIF(Data!$G:$G,Neutral!$A53,Data!$DF:$DF)+'Rate History'!$D$16*SUMIF(Data!$G:$G,Neutral!$A53,Data!$DG:$DG)+'Rate History'!$D$17*SUMIF(Data!$G:$G,Neutral!$A53,Data!$DH:$DH)+'Rate History'!$D$18*SUMIF(Data!$G:$G,Neutral!$A53,Data!$DI:$DI)+'Rate History'!$D$19*SUMIF(Data!$G:$G,Neutral!$A53,Data!$DJ:$DJ)+'Rate History'!$D$20*SUMIF(Data!$G:$G,Neutral!$A53,Data!$DK:$DK)+'Rate History'!$D$21*SUMIF(Data!$G:$G,Neutral!$A53,Data!$DL:$DL)+'Rate History'!$D$22*SUMIF(Data!$G:$G,Neutral!$A53,Data!$DM:$DM)+'Rate History'!$D$23*SUMIF(Data!$G:$G,Neutral!$A53,Data!$DN:$DN)+'Rate History'!$D$24*SUMIF(Data!$G:$G,Neutral!$A53,Data!$DO:$DO)+'Rate History'!$D$25*SUMIF(Data!$G:$G,Neutral!$A53,Data!$DP:$DP)+'Rate History'!$D$26*SUMIF(Data!$G:$G,Neutral!$A53,Data!$DQ:$DQ)+'Rate History'!$D$27*SUMIF(Data!$G:$G,Neutral!$A53,Data!$DR:$DR)+'Rate History'!$D$28*SUMIF(Data!$G:$G,Neutral!$A53,Data!$DS:$DS)+'Rate History'!$D$29*SUMIF(Data!$G:$G,Neutral!$A53,Data!$DT:$DT)+'Rate History'!$D$30*SUMIF(Data!$G:$G,Neutral!$A53,Data!$DV:$DV)+'Rate History'!$D$31*SUMIF(Data!$G:$G,Neutral!$A53,Data!$DW:$DW))</f>
        <v>7452469.8771411944</v>
      </c>
      <c r="C53" s="117">
        <f>$C$5*('Rate History'!$C$4*SUMIF(Data!$G:$G,Neutral!$A53,Data!$CU:$CU)+'Rate History'!$C$5*SUMIF(Data!$G:$G,Neutral!$A53,Data!$CV:$CV)+'Rate History'!$C$6*SUMIF(Data!$G:$G,Neutral!$A53,Data!$CW:$CW)+'Rate History'!$C$7*SUMIF(Data!$G:$G,Neutral!$A53,Data!$CX:$CX)+'Rate History'!$C$8*SUMIF(Data!$G:$G,Neutral!$A53,Data!$CY:$CY)+'Rate History'!$C$9*SUMIF(Data!$G:$G,Neutral!$A53,Data!$CZ:$CZ)+'Rate History'!$C$10*SUMIF(Data!$G:$G,Neutral!$A53,Data!$DA:$DA)+'Rate History'!$C$11*SUMIF(Data!$G:$G,Neutral!$A53,Data!$DB:$DB)+'Rate History'!$C$12*SUMIF(Data!$G:$G,Neutral!$A53,Data!$DC:$DC)+'Rate History'!$C$13*SUMIF(Data!$G:$G,Neutral!$A53,Data!$DD:$DD)+'Rate History'!$C$14*SUMIF(Data!$G:$G,Neutral!$A53,Data!$DE:$DE)+'Rate History'!$C$15*SUMIF(Data!$G:$G,Neutral!$A53,Data!$DF:$DF)+'Rate History'!$C$16*SUMIF(Data!$G:$G,Neutral!$A53,Data!$DG:$DG)+'Rate History'!$C$17*SUMIF(Data!$G:$G,Neutral!$A53,Data!$DH:$DH)+'Rate History'!$C$18*SUMIF(Data!$G:$G,Neutral!$A53,Data!$DI:$DI)+'Rate History'!$C$19*SUMIF(Data!$G:$G,Neutral!$A53,Data!$DJ:$DJ)+'Rate History'!$C$20*SUMIF(Data!$G:$G,Neutral!$A53,Data!$DK:$DK)+'Rate History'!$C$21*SUMIF(Data!$G:$G,Neutral!$A53,Data!$DL:$DL)+'Rate History'!$C$22*SUMIF(Data!$G:$G,Neutral!$A53,Data!$DM:$DM)+'Rate History'!$C$23*SUMIF(Data!$G:$G,Neutral!$A53,Data!$DN:$DN)+'Rate History'!$C$24*SUMIF(Data!$G:$G,Neutral!$A53,Data!$DO:$DO)+'Rate History'!$C$25*SUMIF(Data!$G:$G,Neutral!$A53,Data!$DP:$DP)+'Rate History'!$C$26*SUMIF(Data!$G:$G,Neutral!$A53,Data!$DQ:$DQ)+'Rate History'!$C$27*SUMIF(Data!$G:$G,Neutral!$A53,Data!$DR:$DR)+'Rate History'!$C$28*SUMIF(Data!$G:$G,Neutral!$A53,Data!$DS:$DS)+'Rate History'!$C$29*SUMIF(Data!$G:$G,Neutral!$A53,Data!$DT:$DT)+'Rate History'!$C$30*SUMIF(Data!$G:$G,Neutral!$A53,Data!$DV:$DV)+'Rate History'!$C$31*SUMIF(Data!$G:$G,Neutral!$A53,Data!$DW:$DW))</f>
        <v>7461213.1578104189</v>
      </c>
      <c r="D53" s="102">
        <f t="shared" si="0"/>
        <v>8743.2806692244485</v>
      </c>
      <c r="E53" s="104">
        <f t="shared" si="1"/>
        <v>1.1732057711554837E-3</v>
      </c>
      <c r="H53" s="69"/>
      <c r="I53" s="69"/>
    </row>
    <row r="54" spans="1:9" x14ac:dyDescent="0.25">
      <c r="A54" s="97" t="s">
        <v>433</v>
      </c>
      <c r="B54" s="117">
        <f>$B$5*('Rate History'!$D$4*SUMIF(Data!$G:$G,Neutral!$A54,Data!$CU:$CU)+'Rate History'!$D$5*SUMIF(Data!$G:$G,Neutral!$A54,Data!$CV:$CV)+'Rate History'!$D$6*SUMIF(Data!$G:$G,Neutral!$A54,Data!$CW:$CW)+'Rate History'!$D$7*SUMIF(Data!$G:$G,Neutral!$A54,Data!$CX:$CX)+'Rate History'!$D$8*SUMIF(Data!$G:$G,Neutral!$A54,Data!$CY:$CY)+'Rate History'!$D$9*SUMIF(Data!$G:$G,Neutral!$A54,Data!$CZ:$CZ)+'Rate History'!$D$10*SUMIF(Data!$G:$G,Neutral!$A54,Data!$DA:$DA)+'Rate History'!$D$11*SUMIF(Data!$G:$G,Neutral!$A54,Data!$DB:$DB)+'Rate History'!$D$12*SUMIF(Data!$G:$G,Neutral!$A54,Data!$DC:$DC)+'Rate History'!$D$13*SUMIF(Data!$G:$G,Neutral!$A54,Data!$DD:$DD)+'Rate History'!$D$14*SUMIF(Data!$G:$G,Neutral!$A54,Data!$DE:$DE)+'Rate History'!$D$15*SUMIF(Data!$G:$G,Neutral!$A54,Data!$DF:$DF)+'Rate History'!$D$16*SUMIF(Data!$G:$G,Neutral!$A54,Data!$DG:$DG)+'Rate History'!$D$17*SUMIF(Data!$G:$G,Neutral!$A54,Data!$DH:$DH)+'Rate History'!$D$18*SUMIF(Data!$G:$G,Neutral!$A54,Data!$DI:$DI)+'Rate History'!$D$19*SUMIF(Data!$G:$G,Neutral!$A54,Data!$DJ:$DJ)+'Rate History'!$D$20*SUMIF(Data!$G:$G,Neutral!$A54,Data!$DK:$DK)+'Rate History'!$D$21*SUMIF(Data!$G:$G,Neutral!$A54,Data!$DL:$DL)+'Rate History'!$D$22*SUMIF(Data!$G:$G,Neutral!$A54,Data!$DM:$DM)+'Rate History'!$D$23*SUMIF(Data!$G:$G,Neutral!$A54,Data!$DN:$DN)+'Rate History'!$D$24*SUMIF(Data!$G:$G,Neutral!$A54,Data!$DO:$DO)+'Rate History'!$D$25*SUMIF(Data!$G:$G,Neutral!$A54,Data!$DP:$DP)+'Rate History'!$D$26*SUMIF(Data!$G:$G,Neutral!$A54,Data!$DQ:$DQ)+'Rate History'!$D$27*SUMIF(Data!$G:$G,Neutral!$A54,Data!$DR:$DR)+'Rate History'!$D$28*SUMIF(Data!$G:$G,Neutral!$A54,Data!$DS:$DS)+'Rate History'!$D$29*SUMIF(Data!$G:$G,Neutral!$A54,Data!$DT:$DT)+'Rate History'!$D$30*SUMIF(Data!$G:$G,Neutral!$A54,Data!$DV:$DV)+'Rate History'!$D$31*SUMIF(Data!$G:$G,Neutral!$A54,Data!$DW:$DW))</f>
        <v>3400908.939020094</v>
      </c>
      <c r="C54" s="117">
        <f>$C$5*('Rate History'!$C$4*SUMIF(Data!$G:$G,Neutral!$A54,Data!$CU:$CU)+'Rate History'!$C$5*SUMIF(Data!$G:$G,Neutral!$A54,Data!$CV:$CV)+'Rate History'!$C$6*SUMIF(Data!$G:$G,Neutral!$A54,Data!$CW:$CW)+'Rate History'!$C$7*SUMIF(Data!$G:$G,Neutral!$A54,Data!$CX:$CX)+'Rate History'!$C$8*SUMIF(Data!$G:$G,Neutral!$A54,Data!$CY:$CY)+'Rate History'!$C$9*SUMIF(Data!$G:$G,Neutral!$A54,Data!$CZ:$CZ)+'Rate History'!$C$10*SUMIF(Data!$G:$G,Neutral!$A54,Data!$DA:$DA)+'Rate History'!$C$11*SUMIF(Data!$G:$G,Neutral!$A54,Data!$DB:$DB)+'Rate History'!$C$12*SUMIF(Data!$G:$G,Neutral!$A54,Data!$DC:$DC)+'Rate History'!$C$13*SUMIF(Data!$G:$G,Neutral!$A54,Data!$DD:$DD)+'Rate History'!$C$14*SUMIF(Data!$G:$G,Neutral!$A54,Data!$DE:$DE)+'Rate History'!$C$15*SUMIF(Data!$G:$G,Neutral!$A54,Data!$DF:$DF)+'Rate History'!$C$16*SUMIF(Data!$G:$G,Neutral!$A54,Data!$DG:$DG)+'Rate History'!$C$17*SUMIF(Data!$G:$G,Neutral!$A54,Data!$DH:$DH)+'Rate History'!$C$18*SUMIF(Data!$G:$G,Neutral!$A54,Data!$DI:$DI)+'Rate History'!$C$19*SUMIF(Data!$G:$G,Neutral!$A54,Data!$DJ:$DJ)+'Rate History'!$C$20*SUMIF(Data!$G:$G,Neutral!$A54,Data!$DK:$DK)+'Rate History'!$C$21*SUMIF(Data!$G:$G,Neutral!$A54,Data!$DL:$DL)+'Rate History'!$C$22*SUMIF(Data!$G:$G,Neutral!$A54,Data!$DM:$DM)+'Rate History'!$C$23*SUMIF(Data!$G:$G,Neutral!$A54,Data!$DN:$DN)+'Rate History'!$C$24*SUMIF(Data!$G:$G,Neutral!$A54,Data!$DO:$DO)+'Rate History'!$C$25*SUMIF(Data!$G:$G,Neutral!$A54,Data!$DP:$DP)+'Rate History'!$C$26*SUMIF(Data!$G:$G,Neutral!$A54,Data!$DQ:$DQ)+'Rate History'!$C$27*SUMIF(Data!$G:$G,Neutral!$A54,Data!$DR:$DR)+'Rate History'!$C$28*SUMIF(Data!$G:$G,Neutral!$A54,Data!$DS:$DS)+'Rate History'!$C$29*SUMIF(Data!$G:$G,Neutral!$A54,Data!$DT:$DT)+'Rate History'!$C$30*SUMIF(Data!$G:$G,Neutral!$A54,Data!$DV:$DV)+'Rate History'!$C$31*SUMIF(Data!$G:$G,Neutral!$A54,Data!$DW:$DW))</f>
        <v>3397696.2623234345</v>
      </c>
      <c r="D54" s="102">
        <f t="shared" si="0"/>
        <v>-3212.6766966595314</v>
      </c>
      <c r="E54" s="104">
        <f t="shared" si="1"/>
        <v>-9.4465237213472758E-4</v>
      </c>
      <c r="H54" s="69"/>
      <c r="I54" s="69"/>
    </row>
    <row r="55" spans="1:9" x14ac:dyDescent="0.25">
      <c r="A55" s="97" t="s">
        <v>419</v>
      </c>
      <c r="B55" s="117">
        <f>$B$5*('Rate History'!$D$4*SUMIF(Data!$G:$G,Neutral!$A55,Data!$CU:$CU)+'Rate History'!$D$5*SUMIF(Data!$G:$G,Neutral!$A55,Data!$CV:$CV)+'Rate History'!$D$6*SUMIF(Data!$G:$G,Neutral!$A55,Data!$CW:$CW)+'Rate History'!$D$7*SUMIF(Data!$G:$G,Neutral!$A55,Data!$CX:$CX)+'Rate History'!$D$8*SUMIF(Data!$G:$G,Neutral!$A55,Data!$CY:$CY)+'Rate History'!$D$9*SUMIF(Data!$G:$G,Neutral!$A55,Data!$CZ:$CZ)+'Rate History'!$D$10*SUMIF(Data!$G:$G,Neutral!$A55,Data!$DA:$DA)+'Rate History'!$D$11*SUMIF(Data!$G:$G,Neutral!$A55,Data!$DB:$DB)+'Rate History'!$D$12*SUMIF(Data!$G:$G,Neutral!$A55,Data!$DC:$DC)+'Rate History'!$D$13*SUMIF(Data!$G:$G,Neutral!$A55,Data!$DD:$DD)+'Rate History'!$D$14*SUMIF(Data!$G:$G,Neutral!$A55,Data!$DE:$DE)+'Rate History'!$D$15*SUMIF(Data!$G:$G,Neutral!$A55,Data!$DF:$DF)+'Rate History'!$D$16*SUMIF(Data!$G:$G,Neutral!$A55,Data!$DG:$DG)+'Rate History'!$D$17*SUMIF(Data!$G:$G,Neutral!$A55,Data!$DH:$DH)+'Rate History'!$D$18*SUMIF(Data!$G:$G,Neutral!$A55,Data!$DI:$DI)+'Rate History'!$D$19*SUMIF(Data!$G:$G,Neutral!$A55,Data!$DJ:$DJ)+'Rate History'!$D$20*SUMIF(Data!$G:$G,Neutral!$A55,Data!$DK:$DK)+'Rate History'!$D$21*SUMIF(Data!$G:$G,Neutral!$A55,Data!$DL:$DL)+'Rate History'!$D$22*SUMIF(Data!$G:$G,Neutral!$A55,Data!$DM:$DM)+'Rate History'!$D$23*SUMIF(Data!$G:$G,Neutral!$A55,Data!$DN:$DN)+'Rate History'!$D$24*SUMIF(Data!$G:$G,Neutral!$A55,Data!$DO:$DO)+'Rate History'!$D$25*SUMIF(Data!$G:$G,Neutral!$A55,Data!$DP:$DP)+'Rate History'!$D$26*SUMIF(Data!$G:$G,Neutral!$A55,Data!$DQ:$DQ)+'Rate History'!$D$27*SUMIF(Data!$G:$G,Neutral!$A55,Data!$DR:$DR)+'Rate History'!$D$28*SUMIF(Data!$G:$G,Neutral!$A55,Data!$DS:$DS)+'Rate History'!$D$29*SUMIF(Data!$G:$G,Neutral!$A55,Data!$DT:$DT)+'Rate History'!$D$30*SUMIF(Data!$G:$G,Neutral!$A55,Data!$DV:$DV)+'Rate History'!$D$31*SUMIF(Data!$G:$G,Neutral!$A55,Data!$DW:$DW))</f>
        <v>8286088.2196332654</v>
      </c>
      <c r="C55" s="117">
        <f>$C$5*('Rate History'!$C$4*SUMIF(Data!$G:$G,Neutral!$A55,Data!$CU:$CU)+'Rate History'!$C$5*SUMIF(Data!$G:$G,Neutral!$A55,Data!$CV:$CV)+'Rate History'!$C$6*SUMIF(Data!$G:$G,Neutral!$A55,Data!$CW:$CW)+'Rate History'!$C$7*SUMIF(Data!$G:$G,Neutral!$A55,Data!$CX:$CX)+'Rate History'!$C$8*SUMIF(Data!$G:$G,Neutral!$A55,Data!$CY:$CY)+'Rate History'!$C$9*SUMIF(Data!$G:$G,Neutral!$A55,Data!$CZ:$CZ)+'Rate History'!$C$10*SUMIF(Data!$G:$G,Neutral!$A55,Data!$DA:$DA)+'Rate History'!$C$11*SUMIF(Data!$G:$G,Neutral!$A55,Data!$DB:$DB)+'Rate History'!$C$12*SUMIF(Data!$G:$G,Neutral!$A55,Data!$DC:$DC)+'Rate History'!$C$13*SUMIF(Data!$G:$G,Neutral!$A55,Data!$DD:$DD)+'Rate History'!$C$14*SUMIF(Data!$G:$G,Neutral!$A55,Data!$DE:$DE)+'Rate History'!$C$15*SUMIF(Data!$G:$G,Neutral!$A55,Data!$DF:$DF)+'Rate History'!$C$16*SUMIF(Data!$G:$G,Neutral!$A55,Data!$DG:$DG)+'Rate History'!$C$17*SUMIF(Data!$G:$G,Neutral!$A55,Data!$DH:$DH)+'Rate History'!$C$18*SUMIF(Data!$G:$G,Neutral!$A55,Data!$DI:$DI)+'Rate History'!$C$19*SUMIF(Data!$G:$G,Neutral!$A55,Data!$DJ:$DJ)+'Rate History'!$C$20*SUMIF(Data!$G:$G,Neutral!$A55,Data!$DK:$DK)+'Rate History'!$C$21*SUMIF(Data!$G:$G,Neutral!$A55,Data!$DL:$DL)+'Rate History'!$C$22*SUMIF(Data!$G:$G,Neutral!$A55,Data!$DM:$DM)+'Rate History'!$C$23*SUMIF(Data!$G:$G,Neutral!$A55,Data!$DN:$DN)+'Rate History'!$C$24*SUMIF(Data!$G:$G,Neutral!$A55,Data!$DO:$DO)+'Rate History'!$C$25*SUMIF(Data!$G:$G,Neutral!$A55,Data!$DP:$DP)+'Rate History'!$C$26*SUMIF(Data!$G:$G,Neutral!$A55,Data!$DQ:$DQ)+'Rate History'!$C$27*SUMIF(Data!$G:$G,Neutral!$A55,Data!$DR:$DR)+'Rate History'!$C$28*SUMIF(Data!$G:$G,Neutral!$A55,Data!$DS:$DS)+'Rate History'!$C$29*SUMIF(Data!$G:$G,Neutral!$A55,Data!$DT:$DT)+'Rate History'!$C$30*SUMIF(Data!$G:$G,Neutral!$A55,Data!$DV:$DV)+'Rate History'!$C$31*SUMIF(Data!$G:$G,Neutral!$A55,Data!$DW:$DW))</f>
        <v>8312128.8793735364</v>
      </c>
      <c r="D55" s="102">
        <f t="shared" si="0"/>
        <v>26040.659740271047</v>
      </c>
      <c r="E55" s="104">
        <f t="shared" si="1"/>
        <v>3.1426964147653717E-3</v>
      </c>
      <c r="H55" s="69"/>
      <c r="I55" s="69"/>
    </row>
    <row r="56" spans="1:9" x14ac:dyDescent="0.25">
      <c r="A56" s="150" t="s">
        <v>461</v>
      </c>
      <c r="B56" s="117">
        <f>$B$5*('Rate History'!$D$4*SUMIF(Data!$G:$G,Neutral!$A56,Data!$CU:$CU)+'Rate History'!$D$5*SUMIF(Data!$G:$G,Neutral!$A56,Data!$CV:$CV)+'Rate History'!$D$6*SUMIF(Data!$G:$G,Neutral!$A56,Data!$CW:$CW)+'Rate History'!$D$7*SUMIF(Data!$G:$G,Neutral!$A56,Data!$CX:$CX)+'Rate History'!$D$8*SUMIF(Data!$G:$G,Neutral!$A56,Data!$CY:$CY)+'Rate History'!$D$9*SUMIF(Data!$G:$G,Neutral!$A56,Data!$CZ:$CZ)+'Rate History'!$D$10*SUMIF(Data!$G:$G,Neutral!$A56,Data!$DA:$DA)+'Rate History'!$D$11*SUMIF(Data!$G:$G,Neutral!$A56,Data!$DB:$DB)+'Rate History'!$D$12*SUMIF(Data!$G:$G,Neutral!$A56,Data!$DC:$DC)+'Rate History'!$D$13*SUMIF(Data!$G:$G,Neutral!$A56,Data!$DD:$DD)+'Rate History'!$D$14*SUMIF(Data!$G:$G,Neutral!$A56,Data!$DE:$DE)+'Rate History'!$D$15*SUMIF(Data!$G:$G,Neutral!$A56,Data!$DF:$DF)+'Rate History'!$D$16*SUMIF(Data!$G:$G,Neutral!$A56,Data!$DG:$DG)+'Rate History'!$D$17*SUMIF(Data!$G:$G,Neutral!$A56,Data!$DH:$DH)+'Rate History'!$D$18*SUMIF(Data!$G:$G,Neutral!$A56,Data!$DI:$DI)+'Rate History'!$D$19*SUMIF(Data!$G:$G,Neutral!$A56,Data!$DJ:$DJ)+'Rate History'!$D$20*SUMIF(Data!$G:$G,Neutral!$A56,Data!$DK:$DK)+'Rate History'!$D$21*SUMIF(Data!$G:$G,Neutral!$A56,Data!$DL:$DL)+'Rate History'!$D$22*SUMIF(Data!$G:$G,Neutral!$A56,Data!$DM:$DM)+'Rate History'!$D$23*SUMIF(Data!$G:$G,Neutral!$A56,Data!$DN:$DN)+'Rate History'!$D$24*SUMIF(Data!$G:$G,Neutral!$A56,Data!$DO:$DO)+'Rate History'!$D$25*SUMIF(Data!$G:$G,Neutral!$A56,Data!$DP:$DP)+'Rate History'!$D$26*SUMIF(Data!$G:$G,Neutral!$A56,Data!$DQ:$DQ)+'Rate History'!$D$27*SUMIF(Data!$G:$G,Neutral!$A56,Data!$DR:$DR)+'Rate History'!$D$28*SUMIF(Data!$G:$G,Neutral!$A56,Data!$DS:$DS)+'Rate History'!$D$29*SUMIF(Data!$G:$G,Neutral!$A56,Data!$DT:$DT)+'Rate History'!$D$30*SUMIF(Data!$G:$G,Neutral!$A56,Data!$DV:$DV)+'Rate History'!$D$31*SUMIF(Data!$G:$G,Neutral!$A56,Data!$DW:$DW))</f>
        <v>1707781.8667538825</v>
      </c>
      <c r="C56" s="117">
        <f>$C$5*('Rate History'!$C$4*SUMIF(Data!$G:$G,Neutral!$A56,Data!$CU:$CU)+'Rate History'!$C$5*SUMIF(Data!$G:$G,Neutral!$A56,Data!$CV:$CV)+'Rate History'!$C$6*SUMIF(Data!$G:$G,Neutral!$A56,Data!$CW:$CW)+'Rate History'!$C$7*SUMIF(Data!$G:$G,Neutral!$A56,Data!$CX:$CX)+'Rate History'!$C$8*SUMIF(Data!$G:$G,Neutral!$A56,Data!$CY:$CY)+'Rate History'!$C$9*SUMIF(Data!$G:$G,Neutral!$A56,Data!$CZ:$CZ)+'Rate History'!$C$10*SUMIF(Data!$G:$G,Neutral!$A56,Data!$DA:$DA)+'Rate History'!$C$11*SUMIF(Data!$G:$G,Neutral!$A56,Data!$DB:$DB)+'Rate History'!$C$12*SUMIF(Data!$G:$G,Neutral!$A56,Data!$DC:$DC)+'Rate History'!$C$13*SUMIF(Data!$G:$G,Neutral!$A56,Data!$DD:$DD)+'Rate History'!$C$14*SUMIF(Data!$G:$G,Neutral!$A56,Data!$DE:$DE)+'Rate History'!$C$15*SUMIF(Data!$G:$G,Neutral!$A56,Data!$DF:$DF)+'Rate History'!$C$16*SUMIF(Data!$G:$G,Neutral!$A56,Data!$DG:$DG)+'Rate History'!$C$17*SUMIF(Data!$G:$G,Neutral!$A56,Data!$DH:$DH)+'Rate History'!$C$18*SUMIF(Data!$G:$G,Neutral!$A56,Data!$DI:$DI)+'Rate History'!$C$19*SUMIF(Data!$G:$G,Neutral!$A56,Data!$DJ:$DJ)+'Rate History'!$C$20*SUMIF(Data!$G:$G,Neutral!$A56,Data!$DK:$DK)+'Rate History'!$C$21*SUMIF(Data!$G:$G,Neutral!$A56,Data!$DL:$DL)+'Rate History'!$C$22*SUMIF(Data!$G:$G,Neutral!$A56,Data!$DM:$DM)+'Rate History'!$C$23*SUMIF(Data!$G:$G,Neutral!$A56,Data!$DN:$DN)+'Rate History'!$C$24*SUMIF(Data!$G:$G,Neutral!$A56,Data!$DO:$DO)+'Rate History'!$C$25*SUMIF(Data!$G:$G,Neutral!$A56,Data!$DP:$DP)+'Rate History'!$C$26*SUMIF(Data!$G:$G,Neutral!$A56,Data!$DQ:$DQ)+'Rate History'!$C$27*SUMIF(Data!$G:$G,Neutral!$A56,Data!$DR:$DR)+'Rate History'!$C$28*SUMIF(Data!$G:$G,Neutral!$A56,Data!$DS:$DS)+'Rate History'!$C$29*SUMIF(Data!$G:$G,Neutral!$A56,Data!$DT:$DT)+'Rate History'!$C$30*SUMIF(Data!$G:$G,Neutral!$A56,Data!$DV:$DV)+'Rate History'!$C$31*SUMIF(Data!$G:$G,Neutral!$A56,Data!$DW:$DW))</f>
        <v>1688877.4849551751</v>
      </c>
      <c r="D56" s="102">
        <f t="shared" si="0"/>
        <v>-18904.381798707414</v>
      </c>
      <c r="E56" s="104">
        <f t="shared" si="1"/>
        <v>-1.1069552948609581E-2</v>
      </c>
      <c r="H56" s="69"/>
      <c r="I56" s="69"/>
    </row>
    <row r="57" spans="1:9" x14ac:dyDescent="0.25">
      <c r="A57" s="150" t="s">
        <v>431</v>
      </c>
      <c r="B57" s="117">
        <f>$B$5*('Rate History'!$D$4*SUMIF(Data!$G:$G,Neutral!$A57,Data!$CU:$CU)+'Rate History'!$D$5*SUMIF(Data!$G:$G,Neutral!$A57,Data!$CV:$CV)+'Rate History'!$D$6*SUMIF(Data!$G:$G,Neutral!$A57,Data!$CW:$CW)+'Rate History'!$D$7*SUMIF(Data!$G:$G,Neutral!$A57,Data!$CX:$CX)+'Rate History'!$D$8*SUMIF(Data!$G:$G,Neutral!$A57,Data!$CY:$CY)+'Rate History'!$D$9*SUMIF(Data!$G:$G,Neutral!$A57,Data!$CZ:$CZ)+'Rate History'!$D$10*SUMIF(Data!$G:$G,Neutral!$A57,Data!$DA:$DA)+'Rate History'!$D$11*SUMIF(Data!$G:$G,Neutral!$A57,Data!$DB:$DB)+'Rate History'!$D$12*SUMIF(Data!$G:$G,Neutral!$A57,Data!$DC:$DC)+'Rate History'!$D$13*SUMIF(Data!$G:$G,Neutral!$A57,Data!$DD:$DD)+'Rate History'!$D$14*SUMIF(Data!$G:$G,Neutral!$A57,Data!$DE:$DE)+'Rate History'!$D$15*SUMIF(Data!$G:$G,Neutral!$A57,Data!$DF:$DF)+'Rate History'!$D$16*SUMIF(Data!$G:$G,Neutral!$A57,Data!$DG:$DG)+'Rate History'!$D$17*SUMIF(Data!$G:$G,Neutral!$A57,Data!$DH:$DH)+'Rate History'!$D$18*SUMIF(Data!$G:$G,Neutral!$A57,Data!$DI:$DI)+'Rate History'!$D$19*SUMIF(Data!$G:$G,Neutral!$A57,Data!$DJ:$DJ)+'Rate History'!$D$20*SUMIF(Data!$G:$G,Neutral!$A57,Data!$DK:$DK)+'Rate History'!$D$21*SUMIF(Data!$G:$G,Neutral!$A57,Data!$DL:$DL)+'Rate History'!$D$22*SUMIF(Data!$G:$G,Neutral!$A57,Data!$DM:$DM)+'Rate History'!$D$23*SUMIF(Data!$G:$G,Neutral!$A57,Data!$DN:$DN)+'Rate History'!$D$24*SUMIF(Data!$G:$G,Neutral!$A57,Data!$DO:$DO)+'Rate History'!$D$25*SUMIF(Data!$G:$G,Neutral!$A57,Data!$DP:$DP)+'Rate History'!$D$26*SUMIF(Data!$G:$G,Neutral!$A57,Data!$DQ:$DQ)+'Rate History'!$D$27*SUMIF(Data!$G:$G,Neutral!$A57,Data!$DR:$DR)+'Rate History'!$D$28*SUMIF(Data!$G:$G,Neutral!$A57,Data!$DS:$DS)+'Rate History'!$D$29*SUMIF(Data!$G:$G,Neutral!$A57,Data!$DT:$DT)+'Rate History'!$D$30*SUMIF(Data!$G:$G,Neutral!$A57,Data!$DV:$DV)+'Rate History'!$D$31*SUMIF(Data!$G:$G,Neutral!$A57,Data!$DW:$DW))</f>
        <v>10129265.439168852</v>
      </c>
      <c r="C57" s="117">
        <f>$C$5*('Rate History'!$C$4*SUMIF(Data!$G:$G,Neutral!$A57,Data!$CU:$CU)+'Rate History'!$C$5*SUMIF(Data!$G:$G,Neutral!$A57,Data!$CV:$CV)+'Rate History'!$C$6*SUMIF(Data!$G:$G,Neutral!$A57,Data!$CW:$CW)+'Rate History'!$C$7*SUMIF(Data!$G:$G,Neutral!$A57,Data!$CX:$CX)+'Rate History'!$C$8*SUMIF(Data!$G:$G,Neutral!$A57,Data!$CY:$CY)+'Rate History'!$C$9*SUMIF(Data!$G:$G,Neutral!$A57,Data!$CZ:$CZ)+'Rate History'!$C$10*SUMIF(Data!$G:$G,Neutral!$A57,Data!$DA:$DA)+'Rate History'!$C$11*SUMIF(Data!$G:$G,Neutral!$A57,Data!$DB:$DB)+'Rate History'!$C$12*SUMIF(Data!$G:$G,Neutral!$A57,Data!$DC:$DC)+'Rate History'!$C$13*SUMIF(Data!$G:$G,Neutral!$A57,Data!$DD:$DD)+'Rate History'!$C$14*SUMIF(Data!$G:$G,Neutral!$A57,Data!$DE:$DE)+'Rate History'!$C$15*SUMIF(Data!$G:$G,Neutral!$A57,Data!$DF:$DF)+'Rate History'!$C$16*SUMIF(Data!$G:$G,Neutral!$A57,Data!$DG:$DG)+'Rate History'!$C$17*SUMIF(Data!$G:$G,Neutral!$A57,Data!$DH:$DH)+'Rate History'!$C$18*SUMIF(Data!$G:$G,Neutral!$A57,Data!$DI:$DI)+'Rate History'!$C$19*SUMIF(Data!$G:$G,Neutral!$A57,Data!$DJ:$DJ)+'Rate History'!$C$20*SUMIF(Data!$G:$G,Neutral!$A57,Data!$DK:$DK)+'Rate History'!$C$21*SUMIF(Data!$G:$G,Neutral!$A57,Data!$DL:$DL)+'Rate History'!$C$22*SUMIF(Data!$G:$G,Neutral!$A57,Data!$DM:$DM)+'Rate History'!$C$23*SUMIF(Data!$G:$G,Neutral!$A57,Data!$DN:$DN)+'Rate History'!$C$24*SUMIF(Data!$G:$G,Neutral!$A57,Data!$DO:$DO)+'Rate History'!$C$25*SUMIF(Data!$G:$G,Neutral!$A57,Data!$DP:$DP)+'Rate History'!$C$26*SUMIF(Data!$G:$G,Neutral!$A57,Data!$DQ:$DQ)+'Rate History'!$C$27*SUMIF(Data!$G:$G,Neutral!$A57,Data!$DR:$DR)+'Rate History'!$C$28*SUMIF(Data!$G:$G,Neutral!$A57,Data!$DS:$DS)+'Rate History'!$C$29*SUMIF(Data!$G:$G,Neutral!$A57,Data!$DT:$DT)+'Rate History'!$C$30*SUMIF(Data!$G:$G,Neutral!$A57,Data!$DV:$DV)+'Rate History'!$C$31*SUMIF(Data!$G:$G,Neutral!$A57,Data!$DW:$DW))</f>
        <v>10101862.001812298</v>
      </c>
      <c r="D57" s="102">
        <f t="shared" si="0"/>
        <v>-27403.437356553972</v>
      </c>
      <c r="E57" s="104">
        <f t="shared" si="1"/>
        <v>-2.7053726177011447E-3</v>
      </c>
      <c r="H57" s="69"/>
      <c r="I57" s="69"/>
    </row>
    <row r="58" spans="1:9" x14ac:dyDescent="0.25">
      <c r="A58" s="150" t="s">
        <v>409</v>
      </c>
      <c r="B58" s="117">
        <f>$B$5*('Rate History'!$D$4*SUMIF(Data!$G:$G,Neutral!$A58,Data!$CU:$CU)+'Rate History'!$D$5*SUMIF(Data!$G:$G,Neutral!$A58,Data!$CV:$CV)+'Rate History'!$D$6*SUMIF(Data!$G:$G,Neutral!$A58,Data!$CW:$CW)+'Rate History'!$D$7*SUMIF(Data!$G:$G,Neutral!$A58,Data!$CX:$CX)+'Rate History'!$D$8*SUMIF(Data!$G:$G,Neutral!$A58,Data!$CY:$CY)+'Rate History'!$D$9*SUMIF(Data!$G:$G,Neutral!$A58,Data!$CZ:$CZ)+'Rate History'!$D$10*SUMIF(Data!$G:$G,Neutral!$A58,Data!$DA:$DA)+'Rate History'!$D$11*SUMIF(Data!$G:$G,Neutral!$A58,Data!$DB:$DB)+'Rate History'!$D$12*SUMIF(Data!$G:$G,Neutral!$A58,Data!$DC:$DC)+'Rate History'!$D$13*SUMIF(Data!$G:$G,Neutral!$A58,Data!$DD:$DD)+'Rate History'!$D$14*SUMIF(Data!$G:$G,Neutral!$A58,Data!$DE:$DE)+'Rate History'!$D$15*SUMIF(Data!$G:$G,Neutral!$A58,Data!$DF:$DF)+'Rate History'!$D$16*SUMIF(Data!$G:$G,Neutral!$A58,Data!$DG:$DG)+'Rate History'!$D$17*SUMIF(Data!$G:$G,Neutral!$A58,Data!$DH:$DH)+'Rate History'!$D$18*SUMIF(Data!$G:$G,Neutral!$A58,Data!$DI:$DI)+'Rate History'!$D$19*SUMIF(Data!$G:$G,Neutral!$A58,Data!$DJ:$DJ)+'Rate History'!$D$20*SUMIF(Data!$G:$G,Neutral!$A58,Data!$DK:$DK)+'Rate History'!$D$21*SUMIF(Data!$G:$G,Neutral!$A58,Data!$DL:$DL)+'Rate History'!$D$22*SUMIF(Data!$G:$G,Neutral!$A58,Data!$DM:$DM)+'Rate History'!$D$23*SUMIF(Data!$G:$G,Neutral!$A58,Data!$DN:$DN)+'Rate History'!$D$24*SUMIF(Data!$G:$G,Neutral!$A58,Data!$DO:$DO)+'Rate History'!$D$25*SUMIF(Data!$G:$G,Neutral!$A58,Data!$DP:$DP)+'Rate History'!$D$26*SUMIF(Data!$G:$G,Neutral!$A58,Data!$DQ:$DQ)+'Rate History'!$D$27*SUMIF(Data!$G:$G,Neutral!$A58,Data!$DR:$DR)+'Rate History'!$D$28*SUMIF(Data!$G:$G,Neutral!$A58,Data!$DS:$DS)+'Rate History'!$D$29*SUMIF(Data!$G:$G,Neutral!$A58,Data!$DT:$DT)+'Rate History'!$D$30*SUMIF(Data!$G:$G,Neutral!$A58,Data!$DV:$DV)+'Rate History'!$D$31*SUMIF(Data!$G:$G,Neutral!$A58,Data!$DW:$DW))</f>
        <v>15523868.132618496</v>
      </c>
      <c r="C58" s="117">
        <f>$C$5*('Rate History'!$C$4*SUMIF(Data!$G:$G,Neutral!$A58,Data!$CU:$CU)+'Rate History'!$C$5*SUMIF(Data!$G:$G,Neutral!$A58,Data!$CV:$CV)+'Rate History'!$C$6*SUMIF(Data!$G:$G,Neutral!$A58,Data!$CW:$CW)+'Rate History'!$C$7*SUMIF(Data!$G:$G,Neutral!$A58,Data!$CX:$CX)+'Rate History'!$C$8*SUMIF(Data!$G:$G,Neutral!$A58,Data!$CY:$CY)+'Rate History'!$C$9*SUMIF(Data!$G:$G,Neutral!$A58,Data!$CZ:$CZ)+'Rate History'!$C$10*SUMIF(Data!$G:$G,Neutral!$A58,Data!$DA:$DA)+'Rate History'!$C$11*SUMIF(Data!$G:$G,Neutral!$A58,Data!$DB:$DB)+'Rate History'!$C$12*SUMIF(Data!$G:$G,Neutral!$A58,Data!$DC:$DC)+'Rate History'!$C$13*SUMIF(Data!$G:$G,Neutral!$A58,Data!$DD:$DD)+'Rate History'!$C$14*SUMIF(Data!$G:$G,Neutral!$A58,Data!$DE:$DE)+'Rate History'!$C$15*SUMIF(Data!$G:$G,Neutral!$A58,Data!$DF:$DF)+'Rate History'!$C$16*SUMIF(Data!$G:$G,Neutral!$A58,Data!$DG:$DG)+'Rate History'!$C$17*SUMIF(Data!$G:$G,Neutral!$A58,Data!$DH:$DH)+'Rate History'!$C$18*SUMIF(Data!$G:$G,Neutral!$A58,Data!$DI:$DI)+'Rate History'!$C$19*SUMIF(Data!$G:$G,Neutral!$A58,Data!$DJ:$DJ)+'Rate History'!$C$20*SUMIF(Data!$G:$G,Neutral!$A58,Data!$DK:$DK)+'Rate History'!$C$21*SUMIF(Data!$G:$G,Neutral!$A58,Data!$DL:$DL)+'Rate History'!$C$22*SUMIF(Data!$G:$G,Neutral!$A58,Data!$DM:$DM)+'Rate History'!$C$23*SUMIF(Data!$G:$G,Neutral!$A58,Data!$DN:$DN)+'Rate History'!$C$24*SUMIF(Data!$G:$G,Neutral!$A58,Data!$DO:$DO)+'Rate History'!$C$25*SUMIF(Data!$G:$G,Neutral!$A58,Data!$DP:$DP)+'Rate History'!$C$26*SUMIF(Data!$G:$G,Neutral!$A58,Data!$DQ:$DQ)+'Rate History'!$C$27*SUMIF(Data!$G:$G,Neutral!$A58,Data!$DR:$DR)+'Rate History'!$C$28*SUMIF(Data!$G:$G,Neutral!$A58,Data!$DS:$DS)+'Rate History'!$C$29*SUMIF(Data!$G:$G,Neutral!$A58,Data!$DT:$DT)+'Rate History'!$C$30*SUMIF(Data!$G:$G,Neutral!$A58,Data!$DV:$DV)+'Rate History'!$C$31*SUMIF(Data!$G:$G,Neutral!$A58,Data!$DW:$DW))</f>
        <v>15344508.517486237</v>
      </c>
      <c r="D58" s="102">
        <f t="shared" si="0"/>
        <v>-179359.6151322592</v>
      </c>
      <c r="E58" s="104">
        <f t="shared" si="1"/>
        <v>-1.1553796618214743E-2</v>
      </c>
      <c r="H58" s="69"/>
      <c r="I58" s="69"/>
    </row>
    <row r="59" spans="1:9" x14ac:dyDescent="0.25">
      <c r="A59" s="150" t="s">
        <v>437</v>
      </c>
      <c r="B59" s="117">
        <f>$B$5*('Rate History'!$D$4*SUMIF(Data!$G:$G,Neutral!$A59,Data!$CU:$CU)+'Rate History'!$D$5*SUMIF(Data!$G:$G,Neutral!$A59,Data!$CV:$CV)+'Rate History'!$D$6*SUMIF(Data!$G:$G,Neutral!$A59,Data!$CW:$CW)+'Rate History'!$D$7*SUMIF(Data!$G:$G,Neutral!$A59,Data!$CX:$CX)+'Rate History'!$D$8*SUMIF(Data!$G:$G,Neutral!$A59,Data!$CY:$CY)+'Rate History'!$D$9*SUMIF(Data!$G:$G,Neutral!$A59,Data!$CZ:$CZ)+'Rate History'!$D$10*SUMIF(Data!$G:$G,Neutral!$A59,Data!$DA:$DA)+'Rate History'!$D$11*SUMIF(Data!$G:$G,Neutral!$A59,Data!$DB:$DB)+'Rate History'!$D$12*SUMIF(Data!$G:$G,Neutral!$A59,Data!$DC:$DC)+'Rate History'!$D$13*SUMIF(Data!$G:$G,Neutral!$A59,Data!$DD:$DD)+'Rate History'!$D$14*SUMIF(Data!$G:$G,Neutral!$A59,Data!$DE:$DE)+'Rate History'!$D$15*SUMIF(Data!$G:$G,Neutral!$A59,Data!$DF:$DF)+'Rate History'!$D$16*SUMIF(Data!$G:$G,Neutral!$A59,Data!$DG:$DG)+'Rate History'!$D$17*SUMIF(Data!$G:$G,Neutral!$A59,Data!$DH:$DH)+'Rate History'!$D$18*SUMIF(Data!$G:$G,Neutral!$A59,Data!$DI:$DI)+'Rate History'!$D$19*SUMIF(Data!$G:$G,Neutral!$A59,Data!$DJ:$DJ)+'Rate History'!$D$20*SUMIF(Data!$G:$G,Neutral!$A59,Data!$DK:$DK)+'Rate History'!$D$21*SUMIF(Data!$G:$G,Neutral!$A59,Data!$DL:$DL)+'Rate History'!$D$22*SUMIF(Data!$G:$G,Neutral!$A59,Data!$DM:$DM)+'Rate History'!$D$23*SUMIF(Data!$G:$G,Neutral!$A59,Data!$DN:$DN)+'Rate History'!$D$24*SUMIF(Data!$G:$G,Neutral!$A59,Data!$DO:$DO)+'Rate History'!$D$25*SUMIF(Data!$G:$G,Neutral!$A59,Data!$DP:$DP)+'Rate History'!$D$26*SUMIF(Data!$G:$G,Neutral!$A59,Data!$DQ:$DQ)+'Rate History'!$D$27*SUMIF(Data!$G:$G,Neutral!$A59,Data!$DR:$DR)+'Rate History'!$D$28*SUMIF(Data!$G:$G,Neutral!$A59,Data!$DS:$DS)+'Rate History'!$D$29*SUMIF(Data!$G:$G,Neutral!$A59,Data!$DT:$DT)+'Rate History'!$D$30*SUMIF(Data!$G:$G,Neutral!$A59,Data!$DV:$DV)+'Rate History'!$D$31*SUMIF(Data!$G:$G,Neutral!$A59,Data!$DW:$DW))</f>
        <v>5459101.6035114536</v>
      </c>
      <c r="C59" s="117">
        <f>$C$5*('Rate History'!$C$4*SUMIF(Data!$G:$G,Neutral!$A59,Data!$CU:$CU)+'Rate History'!$C$5*SUMIF(Data!$G:$G,Neutral!$A59,Data!$CV:$CV)+'Rate History'!$C$6*SUMIF(Data!$G:$G,Neutral!$A59,Data!$CW:$CW)+'Rate History'!$C$7*SUMIF(Data!$G:$G,Neutral!$A59,Data!$CX:$CX)+'Rate History'!$C$8*SUMIF(Data!$G:$G,Neutral!$A59,Data!$CY:$CY)+'Rate History'!$C$9*SUMIF(Data!$G:$G,Neutral!$A59,Data!$CZ:$CZ)+'Rate History'!$C$10*SUMIF(Data!$G:$G,Neutral!$A59,Data!$DA:$DA)+'Rate History'!$C$11*SUMIF(Data!$G:$G,Neutral!$A59,Data!$DB:$DB)+'Rate History'!$C$12*SUMIF(Data!$G:$G,Neutral!$A59,Data!$DC:$DC)+'Rate History'!$C$13*SUMIF(Data!$G:$G,Neutral!$A59,Data!$DD:$DD)+'Rate History'!$C$14*SUMIF(Data!$G:$G,Neutral!$A59,Data!$DE:$DE)+'Rate History'!$C$15*SUMIF(Data!$G:$G,Neutral!$A59,Data!$DF:$DF)+'Rate History'!$C$16*SUMIF(Data!$G:$G,Neutral!$A59,Data!$DG:$DG)+'Rate History'!$C$17*SUMIF(Data!$G:$G,Neutral!$A59,Data!$DH:$DH)+'Rate History'!$C$18*SUMIF(Data!$G:$G,Neutral!$A59,Data!$DI:$DI)+'Rate History'!$C$19*SUMIF(Data!$G:$G,Neutral!$A59,Data!$DJ:$DJ)+'Rate History'!$C$20*SUMIF(Data!$G:$G,Neutral!$A59,Data!$DK:$DK)+'Rate History'!$C$21*SUMIF(Data!$G:$G,Neutral!$A59,Data!$DL:$DL)+'Rate History'!$C$22*SUMIF(Data!$G:$G,Neutral!$A59,Data!$DM:$DM)+'Rate History'!$C$23*SUMIF(Data!$G:$G,Neutral!$A59,Data!$DN:$DN)+'Rate History'!$C$24*SUMIF(Data!$G:$G,Neutral!$A59,Data!$DO:$DO)+'Rate History'!$C$25*SUMIF(Data!$G:$G,Neutral!$A59,Data!$DP:$DP)+'Rate History'!$C$26*SUMIF(Data!$G:$G,Neutral!$A59,Data!$DQ:$DQ)+'Rate History'!$C$27*SUMIF(Data!$G:$G,Neutral!$A59,Data!$DR:$DR)+'Rate History'!$C$28*SUMIF(Data!$G:$G,Neutral!$A59,Data!$DS:$DS)+'Rate History'!$C$29*SUMIF(Data!$G:$G,Neutral!$A59,Data!$DT:$DT)+'Rate History'!$C$30*SUMIF(Data!$G:$G,Neutral!$A59,Data!$DV:$DV)+'Rate History'!$C$31*SUMIF(Data!$G:$G,Neutral!$A59,Data!$DW:$DW))</f>
        <v>5457524.8632203275</v>
      </c>
      <c r="D59" s="102">
        <f t="shared" si="0"/>
        <v>-1576.7402911260724</v>
      </c>
      <c r="E59" s="104">
        <f t="shared" si="1"/>
        <v>-2.8882779725364832E-4</v>
      </c>
      <c r="H59" s="69"/>
      <c r="I59" s="69"/>
    </row>
    <row r="60" spans="1:9" x14ac:dyDescent="0.25">
      <c r="A60" s="95" t="s">
        <v>463</v>
      </c>
      <c r="B60" s="117">
        <f>$B$5*('Rate History'!$D$4*SUMIF(Data!$G:$G,Neutral!$A60,Data!$CU:$CU)+'Rate History'!$D$5*SUMIF(Data!$G:$G,Neutral!$A60,Data!$CV:$CV)+'Rate History'!$D$6*SUMIF(Data!$G:$G,Neutral!$A60,Data!$CW:$CW)+'Rate History'!$D$7*SUMIF(Data!$G:$G,Neutral!$A60,Data!$CX:$CX)+'Rate History'!$D$8*SUMIF(Data!$G:$G,Neutral!$A60,Data!$CY:$CY)+'Rate History'!$D$9*SUMIF(Data!$G:$G,Neutral!$A60,Data!$CZ:$CZ)+'Rate History'!$D$10*SUMIF(Data!$G:$G,Neutral!$A60,Data!$DA:$DA)+'Rate History'!$D$11*SUMIF(Data!$G:$G,Neutral!$A60,Data!$DB:$DB)+'Rate History'!$D$12*SUMIF(Data!$G:$G,Neutral!$A60,Data!$DC:$DC)+'Rate History'!$D$13*SUMIF(Data!$G:$G,Neutral!$A60,Data!$DD:$DD)+'Rate History'!$D$14*SUMIF(Data!$G:$G,Neutral!$A60,Data!$DE:$DE)+'Rate History'!$D$15*SUMIF(Data!$G:$G,Neutral!$A60,Data!$DF:$DF)+'Rate History'!$D$16*SUMIF(Data!$G:$G,Neutral!$A60,Data!$DG:$DG)+'Rate History'!$D$17*SUMIF(Data!$G:$G,Neutral!$A60,Data!$DH:$DH)+'Rate History'!$D$18*SUMIF(Data!$G:$G,Neutral!$A60,Data!$DI:$DI)+'Rate History'!$D$19*SUMIF(Data!$G:$G,Neutral!$A60,Data!$DJ:$DJ)+'Rate History'!$D$20*SUMIF(Data!$G:$G,Neutral!$A60,Data!$DK:$DK)+'Rate History'!$D$21*SUMIF(Data!$G:$G,Neutral!$A60,Data!$DL:$DL)+'Rate History'!$D$22*SUMIF(Data!$G:$G,Neutral!$A60,Data!$DM:$DM)+'Rate History'!$D$23*SUMIF(Data!$G:$G,Neutral!$A60,Data!$DN:$DN)+'Rate History'!$D$24*SUMIF(Data!$G:$G,Neutral!$A60,Data!$DO:$DO)+'Rate History'!$D$25*SUMIF(Data!$G:$G,Neutral!$A60,Data!$DP:$DP)+'Rate History'!$D$26*SUMIF(Data!$G:$G,Neutral!$A60,Data!$DQ:$DQ)+'Rate History'!$D$27*SUMIF(Data!$G:$G,Neutral!$A60,Data!$DR:$DR)+'Rate History'!$D$28*SUMIF(Data!$G:$G,Neutral!$A60,Data!$DS:$DS)+'Rate History'!$D$29*SUMIF(Data!$G:$G,Neutral!$A60,Data!$DT:$DT)+'Rate History'!$D$30*SUMIF(Data!$G:$G,Neutral!$A60,Data!$DV:$DV)+'Rate History'!$D$31*SUMIF(Data!$G:$G,Neutral!$A60,Data!$DW:$DW))</f>
        <v>5768061.4104589634</v>
      </c>
      <c r="C60" s="117">
        <f>$C$5*('Rate History'!$C$4*SUMIF(Data!$G:$G,Neutral!$A60,Data!$CU:$CU)+'Rate History'!$C$5*SUMIF(Data!$G:$G,Neutral!$A60,Data!$CV:$CV)+'Rate History'!$C$6*SUMIF(Data!$G:$G,Neutral!$A60,Data!$CW:$CW)+'Rate History'!$C$7*SUMIF(Data!$G:$G,Neutral!$A60,Data!$CX:$CX)+'Rate History'!$C$8*SUMIF(Data!$G:$G,Neutral!$A60,Data!$CY:$CY)+'Rate History'!$C$9*SUMIF(Data!$G:$G,Neutral!$A60,Data!$CZ:$CZ)+'Rate History'!$C$10*SUMIF(Data!$G:$G,Neutral!$A60,Data!$DA:$DA)+'Rate History'!$C$11*SUMIF(Data!$G:$G,Neutral!$A60,Data!$DB:$DB)+'Rate History'!$C$12*SUMIF(Data!$G:$G,Neutral!$A60,Data!$DC:$DC)+'Rate History'!$C$13*SUMIF(Data!$G:$G,Neutral!$A60,Data!$DD:$DD)+'Rate History'!$C$14*SUMIF(Data!$G:$G,Neutral!$A60,Data!$DE:$DE)+'Rate History'!$C$15*SUMIF(Data!$G:$G,Neutral!$A60,Data!$DF:$DF)+'Rate History'!$C$16*SUMIF(Data!$G:$G,Neutral!$A60,Data!$DG:$DG)+'Rate History'!$C$17*SUMIF(Data!$G:$G,Neutral!$A60,Data!$DH:$DH)+'Rate History'!$C$18*SUMIF(Data!$G:$G,Neutral!$A60,Data!$DI:$DI)+'Rate History'!$C$19*SUMIF(Data!$G:$G,Neutral!$A60,Data!$DJ:$DJ)+'Rate History'!$C$20*SUMIF(Data!$G:$G,Neutral!$A60,Data!$DK:$DK)+'Rate History'!$C$21*SUMIF(Data!$G:$G,Neutral!$A60,Data!$DL:$DL)+'Rate History'!$C$22*SUMIF(Data!$G:$G,Neutral!$A60,Data!$DM:$DM)+'Rate History'!$C$23*SUMIF(Data!$G:$G,Neutral!$A60,Data!$DN:$DN)+'Rate History'!$C$24*SUMIF(Data!$G:$G,Neutral!$A60,Data!$DO:$DO)+'Rate History'!$C$25*SUMIF(Data!$G:$G,Neutral!$A60,Data!$DP:$DP)+'Rate History'!$C$26*SUMIF(Data!$G:$G,Neutral!$A60,Data!$DQ:$DQ)+'Rate History'!$C$27*SUMIF(Data!$G:$G,Neutral!$A60,Data!$DR:$DR)+'Rate History'!$C$28*SUMIF(Data!$G:$G,Neutral!$A60,Data!$DS:$DS)+'Rate History'!$C$29*SUMIF(Data!$G:$G,Neutral!$A60,Data!$DT:$DT)+'Rate History'!$C$30*SUMIF(Data!$G:$G,Neutral!$A60,Data!$DV:$DV)+'Rate History'!$C$31*SUMIF(Data!$G:$G,Neutral!$A60,Data!$DW:$DW))</f>
        <v>5748371.2134859208</v>
      </c>
      <c r="D60" s="102">
        <f t="shared" si="0"/>
        <v>-19690.196973042563</v>
      </c>
      <c r="E60" s="104">
        <f t="shared" si="1"/>
        <v>-3.4136593860355272E-3</v>
      </c>
      <c r="H60" s="69"/>
      <c r="I60" s="69"/>
    </row>
    <row r="61" spans="1:9" x14ac:dyDescent="0.25">
      <c r="A61" s="95" t="s">
        <v>453</v>
      </c>
      <c r="B61" s="117">
        <f>$B$5*('Rate History'!$D$4*SUMIF(Data!$G:$G,Neutral!$A61,Data!$CU:$CU)+'Rate History'!$D$5*SUMIF(Data!$G:$G,Neutral!$A61,Data!$CV:$CV)+'Rate History'!$D$6*SUMIF(Data!$G:$G,Neutral!$A61,Data!$CW:$CW)+'Rate History'!$D$7*SUMIF(Data!$G:$G,Neutral!$A61,Data!$CX:$CX)+'Rate History'!$D$8*SUMIF(Data!$G:$G,Neutral!$A61,Data!$CY:$CY)+'Rate History'!$D$9*SUMIF(Data!$G:$G,Neutral!$A61,Data!$CZ:$CZ)+'Rate History'!$D$10*SUMIF(Data!$G:$G,Neutral!$A61,Data!$DA:$DA)+'Rate History'!$D$11*SUMIF(Data!$G:$G,Neutral!$A61,Data!$DB:$DB)+'Rate History'!$D$12*SUMIF(Data!$G:$G,Neutral!$A61,Data!$DC:$DC)+'Rate History'!$D$13*SUMIF(Data!$G:$G,Neutral!$A61,Data!$DD:$DD)+'Rate History'!$D$14*SUMIF(Data!$G:$G,Neutral!$A61,Data!$DE:$DE)+'Rate History'!$D$15*SUMIF(Data!$G:$G,Neutral!$A61,Data!$DF:$DF)+'Rate History'!$D$16*SUMIF(Data!$G:$G,Neutral!$A61,Data!$DG:$DG)+'Rate History'!$D$17*SUMIF(Data!$G:$G,Neutral!$A61,Data!$DH:$DH)+'Rate History'!$D$18*SUMIF(Data!$G:$G,Neutral!$A61,Data!$DI:$DI)+'Rate History'!$D$19*SUMIF(Data!$G:$G,Neutral!$A61,Data!$DJ:$DJ)+'Rate History'!$D$20*SUMIF(Data!$G:$G,Neutral!$A61,Data!$DK:$DK)+'Rate History'!$D$21*SUMIF(Data!$G:$G,Neutral!$A61,Data!$DL:$DL)+'Rate History'!$D$22*SUMIF(Data!$G:$G,Neutral!$A61,Data!$DM:$DM)+'Rate History'!$D$23*SUMIF(Data!$G:$G,Neutral!$A61,Data!$DN:$DN)+'Rate History'!$D$24*SUMIF(Data!$G:$G,Neutral!$A61,Data!$DO:$DO)+'Rate History'!$D$25*SUMIF(Data!$G:$G,Neutral!$A61,Data!$DP:$DP)+'Rate History'!$D$26*SUMIF(Data!$G:$G,Neutral!$A61,Data!$DQ:$DQ)+'Rate History'!$D$27*SUMIF(Data!$G:$G,Neutral!$A61,Data!$DR:$DR)+'Rate History'!$D$28*SUMIF(Data!$G:$G,Neutral!$A61,Data!$DS:$DS)+'Rate History'!$D$29*SUMIF(Data!$G:$G,Neutral!$A61,Data!$DT:$DT)+'Rate History'!$D$30*SUMIF(Data!$G:$G,Neutral!$A61,Data!$DV:$DV)+'Rate History'!$D$31*SUMIF(Data!$G:$G,Neutral!$A61,Data!$DW:$DW))</f>
        <v>3619253.8038198208</v>
      </c>
      <c r="C61" s="117">
        <f>$C$5*('Rate History'!$C$4*SUMIF(Data!$G:$G,Neutral!$A61,Data!$CU:$CU)+'Rate History'!$C$5*SUMIF(Data!$G:$G,Neutral!$A61,Data!$CV:$CV)+'Rate History'!$C$6*SUMIF(Data!$G:$G,Neutral!$A61,Data!$CW:$CW)+'Rate History'!$C$7*SUMIF(Data!$G:$G,Neutral!$A61,Data!$CX:$CX)+'Rate History'!$C$8*SUMIF(Data!$G:$G,Neutral!$A61,Data!$CY:$CY)+'Rate History'!$C$9*SUMIF(Data!$G:$G,Neutral!$A61,Data!$CZ:$CZ)+'Rate History'!$C$10*SUMIF(Data!$G:$G,Neutral!$A61,Data!$DA:$DA)+'Rate History'!$C$11*SUMIF(Data!$G:$G,Neutral!$A61,Data!$DB:$DB)+'Rate History'!$C$12*SUMIF(Data!$G:$G,Neutral!$A61,Data!$DC:$DC)+'Rate History'!$C$13*SUMIF(Data!$G:$G,Neutral!$A61,Data!$DD:$DD)+'Rate History'!$C$14*SUMIF(Data!$G:$G,Neutral!$A61,Data!$DE:$DE)+'Rate History'!$C$15*SUMIF(Data!$G:$G,Neutral!$A61,Data!$DF:$DF)+'Rate History'!$C$16*SUMIF(Data!$G:$G,Neutral!$A61,Data!$DG:$DG)+'Rate History'!$C$17*SUMIF(Data!$G:$G,Neutral!$A61,Data!$DH:$DH)+'Rate History'!$C$18*SUMIF(Data!$G:$G,Neutral!$A61,Data!$DI:$DI)+'Rate History'!$C$19*SUMIF(Data!$G:$G,Neutral!$A61,Data!$DJ:$DJ)+'Rate History'!$C$20*SUMIF(Data!$G:$G,Neutral!$A61,Data!$DK:$DK)+'Rate History'!$C$21*SUMIF(Data!$G:$G,Neutral!$A61,Data!$DL:$DL)+'Rate History'!$C$22*SUMIF(Data!$G:$G,Neutral!$A61,Data!$DM:$DM)+'Rate History'!$C$23*SUMIF(Data!$G:$G,Neutral!$A61,Data!$DN:$DN)+'Rate History'!$C$24*SUMIF(Data!$G:$G,Neutral!$A61,Data!$DO:$DO)+'Rate History'!$C$25*SUMIF(Data!$G:$G,Neutral!$A61,Data!$DP:$DP)+'Rate History'!$C$26*SUMIF(Data!$G:$G,Neutral!$A61,Data!$DQ:$DQ)+'Rate History'!$C$27*SUMIF(Data!$G:$G,Neutral!$A61,Data!$DR:$DR)+'Rate History'!$C$28*SUMIF(Data!$G:$G,Neutral!$A61,Data!$DS:$DS)+'Rate History'!$C$29*SUMIF(Data!$G:$G,Neutral!$A61,Data!$DT:$DT)+'Rate History'!$C$30*SUMIF(Data!$G:$G,Neutral!$A61,Data!$DV:$DV)+'Rate History'!$C$31*SUMIF(Data!$G:$G,Neutral!$A61,Data!$DW:$DW))</f>
        <v>3593192.0490279491</v>
      </c>
      <c r="D61" s="102">
        <f t="shared" si="0"/>
        <v>-26061.754791871645</v>
      </c>
      <c r="E61" s="104">
        <f t="shared" si="1"/>
        <v>-7.2008641019774946E-3</v>
      </c>
      <c r="H61" s="69"/>
      <c r="I61" s="69"/>
    </row>
    <row r="62" spans="1:9" x14ac:dyDescent="0.25">
      <c r="A62" s="76" t="s">
        <v>451</v>
      </c>
      <c r="B62" s="117">
        <f>$B$5*('Rate History'!$D$4*SUMIF(Data!$G:$G,Neutral!$A62,Data!$CU:$CU)+'Rate History'!$D$5*SUMIF(Data!$G:$G,Neutral!$A62,Data!$CV:$CV)+'Rate History'!$D$6*SUMIF(Data!$G:$G,Neutral!$A62,Data!$CW:$CW)+'Rate History'!$D$7*SUMIF(Data!$G:$G,Neutral!$A62,Data!$CX:$CX)+'Rate History'!$D$8*SUMIF(Data!$G:$G,Neutral!$A62,Data!$CY:$CY)+'Rate History'!$D$9*SUMIF(Data!$G:$G,Neutral!$A62,Data!$CZ:$CZ)+'Rate History'!$D$10*SUMIF(Data!$G:$G,Neutral!$A62,Data!$DA:$DA)+'Rate History'!$D$11*SUMIF(Data!$G:$G,Neutral!$A62,Data!$DB:$DB)+'Rate History'!$D$12*SUMIF(Data!$G:$G,Neutral!$A62,Data!$DC:$DC)+'Rate History'!$D$13*SUMIF(Data!$G:$G,Neutral!$A62,Data!$DD:$DD)+'Rate History'!$D$14*SUMIF(Data!$G:$G,Neutral!$A62,Data!$DE:$DE)+'Rate History'!$D$15*SUMIF(Data!$G:$G,Neutral!$A62,Data!$DF:$DF)+'Rate History'!$D$16*SUMIF(Data!$G:$G,Neutral!$A62,Data!$DG:$DG)+'Rate History'!$D$17*SUMIF(Data!$G:$G,Neutral!$A62,Data!$DH:$DH)+'Rate History'!$D$18*SUMIF(Data!$G:$G,Neutral!$A62,Data!$DI:$DI)+'Rate History'!$D$19*SUMIF(Data!$G:$G,Neutral!$A62,Data!$DJ:$DJ)+'Rate History'!$D$20*SUMIF(Data!$G:$G,Neutral!$A62,Data!$DK:$DK)+'Rate History'!$D$21*SUMIF(Data!$G:$G,Neutral!$A62,Data!$DL:$DL)+'Rate History'!$D$22*SUMIF(Data!$G:$G,Neutral!$A62,Data!$DM:$DM)+'Rate History'!$D$23*SUMIF(Data!$G:$G,Neutral!$A62,Data!$DN:$DN)+'Rate History'!$D$24*SUMIF(Data!$G:$G,Neutral!$A62,Data!$DO:$DO)+'Rate History'!$D$25*SUMIF(Data!$G:$G,Neutral!$A62,Data!$DP:$DP)+'Rate History'!$D$26*SUMIF(Data!$G:$G,Neutral!$A62,Data!$DQ:$DQ)+'Rate History'!$D$27*SUMIF(Data!$G:$G,Neutral!$A62,Data!$DR:$DR)+'Rate History'!$D$28*SUMIF(Data!$G:$G,Neutral!$A62,Data!$DS:$DS)+'Rate History'!$D$29*SUMIF(Data!$G:$G,Neutral!$A62,Data!$DT:$DT)+'Rate History'!$D$30*SUMIF(Data!$G:$G,Neutral!$A62,Data!$DV:$DV)+'Rate History'!$D$31*SUMIF(Data!$G:$G,Neutral!$A62,Data!$DW:$DW))</f>
        <v>4745439.1207672888</v>
      </c>
      <c r="C62" s="117">
        <f>$C$5*('Rate History'!$C$4*SUMIF(Data!$G:$G,Neutral!$A62,Data!$CU:$CU)+'Rate History'!$C$5*SUMIF(Data!$G:$G,Neutral!$A62,Data!$CV:$CV)+'Rate History'!$C$6*SUMIF(Data!$G:$G,Neutral!$A62,Data!$CW:$CW)+'Rate History'!$C$7*SUMIF(Data!$G:$G,Neutral!$A62,Data!$CX:$CX)+'Rate History'!$C$8*SUMIF(Data!$G:$G,Neutral!$A62,Data!$CY:$CY)+'Rate History'!$C$9*SUMIF(Data!$G:$G,Neutral!$A62,Data!$CZ:$CZ)+'Rate History'!$C$10*SUMIF(Data!$G:$G,Neutral!$A62,Data!$DA:$DA)+'Rate History'!$C$11*SUMIF(Data!$G:$G,Neutral!$A62,Data!$DB:$DB)+'Rate History'!$C$12*SUMIF(Data!$G:$G,Neutral!$A62,Data!$DC:$DC)+'Rate History'!$C$13*SUMIF(Data!$G:$G,Neutral!$A62,Data!$DD:$DD)+'Rate History'!$C$14*SUMIF(Data!$G:$G,Neutral!$A62,Data!$DE:$DE)+'Rate History'!$C$15*SUMIF(Data!$G:$G,Neutral!$A62,Data!$DF:$DF)+'Rate History'!$C$16*SUMIF(Data!$G:$G,Neutral!$A62,Data!$DG:$DG)+'Rate History'!$C$17*SUMIF(Data!$G:$G,Neutral!$A62,Data!$DH:$DH)+'Rate History'!$C$18*SUMIF(Data!$G:$G,Neutral!$A62,Data!$DI:$DI)+'Rate History'!$C$19*SUMIF(Data!$G:$G,Neutral!$A62,Data!$DJ:$DJ)+'Rate History'!$C$20*SUMIF(Data!$G:$G,Neutral!$A62,Data!$DK:$DK)+'Rate History'!$C$21*SUMIF(Data!$G:$G,Neutral!$A62,Data!$DL:$DL)+'Rate History'!$C$22*SUMIF(Data!$G:$G,Neutral!$A62,Data!$DM:$DM)+'Rate History'!$C$23*SUMIF(Data!$G:$G,Neutral!$A62,Data!$DN:$DN)+'Rate History'!$C$24*SUMIF(Data!$G:$G,Neutral!$A62,Data!$DO:$DO)+'Rate History'!$C$25*SUMIF(Data!$G:$G,Neutral!$A62,Data!$DP:$DP)+'Rate History'!$C$26*SUMIF(Data!$G:$G,Neutral!$A62,Data!$DQ:$DQ)+'Rate History'!$C$27*SUMIF(Data!$G:$G,Neutral!$A62,Data!$DR:$DR)+'Rate History'!$C$28*SUMIF(Data!$G:$G,Neutral!$A62,Data!$DS:$DS)+'Rate History'!$C$29*SUMIF(Data!$G:$G,Neutral!$A62,Data!$DT:$DT)+'Rate History'!$C$30*SUMIF(Data!$G:$G,Neutral!$A62,Data!$DV:$DV)+'Rate History'!$C$31*SUMIF(Data!$G:$G,Neutral!$A62,Data!$DW:$DW))</f>
        <v>4754392.6198726548</v>
      </c>
      <c r="D62" s="102">
        <f t="shared" si="0"/>
        <v>8953.4991053659469</v>
      </c>
      <c r="E62" s="104">
        <f t="shared" si="1"/>
        <v>1.8867588177842345E-3</v>
      </c>
      <c r="H62" s="69"/>
      <c r="I62" s="69"/>
    </row>
    <row r="63" spans="1:9" ht="15.75" thickBot="1" x14ac:dyDescent="0.3">
      <c r="A63" s="85" t="s">
        <v>35</v>
      </c>
      <c r="B63" s="101">
        <f>SUM(B5:B62)</f>
        <v>922681942.99999988</v>
      </c>
      <c r="C63" s="101">
        <f>SUM(C6:C62)</f>
        <v>922681942.99999976</v>
      </c>
      <c r="D63" s="105">
        <f t="shared" si="0"/>
        <v>0</v>
      </c>
      <c r="E63" s="103">
        <f t="shared" si="1"/>
        <v>0</v>
      </c>
      <c r="H63" s="69"/>
      <c r="I63" s="69"/>
    </row>
    <row r="64" spans="1:9" x14ac:dyDescent="0.25">
      <c r="H64" s="69"/>
      <c r="I64" s="69"/>
    </row>
    <row r="65" spans="2:9" x14ac:dyDescent="0.25">
      <c r="B65" s="160"/>
      <c r="H65" s="69"/>
      <c r="I65" s="69"/>
    </row>
    <row r="66" spans="2:9" x14ac:dyDescent="0.25">
      <c r="B66" s="161"/>
      <c r="H66" s="69"/>
      <c r="I66" s="69"/>
    </row>
    <row r="67" spans="2:9" x14ac:dyDescent="0.25">
      <c r="H67" s="69"/>
      <c r="I67" s="69"/>
    </row>
    <row r="68" spans="2:9" x14ac:dyDescent="0.25">
      <c r="H68" s="69"/>
      <c r="I68" s="69"/>
    </row>
    <row r="69" spans="2:9" x14ac:dyDescent="0.25">
      <c r="H69" s="69"/>
      <c r="I69" s="69"/>
    </row>
    <row r="70" spans="2:9" x14ac:dyDescent="0.25">
      <c r="H70" s="69"/>
      <c r="I70" s="69"/>
    </row>
    <row r="71" spans="2:9" x14ac:dyDescent="0.25">
      <c r="H71" s="69"/>
      <c r="I71" s="69"/>
    </row>
    <row r="72" spans="2:9" x14ac:dyDescent="0.25">
      <c r="H72" s="69"/>
      <c r="I72" s="69"/>
    </row>
    <row r="73" spans="2:9" x14ac:dyDescent="0.25">
      <c r="H73" s="69"/>
      <c r="I73" s="69"/>
    </row>
    <row r="74" spans="2:9" x14ac:dyDescent="0.25">
      <c r="H74" s="69"/>
      <c r="I74" s="69"/>
    </row>
    <row r="75" spans="2:9" x14ac:dyDescent="0.25">
      <c r="H75" s="69"/>
      <c r="I75" s="69"/>
    </row>
  </sheetData>
  <sortState ref="H20:I75">
    <sortCondition ref="H19"/>
  </sortState>
  <mergeCells count="1">
    <mergeCell ref="A3:E3"/>
  </mergeCells>
  <pageMargins left="0.25" right="0.25"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zoomScale="70" zoomScaleNormal="70" workbookViewId="0"/>
  </sheetViews>
  <sheetFormatPr defaultRowHeight="14.25" x14ac:dyDescent="0.2"/>
  <cols>
    <col min="1" max="1" width="9.42578125" style="11" customWidth="1"/>
    <col min="2" max="2" width="46.5703125" style="11" customWidth="1"/>
    <col min="3" max="3" width="18.28515625" style="11" customWidth="1"/>
    <col min="4" max="4" width="18.7109375" style="11" bestFit="1" customWidth="1"/>
    <col min="5" max="5" width="18.42578125" style="11" customWidth="1"/>
    <col min="6" max="6" width="17.28515625" style="11" customWidth="1"/>
    <col min="7" max="7" width="2.85546875" style="11" customWidth="1"/>
    <col min="8" max="8" width="11" style="11" bestFit="1" customWidth="1"/>
    <col min="9" max="9" width="16.42578125" style="11" bestFit="1" customWidth="1"/>
    <col min="10" max="10" width="13.42578125" style="11" bestFit="1" customWidth="1"/>
    <col min="11" max="11" width="12.42578125" style="11" bestFit="1" customWidth="1"/>
    <col min="12" max="12" width="14.5703125" style="11" bestFit="1" customWidth="1"/>
    <col min="13" max="13" width="13.425781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394</v>
      </c>
      <c r="B2" s="12" t="str">
        <f>VLOOKUP(A2,Data!A:G,7,0)</f>
        <v>Alamo Community College District</v>
      </c>
      <c r="C2" s="12"/>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71760</v>
      </c>
      <c r="E5" s="16">
        <f>E36+E67+IFERROR($E$105/$D$105*D5,0)</f>
        <v>496985.9798868036</v>
      </c>
      <c r="F5" s="21">
        <f>IF(OR(D5=0,E5=0),"",ROUND(E5/D5,2))</f>
        <v>6.93</v>
      </c>
    </row>
    <row r="6" spans="1:6" x14ac:dyDescent="0.2">
      <c r="A6" s="20">
        <v>2</v>
      </c>
      <c r="B6" s="172" t="s">
        <v>1</v>
      </c>
      <c r="C6" s="173"/>
      <c r="D6" s="15">
        <f t="shared" ref="D6:D32" si="0">D37</f>
        <v>170428</v>
      </c>
      <c r="E6" s="18">
        <f t="shared" ref="E6:E32" si="1">E37+E68+IFERROR($E$105/$D$105*D6,0)</f>
        <v>2127659.9137144396</v>
      </c>
      <c r="F6" s="22">
        <f t="shared" ref="F6:F33" si="2">IF(OR(D6=0,E6=0),"",ROUND(E6/D6,2))</f>
        <v>12.48</v>
      </c>
    </row>
    <row r="7" spans="1:6" x14ac:dyDescent="0.2">
      <c r="A7" s="20">
        <v>3</v>
      </c>
      <c r="B7" s="172" t="s">
        <v>2</v>
      </c>
      <c r="C7" s="173"/>
      <c r="D7" s="15">
        <f t="shared" si="0"/>
        <v>2158384</v>
      </c>
      <c r="E7" s="18">
        <f t="shared" si="1"/>
        <v>19490410.935284264</v>
      </c>
      <c r="F7" s="22">
        <f t="shared" si="2"/>
        <v>9.0299999999999994</v>
      </c>
    </row>
    <row r="8" spans="1:6" x14ac:dyDescent="0.2">
      <c r="A8" s="20">
        <v>4</v>
      </c>
      <c r="B8" s="172" t="s">
        <v>3</v>
      </c>
      <c r="C8" s="173"/>
      <c r="D8" s="15">
        <f t="shared" si="0"/>
        <v>1108981</v>
      </c>
      <c r="E8" s="18">
        <f t="shared" si="1"/>
        <v>10901107.717417048</v>
      </c>
      <c r="F8" s="22">
        <f t="shared" si="2"/>
        <v>9.83</v>
      </c>
    </row>
    <row r="9" spans="1:6" x14ac:dyDescent="0.2">
      <c r="A9" s="20">
        <v>5</v>
      </c>
      <c r="B9" s="172" t="s">
        <v>4</v>
      </c>
      <c r="C9" s="173"/>
      <c r="D9" s="15">
        <f t="shared" si="0"/>
        <v>3568</v>
      </c>
      <c r="E9" s="18">
        <f t="shared" si="1"/>
        <v>128688.71382714764</v>
      </c>
      <c r="F9" s="22">
        <f t="shared" si="2"/>
        <v>36.07</v>
      </c>
    </row>
    <row r="10" spans="1:6" x14ac:dyDescent="0.2">
      <c r="A10" s="20">
        <v>6</v>
      </c>
      <c r="B10" s="172" t="s">
        <v>5</v>
      </c>
      <c r="C10" s="173"/>
      <c r="D10" s="15">
        <f t="shared" si="0"/>
        <v>314561</v>
      </c>
      <c r="E10" s="18">
        <f t="shared" si="1"/>
        <v>3304397.2413624977</v>
      </c>
      <c r="F10" s="22">
        <f t="shared" si="2"/>
        <v>10.5</v>
      </c>
    </row>
    <row r="11" spans="1:6" x14ac:dyDescent="0.2">
      <c r="A11" s="20">
        <v>7</v>
      </c>
      <c r="B11" s="172" t="s">
        <v>6</v>
      </c>
      <c r="C11" s="173"/>
      <c r="D11" s="15">
        <f t="shared" si="0"/>
        <v>766228</v>
      </c>
      <c r="E11" s="18">
        <f t="shared" si="1"/>
        <v>8266734.544379958</v>
      </c>
      <c r="F11" s="22">
        <f t="shared" si="2"/>
        <v>10.79</v>
      </c>
    </row>
    <row r="12" spans="1:6" x14ac:dyDescent="0.2">
      <c r="A12" s="20">
        <v>8</v>
      </c>
      <c r="B12" s="172" t="s">
        <v>7</v>
      </c>
      <c r="C12" s="173"/>
      <c r="D12" s="15">
        <f t="shared" si="0"/>
        <v>75468</v>
      </c>
      <c r="E12" s="18">
        <f t="shared" si="1"/>
        <v>887858.13988429902</v>
      </c>
      <c r="F12" s="22">
        <f t="shared" si="2"/>
        <v>11.76</v>
      </c>
    </row>
    <row r="13" spans="1:6" x14ac:dyDescent="0.2">
      <c r="A13" s="20">
        <v>9</v>
      </c>
      <c r="B13" s="172" t="s">
        <v>8</v>
      </c>
      <c r="C13" s="173"/>
      <c r="D13" s="15">
        <f t="shared" si="0"/>
        <v>748495</v>
      </c>
      <c r="E13" s="18">
        <f t="shared" si="1"/>
        <v>6555903.4733886998</v>
      </c>
      <c r="F13" s="22">
        <f t="shared" si="2"/>
        <v>8.76</v>
      </c>
    </row>
    <row r="14" spans="1:6" x14ac:dyDescent="0.2">
      <c r="A14" s="20">
        <v>10</v>
      </c>
      <c r="B14" s="172" t="s">
        <v>9</v>
      </c>
      <c r="C14" s="173"/>
      <c r="D14" s="15">
        <f t="shared" si="0"/>
        <v>23472</v>
      </c>
      <c r="E14" s="18">
        <f t="shared" si="1"/>
        <v>357611.03221715515</v>
      </c>
      <c r="F14" s="22">
        <f t="shared" si="2"/>
        <v>15.24</v>
      </c>
    </row>
    <row r="15" spans="1:6" x14ac:dyDescent="0.2">
      <c r="A15" s="20">
        <v>11</v>
      </c>
      <c r="B15" s="172" t="s">
        <v>10</v>
      </c>
      <c r="C15" s="173"/>
      <c r="D15" s="15">
        <f t="shared" si="0"/>
        <v>358676</v>
      </c>
      <c r="E15" s="18">
        <f t="shared" si="1"/>
        <v>4789118.7613974242</v>
      </c>
      <c r="F15" s="22">
        <f t="shared" si="2"/>
        <v>13.35</v>
      </c>
    </row>
    <row r="16" spans="1:6" x14ac:dyDescent="0.2">
      <c r="A16" s="20">
        <v>12</v>
      </c>
      <c r="B16" s="172" t="s">
        <v>11</v>
      </c>
      <c r="C16" s="173"/>
      <c r="D16" s="15">
        <f t="shared" si="0"/>
        <v>3806778</v>
      </c>
      <c r="E16" s="18">
        <f t="shared" si="1"/>
        <v>35386658.424742565</v>
      </c>
      <c r="F16" s="22">
        <f t="shared" si="2"/>
        <v>9.3000000000000007</v>
      </c>
    </row>
    <row r="17" spans="1:6" x14ac:dyDescent="0.2">
      <c r="A17" s="20">
        <v>13</v>
      </c>
      <c r="B17" s="172" t="s">
        <v>12</v>
      </c>
      <c r="C17" s="173"/>
      <c r="D17" s="15">
        <f t="shared" si="0"/>
        <v>696204</v>
      </c>
      <c r="E17" s="18">
        <f t="shared" si="1"/>
        <v>5358001.4970054664</v>
      </c>
      <c r="F17" s="22">
        <f t="shared" si="2"/>
        <v>7.7</v>
      </c>
    </row>
    <row r="18" spans="1:6" x14ac:dyDescent="0.2">
      <c r="A18" s="20">
        <v>14</v>
      </c>
      <c r="B18" s="172" t="s">
        <v>469</v>
      </c>
      <c r="C18" s="173"/>
      <c r="D18" s="15">
        <f t="shared" si="0"/>
        <v>452026</v>
      </c>
      <c r="E18" s="18">
        <f t="shared" si="1"/>
        <v>6954679.4042685665</v>
      </c>
      <c r="F18" s="22">
        <f t="shared" si="2"/>
        <v>15.39</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656649</v>
      </c>
      <c r="E20" s="18">
        <f t="shared" si="1"/>
        <v>6487983.7950904369</v>
      </c>
      <c r="F20" s="22">
        <f t="shared" si="2"/>
        <v>9.8800000000000008</v>
      </c>
    </row>
    <row r="21" spans="1:6" x14ac:dyDescent="0.2">
      <c r="A21" s="20">
        <v>17</v>
      </c>
      <c r="B21" s="172" t="s">
        <v>15</v>
      </c>
      <c r="C21" s="173"/>
      <c r="D21" s="15">
        <f t="shared" si="0"/>
        <v>47936</v>
      </c>
      <c r="E21" s="18">
        <f t="shared" si="1"/>
        <v>723915.16872705985</v>
      </c>
      <c r="F21" s="22">
        <f t="shared" si="2"/>
        <v>15.1</v>
      </c>
    </row>
    <row r="22" spans="1:6" x14ac:dyDescent="0.2">
      <c r="A22" s="20">
        <v>18</v>
      </c>
      <c r="B22" s="172" t="s">
        <v>16</v>
      </c>
      <c r="C22" s="173"/>
      <c r="D22" s="15">
        <f t="shared" si="0"/>
        <v>267616</v>
      </c>
      <c r="E22" s="18">
        <f t="shared" si="1"/>
        <v>2801362.8451698278</v>
      </c>
      <c r="F22" s="22">
        <f t="shared" si="2"/>
        <v>10.47</v>
      </c>
    </row>
    <row r="23" spans="1:6" x14ac:dyDescent="0.2">
      <c r="A23" s="20">
        <v>19</v>
      </c>
      <c r="B23" s="172" t="s">
        <v>17</v>
      </c>
      <c r="C23" s="173"/>
      <c r="D23" s="15">
        <f t="shared" si="0"/>
        <v>2606552</v>
      </c>
      <c r="E23" s="18">
        <f t="shared" si="1"/>
        <v>22544078.415801391</v>
      </c>
      <c r="F23" s="22">
        <f t="shared" si="2"/>
        <v>8.65</v>
      </c>
    </row>
    <row r="24" spans="1:6" x14ac:dyDescent="0.2">
      <c r="A24" s="20">
        <v>20</v>
      </c>
      <c r="B24" s="172" t="s">
        <v>18</v>
      </c>
      <c r="C24" s="173"/>
      <c r="D24" s="15">
        <f t="shared" si="0"/>
        <v>283561</v>
      </c>
      <c r="E24" s="18">
        <f t="shared" si="1"/>
        <v>2940417.7322140737</v>
      </c>
      <c r="F24" s="22">
        <f t="shared" si="2"/>
        <v>10.37</v>
      </c>
    </row>
    <row r="25" spans="1:6" x14ac:dyDescent="0.2">
      <c r="A25" s="20">
        <v>21</v>
      </c>
      <c r="B25" s="172" t="s">
        <v>466</v>
      </c>
      <c r="C25" s="173"/>
      <c r="D25" s="15">
        <f t="shared" si="0"/>
        <v>181310</v>
      </c>
      <c r="E25" s="18">
        <f t="shared" si="1"/>
        <v>2288071.1081838957</v>
      </c>
      <c r="F25" s="22">
        <f t="shared" si="2"/>
        <v>12.62</v>
      </c>
    </row>
    <row r="26" spans="1:6" x14ac:dyDescent="0.2">
      <c r="A26" s="20">
        <v>22</v>
      </c>
      <c r="B26" s="172" t="s">
        <v>19</v>
      </c>
      <c r="C26" s="173"/>
      <c r="D26" s="15">
        <f t="shared" si="0"/>
        <v>26326</v>
      </c>
      <c r="E26" s="18">
        <f t="shared" si="1"/>
        <v>130428.87057552944</v>
      </c>
      <c r="F26" s="22">
        <f t="shared" si="2"/>
        <v>4.95</v>
      </c>
    </row>
    <row r="27" spans="1:6" x14ac:dyDescent="0.2">
      <c r="A27" s="20">
        <v>23</v>
      </c>
      <c r="B27" s="172" t="s">
        <v>20</v>
      </c>
      <c r="C27" s="173"/>
      <c r="D27" s="15">
        <f t="shared" si="0"/>
        <v>553824</v>
      </c>
      <c r="E27" s="18">
        <f t="shared" si="1"/>
        <v>5435991.7417618334</v>
      </c>
      <c r="F27" s="22">
        <f t="shared" si="2"/>
        <v>9.82</v>
      </c>
    </row>
    <row r="28" spans="1:6" x14ac:dyDescent="0.2">
      <c r="A28" s="20">
        <v>24</v>
      </c>
      <c r="B28" s="172" t="s">
        <v>21</v>
      </c>
      <c r="C28" s="173"/>
      <c r="D28" s="15">
        <f t="shared" si="0"/>
        <v>475864</v>
      </c>
      <c r="E28" s="18">
        <f t="shared" si="1"/>
        <v>4284446.8600453446</v>
      </c>
      <c r="F28" s="22">
        <f t="shared" si="2"/>
        <v>9</v>
      </c>
    </row>
    <row r="29" spans="1:6" x14ac:dyDescent="0.2">
      <c r="A29" s="20">
        <v>25</v>
      </c>
      <c r="B29" s="172" t="s">
        <v>22</v>
      </c>
      <c r="C29" s="173"/>
      <c r="D29" s="15">
        <f t="shared" si="0"/>
        <v>3414220</v>
      </c>
      <c r="E29" s="18">
        <f t="shared" si="1"/>
        <v>28282247.026604272</v>
      </c>
      <c r="F29" s="22">
        <f t="shared" si="2"/>
        <v>8.2799999999999994</v>
      </c>
    </row>
    <row r="30" spans="1:6" x14ac:dyDescent="0.2">
      <c r="A30" s="20">
        <v>26</v>
      </c>
      <c r="B30" s="172" t="s">
        <v>23</v>
      </c>
      <c r="C30" s="173"/>
      <c r="D30" s="15">
        <f t="shared" si="0"/>
        <v>1013568</v>
      </c>
      <c r="E30" s="18">
        <f t="shared" si="1"/>
        <v>10314711.657049997</v>
      </c>
      <c r="F30" s="22">
        <f t="shared" si="2"/>
        <v>10.18</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C33" s="14" t="s">
        <v>35</v>
      </c>
      <c r="D33" s="64">
        <f>SUM(D5:D32)</f>
        <v>20282455</v>
      </c>
      <c r="E33" s="5">
        <f>SUM(E5:E32)</f>
        <v>191239470.99999991</v>
      </c>
      <c r="F33" s="33">
        <f t="shared" si="2"/>
        <v>9.43</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IF(F3="1",SUMIF(Data!A:A,$A$2,Data!CU:CU),0)</f>
        <v>71760</v>
      </c>
      <c r="E36" s="16">
        <f>IF(F3="1",SUMIF(Data!$A:$A,$A$2,Data!IO:IO),0)</f>
        <v>76984</v>
      </c>
      <c r="F36" s="21">
        <f>IF(D36=0,"",ROUND(E36/D36,2))</f>
        <v>1.07</v>
      </c>
    </row>
    <row r="37" spans="1:6" x14ac:dyDescent="0.2">
      <c r="A37" s="20">
        <v>2</v>
      </c>
      <c r="B37" s="172" t="s">
        <v>1</v>
      </c>
      <c r="C37" s="173"/>
      <c r="D37" s="15">
        <f>IF(F3="1",SUMIF(Data!A:A,$A$2,Data!CV:CV),0)</f>
        <v>170428</v>
      </c>
      <c r="E37" s="18">
        <f>IF(F3="1",SUMIF(Data!$A:$A,$A$2,Data!IP:IP),0)</f>
        <v>486043</v>
      </c>
      <c r="F37" s="22">
        <f t="shared" ref="F37:F64" si="3">IF(D37=0,"",ROUND(E37/D37,2))</f>
        <v>2.85</v>
      </c>
    </row>
    <row r="38" spans="1:6" x14ac:dyDescent="0.2">
      <c r="A38" s="20">
        <v>3</v>
      </c>
      <c r="B38" s="172" t="s">
        <v>2</v>
      </c>
      <c r="C38" s="173"/>
      <c r="D38" s="15">
        <f>IF(F3="1",SUMIF(Data!A:A,$A$2,Data!CW:CW),0)</f>
        <v>2158384</v>
      </c>
      <c r="E38" s="18">
        <f>IF(F3="1",SUMIF(Data!$A:$A,$A$2,Data!IQ:IQ),0)</f>
        <v>2509068</v>
      </c>
      <c r="F38" s="22">
        <f t="shared" si="3"/>
        <v>1.1599999999999999</v>
      </c>
    </row>
    <row r="39" spans="1:6" x14ac:dyDescent="0.2">
      <c r="A39" s="20">
        <v>4</v>
      </c>
      <c r="B39" s="172" t="s">
        <v>3</v>
      </c>
      <c r="C39" s="173"/>
      <c r="D39" s="15">
        <f>IF(F3="1",SUMIF(Data!A:A,$A$2,Data!CX:CX),0)</f>
        <v>1108981</v>
      </c>
      <c r="E39" s="18">
        <f>IF(F3="1",SUMIF(Data!$A:$A,$A$2,Data!IR:IR),0)</f>
        <v>1901651</v>
      </c>
      <c r="F39" s="22">
        <f t="shared" si="3"/>
        <v>1.71</v>
      </c>
    </row>
    <row r="40" spans="1:6" x14ac:dyDescent="0.2">
      <c r="A40" s="20">
        <v>5</v>
      </c>
      <c r="B40" s="172" t="s">
        <v>4</v>
      </c>
      <c r="C40" s="173"/>
      <c r="D40" s="15">
        <f>IF(F3="1",SUMIF(Data!A:A,$A$2,Data!CY:CY),0)</f>
        <v>3568</v>
      </c>
      <c r="E40" s="18">
        <f>IF(F3="1",SUMIF(Data!$A:$A,$A$2,Data!IS:IS),0)</f>
        <v>54999</v>
      </c>
      <c r="F40" s="22">
        <f t="shared" si="3"/>
        <v>15.41</v>
      </c>
    </row>
    <row r="41" spans="1:6" x14ac:dyDescent="0.2">
      <c r="A41" s="20">
        <v>6</v>
      </c>
      <c r="B41" s="172" t="s">
        <v>5</v>
      </c>
      <c r="C41" s="173"/>
      <c r="D41" s="15">
        <f>IF(F3="1",SUMIF(Data!A:A,$A$2,Data!CZ:CZ),0)</f>
        <v>314561</v>
      </c>
      <c r="E41" s="18">
        <f>IF(F3="1",SUMIF(Data!$A:$A,$A$2,Data!IT:IT),0)</f>
        <v>1033293</v>
      </c>
      <c r="F41" s="22">
        <f t="shared" si="3"/>
        <v>3.28</v>
      </c>
    </row>
    <row r="42" spans="1:6" x14ac:dyDescent="0.2">
      <c r="A42" s="20">
        <v>7</v>
      </c>
      <c r="B42" s="172" t="s">
        <v>6</v>
      </c>
      <c r="C42" s="173"/>
      <c r="D42" s="15">
        <f>IF(F3="1",SUMIF(Data!A:A,$A$2,Data!DA:DA),0)</f>
        <v>766228</v>
      </c>
      <c r="E42" s="18">
        <f>IF(F3="1",SUMIF(Data!$A:$A,$A$2,Data!IU:IU),0)</f>
        <v>1468398</v>
      </c>
      <c r="F42" s="22">
        <f t="shared" si="3"/>
        <v>1.92</v>
      </c>
    </row>
    <row r="43" spans="1:6" x14ac:dyDescent="0.2">
      <c r="A43" s="20">
        <v>8</v>
      </c>
      <c r="B43" s="172" t="s">
        <v>7</v>
      </c>
      <c r="C43" s="173"/>
      <c r="D43" s="15">
        <f>IF(F3="1",SUMIF(Data!A:A,$A$2,Data!DB:DB),0)</f>
        <v>75468</v>
      </c>
      <c r="E43" s="18">
        <f>IF(F3="1",SUMIF(Data!$A:$A,$A$2,Data!IV:IV),0)</f>
        <v>224097</v>
      </c>
      <c r="F43" s="22">
        <f t="shared" si="3"/>
        <v>2.97</v>
      </c>
    </row>
    <row r="44" spans="1:6" x14ac:dyDescent="0.2">
      <c r="A44" s="20">
        <v>9</v>
      </c>
      <c r="B44" s="172" t="s">
        <v>8</v>
      </c>
      <c r="C44" s="173"/>
      <c r="D44" s="15">
        <f>IF(F3="1",SUMIF(Data!A:A,$A$2,Data!DC:DC),0)</f>
        <v>748495</v>
      </c>
      <c r="E44" s="18">
        <f>IF(F3="1",SUMIF(Data!$A:$A,$A$2,Data!IW:IW),0)</f>
        <v>1541605</v>
      </c>
      <c r="F44" s="22">
        <f t="shared" si="3"/>
        <v>2.06</v>
      </c>
    </row>
    <row r="45" spans="1:6" x14ac:dyDescent="0.2">
      <c r="A45" s="20">
        <v>10</v>
      </c>
      <c r="B45" s="172" t="s">
        <v>9</v>
      </c>
      <c r="C45" s="173"/>
      <c r="D45" s="15">
        <f>IF(F3="1",SUMIF(Data!A:A,$A$2,Data!DD:DD),0)</f>
        <v>23472</v>
      </c>
      <c r="E45" s="18">
        <f>IF(F3="1",SUMIF(Data!$A:$A,$A$2,Data!IX:IX),0)</f>
        <v>82545</v>
      </c>
      <c r="F45" s="22">
        <f t="shared" si="3"/>
        <v>3.52</v>
      </c>
    </row>
    <row r="46" spans="1:6" x14ac:dyDescent="0.2">
      <c r="A46" s="20">
        <v>11</v>
      </c>
      <c r="B46" s="172" t="s">
        <v>10</v>
      </c>
      <c r="C46" s="173"/>
      <c r="D46" s="15">
        <f>IF(F3="1",SUMIF(Data!A:A,$A$2,Data!DE:DE),0)</f>
        <v>358676</v>
      </c>
      <c r="E46" s="18">
        <f>IF(F3="1",SUMIF(Data!$A:$A,$A$2,Data!IY:IY),0)</f>
        <v>1443788</v>
      </c>
      <c r="F46" s="22">
        <f t="shared" si="3"/>
        <v>4.03</v>
      </c>
    </row>
    <row r="47" spans="1:6" x14ac:dyDescent="0.2">
      <c r="A47" s="20">
        <v>12</v>
      </c>
      <c r="B47" s="172" t="s">
        <v>11</v>
      </c>
      <c r="C47" s="173"/>
      <c r="D47" s="15">
        <f>IF(F3="1",SUMIF(Data!A:A,$A$2,Data!DF:DF),0)</f>
        <v>3806778</v>
      </c>
      <c r="E47" s="18">
        <f>IF(F3="1",SUMIF(Data!$A:$A,$A$2,Data!IZ:IZ),0)</f>
        <v>4565943</v>
      </c>
      <c r="F47" s="22">
        <f t="shared" si="3"/>
        <v>1.2</v>
      </c>
    </row>
    <row r="48" spans="1:6" x14ac:dyDescent="0.2">
      <c r="A48" s="20">
        <v>13</v>
      </c>
      <c r="B48" s="172" t="s">
        <v>12</v>
      </c>
      <c r="C48" s="173"/>
      <c r="D48" s="15">
        <f>IF(F3="1",SUMIF(Data!A:A,$A$2,Data!DG:DG),0)</f>
        <v>696204</v>
      </c>
      <c r="E48" s="18">
        <f>IF(F3="1",SUMIF(Data!$A:$A,$A$2,Data!JA:JA),0)</f>
        <v>675397</v>
      </c>
      <c r="F48" s="22">
        <f t="shared" si="3"/>
        <v>0.97</v>
      </c>
    </row>
    <row r="49" spans="1:7" x14ac:dyDescent="0.2">
      <c r="A49" s="20">
        <v>14</v>
      </c>
      <c r="B49" s="172" t="s">
        <v>469</v>
      </c>
      <c r="C49" s="173"/>
      <c r="D49" s="15">
        <f>IF(F3="1",SUMIF(Data!A:A,$A$2,Data!DH:DH),0)</f>
        <v>452026</v>
      </c>
      <c r="E49" s="18">
        <f>IF(F3="1",SUMIF(Data!$A:$A,$A$2,Data!JB:JB),0)</f>
        <v>1700758</v>
      </c>
      <c r="F49" s="22">
        <f t="shared" si="3"/>
        <v>3.76</v>
      </c>
    </row>
    <row r="50" spans="1:7" x14ac:dyDescent="0.2">
      <c r="A50" s="20">
        <v>15</v>
      </c>
      <c r="B50" s="172" t="s">
        <v>13</v>
      </c>
      <c r="C50" s="173"/>
      <c r="D50" s="15">
        <f>IF(F3="1",SUMIF(Data!A:A,$A$2,Data!DI:DI),0)</f>
        <v>0</v>
      </c>
      <c r="E50" s="18">
        <f>IF(F3="1",SUMIF(Data!$A:$A,$A$2,Data!JC:JC),0)</f>
        <v>0</v>
      </c>
      <c r="F50" s="22" t="str">
        <f t="shared" si="3"/>
        <v/>
      </c>
    </row>
    <row r="51" spans="1:7" x14ac:dyDescent="0.2">
      <c r="A51" s="20">
        <v>16</v>
      </c>
      <c r="B51" s="172" t="s">
        <v>14</v>
      </c>
      <c r="C51" s="173"/>
      <c r="D51" s="15">
        <f>IF(F3="1",SUMIF(Data!A:A,$A$2,Data!DJ:DJ),0)</f>
        <v>656649</v>
      </c>
      <c r="E51" s="18">
        <f>IF(F3="1",SUMIF(Data!$A:$A,$A$2,Data!JD:JD),0)</f>
        <v>1290763</v>
      </c>
      <c r="F51" s="22">
        <f t="shared" si="3"/>
        <v>1.97</v>
      </c>
    </row>
    <row r="52" spans="1:7" x14ac:dyDescent="0.2">
      <c r="A52" s="20">
        <v>17</v>
      </c>
      <c r="B52" s="172" t="s">
        <v>15</v>
      </c>
      <c r="C52" s="173"/>
      <c r="D52" s="15">
        <f>IF(F3="1",SUMIF(Data!A:A,$A$2,Data!DK:DK),0)</f>
        <v>47936</v>
      </c>
      <c r="E52" s="18">
        <f>IF(F3="1",SUMIF(Data!$A:$A,$A$2,Data!JE:JE),0)</f>
        <v>102053</v>
      </c>
      <c r="F52" s="22">
        <f t="shared" si="3"/>
        <v>2.13</v>
      </c>
    </row>
    <row r="53" spans="1:7" x14ac:dyDescent="0.2">
      <c r="A53" s="20">
        <v>18</v>
      </c>
      <c r="B53" s="172" t="s">
        <v>16</v>
      </c>
      <c r="C53" s="173"/>
      <c r="D53" s="15">
        <f>IF(F3="1",SUMIF(Data!A:A,$A$2,Data!DL:DL),0)</f>
        <v>267616</v>
      </c>
      <c r="E53" s="18">
        <f>IF(F3="1",SUMIF(Data!$A:$A,$A$2,Data!JF:JF),0)</f>
        <v>475082</v>
      </c>
      <c r="F53" s="22">
        <f t="shared" si="3"/>
        <v>1.78</v>
      </c>
    </row>
    <row r="54" spans="1:7" x14ac:dyDescent="0.2">
      <c r="A54" s="20">
        <v>19</v>
      </c>
      <c r="B54" s="172" t="s">
        <v>17</v>
      </c>
      <c r="C54" s="173"/>
      <c r="D54" s="15">
        <f>IF(F3="1",SUMIF(Data!A:A,$A$2,Data!DM:DM),0)</f>
        <v>2606552</v>
      </c>
      <c r="E54" s="18">
        <f>IF(F3="1",SUMIF(Data!$A:$A,$A$2,Data!JG:JG),0)</f>
        <v>2207563</v>
      </c>
      <c r="F54" s="22">
        <f t="shared" si="3"/>
        <v>0.85</v>
      </c>
    </row>
    <row r="55" spans="1:7" x14ac:dyDescent="0.2">
      <c r="A55" s="20">
        <v>20</v>
      </c>
      <c r="B55" s="172" t="s">
        <v>18</v>
      </c>
      <c r="C55" s="173"/>
      <c r="D55" s="15">
        <f>IF(F3="1",SUMIF(Data!A:A,$A$2,Data!DN:DN),0)</f>
        <v>283561</v>
      </c>
      <c r="E55" s="18">
        <f>IF(F3="1",SUMIF(Data!$A:$A,$A$2,Data!JH:JH),0)</f>
        <v>698053</v>
      </c>
      <c r="F55" s="22">
        <f t="shared" si="3"/>
        <v>2.46</v>
      </c>
    </row>
    <row r="56" spans="1:7" ht="14.25" customHeight="1" x14ac:dyDescent="0.2">
      <c r="A56" s="20">
        <v>21</v>
      </c>
      <c r="B56" s="172" t="s">
        <v>466</v>
      </c>
      <c r="C56" s="173"/>
      <c r="D56" s="15">
        <f>IF(F3="1",SUMIF(Data!A:A,$A$2,Data!DO:DO),0)</f>
        <v>181310</v>
      </c>
      <c r="E56" s="18">
        <f>IF(F3="1",SUMIF(Data!$A:$A,$A$2,Data!JI:JI),0)</f>
        <v>627466</v>
      </c>
      <c r="F56" s="22">
        <f t="shared" si="3"/>
        <v>3.46</v>
      </c>
    </row>
    <row r="57" spans="1:7" x14ac:dyDescent="0.2">
      <c r="A57" s="20">
        <v>22</v>
      </c>
      <c r="B57" s="172" t="s">
        <v>19</v>
      </c>
      <c r="C57" s="173"/>
      <c r="D57" s="15">
        <f>IF(F3="1",SUMIF(Data!A:A,$A$2,Data!DP:DP),0)</f>
        <v>26326</v>
      </c>
      <c r="E57" s="18">
        <f>IF(F3="1",SUMIF(Data!$A:$A,$A$2,Data!JJ:JJ),0)</f>
        <v>8532</v>
      </c>
      <c r="F57" s="22">
        <f t="shared" si="3"/>
        <v>0.32</v>
      </c>
    </row>
    <row r="58" spans="1:7" x14ac:dyDescent="0.2">
      <c r="A58" s="20">
        <v>23</v>
      </c>
      <c r="B58" s="172" t="s">
        <v>20</v>
      </c>
      <c r="C58" s="173"/>
      <c r="D58" s="15">
        <f>IF(F3="1",SUMIF(Data!A:A,$A$2,Data!DQ:DQ),0)</f>
        <v>553824</v>
      </c>
      <c r="E58" s="18">
        <f>IF(F3="1",SUMIF(Data!$A:$A,$A$2,Data!JK:JK),0)</f>
        <v>750508</v>
      </c>
      <c r="F58" s="22">
        <f t="shared" si="3"/>
        <v>1.36</v>
      </c>
    </row>
    <row r="59" spans="1:7" x14ac:dyDescent="0.2">
      <c r="A59" s="20">
        <v>24</v>
      </c>
      <c r="B59" s="172" t="s">
        <v>21</v>
      </c>
      <c r="C59" s="173"/>
      <c r="D59" s="15">
        <f>IF(F3="1",SUMIF(Data!A:A,$A$2,Data!DR:DR),0)</f>
        <v>475864</v>
      </c>
      <c r="E59" s="18">
        <f>IF(F3="1",SUMIF(Data!$A:$A,$A$2,Data!JL:JL),0)</f>
        <v>757251</v>
      </c>
      <c r="F59" s="22">
        <f t="shared" si="3"/>
        <v>1.59</v>
      </c>
    </row>
    <row r="60" spans="1:7" x14ac:dyDescent="0.2">
      <c r="A60" s="20">
        <v>25</v>
      </c>
      <c r="B60" s="172" t="s">
        <v>22</v>
      </c>
      <c r="C60" s="173"/>
      <c r="D60" s="15">
        <f>IF(F3="1",SUMIF(Data!A:A,$A$2,Data!DS:DS),0)</f>
        <v>3414220</v>
      </c>
      <c r="E60" s="18">
        <f>IF(F3="1",SUMIF(Data!$A:$A,$A$2,Data!JM:JM),0)</f>
        <v>2294329</v>
      </c>
      <c r="F60" s="22">
        <f t="shared" si="3"/>
        <v>0.67</v>
      </c>
    </row>
    <row r="61" spans="1:7" x14ac:dyDescent="0.2">
      <c r="A61" s="20">
        <v>26</v>
      </c>
      <c r="B61" s="172" t="s">
        <v>23</v>
      </c>
      <c r="C61" s="173"/>
      <c r="D61" s="15">
        <f>IF(F3="1",SUMIF(Data!A:A,$A$2,Data!DT:DT),0)</f>
        <v>1013568</v>
      </c>
      <c r="E61" s="18">
        <f>IF(F3="1",SUMIF(Data!$A:$A,$A$2,Data!JN:JN),0)</f>
        <v>1603623</v>
      </c>
      <c r="F61" s="22">
        <f t="shared" si="3"/>
        <v>1.58</v>
      </c>
    </row>
    <row r="62" spans="1:7" x14ac:dyDescent="0.2">
      <c r="A62" s="20">
        <v>28</v>
      </c>
      <c r="B62" s="172" t="s">
        <v>24</v>
      </c>
      <c r="C62" s="173"/>
      <c r="D62" s="15">
        <f>IF(F3="1",SUMIF(Data!A:A,$A$2,Data!DV:DV),0)</f>
        <v>0</v>
      </c>
      <c r="E62" s="18">
        <f>IF(F3="1",SUMIF(Data!$A:$A,$A$2,Data!JP:JP),0)</f>
        <v>0</v>
      </c>
      <c r="F62" s="22" t="str">
        <f t="shared" si="3"/>
        <v/>
      </c>
    </row>
    <row r="63" spans="1:7" ht="15.75" customHeight="1" thickBot="1" x14ac:dyDescent="0.25">
      <c r="A63" s="23">
        <v>29</v>
      </c>
      <c r="B63" s="174" t="s">
        <v>25</v>
      </c>
      <c r="C63" s="175"/>
      <c r="D63" s="24">
        <f>IF(F3="1",SUMIF(Data!A:A,$A$2,Data!DW:DW),0)</f>
        <v>0</v>
      </c>
      <c r="E63" s="25">
        <f>IF(F3="1",SUMIF(Data!$A:$A,$A$2,Data!JQ:JQ),0)</f>
        <v>0</v>
      </c>
      <c r="F63" s="26" t="str">
        <f t="shared" si="3"/>
        <v/>
      </c>
    </row>
    <row r="64" spans="1:7" x14ac:dyDescent="0.2">
      <c r="C64" s="14" t="s">
        <v>35</v>
      </c>
      <c r="D64" s="64">
        <f>SUM(D36:D63)</f>
        <v>20282455</v>
      </c>
      <c r="E64" s="5">
        <f>SUM(E36:E63)</f>
        <v>28579792</v>
      </c>
      <c r="F64" s="33">
        <f t="shared" si="3"/>
        <v>1.41</v>
      </c>
      <c r="G64" s="63"/>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71760</v>
      </c>
      <c r="E67" s="16">
        <f>IF(F3="1",SUMIF(Data!A:A,$A$2,Data!DY:DY),0)</f>
        <v>109155</v>
      </c>
      <c r="F67" s="21">
        <f t="shared" ref="F67:F95" si="4">IF(D67=0,"",ROUND(E67/D67,2))</f>
        <v>1.52</v>
      </c>
    </row>
    <row r="68" spans="1:6" x14ac:dyDescent="0.2">
      <c r="A68" s="20">
        <v>2</v>
      </c>
      <c r="B68" s="172" t="s">
        <v>1</v>
      </c>
      <c r="C68" s="173"/>
      <c r="D68" s="15">
        <f t="shared" ref="D68:D94" si="5">D37</f>
        <v>170428</v>
      </c>
      <c r="E68" s="18">
        <f>IF(F3="1",SUMIF(Data!A:A,$A$2,Data!DZ:DZ),0)</f>
        <v>903364</v>
      </c>
      <c r="F68" s="22">
        <f t="shared" si="4"/>
        <v>5.3</v>
      </c>
    </row>
    <row r="69" spans="1:6" x14ac:dyDescent="0.2">
      <c r="A69" s="20">
        <v>3</v>
      </c>
      <c r="B69" s="172" t="s">
        <v>2</v>
      </c>
      <c r="C69" s="173"/>
      <c r="D69" s="15">
        <f t="shared" si="5"/>
        <v>2158384</v>
      </c>
      <c r="E69" s="18">
        <f>IF(F3="1",SUMIF(Data!A:A,$A$2,Data!EA:EA),0)</f>
        <v>7631745</v>
      </c>
      <c r="F69" s="22">
        <f t="shared" si="4"/>
        <v>3.54</v>
      </c>
    </row>
    <row r="70" spans="1:6" x14ac:dyDescent="0.2">
      <c r="A70" s="20">
        <v>4</v>
      </c>
      <c r="B70" s="172" t="s">
        <v>3</v>
      </c>
      <c r="C70" s="173"/>
      <c r="D70" s="15">
        <f t="shared" si="5"/>
        <v>1108981</v>
      </c>
      <c r="E70" s="18">
        <f>IF(F3="1",SUMIF(Data!A:A,$A$2,Data!EB:EB),0)</f>
        <v>4195619</v>
      </c>
      <c r="F70" s="22">
        <f t="shared" si="4"/>
        <v>3.78</v>
      </c>
    </row>
    <row r="71" spans="1:6" x14ac:dyDescent="0.2">
      <c r="A71" s="20">
        <v>5</v>
      </c>
      <c r="B71" s="172" t="s">
        <v>4</v>
      </c>
      <c r="C71" s="173"/>
      <c r="D71" s="15">
        <f t="shared" si="5"/>
        <v>3568</v>
      </c>
      <c r="E71" s="18">
        <f>IF(F3="1",SUMIF(Data!A:A,$A$2,Data!EC:EC),0)</f>
        <v>58234</v>
      </c>
      <c r="F71" s="22">
        <f t="shared" si="4"/>
        <v>16.32</v>
      </c>
    </row>
    <row r="72" spans="1:6" x14ac:dyDescent="0.2">
      <c r="A72" s="20">
        <v>6</v>
      </c>
      <c r="B72" s="172" t="s">
        <v>5</v>
      </c>
      <c r="C72" s="173"/>
      <c r="D72" s="15">
        <f t="shared" si="5"/>
        <v>314561</v>
      </c>
      <c r="E72" s="18">
        <f>IF(F3="1",SUMIF(Data!A:A,$A$2,Data!ED:ED),0)</f>
        <v>908502</v>
      </c>
      <c r="F72" s="22">
        <f t="shared" si="4"/>
        <v>2.89</v>
      </c>
    </row>
    <row r="73" spans="1:6" x14ac:dyDescent="0.2">
      <c r="A73" s="20">
        <v>7</v>
      </c>
      <c r="B73" s="172" t="s">
        <v>6</v>
      </c>
      <c r="C73" s="173"/>
      <c r="D73" s="15">
        <f t="shared" si="5"/>
        <v>766228</v>
      </c>
      <c r="E73" s="18">
        <f>IF(F3="1",SUMIF(Data!A:A,$A$2,Data!EE:EE),0)</f>
        <v>3479222</v>
      </c>
      <c r="F73" s="22">
        <f t="shared" si="4"/>
        <v>4.54</v>
      </c>
    </row>
    <row r="74" spans="1:6" x14ac:dyDescent="0.2">
      <c r="A74" s="20">
        <v>8</v>
      </c>
      <c r="B74" s="172" t="s">
        <v>7</v>
      </c>
      <c r="C74" s="173"/>
      <c r="D74" s="15">
        <f t="shared" si="5"/>
        <v>75468</v>
      </c>
      <c r="E74" s="18">
        <f>IF(F3="1",SUMIF(Data!A:A,$A$2,Data!EF:EF),0)</f>
        <v>336852</v>
      </c>
      <c r="F74" s="22">
        <f t="shared" si="4"/>
        <v>4.46</v>
      </c>
    </row>
    <row r="75" spans="1:6" x14ac:dyDescent="0.2">
      <c r="A75" s="20">
        <v>9</v>
      </c>
      <c r="B75" s="172" t="s">
        <v>8</v>
      </c>
      <c r="C75" s="173"/>
      <c r="D75" s="15">
        <f t="shared" si="5"/>
        <v>748495</v>
      </c>
      <c r="E75" s="18">
        <f>IF(F3="1",SUMIF(Data!A:A,$A$2,Data!EG:EG),0)</f>
        <v>1771999</v>
      </c>
      <c r="F75" s="22">
        <f t="shared" si="4"/>
        <v>2.37</v>
      </c>
    </row>
    <row r="76" spans="1:6" x14ac:dyDescent="0.2">
      <c r="A76" s="20">
        <v>10</v>
      </c>
      <c r="B76" s="172" t="s">
        <v>9</v>
      </c>
      <c r="C76" s="173"/>
      <c r="D76" s="15">
        <f t="shared" si="5"/>
        <v>23472</v>
      </c>
      <c r="E76" s="18">
        <f>IF(F3="1",SUMIF(Data!A:A,$A$2,Data!EH:EH),0)</f>
        <v>173391</v>
      </c>
      <c r="F76" s="22">
        <f t="shared" si="4"/>
        <v>7.39</v>
      </c>
    </row>
    <row r="77" spans="1:6" x14ac:dyDescent="0.2">
      <c r="A77" s="20">
        <v>11</v>
      </c>
      <c r="B77" s="172" t="s">
        <v>10</v>
      </c>
      <c r="C77" s="173"/>
      <c r="D77" s="15">
        <f t="shared" si="5"/>
        <v>358676</v>
      </c>
      <c r="E77" s="18">
        <f>IF(F3="1",SUMIF(Data!A:A,$A$2,Data!EI:EI),0)</f>
        <v>1791633</v>
      </c>
      <c r="F77" s="22">
        <f t="shared" si="4"/>
        <v>5</v>
      </c>
    </row>
    <row r="78" spans="1:6" x14ac:dyDescent="0.2">
      <c r="A78" s="20">
        <v>12</v>
      </c>
      <c r="B78" s="172" t="s">
        <v>11</v>
      </c>
      <c r="C78" s="173"/>
      <c r="D78" s="15">
        <f t="shared" si="5"/>
        <v>3806778</v>
      </c>
      <c r="E78" s="18">
        <f>IF(F3="1",SUMIF(Data!A:A,$A$2,Data!EJ:EJ),0)</f>
        <v>14330673</v>
      </c>
      <c r="F78" s="22">
        <f t="shared" si="4"/>
        <v>3.76</v>
      </c>
    </row>
    <row r="79" spans="1:6" x14ac:dyDescent="0.2">
      <c r="A79" s="20">
        <v>13</v>
      </c>
      <c r="B79" s="172" t="s">
        <v>12</v>
      </c>
      <c r="C79" s="173"/>
      <c r="D79" s="15">
        <f t="shared" si="5"/>
        <v>696204</v>
      </c>
      <c r="E79" s="18">
        <f>IF(F3="1",SUMIF(Data!A:A,$A$2,Data!EK:EK),0)</f>
        <v>1666817</v>
      </c>
      <c r="F79" s="22">
        <f t="shared" si="4"/>
        <v>2.39</v>
      </c>
    </row>
    <row r="80" spans="1:6" x14ac:dyDescent="0.2">
      <c r="A80" s="20">
        <v>14</v>
      </c>
      <c r="B80" s="172" t="s">
        <v>469</v>
      </c>
      <c r="C80" s="173"/>
      <c r="D80" s="15">
        <f t="shared" si="5"/>
        <v>452026</v>
      </c>
      <c r="E80" s="18">
        <f>IF(F3="1",SUMIF(Data!A:A,$A$2,Data!EL:EL),0)</f>
        <v>3295854</v>
      </c>
      <c r="F80" s="22">
        <f t="shared" si="4"/>
        <v>7.29</v>
      </c>
    </row>
    <row r="81" spans="1:6" x14ac:dyDescent="0.2">
      <c r="A81" s="20">
        <v>15</v>
      </c>
      <c r="B81" s="172" t="s">
        <v>13</v>
      </c>
      <c r="C81" s="173"/>
      <c r="D81" s="15">
        <f t="shared" si="5"/>
        <v>0</v>
      </c>
      <c r="E81" s="18">
        <f>IF(F3="1",SUMIF(Data!A:A,$A$2,Data!EM:EM),0)</f>
        <v>0</v>
      </c>
      <c r="F81" s="22" t="str">
        <f t="shared" si="4"/>
        <v/>
      </c>
    </row>
    <row r="82" spans="1:6" x14ac:dyDescent="0.2">
      <c r="A82" s="20">
        <v>16</v>
      </c>
      <c r="B82" s="172" t="s">
        <v>14</v>
      </c>
      <c r="C82" s="173"/>
      <c r="D82" s="15">
        <f t="shared" si="5"/>
        <v>656649</v>
      </c>
      <c r="E82" s="18">
        <f>IF(F3="1",SUMIF(Data!A:A,$A$2,Data!EN:EN),0)</f>
        <v>2352776</v>
      </c>
      <c r="F82" s="22">
        <f t="shared" si="4"/>
        <v>3.58</v>
      </c>
    </row>
    <row r="83" spans="1:6" x14ac:dyDescent="0.2">
      <c r="A83" s="20">
        <v>17</v>
      </c>
      <c r="B83" s="172" t="s">
        <v>15</v>
      </c>
      <c r="C83" s="173"/>
      <c r="D83" s="15">
        <f t="shared" si="5"/>
        <v>47936</v>
      </c>
      <c r="E83" s="18">
        <f>IF(F3="1",SUMIF(Data!A:A,$A$2,Data!EO:EO),0)</f>
        <v>414215</v>
      </c>
      <c r="F83" s="22">
        <f t="shared" si="4"/>
        <v>8.64</v>
      </c>
    </row>
    <row r="84" spans="1:6" x14ac:dyDescent="0.2">
      <c r="A84" s="20">
        <v>18</v>
      </c>
      <c r="B84" s="172" t="s">
        <v>16</v>
      </c>
      <c r="C84" s="173"/>
      <c r="D84" s="15">
        <f t="shared" si="5"/>
        <v>267616</v>
      </c>
      <c r="E84" s="18">
        <f>IF(F3="1",SUMIF(Data!A:A,$A$2,Data!EP:EP),0)</f>
        <v>1167033</v>
      </c>
      <c r="F84" s="22">
        <f t="shared" si="4"/>
        <v>4.3600000000000003</v>
      </c>
    </row>
    <row r="85" spans="1:6" x14ac:dyDescent="0.2">
      <c r="A85" s="20">
        <v>19</v>
      </c>
      <c r="B85" s="172" t="s">
        <v>17</v>
      </c>
      <c r="C85" s="173"/>
      <c r="D85" s="15">
        <f t="shared" si="5"/>
        <v>2606552</v>
      </c>
      <c r="E85" s="18">
        <f>IF(F3="1",SUMIF(Data!A:A,$A$2,Data!EQ:EQ),0)</f>
        <v>9045562</v>
      </c>
      <c r="F85" s="22">
        <f t="shared" si="4"/>
        <v>3.47</v>
      </c>
    </row>
    <row r="86" spans="1:6" x14ac:dyDescent="0.2">
      <c r="A86" s="20">
        <v>20</v>
      </c>
      <c r="B86" s="172" t="s">
        <v>18</v>
      </c>
      <c r="C86" s="173"/>
      <c r="D86" s="15">
        <f t="shared" si="5"/>
        <v>283561</v>
      </c>
      <c r="E86" s="18">
        <f>IF(F3="1",SUMIF(Data!A:A,$A$2,Data!ER:ER),0)</f>
        <v>1014047</v>
      </c>
      <c r="F86" s="22">
        <f t="shared" si="4"/>
        <v>3.58</v>
      </c>
    </row>
    <row r="87" spans="1:6" x14ac:dyDescent="0.2">
      <c r="A87" s="20">
        <v>21</v>
      </c>
      <c r="B87" s="172" t="s">
        <v>466</v>
      </c>
      <c r="C87" s="173"/>
      <c r="D87" s="15">
        <f t="shared" si="5"/>
        <v>181310</v>
      </c>
      <c r="E87" s="18">
        <f>IF(F3="1",SUMIF(Data!A:A,$A$2,Data!ES:ES),0)</f>
        <v>875214</v>
      </c>
      <c r="F87" s="22">
        <f t="shared" si="4"/>
        <v>4.83</v>
      </c>
    </row>
    <row r="88" spans="1:6" x14ac:dyDescent="0.2">
      <c r="A88" s="20">
        <v>22</v>
      </c>
      <c r="B88" s="172" t="s">
        <v>19</v>
      </c>
      <c r="C88" s="173"/>
      <c r="D88" s="15">
        <f t="shared" si="5"/>
        <v>26326</v>
      </c>
      <c r="E88" s="18">
        <f>IF(F3="1",SUMIF(Data!A:A,$A$2,Data!ET:ET),0)</f>
        <v>7859</v>
      </c>
      <c r="F88" s="22">
        <f t="shared" si="4"/>
        <v>0.3</v>
      </c>
    </row>
    <row r="89" spans="1:6" x14ac:dyDescent="0.2">
      <c r="A89" s="20">
        <v>23</v>
      </c>
      <c r="B89" s="172" t="s">
        <v>20</v>
      </c>
      <c r="C89" s="173"/>
      <c r="D89" s="15">
        <f t="shared" si="5"/>
        <v>553824</v>
      </c>
      <c r="E89" s="18">
        <f>IF(F3="1",SUMIF(Data!A:A,$A$2,Data!EU:EU),0)</f>
        <v>2286452</v>
      </c>
      <c r="F89" s="22">
        <f t="shared" si="4"/>
        <v>4.13</v>
      </c>
    </row>
    <row r="90" spans="1:6" x14ac:dyDescent="0.2">
      <c r="A90" s="20">
        <v>24</v>
      </c>
      <c r="B90" s="172" t="s">
        <v>21</v>
      </c>
      <c r="C90" s="173"/>
      <c r="D90" s="15">
        <f t="shared" si="5"/>
        <v>475864</v>
      </c>
      <c r="E90" s="18">
        <f>IF(F3="1",SUMIF(Data!A:A,$A$2,Data!EV:EV),0)</f>
        <v>1465868</v>
      </c>
      <c r="F90" s="22">
        <f t="shared" si="4"/>
        <v>3.08</v>
      </c>
    </row>
    <row r="91" spans="1:6" x14ac:dyDescent="0.2">
      <c r="A91" s="20">
        <v>25</v>
      </c>
      <c r="B91" s="172" t="s">
        <v>22</v>
      </c>
      <c r="C91" s="173"/>
      <c r="D91" s="15">
        <f t="shared" si="5"/>
        <v>3414220</v>
      </c>
      <c r="E91" s="18">
        <f>IF(F3="1",SUMIF(Data!A:A,$A$2,Data!EW:EW),0)</f>
        <v>11198342</v>
      </c>
      <c r="F91" s="22">
        <f t="shared" si="4"/>
        <v>3.28</v>
      </c>
    </row>
    <row r="92" spans="1:6" x14ac:dyDescent="0.2">
      <c r="A92" s="20">
        <v>26</v>
      </c>
      <c r="B92" s="172" t="s">
        <v>23</v>
      </c>
      <c r="C92" s="173"/>
      <c r="D92" s="15">
        <f t="shared" si="5"/>
        <v>1013568</v>
      </c>
      <c r="E92" s="18">
        <f>IF(F3="1",SUMIF(Data!A:A,$A$2,Data!EX:EX),0)</f>
        <v>4320557</v>
      </c>
      <c r="F92" s="22">
        <f t="shared" si="4"/>
        <v>4.26</v>
      </c>
    </row>
    <row r="93" spans="1:6" x14ac:dyDescent="0.2">
      <c r="A93" s="20">
        <v>28</v>
      </c>
      <c r="B93" s="172" t="s">
        <v>24</v>
      </c>
      <c r="C93" s="173"/>
      <c r="D93" s="15">
        <f t="shared" si="5"/>
        <v>0</v>
      </c>
      <c r="E93" s="18">
        <f>IF(F3="1",SUMIF(Data!A:A,$A$2,Data!EZ:EZ),0)</f>
        <v>0</v>
      </c>
      <c r="F93" s="22" t="str">
        <f t="shared" si="4"/>
        <v/>
      </c>
    </row>
    <row r="94" spans="1:6" ht="15.75" customHeight="1" thickBot="1" x14ac:dyDescent="0.25">
      <c r="A94" s="23">
        <v>29</v>
      </c>
      <c r="B94" s="174" t="s">
        <v>25</v>
      </c>
      <c r="C94" s="175"/>
      <c r="D94" s="24">
        <f t="shared" si="5"/>
        <v>0</v>
      </c>
      <c r="E94" s="25">
        <f>IF(F3="1",SUMIF(Data!A:A,$A$2,Data!FA:FA),0)</f>
        <v>0</v>
      </c>
      <c r="F94" s="26" t="str">
        <f t="shared" si="4"/>
        <v/>
      </c>
    </row>
    <row r="95" spans="1:6" x14ac:dyDescent="0.2">
      <c r="C95" s="14" t="s">
        <v>35</v>
      </c>
      <c r="D95" s="64">
        <f>SUM(D67:D94)</f>
        <v>20282455</v>
      </c>
      <c r="E95" s="5">
        <f>SUM(E67:E94)</f>
        <v>74800985</v>
      </c>
      <c r="F95" s="33">
        <f t="shared" si="4"/>
        <v>3.69</v>
      </c>
    </row>
    <row r="96" spans="1:6" ht="15" thickBot="1" x14ac:dyDescent="0.25">
      <c r="F96" s="70"/>
    </row>
    <row r="97" spans="2:14" ht="29.25" customHeight="1" x14ac:dyDescent="0.2">
      <c r="B97" s="176" t="s">
        <v>473</v>
      </c>
      <c r="C97" s="177"/>
      <c r="D97" s="29" t="s">
        <v>27</v>
      </c>
      <c r="E97" s="34" t="s">
        <v>467</v>
      </c>
      <c r="F97" s="30" t="s">
        <v>468</v>
      </c>
      <c r="H97" s="74"/>
      <c r="I97" s="54"/>
      <c r="J97" s="74"/>
      <c r="K97" s="54"/>
      <c r="L97" s="74"/>
      <c r="M97" s="54"/>
      <c r="N97" s="74"/>
    </row>
    <row r="98" spans="2:14" x14ac:dyDescent="0.2">
      <c r="B98" s="178" t="s">
        <v>30</v>
      </c>
      <c r="C98" s="179"/>
      <c r="D98" s="36"/>
      <c r="E98" s="16">
        <f>IF(F3="1",SUMIF(Data!A:A,$A$2,Data!AH:AH),0)</f>
        <v>37767074</v>
      </c>
      <c r="F98" s="21">
        <f>IF($D$105=0,"",ROUND(E98/$D$105,2))</f>
        <v>1.86</v>
      </c>
      <c r="H98" s="74"/>
      <c r="I98" s="74"/>
      <c r="J98" s="74"/>
      <c r="K98" s="74"/>
      <c r="L98" s="54"/>
      <c r="M98" s="54"/>
      <c r="N98" s="54"/>
    </row>
    <row r="99" spans="2:14" x14ac:dyDescent="0.2">
      <c r="B99" s="178" t="s">
        <v>31</v>
      </c>
      <c r="C99" s="179"/>
      <c r="D99" s="37"/>
      <c r="E99" s="18">
        <f>IF(F3="1",SUMIF(Data!A:A,$A$2,Data!AI:AI),0)</f>
        <v>20351315</v>
      </c>
      <c r="F99" s="22">
        <f t="shared" ref="F99:F105" si="6">IF($D$105=0,"",ROUND(E99/$D$105,2))</f>
        <v>1</v>
      </c>
    </row>
    <row r="100" spans="2:14" x14ac:dyDescent="0.2">
      <c r="B100" s="178" t="s">
        <v>32</v>
      </c>
      <c r="C100" s="179"/>
      <c r="D100" s="37"/>
      <c r="E100" s="18">
        <f>IF(F3="1",SUMIF(Data!A:A,$A$2,Data!AJ:AJ),0)</f>
        <v>18587690</v>
      </c>
      <c r="F100" s="22">
        <f t="shared" si="6"/>
        <v>0.92</v>
      </c>
    </row>
    <row r="101" spans="2:14" x14ac:dyDescent="0.2">
      <c r="B101" s="178" t="s">
        <v>28</v>
      </c>
      <c r="C101" s="179"/>
      <c r="D101" s="37"/>
      <c r="E101" s="18">
        <f>IF(F3="1",SUMIF(Data!A:A,$A$2,Data!AK:AK),0)</f>
        <v>0</v>
      </c>
      <c r="F101" s="22">
        <f t="shared" si="6"/>
        <v>0</v>
      </c>
    </row>
    <row r="102" spans="2:14" x14ac:dyDescent="0.2">
      <c r="B102" s="178" t="s">
        <v>33</v>
      </c>
      <c r="C102" s="179"/>
      <c r="D102" s="37"/>
      <c r="E102" s="18">
        <f>IF(F3="1",SUMIF(Data!A:A,$A$2,Data!AL:AL),0)</f>
        <v>546574</v>
      </c>
      <c r="F102" s="22">
        <f t="shared" si="6"/>
        <v>0.03</v>
      </c>
    </row>
    <row r="103" spans="2:14" x14ac:dyDescent="0.2">
      <c r="B103" s="180" t="s">
        <v>34</v>
      </c>
      <c r="C103" s="181"/>
      <c r="D103" s="37"/>
      <c r="E103" s="18">
        <f>IF(F3="1",SUMIF(Data!A:A,$A$2,Data!AM:AM),0)</f>
        <v>3293903</v>
      </c>
      <c r="F103" s="22">
        <f t="shared" si="6"/>
        <v>0.16</v>
      </c>
    </row>
    <row r="104" spans="2:14" ht="15.75" customHeight="1" thickBot="1" x14ac:dyDescent="0.25">
      <c r="B104" s="170" t="s">
        <v>29</v>
      </c>
      <c r="C104" s="171"/>
      <c r="D104" s="38"/>
      <c r="E104" s="25">
        <f>IF(F3="1",SUMIF(Data!A:A,$A$2,Data!Q:Q),0)</f>
        <v>7312138</v>
      </c>
      <c r="F104" s="26">
        <f t="shared" si="6"/>
        <v>0.36</v>
      </c>
    </row>
    <row r="105" spans="2:14" x14ac:dyDescent="0.2">
      <c r="C105" s="14" t="s">
        <v>35</v>
      </c>
      <c r="D105" s="13">
        <f>D95</f>
        <v>20282455</v>
      </c>
      <c r="E105" s="5">
        <f>SUM(E98:E104)</f>
        <v>87858694</v>
      </c>
      <c r="F105" s="33">
        <f t="shared" si="6"/>
        <v>4.33</v>
      </c>
    </row>
    <row r="107" spans="2:14" ht="15" thickBot="1" x14ac:dyDescent="0.25">
      <c r="B107" s="12" t="s">
        <v>940</v>
      </c>
    </row>
    <row r="108" spans="2:14" ht="28.5" x14ac:dyDescent="0.2">
      <c r="B108" s="46" t="s">
        <v>934</v>
      </c>
      <c r="C108" s="28" t="s">
        <v>938</v>
      </c>
      <c r="D108" s="28" t="s">
        <v>29</v>
      </c>
      <c r="E108" s="28" t="s">
        <v>939</v>
      </c>
      <c r="F108" s="47" t="s">
        <v>35</v>
      </c>
    </row>
    <row r="109" spans="2:14" x14ac:dyDescent="0.2">
      <c r="B109" s="43" t="s">
        <v>935</v>
      </c>
      <c r="C109" s="16">
        <f>E95+IF(F3="1",SUMIF(Data!$A:$A,$A$2,Data!GF:GF),0)</f>
        <v>88839213</v>
      </c>
      <c r="D109" s="16">
        <f>IF(F3="1",SUMIF(Data!$A:$A,$A$2,Data!HJ:HJ),0)</f>
        <v>8378007</v>
      </c>
      <c r="E109" s="16">
        <f>IF(F3="1",SUMIF(Data!$A:$A,$A$2,Data!IN:IN),0)</f>
        <v>6163557</v>
      </c>
      <c r="F109" s="48">
        <f>SUM(C109:E109)</f>
        <v>103380777</v>
      </c>
    </row>
    <row r="110" spans="2:14" x14ac:dyDescent="0.2">
      <c r="B110" s="43" t="s">
        <v>28</v>
      </c>
      <c r="C110" s="51">
        <f>IF(F3="1",SUMIF(Data!A:A,$A$2,Data!W:W),0)</f>
        <v>0</v>
      </c>
      <c r="D110" s="52"/>
      <c r="E110" s="51">
        <f>IF(F3="1",SUMIF(Data!A:A,$A$2,Data!W:W),0)</f>
        <v>0</v>
      </c>
      <c r="F110" s="49">
        <f t="shared" ref="F110:F116" si="7">SUM(C110:E110)</f>
        <v>0</v>
      </c>
    </row>
    <row r="111" spans="2:14" x14ac:dyDescent="0.2">
      <c r="B111" s="43" t="s">
        <v>936</v>
      </c>
      <c r="C111" s="51">
        <f>IF(F3="1",SUMIF(Data!A:A,$A$2,Data!AS:AS),0)</f>
        <v>223310</v>
      </c>
      <c r="D111" s="52"/>
      <c r="E111" s="51">
        <f>IF(F3="1",SUMIF(Data!A:A,$A$2,Data!AX:AX),0)</f>
        <v>206173</v>
      </c>
      <c r="F111" s="49">
        <f t="shared" si="7"/>
        <v>429483</v>
      </c>
    </row>
    <row r="112" spans="2:14" x14ac:dyDescent="0.2">
      <c r="B112" s="43" t="s">
        <v>32</v>
      </c>
      <c r="C112" s="51">
        <f>IF(F3="1",SUMIF(Data!A:A,$A$2,Data!V:V),0)</f>
        <v>13259962</v>
      </c>
      <c r="D112" s="52"/>
      <c r="E112" s="51">
        <f>IF(F3="1",SUMIF(Data!A:A,$A$2,Data!AC:AC),0)</f>
        <v>5327728</v>
      </c>
      <c r="F112" s="49">
        <f t="shared" si="7"/>
        <v>18587690</v>
      </c>
    </row>
    <row r="113" spans="1:6" x14ac:dyDescent="0.2">
      <c r="B113" s="43" t="s">
        <v>31</v>
      </c>
      <c r="C113" s="51">
        <f>IF(F3="1",SUMIF(Data!A:A,$A$2,Data!U:U),0)</f>
        <v>16129130</v>
      </c>
      <c r="D113" s="52"/>
      <c r="E113" s="51">
        <f>IF(F3="1",SUMIF(Data!A:A,$A$2,Data!AB:AB),0)</f>
        <v>4222185</v>
      </c>
      <c r="F113" s="49">
        <f t="shared" si="7"/>
        <v>20351315</v>
      </c>
    </row>
    <row r="114" spans="1:6" x14ac:dyDescent="0.2">
      <c r="B114" s="43" t="s">
        <v>1021</v>
      </c>
      <c r="C114" s="51">
        <f>IF(F3="1",SUMIF(Data!A:A,$A$2,Data!T:T),0)</f>
        <v>21810752</v>
      </c>
      <c r="D114" s="52"/>
      <c r="E114" s="51">
        <f>IF(F3="1",SUMIF(Data!A:A,$A$2,Data!AA:AA),0)</f>
        <v>15956322</v>
      </c>
      <c r="F114" s="49">
        <f t="shared" si="7"/>
        <v>37767074</v>
      </c>
    </row>
    <row r="115" spans="1:6" x14ac:dyDescent="0.2">
      <c r="B115" s="43" t="s">
        <v>937</v>
      </c>
      <c r="C115" s="51">
        <f>IF(F3="1",SUMIF(Data!A:A,$A$2,Data!BI:BI),0)</f>
        <v>7958726</v>
      </c>
      <c r="D115" s="51">
        <f>IF(F3="1",SUMIF(Data!A:A,$A$2,Data!BL:BL),0)</f>
        <v>2727171</v>
      </c>
      <c r="E115" s="51">
        <f>IF(F3="1",SUMIF(Data!A:A,$A$2,Data!BU:BU),0)</f>
        <v>9694670</v>
      </c>
      <c r="F115" s="49">
        <f t="shared" si="7"/>
        <v>20380567</v>
      </c>
    </row>
    <row r="116" spans="1:6" x14ac:dyDescent="0.2">
      <c r="B116" s="43" t="s">
        <v>33</v>
      </c>
      <c r="C116" s="51">
        <f>IF(F3="1",SUMIF(Data!A:A,$A$2,Data!X:X),0)</f>
        <v>0</v>
      </c>
      <c r="D116" s="51"/>
      <c r="E116" s="51">
        <f>E102</f>
        <v>546574</v>
      </c>
      <c r="F116" s="49">
        <f t="shared" si="7"/>
        <v>546574</v>
      </c>
    </row>
    <row r="117" spans="1:6" ht="15" thickBot="1" x14ac:dyDescent="0.25">
      <c r="B117" s="44" t="s">
        <v>941</v>
      </c>
      <c r="C117" s="53"/>
      <c r="D117" s="53">
        <f>IF(F3="1",SUMIF(Data!A:A,$A$2,Data!Q:Q),0)</f>
        <v>7312138</v>
      </c>
      <c r="E117" s="53"/>
      <c r="F117" s="50">
        <f>SUM(C117:E117)</f>
        <v>7312138</v>
      </c>
    </row>
    <row r="118" spans="1:6" x14ac:dyDescent="0.2">
      <c r="B118" s="14" t="s">
        <v>35</v>
      </c>
      <c r="C118" s="5">
        <f>SUM(C109:C116)</f>
        <v>148221093</v>
      </c>
      <c r="D118" s="5">
        <f>SUM(D109:D116)</f>
        <v>11105178</v>
      </c>
      <c r="E118" s="5">
        <f>SUM(E109:E116)</f>
        <v>42117209</v>
      </c>
      <c r="F118" s="5">
        <f>SUM(F109:F116)</f>
        <v>201443480</v>
      </c>
    </row>
    <row r="119" spans="1:6" ht="15" thickBot="1" x14ac:dyDescent="0.25"/>
    <row r="120" spans="1:6" ht="15" thickBot="1" x14ac:dyDescent="0.25">
      <c r="B120" s="57" t="s">
        <v>942</v>
      </c>
      <c r="C120" s="55"/>
      <c r="D120" s="55"/>
      <c r="E120" s="55">
        <f>IF(F3="1",SUMIF(Data!A:A,$A$2,Data!AM:AM),0)</f>
        <v>3293903</v>
      </c>
      <c r="F120" s="56">
        <f>SUM(C120:E120)</f>
        <v>3293903</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350</v>
      </c>
      <c r="B2" s="60" t="str">
        <f>VLOOKUP(A2,Data!A:G,7,0)</f>
        <v>Alvin Community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39312</v>
      </c>
      <c r="E5" s="16">
        <f>E36+E67+IFERROR($E$105/$D$105*D5,0)</f>
        <v>209379.57466960503</v>
      </c>
      <c r="F5" s="21">
        <f>IF(OR(D5=0,E5=0),"",ROUND(E5/D5,2))</f>
        <v>5.33</v>
      </c>
    </row>
    <row r="6" spans="1:6" x14ac:dyDescent="0.2">
      <c r="A6" s="20">
        <v>2</v>
      </c>
      <c r="B6" s="172" t="s">
        <v>1</v>
      </c>
      <c r="C6" s="173"/>
      <c r="D6" s="15">
        <f t="shared" ref="D6:D32" si="0">D37</f>
        <v>21728</v>
      </c>
      <c r="E6" s="18">
        <f t="shared" ref="E6:E32" si="1">E37+E68+IFERROR($E$105/$D$105*D6,0)</f>
        <v>207046.84753818627</v>
      </c>
      <c r="F6" s="22">
        <f t="shared" ref="F6:F33" si="2">IF(OR(D6=0,E6=0),"",ROUND(E6/D6,2))</f>
        <v>9.5299999999999994</v>
      </c>
    </row>
    <row r="7" spans="1:6" ht="14.25" customHeight="1" x14ac:dyDescent="0.2">
      <c r="A7" s="20">
        <v>3</v>
      </c>
      <c r="B7" s="172" t="s">
        <v>2</v>
      </c>
      <c r="C7" s="173"/>
      <c r="D7" s="15">
        <f t="shared" si="0"/>
        <v>254728</v>
      </c>
      <c r="E7" s="18">
        <f t="shared" si="1"/>
        <v>1543791.8897140608</v>
      </c>
      <c r="F7" s="22">
        <f t="shared" si="2"/>
        <v>6.06</v>
      </c>
    </row>
    <row r="8" spans="1:6" ht="14.25" customHeight="1" x14ac:dyDescent="0.2">
      <c r="A8" s="20">
        <v>4</v>
      </c>
      <c r="B8" s="172" t="s">
        <v>3</v>
      </c>
      <c r="C8" s="173"/>
      <c r="D8" s="15">
        <f t="shared" si="0"/>
        <v>280555</v>
      </c>
      <c r="E8" s="18">
        <f t="shared" si="1"/>
        <v>2681771.5163418557</v>
      </c>
      <c r="F8" s="22">
        <f t="shared" si="2"/>
        <v>9.56</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56986</v>
      </c>
      <c r="E10" s="18">
        <f t="shared" si="1"/>
        <v>506875.98443534068</v>
      </c>
      <c r="F10" s="22">
        <f t="shared" si="2"/>
        <v>8.89</v>
      </c>
    </row>
    <row r="11" spans="1:6" x14ac:dyDescent="0.2">
      <c r="A11" s="20">
        <v>7</v>
      </c>
      <c r="B11" s="172" t="s">
        <v>6</v>
      </c>
      <c r="C11" s="173"/>
      <c r="D11" s="15">
        <f t="shared" si="0"/>
        <v>157836</v>
      </c>
      <c r="E11" s="18">
        <f t="shared" si="1"/>
        <v>1691456.0252226237</v>
      </c>
      <c r="F11" s="22">
        <f t="shared" si="2"/>
        <v>10.72</v>
      </c>
    </row>
    <row r="12" spans="1:6" x14ac:dyDescent="0.2">
      <c r="A12" s="20">
        <v>8</v>
      </c>
      <c r="B12" s="172" t="s">
        <v>7</v>
      </c>
      <c r="C12" s="173"/>
      <c r="D12" s="15">
        <f t="shared" si="0"/>
        <v>3072</v>
      </c>
      <c r="E12" s="18">
        <f t="shared" si="1"/>
        <v>45336.367251348871</v>
      </c>
      <c r="F12" s="22">
        <f t="shared" si="2"/>
        <v>14.76</v>
      </c>
    </row>
    <row r="13" spans="1:6" x14ac:dyDescent="0.2">
      <c r="A13" s="20">
        <v>9</v>
      </c>
      <c r="B13" s="172" t="s">
        <v>8</v>
      </c>
      <c r="C13" s="173"/>
      <c r="D13" s="15">
        <f t="shared" si="0"/>
        <v>68504</v>
      </c>
      <c r="E13" s="18">
        <f t="shared" si="1"/>
        <v>536339.50201380299</v>
      </c>
      <c r="F13" s="22">
        <f t="shared" si="2"/>
        <v>7.83</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110494</v>
      </c>
      <c r="E15" s="18">
        <f t="shared" si="1"/>
        <v>837939.09995785868</v>
      </c>
      <c r="F15" s="22">
        <f t="shared" si="2"/>
        <v>7.58</v>
      </c>
    </row>
    <row r="16" spans="1:6" ht="14.25" customHeight="1" x14ac:dyDescent="0.2">
      <c r="A16" s="20">
        <v>12</v>
      </c>
      <c r="B16" s="172" t="s">
        <v>11</v>
      </c>
      <c r="C16" s="173"/>
      <c r="D16" s="15">
        <f t="shared" si="0"/>
        <v>222416</v>
      </c>
      <c r="E16" s="18">
        <f t="shared" si="1"/>
        <v>1711536.9643802117</v>
      </c>
      <c r="F16" s="22">
        <f t="shared" si="2"/>
        <v>7.7</v>
      </c>
    </row>
    <row r="17" spans="1:6" x14ac:dyDescent="0.2">
      <c r="A17" s="20">
        <v>13</v>
      </c>
      <c r="B17" s="172" t="s">
        <v>12</v>
      </c>
      <c r="C17" s="173"/>
      <c r="D17" s="15">
        <f t="shared" si="0"/>
        <v>26984</v>
      </c>
      <c r="E17" s="18">
        <f t="shared" si="1"/>
        <v>234753.91338229098</v>
      </c>
      <c r="F17" s="22">
        <f t="shared" si="2"/>
        <v>8.6999999999999993</v>
      </c>
    </row>
    <row r="18" spans="1:6" ht="14.25" customHeight="1" x14ac:dyDescent="0.2">
      <c r="A18" s="20">
        <v>14</v>
      </c>
      <c r="B18" s="172" t="s">
        <v>469</v>
      </c>
      <c r="C18" s="173"/>
      <c r="D18" s="15">
        <f t="shared" si="0"/>
        <v>99852</v>
      </c>
      <c r="E18" s="18">
        <f t="shared" si="1"/>
        <v>1070102.0933534137</v>
      </c>
      <c r="F18" s="22">
        <f t="shared" si="2"/>
        <v>10.72</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129249</v>
      </c>
      <c r="E20" s="18">
        <f t="shared" si="1"/>
        <v>1362606.1311424447</v>
      </c>
      <c r="F20" s="22">
        <f t="shared" si="2"/>
        <v>10.54</v>
      </c>
    </row>
    <row r="21" spans="1:6" x14ac:dyDescent="0.2">
      <c r="A21" s="20">
        <v>17</v>
      </c>
      <c r="B21" s="172" t="s">
        <v>15</v>
      </c>
      <c r="C21" s="173"/>
      <c r="D21" s="15">
        <f t="shared" si="0"/>
        <v>41584</v>
      </c>
      <c r="E21" s="18">
        <f t="shared" si="1"/>
        <v>514475.0962825818</v>
      </c>
      <c r="F21" s="22">
        <f t="shared" si="2"/>
        <v>12.37</v>
      </c>
    </row>
    <row r="22" spans="1:6" x14ac:dyDescent="0.2">
      <c r="A22" s="20">
        <v>18</v>
      </c>
      <c r="B22" s="172" t="s">
        <v>16</v>
      </c>
      <c r="C22" s="173"/>
      <c r="D22" s="15">
        <f t="shared" si="0"/>
        <v>52720</v>
      </c>
      <c r="E22" s="18">
        <f t="shared" si="1"/>
        <v>530276.42756872147</v>
      </c>
      <c r="F22" s="22">
        <f t="shared" si="2"/>
        <v>10.06</v>
      </c>
    </row>
    <row r="23" spans="1:6" x14ac:dyDescent="0.2">
      <c r="A23" s="20">
        <v>19</v>
      </c>
      <c r="B23" s="172" t="s">
        <v>17</v>
      </c>
      <c r="C23" s="173"/>
      <c r="D23" s="15">
        <f t="shared" si="0"/>
        <v>201588</v>
      </c>
      <c r="E23" s="18">
        <f t="shared" si="1"/>
        <v>1458982.9431851939</v>
      </c>
      <c r="F23" s="22">
        <f t="shared" si="2"/>
        <v>7.24</v>
      </c>
    </row>
    <row r="24" spans="1:6" x14ac:dyDescent="0.2">
      <c r="A24" s="20">
        <v>20</v>
      </c>
      <c r="B24" s="172" t="s">
        <v>18</v>
      </c>
      <c r="C24" s="173"/>
      <c r="D24" s="15">
        <f t="shared" si="0"/>
        <v>35576</v>
      </c>
      <c r="E24" s="18">
        <f t="shared" si="1"/>
        <v>270790.8155384073</v>
      </c>
      <c r="F24" s="22">
        <f t="shared" si="2"/>
        <v>7.61</v>
      </c>
    </row>
    <row r="25" spans="1:6" ht="14.25" customHeight="1" x14ac:dyDescent="0.2">
      <c r="A25" s="20">
        <v>21</v>
      </c>
      <c r="B25" s="172" t="s">
        <v>466</v>
      </c>
      <c r="C25" s="173"/>
      <c r="D25" s="15">
        <f t="shared" si="0"/>
        <v>232</v>
      </c>
      <c r="E25" s="18">
        <f t="shared" si="1"/>
        <v>4170.7152351279092</v>
      </c>
      <c r="F25" s="22">
        <f t="shared" si="2"/>
        <v>17.98</v>
      </c>
    </row>
    <row r="26" spans="1:6" x14ac:dyDescent="0.2">
      <c r="A26" s="20">
        <v>22</v>
      </c>
      <c r="B26" s="172" t="s">
        <v>19</v>
      </c>
      <c r="C26" s="173"/>
      <c r="D26" s="15">
        <f t="shared" si="0"/>
        <v>27832</v>
      </c>
      <c r="E26" s="18">
        <f t="shared" si="1"/>
        <v>349431.38975896541</v>
      </c>
      <c r="F26" s="22">
        <f t="shared" si="2"/>
        <v>12.56</v>
      </c>
    </row>
    <row r="27" spans="1:6" x14ac:dyDescent="0.2">
      <c r="A27" s="20">
        <v>23</v>
      </c>
      <c r="B27" s="172" t="s">
        <v>20</v>
      </c>
      <c r="C27" s="173"/>
      <c r="D27" s="15">
        <f t="shared" si="0"/>
        <v>63936</v>
      </c>
      <c r="E27" s="18">
        <f t="shared" si="1"/>
        <v>649344.14341869834</v>
      </c>
      <c r="F27" s="22">
        <f t="shared" si="2"/>
        <v>10.16</v>
      </c>
    </row>
    <row r="28" spans="1:6" x14ac:dyDescent="0.2">
      <c r="A28" s="20">
        <v>24</v>
      </c>
      <c r="B28" s="172" t="s">
        <v>21</v>
      </c>
      <c r="C28" s="173"/>
      <c r="D28" s="15">
        <f t="shared" si="0"/>
        <v>78032</v>
      </c>
      <c r="E28" s="18">
        <f t="shared" si="1"/>
        <v>592859.70356681477</v>
      </c>
      <c r="F28" s="22">
        <f t="shared" si="2"/>
        <v>7.6</v>
      </c>
    </row>
    <row r="29" spans="1:6" x14ac:dyDescent="0.2">
      <c r="A29" s="20">
        <v>25</v>
      </c>
      <c r="B29" s="172" t="s">
        <v>22</v>
      </c>
      <c r="C29" s="173"/>
      <c r="D29" s="15">
        <f t="shared" si="0"/>
        <v>242304</v>
      </c>
      <c r="E29" s="18">
        <f t="shared" si="1"/>
        <v>1812899.9669501418</v>
      </c>
      <c r="F29" s="22">
        <f t="shared" si="2"/>
        <v>7.48</v>
      </c>
    </row>
    <row r="30" spans="1:6" x14ac:dyDescent="0.2">
      <c r="A30" s="20">
        <v>26</v>
      </c>
      <c r="B30" s="172" t="s">
        <v>23</v>
      </c>
      <c r="C30" s="173"/>
      <c r="D30" s="15">
        <f t="shared" si="0"/>
        <v>100496</v>
      </c>
      <c r="E30" s="18">
        <f t="shared" si="1"/>
        <v>1287594.8890923033</v>
      </c>
      <c r="F30" s="22">
        <f t="shared" si="2"/>
        <v>12.81</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2316016</v>
      </c>
      <c r="E33" s="32">
        <f>SUM(E5:E32)</f>
        <v>20109761.999999996</v>
      </c>
      <c r="F33" s="33">
        <f t="shared" si="2"/>
        <v>8.68</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IF(F3="1",SUMIF(Data!A:A,'2'!$A$2,Data!CU:CU),0)</f>
        <v>39312</v>
      </c>
      <c r="E36" s="16">
        <f>IF(F3="1",SUMIF(Data!$A:$A,'2'!$A$2,Data!IO:IO),0)</f>
        <v>7191</v>
      </c>
      <c r="F36" s="21">
        <f>IF(D36=0,"",ROUND(E36/D36,2))</f>
        <v>0.18</v>
      </c>
    </row>
    <row r="37" spans="1:6" x14ac:dyDescent="0.2">
      <c r="A37" s="20">
        <v>2</v>
      </c>
      <c r="B37" s="172" t="s">
        <v>1</v>
      </c>
      <c r="C37" s="173"/>
      <c r="D37" s="15">
        <f>IF(F3="1",SUMIF(Data!A:A,'2'!$A$2,Data!CV:CV),0)</f>
        <v>21728</v>
      </c>
      <c r="E37" s="18">
        <f>IF(F3="1",SUMIF(Data!$A:$A,'2'!$A$2,Data!IP:IP),0)</f>
        <v>41085</v>
      </c>
      <c r="F37" s="22">
        <f t="shared" ref="F37:F64" si="3">IF(D37=0,"",ROUND(E37/D37,2))</f>
        <v>1.89</v>
      </c>
    </row>
    <row r="38" spans="1:6" ht="14.25" customHeight="1" x14ac:dyDescent="0.2">
      <c r="A38" s="20">
        <v>3</v>
      </c>
      <c r="B38" s="172" t="s">
        <v>2</v>
      </c>
      <c r="C38" s="173"/>
      <c r="D38" s="15">
        <f>IF(F3="1",SUMIF(Data!A:A,'2'!$A$2,Data!CW:CW),0)</f>
        <v>254728</v>
      </c>
      <c r="E38" s="18">
        <f>IF(F3="1",SUMIF(Data!$A:$A,'2'!$A$2,Data!IQ:IQ),0)</f>
        <v>61545</v>
      </c>
      <c r="F38" s="22">
        <f t="shared" si="3"/>
        <v>0.24</v>
      </c>
    </row>
    <row r="39" spans="1:6" ht="14.25" customHeight="1" x14ac:dyDescent="0.2">
      <c r="A39" s="20">
        <v>4</v>
      </c>
      <c r="B39" s="172" t="s">
        <v>3</v>
      </c>
      <c r="C39" s="173"/>
      <c r="D39" s="15">
        <f>IF(F3="1",SUMIF(Data!A:A,'2'!$A$2,Data!CX:CX),0)</f>
        <v>280555</v>
      </c>
      <c r="E39" s="18">
        <f>IF(F3="1",SUMIF(Data!$A:$A,'2'!$A$2,Data!IR:IR),0)</f>
        <v>459222</v>
      </c>
      <c r="F39" s="22">
        <f t="shared" si="3"/>
        <v>1.64</v>
      </c>
    </row>
    <row r="40" spans="1:6" x14ac:dyDescent="0.2">
      <c r="A40" s="20">
        <v>5</v>
      </c>
      <c r="B40" s="172" t="s">
        <v>4</v>
      </c>
      <c r="C40" s="173"/>
      <c r="D40" s="15">
        <f>IF(F3="1",SUMIF(Data!A:A,'2'!$A$2,Data!CY:CY),0)</f>
        <v>0</v>
      </c>
      <c r="E40" s="18">
        <f>IF(F3="1",SUMIF(Data!$A:$A,'2'!$A$2,Data!IS:IS),0)</f>
        <v>0</v>
      </c>
      <c r="F40" s="22" t="str">
        <f t="shared" si="3"/>
        <v/>
      </c>
    </row>
    <row r="41" spans="1:6" x14ac:dyDescent="0.2">
      <c r="A41" s="20">
        <v>6</v>
      </c>
      <c r="B41" s="172" t="s">
        <v>5</v>
      </c>
      <c r="C41" s="173"/>
      <c r="D41" s="15">
        <f>IF(F3="1",SUMIF(Data!A:A,'2'!$A$2,Data!CZ:CZ),0)</f>
        <v>56986</v>
      </c>
      <c r="E41" s="18">
        <f>IF(F3="1",SUMIF(Data!$A:$A,'2'!$A$2,Data!IT:IT),0)</f>
        <v>83660</v>
      </c>
      <c r="F41" s="22">
        <f t="shared" si="3"/>
        <v>1.47</v>
      </c>
    </row>
    <row r="42" spans="1:6" x14ac:dyDescent="0.2">
      <c r="A42" s="20">
        <v>7</v>
      </c>
      <c r="B42" s="172" t="s">
        <v>6</v>
      </c>
      <c r="C42" s="173"/>
      <c r="D42" s="15">
        <f>IF(F3="1",SUMIF(Data!A:A,'2'!$A$2,Data!DA:DA),0)</f>
        <v>157836</v>
      </c>
      <c r="E42" s="18">
        <f>IF(F3="1",SUMIF(Data!$A:$A,'2'!$A$2,Data!IU:IU),0)</f>
        <v>353986</v>
      </c>
      <c r="F42" s="22">
        <f t="shared" si="3"/>
        <v>2.2400000000000002</v>
      </c>
    </row>
    <row r="43" spans="1:6" x14ac:dyDescent="0.2">
      <c r="A43" s="20">
        <v>8</v>
      </c>
      <c r="B43" s="172" t="s">
        <v>7</v>
      </c>
      <c r="C43" s="173"/>
      <c r="D43" s="15">
        <f>IF(F3="1",SUMIF(Data!A:A,'2'!$A$2,Data!DB:DB),0)</f>
        <v>3072</v>
      </c>
      <c r="E43" s="18">
        <f>IF(F3="1",SUMIF(Data!$A:$A,'2'!$A$2,Data!IV:IV),0)</f>
        <v>1834</v>
      </c>
      <c r="F43" s="22">
        <f t="shared" si="3"/>
        <v>0.6</v>
      </c>
    </row>
    <row r="44" spans="1:6" x14ac:dyDescent="0.2">
      <c r="A44" s="20">
        <v>9</v>
      </c>
      <c r="B44" s="172" t="s">
        <v>8</v>
      </c>
      <c r="C44" s="173"/>
      <c r="D44" s="15">
        <f>IF(F3="1",SUMIF(Data!A:A,'2'!$A$2,Data!DC:DC),0)</f>
        <v>68504</v>
      </c>
      <c r="E44" s="18">
        <f>IF(F3="1",SUMIF(Data!$A:$A,'2'!$A$2,Data!IW:IW),0)</f>
        <v>29094</v>
      </c>
      <c r="F44" s="22">
        <f t="shared" si="3"/>
        <v>0.42</v>
      </c>
    </row>
    <row r="45" spans="1:6" x14ac:dyDescent="0.2">
      <c r="A45" s="20">
        <v>10</v>
      </c>
      <c r="B45" s="172" t="s">
        <v>9</v>
      </c>
      <c r="C45" s="173"/>
      <c r="D45" s="15">
        <f>IF(F3="1",SUMIF(Data!A:A,'2'!$A$2,Data!DD:DD),0)</f>
        <v>0</v>
      </c>
      <c r="E45" s="18">
        <f>IF(F3="1",SUMIF(Data!$A:$A,'2'!$A$2,Data!IX:IX),0)</f>
        <v>0</v>
      </c>
      <c r="F45" s="22" t="str">
        <f t="shared" si="3"/>
        <v/>
      </c>
    </row>
    <row r="46" spans="1:6" x14ac:dyDescent="0.2">
      <c r="A46" s="20">
        <v>11</v>
      </c>
      <c r="B46" s="172" t="s">
        <v>10</v>
      </c>
      <c r="C46" s="173"/>
      <c r="D46" s="15">
        <f>IF(F3="1",SUMIF(Data!A:A,'2'!$A$2,Data!DE:DE),0)</f>
        <v>110494</v>
      </c>
      <c r="E46" s="18">
        <f>IF(F3="1",SUMIF(Data!$A:$A,'2'!$A$2,Data!IY:IY),0)</f>
        <v>103688</v>
      </c>
      <c r="F46" s="22">
        <f t="shared" si="3"/>
        <v>0.94</v>
      </c>
    </row>
    <row r="47" spans="1:6" ht="14.25" customHeight="1" x14ac:dyDescent="0.2">
      <c r="A47" s="20">
        <v>12</v>
      </c>
      <c r="B47" s="172" t="s">
        <v>11</v>
      </c>
      <c r="C47" s="173"/>
      <c r="D47" s="15">
        <f>IF(F3="1",SUMIF(Data!A:A,'2'!$A$2,Data!DF:DF),0)</f>
        <v>222416</v>
      </c>
      <c r="E47" s="18">
        <f>IF(F3="1",SUMIF(Data!$A:$A,'2'!$A$2,Data!IZ:IZ),0)</f>
        <v>63247</v>
      </c>
      <c r="F47" s="22">
        <f t="shared" si="3"/>
        <v>0.28000000000000003</v>
      </c>
    </row>
    <row r="48" spans="1:6" x14ac:dyDescent="0.2">
      <c r="A48" s="20">
        <v>13</v>
      </c>
      <c r="B48" s="172" t="s">
        <v>12</v>
      </c>
      <c r="C48" s="173"/>
      <c r="D48" s="15">
        <f>IF(F3="1",SUMIF(Data!A:A,'2'!$A$2,Data!DG:DG),0)</f>
        <v>26984</v>
      </c>
      <c r="E48" s="18">
        <f>IF(F3="1",SUMIF(Data!$A:$A,'2'!$A$2,Data!JA:JA),0)</f>
        <v>29691</v>
      </c>
      <c r="F48" s="22">
        <f t="shared" si="3"/>
        <v>1.1000000000000001</v>
      </c>
    </row>
    <row r="49" spans="1:6" ht="14.25" customHeight="1" x14ac:dyDescent="0.2">
      <c r="A49" s="20">
        <v>14</v>
      </c>
      <c r="B49" s="172" t="s">
        <v>469</v>
      </c>
      <c r="C49" s="173"/>
      <c r="D49" s="15">
        <f>IF(F3="1",SUMIF(Data!A:A,'2'!$A$2,Data!DH:DH),0)</f>
        <v>99852</v>
      </c>
      <c r="E49" s="18">
        <f>IF(F3="1",SUMIF(Data!$A:$A,'2'!$A$2,Data!JB:JB),0)</f>
        <v>62067</v>
      </c>
      <c r="F49" s="22">
        <f t="shared" si="3"/>
        <v>0.62</v>
      </c>
    </row>
    <row r="50" spans="1:6" x14ac:dyDescent="0.2">
      <c r="A50" s="20">
        <v>15</v>
      </c>
      <c r="B50" s="172" t="s">
        <v>13</v>
      </c>
      <c r="C50" s="173"/>
      <c r="D50" s="15">
        <f>IF(F3="1",SUMIF(Data!A:A,'2'!$A$2,Data!DI:DI),0)</f>
        <v>0</v>
      </c>
      <c r="E50" s="18">
        <f>IF(F3="1",SUMIF(Data!$A:$A,'2'!$A$2,Data!JC:JC),0)</f>
        <v>0</v>
      </c>
      <c r="F50" s="22" t="str">
        <f t="shared" si="3"/>
        <v/>
      </c>
    </row>
    <row r="51" spans="1:6" x14ac:dyDescent="0.2">
      <c r="A51" s="20">
        <v>16</v>
      </c>
      <c r="B51" s="172" t="s">
        <v>14</v>
      </c>
      <c r="C51" s="173"/>
      <c r="D51" s="15">
        <f>IF(F3="1",SUMIF(Data!A:A,'2'!$A$2,Data!DJ:DJ),0)</f>
        <v>129249</v>
      </c>
      <c r="E51" s="18">
        <f>IF(F3="1",SUMIF(Data!$A:$A,'2'!$A$2,Data!JD:JD),0)</f>
        <v>128035</v>
      </c>
      <c r="F51" s="22">
        <f t="shared" si="3"/>
        <v>0.99</v>
      </c>
    </row>
    <row r="52" spans="1:6" x14ac:dyDescent="0.2">
      <c r="A52" s="20">
        <v>17</v>
      </c>
      <c r="B52" s="172" t="s">
        <v>15</v>
      </c>
      <c r="C52" s="173"/>
      <c r="D52" s="15">
        <f>IF(F3="1",SUMIF(Data!A:A,'2'!$A$2,Data!DK:DK),0)</f>
        <v>41584</v>
      </c>
      <c r="E52" s="18">
        <f>IF(F3="1",SUMIF(Data!$A:$A,'2'!$A$2,Data!JE:JE),0)</f>
        <v>44424</v>
      </c>
      <c r="F52" s="22">
        <f t="shared" si="3"/>
        <v>1.07</v>
      </c>
    </row>
    <row r="53" spans="1:6" x14ac:dyDescent="0.2">
      <c r="A53" s="20">
        <v>18</v>
      </c>
      <c r="B53" s="172" t="s">
        <v>16</v>
      </c>
      <c r="C53" s="173"/>
      <c r="D53" s="15">
        <f>IF(F3="1",SUMIF(Data!A:A,'2'!$A$2,Data!DL:DL),0)</f>
        <v>52720</v>
      </c>
      <c r="E53" s="18">
        <f>IF(F3="1",SUMIF(Data!$A:$A,'2'!$A$2,Data!JF:JF),0)</f>
        <v>40121</v>
      </c>
      <c r="F53" s="22">
        <f t="shared" si="3"/>
        <v>0.76</v>
      </c>
    </row>
    <row r="54" spans="1:6" x14ac:dyDescent="0.2">
      <c r="A54" s="20">
        <v>19</v>
      </c>
      <c r="B54" s="172" t="s">
        <v>17</v>
      </c>
      <c r="C54" s="173"/>
      <c r="D54" s="15">
        <f>IF(F3="1",SUMIF(Data!A:A,'2'!$A$2,Data!DM:DM),0)</f>
        <v>201588</v>
      </c>
      <c r="E54" s="18">
        <f>IF(F3="1",SUMIF(Data!$A:$A,'2'!$A$2,Data!JG:JG),0)</f>
        <v>47465</v>
      </c>
      <c r="F54" s="22">
        <f t="shared" si="3"/>
        <v>0.24</v>
      </c>
    </row>
    <row r="55" spans="1:6" x14ac:dyDescent="0.2">
      <c r="A55" s="20">
        <v>20</v>
      </c>
      <c r="B55" s="172" t="s">
        <v>18</v>
      </c>
      <c r="C55" s="173"/>
      <c r="D55" s="15">
        <f>IF(F3="1",SUMIF(Data!A:A,'2'!$A$2,Data!DN:DN),0)</f>
        <v>35576</v>
      </c>
      <c r="E55" s="18">
        <f>IF(F3="1",SUMIF(Data!$A:$A,'2'!$A$2,Data!JH:JH),0)</f>
        <v>89048</v>
      </c>
      <c r="F55" s="22">
        <f t="shared" si="3"/>
        <v>2.5</v>
      </c>
    </row>
    <row r="56" spans="1:6" ht="14.25" customHeight="1" x14ac:dyDescent="0.2">
      <c r="A56" s="20">
        <v>21</v>
      </c>
      <c r="B56" s="172" t="s">
        <v>466</v>
      </c>
      <c r="C56" s="173"/>
      <c r="D56" s="15">
        <f>IF(F3="1",SUMIF(Data!A:A,'2'!$A$2,Data!DO:DO),0)</f>
        <v>232</v>
      </c>
      <c r="E56" s="18">
        <f>IF(F3="1",SUMIF(Data!$A:$A,'2'!$A$2,Data!JI:JI),0)</f>
        <v>710</v>
      </c>
      <c r="F56" s="22">
        <f t="shared" si="3"/>
        <v>3.06</v>
      </c>
    </row>
    <row r="57" spans="1:6" x14ac:dyDescent="0.2">
      <c r="A57" s="20">
        <v>22</v>
      </c>
      <c r="B57" s="172" t="s">
        <v>19</v>
      </c>
      <c r="C57" s="173"/>
      <c r="D57" s="15">
        <f>IF(F3="1",SUMIF(Data!A:A,'2'!$A$2,Data!DP:DP),0)</f>
        <v>27832</v>
      </c>
      <c r="E57" s="18">
        <f>IF(F3="1",SUMIF(Data!$A:$A,'2'!$A$2,Data!JJ:JJ),0)</f>
        <v>57194</v>
      </c>
      <c r="F57" s="22">
        <f t="shared" si="3"/>
        <v>2.0499999999999998</v>
      </c>
    </row>
    <row r="58" spans="1:6" x14ac:dyDescent="0.2">
      <c r="A58" s="20">
        <v>23</v>
      </c>
      <c r="B58" s="172" t="s">
        <v>20</v>
      </c>
      <c r="C58" s="173"/>
      <c r="D58" s="15">
        <f>IF(F3="1",SUMIF(Data!A:A,'2'!$A$2,Data!DQ:DQ),0)</f>
        <v>63936</v>
      </c>
      <c r="E58" s="18">
        <f>IF(F3="1",SUMIF(Data!$A:$A,'2'!$A$2,Data!JK:JK),0)</f>
        <v>49016</v>
      </c>
      <c r="F58" s="22">
        <f t="shared" si="3"/>
        <v>0.77</v>
      </c>
    </row>
    <row r="59" spans="1:6" x14ac:dyDescent="0.2">
      <c r="A59" s="20">
        <v>24</v>
      </c>
      <c r="B59" s="172" t="s">
        <v>21</v>
      </c>
      <c r="C59" s="173"/>
      <c r="D59" s="15">
        <f>IF(F3="1",SUMIF(Data!A:A,'2'!$A$2,Data!DR:DR),0)</f>
        <v>78032</v>
      </c>
      <c r="E59" s="18">
        <f>IF(F3="1",SUMIF(Data!$A:$A,'2'!$A$2,Data!JL:JL),0)</f>
        <v>65596</v>
      </c>
      <c r="F59" s="22">
        <f t="shared" si="3"/>
        <v>0.84</v>
      </c>
    </row>
    <row r="60" spans="1:6" x14ac:dyDescent="0.2">
      <c r="A60" s="20">
        <v>25</v>
      </c>
      <c r="B60" s="172" t="s">
        <v>22</v>
      </c>
      <c r="C60" s="173"/>
      <c r="D60" s="15">
        <f>IF(F3="1",SUMIF(Data!A:A,'2'!$A$2,Data!DS:DS),0)</f>
        <v>242304</v>
      </c>
      <c r="E60" s="18">
        <f>IF(F3="1",SUMIF(Data!$A:$A,'2'!$A$2,Data!JM:JM),0)</f>
        <v>66170</v>
      </c>
      <c r="F60" s="22">
        <f t="shared" si="3"/>
        <v>0.27</v>
      </c>
    </row>
    <row r="61" spans="1:6" x14ac:dyDescent="0.2">
      <c r="A61" s="20">
        <v>26</v>
      </c>
      <c r="B61" s="172" t="s">
        <v>23</v>
      </c>
      <c r="C61" s="173"/>
      <c r="D61" s="15">
        <f>IF(F3="1",SUMIF(Data!A:A,'2'!$A$2,Data!DT:DT),0)</f>
        <v>100496</v>
      </c>
      <c r="E61" s="18">
        <f>IF(F3="1",SUMIF(Data!$A:$A,'2'!$A$2,Data!JN:JN),0)</f>
        <v>130504</v>
      </c>
      <c r="F61" s="22">
        <f t="shared" si="3"/>
        <v>1.3</v>
      </c>
    </row>
    <row r="62" spans="1:6" x14ac:dyDescent="0.2">
      <c r="A62" s="20">
        <v>28</v>
      </c>
      <c r="B62" s="172" t="s">
        <v>24</v>
      </c>
      <c r="C62" s="173"/>
      <c r="D62" s="15">
        <f>IF(F3="1",SUMIF(Data!A:A,'2'!$A$2,Data!DV:DV),0)</f>
        <v>0</v>
      </c>
      <c r="E62" s="18">
        <f>IF(F3="1",SUMIF(Data!$A:$A,'2'!$A$2,Data!JP:JP),0)</f>
        <v>0</v>
      </c>
      <c r="F62" s="22" t="str">
        <f t="shared" si="3"/>
        <v/>
      </c>
    </row>
    <row r="63" spans="1:6" ht="15.75" customHeight="1" thickBot="1" x14ac:dyDescent="0.25">
      <c r="A63" s="23">
        <v>29</v>
      </c>
      <c r="B63" s="174" t="s">
        <v>25</v>
      </c>
      <c r="C63" s="175"/>
      <c r="D63" s="24">
        <f>IF(F3="1",SUMIF(Data!A:A,'2'!$A$2,Data!DW:DW),0)</f>
        <v>0</v>
      </c>
      <c r="E63" s="25">
        <f>IF(F3="1",SUMIF(Data!$A:$A,'2'!$A$2,Data!JQ:JQ),0)</f>
        <v>0</v>
      </c>
      <c r="F63" s="26" t="str">
        <f t="shared" si="3"/>
        <v/>
      </c>
    </row>
    <row r="64" spans="1:6" x14ac:dyDescent="0.2">
      <c r="B64" s="31" t="s">
        <v>35</v>
      </c>
      <c r="C64" s="31"/>
      <c r="D64" s="61">
        <f>SUM(D36:D63)</f>
        <v>2316016</v>
      </c>
      <c r="E64" s="32">
        <f>SUM(E36:E63)</f>
        <v>2014593</v>
      </c>
      <c r="F64" s="33">
        <f t="shared" si="3"/>
        <v>0.87</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39312</v>
      </c>
      <c r="E67" s="16">
        <f>IF(F3="1",SUMIF(Data!A:A,'2'!$A$2,Data!DY:DY),0)</f>
        <v>67356</v>
      </c>
      <c r="F67" s="21">
        <f t="shared" ref="F67:F95" si="4">IF(D67=0,"",ROUND(E67/D67,2))</f>
        <v>1.71</v>
      </c>
    </row>
    <row r="68" spans="1:6" x14ac:dyDescent="0.2">
      <c r="A68" s="20">
        <v>2</v>
      </c>
      <c r="B68" s="172" t="s">
        <v>1</v>
      </c>
      <c r="C68" s="173"/>
      <c r="D68" s="15">
        <f t="shared" ref="D68:D94" si="5">D37</f>
        <v>21728</v>
      </c>
      <c r="E68" s="18">
        <f>IF(F3="1",SUMIF(Data!A:A,'2'!$A$2,Data!DZ:DZ),0)</f>
        <v>91439</v>
      </c>
      <c r="F68" s="22">
        <f t="shared" si="4"/>
        <v>4.21</v>
      </c>
    </row>
    <row r="69" spans="1:6" ht="14.25" customHeight="1" x14ac:dyDescent="0.2">
      <c r="A69" s="20">
        <v>3</v>
      </c>
      <c r="B69" s="172" t="s">
        <v>2</v>
      </c>
      <c r="C69" s="173"/>
      <c r="D69" s="15">
        <f t="shared" si="5"/>
        <v>254728</v>
      </c>
      <c r="E69" s="18">
        <f>IF(F3="1",SUMIF(Data!A:A,'2'!$A$2,Data!EA:EA),0)</f>
        <v>608579</v>
      </c>
      <c r="F69" s="22">
        <f t="shared" si="4"/>
        <v>2.39</v>
      </c>
    </row>
    <row r="70" spans="1:6" ht="14.25" customHeight="1" x14ac:dyDescent="0.2">
      <c r="A70" s="20">
        <v>4</v>
      </c>
      <c r="B70" s="172" t="s">
        <v>3</v>
      </c>
      <c r="C70" s="173"/>
      <c r="D70" s="15">
        <f t="shared" si="5"/>
        <v>280555</v>
      </c>
      <c r="E70" s="18">
        <f>IF(F3="1",SUMIF(Data!A:A,'2'!$A$2,Data!EB:EB),0)</f>
        <v>1260300</v>
      </c>
      <c r="F70" s="22">
        <f t="shared" si="4"/>
        <v>4.49</v>
      </c>
    </row>
    <row r="71" spans="1:6" x14ac:dyDescent="0.2">
      <c r="A71" s="20">
        <v>5</v>
      </c>
      <c r="B71" s="172" t="s">
        <v>4</v>
      </c>
      <c r="C71" s="173"/>
      <c r="D71" s="15">
        <f t="shared" si="5"/>
        <v>0</v>
      </c>
      <c r="E71" s="18">
        <f>IF(F3="1",SUMIF(Data!A:A,'2'!$A$2,Data!EC:EC),0)</f>
        <v>0</v>
      </c>
      <c r="F71" s="22" t="str">
        <f t="shared" si="4"/>
        <v/>
      </c>
    </row>
    <row r="72" spans="1:6" x14ac:dyDescent="0.2">
      <c r="A72" s="20">
        <v>6</v>
      </c>
      <c r="B72" s="172" t="s">
        <v>5</v>
      </c>
      <c r="C72" s="173"/>
      <c r="D72" s="15">
        <f t="shared" si="5"/>
        <v>56986</v>
      </c>
      <c r="E72" s="18">
        <f>IF(F3="1",SUMIF(Data!A:A,'2'!$A$2,Data!ED:ED),0)</f>
        <v>227765</v>
      </c>
      <c r="F72" s="22">
        <f t="shared" si="4"/>
        <v>4</v>
      </c>
    </row>
    <row r="73" spans="1:6" x14ac:dyDescent="0.2">
      <c r="A73" s="20">
        <v>7</v>
      </c>
      <c r="B73" s="172" t="s">
        <v>6</v>
      </c>
      <c r="C73" s="173"/>
      <c r="D73" s="15">
        <f t="shared" si="5"/>
        <v>157836</v>
      </c>
      <c r="E73" s="18">
        <f>IF(F3="1",SUMIF(Data!A:A,'2'!$A$2,Data!EE:EE),0)</f>
        <v>796123</v>
      </c>
      <c r="F73" s="22">
        <f t="shared" si="4"/>
        <v>5.04</v>
      </c>
    </row>
    <row r="74" spans="1:6" x14ac:dyDescent="0.2">
      <c r="A74" s="20">
        <v>8</v>
      </c>
      <c r="B74" s="172" t="s">
        <v>7</v>
      </c>
      <c r="C74" s="173"/>
      <c r="D74" s="15">
        <f t="shared" si="5"/>
        <v>3072</v>
      </c>
      <c r="E74" s="18">
        <f>IF(F3="1",SUMIF(Data!A:A,'2'!$A$2,Data!EF:EF),0)</f>
        <v>32966</v>
      </c>
      <c r="F74" s="22">
        <f t="shared" si="4"/>
        <v>10.73</v>
      </c>
    </row>
    <row r="75" spans="1:6" x14ac:dyDescent="0.2">
      <c r="A75" s="20">
        <v>9</v>
      </c>
      <c r="B75" s="172" t="s">
        <v>8</v>
      </c>
      <c r="C75" s="173"/>
      <c r="D75" s="15">
        <f t="shared" si="5"/>
        <v>68504</v>
      </c>
      <c r="E75" s="18">
        <f>IF(F3="1",SUMIF(Data!A:A,'2'!$A$2,Data!EG:EG),0)</f>
        <v>272290</v>
      </c>
      <c r="F75" s="22">
        <f t="shared" si="4"/>
        <v>3.97</v>
      </c>
    </row>
    <row r="76" spans="1:6" x14ac:dyDescent="0.2">
      <c r="A76" s="20">
        <v>10</v>
      </c>
      <c r="B76" s="172" t="s">
        <v>9</v>
      </c>
      <c r="C76" s="173"/>
      <c r="D76" s="15">
        <f t="shared" si="5"/>
        <v>0</v>
      </c>
      <c r="E76" s="18">
        <f>IF(F3="1",SUMIF(Data!A:A,'2'!$A$2,Data!EH:EH),0)</f>
        <v>0</v>
      </c>
      <c r="F76" s="22" t="str">
        <f t="shared" si="4"/>
        <v/>
      </c>
    </row>
    <row r="77" spans="1:6" x14ac:dyDescent="0.2">
      <c r="A77" s="20">
        <v>11</v>
      </c>
      <c r="B77" s="172" t="s">
        <v>10</v>
      </c>
      <c r="C77" s="173"/>
      <c r="D77" s="15">
        <f t="shared" si="5"/>
        <v>110494</v>
      </c>
      <c r="E77" s="18">
        <f>IF(F3="1",SUMIF(Data!A:A,'2'!$A$2,Data!EI:EI),0)</f>
        <v>355278</v>
      </c>
      <c r="F77" s="22">
        <f t="shared" si="4"/>
        <v>3.22</v>
      </c>
    </row>
    <row r="78" spans="1:6" ht="14.25" customHeight="1" x14ac:dyDescent="0.2">
      <c r="A78" s="20">
        <v>12</v>
      </c>
      <c r="B78" s="172" t="s">
        <v>11</v>
      </c>
      <c r="C78" s="173"/>
      <c r="D78" s="15">
        <f t="shared" si="5"/>
        <v>222416</v>
      </c>
      <c r="E78" s="18">
        <f>IF(F3="1",SUMIF(Data!A:A,'2'!$A$2,Data!EJ:EJ),0)</f>
        <v>885446</v>
      </c>
      <c r="F78" s="22">
        <f t="shared" si="4"/>
        <v>3.98</v>
      </c>
    </row>
    <row r="79" spans="1:6" x14ac:dyDescent="0.2">
      <c r="A79" s="20">
        <v>13</v>
      </c>
      <c r="B79" s="172" t="s">
        <v>12</v>
      </c>
      <c r="C79" s="173"/>
      <c r="D79" s="15">
        <f t="shared" si="5"/>
        <v>26984</v>
      </c>
      <c r="E79" s="18">
        <f>IF(F3="1",SUMIF(Data!A:A,'2'!$A$2,Data!EK:EK),0)</f>
        <v>112513</v>
      </c>
      <c r="F79" s="22">
        <f t="shared" si="4"/>
        <v>4.17</v>
      </c>
    </row>
    <row r="80" spans="1:6" ht="14.25" customHeight="1" x14ac:dyDescent="0.2">
      <c r="A80" s="20">
        <v>14</v>
      </c>
      <c r="B80" s="172" t="s">
        <v>469</v>
      </c>
      <c r="C80" s="173"/>
      <c r="D80" s="15">
        <f t="shared" si="5"/>
        <v>99852</v>
      </c>
      <c r="E80" s="18">
        <f>IF(F3="1",SUMIF(Data!A:A,'2'!$A$2,Data!EL:EL),0)</f>
        <v>665562</v>
      </c>
      <c r="F80" s="22">
        <f t="shared" si="4"/>
        <v>6.67</v>
      </c>
    </row>
    <row r="81" spans="1:6" x14ac:dyDescent="0.2">
      <c r="A81" s="20">
        <v>15</v>
      </c>
      <c r="B81" s="172" t="s">
        <v>13</v>
      </c>
      <c r="C81" s="173"/>
      <c r="D81" s="15">
        <f t="shared" si="5"/>
        <v>0</v>
      </c>
      <c r="E81" s="18">
        <f>IF(F3="1",SUMIF(Data!A:A,'2'!$A$2,Data!EM:EM),0)</f>
        <v>0</v>
      </c>
      <c r="F81" s="22" t="str">
        <f t="shared" si="4"/>
        <v/>
      </c>
    </row>
    <row r="82" spans="1:6" x14ac:dyDescent="0.2">
      <c r="A82" s="20">
        <v>16</v>
      </c>
      <c r="B82" s="172" t="s">
        <v>14</v>
      </c>
      <c r="C82" s="173"/>
      <c r="D82" s="15">
        <f t="shared" si="5"/>
        <v>129249</v>
      </c>
      <c r="E82" s="18">
        <f>IF(F3="1",SUMIF(Data!A:A,'2'!$A$2,Data!EN:EN),0)</f>
        <v>791272</v>
      </c>
      <c r="F82" s="22">
        <f t="shared" si="4"/>
        <v>6.12</v>
      </c>
    </row>
    <row r="83" spans="1:6" x14ac:dyDescent="0.2">
      <c r="A83" s="20">
        <v>17</v>
      </c>
      <c r="B83" s="172" t="s">
        <v>15</v>
      </c>
      <c r="C83" s="173"/>
      <c r="D83" s="15">
        <f t="shared" si="5"/>
        <v>41584</v>
      </c>
      <c r="E83" s="18">
        <f>IF(F3="1",SUMIF(Data!A:A,'2'!$A$2,Data!EO:EO),0)</f>
        <v>327426</v>
      </c>
      <c r="F83" s="22">
        <f t="shared" si="4"/>
        <v>7.87</v>
      </c>
    </row>
    <row r="84" spans="1:6" x14ac:dyDescent="0.2">
      <c r="A84" s="20">
        <v>18</v>
      </c>
      <c r="B84" s="172" t="s">
        <v>16</v>
      </c>
      <c r="C84" s="173"/>
      <c r="D84" s="15">
        <f t="shared" si="5"/>
        <v>52720</v>
      </c>
      <c r="E84" s="18">
        <f>IF(F3="1",SUMIF(Data!A:A,'2'!$A$2,Data!EP:EP),0)</f>
        <v>309336</v>
      </c>
      <c r="F84" s="22">
        <f t="shared" si="4"/>
        <v>5.87</v>
      </c>
    </row>
    <row r="85" spans="1:6" x14ac:dyDescent="0.2">
      <c r="A85" s="20">
        <v>19</v>
      </c>
      <c r="B85" s="172" t="s">
        <v>17</v>
      </c>
      <c r="C85" s="173"/>
      <c r="D85" s="15">
        <f t="shared" si="5"/>
        <v>201588</v>
      </c>
      <c r="E85" s="18">
        <f>IF(F3="1",SUMIF(Data!A:A,'2'!$A$2,Data!EQ:EQ),0)</f>
        <v>720110</v>
      </c>
      <c r="F85" s="22">
        <f t="shared" si="4"/>
        <v>3.57</v>
      </c>
    </row>
    <row r="86" spans="1:6" x14ac:dyDescent="0.2">
      <c r="A86" s="20">
        <v>20</v>
      </c>
      <c r="B86" s="172" t="s">
        <v>18</v>
      </c>
      <c r="C86" s="173"/>
      <c r="D86" s="15">
        <f t="shared" si="5"/>
        <v>35576</v>
      </c>
      <c r="E86" s="18">
        <f>IF(F3="1",SUMIF(Data!A:A,'2'!$A$2,Data!ER:ER),0)</f>
        <v>59724</v>
      </c>
      <c r="F86" s="22">
        <f t="shared" si="4"/>
        <v>1.68</v>
      </c>
    </row>
    <row r="87" spans="1:6" ht="14.25" customHeight="1" x14ac:dyDescent="0.2">
      <c r="A87" s="20">
        <v>21</v>
      </c>
      <c r="B87" s="172" t="s">
        <v>466</v>
      </c>
      <c r="C87" s="173"/>
      <c r="D87" s="15">
        <f t="shared" si="5"/>
        <v>232</v>
      </c>
      <c r="E87" s="18">
        <f>IF(F3="1",SUMIF(Data!A:A,'2'!$A$2,Data!ES:ES),0)</f>
        <v>2665</v>
      </c>
      <c r="F87" s="22">
        <f t="shared" si="4"/>
        <v>11.49</v>
      </c>
    </row>
    <row r="88" spans="1:6" x14ac:dyDescent="0.2">
      <c r="A88" s="20">
        <v>22</v>
      </c>
      <c r="B88" s="172" t="s">
        <v>19</v>
      </c>
      <c r="C88" s="173"/>
      <c r="D88" s="15">
        <f t="shared" si="5"/>
        <v>27832</v>
      </c>
      <c r="E88" s="18">
        <f>IF(F3="1",SUMIF(Data!A:A,'2'!$A$2,Data!ET:ET),0)</f>
        <v>196779</v>
      </c>
      <c r="F88" s="22">
        <f t="shared" si="4"/>
        <v>7.07</v>
      </c>
    </row>
    <row r="89" spans="1:6" x14ac:dyDescent="0.2">
      <c r="A89" s="20">
        <v>23</v>
      </c>
      <c r="B89" s="172" t="s">
        <v>20</v>
      </c>
      <c r="C89" s="173"/>
      <c r="D89" s="15">
        <f t="shared" si="5"/>
        <v>63936</v>
      </c>
      <c r="E89" s="18">
        <f>IF(F3="1",SUMIF(Data!A:A,'2'!$A$2,Data!EU:EU),0)</f>
        <v>381040</v>
      </c>
      <c r="F89" s="22">
        <f t="shared" si="4"/>
        <v>5.96</v>
      </c>
    </row>
    <row r="90" spans="1:6" x14ac:dyDescent="0.2">
      <c r="A90" s="20">
        <v>24</v>
      </c>
      <c r="B90" s="172" t="s">
        <v>21</v>
      </c>
      <c r="C90" s="173"/>
      <c r="D90" s="15">
        <f t="shared" si="5"/>
        <v>78032</v>
      </c>
      <c r="E90" s="18">
        <f>IF(F3="1",SUMIF(Data!A:A,'2'!$A$2,Data!EV:EV),0)</f>
        <v>259629</v>
      </c>
      <c r="F90" s="22">
        <f t="shared" si="4"/>
        <v>3.33</v>
      </c>
    </row>
    <row r="91" spans="1:6" x14ac:dyDescent="0.2">
      <c r="A91" s="20">
        <v>25</v>
      </c>
      <c r="B91" s="172" t="s">
        <v>22</v>
      </c>
      <c r="C91" s="173"/>
      <c r="D91" s="15">
        <f t="shared" si="5"/>
        <v>242304</v>
      </c>
      <c r="E91" s="18">
        <f>IF(F3="1",SUMIF(Data!A:A,'2'!$A$2,Data!EW:EW),0)</f>
        <v>915674</v>
      </c>
      <c r="F91" s="22">
        <f t="shared" si="4"/>
        <v>3.78</v>
      </c>
    </row>
    <row r="92" spans="1:6" x14ac:dyDescent="0.2">
      <c r="A92" s="20">
        <v>26</v>
      </c>
      <c r="B92" s="172" t="s">
        <v>23</v>
      </c>
      <c r="C92" s="173"/>
      <c r="D92" s="15">
        <f t="shared" si="5"/>
        <v>100496</v>
      </c>
      <c r="E92" s="18">
        <f>IF(F3="1",SUMIF(Data!A:A,'2'!$A$2,Data!EX:EX),0)</f>
        <v>812409</v>
      </c>
      <c r="F92" s="22">
        <f t="shared" si="4"/>
        <v>8.08</v>
      </c>
    </row>
    <row r="93" spans="1:6" x14ac:dyDescent="0.2">
      <c r="A93" s="20">
        <v>28</v>
      </c>
      <c r="B93" s="172" t="s">
        <v>24</v>
      </c>
      <c r="C93" s="173"/>
      <c r="D93" s="15">
        <f t="shared" si="5"/>
        <v>0</v>
      </c>
      <c r="E93" s="18">
        <f>IF(F3="1",SUMIF(Data!A:A,'2'!$A$2,Data!EZ:EZ),0)</f>
        <v>0</v>
      </c>
      <c r="F93" s="22" t="str">
        <f t="shared" si="4"/>
        <v/>
      </c>
    </row>
    <row r="94" spans="1:6" ht="15.75" customHeight="1" thickBot="1" x14ac:dyDescent="0.25">
      <c r="A94" s="23">
        <v>29</v>
      </c>
      <c r="B94" s="174" t="s">
        <v>25</v>
      </c>
      <c r="C94" s="175"/>
      <c r="D94" s="24">
        <f t="shared" si="5"/>
        <v>0</v>
      </c>
      <c r="E94" s="25">
        <f>IF(F3="1",SUMIF(Data!A:A,'2'!$A$2,Data!FA:FA),0)</f>
        <v>0</v>
      </c>
      <c r="F94" s="26" t="str">
        <f t="shared" si="4"/>
        <v/>
      </c>
    </row>
    <row r="95" spans="1:6" x14ac:dyDescent="0.2">
      <c r="B95" s="31" t="s">
        <v>35</v>
      </c>
      <c r="C95" s="31"/>
      <c r="D95" s="61">
        <f>SUM(D67:D94)</f>
        <v>2316016</v>
      </c>
      <c r="E95" s="32">
        <f>SUM(E67:E94)</f>
        <v>10151681</v>
      </c>
      <c r="F95" s="33">
        <f t="shared" si="4"/>
        <v>4.38</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IF(F3="1",SUMIF(Data!A:A,'2'!$A$2,Data!AH:AH),0)</f>
        <v>3195853</v>
      </c>
      <c r="F98" s="21">
        <f>IF($D$105=0,"",ROUND(E98/$D$105,2))</f>
        <v>1.38</v>
      </c>
    </row>
    <row r="99" spans="2:6" x14ac:dyDescent="0.2">
      <c r="B99" s="178" t="s">
        <v>31</v>
      </c>
      <c r="C99" s="179"/>
      <c r="D99" s="37"/>
      <c r="E99" s="18">
        <f>IF(F3="1",SUMIF(Data!A:A,'2'!$A$2,Data!AI:AI),0)</f>
        <v>1676309</v>
      </c>
      <c r="F99" s="22">
        <f t="shared" ref="F99:F105" si="6">IF($D$105=0,"",ROUND(E99/$D$105,2))</f>
        <v>0.72</v>
      </c>
    </row>
    <row r="100" spans="2:6" x14ac:dyDescent="0.2">
      <c r="B100" s="178" t="s">
        <v>32</v>
      </c>
      <c r="C100" s="179"/>
      <c r="D100" s="37"/>
      <c r="E100" s="18">
        <f>IF(F3="1",SUMIF(Data!A:A,'2'!$A$2,Data!AJ:AJ),0)</f>
        <v>2465654</v>
      </c>
      <c r="F100" s="22">
        <f t="shared" si="6"/>
        <v>1.06</v>
      </c>
    </row>
    <row r="101" spans="2:6" x14ac:dyDescent="0.2">
      <c r="B101" s="178" t="s">
        <v>28</v>
      </c>
      <c r="C101" s="179"/>
      <c r="D101" s="37"/>
      <c r="E101" s="18">
        <f>IF(F3="1",SUMIF(Data!A:A,'2'!$A$2,Data!AK:AK),0)</f>
        <v>0</v>
      </c>
      <c r="F101" s="22">
        <f t="shared" si="6"/>
        <v>0</v>
      </c>
    </row>
    <row r="102" spans="2:6" x14ac:dyDescent="0.2">
      <c r="B102" s="178" t="s">
        <v>33</v>
      </c>
      <c r="C102" s="179"/>
      <c r="D102" s="37"/>
      <c r="E102" s="18">
        <f>IF(F3="1",SUMIF(Data!A:A,'2'!$A$2,Data!AL:AL),0)</f>
        <v>0</v>
      </c>
      <c r="F102" s="22">
        <f t="shared" si="6"/>
        <v>0</v>
      </c>
    </row>
    <row r="103" spans="2:6" x14ac:dyDescent="0.2">
      <c r="B103" s="180" t="s">
        <v>34</v>
      </c>
      <c r="C103" s="181"/>
      <c r="D103" s="37"/>
      <c r="E103" s="18">
        <f>IF(F3="1",SUMIF(Data!A:A,'2'!$A$2,Data!AM:AM),0)</f>
        <v>311112</v>
      </c>
      <c r="F103" s="22">
        <f t="shared" si="6"/>
        <v>0.13</v>
      </c>
    </row>
    <row r="104" spans="2:6" ht="15.75" customHeight="1" thickBot="1" x14ac:dyDescent="0.25">
      <c r="B104" s="170" t="s">
        <v>29</v>
      </c>
      <c r="C104" s="171"/>
      <c r="D104" s="38"/>
      <c r="E104" s="25">
        <f>IF(F3="1",SUMIF(Data!A:A,'2'!$A$2,Data!Q:Q),0)</f>
        <v>294560</v>
      </c>
      <c r="F104" s="26">
        <f t="shared" si="6"/>
        <v>0.13</v>
      </c>
    </row>
    <row r="105" spans="2:6" x14ac:dyDescent="0.2">
      <c r="B105" s="31" t="s">
        <v>35</v>
      </c>
      <c r="C105" s="31"/>
      <c r="D105" s="35">
        <f>D95</f>
        <v>2316016</v>
      </c>
      <c r="E105" s="32">
        <f>SUM(E98:E104)</f>
        <v>7943488</v>
      </c>
      <c r="F105" s="33">
        <f t="shared" si="6"/>
        <v>3.43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10205142</v>
      </c>
      <c r="D109" s="16">
        <f>IF(F3="1",SUMIF(Data!$A:$A,$A$2,Data!HJ:HJ),0)</f>
        <v>567714</v>
      </c>
      <c r="E109" s="16">
        <f>IF(F3="1",SUMIF(Data!$A:$A,$A$2,Data!IN:IN),0)</f>
        <v>1393418</v>
      </c>
      <c r="F109" s="48">
        <f>SUM(C109:E109)</f>
        <v>12166274</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85261</v>
      </c>
      <c r="D111" s="52"/>
      <c r="E111" s="51">
        <f>IF(F3="1",SUMIF(Data!A:A,$A$2,Data!AX:AX),0)</f>
        <v>43638</v>
      </c>
      <c r="F111" s="49">
        <f t="shared" si="7"/>
        <v>128899</v>
      </c>
    </row>
    <row r="112" spans="2:6" x14ac:dyDescent="0.2">
      <c r="B112" s="43" t="s">
        <v>32</v>
      </c>
      <c r="C112" s="51">
        <f>IF(F3="1",SUMIF(Data!A:A,$A$2,Data!V:V),0)</f>
        <v>1698504</v>
      </c>
      <c r="D112" s="52"/>
      <c r="E112" s="51">
        <f>IF(F3="1",SUMIF(Data!A:A,$A$2,Data!AC:AC),0)</f>
        <v>767150</v>
      </c>
      <c r="F112" s="49">
        <f t="shared" si="7"/>
        <v>2465654</v>
      </c>
    </row>
    <row r="113" spans="1:6" x14ac:dyDescent="0.2">
      <c r="B113" s="43" t="s">
        <v>31</v>
      </c>
      <c r="C113" s="51">
        <f>IF(F3="1",SUMIF(Data!A:A,$A$2,Data!U:U),0)</f>
        <v>1424581</v>
      </c>
      <c r="D113" s="52"/>
      <c r="E113" s="51">
        <f>IF(F3="1",SUMIF(Data!A:A,$A$2,Data!AB:AB),0)</f>
        <v>251728</v>
      </c>
      <c r="F113" s="49">
        <f t="shared" si="7"/>
        <v>1676309</v>
      </c>
    </row>
    <row r="114" spans="1:6" x14ac:dyDescent="0.2">
      <c r="B114" s="43" t="s">
        <v>1021</v>
      </c>
      <c r="C114" s="51">
        <f>IF(F3="1",SUMIF(Data!A:A,$A$2,Data!T:T),0)</f>
        <v>2093164</v>
      </c>
      <c r="D114" s="52"/>
      <c r="E114" s="51">
        <f>IF(F3="1",SUMIF(Data!A:A,$A$2,Data!AA:AA),0)</f>
        <v>1102689</v>
      </c>
      <c r="F114" s="49">
        <f t="shared" si="7"/>
        <v>3195853</v>
      </c>
    </row>
    <row r="115" spans="1:6" x14ac:dyDescent="0.2">
      <c r="B115" s="43" t="s">
        <v>937</v>
      </c>
      <c r="C115" s="51">
        <f>IF(F3="1",SUMIF(Data!A:A,$A$2,Data!BI:BI),0)</f>
        <v>1185965</v>
      </c>
      <c r="D115" s="51">
        <f>IF(F3="1",SUMIF(Data!A:A,$A$2,Data!BL:BL),0)</f>
        <v>242390</v>
      </c>
      <c r="E115" s="51">
        <f>IF(F3="1",SUMIF(Data!A:A,$A$2,Data!BU:BU),0)</f>
        <v>2929194</v>
      </c>
      <c r="F115" s="49">
        <f t="shared" si="7"/>
        <v>4357549</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294560</v>
      </c>
      <c r="E117" s="53"/>
      <c r="F117" s="50">
        <f>SUM(C117:E117)</f>
        <v>294560</v>
      </c>
    </row>
    <row r="118" spans="1:6" x14ac:dyDescent="0.2">
      <c r="B118" s="14" t="s">
        <v>35</v>
      </c>
      <c r="C118" s="5">
        <f>SUM(C109:C116)</f>
        <v>16692617</v>
      </c>
      <c r="D118" s="5">
        <f>SUM(D109:D116)</f>
        <v>810104</v>
      </c>
      <c r="E118" s="5">
        <f>SUM(E109:E116)</f>
        <v>6487817</v>
      </c>
      <c r="F118" s="5">
        <f>SUM(F109:F116)</f>
        <v>23990538</v>
      </c>
    </row>
    <row r="119" spans="1:6" ht="15" thickBot="1" x14ac:dyDescent="0.25"/>
    <row r="120" spans="1:6" ht="15" thickBot="1" x14ac:dyDescent="0.25">
      <c r="B120" s="57" t="s">
        <v>942</v>
      </c>
      <c r="C120" s="55"/>
      <c r="D120" s="55"/>
      <c r="E120" s="55">
        <f>IF(F3="1",SUMIF(Data!A:A,'2'!$A$2,Data!AM:AM),0)</f>
        <v>311112</v>
      </c>
      <c r="F120" s="56">
        <f>SUM(C120:E120)</f>
        <v>311112</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15" width="16.42578125" style="11" bestFit="1" customWidth="1"/>
    <col min="16"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352</v>
      </c>
      <c r="B2" s="60" t="str">
        <f>VLOOKUP(A2,Data!A:G,7,0)</f>
        <v>Amarillo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10184</v>
      </c>
      <c r="E5" s="16">
        <f>E36+E67+IFERROR($E$105/$D$105*D5,0)</f>
        <v>75770.544177313277</v>
      </c>
      <c r="F5" s="21">
        <f>IF(OR(D5=0,E5=0),"",ROUND(E5/D5,2))</f>
        <v>7.44</v>
      </c>
    </row>
    <row r="6" spans="1:6" x14ac:dyDescent="0.2">
      <c r="A6" s="20">
        <v>2</v>
      </c>
      <c r="B6" s="172" t="s">
        <v>1</v>
      </c>
      <c r="C6" s="173"/>
      <c r="D6" s="15">
        <f t="shared" ref="D6:D32" si="0">D37</f>
        <v>36887</v>
      </c>
      <c r="E6" s="18">
        <f t="shared" ref="E6:E32" si="1">E37+E68+IFERROR($E$105/$D$105*D6,0)</f>
        <v>293472.11047413142</v>
      </c>
      <c r="F6" s="22">
        <f t="shared" ref="F6:F33" si="2">IF(OR(D6=0,E6=0),"",ROUND(E6/D6,2))</f>
        <v>7.96</v>
      </c>
    </row>
    <row r="7" spans="1:6" ht="14.25" customHeight="1" x14ac:dyDescent="0.2">
      <c r="A7" s="20">
        <v>3</v>
      </c>
      <c r="B7" s="172" t="s">
        <v>2</v>
      </c>
      <c r="C7" s="173"/>
      <c r="D7" s="15">
        <f t="shared" si="0"/>
        <v>460304</v>
      </c>
      <c r="E7" s="18">
        <f t="shared" si="1"/>
        <v>3283408.522289278</v>
      </c>
      <c r="F7" s="22">
        <f t="shared" si="2"/>
        <v>7.13</v>
      </c>
    </row>
    <row r="8" spans="1:6" ht="14.25" customHeight="1" x14ac:dyDescent="0.2">
      <c r="A8" s="20">
        <v>4</v>
      </c>
      <c r="B8" s="172" t="s">
        <v>3</v>
      </c>
      <c r="C8" s="173"/>
      <c r="D8" s="15">
        <f t="shared" si="0"/>
        <v>402514</v>
      </c>
      <c r="E8" s="18">
        <f t="shared" si="1"/>
        <v>3129923.8647866333</v>
      </c>
      <c r="F8" s="22">
        <f t="shared" si="2"/>
        <v>7.78</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41856</v>
      </c>
      <c r="E10" s="18">
        <f t="shared" si="1"/>
        <v>324164.69767140853</v>
      </c>
      <c r="F10" s="22">
        <f t="shared" si="2"/>
        <v>7.74</v>
      </c>
    </row>
    <row r="11" spans="1:6" x14ac:dyDescent="0.2">
      <c r="A11" s="20">
        <v>7</v>
      </c>
      <c r="B11" s="172" t="s">
        <v>6</v>
      </c>
      <c r="C11" s="173"/>
      <c r="D11" s="15">
        <f t="shared" si="0"/>
        <v>73443</v>
      </c>
      <c r="E11" s="18">
        <f t="shared" si="1"/>
        <v>568753.82502105448</v>
      </c>
      <c r="F11" s="22">
        <f t="shared" si="2"/>
        <v>7.74</v>
      </c>
    </row>
    <row r="12" spans="1:6" x14ac:dyDescent="0.2">
      <c r="A12" s="20">
        <v>8</v>
      </c>
      <c r="B12" s="172" t="s">
        <v>7</v>
      </c>
      <c r="C12" s="173"/>
      <c r="D12" s="15">
        <f t="shared" si="0"/>
        <v>4518</v>
      </c>
      <c r="E12" s="18">
        <f t="shared" si="1"/>
        <v>37361.742595551979</v>
      </c>
      <c r="F12" s="22">
        <f t="shared" si="2"/>
        <v>8.27</v>
      </c>
    </row>
    <row r="13" spans="1:6" x14ac:dyDescent="0.2">
      <c r="A13" s="20">
        <v>9</v>
      </c>
      <c r="B13" s="172" t="s">
        <v>8</v>
      </c>
      <c r="C13" s="173"/>
      <c r="D13" s="15">
        <f t="shared" si="0"/>
        <v>179293</v>
      </c>
      <c r="E13" s="18">
        <f t="shared" si="1"/>
        <v>1208477.6766676186</v>
      </c>
      <c r="F13" s="22">
        <f t="shared" si="2"/>
        <v>6.74</v>
      </c>
    </row>
    <row r="14" spans="1:6" x14ac:dyDescent="0.2">
      <c r="A14" s="20">
        <v>10</v>
      </c>
      <c r="B14" s="172" t="s">
        <v>9</v>
      </c>
      <c r="C14" s="173"/>
      <c r="D14" s="15">
        <f t="shared" si="0"/>
        <v>2400</v>
      </c>
      <c r="E14" s="18">
        <f t="shared" si="1"/>
        <v>17090.973490333057</v>
      </c>
      <c r="F14" s="22">
        <f t="shared" si="2"/>
        <v>7.12</v>
      </c>
    </row>
    <row r="15" spans="1:6" x14ac:dyDescent="0.2">
      <c r="A15" s="20">
        <v>11</v>
      </c>
      <c r="B15" s="172" t="s">
        <v>10</v>
      </c>
      <c r="C15" s="173"/>
      <c r="D15" s="15">
        <f t="shared" si="0"/>
        <v>135552</v>
      </c>
      <c r="E15" s="18">
        <f t="shared" si="1"/>
        <v>1048508.222734011</v>
      </c>
      <c r="F15" s="22">
        <f t="shared" si="2"/>
        <v>7.74</v>
      </c>
    </row>
    <row r="16" spans="1:6" ht="14.25" customHeight="1" x14ac:dyDescent="0.2">
      <c r="A16" s="20">
        <v>12</v>
      </c>
      <c r="B16" s="172" t="s">
        <v>11</v>
      </c>
      <c r="C16" s="173"/>
      <c r="D16" s="15">
        <f t="shared" si="0"/>
        <v>596951</v>
      </c>
      <c r="E16" s="18">
        <f t="shared" si="1"/>
        <v>4981271.9641782539</v>
      </c>
      <c r="F16" s="22">
        <f t="shared" si="2"/>
        <v>8.34</v>
      </c>
    </row>
    <row r="17" spans="1:6" x14ac:dyDescent="0.2">
      <c r="A17" s="20">
        <v>13</v>
      </c>
      <c r="B17" s="172" t="s">
        <v>12</v>
      </c>
      <c r="C17" s="173"/>
      <c r="D17" s="15">
        <f t="shared" si="0"/>
        <v>51647</v>
      </c>
      <c r="E17" s="18">
        <f t="shared" si="1"/>
        <v>387414.29743967974</v>
      </c>
      <c r="F17" s="22">
        <f t="shared" si="2"/>
        <v>7.5</v>
      </c>
    </row>
    <row r="18" spans="1:6" ht="14.25" customHeight="1" x14ac:dyDescent="0.2">
      <c r="A18" s="20">
        <v>14</v>
      </c>
      <c r="B18" s="172" t="s">
        <v>469</v>
      </c>
      <c r="C18" s="173"/>
      <c r="D18" s="15">
        <f t="shared" si="0"/>
        <v>271372</v>
      </c>
      <c r="E18" s="18">
        <f t="shared" si="1"/>
        <v>2257757.8808411094</v>
      </c>
      <c r="F18" s="22">
        <f t="shared" si="2"/>
        <v>8.32</v>
      </c>
    </row>
    <row r="19" spans="1:6" x14ac:dyDescent="0.2">
      <c r="A19" s="20">
        <v>15</v>
      </c>
      <c r="B19" s="172" t="s">
        <v>13</v>
      </c>
      <c r="C19" s="173"/>
      <c r="D19" s="15">
        <f t="shared" si="0"/>
        <v>51779</v>
      </c>
      <c r="E19" s="18">
        <f t="shared" si="1"/>
        <v>417306.69098164805</v>
      </c>
      <c r="F19" s="22">
        <f t="shared" si="2"/>
        <v>8.06</v>
      </c>
    </row>
    <row r="20" spans="1:6" x14ac:dyDescent="0.2">
      <c r="A20" s="20">
        <v>16</v>
      </c>
      <c r="B20" s="172" t="s">
        <v>14</v>
      </c>
      <c r="C20" s="173"/>
      <c r="D20" s="15">
        <f t="shared" si="0"/>
        <v>316056</v>
      </c>
      <c r="E20" s="18">
        <f t="shared" si="1"/>
        <v>2506595.9189419607</v>
      </c>
      <c r="F20" s="22">
        <f t="shared" si="2"/>
        <v>7.93</v>
      </c>
    </row>
    <row r="21" spans="1:6" x14ac:dyDescent="0.2">
      <c r="A21" s="20">
        <v>17</v>
      </c>
      <c r="B21" s="172" t="s">
        <v>15</v>
      </c>
      <c r="C21" s="173"/>
      <c r="D21" s="15">
        <f t="shared" si="0"/>
        <v>32800</v>
      </c>
      <c r="E21" s="18">
        <f t="shared" si="1"/>
        <v>267763.9710345518</v>
      </c>
      <c r="F21" s="22">
        <f t="shared" si="2"/>
        <v>8.16</v>
      </c>
    </row>
    <row r="22" spans="1:6" x14ac:dyDescent="0.2">
      <c r="A22" s="20">
        <v>18</v>
      </c>
      <c r="B22" s="172" t="s">
        <v>16</v>
      </c>
      <c r="C22" s="173"/>
      <c r="D22" s="15">
        <f t="shared" si="0"/>
        <v>106288</v>
      </c>
      <c r="E22" s="18">
        <f t="shared" si="1"/>
        <v>899979.33930855</v>
      </c>
      <c r="F22" s="22">
        <f t="shared" si="2"/>
        <v>8.4700000000000006</v>
      </c>
    </row>
    <row r="23" spans="1:6" x14ac:dyDescent="0.2">
      <c r="A23" s="20">
        <v>19</v>
      </c>
      <c r="B23" s="172" t="s">
        <v>17</v>
      </c>
      <c r="C23" s="173"/>
      <c r="D23" s="15">
        <f t="shared" si="0"/>
        <v>517872</v>
      </c>
      <c r="E23" s="18">
        <f t="shared" si="1"/>
        <v>3776758.6997440672</v>
      </c>
      <c r="F23" s="22">
        <f t="shared" si="2"/>
        <v>7.29</v>
      </c>
    </row>
    <row r="24" spans="1:6" x14ac:dyDescent="0.2">
      <c r="A24" s="20">
        <v>20</v>
      </c>
      <c r="B24" s="172" t="s">
        <v>18</v>
      </c>
      <c r="C24" s="173"/>
      <c r="D24" s="15">
        <f t="shared" si="0"/>
        <v>55885</v>
      </c>
      <c r="E24" s="18">
        <f t="shared" si="1"/>
        <v>444935.65979469288</v>
      </c>
      <c r="F24" s="22">
        <f t="shared" si="2"/>
        <v>7.96</v>
      </c>
    </row>
    <row r="25" spans="1:6" ht="14.25" customHeight="1" x14ac:dyDescent="0.2">
      <c r="A25" s="20">
        <v>21</v>
      </c>
      <c r="B25" s="172" t="s">
        <v>466</v>
      </c>
      <c r="C25" s="173"/>
      <c r="D25" s="15">
        <f t="shared" si="0"/>
        <v>160552</v>
      </c>
      <c r="E25" s="18">
        <f t="shared" si="1"/>
        <v>1277343.0299249804</v>
      </c>
      <c r="F25" s="22">
        <f t="shared" si="2"/>
        <v>7.96</v>
      </c>
    </row>
    <row r="26" spans="1:6" x14ac:dyDescent="0.2">
      <c r="A26" s="20">
        <v>22</v>
      </c>
      <c r="B26" s="172" t="s">
        <v>19</v>
      </c>
      <c r="C26" s="173"/>
      <c r="D26" s="15">
        <f t="shared" si="0"/>
        <v>10048</v>
      </c>
      <c r="E26" s="18">
        <f t="shared" si="1"/>
        <v>76200.502346194407</v>
      </c>
      <c r="F26" s="22">
        <f t="shared" si="2"/>
        <v>7.58</v>
      </c>
    </row>
    <row r="27" spans="1:6" x14ac:dyDescent="0.2">
      <c r="A27" s="20">
        <v>23</v>
      </c>
      <c r="B27" s="172" t="s">
        <v>20</v>
      </c>
      <c r="C27" s="173"/>
      <c r="D27" s="15">
        <f t="shared" si="0"/>
        <v>91872</v>
      </c>
      <c r="E27" s="18">
        <f t="shared" si="1"/>
        <v>514840.90520994941</v>
      </c>
      <c r="F27" s="22">
        <f t="shared" si="2"/>
        <v>5.6</v>
      </c>
    </row>
    <row r="28" spans="1:6" x14ac:dyDescent="0.2">
      <c r="A28" s="20">
        <v>24</v>
      </c>
      <c r="B28" s="172" t="s">
        <v>21</v>
      </c>
      <c r="C28" s="173"/>
      <c r="D28" s="15">
        <f t="shared" si="0"/>
        <v>239137</v>
      </c>
      <c r="E28" s="18">
        <f t="shared" si="1"/>
        <v>1773436.7306490736</v>
      </c>
      <c r="F28" s="22">
        <f t="shared" si="2"/>
        <v>7.42</v>
      </c>
    </row>
    <row r="29" spans="1:6" x14ac:dyDescent="0.2">
      <c r="A29" s="20">
        <v>25</v>
      </c>
      <c r="B29" s="172" t="s">
        <v>22</v>
      </c>
      <c r="C29" s="173"/>
      <c r="D29" s="15">
        <f t="shared" si="0"/>
        <v>557214</v>
      </c>
      <c r="E29" s="18">
        <f t="shared" si="1"/>
        <v>3228893.4476843518</v>
      </c>
      <c r="F29" s="22">
        <f t="shared" si="2"/>
        <v>5.79</v>
      </c>
    </row>
    <row r="30" spans="1:6" x14ac:dyDescent="0.2">
      <c r="A30" s="20">
        <v>26</v>
      </c>
      <c r="B30" s="172" t="s">
        <v>23</v>
      </c>
      <c r="C30" s="173"/>
      <c r="D30" s="15">
        <f t="shared" si="0"/>
        <v>229168</v>
      </c>
      <c r="E30" s="18">
        <f t="shared" si="1"/>
        <v>1714844.7820136026</v>
      </c>
      <c r="F30" s="22">
        <f t="shared" si="2"/>
        <v>7.48</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4635592</v>
      </c>
      <c r="E33" s="32">
        <f>SUM(E5:E32)</f>
        <v>34512276</v>
      </c>
      <c r="F33" s="33">
        <f t="shared" si="2"/>
        <v>7.45</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IF(F3="1",SUMIF(Data!A:A,'3'!$A$2,Data!CU:CU),0)</f>
        <v>10184</v>
      </c>
      <c r="E36" s="16">
        <f>IF(F3="1",SUMIF(Data!$A:$A,'3'!$A$2,Data!IO:IO),0)</f>
        <v>11524</v>
      </c>
      <c r="F36" s="21">
        <f>IF(D36=0,"",ROUND(E36/D36,2))</f>
        <v>1.1299999999999999</v>
      </c>
    </row>
    <row r="37" spans="1:6" x14ac:dyDescent="0.2">
      <c r="A37" s="20">
        <v>2</v>
      </c>
      <c r="B37" s="172" t="s">
        <v>1</v>
      </c>
      <c r="C37" s="173"/>
      <c r="D37" s="15">
        <f>IF(F3="1",SUMIF(Data!A:A,'3'!$A$2,Data!CV:CV),0)</f>
        <v>36887</v>
      </c>
      <c r="E37" s="18">
        <f>IF(F3="1",SUMIF(Data!$A:$A,'3'!$A$2,Data!IP:IP),0)</f>
        <v>48844</v>
      </c>
      <c r="F37" s="22">
        <f t="shared" ref="F37:F64" si="3">IF(D37=0,"",ROUND(E37/D37,2))</f>
        <v>1.32</v>
      </c>
    </row>
    <row r="38" spans="1:6" ht="14.25" customHeight="1" x14ac:dyDescent="0.2">
      <c r="A38" s="20">
        <v>3</v>
      </c>
      <c r="B38" s="172" t="s">
        <v>2</v>
      </c>
      <c r="C38" s="173"/>
      <c r="D38" s="15">
        <f>IF(F3="1",SUMIF(Data!A:A,'3'!$A$2,Data!CW:CW),0)</f>
        <v>460304</v>
      </c>
      <c r="E38" s="18">
        <f>IF(F3="1",SUMIF(Data!$A:$A,'3'!$A$2,Data!IQ:IQ),0)</f>
        <v>440750</v>
      </c>
      <c r="F38" s="22">
        <f t="shared" si="3"/>
        <v>0.96</v>
      </c>
    </row>
    <row r="39" spans="1:6" ht="14.25" customHeight="1" x14ac:dyDescent="0.2">
      <c r="A39" s="20">
        <v>4</v>
      </c>
      <c r="B39" s="172" t="s">
        <v>3</v>
      </c>
      <c r="C39" s="173"/>
      <c r="D39" s="15">
        <f>IF(F3="1",SUMIF(Data!A:A,'3'!$A$2,Data!CX:CX),0)</f>
        <v>402514</v>
      </c>
      <c r="E39" s="18">
        <f>IF(F3="1",SUMIF(Data!$A:$A,'3'!$A$2,Data!IR:IR),0)</f>
        <v>536134</v>
      </c>
      <c r="F39" s="22">
        <f t="shared" si="3"/>
        <v>1.33</v>
      </c>
    </row>
    <row r="40" spans="1:6" x14ac:dyDescent="0.2">
      <c r="A40" s="20">
        <v>5</v>
      </c>
      <c r="B40" s="172" t="s">
        <v>4</v>
      </c>
      <c r="C40" s="173"/>
      <c r="D40" s="15">
        <f>IF(F3="1",SUMIF(Data!A:A,'3'!$A$2,Data!CY:CY),0)</f>
        <v>0</v>
      </c>
      <c r="E40" s="18">
        <f>IF(F3="1",SUMIF(Data!$A:$A,'3'!$A$2,Data!IS:IS),0)</f>
        <v>0</v>
      </c>
      <c r="F40" s="22" t="str">
        <f t="shared" si="3"/>
        <v/>
      </c>
    </row>
    <row r="41" spans="1:6" x14ac:dyDescent="0.2">
      <c r="A41" s="20">
        <v>6</v>
      </c>
      <c r="B41" s="172" t="s">
        <v>5</v>
      </c>
      <c r="C41" s="173"/>
      <c r="D41" s="15">
        <f>IF(F3="1",SUMIF(Data!A:A,'3'!$A$2,Data!CZ:CZ),0)</f>
        <v>41856</v>
      </c>
      <c r="E41" s="18">
        <f>IF(F3="1",SUMIF(Data!$A:$A,'3'!$A$2,Data!IT:IT),0)</f>
        <v>51175</v>
      </c>
      <c r="F41" s="22">
        <f t="shared" si="3"/>
        <v>1.22</v>
      </c>
    </row>
    <row r="42" spans="1:6" x14ac:dyDescent="0.2">
      <c r="A42" s="20">
        <v>7</v>
      </c>
      <c r="B42" s="172" t="s">
        <v>6</v>
      </c>
      <c r="C42" s="173"/>
      <c r="D42" s="15">
        <f>IF(F3="1",SUMIF(Data!A:A,'3'!$A$2,Data!DA:DA),0)</f>
        <v>73443</v>
      </c>
      <c r="E42" s="18">
        <f>IF(F3="1",SUMIF(Data!$A:$A,'3'!$A$2,Data!IU:IU),0)</f>
        <v>83919</v>
      </c>
      <c r="F42" s="22">
        <f t="shared" si="3"/>
        <v>1.1399999999999999</v>
      </c>
    </row>
    <row r="43" spans="1:6" x14ac:dyDescent="0.2">
      <c r="A43" s="20">
        <v>8</v>
      </c>
      <c r="B43" s="172" t="s">
        <v>7</v>
      </c>
      <c r="C43" s="173"/>
      <c r="D43" s="15">
        <f>IF(F3="1",SUMIF(Data!A:A,'3'!$A$2,Data!DB:DB),0)</f>
        <v>4518</v>
      </c>
      <c r="E43" s="18">
        <f>IF(F3="1",SUMIF(Data!$A:$A,'3'!$A$2,Data!IV:IV),0)</f>
        <v>8647</v>
      </c>
      <c r="F43" s="22">
        <f t="shared" si="3"/>
        <v>1.91</v>
      </c>
    </row>
    <row r="44" spans="1:6" x14ac:dyDescent="0.2">
      <c r="A44" s="20">
        <v>9</v>
      </c>
      <c r="B44" s="172" t="s">
        <v>8</v>
      </c>
      <c r="C44" s="173"/>
      <c r="D44" s="15">
        <f>IF(F3="1",SUMIF(Data!A:A,'3'!$A$2,Data!DC:DC),0)</f>
        <v>179293</v>
      </c>
      <c r="E44" s="18">
        <f>IF(F3="1",SUMIF(Data!$A:$A,'3'!$A$2,Data!IW:IW),0)</f>
        <v>160614</v>
      </c>
      <c r="F44" s="22">
        <f t="shared" si="3"/>
        <v>0.9</v>
      </c>
    </row>
    <row r="45" spans="1:6" x14ac:dyDescent="0.2">
      <c r="A45" s="20">
        <v>10</v>
      </c>
      <c r="B45" s="172" t="s">
        <v>9</v>
      </c>
      <c r="C45" s="173"/>
      <c r="D45" s="15">
        <f>IF(F3="1",SUMIF(Data!A:A,'3'!$A$2,Data!DD:DD),0)</f>
        <v>2400</v>
      </c>
      <c r="E45" s="18">
        <f>IF(F3="1",SUMIF(Data!$A:$A,'3'!$A$2,Data!IX:IX),0)</f>
        <v>2258</v>
      </c>
      <c r="F45" s="22">
        <f t="shared" si="3"/>
        <v>0.94</v>
      </c>
    </row>
    <row r="46" spans="1:6" x14ac:dyDescent="0.2">
      <c r="A46" s="20">
        <v>11</v>
      </c>
      <c r="B46" s="172" t="s">
        <v>10</v>
      </c>
      <c r="C46" s="173"/>
      <c r="D46" s="15">
        <f>IF(F3="1",SUMIF(Data!A:A,'3'!$A$2,Data!DE:DE),0)</f>
        <v>135552</v>
      </c>
      <c r="E46" s="18">
        <f>IF(F3="1",SUMIF(Data!$A:$A,'3'!$A$2,Data!IY:IY),0)</f>
        <v>193651</v>
      </c>
      <c r="F46" s="22">
        <f t="shared" si="3"/>
        <v>1.43</v>
      </c>
    </row>
    <row r="47" spans="1:6" ht="14.25" customHeight="1" x14ac:dyDescent="0.2">
      <c r="A47" s="20">
        <v>12</v>
      </c>
      <c r="B47" s="172" t="s">
        <v>11</v>
      </c>
      <c r="C47" s="173"/>
      <c r="D47" s="15">
        <f>IF(F3="1",SUMIF(Data!A:A,'3'!$A$2,Data!DF:DF),0)</f>
        <v>596951</v>
      </c>
      <c r="E47" s="18">
        <f>IF(F3="1",SUMIF(Data!$A:$A,'3'!$A$2,Data!IZ:IZ),0)</f>
        <v>1000972</v>
      </c>
      <c r="F47" s="22">
        <f t="shared" si="3"/>
        <v>1.68</v>
      </c>
    </row>
    <row r="48" spans="1:6" x14ac:dyDescent="0.2">
      <c r="A48" s="20">
        <v>13</v>
      </c>
      <c r="B48" s="172" t="s">
        <v>12</v>
      </c>
      <c r="C48" s="173"/>
      <c r="D48" s="15">
        <f>IF(F3="1",SUMIF(Data!A:A,'3'!$A$2,Data!DG:DG),0)</f>
        <v>51647</v>
      </c>
      <c r="E48" s="18">
        <f>IF(F3="1",SUMIF(Data!$A:$A,'3'!$A$2,Data!JA:JA),0)</f>
        <v>49839</v>
      </c>
      <c r="F48" s="22">
        <f t="shared" si="3"/>
        <v>0.96</v>
      </c>
    </row>
    <row r="49" spans="1:6" ht="14.25" customHeight="1" x14ac:dyDescent="0.2">
      <c r="A49" s="20">
        <v>14</v>
      </c>
      <c r="B49" s="172" t="s">
        <v>469</v>
      </c>
      <c r="C49" s="173"/>
      <c r="D49" s="15">
        <f>IF(F3="1",SUMIF(Data!A:A,'3'!$A$2,Data!DH:DH),0)</f>
        <v>271372</v>
      </c>
      <c r="E49" s="18">
        <f>IF(F3="1",SUMIF(Data!$A:$A,'3'!$A$2,Data!JB:JB),0)</f>
        <v>305033</v>
      </c>
      <c r="F49" s="22">
        <f t="shared" si="3"/>
        <v>1.1200000000000001</v>
      </c>
    </row>
    <row r="50" spans="1:6" x14ac:dyDescent="0.2">
      <c r="A50" s="20">
        <v>15</v>
      </c>
      <c r="B50" s="172" t="s">
        <v>13</v>
      </c>
      <c r="C50" s="173"/>
      <c r="D50" s="15">
        <f>IF(F3="1",SUMIF(Data!A:A,'3'!$A$2,Data!DI:DI),0)</f>
        <v>51779</v>
      </c>
      <c r="E50" s="18">
        <f>IF(F3="1",SUMIF(Data!$A:$A,'3'!$A$2,Data!JC:JC),0)</f>
        <v>64963</v>
      </c>
      <c r="F50" s="22">
        <f t="shared" si="3"/>
        <v>1.25</v>
      </c>
    </row>
    <row r="51" spans="1:6" x14ac:dyDescent="0.2">
      <c r="A51" s="20">
        <v>16</v>
      </c>
      <c r="B51" s="172" t="s">
        <v>14</v>
      </c>
      <c r="C51" s="173"/>
      <c r="D51" s="15">
        <f>IF(F3="1",SUMIF(Data!A:A,'3'!$A$2,Data!DJ:DJ),0)</f>
        <v>316056</v>
      </c>
      <c r="E51" s="18">
        <f>IF(F3="1",SUMIF(Data!$A:$A,'3'!$A$2,Data!JD:JD),0)</f>
        <v>397059</v>
      </c>
      <c r="F51" s="22">
        <f t="shared" si="3"/>
        <v>1.26</v>
      </c>
    </row>
    <row r="52" spans="1:6" x14ac:dyDescent="0.2">
      <c r="A52" s="20">
        <v>17</v>
      </c>
      <c r="B52" s="172" t="s">
        <v>15</v>
      </c>
      <c r="C52" s="173"/>
      <c r="D52" s="15">
        <f>IF(F3="1",SUMIF(Data!A:A,'3'!$A$2,Data!DK:DK),0)</f>
        <v>32800</v>
      </c>
      <c r="E52" s="18">
        <f>IF(F3="1",SUMIF(Data!$A:$A,'3'!$A$2,Data!JE:JE),0)</f>
        <v>34028</v>
      </c>
      <c r="F52" s="22">
        <f t="shared" si="3"/>
        <v>1.04</v>
      </c>
    </row>
    <row r="53" spans="1:6" x14ac:dyDescent="0.2">
      <c r="A53" s="20">
        <v>18</v>
      </c>
      <c r="B53" s="172" t="s">
        <v>16</v>
      </c>
      <c r="C53" s="173"/>
      <c r="D53" s="15">
        <f>IF(F3="1",SUMIF(Data!A:A,'3'!$A$2,Data!DL:DL),0)</f>
        <v>106288</v>
      </c>
      <c r="E53" s="18">
        <f>IF(F3="1",SUMIF(Data!$A:$A,'3'!$A$2,Data!JF:JF),0)</f>
        <v>97401</v>
      </c>
      <c r="F53" s="22">
        <f t="shared" si="3"/>
        <v>0.92</v>
      </c>
    </row>
    <row r="54" spans="1:6" x14ac:dyDescent="0.2">
      <c r="A54" s="20">
        <v>19</v>
      </c>
      <c r="B54" s="172" t="s">
        <v>17</v>
      </c>
      <c r="C54" s="173"/>
      <c r="D54" s="15">
        <f>IF(F3="1",SUMIF(Data!A:A,'3'!$A$2,Data!DM:DM),0)</f>
        <v>517872</v>
      </c>
      <c r="E54" s="18">
        <f>IF(F3="1",SUMIF(Data!$A:$A,'3'!$A$2,Data!JG:JG),0)</f>
        <v>557080</v>
      </c>
      <c r="F54" s="22">
        <f t="shared" si="3"/>
        <v>1.08</v>
      </c>
    </row>
    <row r="55" spans="1:6" x14ac:dyDescent="0.2">
      <c r="A55" s="20">
        <v>20</v>
      </c>
      <c r="B55" s="172" t="s">
        <v>18</v>
      </c>
      <c r="C55" s="173"/>
      <c r="D55" s="15">
        <f>IF(F3="1",SUMIF(Data!A:A,'3'!$A$2,Data!DN:DN),0)</f>
        <v>55885</v>
      </c>
      <c r="E55" s="18">
        <f>IF(F3="1",SUMIF(Data!$A:$A,'3'!$A$2,Data!JH:JH),0)</f>
        <v>74596</v>
      </c>
      <c r="F55" s="22">
        <f t="shared" si="3"/>
        <v>1.33</v>
      </c>
    </row>
    <row r="56" spans="1:6" ht="14.25" customHeight="1" x14ac:dyDescent="0.2">
      <c r="A56" s="20">
        <v>21</v>
      </c>
      <c r="B56" s="172" t="s">
        <v>466</v>
      </c>
      <c r="C56" s="173"/>
      <c r="D56" s="15">
        <f>IF(F3="1",SUMIF(Data!A:A,'3'!$A$2,Data!DO:DO),0)</f>
        <v>160552</v>
      </c>
      <c r="E56" s="18">
        <f>IF(F3="1",SUMIF(Data!$A:$A,'3'!$A$2,Data!JI:JI),0)</f>
        <v>212592</v>
      </c>
      <c r="F56" s="22">
        <f t="shared" si="3"/>
        <v>1.32</v>
      </c>
    </row>
    <row r="57" spans="1:6" x14ac:dyDescent="0.2">
      <c r="A57" s="20">
        <v>22</v>
      </c>
      <c r="B57" s="172" t="s">
        <v>19</v>
      </c>
      <c r="C57" s="173"/>
      <c r="D57" s="15">
        <f>IF(F3="1",SUMIF(Data!A:A,'3'!$A$2,Data!DP:DP),0)</f>
        <v>10048</v>
      </c>
      <c r="E57" s="18">
        <f>IF(F3="1",SUMIF(Data!$A:$A,'3'!$A$2,Data!JJ:JJ),0)</f>
        <v>11087</v>
      </c>
      <c r="F57" s="22">
        <f t="shared" si="3"/>
        <v>1.1000000000000001</v>
      </c>
    </row>
    <row r="58" spans="1:6" x14ac:dyDescent="0.2">
      <c r="A58" s="20">
        <v>23</v>
      </c>
      <c r="B58" s="172" t="s">
        <v>20</v>
      </c>
      <c r="C58" s="173"/>
      <c r="D58" s="15">
        <f>IF(F3="1",SUMIF(Data!A:A,'3'!$A$2,Data!DQ:DQ),0)</f>
        <v>91872</v>
      </c>
      <c r="E58" s="18">
        <f>IF(F3="1",SUMIF(Data!$A:$A,'3'!$A$2,Data!JK:JK),0)</f>
        <v>38393</v>
      </c>
      <c r="F58" s="22">
        <f t="shared" si="3"/>
        <v>0.42</v>
      </c>
    </row>
    <row r="59" spans="1:6" x14ac:dyDescent="0.2">
      <c r="A59" s="20">
        <v>24</v>
      </c>
      <c r="B59" s="172" t="s">
        <v>21</v>
      </c>
      <c r="C59" s="173"/>
      <c r="D59" s="15">
        <f>IF(F3="1",SUMIF(Data!A:A,'3'!$A$2,Data!DR:DR),0)</f>
        <v>239137</v>
      </c>
      <c r="E59" s="18">
        <f>IF(F3="1",SUMIF(Data!$A:$A,'3'!$A$2,Data!JL:JL),0)</f>
        <v>618598</v>
      </c>
      <c r="F59" s="22">
        <f t="shared" si="3"/>
        <v>2.59</v>
      </c>
    </row>
    <row r="60" spans="1:6" x14ac:dyDescent="0.2">
      <c r="A60" s="20">
        <v>25</v>
      </c>
      <c r="B60" s="172" t="s">
        <v>22</v>
      </c>
      <c r="C60" s="173"/>
      <c r="D60" s="15">
        <f>IF(F3="1",SUMIF(Data!A:A,'3'!$A$2,Data!DS:DS),0)</f>
        <v>557214</v>
      </c>
      <c r="E60" s="18">
        <f>IF(F3="1",SUMIF(Data!$A:$A,'3'!$A$2,Data!JM:JM),0)</f>
        <v>265878</v>
      </c>
      <c r="F60" s="22">
        <f t="shared" si="3"/>
        <v>0.48</v>
      </c>
    </row>
    <row r="61" spans="1:6" x14ac:dyDescent="0.2">
      <c r="A61" s="20">
        <v>26</v>
      </c>
      <c r="B61" s="172" t="s">
        <v>23</v>
      </c>
      <c r="C61" s="173"/>
      <c r="D61" s="15">
        <f>IF(F3="1",SUMIF(Data!A:A,'3'!$A$2,Data!DT:DT),0)</f>
        <v>229168</v>
      </c>
      <c r="E61" s="18">
        <f>IF(F3="1",SUMIF(Data!$A:$A,'3'!$A$2,Data!JN:JN),0)</f>
        <v>207341</v>
      </c>
      <c r="F61" s="22">
        <f t="shared" si="3"/>
        <v>0.9</v>
      </c>
    </row>
    <row r="62" spans="1:6" x14ac:dyDescent="0.2">
      <c r="A62" s="20">
        <v>28</v>
      </c>
      <c r="B62" s="172" t="s">
        <v>24</v>
      </c>
      <c r="C62" s="173"/>
      <c r="D62" s="15">
        <f>IF(F3="1",SUMIF(Data!A:A,'3'!$A$2,Data!DV:DV),0)</f>
        <v>0</v>
      </c>
      <c r="E62" s="18">
        <f>IF(F3="1",SUMIF(Data!$A:$A,'3'!$A$2,Data!JP:JP),0)</f>
        <v>0</v>
      </c>
      <c r="F62" s="22" t="str">
        <f t="shared" si="3"/>
        <v/>
      </c>
    </row>
    <row r="63" spans="1:6" ht="15.75" customHeight="1" thickBot="1" x14ac:dyDescent="0.25">
      <c r="A63" s="23">
        <v>29</v>
      </c>
      <c r="B63" s="174" t="s">
        <v>25</v>
      </c>
      <c r="C63" s="175"/>
      <c r="D63" s="24">
        <f>IF(F3="1",SUMIF(Data!A:A,'3'!$A$2,Data!DW:DW),0)</f>
        <v>0</v>
      </c>
      <c r="E63" s="25">
        <f>IF(F3="1",SUMIF(Data!$A:$A,'3'!$A$2,Data!JQ:JQ),0)</f>
        <v>0</v>
      </c>
      <c r="F63" s="26" t="str">
        <f t="shared" si="3"/>
        <v/>
      </c>
    </row>
    <row r="64" spans="1:6" x14ac:dyDescent="0.2">
      <c r="B64" s="31" t="s">
        <v>35</v>
      </c>
      <c r="C64" s="31"/>
      <c r="D64" s="61">
        <f>SUM(D36:D63)</f>
        <v>4635592</v>
      </c>
      <c r="E64" s="32">
        <f>SUM(E36:E63)</f>
        <v>5472376</v>
      </c>
      <c r="F64" s="33">
        <f t="shared" si="3"/>
        <v>1.18</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10184</v>
      </c>
      <c r="E67" s="16">
        <f>IF(F3="1",SUMIF(Data!A:A,'3'!$A$2,Data!DY:DY),0)</f>
        <v>29498</v>
      </c>
      <c r="F67" s="21">
        <f t="shared" ref="F67:F95" si="4">IF(D67=0,"",ROUND(E67/D67,2))</f>
        <v>2.9</v>
      </c>
    </row>
    <row r="68" spans="1:6" x14ac:dyDescent="0.2">
      <c r="A68" s="20">
        <v>2</v>
      </c>
      <c r="B68" s="172" t="s">
        <v>1</v>
      </c>
      <c r="C68" s="173"/>
      <c r="D68" s="15">
        <f t="shared" ref="D68:D94" si="5">D37</f>
        <v>36887</v>
      </c>
      <c r="E68" s="18">
        <f>IF(F3="1",SUMIF(Data!A:A,'3'!$A$2,Data!DZ:DZ),0)</f>
        <v>118767</v>
      </c>
      <c r="F68" s="22">
        <f t="shared" si="4"/>
        <v>3.22</v>
      </c>
    </row>
    <row r="69" spans="1:6" ht="14.25" customHeight="1" x14ac:dyDescent="0.2">
      <c r="A69" s="20">
        <v>3</v>
      </c>
      <c r="B69" s="172" t="s">
        <v>2</v>
      </c>
      <c r="C69" s="173"/>
      <c r="D69" s="15">
        <f t="shared" si="5"/>
        <v>460304</v>
      </c>
      <c r="E69" s="18">
        <f>IF(F3="1",SUMIF(Data!A:A,'3'!$A$2,Data!EA:EA),0)</f>
        <v>1272068</v>
      </c>
      <c r="F69" s="22">
        <f t="shared" si="4"/>
        <v>2.76</v>
      </c>
    </row>
    <row r="70" spans="1:6" ht="14.25" customHeight="1" x14ac:dyDescent="0.2">
      <c r="A70" s="20">
        <v>4</v>
      </c>
      <c r="B70" s="172" t="s">
        <v>3</v>
      </c>
      <c r="C70" s="173"/>
      <c r="D70" s="15">
        <f t="shared" si="5"/>
        <v>402514</v>
      </c>
      <c r="E70" s="18">
        <f>IF(F3="1",SUMIF(Data!A:A,'3'!$A$2,Data!EB:EB),0)</f>
        <v>1220383</v>
      </c>
      <c r="F70" s="22">
        <f t="shared" si="4"/>
        <v>3.03</v>
      </c>
    </row>
    <row r="71" spans="1:6" x14ac:dyDescent="0.2">
      <c r="A71" s="20">
        <v>5</v>
      </c>
      <c r="B71" s="172" t="s">
        <v>4</v>
      </c>
      <c r="C71" s="173"/>
      <c r="D71" s="15">
        <f t="shared" si="5"/>
        <v>0</v>
      </c>
      <c r="E71" s="18">
        <f>IF(F3="1",SUMIF(Data!A:A,'3'!$A$2,Data!EC:EC),0)</f>
        <v>0</v>
      </c>
      <c r="F71" s="22" t="str">
        <f t="shared" si="4"/>
        <v/>
      </c>
    </row>
    <row r="72" spans="1:6" x14ac:dyDescent="0.2">
      <c r="A72" s="20">
        <v>6</v>
      </c>
      <c r="B72" s="172" t="s">
        <v>5</v>
      </c>
      <c r="C72" s="173"/>
      <c r="D72" s="15">
        <f t="shared" si="5"/>
        <v>41856</v>
      </c>
      <c r="E72" s="18">
        <f>IF(F3="1",SUMIF(Data!A:A,'3'!$A$2,Data!ED:ED),0)</f>
        <v>130174</v>
      </c>
      <c r="F72" s="22">
        <f t="shared" si="4"/>
        <v>3.11</v>
      </c>
    </row>
    <row r="73" spans="1:6" x14ac:dyDescent="0.2">
      <c r="A73" s="20">
        <v>7</v>
      </c>
      <c r="B73" s="172" t="s">
        <v>6</v>
      </c>
      <c r="C73" s="173"/>
      <c r="D73" s="15">
        <f t="shared" si="5"/>
        <v>73443</v>
      </c>
      <c r="E73" s="18">
        <f>IF(F3="1",SUMIF(Data!A:A,'3'!$A$2,Data!EE:EE),0)</f>
        <v>234242</v>
      </c>
      <c r="F73" s="22">
        <f t="shared" si="4"/>
        <v>3.19</v>
      </c>
    </row>
    <row r="74" spans="1:6" x14ac:dyDescent="0.2">
      <c r="A74" s="20">
        <v>8</v>
      </c>
      <c r="B74" s="172" t="s">
        <v>7</v>
      </c>
      <c r="C74" s="173"/>
      <c r="D74" s="15">
        <f t="shared" si="5"/>
        <v>4518</v>
      </c>
      <c r="E74" s="18">
        <f>IF(F3="1",SUMIF(Data!A:A,'3'!$A$2,Data!EF:EF),0)</f>
        <v>13299</v>
      </c>
      <c r="F74" s="22">
        <f t="shared" si="4"/>
        <v>2.94</v>
      </c>
    </row>
    <row r="75" spans="1:6" x14ac:dyDescent="0.2">
      <c r="A75" s="20">
        <v>9</v>
      </c>
      <c r="B75" s="172" t="s">
        <v>8</v>
      </c>
      <c r="C75" s="173"/>
      <c r="D75" s="15">
        <f t="shared" si="5"/>
        <v>179293</v>
      </c>
      <c r="E75" s="18">
        <f>IF(F3="1",SUMIF(Data!A:A,'3'!$A$2,Data!EG:EG),0)</f>
        <v>436103</v>
      </c>
      <c r="F75" s="22">
        <f t="shared" si="4"/>
        <v>2.4300000000000002</v>
      </c>
    </row>
    <row r="76" spans="1:6" x14ac:dyDescent="0.2">
      <c r="A76" s="20">
        <v>10</v>
      </c>
      <c r="B76" s="172" t="s">
        <v>9</v>
      </c>
      <c r="C76" s="173"/>
      <c r="D76" s="15">
        <f t="shared" si="5"/>
        <v>2400</v>
      </c>
      <c r="E76" s="18">
        <f>IF(F3="1",SUMIF(Data!A:A,'3'!$A$2,Data!EH:EH),0)</f>
        <v>6644</v>
      </c>
      <c r="F76" s="22">
        <f t="shared" si="4"/>
        <v>2.77</v>
      </c>
    </row>
    <row r="77" spans="1:6" x14ac:dyDescent="0.2">
      <c r="A77" s="20">
        <v>11</v>
      </c>
      <c r="B77" s="172" t="s">
        <v>10</v>
      </c>
      <c r="C77" s="173"/>
      <c r="D77" s="15">
        <f t="shared" si="5"/>
        <v>135552</v>
      </c>
      <c r="E77" s="18">
        <f>IF(F3="1",SUMIF(Data!A:A,'3'!$A$2,Data!EI:EI),0)</f>
        <v>392344</v>
      </c>
      <c r="F77" s="22">
        <f t="shared" si="4"/>
        <v>2.89</v>
      </c>
    </row>
    <row r="78" spans="1:6" ht="14.25" customHeight="1" x14ac:dyDescent="0.2">
      <c r="A78" s="20">
        <v>12</v>
      </c>
      <c r="B78" s="172" t="s">
        <v>11</v>
      </c>
      <c r="C78" s="173"/>
      <c r="D78" s="15">
        <f t="shared" si="5"/>
        <v>596951</v>
      </c>
      <c r="E78" s="18">
        <f>IF(F3="1",SUMIF(Data!A:A,'3'!$A$2,Data!EJ:EJ),0)</f>
        <v>1943460</v>
      </c>
      <c r="F78" s="22">
        <f t="shared" si="4"/>
        <v>3.26</v>
      </c>
    </row>
    <row r="79" spans="1:6" x14ac:dyDescent="0.2">
      <c r="A79" s="20">
        <v>13</v>
      </c>
      <c r="B79" s="172" t="s">
        <v>12</v>
      </c>
      <c r="C79" s="173"/>
      <c r="D79" s="15">
        <f t="shared" si="5"/>
        <v>51647</v>
      </c>
      <c r="E79" s="18">
        <f>IF(F3="1",SUMIF(Data!A:A,'3'!$A$2,Data!EK:EK),0)</f>
        <v>161352</v>
      </c>
      <c r="F79" s="22">
        <f t="shared" si="4"/>
        <v>3.12</v>
      </c>
    </row>
    <row r="80" spans="1:6" ht="14.25" customHeight="1" x14ac:dyDescent="0.2">
      <c r="A80" s="20">
        <v>14</v>
      </c>
      <c r="B80" s="172" t="s">
        <v>469</v>
      </c>
      <c r="C80" s="173"/>
      <c r="D80" s="15">
        <f t="shared" si="5"/>
        <v>271372</v>
      </c>
      <c r="E80" s="18">
        <f>IF(F3="1",SUMIF(Data!A:A,'3'!$A$2,Data!EL:EL),0)</f>
        <v>1026784</v>
      </c>
      <c r="F80" s="22">
        <f t="shared" si="4"/>
        <v>3.78</v>
      </c>
    </row>
    <row r="81" spans="1:6" x14ac:dyDescent="0.2">
      <c r="A81" s="20">
        <v>15</v>
      </c>
      <c r="B81" s="172" t="s">
        <v>13</v>
      </c>
      <c r="C81" s="173"/>
      <c r="D81" s="15">
        <f t="shared" si="5"/>
        <v>51779</v>
      </c>
      <c r="E81" s="18">
        <f>IF(F3="1",SUMIF(Data!A:A,'3'!$A$2,Data!EM:EM),0)</f>
        <v>175670</v>
      </c>
      <c r="F81" s="22">
        <f t="shared" si="4"/>
        <v>3.39</v>
      </c>
    </row>
    <row r="82" spans="1:6" x14ac:dyDescent="0.2">
      <c r="A82" s="20">
        <v>16</v>
      </c>
      <c r="B82" s="172" t="s">
        <v>14</v>
      </c>
      <c r="C82" s="173"/>
      <c r="D82" s="15">
        <f t="shared" si="5"/>
        <v>316056</v>
      </c>
      <c r="E82" s="18">
        <f>IF(F3="1",SUMIF(Data!A:A,'3'!$A$2,Data!EN:EN),0)</f>
        <v>1031131</v>
      </c>
      <c r="F82" s="22">
        <f t="shared" si="4"/>
        <v>3.26</v>
      </c>
    </row>
    <row r="83" spans="1:6" x14ac:dyDescent="0.2">
      <c r="A83" s="20">
        <v>17</v>
      </c>
      <c r="B83" s="172" t="s">
        <v>15</v>
      </c>
      <c r="C83" s="173"/>
      <c r="D83" s="15">
        <f t="shared" si="5"/>
        <v>32800</v>
      </c>
      <c r="E83" s="18">
        <f>IF(F3="1",SUMIF(Data!A:A,'3'!$A$2,Data!EO:EO),0)</f>
        <v>121820</v>
      </c>
      <c r="F83" s="22">
        <f t="shared" si="4"/>
        <v>3.71</v>
      </c>
    </row>
    <row r="84" spans="1:6" x14ac:dyDescent="0.2">
      <c r="A84" s="20">
        <v>18</v>
      </c>
      <c r="B84" s="172" t="s">
        <v>16</v>
      </c>
      <c r="C84" s="173"/>
      <c r="D84" s="15">
        <f t="shared" si="5"/>
        <v>106288</v>
      </c>
      <c r="E84" s="18">
        <f>IF(F3="1",SUMIF(Data!A:A,'3'!$A$2,Data!EP:EP),0)</f>
        <v>439916</v>
      </c>
      <c r="F84" s="22">
        <f t="shared" si="4"/>
        <v>4.1399999999999997</v>
      </c>
    </row>
    <row r="85" spans="1:6" x14ac:dyDescent="0.2">
      <c r="A85" s="20">
        <v>19</v>
      </c>
      <c r="B85" s="172" t="s">
        <v>17</v>
      </c>
      <c r="C85" s="173"/>
      <c r="D85" s="15">
        <f t="shared" si="5"/>
        <v>517872</v>
      </c>
      <c r="E85" s="18">
        <f>IF(F3="1",SUMIF(Data!A:A,'3'!$A$2,Data!EQ:EQ),0)</f>
        <v>1452662</v>
      </c>
      <c r="F85" s="22">
        <f t="shared" si="4"/>
        <v>2.81</v>
      </c>
    </row>
    <row r="86" spans="1:6" x14ac:dyDescent="0.2">
      <c r="A86" s="20">
        <v>20</v>
      </c>
      <c r="B86" s="172" t="s">
        <v>18</v>
      </c>
      <c r="C86" s="173"/>
      <c r="D86" s="15">
        <f t="shared" si="5"/>
        <v>55885</v>
      </c>
      <c r="E86" s="18">
        <f>IF(F3="1",SUMIF(Data!A:A,'3'!$A$2,Data!ER:ER),0)</f>
        <v>179656</v>
      </c>
      <c r="F86" s="22">
        <f t="shared" si="4"/>
        <v>3.21</v>
      </c>
    </row>
    <row r="87" spans="1:6" ht="14.25" customHeight="1" x14ac:dyDescent="0.2">
      <c r="A87" s="20">
        <v>21</v>
      </c>
      <c r="B87" s="172" t="s">
        <v>466</v>
      </c>
      <c r="C87" s="173"/>
      <c r="D87" s="15">
        <f t="shared" si="5"/>
        <v>160552</v>
      </c>
      <c r="E87" s="18">
        <f>IF(F3="1",SUMIF(Data!A:A,'3'!$A$2,Data!ES:ES),0)</f>
        <v>516936</v>
      </c>
      <c r="F87" s="22">
        <f t="shared" si="4"/>
        <v>3.22</v>
      </c>
    </row>
    <row r="88" spans="1:6" x14ac:dyDescent="0.2">
      <c r="A88" s="20">
        <v>22</v>
      </c>
      <c r="B88" s="172" t="s">
        <v>19</v>
      </c>
      <c r="C88" s="173"/>
      <c r="D88" s="15">
        <f t="shared" si="5"/>
        <v>10048</v>
      </c>
      <c r="E88" s="18">
        <f>IF(F3="1",SUMIF(Data!A:A,'3'!$A$2,Data!ET:ET),0)</f>
        <v>30829</v>
      </c>
      <c r="F88" s="22">
        <f t="shared" si="4"/>
        <v>3.07</v>
      </c>
    </row>
    <row r="89" spans="1:6" x14ac:dyDescent="0.2">
      <c r="A89" s="20">
        <v>23</v>
      </c>
      <c r="B89" s="172" t="s">
        <v>20</v>
      </c>
      <c r="C89" s="173"/>
      <c r="D89" s="15">
        <f t="shared" si="5"/>
        <v>91872</v>
      </c>
      <c r="E89" s="18">
        <f>IF(F3="1",SUMIF(Data!A:A,'3'!$A$2,Data!EU:EU),0)</f>
        <v>162974</v>
      </c>
      <c r="F89" s="22">
        <f t="shared" si="4"/>
        <v>1.77</v>
      </c>
    </row>
    <row r="90" spans="1:6" x14ac:dyDescent="0.2">
      <c r="A90" s="20">
        <v>24</v>
      </c>
      <c r="B90" s="172" t="s">
        <v>21</v>
      </c>
      <c r="C90" s="173"/>
      <c r="D90" s="15">
        <f t="shared" si="5"/>
        <v>239137</v>
      </c>
      <c r="E90" s="18">
        <f>IF(F3="1",SUMIF(Data!A:A,'3'!$A$2,Data!EV:EV),0)</f>
        <v>338886</v>
      </c>
      <c r="F90" s="22">
        <f t="shared" si="4"/>
        <v>1.42</v>
      </c>
    </row>
    <row r="91" spans="1:6" x14ac:dyDescent="0.2">
      <c r="A91" s="20">
        <v>25</v>
      </c>
      <c r="B91" s="172" t="s">
        <v>22</v>
      </c>
      <c r="C91" s="173"/>
      <c r="D91" s="15">
        <f t="shared" si="5"/>
        <v>557214</v>
      </c>
      <c r="E91" s="18">
        <f>IF(F3="1",SUMIF(Data!A:A,'3'!$A$2,Data!EW:EW),0)</f>
        <v>1061761</v>
      </c>
      <c r="F91" s="22">
        <f t="shared" si="4"/>
        <v>1.91</v>
      </c>
    </row>
    <row r="92" spans="1:6" x14ac:dyDescent="0.2">
      <c r="A92" s="20">
        <v>26</v>
      </c>
      <c r="B92" s="172" t="s">
        <v>23</v>
      </c>
      <c r="C92" s="173"/>
      <c r="D92" s="15">
        <f t="shared" si="5"/>
        <v>229168</v>
      </c>
      <c r="E92" s="18">
        <f>IF(F3="1",SUMIF(Data!A:A,'3'!$A$2,Data!EX:EX),0)</f>
        <v>725566</v>
      </c>
      <c r="F92" s="22">
        <f t="shared" si="4"/>
        <v>3.17</v>
      </c>
    </row>
    <row r="93" spans="1:6" x14ac:dyDescent="0.2">
      <c r="A93" s="20">
        <v>28</v>
      </c>
      <c r="B93" s="172" t="s">
        <v>24</v>
      </c>
      <c r="C93" s="173"/>
      <c r="D93" s="15">
        <f t="shared" si="5"/>
        <v>0</v>
      </c>
      <c r="E93" s="18">
        <f>IF(F3="1",SUMIF(Data!A:A,'3'!$A$2,Data!EZ:EZ),0)</f>
        <v>0</v>
      </c>
      <c r="F93" s="22" t="str">
        <f t="shared" si="4"/>
        <v/>
      </c>
    </row>
    <row r="94" spans="1:6" ht="15.75" customHeight="1" thickBot="1" x14ac:dyDescent="0.25">
      <c r="A94" s="23">
        <v>29</v>
      </c>
      <c r="B94" s="174" t="s">
        <v>25</v>
      </c>
      <c r="C94" s="175"/>
      <c r="D94" s="24">
        <f t="shared" si="5"/>
        <v>0</v>
      </c>
      <c r="E94" s="25">
        <f>IF(F3="1",SUMIF(Data!A:A,'3'!$A$2,Data!FA:FA),0)</f>
        <v>0</v>
      </c>
      <c r="F94" s="26" t="str">
        <f t="shared" si="4"/>
        <v/>
      </c>
    </row>
    <row r="95" spans="1:6" x14ac:dyDescent="0.2">
      <c r="B95" s="31" t="s">
        <v>35</v>
      </c>
      <c r="C95" s="31"/>
      <c r="D95" s="61">
        <f>SUM(D67:D94)</f>
        <v>4635592</v>
      </c>
      <c r="E95" s="32">
        <f>SUM(E67:E94)</f>
        <v>13222925</v>
      </c>
      <c r="F95" s="33">
        <f t="shared" si="4"/>
        <v>2.85</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IF(F3="1",SUMIF(Data!A:A,'3'!$A$2,Data!AH:AH),0)</f>
        <v>8637567</v>
      </c>
      <c r="F98" s="21">
        <f>IF($D$105=0,"",ROUND(E98/$D$105,2))</f>
        <v>1.86</v>
      </c>
    </row>
    <row r="99" spans="2:6" x14ac:dyDescent="0.2">
      <c r="B99" s="178" t="s">
        <v>31</v>
      </c>
      <c r="C99" s="179"/>
      <c r="D99" s="37"/>
      <c r="E99" s="18">
        <f>IF(F3="1",SUMIF(Data!A:A,'3'!$A$2,Data!AI:AI),0)</f>
        <v>2450016</v>
      </c>
      <c r="F99" s="22">
        <f t="shared" ref="F99:F105" si="6">IF($D$105=0,"",ROUND(E99/$D$105,2))</f>
        <v>0.53</v>
      </c>
    </row>
    <row r="100" spans="2:6" x14ac:dyDescent="0.2">
      <c r="B100" s="178" t="s">
        <v>32</v>
      </c>
      <c r="C100" s="179"/>
      <c r="D100" s="37"/>
      <c r="E100" s="18">
        <f>IF(F3="1",SUMIF(Data!A:A,'3'!$A$2,Data!AJ:AJ),0)</f>
        <v>2441245</v>
      </c>
      <c r="F100" s="22">
        <f t="shared" si="6"/>
        <v>0.53</v>
      </c>
    </row>
    <row r="101" spans="2:6" x14ac:dyDescent="0.2">
      <c r="B101" s="178" t="s">
        <v>28</v>
      </c>
      <c r="C101" s="179"/>
      <c r="D101" s="37"/>
      <c r="E101" s="18">
        <f>IF(F3="1",SUMIF(Data!A:A,'3'!$A$2,Data!AK:AK),0)</f>
        <v>0</v>
      </c>
      <c r="F101" s="22">
        <f t="shared" si="6"/>
        <v>0</v>
      </c>
    </row>
    <row r="102" spans="2:6" x14ac:dyDescent="0.2">
      <c r="B102" s="178" t="s">
        <v>33</v>
      </c>
      <c r="C102" s="179"/>
      <c r="D102" s="37"/>
      <c r="E102" s="18">
        <f>IF(F3="1",SUMIF(Data!A:A,'3'!$A$2,Data!AL:AL),0)</f>
        <v>0</v>
      </c>
      <c r="F102" s="22">
        <f t="shared" si="6"/>
        <v>0</v>
      </c>
    </row>
    <row r="103" spans="2:6" x14ac:dyDescent="0.2">
      <c r="B103" s="180" t="s">
        <v>34</v>
      </c>
      <c r="C103" s="181"/>
      <c r="D103" s="37"/>
      <c r="E103" s="18">
        <f>IF(F3="1",SUMIF(Data!A:A,'3'!$A$2,Data!AM:AM),0)</f>
        <v>684155</v>
      </c>
      <c r="F103" s="22">
        <f t="shared" si="6"/>
        <v>0.15</v>
      </c>
    </row>
    <row r="104" spans="2:6" ht="15.75" customHeight="1" thickBot="1" x14ac:dyDescent="0.25">
      <c r="B104" s="170" t="s">
        <v>29</v>
      </c>
      <c r="C104" s="171"/>
      <c r="D104" s="38"/>
      <c r="E104" s="25">
        <f>IF(F3="1",SUMIF(Data!A:A,'3'!$A$2,Data!Q:Q),0)</f>
        <v>1603992</v>
      </c>
      <c r="F104" s="26">
        <f t="shared" si="6"/>
        <v>0.35</v>
      </c>
    </row>
    <row r="105" spans="2:6" x14ac:dyDescent="0.2">
      <c r="B105" s="31" t="s">
        <v>35</v>
      </c>
      <c r="C105" s="31"/>
      <c r="D105" s="35">
        <f>D95</f>
        <v>4635592</v>
      </c>
      <c r="E105" s="32">
        <f>SUM(E98:E104)</f>
        <v>15816975</v>
      </c>
      <c r="F105" s="33">
        <f t="shared" si="6"/>
        <v>3.41</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16153721</v>
      </c>
      <c r="D109" s="16">
        <f>IF(F3="1",SUMIF(Data!$A:$A,$A$2,Data!HJ:HJ),0)</f>
        <v>1680936</v>
      </c>
      <c r="E109" s="16">
        <f>IF(F3="1",SUMIF(Data!$A:$A,$A$2,Data!IN:IN),0)</f>
        <v>1423740</v>
      </c>
      <c r="F109" s="48">
        <f>SUM(C109:E109)</f>
        <v>19258397</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1657470</v>
      </c>
      <c r="D111" s="52"/>
      <c r="E111" s="51">
        <f>IF(F3="1",SUMIF(Data!A:A,$A$2,Data!AX:AX),0)</f>
        <v>647884</v>
      </c>
      <c r="F111" s="49">
        <f t="shared" si="7"/>
        <v>2305354</v>
      </c>
    </row>
    <row r="112" spans="2:6" x14ac:dyDescent="0.2">
      <c r="B112" s="43" t="s">
        <v>32</v>
      </c>
      <c r="C112" s="51">
        <f>IF(F3="1",SUMIF(Data!A:A,$A$2,Data!V:V),0)</f>
        <v>2148130</v>
      </c>
      <c r="D112" s="52"/>
      <c r="E112" s="51">
        <f>IF(F3="1",SUMIF(Data!A:A,$A$2,Data!AC:AC),0)</f>
        <v>293115</v>
      </c>
      <c r="F112" s="49">
        <f t="shared" si="7"/>
        <v>2441245</v>
      </c>
    </row>
    <row r="113" spans="1:6" x14ac:dyDescent="0.2">
      <c r="B113" s="43" t="s">
        <v>31</v>
      </c>
      <c r="C113" s="51">
        <f>IF(F3="1",SUMIF(Data!A:A,$A$2,Data!U:U),0)</f>
        <v>2143779</v>
      </c>
      <c r="D113" s="52"/>
      <c r="E113" s="51">
        <f>IF(F3="1",SUMIF(Data!A:A,$A$2,Data!AB:AB),0)</f>
        <v>306237</v>
      </c>
      <c r="F113" s="49">
        <f t="shared" si="7"/>
        <v>2450016</v>
      </c>
    </row>
    <row r="114" spans="1:6" x14ac:dyDescent="0.2">
      <c r="B114" s="43" t="s">
        <v>1021</v>
      </c>
      <c r="C114" s="51">
        <f>IF(F3="1",SUMIF(Data!A:A,$A$2,Data!T:T),0)</f>
        <v>4860174</v>
      </c>
      <c r="D114" s="52"/>
      <c r="E114" s="51">
        <f>IF(F3="1",SUMIF(Data!A:A,$A$2,Data!AA:AA),0)</f>
        <v>3777393</v>
      </c>
      <c r="F114" s="49">
        <f t="shared" si="7"/>
        <v>8637567</v>
      </c>
    </row>
    <row r="115" spans="1:6" x14ac:dyDescent="0.2">
      <c r="B115" s="43" t="s">
        <v>937</v>
      </c>
      <c r="C115" s="51">
        <f>IF(F3="1",SUMIF(Data!A:A,$A$2,Data!BI:BI),0)</f>
        <v>2226716</v>
      </c>
      <c r="D115" s="51">
        <f>IF(F3="1",SUMIF(Data!A:A,$A$2,Data!BL:BL),0)</f>
        <v>819728</v>
      </c>
      <c r="E115" s="51">
        <f>IF(F3="1",SUMIF(Data!A:A,$A$2,Data!BU:BU),0)</f>
        <v>2929428</v>
      </c>
      <c r="F115" s="49">
        <f t="shared" si="7"/>
        <v>5975872</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1603992</v>
      </c>
      <c r="E117" s="53"/>
      <c r="F117" s="50">
        <f>SUM(C117:E117)</f>
        <v>1603992</v>
      </c>
    </row>
    <row r="118" spans="1:6" x14ac:dyDescent="0.2">
      <c r="B118" s="14" t="s">
        <v>35</v>
      </c>
      <c r="C118" s="5">
        <f>SUM(C109:C116)</f>
        <v>29189990</v>
      </c>
      <c r="D118" s="5">
        <f>SUM(D109:D116)</f>
        <v>2500664</v>
      </c>
      <c r="E118" s="5">
        <f>SUM(E109:E116)</f>
        <v>9377797</v>
      </c>
      <c r="F118" s="5">
        <f>SUM(F109:F116)</f>
        <v>41068451</v>
      </c>
    </row>
    <row r="119" spans="1:6" ht="15" thickBot="1" x14ac:dyDescent="0.25"/>
    <row r="120" spans="1:6" ht="15" thickBot="1" x14ac:dyDescent="0.25">
      <c r="B120" s="57" t="s">
        <v>942</v>
      </c>
      <c r="C120" s="55"/>
      <c r="D120" s="55"/>
      <c r="E120" s="55">
        <f>IF(F3="1",SUMIF(Data!A:A,'3'!$A$2,Data!AM:AM),0)</f>
        <v>684155</v>
      </c>
      <c r="F120" s="56">
        <f>SUM(C120:E120)</f>
        <v>684155</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422</v>
      </c>
      <c r="B2" s="60" t="str">
        <f>VLOOKUP(A2,Data!A:G,7,0)</f>
        <v>Angelina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0</v>
      </c>
      <c r="E5" s="16">
        <f>E36+E67+IFERROR($E$105/$D$105*D5,0)</f>
        <v>0</v>
      </c>
      <c r="F5" s="21" t="str">
        <f>IF(OR(D5=0,E5=0),"",ROUND(E5/D5,2))</f>
        <v/>
      </c>
    </row>
    <row r="6" spans="1:6" x14ac:dyDescent="0.2">
      <c r="A6" s="20">
        <v>2</v>
      </c>
      <c r="B6" s="172" t="s">
        <v>1</v>
      </c>
      <c r="C6" s="173"/>
      <c r="D6" s="15">
        <f t="shared" ref="D6:D32" si="0">D37</f>
        <v>31194</v>
      </c>
      <c r="E6" s="18">
        <f t="shared" ref="E6:E32" si="1">E37+E68+IFERROR($E$105/$D$105*D6,0)</f>
        <v>264021.54550550244</v>
      </c>
      <c r="F6" s="22">
        <f t="shared" ref="F6:F33" si="2">IF(OR(D6=0,E6=0),"",ROUND(E6/D6,2))</f>
        <v>8.4600000000000009</v>
      </c>
    </row>
    <row r="7" spans="1:6" ht="14.25" customHeight="1" x14ac:dyDescent="0.2">
      <c r="A7" s="20">
        <v>3</v>
      </c>
      <c r="B7" s="172" t="s">
        <v>2</v>
      </c>
      <c r="C7" s="173"/>
      <c r="D7" s="15">
        <f t="shared" si="0"/>
        <v>185024</v>
      </c>
      <c r="E7" s="18">
        <f t="shared" si="1"/>
        <v>997114.44302141701</v>
      </c>
      <c r="F7" s="22">
        <f t="shared" si="2"/>
        <v>5.39</v>
      </c>
    </row>
    <row r="8" spans="1:6" ht="14.25" customHeight="1" x14ac:dyDescent="0.2">
      <c r="A8" s="20">
        <v>4</v>
      </c>
      <c r="B8" s="172" t="s">
        <v>3</v>
      </c>
      <c r="C8" s="173"/>
      <c r="D8" s="15">
        <f t="shared" si="0"/>
        <v>132303</v>
      </c>
      <c r="E8" s="18">
        <f t="shared" si="1"/>
        <v>747755.86683382979</v>
      </c>
      <c r="F8" s="22">
        <f t="shared" si="2"/>
        <v>5.65</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5104</v>
      </c>
      <c r="E10" s="18">
        <f t="shared" si="1"/>
        <v>64251.809522987896</v>
      </c>
      <c r="F10" s="22">
        <f t="shared" si="2"/>
        <v>12.59</v>
      </c>
    </row>
    <row r="11" spans="1:6" x14ac:dyDescent="0.2">
      <c r="A11" s="20">
        <v>7</v>
      </c>
      <c r="B11" s="172" t="s">
        <v>6</v>
      </c>
      <c r="C11" s="173"/>
      <c r="D11" s="15">
        <f t="shared" si="0"/>
        <v>44459</v>
      </c>
      <c r="E11" s="18">
        <f t="shared" si="1"/>
        <v>453998.29321757815</v>
      </c>
      <c r="F11" s="22">
        <f t="shared" si="2"/>
        <v>10.210000000000001</v>
      </c>
    </row>
    <row r="12" spans="1:6" x14ac:dyDescent="0.2">
      <c r="A12" s="20">
        <v>8</v>
      </c>
      <c r="B12" s="172" t="s">
        <v>7</v>
      </c>
      <c r="C12" s="173"/>
      <c r="D12" s="15">
        <f t="shared" si="0"/>
        <v>13296</v>
      </c>
      <c r="E12" s="18">
        <f t="shared" si="1"/>
        <v>74536.130763645589</v>
      </c>
      <c r="F12" s="22">
        <f t="shared" si="2"/>
        <v>5.61</v>
      </c>
    </row>
    <row r="13" spans="1:6" x14ac:dyDescent="0.2">
      <c r="A13" s="20">
        <v>9</v>
      </c>
      <c r="B13" s="172" t="s">
        <v>8</v>
      </c>
      <c r="C13" s="173"/>
      <c r="D13" s="15">
        <f t="shared" si="0"/>
        <v>55247</v>
      </c>
      <c r="E13" s="18">
        <f t="shared" si="1"/>
        <v>368070.59516389348</v>
      </c>
      <c r="F13" s="22">
        <f t="shared" si="2"/>
        <v>6.66</v>
      </c>
    </row>
    <row r="14" spans="1:6" x14ac:dyDescent="0.2">
      <c r="A14" s="20">
        <v>10</v>
      </c>
      <c r="B14" s="172" t="s">
        <v>9</v>
      </c>
      <c r="C14" s="173"/>
      <c r="D14" s="15">
        <f t="shared" si="0"/>
        <v>896</v>
      </c>
      <c r="E14" s="18">
        <f t="shared" si="1"/>
        <v>11027.910135696935</v>
      </c>
      <c r="F14" s="22">
        <f t="shared" si="2"/>
        <v>12.31</v>
      </c>
    </row>
    <row r="15" spans="1:6" x14ac:dyDescent="0.2">
      <c r="A15" s="20">
        <v>11</v>
      </c>
      <c r="B15" s="172" t="s">
        <v>10</v>
      </c>
      <c r="C15" s="173"/>
      <c r="D15" s="15">
        <f t="shared" si="0"/>
        <v>41464</v>
      </c>
      <c r="E15" s="18">
        <f t="shared" si="1"/>
        <v>232442.93065461796</v>
      </c>
      <c r="F15" s="22">
        <f t="shared" si="2"/>
        <v>5.61</v>
      </c>
    </row>
    <row r="16" spans="1:6" ht="14.25" customHeight="1" x14ac:dyDescent="0.2">
      <c r="A16" s="20">
        <v>12</v>
      </c>
      <c r="B16" s="172" t="s">
        <v>11</v>
      </c>
      <c r="C16" s="173"/>
      <c r="D16" s="15">
        <f t="shared" si="0"/>
        <v>372632</v>
      </c>
      <c r="E16" s="18">
        <f t="shared" si="1"/>
        <v>2001940.0733091743</v>
      </c>
      <c r="F16" s="22">
        <f t="shared" si="2"/>
        <v>5.37</v>
      </c>
    </row>
    <row r="17" spans="1:6" x14ac:dyDescent="0.2">
      <c r="A17" s="20">
        <v>13</v>
      </c>
      <c r="B17" s="172" t="s">
        <v>12</v>
      </c>
      <c r="C17" s="173"/>
      <c r="D17" s="15">
        <f t="shared" si="0"/>
        <v>26496</v>
      </c>
      <c r="E17" s="18">
        <f t="shared" si="1"/>
        <v>144625.91401275221</v>
      </c>
      <c r="F17" s="22">
        <f t="shared" si="2"/>
        <v>5.46</v>
      </c>
    </row>
    <row r="18" spans="1:6" ht="14.25" customHeight="1" x14ac:dyDescent="0.2">
      <c r="A18" s="20">
        <v>14</v>
      </c>
      <c r="B18" s="172" t="s">
        <v>469</v>
      </c>
      <c r="C18" s="173"/>
      <c r="D18" s="15">
        <f t="shared" si="0"/>
        <v>143234</v>
      </c>
      <c r="E18" s="18">
        <f t="shared" si="1"/>
        <v>1372529.2905986772</v>
      </c>
      <c r="F18" s="22">
        <f t="shared" si="2"/>
        <v>9.58</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177646</v>
      </c>
      <c r="E20" s="18">
        <f t="shared" si="1"/>
        <v>1038474.2767477876</v>
      </c>
      <c r="F20" s="22">
        <f t="shared" si="2"/>
        <v>5.85</v>
      </c>
    </row>
    <row r="21" spans="1:6" x14ac:dyDescent="0.2">
      <c r="A21" s="20">
        <v>17</v>
      </c>
      <c r="B21" s="172" t="s">
        <v>15</v>
      </c>
      <c r="C21" s="173"/>
      <c r="D21" s="15">
        <f t="shared" si="0"/>
        <v>39040</v>
      </c>
      <c r="E21" s="18">
        <f t="shared" si="1"/>
        <v>311357.6559125093</v>
      </c>
      <c r="F21" s="22">
        <f t="shared" si="2"/>
        <v>7.98</v>
      </c>
    </row>
    <row r="22" spans="1:6" x14ac:dyDescent="0.2">
      <c r="A22" s="20">
        <v>18</v>
      </c>
      <c r="B22" s="172" t="s">
        <v>16</v>
      </c>
      <c r="C22" s="173"/>
      <c r="D22" s="15">
        <f t="shared" si="0"/>
        <v>80896</v>
      </c>
      <c r="E22" s="18">
        <f t="shared" si="1"/>
        <v>504516.17225149472</v>
      </c>
      <c r="F22" s="22">
        <f t="shared" si="2"/>
        <v>6.24</v>
      </c>
    </row>
    <row r="23" spans="1:6" x14ac:dyDescent="0.2">
      <c r="A23" s="20">
        <v>19</v>
      </c>
      <c r="B23" s="172" t="s">
        <v>17</v>
      </c>
      <c r="C23" s="173"/>
      <c r="D23" s="15">
        <f t="shared" si="0"/>
        <v>201952</v>
      </c>
      <c r="E23" s="18">
        <f t="shared" si="1"/>
        <v>1378565.3880851199</v>
      </c>
      <c r="F23" s="22">
        <f t="shared" si="2"/>
        <v>6.83</v>
      </c>
    </row>
    <row r="24" spans="1:6" x14ac:dyDescent="0.2">
      <c r="A24" s="20">
        <v>20</v>
      </c>
      <c r="B24" s="172" t="s">
        <v>18</v>
      </c>
      <c r="C24" s="173"/>
      <c r="D24" s="15">
        <f t="shared" si="0"/>
        <v>10688</v>
      </c>
      <c r="E24" s="18">
        <f t="shared" si="1"/>
        <v>98374.356618670572</v>
      </c>
      <c r="F24" s="22">
        <f t="shared" si="2"/>
        <v>9.1999999999999993</v>
      </c>
    </row>
    <row r="25" spans="1:6" ht="14.25" customHeight="1" x14ac:dyDescent="0.2">
      <c r="A25" s="20">
        <v>21</v>
      </c>
      <c r="B25" s="172" t="s">
        <v>466</v>
      </c>
      <c r="C25" s="173"/>
      <c r="D25" s="15">
        <f t="shared" si="0"/>
        <v>8664</v>
      </c>
      <c r="E25" s="18">
        <f t="shared" si="1"/>
        <v>69110.863187140902</v>
      </c>
      <c r="F25" s="22">
        <f t="shared" si="2"/>
        <v>7.98</v>
      </c>
    </row>
    <row r="26" spans="1:6" x14ac:dyDescent="0.2">
      <c r="A26" s="20">
        <v>22</v>
      </c>
      <c r="B26" s="172" t="s">
        <v>19</v>
      </c>
      <c r="C26" s="173"/>
      <c r="D26" s="15">
        <f t="shared" si="0"/>
        <v>1426</v>
      </c>
      <c r="E26" s="18">
        <f t="shared" si="1"/>
        <v>8066.6203722140945</v>
      </c>
      <c r="F26" s="22">
        <f t="shared" si="2"/>
        <v>5.66</v>
      </c>
    </row>
    <row r="27" spans="1:6" x14ac:dyDescent="0.2">
      <c r="A27" s="20">
        <v>23</v>
      </c>
      <c r="B27" s="172" t="s">
        <v>20</v>
      </c>
      <c r="C27" s="173"/>
      <c r="D27" s="15">
        <f t="shared" si="0"/>
        <v>50016</v>
      </c>
      <c r="E27" s="18">
        <f t="shared" si="1"/>
        <v>319645.05507479678</v>
      </c>
      <c r="F27" s="22">
        <f t="shared" si="2"/>
        <v>6.39</v>
      </c>
    </row>
    <row r="28" spans="1:6" x14ac:dyDescent="0.2">
      <c r="A28" s="20">
        <v>24</v>
      </c>
      <c r="B28" s="172" t="s">
        <v>21</v>
      </c>
      <c r="C28" s="173"/>
      <c r="D28" s="15">
        <f t="shared" si="0"/>
        <v>117606</v>
      </c>
      <c r="E28" s="18">
        <f t="shared" si="1"/>
        <v>697422.10202988144</v>
      </c>
      <c r="F28" s="22">
        <f t="shared" si="2"/>
        <v>5.93</v>
      </c>
    </row>
    <row r="29" spans="1:6" x14ac:dyDescent="0.2">
      <c r="A29" s="20">
        <v>25</v>
      </c>
      <c r="B29" s="172" t="s">
        <v>22</v>
      </c>
      <c r="C29" s="173"/>
      <c r="D29" s="15">
        <f t="shared" si="0"/>
        <v>308880</v>
      </c>
      <c r="E29" s="18">
        <f t="shared" si="1"/>
        <v>1630989.128029095</v>
      </c>
      <c r="F29" s="22">
        <f t="shared" si="2"/>
        <v>5.28</v>
      </c>
    </row>
    <row r="30" spans="1:6" x14ac:dyDescent="0.2">
      <c r="A30" s="20">
        <v>26</v>
      </c>
      <c r="B30" s="172" t="s">
        <v>23</v>
      </c>
      <c r="C30" s="173"/>
      <c r="D30" s="15">
        <f t="shared" si="0"/>
        <v>96248</v>
      </c>
      <c r="E30" s="18">
        <f t="shared" si="1"/>
        <v>720480.57895151631</v>
      </c>
      <c r="F30" s="22">
        <f t="shared" si="2"/>
        <v>7.49</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2144411</v>
      </c>
      <c r="E33" s="32">
        <f>SUM(E5:E32)</f>
        <v>13509317</v>
      </c>
      <c r="F33" s="33">
        <f t="shared" si="2"/>
        <v>6.3</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IF(F3="1",SUMIF(Data!A:A,'4'!$A$2,Data!CU:CU),0)</f>
        <v>0</v>
      </c>
      <c r="E36" s="16">
        <f>IF(F3="1",SUMIF(Data!$A:$A,'4'!$A$2,Data!IO:IO),0)</f>
        <v>0</v>
      </c>
      <c r="F36" s="21" t="str">
        <f>IF(D36=0,"",ROUND(E36/D36,2))</f>
        <v/>
      </c>
    </row>
    <row r="37" spans="1:6" x14ac:dyDescent="0.2">
      <c r="A37" s="20">
        <v>2</v>
      </c>
      <c r="B37" s="172" t="s">
        <v>1</v>
      </c>
      <c r="C37" s="173"/>
      <c r="D37" s="15">
        <f>IF(F3="1",SUMIF(Data!A:A,'4'!$A$2,Data!CV:CV),0)</f>
        <v>31194</v>
      </c>
      <c r="E37" s="18">
        <f>IF(F3="1",SUMIF(Data!$A:$A,'4'!$A$2,Data!IP:IP),0)</f>
        <v>35188</v>
      </c>
      <c r="F37" s="22">
        <f t="shared" ref="F37:F64" si="3">IF(D37=0,"",ROUND(E37/D37,2))</f>
        <v>1.1299999999999999</v>
      </c>
    </row>
    <row r="38" spans="1:6" ht="14.25" customHeight="1" x14ac:dyDescent="0.2">
      <c r="A38" s="20">
        <v>3</v>
      </c>
      <c r="B38" s="172" t="s">
        <v>2</v>
      </c>
      <c r="C38" s="173"/>
      <c r="D38" s="15">
        <f>IF(F3="1",SUMIF(Data!A:A,'4'!$A$2,Data!CW:CW),0)</f>
        <v>185024</v>
      </c>
      <c r="E38" s="18">
        <f>IF(F3="1",SUMIF(Data!$A:$A,'4'!$A$2,Data!IQ:IQ),0)</f>
        <v>87877</v>
      </c>
      <c r="F38" s="22">
        <f t="shared" si="3"/>
        <v>0.47</v>
      </c>
    </row>
    <row r="39" spans="1:6" ht="14.25" customHeight="1" x14ac:dyDescent="0.2">
      <c r="A39" s="20">
        <v>4</v>
      </c>
      <c r="B39" s="172" t="s">
        <v>3</v>
      </c>
      <c r="C39" s="173"/>
      <c r="D39" s="15">
        <f>IF(F3="1",SUMIF(Data!A:A,'4'!$A$2,Data!CX:CX),0)</f>
        <v>132303</v>
      </c>
      <c r="E39" s="18">
        <f>IF(F3="1",SUMIF(Data!$A:$A,'4'!$A$2,Data!IR:IR),0)</f>
        <v>43654</v>
      </c>
      <c r="F39" s="22">
        <f t="shared" si="3"/>
        <v>0.33</v>
      </c>
    </row>
    <row r="40" spans="1:6" x14ac:dyDescent="0.2">
      <c r="A40" s="20">
        <v>5</v>
      </c>
      <c r="B40" s="172" t="s">
        <v>4</v>
      </c>
      <c r="C40" s="173"/>
      <c r="D40" s="15">
        <f>IF(F3="1",SUMIF(Data!A:A,'4'!$A$2,Data!CY:CY),0)</f>
        <v>0</v>
      </c>
      <c r="E40" s="18">
        <f>IF(F3="1",SUMIF(Data!$A:$A,'4'!$A$2,Data!IS:IS),0)</f>
        <v>0</v>
      </c>
      <c r="F40" s="22" t="str">
        <f t="shared" si="3"/>
        <v/>
      </c>
    </row>
    <row r="41" spans="1:6" x14ac:dyDescent="0.2">
      <c r="A41" s="20">
        <v>6</v>
      </c>
      <c r="B41" s="172" t="s">
        <v>5</v>
      </c>
      <c r="C41" s="173"/>
      <c r="D41" s="15">
        <f>IF(F3="1",SUMIF(Data!A:A,'4'!$A$2,Data!CZ:CZ),0)</f>
        <v>5104</v>
      </c>
      <c r="E41" s="18">
        <f>IF(F3="1",SUMIF(Data!$A:$A,'4'!$A$2,Data!IT:IT),0)</f>
        <v>4793</v>
      </c>
      <c r="F41" s="22">
        <f t="shared" si="3"/>
        <v>0.94</v>
      </c>
    </row>
    <row r="42" spans="1:6" x14ac:dyDescent="0.2">
      <c r="A42" s="20">
        <v>7</v>
      </c>
      <c r="B42" s="172" t="s">
        <v>6</v>
      </c>
      <c r="C42" s="173"/>
      <c r="D42" s="15">
        <f>IF(F3="1",SUMIF(Data!A:A,'4'!$A$2,Data!DA:DA),0)</f>
        <v>44459</v>
      </c>
      <c r="E42" s="18">
        <f>IF(F3="1",SUMIF(Data!$A:$A,'4'!$A$2,Data!IU:IU),0)</f>
        <v>75782</v>
      </c>
      <c r="F42" s="22">
        <f t="shared" si="3"/>
        <v>1.7</v>
      </c>
    </row>
    <row r="43" spans="1:6" x14ac:dyDescent="0.2">
      <c r="A43" s="20">
        <v>8</v>
      </c>
      <c r="B43" s="172" t="s">
        <v>7</v>
      </c>
      <c r="C43" s="173"/>
      <c r="D43" s="15">
        <f>IF(F3="1",SUMIF(Data!A:A,'4'!$A$2,Data!DB:DB),0)</f>
        <v>13296</v>
      </c>
      <c r="E43" s="18">
        <f>IF(F3="1",SUMIF(Data!$A:$A,'4'!$A$2,Data!IV:IV),0)</f>
        <v>3930</v>
      </c>
      <c r="F43" s="22">
        <f t="shared" si="3"/>
        <v>0.3</v>
      </c>
    </row>
    <row r="44" spans="1:6" x14ac:dyDescent="0.2">
      <c r="A44" s="20">
        <v>9</v>
      </c>
      <c r="B44" s="172" t="s">
        <v>8</v>
      </c>
      <c r="C44" s="173"/>
      <c r="D44" s="15">
        <f>IF(F3="1",SUMIF(Data!A:A,'4'!$A$2,Data!DC:DC),0)</f>
        <v>55247</v>
      </c>
      <c r="E44" s="18">
        <f>IF(F3="1",SUMIF(Data!$A:$A,'4'!$A$2,Data!IW:IW),0)</f>
        <v>68911</v>
      </c>
      <c r="F44" s="22">
        <f t="shared" si="3"/>
        <v>1.25</v>
      </c>
    </row>
    <row r="45" spans="1:6" x14ac:dyDescent="0.2">
      <c r="A45" s="20">
        <v>10</v>
      </c>
      <c r="B45" s="172" t="s">
        <v>9</v>
      </c>
      <c r="C45" s="173"/>
      <c r="D45" s="15">
        <f>IF(F3="1",SUMIF(Data!A:A,'4'!$A$2,Data!DD:DD),0)</f>
        <v>896</v>
      </c>
      <c r="E45" s="18">
        <f>IF(F3="1",SUMIF(Data!$A:$A,'4'!$A$2,Data!IX:IX),0)</f>
        <v>3009</v>
      </c>
      <c r="F45" s="22">
        <f t="shared" si="3"/>
        <v>3.36</v>
      </c>
    </row>
    <row r="46" spans="1:6" x14ac:dyDescent="0.2">
      <c r="A46" s="20">
        <v>11</v>
      </c>
      <c r="B46" s="172" t="s">
        <v>10</v>
      </c>
      <c r="C46" s="173"/>
      <c r="D46" s="15">
        <f>IF(F3="1",SUMIF(Data!A:A,'4'!$A$2,Data!DE:DE),0)</f>
        <v>41464</v>
      </c>
      <c r="E46" s="18">
        <f>IF(F3="1",SUMIF(Data!$A:$A,'4'!$A$2,Data!IY:IY),0)</f>
        <v>12255</v>
      </c>
      <c r="F46" s="22">
        <f t="shared" si="3"/>
        <v>0.3</v>
      </c>
    </row>
    <row r="47" spans="1:6" ht="14.25" customHeight="1" x14ac:dyDescent="0.2">
      <c r="A47" s="20">
        <v>12</v>
      </c>
      <c r="B47" s="172" t="s">
        <v>11</v>
      </c>
      <c r="C47" s="173"/>
      <c r="D47" s="15">
        <f>IF(F3="1",SUMIF(Data!A:A,'4'!$A$2,Data!DF:DF),0)</f>
        <v>372632</v>
      </c>
      <c r="E47" s="18">
        <f>IF(F3="1",SUMIF(Data!$A:$A,'4'!$A$2,Data!IZ:IZ),0)</f>
        <v>103175</v>
      </c>
      <c r="F47" s="22">
        <f t="shared" si="3"/>
        <v>0.28000000000000003</v>
      </c>
    </row>
    <row r="48" spans="1:6" x14ac:dyDescent="0.2">
      <c r="A48" s="20">
        <v>13</v>
      </c>
      <c r="B48" s="172" t="s">
        <v>12</v>
      </c>
      <c r="C48" s="173"/>
      <c r="D48" s="15">
        <f>IF(F3="1",SUMIF(Data!A:A,'4'!$A$2,Data!DG:DG),0)</f>
        <v>26496</v>
      </c>
      <c r="E48" s="18">
        <f>IF(F3="1",SUMIF(Data!$A:$A,'4'!$A$2,Data!JA:JA),0)</f>
        <v>8248</v>
      </c>
      <c r="F48" s="22">
        <f t="shared" si="3"/>
        <v>0.31</v>
      </c>
    </row>
    <row r="49" spans="1:6" ht="14.25" customHeight="1" x14ac:dyDescent="0.2">
      <c r="A49" s="20">
        <v>14</v>
      </c>
      <c r="B49" s="172" t="s">
        <v>469</v>
      </c>
      <c r="C49" s="173"/>
      <c r="D49" s="15">
        <f>IF(F3="1",SUMIF(Data!A:A,'4'!$A$2,Data!DH:DH),0)</f>
        <v>143234</v>
      </c>
      <c r="E49" s="18">
        <f>IF(F3="1",SUMIF(Data!$A:$A,'4'!$A$2,Data!JB:JB),0)</f>
        <v>154090</v>
      </c>
      <c r="F49" s="22">
        <f t="shared" si="3"/>
        <v>1.08</v>
      </c>
    </row>
    <row r="50" spans="1:6" x14ac:dyDescent="0.2">
      <c r="A50" s="20">
        <v>15</v>
      </c>
      <c r="B50" s="172" t="s">
        <v>13</v>
      </c>
      <c r="C50" s="173"/>
      <c r="D50" s="15">
        <f>IF(F3="1",SUMIF(Data!A:A,'4'!$A$2,Data!DI:DI),0)</f>
        <v>0</v>
      </c>
      <c r="E50" s="18">
        <f>IF(F3="1",SUMIF(Data!$A:$A,'4'!$A$2,Data!JC:JC),0)</f>
        <v>0</v>
      </c>
      <c r="F50" s="22" t="str">
        <f t="shared" si="3"/>
        <v/>
      </c>
    </row>
    <row r="51" spans="1:6" x14ac:dyDescent="0.2">
      <c r="A51" s="20">
        <v>16</v>
      </c>
      <c r="B51" s="172" t="s">
        <v>14</v>
      </c>
      <c r="C51" s="173"/>
      <c r="D51" s="15">
        <f>IF(F3="1",SUMIF(Data!A:A,'4'!$A$2,Data!DJ:DJ),0)</f>
        <v>177646</v>
      </c>
      <c r="E51" s="18">
        <f>IF(F3="1",SUMIF(Data!$A:$A,'4'!$A$2,Data!JD:JD),0)</f>
        <v>66812</v>
      </c>
      <c r="F51" s="22">
        <f t="shared" si="3"/>
        <v>0.38</v>
      </c>
    </row>
    <row r="52" spans="1:6" x14ac:dyDescent="0.2">
      <c r="A52" s="20">
        <v>17</v>
      </c>
      <c r="B52" s="172" t="s">
        <v>15</v>
      </c>
      <c r="C52" s="173"/>
      <c r="D52" s="15">
        <f>IF(F3="1",SUMIF(Data!A:A,'4'!$A$2,Data!DK:DK),0)</f>
        <v>39040</v>
      </c>
      <c r="E52" s="18">
        <f>IF(F3="1",SUMIF(Data!$A:$A,'4'!$A$2,Data!JE:JE),0)</f>
        <v>19733</v>
      </c>
      <c r="F52" s="22">
        <f t="shared" si="3"/>
        <v>0.51</v>
      </c>
    </row>
    <row r="53" spans="1:6" x14ac:dyDescent="0.2">
      <c r="A53" s="20">
        <v>18</v>
      </c>
      <c r="B53" s="172" t="s">
        <v>16</v>
      </c>
      <c r="C53" s="173"/>
      <c r="D53" s="15">
        <f>IF(F3="1",SUMIF(Data!A:A,'4'!$A$2,Data!DL:DL),0)</f>
        <v>80896</v>
      </c>
      <c r="E53" s="18">
        <f>IF(F3="1",SUMIF(Data!$A:$A,'4'!$A$2,Data!JF:JF),0)</f>
        <v>34489</v>
      </c>
      <c r="F53" s="22">
        <f t="shared" si="3"/>
        <v>0.43</v>
      </c>
    </row>
    <row r="54" spans="1:6" x14ac:dyDescent="0.2">
      <c r="A54" s="20">
        <v>19</v>
      </c>
      <c r="B54" s="172" t="s">
        <v>17</v>
      </c>
      <c r="C54" s="173"/>
      <c r="D54" s="15">
        <f>IF(F3="1",SUMIF(Data!A:A,'4'!$A$2,Data!DM:DM),0)</f>
        <v>201952</v>
      </c>
      <c r="E54" s="18">
        <f>IF(F3="1",SUMIF(Data!$A:$A,'4'!$A$2,Data!JG:JG),0)</f>
        <v>83420</v>
      </c>
      <c r="F54" s="22">
        <f t="shared" si="3"/>
        <v>0.41</v>
      </c>
    </row>
    <row r="55" spans="1:6" x14ac:dyDescent="0.2">
      <c r="A55" s="20">
        <v>20</v>
      </c>
      <c r="B55" s="172" t="s">
        <v>18</v>
      </c>
      <c r="C55" s="173"/>
      <c r="D55" s="15">
        <f>IF(F3="1",SUMIF(Data!A:A,'4'!$A$2,Data!DN:DN),0)</f>
        <v>10688</v>
      </c>
      <c r="E55" s="18">
        <f>IF(F3="1",SUMIF(Data!$A:$A,'4'!$A$2,Data!JH:JH),0)</f>
        <v>10498</v>
      </c>
      <c r="F55" s="22">
        <f t="shared" si="3"/>
        <v>0.98</v>
      </c>
    </row>
    <row r="56" spans="1:6" ht="14.25" customHeight="1" x14ac:dyDescent="0.2">
      <c r="A56" s="20">
        <v>21</v>
      </c>
      <c r="B56" s="172" t="s">
        <v>466</v>
      </c>
      <c r="C56" s="173"/>
      <c r="D56" s="15">
        <f>IF(F3="1",SUMIF(Data!A:A,'4'!$A$2,Data!DO:DO),0)</f>
        <v>8664</v>
      </c>
      <c r="E56" s="18">
        <f>IF(F3="1",SUMIF(Data!$A:$A,'4'!$A$2,Data!JI:JI),0)</f>
        <v>7646</v>
      </c>
      <c r="F56" s="22">
        <f t="shared" si="3"/>
        <v>0.88</v>
      </c>
    </row>
    <row r="57" spans="1:6" x14ac:dyDescent="0.2">
      <c r="A57" s="20">
        <v>22</v>
      </c>
      <c r="B57" s="172" t="s">
        <v>19</v>
      </c>
      <c r="C57" s="173"/>
      <c r="D57" s="15">
        <f>IF(F3="1",SUMIF(Data!A:A,'4'!$A$2,Data!DP:DP),0)</f>
        <v>1426</v>
      </c>
      <c r="E57" s="18">
        <f>IF(F3="1",SUMIF(Data!$A:$A,'4'!$A$2,Data!JJ:JJ),0)</f>
        <v>465</v>
      </c>
      <c r="F57" s="22">
        <f t="shared" si="3"/>
        <v>0.33</v>
      </c>
    </row>
    <row r="58" spans="1:6" x14ac:dyDescent="0.2">
      <c r="A58" s="20">
        <v>23</v>
      </c>
      <c r="B58" s="172" t="s">
        <v>20</v>
      </c>
      <c r="C58" s="173"/>
      <c r="D58" s="15">
        <f>IF(F3="1",SUMIF(Data!A:A,'4'!$A$2,Data!DQ:DQ),0)</f>
        <v>50016</v>
      </c>
      <c r="E58" s="18">
        <f>IF(F3="1",SUMIF(Data!$A:$A,'4'!$A$2,Data!JK:JK),0)</f>
        <v>32480</v>
      </c>
      <c r="F58" s="22">
        <f t="shared" si="3"/>
        <v>0.65</v>
      </c>
    </row>
    <row r="59" spans="1:6" x14ac:dyDescent="0.2">
      <c r="A59" s="20">
        <v>24</v>
      </c>
      <c r="B59" s="172" t="s">
        <v>21</v>
      </c>
      <c r="C59" s="173"/>
      <c r="D59" s="15">
        <f>IF(F3="1",SUMIF(Data!A:A,'4'!$A$2,Data!DR:DR),0)</f>
        <v>117606</v>
      </c>
      <c r="E59" s="18">
        <f>IF(F3="1",SUMIF(Data!$A:$A,'4'!$A$2,Data!JL:JL),0)</f>
        <v>124423</v>
      </c>
      <c r="F59" s="22">
        <f t="shared" si="3"/>
        <v>1.06</v>
      </c>
    </row>
    <row r="60" spans="1:6" x14ac:dyDescent="0.2">
      <c r="A60" s="20">
        <v>25</v>
      </c>
      <c r="B60" s="172" t="s">
        <v>22</v>
      </c>
      <c r="C60" s="173"/>
      <c r="D60" s="15">
        <f>IF(F3="1",SUMIF(Data!A:A,'4'!$A$2,Data!DS:DS),0)</f>
        <v>308880</v>
      </c>
      <c r="E60" s="18">
        <f>IF(F3="1",SUMIF(Data!$A:$A,'4'!$A$2,Data!JM:JM),0)</f>
        <v>72900</v>
      </c>
      <c r="F60" s="22">
        <f t="shared" si="3"/>
        <v>0.24</v>
      </c>
    </row>
    <row r="61" spans="1:6" x14ac:dyDescent="0.2">
      <c r="A61" s="20">
        <v>26</v>
      </c>
      <c r="B61" s="172" t="s">
        <v>23</v>
      </c>
      <c r="C61" s="173"/>
      <c r="D61" s="15">
        <f>IF(F3="1",SUMIF(Data!A:A,'4'!$A$2,Data!DT:DT),0)</f>
        <v>96248</v>
      </c>
      <c r="E61" s="18">
        <f>IF(F3="1",SUMIF(Data!$A:$A,'4'!$A$2,Data!JN:JN),0)</f>
        <v>117940</v>
      </c>
      <c r="F61" s="22">
        <f t="shared" si="3"/>
        <v>1.23</v>
      </c>
    </row>
    <row r="62" spans="1:6" x14ac:dyDescent="0.2">
      <c r="A62" s="20">
        <v>28</v>
      </c>
      <c r="B62" s="172" t="s">
        <v>24</v>
      </c>
      <c r="C62" s="173"/>
      <c r="D62" s="15">
        <f>IF(F3="1",SUMIF(Data!A:A,'4'!$A$2,Data!DV:DV),0)</f>
        <v>0</v>
      </c>
      <c r="E62" s="18">
        <f>IF(F3="1",SUMIF(Data!$A:$A,'4'!$A$2,Data!JP:JP),0)</f>
        <v>0</v>
      </c>
      <c r="F62" s="22" t="str">
        <f t="shared" si="3"/>
        <v/>
      </c>
    </row>
    <row r="63" spans="1:6" ht="15.75" customHeight="1" thickBot="1" x14ac:dyDescent="0.25">
      <c r="A63" s="23">
        <v>29</v>
      </c>
      <c r="B63" s="174" t="s">
        <v>25</v>
      </c>
      <c r="C63" s="175"/>
      <c r="D63" s="24">
        <f>IF(F3="1",SUMIF(Data!A:A,'4'!$A$2,Data!DW:DW),0)</f>
        <v>0</v>
      </c>
      <c r="E63" s="25">
        <f>IF(F3="1",SUMIF(Data!$A:$A,'4'!$A$2,Data!JQ:JQ),0)</f>
        <v>0</v>
      </c>
      <c r="F63" s="26" t="str">
        <f t="shared" si="3"/>
        <v/>
      </c>
    </row>
    <row r="64" spans="1:6" x14ac:dyDescent="0.2">
      <c r="B64" s="31" t="s">
        <v>35</v>
      </c>
      <c r="C64" s="31"/>
      <c r="D64" s="61">
        <f>SUM(D36:D63)</f>
        <v>2144411</v>
      </c>
      <c r="E64" s="32">
        <f>SUM(E36:E63)</f>
        <v>1171718</v>
      </c>
      <c r="F64" s="33">
        <f t="shared" si="3"/>
        <v>0.55000000000000004</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0</v>
      </c>
      <c r="E67" s="16">
        <f>IF(F3="1",SUMIF(Data!A:A,'4'!$A$2,Data!DY:DY),0)</f>
        <v>0</v>
      </c>
      <c r="F67" s="21" t="str">
        <f t="shared" ref="F67:F95" si="4">IF(D67=0,"",ROUND(E67/D67,2))</f>
        <v/>
      </c>
    </row>
    <row r="68" spans="1:6" x14ac:dyDescent="0.2">
      <c r="A68" s="20">
        <v>2</v>
      </c>
      <c r="B68" s="172" t="s">
        <v>1</v>
      </c>
      <c r="C68" s="173"/>
      <c r="D68" s="15">
        <f t="shared" ref="D68:D94" si="5">D37</f>
        <v>31194</v>
      </c>
      <c r="E68" s="18">
        <f>IF(F3="1",SUMIF(Data!A:A,'4'!$A$2,Data!DZ:DZ),0)</f>
        <v>153985</v>
      </c>
      <c r="F68" s="22">
        <f t="shared" si="4"/>
        <v>4.9400000000000004</v>
      </c>
    </row>
    <row r="69" spans="1:6" ht="14.25" customHeight="1" x14ac:dyDescent="0.2">
      <c r="A69" s="20">
        <v>3</v>
      </c>
      <c r="B69" s="172" t="s">
        <v>2</v>
      </c>
      <c r="C69" s="173"/>
      <c r="D69" s="15">
        <f t="shared" si="5"/>
        <v>185024</v>
      </c>
      <c r="E69" s="18">
        <f>IF(F3="1",SUMIF(Data!A:A,'4'!$A$2,Data!EA:EA),0)</f>
        <v>465281</v>
      </c>
      <c r="F69" s="22">
        <f t="shared" si="4"/>
        <v>2.5099999999999998</v>
      </c>
    </row>
    <row r="70" spans="1:6" ht="14.25" customHeight="1" x14ac:dyDescent="0.2">
      <c r="A70" s="20">
        <v>4</v>
      </c>
      <c r="B70" s="172" t="s">
        <v>3</v>
      </c>
      <c r="C70" s="173"/>
      <c r="D70" s="15">
        <f t="shared" si="5"/>
        <v>132303</v>
      </c>
      <c r="E70" s="18">
        <f>IF(F3="1",SUMIF(Data!A:A,'4'!$A$2,Data!EB:EB),0)</f>
        <v>386647</v>
      </c>
      <c r="F70" s="22">
        <f t="shared" si="4"/>
        <v>2.92</v>
      </c>
    </row>
    <row r="71" spans="1:6" x14ac:dyDescent="0.2">
      <c r="A71" s="20">
        <v>5</v>
      </c>
      <c r="B71" s="172" t="s">
        <v>4</v>
      </c>
      <c r="C71" s="173"/>
      <c r="D71" s="15">
        <f t="shared" si="5"/>
        <v>0</v>
      </c>
      <c r="E71" s="18">
        <f>IF(F3="1",SUMIF(Data!A:A,'4'!$A$2,Data!EC:EC),0)</f>
        <v>0</v>
      </c>
      <c r="F71" s="22" t="str">
        <f t="shared" si="4"/>
        <v/>
      </c>
    </row>
    <row r="72" spans="1:6" x14ac:dyDescent="0.2">
      <c r="A72" s="20">
        <v>6</v>
      </c>
      <c r="B72" s="172" t="s">
        <v>5</v>
      </c>
      <c r="C72" s="173"/>
      <c r="D72" s="15">
        <f t="shared" si="5"/>
        <v>5104</v>
      </c>
      <c r="E72" s="18">
        <f>IF(F3="1",SUMIF(Data!A:A,'4'!$A$2,Data!ED:ED),0)</f>
        <v>47212</v>
      </c>
      <c r="F72" s="22">
        <f t="shared" si="4"/>
        <v>9.25</v>
      </c>
    </row>
    <row r="73" spans="1:6" x14ac:dyDescent="0.2">
      <c r="A73" s="20">
        <v>7</v>
      </c>
      <c r="B73" s="172" t="s">
        <v>6</v>
      </c>
      <c r="C73" s="173"/>
      <c r="D73" s="15">
        <f t="shared" si="5"/>
        <v>44459</v>
      </c>
      <c r="E73" s="18">
        <f>IF(F3="1",SUMIF(Data!A:A,'4'!$A$2,Data!EE:EE),0)</f>
        <v>271539</v>
      </c>
      <c r="F73" s="22">
        <f t="shared" si="4"/>
        <v>6.11</v>
      </c>
    </row>
    <row r="74" spans="1:6" x14ac:dyDescent="0.2">
      <c r="A74" s="20">
        <v>8</v>
      </c>
      <c r="B74" s="172" t="s">
        <v>7</v>
      </c>
      <c r="C74" s="173"/>
      <c r="D74" s="15">
        <f t="shared" si="5"/>
        <v>13296</v>
      </c>
      <c r="E74" s="18">
        <f>IF(F3="1",SUMIF(Data!A:A,'4'!$A$2,Data!EF:EF),0)</f>
        <v>38703</v>
      </c>
      <c r="F74" s="22">
        <f t="shared" si="4"/>
        <v>2.91</v>
      </c>
    </row>
    <row r="75" spans="1:6" x14ac:dyDescent="0.2">
      <c r="A75" s="20">
        <v>9</v>
      </c>
      <c r="B75" s="172" t="s">
        <v>8</v>
      </c>
      <c r="C75" s="173"/>
      <c r="D75" s="15">
        <f t="shared" si="5"/>
        <v>55247</v>
      </c>
      <c r="E75" s="18">
        <f>IF(F3="1",SUMIF(Data!A:A,'4'!$A$2,Data!EG:EG),0)</f>
        <v>166597</v>
      </c>
      <c r="F75" s="22">
        <f t="shared" si="4"/>
        <v>3.02</v>
      </c>
    </row>
    <row r="76" spans="1:6" x14ac:dyDescent="0.2">
      <c r="A76" s="20">
        <v>10</v>
      </c>
      <c r="B76" s="172" t="s">
        <v>9</v>
      </c>
      <c r="C76" s="173"/>
      <c r="D76" s="15">
        <f t="shared" si="5"/>
        <v>896</v>
      </c>
      <c r="E76" s="18">
        <f>IF(F3="1",SUMIF(Data!A:A,'4'!$A$2,Data!EH:EH),0)</f>
        <v>5869</v>
      </c>
      <c r="F76" s="22">
        <f t="shared" si="4"/>
        <v>6.55</v>
      </c>
    </row>
    <row r="77" spans="1:6" x14ac:dyDescent="0.2">
      <c r="A77" s="20">
        <v>11</v>
      </c>
      <c r="B77" s="172" t="s">
        <v>10</v>
      </c>
      <c r="C77" s="173"/>
      <c r="D77" s="15">
        <f t="shared" si="5"/>
        <v>41464</v>
      </c>
      <c r="E77" s="18">
        <f>IF(F3="1",SUMIF(Data!A:A,'4'!$A$2,Data!EI:EI),0)</f>
        <v>120697</v>
      </c>
      <c r="F77" s="22">
        <f t="shared" si="4"/>
        <v>2.91</v>
      </c>
    </row>
    <row r="78" spans="1:6" ht="14.25" customHeight="1" x14ac:dyDescent="0.2">
      <c r="A78" s="20">
        <v>12</v>
      </c>
      <c r="B78" s="172" t="s">
        <v>11</v>
      </c>
      <c r="C78" s="173"/>
      <c r="D78" s="15">
        <f t="shared" si="5"/>
        <v>372632</v>
      </c>
      <c r="E78" s="18">
        <f>IF(F3="1",SUMIF(Data!A:A,'4'!$A$2,Data!EJ:EJ),0)</f>
        <v>1004652</v>
      </c>
      <c r="F78" s="22">
        <f t="shared" si="4"/>
        <v>2.7</v>
      </c>
    </row>
    <row r="79" spans="1:6" x14ac:dyDescent="0.2">
      <c r="A79" s="20">
        <v>13</v>
      </c>
      <c r="B79" s="172" t="s">
        <v>12</v>
      </c>
      <c r="C79" s="173"/>
      <c r="D79" s="15">
        <f t="shared" si="5"/>
        <v>26496</v>
      </c>
      <c r="E79" s="18">
        <f>IF(F3="1",SUMIF(Data!A:A,'4'!$A$2,Data!EK:EK),0)</f>
        <v>72802</v>
      </c>
      <c r="F79" s="22">
        <f t="shared" si="4"/>
        <v>2.75</v>
      </c>
    </row>
    <row r="80" spans="1:6" ht="14.25" customHeight="1" x14ac:dyDescent="0.2">
      <c r="A80" s="20">
        <v>14</v>
      </c>
      <c r="B80" s="172" t="s">
        <v>469</v>
      </c>
      <c r="C80" s="173"/>
      <c r="D80" s="15">
        <f t="shared" si="5"/>
        <v>143234</v>
      </c>
      <c r="E80" s="18">
        <f>IF(F3="1",SUMIF(Data!A:A,'4'!$A$2,Data!EL:EL),0)</f>
        <v>874756</v>
      </c>
      <c r="F80" s="22">
        <f t="shared" si="4"/>
        <v>6.11</v>
      </c>
    </row>
    <row r="81" spans="1:6" x14ac:dyDescent="0.2">
      <c r="A81" s="20">
        <v>15</v>
      </c>
      <c r="B81" s="172" t="s">
        <v>13</v>
      </c>
      <c r="C81" s="173"/>
      <c r="D81" s="15">
        <f t="shared" si="5"/>
        <v>0</v>
      </c>
      <c r="E81" s="18">
        <f>IF(F3="1",SUMIF(Data!A:A,'4'!$A$2,Data!EM:EM),0)</f>
        <v>0</v>
      </c>
      <c r="F81" s="22" t="str">
        <f t="shared" si="4"/>
        <v/>
      </c>
    </row>
    <row r="82" spans="1:6" x14ac:dyDescent="0.2">
      <c r="A82" s="20">
        <v>16</v>
      </c>
      <c r="B82" s="172" t="s">
        <v>14</v>
      </c>
      <c r="C82" s="173"/>
      <c r="D82" s="15">
        <f t="shared" si="5"/>
        <v>177646</v>
      </c>
      <c r="E82" s="18">
        <f>IF(F3="1",SUMIF(Data!A:A,'4'!$A$2,Data!EN:EN),0)</f>
        <v>545409</v>
      </c>
      <c r="F82" s="22">
        <f t="shared" si="4"/>
        <v>3.07</v>
      </c>
    </row>
    <row r="83" spans="1:6" x14ac:dyDescent="0.2">
      <c r="A83" s="20">
        <v>17</v>
      </c>
      <c r="B83" s="172" t="s">
        <v>15</v>
      </c>
      <c r="C83" s="173"/>
      <c r="D83" s="15">
        <f t="shared" si="5"/>
        <v>39040</v>
      </c>
      <c r="E83" s="18">
        <f>IF(F3="1",SUMIF(Data!A:A,'4'!$A$2,Data!EO:EO),0)</f>
        <v>197950</v>
      </c>
      <c r="F83" s="22">
        <f t="shared" si="4"/>
        <v>5.07</v>
      </c>
    </row>
    <row r="84" spans="1:6" x14ac:dyDescent="0.2">
      <c r="A84" s="20">
        <v>18</v>
      </c>
      <c r="B84" s="172" t="s">
        <v>16</v>
      </c>
      <c r="C84" s="173"/>
      <c r="D84" s="15">
        <f t="shared" si="5"/>
        <v>80896</v>
      </c>
      <c r="E84" s="18">
        <f>IF(F3="1",SUMIF(Data!A:A,'4'!$A$2,Data!EP:EP),0)</f>
        <v>275921</v>
      </c>
      <c r="F84" s="22">
        <f t="shared" si="4"/>
        <v>3.41</v>
      </c>
    </row>
    <row r="85" spans="1:6" x14ac:dyDescent="0.2">
      <c r="A85" s="20">
        <v>19</v>
      </c>
      <c r="B85" s="172" t="s">
        <v>17</v>
      </c>
      <c r="C85" s="173"/>
      <c r="D85" s="15">
        <f t="shared" si="5"/>
        <v>201952</v>
      </c>
      <c r="E85" s="18">
        <f>IF(F3="1",SUMIF(Data!A:A,'4'!$A$2,Data!EQ:EQ),0)</f>
        <v>810571</v>
      </c>
      <c r="F85" s="22">
        <f t="shared" si="4"/>
        <v>4.01</v>
      </c>
    </row>
    <row r="86" spans="1:6" x14ac:dyDescent="0.2">
      <c r="A86" s="20">
        <v>20</v>
      </c>
      <c r="B86" s="172" t="s">
        <v>18</v>
      </c>
      <c r="C86" s="173"/>
      <c r="D86" s="15">
        <f t="shared" si="5"/>
        <v>10688</v>
      </c>
      <c r="E86" s="18">
        <f>IF(F3="1",SUMIF(Data!A:A,'4'!$A$2,Data!ER:ER),0)</f>
        <v>62231</v>
      </c>
      <c r="F86" s="22">
        <f t="shared" si="4"/>
        <v>5.82</v>
      </c>
    </row>
    <row r="87" spans="1:6" ht="14.25" customHeight="1" x14ac:dyDescent="0.2">
      <c r="A87" s="20">
        <v>21</v>
      </c>
      <c r="B87" s="172" t="s">
        <v>466</v>
      </c>
      <c r="C87" s="173"/>
      <c r="D87" s="15">
        <f t="shared" si="5"/>
        <v>8664</v>
      </c>
      <c r="E87" s="18">
        <f>IF(F3="1",SUMIF(Data!A:A,'4'!$A$2,Data!ES:ES),0)</f>
        <v>40676</v>
      </c>
      <c r="F87" s="22">
        <f t="shared" si="4"/>
        <v>4.6900000000000004</v>
      </c>
    </row>
    <row r="88" spans="1:6" x14ac:dyDescent="0.2">
      <c r="A88" s="20">
        <v>22</v>
      </c>
      <c r="B88" s="172" t="s">
        <v>19</v>
      </c>
      <c r="C88" s="173"/>
      <c r="D88" s="15">
        <f t="shared" si="5"/>
        <v>1426</v>
      </c>
      <c r="E88" s="18">
        <f>IF(F3="1",SUMIF(Data!A:A,'4'!$A$2,Data!ET:ET),0)</f>
        <v>4180</v>
      </c>
      <c r="F88" s="22">
        <f t="shared" si="4"/>
        <v>2.93</v>
      </c>
    </row>
    <row r="89" spans="1:6" x14ac:dyDescent="0.2">
      <c r="A89" s="20">
        <v>23</v>
      </c>
      <c r="B89" s="172" t="s">
        <v>20</v>
      </c>
      <c r="C89" s="173"/>
      <c r="D89" s="15">
        <f t="shared" si="5"/>
        <v>50016</v>
      </c>
      <c r="E89" s="18">
        <f>IF(F3="1",SUMIF(Data!A:A,'4'!$A$2,Data!EU:EU),0)</f>
        <v>167154</v>
      </c>
      <c r="F89" s="22">
        <f t="shared" si="4"/>
        <v>3.34</v>
      </c>
    </row>
    <row r="90" spans="1:6" x14ac:dyDescent="0.2">
      <c r="A90" s="20">
        <v>24</v>
      </c>
      <c r="B90" s="172" t="s">
        <v>21</v>
      </c>
      <c r="C90" s="173"/>
      <c r="D90" s="15">
        <f t="shared" si="5"/>
        <v>117606</v>
      </c>
      <c r="E90" s="18">
        <f>IF(F3="1",SUMIF(Data!A:A,'4'!$A$2,Data!EV:EV),0)</f>
        <v>290809</v>
      </c>
      <c r="F90" s="22">
        <f t="shared" si="4"/>
        <v>2.4700000000000002</v>
      </c>
    </row>
    <row r="91" spans="1:6" x14ac:dyDescent="0.2">
      <c r="A91" s="20">
        <v>25</v>
      </c>
      <c r="B91" s="172" t="s">
        <v>22</v>
      </c>
      <c r="C91" s="173"/>
      <c r="D91" s="15">
        <f t="shared" si="5"/>
        <v>308880</v>
      </c>
      <c r="E91" s="18">
        <f>IF(F3="1",SUMIF(Data!A:A,'4'!$A$2,Data!EW:EW),0)</f>
        <v>816946</v>
      </c>
      <c r="F91" s="22">
        <f t="shared" si="4"/>
        <v>2.64</v>
      </c>
    </row>
    <row r="92" spans="1:6" x14ac:dyDescent="0.2">
      <c r="A92" s="20">
        <v>26</v>
      </c>
      <c r="B92" s="172" t="s">
        <v>23</v>
      </c>
      <c r="C92" s="173"/>
      <c r="D92" s="15">
        <f t="shared" si="5"/>
        <v>96248</v>
      </c>
      <c r="E92" s="18">
        <f>IF(F3="1",SUMIF(Data!A:A,'4'!$A$2,Data!EX:EX),0)</f>
        <v>371598</v>
      </c>
      <c r="F92" s="22">
        <f t="shared" si="4"/>
        <v>3.86</v>
      </c>
    </row>
    <row r="93" spans="1:6" x14ac:dyDescent="0.2">
      <c r="A93" s="20">
        <v>28</v>
      </c>
      <c r="B93" s="172" t="s">
        <v>24</v>
      </c>
      <c r="C93" s="173"/>
      <c r="D93" s="15">
        <f t="shared" si="5"/>
        <v>0</v>
      </c>
      <c r="E93" s="18">
        <f>IF(F3="1",SUMIF(Data!A:A,'4'!$A$2,Data!EZ:EZ),0)</f>
        <v>0</v>
      </c>
      <c r="F93" s="22" t="str">
        <f t="shared" si="4"/>
        <v/>
      </c>
    </row>
    <row r="94" spans="1:6" ht="15.75" customHeight="1" thickBot="1" x14ac:dyDescent="0.25">
      <c r="A94" s="23">
        <v>29</v>
      </c>
      <c r="B94" s="174" t="s">
        <v>25</v>
      </c>
      <c r="C94" s="175"/>
      <c r="D94" s="24">
        <f t="shared" si="5"/>
        <v>0</v>
      </c>
      <c r="E94" s="25">
        <f>IF(F3="1",SUMIF(Data!A:A,'4'!$A$2,Data!FA:FA),0)</f>
        <v>0</v>
      </c>
      <c r="F94" s="26" t="str">
        <f t="shared" si="4"/>
        <v/>
      </c>
    </row>
    <row r="95" spans="1:6" x14ac:dyDescent="0.2">
      <c r="B95" s="31" t="s">
        <v>35</v>
      </c>
      <c r="C95" s="31"/>
      <c r="D95" s="61">
        <f>SUM(D67:D94)</f>
        <v>2144411</v>
      </c>
      <c r="E95" s="32">
        <f>SUM(E67:E94)</f>
        <v>7192185</v>
      </c>
      <c r="F95" s="33">
        <f t="shared" si="4"/>
        <v>3.35</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IF(F3="1",SUMIF(Data!A:A,'4'!$A$2,Data!AH:AH),0)</f>
        <v>1986588</v>
      </c>
      <c r="F98" s="21">
        <f>IF($D$105=0,"",ROUND(E98/$D$105,2))</f>
        <v>0.93</v>
      </c>
    </row>
    <row r="99" spans="2:6" x14ac:dyDescent="0.2">
      <c r="B99" s="178" t="s">
        <v>31</v>
      </c>
      <c r="C99" s="179"/>
      <c r="D99" s="37"/>
      <c r="E99" s="18">
        <f>IF(F3="1",SUMIF(Data!A:A,'4'!$A$2,Data!AI:AI),0)</f>
        <v>871427</v>
      </c>
      <c r="F99" s="22">
        <f t="shared" ref="F99:F105" si="6">IF($D$105=0,"",ROUND(E99/$D$105,2))</f>
        <v>0.41</v>
      </c>
    </row>
    <row r="100" spans="2:6" x14ac:dyDescent="0.2">
      <c r="B100" s="178" t="s">
        <v>32</v>
      </c>
      <c r="C100" s="179"/>
      <c r="D100" s="37"/>
      <c r="E100" s="18">
        <f>IF(F3="1",SUMIF(Data!A:A,'4'!$A$2,Data!AJ:AJ),0)</f>
        <v>1838138</v>
      </c>
      <c r="F100" s="22">
        <f t="shared" si="6"/>
        <v>0.86</v>
      </c>
    </row>
    <row r="101" spans="2:6" x14ac:dyDescent="0.2">
      <c r="B101" s="178" t="s">
        <v>28</v>
      </c>
      <c r="C101" s="179"/>
      <c r="D101" s="37"/>
      <c r="E101" s="18">
        <f>IF(F3="1",SUMIF(Data!A:A,'4'!$A$2,Data!AK:AK),0)</f>
        <v>0</v>
      </c>
      <c r="F101" s="22">
        <f t="shared" si="6"/>
        <v>0</v>
      </c>
    </row>
    <row r="102" spans="2:6" x14ac:dyDescent="0.2">
      <c r="B102" s="178" t="s">
        <v>33</v>
      </c>
      <c r="C102" s="179"/>
      <c r="D102" s="37"/>
      <c r="E102" s="18">
        <f>IF(F3="1",SUMIF(Data!A:A,'4'!$A$2,Data!AL:AL),0)</f>
        <v>0</v>
      </c>
      <c r="F102" s="22">
        <f t="shared" si="6"/>
        <v>0</v>
      </c>
    </row>
    <row r="103" spans="2:6" x14ac:dyDescent="0.2">
      <c r="B103" s="180" t="s">
        <v>34</v>
      </c>
      <c r="C103" s="181"/>
      <c r="D103" s="37"/>
      <c r="E103" s="18">
        <f>IF(F3="1",SUMIF(Data!A:A,'4'!$A$2,Data!AM:AM),0)</f>
        <v>282410</v>
      </c>
      <c r="F103" s="22">
        <f t="shared" si="6"/>
        <v>0.13</v>
      </c>
    </row>
    <row r="104" spans="2:6" ht="15.75" customHeight="1" thickBot="1" x14ac:dyDescent="0.25">
      <c r="B104" s="170" t="s">
        <v>29</v>
      </c>
      <c r="C104" s="171"/>
      <c r="D104" s="38"/>
      <c r="E104" s="25">
        <f>IF(F3="1",SUMIF(Data!A:A,'4'!$A$2,Data!Q:Q),0)</f>
        <v>166851</v>
      </c>
      <c r="F104" s="26">
        <f t="shared" si="6"/>
        <v>0.08</v>
      </c>
    </row>
    <row r="105" spans="2:6" x14ac:dyDescent="0.2">
      <c r="B105" s="31" t="s">
        <v>35</v>
      </c>
      <c r="C105" s="31"/>
      <c r="D105" s="35">
        <f>D95</f>
        <v>2144411</v>
      </c>
      <c r="E105" s="32">
        <f>SUM(E98:E104)</f>
        <v>5145414</v>
      </c>
      <c r="F105" s="33">
        <f t="shared" si="6"/>
        <v>2.4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7413520</v>
      </c>
      <c r="D109" s="16">
        <f>IF(F3="1",SUMIF(Data!$A:$A,$A$2,Data!HJ:HJ),0)</f>
        <v>327355</v>
      </c>
      <c r="E109" s="16">
        <f>IF(F3="1",SUMIF(Data!$A:$A,$A$2,Data!IN:IN),0)</f>
        <v>623027</v>
      </c>
      <c r="F109" s="48">
        <f>SUM(C109:E109)</f>
        <v>8363902</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73410</v>
      </c>
      <c r="D111" s="52"/>
      <c r="E111" s="51">
        <f>IF(F3="1",SUMIF(Data!A:A,$A$2,Data!AX:AX),0)</f>
        <v>45053</v>
      </c>
      <c r="F111" s="49">
        <f t="shared" si="7"/>
        <v>118463</v>
      </c>
    </row>
    <row r="112" spans="2:6" x14ac:dyDescent="0.2">
      <c r="B112" s="43" t="s">
        <v>32</v>
      </c>
      <c r="C112" s="51">
        <f>IF(F3="1",SUMIF(Data!A:A,$A$2,Data!V:V),0)</f>
        <v>1306197</v>
      </c>
      <c r="D112" s="52"/>
      <c r="E112" s="51">
        <f>IF(F3="1",SUMIF(Data!A:A,$A$2,Data!AC:AC),0)</f>
        <v>531941</v>
      </c>
      <c r="F112" s="49">
        <f t="shared" si="7"/>
        <v>1838138</v>
      </c>
    </row>
    <row r="113" spans="1:6" x14ac:dyDescent="0.2">
      <c r="B113" s="43" t="s">
        <v>31</v>
      </c>
      <c r="C113" s="51">
        <f>IF(F3="1",SUMIF(Data!A:A,$A$2,Data!U:U),0)</f>
        <v>741116</v>
      </c>
      <c r="D113" s="52"/>
      <c r="E113" s="51">
        <f>IF(F3="1",SUMIF(Data!A:A,$A$2,Data!AB:AB),0)</f>
        <v>130311</v>
      </c>
      <c r="F113" s="49">
        <f t="shared" si="7"/>
        <v>871427</v>
      </c>
    </row>
    <row r="114" spans="1:6" x14ac:dyDescent="0.2">
      <c r="B114" s="43" t="s">
        <v>1021</v>
      </c>
      <c r="C114" s="51">
        <f>IF(F3="1",SUMIF(Data!A:A,$A$2,Data!T:T),0)</f>
        <v>1024321</v>
      </c>
      <c r="D114" s="52"/>
      <c r="E114" s="51">
        <f>IF(F3="1",SUMIF(Data!A:A,$A$2,Data!AA:AA),0)</f>
        <v>962267</v>
      </c>
      <c r="F114" s="49">
        <f t="shared" si="7"/>
        <v>1986588</v>
      </c>
    </row>
    <row r="115" spans="1:6" x14ac:dyDescent="0.2">
      <c r="B115" s="43" t="s">
        <v>937</v>
      </c>
      <c r="C115" s="51">
        <f>IF(F3="1",SUMIF(Data!A:A,$A$2,Data!BI:BI),0)</f>
        <v>738369</v>
      </c>
      <c r="D115" s="51">
        <f>IF(F3="1",SUMIF(Data!A:A,$A$2,Data!BL:BL),0)</f>
        <v>32543</v>
      </c>
      <c r="E115" s="51">
        <f>IF(F3="1",SUMIF(Data!A:A,$A$2,Data!BU:BU),0)</f>
        <v>1210525</v>
      </c>
      <c r="F115" s="49">
        <f t="shared" si="7"/>
        <v>1981437</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166851</v>
      </c>
      <c r="E117" s="53"/>
      <c r="F117" s="50">
        <f>SUM(C117:E117)</f>
        <v>166851</v>
      </c>
    </row>
    <row r="118" spans="1:6" x14ac:dyDescent="0.2">
      <c r="B118" s="14" t="s">
        <v>35</v>
      </c>
      <c r="C118" s="5">
        <f>SUM(C109:C116)</f>
        <v>11296933</v>
      </c>
      <c r="D118" s="5">
        <f>SUM(D109:D116)</f>
        <v>359898</v>
      </c>
      <c r="E118" s="5">
        <f>SUM(E109:E116)</f>
        <v>3503124</v>
      </c>
      <c r="F118" s="5">
        <f>SUM(F109:F116)</f>
        <v>15159955</v>
      </c>
    </row>
    <row r="119" spans="1:6" ht="15" thickBot="1" x14ac:dyDescent="0.25"/>
    <row r="120" spans="1:6" ht="15" thickBot="1" x14ac:dyDescent="0.25">
      <c r="B120" s="57" t="s">
        <v>942</v>
      </c>
      <c r="C120" s="55"/>
      <c r="D120" s="55"/>
      <c r="E120" s="55">
        <f>IF(F3="1",SUMIF(Data!A:A,'4'!$A$2,Data!AM:AM),0)</f>
        <v>282410</v>
      </c>
      <c r="F120" s="56">
        <f>SUM(C120:E120)</f>
        <v>282410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42578125" style="11" bestFit="1" customWidth="1"/>
    <col min="12" max="12" width="13.42578125" style="11" bestFit="1" customWidth="1"/>
    <col min="13"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446</v>
      </c>
      <c r="B2" s="60" t="str">
        <f>VLOOKUP(A2,Data!A:G,7,0)</f>
        <v>Austin Community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85570</v>
      </c>
      <c r="E5" s="16">
        <f>E36+E67+IFERROR($E$105/$D$105*D5,0)</f>
        <v>559145.36645058857</v>
      </c>
      <c r="F5" s="21">
        <f>IF(OR(D5=0,E5=0),"",ROUND(E5/D5,2))</f>
        <v>6.53</v>
      </c>
    </row>
    <row r="6" spans="1:6" x14ac:dyDescent="0.2">
      <c r="A6" s="20">
        <v>2</v>
      </c>
      <c r="B6" s="172" t="s">
        <v>1</v>
      </c>
      <c r="C6" s="173"/>
      <c r="D6" s="15">
        <f t="shared" ref="D6:D32" si="0">D37</f>
        <v>125800</v>
      </c>
      <c r="E6" s="18">
        <f t="shared" ref="E6:E32" si="1">E37+E68+IFERROR($E$105/$D$105*D6,0)</f>
        <v>1981562.9042828567</v>
      </c>
      <c r="F6" s="22">
        <f t="shared" ref="F6:F33" si="2">IF(OR(D6=0,E6=0),"",ROUND(E6/D6,2))</f>
        <v>15.75</v>
      </c>
    </row>
    <row r="7" spans="1:6" ht="14.25" customHeight="1" x14ac:dyDescent="0.2">
      <c r="A7" s="20">
        <v>3</v>
      </c>
      <c r="B7" s="172" t="s">
        <v>2</v>
      </c>
      <c r="C7" s="173"/>
      <c r="D7" s="15">
        <f t="shared" si="0"/>
        <v>1441584</v>
      </c>
      <c r="E7" s="18">
        <f t="shared" si="1"/>
        <v>15702949.507342588</v>
      </c>
      <c r="F7" s="22">
        <f t="shared" si="2"/>
        <v>10.89</v>
      </c>
    </row>
    <row r="8" spans="1:6" ht="14.25" customHeight="1" x14ac:dyDescent="0.2">
      <c r="A8" s="20">
        <v>4</v>
      </c>
      <c r="B8" s="172" t="s">
        <v>3</v>
      </c>
      <c r="C8" s="173"/>
      <c r="D8" s="15">
        <f t="shared" si="0"/>
        <v>736593</v>
      </c>
      <c r="E8" s="18">
        <f t="shared" si="1"/>
        <v>7136404.8142799856</v>
      </c>
      <c r="F8" s="22">
        <f t="shared" si="2"/>
        <v>9.69</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157442</v>
      </c>
      <c r="E10" s="18">
        <f t="shared" si="1"/>
        <v>1473088.3663283109</v>
      </c>
      <c r="F10" s="22">
        <f t="shared" si="2"/>
        <v>9.36</v>
      </c>
    </row>
    <row r="11" spans="1:6" x14ac:dyDescent="0.2">
      <c r="A11" s="20">
        <v>7</v>
      </c>
      <c r="B11" s="172" t="s">
        <v>6</v>
      </c>
      <c r="C11" s="173"/>
      <c r="D11" s="15">
        <f t="shared" si="0"/>
        <v>381843</v>
      </c>
      <c r="E11" s="18">
        <f t="shared" si="1"/>
        <v>6349640.345326541</v>
      </c>
      <c r="F11" s="22">
        <f t="shared" si="2"/>
        <v>16.63</v>
      </c>
    </row>
    <row r="12" spans="1:6" x14ac:dyDescent="0.2">
      <c r="A12" s="20">
        <v>8</v>
      </c>
      <c r="B12" s="172" t="s">
        <v>7</v>
      </c>
      <c r="C12" s="173"/>
      <c r="D12" s="15">
        <f t="shared" si="0"/>
        <v>12840</v>
      </c>
      <c r="E12" s="18">
        <f t="shared" si="1"/>
        <v>75028.405810746248</v>
      </c>
      <c r="F12" s="22">
        <f t="shared" si="2"/>
        <v>5.84</v>
      </c>
    </row>
    <row r="13" spans="1:6" x14ac:dyDescent="0.2">
      <c r="A13" s="20">
        <v>9</v>
      </c>
      <c r="B13" s="172" t="s">
        <v>8</v>
      </c>
      <c r="C13" s="173"/>
      <c r="D13" s="15">
        <f t="shared" si="0"/>
        <v>166068</v>
      </c>
      <c r="E13" s="18">
        <f t="shared" si="1"/>
        <v>2439036.9159017922</v>
      </c>
      <c r="F13" s="22">
        <f t="shared" si="2"/>
        <v>14.69</v>
      </c>
    </row>
    <row r="14" spans="1:6" x14ac:dyDescent="0.2">
      <c r="A14" s="20">
        <v>10</v>
      </c>
      <c r="B14" s="172" t="s">
        <v>9</v>
      </c>
      <c r="C14" s="173"/>
      <c r="D14" s="15">
        <f t="shared" si="0"/>
        <v>9408</v>
      </c>
      <c r="E14" s="18">
        <f t="shared" si="1"/>
        <v>159857.56276226643</v>
      </c>
      <c r="F14" s="22">
        <f t="shared" si="2"/>
        <v>16.989999999999998</v>
      </c>
    </row>
    <row r="15" spans="1:6" x14ac:dyDescent="0.2">
      <c r="A15" s="20">
        <v>11</v>
      </c>
      <c r="B15" s="172" t="s">
        <v>10</v>
      </c>
      <c r="C15" s="173"/>
      <c r="D15" s="15">
        <f t="shared" si="0"/>
        <v>314936</v>
      </c>
      <c r="E15" s="18">
        <f t="shared" si="1"/>
        <v>3881788.2757331142</v>
      </c>
      <c r="F15" s="22">
        <f t="shared" si="2"/>
        <v>12.33</v>
      </c>
    </row>
    <row r="16" spans="1:6" ht="14.25" customHeight="1" x14ac:dyDescent="0.2">
      <c r="A16" s="20">
        <v>12</v>
      </c>
      <c r="B16" s="172" t="s">
        <v>11</v>
      </c>
      <c r="C16" s="173"/>
      <c r="D16" s="15">
        <f t="shared" si="0"/>
        <v>1919728</v>
      </c>
      <c r="E16" s="18">
        <f t="shared" si="1"/>
        <v>18954835.829770427</v>
      </c>
      <c r="F16" s="22">
        <f t="shared" si="2"/>
        <v>9.8699999999999992</v>
      </c>
    </row>
    <row r="17" spans="1:6" x14ac:dyDescent="0.2">
      <c r="A17" s="20">
        <v>13</v>
      </c>
      <c r="B17" s="172" t="s">
        <v>12</v>
      </c>
      <c r="C17" s="173"/>
      <c r="D17" s="15">
        <f t="shared" si="0"/>
        <v>728177</v>
      </c>
      <c r="E17" s="18">
        <f t="shared" si="1"/>
        <v>6916361.3040538765</v>
      </c>
      <c r="F17" s="22">
        <f t="shared" si="2"/>
        <v>9.5</v>
      </c>
    </row>
    <row r="18" spans="1:6" ht="14.25" customHeight="1" x14ac:dyDescent="0.2">
      <c r="A18" s="20">
        <v>14</v>
      </c>
      <c r="B18" s="172" t="s">
        <v>469</v>
      </c>
      <c r="C18" s="173"/>
      <c r="D18" s="15">
        <f t="shared" si="0"/>
        <v>385228</v>
      </c>
      <c r="E18" s="18">
        <f t="shared" si="1"/>
        <v>5823423.3129020371</v>
      </c>
      <c r="F18" s="22">
        <f t="shared" si="2"/>
        <v>15.12</v>
      </c>
    </row>
    <row r="19" spans="1:6" x14ac:dyDescent="0.2">
      <c r="A19" s="20">
        <v>15</v>
      </c>
      <c r="B19" s="172" t="s">
        <v>13</v>
      </c>
      <c r="C19" s="173"/>
      <c r="D19" s="15">
        <f t="shared" si="0"/>
        <v>22688</v>
      </c>
      <c r="E19" s="18">
        <f t="shared" si="1"/>
        <v>738197.7176817921</v>
      </c>
      <c r="F19" s="22">
        <f t="shared" si="2"/>
        <v>32.54</v>
      </c>
    </row>
    <row r="20" spans="1:6" x14ac:dyDescent="0.2">
      <c r="A20" s="20">
        <v>16</v>
      </c>
      <c r="B20" s="172" t="s">
        <v>14</v>
      </c>
      <c r="C20" s="173"/>
      <c r="D20" s="15">
        <f t="shared" si="0"/>
        <v>459058</v>
      </c>
      <c r="E20" s="18">
        <f t="shared" si="1"/>
        <v>6888795.1463138284</v>
      </c>
      <c r="F20" s="22">
        <f t="shared" si="2"/>
        <v>15.01</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103560</v>
      </c>
      <c r="E22" s="18">
        <f t="shared" si="1"/>
        <v>1747047.4038754581</v>
      </c>
      <c r="F22" s="22">
        <f t="shared" si="2"/>
        <v>16.87</v>
      </c>
    </row>
    <row r="23" spans="1:6" x14ac:dyDescent="0.2">
      <c r="A23" s="20">
        <v>19</v>
      </c>
      <c r="B23" s="172" t="s">
        <v>17</v>
      </c>
      <c r="C23" s="173"/>
      <c r="D23" s="15">
        <f t="shared" si="0"/>
        <v>1698356</v>
      </c>
      <c r="E23" s="18">
        <f t="shared" si="1"/>
        <v>15261413.484977864</v>
      </c>
      <c r="F23" s="22">
        <f t="shared" si="2"/>
        <v>8.99</v>
      </c>
    </row>
    <row r="24" spans="1:6" x14ac:dyDescent="0.2">
      <c r="A24" s="20">
        <v>20</v>
      </c>
      <c r="B24" s="172" t="s">
        <v>18</v>
      </c>
      <c r="C24" s="173"/>
      <c r="D24" s="15">
        <f t="shared" si="0"/>
        <v>110288</v>
      </c>
      <c r="E24" s="18">
        <f t="shared" si="1"/>
        <v>1601864.1311569768</v>
      </c>
      <c r="F24" s="22">
        <f t="shared" si="2"/>
        <v>14.52</v>
      </c>
    </row>
    <row r="25" spans="1:6" ht="14.25" customHeight="1" x14ac:dyDescent="0.2">
      <c r="A25" s="20">
        <v>21</v>
      </c>
      <c r="B25" s="172" t="s">
        <v>466</v>
      </c>
      <c r="C25" s="173"/>
      <c r="D25" s="15">
        <f t="shared" si="0"/>
        <v>23804</v>
      </c>
      <c r="E25" s="18">
        <f t="shared" si="1"/>
        <v>300927.52678496914</v>
      </c>
      <c r="F25" s="22">
        <f t="shared" si="2"/>
        <v>12.64</v>
      </c>
    </row>
    <row r="26" spans="1:6" x14ac:dyDescent="0.2">
      <c r="A26" s="20">
        <v>22</v>
      </c>
      <c r="B26" s="172" t="s">
        <v>19</v>
      </c>
      <c r="C26" s="173"/>
      <c r="D26" s="15">
        <f t="shared" si="0"/>
        <v>23072</v>
      </c>
      <c r="E26" s="18">
        <f t="shared" si="1"/>
        <v>113826.1896312724</v>
      </c>
      <c r="F26" s="22">
        <f t="shared" si="2"/>
        <v>4.93</v>
      </c>
    </row>
    <row r="27" spans="1:6" x14ac:dyDescent="0.2">
      <c r="A27" s="20">
        <v>23</v>
      </c>
      <c r="B27" s="172" t="s">
        <v>20</v>
      </c>
      <c r="C27" s="173"/>
      <c r="D27" s="15">
        <f t="shared" si="0"/>
        <v>256896</v>
      </c>
      <c r="E27" s="18">
        <f t="shared" si="1"/>
        <v>2527735.7342022951</v>
      </c>
      <c r="F27" s="22">
        <f t="shared" si="2"/>
        <v>9.84</v>
      </c>
    </row>
    <row r="28" spans="1:6" x14ac:dyDescent="0.2">
      <c r="A28" s="20">
        <v>24</v>
      </c>
      <c r="B28" s="172" t="s">
        <v>21</v>
      </c>
      <c r="C28" s="173"/>
      <c r="D28" s="15">
        <f t="shared" si="0"/>
        <v>300920</v>
      </c>
      <c r="E28" s="18">
        <f t="shared" si="1"/>
        <v>2737569.0495770844</v>
      </c>
      <c r="F28" s="22">
        <f t="shared" si="2"/>
        <v>9.1</v>
      </c>
    </row>
    <row r="29" spans="1:6" x14ac:dyDescent="0.2">
      <c r="A29" s="20">
        <v>25</v>
      </c>
      <c r="B29" s="172" t="s">
        <v>22</v>
      </c>
      <c r="C29" s="173"/>
      <c r="D29" s="15">
        <f t="shared" si="0"/>
        <v>2679582</v>
      </c>
      <c r="E29" s="18">
        <f t="shared" si="1"/>
        <v>22693351.269094318</v>
      </c>
      <c r="F29" s="22">
        <f t="shared" si="2"/>
        <v>8.4700000000000006</v>
      </c>
    </row>
    <row r="30" spans="1:6" x14ac:dyDescent="0.2">
      <c r="A30" s="20">
        <v>26</v>
      </c>
      <c r="B30" s="172" t="s">
        <v>23</v>
      </c>
      <c r="C30" s="173"/>
      <c r="D30" s="15">
        <f t="shared" si="0"/>
        <v>761614</v>
      </c>
      <c r="E30" s="18">
        <f t="shared" si="1"/>
        <v>10686623.435759012</v>
      </c>
      <c r="F30" s="22">
        <f t="shared" si="2"/>
        <v>14.03</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12905055</v>
      </c>
      <c r="E33" s="32">
        <f>SUM(E5:E32)</f>
        <v>136750474</v>
      </c>
      <c r="F33" s="33">
        <f t="shared" si="2"/>
        <v>10.6</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IF(F3="1",SUMIF(Data!A:A,'5'!$A$2,Data!CU:CU),0)</f>
        <v>85570</v>
      </c>
      <c r="E36" s="16">
        <f>IF(F3="1",SUMIF(Data!$A:$A,'5'!$A$2,Data!IO:IO),0)</f>
        <v>23208</v>
      </c>
      <c r="F36" s="21">
        <f>IF(D36=0,"",ROUND(E36/D36,2))</f>
        <v>0.27</v>
      </c>
    </row>
    <row r="37" spans="1:6" x14ac:dyDescent="0.2">
      <c r="A37" s="20">
        <v>2</v>
      </c>
      <c r="B37" s="172" t="s">
        <v>1</v>
      </c>
      <c r="C37" s="173"/>
      <c r="D37" s="15">
        <f>IF(F3="1",SUMIF(Data!A:A,'5'!$A$2,Data!CV:CV),0)</f>
        <v>125800</v>
      </c>
      <c r="E37" s="18">
        <f>IF(F3="1",SUMIF(Data!$A:$A,'5'!$A$2,Data!IP:IP),0)</f>
        <v>381874</v>
      </c>
      <c r="F37" s="22">
        <f t="shared" ref="F37:F64" si="3">IF(D37=0,"",ROUND(E37/D37,2))</f>
        <v>3.04</v>
      </c>
    </row>
    <row r="38" spans="1:6" ht="14.25" customHeight="1" x14ac:dyDescent="0.2">
      <c r="A38" s="20">
        <v>3</v>
      </c>
      <c r="B38" s="172" t="s">
        <v>2</v>
      </c>
      <c r="C38" s="173"/>
      <c r="D38" s="15">
        <f>IF(F3="1",SUMIF(Data!A:A,'5'!$A$2,Data!CW:CW),0)</f>
        <v>1441584</v>
      </c>
      <c r="E38" s="18">
        <f>IF(F3="1",SUMIF(Data!$A:$A,'5'!$A$2,Data!IQ:IQ),0)</f>
        <v>2235421</v>
      </c>
      <c r="F38" s="22">
        <f t="shared" si="3"/>
        <v>1.55</v>
      </c>
    </row>
    <row r="39" spans="1:6" ht="14.25" customHeight="1" x14ac:dyDescent="0.2">
      <c r="A39" s="20">
        <v>4</v>
      </c>
      <c r="B39" s="172" t="s">
        <v>3</v>
      </c>
      <c r="C39" s="173"/>
      <c r="D39" s="15">
        <f>IF(F3="1",SUMIF(Data!A:A,'5'!$A$2,Data!CX:CX),0)</f>
        <v>736593</v>
      </c>
      <c r="E39" s="18">
        <f>IF(F3="1",SUMIF(Data!$A:$A,'5'!$A$2,Data!IR:IR),0)</f>
        <v>404791</v>
      </c>
      <c r="F39" s="22">
        <f t="shared" si="3"/>
        <v>0.55000000000000004</v>
      </c>
    </row>
    <row r="40" spans="1:6" x14ac:dyDescent="0.2">
      <c r="A40" s="20">
        <v>5</v>
      </c>
      <c r="B40" s="172" t="s">
        <v>4</v>
      </c>
      <c r="C40" s="173"/>
      <c r="D40" s="15">
        <f>IF(F3="1",SUMIF(Data!A:A,'5'!$A$2,Data!CY:CY),0)</f>
        <v>0</v>
      </c>
      <c r="E40" s="18">
        <f>IF(F3="1",SUMIF(Data!$A:$A,'5'!$A$2,Data!IS:IS),0)</f>
        <v>0</v>
      </c>
      <c r="F40" s="22" t="str">
        <f t="shared" si="3"/>
        <v/>
      </c>
    </row>
    <row r="41" spans="1:6" x14ac:dyDescent="0.2">
      <c r="A41" s="20">
        <v>6</v>
      </c>
      <c r="B41" s="172" t="s">
        <v>5</v>
      </c>
      <c r="C41" s="173"/>
      <c r="D41" s="15">
        <f>IF(F3="1",SUMIF(Data!A:A,'5'!$A$2,Data!CZ:CZ),0)</f>
        <v>157442</v>
      </c>
      <c r="E41" s="18">
        <f>IF(F3="1",SUMIF(Data!$A:$A,'5'!$A$2,Data!IT:IT),0)</f>
        <v>276147</v>
      </c>
      <c r="F41" s="22">
        <f t="shared" si="3"/>
        <v>1.75</v>
      </c>
    </row>
    <row r="42" spans="1:6" x14ac:dyDescent="0.2">
      <c r="A42" s="20">
        <v>7</v>
      </c>
      <c r="B42" s="172" t="s">
        <v>6</v>
      </c>
      <c r="C42" s="173"/>
      <c r="D42" s="15">
        <f>IF(F3="1",SUMIF(Data!A:A,'5'!$A$2,Data!DA:DA),0)</f>
        <v>381843</v>
      </c>
      <c r="E42" s="18">
        <f>IF(F3="1",SUMIF(Data!$A:$A,'5'!$A$2,Data!IU:IU),0)</f>
        <v>1567097</v>
      </c>
      <c r="F42" s="22">
        <f t="shared" si="3"/>
        <v>4.0999999999999996</v>
      </c>
    </row>
    <row r="43" spans="1:6" x14ac:dyDescent="0.2">
      <c r="A43" s="20">
        <v>8</v>
      </c>
      <c r="B43" s="172" t="s">
        <v>7</v>
      </c>
      <c r="C43" s="173"/>
      <c r="D43" s="15">
        <f>IF(F3="1",SUMIF(Data!A:A,'5'!$A$2,Data!DB:DB),0)</f>
        <v>12840</v>
      </c>
      <c r="E43" s="18">
        <f>IF(F3="1",SUMIF(Data!$A:$A,'5'!$A$2,Data!IV:IV),0)</f>
        <v>11682</v>
      </c>
      <c r="F43" s="22">
        <f t="shared" si="3"/>
        <v>0.91</v>
      </c>
    </row>
    <row r="44" spans="1:6" x14ac:dyDescent="0.2">
      <c r="A44" s="20">
        <v>9</v>
      </c>
      <c r="B44" s="172" t="s">
        <v>8</v>
      </c>
      <c r="C44" s="173"/>
      <c r="D44" s="15">
        <f>IF(F3="1",SUMIF(Data!A:A,'5'!$A$2,Data!DC:DC),0)</f>
        <v>166068</v>
      </c>
      <c r="E44" s="18">
        <f>IF(F3="1",SUMIF(Data!$A:$A,'5'!$A$2,Data!IW:IW),0)</f>
        <v>826515</v>
      </c>
      <c r="F44" s="22">
        <f t="shared" si="3"/>
        <v>4.9800000000000004</v>
      </c>
    </row>
    <row r="45" spans="1:6" x14ac:dyDescent="0.2">
      <c r="A45" s="20">
        <v>10</v>
      </c>
      <c r="B45" s="172" t="s">
        <v>9</v>
      </c>
      <c r="C45" s="173"/>
      <c r="D45" s="15">
        <f>IF(F3="1",SUMIF(Data!A:A,'5'!$A$2,Data!DD:DD),0)</f>
        <v>9408</v>
      </c>
      <c r="E45" s="18">
        <f>IF(F3="1",SUMIF(Data!$A:$A,'5'!$A$2,Data!IX:IX),0)</f>
        <v>5373</v>
      </c>
      <c r="F45" s="22">
        <f t="shared" si="3"/>
        <v>0.56999999999999995</v>
      </c>
    </row>
    <row r="46" spans="1:6" x14ac:dyDescent="0.2">
      <c r="A46" s="20">
        <v>11</v>
      </c>
      <c r="B46" s="172" t="s">
        <v>10</v>
      </c>
      <c r="C46" s="173"/>
      <c r="D46" s="15">
        <f>IF(F3="1",SUMIF(Data!A:A,'5'!$A$2,Data!DE:DE),0)</f>
        <v>314936</v>
      </c>
      <c r="E46" s="18">
        <f>IF(F3="1",SUMIF(Data!$A:$A,'5'!$A$2,Data!IY:IY),0)</f>
        <v>606407</v>
      </c>
      <c r="F46" s="22">
        <f t="shared" si="3"/>
        <v>1.93</v>
      </c>
    </row>
    <row r="47" spans="1:6" ht="14.25" customHeight="1" x14ac:dyDescent="0.2">
      <c r="A47" s="20">
        <v>12</v>
      </c>
      <c r="B47" s="172" t="s">
        <v>11</v>
      </c>
      <c r="C47" s="173"/>
      <c r="D47" s="15">
        <f>IF(F3="1",SUMIF(Data!A:A,'5'!$A$2,Data!DF:DF),0)</f>
        <v>1919728</v>
      </c>
      <c r="E47" s="18">
        <f>IF(F3="1",SUMIF(Data!$A:$A,'5'!$A$2,Data!IZ:IZ),0)</f>
        <v>497272</v>
      </c>
      <c r="F47" s="22">
        <f t="shared" si="3"/>
        <v>0.26</v>
      </c>
    </row>
    <row r="48" spans="1:6" x14ac:dyDescent="0.2">
      <c r="A48" s="20">
        <v>13</v>
      </c>
      <c r="B48" s="172" t="s">
        <v>12</v>
      </c>
      <c r="C48" s="173"/>
      <c r="D48" s="15">
        <f>IF(F3="1",SUMIF(Data!A:A,'5'!$A$2,Data!DG:DG),0)</f>
        <v>728177</v>
      </c>
      <c r="E48" s="18">
        <f>IF(F3="1",SUMIF(Data!$A:$A,'5'!$A$2,Data!JA:JA),0)</f>
        <v>222645</v>
      </c>
      <c r="F48" s="22">
        <f t="shared" si="3"/>
        <v>0.31</v>
      </c>
    </row>
    <row r="49" spans="1:6" ht="14.25" customHeight="1" x14ac:dyDescent="0.2">
      <c r="A49" s="20">
        <v>14</v>
      </c>
      <c r="B49" s="172" t="s">
        <v>469</v>
      </c>
      <c r="C49" s="173"/>
      <c r="D49" s="15">
        <f>IF(F3="1",SUMIF(Data!A:A,'5'!$A$2,Data!DH:DH),0)</f>
        <v>385228</v>
      </c>
      <c r="E49" s="18">
        <f>IF(F3="1",SUMIF(Data!$A:$A,'5'!$A$2,Data!JB:JB),0)</f>
        <v>580862</v>
      </c>
      <c r="F49" s="22">
        <f t="shared" si="3"/>
        <v>1.51</v>
      </c>
    </row>
    <row r="50" spans="1:6" x14ac:dyDescent="0.2">
      <c r="A50" s="20">
        <v>15</v>
      </c>
      <c r="B50" s="172" t="s">
        <v>13</v>
      </c>
      <c r="C50" s="173"/>
      <c r="D50" s="15">
        <f>IF(F3="1",SUMIF(Data!A:A,'5'!$A$2,Data!DI:DI),0)</f>
        <v>22688</v>
      </c>
      <c r="E50" s="18">
        <f>IF(F3="1",SUMIF(Data!$A:$A,'5'!$A$2,Data!JC:JC),0)</f>
        <v>197648</v>
      </c>
      <c r="F50" s="22">
        <f t="shared" si="3"/>
        <v>8.7100000000000009</v>
      </c>
    </row>
    <row r="51" spans="1:6" x14ac:dyDescent="0.2">
      <c r="A51" s="20">
        <v>16</v>
      </c>
      <c r="B51" s="172" t="s">
        <v>14</v>
      </c>
      <c r="C51" s="173"/>
      <c r="D51" s="15">
        <f>IF(F3="1",SUMIF(Data!A:A,'5'!$A$2,Data!DJ:DJ),0)</f>
        <v>459058</v>
      </c>
      <c r="E51" s="18">
        <f>IF(F3="1",SUMIF(Data!$A:$A,'5'!$A$2,Data!JD:JD),0)</f>
        <v>853939</v>
      </c>
      <c r="F51" s="22">
        <f t="shared" si="3"/>
        <v>1.86</v>
      </c>
    </row>
    <row r="52" spans="1:6" x14ac:dyDescent="0.2">
      <c r="A52" s="20">
        <v>17</v>
      </c>
      <c r="B52" s="172" t="s">
        <v>15</v>
      </c>
      <c r="C52" s="173"/>
      <c r="D52" s="15">
        <f>IF(F3="1",SUMIF(Data!A:A,'5'!$A$2,Data!DK:DK),0)</f>
        <v>0</v>
      </c>
      <c r="E52" s="18">
        <f>IF(F3="1",SUMIF(Data!$A:$A,'5'!$A$2,Data!JE:JE),0)</f>
        <v>0</v>
      </c>
      <c r="F52" s="22" t="str">
        <f t="shared" si="3"/>
        <v/>
      </c>
    </row>
    <row r="53" spans="1:6" x14ac:dyDescent="0.2">
      <c r="A53" s="20">
        <v>18</v>
      </c>
      <c r="B53" s="172" t="s">
        <v>16</v>
      </c>
      <c r="C53" s="173"/>
      <c r="D53" s="15">
        <f>IF(F3="1",SUMIF(Data!A:A,'5'!$A$2,Data!DL:DL),0)</f>
        <v>103560</v>
      </c>
      <c r="E53" s="18">
        <f>IF(F3="1",SUMIF(Data!$A:$A,'5'!$A$2,Data!JF:JF),0)</f>
        <v>157547</v>
      </c>
      <c r="F53" s="22">
        <f t="shared" si="3"/>
        <v>1.52</v>
      </c>
    </row>
    <row r="54" spans="1:6" x14ac:dyDescent="0.2">
      <c r="A54" s="20">
        <v>19</v>
      </c>
      <c r="B54" s="172" t="s">
        <v>17</v>
      </c>
      <c r="C54" s="173"/>
      <c r="D54" s="15">
        <f>IF(F3="1",SUMIF(Data!A:A,'5'!$A$2,Data!DM:DM),0)</f>
        <v>1698356</v>
      </c>
      <c r="E54" s="18">
        <f>IF(F3="1",SUMIF(Data!$A:$A,'5'!$A$2,Data!JG:JG),0)</f>
        <v>269113</v>
      </c>
      <c r="F54" s="22">
        <f t="shared" si="3"/>
        <v>0.16</v>
      </c>
    </row>
    <row r="55" spans="1:6" x14ac:dyDescent="0.2">
      <c r="A55" s="20">
        <v>20</v>
      </c>
      <c r="B55" s="172" t="s">
        <v>18</v>
      </c>
      <c r="C55" s="173"/>
      <c r="D55" s="15">
        <f>IF(F3="1",SUMIF(Data!A:A,'5'!$A$2,Data!DN:DN),0)</f>
        <v>110288</v>
      </c>
      <c r="E55" s="18">
        <f>IF(F3="1",SUMIF(Data!$A:$A,'5'!$A$2,Data!JH:JH),0)</f>
        <v>317334</v>
      </c>
      <c r="F55" s="22">
        <f t="shared" si="3"/>
        <v>2.88</v>
      </c>
    </row>
    <row r="56" spans="1:6" ht="14.25" customHeight="1" x14ac:dyDescent="0.2">
      <c r="A56" s="20">
        <v>21</v>
      </c>
      <c r="B56" s="172" t="s">
        <v>466</v>
      </c>
      <c r="C56" s="173"/>
      <c r="D56" s="15">
        <f>IF(F3="1",SUMIF(Data!A:A,'5'!$A$2,Data!DO:DO),0)</f>
        <v>23804</v>
      </c>
      <c r="E56" s="18">
        <f>IF(F3="1",SUMIF(Data!$A:$A,'5'!$A$2,Data!JI:JI),0)</f>
        <v>102853</v>
      </c>
      <c r="F56" s="22">
        <f t="shared" si="3"/>
        <v>4.32</v>
      </c>
    </row>
    <row r="57" spans="1:6" x14ac:dyDescent="0.2">
      <c r="A57" s="20">
        <v>22</v>
      </c>
      <c r="B57" s="172" t="s">
        <v>19</v>
      </c>
      <c r="C57" s="173"/>
      <c r="D57" s="15">
        <f>IF(F3="1",SUMIF(Data!A:A,'5'!$A$2,Data!DP:DP),0)</f>
        <v>23072</v>
      </c>
      <c r="E57" s="18">
        <f>IF(F3="1",SUMIF(Data!$A:$A,'5'!$A$2,Data!JJ:JJ),0)</f>
        <v>0</v>
      </c>
      <c r="F57" s="22" t="str">
        <f>IF(OR(D57=0,E57=0),"",ROUND(E57/D57,2))</f>
        <v/>
      </c>
    </row>
    <row r="58" spans="1:6" x14ac:dyDescent="0.2">
      <c r="A58" s="20">
        <v>23</v>
      </c>
      <c r="B58" s="172" t="s">
        <v>20</v>
      </c>
      <c r="C58" s="173"/>
      <c r="D58" s="15">
        <f>IF(F3="1",SUMIF(Data!A:A,'5'!$A$2,Data!DQ:DQ),0)</f>
        <v>256896</v>
      </c>
      <c r="E58" s="18">
        <f>IF(F3="1",SUMIF(Data!$A:$A,'5'!$A$2,Data!JK:JK),0)</f>
        <v>210121</v>
      </c>
      <c r="F58" s="22">
        <f t="shared" si="3"/>
        <v>0.82</v>
      </c>
    </row>
    <row r="59" spans="1:6" x14ac:dyDescent="0.2">
      <c r="A59" s="20">
        <v>24</v>
      </c>
      <c r="B59" s="172" t="s">
        <v>21</v>
      </c>
      <c r="C59" s="173"/>
      <c r="D59" s="15">
        <f>IF(F3="1",SUMIF(Data!A:A,'5'!$A$2,Data!DR:DR),0)</f>
        <v>300920</v>
      </c>
      <c r="E59" s="18">
        <f>IF(F3="1",SUMIF(Data!$A:$A,'5'!$A$2,Data!JL:JL),0)</f>
        <v>372553</v>
      </c>
      <c r="F59" s="22">
        <f t="shared" si="3"/>
        <v>1.24</v>
      </c>
    </row>
    <row r="60" spans="1:6" x14ac:dyDescent="0.2">
      <c r="A60" s="20">
        <v>25</v>
      </c>
      <c r="B60" s="172" t="s">
        <v>22</v>
      </c>
      <c r="C60" s="173"/>
      <c r="D60" s="15">
        <f>IF(F3="1",SUMIF(Data!A:A,'5'!$A$2,Data!DS:DS),0)</f>
        <v>2679582</v>
      </c>
      <c r="E60" s="18">
        <f>IF(F3="1",SUMIF(Data!$A:$A,'5'!$A$2,Data!JM:JM),0)</f>
        <v>589262</v>
      </c>
      <c r="F60" s="22">
        <f t="shared" si="3"/>
        <v>0.22</v>
      </c>
    </row>
    <row r="61" spans="1:6" x14ac:dyDescent="0.2">
      <c r="A61" s="20">
        <v>26</v>
      </c>
      <c r="B61" s="172" t="s">
        <v>23</v>
      </c>
      <c r="C61" s="173"/>
      <c r="D61" s="15">
        <f>IF(F3="1",SUMIF(Data!A:A,'5'!$A$2,Data!DT:DT),0)</f>
        <v>761614</v>
      </c>
      <c r="E61" s="18">
        <f>IF(F3="1",SUMIF(Data!$A:$A,'5'!$A$2,Data!JN:JN),0)</f>
        <v>1668121</v>
      </c>
      <c r="F61" s="22">
        <f t="shared" si="3"/>
        <v>2.19</v>
      </c>
    </row>
    <row r="62" spans="1:6" x14ac:dyDescent="0.2">
      <c r="A62" s="20">
        <v>28</v>
      </c>
      <c r="B62" s="172" t="s">
        <v>24</v>
      </c>
      <c r="C62" s="173"/>
      <c r="D62" s="15">
        <f>IF(F3="1",SUMIF(Data!A:A,'5'!$A$2,Data!DV:DV),0)</f>
        <v>0</v>
      </c>
      <c r="E62" s="18">
        <f>IF(F3="1",SUMIF(Data!$A:$A,'5'!$A$2,Data!JP:JP),0)</f>
        <v>0</v>
      </c>
      <c r="F62" s="22" t="str">
        <f t="shared" si="3"/>
        <v/>
      </c>
    </row>
    <row r="63" spans="1:6" ht="15.75" customHeight="1" thickBot="1" x14ac:dyDescent="0.25">
      <c r="A63" s="23">
        <v>29</v>
      </c>
      <c r="B63" s="174" t="s">
        <v>25</v>
      </c>
      <c r="C63" s="175"/>
      <c r="D63" s="24">
        <f>IF(F3="1",SUMIF(Data!A:A,'5'!$A$2,Data!DW:DW),0)</f>
        <v>0</v>
      </c>
      <c r="E63" s="25">
        <f>IF(F3="1",SUMIF(Data!$A:$A,'5'!$A$2,Data!JQ:JQ),0)</f>
        <v>0</v>
      </c>
      <c r="F63" s="26" t="str">
        <f t="shared" si="3"/>
        <v/>
      </c>
    </row>
    <row r="64" spans="1:6" x14ac:dyDescent="0.2">
      <c r="B64" s="31" t="s">
        <v>35</v>
      </c>
      <c r="C64" s="31"/>
      <c r="D64" s="61">
        <f>SUM(D36:D63)</f>
        <v>12905055</v>
      </c>
      <c r="E64" s="32">
        <f>SUM(E36:E63)</f>
        <v>12377785</v>
      </c>
      <c r="F64" s="33">
        <f t="shared" si="3"/>
        <v>0.96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85570</v>
      </c>
      <c r="E67" s="16">
        <f>IF(F3="1",SUMIF(Data!A:A,'5'!$A$2,Data!DY:DY),0)</f>
        <v>113776</v>
      </c>
      <c r="F67" s="21">
        <f t="shared" ref="F67:F95" si="4">IF(D67=0,"",ROUND(E67/D67,2))</f>
        <v>1.33</v>
      </c>
    </row>
    <row r="68" spans="1:6" x14ac:dyDescent="0.2">
      <c r="A68" s="20">
        <v>2</v>
      </c>
      <c r="B68" s="172" t="s">
        <v>1</v>
      </c>
      <c r="C68" s="173"/>
      <c r="D68" s="15">
        <f t="shared" ref="D68:D94" si="5">D37</f>
        <v>125800</v>
      </c>
      <c r="E68" s="18">
        <f>IF(F3="1",SUMIF(Data!A:A,'5'!$A$2,Data!DZ:DZ),0)</f>
        <v>979052</v>
      </c>
      <c r="F68" s="22">
        <f t="shared" si="4"/>
        <v>7.78</v>
      </c>
    </row>
    <row r="69" spans="1:6" ht="14.25" customHeight="1" x14ac:dyDescent="0.2">
      <c r="A69" s="20">
        <v>3</v>
      </c>
      <c r="B69" s="172" t="s">
        <v>2</v>
      </c>
      <c r="C69" s="173"/>
      <c r="D69" s="15">
        <f t="shared" si="5"/>
        <v>1441584</v>
      </c>
      <c r="E69" s="18">
        <f>IF(F3="1",SUMIF(Data!A:A,'5'!$A$2,Data!EA:EA),0)</f>
        <v>6355444</v>
      </c>
      <c r="F69" s="22">
        <f t="shared" si="4"/>
        <v>4.41</v>
      </c>
    </row>
    <row r="70" spans="1:6" ht="14.25" customHeight="1" x14ac:dyDescent="0.2">
      <c r="A70" s="20">
        <v>4</v>
      </c>
      <c r="B70" s="172" t="s">
        <v>3</v>
      </c>
      <c r="C70" s="173"/>
      <c r="D70" s="15">
        <f t="shared" si="5"/>
        <v>736593</v>
      </c>
      <c r="E70" s="18">
        <f>IF(F3="1",SUMIF(Data!A:A,'5'!$A$2,Data!EB:EB),0)</f>
        <v>3097617</v>
      </c>
      <c r="F70" s="22">
        <f t="shared" si="4"/>
        <v>4.21</v>
      </c>
    </row>
    <row r="71" spans="1:6" x14ac:dyDescent="0.2">
      <c r="A71" s="20">
        <v>5</v>
      </c>
      <c r="B71" s="172" t="s">
        <v>4</v>
      </c>
      <c r="C71" s="173"/>
      <c r="D71" s="15">
        <f t="shared" si="5"/>
        <v>0</v>
      </c>
      <c r="E71" s="18">
        <f>IF(F3="1",SUMIF(Data!A:A,'5'!$A$2,Data!EC:EC),0)</f>
        <v>0</v>
      </c>
      <c r="F71" s="22" t="str">
        <f t="shared" si="4"/>
        <v/>
      </c>
    </row>
    <row r="72" spans="1:6" x14ac:dyDescent="0.2">
      <c r="A72" s="20">
        <v>6</v>
      </c>
      <c r="B72" s="172" t="s">
        <v>5</v>
      </c>
      <c r="C72" s="173"/>
      <c r="D72" s="15">
        <f t="shared" si="5"/>
        <v>157442</v>
      </c>
      <c r="E72" s="18">
        <f>IF(F3="1",SUMIF(Data!A:A,'5'!$A$2,Data!ED:ED),0)</f>
        <v>420198</v>
      </c>
      <c r="F72" s="22">
        <f t="shared" si="4"/>
        <v>2.67</v>
      </c>
    </row>
    <row r="73" spans="1:6" x14ac:dyDescent="0.2">
      <c r="A73" s="20">
        <v>7</v>
      </c>
      <c r="B73" s="172" t="s">
        <v>6</v>
      </c>
      <c r="C73" s="173"/>
      <c r="D73" s="15">
        <f t="shared" si="5"/>
        <v>381843</v>
      </c>
      <c r="E73" s="18">
        <f>IF(F3="1",SUMIF(Data!A:A,'5'!$A$2,Data!EE:EE),0)</f>
        <v>2898713</v>
      </c>
      <c r="F73" s="22">
        <f t="shared" si="4"/>
        <v>7.59</v>
      </c>
    </row>
    <row r="74" spans="1:6" x14ac:dyDescent="0.2">
      <c r="A74" s="20">
        <v>8</v>
      </c>
      <c r="B74" s="172" t="s">
        <v>7</v>
      </c>
      <c r="C74" s="173"/>
      <c r="D74" s="15">
        <f t="shared" si="5"/>
        <v>12840</v>
      </c>
      <c r="E74" s="18">
        <f>IF(F3="1",SUMIF(Data!A:A,'5'!$A$2,Data!EF:EF),0)</f>
        <v>0</v>
      </c>
      <c r="F74" s="22">
        <f t="shared" si="4"/>
        <v>0</v>
      </c>
    </row>
    <row r="75" spans="1:6" x14ac:dyDescent="0.2">
      <c r="A75" s="20">
        <v>9</v>
      </c>
      <c r="B75" s="172" t="s">
        <v>8</v>
      </c>
      <c r="C75" s="173"/>
      <c r="D75" s="15">
        <f t="shared" si="5"/>
        <v>166068</v>
      </c>
      <c r="E75" s="18">
        <f>IF(F3="1",SUMIF(Data!A:A,'5'!$A$2,Data!EG:EG),0)</f>
        <v>793222</v>
      </c>
      <c r="F75" s="22">
        <f t="shared" si="4"/>
        <v>4.78</v>
      </c>
    </row>
    <row r="76" spans="1:6" x14ac:dyDescent="0.2">
      <c r="A76" s="20">
        <v>10</v>
      </c>
      <c r="B76" s="172" t="s">
        <v>9</v>
      </c>
      <c r="C76" s="173"/>
      <c r="D76" s="15">
        <f t="shared" si="5"/>
        <v>9408</v>
      </c>
      <c r="E76" s="18">
        <f>IF(F3="1",SUMIF(Data!A:A,'5'!$A$2,Data!EH:EH),0)</f>
        <v>108070</v>
      </c>
      <c r="F76" s="22">
        <f t="shared" si="4"/>
        <v>11.49</v>
      </c>
    </row>
    <row r="77" spans="1:6" x14ac:dyDescent="0.2">
      <c r="A77" s="20">
        <v>11</v>
      </c>
      <c r="B77" s="172" t="s">
        <v>10</v>
      </c>
      <c r="C77" s="173"/>
      <c r="D77" s="15">
        <f t="shared" si="5"/>
        <v>314936</v>
      </c>
      <c r="E77" s="18">
        <f>IF(F3="1",SUMIF(Data!A:A,'5'!$A$2,Data!EI:EI),0)</f>
        <v>1721638</v>
      </c>
      <c r="F77" s="22">
        <f t="shared" si="4"/>
        <v>5.47</v>
      </c>
    </row>
    <row r="78" spans="1:6" ht="14.25" customHeight="1" x14ac:dyDescent="0.2">
      <c r="A78" s="20">
        <v>12</v>
      </c>
      <c r="B78" s="172" t="s">
        <v>11</v>
      </c>
      <c r="C78" s="173"/>
      <c r="D78" s="15">
        <f t="shared" si="5"/>
        <v>1919728</v>
      </c>
      <c r="E78" s="18">
        <f>IF(F3="1",SUMIF(Data!A:A,'5'!$A$2,Data!EJ:EJ),0)</f>
        <v>8986546</v>
      </c>
      <c r="F78" s="22">
        <f t="shared" si="4"/>
        <v>4.68</v>
      </c>
    </row>
    <row r="79" spans="1:6" x14ac:dyDescent="0.2">
      <c r="A79" s="20">
        <v>13</v>
      </c>
      <c r="B79" s="172" t="s">
        <v>12</v>
      </c>
      <c r="C79" s="173"/>
      <c r="D79" s="15">
        <f t="shared" si="5"/>
        <v>728177</v>
      </c>
      <c r="E79" s="18">
        <f>IF(F3="1",SUMIF(Data!A:A,'5'!$A$2,Data!EK:EK),0)</f>
        <v>3101240</v>
      </c>
      <c r="F79" s="22">
        <f t="shared" si="4"/>
        <v>4.26</v>
      </c>
    </row>
    <row r="80" spans="1:6" ht="14.25" customHeight="1" x14ac:dyDescent="0.2">
      <c r="A80" s="20">
        <v>14</v>
      </c>
      <c r="B80" s="172" t="s">
        <v>469</v>
      </c>
      <c r="C80" s="173"/>
      <c r="D80" s="15">
        <f t="shared" si="5"/>
        <v>385228</v>
      </c>
      <c r="E80" s="18">
        <f>IF(F3="1",SUMIF(Data!A:A,'5'!$A$2,Data!EL:EL),0)</f>
        <v>3342031</v>
      </c>
      <c r="F80" s="22">
        <f t="shared" si="4"/>
        <v>8.68</v>
      </c>
    </row>
    <row r="81" spans="1:6" x14ac:dyDescent="0.2">
      <c r="A81" s="20">
        <v>15</v>
      </c>
      <c r="B81" s="172" t="s">
        <v>13</v>
      </c>
      <c r="C81" s="173"/>
      <c r="D81" s="15">
        <f t="shared" si="5"/>
        <v>22688</v>
      </c>
      <c r="E81" s="18">
        <f>IF(F3="1",SUMIF(Data!A:A,'5'!$A$2,Data!EM:EM),0)</f>
        <v>428618</v>
      </c>
      <c r="F81" s="22">
        <f t="shared" si="4"/>
        <v>18.89</v>
      </c>
    </row>
    <row r="82" spans="1:6" x14ac:dyDescent="0.2">
      <c r="A82" s="20">
        <v>16</v>
      </c>
      <c r="B82" s="172" t="s">
        <v>14</v>
      </c>
      <c r="C82" s="173"/>
      <c r="D82" s="15">
        <f t="shared" si="5"/>
        <v>459058</v>
      </c>
      <c r="E82" s="18">
        <f>IF(F3="1",SUMIF(Data!A:A,'5'!$A$2,Data!EN:EN),0)</f>
        <v>3770084</v>
      </c>
      <c r="F82" s="22">
        <f t="shared" si="4"/>
        <v>8.2100000000000009</v>
      </c>
    </row>
    <row r="83" spans="1:6" x14ac:dyDescent="0.2">
      <c r="A83" s="20">
        <v>17</v>
      </c>
      <c r="B83" s="172" t="s">
        <v>15</v>
      </c>
      <c r="C83" s="173"/>
      <c r="D83" s="15">
        <f t="shared" si="5"/>
        <v>0</v>
      </c>
      <c r="E83" s="18">
        <f>IF(F3="1",SUMIF(Data!A:A,'5'!$A$2,Data!EO:EO),0)</f>
        <v>0</v>
      </c>
      <c r="F83" s="22" t="str">
        <f t="shared" si="4"/>
        <v/>
      </c>
    </row>
    <row r="84" spans="1:6" x14ac:dyDescent="0.2">
      <c r="A84" s="20">
        <v>18</v>
      </c>
      <c r="B84" s="172" t="s">
        <v>16</v>
      </c>
      <c r="C84" s="173"/>
      <c r="D84" s="15">
        <f t="shared" si="5"/>
        <v>103560</v>
      </c>
      <c r="E84" s="18">
        <f>IF(F3="1",SUMIF(Data!A:A,'5'!$A$2,Data!EP:EP),0)</f>
        <v>1078585</v>
      </c>
      <c r="F84" s="22">
        <f t="shared" si="4"/>
        <v>10.42</v>
      </c>
    </row>
    <row r="85" spans="1:6" x14ac:dyDescent="0.2">
      <c r="A85" s="20">
        <v>19</v>
      </c>
      <c r="B85" s="172" t="s">
        <v>17</v>
      </c>
      <c r="C85" s="173"/>
      <c r="D85" s="15">
        <f t="shared" si="5"/>
        <v>1698356</v>
      </c>
      <c r="E85" s="18">
        <f>IF(F3="1",SUMIF(Data!A:A,'5'!$A$2,Data!EQ:EQ),0)</f>
        <v>6613426</v>
      </c>
      <c r="F85" s="22">
        <f t="shared" si="4"/>
        <v>3.89</v>
      </c>
    </row>
    <row r="86" spans="1:6" x14ac:dyDescent="0.2">
      <c r="A86" s="20">
        <v>20</v>
      </c>
      <c r="B86" s="172" t="s">
        <v>18</v>
      </c>
      <c r="C86" s="173"/>
      <c r="D86" s="15">
        <f t="shared" si="5"/>
        <v>110288</v>
      </c>
      <c r="E86" s="18">
        <f>IF(F3="1",SUMIF(Data!A:A,'5'!$A$2,Data!ER:ER),0)</f>
        <v>740422</v>
      </c>
      <c r="F86" s="22">
        <f t="shared" si="4"/>
        <v>6.71</v>
      </c>
    </row>
    <row r="87" spans="1:6" ht="14.25" customHeight="1" x14ac:dyDescent="0.2">
      <c r="A87" s="20">
        <v>21</v>
      </c>
      <c r="B87" s="172" t="s">
        <v>466</v>
      </c>
      <c r="C87" s="173"/>
      <c r="D87" s="15">
        <f t="shared" si="5"/>
        <v>23804</v>
      </c>
      <c r="E87" s="18">
        <f>IF(F3="1",SUMIF(Data!A:A,'5'!$A$2,Data!ES:ES),0)</f>
        <v>80637</v>
      </c>
      <c r="F87" s="22">
        <f t="shared" si="4"/>
        <v>3.39</v>
      </c>
    </row>
    <row r="88" spans="1:6" x14ac:dyDescent="0.2">
      <c r="A88" s="20">
        <v>22</v>
      </c>
      <c r="B88" s="172" t="s">
        <v>19</v>
      </c>
      <c r="C88" s="173"/>
      <c r="D88" s="15">
        <f t="shared" si="5"/>
        <v>23072</v>
      </c>
      <c r="E88" s="18">
        <f>IF(F3="1",SUMIF(Data!A:A,'5'!$A$2,Data!ET:ET),0)</f>
        <v>0</v>
      </c>
      <c r="F88" s="22" t="str">
        <f>IF(OR(D88=0,E88=0),"",ROUND(E88/D88,2))</f>
        <v/>
      </c>
    </row>
    <row r="89" spans="1:6" x14ac:dyDescent="0.2">
      <c r="A89" s="20">
        <v>23</v>
      </c>
      <c r="B89" s="172" t="s">
        <v>20</v>
      </c>
      <c r="C89" s="173"/>
      <c r="D89" s="15">
        <f t="shared" si="5"/>
        <v>256896</v>
      </c>
      <c r="E89" s="18">
        <f>IF(F3="1",SUMIF(Data!A:A,'5'!$A$2,Data!EU:EU),0)</f>
        <v>1050213</v>
      </c>
      <c r="F89" s="22">
        <f t="shared" si="4"/>
        <v>4.09</v>
      </c>
    </row>
    <row r="90" spans="1:6" x14ac:dyDescent="0.2">
      <c r="A90" s="20">
        <v>24</v>
      </c>
      <c r="B90" s="172" t="s">
        <v>21</v>
      </c>
      <c r="C90" s="173"/>
      <c r="D90" s="15">
        <f t="shared" si="5"/>
        <v>300920</v>
      </c>
      <c r="E90" s="18">
        <f>IF(F3="1",SUMIF(Data!A:A,'5'!$A$2,Data!EV:EV),0)</f>
        <v>880421</v>
      </c>
      <c r="F90" s="22">
        <f t="shared" si="4"/>
        <v>2.93</v>
      </c>
    </row>
    <row r="91" spans="1:6" x14ac:dyDescent="0.2">
      <c r="A91" s="20">
        <v>25</v>
      </c>
      <c r="B91" s="172" t="s">
        <v>22</v>
      </c>
      <c r="C91" s="173"/>
      <c r="D91" s="15">
        <f t="shared" si="5"/>
        <v>2679582</v>
      </c>
      <c r="E91" s="18">
        <f>IF(F3="1",SUMIF(Data!A:A,'5'!$A$2,Data!EW:EW),0)</f>
        <v>8884316</v>
      </c>
      <c r="F91" s="22">
        <f t="shared" si="4"/>
        <v>3.32</v>
      </c>
    </row>
    <row r="92" spans="1:6" x14ac:dyDescent="0.2">
      <c r="A92" s="20">
        <v>26</v>
      </c>
      <c r="B92" s="172" t="s">
        <v>23</v>
      </c>
      <c r="C92" s="173"/>
      <c r="D92" s="15">
        <f t="shared" si="5"/>
        <v>761614</v>
      </c>
      <c r="E92" s="18">
        <f>IF(F3="1",SUMIF(Data!A:A,'5'!$A$2,Data!EX:EX),0)</f>
        <v>5261064</v>
      </c>
      <c r="F92" s="22">
        <f t="shared" si="4"/>
        <v>6.91</v>
      </c>
    </row>
    <row r="93" spans="1:6" x14ac:dyDescent="0.2">
      <c r="A93" s="20">
        <v>28</v>
      </c>
      <c r="B93" s="172" t="s">
        <v>24</v>
      </c>
      <c r="C93" s="173"/>
      <c r="D93" s="15">
        <f t="shared" si="5"/>
        <v>0</v>
      </c>
      <c r="E93" s="18">
        <f>IF(F3="1",SUMIF(Data!A:A,'5'!$A$2,Data!EZ:EZ),0)</f>
        <v>0</v>
      </c>
      <c r="F93" s="22" t="str">
        <f t="shared" si="4"/>
        <v/>
      </c>
    </row>
    <row r="94" spans="1:6" ht="15.75" customHeight="1" thickBot="1" x14ac:dyDescent="0.25">
      <c r="A94" s="23">
        <v>29</v>
      </c>
      <c r="B94" s="174" t="s">
        <v>25</v>
      </c>
      <c r="C94" s="175"/>
      <c r="D94" s="24">
        <f t="shared" si="5"/>
        <v>0</v>
      </c>
      <c r="E94" s="25">
        <f>IF(F3="1",SUMIF(Data!A:A,'5'!$A$2,Data!FA:FA),0)</f>
        <v>0</v>
      </c>
      <c r="F94" s="26" t="str">
        <f t="shared" si="4"/>
        <v/>
      </c>
    </row>
    <row r="95" spans="1:6" x14ac:dyDescent="0.2">
      <c r="B95" s="31" t="s">
        <v>35</v>
      </c>
      <c r="C95" s="31"/>
      <c r="D95" s="61">
        <f>SUM(D67:D94)</f>
        <v>12905055</v>
      </c>
      <c r="E95" s="32">
        <f>SUM(E67:E94)</f>
        <v>60705333</v>
      </c>
      <c r="F95" s="33">
        <f t="shared" si="4"/>
        <v>4.7</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IF(F3="1",SUMIF(Data!A:A,'5'!$A$2,Data!AH:AH),0)</f>
        <v>25339257</v>
      </c>
      <c r="F98" s="21">
        <f>IF($D$105=0,"",ROUND(E98/$D$105,2))</f>
        <v>1.96</v>
      </c>
    </row>
    <row r="99" spans="2:6" x14ac:dyDescent="0.2">
      <c r="B99" s="178" t="s">
        <v>31</v>
      </c>
      <c r="C99" s="179"/>
      <c r="D99" s="37"/>
      <c r="E99" s="18">
        <f>IF(F3="1",SUMIF(Data!A:A,'5'!$A$2,Data!AI:AI),0)</f>
        <v>14818651</v>
      </c>
      <c r="F99" s="22">
        <f t="shared" ref="F99:F105" si="6">IF($D$105=0,"",ROUND(E99/$D$105,2))</f>
        <v>1.1499999999999999</v>
      </c>
    </row>
    <row r="100" spans="2:6" x14ac:dyDescent="0.2">
      <c r="B100" s="178" t="s">
        <v>32</v>
      </c>
      <c r="C100" s="179"/>
      <c r="D100" s="37"/>
      <c r="E100" s="18">
        <f>IF(F3="1",SUMIF(Data!A:A,'5'!$A$2,Data!AJ:AJ),0)</f>
        <v>17504068</v>
      </c>
      <c r="F100" s="22">
        <f t="shared" si="6"/>
        <v>1.36</v>
      </c>
    </row>
    <row r="101" spans="2:6" x14ac:dyDescent="0.2">
      <c r="B101" s="178" t="s">
        <v>28</v>
      </c>
      <c r="C101" s="179"/>
      <c r="D101" s="37"/>
      <c r="E101" s="18">
        <f>IF(F3="1",SUMIF(Data!A:A,'5'!$A$2,Data!AK:AK),0)</f>
        <v>0</v>
      </c>
      <c r="F101" s="22">
        <f t="shared" si="6"/>
        <v>0</v>
      </c>
    </row>
    <row r="102" spans="2:6" x14ac:dyDescent="0.2">
      <c r="B102" s="178" t="s">
        <v>33</v>
      </c>
      <c r="C102" s="179"/>
      <c r="D102" s="37"/>
      <c r="E102" s="18">
        <f>IF(F3="1",SUMIF(Data!A:A,'5'!$A$2,Data!AL:AL),0)</f>
        <v>0</v>
      </c>
      <c r="F102" s="22">
        <f t="shared" si="6"/>
        <v>0</v>
      </c>
    </row>
    <row r="103" spans="2:6" x14ac:dyDescent="0.2">
      <c r="B103" s="180" t="s">
        <v>34</v>
      </c>
      <c r="C103" s="181"/>
      <c r="D103" s="37"/>
      <c r="E103" s="18">
        <f>IF(F3="1",SUMIF(Data!A:A,'5'!$A$2,Data!AM:AM),0)</f>
        <v>1778114</v>
      </c>
      <c r="F103" s="22">
        <f t="shared" si="6"/>
        <v>0.14000000000000001</v>
      </c>
    </row>
    <row r="104" spans="2:6" ht="15.75" customHeight="1" thickBot="1" x14ac:dyDescent="0.25">
      <c r="B104" s="170" t="s">
        <v>29</v>
      </c>
      <c r="C104" s="171"/>
      <c r="D104" s="38"/>
      <c r="E104" s="25">
        <f>IF(F3="1",SUMIF(Data!A:A,'5'!$A$2,Data!Q:Q),0)</f>
        <v>4227266</v>
      </c>
      <c r="F104" s="26">
        <f t="shared" si="6"/>
        <v>0.33</v>
      </c>
    </row>
    <row r="105" spans="2:6" x14ac:dyDescent="0.2">
      <c r="B105" s="31" t="s">
        <v>35</v>
      </c>
      <c r="C105" s="31"/>
      <c r="D105" s="35">
        <f>D95</f>
        <v>12905055</v>
      </c>
      <c r="E105" s="32">
        <f>SUM(E98:E104)</f>
        <v>63667356</v>
      </c>
      <c r="F105" s="33">
        <f t="shared" si="6"/>
        <v>4.93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67883506</v>
      </c>
      <c r="D109" s="16">
        <f>IF(F3="1",SUMIF(Data!$A:$A,$A$2,Data!HJ:HJ),0)</f>
        <v>1687059</v>
      </c>
      <c r="E109" s="16">
        <f>IF(F3="1",SUMIF(Data!$A:$A,$A$2,Data!IN:IN),0)</f>
        <v>3729083</v>
      </c>
      <c r="F109" s="48">
        <f>SUM(C109:E109)</f>
        <v>73299648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3298674</v>
      </c>
      <c r="D111" s="52"/>
      <c r="E111" s="51">
        <f>IF(F3="1",SUMIF(Data!A:A,$A$2,Data!AX:AX),0)</f>
        <v>1364045</v>
      </c>
      <c r="F111" s="49">
        <f t="shared" si="7"/>
        <v>4662719</v>
      </c>
    </row>
    <row r="112" spans="2:6" x14ac:dyDescent="0.2">
      <c r="B112" s="43" t="s">
        <v>32</v>
      </c>
      <c r="C112" s="51">
        <f>IF(F3="1",SUMIF(Data!A:A,$A$2,Data!V:V),0)</f>
        <v>15029344</v>
      </c>
      <c r="D112" s="52"/>
      <c r="E112" s="51">
        <f>IF(F3="1",SUMIF(Data!A:A,$A$2,Data!AC:AC),0)</f>
        <v>2474724</v>
      </c>
      <c r="F112" s="49">
        <f t="shared" si="7"/>
        <v>17504068</v>
      </c>
    </row>
    <row r="113" spans="1:6" x14ac:dyDescent="0.2">
      <c r="B113" s="43" t="s">
        <v>31</v>
      </c>
      <c r="C113" s="51">
        <f>IF(F3="1",SUMIF(Data!A:A,$A$2,Data!U:U),0)</f>
        <v>13407932</v>
      </c>
      <c r="D113" s="52"/>
      <c r="E113" s="51">
        <f>IF(F3="1",SUMIF(Data!A:A,$A$2,Data!AB:AB),0)</f>
        <v>1410719</v>
      </c>
      <c r="F113" s="49">
        <f t="shared" si="7"/>
        <v>14818651</v>
      </c>
    </row>
    <row r="114" spans="1:6" x14ac:dyDescent="0.2">
      <c r="B114" s="43" t="s">
        <v>1021</v>
      </c>
      <c r="C114" s="51">
        <f>IF(F3="1",SUMIF(Data!A:A,$A$2,Data!T:T),0)</f>
        <v>13398577</v>
      </c>
      <c r="D114" s="52"/>
      <c r="E114" s="51">
        <f>IF(F3="1",SUMIF(Data!A:A,$A$2,Data!AA:AA),0)</f>
        <v>11940680</v>
      </c>
      <c r="F114" s="49">
        <f t="shared" si="7"/>
        <v>25339257</v>
      </c>
    </row>
    <row r="115" spans="1:6" x14ac:dyDescent="0.2">
      <c r="B115" s="43" t="s">
        <v>937</v>
      </c>
      <c r="C115" s="51">
        <f>IF(F3="1",SUMIF(Data!A:A,$A$2,Data!BI:BI),0)</f>
        <v>5741565</v>
      </c>
      <c r="D115" s="51">
        <f>IF(F3="1",SUMIF(Data!A:A,$A$2,Data!BL:BL),0)</f>
        <v>148489</v>
      </c>
      <c r="E115" s="51">
        <f>IF(F3="1",SUMIF(Data!A:A,$A$2,Data!BU:BU),0)</f>
        <v>11867347</v>
      </c>
      <c r="F115" s="49">
        <f t="shared" si="7"/>
        <v>17757401</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4227266</v>
      </c>
      <c r="E117" s="53"/>
      <c r="F117" s="50">
        <f>SUM(C117:E117)</f>
        <v>4227266</v>
      </c>
    </row>
    <row r="118" spans="1:6" x14ac:dyDescent="0.2">
      <c r="B118" s="14" t="s">
        <v>35</v>
      </c>
      <c r="C118" s="5">
        <f>SUM(C109:C116)</f>
        <v>118759598</v>
      </c>
      <c r="D118" s="5">
        <f>SUM(D109:D116)</f>
        <v>1835548</v>
      </c>
      <c r="E118" s="5">
        <f>SUM(E109:E116)</f>
        <v>32786598</v>
      </c>
      <c r="F118" s="5">
        <f>SUM(F109:F116)</f>
        <v>153381744</v>
      </c>
    </row>
    <row r="119" spans="1:6" ht="15" thickBot="1" x14ac:dyDescent="0.25"/>
    <row r="120" spans="1:6" ht="15" thickBot="1" x14ac:dyDescent="0.25">
      <c r="B120" s="57" t="s">
        <v>942</v>
      </c>
      <c r="C120" s="55"/>
      <c r="D120" s="55"/>
      <c r="E120" s="55">
        <f>IF(F3="1",SUMIF(Data!A:A,'5'!$A$2,Data!AM:AM),0)</f>
        <v>1778114</v>
      </c>
      <c r="F120" s="56">
        <f>SUM(C120:E120)</f>
        <v>1778114</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356</v>
      </c>
      <c r="B2" s="60" t="str">
        <f>VLOOKUP(A2,Data!A:G,7,0)</f>
        <v>Blinn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59744</v>
      </c>
      <c r="E5" s="16">
        <f>E36+E67+IFERROR($E$105/$D$105*D5,0)</f>
        <v>389838.04795064882</v>
      </c>
      <c r="F5" s="21">
        <f>IF(OR(D5=0,E5=0),"",ROUND(E5/D5,2))</f>
        <v>6.53</v>
      </c>
    </row>
    <row r="6" spans="1:6" x14ac:dyDescent="0.2">
      <c r="A6" s="20">
        <v>2</v>
      </c>
      <c r="B6" s="172" t="s">
        <v>1</v>
      </c>
      <c r="C6" s="173"/>
      <c r="D6" s="15">
        <f t="shared" ref="D6:D32" si="0">D37</f>
        <v>23456</v>
      </c>
      <c r="E6" s="18">
        <f t="shared" ref="E6:E32" si="1">E37+E68+IFERROR($E$105/$D$105*D6,0)</f>
        <v>300949.46446053858</v>
      </c>
      <c r="F6" s="22">
        <f t="shared" ref="F6:F33" si="2">IF(OR(D6=0,E6=0),"",ROUND(E6/D6,2))</f>
        <v>12.83</v>
      </c>
    </row>
    <row r="7" spans="1:6" ht="14.25" customHeight="1" x14ac:dyDescent="0.2">
      <c r="A7" s="20">
        <v>3</v>
      </c>
      <c r="B7" s="172" t="s">
        <v>2</v>
      </c>
      <c r="C7" s="173"/>
      <c r="D7" s="15">
        <f t="shared" si="0"/>
        <v>1240016</v>
      </c>
      <c r="E7" s="18">
        <f t="shared" si="1"/>
        <v>5922312.1569960453</v>
      </c>
      <c r="F7" s="22">
        <f t="shared" si="2"/>
        <v>4.78</v>
      </c>
    </row>
    <row r="8" spans="1:6" ht="14.25" customHeight="1" x14ac:dyDescent="0.2">
      <c r="A8" s="20">
        <v>4</v>
      </c>
      <c r="B8" s="172" t="s">
        <v>3</v>
      </c>
      <c r="C8" s="173"/>
      <c r="D8" s="15">
        <f t="shared" si="0"/>
        <v>333464</v>
      </c>
      <c r="E8" s="18">
        <f t="shared" si="1"/>
        <v>2341317.6337341852</v>
      </c>
      <c r="F8" s="22">
        <f t="shared" si="2"/>
        <v>7.02</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4752</v>
      </c>
      <c r="E10" s="18">
        <f t="shared" si="1"/>
        <v>21162.46926656205</v>
      </c>
      <c r="F10" s="22">
        <f t="shared" si="2"/>
        <v>4.45</v>
      </c>
    </row>
    <row r="11" spans="1:6" x14ac:dyDescent="0.2">
      <c r="A11" s="20">
        <v>7</v>
      </c>
      <c r="B11" s="172" t="s">
        <v>6</v>
      </c>
      <c r="C11" s="173"/>
      <c r="D11" s="15">
        <f t="shared" si="0"/>
        <v>121288</v>
      </c>
      <c r="E11" s="18">
        <f t="shared" si="1"/>
        <v>2034107.6069871166</v>
      </c>
      <c r="F11" s="22">
        <f t="shared" si="2"/>
        <v>16.77</v>
      </c>
    </row>
    <row r="12" spans="1:6" x14ac:dyDescent="0.2">
      <c r="A12" s="20">
        <v>8</v>
      </c>
      <c r="B12" s="172" t="s">
        <v>7</v>
      </c>
      <c r="C12" s="173"/>
      <c r="D12" s="15">
        <f t="shared" si="0"/>
        <v>12411</v>
      </c>
      <c r="E12" s="18">
        <f t="shared" si="1"/>
        <v>159237.8089367217</v>
      </c>
      <c r="F12" s="22">
        <f t="shared" si="2"/>
        <v>12.83</v>
      </c>
    </row>
    <row r="13" spans="1:6" x14ac:dyDescent="0.2">
      <c r="A13" s="20">
        <v>9</v>
      </c>
      <c r="B13" s="172" t="s">
        <v>8</v>
      </c>
      <c r="C13" s="173"/>
      <c r="D13" s="15">
        <f t="shared" si="0"/>
        <v>83381</v>
      </c>
      <c r="E13" s="18">
        <f t="shared" si="1"/>
        <v>322302.02102592809</v>
      </c>
      <c r="F13" s="22">
        <f t="shared" si="2"/>
        <v>3.87</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18998</v>
      </c>
      <c r="E15" s="18">
        <f t="shared" si="1"/>
        <v>171664.30200466031</v>
      </c>
      <c r="F15" s="22">
        <f t="shared" si="2"/>
        <v>9.0399999999999991</v>
      </c>
    </row>
    <row r="16" spans="1:6" ht="14.25" customHeight="1" x14ac:dyDescent="0.2">
      <c r="A16" s="20">
        <v>12</v>
      </c>
      <c r="B16" s="172" t="s">
        <v>11</v>
      </c>
      <c r="C16" s="173"/>
      <c r="D16" s="15">
        <f t="shared" si="0"/>
        <v>969400</v>
      </c>
      <c r="E16" s="18">
        <f t="shared" si="1"/>
        <v>6292683.470329388</v>
      </c>
      <c r="F16" s="22">
        <f t="shared" si="2"/>
        <v>6.49</v>
      </c>
    </row>
    <row r="17" spans="1:6" x14ac:dyDescent="0.2">
      <c r="A17" s="20">
        <v>13</v>
      </c>
      <c r="B17" s="172" t="s">
        <v>12</v>
      </c>
      <c r="C17" s="173"/>
      <c r="D17" s="15">
        <f t="shared" si="0"/>
        <v>136122</v>
      </c>
      <c r="E17" s="18">
        <f t="shared" si="1"/>
        <v>833648.05334658234</v>
      </c>
      <c r="F17" s="22">
        <f t="shared" si="2"/>
        <v>6.12</v>
      </c>
    </row>
    <row r="18" spans="1:6" ht="14.25" customHeight="1" x14ac:dyDescent="0.2">
      <c r="A18" s="20">
        <v>14</v>
      </c>
      <c r="B18" s="172" t="s">
        <v>469</v>
      </c>
      <c r="C18" s="173"/>
      <c r="D18" s="15">
        <f t="shared" si="0"/>
        <v>98024</v>
      </c>
      <c r="E18" s="18">
        <f t="shared" si="1"/>
        <v>1319961.3837090654</v>
      </c>
      <c r="F18" s="22">
        <f t="shared" si="2"/>
        <v>13.47</v>
      </c>
    </row>
    <row r="19" spans="1:6" x14ac:dyDescent="0.2">
      <c r="A19" s="20">
        <v>15</v>
      </c>
      <c r="B19" s="172" t="s">
        <v>13</v>
      </c>
      <c r="C19" s="173"/>
      <c r="D19" s="15">
        <f t="shared" si="0"/>
        <v>18112</v>
      </c>
      <c r="E19" s="18">
        <f t="shared" si="1"/>
        <v>391473.75154797389</v>
      </c>
      <c r="F19" s="22">
        <f t="shared" si="2"/>
        <v>21.61</v>
      </c>
    </row>
    <row r="20" spans="1:6" x14ac:dyDescent="0.2">
      <c r="A20" s="20">
        <v>16</v>
      </c>
      <c r="B20" s="172" t="s">
        <v>14</v>
      </c>
      <c r="C20" s="173"/>
      <c r="D20" s="15">
        <f t="shared" si="0"/>
        <v>256357</v>
      </c>
      <c r="E20" s="18">
        <f t="shared" si="1"/>
        <v>1760689.8063484947</v>
      </c>
      <c r="F20" s="22">
        <f t="shared" si="2"/>
        <v>6.87</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74244</v>
      </c>
      <c r="E22" s="18">
        <f t="shared" si="1"/>
        <v>539960.88725307933</v>
      </c>
      <c r="F22" s="22">
        <f t="shared" si="2"/>
        <v>7.27</v>
      </c>
    </row>
    <row r="23" spans="1:6" x14ac:dyDescent="0.2">
      <c r="A23" s="20">
        <v>19</v>
      </c>
      <c r="B23" s="172" t="s">
        <v>17</v>
      </c>
      <c r="C23" s="173"/>
      <c r="D23" s="15">
        <f t="shared" si="0"/>
        <v>805440</v>
      </c>
      <c r="E23" s="18">
        <f t="shared" si="1"/>
        <v>4597298.760534456</v>
      </c>
      <c r="F23" s="22">
        <f t="shared" si="2"/>
        <v>5.71</v>
      </c>
    </row>
    <row r="24" spans="1:6" x14ac:dyDescent="0.2">
      <c r="A24" s="20">
        <v>20</v>
      </c>
      <c r="B24" s="172" t="s">
        <v>18</v>
      </c>
      <c r="C24" s="173"/>
      <c r="D24" s="15">
        <f t="shared" si="0"/>
        <v>288</v>
      </c>
      <c r="E24" s="18">
        <f t="shared" si="1"/>
        <v>3694.3617737310333</v>
      </c>
      <c r="F24" s="22">
        <f t="shared" si="2"/>
        <v>12.83</v>
      </c>
    </row>
    <row r="25" spans="1:6" ht="14.25" customHeight="1" x14ac:dyDescent="0.2">
      <c r="A25" s="20">
        <v>21</v>
      </c>
      <c r="B25" s="172" t="s">
        <v>466</v>
      </c>
      <c r="C25" s="173"/>
      <c r="D25" s="15">
        <f t="shared" si="0"/>
        <v>8000</v>
      </c>
      <c r="E25" s="18">
        <f t="shared" si="1"/>
        <v>102642.04927030648</v>
      </c>
      <c r="F25" s="22">
        <f t="shared" si="2"/>
        <v>12.83</v>
      </c>
    </row>
    <row r="26" spans="1:6" x14ac:dyDescent="0.2">
      <c r="A26" s="20">
        <v>22</v>
      </c>
      <c r="B26" s="172" t="s">
        <v>19</v>
      </c>
      <c r="C26" s="173"/>
      <c r="D26" s="15">
        <f t="shared" si="0"/>
        <v>3072</v>
      </c>
      <c r="E26" s="18">
        <f t="shared" si="1"/>
        <v>39414.858919797691</v>
      </c>
      <c r="F26" s="22">
        <f t="shared" si="2"/>
        <v>12.83</v>
      </c>
    </row>
    <row r="27" spans="1:6" x14ac:dyDescent="0.2">
      <c r="A27" s="20">
        <v>23</v>
      </c>
      <c r="B27" s="172" t="s">
        <v>20</v>
      </c>
      <c r="C27" s="173"/>
      <c r="D27" s="15">
        <f t="shared" si="0"/>
        <v>228288</v>
      </c>
      <c r="E27" s="18">
        <f t="shared" si="1"/>
        <v>1543505.7659774658</v>
      </c>
      <c r="F27" s="22">
        <f t="shared" si="2"/>
        <v>6.76</v>
      </c>
    </row>
    <row r="28" spans="1:6" x14ac:dyDescent="0.2">
      <c r="A28" s="20">
        <v>24</v>
      </c>
      <c r="B28" s="172" t="s">
        <v>21</v>
      </c>
      <c r="C28" s="173"/>
      <c r="D28" s="15">
        <f t="shared" si="0"/>
        <v>132488</v>
      </c>
      <c r="E28" s="18">
        <f t="shared" si="1"/>
        <v>671492.6759655457</v>
      </c>
      <c r="F28" s="22">
        <f t="shared" si="2"/>
        <v>5.07</v>
      </c>
    </row>
    <row r="29" spans="1:6" x14ac:dyDescent="0.2">
      <c r="A29" s="20">
        <v>25</v>
      </c>
      <c r="B29" s="172" t="s">
        <v>22</v>
      </c>
      <c r="C29" s="173"/>
      <c r="D29" s="15">
        <f t="shared" si="0"/>
        <v>1574016</v>
      </c>
      <c r="E29" s="18">
        <f t="shared" si="1"/>
        <v>7557548.2140313406</v>
      </c>
      <c r="F29" s="22">
        <f t="shared" si="2"/>
        <v>4.8</v>
      </c>
    </row>
    <row r="30" spans="1:6" x14ac:dyDescent="0.2">
      <c r="A30" s="20">
        <v>26</v>
      </c>
      <c r="B30" s="172" t="s">
        <v>23</v>
      </c>
      <c r="C30" s="173"/>
      <c r="D30" s="15">
        <f t="shared" si="0"/>
        <v>277592</v>
      </c>
      <c r="E30" s="18">
        <f t="shared" si="1"/>
        <v>1806832.4496303648</v>
      </c>
      <c r="F30" s="22">
        <f t="shared" si="2"/>
        <v>6.51</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6478953</v>
      </c>
      <c r="E33" s="32">
        <f>SUM(E5:E32)</f>
        <v>39123737.999999993</v>
      </c>
      <c r="F33" s="33">
        <f t="shared" si="2"/>
        <v>6.04</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IF(F3="1",SUMIF(Data!A:A,'6'!$A$2,Data!CU:CU),0)</f>
        <v>59744</v>
      </c>
      <c r="E36" s="16">
        <f>IF(F3="1",SUMIF(Data!$A:$A,'6'!$A$2,Data!IO:IO),0)</f>
        <v>39519</v>
      </c>
      <c r="F36" s="21">
        <f>IF(D36=0,"",ROUND(E36/D36,2))</f>
        <v>0.66</v>
      </c>
    </row>
    <row r="37" spans="1:6" x14ac:dyDescent="0.2">
      <c r="A37" s="20">
        <v>2</v>
      </c>
      <c r="B37" s="172" t="s">
        <v>1</v>
      </c>
      <c r="C37" s="173"/>
      <c r="D37" s="15">
        <f>IF(F3="1",SUMIF(Data!A:A,'6'!$A$2,Data!CV:CV),0)</f>
        <v>23456</v>
      </c>
      <c r="E37" s="18">
        <f>IF(F3="1",SUMIF(Data!$A:$A,'6'!$A$2,Data!IP:IP),0)</f>
        <v>186697</v>
      </c>
      <c r="F37" s="22">
        <f t="shared" ref="F37:F64" si="3">IF(D37=0,"",ROUND(E37/D37,2))</f>
        <v>7.96</v>
      </c>
    </row>
    <row r="38" spans="1:6" ht="14.25" customHeight="1" x14ac:dyDescent="0.2">
      <c r="A38" s="20">
        <v>3</v>
      </c>
      <c r="B38" s="172" t="s">
        <v>2</v>
      </c>
      <c r="C38" s="173"/>
      <c r="D38" s="15">
        <f>IF(F3="1",SUMIF(Data!A:A,'6'!$A$2,Data!CW:CW),0)</f>
        <v>1240016</v>
      </c>
      <c r="E38" s="18">
        <f>IF(F3="1",SUMIF(Data!$A:$A,'6'!$A$2,Data!IQ:IQ),0)</f>
        <v>590112</v>
      </c>
      <c r="F38" s="22">
        <f t="shared" si="3"/>
        <v>0.48</v>
      </c>
    </row>
    <row r="39" spans="1:6" ht="14.25" customHeight="1" x14ac:dyDescent="0.2">
      <c r="A39" s="20">
        <v>4</v>
      </c>
      <c r="B39" s="172" t="s">
        <v>3</v>
      </c>
      <c r="C39" s="173"/>
      <c r="D39" s="15">
        <f>IF(F3="1",SUMIF(Data!A:A,'6'!$A$2,Data!CX:CX),0)</f>
        <v>333464</v>
      </c>
      <c r="E39" s="18">
        <f>IF(F3="1",SUMIF(Data!$A:$A,'6'!$A$2,Data!IR:IR),0)</f>
        <v>217026</v>
      </c>
      <c r="F39" s="22">
        <f t="shared" si="3"/>
        <v>0.65</v>
      </c>
    </row>
    <row r="40" spans="1:6" x14ac:dyDescent="0.2">
      <c r="A40" s="20">
        <v>5</v>
      </c>
      <c r="B40" s="172" t="s">
        <v>4</v>
      </c>
      <c r="C40" s="173"/>
      <c r="D40" s="15">
        <f>IF(F3="1",SUMIF(Data!A:A,'6'!$A$2,Data!CY:CY),0)</f>
        <v>0</v>
      </c>
      <c r="E40" s="18">
        <f>IF(F3="1",SUMIF(Data!$A:$A,'6'!$A$2,Data!IS:IS),0)</f>
        <v>0</v>
      </c>
      <c r="F40" s="22" t="str">
        <f t="shared" si="3"/>
        <v/>
      </c>
    </row>
    <row r="41" spans="1:6" x14ac:dyDescent="0.2">
      <c r="A41" s="20">
        <v>6</v>
      </c>
      <c r="B41" s="172" t="s">
        <v>5</v>
      </c>
      <c r="C41" s="173"/>
      <c r="D41" s="15">
        <f>IF(F3="1",SUMIF(Data!A:A,'6'!$A$2,Data!CZ:CZ),0)</f>
        <v>4752</v>
      </c>
      <c r="E41" s="18">
        <f>IF(F3="1",SUMIF(Data!$A:$A,'6'!$A$2,Data!IT:IT),0)</f>
        <v>2403</v>
      </c>
      <c r="F41" s="22">
        <f t="shared" si="3"/>
        <v>0.51</v>
      </c>
    </row>
    <row r="42" spans="1:6" x14ac:dyDescent="0.2">
      <c r="A42" s="20">
        <v>7</v>
      </c>
      <c r="B42" s="172" t="s">
        <v>6</v>
      </c>
      <c r="C42" s="173"/>
      <c r="D42" s="15">
        <f>IF(F3="1",SUMIF(Data!A:A,'6'!$A$2,Data!DA:DA),0)</f>
        <v>121288</v>
      </c>
      <c r="E42" s="18">
        <f>IF(F3="1",SUMIF(Data!$A:$A,'6'!$A$2,Data!IU:IU),0)</f>
        <v>1444145</v>
      </c>
      <c r="F42" s="22">
        <f t="shared" si="3"/>
        <v>11.91</v>
      </c>
    </row>
    <row r="43" spans="1:6" x14ac:dyDescent="0.2">
      <c r="A43" s="20">
        <v>8</v>
      </c>
      <c r="B43" s="172" t="s">
        <v>7</v>
      </c>
      <c r="C43" s="173"/>
      <c r="D43" s="15">
        <f>IF(F3="1",SUMIF(Data!A:A,'6'!$A$2,Data!DB:DB),0)</f>
        <v>12411</v>
      </c>
      <c r="E43" s="18">
        <f>IF(F3="1",SUMIF(Data!$A:$A,'6'!$A$2,Data!IV:IV),0)</f>
        <v>98785</v>
      </c>
      <c r="F43" s="22">
        <f t="shared" si="3"/>
        <v>7.96</v>
      </c>
    </row>
    <row r="44" spans="1:6" x14ac:dyDescent="0.2">
      <c r="A44" s="20">
        <v>9</v>
      </c>
      <c r="B44" s="172" t="s">
        <v>8</v>
      </c>
      <c r="C44" s="173"/>
      <c r="D44" s="15">
        <f>IF(F3="1",SUMIF(Data!A:A,'6'!$A$2,Data!DC:DC),0)</f>
        <v>83381</v>
      </c>
      <c r="E44" s="18">
        <f>IF(F3="1",SUMIF(Data!$A:$A,'6'!$A$2,Data!IW:IW),0)</f>
        <v>29839</v>
      </c>
      <c r="F44" s="22">
        <f t="shared" si="3"/>
        <v>0.36</v>
      </c>
    </row>
    <row r="45" spans="1:6" x14ac:dyDescent="0.2">
      <c r="A45" s="20">
        <v>10</v>
      </c>
      <c r="B45" s="172" t="s">
        <v>9</v>
      </c>
      <c r="C45" s="173"/>
      <c r="D45" s="15">
        <f>IF(F3="1",SUMIF(Data!A:A,'6'!$A$2,Data!DD:DD),0)</f>
        <v>0</v>
      </c>
      <c r="E45" s="18">
        <f>IF(F3="1",SUMIF(Data!$A:$A,'6'!$A$2,Data!IX:IX),0)</f>
        <v>0</v>
      </c>
      <c r="F45" s="22" t="str">
        <f t="shared" si="3"/>
        <v/>
      </c>
    </row>
    <row r="46" spans="1:6" x14ac:dyDescent="0.2">
      <c r="A46" s="20">
        <v>11</v>
      </c>
      <c r="B46" s="172" t="s">
        <v>10</v>
      </c>
      <c r="C46" s="173"/>
      <c r="D46" s="15">
        <f>IF(F3="1",SUMIF(Data!A:A,'6'!$A$2,Data!DE:DE),0)</f>
        <v>18998</v>
      </c>
      <c r="E46" s="18">
        <f>IF(F3="1",SUMIF(Data!$A:$A,'6'!$A$2,Data!IY:IY),0)</f>
        <v>44727</v>
      </c>
      <c r="F46" s="22">
        <f t="shared" si="3"/>
        <v>2.35</v>
      </c>
    </row>
    <row r="47" spans="1:6" ht="14.25" customHeight="1" x14ac:dyDescent="0.2">
      <c r="A47" s="20">
        <v>12</v>
      </c>
      <c r="B47" s="172" t="s">
        <v>11</v>
      </c>
      <c r="C47" s="173"/>
      <c r="D47" s="15">
        <f>IF(F3="1",SUMIF(Data!A:A,'6'!$A$2,Data!DF:DF),0)</f>
        <v>969400</v>
      </c>
      <c r="E47" s="18">
        <f>IF(F3="1",SUMIF(Data!$A:$A,'6'!$A$2,Data!IZ:IZ),0)</f>
        <v>932271</v>
      </c>
      <c r="F47" s="22">
        <f t="shared" si="3"/>
        <v>0.96</v>
      </c>
    </row>
    <row r="48" spans="1:6" x14ac:dyDescent="0.2">
      <c r="A48" s="20">
        <v>13</v>
      </c>
      <c r="B48" s="172" t="s">
        <v>12</v>
      </c>
      <c r="C48" s="173"/>
      <c r="D48" s="15">
        <f>IF(F3="1",SUMIF(Data!A:A,'6'!$A$2,Data!DG:DG),0)</f>
        <v>136122</v>
      </c>
      <c r="E48" s="18">
        <f>IF(F3="1",SUMIF(Data!$A:$A,'6'!$A$2,Data!JA:JA),0)</f>
        <v>62433</v>
      </c>
      <c r="F48" s="22">
        <f t="shared" si="3"/>
        <v>0.46</v>
      </c>
    </row>
    <row r="49" spans="1:6" ht="14.25" customHeight="1" x14ac:dyDescent="0.2">
      <c r="A49" s="20">
        <v>14</v>
      </c>
      <c r="B49" s="172" t="s">
        <v>469</v>
      </c>
      <c r="C49" s="173"/>
      <c r="D49" s="15">
        <f>IF(F3="1",SUMIF(Data!A:A,'6'!$A$2,Data!DH:DH),0)</f>
        <v>98024</v>
      </c>
      <c r="E49" s="18">
        <f>IF(F3="1",SUMIF(Data!$A:$A,'6'!$A$2,Data!JB:JB),0)</f>
        <v>213345</v>
      </c>
      <c r="F49" s="22">
        <f t="shared" si="3"/>
        <v>2.1800000000000002</v>
      </c>
    </row>
    <row r="50" spans="1:6" x14ac:dyDescent="0.2">
      <c r="A50" s="20">
        <v>15</v>
      </c>
      <c r="B50" s="172" t="s">
        <v>13</v>
      </c>
      <c r="C50" s="173"/>
      <c r="D50" s="15">
        <f>IF(F3="1",SUMIF(Data!A:A,'6'!$A$2,Data!DI:DI),0)</f>
        <v>18112</v>
      </c>
      <c r="E50" s="18">
        <f>IF(F3="1",SUMIF(Data!$A:$A,'6'!$A$2,Data!JC:JC),0)</f>
        <v>133931</v>
      </c>
      <c r="F50" s="22">
        <f t="shared" si="3"/>
        <v>7.39</v>
      </c>
    </row>
    <row r="51" spans="1:6" x14ac:dyDescent="0.2">
      <c r="A51" s="20">
        <v>16</v>
      </c>
      <c r="B51" s="172" t="s">
        <v>14</v>
      </c>
      <c r="C51" s="173"/>
      <c r="D51" s="15">
        <f>IF(F3="1",SUMIF(Data!A:A,'6'!$A$2,Data!DJ:DJ),0)</f>
        <v>256357</v>
      </c>
      <c r="E51" s="18">
        <f>IF(F3="1",SUMIF(Data!$A:$A,'6'!$A$2,Data!JD:JD),0)</f>
        <v>646103</v>
      </c>
      <c r="F51" s="22">
        <f t="shared" si="3"/>
        <v>2.52</v>
      </c>
    </row>
    <row r="52" spans="1:6" x14ac:dyDescent="0.2">
      <c r="A52" s="20">
        <v>17</v>
      </c>
      <c r="B52" s="172" t="s">
        <v>15</v>
      </c>
      <c r="C52" s="173"/>
      <c r="D52" s="15">
        <f>IF(F3="1",SUMIF(Data!A:A,'6'!$A$2,Data!DK:DK),0)</f>
        <v>0</v>
      </c>
      <c r="E52" s="18">
        <f>IF(F3="1",SUMIF(Data!$A:$A,'6'!$A$2,Data!JE:JE),0)</f>
        <v>0</v>
      </c>
      <c r="F52" s="22" t="str">
        <f t="shared" si="3"/>
        <v/>
      </c>
    </row>
    <row r="53" spans="1:6" x14ac:dyDescent="0.2">
      <c r="A53" s="20">
        <v>18</v>
      </c>
      <c r="B53" s="172" t="s">
        <v>16</v>
      </c>
      <c r="C53" s="173"/>
      <c r="D53" s="15">
        <f>IF(F3="1",SUMIF(Data!A:A,'6'!$A$2,Data!DL:DL),0)</f>
        <v>74244</v>
      </c>
      <c r="E53" s="18">
        <f>IF(F3="1",SUMIF(Data!$A:$A,'6'!$A$2,Data!JF:JF),0)</f>
        <v>108725</v>
      </c>
      <c r="F53" s="22">
        <f t="shared" si="3"/>
        <v>1.46</v>
      </c>
    </row>
    <row r="54" spans="1:6" x14ac:dyDescent="0.2">
      <c r="A54" s="20">
        <v>19</v>
      </c>
      <c r="B54" s="172" t="s">
        <v>17</v>
      </c>
      <c r="C54" s="173"/>
      <c r="D54" s="15">
        <f>IF(F3="1",SUMIF(Data!A:A,'6'!$A$2,Data!DM:DM),0)</f>
        <v>805440</v>
      </c>
      <c r="E54" s="18">
        <f>IF(F3="1",SUMIF(Data!$A:$A,'6'!$A$2,Data!JG:JG),0)</f>
        <v>297461</v>
      </c>
      <c r="F54" s="22">
        <f t="shared" si="3"/>
        <v>0.37</v>
      </c>
    </row>
    <row r="55" spans="1:6" x14ac:dyDescent="0.2">
      <c r="A55" s="20">
        <v>20</v>
      </c>
      <c r="B55" s="172" t="s">
        <v>18</v>
      </c>
      <c r="C55" s="173"/>
      <c r="D55" s="15">
        <f>IF(F3="1",SUMIF(Data!A:A,'6'!$A$2,Data!DN:DN),0)</f>
        <v>288</v>
      </c>
      <c r="E55" s="18">
        <f>IF(F3="1",SUMIF(Data!$A:$A,'6'!$A$2,Data!JH:JH),0)</f>
        <v>2292</v>
      </c>
      <c r="F55" s="22">
        <f t="shared" si="3"/>
        <v>7.96</v>
      </c>
    </row>
    <row r="56" spans="1:6" ht="14.25" customHeight="1" x14ac:dyDescent="0.2">
      <c r="A56" s="20">
        <v>21</v>
      </c>
      <c r="B56" s="172" t="s">
        <v>466</v>
      </c>
      <c r="C56" s="173"/>
      <c r="D56" s="15">
        <f>IF(F3="1",SUMIF(Data!A:A,'6'!$A$2,Data!DO:DO),0)</f>
        <v>8000</v>
      </c>
      <c r="E56" s="18">
        <f>IF(F3="1",SUMIF(Data!$A:$A,'6'!$A$2,Data!JI:JI),0)</f>
        <v>63675</v>
      </c>
      <c r="F56" s="22">
        <f t="shared" si="3"/>
        <v>7.96</v>
      </c>
    </row>
    <row r="57" spans="1:6" x14ac:dyDescent="0.2">
      <c r="A57" s="20">
        <v>22</v>
      </c>
      <c r="B57" s="172" t="s">
        <v>19</v>
      </c>
      <c r="C57" s="173"/>
      <c r="D57" s="15">
        <f>IF(F3="1",SUMIF(Data!A:A,'6'!$A$2,Data!DP:DP),0)</f>
        <v>3072</v>
      </c>
      <c r="E57" s="18">
        <f>IF(F3="1",SUMIF(Data!$A:$A,'6'!$A$2,Data!JJ:JJ),0)</f>
        <v>24451</v>
      </c>
      <c r="F57" s="22">
        <f t="shared" si="3"/>
        <v>7.96</v>
      </c>
    </row>
    <row r="58" spans="1:6" x14ac:dyDescent="0.2">
      <c r="A58" s="20">
        <v>23</v>
      </c>
      <c r="B58" s="172" t="s">
        <v>20</v>
      </c>
      <c r="C58" s="173"/>
      <c r="D58" s="15">
        <f>IF(F3="1",SUMIF(Data!A:A,'6'!$A$2,Data!DQ:DQ),0)</f>
        <v>228288</v>
      </c>
      <c r="E58" s="18">
        <f>IF(F3="1",SUMIF(Data!$A:$A,'6'!$A$2,Data!JK:JK),0)</f>
        <v>225586</v>
      </c>
      <c r="F58" s="22">
        <f t="shared" si="3"/>
        <v>0.99</v>
      </c>
    </row>
    <row r="59" spans="1:6" x14ac:dyDescent="0.2">
      <c r="A59" s="20">
        <v>24</v>
      </c>
      <c r="B59" s="172" t="s">
        <v>21</v>
      </c>
      <c r="C59" s="173"/>
      <c r="D59" s="15">
        <f>IF(F3="1",SUMIF(Data!A:A,'6'!$A$2,Data!DR:DR),0)</f>
        <v>132488</v>
      </c>
      <c r="E59" s="18">
        <f>IF(F3="1",SUMIF(Data!$A:$A,'6'!$A$2,Data!JL:JL),0)</f>
        <v>144988</v>
      </c>
      <c r="F59" s="22">
        <f t="shared" si="3"/>
        <v>1.0900000000000001</v>
      </c>
    </row>
    <row r="60" spans="1:6" x14ac:dyDescent="0.2">
      <c r="A60" s="20">
        <v>25</v>
      </c>
      <c r="B60" s="172" t="s">
        <v>22</v>
      </c>
      <c r="C60" s="173"/>
      <c r="D60" s="15">
        <f>IF(F3="1",SUMIF(Data!A:A,'6'!$A$2,Data!DS:DS),0)</f>
        <v>1574016</v>
      </c>
      <c r="E60" s="18">
        <f>IF(F3="1",SUMIF(Data!$A:$A,'6'!$A$2,Data!JM:JM),0)</f>
        <v>423029</v>
      </c>
      <c r="F60" s="22">
        <f t="shared" si="3"/>
        <v>0.27</v>
      </c>
    </row>
    <row r="61" spans="1:6" x14ac:dyDescent="0.2">
      <c r="A61" s="20">
        <v>26</v>
      </c>
      <c r="B61" s="172" t="s">
        <v>23</v>
      </c>
      <c r="C61" s="173"/>
      <c r="D61" s="15">
        <f>IF(F3="1",SUMIF(Data!A:A,'6'!$A$2,Data!DT:DT),0)</f>
        <v>277592</v>
      </c>
      <c r="E61" s="18">
        <f>IF(F3="1",SUMIF(Data!$A:$A,'6'!$A$2,Data!JN:JN),0)</f>
        <v>312681</v>
      </c>
      <c r="F61" s="22">
        <f t="shared" si="3"/>
        <v>1.1299999999999999</v>
      </c>
    </row>
    <row r="62" spans="1:6" x14ac:dyDescent="0.2">
      <c r="A62" s="20">
        <v>28</v>
      </c>
      <c r="B62" s="172" t="s">
        <v>24</v>
      </c>
      <c r="C62" s="173"/>
      <c r="D62" s="15">
        <f>IF(F3="1",SUMIF(Data!A:A,'6'!$A$2,Data!DV:DV),0)</f>
        <v>0</v>
      </c>
      <c r="E62" s="18">
        <f>IF(F3="1",SUMIF(Data!$A:$A,'6'!$A$2,Data!JP:JP),0)</f>
        <v>0</v>
      </c>
      <c r="F62" s="22" t="str">
        <f t="shared" si="3"/>
        <v/>
      </c>
    </row>
    <row r="63" spans="1:6" ht="15.75" customHeight="1" thickBot="1" x14ac:dyDescent="0.25">
      <c r="A63" s="23">
        <v>29</v>
      </c>
      <c r="B63" s="174" t="s">
        <v>25</v>
      </c>
      <c r="C63" s="175"/>
      <c r="D63" s="24">
        <f>IF(F3="1",SUMIF(Data!A:A,'6'!$A$2,Data!DW:DW),0)</f>
        <v>0</v>
      </c>
      <c r="E63" s="25">
        <f>IF(F3="1",SUMIF(Data!$A:$A,'6'!$A$2,Data!JQ:JQ),0)</f>
        <v>0</v>
      </c>
      <c r="F63" s="26" t="str">
        <f t="shared" si="3"/>
        <v/>
      </c>
    </row>
    <row r="64" spans="1:6" x14ac:dyDescent="0.2">
      <c r="B64" s="31" t="s">
        <v>35</v>
      </c>
      <c r="C64" s="31"/>
      <c r="D64" s="61">
        <f>SUM(D36:D63)</f>
        <v>6478953</v>
      </c>
      <c r="E64" s="32">
        <f>SUM(E36:E63)</f>
        <v>6244224</v>
      </c>
      <c r="F64" s="33">
        <f t="shared" si="3"/>
        <v>0.96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59744</v>
      </c>
      <c r="E67" s="16">
        <f>IF(F3="1",SUMIF(Data!A:A,'6'!$A$2,Data!DY:DY),0)</f>
        <v>221421</v>
      </c>
      <c r="F67" s="21">
        <f t="shared" ref="F67:F95" si="4">IF(D67=0,"",ROUND(E67/D67,2))</f>
        <v>3.71</v>
      </c>
    </row>
    <row r="68" spans="1:6" x14ac:dyDescent="0.2">
      <c r="A68" s="20">
        <v>2</v>
      </c>
      <c r="B68" s="172" t="s">
        <v>1</v>
      </c>
      <c r="C68" s="173"/>
      <c r="D68" s="15">
        <f t="shared" ref="D68:D94" si="5">D37</f>
        <v>23456</v>
      </c>
      <c r="E68" s="18">
        <f>IF(F3="1",SUMIF(Data!A:A,'6'!$A$2,Data!DZ:DZ),0)</f>
        <v>63646</v>
      </c>
      <c r="F68" s="22">
        <f t="shared" si="4"/>
        <v>2.71</v>
      </c>
    </row>
    <row r="69" spans="1:6" ht="14.25" customHeight="1" x14ac:dyDescent="0.2">
      <c r="A69" s="20">
        <v>3</v>
      </c>
      <c r="B69" s="172" t="s">
        <v>2</v>
      </c>
      <c r="C69" s="173"/>
      <c r="D69" s="15">
        <f t="shared" si="5"/>
        <v>1240016</v>
      </c>
      <c r="E69" s="18">
        <f>IF(F3="1",SUMIF(Data!A:A,'6'!$A$2,Data!EA:EA),0)</f>
        <v>2656858</v>
      </c>
      <c r="F69" s="22">
        <f t="shared" si="4"/>
        <v>2.14</v>
      </c>
    </row>
    <row r="70" spans="1:6" ht="14.25" customHeight="1" x14ac:dyDescent="0.2">
      <c r="A70" s="20">
        <v>4</v>
      </c>
      <c r="B70" s="172" t="s">
        <v>3</v>
      </c>
      <c r="C70" s="173"/>
      <c r="D70" s="15">
        <f t="shared" si="5"/>
        <v>333464</v>
      </c>
      <c r="E70" s="18">
        <f>IF(F3="1",SUMIF(Data!A:A,'6'!$A$2,Data!EB:EB),0)</f>
        <v>1404841</v>
      </c>
      <c r="F70" s="22">
        <f t="shared" si="4"/>
        <v>4.21</v>
      </c>
    </row>
    <row r="71" spans="1:6" x14ac:dyDescent="0.2">
      <c r="A71" s="20">
        <v>5</v>
      </c>
      <c r="B71" s="172" t="s">
        <v>4</v>
      </c>
      <c r="C71" s="173"/>
      <c r="D71" s="15">
        <f t="shared" si="5"/>
        <v>0</v>
      </c>
      <c r="E71" s="18">
        <f>IF(F3="1",SUMIF(Data!A:A,'6'!$A$2,Data!EC:EC),0)</f>
        <v>0</v>
      </c>
      <c r="F71" s="22" t="str">
        <f t="shared" si="4"/>
        <v/>
      </c>
    </row>
    <row r="72" spans="1:6" x14ac:dyDescent="0.2">
      <c r="A72" s="20">
        <v>6</v>
      </c>
      <c r="B72" s="172" t="s">
        <v>5</v>
      </c>
      <c r="C72" s="173"/>
      <c r="D72" s="15">
        <f t="shared" si="5"/>
        <v>4752</v>
      </c>
      <c r="E72" s="18">
        <f>IF(F3="1",SUMIF(Data!A:A,'6'!$A$2,Data!ED:ED),0)</f>
        <v>8507</v>
      </c>
      <c r="F72" s="22">
        <f t="shared" si="4"/>
        <v>1.79</v>
      </c>
    </row>
    <row r="73" spans="1:6" x14ac:dyDescent="0.2">
      <c r="A73" s="20">
        <v>7</v>
      </c>
      <c r="B73" s="172" t="s">
        <v>6</v>
      </c>
      <c r="C73" s="173"/>
      <c r="D73" s="15">
        <f t="shared" si="5"/>
        <v>121288</v>
      </c>
      <c r="E73" s="18">
        <f>IF(F3="1",SUMIF(Data!A:A,'6'!$A$2,Data!EE:EE),0)</f>
        <v>328283</v>
      </c>
      <c r="F73" s="22">
        <f t="shared" si="4"/>
        <v>2.71</v>
      </c>
    </row>
    <row r="74" spans="1:6" x14ac:dyDescent="0.2">
      <c r="A74" s="20">
        <v>8</v>
      </c>
      <c r="B74" s="172" t="s">
        <v>7</v>
      </c>
      <c r="C74" s="173"/>
      <c r="D74" s="15">
        <f t="shared" si="5"/>
        <v>12411</v>
      </c>
      <c r="E74" s="18">
        <f>IF(F3="1",SUMIF(Data!A:A,'6'!$A$2,Data!EF:EF),0)</f>
        <v>33676</v>
      </c>
      <c r="F74" s="22">
        <f t="shared" si="4"/>
        <v>2.71</v>
      </c>
    </row>
    <row r="75" spans="1:6" x14ac:dyDescent="0.2">
      <c r="A75" s="20">
        <v>9</v>
      </c>
      <c r="B75" s="172" t="s">
        <v>8</v>
      </c>
      <c r="C75" s="173"/>
      <c r="D75" s="15">
        <f t="shared" si="5"/>
        <v>83381</v>
      </c>
      <c r="E75" s="18">
        <f>IF(F3="1",SUMIF(Data!A:A,'6'!$A$2,Data!EG:EG),0)</f>
        <v>112568</v>
      </c>
      <c r="F75" s="22">
        <f t="shared" si="4"/>
        <v>1.35</v>
      </c>
    </row>
    <row r="76" spans="1:6" x14ac:dyDescent="0.2">
      <c r="A76" s="20">
        <v>10</v>
      </c>
      <c r="B76" s="172" t="s">
        <v>9</v>
      </c>
      <c r="C76" s="173"/>
      <c r="D76" s="15">
        <f t="shared" si="5"/>
        <v>0</v>
      </c>
      <c r="E76" s="18">
        <f>IF(F3="1",SUMIF(Data!A:A,'6'!$A$2,Data!EH:EH),0)</f>
        <v>0</v>
      </c>
      <c r="F76" s="22" t="str">
        <f t="shared" si="4"/>
        <v/>
      </c>
    </row>
    <row r="77" spans="1:6" x14ac:dyDescent="0.2">
      <c r="A77" s="20">
        <v>11</v>
      </c>
      <c r="B77" s="172" t="s">
        <v>10</v>
      </c>
      <c r="C77" s="173"/>
      <c r="D77" s="15">
        <f t="shared" si="5"/>
        <v>18998</v>
      </c>
      <c r="E77" s="18">
        <f>IF(F3="1",SUMIF(Data!A:A,'6'!$A$2,Data!EI:EI),0)</f>
        <v>85949</v>
      </c>
      <c r="F77" s="22">
        <f t="shared" si="4"/>
        <v>4.5199999999999996</v>
      </c>
    </row>
    <row r="78" spans="1:6" ht="14.25" customHeight="1" x14ac:dyDescent="0.2">
      <c r="A78" s="20">
        <v>12</v>
      </c>
      <c r="B78" s="172" t="s">
        <v>11</v>
      </c>
      <c r="C78" s="173"/>
      <c r="D78" s="15">
        <f t="shared" si="5"/>
        <v>969400</v>
      </c>
      <c r="E78" s="18">
        <f>IF(F3="1",SUMIF(Data!A:A,'6'!$A$2,Data!EJ:EJ),0)</f>
        <v>3268926</v>
      </c>
      <c r="F78" s="22">
        <f t="shared" si="4"/>
        <v>3.37</v>
      </c>
    </row>
    <row r="79" spans="1:6" x14ac:dyDescent="0.2">
      <c r="A79" s="20">
        <v>13</v>
      </c>
      <c r="B79" s="172" t="s">
        <v>12</v>
      </c>
      <c r="C79" s="173"/>
      <c r="D79" s="15">
        <f t="shared" si="5"/>
        <v>136122</v>
      </c>
      <c r="E79" s="18">
        <f>IF(F3="1",SUMIF(Data!A:A,'6'!$A$2,Data!EK:EK),0)</f>
        <v>477531</v>
      </c>
      <c r="F79" s="22">
        <f t="shared" si="4"/>
        <v>3.51</v>
      </c>
    </row>
    <row r="80" spans="1:6" ht="14.25" customHeight="1" x14ac:dyDescent="0.2">
      <c r="A80" s="20">
        <v>14</v>
      </c>
      <c r="B80" s="172" t="s">
        <v>469</v>
      </c>
      <c r="C80" s="173"/>
      <c r="D80" s="15">
        <f t="shared" si="5"/>
        <v>98024</v>
      </c>
      <c r="E80" s="18">
        <f>IF(F3="1",SUMIF(Data!A:A,'6'!$A$2,Data!EL:EL),0)</f>
        <v>895129</v>
      </c>
      <c r="F80" s="22">
        <f t="shared" si="4"/>
        <v>9.1300000000000008</v>
      </c>
    </row>
    <row r="81" spans="1:6" x14ac:dyDescent="0.2">
      <c r="A81" s="20">
        <v>15</v>
      </c>
      <c r="B81" s="172" t="s">
        <v>13</v>
      </c>
      <c r="C81" s="173"/>
      <c r="D81" s="15">
        <f t="shared" si="5"/>
        <v>18112</v>
      </c>
      <c r="E81" s="18">
        <f>IF(F3="1",SUMIF(Data!A:A,'6'!$A$2,Data!EM:EM),0)</f>
        <v>218466</v>
      </c>
      <c r="F81" s="22">
        <f t="shared" si="4"/>
        <v>12.06</v>
      </c>
    </row>
    <row r="82" spans="1:6" x14ac:dyDescent="0.2">
      <c r="A82" s="20">
        <v>16</v>
      </c>
      <c r="B82" s="172" t="s">
        <v>14</v>
      </c>
      <c r="C82" s="173"/>
      <c r="D82" s="15">
        <f t="shared" si="5"/>
        <v>256357</v>
      </c>
      <c r="E82" s="18">
        <f>IF(F3="1",SUMIF(Data!A:A,'6'!$A$2,Data!EN:EN),0)</f>
        <v>561495</v>
      </c>
      <c r="F82" s="22">
        <f t="shared" si="4"/>
        <v>2.19</v>
      </c>
    </row>
    <row r="83" spans="1:6" x14ac:dyDescent="0.2">
      <c r="A83" s="20">
        <v>17</v>
      </c>
      <c r="B83" s="172" t="s">
        <v>15</v>
      </c>
      <c r="C83" s="173"/>
      <c r="D83" s="15">
        <f t="shared" si="5"/>
        <v>0</v>
      </c>
      <c r="E83" s="18">
        <f>IF(F3="1",SUMIF(Data!A:A,'6'!$A$2,Data!EO:EO),0)</f>
        <v>0</v>
      </c>
      <c r="F83" s="22" t="str">
        <f t="shared" si="4"/>
        <v/>
      </c>
    </row>
    <row r="84" spans="1:6" x14ac:dyDescent="0.2">
      <c r="A84" s="20">
        <v>18</v>
      </c>
      <c r="B84" s="172" t="s">
        <v>16</v>
      </c>
      <c r="C84" s="173"/>
      <c r="D84" s="15">
        <f t="shared" si="5"/>
        <v>74244</v>
      </c>
      <c r="E84" s="18">
        <f>IF(F3="1",SUMIF(Data!A:A,'6'!$A$2,Data!EP:EP),0)</f>
        <v>271054</v>
      </c>
      <c r="F84" s="22">
        <f t="shared" si="4"/>
        <v>3.65</v>
      </c>
    </row>
    <row r="85" spans="1:6" x14ac:dyDescent="0.2">
      <c r="A85" s="20">
        <v>19</v>
      </c>
      <c r="B85" s="172" t="s">
        <v>17</v>
      </c>
      <c r="C85" s="173"/>
      <c r="D85" s="15">
        <f t="shared" si="5"/>
        <v>805440</v>
      </c>
      <c r="E85" s="18">
        <f>IF(F3="1",SUMIF(Data!A:A,'6'!$A$2,Data!EQ:EQ),0)</f>
        <v>2562096</v>
      </c>
      <c r="F85" s="22">
        <f t="shared" si="4"/>
        <v>3.18</v>
      </c>
    </row>
    <row r="86" spans="1:6" x14ac:dyDescent="0.2">
      <c r="A86" s="20">
        <v>20</v>
      </c>
      <c r="B86" s="172" t="s">
        <v>18</v>
      </c>
      <c r="C86" s="173"/>
      <c r="D86" s="15">
        <f t="shared" si="5"/>
        <v>288</v>
      </c>
      <c r="E86" s="18">
        <f>IF(F3="1",SUMIF(Data!A:A,'6'!$A$2,Data!ER:ER),0)</f>
        <v>781</v>
      </c>
      <c r="F86" s="22">
        <f t="shared" si="4"/>
        <v>2.71</v>
      </c>
    </row>
    <row r="87" spans="1:6" ht="14.25" customHeight="1" x14ac:dyDescent="0.2">
      <c r="A87" s="20">
        <v>21</v>
      </c>
      <c r="B87" s="172" t="s">
        <v>466</v>
      </c>
      <c r="C87" s="173"/>
      <c r="D87" s="15">
        <f t="shared" si="5"/>
        <v>8000</v>
      </c>
      <c r="E87" s="18">
        <f>IF(F3="1",SUMIF(Data!A:A,'6'!$A$2,Data!ES:ES),0)</f>
        <v>21707</v>
      </c>
      <c r="F87" s="22">
        <f t="shared" si="4"/>
        <v>2.71</v>
      </c>
    </row>
    <row r="88" spans="1:6" x14ac:dyDescent="0.2">
      <c r="A88" s="20">
        <v>22</v>
      </c>
      <c r="B88" s="172" t="s">
        <v>19</v>
      </c>
      <c r="C88" s="173"/>
      <c r="D88" s="15">
        <f t="shared" si="5"/>
        <v>3072</v>
      </c>
      <c r="E88" s="18">
        <f>IF(F3="1",SUMIF(Data!A:A,'6'!$A$2,Data!ET:ET),0)</f>
        <v>8336</v>
      </c>
      <c r="F88" s="22">
        <f t="shared" si="4"/>
        <v>2.71</v>
      </c>
    </row>
    <row r="89" spans="1:6" x14ac:dyDescent="0.2">
      <c r="A89" s="20">
        <v>23</v>
      </c>
      <c r="B89" s="172" t="s">
        <v>20</v>
      </c>
      <c r="C89" s="173"/>
      <c r="D89" s="15">
        <f t="shared" si="5"/>
        <v>228288</v>
      </c>
      <c r="E89" s="18">
        <f>IF(F3="1",SUMIF(Data!A:A,'6'!$A$2,Data!EU:EU),0)</f>
        <v>825387</v>
      </c>
      <c r="F89" s="22">
        <f t="shared" si="4"/>
        <v>3.62</v>
      </c>
    </row>
    <row r="90" spans="1:6" x14ac:dyDescent="0.2">
      <c r="A90" s="20">
        <v>24</v>
      </c>
      <c r="B90" s="172" t="s">
        <v>21</v>
      </c>
      <c r="C90" s="173"/>
      <c r="D90" s="15">
        <f t="shared" si="5"/>
        <v>132488</v>
      </c>
      <c r="E90" s="18">
        <f>IF(F3="1",SUMIF(Data!A:A,'6'!$A$2,Data!EV:EV),0)</f>
        <v>240661</v>
      </c>
      <c r="F90" s="22">
        <f t="shared" si="4"/>
        <v>1.82</v>
      </c>
    </row>
    <row r="91" spans="1:6" x14ac:dyDescent="0.2">
      <c r="A91" s="20">
        <v>25</v>
      </c>
      <c r="B91" s="172" t="s">
        <v>22</v>
      </c>
      <c r="C91" s="173"/>
      <c r="D91" s="15">
        <f t="shared" si="5"/>
        <v>1574016</v>
      </c>
      <c r="E91" s="18">
        <f>IF(F3="1",SUMIF(Data!A:A,'6'!$A$2,Data!EW:EW),0)</f>
        <v>3738570</v>
      </c>
      <c r="F91" s="22">
        <f t="shared" si="4"/>
        <v>2.38</v>
      </c>
    </row>
    <row r="92" spans="1:6" x14ac:dyDescent="0.2">
      <c r="A92" s="20">
        <v>26</v>
      </c>
      <c r="B92" s="172" t="s">
        <v>23</v>
      </c>
      <c r="C92" s="173"/>
      <c r="D92" s="15">
        <f t="shared" si="5"/>
        <v>277592</v>
      </c>
      <c r="E92" s="18">
        <f>IF(F3="1",SUMIF(Data!A:A,'6'!$A$2,Data!EX:EX),0)</f>
        <v>895245</v>
      </c>
      <c r="F92" s="22">
        <f t="shared" si="4"/>
        <v>3.23</v>
      </c>
    </row>
    <row r="93" spans="1:6" x14ac:dyDescent="0.2">
      <c r="A93" s="20">
        <v>28</v>
      </c>
      <c r="B93" s="172" t="s">
        <v>24</v>
      </c>
      <c r="C93" s="173"/>
      <c r="D93" s="15">
        <f t="shared" si="5"/>
        <v>0</v>
      </c>
      <c r="E93" s="18">
        <f>IF(F3="1",SUMIF(Data!A:A,'6'!$A$2,Data!EZ:EZ),0)</f>
        <v>0</v>
      </c>
      <c r="F93" s="22" t="str">
        <f t="shared" si="4"/>
        <v/>
      </c>
    </row>
    <row r="94" spans="1:6" ht="15.75" customHeight="1" thickBot="1" x14ac:dyDescent="0.25">
      <c r="A94" s="23">
        <v>29</v>
      </c>
      <c r="B94" s="174" t="s">
        <v>25</v>
      </c>
      <c r="C94" s="175"/>
      <c r="D94" s="24">
        <f t="shared" si="5"/>
        <v>0</v>
      </c>
      <c r="E94" s="25">
        <f>IF(F3="1",SUMIF(Data!A:A,'6'!$A$2,Data!FA:FA),0)</f>
        <v>0</v>
      </c>
      <c r="F94" s="26" t="str">
        <f t="shared" si="4"/>
        <v/>
      </c>
    </row>
    <row r="95" spans="1:6" x14ac:dyDescent="0.2">
      <c r="B95" s="31" t="s">
        <v>35</v>
      </c>
      <c r="C95" s="31"/>
      <c r="D95" s="61">
        <f>SUM(D67:D94)</f>
        <v>6478953</v>
      </c>
      <c r="E95" s="32">
        <f>SUM(E67:E94)</f>
        <v>18901133</v>
      </c>
      <c r="F95" s="33">
        <f t="shared" si="4"/>
        <v>2.92</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IF(F3="1",SUMIF(Data!A:A,'6'!$A$2,Data!AH:AH),0)</f>
        <v>6351347</v>
      </c>
      <c r="F98" s="21">
        <f>IF($D$105=0,"",ROUND(E98/$D$105,2))</f>
        <v>0.98</v>
      </c>
    </row>
    <row r="99" spans="2:6" x14ac:dyDescent="0.2">
      <c r="B99" s="178" t="s">
        <v>31</v>
      </c>
      <c r="C99" s="179"/>
      <c r="D99" s="37"/>
      <c r="E99" s="18">
        <f>IF(F3="1",SUMIF(Data!A:A,'6'!$A$2,Data!AI:AI),0)</f>
        <v>3451739</v>
      </c>
      <c r="F99" s="22">
        <f t="shared" ref="F99:F105" si="6">IF($D$105=0,"",ROUND(E99/$D$105,2))</f>
        <v>0.53</v>
      </c>
    </row>
    <row r="100" spans="2:6" x14ac:dyDescent="0.2">
      <c r="B100" s="178" t="s">
        <v>32</v>
      </c>
      <c r="C100" s="179"/>
      <c r="D100" s="37"/>
      <c r="E100" s="18">
        <f>IF(F3="1",SUMIF(Data!A:A,'6'!$A$2,Data!AJ:AJ),0)</f>
        <v>2871714</v>
      </c>
      <c r="F100" s="22">
        <f t="shared" si="6"/>
        <v>0.44</v>
      </c>
    </row>
    <row r="101" spans="2:6" x14ac:dyDescent="0.2">
      <c r="B101" s="178" t="s">
        <v>28</v>
      </c>
      <c r="C101" s="179"/>
      <c r="D101" s="37"/>
      <c r="E101" s="18">
        <f>IF(F3="1",SUMIF(Data!A:A,'6'!$A$2,Data!AK:AK),0)</f>
        <v>0</v>
      </c>
      <c r="F101" s="22">
        <f t="shared" si="6"/>
        <v>0</v>
      </c>
    </row>
    <row r="102" spans="2:6" x14ac:dyDescent="0.2">
      <c r="B102" s="178" t="s">
        <v>33</v>
      </c>
      <c r="C102" s="179"/>
      <c r="D102" s="37"/>
      <c r="E102" s="18">
        <f>IF(F3="1",SUMIF(Data!A:A,'6'!$A$2,Data!AL:AL),0)</f>
        <v>420858</v>
      </c>
      <c r="F102" s="22">
        <f t="shared" si="6"/>
        <v>0.06</v>
      </c>
    </row>
    <row r="103" spans="2:6" x14ac:dyDescent="0.2">
      <c r="B103" s="180" t="s">
        <v>34</v>
      </c>
      <c r="C103" s="181"/>
      <c r="D103" s="37"/>
      <c r="E103" s="18">
        <f>IF(F3="1",SUMIF(Data!A:A,'6'!$A$2,Data!AM:AM),0)</f>
        <v>292359</v>
      </c>
      <c r="F103" s="22">
        <f t="shared" si="6"/>
        <v>0.05</v>
      </c>
    </row>
    <row r="104" spans="2:6" ht="15.75" customHeight="1" thickBot="1" x14ac:dyDescent="0.25">
      <c r="B104" s="170" t="s">
        <v>29</v>
      </c>
      <c r="C104" s="171"/>
      <c r="D104" s="38"/>
      <c r="E104" s="25">
        <f>IF(F3="1",SUMIF(Data!A:A,'6'!$A$2,Data!Q:Q),0)</f>
        <v>590364</v>
      </c>
      <c r="F104" s="26">
        <f t="shared" si="6"/>
        <v>0.09</v>
      </c>
    </row>
    <row r="105" spans="2:6" x14ac:dyDescent="0.2">
      <c r="B105" s="31" t="s">
        <v>35</v>
      </c>
      <c r="C105" s="31"/>
      <c r="D105" s="35">
        <f>D95</f>
        <v>6478953</v>
      </c>
      <c r="E105" s="32">
        <f>SUM(E98:E104)</f>
        <v>13978381</v>
      </c>
      <c r="F105" s="33">
        <f t="shared" si="6"/>
        <v>2.16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20472567</v>
      </c>
      <c r="D109" s="16">
        <f>IF(F3="1",SUMIF(Data!$A:$A,$A$2,Data!HJ:HJ),0)</f>
        <v>1803521</v>
      </c>
      <c r="E109" s="16">
        <f>IF(F3="1",SUMIF(Data!$A:$A,$A$2,Data!IN:IN),0)</f>
        <v>2869269</v>
      </c>
      <c r="F109" s="48">
        <f>SUM(C109:E109)</f>
        <v>25145357</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264614</v>
      </c>
      <c r="D111" s="52"/>
      <c r="E111" s="51">
        <f>IF(F3="1",SUMIF(Data!A:A,$A$2,Data!AX:AX),0)</f>
        <v>187304</v>
      </c>
      <c r="F111" s="49">
        <f t="shared" si="7"/>
        <v>451918</v>
      </c>
    </row>
    <row r="112" spans="2:6" x14ac:dyDescent="0.2">
      <c r="B112" s="43" t="s">
        <v>32</v>
      </c>
      <c r="C112" s="51">
        <f>IF(F3="1",SUMIF(Data!A:A,$A$2,Data!V:V),0)</f>
        <v>2306144</v>
      </c>
      <c r="D112" s="52"/>
      <c r="E112" s="51">
        <f>IF(F3="1",SUMIF(Data!A:A,$A$2,Data!AC:AC),0)</f>
        <v>565570</v>
      </c>
      <c r="F112" s="49">
        <f t="shared" si="7"/>
        <v>2871714</v>
      </c>
    </row>
    <row r="113" spans="1:6" x14ac:dyDescent="0.2">
      <c r="B113" s="43" t="s">
        <v>31</v>
      </c>
      <c r="C113" s="51">
        <f>IF(F3="1",SUMIF(Data!A:A,$A$2,Data!U:U),0)</f>
        <v>2846818</v>
      </c>
      <c r="D113" s="52"/>
      <c r="E113" s="51">
        <f>IF(F3="1",SUMIF(Data!A:A,$A$2,Data!AB:AB),0)</f>
        <v>604921</v>
      </c>
      <c r="F113" s="49">
        <f t="shared" si="7"/>
        <v>3451739</v>
      </c>
    </row>
    <row r="114" spans="1:6" x14ac:dyDescent="0.2">
      <c r="B114" s="43" t="s">
        <v>1021</v>
      </c>
      <c r="C114" s="51">
        <f>IF(F3="1",SUMIF(Data!A:A,$A$2,Data!T:T),0)</f>
        <v>3124767</v>
      </c>
      <c r="D114" s="52"/>
      <c r="E114" s="51">
        <f>IF(F3="1",SUMIF(Data!A:A,$A$2,Data!AA:AA),0)</f>
        <v>3226580</v>
      </c>
      <c r="F114" s="49">
        <f t="shared" si="7"/>
        <v>6351347</v>
      </c>
    </row>
    <row r="115" spans="1:6" x14ac:dyDescent="0.2">
      <c r="B115" s="43" t="s">
        <v>937</v>
      </c>
      <c r="C115" s="51">
        <f>IF(F3="1",SUMIF(Data!A:A,$A$2,Data!BI:BI),0)</f>
        <v>1265340</v>
      </c>
      <c r="D115" s="51">
        <f>IF(F3="1",SUMIF(Data!A:A,$A$2,Data!BL:BL),0)</f>
        <v>471820</v>
      </c>
      <c r="E115" s="51">
        <f>IF(F3="1",SUMIF(Data!A:A,$A$2,Data!BU:BU),0)</f>
        <v>4768912</v>
      </c>
      <c r="F115" s="49">
        <f t="shared" si="7"/>
        <v>6506072</v>
      </c>
    </row>
    <row r="116" spans="1:6" x14ac:dyDescent="0.2">
      <c r="B116" s="43" t="s">
        <v>33</v>
      </c>
      <c r="C116" s="51">
        <f>IF(F3="1",SUMIF(Data!A:A,$A$2,Data!X:X),0)</f>
        <v>0</v>
      </c>
      <c r="D116" s="51"/>
      <c r="E116" s="51">
        <f>E102</f>
        <v>420858</v>
      </c>
      <c r="F116" s="49">
        <f t="shared" si="7"/>
        <v>420858</v>
      </c>
    </row>
    <row r="117" spans="1:6" ht="15" thickBot="1" x14ac:dyDescent="0.25">
      <c r="B117" s="44" t="s">
        <v>941</v>
      </c>
      <c r="C117" s="53"/>
      <c r="D117" s="53">
        <f>IF(F3="1",SUMIF(Data!A:A,$A$2,Data!Q:Q),0)</f>
        <v>590364</v>
      </c>
      <c r="E117" s="53"/>
      <c r="F117" s="50">
        <f>SUM(C117:E117)</f>
        <v>590364</v>
      </c>
    </row>
    <row r="118" spans="1:6" x14ac:dyDescent="0.2">
      <c r="B118" s="14" t="s">
        <v>35</v>
      </c>
      <c r="C118" s="5">
        <f>SUM(C109:C116)</f>
        <v>30280250</v>
      </c>
      <c r="D118" s="5">
        <f>SUM(D109:D116)</f>
        <v>2275341</v>
      </c>
      <c r="E118" s="5">
        <f>SUM(E109:E116)</f>
        <v>12643414</v>
      </c>
      <c r="F118" s="5">
        <f>SUM(F109:F116)</f>
        <v>45199005</v>
      </c>
    </row>
    <row r="119" spans="1:6" ht="15" thickBot="1" x14ac:dyDescent="0.25"/>
    <row r="120" spans="1:6" ht="15" thickBot="1" x14ac:dyDescent="0.25">
      <c r="B120" s="57" t="s">
        <v>942</v>
      </c>
      <c r="C120" s="55"/>
      <c r="D120" s="55"/>
      <c r="E120" s="55">
        <f>IF(F3="1",SUMIF(Data!A:A,'6'!$A$2,Data!AM:AM),0)</f>
        <v>292359</v>
      </c>
      <c r="F120" s="56">
        <f>SUM(C120:E120)</f>
        <v>292359</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2.42578125" style="11" bestFit="1" customWidth="1"/>
    <col min="13" max="13" width="12.1406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428</v>
      </c>
      <c r="B2" s="60" t="str">
        <f>VLOOKUP(A2,Data!A:G,7,0)</f>
        <v>Brazosport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0</v>
      </c>
      <c r="E5" s="16">
        <f>E36+E67+IFERROR($E$105/$D$105*D5,0)</f>
        <v>0</v>
      </c>
      <c r="F5" s="21" t="str">
        <f>IF(OR(D5=0,E5=0),"",ROUND(E5/D5,2))</f>
        <v/>
      </c>
    </row>
    <row r="6" spans="1:6" x14ac:dyDescent="0.2">
      <c r="A6" s="20">
        <v>2</v>
      </c>
      <c r="B6" s="172" t="s">
        <v>1</v>
      </c>
      <c r="C6" s="173"/>
      <c r="D6" s="15">
        <f t="shared" ref="D6:D32" si="0">D37</f>
        <v>87184</v>
      </c>
      <c r="E6" s="18">
        <f t="shared" ref="E6:E32" si="1">E37+E68+IFERROR($E$105/$D$105*D6,0)</f>
        <v>825096.97807929921</v>
      </c>
      <c r="F6" s="22">
        <f t="shared" ref="F6:F33" si="2">IF(OR(D6=0,E6=0),"",ROUND(E6/D6,2))</f>
        <v>9.4600000000000009</v>
      </c>
    </row>
    <row r="7" spans="1:6" ht="14.25" customHeight="1" x14ac:dyDescent="0.2">
      <c r="A7" s="20">
        <v>3</v>
      </c>
      <c r="B7" s="172" t="s">
        <v>2</v>
      </c>
      <c r="C7" s="173"/>
      <c r="D7" s="15">
        <f t="shared" si="0"/>
        <v>233184</v>
      </c>
      <c r="E7" s="18">
        <f t="shared" si="1"/>
        <v>2230589.4565108656</v>
      </c>
      <c r="F7" s="22">
        <f t="shared" si="2"/>
        <v>9.57</v>
      </c>
    </row>
    <row r="8" spans="1:6" ht="14.25" customHeight="1" x14ac:dyDescent="0.2">
      <c r="A8" s="20">
        <v>4</v>
      </c>
      <c r="B8" s="172" t="s">
        <v>3</v>
      </c>
      <c r="C8" s="173"/>
      <c r="D8" s="15">
        <f t="shared" si="0"/>
        <v>134278</v>
      </c>
      <c r="E8" s="18">
        <f t="shared" si="1"/>
        <v>1364016.1749235196</v>
      </c>
      <c r="F8" s="22">
        <f t="shared" si="2"/>
        <v>10.16</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289</v>
      </c>
      <c r="E10" s="18">
        <f t="shared" si="1"/>
        <v>1484.257440183032</v>
      </c>
      <c r="F10" s="22">
        <f t="shared" si="2"/>
        <v>5.14</v>
      </c>
    </row>
    <row r="11" spans="1:6" x14ac:dyDescent="0.2">
      <c r="A11" s="20">
        <v>7</v>
      </c>
      <c r="B11" s="172" t="s">
        <v>6</v>
      </c>
      <c r="C11" s="173"/>
      <c r="D11" s="15">
        <f t="shared" si="0"/>
        <v>22768</v>
      </c>
      <c r="E11" s="18">
        <f t="shared" si="1"/>
        <v>355177.77992417745</v>
      </c>
      <c r="F11" s="22">
        <f t="shared" si="2"/>
        <v>15.6</v>
      </c>
    </row>
    <row r="12" spans="1:6" x14ac:dyDescent="0.2">
      <c r="A12" s="20">
        <v>8</v>
      </c>
      <c r="B12" s="172" t="s">
        <v>7</v>
      </c>
      <c r="C12" s="173"/>
      <c r="D12" s="15">
        <f t="shared" si="0"/>
        <v>92816</v>
      </c>
      <c r="E12" s="18">
        <f t="shared" si="1"/>
        <v>817715.02272674162</v>
      </c>
      <c r="F12" s="22">
        <f t="shared" si="2"/>
        <v>8.81</v>
      </c>
    </row>
    <row r="13" spans="1:6" x14ac:dyDescent="0.2">
      <c r="A13" s="20">
        <v>9</v>
      </c>
      <c r="B13" s="172" t="s">
        <v>8</v>
      </c>
      <c r="C13" s="173"/>
      <c r="D13" s="15">
        <f t="shared" si="0"/>
        <v>17517</v>
      </c>
      <c r="E13" s="18">
        <f t="shared" si="1"/>
        <v>147262.48989510786</v>
      </c>
      <c r="F13" s="22">
        <f t="shared" si="2"/>
        <v>8.41</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125024</v>
      </c>
      <c r="E15" s="18">
        <f t="shared" si="1"/>
        <v>840714.12180430244</v>
      </c>
      <c r="F15" s="22">
        <f t="shared" si="2"/>
        <v>6.72</v>
      </c>
    </row>
    <row r="16" spans="1:6" ht="14.25" customHeight="1" x14ac:dyDescent="0.2">
      <c r="A16" s="20">
        <v>12</v>
      </c>
      <c r="B16" s="172" t="s">
        <v>11</v>
      </c>
      <c r="C16" s="173"/>
      <c r="D16" s="15">
        <f t="shared" si="0"/>
        <v>171840</v>
      </c>
      <c r="E16" s="18">
        <f t="shared" si="1"/>
        <v>1587178.5554361669</v>
      </c>
      <c r="F16" s="22">
        <f t="shared" si="2"/>
        <v>9.24</v>
      </c>
    </row>
    <row r="17" spans="1:6" x14ac:dyDescent="0.2">
      <c r="A17" s="20">
        <v>13</v>
      </c>
      <c r="B17" s="172" t="s">
        <v>12</v>
      </c>
      <c r="C17" s="173"/>
      <c r="D17" s="15">
        <f t="shared" si="0"/>
        <v>14148</v>
      </c>
      <c r="E17" s="18">
        <f t="shared" si="1"/>
        <v>130330.8486633548</v>
      </c>
      <c r="F17" s="22">
        <f t="shared" si="2"/>
        <v>9.2100000000000009</v>
      </c>
    </row>
    <row r="18" spans="1:6" ht="14.25" customHeight="1" x14ac:dyDescent="0.2">
      <c r="A18" s="20">
        <v>14</v>
      </c>
      <c r="B18" s="172" t="s">
        <v>469</v>
      </c>
      <c r="C18" s="173"/>
      <c r="D18" s="15">
        <f t="shared" si="0"/>
        <v>6596</v>
      </c>
      <c r="E18" s="18">
        <f t="shared" si="1"/>
        <v>246628.99334064801</v>
      </c>
      <c r="F18" s="22">
        <f t="shared" si="2"/>
        <v>37.39</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36587</v>
      </c>
      <c r="E20" s="18">
        <f t="shared" si="1"/>
        <v>571348.93759161455</v>
      </c>
      <c r="F20" s="22">
        <f t="shared" si="2"/>
        <v>15.62</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16704</v>
      </c>
      <c r="E22" s="18">
        <f t="shared" si="1"/>
        <v>230945.05287480057</v>
      </c>
      <c r="F22" s="22">
        <f t="shared" si="2"/>
        <v>13.83</v>
      </c>
    </row>
    <row r="23" spans="1:6" x14ac:dyDescent="0.2">
      <c r="A23" s="20">
        <v>19</v>
      </c>
      <c r="B23" s="172" t="s">
        <v>17</v>
      </c>
      <c r="C23" s="173"/>
      <c r="D23" s="15">
        <f t="shared" si="0"/>
        <v>160320</v>
      </c>
      <c r="E23" s="18">
        <f t="shared" si="1"/>
        <v>1387910.6913845805</v>
      </c>
      <c r="F23" s="22">
        <f t="shared" si="2"/>
        <v>8.66</v>
      </c>
    </row>
    <row r="24" spans="1:6" x14ac:dyDescent="0.2">
      <c r="A24" s="20">
        <v>20</v>
      </c>
      <c r="B24" s="172" t="s">
        <v>18</v>
      </c>
      <c r="C24" s="173"/>
      <c r="D24" s="15">
        <f t="shared" si="0"/>
        <v>24944</v>
      </c>
      <c r="E24" s="18">
        <f t="shared" si="1"/>
        <v>230031.3653561438</v>
      </c>
      <c r="F24" s="22">
        <f t="shared" si="2"/>
        <v>9.2200000000000006</v>
      </c>
    </row>
    <row r="25" spans="1:6" ht="14.25" customHeight="1" x14ac:dyDescent="0.2">
      <c r="A25" s="20">
        <v>21</v>
      </c>
      <c r="B25" s="172" t="s">
        <v>466</v>
      </c>
      <c r="C25" s="173"/>
      <c r="D25" s="15">
        <f t="shared" si="0"/>
        <v>0</v>
      </c>
      <c r="E25" s="18">
        <f t="shared" si="1"/>
        <v>1957</v>
      </c>
      <c r="F25" s="22" t="str">
        <f t="shared" si="2"/>
        <v/>
      </c>
    </row>
    <row r="26" spans="1:6" x14ac:dyDescent="0.2">
      <c r="A26" s="20">
        <v>22</v>
      </c>
      <c r="B26" s="172" t="s">
        <v>19</v>
      </c>
      <c r="C26" s="173"/>
      <c r="D26" s="15">
        <f t="shared" si="0"/>
        <v>800</v>
      </c>
      <c r="E26" s="18">
        <f t="shared" si="1"/>
        <v>10781.671114693514</v>
      </c>
      <c r="F26" s="22">
        <f t="shared" si="2"/>
        <v>13.48</v>
      </c>
    </row>
    <row r="27" spans="1:6" x14ac:dyDescent="0.2">
      <c r="A27" s="20">
        <v>23</v>
      </c>
      <c r="B27" s="172" t="s">
        <v>20</v>
      </c>
      <c r="C27" s="173"/>
      <c r="D27" s="15">
        <f t="shared" si="0"/>
        <v>27712</v>
      </c>
      <c r="E27" s="18">
        <f t="shared" si="1"/>
        <v>295860.36741298332</v>
      </c>
      <c r="F27" s="22">
        <f t="shared" si="2"/>
        <v>10.68</v>
      </c>
    </row>
    <row r="28" spans="1:6" x14ac:dyDescent="0.2">
      <c r="A28" s="20">
        <v>24</v>
      </c>
      <c r="B28" s="172" t="s">
        <v>21</v>
      </c>
      <c r="C28" s="173"/>
      <c r="D28" s="15">
        <f t="shared" si="0"/>
        <v>33804</v>
      </c>
      <c r="E28" s="18">
        <f t="shared" si="1"/>
        <v>280565.89795137441</v>
      </c>
      <c r="F28" s="22">
        <f t="shared" si="2"/>
        <v>8.3000000000000007</v>
      </c>
    </row>
    <row r="29" spans="1:6" x14ac:dyDescent="0.2">
      <c r="A29" s="20">
        <v>25</v>
      </c>
      <c r="B29" s="172" t="s">
        <v>22</v>
      </c>
      <c r="C29" s="173"/>
      <c r="D29" s="15">
        <f t="shared" si="0"/>
        <v>237648</v>
      </c>
      <c r="E29" s="18">
        <f t="shared" si="1"/>
        <v>1980631.8413308554</v>
      </c>
      <c r="F29" s="22">
        <f t="shared" si="2"/>
        <v>8.33</v>
      </c>
    </row>
    <row r="30" spans="1:6" x14ac:dyDescent="0.2">
      <c r="A30" s="20">
        <v>26</v>
      </c>
      <c r="B30" s="172" t="s">
        <v>23</v>
      </c>
      <c r="C30" s="173"/>
      <c r="D30" s="15">
        <f t="shared" si="0"/>
        <v>53280</v>
      </c>
      <c r="E30" s="18">
        <f t="shared" si="1"/>
        <v>751631.49623858812</v>
      </c>
      <c r="F30" s="22">
        <f t="shared" si="2"/>
        <v>14.11</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1497443</v>
      </c>
      <c r="E33" s="32">
        <f>SUM(E5:E32)</f>
        <v>14287859</v>
      </c>
      <c r="F33" s="33">
        <f t="shared" si="2"/>
        <v>9.5399999999999991</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IF(F3="1",SUMIF(Data!A:A,'7'!$A$2,Data!CU:CU),0)</f>
        <v>0</v>
      </c>
      <c r="E36" s="16">
        <f>IF(F3="1",SUMIF(Data!$A:$A,'7'!$A$2,Data!IO:IO),0)</f>
        <v>0</v>
      </c>
      <c r="F36" s="21" t="str">
        <f>IF(D36=0,"",ROUND(E36/D36,2))</f>
        <v/>
      </c>
    </row>
    <row r="37" spans="1:6" x14ac:dyDescent="0.2">
      <c r="A37" s="20">
        <v>2</v>
      </c>
      <c r="B37" s="172" t="s">
        <v>1</v>
      </c>
      <c r="C37" s="173"/>
      <c r="D37" s="15">
        <f>IF(F3="1",SUMIF(Data!A:A,'7'!$A$2,Data!CV:CV),0)</f>
        <v>87184</v>
      </c>
      <c r="E37" s="18">
        <f>IF(F3="1",SUMIF(Data!$A:$A,'7'!$A$2,Data!IP:IP),0)</f>
        <v>100887</v>
      </c>
      <c r="F37" s="22">
        <f t="shared" ref="F37:F64" si="3">IF(D37=0,"",ROUND(E37/D37,2))</f>
        <v>1.1599999999999999</v>
      </c>
    </row>
    <row r="38" spans="1:6" ht="14.25" customHeight="1" x14ac:dyDescent="0.2">
      <c r="A38" s="20">
        <v>3</v>
      </c>
      <c r="B38" s="172" t="s">
        <v>2</v>
      </c>
      <c r="C38" s="173"/>
      <c r="D38" s="15">
        <f>IF(F3="1",SUMIF(Data!A:A,'7'!$A$2,Data!CW:CW),0)</f>
        <v>233184</v>
      </c>
      <c r="E38" s="18">
        <f>IF(F3="1",SUMIF(Data!$A:$A,'7'!$A$2,Data!IQ:IQ),0)</f>
        <v>189902</v>
      </c>
      <c r="F38" s="22">
        <f t="shared" si="3"/>
        <v>0.81</v>
      </c>
    </row>
    <row r="39" spans="1:6" ht="14.25" customHeight="1" x14ac:dyDescent="0.2">
      <c r="A39" s="20">
        <v>4</v>
      </c>
      <c r="B39" s="172" t="s">
        <v>3</v>
      </c>
      <c r="C39" s="173"/>
      <c r="D39" s="15">
        <f>IF(F3="1",SUMIF(Data!A:A,'7'!$A$2,Data!CX:CX),0)</f>
        <v>134278</v>
      </c>
      <c r="E39" s="18">
        <f>IF(F3="1",SUMIF(Data!$A:$A,'7'!$A$2,Data!IR:IR),0)</f>
        <v>45449</v>
      </c>
      <c r="F39" s="22">
        <f t="shared" si="3"/>
        <v>0.34</v>
      </c>
    </row>
    <row r="40" spans="1:6" x14ac:dyDescent="0.2">
      <c r="A40" s="20">
        <v>5</v>
      </c>
      <c r="B40" s="172" t="s">
        <v>4</v>
      </c>
      <c r="C40" s="173"/>
      <c r="D40" s="15">
        <f>IF(F3="1",SUMIF(Data!A:A,'7'!$A$2,Data!CY:CY),0)</f>
        <v>0</v>
      </c>
      <c r="E40" s="18">
        <f>IF(F3="1",SUMIF(Data!$A:$A,'7'!$A$2,Data!IS:IS),0)</f>
        <v>0</v>
      </c>
      <c r="F40" s="22" t="str">
        <f t="shared" si="3"/>
        <v/>
      </c>
    </row>
    <row r="41" spans="1:6" x14ac:dyDescent="0.2">
      <c r="A41" s="20">
        <v>6</v>
      </c>
      <c r="B41" s="172" t="s">
        <v>5</v>
      </c>
      <c r="C41" s="173"/>
      <c r="D41" s="15">
        <f>IF(F3="1",SUMIF(Data!A:A,'7'!$A$2,Data!CZ:CZ),0)</f>
        <v>289</v>
      </c>
      <c r="E41" s="18">
        <f>IF(F3="1",SUMIF(Data!$A:$A,'7'!$A$2,Data!IT:IT),0)</f>
        <v>0</v>
      </c>
      <c r="F41" s="22" t="str">
        <f>IF(E41=0,"",ROUND(E41/D41,2))</f>
        <v/>
      </c>
    </row>
    <row r="42" spans="1:6" x14ac:dyDescent="0.2">
      <c r="A42" s="20">
        <v>7</v>
      </c>
      <c r="B42" s="172" t="s">
        <v>6</v>
      </c>
      <c r="C42" s="173"/>
      <c r="D42" s="15">
        <f>IF(F3="1",SUMIF(Data!A:A,'7'!$A$2,Data!DA:DA),0)</f>
        <v>22768</v>
      </c>
      <c r="E42" s="18">
        <f>IF(F3="1",SUMIF(Data!$A:$A,'7'!$A$2,Data!IU:IU),0)</f>
        <v>21406</v>
      </c>
      <c r="F42" s="22">
        <f t="shared" si="3"/>
        <v>0.94</v>
      </c>
    </row>
    <row r="43" spans="1:6" x14ac:dyDescent="0.2">
      <c r="A43" s="20">
        <v>8</v>
      </c>
      <c r="B43" s="172" t="s">
        <v>7</v>
      </c>
      <c r="C43" s="173"/>
      <c r="D43" s="15">
        <f>IF(F3="1",SUMIF(Data!A:A,'7'!$A$2,Data!DB:DB),0)</f>
        <v>92816</v>
      </c>
      <c r="E43" s="18">
        <f>IF(F3="1",SUMIF(Data!$A:$A,'7'!$A$2,Data!IV:IV),0)</f>
        <v>48813</v>
      </c>
      <c r="F43" s="22">
        <f t="shared" si="3"/>
        <v>0.53</v>
      </c>
    </row>
    <row r="44" spans="1:6" x14ac:dyDescent="0.2">
      <c r="A44" s="20">
        <v>9</v>
      </c>
      <c r="B44" s="172" t="s">
        <v>8</v>
      </c>
      <c r="C44" s="173"/>
      <c r="D44" s="15">
        <f>IF(F3="1",SUMIF(Data!A:A,'7'!$A$2,Data!DC:DC),0)</f>
        <v>17517</v>
      </c>
      <c r="E44" s="18">
        <f>IF(F3="1",SUMIF(Data!$A:$A,'7'!$A$2,Data!IW:IW),0)</f>
        <v>7435</v>
      </c>
      <c r="F44" s="22">
        <f t="shared" si="3"/>
        <v>0.42</v>
      </c>
    </row>
    <row r="45" spans="1:6" x14ac:dyDescent="0.2">
      <c r="A45" s="20">
        <v>10</v>
      </c>
      <c r="B45" s="172" t="s">
        <v>9</v>
      </c>
      <c r="C45" s="173"/>
      <c r="D45" s="15">
        <f>IF(F3="1",SUMIF(Data!A:A,'7'!$A$2,Data!DD:DD),0)</f>
        <v>0</v>
      </c>
      <c r="E45" s="18">
        <f>IF(F3="1",SUMIF(Data!$A:$A,'7'!$A$2,Data!IX:IX),0)</f>
        <v>0</v>
      </c>
      <c r="F45" s="22" t="str">
        <f t="shared" si="3"/>
        <v/>
      </c>
    </row>
    <row r="46" spans="1:6" x14ac:dyDescent="0.2">
      <c r="A46" s="20">
        <v>11</v>
      </c>
      <c r="B46" s="172" t="s">
        <v>10</v>
      </c>
      <c r="C46" s="173"/>
      <c r="D46" s="15">
        <f>IF(F3="1",SUMIF(Data!A:A,'7'!$A$2,Data!DE:DE),0)</f>
        <v>125024</v>
      </c>
      <c r="E46" s="18">
        <f>IF(F3="1",SUMIF(Data!$A:$A,'7'!$A$2,Data!IY:IY),0)</f>
        <v>21422</v>
      </c>
      <c r="F46" s="22">
        <f t="shared" si="3"/>
        <v>0.17</v>
      </c>
    </row>
    <row r="47" spans="1:6" ht="14.25" customHeight="1" x14ac:dyDescent="0.2">
      <c r="A47" s="20">
        <v>12</v>
      </c>
      <c r="B47" s="172" t="s">
        <v>11</v>
      </c>
      <c r="C47" s="173"/>
      <c r="D47" s="15">
        <f>IF(F3="1",SUMIF(Data!A:A,'7'!$A$2,Data!DF:DF),0)</f>
        <v>171840</v>
      </c>
      <c r="E47" s="18">
        <f>IF(F3="1",SUMIF(Data!$A:$A,'7'!$A$2,Data!IZ:IZ),0)</f>
        <v>29722</v>
      </c>
      <c r="F47" s="22">
        <f t="shared" si="3"/>
        <v>0.17</v>
      </c>
    </row>
    <row r="48" spans="1:6" x14ac:dyDescent="0.2">
      <c r="A48" s="20">
        <v>13</v>
      </c>
      <c r="B48" s="172" t="s">
        <v>12</v>
      </c>
      <c r="C48" s="173"/>
      <c r="D48" s="15">
        <f>IF(F3="1",SUMIF(Data!A:A,'7'!$A$2,Data!DG:DG),0)</f>
        <v>14148</v>
      </c>
      <c r="E48" s="18">
        <f>IF(F3="1",SUMIF(Data!$A:$A,'7'!$A$2,Data!JA:JA),0)</f>
        <v>3277</v>
      </c>
      <c r="F48" s="22">
        <f t="shared" si="3"/>
        <v>0.23</v>
      </c>
    </row>
    <row r="49" spans="1:6" ht="14.25" customHeight="1" x14ac:dyDescent="0.2">
      <c r="A49" s="20">
        <v>14</v>
      </c>
      <c r="B49" s="172" t="s">
        <v>469</v>
      </c>
      <c r="C49" s="173"/>
      <c r="D49" s="15">
        <f>IF(F3="1",SUMIF(Data!A:A,'7'!$A$2,Data!DH:DH),0)</f>
        <v>6596</v>
      </c>
      <c r="E49" s="18">
        <f>IF(F3="1",SUMIF(Data!$A:$A,'7'!$A$2,Data!JB:JB),0)</f>
        <v>42597</v>
      </c>
      <c r="F49" s="22">
        <f t="shared" si="3"/>
        <v>6.46</v>
      </c>
    </row>
    <row r="50" spans="1:6" x14ac:dyDescent="0.2">
      <c r="A50" s="20">
        <v>15</v>
      </c>
      <c r="B50" s="172" t="s">
        <v>13</v>
      </c>
      <c r="C50" s="173"/>
      <c r="D50" s="15">
        <f>IF(F3="1",SUMIF(Data!A:A,'7'!$A$2,Data!DI:DI),0)</f>
        <v>0</v>
      </c>
      <c r="E50" s="18">
        <f>IF(F3="1",SUMIF(Data!$A:$A,'7'!$A$2,Data!JC:JC),0)</f>
        <v>0</v>
      </c>
      <c r="F50" s="22" t="str">
        <f t="shared" si="3"/>
        <v/>
      </c>
    </row>
    <row r="51" spans="1:6" x14ac:dyDescent="0.2">
      <c r="A51" s="20">
        <v>16</v>
      </c>
      <c r="B51" s="172" t="s">
        <v>14</v>
      </c>
      <c r="C51" s="173"/>
      <c r="D51" s="15">
        <f>IF(F3="1",SUMIF(Data!A:A,'7'!$A$2,Data!DJ:DJ),0)</f>
        <v>36587</v>
      </c>
      <c r="E51" s="18">
        <f>IF(F3="1",SUMIF(Data!$A:$A,'7'!$A$2,Data!JD:JD),0)</f>
        <v>116624</v>
      </c>
      <c r="F51" s="22">
        <f t="shared" si="3"/>
        <v>3.19</v>
      </c>
    </row>
    <row r="52" spans="1:6" x14ac:dyDescent="0.2">
      <c r="A52" s="20">
        <v>17</v>
      </c>
      <c r="B52" s="172" t="s">
        <v>15</v>
      </c>
      <c r="C52" s="173"/>
      <c r="D52" s="15">
        <f>IF(F3="1",SUMIF(Data!A:A,'7'!$A$2,Data!DK:DK),0)</f>
        <v>0</v>
      </c>
      <c r="E52" s="18">
        <f>IF(F3="1",SUMIF(Data!$A:$A,'7'!$A$2,Data!JE:JE),0)</f>
        <v>0</v>
      </c>
      <c r="F52" s="22" t="str">
        <f t="shared" si="3"/>
        <v/>
      </c>
    </row>
    <row r="53" spans="1:6" x14ac:dyDescent="0.2">
      <c r="A53" s="20">
        <v>18</v>
      </c>
      <c r="B53" s="172" t="s">
        <v>16</v>
      </c>
      <c r="C53" s="173"/>
      <c r="D53" s="15">
        <f>IF(F3="1",SUMIF(Data!A:A,'7'!$A$2,Data!DL:DL),0)</f>
        <v>16704</v>
      </c>
      <c r="E53" s="18">
        <f>IF(F3="1",SUMIF(Data!$A:$A,'7'!$A$2,Data!JF:JF),0)</f>
        <v>39463</v>
      </c>
      <c r="F53" s="22">
        <f t="shared" si="3"/>
        <v>2.36</v>
      </c>
    </row>
    <row r="54" spans="1:6" x14ac:dyDescent="0.2">
      <c r="A54" s="20">
        <v>19</v>
      </c>
      <c r="B54" s="172" t="s">
        <v>17</v>
      </c>
      <c r="C54" s="173"/>
      <c r="D54" s="15">
        <f>IF(F3="1",SUMIF(Data!A:A,'7'!$A$2,Data!DM:DM),0)</f>
        <v>160320</v>
      </c>
      <c r="E54" s="18">
        <f>IF(F3="1",SUMIF(Data!$A:$A,'7'!$A$2,Data!JG:JG),0)</f>
        <v>31727</v>
      </c>
      <c r="F54" s="22">
        <f t="shared" si="3"/>
        <v>0.2</v>
      </c>
    </row>
    <row r="55" spans="1:6" x14ac:dyDescent="0.2">
      <c r="A55" s="20">
        <v>20</v>
      </c>
      <c r="B55" s="172" t="s">
        <v>18</v>
      </c>
      <c r="C55" s="173"/>
      <c r="D55" s="15">
        <f>IF(F3="1",SUMIF(Data!A:A,'7'!$A$2,Data!DN:DN),0)</f>
        <v>24944</v>
      </c>
      <c r="E55" s="18">
        <f>IF(F3="1",SUMIF(Data!$A:$A,'7'!$A$2,Data!JH:JH),0)</f>
        <v>10365</v>
      </c>
      <c r="F55" s="22">
        <f t="shared" si="3"/>
        <v>0.42</v>
      </c>
    </row>
    <row r="56" spans="1:6" ht="14.25" customHeight="1" x14ac:dyDescent="0.2">
      <c r="A56" s="20">
        <v>21</v>
      </c>
      <c r="B56" s="172" t="s">
        <v>466</v>
      </c>
      <c r="C56" s="173"/>
      <c r="D56" s="15">
        <f>IF(F3="1",SUMIF(Data!A:A,'7'!$A$2,Data!DO:DO),0)</f>
        <v>0</v>
      </c>
      <c r="E56" s="18">
        <f>IF(F3="1",SUMIF(Data!$A:$A,'7'!$A$2,Data!JI:JI),0)</f>
        <v>1957</v>
      </c>
      <c r="F56" s="22" t="str">
        <f t="shared" si="3"/>
        <v/>
      </c>
    </row>
    <row r="57" spans="1:6" x14ac:dyDescent="0.2">
      <c r="A57" s="20">
        <v>22</v>
      </c>
      <c r="B57" s="172" t="s">
        <v>19</v>
      </c>
      <c r="C57" s="173"/>
      <c r="D57" s="15">
        <f>IF(F3="1",SUMIF(Data!A:A,'7'!$A$2,Data!DP:DP),0)</f>
        <v>800</v>
      </c>
      <c r="E57" s="18">
        <f>IF(F3="1",SUMIF(Data!$A:$A,'7'!$A$2,Data!JJ:JJ),0)</f>
        <v>230</v>
      </c>
      <c r="F57" s="22">
        <f t="shared" si="3"/>
        <v>0.28999999999999998</v>
      </c>
    </row>
    <row r="58" spans="1:6" x14ac:dyDescent="0.2">
      <c r="A58" s="20">
        <v>23</v>
      </c>
      <c r="B58" s="172" t="s">
        <v>20</v>
      </c>
      <c r="C58" s="173"/>
      <c r="D58" s="15">
        <f>IF(F3="1",SUMIF(Data!A:A,'7'!$A$2,Data!DQ:DQ),0)</f>
        <v>27712</v>
      </c>
      <c r="E58" s="18">
        <f>IF(F3="1",SUMIF(Data!$A:$A,'7'!$A$2,Data!JK:JK),0)</f>
        <v>12762</v>
      </c>
      <c r="F58" s="22">
        <f t="shared" si="3"/>
        <v>0.46</v>
      </c>
    </row>
    <row r="59" spans="1:6" x14ac:dyDescent="0.2">
      <c r="A59" s="20">
        <v>24</v>
      </c>
      <c r="B59" s="172" t="s">
        <v>21</v>
      </c>
      <c r="C59" s="173"/>
      <c r="D59" s="15">
        <f>IF(F3="1",SUMIF(Data!A:A,'7'!$A$2,Data!DR:DR),0)</f>
        <v>33804</v>
      </c>
      <c r="E59" s="18">
        <f>IF(F3="1",SUMIF(Data!$A:$A,'7'!$A$2,Data!JL:JL),0)</f>
        <v>10887</v>
      </c>
      <c r="F59" s="22">
        <f t="shared" si="3"/>
        <v>0.32</v>
      </c>
    </row>
    <row r="60" spans="1:6" x14ac:dyDescent="0.2">
      <c r="A60" s="20">
        <v>25</v>
      </c>
      <c r="B60" s="172" t="s">
        <v>22</v>
      </c>
      <c r="C60" s="173"/>
      <c r="D60" s="15">
        <f>IF(F3="1",SUMIF(Data!A:A,'7'!$A$2,Data!DS:DS),0)</f>
        <v>237648</v>
      </c>
      <c r="E60" s="18">
        <f>IF(F3="1",SUMIF(Data!$A:$A,'7'!$A$2,Data!JM:JM),0)</f>
        <v>30793</v>
      </c>
      <c r="F60" s="22">
        <f t="shared" si="3"/>
        <v>0.13</v>
      </c>
    </row>
    <row r="61" spans="1:6" x14ac:dyDescent="0.2">
      <c r="A61" s="20">
        <v>26</v>
      </c>
      <c r="B61" s="172" t="s">
        <v>23</v>
      </c>
      <c r="C61" s="173"/>
      <c r="D61" s="15">
        <f>IF(F3="1",SUMIF(Data!A:A,'7'!$A$2,Data!DT:DT),0)</f>
        <v>53280</v>
      </c>
      <c r="E61" s="18">
        <f>IF(F3="1",SUMIF(Data!$A:$A,'7'!$A$2,Data!JN:JN),0)</f>
        <v>143714</v>
      </c>
      <c r="F61" s="22">
        <f t="shared" si="3"/>
        <v>2.7</v>
      </c>
    </row>
    <row r="62" spans="1:6" x14ac:dyDescent="0.2">
      <c r="A62" s="20">
        <v>28</v>
      </c>
      <c r="B62" s="172" t="s">
        <v>24</v>
      </c>
      <c r="C62" s="173"/>
      <c r="D62" s="15">
        <f>IF(F3="1",SUMIF(Data!A:A,'7'!$A$2,Data!DV:DV),0)</f>
        <v>0</v>
      </c>
      <c r="E62" s="18">
        <f>IF(F3="1",SUMIF(Data!$A:$A,'7'!$A$2,Data!JP:JP),0)</f>
        <v>0</v>
      </c>
      <c r="F62" s="22" t="str">
        <f t="shared" si="3"/>
        <v/>
      </c>
    </row>
    <row r="63" spans="1:6" ht="15.75" customHeight="1" thickBot="1" x14ac:dyDescent="0.25">
      <c r="A63" s="23">
        <v>29</v>
      </c>
      <c r="B63" s="174" t="s">
        <v>25</v>
      </c>
      <c r="C63" s="175"/>
      <c r="D63" s="24">
        <f>IF(F3="1",SUMIF(Data!A:A,'7'!$A$2,Data!DW:DW),0)</f>
        <v>0</v>
      </c>
      <c r="E63" s="25">
        <f>IF(F3="1",SUMIF(Data!$A:$A,'7'!$A$2,Data!JQ:JQ),0)</f>
        <v>0</v>
      </c>
      <c r="F63" s="26" t="str">
        <f t="shared" si="3"/>
        <v/>
      </c>
    </row>
    <row r="64" spans="1:6" x14ac:dyDescent="0.2">
      <c r="B64" s="31" t="s">
        <v>35</v>
      </c>
      <c r="C64" s="31"/>
      <c r="D64" s="61">
        <f>SUM(D36:D63)</f>
        <v>1497443</v>
      </c>
      <c r="E64" s="32">
        <f>SUM(E36:E63)</f>
        <v>909432</v>
      </c>
      <c r="F64" s="33">
        <f t="shared" si="3"/>
        <v>0.61</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0</v>
      </c>
      <c r="E67" s="16">
        <f>IF(F3="1",SUMIF(Data!A:A,'7'!$A$2,Data!DY:DY),0)</f>
        <v>0</v>
      </c>
      <c r="F67" s="21" t="str">
        <f t="shared" ref="F67:F95" si="4">IF(D67=0,"",ROUND(E67/D67,2))</f>
        <v/>
      </c>
    </row>
    <row r="68" spans="1:6" x14ac:dyDescent="0.2">
      <c r="A68" s="20">
        <v>2</v>
      </c>
      <c r="B68" s="172" t="s">
        <v>1</v>
      </c>
      <c r="C68" s="173"/>
      <c r="D68" s="15">
        <f t="shared" ref="D68:D94" si="5">D37</f>
        <v>87184</v>
      </c>
      <c r="E68" s="18">
        <f>IF(F3="1",SUMIF(Data!A:A,'7'!$A$2,Data!DZ:DZ),0)</f>
        <v>276447</v>
      </c>
      <c r="F68" s="22">
        <f t="shared" si="4"/>
        <v>3.17</v>
      </c>
    </row>
    <row r="69" spans="1:6" ht="14.25" customHeight="1" x14ac:dyDescent="0.2">
      <c r="A69" s="20">
        <v>3</v>
      </c>
      <c r="B69" s="172" t="s">
        <v>2</v>
      </c>
      <c r="C69" s="173"/>
      <c r="D69" s="15">
        <f t="shared" si="5"/>
        <v>233184</v>
      </c>
      <c r="E69" s="18">
        <f>IF(F3="1",SUMIF(Data!A:A,'7'!$A$2,Data!EA:EA),0)</f>
        <v>843092</v>
      </c>
      <c r="F69" s="22">
        <f t="shared" si="4"/>
        <v>3.62</v>
      </c>
    </row>
    <row r="70" spans="1:6" ht="14.25" customHeight="1" x14ac:dyDescent="0.2">
      <c r="A70" s="20">
        <v>4</v>
      </c>
      <c r="B70" s="172" t="s">
        <v>3</v>
      </c>
      <c r="C70" s="173"/>
      <c r="D70" s="15">
        <f t="shared" si="5"/>
        <v>134278</v>
      </c>
      <c r="E70" s="18">
        <f>IF(F3="1",SUMIF(Data!A:A,'7'!$A$2,Data!EB:EB),0)</f>
        <v>628937</v>
      </c>
      <c r="F70" s="22">
        <f t="shared" si="4"/>
        <v>4.68</v>
      </c>
    </row>
    <row r="71" spans="1:6" x14ac:dyDescent="0.2">
      <c r="A71" s="20">
        <v>5</v>
      </c>
      <c r="B71" s="172" t="s">
        <v>4</v>
      </c>
      <c r="C71" s="173"/>
      <c r="D71" s="15">
        <f t="shared" si="5"/>
        <v>0</v>
      </c>
      <c r="E71" s="18">
        <f>IF(F3="1",SUMIF(Data!A:A,'7'!$A$2,Data!EC:EC),0)</f>
        <v>0</v>
      </c>
      <c r="F71" s="22" t="str">
        <f t="shared" si="4"/>
        <v/>
      </c>
    </row>
    <row r="72" spans="1:6" x14ac:dyDescent="0.2">
      <c r="A72" s="20">
        <v>6</v>
      </c>
      <c r="B72" s="172" t="s">
        <v>5</v>
      </c>
      <c r="C72" s="173"/>
      <c r="D72" s="15">
        <f t="shared" si="5"/>
        <v>289</v>
      </c>
      <c r="E72" s="18">
        <f>IF(F3="1",SUMIF(Data!A:A,'7'!$A$2,Data!ED:ED),0)</f>
        <v>0</v>
      </c>
      <c r="F72" s="22" t="str">
        <f>IF(E72=0,"",ROUND(E72/D72,2))</f>
        <v/>
      </c>
    </row>
    <row r="73" spans="1:6" x14ac:dyDescent="0.2">
      <c r="A73" s="20">
        <v>7</v>
      </c>
      <c r="B73" s="172" t="s">
        <v>6</v>
      </c>
      <c r="C73" s="173"/>
      <c r="D73" s="15">
        <f t="shared" si="5"/>
        <v>22768</v>
      </c>
      <c r="E73" s="18">
        <f>IF(F3="1",SUMIF(Data!A:A,'7'!$A$2,Data!EE:EE),0)</f>
        <v>216839</v>
      </c>
      <c r="F73" s="22">
        <f t="shared" si="4"/>
        <v>9.52</v>
      </c>
    </row>
    <row r="74" spans="1:6" x14ac:dyDescent="0.2">
      <c r="A74" s="20">
        <v>8</v>
      </c>
      <c r="B74" s="172" t="s">
        <v>7</v>
      </c>
      <c r="C74" s="173"/>
      <c r="D74" s="15">
        <f t="shared" si="5"/>
        <v>92816</v>
      </c>
      <c r="E74" s="18">
        <f>IF(F3="1",SUMIF(Data!A:A,'7'!$A$2,Data!EF:EF),0)</f>
        <v>292214</v>
      </c>
      <c r="F74" s="22">
        <f t="shared" si="4"/>
        <v>3.15</v>
      </c>
    </row>
    <row r="75" spans="1:6" x14ac:dyDescent="0.2">
      <c r="A75" s="20">
        <v>9</v>
      </c>
      <c r="B75" s="172" t="s">
        <v>8</v>
      </c>
      <c r="C75" s="173"/>
      <c r="D75" s="15">
        <f t="shared" si="5"/>
        <v>17517</v>
      </c>
      <c r="E75" s="18">
        <f>IF(F3="1",SUMIF(Data!A:A,'7'!$A$2,Data!EG:EG),0)</f>
        <v>49863</v>
      </c>
      <c r="F75" s="22">
        <f t="shared" si="4"/>
        <v>2.85</v>
      </c>
    </row>
    <row r="76" spans="1:6" x14ac:dyDescent="0.2">
      <c r="A76" s="20">
        <v>10</v>
      </c>
      <c r="B76" s="172" t="s">
        <v>9</v>
      </c>
      <c r="C76" s="173"/>
      <c r="D76" s="15">
        <f t="shared" si="5"/>
        <v>0</v>
      </c>
      <c r="E76" s="18">
        <f>IF(F3="1",SUMIF(Data!A:A,'7'!$A$2,Data!EH:EH),0)</f>
        <v>0</v>
      </c>
      <c r="F76" s="22" t="str">
        <f t="shared" si="4"/>
        <v/>
      </c>
    </row>
    <row r="77" spans="1:6" x14ac:dyDescent="0.2">
      <c r="A77" s="20">
        <v>11</v>
      </c>
      <c r="B77" s="172" t="s">
        <v>10</v>
      </c>
      <c r="C77" s="173"/>
      <c r="D77" s="15">
        <f t="shared" si="5"/>
        <v>125024</v>
      </c>
      <c r="E77" s="18">
        <f>IF(F3="1",SUMIF(Data!A:A,'7'!$A$2,Data!EI:EI),0)</f>
        <v>177189</v>
      </c>
      <c r="F77" s="22">
        <f t="shared" si="4"/>
        <v>1.42</v>
      </c>
    </row>
    <row r="78" spans="1:6" ht="14.25" customHeight="1" x14ac:dyDescent="0.2">
      <c r="A78" s="20">
        <v>12</v>
      </c>
      <c r="B78" s="172" t="s">
        <v>11</v>
      </c>
      <c r="C78" s="173"/>
      <c r="D78" s="15">
        <f t="shared" si="5"/>
        <v>171840</v>
      </c>
      <c r="E78" s="18">
        <f>IF(F3="1",SUMIF(Data!A:A,'7'!$A$2,Data!EJ:EJ),0)</f>
        <v>674914</v>
      </c>
      <c r="F78" s="22">
        <f t="shared" si="4"/>
        <v>3.93</v>
      </c>
    </row>
    <row r="79" spans="1:6" x14ac:dyDescent="0.2">
      <c r="A79" s="20">
        <v>13</v>
      </c>
      <c r="B79" s="172" t="s">
        <v>12</v>
      </c>
      <c r="C79" s="173"/>
      <c r="D79" s="15">
        <f t="shared" si="5"/>
        <v>14148</v>
      </c>
      <c r="E79" s="18">
        <f>IF(F3="1",SUMIF(Data!A:A,'7'!$A$2,Data!EK:EK),0)</f>
        <v>54392</v>
      </c>
      <c r="F79" s="22">
        <f t="shared" si="4"/>
        <v>3.84</v>
      </c>
    </row>
    <row r="80" spans="1:6" ht="14.25" customHeight="1" x14ac:dyDescent="0.2">
      <c r="A80" s="20">
        <v>14</v>
      </c>
      <c r="B80" s="172" t="s">
        <v>469</v>
      </c>
      <c r="C80" s="173"/>
      <c r="D80" s="15">
        <f t="shared" si="5"/>
        <v>6596</v>
      </c>
      <c r="E80" s="18">
        <f>IF(F3="1",SUMIF(Data!A:A,'7'!$A$2,Data!EL:EL),0)</f>
        <v>170156</v>
      </c>
      <c r="F80" s="22">
        <f t="shared" si="4"/>
        <v>25.8</v>
      </c>
    </row>
    <row r="81" spans="1:6" x14ac:dyDescent="0.2">
      <c r="A81" s="20">
        <v>15</v>
      </c>
      <c r="B81" s="172" t="s">
        <v>13</v>
      </c>
      <c r="C81" s="173"/>
      <c r="D81" s="15">
        <f t="shared" si="5"/>
        <v>0</v>
      </c>
      <c r="E81" s="18">
        <f>IF(F3="1",SUMIF(Data!A:A,'7'!$A$2,Data!EM:EM),0)</f>
        <v>0</v>
      </c>
      <c r="F81" s="22" t="str">
        <f t="shared" si="4"/>
        <v/>
      </c>
    </row>
    <row r="82" spans="1:6" x14ac:dyDescent="0.2">
      <c r="A82" s="20">
        <v>16</v>
      </c>
      <c r="B82" s="172" t="s">
        <v>14</v>
      </c>
      <c r="C82" s="173"/>
      <c r="D82" s="15">
        <f t="shared" si="5"/>
        <v>36587</v>
      </c>
      <c r="E82" s="18">
        <f>IF(F3="1",SUMIF(Data!A:A,'7'!$A$2,Data!EN:EN),0)</f>
        <v>266820</v>
      </c>
      <c r="F82" s="22">
        <f t="shared" si="4"/>
        <v>7.29</v>
      </c>
    </row>
    <row r="83" spans="1:6" x14ac:dyDescent="0.2">
      <c r="A83" s="20">
        <v>17</v>
      </c>
      <c r="B83" s="172" t="s">
        <v>15</v>
      </c>
      <c r="C83" s="173"/>
      <c r="D83" s="15">
        <f t="shared" si="5"/>
        <v>0</v>
      </c>
      <c r="E83" s="18">
        <f>IF(F3="1",SUMIF(Data!A:A,'7'!$A$2,Data!EO:EO),0)</f>
        <v>0</v>
      </c>
      <c r="F83" s="22" t="str">
        <f t="shared" si="4"/>
        <v/>
      </c>
    </row>
    <row r="84" spans="1:6" x14ac:dyDescent="0.2">
      <c r="A84" s="20">
        <v>18</v>
      </c>
      <c r="B84" s="172" t="s">
        <v>16</v>
      </c>
      <c r="C84" s="173"/>
      <c r="D84" s="15">
        <f t="shared" si="5"/>
        <v>16704</v>
      </c>
      <c r="E84" s="18">
        <f>IF(F3="1",SUMIF(Data!A:A,'7'!$A$2,Data!EP:EP),0)</f>
        <v>105693</v>
      </c>
      <c r="F84" s="22">
        <f t="shared" si="4"/>
        <v>6.33</v>
      </c>
    </row>
    <row r="85" spans="1:6" x14ac:dyDescent="0.2">
      <c r="A85" s="20">
        <v>19</v>
      </c>
      <c r="B85" s="172" t="s">
        <v>17</v>
      </c>
      <c r="C85" s="173"/>
      <c r="D85" s="15">
        <f t="shared" si="5"/>
        <v>160320</v>
      </c>
      <c r="E85" s="18">
        <f>IF(F3="1",SUMIF(Data!A:A,'7'!$A$2,Data!EQ:EQ),0)</f>
        <v>532806</v>
      </c>
      <c r="F85" s="22">
        <f t="shared" si="4"/>
        <v>3.32</v>
      </c>
    </row>
    <row r="86" spans="1:6" x14ac:dyDescent="0.2">
      <c r="A86" s="20">
        <v>20</v>
      </c>
      <c r="B86" s="172" t="s">
        <v>18</v>
      </c>
      <c r="C86" s="173"/>
      <c r="D86" s="15">
        <f t="shared" si="5"/>
        <v>24944</v>
      </c>
      <c r="E86" s="18">
        <f>IF(F3="1",SUMIF(Data!A:A,'7'!$A$2,Data!ER:ER),0)</f>
        <v>91558</v>
      </c>
      <c r="F86" s="22">
        <f t="shared" si="4"/>
        <v>3.67</v>
      </c>
    </row>
    <row r="87" spans="1:6" ht="14.25" customHeight="1" x14ac:dyDescent="0.2">
      <c r="A87" s="20">
        <v>21</v>
      </c>
      <c r="B87" s="172" t="s">
        <v>466</v>
      </c>
      <c r="C87" s="173"/>
      <c r="D87" s="15">
        <f t="shared" si="5"/>
        <v>0</v>
      </c>
      <c r="E87" s="18">
        <f>IF(F3="1",SUMIF(Data!A:A,'7'!$A$2,Data!ES:ES),0)</f>
        <v>0</v>
      </c>
      <c r="F87" s="22" t="str">
        <f t="shared" si="4"/>
        <v/>
      </c>
    </row>
    <row r="88" spans="1:6" x14ac:dyDescent="0.2">
      <c r="A88" s="20">
        <v>22</v>
      </c>
      <c r="B88" s="172" t="s">
        <v>19</v>
      </c>
      <c r="C88" s="173"/>
      <c r="D88" s="15">
        <f t="shared" si="5"/>
        <v>800</v>
      </c>
      <c r="E88" s="18">
        <f>IF(F3="1",SUMIF(Data!A:A,'7'!$A$2,Data!ET:ET),0)</f>
        <v>6443</v>
      </c>
      <c r="F88" s="22">
        <f t="shared" si="4"/>
        <v>8.0500000000000007</v>
      </c>
    </row>
    <row r="89" spans="1:6" x14ac:dyDescent="0.2">
      <c r="A89" s="20">
        <v>23</v>
      </c>
      <c r="B89" s="172" t="s">
        <v>20</v>
      </c>
      <c r="C89" s="173"/>
      <c r="D89" s="15">
        <f t="shared" si="5"/>
        <v>27712</v>
      </c>
      <c r="E89" s="18">
        <f>IF(F3="1",SUMIF(Data!A:A,'7'!$A$2,Data!EU:EU),0)</f>
        <v>140774</v>
      </c>
      <c r="F89" s="22">
        <f t="shared" si="4"/>
        <v>5.08</v>
      </c>
    </row>
    <row r="90" spans="1:6" x14ac:dyDescent="0.2">
      <c r="A90" s="20">
        <v>24</v>
      </c>
      <c r="B90" s="172" t="s">
        <v>21</v>
      </c>
      <c r="C90" s="173"/>
      <c r="D90" s="15">
        <f t="shared" si="5"/>
        <v>33804</v>
      </c>
      <c r="E90" s="18">
        <f>IF(F3="1",SUMIF(Data!A:A,'7'!$A$2,Data!EV:EV),0)</f>
        <v>96067</v>
      </c>
      <c r="F90" s="22">
        <f t="shared" si="4"/>
        <v>2.84</v>
      </c>
    </row>
    <row r="91" spans="1:6" x14ac:dyDescent="0.2">
      <c r="A91" s="20">
        <v>25</v>
      </c>
      <c r="B91" s="172" t="s">
        <v>22</v>
      </c>
      <c r="C91" s="173"/>
      <c r="D91" s="15">
        <f t="shared" si="5"/>
        <v>237648</v>
      </c>
      <c r="E91" s="18">
        <f>IF(F3="1",SUMIF(Data!A:A,'7'!$A$2,Data!EW:EW),0)</f>
        <v>729317</v>
      </c>
      <c r="F91" s="22">
        <f t="shared" si="4"/>
        <v>3.07</v>
      </c>
    </row>
    <row r="92" spans="1:6" x14ac:dyDescent="0.2">
      <c r="A92" s="20">
        <v>26</v>
      </c>
      <c r="B92" s="172" t="s">
        <v>23</v>
      </c>
      <c r="C92" s="173"/>
      <c r="D92" s="15">
        <f t="shared" si="5"/>
        <v>53280</v>
      </c>
      <c r="E92" s="18">
        <f>IF(F3="1",SUMIF(Data!A:A,'7'!$A$2,Data!EX:EX),0)</f>
        <v>334280</v>
      </c>
      <c r="F92" s="22">
        <f t="shared" si="4"/>
        <v>6.27</v>
      </c>
    </row>
    <row r="93" spans="1:6" x14ac:dyDescent="0.2">
      <c r="A93" s="20">
        <v>28</v>
      </c>
      <c r="B93" s="172" t="s">
        <v>24</v>
      </c>
      <c r="C93" s="173"/>
      <c r="D93" s="15">
        <f t="shared" si="5"/>
        <v>0</v>
      </c>
      <c r="E93" s="18">
        <f>IF(F3="1",SUMIF(Data!A:A,'7'!$A$2,Data!EZ:EZ),0)</f>
        <v>0</v>
      </c>
      <c r="F93" s="22" t="str">
        <f t="shared" si="4"/>
        <v/>
      </c>
    </row>
    <row r="94" spans="1:6" ht="15.75" customHeight="1" thickBot="1" x14ac:dyDescent="0.25">
      <c r="A94" s="23">
        <v>29</v>
      </c>
      <c r="B94" s="174" t="s">
        <v>25</v>
      </c>
      <c r="C94" s="175"/>
      <c r="D94" s="24">
        <f t="shared" si="5"/>
        <v>0</v>
      </c>
      <c r="E94" s="25">
        <f>IF(F3="1",SUMIF(Data!A:A,'7'!$A$2,Data!FA:FA),0)</f>
        <v>0</v>
      </c>
      <c r="F94" s="26" t="str">
        <f t="shared" si="4"/>
        <v/>
      </c>
    </row>
    <row r="95" spans="1:6" x14ac:dyDescent="0.2">
      <c r="B95" s="31" t="s">
        <v>35</v>
      </c>
      <c r="C95" s="31"/>
      <c r="D95" s="61">
        <f>SUM(D67:D94)</f>
        <v>1497443</v>
      </c>
      <c r="E95" s="32">
        <f>SUM(E67:E94)</f>
        <v>5687801</v>
      </c>
      <c r="F95" s="33">
        <f t="shared" si="4"/>
        <v>3.8</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IF(F3="1",SUMIF(Data!A:A,'7'!$A$2,Data!AH:AH),0)</f>
        <v>3870955</v>
      </c>
      <c r="F98" s="21">
        <f>IF($D$105=0,"",ROUND(E98/$D$105,2))</f>
        <v>2.59</v>
      </c>
    </row>
    <row r="99" spans="2:6" x14ac:dyDescent="0.2">
      <c r="B99" s="178" t="s">
        <v>31</v>
      </c>
      <c r="C99" s="179"/>
      <c r="D99" s="37"/>
      <c r="E99" s="18">
        <f>IF(F3="1",SUMIF(Data!A:A,'7'!$A$2,Data!AI:AI),0)</f>
        <v>1643970</v>
      </c>
      <c r="F99" s="22">
        <f t="shared" ref="F99:F105" si="6">IF($D$105=0,"",ROUND(E99/$D$105,2))</f>
        <v>1.1000000000000001</v>
      </c>
    </row>
    <row r="100" spans="2:6" x14ac:dyDescent="0.2">
      <c r="B100" s="178" t="s">
        <v>32</v>
      </c>
      <c r="C100" s="179"/>
      <c r="D100" s="37"/>
      <c r="E100" s="18">
        <f>IF(F3="1",SUMIF(Data!A:A,'7'!$A$2,Data!AJ:AJ),0)</f>
        <v>1372023</v>
      </c>
      <c r="F100" s="22">
        <f t="shared" si="6"/>
        <v>0.92</v>
      </c>
    </row>
    <row r="101" spans="2:6" x14ac:dyDescent="0.2">
      <c r="B101" s="178" t="s">
        <v>28</v>
      </c>
      <c r="C101" s="179"/>
      <c r="D101" s="37"/>
      <c r="E101" s="18">
        <f>IF(F3="1",SUMIF(Data!A:A,'7'!$A$2,Data!AK:AK),0)</f>
        <v>0</v>
      </c>
      <c r="F101" s="22">
        <f t="shared" si="6"/>
        <v>0</v>
      </c>
    </row>
    <row r="102" spans="2:6" x14ac:dyDescent="0.2">
      <c r="B102" s="178" t="s">
        <v>33</v>
      </c>
      <c r="C102" s="179"/>
      <c r="D102" s="37"/>
      <c r="E102" s="18">
        <f>IF(F3="1",SUMIF(Data!A:A,'7'!$A$2,Data!AL:AL),0)</f>
        <v>267054</v>
      </c>
      <c r="F102" s="22">
        <f t="shared" si="6"/>
        <v>0.18</v>
      </c>
    </row>
    <row r="103" spans="2:6" x14ac:dyDescent="0.2">
      <c r="B103" s="180" t="s">
        <v>34</v>
      </c>
      <c r="C103" s="181"/>
      <c r="D103" s="37"/>
      <c r="E103" s="18">
        <f>IF(F3="1",SUMIF(Data!A:A,'7'!$A$2,Data!AM:AM),0)</f>
        <v>344521</v>
      </c>
      <c r="F103" s="22">
        <f t="shared" si="6"/>
        <v>0.23</v>
      </c>
    </row>
    <row r="104" spans="2:6" ht="15.75" customHeight="1" thickBot="1" x14ac:dyDescent="0.25">
      <c r="B104" s="170" t="s">
        <v>29</v>
      </c>
      <c r="C104" s="171"/>
      <c r="D104" s="38"/>
      <c r="E104" s="25">
        <f>IF(F3="1",SUMIF(Data!A:A,'7'!$A$2,Data!Q:Q),0)</f>
        <v>192103</v>
      </c>
      <c r="F104" s="26">
        <f t="shared" si="6"/>
        <v>0.13</v>
      </c>
    </row>
    <row r="105" spans="2:6" x14ac:dyDescent="0.2">
      <c r="B105" s="31" t="s">
        <v>35</v>
      </c>
      <c r="C105" s="31"/>
      <c r="D105" s="35">
        <f>D95</f>
        <v>1497443</v>
      </c>
      <c r="E105" s="32">
        <f>SUM(E98:E104)</f>
        <v>7690626</v>
      </c>
      <c r="F105" s="33">
        <f t="shared" si="6"/>
        <v>5.14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7208387</v>
      </c>
      <c r="D109" s="16">
        <f>IF(F3="1",SUMIF(Data!$A:$A,$A$2,Data!HJ:HJ),0)</f>
        <v>281309</v>
      </c>
      <c r="E109" s="16">
        <f>IF(F3="1",SUMIF(Data!$A:$A,$A$2,Data!IN:IN),0)</f>
        <v>2287182</v>
      </c>
      <c r="F109" s="48">
        <f>SUM(C109:E109)</f>
        <v>9776878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56351</v>
      </c>
      <c r="D111" s="52"/>
      <c r="E111" s="51">
        <f>IF(F3="1",SUMIF(Data!A:A,$A$2,Data!AX:AX),0)</f>
        <v>3687</v>
      </c>
      <c r="F111" s="49">
        <f t="shared" si="7"/>
        <v>60038</v>
      </c>
    </row>
    <row r="112" spans="2:6" x14ac:dyDescent="0.2">
      <c r="B112" s="43" t="s">
        <v>32</v>
      </c>
      <c r="C112" s="51">
        <f>IF(F3="1",SUMIF(Data!A:A,$A$2,Data!V:V),0)</f>
        <v>881785</v>
      </c>
      <c r="D112" s="52"/>
      <c r="E112" s="51">
        <f>IF(F3="1",SUMIF(Data!A:A,$A$2,Data!AC:AC),0)</f>
        <v>490238</v>
      </c>
      <c r="F112" s="49">
        <f t="shared" si="7"/>
        <v>1372023</v>
      </c>
    </row>
    <row r="113" spans="1:6" x14ac:dyDescent="0.2">
      <c r="B113" s="43" t="s">
        <v>31</v>
      </c>
      <c r="C113" s="51">
        <f>IF(F3="1",SUMIF(Data!A:A,$A$2,Data!U:U),0)</f>
        <v>1388455</v>
      </c>
      <c r="D113" s="52"/>
      <c r="E113" s="51">
        <f>IF(F3="1",SUMIF(Data!A:A,$A$2,Data!AB:AB),0)</f>
        <v>255515</v>
      </c>
      <c r="F113" s="49">
        <f t="shared" si="7"/>
        <v>1643970</v>
      </c>
    </row>
    <row r="114" spans="1:6" x14ac:dyDescent="0.2">
      <c r="B114" s="43" t="s">
        <v>1021</v>
      </c>
      <c r="C114" s="51">
        <f>IF(F3="1",SUMIF(Data!A:A,$A$2,Data!T:T),0)</f>
        <v>2556098</v>
      </c>
      <c r="D114" s="52"/>
      <c r="E114" s="51">
        <f>IF(F3="1",SUMIF(Data!A:A,$A$2,Data!AA:AA),0)</f>
        <v>1314857</v>
      </c>
      <c r="F114" s="49">
        <f t="shared" si="7"/>
        <v>3870955</v>
      </c>
    </row>
    <row r="115" spans="1:6" x14ac:dyDescent="0.2">
      <c r="B115" s="43" t="s">
        <v>937</v>
      </c>
      <c r="C115" s="51">
        <f>IF(F3="1",SUMIF(Data!A:A,$A$2,Data!BI:BI),0)</f>
        <v>408650</v>
      </c>
      <c r="D115" s="51">
        <f>IF(F3="1",SUMIF(Data!A:A,$A$2,Data!BL:BL),0)</f>
        <v>152006</v>
      </c>
      <c r="E115" s="51">
        <f>IF(F3="1",SUMIF(Data!A:A,$A$2,Data!BU:BU),0)</f>
        <v>2016839</v>
      </c>
      <c r="F115" s="49">
        <f t="shared" si="7"/>
        <v>2577495</v>
      </c>
    </row>
    <row r="116" spans="1:6" x14ac:dyDescent="0.2">
      <c r="B116" s="43" t="s">
        <v>33</v>
      </c>
      <c r="C116" s="51">
        <f>IF(F3="1",SUMIF(Data!A:A,$A$2,Data!X:X),0)</f>
        <v>0</v>
      </c>
      <c r="D116" s="51"/>
      <c r="E116" s="51">
        <f>E102</f>
        <v>267054</v>
      </c>
      <c r="F116" s="49">
        <f t="shared" si="7"/>
        <v>267054</v>
      </c>
    </row>
    <row r="117" spans="1:6" ht="15" thickBot="1" x14ac:dyDescent="0.25">
      <c r="B117" s="44" t="s">
        <v>941</v>
      </c>
      <c r="C117" s="53"/>
      <c r="D117" s="53">
        <f>IF(F3="1",SUMIF(Data!A:A,$A$2,Data!Q:Q),0)</f>
        <v>192103</v>
      </c>
      <c r="E117" s="53"/>
      <c r="F117" s="50">
        <f>SUM(C117:E117)</f>
        <v>192103</v>
      </c>
    </row>
    <row r="118" spans="1:6" x14ac:dyDescent="0.2">
      <c r="B118" s="14" t="s">
        <v>35</v>
      </c>
      <c r="C118" s="5">
        <f>SUM(C109:C116)</f>
        <v>12499726</v>
      </c>
      <c r="D118" s="5">
        <f>SUM(D109:D116)</f>
        <v>433315</v>
      </c>
      <c r="E118" s="5">
        <f>SUM(E109:E116)</f>
        <v>6635372</v>
      </c>
      <c r="F118" s="5">
        <f>SUM(F109:F116)</f>
        <v>19568413</v>
      </c>
    </row>
    <row r="119" spans="1:6" ht="15" thickBot="1" x14ac:dyDescent="0.25"/>
    <row r="120" spans="1:6" ht="15" thickBot="1" x14ac:dyDescent="0.25">
      <c r="B120" s="57" t="s">
        <v>942</v>
      </c>
      <c r="C120" s="55"/>
      <c r="D120" s="55"/>
      <c r="E120" s="55">
        <f>IF(F3="1",SUMIF(Data!A:A,'7'!$A$2,Data!AM:AM),0)</f>
        <v>344521</v>
      </c>
      <c r="F120" s="56">
        <f>SUM(C120:E120)</f>
        <v>344521</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420</v>
      </c>
      <c r="B2" s="60" t="str">
        <f>VLOOKUP(A2,Data!A:G,7,0)</f>
        <v>Central Texas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72622</v>
      </c>
      <c r="E5" s="16">
        <f>E36+E67+IFERROR($E$105/$D$105*D5,0)</f>
        <v>377500.36829438008</v>
      </c>
      <c r="F5" s="21">
        <f>IF(OR(D5=0,E5=0),"",ROUND(E5/D5,2))</f>
        <v>5.2</v>
      </c>
    </row>
    <row r="6" spans="1:6" x14ac:dyDescent="0.2">
      <c r="A6" s="20">
        <v>2</v>
      </c>
      <c r="B6" s="172" t="s">
        <v>1</v>
      </c>
      <c r="C6" s="173"/>
      <c r="D6" s="15">
        <f t="shared" ref="D6:D32" si="0">D37</f>
        <v>107378</v>
      </c>
      <c r="E6" s="18">
        <f t="shared" ref="E6:E32" si="1">E37+E68+IFERROR($E$105/$D$105*D6,0)</f>
        <v>1340782.4458526885</v>
      </c>
      <c r="F6" s="22">
        <f t="shared" ref="F6:F33" si="2">IF(OR(D6=0,E6=0),"",ROUND(E6/D6,2))</f>
        <v>12.49</v>
      </c>
    </row>
    <row r="7" spans="1:6" ht="14.25" customHeight="1" x14ac:dyDescent="0.2">
      <c r="A7" s="20">
        <v>3</v>
      </c>
      <c r="B7" s="172" t="s">
        <v>2</v>
      </c>
      <c r="C7" s="173"/>
      <c r="D7" s="15">
        <f t="shared" si="0"/>
        <v>266400</v>
      </c>
      <c r="E7" s="18">
        <f t="shared" si="1"/>
        <v>1918251.3249376616</v>
      </c>
      <c r="F7" s="22">
        <f t="shared" si="2"/>
        <v>7.2</v>
      </c>
    </row>
    <row r="8" spans="1:6" ht="14.25" customHeight="1" x14ac:dyDescent="0.2">
      <c r="A8" s="20">
        <v>4</v>
      </c>
      <c r="B8" s="172" t="s">
        <v>3</v>
      </c>
      <c r="C8" s="173"/>
      <c r="D8" s="15">
        <f t="shared" si="0"/>
        <v>695973</v>
      </c>
      <c r="E8" s="18">
        <f t="shared" si="1"/>
        <v>4722254.0729798768</v>
      </c>
      <c r="F8" s="22">
        <f t="shared" si="2"/>
        <v>6.79</v>
      </c>
    </row>
    <row r="9" spans="1:6" x14ac:dyDescent="0.2">
      <c r="A9" s="20">
        <v>5</v>
      </c>
      <c r="B9" s="172" t="s">
        <v>4</v>
      </c>
      <c r="C9" s="173"/>
      <c r="D9" s="15">
        <f t="shared" si="0"/>
        <v>18416</v>
      </c>
      <c r="E9" s="18">
        <f t="shared" si="1"/>
        <v>1035555.4205407356</v>
      </c>
      <c r="F9" s="22">
        <f t="shared" si="2"/>
        <v>56.23</v>
      </c>
    </row>
    <row r="10" spans="1:6" x14ac:dyDescent="0.2">
      <c r="A10" s="20">
        <v>6</v>
      </c>
      <c r="B10" s="172" t="s">
        <v>5</v>
      </c>
      <c r="C10" s="173"/>
      <c r="D10" s="15">
        <f t="shared" si="0"/>
        <v>42592</v>
      </c>
      <c r="E10" s="18">
        <f t="shared" si="1"/>
        <v>315401.07513417746</v>
      </c>
      <c r="F10" s="22">
        <f t="shared" si="2"/>
        <v>7.41</v>
      </c>
    </row>
    <row r="11" spans="1:6" x14ac:dyDescent="0.2">
      <c r="A11" s="20">
        <v>7</v>
      </c>
      <c r="B11" s="172" t="s">
        <v>6</v>
      </c>
      <c r="C11" s="173"/>
      <c r="D11" s="15">
        <f t="shared" si="0"/>
        <v>520772</v>
      </c>
      <c r="E11" s="18">
        <f t="shared" si="1"/>
        <v>7645311.8041833173</v>
      </c>
      <c r="F11" s="22">
        <f t="shared" si="2"/>
        <v>14.68</v>
      </c>
    </row>
    <row r="12" spans="1:6" x14ac:dyDescent="0.2">
      <c r="A12" s="20">
        <v>8</v>
      </c>
      <c r="B12" s="172" t="s">
        <v>7</v>
      </c>
      <c r="C12" s="173"/>
      <c r="D12" s="15">
        <f t="shared" si="0"/>
        <v>17520</v>
      </c>
      <c r="E12" s="18">
        <f t="shared" si="1"/>
        <v>157355.62857698134</v>
      </c>
      <c r="F12" s="22">
        <f t="shared" si="2"/>
        <v>8.98</v>
      </c>
    </row>
    <row r="13" spans="1:6" x14ac:dyDescent="0.2">
      <c r="A13" s="20">
        <v>9</v>
      </c>
      <c r="B13" s="172" t="s">
        <v>8</v>
      </c>
      <c r="C13" s="173"/>
      <c r="D13" s="15">
        <f t="shared" si="0"/>
        <v>293058</v>
      </c>
      <c r="E13" s="18">
        <f t="shared" si="1"/>
        <v>1599999.8519128424</v>
      </c>
      <c r="F13" s="22">
        <f t="shared" si="2"/>
        <v>5.46</v>
      </c>
    </row>
    <row r="14" spans="1:6" x14ac:dyDescent="0.2">
      <c r="A14" s="20">
        <v>10</v>
      </c>
      <c r="B14" s="172" t="s">
        <v>9</v>
      </c>
      <c r="C14" s="173"/>
      <c r="D14" s="15">
        <f t="shared" si="0"/>
        <v>256</v>
      </c>
      <c r="E14" s="18">
        <f t="shared" si="1"/>
        <v>763.65484678694202</v>
      </c>
      <c r="F14" s="22">
        <f t="shared" si="2"/>
        <v>2.98</v>
      </c>
    </row>
    <row r="15" spans="1:6" x14ac:dyDescent="0.2">
      <c r="A15" s="20">
        <v>11</v>
      </c>
      <c r="B15" s="172" t="s">
        <v>10</v>
      </c>
      <c r="C15" s="173"/>
      <c r="D15" s="15">
        <f t="shared" si="0"/>
        <v>133206</v>
      </c>
      <c r="E15" s="18">
        <f t="shared" si="1"/>
        <v>460897.06062930234</v>
      </c>
      <c r="F15" s="22">
        <f t="shared" si="2"/>
        <v>3.46</v>
      </c>
    </row>
    <row r="16" spans="1:6" ht="14.25" customHeight="1" x14ac:dyDescent="0.2">
      <c r="A16" s="20">
        <v>12</v>
      </c>
      <c r="B16" s="172" t="s">
        <v>11</v>
      </c>
      <c r="C16" s="173"/>
      <c r="D16" s="15">
        <f t="shared" si="0"/>
        <v>792352</v>
      </c>
      <c r="E16" s="18">
        <f t="shared" si="1"/>
        <v>5314398.2076614341</v>
      </c>
      <c r="F16" s="22">
        <f t="shared" si="2"/>
        <v>6.71</v>
      </c>
    </row>
    <row r="17" spans="1:6" x14ac:dyDescent="0.2">
      <c r="A17" s="20">
        <v>13</v>
      </c>
      <c r="B17" s="172" t="s">
        <v>12</v>
      </c>
      <c r="C17" s="173"/>
      <c r="D17" s="15">
        <f t="shared" si="0"/>
        <v>75616</v>
      </c>
      <c r="E17" s="18">
        <f t="shared" si="1"/>
        <v>557615.55036969297</v>
      </c>
      <c r="F17" s="22">
        <f t="shared" si="2"/>
        <v>7.37</v>
      </c>
    </row>
    <row r="18" spans="1:6" ht="14.25" customHeight="1" x14ac:dyDescent="0.2">
      <c r="A18" s="20">
        <v>14</v>
      </c>
      <c r="B18" s="172" t="s">
        <v>469</v>
      </c>
      <c r="C18" s="173"/>
      <c r="D18" s="15">
        <f t="shared" si="0"/>
        <v>200300</v>
      </c>
      <c r="E18" s="18">
        <f t="shared" si="1"/>
        <v>2348350.2570758769</v>
      </c>
      <c r="F18" s="22">
        <f t="shared" si="2"/>
        <v>11.72</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134728</v>
      </c>
      <c r="E20" s="18">
        <f t="shared" si="1"/>
        <v>1285757.2273355904</v>
      </c>
      <c r="F20" s="22">
        <f t="shared" si="2"/>
        <v>9.5399999999999991</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110096</v>
      </c>
      <c r="E22" s="18">
        <f t="shared" si="1"/>
        <v>1003056.3125463093</v>
      </c>
      <c r="F22" s="22">
        <f t="shared" si="2"/>
        <v>9.11</v>
      </c>
    </row>
    <row r="23" spans="1:6" x14ac:dyDescent="0.2">
      <c r="A23" s="20">
        <v>19</v>
      </c>
      <c r="B23" s="172" t="s">
        <v>17</v>
      </c>
      <c r="C23" s="173"/>
      <c r="D23" s="15">
        <f t="shared" si="0"/>
        <v>557969</v>
      </c>
      <c r="E23" s="18">
        <f t="shared" si="1"/>
        <v>3280345.4500268092</v>
      </c>
      <c r="F23" s="22">
        <f t="shared" si="2"/>
        <v>5.88</v>
      </c>
    </row>
    <row r="24" spans="1:6" x14ac:dyDescent="0.2">
      <c r="A24" s="20">
        <v>20</v>
      </c>
      <c r="B24" s="172" t="s">
        <v>18</v>
      </c>
      <c r="C24" s="173"/>
      <c r="D24" s="15">
        <f t="shared" si="0"/>
        <v>52376</v>
      </c>
      <c r="E24" s="18">
        <f t="shared" si="1"/>
        <v>508720.00880981592</v>
      </c>
      <c r="F24" s="22">
        <f t="shared" si="2"/>
        <v>9.7100000000000009</v>
      </c>
    </row>
    <row r="25" spans="1:6" ht="14.25" customHeight="1" x14ac:dyDescent="0.2">
      <c r="A25" s="20">
        <v>21</v>
      </c>
      <c r="B25" s="172" t="s">
        <v>466</v>
      </c>
      <c r="C25" s="173"/>
      <c r="D25" s="15">
        <f t="shared" si="0"/>
        <v>42668</v>
      </c>
      <c r="E25" s="18">
        <f t="shared" si="1"/>
        <v>293217.78516681737</v>
      </c>
      <c r="F25" s="22">
        <f t="shared" si="2"/>
        <v>6.87</v>
      </c>
    </row>
    <row r="26" spans="1:6" x14ac:dyDescent="0.2">
      <c r="A26" s="20">
        <v>22</v>
      </c>
      <c r="B26" s="172" t="s">
        <v>19</v>
      </c>
      <c r="C26" s="173"/>
      <c r="D26" s="15">
        <f t="shared" si="0"/>
        <v>10864</v>
      </c>
      <c r="E26" s="18">
        <f t="shared" si="1"/>
        <v>194414.60256052084</v>
      </c>
      <c r="F26" s="22">
        <f t="shared" si="2"/>
        <v>17.899999999999999</v>
      </c>
    </row>
    <row r="27" spans="1:6" x14ac:dyDescent="0.2">
      <c r="A27" s="20">
        <v>23</v>
      </c>
      <c r="B27" s="172" t="s">
        <v>20</v>
      </c>
      <c r="C27" s="173"/>
      <c r="D27" s="15">
        <f t="shared" si="0"/>
        <v>146488</v>
      </c>
      <c r="E27" s="18">
        <f t="shared" si="1"/>
        <v>1124293.6218598655</v>
      </c>
      <c r="F27" s="22">
        <f t="shared" si="2"/>
        <v>7.67</v>
      </c>
    </row>
    <row r="28" spans="1:6" x14ac:dyDescent="0.2">
      <c r="A28" s="20">
        <v>24</v>
      </c>
      <c r="B28" s="172" t="s">
        <v>21</v>
      </c>
      <c r="C28" s="173"/>
      <c r="D28" s="15">
        <f t="shared" si="0"/>
        <v>183720</v>
      </c>
      <c r="E28" s="18">
        <f t="shared" si="1"/>
        <v>1506645.6736394414</v>
      </c>
      <c r="F28" s="22">
        <f t="shared" si="2"/>
        <v>8.1999999999999993</v>
      </c>
    </row>
    <row r="29" spans="1:6" x14ac:dyDescent="0.2">
      <c r="A29" s="20">
        <v>25</v>
      </c>
      <c r="B29" s="172" t="s">
        <v>22</v>
      </c>
      <c r="C29" s="173"/>
      <c r="D29" s="15">
        <f t="shared" si="0"/>
        <v>1103712</v>
      </c>
      <c r="E29" s="18">
        <f t="shared" si="1"/>
        <v>6392501.4150660522</v>
      </c>
      <c r="F29" s="22">
        <f t="shared" si="2"/>
        <v>5.79</v>
      </c>
    </row>
    <row r="30" spans="1:6" x14ac:dyDescent="0.2">
      <c r="A30" s="20">
        <v>26</v>
      </c>
      <c r="B30" s="172" t="s">
        <v>23</v>
      </c>
      <c r="C30" s="173"/>
      <c r="D30" s="15">
        <f t="shared" si="0"/>
        <v>183808</v>
      </c>
      <c r="E30" s="18">
        <f t="shared" si="1"/>
        <v>1216154.1799930243</v>
      </c>
      <c r="F30" s="22">
        <f t="shared" si="2"/>
        <v>6.62</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5762890</v>
      </c>
      <c r="E33" s="32">
        <f>SUM(E5:E32)</f>
        <v>44599542.999999993</v>
      </c>
      <c r="F33" s="33">
        <f t="shared" si="2"/>
        <v>7.74</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IF(F3="1",SUMIF(Data!A:A,'8'!$A$2,Data!CU:CU),0)</f>
        <v>72622</v>
      </c>
      <c r="E36" s="16">
        <f>IF(F3="1",SUMIF(Data!$A:$A,'8'!$A$2,Data!IO:IO),0)</f>
        <v>73228</v>
      </c>
      <c r="F36" s="21">
        <f>IF(D36=0,"",ROUND(E36/D36,2))</f>
        <v>1.01</v>
      </c>
    </row>
    <row r="37" spans="1:6" x14ac:dyDescent="0.2">
      <c r="A37" s="20">
        <v>2</v>
      </c>
      <c r="B37" s="172" t="s">
        <v>1</v>
      </c>
      <c r="C37" s="173"/>
      <c r="D37" s="15">
        <f>IF(F3="1",SUMIF(Data!A:A,'8'!$A$2,Data!CV:CV),0)</f>
        <v>107378</v>
      </c>
      <c r="E37" s="18">
        <f>IF(F3="1",SUMIF(Data!$A:$A,'8'!$A$2,Data!IP:IP),0)</f>
        <v>575948</v>
      </c>
      <c r="F37" s="22">
        <f t="shared" ref="F37:F64" si="3">IF(D37=0,"",ROUND(E37/D37,2))</f>
        <v>5.36</v>
      </c>
    </row>
    <row r="38" spans="1:6" ht="14.25" customHeight="1" x14ac:dyDescent="0.2">
      <c r="A38" s="20">
        <v>3</v>
      </c>
      <c r="B38" s="172" t="s">
        <v>2</v>
      </c>
      <c r="C38" s="173"/>
      <c r="D38" s="15">
        <f>IF(F3="1",SUMIF(Data!A:A,'8'!$A$2,Data!CW:CW),0)</f>
        <v>266400</v>
      </c>
      <c r="E38" s="18">
        <f>IF(F3="1",SUMIF(Data!$A:$A,'8'!$A$2,Data!IQ:IQ),0)</f>
        <v>240727</v>
      </c>
      <c r="F38" s="22">
        <f t="shared" si="3"/>
        <v>0.9</v>
      </c>
    </row>
    <row r="39" spans="1:6" ht="14.25" customHeight="1" x14ac:dyDescent="0.2">
      <c r="A39" s="20">
        <v>4</v>
      </c>
      <c r="B39" s="172" t="s">
        <v>3</v>
      </c>
      <c r="C39" s="173"/>
      <c r="D39" s="15">
        <f>IF(F3="1",SUMIF(Data!A:A,'8'!$A$2,Data!CX:CX),0)</f>
        <v>695973</v>
      </c>
      <c r="E39" s="18">
        <f>IF(F3="1",SUMIF(Data!$A:$A,'8'!$A$2,Data!IR:IR),0)</f>
        <v>728389</v>
      </c>
      <c r="F39" s="22">
        <f t="shared" si="3"/>
        <v>1.05</v>
      </c>
    </row>
    <row r="40" spans="1:6" x14ac:dyDescent="0.2">
      <c r="A40" s="20">
        <v>5</v>
      </c>
      <c r="B40" s="172" t="s">
        <v>4</v>
      </c>
      <c r="C40" s="173"/>
      <c r="D40" s="15">
        <f>IF(F3="1",SUMIF(Data!A:A,'8'!$A$2,Data!CY:CY),0)</f>
        <v>18416</v>
      </c>
      <c r="E40" s="18">
        <f>IF(F3="1",SUMIF(Data!$A:$A,'8'!$A$2,Data!IS:IS),0)</f>
        <v>774959</v>
      </c>
      <c r="F40" s="22">
        <f t="shared" si="3"/>
        <v>42.08</v>
      </c>
    </row>
    <row r="41" spans="1:6" x14ac:dyDescent="0.2">
      <c r="A41" s="20">
        <v>6</v>
      </c>
      <c r="B41" s="172" t="s">
        <v>5</v>
      </c>
      <c r="C41" s="173"/>
      <c r="D41" s="15">
        <f>IF(F3="1",SUMIF(Data!A:A,'8'!$A$2,Data!CZ:CZ),0)</f>
        <v>42592</v>
      </c>
      <c r="E41" s="18">
        <f>IF(F3="1",SUMIF(Data!$A:$A,'8'!$A$2,Data!IT:IT),0)</f>
        <v>24890</v>
      </c>
      <c r="F41" s="22">
        <f t="shared" si="3"/>
        <v>0.57999999999999996</v>
      </c>
    </row>
    <row r="42" spans="1:6" x14ac:dyDescent="0.2">
      <c r="A42" s="20">
        <v>7</v>
      </c>
      <c r="B42" s="172" t="s">
        <v>6</v>
      </c>
      <c r="C42" s="173"/>
      <c r="D42" s="15">
        <f>IF(F3="1",SUMIF(Data!A:A,'8'!$A$2,Data!DA:DA),0)</f>
        <v>520772</v>
      </c>
      <c r="E42" s="18">
        <f>IF(F3="1",SUMIF(Data!$A:$A,'8'!$A$2,Data!IU:IU),0)</f>
        <v>4489527</v>
      </c>
      <c r="F42" s="22">
        <f t="shared" si="3"/>
        <v>8.6199999999999992</v>
      </c>
    </row>
    <row r="43" spans="1:6" x14ac:dyDescent="0.2">
      <c r="A43" s="20">
        <v>8</v>
      </c>
      <c r="B43" s="172" t="s">
        <v>7</v>
      </c>
      <c r="C43" s="173"/>
      <c r="D43" s="15">
        <f>IF(F3="1",SUMIF(Data!A:A,'8'!$A$2,Data!DB:DB),0)</f>
        <v>17520</v>
      </c>
      <c r="E43" s="18">
        <f>IF(F3="1",SUMIF(Data!$A:$A,'8'!$A$2,Data!IV:IV),0)</f>
        <v>44440</v>
      </c>
      <c r="F43" s="22">
        <f t="shared" si="3"/>
        <v>2.54</v>
      </c>
    </row>
    <row r="44" spans="1:6" x14ac:dyDescent="0.2">
      <c r="A44" s="20">
        <v>9</v>
      </c>
      <c r="B44" s="172" t="s">
        <v>8</v>
      </c>
      <c r="C44" s="173"/>
      <c r="D44" s="15">
        <f>IF(F3="1",SUMIF(Data!A:A,'8'!$A$2,Data!DC:DC),0)</f>
        <v>293058</v>
      </c>
      <c r="E44" s="18">
        <f>IF(F3="1",SUMIF(Data!$A:$A,'8'!$A$2,Data!IW:IW),0)</f>
        <v>445075</v>
      </c>
      <c r="F44" s="22">
        <f t="shared" si="3"/>
        <v>1.52</v>
      </c>
    </row>
    <row r="45" spans="1:6" x14ac:dyDescent="0.2">
      <c r="A45" s="20">
        <v>10</v>
      </c>
      <c r="B45" s="172" t="s">
        <v>9</v>
      </c>
      <c r="C45" s="173"/>
      <c r="D45" s="15">
        <f>IF(F3="1",SUMIF(Data!A:A,'8'!$A$2,Data!DD:DD),0)</f>
        <v>256</v>
      </c>
      <c r="E45" s="18">
        <f>IF(F3="1",SUMIF(Data!$A:$A,'8'!$A$2,Data!IX:IX),0)</f>
        <v>0</v>
      </c>
      <c r="F45" s="22" t="str">
        <f>IF(E45=0,"",ROUND(E45/D45,2))</f>
        <v/>
      </c>
    </row>
    <row r="46" spans="1:6" x14ac:dyDescent="0.2">
      <c r="A46" s="20">
        <v>11</v>
      </c>
      <c r="B46" s="172" t="s">
        <v>10</v>
      </c>
      <c r="C46" s="173"/>
      <c r="D46" s="15">
        <f>IF(F3="1",SUMIF(Data!A:A,'8'!$A$2,Data!DE:DE),0)</f>
        <v>133206</v>
      </c>
      <c r="E46" s="18">
        <f>IF(F3="1",SUMIF(Data!$A:$A,'8'!$A$2,Data!IY:IY),0)</f>
        <v>27402</v>
      </c>
      <c r="F46" s="22">
        <f t="shared" si="3"/>
        <v>0.21</v>
      </c>
    </row>
    <row r="47" spans="1:6" ht="14.25" customHeight="1" x14ac:dyDescent="0.2">
      <c r="A47" s="20">
        <v>12</v>
      </c>
      <c r="B47" s="172" t="s">
        <v>11</v>
      </c>
      <c r="C47" s="173"/>
      <c r="D47" s="15">
        <f>IF(F3="1",SUMIF(Data!A:A,'8'!$A$2,Data!DF:DF),0)</f>
        <v>792352</v>
      </c>
      <c r="E47" s="18">
        <f>IF(F3="1",SUMIF(Data!$A:$A,'8'!$A$2,Data!IZ:IZ),0)</f>
        <v>389947</v>
      </c>
      <c r="F47" s="22">
        <f t="shared" si="3"/>
        <v>0.49</v>
      </c>
    </row>
    <row r="48" spans="1:6" x14ac:dyDescent="0.2">
      <c r="A48" s="20">
        <v>13</v>
      </c>
      <c r="B48" s="172" t="s">
        <v>12</v>
      </c>
      <c r="C48" s="173"/>
      <c r="D48" s="15">
        <f>IF(F3="1",SUMIF(Data!A:A,'8'!$A$2,Data!DG:DG),0)</f>
        <v>75616</v>
      </c>
      <c r="E48" s="18">
        <f>IF(F3="1",SUMIF(Data!$A:$A,'8'!$A$2,Data!JA:JA),0)</f>
        <v>32877</v>
      </c>
      <c r="F48" s="22">
        <f t="shared" si="3"/>
        <v>0.43</v>
      </c>
    </row>
    <row r="49" spans="1:6" ht="14.25" customHeight="1" x14ac:dyDescent="0.2">
      <c r="A49" s="20">
        <v>14</v>
      </c>
      <c r="B49" s="172" t="s">
        <v>469</v>
      </c>
      <c r="C49" s="173"/>
      <c r="D49" s="15">
        <f>IF(F3="1",SUMIF(Data!A:A,'8'!$A$2,Data!DH:DH),0)</f>
        <v>200300</v>
      </c>
      <c r="E49" s="18">
        <f>IF(F3="1",SUMIF(Data!$A:$A,'8'!$A$2,Data!JB:JB),0)</f>
        <v>362999</v>
      </c>
      <c r="F49" s="22">
        <f t="shared" si="3"/>
        <v>1.81</v>
      </c>
    </row>
    <row r="50" spans="1:6" x14ac:dyDescent="0.2">
      <c r="A50" s="20">
        <v>15</v>
      </c>
      <c r="B50" s="172" t="s">
        <v>13</v>
      </c>
      <c r="C50" s="173"/>
      <c r="D50" s="15">
        <f>IF(F3="1",SUMIF(Data!A:A,'8'!$A$2,Data!DI:DI),0)</f>
        <v>0</v>
      </c>
      <c r="E50" s="18">
        <f>IF(F3="1",SUMIF(Data!$A:$A,'8'!$A$2,Data!JC:JC),0)</f>
        <v>0</v>
      </c>
      <c r="F50" s="22" t="str">
        <f t="shared" si="3"/>
        <v/>
      </c>
    </row>
    <row r="51" spans="1:6" x14ac:dyDescent="0.2">
      <c r="A51" s="20">
        <v>16</v>
      </c>
      <c r="B51" s="172" t="s">
        <v>14</v>
      </c>
      <c r="C51" s="173"/>
      <c r="D51" s="15">
        <f>IF(F3="1",SUMIF(Data!A:A,'8'!$A$2,Data!DJ:DJ),0)</f>
        <v>134728</v>
      </c>
      <c r="E51" s="18">
        <f>IF(F3="1",SUMIF(Data!$A:$A,'8'!$A$2,Data!JD:JD),0)</f>
        <v>268903</v>
      </c>
      <c r="F51" s="22">
        <f t="shared" si="3"/>
        <v>2</v>
      </c>
    </row>
    <row r="52" spans="1:6" x14ac:dyDescent="0.2">
      <c r="A52" s="20">
        <v>17</v>
      </c>
      <c r="B52" s="172" t="s">
        <v>15</v>
      </c>
      <c r="C52" s="173"/>
      <c r="D52" s="15">
        <f>IF(F3="1",SUMIF(Data!A:A,'8'!$A$2,Data!DK:DK),0)</f>
        <v>0</v>
      </c>
      <c r="E52" s="18">
        <f>IF(F3="1",SUMIF(Data!$A:$A,'8'!$A$2,Data!JE:JE),0)</f>
        <v>0</v>
      </c>
      <c r="F52" s="22" t="str">
        <f t="shared" si="3"/>
        <v/>
      </c>
    </row>
    <row r="53" spans="1:6" x14ac:dyDescent="0.2">
      <c r="A53" s="20">
        <v>18</v>
      </c>
      <c r="B53" s="172" t="s">
        <v>16</v>
      </c>
      <c r="C53" s="173"/>
      <c r="D53" s="15">
        <f>IF(F3="1",SUMIF(Data!A:A,'8'!$A$2,Data!DL:DL),0)</f>
        <v>110096</v>
      </c>
      <c r="E53" s="18">
        <f>IF(F3="1",SUMIF(Data!$A:$A,'8'!$A$2,Data!JF:JF),0)</f>
        <v>162285</v>
      </c>
      <c r="F53" s="22">
        <f t="shared" si="3"/>
        <v>1.47</v>
      </c>
    </row>
    <row r="54" spans="1:6" x14ac:dyDescent="0.2">
      <c r="A54" s="20">
        <v>19</v>
      </c>
      <c r="B54" s="172" t="s">
        <v>17</v>
      </c>
      <c r="C54" s="173"/>
      <c r="D54" s="15">
        <f>IF(F3="1",SUMIF(Data!A:A,'8'!$A$2,Data!DM:DM),0)</f>
        <v>557969</v>
      </c>
      <c r="E54" s="18">
        <f>IF(F3="1",SUMIF(Data!$A:$A,'8'!$A$2,Data!JG:JG),0)</f>
        <v>303369</v>
      </c>
      <c r="F54" s="22">
        <f t="shared" si="3"/>
        <v>0.54</v>
      </c>
    </row>
    <row r="55" spans="1:6" x14ac:dyDescent="0.2">
      <c r="A55" s="20">
        <v>20</v>
      </c>
      <c r="B55" s="172" t="s">
        <v>18</v>
      </c>
      <c r="C55" s="173"/>
      <c r="D55" s="15">
        <f>IF(F3="1",SUMIF(Data!A:A,'8'!$A$2,Data!DN:DN),0)</f>
        <v>52376</v>
      </c>
      <c r="E55" s="18">
        <f>IF(F3="1",SUMIF(Data!$A:$A,'8'!$A$2,Data!JH:JH),0)</f>
        <v>179836</v>
      </c>
      <c r="F55" s="22">
        <f t="shared" si="3"/>
        <v>3.43</v>
      </c>
    </row>
    <row r="56" spans="1:6" ht="14.25" customHeight="1" x14ac:dyDescent="0.2">
      <c r="A56" s="20">
        <v>21</v>
      </c>
      <c r="B56" s="172" t="s">
        <v>466</v>
      </c>
      <c r="C56" s="173"/>
      <c r="D56" s="15">
        <f>IF(F3="1",SUMIF(Data!A:A,'8'!$A$2,Data!DO:DO),0)</f>
        <v>42668</v>
      </c>
      <c r="E56" s="18">
        <f>IF(F3="1",SUMIF(Data!$A:$A,'8'!$A$2,Data!JI:JI),0)</f>
        <v>53735</v>
      </c>
      <c r="F56" s="22">
        <f t="shared" si="3"/>
        <v>1.26</v>
      </c>
    </row>
    <row r="57" spans="1:6" x14ac:dyDescent="0.2">
      <c r="A57" s="20">
        <v>22</v>
      </c>
      <c r="B57" s="172" t="s">
        <v>19</v>
      </c>
      <c r="C57" s="173"/>
      <c r="D57" s="15">
        <f>IF(F3="1",SUMIF(Data!A:A,'8'!$A$2,Data!DP:DP),0)</f>
        <v>10864</v>
      </c>
      <c r="E57" s="18">
        <f>IF(F3="1",SUMIF(Data!$A:$A,'8'!$A$2,Data!JJ:JJ),0)</f>
        <v>63697</v>
      </c>
      <c r="F57" s="22">
        <f t="shared" si="3"/>
        <v>5.86</v>
      </c>
    </row>
    <row r="58" spans="1:6" x14ac:dyDescent="0.2">
      <c r="A58" s="20">
        <v>23</v>
      </c>
      <c r="B58" s="172" t="s">
        <v>20</v>
      </c>
      <c r="C58" s="173"/>
      <c r="D58" s="15">
        <f>IF(F3="1",SUMIF(Data!A:A,'8'!$A$2,Data!DQ:DQ),0)</f>
        <v>146488</v>
      </c>
      <c r="E58" s="18">
        <f>IF(F3="1",SUMIF(Data!$A:$A,'8'!$A$2,Data!JK:JK),0)</f>
        <v>257805</v>
      </c>
      <c r="F58" s="22">
        <f t="shared" si="3"/>
        <v>1.76</v>
      </c>
    </row>
    <row r="59" spans="1:6" x14ac:dyDescent="0.2">
      <c r="A59" s="20">
        <v>24</v>
      </c>
      <c r="B59" s="172" t="s">
        <v>21</v>
      </c>
      <c r="C59" s="173"/>
      <c r="D59" s="15">
        <f>IF(F3="1",SUMIF(Data!A:A,'8'!$A$2,Data!DR:DR),0)</f>
        <v>183720</v>
      </c>
      <c r="E59" s="18">
        <f>IF(F3="1",SUMIF(Data!$A:$A,'8'!$A$2,Data!JL:JL),0)</f>
        <v>203765</v>
      </c>
      <c r="F59" s="22">
        <f t="shared" si="3"/>
        <v>1.1100000000000001</v>
      </c>
    </row>
    <row r="60" spans="1:6" x14ac:dyDescent="0.2">
      <c r="A60" s="20">
        <v>25</v>
      </c>
      <c r="B60" s="172" t="s">
        <v>22</v>
      </c>
      <c r="C60" s="173"/>
      <c r="D60" s="15">
        <f>IF(F3="1",SUMIF(Data!A:A,'8'!$A$2,Data!DS:DS),0)</f>
        <v>1103712</v>
      </c>
      <c r="E60" s="18">
        <f>IF(F3="1",SUMIF(Data!$A:$A,'8'!$A$2,Data!JM:JM),0)</f>
        <v>344576</v>
      </c>
      <c r="F60" s="22">
        <f t="shared" si="3"/>
        <v>0.31</v>
      </c>
    </row>
    <row r="61" spans="1:6" x14ac:dyDescent="0.2">
      <c r="A61" s="20">
        <v>26</v>
      </c>
      <c r="B61" s="172" t="s">
        <v>23</v>
      </c>
      <c r="C61" s="173"/>
      <c r="D61" s="15">
        <f>IF(F3="1",SUMIF(Data!A:A,'8'!$A$2,Data!DT:DT),0)</f>
        <v>183808</v>
      </c>
      <c r="E61" s="18">
        <f>IF(F3="1",SUMIF(Data!$A:$A,'8'!$A$2,Data!JN:JN),0)</f>
        <v>139544</v>
      </c>
      <c r="F61" s="22">
        <f t="shared" si="3"/>
        <v>0.76</v>
      </c>
    </row>
    <row r="62" spans="1:6" x14ac:dyDescent="0.2">
      <c r="A62" s="20">
        <v>28</v>
      </c>
      <c r="B62" s="172" t="s">
        <v>24</v>
      </c>
      <c r="C62" s="173"/>
      <c r="D62" s="15">
        <f>IF(F3="1",SUMIF(Data!A:A,'8'!$A$2,Data!DV:DV),0)</f>
        <v>0</v>
      </c>
      <c r="E62" s="18">
        <f>IF(F3="1",SUMIF(Data!$A:$A,'8'!$A$2,Data!JP:JP),0)</f>
        <v>0</v>
      </c>
      <c r="F62" s="22" t="str">
        <f t="shared" si="3"/>
        <v/>
      </c>
    </row>
    <row r="63" spans="1:6" ht="15.75" customHeight="1" thickBot="1" x14ac:dyDescent="0.25">
      <c r="A63" s="23">
        <v>29</v>
      </c>
      <c r="B63" s="174" t="s">
        <v>25</v>
      </c>
      <c r="C63" s="175"/>
      <c r="D63" s="24">
        <f>IF(F3="1",SUMIF(Data!A:A,'8'!$A$2,Data!DW:DW),0)</f>
        <v>0</v>
      </c>
      <c r="E63" s="25">
        <f>IF(F3="1",SUMIF(Data!$A:$A,'8'!$A$2,Data!JQ:JQ),0)</f>
        <v>0</v>
      </c>
      <c r="F63" s="26" t="str">
        <f t="shared" si="3"/>
        <v/>
      </c>
    </row>
    <row r="64" spans="1:6" x14ac:dyDescent="0.2">
      <c r="B64" s="31" t="s">
        <v>35</v>
      </c>
      <c r="C64" s="31"/>
      <c r="D64" s="61">
        <f>SUM(D36:D63)</f>
        <v>5762890</v>
      </c>
      <c r="E64" s="32">
        <f>SUM(E36:E63)</f>
        <v>10187923</v>
      </c>
      <c r="F64" s="33">
        <f t="shared" si="3"/>
        <v>1.77</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72622</v>
      </c>
      <c r="E67" s="16">
        <f>IF(F3="1",SUMIF(Data!A:A,'8'!$A$2,Data!DY:DY),0)</f>
        <v>87639</v>
      </c>
      <c r="F67" s="21">
        <f t="shared" ref="F67:F95" si="4">IF(D67=0,"",ROUND(E67/D67,2))</f>
        <v>1.21</v>
      </c>
    </row>
    <row r="68" spans="1:6" x14ac:dyDescent="0.2">
      <c r="A68" s="20">
        <v>2</v>
      </c>
      <c r="B68" s="172" t="s">
        <v>1</v>
      </c>
      <c r="C68" s="173"/>
      <c r="D68" s="15">
        <f t="shared" ref="D68:D94" si="5">D37</f>
        <v>107378</v>
      </c>
      <c r="E68" s="18">
        <f>IF(F3="1",SUMIF(Data!A:A,'8'!$A$2,Data!DZ:DZ),0)</f>
        <v>444523</v>
      </c>
      <c r="F68" s="22">
        <f t="shared" si="4"/>
        <v>4.1399999999999997</v>
      </c>
    </row>
    <row r="69" spans="1:6" ht="14.25" customHeight="1" x14ac:dyDescent="0.2">
      <c r="A69" s="20">
        <v>3</v>
      </c>
      <c r="B69" s="172" t="s">
        <v>2</v>
      </c>
      <c r="C69" s="173"/>
      <c r="D69" s="15">
        <f t="shared" si="5"/>
        <v>266400</v>
      </c>
      <c r="E69" s="18">
        <f>IF(F3="1",SUMIF(Data!A:A,'8'!$A$2,Data!EA:EA),0)</f>
        <v>882846</v>
      </c>
      <c r="F69" s="22">
        <f t="shared" si="4"/>
        <v>3.31</v>
      </c>
    </row>
    <row r="70" spans="1:6" ht="14.25" customHeight="1" x14ac:dyDescent="0.2">
      <c r="A70" s="20">
        <v>4</v>
      </c>
      <c r="B70" s="172" t="s">
        <v>3</v>
      </c>
      <c r="C70" s="173"/>
      <c r="D70" s="15">
        <f t="shared" si="5"/>
        <v>695973</v>
      </c>
      <c r="E70" s="18">
        <f>IF(F3="1",SUMIF(Data!A:A,'8'!$A$2,Data!EB:EB),0)</f>
        <v>1917759</v>
      </c>
      <c r="F70" s="22">
        <f t="shared" si="4"/>
        <v>2.76</v>
      </c>
    </row>
    <row r="71" spans="1:6" x14ac:dyDescent="0.2">
      <c r="A71" s="20">
        <v>5</v>
      </c>
      <c r="B71" s="172" t="s">
        <v>4</v>
      </c>
      <c r="C71" s="173"/>
      <c r="D71" s="15">
        <f t="shared" si="5"/>
        <v>18416</v>
      </c>
      <c r="E71" s="18">
        <f>IF(F3="1",SUMIF(Data!A:A,'8'!$A$2,Data!EC:EC),0)</f>
        <v>205661</v>
      </c>
      <c r="F71" s="22">
        <f t="shared" si="4"/>
        <v>11.17</v>
      </c>
    </row>
    <row r="72" spans="1:6" x14ac:dyDescent="0.2">
      <c r="A72" s="20">
        <v>6</v>
      </c>
      <c r="B72" s="172" t="s">
        <v>5</v>
      </c>
      <c r="C72" s="173"/>
      <c r="D72" s="15">
        <f t="shared" si="5"/>
        <v>42592</v>
      </c>
      <c r="E72" s="18">
        <f>IF(F3="1",SUMIF(Data!A:A,'8'!$A$2,Data!ED:ED),0)</f>
        <v>163458</v>
      </c>
      <c r="F72" s="22">
        <f t="shared" si="4"/>
        <v>3.84</v>
      </c>
    </row>
    <row r="73" spans="1:6" x14ac:dyDescent="0.2">
      <c r="A73" s="20">
        <v>7</v>
      </c>
      <c r="B73" s="172" t="s">
        <v>6</v>
      </c>
      <c r="C73" s="173"/>
      <c r="D73" s="15">
        <f t="shared" si="5"/>
        <v>520772</v>
      </c>
      <c r="E73" s="18">
        <f>IF(F3="1",SUMIF(Data!A:A,'8'!$A$2,Data!EE:EE),0)</f>
        <v>1602308</v>
      </c>
      <c r="F73" s="22">
        <f t="shared" si="4"/>
        <v>3.08</v>
      </c>
    </row>
    <row r="74" spans="1:6" x14ac:dyDescent="0.2">
      <c r="A74" s="20">
        <v>8</v>
      </c>
      <c r="B74" s="172" t="s">
        <v>7</v>
      </c>
      <c r="C74" s="173"/>
      <c r="D74" s="15">
        <f t="shared" si="5"/>
        <v>17520</v>
      </c>
      <c r="E74" s="18">
        <f>IF(F3="1",SUMIF(Data!A:A,'8'!$A$2,Data!EF:EF),0)</f>
        <v>60653</v>
      </c>
      <c r="F74" s="22">
        <f t="shared" si="4"/>
        <v>3.46</v>
      </c>
    </row>
    <row r="75" spans="1:6" x14ac:dyDescent="0.2">
      <c r="A75" s="20">
        <v>9</v>
      </c>
      <c r="B75" s="172" t="s">
        <v>8</v>
      </c>
      <c r="C75" s="173"/>
      <c r="D75" s="15">
        <f t="shared" si="5"/>
        <v>293058</v>
      </c>
      <c r="E75" s="18">
        <f>IF(F3="1",SUMIF(Data!A:A,'8'!$A$2,Data!EG:EG),0)</f>
        <v>280725</v>
      </c>
      <c r="F75" s="22">
        <f t="shared" si="4"/>
        <v>0.96</v>
      </c>
    </row>
    <row r="76" spans="1:6" x14ac:dyDescent="0.2">
      <c r="A76" s="20">
        <v>10</v>
      </c>
      <c r="B76" s="172" t="s">
        <v>9</v>
      </c>
      <c r="C76" s="173"/>
      <c r="D76" s="15">
        <f t="shared" si="5"/>
        <v>256</v>
      </c>
      <c r="E76" s="18">
        <f>IF(F3="1",SUMIF(Data!A:A,'8'!$A$2,Data!EH:EH),0)</f>
        <v>0</v>
      </c>
      <c r="F76" s="22" t="str">
        <f>IF(E76=0,"",ROUND(E76/D76,2))</f>
        <v/>
      </c>
    </row>
    <row r="77" spans="1:6" x14ac:dyDescent="0.2">
      <c r="A77" s="20">
        <v>11</v>
      </c>
      <c r="B77" s="172" t="s">
        <v>10</v>
      </c>
      <c r="C77" s="173"/>
      <c r="D77" s="15">
        <f t="shared" si="5"/>
        <v>133206</v>
      </c>
      <c r="E77" s="18">
        <f>IF(F3="1",SUMIF(Data!A:A,'8'!$A$2,Data!EI:EI),0)</f>
        <v>36138</v>
      </c>
      <c r="F77" s="22">
        <f t="shared" si="4"/>
        <v>0.27</v>
      </c>
    </row>
    <row r="78" spans="1:6" ht="14.25" customHeight="1" x14ac:dyDescent="0.2">
      <c r="A78" s="20">
        <v>12</v>
      </c>
      <c r="B78" s="172" t="s">
        <v>11</v>
      </c>
      <c r="C78" s="173"/>
      <c r="D78" s="15">
        <f t="shared" si="5"/>
        <v>792352</v>
      </c>
      <c r="E78" s="18">
        <f>IF(F3="1",SUMIF(Data!A:A,'8'!$A$2,Data!EJ:EJ),0)</f>
        <v>2560844</v>
      </c>
      <c r="F78" s="22">
        <f t="shared" si="4"/>
        <v>3.23</v>
      </c>
    </row>
    <row r="79" spans="1:6" x14ac:dyDescent="0.2">
      <c r="A79" s="20">
        <v>13</v>
      </c>
      <c r="B79" s="172" t="s">
        <v>12</v>
      </c>
      <c r="C79" s="173"/>
      <c r="D79" s="15">
        <f t="shared" si="5"/>
        <v>75616</v>
      </c>
      <c r="E79" s="18">
        <f>IF(F3="1",SUMIF(Data!A:A,'8'!$A$2,Data!EK:EK),0)</f>
        <v>299174</v>
      </c>
      <c r="F79" s="22">
        <f t="shared" si="4"/>
        <v>3.96</v>
      </c>
    </row>
    <row r="80" spans="1:6" ht="14.25" customHeight="1" x14ac:dyDescent="0.2">
      <c r="A80" s="20">
        <v>14</v>
      </c>
      <c r="B80" s="172" t="s">
        <v>469</v>
      </c>
      <c r="C80" s="173"/>
      <c r="D80" s="15">
        <f t="shared" si="5"/>
        <v>200300</v>
      </c>
      <c r="E80" s="18">
        <f>IF(F3="1",SUMIF(Data!A:A,'8'!$A$2,Data!EL:EL),0)</f>
        <v>1387851</v>
      </c>
      <c r="F80" s="22">
        <f t="shared" si="4"/>
        <v>6.93</v>
      </c>
    </row>
    <row r="81" spans="1:6" x14ac:dyDescent="0.2">
      <c r="A81" s="20">
        <v>15</v>
      </c>
      <c r="B81" s="172" t="s">
        <v>13</v>
      </c>
      <c r="C81" s="173"/>
      <c r="D81" s="15">
        <f t="shared" si="5"/>
        <v>0</v>
      </c>
      <c r="E81" s="18">
        <f>IF(F3="1",SUMIF(Data!A:A,'8'!$A$2,Data!EM:EM),0)</f>
        <v>0</v>
      </c>
      <c r="F81" s="22" t="str">
        <f t="shared" si="4"/>
        <v/>
      </c>
    </row>
    <row r="82" spans="1:6" x14ac:dyDescent="0.2">
      <c r="A82" s="20">
        <v>16</v>
      </c>
      <c r="B82" s="172" t="s">
        <v>14</v>
      </c>
      <c r="C82" s="173"/>
      <c r="D82" s="15">
        <f t="shared" si="5"/>
        <v>134728</v>
      </c>
      <c r="E82" s="18">
        <f>IF(F3="1",SUMIF(Data!A:A,'8'!$A$2,Data!EN:EN),0)</f>
        <v>614957</v>
      </c>
      <c r="F82" s="22">
        <f t="shared" si="4"/>
        <v>4.5599999999999996</v>
      </c>
    </row>
    <row r="83" spans="1:6" x14ac:dyDescent="0.2">
      <c r="A83" s="20">
        <v>17</v>
      </c>
      <c r="B83" s="172" t="s">
        <v>15</v>
      </c>
      <c r="C83" s="173"/>
      <c r="D83" s="15">
        <f t="shared" si="5"/>
        <v>0</v>
      </c>
      <c r="E83" s="18">
        <f>IF(F3="1",SUMIF(Data!A:A,'8'!$A$2,Data!EO:EO),0)</f>
        <v>0</v>
      </c>
      <c r="F83" s="22" t="str">
        <f t="shared" si="4"/>
        <v/>
      </c>
    </row>
    <row r="84" spans="1:6" x14ac:dyDescent="0.2">
      <c r="A84" s="20">
        <v>18</v>
      </c>
      <c r="B84" s="172" t="s">
        <v>16</v>
      </c>
      <c r="C84" s="173"/>
      <c r="D84" s="15">
        <f t="shared" si="5"/>
        <v>110096</v>
      </c>
      <c r="E84" s="18">
        <f>IF(F3="1",SUMIF(Data!A:A,'8'!$A$2,Data!EP:EP),0)</f>
        <v>512352</v>
      </c>
      <c r="F84" s="22">
        <f t="shared" si="4"/>
        <v>4.6500000000000004</v>
      </c>
    </row>
    <row r="85" spans="1:6" x14ac:dyDescent="0.2">
      <c r="A85" s="20">
        <v>19</v>
      </c>
      <c r="B85" s="172" t="s">
        <v>17</v>
      </c>
      <c r="C85" s="173"/>
      <c r="D85" s="15">
        <f t="shared" si="5"/>
        <v>557969</v>
      </c>
      <c r="E85" s="18">
        <f>IF(F3="1",SUMIF(Data!A:A,'8'!$A$2,Data!EQ:EQ),0)</f>
        <v>1312540</v>
      </c>
      <c r="F85" s="22">
        <f t="shared" si="4"/>
        <v>2.35</v>
      </c>
    </row>
    <row r="86" spans="1:6" x14ac:dyDescent="0.2">
      <c r="A86" s="20">
        <v>20</v>
      </c>
      <c r="B86" s="172" t="s">
        <v>18</v>
      </c>
      <c r="C86" s="173"/>
      <c r="D86" s="15">
        <f t="shared" si="5"/>
        <v>52376</v>
      </c>
      <c r="E86" s="18">
        <f>IF(F3="1",SUMIF(Data!A:A,'8'!$A$2,Data!ER:ER),0)</f>
        <v>172645</v>
      </c>
      <c r="F86" s="22">
        <f t="shared" si="4"/>
        <v>3.3</v>
      </c>
    </row>
    <row r="87" spans="1:6" ht="14.25" customHeight="1" x14ac:dyDescent="0.2">
      <c r="A87" s="20">
        <v>21</v>
      </c>
      <c r="B87" s="172" t="s">
        <v>466</v>
      </c>
      <c r="C87" s="173"/>
      <c r="D87" s="15">
        <f t="shared" si="5"/>
        <v>42668</v>
      </c>
      <c r="E87" s="18">
        <f>IF(F3="1",SUMIF(Data!A:A,'8'!$A$2,Data!ES:ES),0)</f>
        <v>112203</v>
      </c>
      <c r="F87" s="22">
        <f t="shared" si="4"/>
        <v>2.63</v>
      </c>
    </row>
    <row r="88" spans="1:6" x14ac:dyDescent="0.2">
      <c r="A88" s="20">
        <v>22</v>
      </c>
      <c r="B88" s="172" t="s">
        <v>19</v>
      </c>
      <c r="C88" s="173"/>
      <c r="D88" s="15">
        <f t="shared" si="5"/>
        <v>10864</v>
      </c>
      <c r="E88" s="18">
        <f>IF(F3="1",SUMIF(Data!A:A,'8'!$A$2,Data!ET:ET),0)</f>
        <v>98310</v>
      </c>
      <c r="F88" s="22">
        <f t="shared" si="4"/>
        <v>9.0500000000000007</v>
      </c>
    </row>
    <row r="89" spans="1:6" x14ac:dyDescent="0.2">
      <c r="A89" s="20">
        <v>23</v>
      </c>
      <c r="B89" s="172" t="s">
        <v>20</v>
      </c>
      <c r="C89" s="173"/>
      <c r="D89" s="15">
        <f t="shared" si="5"/>
        <v>146488</v>
      </c>
      <c r="E89" s="18">
        <f>IF(F3="1",SUMIF(Data!A:A,'8'!$A$2,Data!EU:EU),0)</f>
        <v>429511</v>
      </c>
      <c r="F89" s="22">
        <f t="shared" si="4"/>
        <v>2.93</v>
      </c>
    </row>
    <row r="90" spans="1:6" x14ac:dyDescent="0.2">
      <c r="A90" s="20">
        <v>24</v>
      </c>
      <c r="B90" s="172" t="s">
        <v>21</v>
      </c>
      <c r="C90" s="173"/>
      <c r="D90" s="15">
        <f t="shared" si="5"/>
        <v>183720</v>
      </c>
      <c r="E90" s="18">
        <f>IF(F3="1",SUMIF(Data!A:A,'8'!$A$2,Data!EV:EV),0)</f>
        <v>754839</v>
      </c>
      <c r="F90" s="22">
        <f t="shared" si="4"/>
        <v>4.1100000000000003</v>
      </c>
    </row>
    <row r="91" spans="1:6" x14ac:dyDescent="0.2">
      <c r="A91" s="20">
        <v>25</v>
      </c>
      <c r="B91" s="172" t="s">
        <v>22</v>
      </c>
      <c r="C91" s="173"/>
      <c r="D91" s="15">
        <f t="shared" si="5"/>
        <v>1103712</v>
      </c>
      <c r="E91" s="18">
        <f>IF(F3="1",SUMIF(Data!A:A,'8'!$A$2,Data!EW:EW),0)</f>
        <v>2755523</v>
      </c>
      <c r="F91" s="22">
        <f t="shared" si="4"/>
        <v>2.5</v>
      </c>
    </row>
    <row r="92" spans="1:6" x14ac:dyDescent="0.2">
      <c r="A92" s="20">
        <v>26</v>
      </c>
      <c r="B92" s="172" t="s">
        <v>23</v>
      </c>
      <c r="C92" s="173"/>
      <c r="D92" s="15">
        <f t="shared" si="5"/>
        <v>183808</v>
      </c>
      <c r="E92" s="18">
        <f>IF(F3="1",SUMIF(Data!A:A,'8'!$A$2,Data!EX:EX),0)</f>
        <v>528306</v>
      </c>
      <c r="F92" s="22">
        <f t="shared" si="4"/>
        <v>2.87</v>
      </c>
    </row>
    <row r="93" spans="1:6" x14ac:dyDescent="0.2">
      <c r="A93" s="20">
        <v>28</v>
      </c>
      <c r="B93" s="172" t="s">
        <v>24</v>
      </c>
      <c r="C93" s="173"/>
      <c r="D93" s="15">
        <f t="shared" si="5"/>
        <v>0</v>
      </c>
      <c r="E93" s="18">
        <f>IF(F3="1",SUMIF(Data!A:A,'8'!$A$2,Data!EZ:EZ),0)</f>
        <v>0</v>
      </c>
      <c r="F93" s="22" t="str">
        <f t="shared" si="4"/>
        <v/>
      </c>
    </row>
    <row r="94" spans="1:6" ht="15.75" customHeight="1" thickBot="1" x14ac:dyDescent="0.25">
      <c r="A94" s="23">
        <v>29</v>
      </c>
      <c r="B94" s="174" t="s">
        <v>25</v>
      </c>
      <c r="C94" s="175"/>
      <c r="D94" s="24">
        <f t="shared" si="5"/>
        <v>0</v>
      </c>
      <c r="E94" s="25">
        <f>IF(F3="1",SUMIF(Data!A:A,'8'!$A$2,Data!FA:FA),0)</f>
        <v>0</v>
      </c>
      <c r="F94" s="26" t="str">
        <f t="shared" si="4"/>
        <v/>
      </c>
    </row>
    <row r="95" spans="1:6" x14ac:dyDescent="0.2">
      <c r="B95" s="31" t="s">
        <v>35</v>
      </c>
      <c r="C95" s="31"/>
      <c r="D95" s="61">
        <f>SUM(D67:D94)</f>
        <v>5762890</v>
      </c>
      <c r="E95" s="32">
        <f>SUM(E67:E94)</f>
        <v>17220765</v>
      </c>
      <c r="F95" s="33">
        <f t="shared" si="4"/>
        <v>2.99</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IF(F3="1",SUMIF(Data!A:A,'8'!$A$2,Data!AH:AH),0)</f>
        <v>8892486</v>
      </c>
      <c r="F98" s="21">
        <f>IF($D$105=0,"",ROUND(E98/$D$105,2))</f>
        <v>1.54</v>
      </c>
    </row>
    <row r="99" spans="2:6" x14ac:dyDescent="0.2">
      <c r="B99" s="178" t="s">
        <v>31</v>
      </c>
      <c r="C99" s="179"/>
      <c r="D99" s="37"/>
      <c r="E99" s="18">
        <f>IF(F3="1",SUMIF(Data!A:A,'8'!$A$2,Data!AI:AI),0)</f>
        <v>3770948</v>
      </c>
      <c r="F99" s="22">
        <f t="shared" ref="F99:F105" si="6">IF($D$105=0,"",ROUND(E99/$D$105,2))</f>
        <v>0.65</v>
      </c>
    </row>
    <row r="100" spans="2:6" x14ac:dyDescent="0.2">
      <c r="B100" s="178" t="s">
        <v>32</v>
      </c>
      <c r="C100" s="179"/>
      <c r="D100" s="37"/>
      <c r="E100" s="18">
        <f>IF(F3="1",SUMIF(Data!A:A,'8'!$A$2,Data!AJ:AJ),0)</f>
        <v>2099568</v>
      </c>
      <c r="F100" s="22">
        <f t="shared" si="6"/>
        <v>0.36</v>
      </c>
    </row>
    <row r="101" spans="2:6" x14ac:dyDescent="0.2">
      <c r="B101" s="178" t="s">
        <v>28</v>
      </c>
      <c r="C101" s="179"/>
      <c r="D101" s="37"/>
      <c r="E101" s="18">
        <f>IF(F3="1",SUMIF(Data!A:A,'8'!$A$2,Data!AK:AK),0)</f>
        <v>0</v>
      </c>
      <c r="F101" s="22">
        <f t="shared" si="6"/>
        <v>0</v>
      </c>
    </row>
    <row r="102" spans="2:6" x14ac:dyDescent="0.2">
      <c r="B102" s="178" t="s">
        <v>33</v>
      </c>
      <c r="C102" s="179"/>
      <c r="D102" s="37"/>
      <c r="E102" s="18">
        <f>IF(F3="1",SUMIF(Data!A:A,'8'!$A$2,Data!AL:AL),0)</f>
        <v>0</v>
      </c>
      <c r="F102" s="22">
        <f t="shared" si="6"/>
        <v>0</v>
      </c>
    </row>
    <row r="103" spans="2:6" x14ac:dyDescent="0.2">
      <c r="B103" s="180" t="s">
        <v>34</v>
      </c>
      <c r="C103" s="181"/>
      <c r="D103" s="37"/>
      <c r="E103" s="18">
        <f>IF(F3="1",SUMIF(Data!A:A,'8'!$A$2,Data!AM:AM),0)</f>
        <v>889961</v>
      </c>
      <c r="F103" s="22">
        <f t="shared" si="6"/>
        <v>0.15</v>
      </c>
    </row>
    <row r="104" spans="2:6" ht="15.75" customHeight="1" thickBot="1" x14ac:dyDescent="0.25">
      <c r="B104" s="170" t="s">
        <v>29</v>
      </c>
      <c r="C104" s="171"/>
      <c r="D104" s="38"/>
      <c r="E104" s="25">
        <f>IF(F3="1",SUMIF(Data!A:A,'8'!$A$2,Data!Q:Q),0)</f>
        <v>1537892</v>
      </c>
      <c r="F104" s="26">
        <f t="shared" si="6"/>
        <v>0.27</v>
      </c>
    </row>
    <row r="105" spans="2:6" x14ac:dyDescent="0.2">
      <c r="B105" s="31" t="s">
        <v>35</v>
      </c>
      <c r="C105" s="31"/>
      <c r="D105" s="35">
        <f>D95</f>
        <v>5762890</v>
      </c>
      <c r="E105" s="32">
        <f>SUM(E98:E104)</f>
        <v>17190855</v>
      </c>
      <c r="F105" s="33">
        <f t="shared" si="6"/>
        <v>2.98</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19123375</v>
      </c>
      <c r="D109" s="16">
        <f>IF(F3="1",SUMIF(Data!$A:$A,$A$2,Data!HJ:HJ),0)</f>
        <v>1994188</v>
      </c>
      <c r="E109" s="16">
        <f>IF(F3="1",SUMIF(Data!$A:$A,$A$2,Data!IN:IN),0)</f>
        <v>6296040</v>
      </c>
      <c r="F109" s="48">
        <f>SUM(C109:E109)</f>
        <v>27413603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29450719</v>
      </c>
      <c r="D111" s="52"/>
      <c r="E111" s="51">
        <f>IF(F3="1",SUMIF(Data!A:A,$A$2,Data!AX:AX),0)</f>
        <v>18959436</v>
      </c>
      <c r="F111" s="49">
        <f t="shared" si="7"/>
        <v>48410155</v>
      </c>
    </row>
    <row r="112" spans="2:6" x14ac:dyDescent="0.2">
      <c r="B112" s="43" t="s">
        <v>32</v>
      </c>
      <c r="C112" s="51">
        <f>IF(F3="1",SUMIF(Data!A:A,$A$2,Data!V:V),0)</f>
        <v>1621718</v>
      </c>
      <c r="D112" s="52"/>
      <c r="E112" s="51">
        <f>IF(F3="1",SUMIF(Data!A:A,$A$2,Data!AC:AC),0)</f>
        <v>477850</v>
      </c>
      <c r="F112" s="49">
        <f t="shared" si="7"/>
        <v>2099568</v>
      </c>
    </row>
    <row r="113" spans="1:6" x14ac:dyDescent="0.2">
      <c r="B113" s="43" t="s">
        <v>31</v>
      </c>
      <c r="C113" s="51">
        <f>IF(F3="1",SUMIF(Data!A:A,$A$2,Data!U:U),0)</f>
        <v>3294261</v>
      </c>
      <c r="D113" s="52"/>
      <c r="E113" s="51">
        <f>IF(F3="1",SUMIF(Data!A:A,$A$2,Data!AB:AB),0)</f>
        <v>476687</v>
      </c>
      <c r="F113" s="49">
        <f t="shared" si="7"/>
        <v>3770948</v>
      </c>
    </row>
    <row r="114" spans="1:6" x14ac:dyDescent="0.2">
      <c r="B114" s="43" t="s">
        <v>1021</v>
      </c>
      <c r="C114" s="51">
        <f>IF(F3="1",SUMIF(Data!A:A,$A$2,Data!T:T),0)</f>
        <v>5385646</v>
      </c>
      <c r="D114" s="52"/>
      <c r="E114" s="51">
        <f>IF(F3="1",SUMIF(Data!A:A,$A$2,Data!AA:AA),0)</f>
        <v>3506840</v>
      </c>
      <c r="F114" s="49">
        <f t="shared" si="7"/>
        <v>8892486</v>
      </c>
    </row>
    <row r="115" spans="1:6" x14ac:dyDescent="0.2">
      <c r="B115" s="43" t="s">
        <v>937</v>
      </c>
      <c r="C115" s="51">
        <f>IF(F3="1",SUMIF(Data!A:A,$A$2,Data!BI:BI),0)</f>
        <v>2393161</v>
      </c>
      <c r="D115" s="51">
        <f>IF(F3="1",SUMIF(Data!A:A,$A$2,Data!BL:BL),0)</f>
        <v>791231</v>
      </c>
      <c r="E115" s="51">
        <f>IF(F3="1",SUMIF(Data!A:A,$A$2,Data!BU:BU),0)</f>
        <v>4566653</v>
      </c>
      <c r="F115" s="49">
        <f t="shared" si="7"/>
        <v>7751045</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1537892</v>
      </c>
      <c r="E117" s="53"/>
      <c r="F117" s="50">
        <f>SUM(C117:E117)</f>
        <v>1537892</v>
      </c>
    </row>
    <row r="118" spans="1:6" x14ac:dyDescent="0.2">
      <c r="B118" s="14" t="s">
        <v>35</v>
      </c>
      <c r="C118" s="5">
        <f>SUM(C109:C116)</f>
        <v>61268880</v>
      </c>
      <c r="D118" s="5">
        <f>SUM(D109:D116)</f>
        <v>2785419</v>
      </c>
      <c r="E118" s="5">
        <f>SUM(E109:E116)</f>
        <v>34283506</v>
      </c>
      <c r="F118" s="5">
        <f>SUM(F109:F116)</f>
        <v>98337805</v>
      </c>
    </row>
    <row r="119" spans="1:6" ht="15" thickBot="1" x14ac:dyDescent="0.25"/>
    <row r="120" spans="1:6" ht="15" thickBot="1" x14ac:dyDescent="0.25">
      <c r="B120" s="57" t="s">
        <v>942</v>
      </c>
      <c r="C120" s="55"/>
      <c r="D120" s="55"/>
      <c r="E120" s="55">
        <f>IF(F3="1",SUMIF(Data!A:A,'8'!$A$2,Data!AM:AM),0)</f>
        <v>889961</v>
      </c>
      <c r="F120" s="56">
        <f>SUM(C120:E120)</f>
        <v>889961</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2.140625" style="11" bestFit="1" customWidth="1"/>
    <col min="13" max="13" width="10.57031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358</v>
      </c>
      <c r="B2" s="60" t="str">
        <f>VLOOKUP(A2,Data!A:G,7,0)</f>
        <v>Cisco Junior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7360</v>
      </c>
      <c r="E5" s="16">
        <f>E36+E67+IFERROR($E$105/$D$105*D5,0)</f>
        <v>72773.29885383854</v>
      </c>
      <c r="F5" s="21">
        <f>IF(OR(D5=0,E5=0),"",ROUND(E5/D5,2))</f>
        <v>9.89</v>
      </c>
    </row>
    <row r="6" spans="1:6" x14ac:dyDescent="0.2">
      <c r="A6" s="20">
        <v>2</v>
      </c>
      <c r="B6" s="172" t="s">
        <v>1</v>
      </c>
      <c r="C6" s="173"/>
      <c r="D6" s="15">
        <f t="shared" ref="D6:D32" si="0">D37</f>
        <v>18256</v>
      </c>
      <c r="E6" s="18">
        <f t="shared" ref="E6:E32" si="1">E37+E68+IFERROR($E$105/$D$105*D6,0)</f>
        <v>110375.42607006471</v>
      </c>
      <c r="F6" s="22">
        <f t="shared" ref="F6:F33" si="2">IF(OR(D6=0,E6=0),"",ROUND(E6/D6,2))</f>
        <v>6.05</v>
      </c>
    </row>
    <row r="7" spans="1:6" ht="14.25" customHeight="1" x14ac:dyDescent="0.2">
      <c r="A7" s="20">
        <v>3</v>
      </c>
      <c r="B7" s="172" t="s">
        <v>2</v>
      </c>
      <c r="C7" s="173"/>
      <c r="D7" s="15">
        <f t="shared" si="0"/>
        <v>186544</v>
      </c>
      <c r="E7" s="18">
        <f t="shared" si="1"/>
        <v>893181.97681935551</v>
      </c>
      <c r="F7" s="22">
        <f t="shared" si="2"/>
        <v>4.79</v>
      </c>
    </row>
    <row r="8" spans="1:6" ht="14.25" customHeight="1" x14ac:dyDescent="0.2">
      <c r="A8" s="20">
        <v>4</v>
      </c>
      <c r="B8" s="172" t="s">
        <v>3</v>
      </c>
      <c r="C8" s="173"/>
      <c r="D8" s="15">
        <f t="shared" si="0"/>
        <v>110768</v>
      </c>
      <c r="E8" s="18">
        <f t="shared" si="1"/>
        <v>534584.24775026995</v>
      </c>
      <c r="F8" s="22">
        <f t="shared" si="2"/>
        <v>4.83</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0</v>
      </c>
      <c r="E10" s="18">
        <f t="shared" si="1"/>
        <v>0</v>
      </c>
      <c r="F10" s="22" t="str">
        <f t="shared" si="2"/>
        <v/>
      </c>
    </row>
    <row r="11" spans="1:6" x14ac:dyDescent="0.2">
      <c r="A11" s="20">
        <v>7</v>
      </c>
      <c r="B11" s="172" t="s">
        <v>6</v>
      </c>
      <c r="C11" s="173"/>
      <c r="D11" s="15">
        <f t="shared" si="0"/>
        <v>11143</v>
      </c>
      <c r="E11" s="18">
        <f t="shared" si="1"/>
        <v>196140.61890330474</v>
      </c>
      <c r="F11" s="22">
        <f t="shared" si="2"/>
        <v>17.600000000000001</v>
      </c>
    </row>
    <row r="12" spans="1:6" x14ac:dyDescent="0.2">
      <c r="A12" s="20">
        <v>8</v>
      </c>
      <c r="B12" s="172" t="s">
        <v>7</v>
      </c>
      <c r="C12" s="173"/>
      <c r="D12" s="15">
        <f t="shared" si="0"/>
        <v>3360</v>
      </c>
      <c r="E12" s="18">
        <f t="shared" si="1"/>
        <v>20094.15817240455</v>
      </c>
      <c r="F12" s="22">
        <f t="shared" si="2"/>
        <v>5.98</v>
      </c>
    </row>
    <row r="13" spans="1:6" x14ac:dyDescent="0.2">
      <c r="A13" s="20">
        <v>9</v>
      </c>
      <c r="B13" s="172" t="s">
        <v>8</v>
      </c>
      <c r="C13" s="173"/>
      <c r="D13" s="15">
        <f t="shared" si="0"/>
        <v>61061</v>
      </c>
      <c r="E13" s="18">
        <f t="shared" si="1"/>
        <v>323805.0765372602</v>
      </c>
      <c r="F13" s="22">
        <f t="shared" si="2"/>
        <v>5.3</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3632</v>
      </c>
      <c r="E15" s="18">
        <f t="shared" si="1"/>
        <v>22552.375738742063</v>
      </c>
      <c r="F15" s="22">
        <f t="shared" si="2"/>
        <v>6.21</v>
      </c>
    </row>
    <row r="16" spans="1:6" ht="14.25" customHeight="1" x14ac:dyDescent="0.2">
      <c r="A16" s="20">
        <v>12</v>
      </c>
      <c r="B16" s="172" t="s">
        <v>11</v>
      </c>
      <c r="C16" s="173"/>
      <c r="D16" s="15">
        <f t="shared" si="0"/>
        <v>230640</v>
      </c>
      <c r="E16" s="18">
        <f t="shared" si="1"/>
        <v>1339942.0716914837</v>
      </c>
      <c r="F16" s="22">
        <f t="shared" si="2"/>
        <v>5.81</v>
      </c>
    </row>
    <row r="17" spans="1:6" x14ac:dyDescent="0.2">
      <c r="A17" s="20">
        <v>13</v>
      </c>
      <c r="B17" s="172" t="s">
        <v>12</v>
      </c>
      <c r="C17" s="173"/>
      <c r="D17" s="15">
        <f t="shared" si="0"/>
        <v>24528</v>
      </c>
      <c r="E17" s="18">
        <f t="shared" si="1"/>
        <v>127650.85465855322</v>
      </c>
      <c r="F17" s="22">
        <f t="shared" si="2"/>
        <v>5.2</v>
      </c>
    </row>
    <row r="18" spans="1:6" ht="14.25" customHeight="1" x14ac:dyDescent="0.2">
      <c r="A18" s="20">
        <v>14</v>
      </c>
      <c r="B18" s="172" t="s">
        <v>469</v>
      </c>
      <c r="C18" s="173"/>
      <c r="D18" s="15">
        <f t="shared" si="0"/>
        <v>57776</v>
      </c>
      <c r="E18" s="18">
        <f t="shared" si="1"/>
        <v>377219.09600263252</v>
      </c>
      <c r="F18" s="22">
        <f t="shared" si="2"/>
        <v>6.53</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78688</v>
      </c>
      <c r="E20" s="18">
        <f t="shared" si="1"/>
        <v>346629.99948516942</v>
      </c>
      <c r="F20" s="22">
        <f t="shared" si="2"/>
        <v>4.41</v>
      </c>
    </row>
    <row r="21" spans="1:6" x14ac:dyDescent="0.2">
      <c r="A21" s="20">
        <v>17</v>
      </c>
      <c r="B21" s="172" t="s">
        <v>15</v>
      </c>
      <c r="C21" s="173"/>
      <c r="D21" s="15">
        <f t="shared" si="0"/>
        <v>8944</v>
      </c>
      <c r="E21" s="18">
        <f t="shared" si="1"/>
        <v>169356.33056368641</v>
      </c>
      <c r="F21" s="22">
        <f t="shared" si="2"/>
        <v>18.940000000000001</v>
      </c>
    </row>
    <row r="22" spans="1:6" x14ac:dyDescent="0.2">
      <c r="A22" s="20">
        <v>18</v>
      </c>
      <c r="B22" s="172" t="s">
        <v>16</v>
      </c>
      <c r="C22" s="173"/>
      <c r="D22" s="15">
        <f t="shared" si="0"/>
        <v>97248</v>
      </c>
      <c r="E22" s="18">
        <f t="shared" si="1"/>
        <v>705726.49224702315</v>
      </c>
      <c r="F22" s="22">
        <f t="shared" si="2"/>
        <v>7.26</v>
      </c>
    </row>
    <row r="23" spans="1:6" x14ac:dyDescent="0.2">
      <c r="A23" s="20">
        <v>19</v>
      </c>
      <c r="B23" s="172" t="s">
        <v>17</v>
      </c>
      <c r="C23" s="173"/>
      <c r="D23" s="15">
        <f t="shared" si="0"/>
        <v>148064</v>
      </c>
      <c r="E23" s="18">
        <f t="shared" si="1"/>
        <v>880579.90346396051</v>
      </c>
      <c r="F23" s="22">
        <f t="shared" si="2"/>
        <v>5.95</v>
      </c>
    </row>
    <row r="24" spans="1:6" x14ac:dyDescent="0.2">
      <c r="A24" s="20">
        <v>20</v>
      </c>
      <c r="B24" s="172" t="s">
        <v>18</v>
      </c>
      <c r="C24" s="173"/>
      <c r="D24" s="15">
        <f t="shared" si="0"/>
        <v>23808</v>
      </c>
      <c r="E24" s="18">
        <f t="shared" si="1"/>
        <v>184884.74933589509</v>
      </c>
      <c r="F24" s="22">
        <f t="shared" si="2"/>
        <v>7.77</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0</v>
      </c>
      <c r="E26" s="18">
        <f t="shared" si="1"/>
        <v>0</v>
      </c>
      <c r="F26" s="22" t="str">
        <f t="shared" si="2"/>
        <v/>
      </c>
    </row>
    <row r="27" spans="1:6" x14ac:dyDescent="0.2">
      <c r="A27" s="20">
        <v>23</v>
      </c>
      <c r="B27" s="172" t="s">
        <v>20</v>
      </c>
      <c r="C27" s="173"/>
      <c r="D27" s="15">
        <f t="shared" si="0"/>
        <v>67840</v>
      </c>
      <c r="E27" s="18">
        <f t="shared" si="1"/>
        <v>697625.14595712046</v>
      </c>
      <c r="F27" s="22">
        <f t="shared" si="2"/>
        <v>10.28</v>
      </c>
    </row>
    <row r="28" spans="1:6" x14ac:dyDescent="0.2">
      <c r="A28" s="20">
        <v>24</v>
      </c>
      <c r="B28" s="172" t="s">
        <v>21</v>
      </c>
      <c r="C28" s="173"/>
      <c r="D28" s="15">
        <f t="shared" si="0"/>
        <v>22704</v>
      </c>
      <c r="E28" s="18">
        <f t="shared" si="1"/>
        <v>197963.45450781932</v>
      </c>
      <c r="F28" s="22">
        <f t="shared" si="2"/>
        <v>8.7200000000000006</v>
      </c>
    </row>
    <row r="29" spans="1:6" x14ac:dyDescent="0.2">
      <c r="A29" s="20">
        <v>25</v>
      </c>
      <c r="B29" s="172" t="s">
        <v>22</v>
      </c>
      <c r="C29" s="173"/>
      <c r="D29" s="15">
        <f t="shared" si="0"/>
        <v>275904</v>
      </c>
      <c r="E29" s="18">
        <f t="shared" si="1"/>
        <v>1534151.1596425907</v>
      </c>
      <c r="F29" s="22">
        <f t="shared" si="2"/>
        <v>5.56</v>
      </c>
    </row>
    <row r="30" spans="1:6" x14ac:dyDescent="0.2">
      <c r="A30" s="20">
        <v>26</v>
      </c>
      <c r="B30" s="172" t="s">
        <v>23</v>
      </c>
      <c r="C30" s="173"/>
      <c r="D30" s="15">
        <f t="shared" si="0"/>
        <v>69024</v>
      </c>
      <c r="E30" s="18">
        <f t="shared" si="1"/>
        <v>513449.5635988249</v>
      </c>
      <c r="F30" s="22">
        <f t="shared" si="2"/>
        <v>7.44</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1507292</v>
      </c>
      <c r="E33" s="32">
        <f>SUM(E5:E32)</f>
        <v>9248686</v>
      </c>
      <c r="F33" s="33">
        <f t="shared" si="2"/>
        <v>6.14</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IF(F3="1",SUMIF(Data!A:A,'9'!$A$2,Data!CU:CU),0)</f>
        <v>7360</v>
      </c>
      <c r="E36" s="16">
        <f>IF(F3="1",SUMIF(Data!$A:$A,'9'!$A$2,Data!IO:IO),0)</f>
        <v>7552</v>
      </c>
      <c r="F36" s="21">
        <f>IF(D36=0,"",ROUND(E36/D36,2))</f>
        <v>1.03</v>
      </c>
    </row>
    <row r="37" spans="1:6" x14ac:dyDescent="0.2">
      <c r="A37" s="20">
        <v>2</v>
      </c>
      <c r="B37" s="172" t="s">
        <v>1</v>
      </c>
      <c r="C37" s="173"/>
      <c r="D37" s="15">
        <f>IF(F3="1",SUMIF(Data!A:A,'9'!$A$2,Data!CV:CV),0)</f>
        <v>18256</v>
      </c>
      <c r="E37" s="18">
        <f>IF(F3="1",SUMIF(Data!$A:$A,'9'!$A$2,Data!IP:IP),0)</f>
        <v>14550</v>
      </c>
      <c r="F37" s="22">
        <f t="shared" ref="F37:F64" si="3">IF(D37=0,"",ROUND(E37/D37,2))</f>
        <v>0.8</v>
      </c>
    </row>
    <row r="38" spans="1:6" ht="14.25" customHeight="1" x14ac:dyDescent="0.2">
      <c r="A38" s="20">
        <v>3</v>
      </c>
      <c r="B38" s="172" t="s">
        <v>2</v>
      </c>
      <c r="C38" s="173"/>
      <c r="D38" s="15">
        <f>IF(F3="1",SUMIF(Data!A:A,'9'!$A$2,Data!CW:CW),0)</f>
        <v>186544</v>
      </c>
      <c r="E38" s="18">
        <f>IF(F3="1",SUMIF(Data!$A:$A,'9'!$A$2,Data!IQ:IQ),0)</f>
        <v>50134</v>
      </c>
      <c r="F38" s="22">
        <f t="shared" si="3"/>
        <v>0.27</v>
      </c>
    </row>
    <row r="39" spans="1:6" ht="14.25" customHeight="1" x14ac:dyDescent="0.2">
      <c r="A39" s="20">
        <v>4</v>
      </c>
      <c r="B39" s="172" t="s">
        <v>3</v>
      </c>
      <c r="C39" s="173"/>
      <c r="D39" s="15">
        <f>IF(F3="1",SUMIF(Data!A:A,'9'!$A$2,Data!CX:CX),0)</f>
        <v>110768</v>
      </c>
      <c r="E39" s="18">
        <f>IF(F3="1",SUMIF(Data!$A:$A,'9'!$A$2,Data!IR:IR),0)</f>
        <v>28343</v>
      </c>
      <c r="F39" s="22">
        <f t="shared" si="3"/>
        <v>0.26</v>
      </c>
    </row>
    <row r="40" spans="1:6" x14ac:dyDescent="0.2">
      <c r="A40" s="20">
        <v>5</v>
      </c>
      <c r="B40" s="172" t="s">
        <v>4</v>
      </c>
      <c r="C40" s="173"/>
      <c r="D40" s="15">
        <f>IF(F3="1",SUMIF(Data!A:A,'9'!$A$2,Data!CY:CY),0)</f>
        <v>0</v>
      </c>
      <c r="E40" s="18">
        <f>IF(F3="1",SUMIF(Data!$A:$A,'9'!$A$2,Data!IS:IS),0)</f>
        <v>0</v>
      </c>
      <c r="F40" s="22" t="str">
        <f t="shared" si="3"/>
        <v/>
      </c>
    </row>
    <row r="41" spans="1:6" x14ac:dyDescent="0.2">
      <c r="A41" s="20">
        <v>6</v>
      </c>
      <c r="B41" s="172" t="s">
        <v>5</v>
      </c>
      <c r="C41" s="173"/>
      <c r="D41" s="15">
        <f>IF(F3="1",SUMIF(Data!A:A,'9'!$A$2,Data!CZ:CZ),0)</f>
        <v>0</v>
      </c>
      <c r="E41" s="18">
        <f>IF(F3="1",SUMIF(Data!$A:$A,'9'!$A$2,Data!IT:IT),0)</f>
        <v>0</v>
      </c>
      <c r="F41" s="22" t="str">
        <f t="shared" si="3"/>
        <v/>
      </c>
    </row>
    <row r="42" spans="1:6" x14ac:dyDescent="0.2">
      <c r="A42" s="20">
        <v>7</v>
      </c>
      <c r="B42" s="172" t="s">
        <v>6</v>
      </c>
      <c r="C42" s="173"/>
      <c r="D42" s="15">
        <f>IF(F3="1",SUMIF(Data!A:A,'9'!$A$2,Data!DA:DA),0)</f>
        <v>11143</v>
      </c>
      <c r="E42" s="18">
        <f>IF(F3="1",SUMIF(Data!$A:$A,'9'!$A$2,Data!IU:IU),0)</f>
        <v>15362</v>
      </c>
      <c r="F42" s="22">
        <f t="shared" si="3"/>
        <v>1.38</v>
      </c>
    </row>
    <row r="43" spans="1:6" x14ac:dyDescent="0.2">
      <c r="A43" s="20">
        <v>8</v>
      </c>
      <c r="B43" s="172" t="s">
        <v>7</v>
      </c>
      <c r="C43" s="173"/>
      <c r="D43" s="15">
        <f>IF(F3="1",SUMIF(Data!A:A,'9'!$A$2,Data!DB:DB),0)</f>
        <v>3360</v>
      </c>
      <c r="E43" s="18">
        <f>IF(F3="1",SUMIF(Data!$A:$A,'9'!$A$2,Data!IV:IV),0)</f>
        <v>2627</v>
      </c>
      <c r="F43" s="22">
        <f t="shared" si="3"/>
        <v>0.78</v>
      </c>
    </row>
    <row r="44" spans="1:6" x14ac:dyDescent="0.2">
      <c r="A44" s="20">
        <v>9</v>
      </c>
      <c r="B44" s="172" t="s">
        <v>8</v>
      </c>
      <c r="C44" s="173"/>
      <c r="D44" s="15">
        <f>IF(F3="1",SUMIF(Data!A:A,'9'!$A$2,Data!DC:DC),0)</f>
        <v>61061</v>
      </c>
      <c r="E44" s="18">
        <f>IF(F3="1",SUMIF(Data!$A:$A,'9'!$A$2,Data!IW:IW),0)</f>
        <v>28668</v>
      </c>
      <c r="F44" s="22">
        <f t="shared" si="3"/>
        <v>0.47</v>
      </c>
    </row>
    <row r="45" spans="1:6" x14ac:dyDescent="0.2">
      <c r="A45" s="20">
        <v>10</v>
      </c>
      <c r="B45" s="172" t="s">
        <v>9</v>
      </c>
      <c r="C45" s="173"/>
      <c r="D45" s="15">
        <f>IF(F3="1",SUMIF(Data!A:A,'9'!$A$2,Data!DD:DD),0)</f>
        <v>0</v>
      </c>
      <c r="E45" s="18">
        <f>IF(F3="1",SUMIF(Data!$A:$A,'9'!$A$2,Data!IX:IX),0)</f>
        <v>0</v>
      </c>
      <c r="F45" s="22" t="str">
        <f t="shared" si="3"/>
        <v/>
      </c>
    </row>
    <row r="46" spans="1:6" x14ac:dyDescent="0.2">
      <c r="A46" s="20">
        <v>11</v>
      </c>
      <c r="B46" s="172" t="s">
        <v>10</v>
      </c>
      <c r="C46" s="173"/>
      <c r="D46" s="15">
        <f>IF(F3="1",SUMIF(Data!A:A,'9'!$A$2,Data!DE:DE),0)</f>
        <v>3632</v>
      </c>
      <c r="E46" s="18">
        <f>IF(F3="1",SUMIF(Data!$A:$A,'9'!$A$2,Data!IY:IY),0)</f>
        <v>3032</v>
      </c>
      <c r="F46" s="22">
        <f t="shared" si="3"/>
        <v>0.83</v>
      </c>
    </row>
    <row r="47" spans="1:6" ht="14.25" customHeight="1" x14ac:dyDescent="0.2">
      <c r="A47" s="20">
        <v>12</v>
      </c>
      <c r="B47" s="172" t="s">
        <v>11</v>
      </c>
      <c r="C47" s="173"/>
      <c r="D47" s="15">
        <f>IF(F3="1",SUMIF(Data!A:A,'9'!$A$2,Data!DF:DF),0)</f>
        <v>230640</v>
      </c>
      <c r="E47" s="18">
        <f>IF(F3="1",SUMIF(Data!$A:$A,'9'!$A$2,Data!IZ:IZ),0)</f>
        <v>82619</v>
      </c>
      <c r="F47" s="22">
        <f t="shared" si="3"/>
        <v>0.36</v>
      </c>
    </row>
    <row r="48" spans="1:6" x14ac:dyDescent="0.2">
      <c r="A48" s="20">
        <v>13</v>
      </c>
      <c r="B48" s="172" t="s">
        <v>12</v>
      </c>
      <c r="C48" s="173"/>
      <c r="D48" s="15">
        <f>IF(F3="1",SUMIF(Data!A:A,'9'!$A$2,Data!DG:DG),0)</f>
        <v>24528</v>
      </c>
      <c r="E48" s="18">
        <f>IF(F3="1",SUMIF(Data!$A:$A,'9'!$A$2,Data!JA:JA),0)</f>
        <v>7032</v>
      </c>
      <c r="F48" s="22">
        <f t="shared" si="3"/>
        <v>0.28999999999999998</v>
      </c>
    </row>
    <row r="49" spans="1:6" ht="14.25" customHeight="1" x14ac:dyDescent="0.2">
      <c r="A49" s="20">
        <v>14</v>
      </c>
      <c r="B49" s="172" t="s">
        <v>469</v>
      </c>
      <c r="C49" s="173"/>
      <c r="D49" s="15">
        <f>IF(F3="1",SUMIF(Data!A:A,'9'!$A$2,Data!DH:DH),0)</f>
        <v>57776</v>
      </c>
      <c r="E49" s="18">
        <f>IF(F3="1",SUMIF(Data!$A:$A,'9'!$A$2,Data!JB:JB),0)</f>
        <v>66273</v>
      </c>
      <c r="F49" s="22">
        <f t="shared" si="3"/>
        <v>1.1499999999999999</v>
      </c>
    </row>
    <row r="50" spans="1:6" x14ac:dyDescent="0.2">
      <c r="A50" s="20">
        <v>15</v>
      </c>
      <c r="B50" s="172" t="s">
        <v>13</v>
      </c>
      <c r="C50" s="173"/>
      <c r="D50" s="15">
        <f>IF(F3="1",SUMIF(Data!A:A,'9'!$A$2,Data!DI:DI),0)</f>
        <v>0</v>
      </c>
      <c r="E50" s="18">
        <f>IF(F3="1",SUMIF(Data!$A:$A,'9'!$A$2,Data!JC:JC),0)</f>
        <v>0</v>
      </c>
      <c r="F50" s="22" t="str">
        <f t="shared" si="3"/>
        <v/>
      </c>
    </row>
    <row r="51" spans="1:6" x14ac:dyDescent="0.2">
      <c r="A51" s="20">
        <v>16</v>
      </c>
      <c r="B51" s="172" t="s">
        <v>14</v>
      </c>
      <c r="C51" s="173"/>
      <c r="D51" s="15">
        <f>IF(F3="1",SUMIF(Data!A:A,'9'!$A$2,Data!DJ:DJ),0)</f>
        <v>78688</v>
      </c>
      <c r="E51" s="18">
        <f>IF(F3="1",SUMIF(Data!$A:$A,'9'!$A$2,Data!JD:JD),0)</f>
        <v>21727</v>
      </c>
      <c r="F51" s="22">
        <f t="shared" si="3"/>
        <v>0.28000000000000003</v>
      </c>
    </row>
    <row r="52" spans="1:6" x14ac:dyDescent="0.2">
      <c r="A52" s="20">
        <v>17</v>
      </c>
      <c r="B52" s="172" t="s">
        <v>15</v>
      </c>
      <c r="C52" s="173"/>
      <c r="D52" s="15">
        <f>IF(F3="1",SUMIF(Data!A:A,'9'!$A$2,Data!DK:DK),0)</f>
        <v>8944</v>
      </c>
      <c r="E52" s="18">
        <f>IF(F3="1",SUMIF(Data!$A:$A,'9'!$A$2,Data!JE:JE),0)</f>
        <v>12754</v>
      </c>
      <c r="F52" s="22">
        <f t="shared" si="3"/>
        <v>1.43</v>
      </c>
    </row>
    <row r="53" spans="1:6" x14ac:dyDescent="0.2">
      <c r="A53" s="20">
        <v>18</v>
      </c>
      <c r="B53" s="172" t="s">
        <v>16</v>
      </c>
      <c r="C53" s="173"/>
      <c r="D53" s="15">
        <f>IF(F3="1",SUMIF(Data!A:A,'9'!$A$2,Data!DL:DL),0)</f>
        <v>97248</v>
      </c>
      <c r="E53" s="18">
        <f>IF(F3="1",SUMIF(Data!$A:$A,'9'!$A$2,Data!JF:JF),0)</f>
        <v>73279</v>
      </c>
      <c r="F53" s="22">
        <f t="shared" si="3"/>
        <v>0.75</v>
      </c>
    </row>
    <row r="54" spans="1:6" x14ac:dyDescent="0.2">
      <c r="A54" s="20">
        <v>19</v>
      </c>
      <c r="B54" s="172" t="s">
        <v>17</v>
      </c>
      <c r="C54" s="173"/>
      <c r="D54" s="15">
        <f>IF(F3="1",SUMIF(Data!A:A,'9'!$A$2,Data!DM:DM),0)</f>
        <v>148064</v>
      </c>
      <c r="E54" s="18">
        <f>IF(F3="1",SUMIF(Data!$A:$A,'9'!$A$2,Data!JG:JG),0)</f>
        <v>51227</v>
      </c>
      <c r="F54" s="22">
        <f t="shared" si="3"/>
        <v>0.35</v>
      </c>
    </row>
    <row r="55" spans="1:6" x14ac:dyDescent="0.2">
      <c r="A55" s="20">
        <v>20</v>
      </c>
      <c r="B55" s="172" t="s">
        <v>18</v>
      </c>
      <c r="C55" s="173"/>
      <c r="D55" s="15">
        <f>IF(F3="1",SUMIF(Data!A:A,'9'!$A$2,Data!DN:DN),0)</f>
        <v>23808</v>
      </c>
      <c r="E55" s="18">
        <f>IF(F3="1",SUMIF(Data!$A:$A,'9'!$A$2,Data!JH:JH),0)</f>
        <v>22109</v>
      </c>
      <c r="F55" s="22">
        <f t="shared" si="3"/>
        <v>0.93</v>
      </c>
    </row>
    <row r="56" spans="1:6" ht="14.25" customHeight="1" x14ac:dyDescent="0.2">
      <c r="A56" s="20">
        <v>21</v>
      </c>
      <c r="B56" s="172" t="s">
        <v>466</v>
      </c>
      <c r="C56" s="173"/>
      <c r="D56" s="15">
        <f>IF(F3="1",SUMIF(Data!A:A,'9'!$A$2,Data!DO:DO),0)</f>
        <v>0</v>
      </c>
      <c r="E56" s="18">
        <f>IF(F3="1",SUMIF(Data!$A:$A,'9'!$A$2,Data!JI:JI),0)</f>
        <v>0</v>
      </c>
      <c r="F56" s="22" t="str">
        <f t="shared" si="3"/>
        <v/>
      </c>
    </row>
    <row r="57" spans="1:6" x14ac:dyDescent="0.2">
      <c r="A57" s="20">
        <v>22</v>
      </c>
      <c r="B57" s="172" t="s">
        <v>19</v>
      </c>
      <c r="C57" s="173"/>
      <c r="D57" s="15">
        <f>IF(F3="1",SUMIF(Data!A:A,'9'!$A$2,Data!DP:DP),0)</f>
        <v>0</v>
      </c>
      <c r="E57" s="18">
        <f>IF(F3="1",SUMIF(Data!$A:$A,'9'!$A$2,Data!JJ:JJ),0)</f>
        <v>0</v>
      </c>
      <c r="F57" s="22" t="str">
        <f t="shared" si="3"/>
        <v/>
      </c>
    </row>
    <row r="58" spans="1:6" x14ac:dyDescent="0.2">
      <c r="A58" s="20">
        <v>23</v>
      </c>
      <c r="B58" s="172" t="s">
        <v>20</v>
      </c>
      <c r="C58" s="173"/>
      <c r="D58" s="15">
        <f>IF(F3="1",SUMIF(Data!A:A,'9'!$A$2,Data!DQ:DQ),0)</f>
        <v>67840</v>
      </c>
      <c r="E58" s="18">
        <f>IF(F3="1",SUMIF(Data!$A:$A,'9'!$A$2,Data!JK:JK),0)</f>
        <v>82585</v>
      </c>
      <c r="F58" s="22">
        <f t="shared" si="3"/>
        <v>1.22</v>
      </c>
    </row>
    <row r="59" spans="1:6" x14ac:dyDescent="0.2">
      <c r="A59" s="20">
        <v>24</v>
      </c>
      <c r="B59" s="172" t="s">
        <v>21</v>
      </c>
      <c r="C59" s="173"/>
      <c r="D59" s="15">
        <f>IF(F3="1",SUMIF(Data!A:A,'9'!$A$2,Data!DR:DR),0)</f>
        <v>22704</v>
      </c>
      <c r="E59" s="18">
        <f>IF(F3="1",SUMIF(Data!$A:$A,'9'!$A$2,Data!JL:JL),0)</f>
        <v>12746</v>
      </c>
      <c r="F59" s="22">
        <f t="shared" si="3"/>
        <v>0.56000000000000005</v>
      </c>
    </row>
    <row r="60" spans="1:6" x14ac:dyDescent="0.2">
      <c r="A60" s="20">
        <v>25</v>
      </c>
      <c r="B60" s="172" t="s">
        <v>22</v>
      </c>
      <c r="C60" s="173"/>
      <c r="D60" s="15">
        <f>IF(F3="1",SUMIF(Data!A:A,'9'!$A$2,Data!DS:DS),0)</f>
        <v>275904</v>
      </c>
      <c r="E60" s="18">
        <f>IF(F3="1",SUMIF(Data!$A:$A,'9'!$A$2,Data!JM:JM),0)</f>
        <v>89474</v>
      </c>
      <c r="F60" s="22">
        <f t="shared" si="3"/>
        <v>0.32</v>
      </c>
    </row>
    <row r="61" spans="1:6" x14ac:dyDescent="0.2">
      <c r="A61" s="20">
        <v>26</v>
      </c>
      <c r="B61" s="172" t="s">
        <v>23</v>
      </c>
      <c r="C61" s="173"/>
      <c r="D61" s="15">
        <f>IF(F3="1",SUMIF(Data!A:A,'9'!$A$2,Data!DT:DT),0)</f>
        <v>69024</v>
      </c>
      <c r="E61" s="18">
        <f>IF(F3="1",SUMIF(Data!$A:$A,'9'!$A$2,Data!JN:JN),0)</f>
        <v>85891</v>
      </c>
      <c r="F61" s="22">
        <f t="shared" si="3"/>
        <v>1.24</v>
      </c>
    </row>
    <row r="62" spans="1:6" x14ac:dyDescent="0.2">
      <c r="A62" s="20">
        <v>28</v>
      </c>
      <c r="B62" s="172" t="s">
        <v>24</v>
      </c>
      <c r="C62" s="173"/>
      <c r="D62" s="15">
        <f>IF(F3="1",SUMIF(Data!A:A,'9'!$A$2,Data!DV:DV),0)</f>
        <v>0</v>
      </c>
      <c r="E62" s="18">
        <f>IF(F3="1",SUMIF(Data!$A:$A,'9'!$A$2,Data!JP:JP),0)</f>
        <v>0</v>
      </c>
      <c r="F62" s="22" t="str">
        <f t="shared" si="3"/>
        <v/>
      </c>
    </row>
    <row r="63" spans="1:6" ht="15.75" customHeight="1" thickBot="1" x14ac:dyDescent="0.25">
      <c r="A63" s="23">
        <v>29</v>
      </c>
      <c r="B63" s="174" t="s">
        <v>25</v>
      </c>
      <c r="C63" s="175"/>
      <c r="D63" s="24">
        <f>IF(F3="1",SUMIF(Data!A:A,'9'!$A$2,Data!DW:DW),0)</f>
        <v>0</v>
      </c>
      <c r="E63" s="25">
        <f>IF(F3="1",SUMIF(Data!$A:$A,'9'!$A$2,Data!JQ:JQ),0)</f>
        <v>0</v>
      </c>
      <c r="F63" s="26" t="str">
        <f t="shared" si="3"/>
        <v/>
      </c>
    </row>
    <row r="64" spans="1:6" x14ac:dyDescent="0.2">
      <c r="B64" s="31" t="s">
        <v>35</v>
      </c>
      <c r="C64" s="31"/>
      <c r="D64" s="61">
        <f>SUM(D36:D63)</f>
        <v>1507292</v>
      </c>
      <c r="E64" s="32">
        <f>SUM(E36:E63)</f>
        <v>757984</v>
      </c>
      <c r="F64" s="33">
        <f t="shared" si="3"/>
        <v>0.5</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7360</v>
      </c>
      <c r="E67" s="16">
        <f>IF(F3="1",SUMIF(Data!A:A,'9'!$A$2,Data!DY:DY),0)</f>
        <v>46166</v>
      </c>
      <c r="F67" s="21">
        <f t="shared" ref="F67:F95" si="4">IF(D67=0,"",ROUND(E67/D67,2))</f>
        <v>6.27</v>
      </c>
    </row>
    <row r="68" spans="1:6" x14ac:dyDescent="0.2">
      <c r="A68" s="20">
        <v>2</v>
      </c>
      <c r="B68" s="172" t="s">
        <v>1</v>
      </c>
      <c r="C68" s="173"/>
      <c r="D68" s="15">
        <f t="shared" ref="D68:D94" si="5">D37</f>
        <v>18256</v>
      </c>
      <c r="E68" s="18">
        <f>IF(F3="1",SUMIF(Data!A:A,'9'!$A$2,Data!DZ:DZ),0)</f>
        <v>48560</v>
      </c>
      <c r="F68" s="22">
        <f t="shared" si="4"/>
        <v>2.66</v>
      </c>
    </row>
    <row r="69" spans="1:6" ht="14.25" customHeight="1" x14ac:dyDescent="0.2">
      <c r="A69" s="20">
        <v>3</v>
      </c>
      <c r="B69" s="172" t="s">
        <v>2</v>
      </c>
      <c r="C69" s="173"/>
      <c r="D69" s="15">
        <f t="shared" si="5"/>
        <v>186544</v>
      </c>
      <c r="E69" s="18">
        <f>IF(F3="1",SUMIF(Data!A:A,'9'!$A$2,Data!EA:EA),0)</f>
        <v>360079</v>
      </c>
      <c r="F69" s="22">
        <f t="shared" si="4"/>
        <v>1.93</v>
      </c>
    </row>
    <row r="70" spans="1:6" ht="14.25" customHeight="1" x14ac:dyDescent="0.2">
      <c r="A70" s="20">
        <v>4</v>
      </c>
      <c r="B70" s="172" t="s">
        <v>3</v>
      </c>
      <c r="C70" s="173"/>
      <c r="D70" s="15">
        <f t="shared" si="5"/>
        <v>110768</v>
      </c>
      <c r="E70" s="18">
        <f>IF(F3="1",SUMIF(Data!A:A,'9'!$A$2,Data!EB:EB),0)</f>
        <v>219459</v>
      </c>
      <c r="F70" s="22">
        <f t="shared" si="4"/>
        <v>1.98</v>
      </c>
    </row>
    <row r="71" spans="1:6" x14ac:dyDescent="0.2">
      <c r="A71" s="20">
        <v>5</v>
      </c>
      <c r="B71" s="172" t="s">
        <v>4</v>
      </c>
      <c r="C71" s="173"/>
      <c r="D71" s="15">
        <f t="shared" si="5"/>
        <v>0</v>
      </c>
      <c r="E71" s="18">
        <f>IF(F3="1",SUMIF(Data!A:A,'9'!$A$2,Data!EC:EC),0)</f>
        <v>0</v>
      </c>
      <c r="F71" s="22" t="str">
        <f t="shared" si="4"/>
        <v/>
      </c>
    </row>
    <row r="72" spans="1:6" x14ac:dyDescent="0.2">
      <c r="A72" s="20">
        <v>6</v>
      </c>
      <c r="B72" s="172" t="s">
        <v>5</v>
      </c>
      <c r="C72" s="173"/>
      <c r="D72" s="15">
        <f t="shared" si="5"/>
        <v>0</v>
      </c>
      <c r="E72" s="18">
        <f>IF(F3="1",SUMIF(Data!A:A,'9'!$A$2,Data!ED:ED),0)</f>
        <v>0</v>
      </c>
      <c r="F72" s="22" t="str">
        <f t="shared" si="4"/>
        <v/>
      </c>
    </row>
    <row r="73" spans="1:6" x14ac:dyDescent="0.2">
      <c r="A73" s="20">
        <v>7</v>
      </c>
      <c r="B73" s="172" t="s">
        <v>6</v>
      </c>
      <c r="C73" s="173"/>
      <c r="D73" s="15">
        <f t="shared" si="5"/>
        <v>11143</v>
      </c>
      <c r="E73" s="18">
        <f>IF(F3="1",SUMIF(Data!A:A,'9'!$A$2,Data!EE:EE),0)</f>
        <v>151929</v>
      </c>
      <c r="F73" s="22">
        <f t="shared" si="4"/>
        <v>13.63</v>
      </c>
    </row>
    <row r="74" spans="1:6" x14ac:dyDescent="0.2">
      <c r="A74" s="20">
        <v>8</v>
      </c>
      <c r="B74" s="172" t="s">
        <v>7</v>
      </c>
      <c r="C74" s="173"/>
      <c r="D74" s="15">
        <f t="shared" si="5"/>
        <v>3360</v>
      </c>
      <c r="E74" s="18">
        <f>IF(F3="1",SUMIF(Data!A:A,'9'!$A$2,Data!EF:EF),0)</f>
        <v>8768</v>
      </c>
      <c r="F74" s="22">
        <f t="shared" si="4"/>
        <v>2.61</v>
      </c>
    </row>
    <row r="75" spans="1:6" x14ac:dyDescent="0.2">
      <c r="A75" s="20">
        <v>9</v>
      </c>
      <c r="B75" s="172" t="s">
        <v>8</v>
      </c>
      <c r="C75" s="173"/>
      <c r="D75" s="15">
        <f t="shared" si="5"/>
        <v>61061</v>
      </c>
      <c r="E75" s="18">
        <f>IF(F3="1",SUMIF(Data!A:A,'9'!$A$2,Data!EG:EG),0)</f>
        <v>137048</v>
      </c>
      <c r="F75" s="22">
        <f t="shared" si="4"/>
        <v>2.2400000000000002</v>
      </c>
    </row>
    <row r="76" spans="1:6" x14ac:dyDescent="0.2">
      <c r="A76" s="20">
        <v>10</v>
      </c>
      <c r="B76" s="172" t="s">
        <v>9</v>
      </c>
      <c r="C76" s="173"/>
      <c r="D76" s="15">
        <f t="shared" si="5"/>
        <v>0</v>
      </c>
      <c r="E76" s="18">
        <f>IF(F3="1",SUMIF(Data!A:A,'9'!$A$2,Data!EH:EH),0)</f>
        <v>0</v>
      </c>
      <c r="F76" s="22" t="str">
        <f t="shared" si="4"/>
        <v/>
      </c>
    </row>
    <row r="77" spans="1:6" x14ac:dyDescent="0.2">
      <c r="A77" s="20">
        <v>11</v>
      </c>
      <c r="B77" s="172" t="s">
        <v>10</v>
      </c>
      <c r="C77" s="173"/>
      <c r="D77" s="15">
        <f t="shared" si="5"/>
        <v>3632</v>
      </c>
      <c r="E77" s="18">
        <f>IF(F3="1",SUMIF(Data!A:A,'9'!$A$2,Data!EI:EI),0)</f>
        <v>10117</v>
      </c>
      <c r="F77" s="22">
        <f t="shared" si="4"/>
        <v>2.79</v>
      </c>
    </row>
    <row r="78" spans="1:6" ht="14.25" customHeight="1" x14ac:dyDescent="0.2">
      <c r="A78" s="20">
        <v>12</v>
      </c>
      <c r="B78" s="172" t="s">
        <v>11</v>
      </c>
      <c r="C78" s="173"/>
      <c r="D78" s="15">
        <f t="shared" si="5"/>
        <v>230640</v>
      </c>
      <c r="E78" s="18">
        <f>IF(F3="1",SUMIF(Data!A:A,'9'!$A$2,Data!EJ:EJ),0)</f>
        <v>660188</v>
      </c>
      <c r="F78" s="22">
        <f t="shared" si="4"/>
        <v>2.86</v>
      </c>
    </row>
    <row r="79" spans="1:6" x14ac:dyDescent="0.2">
      <c r="A79" s="20">
        <v>13</v>
      </c>
      <c r="B79" s="172" t="s">
        <v>12</v>
      </c>
      <c r="C79" s="173"/>
      <c r="D79" s="15">
        <f t="shared" si="5"/>
        <v>24528</v>
      </c>
      <c r="E79" s="18">
        <f>IF(F3="1",SUMIF(Data!A:A,'9'!$A$2,Data!EK:EK),0)</f>
        <v>57115</v>
      </c>
      <c r="F79" s="22">
        <f t="shared" si="4"/>
        <v>2.33</v>
      </c>
    </row>
    <row r="80" spans="1:6" ht="14.25" customHeight="1" x14ac:dyDescent="0.2">
      <c r="A80" s="20">
        <v>14</v>
      </c>
      <c r="B80" s="172" t="s">
        <v>469</v>
      </c>
      <c r="C80" s="173"/>
      <c r="D80" s="15">
        <f t="shared" si="5"/>
        <v>57776</v>
      </c>
      <c r="E80" s="18">
        <f>IF(F3="1",SUMIF(Data!A:A,'9'!$A$2,Data!EL:EL),0)</f>
        <v>161362</v>
      </c>
      <c r="F80" s="22">
        <f t="shared" si="4"/>
        <v>2.79</v>
      </c>
    </row>
    <row r="81" spans="1:6" x14ac:dyDescent="0.2">
      <c r="A81" s="20">
        <v>15</v>
      </c>
      <c r="B81" s="172" t="s">
        <v>13</v>
      </c>
      <c r="C81" s="173"/>
      <c r="D81" s="15">
        <f t="shared" si="5"/>
        <v>0</v>
      </c>
      <c r="E81" s="18">
        <f>IF(F3="1",SUMIF(Data!A:A,'9'!$A$2,Data!EM:EM),0)</f>
        <v>0</v>
      </c>
      <c r="F81" s="22" t="str">
        <f t="shared" si="4"/>
        <v/>
      </c>
    </row>
    <row r="82" spans="1:6" x14ac:dyDescent="0.2">
      <c r="A82" s="20">
        <v>16</v>
      </c>
      <c r="B82" s="172" t="s">
        <v>14</v>
      </c>
      <c r="C82" s="173"/>
      <c r="D82" s="15">
        <f t="shared" si="5"/>
        <v>78688</v>
      </c>
      <c r="E82" s="18">
        <f>IF(F3="1",SUMIF(Data!A:A,'9'!$A$2,Data!EN:EN),0)</f>
        <v>121177</v>
      </c>
      <c r="F82" s="22">
        <f t="shared" si="4"/>
        <v>1.54</v>
      </c>
    </row>
    <row r="83" spans="1:6" x14ac:dyDescent="0.2">
      <c r="A83" s="20">
        <v>17</v>
      </c>
      <c r="B83" s="172" t="s">
        <v>15</v>
      </c>
      <c r="C83" s="173"/>
      <c r="D83" s="15">
        <f t="shared" si="5"/>
        <v>8944</v>
      </c>
      <c r="E83" s="18">
        <f>IF(F3="1",SUMIF(Data!A:A,'9'!$A$2,Data!EO:EO),0)</f>
        <v>133446</v>
      </c>
      <c r="F83" s="22">
        <f t="shared" si="4"/>
        <v>14.92</v>
      </c>
    </row>
    <row r="84" spans="1:6" x14ac:dyDescent="0.2">
      <c r="A84" s="20">
        <v>18</v>
      </c>
      <c r="B84" s="172" t="s">
        <v>16</v>
      </c>
      <c r="C84" s="173"/>
      <c r="D84" s="15">
        <f t="shared" si="5"/>
        <v>97248</v>
      </c>
      <c r="E84" s="18">
        <f>IF(F3="1",SUMIF(Data!A:A,'9'!$A$2,Data!EP:EP),0)</f>
        <v>380669</v>
      </c>
      <c r="F84" s="22">
        <f t="shared" si="4"/>
        <v>3.91</v>
      </c>
    </row>
    <row r="85" spans="1:6" x14ac:dyDescent="0.2">
      <c r="A85" s="20">
        <v>19</v>
      </c>
      <c r="B85" s="172" t="s">
        <v>17</v>
      </c>
      <c r="C85" s="173"/>
      <c r="D85" s="15">
        <f t="shared" si="5"/>
        <v>148064</v>
      </c>
      <c r="E85" s="18">
        <f>IF(F3="1",SUMIF(Data!A:A,'9'!$A$2,Data!EQ:EQ),0)</f>
        <v>446010</v>
      </c>
      <c r="F85" s="22">
        <f t="shared" si="4"/>
        <v>3.01</v>
      </c>
    </row>
    <row r="86" spans="1:6" x14ac:dyDescent="0.2">
      <c r="A86" s="20">
        <v>20</v>
      </c>
      <c r="B86" s="172" t="s">
        <v>18</v>
      </c>
      <c r="C86" s="173"/>
      <c r="D86" s="15">
        <f t="shared" si="5"/>
        <v>23808</v>
      </c>
      <c r="E86" s="18">
        <f>IF(F3="1",SUMIF(Data!A:A,'9'!$A$2,Data!ER:ER),0)</f>
        <v>101136</v>
      </c>
      <c r="F86" s="22">
        <f t="shared" si="4"/>
        <v>4.25</v>
      </c>
    </row>
    <row r="87" spans="1:6" ht="14.25" customHeight="1" x14ac:dyDescent="0.2">
      <c r="A87" s="20">
        <v>21</v>
      </c>
      <c r="B87" s="172" t="s">
        <v>466</v>
      </c>
      <c r="C87" s="173"/>
      <c r="D87" s="15">
        <f t="shared" si="5"/>
        <v>0</v>
      </c>
      <c r="E87" s="18">
        <f>IF(F3="1",SUMIF(Data!A:A,'9'!$A$2,Data!ES:ES),0)</f>
        <v>0</v>
      </c>
      <c r="F87" s="22" t="str">
        <f t="shared" si="4"/>
        <v/>
      </c>
    </row>
    <row r="88" spans="1:6" x14ac:dyDescent="0.2">
      <c r="A88" s="20">
        <v>22</v>
      </c>
      <c r="B88" s="172" t="s">
        <v>19</v>
      </c>
      <c r="C88" s="173"/>
      <c r="D88" s="15">
        <f t="shared" si="5"/>
        <v>0</v>
      </c>
      <c r="E88" s="18">
        <f>IF(F3="1",SUMIF(Data!A:A,'9'!$A$2,Data!ET:ET),0)</f>
        <v>0</v>
      </c>
      <c r="F88" s="22" t="str">
        <f t="shared" si="4"/>
        <v/>
      </c>
    </row>
    <row r="89" spans="1:6" x14ac:dyDescent="0.2">
      <c r="A89" s="20">
        <v>23</v>
      </c>
      <c r="B89" s="172" t="s">
        <v>20</v>
      </c>
      <c r="C89" s="173"/>
      <c r="D89" s="15">
        <f t="shared" si="5"/>
        <v>67840</v>
      </c>
      <c r="E89" s="18">
        <f>IF(F3="1",SUMIF(Data!A:A,'9'!$A$2,Data!EU:EU),0)</f>
        <v>439400</v>
      </c>
      <c r="F89" s="22">
        <f t="shared" si="4"/>
        <v>6.48</v>
      </c>
    </row>
    <row r="90" spans="1:6" x14ac:dyDescent="0.2">
      <c r="A90" s="20">
        <v>24</v>
      </c>
      <c r="B90" s="172" t="s">
        <v>21</v>
      </c>
      <c r="C90" s="173"/>
      <c r="D90" s="15">
        <f t="shared" si="5"/>
        <v>22704</v>
      </c>
      <c r="E90" s="18">
        <f>IF(F3="1",SUMIF(Data!A:A,'9'!$A$2,Data!EV:EV),0)</f>
        <v>126436</v>
      </c>
      <c r="F90" s="22">
        <f t="shared" si="4"/>
        <v>5.57</v>
      </c>
    </row>
    <row r="91" spans="1:6" x14ac:dyDescent="0.2">
      <c r="A91" s="20">
        <v>25</v>
      </c>
      <c r="B91" s="172" t="s">
        <v>22</v>
      </c>
      <c r="C91" s="173"/>
      <c r="D91" s="15">
        <f t="shared" si="5"/>
        <v>275904</v>
      </c>
      <c r="E91" s="18">
        <f>IF(F3="1",SUMIF(Data!A:A,'9'!$A$2,Data!EW:EW),0)</f>
        <v>730352</v>
      </c>
      <c r="F91" s="22">
        <f t="shared" si="4"/>
        <v>2.65</v>
      </c>
    </row>
    <row r="92" spans="1:6" x14ac:dyDescent="0.2">
      <c r="A92" s="20">
        <v>26</v>
      </c>
      <c r="B92" s="172" t="s">
        <v>23</v>
      </c>
      <c r="C92" s="173"/>
      <c r="D92" s="15">
        <f t="shared" si="5"/>
        <v>69024</v>
      </c>
      <c r="E92" s="18">
        <f>IF(F3="1",SUMIF(Data!A:A,'9'!$A$2,Data!EX:EX),0)</f>
        <v>248853</v>
      </c>
      <c r="F92" s="22">
        <f t="shared" si="4"/>
        <v>3.61</v>
      </c>
    </row>
    <row r="93" spans="1:6" x14ac:dyDescent="0.2">
      <c r="A93" s="20">
        <v>28</v>
      </c>
      <c r="B93" s="172" t="s">
        <v>24</v>
      </c>
      <c r="C93" s="173"/>
      <c r="D93" s="15">
        <f t="shared" si="5"/>
        <v>0</v>
      </c>
      <c r="E93" s="18">
        <f>IF(F3="1",SUMIF(Data!A:A,'9'!$A$2,Data!EZ:EZ),0)</f>
        <v>0</v>
      </c>
      <c r="F93" s="22" t="str">
        <f t="shared" si="4"/>
        <v/>
      </c>
    </row>
    <row r="94" spans="1:6" ht="15.75" customHeight="1" thickBot="1" x14ac:dyDescent="0.25">
      <c r="A94" s="23">
        <v>29</v>
      </c>
      <c r="B94" s="174" t="s">
        <v>25</v>
      </c>
      <c r="C94" s="175"/>
      <c r="D94" s="24">
        <f t="shared" si="5"/>
        <v>0</v>
      </c>
      <c r="E94" s="25">
        <f>IF(F3="1",SUMIF(Data!A:A,'9'!$A$2,Data!FA:FA),0)</f>
        <v>0</v>
      </c>
      <c r="F94" s="26" t="str">
        <f t="shared" si="4"/>
        <v/>
      </c>
    </row>
    <row r="95" spans="1:6" x14ac:dyDescent="0.2">
      <c r="B95" s="31" t="s">
        <v>35</v>
      </c>
      <c r="C95" s="31"/>
      <c r="D95" s="61">
        <f>SUM(D67:D94)</f>
        <v>1507292</v>
      </c>
      <c r="E95" s="32">
        <f>SUM(E67:E94)</f>
        <v>4588270</v>
      </c>
      <c r="F95" s="33">
        <f t="shared" si="4"/>
        <v>3.04</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IF(F3="1",SUMIF(Data!A:A,'9'!$A$2,Data!AH:AH),0)</f>
        <v>1836776</v>
      </c>
      <c r="F98" s="21">
        <f>IF($D$105=0,"",ROUND(E98/$D$105,2))</f>
        <v>1.22</v>
      </c>
    </row>
    <row r="99" spans="2:6" x14ac:dyDescent="0.2">
      <c r="B99" s="178" t="s">
        <v>31</v>
      </c>
      <c r="C99" s="179"/>
      <c r="D99" s="37"/>
      <c r="E99" s="18">
        <f>IF(F3="1",SUMIF(Data!A:A,'9'!$A$2,Data!AI:AI),0)</f>
        <v>854948</v>
      </c>
      <c r="F99" s="22">
        <f t="shared" ref="F99:F105" si="6">IF($D$105=0,"",ROUND(E99/$D$105,2))</f>
        <v>0.56999999999999995</v>
      </c>
    </row>
    <row r="100" spans="2:6" x14ac:dyDescent="0.2">
      <c r="B100" s="178" t="s">
        <v>32</v>
      </c>
      <c r="C100" s="179"/>
      <c r="D100" s="37"/>
      <c r="E100" s="18">
        <f>IF(F3="1",SUMIF(Data!A:A,'9'!$A$2,Data!AJ:AJ),0)</f>
        <v>798260</v>
      </c>
      <c r="F100" s="22">
        <f t="shared" si="6"/>
        <v>0.53</v>
      </c>
    </row>
    <row r="101" spans="2:6" x14ac:dyDescent="0.2">
      <c r="B101" s="178" t="s">
        <v>28</v>
      </c>
      <c r="C101" s="179"/>
      <c r="D101" s="37"/>
      <c r="E101" s="18">
        <f>IF(F3="1",SUMIF(Data!A:A,'9'!$A$2,Data!AK:AK),0)</f>
        <v>0</v>
      </c>
      <c r="F101" s="22">
        <f t="shared" si="6"/>
        <v>0</v>
      </c>
    </row>
    <row r="102" spans="2:6" x14ac:dyDescent="0.2">
      <c r="B102" s="178" t="s">
        <v>33</v>
      </c>
      <c r="C102" s="179"/>
      <c r="D102" s="37"/>
      <c r="E102" s="18">
        <f>IF(F3="1",SUMIF(Data!A:A,'9'!$A$2,Data!AL:AL),0)</f>
        <v>0</v>
      </c>
      <c r="F102" s="22">
        <f t="shared" si="6"/>
        <v>0</v>
      </c>
    </row>
    <row r="103" spans="2:6" x14ac:dyDescent="0.2">
      <c r="B103" s="180" t="s">
        <v>34</v>
      </c>
      <c r="C103" s="181"/>
      <c r="D103" s="37"/>
      <c r="E103" s="18">
        <f>IF(F3="1",SUMIF(Data!A:A,'9'!$A$2,Data!AM:AM),0)</f>
        <v>295744</v>
      </c>
      <c r="F103" s="22">
        <f t="shared" si="6"/>
        <v>0.2</v>
      </c>
    </row>
    <row r="104" spans="2:6" ht="15.75" customHeight="1" thickBot="1" x14ac:dyDescent="0.25">
      <c r="B104" s="170" t="s">
        <v>29</v>
      </c>
      <c r="C104" s="171"/>
      <c r="D104" s="38"/>
      <c r="E104" s="25">
        <f>IF(F3="1",SUMIF(Data!A:A,'9'!$A$2,Data!Q:Q),0)</f>
        <v>116704</v>
      </c>
      <c r="F104" s="26">
        <f t="shared" si="6"/>
        <v>0.08</v>
      </c>
    </row>
    <row r="105" spans="2:6" x14ac:dyDescent="0.2">
      <c r="B105" s="31" t="s">
        <v>35</v>
      </c>
      <c r="C105" s="31"/>
      <c r="D105" s="35">
        <f>D95</f>
        <v>1507292</v>
      </c>
      <c r="E105" s="32">
        <f>SUM(E98:E104)</f>
        <v>3902432</v>
      </c>
      <c r="F105" s="33">
        <f t="shared" si="6"/>
        <v>2.59</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4616514</v>
      </c>
      <c r="D109" s="16">
        <f>IF(F3="1",SUMIF(Data!$A:$A,$A$2,Data!HJ:HJ),0)</f>
        <v>351730</v>
      </c>
      <c r="E109" s="16">
        <f>IF(F3="1",SUMIF(Data!$A:$A,$A$2,Data!IN:IN),0)</f>
        <v>378011</v>
      </c>
      <c r="F109" s="48">
        <f>SUM(C109:E109)</f>
        <v>5346255</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2227</v>
      </c>
      <c r="F111" s="49">
        <f t="shared" si="7"/>
        <v>2227</v>
      </c>
    </row>
    <row r="112" spans="2:6" x14ac:dyDescent="0.2">
      <c r="B112" s="43" t="s">
        <v>32</v>
      </c>
      <c r="C112" s="51">
        <f>IF(F3="1",SUMIF(Data!A:A,$A$2,Data!V:V),0)</f>
        <v>589646</v>
      </c>
      <c r="D112" s="52"/>
      <c r="E112" s="51">
        <f>IF(F3="1",SUMIF(Data!A:A,$A$2,Data!AC:AC),0)</f>
        <v>208614</v>
      </c>
      <c r="F112" s="49">
        <f t="shared" si="7"/>
        <v>798260</v>
      </c>
    </row>
    <row r="113" spans="1:6" x14ac:dyDescent="0.2">
      <c r="B113" s="43" t="s">
        <v>31</v>
      </c>
      <c r="C113" s="51">
        <f>IF(F3="1",SUMIF(Data!A:A,$A$2,Data!U:U),0)</f>
        <v>688484</v>
      </c>
      <c r="D113" s="52"/>
      <c r="E113" s="51">
        <f>IF(F3="1",SUMIF(Data!A:A,$A$2,Data!AB:AB),0)</f>
        <v>166464</v>
      </c>
      <c r="F113" s="49">
        <f t="shared" si="7"/>
        <v>854948</v>
      </c>
    </row>
    <row r="114" spans="1:6" x14ac:dyDescent="0.2">
      <c r="B114" s="43" t="s">
        <v>1021</v>
      </c>
      <c r="C114" s="51">
        <f>IF(F3="1",SUMIF(Data!A:A,$A$2,Data!T:T),0)</f>
        <v>943396</v>
      </c>
      <c r="D114" s="52"/>
      <c r="E114" s="51">
        <f>IF(F3="1",SUMIF(Data!A:A,$A$2,Data!AA:AA),0)</f>
        <v>893380</v>
      </c>
      <c r="F114" s="49">
        <f t="shared" si="7"/>
        <v>1836776</v>
      </c>
    </row>
    <row r="115" spans="1:6" x14ac:dyDescent="0.2">
      <c r="B115" s="43" t="s">
        <v>937</v>
      </c>
      <c r="C115" s="51">
        <f>IF(F3="1",SUMIF(Data!A:A,$A$2,Data!BI:BI),0)</f>
        <v>403653</v>
      </c>
      <c r="D115" s="51">
        <f>IF(F3="1",SUMIF(Data!A:A,$A$2,Data!BL:BL),0)</f>
        <v>29088</v>
      </c>
      <c r="E115" s="51">
        <f>IF(F3="1",SUMIF(Data!A:A,$A$2,Data!BU:BU),0)</f>
        <v>1365499</v>
      </c>
      <c r="F115" s="49">
        <f t="shared" si="7"/>
        <v>1798240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116704</v>
      </c>
      <c r="E117" s="53"/>
      <c r="F117" s="50">
        <f>SUM(C117:E117)</f>
        <v>116704</v>
      </c>
    </row>
    <row r="118" spans="1:6" x14ac:dyDescent="0.2">
      <c r="B118" s="14" t="s">
        <v>35</v>
      </c>
      <c r="C118" s="5">
        <f>SUM(C109:C116)</f>
        <v>7241693</v>
      </c>
      <c r="D118" s="5">
        <f>SUM(D109:D116)</f>
        <v>380818</v>
      </c>
      <c r="E118" s="5">
        <f>SUM(E109:E116)</f>
        <v>3014195</v>
      </c>
      <c r="F118" s="5">
        <f>SUM(F109:F116)</f>
        <v>10636706</v>
      </c>
    </row>
    <row r="119" spans="1:6" ht="15" thickBot="1" x14ac:dyDescent="0.25"/>
    <row r="120" spans="1:6" ht="15" thickBot="1" x14ac:dyDescent="0.25">
      <c r="B120" s="57" t="s">
        <v>942</v>
      </c>
      <c r="C120" s="55"/>
      <c r="D120" s="55"/>
      <c r="E120" s="55">
        <f>IF(F3="1",SUMIF(Data!A:A,'9'!$A$2,Data!AM:AM),0)</f>
        <v>295744</v>
      </c>
      <c r="F120" s="56">
        <f>SUM(C120:E120)</f>
        <v>295744</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28515625" style="11" bestFit="1" customWidth="1"/>
    <col min="12" max="12" width="12.42578125" style="11" bestFit="1" customWidth="1"/>
    <col min="13" max="13" width="10.285156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360</v>
      </c>
      <c r="B2" s="60" t="str">
        <f>VLOOKUP(A2,Data!A:G,7,0)</f>
        <v>Clarendon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34368</v>
      </c>
      <c r="E5" s="16">
        <f>E36+E67+IFERROR($E$105/$D$105*D5,0)</f>
        <v>352163.33373965416</v>
      </c>
      <c r="F5" s="21">
        <f>IF(OR(D5=0,E5=0),"",ROUND(E5/D5,2))</f>
        <v>10.25</v>
      </c>
    </row>
    <row r="6" spans="1:6" x14ac:dyDescent="0.2">
      <c r="A6" s="20">
        <v>2</v>
      </c>
      <c r="B6" s="172" t="s">
        <v>1</v>
      </c>
      <c r="C6" s="173"/>
      <c r="D6" s="15">
        <f t="shared" ref="D6:D32" si="0">D37</f>
        <v>0</v>
      </c>
      <c r="E6" s="18">
        <f t="shared" ref="E6:E32" si="1">E37+E68+IFERROR($E$105/$D$105*D6,0)</f>
        <v>0</v>
      </c>
      <c r="F6" s="22" t="str">
        <f t="shared" ref="F6:F33" si="2">IF(OR(D6=0,E6=0),"",ROUND(E6/D6,2))</f>
        <v/>
      </c>
    </row>
    <row r="7" spans="1:6" ht="14.25" customHeight="1" x14ac:dyDescent="0.2">
      <c r="A7" s="20">
        <v>3</v>
      </c>
      <c r="B7" s="172" t="s">
        <v>2</v>
      </c>
      <c r="C7" s="173"/>
      <c r="D7" s="15">
        <f t="shared" si="0"/>
        <v>61360</v>
      </c>
      <c r="E7" s="18">
        <f t="shared" si="1"/>
        <v>370449.04138341418</v>
      </c>
      <c r="F7" s="22">
        <f t="shared" si="2"/>
        <v>6.04</v>
      </c>
    </row>
    <row r="8" spans="1:6" ht="14.25" customHeight="1" x14ac:dyDescent="0.2">
      <c r="A8" s="20">
        <v>4</v>
      </c>
      <c r="B8" s="172" t="s">
        <v>3</v>
      </c>
      <c r="C8" s="173"/>
      <c r="D8" s="15">
        <f t="shared" si="0"/>
        <v>33752</v>
      </c>
      <c r="E8" s="18">
        <f t="shared" si="1"/>
        <v>197047.99186396669</v>
      </c>
      <c r="F8" s="22">
        <f t="shared" si="2"/>
        <v>5.84</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0</v>
      </c>
      <c r="E10" s="18">
        <f t="shared" si="1"/>
        <v>0</v>
      </c>
      <c r="F10" s="22" t="str">
        <f t="shared" si="2"/>
        <v/>
      </c>
    </row>
    <row r="11" spans="1:6" x14ac:dyDescent="0.2">
      <c r="A11" s="20">
        <v>7</v>
      </c>
      <c r="B11" s="172" t="s">
        <v>6</v>
      </c>
      <c r="C11" s="173"/>
      <c r="D11" s="15">
        <f t="shared" si="0"/>
        <v>25456</v>
      </c>
      <c r="E11" s="18">
        <f t="shared" si="1"/>
        <v>259435.97205763025</v>
      </c>
      <c r="F11" s="22">
        <f t="shared" si="2"/>
        <v>10.19</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3424</v>
      </c>
      <c r="E13" s="18">
        <f t="shared" si="1"/>
        <v>13559.952244081</v>
      </c>
      <c r="F13" s="22">
        <f t="shared" si="2"/>
        <v>3.96</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25450</v>
      </c>
      <c r="E15" s="18">
        <f t="shared" si="1"/>
        <v>128597.04340299692</v>
      </c>
      <c r="F15" s="22">
        <f t="shared" si="2"/>
        <v>5.05</v>
      </c>
    </row>
    <row r="16" spans="1:6" ht="14.25" customHeight="1" x14ac:dyDescent="0.2">
      <c r="A16" s="20">
        <v>12</v>
      </c>
      <c r="B16" s="172" t="s">
        <v>11</v>
      </c>
      <c r="C16" s="173"/>
      <c r="D16" s="15">
        <f t="shared" si="0"/>
        <v>83776</v>
      </c>
      <c r="E16" s="18">
        <f t="shared" si="1"/>
        <v>509486.49509349588</v>
      </c>
      <c r="F16" s="22">
        <f t="shared" si="2"/>
        <v>6.08</v>
      </c>
    </row>
    <row r="17" spans="1:6" x14ac:dyDescent="0.2">
      <c r="A17" s="20">
        <v>13</v>
      </c>
      <c r="B17" s="172" t="s">
        <v>12</v>
      </c>
      <c r="C17" s="173"/>
      <c r="D17" s="15">
        <f t="shared" si="0"/>
        <v>12360</v>
      </c>
      <c r="E17" s="18">
        <f t="shared" si="1"/>
        <v>88362.028544638189</v>
      </c>
      <c r="F17" s="22">
        <f t="shared" si="2"/>
        <v>7.15</v>
      </c>
    </row>
    <row r="18" spans="1:6" ht="14.25" customHeight="1" x14ac:dyDescent="0.2">
      <c r="A18" s="20">
        <v>14</v>
      </c>
      <c r="B18" s="172" t="s">
        <v>469</v>
      </c>
      <c r="C18" s="173"/>
      <c r="D18" s="15">
        <f t="shared" si="0"/>
        <v>0</v>
      </c>
      <c r="E18" s="18">
        <f t="shared" si="1"/>
        <v>0</v>
      </c>
      <c r="F18" s="22" t="str">
        <f t="shared" si="2"/>
        <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3752</v>
      </c>
      <c r="E20" s="18">
        <f t="shared" si="1"/>
        <v>13061.718697369133</v>
      </c>
      <c r="F20" s="22">
        <f t="shared" si="2"/>
        <v>3.48</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47664</v>
      </c>
      <c r="E22" s="18">
        <f t="shared" si="1"/>
        <v>331825.23240709014</v>
      </c>
      <c r="F22" s="22">
        <f t="shared" si="2"/>
        <v>6.96</v>
      </c>
    </row>
    <row r="23" spans="1:6" x14ac:dyDescent="0.2">
      <c r="A23" s="20">
        <v>19</v>
      </c>
      <c r="B23" s="172" t="s">
        <v>17</v>
      </c>
      <c r="C23" s="173"/>
      <c r="D23" s="15">
        <f t="shared" si="0"/>
        <v>48128</v>
      </c>
      <c r="E23" s="18">
        <f t="shared" si="1"/>
        <v>278868.04836540023</v>
      </c>
      <c r="F23" s="22">
        <f t="shared" si="2"/>
        <v>5.79</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1088</v>
      </c>
      <c r="E26" s="18">
        <f t="shared" si="1"/>
        <v>4453.3960401752711</v>
      </c>
      <c r="F26" s="22">
        <f t="shared" si="2"/>
        <v>4.09</v>
      </c>
    </row>
    <row r="27" spans="1:6" x14ac:dyDescent="0.2">
      <c r="A27" s="20">
        <v>23</v>
      </c>
      <c r="B27" s="172" t="s">
        <v>20</v>
      </c>
      <c r="C27" s="173"/>
      <c r="D27" s="15">
        <f t="shared" si="0"/>
        <v>40080</v>
      </c>
      <c r="E27" s="18">
        <f t="shared" si="1"/>
        <v>374829.4129505743</v>
      </c>
      <c r="F27" s="22">
        <f t="shared" si="2"/>
        <v>9.35</v>
      </c>
    </row>
    <row r="28" spans="1:6" x14ac:dyDescent="0.2">
      <c r="A28" s="20">
        <v>24</v>
      </c>
      <c r="B28" s="172" t="s">
        <v>21</v>
      </c>
      <c r="C28" s="173"/>
      <c r="D28" s="15">
        <f t="shared" si="0"/>
        <v>12024</v>
      </c>
      <c r="E28" s="18">
        <f t="shared" si="1"/>
        <v>37933.023885172297</v>
      </c>
      <c r="F28" s="22">
        <f t="shared" si="2"/>
        <v>3.15</v>
      </c>
    </row>
    <row r="29" spans="1:6" x14ac:dyDescent="0.2">
      <c r="A29" s="20">
        <v>25</v>
      </c>
      <c r="B29" s="172" t="s">
        <v>22</v>
      </c>
      <c r="C29" s="173"/>
      <c r="D29" s="15">
        <f t="shared" si="0"/>
        <v>88848</v>
      </c>
      <c r="E29" s="18">
        <f t="shared" si="1"/>
        <v>509352.51781019528</v>
      </c>
      <c r="F29" s="22">
        <f t="shared" si="2"/>
        <v>5.73</v>
      </c>
    </row>
    <row r="30" spans="1:6" x14ac:dyDescent="0.2">
      <c r="A30" s="20">
        <v>26</v>
      </c>
      <c r="B30" s="172" t="s">
        <v>23</v>
      </c>
      <c r="C30" s="173"/>
      <c r="D30" s="15">
        <f t="shared" si="0"/>
        <v>33040</v>
      </c>
      <c r="E30" s="18">
        <f t="shared" si="1"/>
        <v>199209.79151414608</v>
      </c>
      <c r="F30" s="22">
        <f t="shared" si="2"/>
        <v>6.03</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554570</v>
      </c>
      <c r="E33" s="32">
        <f>SUM(E5:E32)</f>
        <v>3668635</v>
      </c>
      <c r="F33" s="33">
        <f t="shared" si="2"/>
        <v>6.62</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IF(F3="1",SUMIF(Data!A:A,'10'!$A$2,Data!CU:CU),0)</f>
        <v>34368</v>
      </c>
      <c r="E36" s="16">
        <f>IF(F3="1",SUMIF(Data!$A:$A,'10'!$A$2,Data!IO:IO),0)</f>
        <v>70511</v>
      </c>
      <c r="F36" s="21">
        <f>IF(D36=0,"",ROUND(E36/D36,2))</f>
        <v>2.0499999999999998</v>
      </c>
    </row>
    <row r="37" spans="1:6" x14ac:dyDescent="0.2">
      <c r="A37" s="20">
        <v>2</v>
      </c>
      <c r="B37" s="172" t="s">
        <v>1</v>
      </c>
      <c r="C37" s="173"/>
      <c r="D37" s="15">
        <f>IF(F3="1",SUMIF(Data!A:A,'10'!$A$2,Data!CV:CV),0)</f>
        <v>0</v>
      </c>
      <c r="E37" s="18">
        <f>IF(F3="1",SUMIF(Data!$A:$A,'10'!$A$2,Data!IP:IP),0)</f>
        <v>0</v>
      </c>
      <c r="F37" s="22" t="str">
        <f t="shared" ref="F37:F64" si="3">IF(D37=0,"",ROUND(E37/D37,2))</f>
        <v/>
      </c>
    </row>
    <row r="38" spans="1:6" ht="14.25" customHeight="1" x14ac:dyDescent="0.2">
      <c r="A38" s="20">
        <v>3</v>
      </c>
      <c r="B38" s="172" t="s">
        <v>2</v>
      </c>
      <c r="C38" s="173"/>
      <c r="D38" s="15">
        <f>IF(F3="1",SUMIF(Data!A:A,'10'!$A$2,Data!CW:CW),0)</f>
        <v>61360</v>
      </c>
      <c r="E38" s="18">
        <f>IF(F3="1",SUMIF(Data!$A:$A,'10'!$A$2,Data!IQ:IQ),0)</f>
        <v>60967</v>
      </c>
      <c r="F38" s="22">
        <f t="shared" si="3"/>
        <v>0.99</v>
      </c>
    </row>
    <row r="39" spans="1:6" ht="14.25" customHeight="1" x14ac:dyDescent="0.2">
      <c r="A39" s="20">
        <v>4</v>
      </c>
      <c r="B39" s="172" t="s">
        <v>3</v>
      </c>
      <c r="C39" s="173"/>
      <c r="D39" s="15">
        <f>IF(F3="1",SUMIF(Data!A:A,'10'!$A$2,Data!CX:CX),0)</f>
        <v>33752</v>
      </c>
      <c r="E39" s="18">
        <f>IF(F3="1",SUMIF(Data!$A:$A,'10'!$A$2,Data!IR:IR),0)</f>
        <v>11088</v>
      </c>
      <c r="F39" s="22">
        <f t="shared" si="3"/>
        <v>0.33</v>
      </c>
    </row>
    <row r="40" spans="1:6" x14ac:dyDescent="0.2">
      <c r="A40" s="20">
        <v>5</v>
      </c>
      <c r="B40" s="172" t="s">
        <v>4</v>
      </c>
      <c r="C40" s="173"/>
      <c r="D40" s="15">
        <f>IF(F3="1",SUMIF(Data!A:A,'10'!$A$2,Data!CY:CY),0)</f>
        <v>0</v>
      </c>
      <c r="E40" s="18">
        <f>IF(F3="1",SUMIF(Data!$A:$A,'10'!$A$2,Data!IS:IS),0)</f>
        <v>0</v>
      </c>
      <c r="F40" s="22" t="str">
        <f t="shared" si="3"/>
        <v/>
      </c>
    </row>
    <row r="41" spans="1:6" x14ac:dyDescent="0.2">
      <c r="A41" s="20">
        <v>6</v>
      </c>
      <c r="B41" s="172" t="s">
        <v>5</v>
      </c>
      <c r="C41" s="173"/>
      <c r="D41" s="15">
        <f>IF(F3="1",SUMIF(Data!A:A,'10'!$A$2,Data!CZ:CZ),0)</f>
        <v>0</v>
      </c>
      <c r="E41" s="18">
        <f>IF(F3="1",SUMIF(Data!$A:$A,'10'!$A$2,Data!IT:IT),0)</f>
        <v>0</v>
      </c>
      <c r="F41" s="22" t="str">
        <f t="shared" si="3"/>
        <v/>
      </c>
    </row>
    <row r="42" spans="1:6" x14ac:dyDescent="0.2">
      <c r="A42" s="20">
        <v>7</v>
      </c>
      <c r="B42" s="172" t="s">
        <v>6</v>
      </c>
      <c r="C42" s="173"/>
      <c r="D42" s="15">
        <f>IF(F3="1",SUMIF(Data!A:A,'10'!$A$2,Data!DA:DA),0)</f>
        <v>25456</v>
      </c>
      <c r="E42" s="18">
        <f>IF(F3="1",SUMIF(Data!$A:$A,'10'!$A$2,Data!IU:IU),0)</f>
        <v>34662</v>
      </c>
      <c r="F42" s="22">
        <f t="shared" si="3"/>
        <v>1.36</v>
      </c>
    </row>
    <row r="43" spans="1:6" x14ac:dyDescent="0.2">
      <c r="A43" s="20">
        <v>8</v>
      </c>
      <c r="B43" s="172" t="s">
        <v>7</v>
      </c>
      <c r="C43" s="173"/>
      <c r="D43" s="15">
        <f>IF(F3="1",SUMIF(Data!A:A,'10'!$A$2,Data!DB:DB),0)</f>
        <v>0</v>
      </c>
      <c r="E43" s="18">
        <f>IF(F3="1",SUMIF(Data!$A:$A,'10'!$A$2,Data!IV:IV),0)</f>
        <v>0</v>
      </c>
      <c r="F43" s="22" t="str">
        <f t="shared" si="3"/>
        <v/>
      </c>
    </row>
    <row r="44" spans="1:6" x14ac:dyDescent="0.2">
      <c r="A44" s="20">
        <v>9</v>
      </c>
      <c r="B44" s="172" t="s">
        <v>8</v>
      </c>
      <c r="C44" s="173"/>
      <c r="D44" s="15">
        <f>IF(F3="1",SUMIF(Data!A:A,'10'!$A$2,Data!DC:DC),0)</f>
        <v>3424</v>
      </c>
      <c r="E44" s="18">
        <f>IF(F3="1",SUMIF(Data!$A:$A,'10'!$A$2,Data!IW:IW),0)</f>
        <v>2758</v>
      </c>
      <c r="F44" s="22">
        <f t="shared" si="3"/>
        <v>0.81</v>
      </c>
    </row>
    <row r="45" spans="1:6" x14ac:dyDescent="0.2">
      <c r="A45" s="20">
        <v>10</v>
      </c>
      <c r="B45" s="172" t="s">
        <v>9</v>
      </c>
      <c r="C45" s="173"/>
      <c r="D45" s="15">
        <f>IF(F3="1",SUMIF(Data!A:A,'10'!$A$2,Data!DD:DD),0)</f>
        <v>0</v>
      </c>
      <c r="E45" s="18">
        <f>IF(F3="1",SUMIF(Data!$A:$A,'10'!$A$2,Data!IX:IX),0)</f>
        <v>0</v>
      </c>
      <c r="F45" s="22" t="str">
        <f t="shared" si="3"/>
        <v/>
      </c>
    </row>
    <row r="46" spans="1:6" x14ac:dyDescent="0.2">
      <c r="A46" s="20">
        <v>11</v>
      </c>
      <c r="B46" s="172" t="s">
        <v>10</v>
      </c>
      <c r="C46" s="173"/>
      <c r="D46" s="15">
        <f>IF(F3="1",SUMIF(Data!A:A,'10'!$A$2,Data!DE:DE),0)</f>
        <v>25450</v>
      </c>
      <c r="E46" s="18">
        <f>IF(F3="1",SUMIF(Data!$A:$A,'10'!$A$2,Data!IY:IY),0)</f>
        <v>7993</v>
      </c>
      <c r="F46" s="22">
        <f t="shared" si="3"/>
        <v>0.31</v>
      </c>
    </row>
    <row r="47" spans="1:6" ht="14.25" customHeight="1" x14ac:dyDescent="0.2">
      <c r="A47" s="20">
        <v>12</v>
      </c>
      <c r="B47" s="172" t="s">
        <v>11</v>
      </c>
      <c r="C47" s="173"/>
      <c r="D47" s="15">
        <f>IF(F3="1",SUMIF(Data!A:A,'10'!$A$2,Data!DF:DF),0)</f>
        <v>83776</v>
      </c>
      <c r="E47" s="18">
        <f>IF(F3="1",SUMIF(Data!$A:$A,'10'!$A$2,Data!IZ:IZ),0)</f>
        <v>99871</v>
      </c>
      <c r="F47" s="22">
        <f t="shared" si="3"/>
        <v>1.19</v>
      </c>
    </row>
    <row r="48" spans="1:6" x14ac:dyDescent="0.2">
      <c r="A48" s="20">
        <v>13</v>
      </c>
      <c r="B48" s="172" t="s">
        <v>12</v>
      </c>
      <c r="C48" s="173"/>
      <c r="D48" s="15">
        <f>IF(F3="1",SUMIF(Data!A:A,'10'!$A$2,Data!DG:DG),0)</f>
        <v>12360</v>
      </c>
      <c r="E48" s="18">
        <f>IF(F3="1",SUMIF(Data!$A:$A,'10'!$A$2,Data!JA:JA),0)</f>
        <v>13597</v>
      </c>
      <c r="F48" s="22">
        <f t="shared" si="3"/>
        <v>1.1000000000000001</v>
      </c>
    </row>
    <row r="49" spans="1:6" ht="14.25" customHeight="1" x14ac:dyDescent="0.2">
      <c r="A49" s="20">
        <v>14</v>
      </c>
      <c r="B49" s="172" t="s">
        <v>469</v>
      </c>
      <c r="C49" s="173"/>
      <c r="D49" s="15">
        <f>IF(F3="1",SUMIF(Data!A:A,'10'!$A$2,Data!DH:DH),0)</f>
        <v>0</v>
      </c>
      <c r="E49" s="18">
        <f>IF(F3="1",SUMIF(Data!$A:$A,'10'!$A$2,Data!JB:JB),0)</f>
        <v>0</v>
      </c>
      <c r="F49" s="22" t="str">
        <f t="shared" si="3"/>
        <v/>
      </c>
    </row>
    <row r="50" spans="1:6" x14ac:dyDescent="0.2">
      <c r="A50" s="20">
        <v>15</v>
      </c>
      <c r="B50" s="172" t="s">
        <v>13</v>
      </c>
      <c r="C50" s="173"/>
      <c r="D50" s="15">
        <f>IF(F3="1",SUMIF(Data!A:A,'10'!$A$2,Data!DI:DI),0)</f>
        <v>0</v>
      </c>
      <c r="E50" s="18">
        <f>IF(F3="1",SUMIF(Data!$A:$A,'10'!$A$2,Data!JC:JC),0)</f>
        <v>0</v>
      </c>
      <c r="F50" s="22" t="str">
        <f t="shared" si="3"/>
        <v/>
      </c>
    </row>
    <row r="51" spans="1:6" x14ac:dyDescent="0.2">
      <c r="A51" s="20">
        <v>16</v>
      </c>
      <c r="B51" s="172" t="s">
        <v>14</v>
      </c>
      <c r="C51" s="173"/>
      <c r="D51" s="15">
        <f>IF(F3="1",SUMIF(Data!A:A,'10'!$A$2,Data!DJ:DJ),0)</f>
        <v>3752</v>
      </c>
      <c r="E51" s="18">
        <f>IF(F3="1",SUMIF(Data!$A:$A,'10'!$A$2,Data!JD:JD),0)</f>
        <v>1225</v>
      </c>
      <c r="F51" s="22">
        <f t="shared" si="3"/>
        <v>0.33</v>
      </c>
    </row>
    <row r="52" spans="1:6" x14ac:dyDescent="0.2">
      <c r="A52" s="20">
        <v>17</v>
      </c>
      <c r="B52" s="172" t="s">
        <v>15</v>
      </c>
      <c r="C52" s="173"/>
      <c r="D52" s="15">
        <f>IF(F3="1",SUMIF(Data!A:A,'10'!$A$2,Data!DK:DK),0)</f>
        <v>0</v>
      </c>
      <c r="E52" s="18">
        <f>IF(F3="1",SUMIF(Data!$A:$A,'10'!$A$2,Data!JE:JE),0)</f>
        <v>0</v>
      </c>
      <c r="F52" s="22" t="str">
        <f t="shared" si="3"/>
        <v/>
      </c>
    </row>
    <row r="53" spans="1:6" x14ac:dyDescent="0.2">
      <c r="A53" s="20">
        <v>18</v>
      </c>
      <c r="B53" s="172" t="s">
        <v>16</v>
      </c>
      <c r="C53" s="173"/>
      <c r="D53" s="15">
        <f>IF(F3="1",SUMIF(Data!A:A,'10'!$A$2,Data!DL:DL),0)</f>
        <v>47664</v>
      </c>
      <c r="E53" s="18">
        <f>IF(F3="1",SUMIF(Data!$A:$A,'10'!$A$2,Data!JF:JF),0)</f>
        <v>32213</v>
      </c>
      <c r="F53" s="22">
        <f t="shared" si="3"/>
        <v>0.68</v>
      </c>
    </row>
    <row r="54" spans="1:6" x14ac:dyDescent="0.2">
      <c r="A54" s="20">
        <v>19</v>
      </c>
      <c r="B54" s="172" t="s">
        <v>17</v>
      </c>
      <c r="C54" s="173"/>
      <c r="D54" s="15">
        <f>IF(F3="1",SUMIF(Data!A:A,'10'!$A$2,Data!DM:DM),0)</f>
        <v>48128</v>
      </c>
      <c r="E54" s="18">
        <f>IF(F3="1",SUMIF(Data!$A:$A,'10'!$A$2,Data!JG:JG),0)</f>
        <v>50497</v>
      </c>
      <c r="F54" s="22">
        <f t="shared" si="3"/>
        <v>1.05</v>
      </c>
    </row>
    <row r="55" spans="1:6" x14ac:dyDescent="0.2">
      <c r="A55" s="20">
        <v>20</v>
      </c>
      <c r="B55" s="172" t="s">
        <v>18</v>
      </c>
      <c r="C55" s="173"/>
      <c r="D55" s="15">
        <f>IF(F3="1",SUMIF(Data!A:A,'10'!$A$2,Data!DN:DN),0)</f>
        <v>0</v>
      </c>
      <c r="E55" s="18">
        <f>IF(F3="1",SUMIF(Data!$A:$A,'10'!$A$2,Data!JH:JH),0)</f>
        <v>0</v>
      </c>
      <c r="F55" s="22" t="str">
        <f t="shared" si="3"/>
        <v/>
      </c>
    </row>
    <row r="56" spans="1:6" ht="14.25" customHeight="1" x14ac:dyDescent="0.2">
      <c r="A56" s="20">
        <v>21</v>
      </c>
      <c r="B56" s="172" t="s">
        <v>466</v>
      </c>
      <c r="C56" s="173"/>
      <c r="D56" s="15">
        <f>IF(F3="1",SUMIF(Data!A:A,'10'!$A$2,Data!DO:DO),0)</f>
        <v>0</v>
      </c>
      <c r="E56" s="18">
        <f>IF(F3="1",SUMIF(Data!$A:$A,'10'!$A$2,Data!JI:JI),0)</f>
        <v>0</v>
      </c>
      <c r="F56" s="22" t="str">
        <f t="shared" si="3"/>
        <v/>
      </c>
    </row>
    <row r="57" spans="1:6" x14ac:dyDescent="0.2">
      <c r="A57" s="20">
        <v>22</v>
      </c>
      <c r="B57" s="172" t="s">
        <v>19</v>
      </c>
      <c r="C57" s="173"/>
      <c r="D57" s="15">
        <f>IF(F3="1",SUMIF(Data!A:A,'10'!$A$2,Data!DP:DP),0)</f>
        <v>1088</v>
      </c>
      <c r="E57" s="18">
        <f>IF(F3="1",SUMIF(Data!$A:$A,'10'!$A$2,Data!JJ:JJ),0)</f>
        <v>1021</v>
      </c>
      <c r="F57" s="22">
        <f t="shared" si="3"/>
        <v>0.94</v>
      </c>
    </row>
    <row r="58" spans="1:6" x14ac:dyDescent="0.2">
      <c r="A58" s="20">
        <v>23</v>
      </c>
      <c r="B58" s="172" t="s">
        <v>20</v>
      </c>
      <c r="C58" s="173"/>
      <c r="D58" s="15">
        <f>IF(F3="1",SUMIF(Data!A:A,'10'!$A$2,Data!DQ:DQ),0)</f>
        <v>40080</v>
      </c>
      <c r="E58" s="18">
        <f>IF(F3="1",SUMIF(Data!$A:$A,'10'!$A$2,Data!JK:JK),0)</f>
        <v>60532</v>
      </c>
      <c r="F58" s="22">
        <f t="shared" si="3"/>
        <v>1.51</v>
      </c>
    </row>
    <row r="59" spans="1:6" x14ac:dyDescent="0.2">
      <c r="A59" s="20">
        <v>24</v>
      </c>
      <c r="B59" s="172" t="s">
        <v>21</v>
      </c>
      <c r="C59" s="173"/>
      <c r="D59" s="15">
        <f>IF(F3="1",SUMIF(Data!A:A,'10'!$A$2,Data!DR:DR),0)</f>
        <v>12024</v>
      </c>
      <c r="E59" s="18">
        <f>IF(F3="1",SUMIF(Data!$A:$A,'10'!$A$2,Data!JL:JL),0)</f>
        <v>0</v>
      </c>
      <c r="F59" s="22">
        <f t="shared" si="3"/>
        <v>0</v>
      </c>
    </row>
    <row r="60" spans="1:6" x14ac:dyDescent="0.2">
      <c r="A60" s="20">
        <v>25</v>
      </c>
      <c r="B60" s="172" t="s">
        <v>22</v>
      </c>
      <c r="C60" s="173"/>
      <c r="D60" s="15">
        <f>IF(F3="1",SUMIF(Data!A:A,'10'!$A$2,Data!DS:DS),0)</f>
        <v>88848</v>
      </c>
      <c r="E60" s="18">
        <f>IF(F3="1",SUMIF(Data!$A:$A,'10'!$A$2,Data!JM:JM),0)</f>
        <v>93301</v>
      </c>
      <c r="F60" s="22">
        <f t="shared" si="3"/>
        <v>1.05</v>
      </c>
    </row>
    <row r="61" spans="1:6" x14ac:dyDescent="0.2">
      <c r="A61" s="20">
        <v>26</v>
      </c>
      <c r="B61" s="172" t="s">
        <v>23</v>
      </c>
      <c r="C61" s="173"/>
      <c r="D61" s="15">
        <f>IF(F3="1",SUMIF(Data!A:A,'10'!$A$2,Data!DT:DT),0)</f>
        <v>33040</v>
      </c>
      <c r="E61" s="18">
        <f>IF(F3="1",SUMIF(Data!$A:$A,'10'!$A$2,Data!JN:JN),0)</f>
        <v>24031</v>
      </c>
      <c r="F61" s="22">
        <f t="shared" si="3"/>
        <v>0.73</v>
      </c>
    </row>
    <row r="62" spans="1:6" x14ac:dyDescent="0.2">
      <c r="A62" s="20">
        <v>28</v>
      </c>
      <c r="B62" s="172" t="s">
        <v>24</v>
      </c>
      <c r="C62" s="173"/>
      <c r="D62" s="15">
        <f>IF(F3="1",SUMIF(Data!A:A,'10'!$A$2,Data!DV:DV),0)</f>
        <v>0</v>
      </c>
      <c r="E62" s="18">
        <f>IF(F3="1",SUMIF(Data!$A:$A,'10'!$A$2,Data!JP:JP),0)</f>
        <v>0</v>
      </c>
      <c r="F62" s="22" t="str">
        <f t="shared" si="3"/>
        <v/>
      </c>
    </row>
    <row r="63" spans="1:6" ht="15.75" customHeight="1" thickBot="1" x14ac:dyDescent="0.25">
      <c r="A63" s="23">
        <v>29</v>
      </c>
      <c r="B63" s="174" t="s">
        <v>25</v>
      </c>
      <c r="C63" s="175"/>
      <c r="D63" s="24">
        <f>IF(F3="1",SUMIF(Data!A:A,'10'!$A$2,Data!DW:DW),0)</f>
        <v>0</v>
      </c>
      <c r="E63" s="25">
        <f>IF(F3="1",SUMIF(Data!$A:$A,'10'!$A$2,Data!JQ:JQ),0)</f>
        <v>0</v>
      </c>
      <c r="F63" s="26" t="str">
        <f t="shared" si="3"/>
        <v/>
      </c>
    </row>
    <row r="64" spans="1:6" x14ac:dyDescent="0.2">
      <c r="B64" s="31" t="s">
        <v>35</v>
      </c>
      <c r="C64" s="31"/>
      <c r="D64" s="61">
        <f>SUM(D36:D63)</f>
        <v>554570</v>
      </c>
      <c r="E64" s="32">
        <f>SUM(E36:E63)</f>
        <v>564267</v>
      </c>
      <c r="F64" s="33">
        <f t="shared" si="3"/>
        <v>1.02</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34368</v>
      </c>
      <c r="E67" s="16">
        <f>IF(F3="1",SUMIF(Data!A:A,'10'!$A$2,Data!DY:DY),0)</f>
        <v>173229</v>
      </c>
      <c r="F67" s="21">
        <f t="shared" ref="F67:F95" si="4">IF(D67=0,"",ROUND(E67/D67,2))</f>
        <v>5.04</v>
      </c>
    </row>
    <row r="68" spans="1:6" x14ac:dyDescent="0.2">
      <c r="A68" s="20">
        <v>2</v>
      </c>
      <c r="B68" s="172" t="s">
        <v>1</v>
      </c>
      <c r="C68" s="173"/>
      <c r="D68" s="15">
        <f t="shared" ref="D68:D94" si="5">D37</f>
        <v>0</v>
      </c>
      <c r="E68" s="18">
        <f>IF(F3="1",SUMIF(Data!A:A,'10'!$A$2,Data!DZ:DZ),0)</f>
        <v>0</v>
      </c>
      <c r="F68" s="22" t="str">
        <f t="shared" si="4"/>
        <v/>
      </c>
    </row>
    <row r="69" spans="1:6" ht="14.25" customHeight="1" x14ac:dyDescent="0.2">
      <c r="A69" s="20">
        <v>3</v>
      </c>
      <c r="B69" s="172" t="s">
        <v>2</v>
      </c>
      <c r="C69" s="173"/>
      <c r="D69" s="15">
        <f t="shared" si="5"/>
        <v>61360</v>
      </c>
      <c r="E69" s="18">
        <f>IF(F3="1",SUMIF(Data!A:A,'10'!$A$2,Data!EA:EA),0)</f>
        <v>115905</v>
      </c>
      <c r="F69" s="22">
        <f t="shared" si="4"/>
        <v>1.89</v>
      </c>
    </row>
    <row r="70" spans="1:6" ht="14.25" customHeight="1" x14ac:dyDescent="0.2">
      <c r="A70" s="20">
        <v>4</v>
      </c>
      <c r="B70" s="172" t="s">
        <v>3</v>
      </c>
      <c r="C70" s="173"/>
      <c r="D70" s="15">
        <f t="shared" si="5"/>
        <v>33752</v>
      </c>
      <c r="E70" s="18">
        <f>IF(F3="1",SUMIF(Data!A:A,'10'!$A$2,Data!EB:EB),0)</f>
        <v>79480</v>
      </c>
      <c r="F70" s="22">
        <f t="shared" si="4"/>
        <v>2.35</v>
      </c>
    </row>
    <row r="71" spans="1:6" x14ac:dyDescent="0.2">
      <c r="A71" s="20">
        <v>5</v>
      </c>
      <c r="B71" s="172" t="s">
        <v>4</v>
      </c>
      <c r="C71" s="173"/>
      <c r="D71" s="15">
        <f t="shared" si="5"/>
        <v>0</v>
      </c>
      <c r="E71" s="18">
        <f>IF(F3="1",SUMIF(Data!A:A,'10'!$A$2,Data!EC:EC),0)</f>
        <v>0</v>
      </c>
      <c r="F71" s="22" t="str">
        <f t="shared" si="4"/>
        <v/>
      </c>
    </row>
    <row r="72" spans="1:6" x14ac:dyDescent="0.2">
      <c r="A72" s="20">
        <v>6</v>
      </c>
      <c r="B72" s="172" t="s">
        <v>5</v>
      </c>
      <c r="C72" s="173"/>
      <c r="D72" s="15">
        <f t="shared" si="5"/>
        <v>0</v>
      </c>
      <c r="E72" s="18">
        <f>IF(F3="1",SUMIF(Data!A:A,'10'!$A$2,Data!ED:ED),0)</f>
        <v>0</v>
      </c>
      <c r="F72" s="22" t="str">
        <f t="shared" si="4"/>
        <v/>
      </c>
    </row>
    <row r="73" spans="1:6" x14ac:dyDescent="0.2">
      <c r="A73" s="20">
        <v>7</v>
      </c>
      <c r="B73" s="172" t="s">
        <v>6</v>
      </c>
      <c r="C73" s="173"/>
      <c r="D73" s="15">
        <f t="shared" si="5"/>
        <v>25456</v>
      </c>
      <c r="E73" s="18">
        <f>IF(F3="1",SUMIF(Data!A:A,'10'!$A$2,Data!EE:EE),0)</f>
        <v>144466</v>
      </c>
      <c r="F73" s="22">
        <f t="shared" si="4"/>
        <v>5.68</v>
      </c>
    </row>
    <row r="74" spans="1:6" x14ac:dyDescent="0.2">
      <c r="A74" s="20">
        <v>8</v>
      </c>
      <c r="B74" s="172" t="s">
        <v>7</v>
      </c>
      <c r="C74" s="173"/>
      <c r="D74" s="15">
        <f t="shared" si="5"/>
        <v>0</v>
      </c>
      <c r="E74" s="18">
        <f>IF(F3="1",SUMIF(Data!A:A,'10'!$A$2,Data!EF:EF),0)</f>
        <v>0</v>
      </c>
      <c r="F74" s="22" t="str">
        <f t="shared" si="4"/>
        <v/>
      </c>
    </row>
    <row r="75" spans="1:6" x14ac:dyDescent="0.2">
      <c r="A75" s="20">
        <v>9</v>
      </c>
      <c r="B75" s="172" t="s">
        <v>8</v>
      </c>
      <c r="C75" s="173"/>
      <c r="D75" s="15">
        <f t="shared" si="5"/>
        <v>3424</v>
      </c>
      <c r="E75" s="18">
        <f>IF(F3="1",SUMIF(Data!A:A,'10'!$A$2,Data!EG:EG),0)</f>
        <v>0</v>
      </c>
      <c r="F75" s="22">
        <f t="shared" si="4"/>
        <v>0</v>
      </c>
    </row>
    <row r="76" spans="1:6" x14ac:dyDescent="0.2">
      <c r="A76" s="20">
        <v>10</v>
      </c>
      <c r="B76" s="172" t="s">
        <v>9</v>
      </c>
      <c r="C76" s="173"/>
      <c r="D76" s="15">
        <f t="shared" si="5"/>
        <v>0</v>
      </c>
      <c r="E76" s="18">
        <f>IF(F3="1",SUMIF(Data!A:A,'10'!$A$2,Data!EH:EH),0)</f>
        <v>0</v>
      </c>
      <c r="F76" s="22" t="str">
        <f t="shared" si="4"/>
        <v/>
      </c>
    </row>
    <row r="77" spans="1:6" x14ac:dyDescent="0.2">
      <c r="A77" s="20">
        <v>11</v>
      </c>
      <c r="B77" s="172" t="s">
        <v>10</v>
      </c>
      <c r="C77" s="173"/>
      <c r="D77" s="15">
        <f t="shared" si="5"/>
        <v>25450</v>
      </c>
      <c r="E77" s="18">
        <f>IF(F3="1",SUMIF(Data!A:A,'10'!$A$2,Data!EI:EI),0)</f>
        <v>40315</v>
      </c>
      <c r="F77" s="22">
        <f t="shared" si="4"/>
        <v>1.58</v>
      </c>
    </row>
    <row r="78" spans="1:6" ht="14.25" customHeight="1" x14ac:dyDescent="0.2">
      <c r="A78" s="20">
        <v>12</v>
      </c>
      <c r="B78" s="172" t="s">
        <v>11</v>
      </c>
      <c r="C78" s="173"/>
      <c r="D78" s="15">
        <f t="shared" si="5"/>
        <v>83776</v>
      </c>
      <c r="E78" s="18">
        <f>IF(F3="1",SUMIF(Data!A:A,'10'!$A$2,Data!EJ:EJ),0)</f>
        <v>145321</v>
      </c>
      <c r="F78" s="22">
        <f t="shared" si="4"/>
        <v>1.73</v>
      </c>
    </row>
    <row r="79" spans="1:6" x14ac:dyDescent="0.2">
      <c r="A79" s="20">
        <v>13</v>
      </c>
      <c r="B79" s="172" t="s">
        <v>12</v>
      </c>
      <c r="C79" s="173"/>
      <c r="D79" s="15">
        <f t="shared" si="5"/>
        <v>12360</v>
      </c>
      <c r="E79" s="18">
        <f>IF(F3="1",SUMIF(Data!A:A,'10'!$A$2,Data!EK:EK),0)</f>
        <v>35772</v>
      </c>
      <c r="F79" s="22">
        <f t="shared" si="4"/>
        <v>2.89</v>
      </c>
    </row>
    <row r="80" spans="1:6" ht="14.25" customHeight="1" x14ac:dyDescent="0.2">
      <c r="A80" s="20">
        <v>14</v>
      </c>
      <c r="B80" s="172" t="s">
        <v>469</v>
      </c>
      <c r="C80" s="173"/>
      <c r="D80" s="15">
        <f t="shared" si="5"/>
        <v>0</v>
      </c>
      <c r="E80" s="18">
        <f>IF(F3="1",SUMIF(Data!A:A,'10'!$A$2,Data!EL:EL),0)</f>
        <v>0</v>
      </c>
      <c r="F80" s="22" t="str">
        <f t="shared" si="4"/>
        <v/>
      </c>
    </row>
    <row r="81" spans="1:6" x14ac:dyDescent="0.2">
      <c r="A81" s="20">
        <v>15</v>
      </c>
      <c r="B81" s="172" t="s">
        <v>13</v>
      </c>
      <c r="C81" s="173"/>
      <c r="D81" s="15">
        <f t="shared" si="5"/>
        <v>0</v>
      </c>
      <c r="E81" s="18">
        <f>IF(F3="1",SUMIF(Data!A:A,'10'!$A$2,Data!EM:EM),0)</f>
        <v>0</v>
      </c>
      <c r="F81" s="22" t="str">
        <f t="shared" si="4"/>
        <v/>
      </c>
    </row>
    <row r="82" spans="1:6" x14ac:dyDescent="0.2">
      <c r="A82" s="20">
        <v>16</v>
      </c>
      <c r="B82" s="172" t="s">
        <v>14</v>
      </c>
      <c r="C82" s="173"/>
      <c r="D82" s="15">
        <f t="shared" si="5"/>
        <v>3752</v>
      </c>
      <c r="E82" s="18">
        <f>IF(F3="1",SUMIF(Data!A:A,'10'!$A$2,Data!EN:EN),0)</f>
        <v>0</v>
      </c>
      <c r="F82" s="22">
        <f t="shared" si="4"/>
        <v>0</v>
      </c>
    </row>
    <row r="83" spans="1:6" x14ac:dyDescent="0.2">
      <c r="A83" s="20">
        <v>17</v>
      </c>
      <c r="B83" s="172" t="s">
        <v>15</v>
      </c>
      <c r="C83" s="173"/>
      <c r="D83" s="15">
        <f t="shared" si="5"/>
        <v>0</v>
      </c>
      <c r="E83" s="18">
        <f>IF(F3="1",SUMIF(Data!A:A,'10'!$A$2,Data!EO:EO),0)</f>
        <v>0</v>
      </c>
      <c r="F83" s="22" t="str">
        <f t="shared" si="4"/>
        <v/>
      </c>
    </row>
    <row r="84" spans="1:6" x14ac:dyDescent="0.2">
      <c r="A84" s="20">
        <v>18</v>
      </c>
      <c r="B84" s="172" t="s">
        <v>16</v>
      </c>
      <c r="C84" s="173"/>
      <c r="D84" s="15">
        <f t="shared" si="5"/>
        <v>47664</v>
      </c>
      <c r="E84" s="18">
        <f>IF(F3="1",SUMIF(Data!A:A,'10'!$A$2,Data!EP:EP),0)</f>
        <v>149243</v>
      </c>
      <c r="F84" s="22">
        <f t="shared" si="4"/>
        <v>3.13</v>
      </c>
    </row>
    <row r="85" spans="1:6" x14ac:dyDescent="0.2">
      <c r="A85" s="20">
        <v>19</v>
      </c>
      <c r="B85" s="172" t="s">
        <v>17</v>
      </c>
      <c r="C85" s="173"/>
      <c r="D85" s="15">
        <f t="shared" si="5"/>
        <v>48128</v>
      </c>
      <c r="E85" s="18">
        <f>IF(F3="1",SUMIF(Data!A:A,'10'!$A$2,Data!EQ:EQ),0)</f>
        <v>76538</v>
      </c>
      <c r="F85" s="22">
        <f t="shared" si="4"/>
        <v>1.59</v>
      </c>
    </row>
    <row r="86" spans="1:6" x14ac:dyDescent="0.2">
      <c r="A86" s="20">
        <v>20</v>
      </c>
      <c r="B86" s="172" t="s">
        <v>18</v>
      </c>
      <c r="C86" s="173"/>
      <c r="D86" s="15">
        <f t="shared" si="5"/>
        <v>0</v>
      </c>
      <c r="E86" s="18">
        <f>IF(F3="1",SUMIF(Data!A:A,'10'!$A$2,Data!ER:ER),0)</f>
        <v>0</v>
      </c>
      <c r="F86" s="22" t="str">
        <f t="shared" si="4"/>
        <v/>
      </c>
    </row>
    <row r="87" spans="1:6" ht="14.25" customHeight="1" x14ac:dyDescent="0.2">
      <c r="A87" s="20">
        <v>21</v>
      </c>
      <c r="B87" s="172" t="s">
        <v>466</v>
      </c>
      <c r="C87" s="173"/>
      <c r="D87" s="15">
        <f t="shared" si="5"/>
        <v>0</v>
      </c>
      <c r="E87" s="18">
        <f>IF(F3="1",SUMIF(Data!A:A,'10'!$A$2,Data!ES:ES),0)</f>
        <v>0</v>
      </c>
      <c r="F87" s="22" t="str">
        <f t="shared" si="4"/>
        <v/>
      </c>
    </row>
    <row r="88" spans="1:6" x14ac:dyDescent="0.2">
      <c r="A88" s="20">
        <v>22</v>
      </c>
      <c r="B88" s="172" t="s">
        <v>19</v>
      </c>
      <c r="C88" s="173"/>
      <c r="D88" s="15">
        <f t="shared" si="5"/>
        <v>1088</v>
      </c>
      <c r="E88" s="18">
        <f>IF(F3="1",SUMIF(Data!A:A,'10'!$A$2,Data!ET:ET),0)</f>
        <v>0</v>
      </c>
      <c r="F88" s="22">
        <f t="shared" si="4"/>
        <v>0</v>
      </c>
    </row>
    <row r="89" spans="1:6" x14ac:dyDescent="0.2">
      <c r="A89" s="20">
        <v>23</v>
      </c>
      <c r="B89" s="172" t="s">
        <v>20</v>
      </c>
      <c r="C89" s="173"/>
      <c r="D89" s="15">
        <f t="shared" si="5"/>
        <v>40080</v>
      </c>
      <c r="E89" s="18">
        <f>IF(F3="1",SUMIF(Data!A:A,'10'!$A$2,Data!EU:EU),0)</f>
        <v>187854</v>
      </c>
      <c r="F89" s="22">
        <f t="shared" si="4"/>
        <v>4.6900000000000004</v>
      </c>
    </row>
    <row r="90" spans="1:6" x14ac:dyDescent="0.2">
      <c r="A90" s="20">
        <v>24</v>
      </c>
      <c r="B90" s="172" t="s">
        <v>21</v>
      </c>
      <c r="C90" s="173"/>
      <c r="D90" s="15">
        <f t="shared" si="5"/>
        <v>12024</v>
      </c>
      <c r="E90" s="18">
        <f>IF(F3="1",SUMIF(Data!A:A,'10'!$A$2,Data!EV:EV),0)</f>
        <v>0</v>
      </c>
      <c r="F90" s="22">
        <f t="shared" si="4"/>
        <v>0</v>
      </c>
    </row>
    <row r="91" spans="1:6" x14ac:dyDescent="0.2">
      <c r="A91" s="20">
        <v>25</v>
      </c>
      <c r="B91" s="172" t="s">
        <v>22</v>
      </c>
      <c r="C91" s="173"/>
      <c r="D91" s="15">
        <f t="shared" si="5"/>
        <v>88848</v>
      </c>
      <c r="E91" s="18">
        <f>IF(F3="1",SUMIF(Data!A:A,'10'!$A$2,Data!EW:EW),0)</f>
        <v>135756</v>
      </c>
      <c r="F91" s="22">
        <f t="shared" si="4"/>
        <v>1.53</v>
      </c>
    </row>
    <row r="92" spans="1:6" x14ac:dyDescent="0.2">
      <c r="A92" s="20">
        <v>26</v>
      </c>
      <c r="B92" s="172" t="s">
        <v>23</v>
      </c>
      <c r="C92" s="173"/>
      <c r="D92" s="15">
        <f t="shared" si="5"/>
        <v>33040</v>
      </c>
      <c r="E92" s="18">
        <f>IF(F3="1",SUMIF(Data!A:A,'10'!$A$2,Data!EX:EX),0)</f>
        <v>70945</v>
      </c>
      <c r="F92" s="22">
        <f t="shared" si="4"/>
        <v>2.15</v>
      </c>
    </row>
    <row r="93" spans="1:6" x14ac:dyDescent="0.2">
      <c r="A93" s="20">
        <v>28</v>
      </c>
      <c r="B93" s="172" t="s">
        <v>24</v>
      </c>
      <c r="C93" s="173"/>
      <c r="D93" s="15">
        <f t="shared" si="5"/>
        <v>0</v>
      </c>
      <c r="E93" s="18">
        <f>IF(F3="1",SUMIF(Data!A:A,'10'!$A$2,Data!EZ:EZ),0)</f>
        <v>0</v>
      </c>
      <c r="F93" s="22" t="str">
        <f t="shared" si="4"/>
        <v/>
      </c>
    </row>
    <row r="94" spans="1:6" ht="15.75" customHeight="1" thickBot="1" x14ac:dyDescent="0.25">
      <c r="A94" s="23">
        <v>29</v>
      </c>
      <c r="B94" s="174" t="s">
        <v>25</v>
      </c>
      <c r="C94" s="175"/>
      <c r="D94" s="24">
        <f t="shared" si="5"/>
        <v>0</v>
      </c>
      <c r="E94" s="25">
        <f>IF(F3="1",SUMIF(Data!A:A,'10'!$A$2,Data!FA:FA),0)</f>
        <v>0</v>
      </c>
      <c r="F94" s="26" t="str">
        <f t="shared" si="4"/>
        <v/>
      </c>
    </row>
    <row r="95" spans="1:6" x14ac:dyDescent="0.2">
      <c r="B95" s="31" t="s">
        <v>35</v>
      </c>
      <c r="C95" s="31"/>
      <c r="D95" s="61">
        <f>SUM(D67:D94)</f>
        <v>554570</v>
      </c>
      <c r="E95" s="32">
        <f>SUM(E67:E94)</f>
        <v>1354824</v>
      </c>
      <c r="F95" s="33">
        <f t="shared" si="4"/>
        <v>2.44</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IF(F3="1",SUMIF(Data!A:A,'10'!$A$2,Data!AH:AH),0)</f>
        <v>738558</v>
      </c>
      <c r="F98" s="21">
        <f>IF($D$105=0,"",ROUND(E98/$D$105,2))</f>
        <v>1.33</v>
      </c>
    </row>
    <row r="99" spans="2:6" x14ac:dyDescent="0.2">
      <c r="B99" s="178" t="s">
        <v>31</v>
      </c>
      <c r="C99" s="179"/>
      <c r="D99" s="37"/>
      <c r="E99" s="18">
        <f>IF(F3="1",SUMIF(Data!A:A,'10'!$A$2,Data!AI:AI),0)</f>
        <v>333445</v>
      </c>
      <c r="F99" s="22">
        <f t="shared" ref="F99:F105" si="6">IF($D$105=0,"",ROUND(E99/$D$105,2))</f>
        <v>0.6</v>
      </c>
    </row>
    <row r="100" spans="2:6" x14ac:dyDescent="0.2">
      <c r="B100" s="178" t="s">
        <v>32</v>
      </c>
      <c r="C100" s="179"/>
      <c r="D100" s="37"/>
      <c r="E100" s="18">
        <f>IF(F3="1",SUMIF(Data!A:A,'10'!$A$2,Data!AJ:AJ),0)</f>
        <v>359450</v>
      </c>
      <c r="F100" s="22">
        <f t="shared" si="6"/>
        <v>0.65</v>
      </c>
    </row>
    <row r="101" spans="2:6" x14ac:dyDescent="0.2">
      <c r="B101" s="178" t="s">
        <v>28</v>
      </c>
      <c r="C101" s="179"/>
      <c r="D101" s="37"/>
      <c r="E101" s="18">
        <f>IF(F3="1",SUMIF(Data!A:A,'10'!$A$2,Data!AK:AK),0)</f>
        <v>0</v>
      </c>
      <c r="F101" s="22">
        <f t="shared" si="6"/>
        <v>0</v>
      </c>
    </row>
    <row r="102" spans="2:6" x14ac:dyDescent="0.2">
      <c r="B102" s="178" t="s">
        <v>33</v>
      </c>
      <c r="C102" s="179"/>
      <c r="D102" s="37"/>
      <c r="E102" s="18">
        <f>IF(F3="1",SUMIF(Data!A:A,'10'!$A$2,Data!AL:AL),0)</f>
        <v>0</v>
      </c>
      <c r="F102" s="22">
        <f t="shared" si="6"/>
        <v>0</v>
      </c>
    </row>
    <row r="103" spans="2:6" x14ac:dyDescent="0.2">
      <c r="B103" s="180" t="s">
        <v>34</v>
      </c>
      <c r="C103" s="181"/>
      <c r="D103" s="37"/>
      <c r="E103" s="18">
        <f>IF(F3="1",SUMIF(Data!A:A,'10'!$A$2,Data!AM:AM),0)</f>
        <v>276031</v>
      </c>
      <c r="F103" s="22">
        <f t="shared" si="6"/>
        <v>0.5</v>
      </c>
    </row>
    <row r="104" spans="2:6" ht="15.75" customHeight="1" thickBot="1" x14ac:dyDescent="0.25">
      <c r="B104" s="170" t="s">
        <v>29</v>
      </c>
      <c r="C104" s="171"/>
      <c r="D104" s="38"/>
      <c r="E104" s="25">
        <f>IF(F3="1",SUMIF(Data!A:A,'10'!$A$2,Data!Q:Q),0)</f>
        <v>42060</v>
      </c>
      <c r="F104" s="26">
        <f t="shared" si="6"/>
        <v>0.08</v>
      </c>
    </row>
    <row r="105" spans="2:6" x14ac:dyDescent="0.2">
      <c r="B105" s="31" t="s">
        <v>35</v>
      </c>
      <c r="C105" s="31"/>
      <c r="D105" s="35">
        <f>D95</f>
        <v>554570</v>
      </c>
      <c r="E105" s="32">
        <f>SUM(E98:E104)</f>
        <v>1749544</v>
      </c>
      <c r="F105" s="33">
        <f t="shared" si="6"/>
        <v>3.15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1790443</v>
      </c>
      <c r="D109" s="16">
        <f>IF(F3="1",SUMIF(Data!$A:$A,$A$2,Data!HJ:HJ),0)</f>
        <v>38398</v>
      </c>
      <c r="E109" s="16">
        <f>IF(F3="1",SUMIF(Data!$A:$A,$A$2,Data!IN:IN),0)</f>
        <v>90250</v>
      </c>
      <c r="F109" s="48">
        <f>SUM(C109:E109)</f>
        <v>1919091</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321486</v>
      </c>
      <c r="D112" s="52"/>
      <c r="E112" s="51">
        <f>IF(F3="1",SUMIF(Data!A:A,$A$2,Data!AC:AC),0)</f>
        <v>37964</v>
      </c>
      <c r="F112" s="49">
        <f t="shared" si="7"/>
        <v>359450</v>
      </c>
    </row>
    <row r="113" spans="1:6" x14ac:dyDescent="0.2">
      <c r="B113" s="43" t="s">
        <v>31</v>
      </c>
      <c r="C113" s="51">
        <f>IF(F3="1",SUMIF(Data!A:A,$A$2,Data!U:U),0)</f>
        <v>257038</v>
      </c>
      <c r="D113" s="52"/>
      <c r="E113" s="51">
        <f>IF(F3="1",SUMIF(Data!A:A,$A$2,Data!AB:AB),0)</f>
        <v>76407</v>
      </c>
      <c r="F113" s="49">
        <f t="shared" si="7"/>
        <v>333445</v>
      </c>
    </row>
    <row r="114" spans="1:6" x14ac:dyDescent="0.2">
      <c r="B114" s="43" t="s">
        <v>1021</v>
      </c>
      <c r="C114" s="51">
        <f>IF(F3="1",SUMIF(Data!A:A,$A$2,Data!T:T),0)</f>
        <v>424615</v>
      </c>
      <c r="D114" s="52"/>
      <c r="E114" s="51">
        <f>IF(F3="1",SUMIF(Data!A:A,$A$2,Data!AA:AA),0)</f>
        <v>313943</v>
      </c>
      <c r="F114" s="49">
        <f t="shared" si="7"/>
        <v>738558</v>
      </c>
    </row>
    <row r="115" spans="1:6" x14ac:dyDescent="0.2">
      <c r="B115" s="43" t="s">
        <v>937</v>
      </c>
      <c r="C115" s="51">
        <f>IF(F3="1",SUMIF(Data!A:A,$A$2,Data!BI:BI),0)</f>
        <v>230705</v>
      </c>
      <c r="D115" s="51">
        <f>IF(F3="1",SUMIF(Data!A:A,$A$2,Data!BL:BL),0)</f>
        <v>77422</v>
      </c>
      <c r="E115" s="51">
        <f>IF(F3="1",SUMIF(Data!A:A,$A$2,Data!BU:BU),0)</f>
        <v>792338</v>
      </c>
      <c r="F115" s="49">
        <f t="shared" si="7"/>
        <v>1100465</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42060</v>
      </c>
      <c r="E117" s="53"/>
      <c r="F117" s="50">
        <f>SUM(C117:E117)</f>
        <v>42060</v>
      </c>
    </row>
    <row r="118" spans="1:6" x14ac:dyDescent="0.2">
      <c r="B118" s="14" t="s">
        <v>35</v>
      </c>
      <c r="C118" s="5">
        <f>SUM(C109:C116)</f>
        <v>3024287</v>
      </c>
      <c r="D118" s="5">
        <f>SUM(D109:D116)</f>
        <v>115820</v>
      </c>
      <c r="E118" s="5">
        <f>SUM(E109:E116)</f>
        <v>1310902</v>
      </c>
      <c r="F118" s="5">
        <f>SUM(F109:F116)</f>
        <v>4451009</v>
      </c>
    </row>
    <row r="119" spans="1:6" ht="15" thickBot="1" x14ac:dyDescent="0.25"/>
    <row r="120" spans="1:6" ht="15" thickBot="1" x14ac:dyDescent="0.25">
      <c r="B120" s="57" t="s">
        <v>942</v>
      </c>
      <c r="C120" s="55"/>
      <c r="D120" s="55"/>
      <c r="E120" s="55">
        <f>IF(F3="1",SUMIF(Data!A:A,'10'!$A$2,Data!AM:AM),0)</f>
        <v>276031</v>
      </c>
      <c r="F120" s="56">
        <f>SUM(C120:E120)</f>
        <v>276031</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3" width="12.1406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354</v>
      </c>
      <c r="B2" s="60" t="str">
        <f>VLOOKUP(A2,Data!A:G,7,0)</f>
        <v>Coastal Bend College</v>
      </c>
      <c r="C2" s="60"/>
    </row>
    <row r="3" spans="1:6" ht="15" thickBot="1" x14ac:dyDescent="0.25">
      <c r="A3" s="4"/>
      <c r="F3" s="58">
        <f>IFERROR(VLOOKUP(A2,Data!A:C,3,0),"0")</f>
        <v>0</v>
      </c>
    </row>
    <row r="4" spans="1:6" ht="29.25" customHeight="1" x14ac:dyDescent="0.2">
      <c r="A4" s="27" t="s">
        <v>26</v>
      </c>
      <c r="B4" s="182" t="s">
        <v>470</v>
      </c>
      <c r="C4" s="183"/>
      <c r="D4" s="29" t="s">
        <v>27</v>
      </c>
      <c r="E4" s="29" t="s">
        <v>467</v>
      </c>
      <c r="F4" s="30" t="s">
        <v>468</v>
      </c>
    </row>
    <row r="5" spans="1:6" x14ac:dyDescent="0.2">
      <c r="A5" s="20">
        <v>1</v>
      </c>
      <c r="B5" s="172" t="s">
        <v>0</v>
      </c>
      <c r="C5" s="173"/>
      <c r="D5" s="15">
        <f>D36</f>
        <v>0</v>
      </c>
      <c r="E5" s="16">
        <f>E36+E67+IFERROR($E$105/$D$105*D5,0)</f>
        <v>0</v>
      </c>
      <c r="F5" s="21" t="str">
        <f>IF(OR(D5=0,E5=0),"",ROUND(E5/D5,2))</f>
        <v/>
      </c>
    </row>
    <row r="6" spans="1:6" x14ac:dyDescent="0.2">
      <c r="A6" s="20">
        <v>2</v>
      </c>
      <c r="B6" s="172" t="s">
        <v>1</v>
      </c>
      <c r="C6" s="173"/>
      <c r="D6" s="15">
        <f t="shared" ref="D6:D32" si="0">D37</f>
        <v>0</v>
      </c>
      <c r="E6" s="18">
        <f t="shared" ref="E6:E32" si="1">E37+E68+IFERROR($E$105/$D$105*D6,0)</f>
        <v>0</v>
      </c>
      <c r="F6" s="22" t="str">
        <f t="shared" ref="F6:F33" si="2">IF(OR(D6=0,E6=0),"",ROUND(E6/D6,2))</f>
        <v/>
      </c>
    </row>
    <row r="7" spans="1:6" ht="14.25" customHeight="1" x14ac:dyDescent="0.2">
      <c r="A7" s="20">
        <v>3</v>
      </c>
      <c r="B7" s="172" t="s">
        <v>2</v>
      </c>
      <c r="C7" s="173"/>
      <c r="D7" s="15">
        <f t="shared" si="0"/>
        <v>0</v>
      </c>
      <c r="E7" s="18">
        <f t="shared" si="1"/>
        <v>0</v>
      </c>
      <c r="F7" s="22" t="str">
        <f t="shared" si="2"/>
        <v/>
      </c>
    </row>
    <row r="8" spans="1:6" ht="14.25" customHeight="1" x14ac:dyDescent="0.2">
      <c r="A8" s="20">
        <v>4</v>
      </c>
      <c r="B8" s="172" t="s">
        <v>3</v>
      </c>
      <c r="C8" s="173"/>
      <c r="D8" s="15">
        <f t="shared" si="0"/>
        <v>0</v>
      </c>
      <c r="E8" s="18">
        <f t="shared" si="1"/>
        <v>0</v>
      </c>
      <c r="F8" s="22" t="str">
        <f t="shared" si="2"/>
        <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0</v>
      </c>
      <c r="E10" s="18">
        <f t="shared" si="1"/>
        <v>0</v>
      </c>
      <c r="F10" s="22" t="str">
        <f t="shared" si="2"/>
        <v/>
      </c>
    </row>
    <row r="11" spans="1:6" x14ac:dyDescent="0.2">
      <c r="A11" s="20">
        <v>7</v>
      </c>
      <c r="B11" s="172" t="s">
        <v>6</v>
      </c>
      <c r="C11" s="173"/>
      <c r="D11" s="15">
        <f t="shared" si="0"/>
        <v>0</v>
      </c>
      <c r="E11" s="18">
        <f t="shared" si="1"/>
        <v>0</v>
      </c>
      <c r="F11" s="22" t="str">
        <f t="shared" si="2"/>
        <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0</v>
      </c>
      <c r="E13" s="18">
        <f t="shared" si="1"/>
        <v>0</v>
      </c>
      <c r="F13" s="22" t="str">
        <f t="shared" si="2"/>
        <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0</v>
      </c>
      <c r="E15" s="18">
        <f t="shared" si="1"/>
        <v>0</v>
      </c>
      <c r="F15" s="22" t="str">
        <f t="shared" si="2"/>
        <v/>
      </c>
    </row>
    <row r="16" spans="1:6" ht="14.25" customHeight="1" x14ac:dyDescent="0.2">
      <c r="A16" s="20">
        <v>12</v>
      </c>
      <c r="B16" s="172" t="s">
        <v>11</v>
      </c>
      <c r="C16" s="173"/>
      <c r="D16" s="15">
        <f t="shared" si="0"/>
        <v>0</v>
      </c>
      <c r="E16" s="18">
        <f t="shared" si="1"/>
        <v>0</v>
      </c>
      <c r="F16" s="22" t="str">
        <f t="shared" si="2"/>
        <v/>
      </c>
    </row>
    <row r="17" spans="1:6" x14ac:dyDescent="0.2">
      <c r="A17" s="20">
        <v>13</v>
      </c>
      <c r="B17" s="172" t="s">
        <v>12</v>
      </c>
      <c r="C17" s="173"/>
      <c r="D17" s="15">
        <f t="shared" si="0"/>
        <v>0</v>
      </c>
      <c r="E17" s="18">
        <f t="shared" si="1"/>
        <v>0</v>
      </c>
      <c r="F17" s="22" t="str">
        <f t="shared" si="2"/>
        <v/>
      </c>
    </row>
    <row r="18" spans="1:6" ht="14.25" customHeight="1" x14ac:dyDescent="0.2">
      <c r="A18" s="20">
        <v>14</v>
      </c>
      <c r="B18" s="172" t="s">
        <v>469</v>
      </c>
      <c r="C18" s="173"/>
      <c r="D18" s="15">
        <f t="shared" si="0"/>
        <v>0</v>
      </c>
      <c r="E18" s="18">
        <f t="shared" si="1"/>
        <v>0</v>
      </c>
      <c r="F18" s="22" t="str">
        <f t="shared" si="2"/>
        <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0</v>
      </c>
      <c r="E20" s="18">
        <f t="shared" si="1"/>
        <v>0</v>
      </c>
      <c r="F20" s="22" t="str">
        <f t="shared" si="2"/>
        <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0</v>
      </c>
      <c r="E23" s="18">
        <f t="shared" si="1"/>
        <v>0</v>
      </c>
      <c r="F23" s="22" t="str">
        <f t="shared" si="2"/>
        <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0</v>
      </c>
      <c r="E26" s="18">
        <f t="shared" si="1"/>
        <v>0</v>
      </c>
      <c r="F26" s="22" t="str">
        <f t="shared" si="2"/>
        <v/>
      </c>
    </row>
    <row r="27" spans="1:6" x14ac:dyDescent="0.2">
      <c r="A27" s="20">
        <v>23</v>
      </c>
      <c r="B27" s="172" t="s">
        <v>20</v>
      </c>
      <c r="C27" s="173"/>
      <c r="D27" s="15">
        <f t="shared" si="0"/>
        <v>0</v>
      </c>
      <c r="E27" s="18">
        <f t="shared" si="1"/>
        <v>0</v>
      </c>
      <c r="F27" s="22" t="str">
        <f t="shared" si="2"/>
        <v/>
      </c>
    </row>
    <row r="28" spans="1:6" x14ac:dyDescent="0.2">
      <c r="A28" s="20">
        <v>24</v>
      </c>
      <c r="B28" s="172" t="s">
        <v>21</v>
      </c>
      <c r="C28" s="173"/>
      <c r="D28" s="15">
        <f t="shared" si="0"/>
        <v>0</v>
      </c>
      <c r="E28" s="18">
        <f t="shared" si="1"/>
        <v>0</v>
      </c>
      <c r="F28" s="22" t="str">
        <f t="shared" si="2"/>
        <v/>
      </c>
    </row>
    <row r="29" spans="1:6" x14ac:dyDescent="0.2">
      <c r="A29" s="20">
        <v>25</v>
      </c>
      <c r="B29" s="172" t="s">
        <v>22</v>
      </c>
      <c r="C29" s="173"/>
      <c r="D29" s="15">
        <f t="shared" si="0"/>
        <v>0</v>
      </c>
      <c r="E29" s="18">
        <f t="shared" si="1"/>
        <v>0</v>
      </c>
      <c r="F29" s="22" t="str">
        <f t="shared" si="2"/>
        <v/>
      </c>
    </row>
    <row r="30" spans="1:6" x14ac:dyDescent="0.2">
      <c r="A30" s="20">
        <v>26</v>
      </c>
      <c r="B30" s="172" t="s">
        <v>23</v>
      </c>
      <c r="C30" s="173"/>
      <c r="D30" s="15">
        <f t="shared" si="0"/>
        <v>0</v>
      </c>
      <c r="E30" s="18">
        <f t="shared" si="1"/>
        <v>0</v>
      </c>
      <c r="F30" s="22" t="str">
        <f t="shared" si="2"/>
        <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IF(F3="1",SUMIF(Data!A:A,'11'!$A$2,Data!CU:CU),0)</f>
        <v>0</v>
      </c>
      <c r="E36" s="16">
        <f>IF(F3="1",SUMIF(Data!$A:$A,'11'!$A$2,Data!IO:IO),0)</f>
        <v>0</v>
      </c>
      <c r="F36" s="21" t="str">
        <f>IF(D36=0,"",ROUND(E36/D36,2))</f>
        <v/>
      </c>
    </row>
    <row r="37" spans="1:6" x14ac:dyDescent="0.2">
      <c r="A37" s="20">
        <v>2</v>
      </c>
      <c r="B37" s="172" t="s">
        <v>1</v>
      </c>
      <c r="C37" s="173"/>
      <c r="D37" s="15">
        <f>IF(F3="1",SUMIF(Data!A:A,'11'!$A$2,Data!CV:CV),0)</f>
        <v>0</v>
      </c>
      <c r="E37" s="18">
        <f>IF(F3="1",SUMIF(Data!$A:$A,'11'!$A$2,Data!IP:IP),0)</f>
        <v>0</v>
      </c>
      <c r="F37" s="22" t="str">
        <f t="shared" ref="F37:F64" si="3">IF(D37=0,"",ROUND(E37/D37,2))</f>
        <v/>
      </c>
    </row>
    <row r="38" spans="1:6" ht="14.25" customHeight="1" x14ac:dyDescent="0.2">
      <c r="A38" s="20">
        <v>3</v>
      </c>
      <c r="B38" s="172" t="s">
        <v>2</v>
      </c>
      <c r="C38" s="173"/>
      <c r="D38" s="15">
        <f>IF(F3="1",SUMIF(Data!A:A,'11'!$A$2,Data!CW:CW),0)</f>
        <v>0</v>
      </c>
      <c r="E38" s="18">
        <f>IF(F3="1",SUMIF(Data!$A:$A,'11'!$A$2,Data!IQ:IQ),0)</f>
        <v>0</v>
      </c>
      <c r="F38" s="22" t="str">
        <f t="shared" si="3"/>
        <v/>
      </c>
    </row>
    <row r="39" spans="1:6" ht="14.25" customHeight="1" x14ac:dyDescent="0.2">
      <c r="A39" s="20">
        <v>4</v>
      </c>
      <c r="B39" s="172" t="s">
        <v>3</v>
      </c>
      <c r="C39" s="173"/>
      <c r="D39" s="15">
        <f>IF(F3="1",SUMIF(Data!A:A,'11'!$A$2,Data!CX:CX),0)</f>
        <v>0</v>
      </c>
      <c r="E39" s="18">
        <f>IF(F3="1",SUMIF(Data!$A:$A,'11'!$A$2,Data!IR:IR),0)</f>
        <v>0</v>
      </c>
      <c r="F39" s="22" t="str">
        <f t="shared" si="3"/>
        <v/>
      </c>
    </row>
    <row r="40" spans="1:6" x14ac:dyDescent="0.2">
      <c r="A40" s="20">
        <v>5</v>
      </c>
      <c r="B40" s="172" t="s">
        <v>4</v>
      </c>
      <c r="C40" s="173"/>
      <c r="D40" s="15">
        <f>IF(F3="1",SUMIF(Data!A:A,'11'!$A$2,Data!CY:CY),0)</f>
        <v>0</v>
      </c>
      <c r="E40" s="18">
        <f>IF(F3="1",SUMIF(Data!$A:$A,'11'!$A$2,Data!IS:IS),0)</f>
        <v>0</v>
      </c>
      <c r="F40" s="22" t="str">
        <f t="shared" si="3"/>
        <v/>
      </c>
    </row>
    <row r="41" spans="1:6" x14ac:dyDescent="0.2">
      <c r="A41" s="20">
        <v>6</v>
      </c>
      <c r="B41" s="172" t="s">
        <v>5</v>
      </c>
      <c r="C41" s="173"/>
      <c r="D41" s="15">
        <f>IF(F3="1",SUMIF(Data!A:A,'11'!$A$2,Data!CZ:CZ),0)</f>
        <v>0</v>
      </c>
      <c r="E41" s="18">
        <f>IF(F3="1",SUMIF(Data!$A:$A,'11'!$A$2,Data!IT:IT),0)</f>
        <v>0</v>
      </c>
      <c r="F41" s="22" t="str">
        <f t="shared" si="3"/>
        <v/>
      </c>
    </row>
    <row r="42" spans="1:6" x14ac:dyDescent="0.2">
      <c r="A42" s="20">
        <v>7</v>
      </c>
      <c r="B42" s="172" t="s">
        <v>6</v>
      </c>
      <c r="C42" s="173"/>
      <c r="D42" s="15">
        <f>IF(F3="1",SUMIF(Data!A:A,'11'!$A$2,Data!DA:DA),0)</f>
        <v>0</v>
      </c>
      <c r="E42" s="18">
        <f>IF(F3="1",SUMIF(Data!$A:$A,'11'!$A$2,Data!IU:IU),0)</f>
        <v>0</v>
      </c>
      <c r="F42" s="22" t="str">
        <f t="shared" si="3"/>
        <v/>
      </c>
    </row>
    <row r="43" spans="1:6" x14ac:dyDescent="0.2">
      <c r="A43" s="20">
        <v>8</v>
      </c>
      <c r="B43" s="172" t="s">
        <v>7</v>
      </c>
      <c r="C43" s="173"/>
      <c r="D43" s="15">
        <f>IF(F3="1",SUMIF(Data!A:A,'11'!$A$2,Data!DB:DB),0)</f>
        <v>0</v>
      </c>
      <c r="E43" s="18">
        <f>IF(F3="1",SUMIF(Data!$A:$A,'11'!$A$2,Data!IV:IV),0)</f>
        <v>0</v>
      </c>
      <c r="F43" s="22" t="str">
        <f t="shared" si="3"/>
        <v/>
      </c>
    </row>
    <row r="44" spans="1:6" x14ac:dyDescent="0.2">
      <c r="A44" s="20">
        <v>9</v>
      </c>
      <c r="B44" s="172" t="s">
        <v>8</v>
      </c>
      <c r="C44" s="173"/>
      <c r="D44" s="15">
        <f>IF(F3="1",SUMIF(Data!A:A,'11'!$A$2,Data!DC:DC),0)</f>
        <v>0</v>
      </c>
      <c r="E44" s="18">
        <f>IF(F3="1",SUMIF(Data!$A:$A,'11'!$A$2,Data!IW:IW),0)</f>
        <v>0</v>
      </c>
      <c r="F44" s="22" t="str">
        <f t="shared" si="3"/>
        <v/>
      </c>
    </row>
    <row r="45" spans="1:6" x14ac:dyDescent="0.2">
      <c r="A45" s="20">
        <v>10</v>
      </c>
      <c r="B45" s="172" t="s">
        <v>9</v>
      </c>
      <c r="C45" s="173"/>
      <c r="D45" s="15">
        <f>IF(F3="1",SUMIF(Data!A:A,'11'!$A$2,Data!DD:DD),0)</f>
        <v>0</v>
      </c>
      <c r="E45" s="18">
        <f>IF(F3="1",SUMIF(Data!$A:$A,'11'!$A$2,Data!IX:IX),0)</f>
        <v>0</v>
      </c>
      <c r="F45" s="22" t="str">
        <f t="shared" si="3"/>
        <v/>
      </c>
    </row>
    <row r="46" spans="1:6" x14ac:dyDescent="0.2">
      <c r="A46" s="20">
        <v>11</v>
      </c>
      <c r="B46" s="172" t="s">
        <v>10</v>
      </c>
      <c r="C46" s="173"/>
      <c r="D46" s="15">
        <f>IF(F3="1",SUMIF(Data!A:A,'11'!$A$2,Data!DE:DE),0)</f>
        <v>0</v>
      </c>
      <c r="E46" s="18">
        <f>IF(F3="1",SUMIF(Data!$A:$A,'11'!$A$2,Data!IY:IY),0)</f>
        <v>0</v>
      </c>
      <c r="F46" s="22" t="str">
        <f t="shared" si="3"/>
        <v/>
      </c>
    </row>
    <row r="47" spans="1:6" ht="14.25" customHeight="1" x14ac:dyDescent="0.2">
      <c r="A47" s="20">
        <v>12</v>
      </c>
      <c r="B47" s="172" t="s">
        <v>11</v>
      </c>
      <c r="C47" s="173"/>
      <c r="D47" s="15">
        <f>IF(F3="1",SUMIF(Data!A:A,'11'!$A$2,Data!DF:DF),0)</f>
        <v>0</v>
      </c>
      <c r="E47" s="18">
        <f>IF(F3="1",SUMIF(Data!$A:$A,'11'!$A$2,Data!IZ:IZ),0)</f>
        <v>0</v>
      </c>
      <c r="F47" s="22" t="str">
        <f t="shared" si="3"/>
        <v/>
      </c>
    </row>
    <row r="48" spans="1:6" x14ac:dyDescent="0.2">
      <c r="A48" s="20">
        <v>13</v>
      </c>
      <c r="B48" s="172" t="s">
        <v>12</v>
      </c>
      <c r="C48" s="173"/>
      <c r="D48" s="15">
        <f>IF(F3="1",SUMIF(Data!A:A,'11'!$A$2,Data!DG:DG),0)</f>
        <v>0</v>
      </c>
      <c r="E48" s="18">
        <f>IF(F3="1",SUMIF(Data!$A:$A,'11'!$A$2,Data!JA:JA),0)</f>
        <v>0</v>
      </c>
      <c r="F48" s="22" t="str">
        <f t="shared" si="3"/>
        <v/>
      </c>
    </row>
    <row r="49" spans="1:6" ht="14.25" customHeight="1" x14ac:dyDescent="0.2">
      <c r="A49" s="20">
        <v>14</v>
      </c>
      <c r="B49" s="172" t="s">
        <v>469</v>
      </c>
      <c r="C49" s="173"/>
      <c r="D49" s="15">
        <f>IF(F3="1",SUMIF(Data!A:A,'11'!$A$2,Data!DH:DH),0)</f>
        <v>0</v>
      </c>
      <c r="E49" s="18">
        <f>IF(F3="1",SUMIF(Data!$A:$A,'11'!$A$2,Data!JB:JB),0)</f>
        <v>0</v>
      </c>
      <c r="F49" s="22" t="str">
        <f t="shared" si="3"/>
        <v/>
      </c>
    </row>
    <row r="50" spans="1:6" x14ac:dyDescent="0.2">
      <c r="A50" s="20">
        <v>15</v>
      </c>
      <c r="B50" s="172" t="s">
        <v>13</v>
      </c>
      <c r="C50" s="173"/>
      <c r="D50" s="15">
        <f>IF(F3="1",SUMIF(Data!A:A,'11'!$A$2,Data!DI:DI),0)</f>
        <v>0</v>
      </c>
      <c r="E50" s="18">
        <f>IF(F3="1",SUMIF(Data!$A:$A,'11'!$A$2,Data!JC:JC),0)</f>
        <v>0</v>
      </c>
      <c r="F50" s="22" t="str">
        <f t="shared" si="3"/>
        <v/>
      </c>
    </row>
    <row r="51" spans="1:6" x14ac:dyDescent="0.2">
      <c r="A51" s="20">
        <v>16</v>
      </c>
      <c r="B51" s="172" t="s">
        <v>14</v>
      </c>
      <c r="C51" s="173"/>
      <c r="D51" s="15">
        <f>IF(F3="1",SUMIF(Data!A:A,'11'!$A$2,Data!DJ:DJ),0)</f>
        <v>0</v>
      </c>
      <c r="E51" s="18">
        <f>IF(F3="1",SUMIF(Data!$A:$A,'11'!$A$2,Data!JD:JD),0)</f>
        <v>0</v>
      </c>
      <c r="F51" s="22" t="str">
        <f t="shared" si="3"/>
        <v/>
      </c>
    </row>
    <row r="52" spans="1:6" x14ac:dyDescent="0.2">
      <c r="A52" s="20">
        <v>17</v>
      </c>
      <c r="B52" s="172" t="s">
        <v>15</v>
      </c>
      <c r="C52" s="173"/>
      <c r="D52" s="15">
        <f>IF(F3="1",SUMIF(Data!A:A,'11'!$A$2,Data!DK:DK),0)</f>
        <v>0</v>
      </c>
      <c r="E52" s="18">
        <f>IF(F3="1",SUMIF(Data!$A:$A,'11'!$A$2,Data!JE:JE),0)</f>
        <v>0</v>
      </c>
      <c r="F52" s="22" t="str">
        <f t="shared" si="3"/>
        <v/>
      </c>
    </row>
    <row r="53" spans="1:6" x14ac:dyDescent="0.2">
      <c r="A53" s="20">
        <v>18</v>
      </c>
      <c r="B53" s="172" t="s">
        <v>16</v>
      </c>
      <c r="C53" s="173"/>
      <c r="D53" s="15">
        <f>IF(F3="1",SUMIF(Data!A:A,'11'!$A$2,Data!DL:DL),0)</f>
        <v>0</v>
      </c>
      <c r="E53" s="18">
        <f>IF(F3="1",SUMIF(Data!$A:$A,'11'!$A$2,Data!JF:JF),0)</f>
        <v>0</v>
      </c>
      <c r="F53" s="22" t="str">
        <f t="shared" si="3"/>
        <v/>
      </c>
    </row>
    <row r="54" spans="1:6" x14ac:dyDescent="0.2">
      <c r="A54" s="20">
        <v>19</v>
      </c>
      <c r="B54" s="172" t="s">
        <v>17</v>
      </c>
      <c r="C54" s="173"/>
      <c r="D54" s="15">
        <f>IF(F3="1",SUMIF(Data!A:A,'11'!$A$2,Data!DM:DM),0)</f>
        <v>0</v>
      </c>
      <c r="E54" s="18">
        <f>IF(F3="1",SUMIF(Data!$A:$A,'11'!$A$2,Data!JG:JG),0)</f>
        <v>0</v>
      </c>
      <c r="F54" s="22" t="str">
        <f t="shared" si="3"/>
        <v/>
      </c>
    </row>
    <row r="55" spans="1:6" x14ac:dyDescent="0.2">
      <c r="A55" s="20">
        <v>20</v>
      </c>
      <c r="B55" s="172" t="s">
        <v>18</v>
      </c>
      <c r="C55" s="173"/>
      <c r="D55" s="15">
        <f>IF(F3="1",SUMIF(Data!A:A,'11'!$A$2,Data!DN:DN),0)</f>
        <v>0</v>
      </c>
      <c r="E55" s="18">
        <f>IF(F3="1",SUMIF(Data!$A:$A,'11'!$A$2,Data!JH:JH),0)</f>
        <v>0</v>
      </c>
      <c r="F55" s="22" t="str">
        <f t="shared" si="3"/>
        <v/>
      </c>
    </row>
    <row r="56" spans="1:6" ht="14.25" customHeight="1" x14ac:dyDescent="0.2">
      <c r="A56" s="20">
        <v>21</v>
      </c>
      <c r="B56" s="172" t="s">
        <v>466</v>
      </c>
      <c r="C56" s="173"/>
      <c r="D56" s="15">
        <f>IF(F3="1",SUMIF(Data!A:A,'11'!$A$2,Data!DO:DO),0)</f>
        <v>0</v>
      </c>
      <c r="E56" s="18">
        <f>IF(F3="1",SUMIF(Data!$A:$A,'11'!$A$2,Data!JI:JI),0)</f>
        <v>0</v>
      </c>
      <c r="F56" s="22" t="str">
        <f t="shared" si="3"/>
        <v/>
      </c>
    </row>
    <row r="57" spans="1:6" x14ac:dyDescent="0.2">
      <c r="A57" s="20">
        <v>22</v>
      </c>
      <c r="B57" s="172" t="s">
        <v>19</v>
      </c>
      <c r="C57" s="173"/>
      <c r="D57" s="15">
        <f>IF(F3="1",SUMIF(Data!A:A,'11'!$A$2,Data!DP:DP),0)</f>
        <v>0</v>
      </c>
      <c r="E57" s="18">
        <f>IF(F3="1",SUMIF(Data!$A:$A,'11'!$A$2,Data!JJ:JJ),0)</f>
        <v>0</v>
      </c>
      <c r="F57" s="22" t="str">
        <f t="shared" si="3"/>
        <v/>
      </c>
    </row>
    <row r="58" spans="1:6" x14ac:dyDescent="0.2">
      <c r="A58" s="20">
        <v>23</v>
      </c>
      <c r="B58" s="172" t="s">
        <v>20</v>
      </c>
      <c r="C58" s="173"/>
      <c r="D58" s="15">
        <f>IF(F3="1",SUMIF(Data!A:A,'11'!$A$2,Data!DQ:DQ),0)</f>
        <v>0</v>
      </c>
      <c r="E58" s="18">
        <f>IF(F3="1",SUMIF(Data!$A:$A,'11'!$A$2,Data!JK:JK),0)</f>
        <v>0</v>
      </c>
      <c r="F58" s="22" t="str">
        <f t="shared" si="3"/>
        <v/>
      </c>
    </row>
    <row r="59" spans="1:6" x14ac:dyDescent="0.2">
      <c r="A59" s="20">
        <v>24</v>
      </c>
      <c r="B59" s="172" t="s">
        <v>21</v>
      </c>
      <c r="C59" s="173"/>
      <c r="D59" s="15">
        <f>IF(F3="1",SUMIF(Data!A:A,'11'!$A$2,Data!DR:DR),0)</f>
        <v>0</v>
      </c>
      <c r="E59" s="18">
        <f>IF(F3="1",SUMIF(Data!$A:$A,'11'!$A$2,Data!JL:JL),0)</f>
        <v>0</v>
      </c>
      <c r="F59" s="22" t="str">
        <f t="shared" si="3"/>
        <v/>
      </c>
    </row>
    <row r="60" spans="1:6" x14ac:dyDescent="0.2">
      <c r="A60" s="20">
        <v>25</v>
      </c>
      <c r="B60" s="172" t="s">
        <v>22</v>
      </c>
      <c r="C60" s="173"/>
      <c r="D60" s="15">
        <f>IF(F3="1",SUMIF(Data!A:A,'11'!$A$2,Data!DS:DS),0)</f>
        <v>0</v>
      </c>
      <c r="E60" s="18">
        <f>IF(F3="1",SUMIF(Data!$A:$A,'11'!$A$2,Data!JM:JM),0)</f>
        <v>0</v>
      </c>
      <c r="F60" s="22" t="str">
        <f t="shared" si="3"/>
        <v/>
      </c>
    </row>
    <row r="61" spans="1:6" x14ac:dyDescent="0.2">
      <c r="A61" s="20">
        <v>26</v>
      </c>
      <c r="B61" s="172" t="s">
        <v>23</v>
      </c>
      <c r="C61" s="173"/>
      <c r="D61" s="15">
        <f>IF(F3="1",SUMIF(Data!A:A,'11'!$A$2,Data!DT:DT),0)</f>
        <v>0</v>
      </c>
      <c r="E61" s="18">
        <f>IF(F3="1",SUMIF(Data!$A:$A,'11'!$A$2,Data!JN:JN),0)</f>
        <v>0</v>
      </c>
      <c r="F61" s="22" t="str">
        <f t="shared" si="3"/>
        <v/>
      </c>
    </row>
    <row r="62" spans="1:6" x14ac:dyDescent="0.2">
      <c r="A62" s="20">
        <v>28</v>
      </c>
      <c r="B62" s="172" t="s">
        <v>24</v>
      </c>
      <c r="C62" s="173"/>
      <c r="D62" s="15">
        <f>IF(F3="1",SUMIF(Data!A:A,'11'!$A$2,Data!DV:DV),0)</f>
        <v>0</v>
      </c>
      <c r="E62" s="18">
        <f>IF(F3="1",SUMIF(Data!$A:$A,'11'!$A$2,Data!JP:JP),0)</f>
        <v>0</v>
      </c>
      <c r="F62" s="22" t="str">
        <f t="shared" si="3"/>
        <v/>
      </c>
    </row>
    <row r="63" spans="1:6" ht="15.75" customHeight="1" thickBot="1" x14ac:dyDescent="0.25">
      <c r="A63" s="23">
        <v>29</v>
      </c>
      <c r="B63" s="174" t="s">
        <v>25</v>
      </c>
      <c r="C63" s="175"/>
      <c r="D63" s="24">
        <f>IF(F3="1",SUMIF(Data!A:A,'11'!$A$2,Data!DW:DW),0)</f>
        <v>0</v>
      </c>
      <c r="E63" s="25">
        <f>IF(F3="1",SUMIF(Data!$A:$A,'11'!$A$2,Data!JQ:JQ),0)</f>
        <v>0</v>
      </c>
      <c r="F63" s="26" t="str">
        <f t="shared" si="3"/>
        <v/>
      </c>
    </row>
    <row r="64" spans="1:6" x14ac:dyDescent="0.2">
      <c r="B64" s="31" t="s">
        <v>35</v>
      </c>
      <c r="C64" s="31"/>
      <c r="D64" s="61">
        <f>SUM(D36:D63)</f>
        <v>0</v>
      </c>
      <c r="E64" s="32">
        <f>SUM(E36:E63)</f>
        <v>0</v>
      </c>
      <c r="F64" s="33" t="str">
        <f t="shared" si="3"/>
        <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0</v>
      </c>
      <c r="E67" s="16">
        <f>IF(F3="1",SUMIF(Data!A:A,'11'!$A$2,Data!DY:DY),0)</f>
        <v>0</v>
      </c>
      <c r="F67" s="21" t="str">
        <f t="shared" ref="F67:F95" si="4">IF(D67=0,"",ROUND(E67/D67,2))</f>
        <v/>
      </c>
    </row>
    <row r="68" spans="1:6" x14ac:dyDescent="0.2">
      <c r="A68" s="20">
        <v>2</v>
      </c>
      <c r="B68" s="172" t="s">
        <v>1</v>
      </c>
      <c r="C68" s="173"/>
      <c r="D68" s="15">
        <f t="shared" ref="D68:D94" si="5">D37</f>
        <v>0</v>
      </c>
      <c r="E68" s="18">
        <f>IF(F3="1",SUMIF(Data!A:A,'11'!$A$2,Data!DZ:DZ),0)</f>
        <v>0</v>
      </c>
      <c r="F68" s="22" t="str">
        <f t="shared" si="4"/>
        <v/>
      </c>
    </row>
    <row r="69" spans="1:6" ht="14.25" customHeight="1" x14ac:dyDescent="0.2">
      <c r="A69" s="20">
        <v>3</v>
      </c>
      <c r="B69" s="172" t="s">
        <v>2</v>
      </c>
      <c r="C69" s="173"/>
      <c r="D69" s="15">
        <f t="shared" si="5"/>
        <v>0</v>
      </c>
      <c r="E69" s="18">
        <f>IF(F3="1",SUMIF(Data!A:A,'11'!$A$2,Data!EA:EA),0)</f>
        <v>0</v>
      </c>
      <c r="F69" s="22" t="str">
        <f t="shared" si="4"/>
        <v/>
      </c>
    </row>
    <row r="70" spans="1:6" ht="14.25" customHeight="1" x14ac:dyDescent="0.2">
      <c r="A70" s="20">
        <v>4</v>
      </c>
      <c r="B70" s="172" t="s">
        <v>3</v>
      </c>
      <c r="C70" s="173"/>
      <c r="D70" s="15">
        <f t="shared" si="5"/>
        <v>0</v>
      </c>
      <c r="E70" s="18">
        <f>IF(F3="1",SUMIF(Data!A:A,'11'!$A$2,Data!EB:EB),0)</f>
        <v>0</v>
      </c>
      <c r="F70" s="22" t="str">
        <f t="shared" si="4"/>
        <v/>
      </c>
    </row>
    <row r="71" spans="1:6" x14ac:dyDescent="0.2">
      <c r="A71" s="20">
        <v>5</v>
      </c>
      <c r="B71" s="172" t="s">
        <v>4</v>
      </c>
      <c r="C71" s="173"/>
      <c r="D71" s="15">
        <f t="shared" si="5"/>
        <v>0</v>
      </c>
      <c r="E71" s="18">
        <f>IF(F3="1",SUMIF(Data!A:A,'11'!$A$2,Data!EC:EC),0)</f>
        <v>0</v>
      </c>
      <c r="F71" s="22" t="str">
        <f t="shared" si="4"/>
        <v/>
      </c>
    </row>
    <row r="72" spans="1:6" x14ac:dyDescent="0.2">
      <c r="A72" s="20">
        <v>6</v>
      </c>
      <c r="B72" s="172" t="s">
        <v>5</v>
      </c>
      <c r="C72" s="173"/>
      <c r="D72" s="15">
        <f t="shared" si="5"/>
        <v>0</v>
      </c>
      <c r="E72" s="18">
        <f>IF(F3="1",SUMIF(Data!A:A,'11'!$A$2,Data!ED:ED),0)</f>
        <v>0</v>
      </c>
      <c r="F72" s="22" t="str">
        <f t="shared" si="4"/>
        <v/>
      </c>
    </row>
    <row r="73" spans="1:6" x14ac:dyDescent="0.2">
      <c r="A73" s="20">
        <v>7</v>
      </c>
      <c r="B73" s="172" t="s">
        <v>6</v>
      </c>
      <c r="C73" s="173"/>
      <c r="D73" s="15">
        <f t="shared" si="5"/>
        <v>0</v>
      </c>
      <c r="E73" s="18">
        <f>IF(F3="1",SUMIF(Data!A:A,'11'!$A$2,Data!EE:EE),0)</f>
        <v>0</v>
      </c>
      <c r="F73" s="22" t="str">
        <f t="shared" si="4"/>
        <v/>
      </c>
    </row>
    <row r="74" spans="1:6" x14ac:dyDescent="0.2">
      <c r="A74" s="20">
        <v>8</v>
      </c>
      <c r="B74" s="172" t="s">
        <v>7</v>
      </c>
      <c r="C74" s="173"/>
      <c r="D74" s="15">
        <f t="shared" si="5"/>
        <v>0</v>
      </c>
      <c r="E74" s="18">
        <f>IF(F3="1",SUMIF(Data!A:A,'11'!$A$2,Data!EF:EF),0)</f>
        <v>0</v>
      </c>
      <c r="F74" s="22" t="str">
        <f t="shared" si="4"/>
        <v/>
      </c>
    </row>
    <row r="75" spans="1:6" x14ac:dyDescent="0.2">
      <c r="A75" s="20">
        <v>9</v>
      </c>
      <c r="B75" s="172" t="s">
        <v>8</v>
      </c>
      <c r="C75" s="173"/>
      <c r="D75" s="15">
        <f t="shared" si="5"/>
        <v>0</v>
      </c>
      <c r="E75" s="18">
        <f>IF(F3="1",SUMIF(Data!A:A,'11'!$A$2,Data!EG:EG),0)</f>
        <v>0</v>
      </c>
      <c r="F75" s="22" t="str">
        <f t="shared" si="4"/>
        <v/>
      </c>
    </row>
    <row r="76" spans="1:6" x14ac:dyDescent="0.2">
      <c r="A76" s="20">
        <v>10</v>
      </c>
      <c r="B76" s="172" t="s">
        <v>9</v>
      </c>
      <c r="C76" s="173"/>
      <c r="D76" s="15">
        <f t="shared" si="5"/>
        <v>0</v>
      </c>
      <c r="E76" s="18">
        <f>IF(F3="1",SUMIF(Data!A:A,'11'!$A$2,Data!EH:EH),0)</f>
        <v>0</v>
      </c>
      <c r="F76" s="22" t="str">
        <f t="shared" si="4"/>
        <v/>
      </c>
    </row>
    <row r="77" spans="1:6" x14ac:dyDescent="0.2">
      <c r="A77" s="20">
        <v>11</v>
      </c>
      <c r="B77" s="172" t="s">
        <v>10</v>
      </c>
      <c r="C77" s="173"/>
      <c r="D77" s="15">
        <f t="shared" si="5"/>
        <v>0</v>
      </c>
      <c r="E77" s="18">
        <f>IF(F3="1",SUMIF(Data!A:A,'11'!$A$2,Data!EI:EI),0)</f>
        <v>0</v>
      </c>
      <c r="F77" s="22" t="str">
        <f t="shared" si="4"/>
        <v/>
      </c>
    </row>
    <row r="78" spans="1:6" ht="14.25" customHeight="1" x14ac:dyDescent="0.2">
      <c r="A78" s="20">
        <v>12</v>
      </c>
      <c r="B78" s="172" t="s">
        <v>11</v>
      </c>
      <c r="C78" s="173"/>
      <c r="D78" s="15">
        <f t="shared" si="5"/>
        <v>0</v>
      </c>
      <c r="E78" s="18">
        <f>IF(F3="1",SUMIF(Data!A:A,'11'!$A$2,Data!EJ:EJ),0)</f>
        <v>0</v>
      </c>
      <c r="F78" s="22" t="str">
        <f t="shared" si="4"/>
        <v/>
      </c>
    </row>
    <row r="79" spans="1:6" x14ac:dyDescent="0.2">
      <c r="A79" s="20">
        <v>13</v>
      </c>
      <c r="B79" s="172" t="s">
        <v>12</v>
      </c>
      <c r="C79" s="173"/>
      <c r="D79" s="15">
        <f t="shared" si="5"/>
        <v>0</v>
      </c>
      <c r="E79" s="18">
        <f>IF(F3="1",SUMIF(Data!A:A,'11'!$A$2,Data!EK:EK),0)</f>
        <v>0</v>
      </c>
      <c r="F79" s="22" t="str">
        <f t="shared" si="4"/>
        <v/>
      </c>
    </row>
    <row r="80" spans="1:6" ht="14.25" customHeight="1" x14ac:dyDescent="0.2">
      <c r="A80" s="20">
        <v>14</v>
      </c>
      <c r="B80" s="172" t="s">
        <v>469</v>
      </c>
      <c r="C80" s="173"/>
      <c r="D80" s="15">
        <f t="shared" si="5"/>
        <v>0</v>
      </c>
      <c r="E80" s="18">
        <f>IF(F3="1",SUMIF(Data!A:A,'11'!$A$2,Data!EL:EL),0)</f>
        <v>0</v>
      </c>
      <c r="F80" s="22" t="str">
        <f t="shared" si="4"/>
        <v/>
      </c>
    </row>
    <row r="81" spans="1:6" x14ac:dyDescent="0.2">
      <c r="A81" s="20">
        <v>15</v>
      </c>
      <c r="B81" s="172" t="s">
        <v>13</v>
      </c>
      <c r="C81" s="173"/>
      <c r="D81" s="15">
        <f t="shared" si="5"/>
        <v>0</v>
      </c>
      <c r="E81" s="18">
        <f>IF(F3="1",SUMIF(Data!A:A,'11'!$A$2,Data!EM:EM),0)</f>
        <v>0</v>
      </c>
      <c r="F81" s="22" t="str">
        <f t="shared" si="4"/>
        <v/>
      </c>
    </row>
    <row r="82" spans="1:6" x14ac:dyDescent="0.2">
      <c r="A82" s="20">
        <v>16</v>
      </c>
      <c r="B82" s="172" t="s">
        <v>14</v>
      </c>
      <c r="C82" s="173"/>
      <c r="D82" s="15">
        <f t="shared" si="5"/>
        <v>0</v>
      </c>
      <c r="E82" s="18">
        <f>IF(F3="1",SUMIF(Data!A:A,'11'!$A$2,Data!EN:EN),0)</f>
        <v>0</v>
      </c>
      <c r="F82" s="22" t="str">
        <f t="shared" si="4"/>
        <v/>
      </c>
    </row>
    <row r="83" spans="1:6" x14ac:dyDescent="0.2">
      <c r="A83" s="20">
        <v>17</v>
      </c>
      <c r="B83" s="172" t="s">
        <v>15</v>
      </c>
      <c r="C83" s="173"/>
      <c r="D83" s="15">
        <f t="shared" si="5"/>
        <v>0</v>
      </c>
      <c r="E83" s="18">
        <f>IF(F3="1",SUMIF(Data!A:A,'11'!$A$2,Data!EO:EO),0)</f>
        <v>0</v>
      </c>
      <c r="F83" s="22" t="str">
        <f t="shared" si="4"/>
        <v/>
      </c>
    </row>
    <row r="84" spans="1:6" x14ac:dyDescent="0.2">
      <c r="A84" s="20">
        <v>18</v>
      </c>
      <c r="B84" s="172" t="s">
        <v>16</v>
      </c>
      <c r="C84" s="173"/>
      <c r="D84" s="15">
        <f t="shared" si="5"/>
        <v>0</v>
      </c>
      <c r="E84" s="18">
        <f>IF(F3="1",SUMIF(Data!A:A,'11'!$A$2,Data!EP:EP),0)</f>
        <v>0</v>
      </c>
      <c r="F84" s="22" t="str">
        <f t="shared" si="4"/>
        <v/>
      </c>
    </row>
    <row r="85" spans="1:6" x14ac:dyDescent="0.2">
      <c r="A85" s="20">
        <v>19</v>
      </c>
      <c r="B85" s="172" t="s">
        <v>17</v>
      </c>
      <c r="C85" s="173"/>
      <c r="D85" s="15">
        <f t="shared" si="5"/>
        <v>0</v>
      </c>
      <c r="E85" s="18">
        <f>IF(F3="1",SUMIF(Data!A:A,'11'!$A$2,Data!EQ:EQ),0)</f>
        <v>0</v>
      </c>
      <c r="F85" s="22" t="str">
        <f t="shared" si="4"/>
        <v/>
      </c>
    </row>
    <row r="86" spans="1:6" x14ac:dyDescent="0.2">
      <c r="A86" s="20">
        <v>20</v>
      </c>
      <c r="B86" s="172" t="s">
        <v>18</v>
      </c>
      <c r="C86" s="173"/>
      <c r="D86" s="15">
        <f t="shared" si="5"/>
        <v>0</v>
      </c>
      <c r="E86" s="18">
        <f>IF(F3="1",SUMIF(Data!A:A,'11'!$A$2,Data!ER:ER),0)</f>
        <v>0</v>
      </c>
      <c r="F86" s="22" t="str">
        <f t="shared" si="4"/>
        <v/>
      </c>
    </row>
    <row r="87" spans="1:6" ht="14.25" customHeight="1" x14ac:dyDescent="0.2">
      <c r="A87" s="20">
        <v>21</v>
      </c>
      <c r="B87" s="172" t="s">
        <v>466</v>
      </c>
      <c r="C87" s="173"/>
      <c r="D87" s="15">
        <f t="shared" si="5"/>
        <v>0</v>
      </c>
      <c r="E87" s="18">
        <f>IF(F3="1",SUMIF(Data!A:A,'11'!$A$2,Data!ES:ES),0)</f>
        <v>0</v>
      </c>
      <c r="F87" s="22" t="str">
        <f t="shared" si="4"/>
        <v/>
      </c>
    </row>
    <row r="88" spans="1:6" x14ac:dyDescent="0.2">
      <c r="A88" s="20">
        <v>22</v>
      </c>
      <c r="B88" s="172" t="s">
        <v>19</v>
      </c>
      <c r="C88" s="173"/>
      <c r="D88" s="15">
        <f t="shared" si="5"/>
        <v>0</v>
      </c>
      <c r="E88" s="18">
        <f>IF(F3="1",SUMIF(Data!A:A,'11'!$A$2,Data!ET:ET),0)</f>
        <v>0</v>
      </c>
      <c r="F88" s="22" t="str">
        <f t="shared" si="4"/>
        <v/>
      </c>
    </row>
    <row r="89" spans="1:6" x14ac:dyDescent="0.2">
      <c r="A89" s="20">
        <v>23</v>
      </c>
      <c r="B89" s="172" t="s">
        <v>20</v>
      </c>
      <c r="C89" s="173"/>
      <c r="D89" s="15">
        <f t="shared" si="5"/>
        <v>0</v>
      </c>
      <c r="E89" s="18">
        <f>IF(F3="1",SUMIF(Data!A:A,'11'!$A$2,Data!EU:EU),0)</f>
        <v>0</v>
      </c>
      <c r="F89" s="22" t="str">
        <f t="shared" si="4"/>
        <v/>
      </c>
    </row>
    <row r="90" spans="1:6" x14ac:dyDescent="0.2">
      <c r="A90" s="20">
        <v>24</v>
      </c>
      <c r="B90" s="172" t="s">
        <v>21</v>
      </c>
      <c r="C90" s="173"/>
      <c r="D90" s="15">
        <f t="shared" si="5"/>
        <v>0</v>
      </c>
      <c r="E90" s="18">
        <f>IF(F3="1",SUMIF(Data!A:A,'11'!$A$2,Data!EV:EV),0)</f>
        <v>0</v>
      </c>
      <c r="F90" s="22" t="str">
        <f t="shared" si="4"/>
        <v/>
      </c>
    </row>
    <row r="91" spans="1:6" x14ac:dyDescent="0.2">
      <c r="A91" s="20">
        <v>25</v>
      </c>
      <c r="B91" s="172" t="s">
        <v>22</v>
      </c>
      <c r="C91" s="173"/>
      <c r="D91" s="15">
        <f t="shared" si="5"/>
        <v>0</v>
      </c>
      <c r="E91" s="18">
        <f>IF(F3="1",SUMIF(Data!A:A,'11'!$A$2,Data!EW:EW),0)</f>
        <v>0</v>
      </c>
      <c r="F91" s="22" t="str">
        <f t="shared" si="4"/>
        <v/>
      </c>
    </row>
    <row r="92" spans="1:6" x14ac:dyDescent="0.2">
      <c r="A92" s="20">
        <v>26</v>
      </c>
      <c r="B92" s="172" t="s">
        <v>23</v>
      </c>
      <c r="C92" s="173"/>
      <c r="D92" s="15">
        <f t="shared" si="5"/>
        <v>0</v>
      </c>
      <c r="E92" s="18">
        <f>IF(F3="1",SUMIF(Data!A:A,'11'!$A$2,Data!EX:EX),0)</f>
        <v>0</v>
      </c>
      <c r="F92" s="22" t="str">
        <f t="shared" si="4"/>
        <v/>
      </c>
    </row>
    <row r="93" spans="1:6" x14ac:dyDescent="0.2">
      <c r="A93" s="20">
        <v>28</v>
      </c>
      <c r="B93" s="172" t="s">
        <v>24</v>
      </c>
      <c r="C93" s="173"/>
      <c r="D93" s="15">
        <f t="shared" si="5"/>
        <v>0</v>
      </c>
      <c r="E93" s="18">
        <f>IF(F3="1",SUMIF(Data!A:A,'11'!$A$2,Data!EZ:EZ),0)</f>
        <v>0</v>
      </c>
      <c r="F93" s="22" t="str">
        <f t="shared" si="4"/>
        <v/>
      </c>
    </row>
    <row r="94" spans="1:6" ht="15.75" customHeight="1" thickBot="1" x14ac:dyDescent="0.25">
      <c r="A94" s="23">
        <v>29</v>
      </c>
      <c r="B94" s="174" t="s">
        <v>25</v>
      </c>
      <c r="C94" s="175"/>
      <c r="D94" s="24">
        <f t="shared" si="5"/>
        <v>0</v>
      </c>
      <c r="E94" s="25">
        <f>IF(F3="1",SUMIF(Data!A:A,'11'!$A$2,Data!FA:FA),0)</f>
        <v>0</v>
      </c>
      <c r="F94" s="26" t="str">
        <f t="shared" si="4"/>
        <v/>
      </c>
    </row>
    <row r="95" spans="1:6" x14ac:dyDescent="0.2">
      <c r="B95" s="31" t="s">
        <v>35</v>
      </c>
      <c r="C95" s="31"/>
      <c r="D95" s="61">
        <f>SUM(D67:D94)</f>
        <v>0</v>
      </c>
      <c r="E95" s="32">
        <f>SUM(E67:E94)</f>
        <v>0</v>
      </c>
      <c r="F95" s="33" t="str">
        <f t="shared" si="4"/>
        <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IF(F3="1",SUMIF(Data!A:A,'11'!$A$2,Data!AH:AH),0)</f>
        <v>0</v>
      </c>
      <c r="F98" s="21" t="str">
        <f>IF($D$105=0,"",ROUND(E98/$D$105,2))</f>
        <v/>
      </c>
    </row>
    <row r="99" spans="2:6" x14ac:dyDescent="0.2">
      <c r="B99" s="178" t="s">
        <v>31</v>
      </c>
      <c r="C99" s="179"/>
      <c r="D99" s="37"/>
      <c r="E99" s="18">
        <f>IF(F3="1",SUMIF(Data!A:A,'11'!$A$2,Data!AI:AI),0)</f>
        <v>0</v>
      </c>
      <c r="F99" s="22" t="str">
        <f t="shared" ref="F99:F105" si="6">IF($D$105=0,"",ROUND(E99/$D$105,2))</f>
        <v/>
      </c>
    </row>
    <row r="100" spans="2:6" x14ac:dyDescent="0.2">
      <c r="B100" s="178" t="s">
        <v>32</v>
      </c>
      <c r="C100" s="179"/>
      <c r="D100" s="37"/>
      <c r="E100" s="18">
        <f>IF(F3="1",SUMIF(Data!A:A,'11'!$A$2,Data!AJ:AJ),0)</f>
        <v>0</v>
      </c>
      <c r="F100" s="22" t="str">
        <f t="shared" si="6"/>
        <v/>
      </c>
    </row>
    <row r="101" spans="2:6" x14ac:dyDescent="0.2">
      <c r="B101" s="178" t="s">
        <v>28</v>
      </c>
      <c r="C101" s="179"/>
      <c r="D101" s="37"/>
      <c r="E101" s="18">
        <f>IF(F3="1",SUMIF(Data!A:A,'11'!$A$2,Data!AK:AK),0)</f>
        <v>0</v>
      </c>
      <c r="F101" s="22" t="str">
        <f t="shared" si="6"/>
        <v/>
      </c>
    </row>
    <row r="102" spans="2:6" x14ac:dyDescent="0.2">
      <c r="B102" s="178" t="s">
        <v>33</v>
      </c>
      <c r="C102" s="179"/>
      <c r="D102" s="37"/>
      <c r="E102" s="18">
        <f>IF(F3="1",SUMIF(Data!A:A,'11'!$A$2,Data!AL:AL),0)</f>
        <v>0</v>
      </c>
      <c r="F102" s="22" t="str">
        <f t="shared" si="6"/>
        <v/>
      </c>
    </row>
    <row r="103" spans="2:6" x14ac:dyDescent="0.2">
      <c r="B103" s="180" t="s">
        <v>34</v>
      </c>
      <c r="C103" s="181"/>
      <c r="D103" s="37"/>
      <c r="E103" s="18">
        <f>IF(F3="1",SUMIF(Data!A:A,'11'!$A$2,Data!AM:AM),0)</f>
        <v>0</v>
      </c>
      <c r="F103" s="22" t="str">
        <f t="shared" si="6"/>
        <v/>
      </c>
    </row>
    <row r="104" spans="2:6" ht="15.75" customHeight="1" thickBot="1" x14ac:dyDescent="0.25">
      <c r="B104" s="170" t="s">
        <v>29</v>
      </c>
      <c r="C104" s="171"/>
      <c r="D104" s="38"/>
      <c r="E104" s="25">
        <f>IF(F3="1",SUMIF(Data!A:A,'11'!$A$2,Data!Q:Q),0)</f>
        <v>0</v>
      </c>
      <c r="F104" s="26" t="str">
        <f t="shared" si="6"/>
        <v/>
      </c>
    </row>
    <row r="105" spans="2:6" x14ac:dyDescent="0.2">
      <c r="B105" s="31" t="s">
        <v>35</v>
      </c>
      <c r="C105" s="31"/>
      <c r="D105" s="35">
        <f>D95</f>
        <v>0</v>
      </c>
      <c r="E105" s="32">
        <f>SUM(E98:E104)</f>
        <v>0</v>
      </c>
      <c r="F105" s="33" t="str">
        <f t="shared" si="6"/>
        <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942</v>
      </c>
      <c r="C120" s="55"/>
      <c r="D120" s="55"/>
      <c r="E120" s="55">
        <f>IF(F3="1",SUMIF(Data!A:A,'11'!$A$2,Data!AM:AM),0)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426</v>
      </c>
      <c r="B2" s="60" t="str">
        <f>VLOOKUP(A2,Data!A:G,7,0)</f>
        <v>College of the Mainland Community College District</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3261</v>
      </c>
      <c r="E5" s="16">
        <f>E36+E67+IFERROR($E$105/$D$105*D5,0)</f>
        <v>24859.811823739175</v>
      </c>
      <c r="F5" s="21">
        <f>IF(OR(D5=0,E5=0),"",ROUND(E5/D5,2))</f>
        <v>7.62</v>
      </c>
    </row>
    <row r="6" spans="1:6" x14ac:dyDescent="0.2">
      <c r="A6" s="20">
        <v>2</v>
      </c>
      <c r="B6" s="172" t="s">
        <v>1</v>
      </c>
      <c r="C6" s="173"/>
      <c r="D6" s="15">
        <f t="shared" ref="D6:D32" si="0">D37</f>
        <v>54274</v>
      </c>
      <c r="E6" s="18">
        <f t="shared" ref="E6:E32" si="1">E37+E68+IFERROR($E$105/$D$105*D6,0)</f>
        <v>1470664.8208897945</v>
      </c>
      <c r="F6" s="22">
        <f t="shared" ref="F6:F33" si="2">IF(OR(D6=0,E6=0),"",ROUND(E6/D6,2))</f>
        <v>27.1</v>
      </c>
    </row>
    <row r="7" spans="1:6" ht="14.25" customHeight="1" x14ac:dyDescent="0.2">
      <c r="A7" s="20">
        <v>3</v>
      </c>
      <c r="B7" s="172" t="s">
        <v>2</v>
      </c>
      <c r="C7" s="173"/>
      <c r="D7" s="15">
        <f t="shared" si="0"/>
        <v>307932</v>
      </c>
      <c r="E7" s="18">
        <f t="shared" si="1"/>
        <v>3339740.7836576668</v>
      </c>
      <c r="F7" s="22">
        <f t="shared" si="2"/>
        <v>10.85</v>
      </c>
    </row>
    <row r="8" spans="1:6" ht="14.25" customHeight="1" x14ac:dyDescent="0.2">
      <c r="A8" s="20">
        <v>4</v>
      </c>
      <c r="B8" s="172" t="s">
        <v>3</v>
      </c>
      <c r="C8" s="173"/>
      <c r="D8" s="15">
        <f t="shared" si="0"/>
        <v>100912</v>
      </c>
      <c r="E8" s="18">
        <f t="shared" si="1"/>
        <v>1291896.583182204</v>
      </c>
      <c r="F8" s="22">
        <f t="shared" si="2"/>
        <v>12.8</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3936</v>
      </c>
      <c r="E10" s="18">
        <f t="shared" si="1"/>
        <v>30005.587040244522</v>
      </c>
      <c r="F10" s="22">
        <f t="shared" si="2"/>
        <v>7.62</v>
      </c>
    </row>
    <row r="11" spans="1:6" x14ac:dyDescent="0.2">
      <c r="A11" s="20">
        <v>7</v>
      </c>
      <c r="B11" s="172" t="s">
        <v>6</v>
      </c>
      <c r="C11" s="173"/>
      <c r="D11" s="15">
        <f t="shared" si="0"/>
        <v>50503</v>
      </c>
      <c r="E11" s="18">
        <f t="shared" si="1"/>
        <v>1068477.0900135846</v>
      </c>
      <c r="F11" s="22">
        <f t="shared" si="2"/>
        <v>21.16</v>
      </c>
    </row>
    <row r="12" spans="1:6" x14ac:dyDescent="0.2">
      <c r="A12" s="20">
        <v>8</v>
      </c>
      <c r="B12" s="172" t="s">
        <v>7</v>
      </c>
      <c r="C12" s="173"/>
      <c r="D12" s="15">
        <f t="shared" si="0"/>
        <v>4192</v>
      </c>
      <c r="E12" s="18">
        <f t="shared" si="1"/>
        <v>40267.169937170998</v>
      </c>
      <c r="F12" s="22">
        <f t="shared" si="2"/>
        <v>9.61</v>
      </c>
    </row>
    <row r="13" spans="1:6" x14ac:dyDescent="0.2">
      <c r="A13" s="20">
        <v>9</v>
      </c>
      <c r="B13" s="172" t="s">
        <v>8</v>
      </c>
      <c r="C13" s="173"/>
      <c r="D13" s="15">
        <f t="shared" si="0"/>
        <v>73526</v>
      </c>
      <c r="E13" s="18">
        <f t="shared" si="1"/>
        <v>1484910.9534352182</v>
      </c>
      <c r="F13" s="22">
        <f t="shared" si="2"/>
        <v>20.2</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27717</v>
      </c>
      <c r="E15" s="18">
        <f t="shared" si="1"/>
        <v>228567.96544574629</v>
      </c>
      <c r="F15" s="22">
        <f t="shared" si="2"/>
        <v>8.25</v>
      </c>
    </row>
    <row r="16" spans="1:6" ht="14.25" customHeight="1" x14ac:dyDescent="0.2">
      <c r="A16" s="20">
        <v>12</v>
      </c>
      <c r="B16" s="172" t="s">
        <v>11</v>
      </c>
      <c r="C16" s="173"/>
      <c r="D16" s="15">
        <f t="shared" si="0"/>
        <v>226776</v>
      </c>
      <c r="E16" s="18">
        <f t="shared" si="1"/>
        <v>2702391.5118492106</v>
      </c>
      <c r="F16" s="22">
        <f t="shared" si="2"/>
        <v>11.92</v>
      </c>
    </row>
    <row r="17" spans="1:6" x14ac:dyDescent="0.2">
      <c r="A17" s="20">
        <v>13</v>
      </c>
      <c r="B17" s="172" t="s">
        <v>12</v>
      </c>
      <c r="C17" s="173"/>
      <c r="D17" s="15">
        <f t="shared" si="0"/>
        <v>18560</v>
      </c>
      <c r="E17" s="18">
        <f t="shared" si="1"/>
        <v>222198.76002716931</v>
      </c>
      <c r="F17" s="22">
        <f t="shared" si="2"/>
        <v>11.97</v>
      </c>
    </row>
    <row r="18" spans="1:6" ht="14.25" customHeight="1" x14ac:dyDescent="0.2">
      <c r="A18" s="20">
        <v>14</v>
      </c>
      <c r="B18" s="172" t="s">
        <v>469</v>
      </c>
      <c r="C18" s="173"/>
      <c r="D18" s="15">
        <f t="shared" si="0"/>
        <v>78123</v>
      </c>
      <c r="E18" s="18">
        <f t="shared" si="1"/>
        <v>1584816.5885022925</v>
      </c>
      <c r="F18" s="22">
        <f t="shared" si="2"/>
        <v>20.29</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100760</v>
      </c>
      <c r="E20" s="18">
        <f t="shared" si="1"/>
        <v>1271015.8308371538</v>
      </c>
      <c r="F20" s="22">
        <f t="shared" si="2"/>
        <v>12.61</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33888</v>
      </c>
      <c r="E22" s="18">
        <f t="shared" si="1"/>
        <v>603272.78598064184</v>
      </c>
      <c r="F22" s="22">
        <f t="shared" si="2"/>
        <v>17.8</v>
      </c>
    </row>
    <row r="23" spans="1:6" x14ac:dyDescent="0.2">
      <c r="A23" s="20">
        <v>19</v>
      </c>
      <c r="B23" s="172" t="s">
        <v>17</v>
      </c>
      <c r="C23" s="173"/>
      <c r="D23" s="15">
        <f t="shared" si="0"/>
        <v>230000</v>
      </c>
      <c r="E23" s="18">
        <f t="shared" si="1"/>
        <v>2597167.2589573781</v>
      </c>
      <c r="F23" s="22">
        <f t="shared" si="2"/>
        <v>11.29</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7608</v>
      </c>
      <c r="E26" s="18">
        <f t="shared" si="1"/>
        <v>73305.604218033623</v>
      </c>
      <c r="F26" s="22">
        <f t="shared" si="2"/>
        <v>9.64</v>
      </c>
    </row>
    <row r="27" spans="1:6" x14ac:dyDescent="0.2">
      <c r="A27" s="20">
        <v>23</v>
      </c>
      <c r="B27" s="172" t="s">
        <v>20</v>
      </c>
      <c r="C27" s="173"/>
      <c r="D27" s="15">
        <f t="shared" si="0"/>
        <v>52800</v>
      </c>
      <c r="E27" s="18">
        <f t="shared" si="1"/>
        <v>680657.97249108506</v>
      </c>
      <c r="F27" s="22">
        <f t="shared" si="2"/>
        <v>12.89</v>
      </c>
    </row>
    <row r="28" spans="1:6" x14ac:dyDescent="0.2">
      <c r="A28" s="20">
        <v>24</v>
      </c>
      <c r="B28" s="172" t="s">
        <v>21</v>
      </c>
      <c r="C28" s="173"/>
      <c r="D28" s="15">
        <f t="shared" si="0"/>
        <v>75100</v>
      </c>
      <c r="E28" s="18">
        <f t="shared" si="1"/>
        <v>1170692.1389030395</v>
      </c>
      <c r="F28" s="22">
        <f t="shared" si="2"/>
        <v>15.59</v>
      </c>
    </row>
    <row r="29" spans="1:6" x14ac:dyDescent="0.2">
      <c r="A29" s="20">
        <v>25</v>
      </c>
      <c r="B29" s="172" t="s">
        <v>22</v>
      </c>
      <c r="C29" s="173"/>
      <c r="D29" s="15">
        <f t="shared" si="0"/>
        <v>235232</v>
      </c>
      <c r="E29" s="18">
        <f t="shared" si="1"/>
        <v>3104383.7344133127</v>
      </c>
      <c r="F29" s="22">
        <f t="shared" si="2"/>
        <v>13.2</v>
      </c>
    </row>
    <row r="30" spans="1:6" x14ac:dyDescent="0.2">
      <c r="A30" s="20">
        <v>26</v>
      </c>
      <c r="B30" s="172" t="s">
        <v>23</v>
      </c>
      <c r="C30" s="173"/>
      <c r="D30" s="15">
        <f t="shared" si="0"/>
        <v>81600</v>
      </c>
      <c r="E30" s="18">
        <f t="shared" si="1"/>
        <v>1402027.0483953133</v>
      </c>
      <c r="F30" s="22">
        <f t="shared" si="2"/>
        <v>17.18</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1766700</v>
      </c>
      <c r="E33" s="32">
        <f>SUM(E5:E32)</f>
        <v>24391320</v>
      </c>
      <c r="F33" s="33">
        <f t="shared" si="2"/>
        <v>13.81</v>
      </c>
    </row>
    <row r="34" spans="1:6" ht="15" thickBot="1" x14ac:dyDescent="0.25"/>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IF(F3="1",SUMIF(Data!A:A,'12'!$A$2,Data!CU:CU),0)</f>
        <v>3261</v>
      </c>
      <c r="E36" s="16">
        <f>IF(F3="1",SUMIF(Data!$A:$A,'12'!$A$2,Data!IO:IO),0)</f>
        <v>0</v>
      </c>
      <c r="F36" s="21" t="str">
        <f>IF(E36=0,"",ROUND(E36/D36,2))</f>
        <v/>
      </c>
    </row>
    <row r="37" spans="1:6" x14ac:dyDescent="0.2">
      <c r="A37" s="20">
        <v>2</v>
      </c>
      <c r="B37" s="172" t="s">
        <v>1</v>
      </c>
      <c r="C37" s="173"/>
      <c r="D37" s="15">
        <f>IF(F3="1",SUMIF(Data!A:A,'12'!$A$2,Data!CV:CV),0)</f>
        <v>54274</v>
      </c>
      <c r="E37" s="18">
        <f>IF(F3="1",SUMIF(Data!$A:$A,'12'!$A$2,Data!IP:IP),0)</f>
        <v>496268</v>
      </c>
      <c r="F37" s="22">
        <f t="shared" ref="F37:F64" si="3">IF(D37=0,"",ROUND(E37/D37,2))</f>
        <v>9.14</v>
      </c>
    </row>
    <row r="38" spans="1:6" ht="14.25" customHeight="1" x14ac:dyDescent="0.2">
      <c r="A38" s="20">
        <v>3</v>
      </c>
      <c r="B38" s="172" t="s">
        <v>2</v>
      </c>
      <c r="C38" s="173"/>
      <c r="D38" s="15">
        <f>IF(F3="1",SUMIF(Data!A:A,'12'!$A$2,Data!CW:CW),0)</f>
        <v>307932</v>
      </c>
      <c r="E38" s="18">
        <f>IF(F3="1",SUMIF(Data!$A:$A,'12'!$A$2,Data!IQ:IQ),0)</f>
        <v>247428</v>
      </c>
      <c r="F38" s="22">
        <f t="shared" si="3"/>
        <v>0.8</v>
      </c>
    </row>
    <row r="39" spans="1:6" ht="14.25" customHeight="1" x14ac:dyDescent="0.2">
      <c r="A39" s="20">
        <v>4</v>
      </c>
      <c r="B39" s="172" t="s">
        <v>3</v>
      </c>
      <c r="C39" s="173"/>
      <c r="D39" s="15">
        <f>IF(F3="1",SUMIF(Data!A:A,'12'!$A$2,Data!CX:CX),0)</f>
        <v>100912</v>
      </c>
      <c r="E39" s="18">
        <f>IF(F3="1",SUMIF(Data!$A:$A,'12'!$A$2,Data!IR:IR),0)</f>
        <v>160264</v>
      </c>
      <c r="F39" s="22">
        <f t="shared" si="3"/>
        <v>1.59</v>
      </c>
    </row>
    <row r="40" spans="1:6" x14ac:dyDescent="0.2">
      <c r="A40" s="20">
        <v>5</v>
      </c>
      <c r="B40" s="172" t="s">
        <v>4</v>
      </c>
      <c r="C40" s="173"/>
      <c r="D40" s="15">
        <f>IF(F3="1",SUMIF(Data!A:A,'12'!$A$2,Data!CY:CY),0)</f>
        <v>0</v>
      </c>
      <c r="E40" s="18">
        <f>IF(F3="1",SUMIF(Data!$A:$A,'12'!$A$2,Data!IS:IS),0)</f>
        <v>0</v>
      </c>
      <c r="F40" s="22" t="str">
        <f t="shared" si="3"/>
        <v/>
      </c>
    </row>
    <row r="41" spans="1:6" x14ac:dyDescent="0.2">
      <c r="A41" s="20">
        <v>6</v>
      </c>
      <c r="B41" s="172" t="s">
        <v>5</v>
      </c>
      <c r="C41" s="173"/>
      <c r="D41" s="15">
        <f>IF(F3="1",SUMIF(Data!A:A,'12'!$A$2,Data!CZ:CZ),0)</f>
        <v>3936</v>
      </c>
      <c r="E41" s="18">
        <f>IF(F3="1",SUMIF(Data!$A:$A,'12'!$A$2,Data!IT:IT),0)</f>
        <v>0</v>
      </c>
      <c r="F41" s="22" t="str">
        <f>IF(E41=0,"",ROUND(E41/D41,2))</f>
        <v/>
      </c>
    </row>
    <row r="42" spans="1:6" x14ac:dyDescent="0.2">
      <c r="A42" s="20">
        <v>7</v>
      </c>
      <c r="B42" s="172" t="s">
        <v>6</v>
      </c>
      <c r="C42" s="173"/>
      <c r="D42" s="15">
        <f>IF(F3="1",SUMIF(Data!A:A,'12'!$A$2,Data!DA:DA),0)</f>
        <v>50503</v>
      </c>
      <c r="E42" s="18">
        <f>IF(F3="1",SUMIF(Data!$A:$A,'12'!$A$2,Data!IU:IU),0)</f>
        <v>331309</v>
      </c>
      <c r="F42" s="22">
        <f t="shared" si="3"/>
        <v>6.56</v>
      </c>
    </row>
    <row r="43" spans="1:6" x14ac:dyDescent="0.2">
      <c r="A43" s="20">
        <v>8</v>
      </c>
      <c r="B43" s="172" t="s">
        <v>7</v>
      </c>
      <c r="C43" s="173"/>
      <c r="D43" s="15">
        <f>IF(F3="1",SUMIF(Data!A:A,'12'!$A$2,Data!DB:DB),0)</f>
        <v>4192</v>
      </c>
      <c r="E43" s="18">
        <f>IF(F3="1",SUMIF(Data!$A:$A,'12'!$A$2,Data!IV:IV),0)</f>
        <v>2461</v>
      </c>
      <c r="F43" s="22">
        <f t="shared" si="3"/>
        <v>0.59</v>
      </c>
    </row>
    <row r="44" spans="1:6" x14ac:dyDescent="0.2">
      <c r="A44" s="20">
        <v>9</v>
      </c>
      <c r="B44" s="172" t="s">
        <v>8</v>
      </c>
      <c r="C44" s="173"/>
      <c r="D44" s="15">
        <f>IF(F3="1",SUMIF(Data!A:A,'12'!$A$2,Data!DC:DC),0)</f>
        <v>73526</v>
      </c>
      <c r="E44" s="18">
        <f>IF(F3="1",SUMIF(Data!$A:$A,'12'!$A$2,Data!IW:IW),0)</f>
        <v>512748</v>
      </c>
      <c r="F44" s="22">
        <f t="shared" si="3"/>
        <v>6.97</v>
      </c>
    </row>
    <row r="45" spans="1:6" x14ac:dyDescent="0.2">
      <c r="A45" s="20">
        <v>10</v>
      </c>
      <c r="B45" s="172" t="s">
        <v>9</v>
      </c>
      <c r="C45" s="173"/>
      <c r="D45" s="15">
        <f>IF(F3="1",SUMIF(Data!A:A,'12'!$A$2,Data!DD:DD),0)</f>
        <v>0</v>
      </c>
      <c r="E45" s="18">
        <f>IF(F3="1",SUMIF(Data!$A:$A,'12'!$A$2,Data!IX:IX),0)</f>
        <v>0</v>
      </c>
      <c r="F45" s="22" t="str">
        <f t="shared" si="3"/>
        <v/>
      </c>
    </row>
    <row r="46" spans="1:6" x14ac:dyDescent="0.2">
      <c r="A46" s="20">
        <v>11</v>
      </c>
      <c r="B46" s="172" t="s">
        <v>10</v>
      </c>
      <c r="C46" s="173"/>
      <c r="D46" s="15">
        <f>IF(F3="1",SUMIF(Data!A:A,'12'!$A$2,Data!DE:DE),0)</f>
        <v>27717</v>
      </c>
      <c r="E46" s="18">
        <f>IF(F3="1",SUMIF(Data!$A:$A,'12'!$A$2,Data!IY:IY),0)</f>
        <v>4811</v>
      </c>
      <c r="F46" s="22">
        <f t="shared" si="3"/>
        <v>0.17</v>
      </c>
    </row>
    <row r="47" spans="1:6" ht="14.25" customHeight="1" x14ac:dyDescent="0.2">
      <c r="A47" s="20">
        <v>12</v>
      </c>
      <c r="B47" s="172" t="s">
        <v>11</v>
      </c>
      <c r="C47" s="173"/>
      <c r="D47" s="15">
        <f>IF(F3="1",SUMIF(Data!A:A,'12'!$A$2,Data!DF:DF),0)</f>
        <v>226776</v>
      </c>
      <c r="E47" s="18">
        <f>IF(F3="1",SUMIF(Data!$A:$A,'12'!$A$2,Data!IZ:IZ),0)</f>
        <v>195401</v>
      </c>
      <c r="F47" s="22">
        <f t="shared" si="3"/>
        <v>0.86</v>
      </c>
    </row>
    <row r="48" spans="1:6" x14ac:dyDescent="0.2">
      <c r="A48" s="20">
        <v>13</v>
      </c>
      <c r="B48" s="172" t="s">
        <v>12</v>
      </c>
      <c r="C48" s="173"/>
      <c r="D48" s="15">
        <f>IF(F3="1",SUMIF(Data!A:A,'12'!$A$2,Data!DG:DG),0)</f>
        <v>18560</v>
      </c>
      <c r="E48" s="18">
        <f>IF(F3="1",SUMIF(Data!$A:$A,'12'!$A$2,Data!JA:JA),0)</f>
        <v>9966</v>
      </c>
      <c r="F48" s="22">
        <f t="shared" si="3"/>
        <v>0.54</v>
      </c>
    </row>
    <row r="49" spans="1:6" ht="14.25" customHeight="1" x14ac:dyDescent="0.2">
      <c r="A49" s="20">
        <v>14</v>
      </c>
      <c r="B49" s="172" t="s">
        <v>469</v>
      </c>
      <c r="C49" s="173"/>
      <c r="D49" s="15">
        <f>IF(F3="1",SUMIF(Data!A:A,'12'!$A$2,Data!DH:DH),0)</f>
        <v>78123</v>
      </c>
      <c r="E49" s="18">
        <f>IF(F3="1",SUMIF(Data!$A:$A,'12'!$A$2,Data!JB:JB),0)</f>
        <v>389079</v>
      </c>
      <c r="F49" s="22">
        <f t="shared" si="3"/>
        <v>4.9800000000000004</v>
      </c>
    </row>
    <row r="50" spans="1:6" x14ac:dyDescent="0.2">
      <c r="A50" s="20">
        <v>15</v>
      </c>
      <c r="B50" s="172" t="s">
        <v>13</v>
      </c>
      <c r="C50" s="173"/>
      <c r="D50" s="15">
        <f>IF(F3="1",SUMIF(Data!A:A,'12'!$A$2,Data!DI:DI),0)</f>
        <v>0</v>
      </c>
      <c r="E50" s="18">
        <f>IF(F3="1",SUMIF(Data!$A:$A,'12'!$A$2,Data!JC:JC),0)</f>
        <v>0</v>
      </c>
      <c r="F50" s="22" t="str">
        <f t="shared" si="3"/>
        <v/>
      </c>
    </row>
    <row r="51" spans="1:6" x14ac:dyDescent="0.2">
      <c r="A51" s="20">
        <v>16</v>
      </c>
      <c r="B51" s="172" t="s">
        <v>14</v>
      </c>
      <c r="C51" s="173"/>
      <c r="D51" s="15">
        <f>IF(F3="1",SUMIF(Data!A:A,'12'!$A$2,Data!DJ:DJ),0)</f>
        <v>100760</v>
      </c>
      <c r="E51" s="18">
        <f>IF(F3="1",SUMIF(Data!$A:$A,'12'!$A$2,Data!JD:JD),0)</f>
        <v>105814</v>
      </c>
      <c r="F51" s="22">
        <f t="shared" si="3"/>
        <v>1.05</v>
      </c>
    </row>
    <row r="52" spans="1:6" x14ac:dyDescent="0.2">
      <c r="A52" s="20">
        <v>17</v>
      </c>
      <c r="B52" s="172" t="s">
        <v>15</v>
      </c>
      <c r="C52" s="173"/>
      <c r="D52" s="15">
        <f>IF(F3="1",SUMIF(Data!A:A,'12'!$A$2,Data!DK:DK),0)</f>
        <v>0</v>
      </c>
      <c r="E52" s="18">
        <f>IF(F3="1",SUMIF(Data!$A:$A,'12'!$A$2,Data!JE:JE),0)</f>
        <v>0</v>
      </c>
      <c r="F52" s="22" t="str">
        <f t="shared" si="3"/>
        <v/>
      </c>
    </row>
    <row r="53" spans="1:6" x14ac:dyDescent="0.2">
      <c r="A53" s="20">
        <v>18</v>
      </c>
      <c r="B53" s="172" t="s">
        <v>16</v>
      </c>
      <c r="C53" s="173"/>
      <c r="D53" s="15">
        <f>IF(F3="1",SUMIF(Data!A:A,'12'!$A$2,Data!DL:DL),0)</f>
        <v>33888</v>
      </c>
      <c r="E53" s="18">
        <f>IF(F3="1",SUMIF(Data!$A:$A,'12'!$A$2,Data!JF:JF),0)</f>
        <v>108546</v>
      </c>
      <c r="F53" s="22">
        <f t="shared" si="3"/>
        <v>3.2</v>
      </c>
    </row>
    <row r="54" spans="1:6" x14ac:dyDescent="0.2">
      <c r="A54" s="20">
        <v>19</v>
      </c>
      <c r="B54" s="172" t="s">
        <v>17</v>
      </c>
      <c r="C54" s="173"/>
      <c r="D54" s="15">
        <f>IF(F3="1",SUMIF(Data!A:A,'12'!$A$2,Data!DM:DM),0)</f>
        <v>230000</v>
      </c>
      <c r="E54" s="18">
        <f>IF(F3="1",SUMIF(Data!$A:$A,'12'!$A$2,Data!JG:JG),0)</f>
        <v>239105</v>
      </c>
      <c r="F54" s="22">
        <f t="shared" si="3"/>
        <v>1.04</v>
      </c>
    </row>
    <row r="55" spans="1:6" x14ac:dyDescent="0.2">
      <c r="A55" s="20">
        <v>20</v>
      </c>
      <c r="B55" s="172" t="s">
        <v>18</v>
      </c>
      <c r="C55" s="173"/>
      <c r="D55" s="15">
        <f>IF(F3="1",SUMIF(Data!A:A,'12'!$A$2,Data!DN:DN),0)</f>
        <v>0</v>
      </c>
      <c r="E55" s="18">
        <f>IF(F3="1",SUMIF(Data!$A:$A,'12'!$A$2,Data!JH:JH),0)</f>
        <v>0</v>
      </c>
      <c r="F55" s="22" t="str">
        <f t="shared" si="3"/>
        <v/>
      </c>
    </row>
    <row r="56" spans="1:6" ht="14.25" customHeight="1" x14ac:dyDescent="0.2">
      <c r="A56" s="20">
        <v>21</v>
      </c>
      <c r="B56" s="172" t="s">
        <v>466</v>
      </c>
      <c r="C56" s="173"/>
      <c r="D56" s="15">
        <f>IF(F3="1",SUMIF(Data!A:A,'12'!$A$2,Data!DO:DO),0)</f>
        <v>0</v>
      </c>
      <c r="E56" s="18">
        <f>IF(F3="1",SUMIF(Data!$A:$A,'12'!$A$2,Data!JI:JI),0)</f>
        <v>0</v>
      </c>
      <c r="F56" s="22" t="str">
        <f t="shared" si="3"/>
        <v/>
      </c>
    </row>
    <row r="57" spans="1:6" x14ac:dyDescent="0.2">
      <c r="A57" s="20">
        <v>22</v>
      </c>
      <c r="B57" s="172" t="s">
        <v>19</v>
      </c>
      <c r="C57" s="173"/>
      <c r="D57" s="15">
        <f>IF(F3="1",SUMIF(Data!A:A,'12'!$A$2,Data!DP:DP),0)</f>
        <v>7608</v>
      </c>
      <c r="E57" s="18">
        <f>IF(F3="1",SUMIF(Data!$A:$A,'12'!$A$2,Data!JJ:JJ),0)</f>
        <v>8026</v>
      </c>
      <c r="F57" s="22">
        <f t="shared" si="3"/>
        <v>1.05</v>
      </c>
    </row>
    <row r="58" spans="1:6" x14ac:dyDescent="0.2">
      <c r="A58" s="20">
        <v>23</v>
      </c>
      <c r="B58" s="172" t="s">
        <v>20</v>
      </c>
      <c r="C58" s="173"/>
      <c r="D58" s="15">
        <f>IF(F3="1",SUMIF(Data!A:A,'12'!$A$2,Data!DQ:DQ),0)</f>
        <v>52800</v>
      </c>
      <c r="E58" s="18">
        <f>IF(F3="1",SUMIF(Data!$A:$A,'12'!$A$2,Data!JK:JK),0)</f>
        <v>74183</v>
      </c>
      <c r="F58" s="22">
        <f t="shared" si="3"/>
        <v>1.4</v>
      </c>
    </row>
    <row r="59" spans="1:6" x14ac:dyDescent="0.2">
      <c r="A59" s="20">
        <v>24</v>
      </c>
      <c r="B59" s="172" t="s">
        <v>21</v>
      </c>
      <c r="C59" s="173"/>
      <c r="D59" s="15">
        <f>IF(F3="1",SUMIF(Data!A:A,'12'!$A$2,Data!DR:DR),0)</f>
        <v>75100</v>
      </c>
      <c r="E59" s="18">
        <f>IF(F3="1",SUMIF(Data!$A:$A,'12'!$A$2,Data!JL:JL),0)</f>
        <v>277174</v>
      </c>
      <c r="F59" s="22">
        <f t="shared" si="3"/>
        <v>3.69</v>
      </c>
    </row>
    <row r="60" spans="1:6" x14ac:dyDescent="0.2">
      <c r="A60" s="20">
        <v>25</v>
      </c>
      <c r="B60" s="172" t="s">
        <v>22</v>
      </c>
      <c r="C60" s="173"/>
      <c r="D60" s="15">
        <f>IF(F3="1",SUMIF(Data!A:A,'12'!$A$2,Data!DS:DS),0)</f>
        <v>235232</v>
      </c>
      <c r="E60" s="18">
        <f>IF(F3="1",SUMIF(Data!$A:$A,'12'!$A$2,Data!JM:JM),0)</f>
        <v>166998</v>
      </c>
      <c r="F60" s="22">
        <f t="shared" si="3"/>
        <v>0.71</v>
      </c>
    </row>
    <row r="61" spans="1:6" x14ac:dyDescent="0.2">
      <c r="A61" s="20">
        <v>26</v>
      </c>
      <c r="B61" s="172" t="s">
        <v>23</v>
      </c>
      <c r="C61" s="173"/>
      <c r="D61" s="15">
        <f>IF(F3="1",SUMIF(Data!A:A,'12'!$A$2,Data!DT:DT),0)</f>
        <v>81600</v>
      </c>
      <c r="E61" s="18">
        <f>IF(F3="1",SUMIF(Data!$A:$A,'12'!$A$2,Data!JN:JN),0)</f>
        <v>169470</v>
      </c>
      <c r="F61" s="22">
        <f t="shared" si="3"/>
        <v>2.08</v>
      </c>
    </row>
    <row r="62" spans="1:6" x14ac:dyDescent="0.2">
      <c r="A62" s="20">
        <v>28</v>
      </c>
      <c r="B62" s="172" t="s">
        <v>24</v>
      </c>
      <c r="C62" s="173"/>
      <c r="D62" s="15">
        <f>IF(F3="1",SUMIF(Data!A:A,'12'!$A$2,Data!DV:DV),0)</f>
        <v>0</v>
      </c>
      <c r="E62" s="18">
        <f>IF(F3="1",SUMIF(Data!$A:$A,'12'!$A$2,Data!JP:JP),0)</f>
        <v>0</v>
      </c>
      <c r="F62" s="22" t="str">
        <f t="shared" si="3"/>
        <v/>
      </c>
    </row>
    <row r="63" spans="1:6" ht="15.75" customHeight="1" thickBot="1" x14ac:dyDescent="0.25">
      <c r="A63" s="23">
        <v>29</v>
      </c>
      <c r="B63" s="174" t="s">
        <v>25</v>
      </c>
      <c r="C63" s="175"/>
      <c r="D63" s="24">
        <f>IF(F3="1",SUMIF(Data!A:A,'12'!$A$2,Data!DW:DW),0)</f>
        <v>0</v>
      </c>
      <c r="E63" s="25">
        <f>IF(F3="1",SUMIF(Data!$A:$A,'12'!$A$2,Data!JQ:JQ),0)</f>
        <v>0</v>
      </c>
      <c r="F63" s="26" t="str">
        <f t="shared" si="3"/>
        <v/>
      </c>
    </row>
    <row r="64" spans="1:6" x14ac:dyDescent="0.2">
      <c r="B64" s="31" t="s">
        <v>35</v>
      </c>
      <c r="C64" s="31"/>
      <c r="D64" s="61">
        <f>SUM(D36:D63)</f>
        <v>1766700</v>
      </c>
      <c r="E64" s="32">
        <f>SUM(E36:E63)</f>
        <v>3499051</v>
      </c>
      <c r="F64" s="33">
        <f t="shared" si="3"/>
        <v>1.98</v>
      </c>
    </row>
    <row r="65" spans="1:6" ht="15" thickBot="1" x14ac:dyDescent="0.25"/>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3261</v>
      </c>
      <c r="E67" s="16">
        <f>IF(F3="1",SUMIF(Data!A:A,'12'!$A$2,Data!DY:DY),0)</f>
        <v>0</v>
      </c>
      <c r="F67" s="21" t="str">
        <f>IF(E67=0,"",ROUND(E67/D67,2))</f>
        <v/>
      </c>
    </row>
    <row r="68" spans="1:6" x14ac:dyDescent="0.2">
      <c r="A68" s="20">
        <v>2</v>
      </c>
      <c r="B68" s="172" t="s">
        <v>1</v>
      </c>
      <c r="C68" s="173"/>
      <c r="D68" s="15">
        <f t="shared" ref="D68:D94" si="4">D37</f>
        <v>54274</v>
      </c>
      <c r="E68" s="18">
        <f>IF(F3="1",SUMIF(Data!A:A,'12'!$A$2,Data!DZ:DZ),0)</f>
        <v>560646</v>
      </c>
      <c r="F68" s="22">
        <f t="shared" ref="F68:F95" si="5">IF(D68=0,"",ROUND(E68/D68,2))</f>
        <v>10.33</v>
      </c>
    </row>
    <row r="69" spans="1:6" ht="14.25" customHeight="1" x14ac:dyDescent="0.2">
      <c r="A69" s="20">
        <v>3</v>
      </c>
      <c r="B69" s="172" t="s">
        <v>2</v>
      </c>
      <c r="C69" s="173"/>
      <c r="D69" s="15">
        <f t="shared" si="4"/>
        <v>307932</v>
      </c>
      <c r="E69" s="18">
        <f>IF(F3="1",SUMIF(Data!A:A,'12'!$A$2,Data!EA:EA),0)</f>
        <v>744833</v>
      </c>
      <c r="F69" s="22">
        <f t="shared" si="5"/>
        <v>2.42</v>
      </c>
    </row>
    <row r="70" spans="1:6" ht="14.25" customHeight="1" x14ac:dyDescent="0.2">
      <c r="A70" s="20">
        <v>4</v>
      </c>
      <c r="B70" s="172" t="s">
        <v>3</v>
      </c>
      <c r="C70" s="173"/>
      <c r="D70" s="15">
        <f t="shared" si="4"/>
        <v>100912</v>
      </c>
      <c r="E70" s="18">
        <f>IF(F3="1",SUMIF(Data!A:A,'12'!$A$2,Data!EB:EB),0)</f>
        <v>362343</v>
      </c>
      <c r="F70" s="22">
        <f t="shared" si="5"/>
        <v>3.59</v>
      </c>
    </row>
    <row r="71" spans="1:6" x14ac:dyDescent="0.2">
      <c r="A71" s="20">
        <v>5</v>
      </c>
      <c r="B71" s="172" t="s">
        <v>4</v>
      </c>
      <c r="C71" s="173"/>
      <c r="D71" s="15">
        <f t="shared" si="4"/>
        <v>0</v>
      </c>
      <c r="E71" s="18">
        <f>IF(F3="1",SUMIF(Data!A:A,'12'!$A$2,Data!EC:EC),0)</f>
        <v>0</v>
      </c>
      <c r="F71" s="22" t="str">
        <f t="shared" si="5"/>
        <v/>
      </c>
    </row>
    <row r="72" spans="1:6" x14ac:dyDescent="0.2">
      <c r="A72" s="20">
        <v>6</v>
      </c>
      <c r="B72" s="172" t="s">
        <v>5</v>
      </c>
      <c r="C72" s="173"/>
      <c r="D72" s="15">
        <f t="shared" si="4"/>
        <v>3936</v>
      </c>
      <c r="E72" s="18">
        <f>IF(F3="1",SUMIF(Data!A:A,'12'!$A$2,Data!ED:ED),0)</f>
        <v>0</v>
      </c>
      <c r="F72" s="22" t="str">
        <f>IF(E72=0,"",ROUND(E72/D72,2))</f>
        <v/>
      </c>
    </row>
    <row r="73" spans="1:6" x14ac:dyDescent="0.2">
      <c r="A73" s="20">
        <v>7</v>
      </c>
      <c r="B73" s="172" t="s">
        <v>6</v>
      </c>
      <c r="C73" s="173"/>
      <c r="D73" s="15">
        <f t="shared" si="4"/>
        <v>50503</v>
      </c>
      <c r="E73" s="18">
        <f>IF(F3="1",SUMIF(Data!A:A,'12'!$A$2,Data!EE:EE),0)</f>
        <v>352165</v>
      </c>
      <c r="F73" s="22">
        <f t="shared" si="5"/>
        <v>6.97</v>
      </c>
    </row>
    <row r="74" spans="1:6" x14ac:dyDescent="0.2">
      <c r="A74" s="20">
        <v>8</v>
      </c>
      <c r="B74" s="172" t="s">
        <v>7</v>
      </c>
      <c r="C74" s="173"/>
      <c r="D74" s="15">
        <f t="shared" si="4"/>
        <v>4192</v>
      </c>
      <c r="E74" s="18">
        <f>IF(F3="1",SUMIF(Data!A:A,'12'!$A$2,Data!EF:EF),0)</f>
        <v>5849</v>
      </c>
      <c r="F74" s="22">
        <f t="shared" si="5"/>
        <v>1.4</v>
      </c>
    </row>
    <row r="75" spans="1:6" x14ac:dyDescent="0.2">
      <c r="A75" s="20">
        <v>9</v>
      </c>
      <c r="B75" s="172" t="s">
        <v>8</v>
      </c>
      <c r="C75" s="173"/>
      <c r="D75" s="15">
        <f t="shared" si="4"/>
        <v>73526</v>
      </c>
      <c r="E75" s="18">
        <f>IF(F3="1",SUMIF(Data!A:A,'12'!$A$2,Data!EG:EG),0)</f>
        <v>411647</v>
      </c>
      <c r="F75" s="22">
        <f t="shared" si="5"/>
        <v>5.6</v>
      </c>
    </row>
    <row r="76" spans="1:6" x14ac:dyDescent="0.2">
      <c r="A76" s="20">
        <v>10</v>
      </c>
      <c r="B76" s="172" t="s">
        <v>9</v>
      </c>
      <c r="C76" s="173"/>
      <c r="D76" s="15">
        <f t="shared" si="4"/>
        <v>0</v>
      </c>
      <c r="E76" s="18">
        <f>IF(F3="1",SUMIF(Data!A:A,'12'!$A$2,Data!EH:EH),0)</f>
        <v>0</v>
      </c>
      <c r="F76" s="22" t="str">
        <f t="shared" si="5"/>
        <v/>
      </c>
    </row>
    <row r="77" spans="1:6" x14ac:dyDescent="0.2">
      <c r="A77" s="20">
        <v>11</v>
      </c>
      <c r="B77" s="172" t="s">
        <v>10</v>
      </c>
      <c r="C77" s="173"/>
      <c r="D77" s="15">
        <f t="shared" si="4"/>
        <v>27717</v>
      </c>
      <c r="E77" s="18">
        <f>IF(F3="1",SUMIF(Data!A:A,'12'!$A$2,Data!EI:EI),0)</f>
        <v>12460</v>
      </c>
      <c r="F77" s="22">
        <f t="shared" si="5"/>
        <v>0.45</v>
      </c>
    </row>
    <row r="78" spans="1:6" ht="14.25" customHeight="1" x14ac:dyDescent="0.2">
      <c r="A78" s="20">
        <v>12</v>
      </c>
      <c r="B78" s="172" t="s">
        <v>11</v>
      </c>
      <c r="C78" s="173"/>
      <c r="D78" s="15">
        <f t="shared" si="4"/>
        <v>226776</v>
      </c>
      <c r="E78" s="18">
        <f>IF(F3="1",SUMIF(Data!A:A,'12'!$A$2,Data!EJ:EJ),0)</f>
        <v>778193</v>
      </c>
      <c r="F78" s="22">
        <f t="shared" si="5"/>
        <v>3.43</v>
      </c>
    </row>
    <row r="79" spans="1:6" x14ac:dyDescent="0.2">
      <c r="A79" s="20">
        <v>13</v>
      </c>
      <c r="B79" s="172" t="s">
        <v>12</v>
      </c>
      <c r="C79" s="173"/>
      <c r="D79" s="15">
        <f t="shared" si="4"/>
        <v>18560</v>
      </c>
      <c r="E79" s="18">
        <f>IF(F3="1",SUMIF(Data!A:A,'12'!$A$2,Data!EK:EK),0)</f>
        <v>70743</v>
      </c>
      <c r="F79" s="22">
        <f t="shared" si="5"/>
        <v>3.81</v>
      </c>
    </row>
    <row r="80" spans="1:6" ht="14.25" customHeight="1" x14ac:dyDescent="0.2">
      <c r="A80" s="20">
        <v>14</v>
      </c>
      <c r="B80" s="172" t="s">
        <v>469</v>
      </c>
      <c r="C80" s="173"/>
      <c r="D80" s="15">
        <f t="shared" si="4"/>
        <v>78123</v>
      </c>
      <c r="E80" s="18">
        <f>IF(F3="1",SUMIF(Data!A:A,'12'!$A$2,Data!EL:EL),0)</f>
        <v>600177</v>
      </c>
      <c r="F80" s="22">
        <f t="shared" si="5"/>
        <v>7.68</v>
      </c>
    </row>
    <row r="81" spans="1:6" x14ac:dyDescent="0.2">
      <c r="A81" s="20">
        <v>15</v>
      </c>
      <c r="B81" s="172" t="s">
        <v>13</v>
      </c>
      <c r="C81" s="173"/>
      <c r="D81" s="15">
        <f t="shared" si="4"/>
        <v>0</v>
      </c>
      <c r="E81" s="18">
        <f>IF(F3="1",SUMIF(Data!A:A,'12'!$A$2,Data!EM:EM),0)</f>
        <v>0</v>
      </c>
      <c r="F81" s="22" t="str">
        <f t="shared" si="5"/>
        <v/>
      </c>
    </row>
    <row r="82" spans="1:6" x14ac:dyDescent="0.2">
      <c r="A82" s="20">
        <v>16</v>
      </c>
      <c r="B82" s="172" t="s">
        <v>14</v>
      </c>
      <c r="C82" s="173"/>
      <c r="D82" s="15">
        <f t="shared" si="4"/>
        <v>100760</v>
      </c>
      <c r="E82" s="18">
        <f>IF(F3="1",SUMIF(Data!A:A,'12'!$A$2,Data!EN:EN),0)</f>
        <v>397071</v>
      </c>
      <c r="F82" s="22">
        <f t="shared" si="5"/>
        <v>3.94</v>
      </c>
    </row>
    <row r="83" spans="1:6" x14ac:dyDescent="0.2">
      <c r="A83" s="20">
        <v>17</v>
      </c>
      <c r="B83" s="172" t="s">
        <v>15</v>
      </c>
      <c r="C83" s="173"/>
      <c r="D83" s="15">
        <f t="shared" si="4"/>
        <v>0</v>
      </c>
      <c r="E83" s="18">
        <f>IF(F3="1",SUMIF(Data!A:A,'12'!$A$2,Data!EO:EO),0)</f>
        <v>0</v>
      </c>
      <c r="F83" s="22" t="str">
        <f t="shared" si="5"/>
        <v/>
      </c>
    </row>
    <row r="84" spans="1:6" x14ac:dyDescent="0.2">
      <c r="A84" s="20">
        <v>18</v>
      </c>
      <c r="B84" s="172" t="s">
        <v>16</v>
      </c>
      <c r="C84" s="173"/>
      <c r="D84" s="15">
        <f t="shared" si="4"/>
        <v>33888</v>
      </c>
      <c r="E84" s="18">
        <f>IF(F3="1",SUMIF(Data!A:A,'12'!$A$2,Data!EP:EP),0)</f>
        <v>236386</v>
      </c>
      <c r="F84" s="22">
        <f t="shared" si="5"/>
        <v>6.98</v>
      </c>
    </row>
    <row r="85" spans="1:6" x14ac:dyDescent="0.2">
      <c r="A85" s="20">
        <v>19</v>
      </c>
      <c r="B85" s="172" t="s">
        <v>17</v>
      </c>
      <c r="C85" s="173"/>
      <c r="D85" s="15">
        <f t="shared" si="4"/>
        <v>230000</v>
      </c>
      <c r="E85" s="18">
        <f>IF(F3="1",SUMIF(Data!A:A,'12'!$A$2,Data!EQ:EQ),0)</f>
        <v>604687</v>
      </c>
      <c r="F85" s="22">
        <f t="shared" si="5"/>
        <v>2.63</v>
      </c>
    </row>
    <row r="86" spans="1:6" x14ac:dyDescent="0.2">
      <c r="A86" s="20">
        <v>20</v>
      </c>
      <c r="B86" s="172" t="s">
        <v>18</v>
      </c>
      <c r="C86" s="173"/>
      <c r="D86" s="15">
        <f t="shared" si="4"/>
        <v>0</v>
      </c>
      <c r="E86" s="18">
        <f>IF(F3="1",SUMIF(Data!A:A,'12'!$A$2,Data!ER:ER),0)</f>
        <v>0</v>
      </c>
      <c r="F86" s="22" t="str">
        <f t="shared" si="5"/>
        <v/>
      </c>
    </row>
    <row r="87" spans="1:6" ht="14.25" customHeight="1" x14ac:dyDescent="0.2">
      <c r="A87" s="20">
        <v>21</v>
      </c>
      <c r="B87" s="172" t="s">
        <v>466</v>
      </c>
      <c r="C87" s="173"/>
      <c r="D87" s="15">
        <f t="shared" si="4"/>
        <v>0</v>
      </c>
      <c r="E87" s="18">
        <f>IF(F3="1",SUMIF(Data!A:A,'12'!$A$2,Data!ES:ES),0)</f>
        <v>0</v>
      </c>
      <c r="F87" s="22" t="str">
        <f t="shared" si="5"/>
        <v/>
      </c>
    </row>
    <row r="88" spans="1:6" x14ac:dyDescent="0.2">
      <c r="A88" s="20">
        <v>22</v>
      </c>
      <c r="B88" s="172" t="s">
        <v>19</v>
      </c>
      <c r="C88" s="173"/>
      <c r="D88" s="15">
        <f t="shared" si="4"/>
        <v>7608</v>
      </c>
      <c r="E88" s="18">
        <f>IF(F3="1",SUMIF(Data!A:A,'12'!$A$2,Data!ET:ET),0)</f>
        <v>7281</v>
      </c>
      <c r="F88" s="22">
        <f t="shared" si="5"/>
        <v>0.96</v>
      </c>
    </row>
    <row r="89" spans="1:6" x14ac:dyDescent="0.2">
      <c r="A89" s="20">
        <v>23</v>
      </c>
      <c r="B89" s="172" t="s">
        <v>20</v>
      </c>
      <c r="C89" s="173"/>
      <c r="D89" s="15">
        <f t="shared" si="4"/>
        <v>52800</v>
      </c>
      <c r="E89" s="18">
        <f>IF(F3="1",SUMIF(Data!A:A,'12'!$A$2,Data!EU:EU),0)</f>
        <v>203961</v>
      </c>
      <c r="F89" s="22">
        <f t="shared" si="5"/>
        <v>3.86</v>
      </c>
    </row>
    <row r="90" spans="1:6" x14ac:dyDescent="0.2">
      <c r="A90" s="20">
        <v>24</v>
      </c>
      <c r="B90" s="172" t="s">
        <v>21</v>
      </c>
      <c r="C90" s="173"/>
      <c r="D90" s="15">
        <f t="shared" si="4"/>
        <v>75100</v>
      </c>
      <c r="E90" s="18">
        <f>IF(F3="1",SUMIF(Data!A:A,'12'!$A$2,Data!EV:EV),0)</f>
        <v>321003</v>
      </c>
      <c r="F90" s="22">
        <f t="shared" si="5"/>
        <v>4.2699999999999996</v>
      </c>
    </row>
    <row r="91" spans="1:6" x14ac:dyDescent="0.2">
      <c r="A91" s="20">
        <v>25</v>
      </c>
      <c r="B91" s="172" t="s">
        <v>22</v>
      </c>
      <c r="C91" s="173"/>
      <c r="D91" s="15">
        <f t="shared" si="4"/>
        <v>235232</v>
      </c>
      <c r="E91" s="18">
        <f>IF(F3="1",SUMIF(Data!A:A,'12'!$A$2,Data!EW:EW),0)</f>
        <v>1144125</v>
      </c>
      <c r="F91" s="22">
        <f t="shared" si="5"/>
        <v>4.8600000000000003</v>
      </c>
    </row>
    <row r="92" spans="1:6" x14ac:dyDescent="0.2">
      <c r="A92" s="20">
        <v>26</v>
      </c>
      <c r="B92" s="172" t="s">
        <v>23</v>
      </c>
      <c r="C92" s="173"/>
      <c r="D92" s="15">
        <f t="shared" si="4"/>
        <v>81600</v>
      </c>
      <c r="E92" s="18">
        <f>IF(F3="1",SUMIF(Data!A:A,'12'!$A$2,Data!EX:EX),0)</f>
        <v>610490</v>
      </c>
      <c r="F92" s="22">
        <f t="shared" si="5"/>
        <v>7.48</v>
      </c>
    </row>
    <row r="93" spans="1:6" x14ac:dyDescent="0.2">
      <c r="A93" s="20">
        <v>28</v>
      </c>
      <c r="B93" s="172" t="s">
        <v>24</v>
      </c>
      <c r="C93" s="173"/>
      <c r="D93" s="15">
        <f t="shared" si="4"/>
        <v>0</v>
      </c>
      <c r="E93" s="18">
        <f>IF(F3="1",SUMIF(Data!A:A,'12'!$A$2,Data!EZ:EZ),0)</f>
        <v>0</v>
      </c>
      <c r="F93" s="22" t="str">
        <f t="shared" si="5"/>
        <v/>
      </c>
    </row>
    <row r="94" spans="1:6" ht="15.75" customHeight="1" thickBot="1" x14ac:dyDescent="0.25">
      <c r="A94" s="23">
        <v>29</v>
      </c>
      <c r="B94" s="174" t="s">
        <v>25</v>
      </c>
      <c r="C94" s="175"/>
      <c r="D94" s="24">
        <f t="shared" si="4"/>
        <v>0</v>
      </c>
      <c r="E94" s="25">
        <f>IF(F3="1",SUMIF(Data!A:A,'12'!$A$2,Data!FA:FA),0)</f>
        <v>0</v>
      </c>
      <c r="F94" s="26" t="str">
        <f t="shared" si="5"/>
        <v/>
      </c>
    </row>
    <row r="95" spans="1:6" x14ac:dyDescent="0.2">
      <c r="B95" s="31" t="s">
        <v>35</v>
      </c>
      <c r="C95" s="31"/>
      <c r="D95" s="61">
        <f>SUM(D67:D94)</f>
        <v>1766700</v>
      </c>
      <c r="E95" s="32">
        <f>SUM(E67:E94)</f>
        <v>7424060</v>
      </c>
      <c r="F95" s="33">
        <f t="shared" si="5"/>
        <v>4.2</v>
      </c>
    </row>
    <row r="96" spans="1:6" ht="15" thickBot="1" x14ac:dyDescent="0.25"/>
    <row r="97" spans="2:6" ht="29.25" customHeight="1" x14ac:dyDescent="0.2">
      <c r="B97" s="176" t="s">
        <v>473</v>
      </c>
      <c r="C97" s="177"/>
      <c r="D97" s="29" t="s">
        <v>27</v>
      </c>
      <c r="E97" s="34" t="s">
        <v>467</v>
      </c>
      <c r="F97" s="30" t="s">
        <v>468</v>
      </c>
    </row>
    <row r="98" spans="2:6" x14ac:dyDescent="0.2">
      <c r="B98" s="178" t="s">
        <v>30</v>
      </c>
      <c r="C98" s="179"/>
      <c r="D98" s="36"/>
      <c r="E98" s="16">
        <f>IF(F3="1",SUMIF(Data!A:A,'12'!$A$2,Data!AH:AH),0)</f>
        <v>6370977</v>
      </c>
      <c r="F98" s="21">
        <f>IF($D$105=0,"",ROUND(E98/$D$105,2))</f>
        <v>3.61</v>
      </c>
    </row>
    <row r="99" spans="2:6" x14ac:dyDescent="0.2">
      <c r="B99" s="178" t="s">
        <v>31</v>
      </c>
      <c r="C99" s="179"/>
      <c r="D99" s="37"/>
      <c r="E99" s="18">
        <f>IF(F3="1",SUMIF(Data!A:A,'12'!$A$2,Data!AI:AI),0)</f>
        <v>2979650</v>
      </c>
      <c r="F99" s="22">
        <f t="shared" ref="F99:F105" si="6">IF($D$105=0,"",ROUND(E99/$D$105,2))</f>
        <v>1.69</v>
      </c>
    </row>
    <row r="100" spans="2:6" x14ac:dyDescent="0.2">
      <c r="B100" s="178" t="s">
        <v>32</v>
      </c>
      <c r="C100" s="179"/>
      <c r="D100" s="37"/>
      <c r="E100" s="18">
        <f>IF(F3="1",SUMIF(Data!A:A,'12'!$A$2,Data!AJ:AJ),0)</f>
        <v>2438941</v>
      </c>
      <c r="F100" s="22">
        <f t="shared" si="6"/>
        <v>1.38</v>
      </c>
    </row>
    <row r="101" spans="2:6" x14ac:dyDescent="0.2">
      <c r="B101" s="178" t="s">
        <v>28</v>
      </c>
      <c r="C101" s="179"/>
      <c r="D101" s="37"/>
      <c r="E101" s="18">
        <f>IF(F3="1",SUMIF(Data!A:A,'12'!$A$2,Data!AK:AK),0)</f>
        <v>0</v>
      </c>
      <c r="F101" s="22">
        <f t="shared" si="6"/>
        <v>0</v>
      </c>
    </row>
    <row r="102" spans="2:6" x14ac:dyDescent="0.2">
      <c r="B102" s="178" t="s">
        <v>33</v>
      </c>
      <c r="C102" s="179"/>
      <c r="D102" s="37"/>
      <c r="E102" s="18">
        <f>IF(F3="1",SUMIF(Data!A:A,'12'!$A$2,Data!AL:AL),0)</f>
        <v>0</v>
      </c>
      <c r="F102" s="22">
        <f t="shared" si="6"/>
        <v>0</v>
      </c>
    </row>
    <row r="103" spans="2:6" x14ac:dyDescent="0.2">
      <c r="B103" s="180" t="s">
        <v>34</v>
      </c>
      <c r="C103" s="181"/>
      <c r="D103" s="37"/>
      <c r="E103" s="18">
        <f>IF(F3="1",SUMIF(Data!A:A,'12'!$A$2,Data!AM:AM),0)</f>
        <v>532638</v>
      </c>
      <c r="F103" s="22">
        <f t="shared" si="6"/>
        <v>0.3</v>
      </c>
    </row>
    <row r="104" spans="2:6" ht="15.75" customHeight="1" thickBot="1" x14ac:dyDescent="0.25">
      <c r="B104" s="170" t="s">
        <v>29</v>
      </c>
      <c r="C104" s="171"/>
      <c r="D104" s="38"/>
      <c r="E104" s="25">
        <f>IF(F3="1",SUMIF(Data!A:A,'12'!$A$2,Data!Q:Q),0)</f>
        <v>1146003</v>
      </c>
      <c r="F104" s="26">
        <f t="shared" si="6"/>
        <v>0.65</v>
      </c>
    </row>
    <row r="105" spans="2:6" x14ac:dyDescent="0.2">
      <c r="B105" s="31" t="s">
        <v>35</v>
      </c>
      <c r="C105" s="31"/>
      <c r="D105" s="35">
        <f>D95</f>
        <v>1766700</v>
      </c>
      <c r="E105" s="32">
        <f>SUM(E98:E104)</f>
        <v>13468209</v>
      </c>
      <c r="F105" s="33">
        <f t="shared" si="6"/>
        <v>7.62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9055557</v>
      </c>
      <c r="D109" s="16">
        <f>IF(F3="1",SUMIF(Data!$A:$A,$A$2,Data!HJ:HJ),0)</f>
        <v>1132801</v>
      </c>
      <c r="E109" s="16">
        <f>IF(F3="1",SUMIF(Data!$A:$A,$A$2,Data!IN:IN),0)</f>
        <v>963317</v>
      </c>
      <c r="F109" s="48">
        <f>SUM(C109:E109)</f>
        <v>11151675</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1090347</v>
      </c>
      <c r="D111" s="52"/>
      <c r="E111" s="51">
        <f>IF(F3="1",SUMIF(Data!A:A,$A$2,Data!AX:AX),0)</f>
        <v>273052</v>
      </c>
      <c r="F111" s="49">
        <f t="shared" si="7"/>
        <v>1363399</v>
      </c>
    </row>
    <row r="112" spans="2:6" x14ac:dyDescent="0.2">
      <c r="B112" s="43" t="s">
        <v>32</v>
      </c>
      <c r="C112" s="51">
        <f>IF(F3="1",SUMIF(Data!A:A,$A$2,Data!V:V),0)</f>
        <v>2134272</v>
      </c>
      <c r="D112" s="52"/>
      <c r="E112" s="51">
        <f>IF(F3="1",SUMIF(Data!A:A,$A$2,Data!AC:AC),0)</f>
        <v>304669</v>
      </c>
      <c r="F112" s="49">
        <f t="shared" si="7"/>
        <v>2438941</v>
      </c>
    </row>
    <row r="113" spans="1:6" x14ac:dyDescent="0.2">
      <c r="B113" s="43" t="s">
        <v>31</v>
      </c>
      <c r="C113" s="51">
        <f>IF(F3="1",SUMIF(Data!A:A,$A$2,Data!U:U),0)</f>
        <v>2601677</v>
      </c>
      <c r="D113" s="52"/>
      <c r="E113" s="51">
        <f>IF(F3="1",SUMIF(Data!A:A,$A$2,Data!AB:AB),0)</f>
        <v>377973</v>
      </c>
      <c r="F113" s="49">
        <f t="shared" si="7"/>
        <v>2979650</v>
      </c>
    </row>
    <row r="114" spans="1:6" x14ac:dyDescent="0.2">
      <c r="B114" s="43" t="s">
        <v>1021</v>
      </c>
      <c r="C114" s="51">
        <f>IF(F3="1",SUMIF(Data!A:A,$A$2,Data!T:T),0)</f>
        <v>3486919</v>
      </c>
      <c r="D114" s="52"/>
      <c r="E114" s="51">
        <f>IF(F3="1",SUMIF(Data!A:A,$A$2,Data!AA:AA),0)</f>
        <v>2884058</v>
      </c>
      <c r="F114" s="49">
        <f t="shared" si="7"/>
        <v>6370977</v>
      </c>
    </row>
    <row r="115" spans="1:6" x14ac:dyDescent="0.2">
      <c r="B115" s="43" t="s">
        <v>937</v>
      </c>
      <c r="C115" s="51">
        <f>IF(F3="1",SUMIF(Data!A:A,$A$2,Data!BI:BI),0)</f>
        <v>1398864</v>
      </c>
      <c r="D115" s="51">
        <f>IF(F3="1",SUMIF(Data!A:A,$A$2,Data!BL:BL),0)</f>
        <v>88857</v>
      </c>
      <c r="E115" s="51">
        <f>IF(F3="1",SUMIF(Data!A:A,$A$2,Data!BU:BU),0)</f>
        <v>2309881</v>
      </c>
      <c r="F115" s="49">
        <f t="shared" si="7"/>
        <v>3797602</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1146003</v>
      </c>
      <c r="E117" s="53"/>
      <c r="F117" s="50">
        <f>SUM(C117:E117)</f>
        <v>1146003</v>
      </c>
    </row>
    <row r="118" spans="1:6" x14ac:dyDescent="0.2">
      <c r="B118" s="14" t="s">
        <v>35</v>
      </c>
      <c r="C118" s="5">
        <f>SUM(C109:C116)</f>
        <v>19767636</v>
      </c>
      <c r="D118" s="5">
        <f>SUM(D109:D116)</f>
        <v>1221658</v>
      </c>
      <c r="E118" s="5">
        <f>SUM(E109:E116)</f>
        <v>7112950</v>
      </c>
      <c r="F118" s="5">
        <f>SUM(F109:F116)</f>
        <v>28102244</v>
      </c>
    </row>
    <row r="119" spans="1:6" ht="15" thickBot="1" x14ac:dyDescent="0.25"/>
    <row r="120" spans="1:6" ht="15" thickBot="1" x14ac:dyDescent="0.25">
      <c r="B120" s="57" t="s">
        <v>942</v>
      </c>
      <c r="C120" s="55"/>
      <c r="D120" s="55"/>
      <c r="E120" s="55">
        <f>IF(F3="1",SUMIF(Data!A:A,'12'!$A$2,Data!AM:AM),0)</f>
        <v>532638</v>
      </c>
      <c r="F120" s="56">
        <f>SUM(C120:E120)</f>
        <v>532638</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454</v>
      </c>
      <c r="B2" s="60" t="str">
        <f>VLOOKUP(A2,Data!A:G,7,0)</f>
        <v>Collin County Community College District</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95914</v>
      </c>
      <c r="E5" s="16">
        <f>E36+E67+IFERROR($E$105/$D$105*D5,0)</f>
        <v>632193.28262223548</v>
      </c>
      <c r="F5" s="21">
        <f>IF(OR(D5=0,E5=0),"",ROUND(E5/D5,2))</f>
        <v>6.59</v>
      </c>
    </row>
    <row r="6" spans="1:6" x14ac:dyDescent="0.2">
      <c r="A6" s="20">
        <v>2</v>
      </c>
      <c r="B6" s="172" t="s">
        <v>1</v>
      </c>
      <c r="C6" s="173"/>
      <c r="D6" s="15">
        <f t="shared" ref="D6:D32" si="0">D37</f>
        <v>960</v>
      </c>
      <c r="E6" s="18">
        <f t="shared" ref="E6:E32" si="1">E37+E68+IFERROR($E$105/$D$105*D6,0)</f>
        <v>9557.0495998221959</v>
      </c>
      <c r="F6" s="22">
        <f t="shared" ref="F6:F33" si="2">IF(OR(D6=0,E6=0),"",ROUND(E6/D6,2))</f>
        <v>9.9600000000000009</v>
      </c>
    </row>
    <row r="7" spans="1:6" ht="14.25" customHeight="1" x14ac:dyDescent="0.2">
      <c r="A7" s="20">
        <v>3</v>
      </c>
      <c r="B7" s="172" t="s">
        <v>2</v>
      </c>
      <c r="C7" s="173"/>
      <c r="D7" s="15">
        <f t="shared" si="0"/>
        <v>1088816</v>
      </c>
      <c r="E7" s="18">
        <f t="shared" si="1"/>
        <v>8120907.7719583372</v>
      </c>
      <c r="F7" s="22">
        <f t="shared" si="2"/>
        <v>7.46</v>
      </c>
    </row>
    <row r="8" spans="1:6" ht="14.25" customHeight="1" x14ac:dyDescent="0.2">
      <c r="A8" s="20">
        <v>4</v>
      </c>
      <c r="B8" s="172" t="s">
        <v>3</v>
      </c>
      <c r="C8" s="173"/>
      <c r="D8" s="15">
        <f t="shared" si="0"/>
        <v>655162</v>
      </c>
      <c r="E8" s="18">
        <f t="shared" si="1"/>
        <v>5188423.7269986551</v>
      </c>
      <c r="F8" s="22">
        <f t="shared" si="2"/>
        <v>7.92</v>
      </c>
    </row>
    <row r="9" spans="1:6" x14ac:dyDescent="0.2">
      <c r="A9" s="20">
        <v>5</v>
      </c>
      <c r="B9" s="172" t="s">
        <v>4</v>
      </c>
      <c r="C9" s="173"/>
      <c r="D9" s="15">
        <f t="shared" si="0"/>
        <v>1200</v>
      </c>
      <c r="E9" s="18">
        <f t="shared" si="1"/>
        <v>4251.3119997777449</v>
      </c>
      <c r="F9" s="22">
        <f t="shared" si="2"/>
        <v>3.54</v>
      </c>
    </row>
    <row r="10" spans="1:6" x14ac:dyDescent="0.2">
      <c r="A10" s="20">
        <v>6</v>
      </c>
      <c r="B10" s="172" t="s">
        <v>5</v>
      </c>
      <c r="C10" s="173"/>
      <c r="D10" s="15">
        <f t="shared" si="0"/>
        <v>199422</v>
      </c>
      <c r="E10" s="18">
        <f t="shared" si="1"/>
        <v>1888581.2846830646</v>
      </c>
      <c r="F10" s="22">
        <f t="shared" si="2"/>
        <v>9.4700000000000006</v>
      </c>
    </row>
    <row r="11" spans="1:6" x14ac:dyDescent="0.2">
      <c r="A11" s="20">
        <v>7</v>
      </c>
      <c r="B11" s="172" t="s">
        <v>6</v>
      </c>
      <c r="C11" s="173"/>
      <c r="D11" s="15">
        <f t="shared" si="0"/>
        <v>377673</v>
      </c>
      <c r="E11" s="18">
        <f t="shared" si="1"/>
        <v>2743139.7974100504</v>
      </c>
      <c r="F11" s="22">
        <f t="shared" si="2"/>
        <v>7.26</v>
      </c>
    </row>
    <row r="12" spans="1:6" x14ac:dyDescent="0.2">
      <c r="A12" s="20">
        <v>8</v>
      </c>
      <c r="B12" s="172" t="s">
        <v>7</v>
      </c>
      <c r="C12" s="173"/>
      <c r="D12" s="15">
        <f t="shared" si="0"/>
        <v>828</v>
      </c>
      <c r="E12" s="18">
        <f t="shared" si="1"/>
        <v>8287.4052798466437</v>
      </c>
      <c r="F12" s="22">
        <f t="shared" si="2"/>
        <v>10.01</v>
      </c>
    </row>
    <row r="13" spans="1:6" x14ac:dyDescent="0.2">
      <c r="A13" s="20">
        <v>9</v>
      </c>
      <c r="B13" s="172" t="s">
        <v>8</v>
      </c>
      <c r="C13" s="173"/>
      <c r="D13" s="15">
        <f t="shared" si="0"/>
        <v>198886</v>
      </c>
      <c r="E13" s="18">
        <f t="shared" si="1"/>
        <v>1474501.3653231638</v>
      </c>
      <c r="F13" s="22">
        <f t="shared" si="2"/>
        <v>7.41</v>
      </c>
    </row>
    <row r="14" spans="1:6" x14ac:dyDescent="0.2">
      <c r="A14" s="20">
        <v>10</v>
      </c>
      <c r="B14" s="172" t="s">
        <v>9</v>
      </c>
      <c r="C14" s="173"/>
      <c r="D14" s="15">
        <f t="shared" si="0"/>
        <v>5424</v>
      </c>
      <c r="E14" s="18">
        <f t="shared" si="1"/>
        <v>76390.93023899541</v>
      </c>
      <c r="F14" s="22">
        <f t="shared" si="2"/>
        <v>14.08</v>
      </c>
    </row>
    <row r="15" spans="1:6" x14ac:dyDescent="0.2">
      <c r="A15" s="20">
        <v>11</v>
      </c>
      <c r="B15" s="172" t="s">
        <v>10</v>
      </c>
      <c r="C15" s="173"/>
      <c r="D15" s="15">
        <f t="shared" si="0"/>
        <v>52848</v>
      </c>
      <c r="E15" s="18">
        <f t="shared" si="1"/>
        <v>855457.78047021187</v>
      </c>
      <c r="F15" s="22">
        <f t="shared" si="2"/>
        <v>16.190000000000001</v>
      </c>
    </row>
    <row r="16" spans="1:6" ht="14.25" customHeight="1" x14ac:dyDescent="0.2">
      <c r="A16" s="20">
        <v>12</v>
      </c>
      <c r="B16" s="172" t="s">
        <v>11</v>
      </c>
      <c r="C16" s="173"/>
      <c r="D16" s="15">
        <f t="shared" si="0"/>
        <v>1598689</v>
      </c>
      <c r="E16" s="18">
        <f t="shared" si="1"/>
        <v>11917195.441343904</v>
      </c>
      <c r="F16" s="22">
        <f t="shared" si="2"/>
        <v>7.45</v>
      </c>
    </row>
    <row r="17" spans="1:6" x14ac:dyDescent="0.2">
      <c r="A17" s="20">
        <v>13</v>
      </c>
      <c r="B17" s="172" t="s">
        <v>12</v>
      </c>
      <c r="C17" s="173"/>
      <c r="D17" s="15">
        <f t="shared" si="0"/>
        <v>308770</v>
      </c>
      <c r="E17" s="18">
        <f t="shared" si="1"/>
        <v>2057208.0051428119</v>
      </c>
      <c r="F17" s="22">
        <f t="shared" si="2"/>
        <v>6.66</v>
      </c>
    </row>
    <row r="18" spans="1:6" ht="14.25" customHeight="1" x14ac:dyDescent="0.2">
      <c r="A18" s="20">
        <v>14</v>
      </c>
      <c r="B18" s="172" t="s">
        <v>469</v>
      </c>
      <c r="C18" s="173"/>
      <c r="D18" s="15">
        <f t="shared" si="0"/>
        <v>130628</v>
      </c>
      <c r="E18" s="18">
        <f t="shared" si="1"/>
        <v>2096461.6532558061</v>
      </c>
      <c r="F18" s="22">
        <f t="shared" si="2"/>
        <v>16.05</v>
      </c>
    </row>
    <row r="19" spans="1:6" x14ac:dyDescent="0.2">
      <c r="A19" s="20">
        <v>15</v>
      </c>
      <c r="B19" s="172" t="s">
        <v>13</v>
      </c>
      <c r="C19" s="173"/>
      <c r="D19" s="15">
        <f t="shared" si="0"/>
        <v>24064</v>
      </c>
      <c r="E19" s="18">
        <f t="shared" si="1"/>
        <v>710239.97663554305</v>
      </c>
      <c r="F19" s="22">
        <f t="shared" si="2"/>
        <v>29.51</v>
      </c>
    </row>
    <row r="20" spans="1:6" x14ac:dyDescent="0.2">
      <c r="A20" s="20">
        <v>16</v>
      </c>
      <c r="B20" s="172" t="s">
        <v>14</v>
      </c>
      <c r="C20" s="173"/>
      <c r="D20" s="15">
        <f t="shared" si="0"/>
        <v>127434</v>
      </c>
      <c r="E20" s="18">
        <f t="shared" si="1"/>
        <v>1344985.0778163977</v>
      </c>
      <c r="F20" s="22">
        <f t="shared" si="2"/>
        <v>10.55</v>
      </c>
    </row>
    <row r="21" spans="1:6" x14ac:dyDescent="0.2">
      <c r="A21" s="20">
        <v>17</v>
      </c>
      <c r="B21" s="172" t="s">
        <v>15</v>
      </c>
      <c r="C21" s="173"/>
      <c r="D21" s="15">
        <f t="shared" si="0"/>
        <v>43408</v>
      </c>
      <c r="E21" s="18">
        <f t="shared" si="1"/>
        <v>559164.12607196032</v>
      </c>
      <c r="F21" s="22">
        <f t="shared" si="2"/>
        <v>12.88</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1145610</v>
      </c>
      <c r="E23" s="18">
        <f t="shared" si="1"/>
        <v>7922948.2833878184</v>
      </c>
      <c r="F23" s="22">
        <f t="shared" si="2"/>
        <v>6.92</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4576</v>
      </c>
      <c r="E26" s="18">
        <f t="shared" si="1"/>
        <v>22353.669759152464</v>
      </c>
      <c r="F26" s="22">
        <f t="shared" si="2"/>
        <v>4.88</v>
      </c>
    </row>
    <row r="27" spans="1:6" x14ac:dyDescent="0.2">
      <c r="A27" s="20">
        <v>23</v>
      </c>
      <c r="B27" s="172" t="s">
        <v>20</v>
      </c>
      <c r="C27" s="173"/>
      <c r="D27" s="15">
        <f t="shared" si="0"/>
        <v>218304</v>
      </c>
      <c r="E27" s="18">
        <f t="shared" si="1"/>
        <v>1855513.6789995674</v>
      </c>
      <c r="F27" s="22">
        <f t="shared" si="2"/>
        <v>8.5</v>
      </c>
    </row>
    <row r="28" spans="1:6" x14ac:dyDescent="0.2">
      <c r="A28" s="20">
        <v>24</v>
      </c>
      <c r="B28" s="172" t="s">
        <v>21</v>
      </c>
      <c r="C28" s="173"/>
      <c r="D28" s="15">
        <f t="shared" si="0"/>
        <v>217939</v>
      </c>
      <c r="E28" s="18">
        <f t="shared" si="1"/>
        <v>2445590.5715996348</v>
      </c>
      <c r="F28" s="22">
        <f t="shared" si="2"/>
        <v>11.22</v>
      </c>
    </row>
    <row r="29" spans="1:6" x14ac:dyDescent="0.2">
      <c r="A29" s="20">
        <v>25</v>
      </c>
      <c r="B29" s="172" t="s">
        <v>22</v>
      </c>
      <c r="C29" s="173"/>
      <c r="D29" s="15">
        <f t="shared" si="0"/>
        <v>1652784</v>
      </c>
      <c r="E29" s="18">
        <f t="shared" si="1"/>
        <v>10852270.043533884</v>
      </c>
      <c r="F29" s="22">
        <f t="shared" si="2"/>
        <v>6.57</v>
      </c>
    </row>
    <row r="30" spans="1:6" x14ac:dyDescent="0.2">
      <c r="A30" s="20">
        <v>26</v>
      </c>
      <c r="B30" s="172" t="s">
        <v>23</v>
      </c>
      <c r="C30" s="173"/>
      <c r="D30" s="15">
        <f t="shared" si="0"/>
        <v>705350</v>
      </c>
      <c r="E30" s="18">
        <f t="shared" si="1"/>
        <v>7249299.7658693604</v>
      </c>
      <c r="F30" s="22">
        <f t="shared" si="2"/>
        <v>10.28</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8854689</v>
      </c>
      <c r="E33" s="32">
        <f>SUM(E5:E32)</f>
        <v>70034922</v>
      </c>
      <c r="F33" s="33">
        <f t="shared" si="2"/>
        <v>7.91</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IF(F3="1",SUMIF(Data!A:A,'13'!$A$2,Data!CU:CU),0)</f>
        <v>95914</v>
      </c>
      <c r="E36" s="16">
        <f>IF(F3="1",SUMIF(Data!$A:$A,'13'!$A$2,Data!IO:IO),0)</f>
        <v>100001</v>
      </c>
      <c r="F36" s="21">
        <f>IF(D36=0,"",ROUND(E36/D36,2))</f>
        <v>1.04</v>
      </c>
    </row>
    <row r="37" spans="1:6" x14ac:dyDescent="0.2">
      <c r="A37" s="20">
        <v>2</v>
      </c>
      <c r="B37" s="172" t="s">
        <v>1</v>
      </c>
      <c r="C37" s="173"/>
      <c r="D37" s="15">
        <f>IF(F3="1",SUMIF(Data!A:A,'13'!$A$2,Data!CV:CV),0)</f>
        <v>960</v>
      </c>
      <c r="E37" s="18">
        <f>IF(F3="1",SUMIF(Data!$A:$A,'13'!$A$2,Data!IP:IP),0)</f>
        <v>4415</v>
      </c>
      <c r="F37" s="22">
        <f t="shared" ref="F37:F64" si="3">IF(D37=0,"",ROUND(E37/D37,2))</f>
        <v>4.5999999999999996</v>
      </c>
    </row>
    <row r="38" spans="1:6" ht="14.25" customHeight="1" x14ac:dyDescent="0.2">
      <c r="A38" s="20">
        <v>3</v>
      </c>
      <c r="B38" s="172" t="s">
        <v>2</v>
      </c>
      <c r="C38" s="173"/>
      <c r="D38" s="15">
        <f>IF(F3="1",SUMIF(Data!A:A,'13'!$A$2,Data!CW:CW),0)</f>
        <v>1088816</v>
      </c>
      <c r="E38" s="18">
        <f>IF(F3="1",SUMIF(Data!$A:$A,'13'!$A$2,Data!IQ:IQ),0)</f>
        <v>1543301</v>
      </c>
      <c r="F38" s="22">
        <f t="shared" si="3"/>
        <v>1.42</v>
      </c>
    </row>
    <row r="39" spans="1:6" ht="14.25" customHeight="1" x14ac:dyDescent="0.2">
      <c r="A39" s="20">
        <v>4</v>
      </c>
      <c r="B39" s="172" t="s">
        <v>3</v>
      </c>
      <c r="C39" s="173"/>
      <c r="D39" s="15">
        <f>IF(F3="1",SUMIF(Data!A:A,'13'!$A$2,Data!CX:CX),0)</f>
        <v>655162</v>
      </c>
      <c r="E39" s="18">
        <f>IF(F3="1",SUMIF(Data!$A:$A,'13'!$A$2,Data!IR:IR),0)</f>
        <v>967047</v>
      </c>
      <c r="F39" s="22">
        <f t="shared" si="3"/>
        <v>1.48</v>
      </c>
    </row>
    <row r="40" spans="1:6" x14ac:dyDescent="0.2">
      <c r="A40" s="20">
        <v>5</v>
      </c>
      <c r="B40" s="172" t="s">
        <v>4</v>
      </c>
      <c r="C40" s="173"/>
      <c r="D40" s="15">
        <f>IF(F3="1",SUMIF(Data!A:A,'13'!$A$2,Data!CY:CY),0)</f>
        <v>1200</v>
      </c>
      <c r="E40" s="18">
        <f>IF(F3="1",SUMIF(Data!$A:$A,'13'!$A$2,Data!IS:IS),0)</f>
        <v>0</v>
      </c>
      <c r="F40" s="22" t="str">
        <f>IF(E40=0,"",ROUND(E40/D40,2))</f>
        <v/>
      </c>
    </row>
    <row r="41" spans="1:6" x14ac:dyDescent="0.2">
      <c r="A41" s="20">
        <v>6</v>
      </c>
      <c r="B41" s="172" t="s">
        <v>5</v>
      </c>
      <c r="C41" s="173"/>
      <c r="D41" s="15">
        <f>IF(F3="1",SUMIF(Data!A:A,'13'!$A$2,Data!CZ:CZ),0)</f>
        <v>199422</v>
      </c>
      <c r="E41" s="18">
        <f>IF(F3="1",SUMIF(Data!$A:$A,'13'!$A$2,Data!IT:IT),0)</f>
        <v>695744</v>
      </c>
      <c r="F41" s="22">
        <f t="shared" si="3"/>
        <v>3.49</v>
      </c>
    </row>
    <row r="42" spans="1:6" x14ac:dyDescent="0.2">
      <c r="A42" s="20">
        <v>7</v>
      </c>
      <c r="B42" s="172" t="s">
        <v>6</v>
      </c>
      <c r="C42" s="173"/>
      <c r="D42" s="15">
        <f>IF(F3="1",SUMIF(Data!A:A,'13'!$A$2,Data!DA:DA),0)</f>
        <v>377673</v>
      </c>
      <c r="E42" s="18">
        <f>IF(F3="1",SUMIF(Data!$A:$A,'13'!$A$2,Data!IU:IU),0)</f>
        <v>478081</v>
      </c>
      <c r="F42" s="22">
        <f t="shared" si="3"/>
        <v>1.27</v>
      </c>
    </row>
    <row r="43" spans="1:6" x14ac:dyDescent="0.2">
      <c r="A43" s="20">
        <v>8</v>
      </c>
      <c r="B43" s="172" t="s">
        <v>7</v>
      </c>
      <c r="C43" s="173"/>
      <c r="D43" s="15">
        <f>IF(F3="1",SUMIF(Data!A:A,'13'!$A$2,Data!DB:DB),0)</f>
        <v>828</v>
      </c>
      <c r="E43" s="18">
        <f>IF(F3="1",SUMIF(Data!$A:$A,'13'!$A$2,Data!IV:IV),0)</f>
        <v>3840</v>
      </c>
      <c r="F43" s="22">
        <f t="shared" si="3"/>
        <v>4.6399999999999997</v>
      </c>
    </row>
    <row r="44" spans="1:6" x14ac:dyDescent="0.2">
      <c r="A44" s="20">
        <v>9</v>
      </c>
      <c r="B44" s="172" t="s">
        <v>8</v>
      </c>
      <c r="C44" s="173"/>
      <c r="D44" s="15">
        <f>IF(F3="1",SUMIF(Data!A:A,'13'!$A$2,Data!DC:DC),0)</f>
        <v>198886</v>
      </c>
      <c r="E44" s="18">
        <f>IF(F3="1",SUMIF(Data!$A:$A,'13'!$A$2,Data!IW:IW),0)</f>
        <v>307257</v>
      </c>
      <c r="F44" s="22">
        <f t="shared" si="3"/>
        <v>1.54</v>
      </c>
    </row>
    <row r="45" spans="1:6" x14ac:dyDescent="0.2">
      <c r="A45" s="20">
        <v>10</v>
      </c>
      <c r="B45" s="172" t="s">
        <v>9</v>
      </c>
      <c r="C45" s="173"/>
      <c r="D45" s="15">
        <f>IF(F3="1",SUMIF(Data!A:A,'13'!$A$2,Data!DD:DD),0)</f>
        <v>5424</v>
      </c>
      <c r="E45" s="18">
        <f>IF(F3="1",SUMIF(Data!$A:$A,'13'!$A$2,Data!IX:IX),0)</f>
        <v>43446</v>
      </c>
      <c r="F45" s="22">
        <f t="shared" si="3"/>
        <v>8.01</v>
      </c>
    </row>
    <row r="46" spans="1:6" x14ac:dyDescent="0.2">
      <c r="A46" s="20">
        <v>11</v>
      </c>
      <c r="B46" s="172" t="s">
        <v>10</v>
      </c>
      <c r="C46" s="173"/>
      <c r="D46" s="15">
        <f>IF(F3="1",SUMIF(Data!A:A,'13'!$A$2,Data!DE:DE),0)</f>
        <v>52848</v>
      </c>
      <c r="E46" s="18">
        <f>IF(F3="1",SUMIF(Data!$A:$A,'13'!$A$2,Data!IY:IY),0)</f>
        <v>325676</v>
      </c>
      <c r="F46" s="22">
        <f t="shared" si="3"/>
        <v>6.16</v>
      </c>
    </row>
    <row r="47" spans="1:6" ht="14.25" customHeight="1" x14ac:dyDescent="0.2">
      <c r="A47" s="20">
        <v>12</v>
      </c>
      <c r="B47" s="172" t="s">
        <v>11</v>
      </c>
      <c r="C47" s="173"/>
      <c r="D47" s="15">
        <f>IF(F3="1",SUMIF(Data!A:A,'13'!$A$2,Data!DF:DF),0)</f>
        <v>1598689</v>
      </c>
      <c r="E47" s="18">
        <f>IF(F3="1",SUMIF(Data!$A:$A,'13'!$A$2,Data!IZ:IZ),0)</f>
        <v>1249332</v>
      </c>
      <c r="F47" s="22">
        <f t="shared" si="3"/>
        <v>0.78</v>
      </c>
    </row>
    <row r="48" spans="1:6" x14ac:dyDescent="0.2">
      <c r="A48" s="20">
        <v>13</v>
      </c>
      <c r="B48" s="172" t="s">
        <v>12</v>
      </c>
      <c r="C48" s="173"/>
      <c r="D48" s="15">
        <f>IF(F3="1",SUMIF(Data!A:A,'13'!$A$2,Data!DG:DG),0)</f>
        <v>308770</v>
      </c>
      <c r="E48" s="18">
        <f>IF(F3="1",SUMIF(Data!$A:$A,'13'!$A$2,Data!JA:JA),0)</f>
        <v>367241</v>
      </c>
      <c r="F48" s="22">
        <f t="shared" si="3"/>
        <v>1.19</v>
      </c>
    </row>
    <row r="49" spans="1:6" ht="14.25" customHeight="1" x14ac:dyDescent="0.2">
      <c r="A49" s="20">
        <v>14</v>
      </c>
      <c r="B49" s="172" t="s">
        <v>469</v>
      </c>
      <c r="C49" s="173"/>
      <c r="D49" s="15">
        <f>IF(F3="1",SUMIF(Data!A:A,'13'!$A$2,Data!DH:DH),0)</f>
        <v>130628</v>
      </c>
      <c r="E49" s="18">
        <f>IF(F3="1",SUMIF(Data!$A:$A,'13'!$A$2,Data!JB:JB),0)</f>
        <v>502850</v>
      </c>
      <c r="F49" s="22">
        <f t="shared" si="3"/>
        <v>3.85</v>
      </c>
    </row>
    <row r="50" spans="1:6" x14ac:dyDescent="0.2">
      <c r="A50" s="20">
        <v>15</v>
      </c>
      <c r="B50" s="172" t="s">
        <v>13</v>
      </c>
      <c r="C50" s="173"/>
      <c r="D50" s="15">
        <f>IF(F3="1",SUMIF(Data!A:A,'13'!$A$2,Data!DI:DI),0)</f>
        <v>24064</v>
      </c>
      <c r="E50" s="18">
        <f>IF(F3="1",SUMIF(Data!$A:$A,'13'!$A$2,Data!JC:JC),0)</f>
        <v>399253</v>
      </c>
      <c r="F50" s="22">
        <f t="shared" si="3"/>
        <v>16.59</v>
      </c>
    </row>
    <row r="51" spans="1:6" x14ac:dyDescent="0.2">
      <c r="A51" s="20">
        <v>16</v>
      </c>
      <c r="B51" s="172" t="s">
        <v>14</v>
      </c>
      <c r="C51" s="173"/>
      <c r="D51" s="15">
        <f>IF(F3="1",SUMIF(Data!A:A,'13'!$A$2,Data!DJ:DJ),0)</f>
        <v>127434</v>
      </c>
      <c r="E51" s="18">
        <f>IF(F3="1",SUMIF(Data!$A:$A,'13'!$A$2,Data!JD:JD),0)</f>
        <v>396730</v>
      </c>
      <c r="F51" s="22">
        <f t="shared" si="3"/>
        <v>3.11</v>
      </c>
    </row>
    <row r="52" spans="1:6" x14ac:dyDescent="0.2">
      <c r="A52" s="20">
        <v>17</v>
      </c>
      <c r="B52" s="172" t="s">
        <v>15</v>
      </c>
      <c r="C52" s="173"/>
      <c r="D52" s="15">
        <f>IF(F3="1",SUMIF(Data!A:A,'13'!$A$2,Data!DK:DK),0)</f>
        <v>43408</v>
      </c>
      <c r="E52" s="18">
        <f>IF(F3="1",SUMIF(Data!$A:$A,'13'!$A$2,Data!JE:JE),0)</f>
        <v>140857</v>
      </c>
      <c r="F52" s="22">
        <f t="shared" si="3"/>
        <v>3.24</v>
      </c>
    </row>
    <row r="53" spans="1:6" x14ac:dyDescent="0.2">
      <c r="A53" s="20">
        <v>18</v>
      </c>
      <c r="B53" s="172" t="s">
        <v>16</v>
      </c>
      <c r="C53" s="173"/>
      <c r="D53" s="15">
        <f>IF(F3="1",SUMIF(Data!A:A,'13'!$A$2,Data!DL:DL),0)</f>
        <v>0</v>
      </c>
      <c r="E53" s="18">
        <f>IF(F3="1",SUMIF(Data!$A:$A,'13'!$A$2,Data!JF:JF),0)</f>
        <v>0</v>
      </c>
      <c r="F53" s="22" t="str">
        <f t="shared" si="3"/>
        <v/>
      </c>
    </row>
    <row r="54" spans="1:6" x14ac:dyDescent="0.2">
      <c r="A54" s="20">
        <v>19</v>
      </c>
      <c r="B54" s="172" t="s">
        <v>17</v>
      </c>
      <c r="C54" s="173"/>
      <c r="D54" s="15">
        <f>IF(F3="1",SUMIF(Data!A:A,'13'!$A$2,Data!DM:DM),0)</f>
        <v>1145610</v>
      </c>
      <c r="E54" s="18">
        <f>IF(F3="1",SUMIF(Data!$A:$A,'13'!$A$2,Data!JG:JG),0)</f>
        <v>1236255</v>
      </c>
      <c r="F54" s="22">
        <f t="shared" si="3"/>
        <v>1.08</v>
      </c>
    </row>
    <row r="55" spans="1:6" x14ac:dyDescent="0.2">
      <c r="A55" s="20">
        <v>20</v>
      </c>
      <c r="B55" s="172" t="s">
        <v>18</v>
      </c>
      <c r="C55" s="173"/>
      <c r="D55" s="15">
        <f>IF(F3="1",SUMIF(Data!A:A,'13'!$A$2,Data!DN:DN),0)</f>
        <v>0</v>
      </c>
      <c r="E55" s="18">
        <f>IF(F3="1",SUMIF(Data!$A:$A,'13'!$A$2,Data!JH:JH),0)</f>
        <v>0</v>
      </c>
      <c r="F55" s="22" t="str">
        <f t="shared" si="3"/>
        <v/>
      </c>
    </row>
    <row r="56" spans="1:6" ht="14.25" customHeight="1" x14ac:dyDescent="0.2">
      <c r="A56" s="20">
        <v>21</v>
      </c>
      <c r="B56" s="172" t="s">
        <v>466</v>
      </c>
      <c r="C56" s="173"/>
      <c r="D56" s="15">
        <f>IF(F3="1",SUMIF(Data!A:A,'13'!$A$2,Data!DO:DO),0)</f>
        <v>0</v>
      </c>
      <c r="E56" s="18">
        <f>IF(F3="1",SUMIF(Data!$A:$A,'13'!$A$2,Data!JI:JI),0)</f>
        <v>0</v>
      </c>
      <c r="F56" s="22" t="str">
        <f t="shared" si="3"/>
        <v/>
      </c>
    </row>
    <row r="57" spans="1:6" x14ac:dyDescent="0.2">
      <c r="A57" s="20">
        <v>22</v>
      </c>
      <c r="B57" s="172" t="s">
        <v>19</v>
      </c>
      <c r="C57" s="173"/>
      <c r="D57" s="15">
        <f>IF(F3="1",SUMIF(Data!A:A,'13'!$A$2,Data!DP:DP),0)</f>
        <v>4576</v>
      </c>
      <c r="E57" s="18">
        <f>IF(F3="1",SUMIF(Data!$A:$A,'13'!$A$2,Data!JJ:JJ),0)</f>
        <v>4804</v>
      </c>
      <c r="F57" s="22">
        <f t="shared" si="3"/>
        <v>1.05</v>
      </c>
    </row>
    <row r="58" spans="1:6" x14ac:dyDescent="0.2">
      <c r="A58" s="20">
        <v>23</v>
      </c>
      <c r="B58" s="172" t="s">
        <v>20</v>
      </c>
      <c r="C58" s="173"/>
      <c r="D58" s="15">
        <f>IF(F3="1",SUMIF(Data!A:A,'13'!$A$2,Data!DQ:DQ),0)</f>
        <v>218304</v>
      </c>
      <c r="E58" s="18">
        <f>IF(F3="1",SUMIF(Data!$A:$A,'13'!$A$2,Data!JK:JK),0)</f>
        <v>416284</v>
      </c>
      <c r="F58" s="22">
        <f t="shared" si="3"/>
        <v>1.91</v>
      </c>
    </row>
    <row r="59" spans="1:6" x14ac:dyDescent="0.2">
      <c r="A59" s="20">
        <v>24</v>
      </c>
      <c r="B59" s="172" t="s">
        <v>21</v>
      </c>
      <c r="C59" s="173"/>
      <c r="D59" s="15">
        <f>IF(F3="1",SUMIF(Data!A:A,'13'!$A$2,Data!DR:DR),0)</f>
        <v>217939</v>
      </c>
      <c r="E59" s="18">
        <f>IF(F3="1",SUMIF(Data!$A:$A,'13'!$A$2,Data!JL:JL),0)</f>
        <v>991381</v>
      </c>
      <c r="F59" s="22">
        <f t="shared" si="3"/>
        <v>4.55</v>
      </c>
    </row>
    <row r="60" spans="1:6" x14ac:dyDescent="0.2">
      <c r="A60" s="20">
        <v>25</v>
      </c>
      <c r="B60" s="172" t="s">
        <v>22</v>
      </c>
      <c r="C60" s="173"/>
      <c r="D60" s="15">
        <f>IF(F3="1",SUMIF(Data!A:A,'13'!$A$2,Data!DS:DS),0)</f>
        <v>1652784</v>
      </c>
      <c r="E60" s="18">
        <f>IF(F3="1",SUMIF(Data!$A:$A,'13'!$A$2,Data!JM:JM),0)</f>
        <v>906546</v>
      </c>
      <c r="F60" s="22">
        <f t="shared" si="3"/>
        <v>0.55000000000000004</v>
      </c>
    </row>
    <row r="61" spans="1:6" x14ac:dyDescent="0.2">
      <c r="A61" s="20">
        <v>26</v>
      </c>
      <c r="B61" s="172" t="s">
        <v>23</v>
      </c>
      <c r="C61" s="173"/>
      <c r="D61" s="15">
        <f>IF(F3="1",SUMIF(Data!A:A,'13'!$A$2,Data!DT:DT),0)</f>
        <v>705350</v>
      </c>
      <c r="E61" s="18">
        <f>IF(F3="1",SUMIF(Data!$A:$A,'13'!$A$2,Data!JN:JN),0)</f>
        <v>1808736</v>
      </c>
      <c r="F61" s="22">
        <f t="shared" si="3"/>
        <v>2.56</v>
      </c>
    </row>
    <row r="62" spans="1:6" x14ac:dyDescent="0.2">
      <c r="A62" s="20">
        <v>28</v>
      </c>
      <c r="B62" s="172" t="s">
        <v>24</v>
      </c>
      <c r="C62" s="173"/>
      <c r="D62" s="15">
        <f>IF(F3="1",SUMIF(Data!A:A,'13'!$A$2,Data!DV:DV),0)</f>
        <v>0</v>
      </c>
      <c r="E62" s="18">
        <f>IF(F3="1",SUMIF(Data!$A:$A,'13'!$A$2,Data!JP:JP),0)</f>
        <v>0</v>
      </c>
      <c r="F62" s="22" t="str">
        <f t="shared" si="3"/>
        <v/>
      </c>
    </row>
    <row r="63" spans="1:6" ht="15.75" customHeight="1" thickBot="1" x14ac:dyDescent="0.25">
      <c r="A63" s="23">
        <v>29</v>
      </c>
      <c r="B63" s="174" t="s">
        <v>25</v>
      </c>
      <c r="C63" s="175"/>
      <c r="D63" s="24">
        <f>IF(F3="1",SUMIF(Data!A:A,'13'!$A$2,Data!DW:DW),0)</f>
        <v>0</v>
      </c>
      <c r="E63" s="25">
        <f>IF(F3="1",SUMIF(Data!$A:$A,'13'!$A$2,Data!JQ:JQ),0)</f>
        <v>0</v>
      </c>
      <c r="F63" s="26" t="str">
        <f t="shared" si="3"/>
        <v/>
      </c>
    </row>
    <row r="64" spans="1:6" x14ac:dyDescent="0.2">
      <c r="B64" s="31" t="s">
        <v>35</v>
      </c>
      <c r="C64" s="31"/>
      <c r="D64" s="61">
        <f>SUM(D36:D63)</f>
        <v>8854689</v>
      </c>
      <c r="E64" s="32">
        <f>SUM(E36:E63)</f>
        <v>12889077</v>
      </c>
      <c r="F64" s="33">
        <f t="shared" si="3"/>
        <v>1.46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95914</v>
      </c>
      <c r="E67" s="16">
        <f>IF(F3="1",SUMIF(Data!A:A,'13'!$A$2,Data!DY:DY),0)</f>
        <v>192392</v>
      </c>
      <c r="F67" s="21">
        <f t="shared" ref="F67:F95" si="4">IF(D67=0,"",ROUND(E67/D67,2))</f>
        <v>2.0099999999999998</v>
      </c>
    </row>
    <row r="68" spans="1:6" x14ac:dyDescent="0.2">
      <c r="A68" s="20">
        <v>2</v>
      </c>
      <c r="B68" s="172" t="s">
        <v>1</v>
      </c>
      <c r="C68" s="173"/>
      <c r="D68" s="15">
        <f t="shared" ref="D68:D94" si="5">D37</f>
        <v>960</v>
      </c>
      <c r="E68" s="18">
        <f>IF(F3="1",SUMIF(Data!A:A,'13'!$A$2,Data!DZ:DZ),0)</f>
        <v>1741</v>
      </c>
      <c r="F68" s="22">
        <f t="shared" si="4"/>
        <v>1.81</v>
      </c>
    </row>
    <row r="69" spans="1:6" ht="14.25" customHeight="1" x14ac:dyDescent="0.2">
      <c r="A69" s="20">
        <v>3</v>
      </c>
      <c r="B69" s="172" t="s">
        <v>2</v>
      </c>
      <c r="C69" s="173"/>
      <c r="D69" s="15">
        <f t="shared" si="5"/>
        <v>1088816</v>
      </c>
      <c r="E69" s="18">
        <f>IF(F3="1",SUMIF(Data!A:A,'13'!$A$2,Data!EA:EA),0)</f>
        <v>2720193</v>
      </c>
      <c r="F69" s="22">
        <f t="shared" si="4"/>
        <v>2.5</v>
      </c>
    </row>
    <row r="70" spans="1:6" ht="14.25" customHeight="1" x14ac:dyDescent="0.2">
      <c r="A70" s="20">
        <v>4</v>
      </c>
      <c r="B70" s="172" t="s">
        <v>3</v>
      </c>
      <c r="C70" s="173"/>
      <c r="D70" s="15">
        <f t="shared" si="5"/>
        <v>655162</v>
      </c>
      <c r="E70" s="18">
        <f>IF(F3="1",SUMIF(Data!A:A,'13'!$A$2,Data!EB:EB),0)</f>
        <v>1900295</v>
      </c>
      <c r="F70" s="22">
        <f t="shared" si="4"/>
        <v>2.9</v>
      </c>
    </row>
    <row r="71" spans="1:6" x14ac:dyDescent="0.2">
      <c r="A71" s="20">
        <v>5</v>
      </c>
      <c r="B71" s="172" t="s">
        <v>4</v>
      </c>
      <c r="C71" s="173"/>
      <c r="D71" s="15">
        <f t="shared" si="5"/>
        <v>1200</v>
      </c>
      <c r="E71" s="18">
        <f>IF(F3="1",SUMIF(Data!A:A,'13'!$A$2,Data!EC:EC),0)</f>
        <v>0</v>
      </c>
      <c r="F71" s="22" t="str">
        <f>IF(E71=0,"",ROUND(E71/D71,2))</f>
        <v/>
      </c>
    </row>
    <row r="72" spans="1:6" x14ac:dyDescent="0.2">
      <c r="A72" s="20">
        <v>6</v>
      </c>
      <c r="B72" s="172" t="s">
        <v>5</v>
      </c>
      <c r="C72" s="173"/>
      <c r="D72" s="15">
        <f t="shared" si="5"/>
        <v>199422</v>
      </c>
      <c r="E72" s="18">
        <f>IF(F3="1",SUMIF(Data!A:A,'13'!$A$2,Data!ED:ED),0)</f>
        <v>486333</v>
      </c>
      <c r="F72" s="22">
        <f t="shared" si="4"/>
        <v>2.44</v>
      </c>
    </row>
    <row r="73" spans="1:6" x14ac:dyDescent="0.2">
      <c r="A73" s="20">
        <v>7</v>
      </c>
      <c r="B73" s="172" t="s">
        <v>6</v>
      </c>
      <c r="C73" s="173"/>
      <c r="D73" s="15">
        <f t="shared" si="5"/>
        <v>377673</v>
      </c>
      <c r="E73" s="18">
        <f>IF(F3="1",SUMIF(Data!A:A,'13'!$A$2,Data!EE:EE),0)</f>
        <v>927054</v>
      </c>
      <c r="F73" s="22">
        <f t="shared" si="4"/>
        <v>2.4500000000000002</v>
      </c>
    </row>
    <row r="74" spans="1:6" x14ac:dyDescent="0.2">
      <c r="A74" s="20">
        <v>8</v>
      </c>
      <c r="B74" s="172" t="s">
        <v>7</v>
      </c>
      <c r="C74" s="173"/>
      <c r="D74" s="15">
        <f t="shared" si="5"/>
        <v>828</v>
      </c>
      <c r="E74" s="18">
        <f>IF(F3="1",SUMIF(Data!A:A,'13'!$A$2,Data!EF:EF),0)</f>
        <v>1514</v>
      </c>
      <c r="F74" s="22">
        <f t="shared" si="4"/>
        <v>1.83</v>
      </c>
    </row>
    <row r="75" spans="1:6" x14ac:dyDescent="0.2">
      <c r="A75" s="20">
        <v>9</v>
      </c>
      <c r="B75" s="172" t="s">
        <v>8</v>
      </c>
      <c r="C75" s="173"/>
      <c r="D75" s="15">
        <f t="shared" si="5"/>
        <v>198886</v>
      </c>
      <c r="E75" s="18">
        <f>IF(F3="1",SUMIF(Data!A:A,'13'!$A$2,Data!EG:EG),0)</f>
        <v>462639</v>
      </c>
      <c r="F75" s="22">
        <f t="shared" si="4"/>
        <v>2.33</v>
      </c>
    </row>
    <row r="76" spans="1:6" x14ac:dyDescent="0.2">
      <c r="A76" s="20">
        <v>10</v>
      </c>
      <c r="B76" s="172" t="s">
        <v>9</v>
      </c>
      <c r="C76" s="173"/>
      <c r="D76" s="15">
        <f t="shared" si="5"/>
        <v>5424</v>
      </c>
      <c r="E76" s="18">
        <f>IF(F3="1",SUMIF(Data!A:A,'13'!$A$2,Data!EH:EH),0)</f>
        <v>13729</v>
      </c>
      <c r="F76" s="22">
        <f t="shared" si="4"/>
        <v>2.5299999999999998</v>
      </c>
    </row>
    <row r="77" spans="1:6" x14ac:dyDescent="0.2">
      <c r="A77" s="20">
        <v>11</v>
      </c>
      <c r="B77" s="172" t="s">
        <v>10</v>
      </c>
      <c r="C77" s="173"/>
      <c r="D77" s="15">
        <f t="shared" si="5"/>
        <v>52848</v>
      </c>
      <c r="E77" s="18">
        <f>IF(F3="1",SUMIF(Data!A:A,'13'!$A$2,Data!EI:EI),0)</f>
        <v>342554</v>
      </c>
      <c r="F77" s="22">
        <f t="shared" si="4"/>
        <v>6.48</v>
      </c>
    </row>
    <row r="78" spans="1:6" ht="14.25" customHeight="1" x14ac:dyDescent="0.2">
      <c r="A78" s="20">
        <v>12</v>
      </c>
      <c r="B78" s="172" t="s">
        <v>11</v>
      </c>
      <c r="C78" s="173"/>
      <c r="D78" s="15">
        <f t="shared" si="5"/>
        <v>1598689</v>
      </c>
      <c r="E78" s="18">
        <f>IF(F3="1",SUMIF(Data!A:A,'13'!$A$2,Data!EJ:EJ),0)</f>
        <v>5004092</v>
      </c>
      <c r="F78" s="22">
        <f t="shared" si="4"/>
        <v>3.13</v>
      </c>
    </row>
    <row r="79" spans="1:6" x14ac:dyDescent="0.2">
      <c r="A79" s="20">
        <v>13</v>
      </c>
      <c r="B79" s="172" t="s">
        <v>12</v>
      </c>
      <c r="C79" s="173"/>
      <c r="D79" s="15">
        <f t="shared" si="5"/>
        <v>308770</v>
      </c>
      <c r="E79" s="18">
        <f>IF(F3="1",SUMIF(Data!A:A,'13'!$A$2,Data!EK:EK),0)</f>
        <v>596069</v>
      </c>
      <c r="F79" s="22">
        <f t="shared" si="4"/>
        <v>1.93</v>
      </c>
    </row>
    <row r="80" spans="1:6" ht="14.25" customHeight="1" x14ac:dyDescent="0.2">
      <c r="A80" s="20">
        <v>14</v>
      </c>
      <c r="B80" s="172" t="s">
        <v>469</v>
      </c>
      <c r="C80" s="173"/>
      <c r="D80" s="15">
        <f t="shared" si="5"/>
        <v>130628</v>
      </c>
      <c r="E80" s="18">
        <f>IF(F3="1",SUMIF(Data!A:A,'13'!$A$2,Data!EL:EL),0)</f>
        <v>1130828</v>
      </c>
      <c r="F80" s="22">
        <f t="shared" si="4"/>
        <v>8.66</v>
      </c>
    </row>
    <row r="81" spans="1:6" x14ac:dyDescent="0.2">
      <c r="A81" s="20">
        <v>15</v>
      </c>
      <c r="B81" s="172" t="s">
        <v>13</v>
      </c>
      <c r="C81" s="173"/>
      <c r="D81" s="15">
        <f t="shared" si="5"/>
        <v>24064</v>
      </c>
      <c r="E81" s="18">
        <f>IF(F3="1",SUMIF(Data!A:A,'13'!$A$2,Data!EM:EM),0)</f>
        <v>225734</v>
      </c>
      <c r="F81" s="22">
        <f t="shared" si="4"/>
        <v>9.3800000000000008</v>
      </c>
    </row>
    <row r="82" spans="1:6" x14ac:dyDescent="0.2">
      <c r="A82" s="20">
        <v>16</v>
      </c>
      <c r="B82" s="172" t="s">
        <v>14</v>
      </c>
      <c r="C82" s="173"/>
      <c r="D82" s="15">
        <f t="shared" si="5"/>
        <v>127434</v>
      </c>
      <c r="E82" s="18">
        <f>IF(F3="1",SUMIF(Data!A:A,'13'!$A$2,Data!EN:EN),0)</f>
        <v>496787</v>
      </c>
      <c r="F82" s="22">
        <f t="shared" si="4"/>
        <v>3.9</v>
      </c>
    </row>
    <row r="83" spans="1:6" x14ac:dyDescent="0.2">
      <c r="A83" s="20">
        <v>17</v>
      </c>
      <c r="B83" s="172" t="s">
        <v>15</v>
      </c>
      <c r="C83" s="173"/>
      <c r="D83" s="15">
        <f t="shared" si="5"/>
        <v>43408</v>
      </c>
      <c r="E83" s="18">
        <f>IF(F3="1",SUMIF(Data!A:A,'13'!$A$2,Data!EO:EO),0)</f>
        <v>264523</v>
      </c>
      <c r="F83" s="22">
        <f t="shared" si="4"/>
        <v>6.09</v>
      </c>
    </row>
    <row r="84" spans="1:6" x14ac:dyDescent="0.2">
      <c r="A84" s="20">
        <v>18</v>
      </c>
      <c r="B84" s="172" t="s">
        <v>16</v>
      </c>
      <c r="C84" s="173"/>
      <c r="D84" s="15">
        <f t="shared" si="5"/>
        <v>0</v>
      </c>
      <c r="E84" s="18">
        <f>IF(F3="1",SUMIF(Data!A:A,'13'!$A$2,Data!EP:EP),0)</f>
        <v>0</v>
      </c>
      <c r="F84" s="22" t="str">
        <f t="shared" si="4"/>
        <v/>
      </c>
    </row>
    <row r="85" spans="1:6" x14ac:dyDescent="0.2">
      <c r="A85" s="20">
        <v>19</v>
      </c>
      <c r="B85" s="172" t="s">
        <v>17</v>
      </c>
      <c r="C85" s="173"/>
      <c r="D85" s="15">
        <f t="shared" si="5"/>
        <v>1145610</v>
      </c>
      <c r="E85" s="18">
        <f>IF(F3="1",SUMIF(Data!A:A,'13'!$A$2,Data!EQ:EQ),0)</f>
        <v>2628072</v>
      </c>
      <c r="F85" s="22">
        <f t="shared" si="4"/>
        <v>2.29</v>
      </c>
    </row>
    <row r="86" spans="1:6" x14ac:dyDescent="0.2">
      <c r="A86" s="20">
        <v>20</v>
      </c>
      <c r="B86" s="172" t="s">
        <v>18</v>
      </c>
      <c r="C86" s="173"/>
      <c r="D86" s="15">
        <f t="shared" si="5"/>
        <v>0</v>
      </c>
      <c r="E86" s="18">
        <f>IF(F3="1",SUMIF(Data!A:A,'13'!$A$2,Data!ER:ER),0)</f>
        <v>0</v>
      </c>
      <c r="F86" s="22" t="str">
        <f t="shared" si="4"/>
        <v/>
      </c>
    </row>
    <row r="87" spans="1:6" ht="14.25" customHeight="1" x14ac:dyDescent="0.2">
      <c r="A87" s="20">
        <v>21</v>
      </c>
      <c r="B87" s="172" t="s">
        <v>466</v>
      </c>
      <c r="C87" s="173"/>
      <c r="D87" s="15">
        <f t="shared" si="5"/>
        <v>0</v>
      </c>
      <c r="E87" s="18">
        <f>IF(F3="1",SUMIF(Data!A:A,'13'!$A$2,Data!ES:ES),0)</f>
        <v>0</v>
      </c>
      <c r="F87" s="22" t="str">
        <f t="shared" si="4"/>
        <v/>
      </c>
    </row>
    <row r="88" spans="1:6" x14ac:dyDescent="0.2">
      <c r="A88" s="20">
        <v>22</v>
      </c>
      <c r="B88" s="172" t="s">
        <v>19</v>
      </c>
      <c r="C88" s="173"/>
      <c r="D88" s="15">
        <f t="shared" si="5"/>
        <v>4576</v>
      </c>
      <c r="E88" s="18">
        <f>IF(F3="1",SUMIF(Data!A:A,'13'!$A$2,Data!ET:ET),0)</f>
        <v>1338</v>
      </c>
      <c r="F88" s="22">
        <f t="shared" si="4"/>
        <v>0.28999999999999998</v>
      </c>
    </row>
    <row r="89" spans="1:6" x14ac:dyDescent="0.2">
      <c r="A89" s="20">
        <v>23</v>
      </c>
      <c r="B89" s="172" t="s">
        <v>20</v>
      </c>
      <c r="C89" s="173"/>
      <c r="D89" s="15">
        <f t="shared" si="5"/>
        <v>218304</v>
      </c>
      <c r="E89" s="18">
        <f>IF(F3="1",SUMIF(Data!A:A,'13'!$A$2,Data!EU:EU),0)</f>
        <v>665831</v>
      </c>
      <c r="F89" s="22">
        <f t="shared" si="4"/>
        <v>3.05</v>
      </c>
    </row>
    <row r="90" spans="1:6" x14ac:dyDescent="0.2">
      <c r="A90" s="20">
        <v>24</v>
      </c>
      <c r="B90" s="172" t="s">
        <v>21</v>
      </c>
      <c r="C90" s="173"/>
      <c r="D90" s="15">
        <f t="shared" si="5"/>
        <v>217939</v>
      </c>
      <c r="E90" s="18">
        <f>IF(F3="1",SUMIF(Data!A:A,'13'!$A$2,Data!EV:EV),0)</f>
        <v>682104</v>
      </c>
      <c r="F90" s="22">
        <f t="shared" si="4"/>
        <v>3.13</v>
      </c>
    </row>
    <row r="91" spans="1:6" x14ac:dyDescent="0.2">
      <c r="A91" s="20">
        <v>25</v>
      </c>
      <c r="B91" s="172" t="s">
        <v>22</v>
      </c>
      <c r="C91" s="173"/>
      <c r="D91" s="15">
        <f t="shared" si="5"/>
        <v>1652784</v>
      </c>
      <c r="E91" s="18">
        <f>IF(F3="1",SUMIF(Data!A:A,'13'!$A$2,Data!EW:EW),0)</f>
        <v>4090307</v>
      </c>
      <c r="F91" s="22">
        <f t="shared" si="4"/>
        <v>2.4700000000000002</v>
      </c>
    </row>
    <row r="92" spans="1:6" x14ac:dyDescent="0.2">
      <c r="A92" s="20">
        <v>26</v>
      </c>
      <c r="B92" s="172" t="s">
        <v>23</v>
      </c>
      <c r="C92" s="173"/>
      <c r="D92" s="15">
        <f t="shared" si="5"/>
        <v>705350</v>
      </c>
      <c r="E92" s="18">
        <f>IF(F3="1",SUMIF(Data!A:A,'13'!$A$2,Data!EX:EX),0)</f>
        <v>2941678</v>
      </c>
      <c r="F92" s="22">
        <f t="shared" si="4"/>
        <v>4.17</v>
      </c>
    </row>
    <row r="93" spans="1:6" x14ac:dyDescent="0.2">
      <c r="A93" s="20">
        <v>28</v>
      </c>
      <c r="B93" s="172" t="s">
        <v>24</v>
      </c>
      <c r="C93" s="173"/>
      <c r="D93" s="15">
        <f t="shared" si="5"/>
        <v>0</v>
      </c>
      <c r="E93" s="18">
        <f>IF(F3="1",SUMIF(Data!A:A,'13'!$A$2,Data!EZ:EZ),0)</f>
        <v>0</v>
      </c>
      <c r="F93" s="22" t="str">
        <f t="shared" si="4"/>
        <v/>
      </c>
    </row>
    <row r="94" spans="1:6" ht="15.75" customHeight="1" thickBot="1" x14ac:dyDescent="0.25">
      <c r="A94" s="23">
        <v>29</v>
      </c>
      <c r="B94" s="174" t="s">
        <v>25</v>
      </c>
      <c r="C94" s="175"/>
      <c r="D94" s="24">
        <f t="shared" si="5"/>
        <v>0</v>
      </c>
      <c r="E94" s="25">
        <f>IF(F3="1",SUMIF(Data!A:A,'13'!$A$2,Data!FA:FA),0)</f>
        <v>0</v>
      </c>
      <c r="F94" s="26" t="str">
        <f t="shared" si="4"/>
        <v/>
      </c>
    </row>
    <row r="95" spans="1:6" x14ac:dyDescent="0.2">
      <c r="B95" s="31" t="s">
        <v>35</v>
      </c>
      <c r="C95" s="31"/>
      <c r="D95" s="61">
        <f>SUM(D67:D94)</f>
        <v>8854689</v>
      </c>
      <c r="E95" s="32">
        <f>SUM(E67:E94)</f>
        <v>25775807</v>
      </c>
      <c r="F95" s="33">
        <f t="shared" si="4"/>
        <v>2.91</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IF(F3="1",SUMIF(Data!A:A,'13'!$A$2,Data!AH:AH),0)</f>
        <v>10108657</v>
      </c>
      <c r="F98" s="21">
        <f>IF($D$105=0,"",ROUND(E98/$D$105,2))</f>
        <v>1.1399999999999999</v>
      </c>
    </row>
    <row r="99" spans="2:6" x14ac:dyDescent="0.2">
      <c r="B99" s="178" t="s">
        <v>31</v>
      </c>
      <c r="C99" s="179"/>
      <c r="D99" s="37"/>
      <c r="E99" s="18">
        <f>IF(F3="1",SUMIF(Data!A:A,'13'!$A$2,Data!AI:AI),0)</f>
        <v>6801666</v>
      </c>
      <c r="F99" s="22">
        <f t="shared" ref="F99:F105" si="6">IF($D$105=0,"",ROUND(E99/$D$105,2))</f>
        <v>0.77</v>
      </c>
    </row>
    <row r="100" spans="2:6" x14ac:dyDescent="0.2">
      <c r="B100" s="178" t="s">
        <v>32</v>
      </c>
      <c r="C100" s="179"/>
      <c r="D100" s="37"/>
      <c r="E100" s="18">
        <f>IF(F3="1",SUMIF(Data!A:A,'13'!$A$2,Data!AJ:AJ),0)</f>
        <v>7465648</v>
      </c>
      <c r="F100" s="22">
        <f t="shared" si="6"/>
        <v>0.84</v>
      </c>
    </row>
    <row r="101" spans="2:6" x14ac:dyDescent="0.2">
      <c r="B101" s="178" t="s">
        <v>28</v>
      </c>
      <c r="C101" s="179"/>
      <c r="D101" s="37"/>
      <c r="E101" s="18">
        <f>IF(F3="1",SUMIF(Data!A:A,'13'!$A$2,Data!AK:AK),0)</f>
        <v>0</v>
      </c>
      <c r="F101" s="22">
        <f t="shared" si="6"/>
        <v>0</v>
      </c>
    </row>
    <row r="102" spans="2:6" x14ac:dyDescent="0.2">
      <c r="B102" s="178" t="s">
        <v>33</v>
      </c>
      <c r="C102" s="179"/>
      <c r="D102" s="37"/>
      <c r="E102" s="18">
        <f>IF(F3="1",SUMIF(Data!A:A,'13'!$A$2,Data!AL:AL),0)</f>
        <v>4226017</v>
      </c>
      <c r="F102" s="22">
        <f t="shared" si="6"/>
        <v>0.48</v>
      </c>
    </row>
    <row r="103" spans="2:6" x14ac:dyDescent="0.2">
      <c r="B103" s="180" t="s">
        <v>34</v>
      </c>
      <c r="C103" s="181"/>
      <c r="D103" s="37"/>
      <c r="E103" s="18">
        <f>IF(F3="1",SUMIF(Data!A:A,'13'!$A$2,Data!AM:AM),0)</f>
        <v>1982353</v>
      </c>
      <c r="F103" s="22">
        <f t="shared" si="6"/>
        <v>0.22</v>
      </c>
    </row>
    <row r="104" spans="2:6" ht="15.75" customHeight="1" thickBot="1" x14ac:dyDescent="0.25">
      <c r="B104" s="170" t="s">
        <v>29</v>
      </c>
      <c r="C104" s="171"/>
      <c r="D104" s="38"/>
      <c r="E104" s="25">
        <f>IF(F3="1",SUMIF(Data!A:A,'13'!$A$2,Data!Q:Q),0)</f>
        <v>785697</v>
      </c>
      <c r="F104" s="26">
        <f t="shared" si="6"/>
        <v>0.09</v>
      </c>
    </row>
    <row r="105" spans="2:6" x14ac:dyDescent="0.2">
      <c r="B105" s="31" t="s">
        <v>35</v>
      </c>
      <c r="C105" s="31"/>
      <c r="D105" s="35">
        <f>D95</f>
        <v>8854689</v>
      </c>
      <c r="E105" s="32">
        <f>SUM(E98:E104)</f>
        <v>31370038</v>
      </c>
      <c r="F105" s="33">
        <f t="shared" si="6"/>
        <v>3.54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32107312</v>
      </c>
      <c r="D109" s="16">
        <f>IF(F3="1",SUMIF(Data!$A:$A,$A$2,Data!HJ:HJ),0)</f>
        <v>1460310</v>
      </c>
      <c r="E109" s="16">
        <f>IF(F3="1",SUMIF(Data!$A:$A,$A$2,Data!IN:IN),0)</f>
        <v>5102878</v>
      </c>
      <c r="F109" s="48">
        <f>SUM(C109:E109)</f>
        <v>38670500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44294</v>
      </c>
      <c r="D111" s="52"/>
      <c r="E111" s="51">
        <f>IF(F3="1",SUMIF(Data!A:A,$A$2,Data!AX:AX),0)</f>
        <v>0</v>
      </c>
      <c r="F111" s="49">
        <f t="shared" si="7"/>
        <v>44294</v>
      </c>
    </row>
    <row r="112" spans="2:6" x14ac:dyDescent="0.2">
      <c r="B112" s="43" t="s">
        <v>32</v>
      </c>
      <c r="C112" s="51">
        <f>IF(F3="1",SUMIF(Data!A:A,$A$2,Data!V:V),0)</f>
        <v>5705380</v>
      </c>
      <c r="D112" s="52"/>
      <c r="E112" s="51">
        <f>IF(F3="1",SUMIF(Data!A:A,$A$2,Data!AC:AC),0)</f>
        <v>1760268</v>
      </c>
      <c r="F112" s="49">
        <f t="shared" si="7"/>
        <v>7465648</v>
      </c>
    </row>
    <row r="113" spans="1:6" x14ac:dyDescent="0.2">
      <c r="B113" s="43" t="s">
        <v>31</v>
      </c>
      <c r="C113" s="51">
        <f>IF(F3="1",SUMIF(Data!A:A,$A$2,Data!U:U),0)</f>
        <v>5997000</v>
      </c>
      <c r="D113" s="52"/>
      <c r="E113" s="51">
        <f>IF(F3="1",SUMIF(Data!A:A,$A$2,Data!AB:AB),0)</f>
        <v>804666</v>
      </c>
      <c r="F113" s="49">
        <f t="shared" si="7"/>
        <v>6801666</v>
      </c>
    </row>
    <row r="114" spans="1:6" x14ac:dyDescent="0.2">
      <c r="B114" s="43" t="s">
        <v>1021</v>
      </c>
      <c r="C114" s="51">
        <f>IF(F3="1",SUMIF(Data!A:A,$A$2,Data!T:T),0)</f>
        <v>5953011</v>
      </c>
      <c r="D114" s="52"/>
      <c r="E114" s="51">
        <f>IF(F3="1",SUMIF(Data!A:A,$A$2,Data!AA:AA),0)</f>
        <v>4155646</v>
      </c>
      <c r="F114" s="49">
        <f t="shared" si="7"/>
        <v>10108657</v>
      </c>
    </row>
    <row r="115" spans="1:6" x14ac:dyDescent="0.2">
      <c r="B115" s="43" t="s">
        <v>937</v>
      </c>
      <c r="C115" s="51">
        <f>IF(F3="1",SUMIF(Data!A:A,$A$2,Data!BI:BI),0)</f>
        <v>2002617</v>
      </c>
      <c r="D115" s="51">
        <f>IF(F3="1",SUMIF(Data!A:A,$A$2,Data!BL:BL),0)</f>
        <v>248282</v>
      </c>
      <c r="E115" s="51">
        <f>IF(F3="1",SUMIF(Data!A:A,$A$2,Data!BU:BU),0)</f>
        <v>10359441</v>
      </c>
      <c r="F115" s="49">
        <f t="shared" si="7"/>
        <v>12610340</v>
      </c>
    </row>
    <row r="116" spans="1:6" x14ac:dyDescent="0.2">
      <c r="B116" s="43" t="s">
        <v>33</v>
      </c>
      <c r="C116" s="51">
        <f>IF(F3="1",SUMIF(Data!A:A,$A$2,Data!X:X),0)</f>
        <v>0</v>
      </c>
      <c r="D116" s="51"/>
      <c r="E116" s="51">
        <f>E102</f>
        <v>4226017</v>
      </c>
      <c r="F116" s="49">
        <f t="shared" si="7"/>
        <v>4226017</v>
      </c>
    </row>
    <row r="117" spans="1:6" ht="15" thickBot="1" x14ac:dyDescent="0.25">
      <c r="B117" s="44" t="s">
        <v>941</v>
      </c>
      <c r="C117" s="53"/>
      <c r="D117" s="53">
        <f>IF(F3="1",SUMIF(Data!A:A,$A$2,Data!Q:Q),0)</f>
        <v>785697</v>
      </c>
      <c r="E117" s="53"/>
      <c r="F117" s="50">
        <f>SUM(C117:E117)</f>
        <v>785697</v>
      </c>
    </row>
    <row r="118" spans="1:6" x14ac:dyDescent="0.2">
      <c r="B118" s="14" t="s">
        <v>35</v>
      </c>
      <c r="C118" s="5">
        <f>SUM(C109:C116)</f>
        <v>51809614</v>
      </c>
      <c r="D118" s="5">
        <f>SUM(D109:D116)</f>
        <v>1708592</v>
      </c>
      <c r="E118" s="5">
        <f>SUM(E109:E116)</f>
        <v>26408916</v>
      </c>
      <c r="F118" s="5">
        <f>SUM(F109:F116)</f>
        <v>79927122</v>
      </c>
    </row>
    <row r="119" spans="1:6" ht="15" thickBot="1" x14ac:dyDescent="0.25"/>
    <row r="120" spans="1:6" ht="15" thickBot="1" x14ac:dyDescent="0.25">
      <c r="B120" s="57" t="s">
        <v>942</v>
      </c>
      <c r="C120" s="55"/>
      <c r="D120" s="55"/>
      <c r="E120" s="55">
        <f>IF(F3="1",SUMIF(Data!A:A,'13'!$A$2,Data!AM:AM),0)</f>
        <v>1982353</v>
      </c>
      <c r="F120" s="56">
        <f>SUM(C120:E120)</f>
        <v>1982353</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4.5703125" style="11" bestFit="1" customWidth="1"/>
    <col min="13"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456</v>
      </c>
      <c r="B2" s="60" t="str">
        <f>VLOOKUP(A2,Data!A:G,7,0)</f>
        <v>Dallas County Community College District</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104261</v>
      </c>
      <c r="E5" s="16">
        <f>E36+E67+IFERROR($E$105/$D$105*D5,0)</f>
        <v>1591788.6526182769</v>
      </c>
      <c r="F5" s="21">
        <f>IF(OR(D5=0,E5=0),"",ROUND(E5/D5,2))</f>
        <v>15.27</v>
      </c>
    </row>
    <row r="6" spans="1:6" x14ac:dyDescent="0.2">
      <c r="A6" s="20">
        <v>2</v>
      </c>
      <c r="B6" s="172" t="s">
        <v>1</v>
      </c>
      <c r="C6" s="173"/>
      <c r="D6" s="15">
        <f t="shared" ref="D6:D32" si="0">D37</f>
        <v>114989</v>
      </c>
      <c r="E6" s="18">
        <f t="shared" ref="E6:E32" si="1">E37+E68+IFERROR($E$105/$D$105*D6,0)</f>
        <v>1283032.2079964995</v>
      </c>
      <c r="F6" s="22">
        <f t="shared" ref="F6:F33" si="2">IF(OR(D6=0,E6=0),"",ROUND(E6/D6,2))</f>
        <v>11.16</v>
      </c>
    </row>
    <row r="7" spans="1:6" ht="14.25" customHeight="1" x14ac:dyDescent="0.2">
      <c r="A7" s="20">
        <v>3</v>
      </c>
      <c r="B7" s="172" t="s">
        <v>2</v>
      </c>
      <c r="C7" s="173"/>
      <c r="D7" s="15">
        <f t="shared" si="0"/>
        <v>3049424</v>
      </c>
      <c r="E7" s="18">
        <f t="shared" si="1"/>
        <v>24113833.323609367</v>
      </c>
      <c r="F7" s="22">
        <f t="shared" si="2"/>
        <v>7.91</v>
      </c>
    </row>
    <row r="8" spans="1:6" ht="14.25" customHeight="1" x14ac:dyDescent="0.2">
      <c r="A8" s="20">
        <v>4</v>
      </c>
      <c r="B8" s="172" t="s">
        <v>3</v>
      </c>
      <c r="C8" s="173"/>
      <c r="D8" s="15">
        <f t="shared" si="0"/>
        <v>2309641</v>
      </c>
      <c r="E8" s="18">
        <f t="shared" si="1"/>
        <v>19114255.192516182</v>
      </c>
      <c r="F8" s="22">
        <f t="shared" si="2"/>
        <v>8.2799999999999994</v>
      </c>
    </row>
    <row r="9" spans="1:6" x14ac:dyDescent="0.2">
      <c r="A9" s="20">
        <v>5</v>
      </c>
      <c r="B9" s="172" t="s">
        <v>4</v>
      </c>
      <c r="C9" s="173"/>
      <c r="D9" s="15">
        <f t="shared" si="0"/>
        <v>18960</v>
      </c>
      <c r="E9" s="18">
        <f t="shared" si="1"/>
        <v>247208.86520983424</v>
      </c>
      <c r="F9" s="22">
        <f t="shared" si="2"/>
        <v>13.04</v>
      </c>
    </row>
    <row r="10" spans="1:6" x14ac:dyDescent="0.2">
      <c r="A10" s="20">
        <v>6</v>
      </c>
      <c r="B10" s="172" t="s">
        <v>5</v>
      </c>
      <c r="C10" s="173"/>
      <c r="D10" s="15">
        <f t="shared" si="0"/>
        <v>1173542</v>
      </c>
      <c r="E10" s="18">
        <f t="shared" si="1"/>
        <v>9343730.6567552388</v>
      </c>
      <c r="F10" s="22">
        <f t="shared" si="2"/>
        <v>7.96</v>
      </c>
    </row>
    <row r="11" spans="1:6" x14ac:dyDescent="0.2">
      <c r="A11" s="20">
        <v>7</v>
      </c>
      <c r="B11" s="172" t="s">
        <v>6</v>
      </c>
      <c r="C11" s="173"/>
      <c r="D11" s="15">
        <f t="shared" si="0"/>
        <v>1706531</v>
      </c>
      <c r="E11" s="18">
        <f t="shared" si="1"/>
        <v>14056970.652605679</v>
      </c>
      <c r="F11" s="22">
        <f t="shared" si="2"/>
        <v>8.24</v>
      </c>
    </row>
    <row r="12" spans="1:6" x14ac:dyDescent="0.2">
      <c r="A12" s="20">
        <v>8</v>
      </c>
      <c r="B12" s="172" t="s">
        <v>7</v>
      </c>
      <c r="C12" s="173"/>
      <c r="D12" s="15">
        <f t="shared" si="0"/>
        <v>132151</v>
      </c>
      <c r="E12" s="18">
        <f t="shared" si="1"/>
        <v>1584729.3546595362</v>
      </c>
      <c r="F12" s="22">
        <f t="shared" si="2"/>
        <v>11.99</v>
      </c>
    </row>
    <row r="13" spans="1:6" x14ac:dyDescent="0.2">
      <c r="A13" s="20">
        <v>9</v>
      </c>
      <c r="B13" s="172" t="s">
        <v>8</v>
      </c>
      <c r="C13" s="173"/>
      <c r="D13" s="15">
        <f t="shared" si="0"/>
        <v>648004</v>
      </c>
      <c r="E13" s="18">
        <f t="shared" si="1"/>
        <v>4724572.6647380507</v>
      </c>
      <c r="F13" s="22">
        <f t="shared" si="2"/>
        <v>7.29</v>
      </c>
    </row>
    <row r="14" spans="1:6" x14ac:dyDescent="0.2">
      <c r="A14" s="20">
        <v>10</v>
      </c>
      <c r="B14" s="172" t="s">
        <v>9</v>
      </c>
      <c r="C14" s="173"/>
      <c r="D14" s="15">
        <f t="shared" si="0"/>
        <v>18656</v>
      </c>
      <c r="E14" s="18">
        <f t="shared" si="1"/>
        <v>188582.16863684956</v>
      </c>
      <c r="F14" s="22">
        <f t="shared" si="2"/>
        <v>10.11</v>
      </c>
    </row>
    <row r="15" spans="1:6" x14ac:dyDescent="0.2">
      <c r="A15" s="20">
        <v>11</v>
      </c>
      <c r="B15" s="172" t="s">
        <v>10</v>
      </c>
      <c r="C15" s="173"/>
      <c r="D15" s="15">
        <f t="shared" si="0"/>
        <v>552585</v>
      </c>
      <c r="E15" s="18">
        <f t="shared" si="1"/>
        <v>3333750.6736274399</v>
      </c>
      <c r="F15" s="22">
        <f t="shared" si="2"/>
        <v>6.03</v>
      </c>
    </row>
    <row r="16" spans="1:6" ht="14.25" customHeight="1" x14ac:dyDescent="0.2">
      <c r="A16" s="20">
        <v>12</v>
      </c>
      <c r="B16" s="172" t="s">
        <v>11</v>
      </c>
      <c r="C16" s="173"/>
      <c r="D16" s="15">
        <f t="shared" si="0"/>
        <v>4556933</v>
      </c>
      <c r="E16" s="18">
        <f t="shared" si="1"/>
        <v>37986932.688884266</v>
      </c>
      <c r="F16" s="22">
        <f t="shared" si="2"/>
        <v>8.34</v>
      </c>
    </row>
    <row r="17" spans="1:6" x14ac:dyDescent="0.2">
      <c r="A17" s="20">
        <v>13</v>
      </c>
      <c r="B17" s="172" t="s">
        <v>12</v>
      </c>
      <c r="C17" s="173"/>
      <c r="D17" s="15">
        <f t="shared" si="0"/>
        <v>607196</v>
      </c>
      <c r="E17" s="18">
        <f t="shared" si="1"/>
        <v>4359689.8168750275</v>
      </c>
      <c r="F17" s="22">
        <f t="shared" si="2"/>
        <v>7.18</v>
      </c>
    </row>
    <row r="18" spans="1:6" ht="14.25" customHeight="1" x14ac:dyDescent="0.2">
      <c r="A18" s="20">
        <v>14</v>
      </c>
      <c r="B18" s="172" t="s">
        <v>469</v>
      </c>
      <c r="C18" s="173"/>
      <c r="D18" s="15">
        <f t="shared" si="0"/>
        <v>462851</v>
      </c>
      <c r="E18" s="18">
        <f t="shared" si="1"/>
        <v>5677409.3042846518</v>
      </c>
      <c r="F18" s="22">
        <f t="shared" si="2"/>
        <v>12.27</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931127</v>
      </c>
      <c r="E20" s="18">
        <f t="shared" si="1"/>
        <v>7345502.6214260198</v>
      </c>
      <c r="F20" s="22">
        <f t="shared" si="2"/>
        <v>7.89</v>
      </c>
    </row>
    <row r="21" spans="1:6" x14ac:dyDescent="0.2">
      <c r="A21" s="20">
        <v>17</v>
      </c>
      <c r="B21" s="172" t="s">
        <v>15</v>
      </c>
      <c r="C21" s="173"/>
      <c r="D21" s="15">
        <f t="shared" si="0"/>
        <v>23372</v>
      </c>
      <c r="E21" s="18">
        <f t="shared" si="1"/>
        <v>409380.38257828302</v>
      </c>
      <c r="F21" s="22">
        <f t="shared" si="2"/>
        <v>17.52</v>
      </c>
    </row>
    <row r="22" spans="1:6" x14ac:dyDescent="0.2">
      <c r="A22" s="20">
        <v>18</v>
      </c>
      <c r="B22" s="172" t="s">
        <v>16</v>
      </c>
      <c r="C22" s="173"/>
      <c r="D22" s="15">
        <f t="shared" si="0"/>
        <v>32132</v>
      </c>
      <c r="E22" s="18">
        <f t="shared" si="1"/>
        <v>409031.74435244699</v>
      </c>
      <c r="F22" s="22">
        <f t="shared" si="2"/>
        <v>12.73</v>
      </c>
    </row>
    <row r="23" spans="1:6" x14ac:dyDescent="0.2">
      <c r="A23" s="20">
        <v>19</v>
      </c>
      <c r="B23" s="172" t="s">
        <v>17</v>
      </c>
      <c r="C23" s="173"/>
      <c r="D23" s="15">
        <f t="shared" si="0"/>
        <v>2535042</v>
      </c>
      <c r="E23" s="18">
        <f t="shared" si="1"/>
        <v>18578467.012408681</v>
      </c>
      <c r="F23" s="22">
        <f t="shared" si="2"/>
        <v>7.33</v>
      </c>
    </row>
    <row r="24" spans="1:6" x14ac:dyDescent="0.2">
      <c r="A24" s="20">
        <v>20</v>
      </c>
      <c r="B24" s="172" t="s">
        <v>18</v>
      </c>
      <c r="C24" s="173"/>
      <c r="D24" s="15">
        <f t="shared" si="0"/>
        <v>428026</v>
      </c>
      <c r="E24" s="18">
        <f t="shared" si="1"/>
        <v>4067280.8991721794</v>
      </c>
      <c r="F24" s="22">
        <f t="shared" si="2"/>
        <v>9.5</v>
      </c>
    </row>
    <row r="25" spans="1:6" ht="14.25" customHeight="1" x14ac:dyDescent="0.2">
      <c r="A25" s="20">
        <v>21</v>
      </c>
      <c r="B25" s="172" t="s">
        <v>466</v>
      </c>
      <c r="C25" s="173"/>
      <c r="D25" s="15">
        <f t="shared" si="0"/>
        <v>87869</v>
      </c>
      <c r="E25" s="18">
        <f t="shared" si="1"/>
        <v>534418.54003812908</v>
      </c>
      <c r="F25" s="22">
        <f t="shared" si="2"/>
        <v>6.08</v>
      </c>
    </row>
    <row r="26" spans="1:6" x14ac:dyDescent="0.2">
      <c r="A26" s="20">
        <v>22</v>
      </c>
      <c r="B26" s="172" t="s">
        <v>19</v>
      </c>
      <c r="C26" s="173"/>
      <c r="D26" s="15">
        <f t="shared" si="0"/>
        <v>62144</v>
      </c>
      <c r="E26" s="18">
        <f t="shared" si="1"/>
        <v>794389.44681434287</v>
      </c>
      <c r="F26" s="22">
        <f t="shared" si="2"/>
        <v>12.78</v>
      </c>
    </row>
    <row r="27" spans="1:6" x14ac:dyDescent="0.2">
      <c r="A27" s="20">
        <v>23</v>
      </c>
      <c r="B27" s="172" t="s">
        <v>20</v>
      </c>
      <c r="C27" s="173"/>
      <c r="D27" s="15">
        <f t="shared" si="0"/>
        <v>588382</v>
      </c>
      <c r="E27" s="18">
        <f t="shared" si="1"/>
        <v>5363598.9243614292</v>
      </c>
      <c r="F27" s="22">
        <f t="shared" si="2"/>
        <v>9.1199999999999992</v>
      </c>
    </row>
    <row r="28" spans="1:6" x14ac:dyDescent="0.2">
      <c r="A28" s="20">
        <v>24</v>
      </c>
      <c r="B28" s="172" t="s">
        <v>21</v>
      </c>
      <c r="C28" s="173"/>
      <c r="D28" s="15">
        <f t="shared" si="0"/>
        <v>932580</v>
      </c>
      <c r="E28" s="18">
        <f t="shared" si="1"/>
        <v>6206953.9935330823</v>
      </c>
      <c r="F28" s="22">
        <f t="shared" si="2"/>
        <v>6.66</v>
      </c>
    </row>
    <row r="29" spans="1:6" x14ac:dyDescent="0.2">
      <c r="A29" s="20">
        <v>25</v>
      </c>
      <c r="B29" s="172" t="s">
        <v>22</v>
      </c>
      <c r="C29" s="173"/>
      <c r="D29" s="15">
        <f t="shared" si="0"/>
        <v>4200787</v>
      </c>
      <c r="E29" s="18">
        <f t="shared" si="1"/>
        <v>29142056.360982276</v>
      </c>
      <c r="F29" s="22">
        <f t="shared" si="2"/>
        <v>6.94</v>
      </c>
    </row>
    <row r="30" spans="1:6" x14ac:dyDescent="0.2">
      <c r="A30" s="20">
        <v>26</v>
      </c>
      <c r="B30" s="172" t="s">
        <v>23</v>
      </c>
      <c r="C30" s="173"/>
      <c r="D30" s="15">
        <f t="shared" si="0"/>
        <v>1551204</v>
      </c>
      <c r="E30" s="18">
        <f t="shared" si="1"/>
        <v>14105245.85131623</v>
      </c>
      <c r="F30" s="22">
        <f t="shared" si="2"/>
        <v>9.09</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26828389</v>
      </c>
      <c r="E33" s="32">
        <f>SUM(E5:E32)</f>
        <v>214562812</v>
      </c>
      <c r="F33" s="33">
        <f t="shared" si="2"/>
        <v>8</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IF(F3="1",SUMIF(Data!A:A,'14'!$A$2,Data!CU:CU),0)</f>
        <v>104261</v>
      </c>
      <c r="E36" s="16">
        <f>IF(F3="1",SUMIF(Data!$A:$A,'14'!$A$2,Data!IO:IO),0)</f>
        <v>631244</v>
      </c>
      <c r="F36" s="21">
        <f>IF(D36=0,"",ROUND(E36/D36,2))</f>
        <v>6.05</v>
      </c>
    </row>
    <row r="37" spans="1:6" x14ac:dyDescent="0.2">
      <c r="A37" s="20">
        <v>2</v>
      </c>
      <c r="B37" s="172" t="s">
        <v>1</v>
      </c>
      <c r="C37" s="173"/>
      <c r="D37" s="15">
        <f>IF(F3="1",SUMIF(Data!A:A,'14'!$A$2,Data!CV:CV),0)</f>
        <v>114989</v>
      </c>
      <c r="E37" s="18">
        <f>IF(F3="1",SUMIF(Data!$A:$A,'14'!$A$2,Data!IP:IP),0)</f>
        <v>290939</v>
      </c>
      <c r="F37" s="22">
        <f t="shared" ref="F37:F64" si="3">IF(D37=0,"",ROUND(E37/D37,2))</f>
        <v>2.5299999999999998</v>
      </c>
    </row>
    <row r="38" spans="1:6" ht="14.25" customHeight="1" x14ac:dyDescent="0.2">
      <c r="A38" s="20">
        <v>3</v>
      </c>
      <c r="B38" s="172" t="s">
        <v>2</v>
      </c>
      <c r="C38" s="173"/>
      <c r="D38" s="15">
        <f>IF(F3="1",SUMIF(Data!A:A,'14'!$A$2,Data!CW:CW),0)</f>
        <v>3049424</v>
      </c>
      <c r="E38" s="18">
        <f>IF(F3="1",SUMIF(Data!$A:$A,'14'!$A$2,Data!IQ:IQ),0)</f>
        <v>5415827</v>
      </c>
      <c r="F38" s="22">
        <f t="shared" si="3"/>
        <v>1.78</v>
      </c>
    </row>
    <row r="39" spans="1:6" ht="14.25" customHeight="1" x14ac:dyDescent="0.2">
      <c r="A39" s="20">
        <v>4</v>
      </c>
      <c r="B39" s="172" t="s">
        <v>3</v>
      </c>
      <c r="C39" s="173"/>
      <c r="D39" s="15">
        <f>IF(F3="1",SUMIF(Data!A:A,'14'!$A$2,Data!CX:CX),0)</f>
        <v>2309641</v>
      </c>
      <c r="E39" s="18">
        <f>IF(F3="1",SUMIF(Data!$A:$A,'14'!$A$2,Data!IR:IR),0)</f>
        <v>4287809</v>
      </c>
      <c r="F39" s="22">
        <f t="shared" si="3"/>
        <v>1.86</v>
      </c>
    </row>
    <row r="40" spans="1:6" x14ac:dyDescent="0.2">
      <c r="A40" s="20">
        <v>5</v>
      </c>
      <c r="B40" s="172" t="s">
        <v>4</v>
      </c>
      <c r="C40" s="173"/>
      <c r="D40" s="15">
        <f>IF(F3="1",SUMIF(Data!A:A,'14'!$A$2,Data!CY:CY),0)</f>
        <v>18960</v>
      </c>
      <c r="E40" s="18">
        <f>IF(F3="1",SUMIF(Data!$A:$A,'14'!$A$2,Data!IS:IS),0)</f>
        <v>29147</v>
      </c>
      <c r="F40" s="22">
        <f t="shared" si="3"/>
        <v>1.54</v>
      </c>
    </row>
    <row r="41" spans="1:6" x14ac:dyDescent="0.2">
      <c r="A41" s="20">
        <v>6</v>
      </c>
      <c r="B41" s="172" t="s">
        <v>5</v>
      </c>
      <c r="C41" s="173"/>
      <c r="D41" s="15">
        <f>IF(F3="1",SUMIF(Data!A:A,'14'!$A$2,Data!CZ:CZ),0)</f>
        <v>1173542</v>
      </c>
      <c r="E41" s="18">
        <f>IF(F3="1",SUMIF(Data!$A:$A,'14'!$A$2,Data!IT:IT),0)</f>
        <v>3570434</v>
      </c>
      <c r="F41" s="22">
        <f t="shared" si="3"/>
        <v>3.04</v>
      </c>
    </row>
    <row r="42" spans="1:6" x14ac:dyDescent="0.2">
      <c r="A42" s="20">
        <v>7</v>
      </c>
      <c r="B42" s="172" t="s">
        <v>6</v>
      </c>
      <c r="C42" s="173"/>
      <c r="D42" s="15">
        <f>IF(F3="1",SUMIF(Data!A:A,'14'!$A$2,Data!DA:DA),0)</f>
        <v>1706531</v>
      </c>
      <c r="E42" s="18">
        <f>IF(F3="1",SUMIF(Data!$A:$A,'14'!$A$2,Data!IU:IU),0)</f>
        <v>2473430</v>
      </c>
      <c r="F42" s="22">
        <f t="shared" si="3"/>
        <v>1.45</v>
      </c>
    </row>
    <row r="43" spans="1:6" x14ac:dyDescent="0.2">
      <c r="A43" s="20">
        <v>8</v>
      </c>
      <c r="B43" s="172" t="s">
        <v>7</v>
      </c>
      <c r="C43" s="173"/>
      <c r="D43" s="15">
        <f>IF(F3="1",SUMIF(Data!A:A,'14'!$A$2,Data!DB:DB),0)</f>
        <v>132151</v>
      </c>
      <c r="E43" s="18">
        <f>IF(F3="1",SUMIF(Data!$A:$A,'14'!$A$2,Data!IV:IV),0)</f>
        <v>828576</v>
      </c>
      <c r="F43" s="22">
        <f t="shared" si="3"/>
        <v>6.27</v>
      </c>
    </row>
    <row r="44" spans="1:6" x14ac:dyDescent="0.2">
      <c r="A44" s="20">
        <v>9</v>
      </c>
      <c r="B44" s="172" t="s">
        <v>8</v>
      </c>
      <c r="C44" s="173"/>
      <c r="D44" s="15">
        <f>IF(F3="1",SUMIF(Data!A:A,'14'!$A$2,Data!DC:DC),0)</f>
        <v>648004</v>
      </c>
      <c r="E44" s="18">
        <f>IF(F3="1",SUMIF(Data!$A:$A,'14'!$A$2,Data!IW:IW),0)</f>
        <v>1023837</v>
      </c>
      <c r="F44" s="22">
        <f t="shared" si="3"/>
        <v>1.58</v>
      </c>
    </row>
    <row r="45" spans="1:6" x14ac:dyDescent="0.2">
      <c r="A45" s="20">
        <v>10</v>
      </c>
      <c r="B45" s="172" t="s">
        <v>9</v>
      </c>
      <c r="C45" s="173"/>
      <c r="D45" s="15">
        <f>IF(F3="1",SUMIF(Data!A:A,'14'!$A$2,Data!DD:DD),0)</f>
        <v>18656</v>
      </c>
      <c r="E45" s="18">
        <f>IF(F3="1",SUMIF(Data!$A:$A,'14'!$A$2,Data!IX:IX),0)</f>
        <v>23106</v>
      </c>
      <c r="F45" s="22">
        <f t="shared" si="3"/>
        <v>1.24</v>
      </c>
    </row>
    <row r="46" spans="1:6" x14ac:dyDescent="0.2">
      <c r="A46" s="20">
        <v>11</v>
      </c>
      <c r="B46" s="172" t="s">
        <v>10</v>
      </c>
      <c r="C46" s="173"/>
      <c r="D46" s="15">
        <f>IF(F3="1",SUMIF(Data!A:A,'14'!$A$2,Data!DE:DE),0)</f>
        <v>552585</v>
      </c>
      <c r="E46" s="18">
        <f>IF(F3="1",SUMIF(Data!$A:$A,'14'!$A$2,Data!IY:IY),0)</f>
        <v>669281</v>
      </c>
      <c r="F46" s="22">
        <f t="shared" si="3"/>
        <v>1.21</v>
      </c>
    </row>
    <row r="47" spans="1:6" ht="14.25" customHeight="1" x14ac:dyDescent="0.2">
      <c r="A47" s="20">
        <v>12</v>
      </c>
      <c r="B47" s="172" t="s">
        <v>11</v>
      </c>
      <c r="C47" s="173"/>
      <c r="D47" s="15">
        <f>IF(F3="1",SUMIF(Data!A:A,'14'!$A$2,Data!DF:DF),0)</f>
        <v>4556933</v>
      </c>
      <c r="E47" s="18">
        <f>IF(F3="1",SUMIF(Data!$A:$A,'14'!$A$2,Data!IZ:IZ),0)</f>
        <v>6303478</v>
      </c>
      <c r="F47" s="22">
        <f t="shared" si="3"/>
        <v>1.38</v>
      </c>
    </row>
    <row r="48" spans="1:6" x14ac:dyDescent="0.2">
      <c r="A48" s="20">
        <v>13</v>
      </c>
      <c r="B48" s="172" t="s">
        <v>12</v>
      </c>
      <c r="C48" s="173"/>
      <c r="D48" s="15">
        <f>IF(F3="1",SUMIF(Data!A:A,'14'!$A$2,Data!DG:DG),0)</f>
        <v>607196</v>
      </c>
      <c r="E48" s="18">
        <f>IF(F3="1",SUMIF(Data!$A:$A,'14'!$A$2,Data!JA:JA),0)</f>
        <v>468010</v>
      </c>
      <c r="F48" s="22">
        <f t="shared" si="3"/>
        <v>0.77</v>
      </c>
    </row>
    <row r="49" spans="1:6" ht="14.25" customHeight="1" x14ac:dyDescent="0.2">
      <c r="A49" s="20">
        <v>14</v>
      </c>
      <c r="B49" s="172" t="s">
        <v>469</v>
      </c>
      <c r="C49" s="173"/>
      <c r="D49" s="15">
        <f>IF(F3="1",SUMIF(Data!A:A,'14'!$A$2,Data!DH:DH),0)</f>
        <v>462851</v>
      </c>
      <c r="E49" s="18">
        <f>IF(F3="1",SUMIF(Data!$A:$A,'14'!$A$2,Data!JB:JB),0)</f>
        <v>1487790</v>
      </c>
      <c r="F49" s="22">
        <f t="shared" si="3"/>
        <v>3.21</v>
      </c>
    </row>
    <row r="50" spans="1:6" x14ac:dyDescent="0.2">
      <c r="A50" s="20">
        <v>15</v>
      </c>
      <c r="B50" s="172" t="s">
        <v>13</v>
      </c>
      <c r="C50" s="173"/>
      <c r="D50" s="15">
        <f>IF(F3="1",SUMIF(Data!A:A,'14'!$A$2,Data!DI:DI),0)</f>
        <v>0</v>
      </c>
      <c r="E50" s="18">
        <f>IF(F3="1",SUMIF(Data!$A:$A,'14'!$A$2,Data!JC:JC),0)</f>
        <v>0</v>
      </c>
      <c r="F50" s="22" t="str">
        <f t="shared" si="3"/>
        <v/>
      </c>
    </row>
    <row r="51" spans="1:6" x14ac:dyDescent="0.2">
      <c r="A51" s="20">
        <v>16</v>
      </c>
      <c r="B51" s="172" t="s">
        <v>14</v>
      </c>
      <c r="C51" s="173"/>
      <c r="D51" s="15">
        <f>IF(F3="1",SUMIF(Data!A:A,'14'!$A$2,Data!DJ:DJ),0)</f>
        <v>931127</v>
      </c>
      <c r="E51" s="18">
        <f>IF(F3="1",SUMIF(Data!$A:$A,'14'!$A$2,Data!JD:JD),0)</f>
        <v>2233076</v>
      </c>
      <c r="F51" s="22">
        <f t="shared" si="3"/>
        <v>2.4</v>
      </c>
    </row>
    <row r="52" spans="1:6" x14ac:dyDescent="0.2">
      <c r="A52" s="20">
        <v>17</v>
      </c>
      <c r="B52" s="172" t="s">
        <v>15</v>
      </c>
      <c r="C52" s="173"/>
      <c r="D52" s="15">
        <f>IF(F3="1",SUMIF(Data!A:A,'14'!$A$2,Data!DK:DK),0)</f>
        <v>23372</v>
      </c>
      <c r="E52" s="18">
        <f>IF(F3="1",SUMIF(Data!$A:$A,'14'!$A$2,Data!JE:JE),0)</f>
        <v>70903</v>
      </c>
      <c r="F52" s="22">
        <f t="shared" si="3"/>
        <v>3.03</v>
      </c>
    </row>
    <row r="53" spans="1:6" x14ac:dyDescent="0.2">
      <c r="A53" s="20">
        <v>18</v>
      </c>
      <c r="B53" s="172" t="s">
        <v>16</v>
      </c>
      <c r="C53" s="173"/>
      <c r="D53" s="15">
        <f>IF(F3="1",SUMIF(Data!A:A,'14'!$A$2,Data!DL:DL),0)</f>
        <v>32132</v>
      </c>
      <c r="E53" s="18">
        <f>IF(F3="1",SUMIF(Data!$A:$A,'14'!$A$2,Data!JF:JF),0)</f>
        <v>83862</v>
      </c>
      <c r="F53" s="22">
        <f t="shared" si="3"/>
        <v>2.61</v>
      </c>
    </row>
    <row r="54" spans="1:6" x14ac:dyDescent="0.2">
      <c r="A54" s="20">
        <v>19</v>
      </c>
      <c r="B54" s="172" t="s">
        <v>17</v>
      </c>
      <c r="C54" s="173"/>
      <c r="D54" s="15">
        <f>IF(F3="1",SUMIF(Data!A:A,'14'!$A$2,Data!DM:DM),0)</f>
        <v>2535042</v>
      </c>
      <c r="E54" s="18">
        <f>IF(F3="1",SUMIF(Data!$A:$A,'14'!$A$2,Data!JG:JG),0)</f>
        <v>2317997</v>
      </c>
      <c r="F54" s="22">
        <f t="shared" si="3"/>
        <v>0.91</v>
      </c>
    </row>
    <row r="55" spans="1:6" x14ac:dyDescent="0.2">
      <c r="A55" s="20">
        <v>20</v>
      </c>
      <c r="B55" s="172" t="s">
        <v>18</v>
      </c>
      <c r="C55" s="173"/>
      <c r="D55" s="15">
        <f>IF(F3="1",SUMIF(Data!A:A,'14'!$A$2,Data!DN:DN),0)</f>
        <v>428026</v>
      </c>
      <c r="E55" s="18">
        <f>IF(F3="1",SUMIF(Data!$A:$A,'14'!$A$2,Data!JH:JH),0)</f>
        <v>789166</v>
      </c>
      <c r="F55" s="22">
        <f t="shared" si="3"/>
        <v>1.84</v>
      </c>
    </row>
    <row r="56" spans="1:6" ht="14.25" customHeight="1" x14ac:dyDescent="0.2">
      <c r="A56" s="20">
        <v>21</v>
      </c>
      <c r="B56" s="172" t="s">
        <v>466</v>
      </c>
      <c r="C56" s="173"/>
      <c r="D56" s="15">
        <f>IF(F3="1",SUMIF(Data!A:A,'14'!$A$2,Data!DO:DO),0)</f>
        <v>87869</v>
      </c>
      <c r="E56" s="18">
        <f>IF(F3="1",SUMIF(Data!$A:$A,'14'!$A$2,Data!JI:JI),0)</f>
        <v>106021</v>
      </c>
      <c r="F56" s="22">
        <f t="shared" si="3"/>
        <v>1.21</v>
      </c>
    </row>
    <row r="57" spans="1:6" x14ac:dyDescent="0.2">
      <c r="A57" s="20">
        <v>22</v>
      </c>
      <c r="B57" s="172" t="s">
        <v>19</v>
      </c>
      <c r="C57" s="173"/>
      <c r="D57" s="15">
        <f>IF(F3="1",SUMIF(Data!A:A,'14'!$A$2,Data!DP:DP),0)</f>
        <v>62144</v>
      </c>
      <c r="E57" s="18">
        <f>IF(F3="1",SUMIF(Data!$A:$A,'14'!$A$2,Data!JJ:JJ),0)</f>
        <v>154582</v>
      </c>
      <c r="F57" s="22">
        <f t="shared" si="3"/>
        <v>2.4900000000000002</v>
      </c>
    </row>
    <row r="58" spans="1:6" x14ac:dyDescent="0.2">
      <c r="A58" s="20">
        <v>23</v>
      </c>
      <c r="B58" s="172" t="s">
        <v>20</v>
      </c>
      <c r="C58" s="173"/>
      <c r="D58" s="15">
        <f>IF(F3="1",SUMIF(Data!A:A,'14'!$A$2,Data!DQ:DQ),0)</f>
        <v>588382</v>
      </c>
      <c r="E58" s="18">
        <f>IF(F3="1",SUMIF(Data!$A:$A,'14'!$A$2,Data!JK:JK),0)</f>
        <v>1277125</v>
      </c>
      <c r="F58" s="22">
        <f t="shared" si="3"/>
        <v>2.17</v>
      </c>
    </row>
    <row r="59" spans="1:6" x14ac:dyDescent="0.2">
      <c r="A59" s="20">
        <v>24</v>
      </c>
      <c r="B59" s="172" t="s">
        <v>21</v>
      </c>
      <c r="C59" s="173"/>
      <c r="D59" s="15">
        <f>IF(F3="1",SUMIF(Data!A:A,'14'!$A$2,Data!DR:DR),0)</f>
        <v>932580</v>
      </c>
      <c r="E59" s="18">
        <f>IF(F3="1",SUMIF(Data!$A:$A,'14'!$A$2,Data!JL:JL),0)</f>
        <v>1379947</v>
      </c>
      <c r="F59" s="22">
        <f t="shared" si="3"/>
        <v>1.48</v>
      </c>
    </row>
    <row r="60" spans="1:6" x14ac:dyDescent="0.2">
      <c r="A60" s="20">
        <v>25</v>
      </c>
      <c r="B60" s="172" t="s">
        <v>22</v>
      </c>
      <c r="C60" s="173"/>
      <c r="D60" s="15">
        <f>IF(F3="1",SUMIF(Data!A:A,'14'!$A$2,Data!DS:DS),0)</f>
        <v>4200787</v>
      </c>
      <c r="E60" s="18">
        <f>IF(F3="1",SUMIF(Data!$A:$A,'14'!$A$2,Data!JM:JM),0)</f>
        <v>3193335</v>
      </c>
      <c r="F60" s="22">
        <f t="shared" si="3"/>
        <v>0.76</v>
      </c>
    </row>
    <row r="61" spans="1:6" x14ac:dyDescent="0.2">
      <c r="A61" s="20">
        <v>26</v>
      </c>
      <c r="B61" s="172" t="s">
        <v>23</v>
      </c>
      <c r="C61" s="173"/>
      <c r="D61" s="15">
        <f>IF(F3="1",SUMIF(Data!A:A,'14'!$A$2,Data!DT:DT),0)</f>
        <v>1551204</v>
      </c>
      <c r="E61" s="18">
        <f>IF(F3="1",SUMIF(Data!$A:$A,'14'!$A$2,Data!JN:JN),0)</f>
        <v>3210572</v>
      </c>
      <c r="F61" s="22">
        <f t="shared" si="3"/>
        <v>2.0699999999999998</v>
      </c>
    </row>
    <row r="62" spans="1:6" x14ac:dyDescent="0.2">
      <c r="A62" s="20">
        <v>28</v>
      </c>
      <c r="B62" s="172" t="s">
        <v>24</v>
      </c>
      <c r="C62" s="173"/>
      <c r="D62" s="15">
        <f>IF(F3="1",SUMIF(Data!A:A,'14'!$A$2,Data!DV:DV),0)</f>
        <v>0</v>
      </c>
      <c r="E62" s="18">
        <f>IF(F3="1",SUMIF(Data!$A:$A,'14'!$A$2,Data!JP:JP),0)</f>
        <v>0</v>
      </c>
      <c r="F62" s="22" t="str">
        <f t="shared" si="3"/>
        <v/>
      </c>
    </row>
    <row r="63" spans="1:6" ht="15.75" customHeight="1" thickBot="1" x14ac:dyDescent="0.25">
      <c r="A63" s="23">
        <v>29</v>
      </c>
      <c r="B63" s="174" t="s">
        <v>25</v>
      </c>
      <c r="C63" s="175"/>
      <c r="D63" s="24">
        <f>IF(F3="1",SUMIF(Data!A:A,'14'!$A$2,Data!DW:DW),0)</f>
        <v>0</v>
      </c>
      <c r="E63" s="25">
        <f>IF(F3="1",SUMIF(Data!$A:$A,'14'!$A$2,Data!JQ:JQ),0)</f>
        <v>0</v>
      </c>
      <c r="F63" s="26" t="str">
        <f t="shared" si="3"/>
        <v/>
      </c>
    </row>
    <row r="64" spans="1:6" x14ac:dyDescent="0.2">
      <c r="B64" s="31" t="s">
        <v>35</v>
      </c>
      <c r="C64" s="31"/>
      <c r="D64" s="61">
        <f>SUM(D36:D63)</f>
        <v>26828389</v>
      </c>
      <c r="E64" s="32">
        <f>SUM(E36:E63)</f>
        <v>42319494</v>
      </c>
      <c r="F64" s="33">
        <f t="shared" si="3"/>
        <v>1.58</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104261</v>
      </c>
      <c r="E67" s="16">
        <f>IF(F3="1",SUMIF(Data!A:A,'14'!$A$2,Data!DY:DY),0)</f>
        <v>597793</v>
      </c>
      <c r="F67" s="21">
        <f t="shared" ref="F67:F95" si="4">IF(D67=0,"",ROUND(E67/D67,2))</f>
        <v>5.73</v>
      </c>
    </row>
    <row r="68" spans="1:6" x14ac:dyDescent="0.2">
      <c r="A68" s="20">
        <v>2</v>
      </c>
      <c r="B68" s="172" t="s">
        <v>1</v>
      </c>
      <c r="C68" s="173"/>
      <c r="D68" s="15">
        <f t="shared" ref="D68:D94" si="5">D37</f>
        <v>114989</v>
      </c>
      <c r="E68" s="18">
        <f>IF(F3="1",SUMIF(Data!A:A,'14'!$A$2,Data!DZ:DZ),0)</f>
        <v>592016</v>
      </c>
      <c r="F68" s="22">
        <f t="shared" si="4"/>
        <v>5.15</v>
      </c>
    </row>
    <row r="69" spans="1:6" ht="14.25" customHeight="1" x14ac:dyDescent="0.2">
      <c r="A69" s="20">
        <v>3</v>
      </c>
      <c r="B69" s="172" t="s">
        <v>2</v>
      </c>
      <c r="C69" s="173"/>
      <c r="D69" s="15">
        <f t="shared" si="5"/>
        <v>3049424</v>
      </c>
      <c r="E69" s="18">
        <f>IF(F3="1",SUMIF(Data!A:A,'14'!$A$2,Data!EA:EA),0)</f>
        <v>8088252</v>
      </c>
      <c r="F69" s="22">
        <f t="shared" si="4"/>
        <v>2.65</v>
      </c>
    </row>
    <row r="70" spans="1:6" ht="14.25" customHeight="1" x14ac:dyDescent="0.2">
      <c r="A70" s="20">
        <v>4</v>
      </c>
      <c r="B70" s="172" t="s">
        <v>3</v>
      </c>
      <c r="C70" s="173"/>
      <c r="D70" s="15">
        <f t="shared" si="5"/>
        <v>2309641</v>
      </c>
      <c r="E70" s="18">
        <f>IF(F3="1",SUMIF(Data!A:A,'14'!$A$2,Data!EB:EB),0)</f>
        <v>6790593</v>
      </c>
      <c r="F70" s="22">
        <f t="shared" si="4"/>
        <v>2.94</v>
      </c>
    </row>
    <row r="71" spans="1:6" x14ac:dyDescent="0.2">
      <c r="A71" s="20">
        <v>5</v>
      </c>
      <c r="B71" s="172" t="s">
        <v>4</v>
      </c>
      <c r="C71" s="173"/>
      <c r="D71" s="15">
        <f t="shared" si="5"/>
        <v>18960</v>
      </c>
      <c r="E71" s="18">
        <f>IF(F3="1",SUMIF(Data!A:A,'14'!$A$2,Data!EC:EC),0)</f>
        <v>152095</v>
      </c>
      <c r="F71" s="22">
        <f t="shared" si="4"/>
        <v>8.02</v>
      </c>
    </row>
    <row r="72" spans="1:6" x14ac:dyDescent="0.2">
      <c r="A72" s="20">
        <v>6</v>
      </c>
      <c r="B72" s="172" t="s">
        <v>5</v>
      </c>
      <c r="C72" s="173"/>
      <c r="D72" s="15">
        <f t="shared" si="5"/>
        <v>1173542</v>
      </c>
      <c r="E72" s="18">
        <f>IF(F3="1",SUMIF(Data!A:A,'14'!$A$2,Data!ED:ED),0)</f>
        <v>1690233</v>
      </c>
      <c r="F72" s="22">
        <f t="shared" si="4"/>
        <v>1.44</v>
      </c>
    </row>
    <row r="73" spans="1:6" x14ac:dyDescent="0.2">
      <c r="A73" s="20">
        <v>7</v>
      </c>
      <c r="B73" s="172" t="s">
        <v>6</v>
      </c>
      <c r="C73" s="173"/>
      <c r="D73" s="15">
        <f t="shared" si="5"/>
        <v>1706531</v>
      </c>
      <c r="E73" s="18">
        <f>IF(F3="1",SUMIF(Data!A:A,'14'!$A$2,Data!EE:EE),0)</f>
        <v>5646067</v>
      </c>
      <c r="F73" s="22">
        <f t="shared" si="4"/>
        <v>3.31</v>
      </c>
    </row>
    <row r="74" spans="1:6" x14ac:dyDescent="0.2">
      <c r="A74" s="20">
        <v>8</v>
      </c>
      <c r="B74" s="172" t="s">
        <v>7</v>
      </c>
      <c r="C74" s="173"/>
      <c r="D74" s="15">
        <f t="shared" si="5"/>
        <v>132151</v>
      </c>
      <c r="E74" s="18">
        <f>IF(F3="1",SUMIF(Data!A:A,'14'!$A$2,Data!EF:EF),0)</f>
        <v>296365</v>
      </c>
      <c r="F74" s="22">
        <f t="shared" si="4"/>
        <v>2.2400000000000002</v>
      </c>
    </row>
    <row r="75" spans="1:6" x14ac:dyDescent="0.2">
      <c r="A75" s="20">
        <v>9</v>
      </c>
      <c r="B75" s="172" t="s">
        <v>8</v>
      </c>
      <c r="C75" s="173"/>
      <c r="D75" s="15">
        <f t="shared" si="5"/>
        <v>648004</v>
      </c>
      <c r="E75" s="18">
        <f>IF(F3="1",SUMIF(Data!A:A,'14'!$A$2,Data!EG:EG),0)</f>
        <v>1446158</v>
      </c>
      <c r="F75" s="22">
        <f t="shared" si="4"/>
        <v>2.23</v>
      </c>
    </row>
    <row r="76" spans="1:6" x14ac:dyDescent="0.2">
      <c r="A76" s="20">
        <v>10</v>
      </c>
      <c r="B76" s="172" t="s">
        <v>9</v>
      </c>
      <c r="C76" s="173"/>
      <c r="D76" s="15">
        <f t="shared" si="5"/>
        <v>18656</v>
      </c>
      <c r="E76" s="18">
        <f>IF(F3="1",SUMIF(Data!A:A,'14'!$A$2,Data!EH:EH),0)</f>
        <v>100567</v>
      </c>
      <c r="F76" s="22">
        <f t="shared" si="4"/>
        <v>5.39</v>
      </c>
    </row>
    <row r="77" spans="1:6" x14ac:dyDescent="0.2">
      <c r="A77" s="20">
        <v>11</v>
      </c>
      <c r="B77" s="172" t="s">
        <v>10</v>
      </c>
      <c r="C77" s="173"/>
      <c r="D77" s="15">
        <f t="shared" si="5"/>
        <v>552585</v>
      </c>
      <c r="E77" s="18">
        <f>IF(F3="1",SUMIF(Data!A:A,'14'!$A$2,Data!EI:EI),0)</f>
        <v>741880</v>
      </c>
      <c r="F77" s="22">
        <f t="shared" si="4"/>
        <v>1.34</v>
      </c>
    </row>
    <row r="78" spans="1:6" ht="14.25" customHeight="1" x14ac:dyDescent="0.2">
      <c r="A78" s="20">
        <v>12</v>
      </c>
      <c r="B78" s="172" t="s">
        <v>11</v>
      </c>
      <c r="C78" s="173"/>
      <c r="D78" s="15">
        <f t="shared" si="5"/>
        <v>4556933</v>
      </c>
      <c r="E78" s="18">
        <f>IF(F3="1",SUMIF(Data!A:A,'14'!$A$2,Data!EJ:EJ),0)</f>
        <v>15828677</v>
      </c>
      <c r="F78" s="22">
        <f t="shared" si="4"/>
        <v>3.47</v>
      </c>
    </row>
    <row r="79" spans="1:6" x14ac:dyDescent="0.2">
      <c r="A79" s="20">
        <v>13</v>
      </c>
      <c r="B79" s="172" t="s">
        <v>12</v>
      </c>
      <c r="C79" s="173"/>
      <c r="D79" s="15">
        <f t="shared" si="5"/>
        <v>607196</v>
      </c>
      <c r="E79" s="18">
        <f>IF(F3="1",SUMIF(Data!A:A,'14'!$A$2,Data!EK:EK),0)</f>
        <v>1779084</v>
      </c>
      <c r="F79" s="22">
        <f t="shared" si="4"/>
        <v>2.93</v>
      </c>
    </row>
    <row r="80" spans="1:6" ht="14.25" customHeight="1" x14ac:dyDescent="0.2">
      <c r="A80" s="20">
        <v>14</v>
      </c>
      <c r="B80" s="172" t="s">
        <v>469</v>
      </c>
      <c r="C80" s="173"/>
      <c r="D80" s="15">
        <f t="shared" si="5"/>
        <v>462851</v>
      </c>
      <c r="E80" s="18">
        <f>IF(F3="1",SUMIF(Data!A:A,'14'!$A$2,Data!EL:EL),0)</f>
        <v>2579238</v>
      </c>
      <c r="F80" s="22">
        <f t="shared" si="4"/>
        <v>5.57</v>
      </c>
    </row>
    <row r="81" spans="1:6" x14ac:dyDescent="0.2">
      <c r="A81" s="20">
        <v>15</v>
      </c>
      <c r="B81" s="172" t="s">
        <v>13</v>
      </c>
      <c r="C81" s="173"/>
      <c r="D81" s="15">
        <f t="shared" si="5"/>
        <v>0</v>
      </c>
      <c r="E81" s="18">
        <f>IF(F3="1",SUMIF(Data!A:A,'14'!$A$2,Data!EM:EM),0)</f>
        <v>0</v>
      </c>
      <c r="F81" s="22" t="str">
        <f t="shared" si="4"/>
        <v/>
      </c>
    </row>
    <row r="82" spans="1:6" x14ac:dyDescent="0.2">
      <c r="A82" s="20">
        <v>16</v>
      </c>
      <c r="B82" s="172" t="s">
        <v>14</v>
      </c>
      <c r="C82" s="173"/>
      <c r="D82" s="15">
        <f t="shared" si="5"/>
        <v>931127</v>
      </c>
      <c r="E82" s="18">
        <f>IF(F3="1",SUMIF(Data!A:A,'14'!$A$2,Data!EN:EN),0)</f>
        <v>1872789</v>
      </c>
      <c r="F82" s="22">
        <f t="shared" si="4"/>
        <v>2.0099999999999998</v>
      </c>
    </row>
    <row r="83" spans="1:6" x14ac:dyDescent="0.2">
      <c r="A83" s="20">
        <v>17</v>
      </c>
      <c r="B83" s="172" t="s">
        <v>15</v>
      </c>
      <c r="C83" s="173"/>
      <c r="D83" s="15">
        <f t="shared" si="5"/>
        <v>23372</v>
      </c>
      <c r="E83" s="18">
        <f>IF(F3="1",SUMIF(Data!A:A,'14'!$A$2,Data!EO:EO),0)</f>
        <v>257160</v>
      </c>
      <c r="F83" s="22">
        <f t="shared" si="4"/>
        <v>11</v>
      </c>
    </row>
    <row r="84" spans="1:6" x14ac:dyDescent="0.2">
      <c r="A84" s="20">
        <v>18</v>
      </c>
      <c r="B84" s="172" t="s">
        <v>16</v>
      </c>
      <c r="C84" s="173"/>
      <c r="D84" s="15">
        <f t="shared" si="5"/>
        <v>32132</v>
      </c>
      <c r="E84" s="18">
        <f>IF(F3="1",SUMIF(Data!A:A,'14'!$A$2,Data!EP:EP),0)</f>
        <v>213374</v>
      </c>
      <c r="F84" s="22">
        <f t="shared" si="4"/>
        <v>6.64</v>
      </c>
    </row>
    <row r="85" spans="1:6" x14ac:dyDescent="0.2">
      <c r="A85" s="20">
        <v>19</v>
      </c>
      <c r="B85" s="172" t="s">
        <v>17</v>
      </c>
      <c r="C85" s="173"/>
      <c r="D85" s="15">
        <f t="shared" si="5"/>
        <v>2535042</v>
      </c>
      <c r="E85" s="18">
        <f>IF(F3="1",SUMIF(Data!A:A,'14'!$A$2,Data!EQ:EQ),0)</f>
        <v>7440387</v>
      </c>
      <c r="F85" s="22">
        <f t="shared" si="4"/>
        <v>2.94</v>
      </c>
    </row>
    <row r="86" spans="1:6" x14ac:dyDescent="0.2">
      <c r="A86" s="20">
        <v>20</v>
      </c>
      <c r="B86" s="172" t="s">
        <v>18</v>
      </c>
      <c r="C86" s="173"/>
      <c r="D86" s="15">
        <f t="shared" si="5"/>
        <v>428026</v>
      </c>
      <c r="E86" s="18">
        <f>IF(F3="1",SUMIF(Data!A:A,'14'!$A$2,Data!ER:ER),0)</f>
        <v>1788899</v>
      </c>
      <c r="F86" s="22">
        <f t="shared" si="4"/>
        <v>4.18</v>
      </c>
    </row>
    <row r="87" spans="1:6" ht="14.25" customHeight="1" x14ac:dyDescent="0.2">
      <c r="A87" s="20">
        <v>21</v>
      </c>
      <c r="B87" s="172" t="s">
        <v>466</v>
      </c>
      <c r="C87" s="173"/>
      <c r="D87" s="15">
        <f t="shared" si="5"/>
        <v>87869</v>
      </c>
      <c r="E87" s="18">
        <f>IF(F3="1",SUMIF(Data!A:A,'14'!$A$2,Data!ES:ES),0)</f>
        <v>122678</v>
      </c>
      <c r="F87" s="22">
        <f t="shared" si="4"/>
        <v>1.4</v>
      </c>
    </row>
    <row r="88" spans="1:6" x14ac:dyDescent="0.2">
      <c r="A88" s="20">
        <v>22</v>
      </c>
      <c r="B88" s="172" t="s">
        <v>19</v>
      </c>
      <c r="C88" s="173"/>
      <c r="D88" s="15">
        <f t="shared" si="5"/>
        <v>62144</v>
      </c>
      <c r="E88" s="18">
        <f>IF(F3="1",SUMIF(Data!A:A,'14'!$A$2,Data!ET:ET),0)</f>
        <v>423592</v>
      </c>
      <c r="F88" s="22">
        <f t="shared" si="4"/>
        <v>6.82</v>
      </c>
    </row>
    <row r="89" spans="1:6" x14ac:dyDescent="0.2">
      <c r="A89" s="20">
        <v>23</v>
      </c>
      <c r="B89" s="172" t="s">
        <v>20</v>
      </c>
      <c r="C89" s="173"/>
      <c r="D89" s="15">
        <f t="shared" si="5"/>
        <v>588382</v>
      </c>
      <c r="E89" s="18">
        <f>IF(F3="1",SUMIF(Data!A:A,'14'!$A$2,Data!EU:EU),0)</f>
        <v>2039337</v>
      </c>
      <c r="F89" s="22">
        <f t="shared" si="4"/>
        <v>3.47</v>
      </c>
    </row>
    <row r="90" spans="1:6" x14ac:dyDescent="0.2">
      <c r="A90" s="20">
        <v>24</v>
      </c>
      <c r="B90" s="172" t="s">
        <v>21</v>
      </c>
      <c r="C90" s="173"/>
      <c r="D90" s="15">
        <f t="shared" si="5"/>
        <v>932580</v>
      </c>
      <c r="E90" s="18">
        <f>IF(F3="1",SUMIF(Data!A:A,'14'!$A$2,Data!EV:EV),0)</f>
        <v>1582314</v>
      </c>
      <c r="F90" s="22">
        <f t="shared" si="4"/>
        <v>1.7</v>
      </c>
    </row>
    <row r="91" spans="1:6" x14ac:dyDescent="0.2">
      <c r="A91" s="20">
        <v>25</v>
      </c>
      <c r="B91" s="172" t="s">
        <v>22</v>
      </c>
      <c r="C91" s="173"/>
      <c r="D91" s="15">
        <f t="shared" si="5"/>
        <v>4200787</v>
      </c>
      <c r="E91" s="18">
        <f>IF(F3="1",SUMIF(Data!A:A,'14'!$A$2,Data!EW:EW),0)</f>
        <v>11333070</v>
      </c>
      <c r="F91" s="22">
        <f t="shared" si="4"/>
        <v>2.7</v>
      </c>
    </row>
    <row r="92" spans="1:6" x14ac:dyDescent="0.2">
      <c r="A92" s="20">
        <v>26</v>
      </c>
      <c r="B92" s="172" t="s">
        <v>23</v>
      </c>
      <c r="C92" s="173"/>
      <c r="D92" s="15">
        <f t="shared" si="5"/>
        <v>1551204</v>
      </c>
      <c r="E92" s="18">
        <f>IF(F3="1",SUMIF(Data!A:A,'14'!$A$2,Data!EX:EX),0)</f>
        <v>5497624</v>
      </c>
      <c r="F92" s="22">
        <f t="shared" si="4"/>
        <v>3.54</v>
      </c>
    </row>
    <row r="93" spans="1:6" x14ac:dyDescent="0.2">
      <c r="A93" s="20">
        <v>28</v>
      </c>
      <c r="B93" s="172" t="s">
        <v>24</v>
      </c>
      <c r="C93" s="173"/>
      <c r="D93" s="15">
        <f t="shared" si="5"/>
        <v>0</v>
      </c>
      <c r="E93" s="18">
        <f>IF(F3="1",SUMIF(Data!A:A,'14'!$A$2,Data!EZ:EZ),0)</f>
        <v>0</v>
      </c>
      <c r="F93" s="22" t="str">
        <f t="shared" si="4"/>
        <v/>
      </c>
    </row>
    <row r="94" spans="1:6" ht="15.75" customHeight="1" thickBot="1" x14ac:dyDescent="0.25">
      <c r="A94" s="23">
        <v>29</v>
      </c>
      <c r="B94" s="174" t="s">
        <v>25</v>
      </c>
      <c r="C94" s="175"/>
      <c r="D94" s="24">
        <f t="shared" si="5"/>
        <v>0</v>
      </c>
      <c r="E94" s="25">
        <f>IF(F3="1",SUMIF(Data!A:A,'14'!$A$2,Data!FA:FA),0)</f>
        <v>0</v>
      </c>
      <c r="F94" s="26" t="str">
        <f t="shared" si="4"/>
        <v/>
      </c>
    </row>
    <row r="95" spans="1:6" x14ac:dyDescent="0.2">
      <c r="B95" s="31" t="s">
        <v>35</v>
      </c>
      <c r="C95" s="31"/>
      <c r="D95" s="61">
        <f>SUM(D67:D94)</f>
        <v>26828389</v>
      </c>
      <c r="E95" s="32">
        <f>SUM(E67:E94)</f>
        <v>78900242</v>
      </c>
      <c r="F95" s="33">
        <f t="shared" si="4"/>
        <v>2.94</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IF(F3="1",SUMIF(Data!A:A,'14'!$A$2,Data!AH:AH),0)</f>
        <v>46094551</v>
      </c>
      <c r="F98" s="21">
        <f>IF($D$105=0,"",ROUND(E98/$D$105,2))</f>
        <v>1.72</v>
      </c>
    </row>
    <row r="99" spans="2:6" x14ac:dyDescent="0.2">
      <c r="B99" s="178" t="s">
        <v>31</v>
      </c>
      <c r="C99" s="179"/>
      <c r="D99" s="37"/>
      <c r="E99" s="18">
        <f>IF(F3="1",SUMIF(Data!A:A,'14'!$A$2,Data!AI:AI),0)</f>
        <v>24156305</v>
      </c>
      <c r="F99" s="22">
        <f t="shared" ref="F99:F105" si="6">IF($D$105=0,"",ROUND(E99/$D$105,2))</f>
        <v>0.9</v>
      </c>
    </row>
    <row r="100" spans="2:6" x14ac:dyDescent="0.2">
      <c r="B100" s="178" t="s">
        <v>32</v>
      </c>
      <c r="C100" s="179"/>
      <c r="D100" s="37"/>
      <c r="E100" s="18">
        <f>IF(F3="1",SUMIF(Data!A:A,'14'!$A$2,Data!AJ:AJ),0)</f>
        <v>15990765</v>
      </c>
      <c r="F100" s="22">
        <f t="shared" si="6"/>
        <v>0.6</v>
      </c>
    </row>
    <row r="101" spans="2:6" x14ac:dyDescent="0.2">
      <c r="B101" s="178" t="s">
        <v>28</v>
      </c>
      <c r="C101" s="179"/>
      <c r="D101" s="37"/>
      <c r="E101" s="18">
        <f>IF(F3="1",SUMIF(Data!A:A,'14'!$A$2,Data!AK:AK),0)</f>
        <v>0</v>
      </c>
      <c r="F101" s="22">
        <f t="shared" si="6"/>
        <v>0</v>
      </c>
    </row>
    <row r="102" spans="2:6" x14ac:dyDescent="0.2">
      <c r="B102" s="178" t="s">
        <v>33</v>
      </c>
      <c r="C102" s="179"/>
      <c r="D102" s="37"/>
      <c r="E102" s="18">
        <f>IF(F3="1",SUMIF(Data!A:A,'14'!$A$2,Data!AL:AL),0)</f>
        <v>0</v>
      </c>
      <c r="F102" s="22">
        <f t="shared" si="6"/>
        <v>0</v>
      </c>
    </row>
    <row r="103" spans="2:6" x14ac:dyDescent="0.2">
      <c r="B103" s="180" t="s">
        <v>34</v>
      </c>
      <c r="C103" s="181"/>
      <c r="D103" s="37"/>
      <c r="E103" s="18">
        <f>IF(F3="1",SUMIF(Data!A:A,'14'!$A$2,Data!AM:AM),0)</f>
        <v>3207693</v>
      </c>
      <c r="F103" s="22">
        <f t="shared" si="6"/>
        <v>0.12</v>
      </c>
    </row>
    <row r="104" spans="2:6" ht="15.75" customHeight="1" thickBot="1" x14ac:dyDescent="0.25">
      <c r="B104" s="170" t="s">
        <v>29</v>
      </c>
      <c r="C104" s="171"/>
      <c r="D104" s="38"/>
      <c r="E104" s="25">
        <f>IF(F3="1",SUMIF(Data!A:A,'14'!$A$2,Data!Q:Q),0)</f>
        <v>3893762</v>
      </c>
      <c r="F104" s="26">
        <f t="shared" si="6"/>
        <v>0.15</v>
      </c>
    </row>
    <row r="105" spans="2:6" x14ac:dyDescent="0.2">
      <c r="B105" s="31" t="s">
        <v>35</v>
      </c>
      <c r="C105" s="31"/>
      <c r="D105" s="35">
        <f>D95</f>
        <v>26828389</v>
      </c>
      <c r="E105" s="32">
        <f>SUM(E98:E104)</f>
        <v>93343076</v>
      </c>
      <c r="F105" s="33">
        <f t="shared" si="6"/>
        <v>3.48</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103276432</v>
      </c>
      <c r="D109" s="16">
        <f>IF(F3="1",SUMIF(Data!$A:$A,$A$2,Data!HJ:HJ),0)</f>
        <v>4825404</v>
      </c>
      <c r="E109" s="16">
        <f>IF(F3="1",SUMIF(Data!$A:$A,$A$2,Data!IN:IN),0)</f>
        <v>13117900</v>
      </c>
      <c r="F109" s="48">
        <f>SUM(C109:E109)</f>
        <v>121219736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3859801</v>
      </c>
      <c r="D111" s="52"/>
      <c r="E111" s="51">
        <f>IF(F3="1",SUMIF(Data!A:A,$A$2,Data!AX:AX),0)</f>
        <v>2213537</v>
      </c>
      <c r="F111" s="49">
        <f t="shared" si="7"/>
        <v>6073338</v>
      </c>
    </row>
    <row r="112" spans="2:6" x14ac:dyDescent="0.2">
      <c r="B112" s="43" t="s">
        <v>32</v>
      </c>
      <c r="C112" s="51">
        <f>IF(F3="1",SUMIF(Data!A:A,$A$2,Data!V:V),0)</f>
        <v>11670390</v>
      </c>
      <c r="D112" s="52"/>
      <c r="E112" s="51">
        <f>IF(F3="1",SUMIF(Data!A:A,$A$2,Data!AC:AC),0)</f>
        <v>4320375</v>
      </c>
      <c r="F112" s="49">
        <f t="shared" si="7"/>
        <v>15990765</v>
      </c>
    </row>
    <row r="113" spans="1:6" x14ac:dyDescent="0.2">
      <c r="B113" s="43" t="s">
        <v>31</v>
      </c>
      <c r="C113" s="51">
        <f>IF(F3="1",SUMIF(Data!A:A,$A$2,Data!U:U),0)</f>
        <v>20330441</v>
      </c>
      <c r="D113" s="52"/>
      <c r="E113" s="51">
        <f>IF(F3="1",SUMIF(Data!A:A,$A$2,Data!AB:AB),0)</f>
        <v>3825864</v>
      </c>
      <c r="F113" s="49">
        <f t="shared" si="7"/>
        <v>24156305</v>
      </c>
    </row>
    <row r="114" spans="1:6" x14ac:dyDescent="0.2">
      <c r="B114" s="43" t="s">
        <v>1021</v>
      </c>
      <c r="C114" s="51">
        <f>IF(F3="1",SUMIF(Data!A:A,$A$2,Data!T:T),0)</f>
        <v>36037393</v>
      </c>
      <c r="D114" s="52"/>
      <c r="E114" s="51">
        <f>IF(F3="1",SUMIF(Data!A:A,$A$2,Data!AA:AA),0)</f>
        <v>10057158</v>
      </c>
      <c r="F114" s="49">
        <f t="shared" si="7"/>
        <v>46094551</v>
      </c>
    </row>
    <row r="115" spans="1:6" x14ac:dyDescent="0.2">
      <c r="B115" s="43" t="s">
        <v>937</v>
      </c>
      <c r="C115" s="51">
        <f>IF(F3="1",SUMIF(Data!A:A,$A$2,Data!BI:BI),0)</f>
        <v>7858209</v>
      </c>
      <c r="D115" s="51">
        <f>IF(F3="1",SUMIF(Data!A:A,$A$2,Data!BL:BL),0)</f>
        <v>409884</v>
      </c>
      <c r="E115" s="51">
        <f>IF(F3="1",SUMIF(Data!A:A,$A$2,Data!BU:BU),0)</f>
        <v>22145805</v>
      </c>
      <c r="F115" s="49">
        <f t="shared" si="7"/>
        <v>30413898</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3893762</v>
      </c>
      <c r="E117" s="53"/>
      <c r="F117" s="50">
        <f>SUM(C117:E117)</f>
        <v>3893762</v>
      </c>
    </row>
    <row r="118" spans="1:6" x14ac:dyDescent="0.2">
      <c r="B118" s="14" t="s">
        <v>35</v>
      </c>
      <c r="C118" s="5">
        <f>SUM(C109:C116)</f>
        <v>183032666</v>
      </c>
      <c r="D118" s="5">
        <f>SUM(D109:D116)</f>
        <v>5235288</v>
      </c>
      <c r="E118" s="5">
        <f>SUM(E109:E116)</f>
        <v>55680639</v>
      </c>
      <c r="F118" s="5">
        <f>SUM(F109:F116)</f>
        <v>243948593</v>
      </c>
    </row>
    <row r="119" spans="1:6" ht="15" thickBot="1" x14ac:dyDescent="0.25"/>
    <row r="120" spans="1:6" ht="15" thickBot="1" x14ac:dyDescent="0.25">
      <c r="B120" s="57" t="s">
        <v>942</v>
      </c>
      <c r="C120" s="55"/>
      <c r="D120" s="55"/>
      <c r="E120" s="55">
        <f>IF(F3="1",SUMIF(Data!A:A,'14'!$A$2,Data!AM:AM),0)</f>
        <v>3207693</v>
      </c>
      <c r="F120" s="56">
        <f>SUM(C120:E120)</f>
        <v>3207693</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42578125" style="11" bestFit="1" customWidth="1"/>
    <col min="12" max="12" width="13.5703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364</v>
      </c>
      <c r="B2" s="60" t="str">
        <f>VLOOKUP(A2,Data!A:G,7,0)</f>
        <v>Del Mar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704</v>
      </c>
      <c r="E5" s="16">
        <f>E36+E67+IFERROR($E$105/$D$105*D5,0)</f>
        <v>6691.7975981952113</v>
      </c>
      <c r="F5" s="21">
        <f>IF(OR(D5=0,E5=0),"",ROUND(E5/D5,2))</f>
        <v>9.51</v>
      </c>
    </row>
    <row r="6" spans="1:6" x14ac:dyDescent="0.2">
      <c r="A6" s="20">
        <v>2</v>
      </c>
      <c r="B6" s="172" t="s">
        <v>1</v>
      </c>
      <c r="C6" s="173"/>
      <c r="D6" s="15">
        <f t="shared" ref="D6:D32" si="0">D37</f>
        <v>84416</v>
      </c>
      <c r="E6" s="18">
        <f t="shared" ref="E6:E32" si="1">E37+E68+IFERROR($E$105/$D$105*D6,0)</f>
        <v>991811.36654722574</v>
      </c>
      <c r="F6" s="22">
        <f t="shared" ref="F6:F33" si="2">IF(OR(D6=0,E6=0),"",ROUND(E6/D6,2))</f>
        <v>11.75</v>
      </c>
    </row>
    <row r="7" spans="1:6" ht="14.25" customHeight="1" x14ac:dyDescent="0.2">
      <c r="A7" s="20">
        <v>3</v>
      </c>
      <c r="B7" s="172" t="s">
        <v>2</v>
      </c>
      <c r="C7" s="173"/>
      <c r="D7" s="15">
        <f t="shared" si="0"/>
        <v>511000</v>
      </c>
      <c r="E7" s="18">
        <f t="shared" si="1"/>
        <v>4923748.2452808991</v>
      </c>
      <c r="F7" s="22">
        <f t="shared" si="2"/>
        <v>9.64</v>
      </c>
    </row>
    <row r="8" spans="1:6" ht="14.25" customHeight="1" x14ac:dyDescent="0.2">
      <c r="A8" s="20">
        <v>4</v>
      </c>
      <c r="B8" s="172" t="s">
        <v>3</v>
      </c>
      <c r="C8" s="173"/>
      <c r="D8" s="15">
        <f t="shared" si="0"/>
        <v>356426</v>
      </c>
      <c r="E8" s="18">
        <f t="shared" si="1"/>
        <v>4181726.2368385317</v>
      </c>
      <c r="F8" s="22">
        <f t="shared" si="2"/>
        <v>11.73</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35463</v>
      </c>
      <c r="E10" s="18">
        <f t="shared" si="1"/>
        <v>458378.39236476814</v>
      </c>
      <c r="F10" s="22">
        <f t="shared" si="2"/>
        <v>12.93</v>
      </c>
    </row>
    <row r="11" spans="1:6" x14ac:dyDescent="0.2">
      <c r="A11" s="20">
        <v>7</v>
      </c>
      <c r="B11" s="172" t="s">
        <v>6</v>
      </c>
      <c r="C11" s="173"/>
      <c r="D11" s="15">
        <f t="shared" si="0"/>
        <v>223218</v>
      </c>
      <c r="E11" s="18">
        <f t="shared" si="1"/>
        <v>2376648.9208436627</v>
      </c>
      <c r="F11" s="22">
        <f t="shared" si="2"/>
        <v>10.65</v>
      </c>
    </row>
    <row r="12" spans="1:6" x14ac:dyDescent="0.2">
      <c r="A12" s="20">
        <v>8</v>
      </c>
      <c r="B12" s="172" t="s">
        <v>7</v>
      </c>
      <c r="C12" s="173"/>
      <c r="D12" s="15">
        <f t="shared" si="0"/>
        <v>31312</v>
      </c>
      <c r="E12" s="18">
        <f t="shared" si="1"/>
        <v>276050.40681063698</v>
      </c>
      <c r="F12" s="22">
        <f t="shared" si="2"/>
        <v>8.82</v>
      </c>
    </row>
    <row r="13" spans="1:6" x14ac:dyDescent="0.2">
      <c r="A13" s="20">
        <v>9</v>
      </c>
      <c r="B13" s="172" t="s">
        <v>8</v>
      </c>
      <c r="C13" s="173"/>
      <c r="D13" s="15">
        <f t="shared" si="0"/>
        <v>221911</v>
      </c>
      <c r="E13" s="18">
        <f t="shared" si="1"/>
        <v>2464389.6517231497</v>
      </c>
      <c r="F13" s="22">
        <f t="shared" si="2"/>
        <v>11.11</v>
      </c>
    </row>
    <row r="14" spans="1:6" x14ac:dyDescent="0.2">
      <c r="A14" s="20">
        <v>10</v>
      </c>
      <c r="B14" s="172" t="s">
        <v>9</v>
      </c>
      <c r="C14" s="173"/>
      <c r="D14" s="15">
        <f t="shared" si="0"/>
        <v>1888</v>
      </c>
      <c r="E14" s="18">
        <f t="shared" si="1"/>
        <v>23473.184467887157</v>
      </c>
      <c r="F14" s="22">
        <f t="shared" si="2"/>
        <v>12.43</v>
      </c>
    </row>
    <row r="15" spans="1:6" x14ac:dyDescent="0.2">
      <c r="A15" s="20">
        <v>11</v>
      </c>
      <c r="B15" s="172" t="s">
        <v>10</v>
      </c>
      <c r="C15" s="173"/>
      <c r="D15" s="15">
        <f t="shared" si="0"/>
        <v>144464</v>
      </c>
      <c r="E15" s="18">
        <f t="shared" si="1"/>
        <v>1658089.7844114671</v>
      </c>
      <c r="F15" s="22">
        <f t="shared" si="2"/>
        <v>11.48</v>
      </c>
    </row>
    <row r="16" spans="1:6" ht="14.25" customHeight="1" x14ac:dyDescent="0.2">
      <c r="A16" s="20">
        <v>12</v>
      </c>
      <c r="B16" s="172" t="s">
        <v>11</v>
      </c>
      <c r="C16" s="173"/>
      <c r="D16" s="15">
        <f t="shared" si="0"/>
        <v>705328</v>
      </c>
      <c r="E16" s="18">
        <f t="shared" si="1"/>
        <v>8480605.2618463524</v>
      </c>
      <c r="F16" s="22">
        <f t="shared" si="2"/>
        <v>12.02</v>
      </c>
    </row>
    <row r="17" spans="1:6" x14ac:dyDescent="0.2">
      <c r="A17" s="20">
        <v>13</v>
      </c>
      <c r="B17" s="172" t="s">
        <v>12</v>
      </c>
      <c r="C17" s="173"/>
      <c r="D17" s="15">
        <f t="shared" si="0"/>
        <v>94016</v>
      </c>
      <c r="E17" s="18">
        <f t="shared" si="1"/>
        <v>1018847.1519771605</v>
      </c>
      <c r="F17" s="22">
        <f t="shared" si="2"/>
        <v>10.84</v>
      </c>
    </row>
    <row r="18" spans="1:6" ht="14.25" customHeight="1" x14ac:dyDescent="0.2">
      <c r="A18" s="20">
        <v>14</v>
      </c>
      <c r="B18" s="172" t="s">
        <v>469</v>
      </c>
      <c r="C18" s="173"/>
      <c r="D18" s="15">
        <f t="shared" si="0"/>
        <v>367200</v>
      </c>
      <c r="E18" s="18">
        <f t="shared" si="1"/>
        <v>5509607.7926950017</v>
      </c>
      <c r="F18" s="22">
        <f t="shared" si="2"/>
        <v>15</v>
      </c>
    </row>
    <row r="19" spans="1:6" x14ac:dyDescent="0.2">
      <c r="A19" s="20">
        <v>15</v>
      </c>
      <c r="B19" s="172" t="s">
        <v>13</v>
      </c>
      <c r="C19" s="173"/>
      <c r="D19" s="15">
        <f t="shared" si="0"/>
        <v>32160</v>
      </c>
      <c r="E19" s="18">
        <f t="shared" si="1"/>
        <v>699744.48119028122</v>
      </c>
      <c r="F19" s="22">
        <f t="shared" si="2"/>
        <v>21.76</v>
      </c>
    </row>
    <row r="20" spans="1:6" x14ac:dyDescent="0.2">
      <c r="A20" s="20">
        <v>16</v>
      </c>
      <c r="B20" s="172" t="s">
        <v>14</v>
      </c>
      <c r="C20" s="173"/>
      <c r="D20" s="15">
        <f t="shared" si="0"/>
        <v>417059</v>
      </c>
      <c r="E20" s="18">
        <f t="shared" si="1"/>
        <v>4613131.2166274097</v>
      </c>
      <c r="F20" s="22">
        <f t="shared" si="2"/>
        <v>11.06</v>
      </c>
    </row>
    <row r="21" spans="1:6" x14ac:dyDescent="0.2">
      <c r="A21" s="20">
        <v>17</v>
      </c>
      <c r="B21" s="172" t="s">
        <v>15</v>
      </c>
      <c r="C21" s="173"/>
      <c r="D21" s="15">
        <f t="shared" si="0"/>
        <v>19792</v>
      </c>
      <c r="E21" s="18">
        <f t="shared" si="1"/>
        <v>485981.26429471537</v>
      </c>
      <c r="F21" s="22">
        <f t="shared" si="2"/>
        <v>24.55</v>
      </c>
    </row>
    <row r="22" spans="1:6" x14ac:dyDescent="0.2">
      <c r="A22" s="20">
        <v>18</v>
      </c>
      <c r="B22" s="172" t="s">
        <v>16</v>
      </c>
      <c r="C22" s="173"/>
      <c r="D22" s="15">
        <f t="shared" si="0"/>
        <v>48</v>
      </c>
      <c r="E22" s="18">
        <f t="shared" si="1"/>
        <v>662.75892714967347</v>
      </c>
      <c r="F22" s="22">
        <f t="shared" si="2"/>
        <v>13.81</v>
      </c>
    </row>
    <row r="23" spans="1:6" x14ac:dyDescent="0.2">
      <c r="A23" s="20">
        <v>19</v>
      </c>
      <c r="B23" s="172" t="s">
        <v>17</v>
      </c>
      <c r="C23" s="173"/>
      <c r="D23" s="15">
        <f t="shared" si="0"/>
        <v>361440</v>
      </c>
      <c r="E23" s="18">
        <f t="shared" si="1"/>
        <v>4242577.7214370407</v>
      </c>
      <c r="F23" s="22">
        <f t="shared" si="2"/>
        <v>11.74</v>
      </c>
    </row>
    <row r="24" spans="1:6" x14ac:dyDescent="0.2">
      <c r="A24" s="20">
        <v>20</v>
      </c>
      <c r="B24" s="172" t="s">
        <v>18</v>
      </c>
      <c r="C24" s="173"/>
      <c r="D24" s="15">
        <f t="shared" si="0"/>
        <v>84522</v>
      </c>
      <c r="E24" s="18">
        <f t="shared" si="1"/>
        <v>993109.50084468129</v>
      </c>
      <c r="F24" s="22">
        <f t="shared" si="2"/>
        <v>11.75</v>
      </c>
    </row>
    <row r="25" spans="1:6" ht="14.25" customHeight="1" x14ac:dyDescent="0.2">
      <c r="A25" s="20">
        <v>21</v>
      </c>
      <c r="B25" s="172" t="s">
        <v>466</v>
      </c>
      <c r="C25" s="173"/>
      <c r="D25" s="15">
        <f t="shared" si="0"/>
        <v>112426</v>
      </c>
      <c r="E25" s="18">
        <f t="shared" si="1"/>
        <v>1295500.0238276916</v>
      </c>
      <c r="F25" s="22">
        <f t="shared" si="2"/>
        <v>11.52</v>
      </c>
    </row>
    <row r="26" spans="1:6" x14ac:dyDescent="0.2">
      <c r="A26" s="20">
        <v>22</v>
      </c>
      <c r="B26" s="172" t="s">
        <v>19</v>
      </c>
      <c r="C26" s="173"/>
      <c r="D26" s="15">
        <f t="shared" si="0"/>
        <v>24965</v>
      </c>
      <c r="E26" s="18">
        <f t="shared" si="1"/>
        <v>355915.4503394083</v>
      </c>
      <c r="F26" s="22">
        <f t="shared" si="2"/>
        <v>14.26</v>
      </c>
    </row>
    <row r="27" spans="1:6" x14ac:dyDescent="0.2">
      <c r="A27" s="20">
        <v>23</v>
      </c>
      <c r="B27" s="172" t="s">
        <v>20</v>
      </c>
      <c r="C27" s="173"/>
      <c r="D27" s="15">
        <f t="shared" si="0"/>
        <v>122208</v>
      </c>
      <c r="E27" s="18">
        <f t="shared" si="1"/>
        <v>1247482.2285230686</v>
      </c>
      <c r="F27" s="22">
        <f t="shared" si="2"/>
        <v>10.210000000000001</v>
      </c>
    </row>
    <row r="28" spans="1:6" x14ac:dyDescent="0.2">
      <c r="A28" s="20">
        <v>24</v>
      </c>
      <c r="B28" s="172" t="s">
        <v>21</v>
      </c>
      <c r="C28" s="173"/>
      <c r="D28" s="15">
        <f t="shared" si="0"/>
        <v>164072</v>
      </c>
      <c r="E28" s="18">
        <f t="shared" si="1"/>
        <v>1997960.3061521088</v>
      </c>
      <c r="F28" s="22">
        <f t="shared" si="2"/>
        <v>12.18</v>
      </c>
    </row>
    <row r="29" spans="1:6" x14ac:dyDescent="0.2">
      <c r="A29" s="20">
        <v>25</v>
      </c>
      <c r="B29" s="172" t="s">
        <v>22</v>
      </c>
      <c r="C29" s="173"/>
      <c r="D29" s="15">
        <f t="shared" si="0"/>
        <v>570144</v>
      </c>
      <c r="E29" s="18">
        <f t="shared" si="1"/>
        <v>5544665.5366838221</v>
      </c>
      <c r="F29" s="22">
        <f t="shared" si="2"/>
        <v>9.73</v>
      </c>
    </row>
    <row r="30" spans="1:6" x14ac:dyDescent="0.2">
      <c r="A30" s="20">
        <v>26</v>
      </c>
      <c r="B30" s="172" t="s">
        <v>23</v>
      </c>
      <c r="C30" s="173"/>
      <c r="D30" s="15">
        <f t="shared" si="0"/>
        <v>262430</v>
      </c>
      <c r="E30" s="18">
        <f t="shared" si="1"/>
        <v>3747578.3177476833</v>
      </c>
      <c r="F30" s="22">
        <f t="shared" si="2"/>
        <v>14.28</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4948612</v>
      </c>
      <c r="E33" s="32">
        <f>SUM(E5:E32)</f>
        <v>57594376.999999985</v>
      </c>
      <c r="F33" s="33">
        <f t="shared" si="2"/>
        <v>11.64</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IF(F3="1",SUMIF(Data!A:A,'15'!$A$2,Data!CU:CU),0)</f>
        <v>704</v>
      </c>
      <c r="E36" s="16">
        <f>IF(F3="1",SUMIF(Data!$A:$A,'15'!$A$2,Data!IO:IO),0)</f>
        <v>2058</v>
      </c>
      <c r="F36" s="21">
        <f>IF(D36=0,"",ROUND(E36/D36,2))</f>
        <v>2.92</v>
      </c>
    </row>
    <row r="37" spans="1:6" x14ac:dyDescent="0.2">
      <c r="A37" s="20">
        <v>2</v>
      </c>
      <c r="B37" s="172" t="s">
        <v>1</v>
      </c>
      <c r="C37" s="173"/>
      <c r="D37" s="15">
        <f>IF(F3="1",SUMIF(Data!A:A,'15'!$A$2,Data!CV:CV),0)</f>
        <v>84416</v>
      </c>
      <c r="E37" s="18">
        <f>IF(F3="1",SUMIF(Data!$A:$A,'15'!$A$2,Data!IP:IP),0)</f>
        <v>149303</v>
      </c>
      <c r="F37" s="22">
        <f t="shared" ref="F37:F64" si="3">IF(D37=0,"",ROUND(E37/D37,2))</f>
        <v>1.77</v>
      </c>
    </row>
    <row r="38" spans="1:6" ht="14.25" customHeight="1" x14ac:dyDescent="0.2">
      <c r="A38" s="20">
        <v>3</v>
      </c>
      <c r="B38" s="172" t="s">
        <v>2</v>
      </c>
      <c r="C38" s="173"/>
      <c r="D38" s="15">
        <f>IF(F3="1",SUMIF(Data!A:A,'15'!$A$2,Data!CW:CW),0)</f>
        <v>511000</v>
      </c>
      <c r="E38" s="18">
        <f>IF(F3="1",SUMIF(Data!$A:$A,'15'!$A$2,Data!IQ:IQ),0)</f>
        <v>429201</v>
      </c>
      <c r="F38" s="22">
        <f t="shared" si="3"/>
        <v>0.84</v>
      </c>
    </row>
    <row r="39" spans="1:6" ht="14.25" customHeight="1" x14ac:dyDescent="0.2">
      <c r="A39" s="20">
        <v>4</v>
      </c>
      <c r="B39" s="172" t="s">
        <v>3</v>
      </c>
      <c r="C39" s="173"/>
      <c r="D39" s="15">
        <f>IF(F3="1",SUMIF(Data!A:A,'15'!$A$2,Data!CX:CX),0)</f>
        <v>356426</v>
      </c>
      <c r="E39" s="18">
        <f>IF(F3="1",SUMIF(Data!$A:$A,'15'!$A$2,Data!IR:IR),0)</f>
        <v>490463</v>
      </c>
      <c r="F39" s="22">
        <f t="shared" si="3"/>
        <v>1.38</v>
      </c>
    </row>
    <row r="40" spans="1:6" x14ac:dyDescent="0.2">
      <c r="A40" s="20">
        <v>5</v>
      </c>
      <c r="B40" s="172" t="s">
        <v>4</v>
      </c>
      <c r="C40" s="173"/>
      <c r="D40" s="15">
        <f>IF(F3="1",SUMIF(Data!A:A,'15'!$A$2,Data!CY:CY),0)</f>
        <v>0</v>
      </c>
      <c r="E40" s="18">
        <f>IF(F3="1",SUMIF(Data!$A:$A,'15'!$A$2,Data!IS:IS),0)</f>
        <v>0</v>
      </c>
      <c r="F40" s="22" t="str">
        <f t="shared" si="3"/>
        <v/>
      </c>
    </row>
    <row r="41" spans="1:6" x14ac:dyDescent="0.2">
      <c r="A41" s="20">
        <v>6</v>
      </c>
      <c r="B41" s="172" t="s">
        <v>5</v>
      </c>
      <c r="C41" s="173"/>
      <c r="D41" s="15">
        <f>IF(F3="1",SUMIF(Data!A:A,'15'!$A$2,Data!CZ:CZ),0)</f>
        <v>35463</v>
      </c>
      <c r="E41" s="18">
        <f>IF(F3="1",SUMIF(Data!$A:$A,'15'!$A$2,Data!IT:IT),0)</f>
        <v>64507</v>
      </c>
      <c r="F41" s="22">
        <f t="shared" si="3"/>
        <v>1.82</v>
      </c>
    </row>
    <row r="42" spans="1:6" x14ac:dyDescent="0.2">
      <c r="A42" s="20">
        <v>7</v>
      </c>
      <c r="B42" s="172" t="s">
        <v>6</v>
      </c>
      <c r="C42" s="173"/>
      <c r="D42" s="15">
        <f>IF(F3="1",SUMIF(Data!A:A,'15'!$A$2,Data!DA:DA),0)</f>
        <v>223218</v>
      </c>
      <c r="E42" s="18">
        <f>IF(F3="1",SUMIF(Data!$A:$A,'15'!$A$2,Data!IU:IU),0)</f>
        <v>240572</v>
      </c>
      <c r="F42" s="22">
        <f t="shared" si="3"/>
        <v>1.08</v>
      </c>
    </row>
    <row r="43" spans="1:6" x14ac:dyDescent="0.2">
      <c r="A43" s="20">
        <v>8</v>
      </c>
      <c r="B43" s="172" t="s">
        <v>7</v>
      </c>
      <c r="C43" s="173"/>
      <c r="D43" s="15">
        <f>IF(F3="1",SUMIF(Data!A:A,'15'!$A$2,Data!DB:DB),0)</f>
        <v>31312</v>
      </c>
      <c r="E43" s="18">
        <f>IF(F3="1",SUMIF(Data!$A:$A,'15'!$A$2,Data!IV:IV),0)</f>
        <v>35080</v>
      </c>
      <c r="F43" s="22">
        <f t="shared" si="3"/>
        <v>1.1200000000000001</v>
      </c>
    </row>
    <row r="44" spans="1:6" x14ac:dyDescent="0.2">
      <c r="A44" s="20">
        <v>9</v>
      </c>
      <c r="B44" s="172" t="s">
        <v>8</v>
      </c>
      <c r="C44" s="173"/>
      <c r="D44" s="15">
        <f>IF(F3="1",SUMIF(Data!A:A,'15'!$A$2,Data!DC:DC),0)</f>
        <v>221911</v>
      </c>
      <c r="E44" s="18">
        <f>IF(F3="1",SUMIF(Data!$A:$A,'15'!$A$2,Data!IW:IW),0)</f>
        <v>319237</v>
      </c>
      <c r="F44" s="22">
        <f t="shared" si="3"/>
        <v>1.44</v>
      </c>
    </row>
    <row r="45" spans="1:6" x14ac:dyDescent="0.2">
      <c r="A45" s="20">
        <v>10</v>
      </c>
      <c r="B45" s="172" t="s">
        <v>9</v>
      </c>
      <c r="C45" s="173"/>
      <c r="D45" s="15">
        <f>IF(F3="1",SUMIF(Data!A:A,'15'!$A$2,Data!DD:DD),0)</f>
        <v>1888</v>
      </c>
      <c r="E45" s="18">
        <f>IF(F3="1",SUMIF(Data!$A:$A,'15'!$A$2,Data!IX:IX),0)</f>
        <v>1924</v>
      </c>
      <c r="F45" s="22">
        <f t="shared" si="3"/>
        <v>1.02</v>
      </c>
    </row>
    <row r="46" spans="1:6" x14ac:dyDescent="0.2">
      <c r="A46" s="20">
        <v>11</v>
      </c>
      <c r="B46" s="172" t="s">
        <v>10</v>
      </c>
      <c r="C46" s="173"/>
      <c r="D46" s="15">
        <f>IF(F3="1",SUMIF(Data!A:A,'15'!$A$2,Data!DE:DE),0)</f>
        <v>144464</v>
      </c>
      <c r="E46" s="18">
        <f>IF(F3="1",SUMIF(Data!$A:$A,'15'!$A$2,Data!IY:IY),0)</f>
        <v>293880</v>
      </c>
      <c r="F46" s="22">
        <f t="shared" si="3"/>
        <v>2.0299999999999998</v>
      </c>
    </row>
    <row r="47" spans="1:6" ht="14.25" customHeight="1" x14ac:dyDescent="0.2">
      <c r="A47" s="20">
        <v>12</v>
      </c>
      <c r="B47" s="172" t="s">
        <v>11</v>
      </c>
      <c r="C47" s="173"/>
      <c r="D47" s="15">
        <f>IF(F3="1",SUMIF(Data!A:A,'15'!$A$2,Data!DF:DF),0)</f>
        <v>705328</v>
      </c>
      <c r="E47" s="18">
        <f>IF(F3="1",SUMIF(Data!$A:$A,'15'!$A$2,Data!IZ:IZ),0)</f>
        <v>730157</v>
      </c>
      <c r="F47" s="22">
        <f t="shared" si="3"/>
        <v>1.04</v>
      </c>
    </row>
    <row r="48" spans="1:6" x14ac:dyDescent="0.2">
      <c r="A48" s="20">
        <v>13</v>
      </c>
      <c r="B48" s="172" t="s">
        <v>12</v>
      </c>
      <c r="C48" s="173"/>
      <c r="D48" s="15">
        <f>IF(F3="1",SUMIF(Data!A:A,'15'!$A$2,Data!DG:DG),0)</f>
        <v>94016</v>
      </c>
      <c r="E48" s="18">
        <f>IF(F3="1",SUMIF(Data!$A:$A,'15'!$A$2,Data!JA:JA),0)</f>
        <v>122014</v>
      </c>
      <c r="F48" s="22">
        <f t="shared" si="3"/>
        <v>1.3</v>
      </c>
    </row>
    <row r="49" spans="1:6" ht="14.25" customHeight="1" x14ac:dyDescent="0.2">
      <c r="A49" s="20">
        <v>14</v>
      </c>
      <c r="B49" s="172" t="s">
        <v>469</v>
      </c>
      <c r="C49" s="173"/>
      <c r="D49" s="15">
        <f>IF(F3="1",SUMIF(Data!A:A,'15'!$A$2,Data!DH:DH),0)</f>
        <v>367200</v>
      </c>
      <c r="E49" s="18">
        <f>IF(F3="1",SUMIF(Data!$A:$A,'15'!$A$2,Data!JB:JB),0)</f>
        <v>494851</v>
      </c>
      <c r="F49" s="22">
        <f t="shared" si="3"/>
        <v>1.35</v>
      </c>
    </row>
    <row r="50" spans="1:6" x14ac:dyDescent="0.2">
      <c r="A50" s="20">
        <v>15</v>
      </c>
      <c r="B50" s="172" t="s">
        <v>13</v>
      </c>
      <c r="C50" s="173"/>
      <c r="D50" s="15">
        <f>IF(F3="1",SUMIF(Data!A:A,'15'!$A$2,Data!DI:DI),0)</f>
        <v>32160</v>
      </c>
      <c r="E50" s="18">
        <f>IF(F3="1",SUMIF(Data!$A:$A,'15'!$A$2,Data!JC:JC),0)</f>
        <v>99614</v>
      </c>
      <c r="F50" s="22">
        <f t="shared" si="3"/>
        <v>3.1</v>
      </c>
    </row>
    <row r="51" spans="1:6" x14ac:dyDescent="0.2">
      <c r="A51" s="20">
        <v>16</v>
      </c>
      <c r="B51" s="172" t="s">
        <v>14</v>
      </c>
      <c r="C51" s="173"/>
      <c r="D51" s="15">
        <f>IF(F3="1",SUMIF(Data!A:A,'15'!$A$2,Data!DJ:DJ),0)</f>
        <v>417059</v>
      </c>
      <c r="E51" s="18">
        <f>IF(F3="1",SUMIF(Data!$A:$A,'15'!$A$2,Data!JD:JD),0)</f>
        <v>480873</v>
      </c>
      <c r="F51" s="22">
        <f t="shared" si="3"/>
        <v>1.1499999999999999</v>
      </c>
    </row>
    <row r="52" spans="1:6" x14ac:dyDescent="0.2">
      <c r="A52" s="20">
        <v>17</v>
      </c>
      <c r="B52" s="172" t="s">
        <v>15</v>
      </c>
      <c r="C52" s="173"/>
      <c r="D52" s="15">
        <f>IF(F3="1",SUMIF(Data!A:A,'15'!$A$2,Data!DK:DK),0)</f>
        <v>19792</v>
      </c>
      <c r="E52" s="18">
        <f>IF(F3="1",SUMIF(Data!$A:$A,'15'!$A$2,Data!JE:JE),0)</f>
        <v>51599</v>
      </c>
      <c r="F52" s="22">
        <f t="shared" si="3"/>
        <v>2.61</v>
      </c>
    </row>
    <row r="53" spans="1:6" x14ac:dyDescent="0.2">
      <c r="A53" s="20">
        <v>18</v>
      </c>
      <c r="B53" s="172" t="s">
        <v>16</v>
      </c>
      <c r="C53" s="173"/>
      <c r="D53" s="15">
        <f>IF(F3="1",SUMIF(Data!A:A,'15'!$A$2,Data!DL:DL),0)</f>
        <v>48</v>
      </c>
      <c r="E53" s="18">
        <f>IF(F3="1",SUMIF(Data!$A:$A,'15'!$A$2,Data!JF:JF),0)</f>
        <v>45</v>
      </c>
      <c r="F53" s="22">
        <f t="shared" si="3"/>
        <v>0.94</v>
      </c>
    </row>
    <row r="54" spans="1:6" x14ac:dyDescent="0.2">
      <c r="A54" s="20">
        <v>19</v>
      </c>
      <c r="B54" s="172" t="s">
        <v>17</v>
      </c>
      <c r="C54" s="173"/>
      <c r="D54" s="15">
        <f>IF(F3="1",SUMIF(Data!A:A,'15'!$A$2,Data!DM:DM),0)</f>
        <v>361440</v>
      </c>
      <c r="E54" s="18">
        <f>IF(F3="1",SUMIF(Data!$A:$A,'15'!$A$2,Data!JG:JG),0)</f>
        <v>343776</v>
      </c>
      <c r="F54" s="22">
        <f t="shared" si="3"/>
        <v>0.95</v>
      </c>
    </row>
    <row r="55" spans="1:6" x14ac:dyDescent="0.2">
      <c r="A55" s="20">
        <v>20</v>
      </c>
      <c r="B55" s="172" t="s">
        <v>18</v>
      </c>
      <c r="C55" s="173"/>
      <c r="D55" s="15">
        <f>IF(F3="1",SUMIF(Data!A:A,'15'!$A$2,Data!DN:DN),0)</f>
        <v>84522</v>
      </c>
      <c r="E55" s="18">
        <f>IF(F3="1",SUMIF(Data!$A:$A,'15'!$A$2,Data!JH:JH),0)</f>
        <v>106740</v>
      </c>
      <c r="F55" s="22">
        <f t="shared" si="3"/>
        <v>1.26</v>
      </c>
    </row>
    <row r="56" spans="1:6" ht="14.25" customHeight="1" x14ac:dyDescent="0.2">
      <c r="A56" s="20">
        <v>21</v>
      </c>
      <c r="B56" s="172" t="s">
        <v>466</v>
      </c>
      <c r="C56" s="173"/>
      <c r="D56" s="15">
        <f>IF(F3="1",SUMIF(Data!A:A,'15'!$A$2,Data!DO:DO),0)</f>
        <v>112426</v>
      </c>
      <c r="E56" s="18">
        <f>IF(F3="1",SUMIF(Data!$A:$A,'15'!$A$2,Data!JI:JI),0)</f>
        <v>349358</v>
      </c>
      <c r="F56" s="22">
        <f t="shared" si="3"/>
        <v>3.11</v>
      </c>
    </row>
    <row r="57" spans="1:6" x14ac:dyDescent="0.2">
      <c r="A57" s="20">
        <v>22</v>
      </c>
      <c r="B57" s="172" t="s">
        <v>19</v>
      </c>
      <c r="C57" s="173"/>
      <c r="D57" s="15">
        <f>IF(F3="1",SUMIF(Data!A:A,'15'!$A$2,Data!DP:DP),0)</f>
        <v>24965</v>
      </c>
      <c r="E57" s="18">
        <f>IF(F3="1",SUMIF(Data!$A:$A,'15'!$A$2,Data!JJ:JJ),0)</f>
        <v>36707</v>
      </c>
      <c r="F57" s="22">
        <f t="shared" si="3"/>
        <v>1.47</v>
      </c>
    </row>
    <row r="58" spans="1:6" x14ac:dyDescent="0.2">
      <c r="A58" s="20">
        <v>23</v>
      </c>
      <c r="B58" s="172" t="s">
        <v>20</v>
      </c>
      <c r="C58" s="173"/>
      <c r="D58" s="15">
        <f>IF(F3="1",SUMIF(Data!A:A,'15'!$A$2,Data!DQ:DQ),0)</f>
        <v>122208</v>
      </c>
      <c r="E58" s="18">
        <f>IF(F3="1",SUMIF(Data!$A:$A,'15'!$A$2,Data!JK:JK),0)</f>
        <v>107687</v>
      </c>
      <c r="F58" s="22">
        <f t="shared" si="3"/>
        <v>0.88</v>
      </c>
    </row>
    <row r="59" spans="1:6" x14ac:dyDescent="0.2">
      <c r="A59" s="20">
        <v>24</v>
      </c>
      <c r="B59" s="172" t="s">
        <v>21</v>
      </c>
      <c r="C59" s="173"/>
      <c r="D59" s="15">
        <f>IF(F3="1",SUMIF(Data!A:A,'15'!$A$2,Data!DR:DR),0)</f>
        <v>164072</v>
      </c>
      <c r="E59" s="18">
        <f>IF(F3="1",SUMIF(Data!$A:$A,'15'!$A$2,Data!JL:JL),0)</f>
        <v>487328</v>
      </c>
      <c r="F59" s="22">
        <f t="shared" si="3"/>
        <v>2.97</v>
      </c>
    </row>
    <row r="60" spans="1:6" x14ac:dyDescent="0.2">
      <c r="A60" s="20">
        <v>25</v>
      </c>
      <c r="B60" s="172" t="s">
        <v>22</v>
      </c>
      <c r="C60" s="173"/>
      <c r="D60" s="15">
        <f>IF(F3="1",SUMIF(Data!A:A,'15'!$A$2,Data!DS:DS),0)</f>
        <v>570144</v>
      </c>
      <c r="E60" s="18">
        <f>IF(F3="1",SUMIF(Data!$A:$A,'15'!$A$2,Data!JM:JM),0)</f>
        <v>302954</v>
      </c>
      <c r="F60" s="22">
        <f t="shared" si="3"/>
        <v>0.53</v>
      </c>
    </row>
    <row r="61" spans="1:6" x14ac:dyDescent="0.2">
      <c r="A61" s="20">
        <v>26</v>
      </c>
      <c r="B61" s="172" t="s">
        <v>23</v>
      </c>
      <c r="C61" s="173"/>
      <c r="D61" s="15">
        <f>IF(F3="1",SUMIF(Data!A:A,'15'!$A$2,Data!DT:DT),0)</f>
        <v>262430</v>
      </c>
      <c r="E61" s="18">
        <f>IF(F3="1",SUMIF(Data!$A:$A,'15'!$A$2,Data!JN:JN),0)</f>
        <v>446705</v>
      </c>
      <c r="F61" s="22">
        <f t="shared" si="3"/>
        <v>1.7</v>
      </c>
    </row>
    <row r="62" spans="1:6" x14ac:dyDescent="0.2">
      <c r="A62" s="20">
        <v>28</v>
      </c>
      <c r="B62" s="172" t="s">
        <v>24</v>
      </c>
      <c r="C62" s="173"/>
      <c r="D62" s="15">
        <f>IF(F3="1",SUMIF(Data!A:A,'15'!$A$2,Data!DV:DV),0)</f>
        <v>0</v>
      </c>
      <c r="E62" s="18">
        <f>IF(F3="1",SUMIF(Data!$A:$A,'15'!$A$2,Data!JP:JP),0)</f>
        <v>0</v>
      </c>
      <c r="F62" s="22" t="str">
        <f t="shared" si="3"/>
        <v/>
      </c>
    </row>
    <row r="63" spans="1:6" ht="15.75" customHeight="1" thickBot="1" x14ac:dyDescent="0.25">
      <c r="A63" s="23">
        <v>29</v>
      </c>
      <c r="B63" s="174" t="s">
        <v>25</v>
      </c>
      <c r="C63" s="175"/>
      <c r="D63" s="24">
        <f>IF(F3="1",SUMIF(Data!A:A,'15'!$A$2,Data!DW:DW),0)</f>
        <v>0</v>
      </c>
      <c r="E63" s="25">
        <f>IF(F3="1",SUMIF(Data!$A:$A,'15'!$A$2,Data!JQ:JQ),0)</f>
        <v>0</v>
      </c>
      <c r="F63" s="26" t="str">
        <f t="shared" si="3"/>
        <v/>
      </c>
    </row>
    <row r="64" spans="1:6" x14ac:dyDescent="0.2">
      <c r="B64" s="31" t="s">
        <v>35</v>
      </c>
      <c r="C64" s="31"/>
      <c r="D64" s="61">
        <f>SUM(D36:D63)</f>
        <v>4948612</v>
      </c>
      <c r="E64" s="32">
        <f>SUM(E36:E63)</f>
        <v>6186633</v>
      </c>
      <c r="F64" s="33">
        <f t="shared" si="3"/>
        <v>1.25</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704</v>
      </c>
      <c r="E67" s="16">
        <f>IF(F3="1",SUMIF(Data!A:A,'15'!$A$2,Data!DY:DY),0)</f>
        <v>1000</v>
      </c>
      <c r="F67" s="21">
        <f t="shared" ref="F67:F95" si="4">IF(D67=0,"",ROUND(E67/D67,2))</f>
        <v>1.42</v>
      </c>
    </row>
    <row r="68" spans="1:6" x14ac:dyDescent="0.2">
      <c r="A68" s="20">
        <v>2</v>
      </c>
      <c r="B68" s="172" t="s">
        <v>1</v>
      </c>
      <c r="C68" s="173"/>
      <c r="D68" s="15">
        <f t="shared" ref="D68:D94" si="5">D37</f>
        <v>84416</v>
      </c>
      <c r="E68" s="18">
        <f>IF(F3="1",SUMIF(Data!A:A,'15'!$A$2,Data!DZ:DZ),0)</f>
        <v>406783</v>
      </c>
      <c r="F68" s="22">
        <f t="shared" si="4"/>
        <v>4.82</v>
      </c>
    </row>
    <row r="69" spans="1:6" ht="14.25" customHeight="1" x14ac:dyDescent="0.2">
      <c r="A69" s="20">
        <v>3</v>
      </c>
      <c r="B69" s="172" t="s">
        <v>2</v>
      </c>
      <c r="C69" s="173"/>
      <c r="D69" s="15">
        <f t="shared" si="5"/>
        <v>511000</v>
      </c>
      <c r="E69" s="18">
        <f>IF(F3="1",SUMIF(Data!A:A,'15'!$A$2,Data!EA:EA),0)</f>
        <v>1856947</v>
      </c>
      <c r="F69" s="22">
        <f t="shared" si="4"/>
        <v>3.63</v>
      </c>
    </row>
    <row r="70" spans="1:6" ht="14.25" customHeight="1" x14ac:dyDescent="0.2">
      <c r="A70" s="20">
        <v>4</v>
      </c>
      <c r="B70" s="172" t="s">
        <v>3</v>
      </c>
      <c r="C70" s="173"/>
      <c r="D70" s="15">
        <f t="shared" si="5"/>
        <v>356426</v>
      </c>
      <c r="E70" s="18">
        <f>IF(F3="1",SUMIF(Data!A:A,'15'!$A$2,Data!EB:EB),0)</f>
        <v>1851519</v>
      </c>
      <c r="F70" s="22">
        <f t="shared" si="4"/>
        <v>5.19</v>
      </c>
    </row>
    <row r="71" spans="1:6" x14ac:dyDescent="0.2">
      <c r="A71" s="20">
        <v>5</v>
      </c>
      <c r="B71" s="172" t="s">
        <v>4</v>
      </c>
      <c r="C71" s="173"/>
      <c r="D71" s="15">
        <f t="shared" si="5"/>
        <v>0</v>
      </c>
      <c r="E71" s="18">
        <f>IF(F3="1",SUMIF(Data!A:A,'15'!$A$2,Data!EC:EC),0)</f>
        <v>0</v>
      </c>
      <c r="F71" s="22" t="str">
        <f t="shared" si="4"/>
        <v/>
      </c>
    </row>
    <row r="72" spans="1:6" x14ac:dyDescent="0.2">
      <c r="A72" s="20">
        <v>6</v>
      </c>
      <c r="B72" s="172" t="s">
        <v>5</v>
      </c>
      <c r="C72" s="173"/>
      <c r="D72" s="15">
        <f t="shared" si="5"/>
        <v>35463</v>
      </c>
      <c r="E72" s="18">
        <f>IF(F3="1",SUMIF(Data!A:A,'15'!$A$2,Data!ED:ED),0)</f>
        <v>210824</v>
      </c>
      <c r="F72" s="22">
        <f t="shared" si="4"/>
        <v>5.94</v>
      </c>
    </row>
    <row r="73" spans="1:6" x14ac:dyDescent="0.2">
      <c r="A73" s="20">
        <v>7</v>
      </c>
      <c r="B73" s="172" t="s">
        <v>6</v>
      </c>
      <c r="C73" s="173"/>
      <c r="D73" s="15">
        <f t="shared" si="5"/>
        <v>223218</v>
      </c>
      <c r="E73" s="18">
        <f>IF(F3="1",SUMIF(Data!A:A,'15'!$A$2,Data!EE:EE),0)</f>
        <v>983905</v>
      </c>
      <c r="F73" s="22">
        <f t="shared" si="4"/>
        <v>4.41</v>
      </c>
    </row>
    <row r="74" spans="1:6" x14ac:dyDescent="0.2">
      <c r="A74" s="20">
        <v>8</v>
      </c>
      <c r="B74" s="172" t="s">
        <v>7</v>
      </c>
      <c r="C74" s="173"/>
      <c r="D74" s="15">
        <f t="shared" si="5"/>
        <v>31312</v>
      </c>
      <c r="E74" s="18">
        <f>IF(F3="1",SUMIF(Data!A:A,'15'!$A$2,Data!EF:EF),0)</f>
        <v>79349</v>
      </c>
      <c r="F74" s="22">
        <f t="shared" si="4"/>
        <v>2.5299999999999998</v>
      </c>
    </row>
    <row r="75" spans="1:6" x14ac:dyDescent="0.2">
      <c r="A75" s="20">
        <v>9</v>
      </c>
      <c r="B75" s="172" t="s">
        <v>8</v>
      </c>
      <c r="C75" s="173"/>
      <c r="D75" s="15">
        <f t="shared" si="5"/>
        <v>221911</v>
      </c>
      <c r="E75" s="18">
        <f>IF(F3="1",SUMIF(Data!A:A,'15'!$A$2,Data!EG:EG),0)</f>
        <v>999727</v>
      </c>
      <c r="F75" s="22">
        <f t="shared" si="4"/>
        <v>4.51</v>
      </c>
    </row>
    <row r="76" spans="1:6" x14ac:dyDescent="0.2">
      <c r="A76" s="20">
        <v>10</v>
      </c>
      <c r="B76" s="172" t="s">
        <v>9</v>
      </c>
      <c r="C76" s="173"/>
      <c r="D76" s="15">
        <f t="shared" si="5"/>
        <v>1888</v>
      </c>
      <c r="E76" s="18">
        <f>IF(F3="1",SUMIF(Data!A:A,'15'!$A$2,Data!EH:EH),0)</f>
        <v>11804</v>
      </c>
      <c r="F76" s="22">
        <f t="shared" si="4"/>
        <v>6.25</v>
      </c>
    </row>
    <row r="77" spans="1:6" x14ac:dyDescent="0.2">
      <c r="A77" s="20">
        <v>11</v>
      </c>
      <c r="B77" s="172" t="s">
        <v>10</v>
      </c>
      <c r="C77" s="173"/>
      <c r="D77" s="15">
        <f t="shared" si="5"/>
        <v>144464</v>
      </c>
      <c r="E77" s="18">
        <f>IF(F3="1",SUMIF(Data!A:A,'15'!$A$2,Data!EI:EI),0)</f>
        <v>618538</v>
      </c>
      <c r="F77" s="22">
        <f t="shared" si="4"/>
        <v>4.28</v>
      </c>
    </row>
    <row r="78" spans="1:6" ht="14.25" customHeight="1" x14ac:dyDescent="0.2">
      <c r="A78" s="20">
        <v>12</v>
      </c>
      <c r="B78" s="172" t="s">
        <v>11</v>
      </c>
      <c r="C78" s="173"/>
      <c r="D78" s="15">
        <f t="shared" si="5"/>
        <v>705328</v>
      </c>
      <c r="E78" s="18">
        <f>IF(F3="1",SUMIF(Data!A:A,'15'!$A$2,Data!EJ:EJ),0)</f>
        <v>4109796</v>
      </c>
      <c r="F78" s="22">
        <f t="shared" si="4"/>
        <v>5.83</v>
      </c>
    </row>
    <row r="79" spans="1:6" x14ac:dyDescent="0.2">
      <c r="A79" s="20">
        <v>13</v>
      </c>
      <c r="B79" s="172" t="s">
        <v>12</v>
      </c>
      <c r="C79" s="173"/>
      <c r="D79" s="15">
        <f t="shared" si="5"/>
        <v>94016</v>
      </c>
      <c r="E79" s="18">
        <f>IF(F3="1",SUMIF(Data!A:A,'15'!$A$2,Data!EK:EK),0)</f>
        <v>411556</v>
      </c>
      <c r="F79" s="22">
        <f t="shared" si="4"/>
        <v>4.38</v>
      </c>
    </row>
    <row r="80" spans="1:6" ht="14.25" customHeight="1" x14ac:dyDescent="0.2">
      <c r="A80" s="20">
        <v>14</v>
      </c>
      <c r="B80" s="172" t="s">
        <v>469</v>
      </c>
      <c r="C80" s="173"/>
      <c r="D80" s="15">
        <f t="shared" si="5"/>
        <v>367200</v>
      </c>
      <c r="E80" s="18">
        <f>IF(F3="1",SUMIF(Data!A:A,'15'!$A$2,Data!EL:EL),0)</f>
        <v>3119401</v>
      </c>
      <c r="F80" s="22">
        <f t="shared" si="4"/>
        <v>8.5</v>
      </c>
    </row>
    <row r="81" spans="1:6" x14ac:dyDescent="0.2">
      <c r="A81" s="20">
        <v>15</v>
      </c>
      <c r="B81" s="172" t="s">
        <v>13</v>
      </c>
      <c r="C81" s="173"/>
      <c r="D81" s="15">
        <f t="shared" si="5"/>
        <v>32160</v>
      </c>
      <c r="E81" s="18">
        <f>IF(F3="1",SUMIF(Data!A:A,'15'!$A$2,Data!EM:EM),0)</f>
        <v>434132</v>
      </c>
      <c r="F81" s="22">
        <f t="shared" si="4"/>
        <v>13.5</v>
      </c>
    </row>
    <row r="82" spans="1:6" x14ac:dyDescent="0.2">
      <c r="A82" s="20">
        <v>16</v>
      </c>
      <c r="B82" s="172" t="s">
        <v>14</v>
      </c>
      <c r="C82" s="173"/>
      <c r="D82" s="15">
        <f t="shared" si="5"/>
        <v>417059</v>
      </c>
      <c r="E82" s="18">
        <f>IF(F3="1",SUMIF(Data!A:A,'15'!$A$2,Data!EN:EN),0)</f>
        <v>1979548</v>
      </c>
      <c r="F82" s="22">
        <f t="shared" si="4"/>
        <v>4.75</v>
      </c>
    </row>
    <row r="83" spans="1:6" x14ac:dyDescent="0.2">
      <c r="A83" s="20">
        <v>17</v>
      </c>
      <c r="B83" s="172" t="s">
        <v>15</v>
      </c>
      <c r="C83" s="173"/>
      <c r="D83" s="15">
        <f t="shared" si="5"/>
        <v>19792</v>
      </c>
      <c r="E83" s="18">
        <f>IF(F3="1",SUMIF(Data!A:A,'15'!$A$2,Data!EO:EO),0)</f>
        <v>332223</v>
      </c>
      <c r="F83" s="22">
        <f t="shared" si="4"/>
        <v>16.79</v>
      </c>
    </row>
    <row r="84" spans="1:6" x14ac:dyDescent="0.2">
      <c r="A84" s="20">
        <v>18</v>
      </c>
      <c r="B84" s="172" t="s">
        <v>16</v>
      </c>
      <c r="C84" s="173"/>
      <c r="D84" s="15">
        <f t="shared" si="5"/>
        <v>48</v>
      </c>
      <c r="E84" s="18">
        <f>IF(F3="1",SUMIF(Data!A:A,'15'!$A$2,Data!EP:EP),0)</f>
        <v>370</v>
      </c>
      <c r="F84" s="22">
        <f t="shared" si="4"/>
        <v>7.71</v>
      </c>
    </row>
    <row r="85" spans="1:6" x14ac:dyDescent="0.2">
      <c r="A85" s="20">
        <v>19</v>
      </c>
      <c r="B85" s="172" t="s">
        <v>17</v>
      </c>
      <c r="C85" s="173"/>
      <c r="D85" s="15">
        <f t="shared" si="5"/>
        <v>361440</v>
      </c>
      <c r="E85" s="18">
        <f>IF(F3="1",SUMIF(Data!A:A,'15'!$A$2,Data!EQ:EQ),0)</f>
        <v>2033177</v>
      </c>
      <c r="F85" s="22">
        <f t="shared" si="4"/>
        <v>5.63</v>
      </c>
    </row>
    <row r="86" spans="1:6" x14ac:dyDescent="0.2">
      <c r="A86" s="20">
        <v>20</v>
      </c>
      <c r="B86" s="172" t="s">
        <v>18</v>
      </c>
      <c r="C86" s="173"/>
      <c r="D86" s="15">
        <f t="shared" si="5"/>
        <v>84522</v>
      </c>
      <c r="E86" s="18">
        <f>IF(F3="1",SUMIF(Data!A:A,'15'!$A$2,Data!ER:ER),0)</f>
        <v>450097</v>
      </c>
      <c r="F86" s="22">
        <f t="shared" si="4"/>
        <v>5.33</v>
      </c>
    </row>
    <row r="87" spans="1:6" ht="14.25" customHeight="1" x14ac:dyDescent="0.2">
      <c r="A87" s="20">
        <v>21</v>
      </c>
      <c r="B87" s="172" t="s">
        <v>466</v>
      </c>
      <c r="C87" s="173"/>
      <c r="D87" s="15">
        <f t="shared" si="5"/>
        <v>112426</v>
      </c>
      <c r="E87" s="18">
        <f>IF(F3="1",SUMIF(Data!A:A,'15'!$A$2,Data!ES:ES),0)</f>
        <v>365839</v>
      </c>
      <c r="F87" s="22">
        <f t="shared" si="4"/>
        <v>3.25</v>
      </c>
    </row>
    <row r="88" spans="1:6" x14ac:dyDescent="0.2">
      <c r="A88" s="20">
        <v>22</v>
      </c>
      <c r="B88" s="172" t="s">
        <v>19</v>
      </c>
      <c r="C88" s="173"/>
      <c r="D88" s="15">
        <f t="shared" si="5"/>
        <v>24965</v>
      </c>
      <c r="E88" s="18">
        <f>IF(F3="1",SUMIF(Data!A:A,'15'!$A$2,Data!ET:ET),0)</f>
        <v>190348</v>
      </c>
      <c r="F88" s="22">
        <f t="shared" si="4"/>
        <v>7.62</v>
      </c>
    </row>
    <row r="89" spans="1:6" x14ac:dyDescent="0.2">
      <c r="A89" s="20">
        <v>23</v>
      </c>
      <c r="B89" s="172" t="s">
        <v>20</v>
      </c>
      <c r="C89" s="173"/>
      <c r="D89" s="15">
        <f t="shared" si="5"/>
        <v>122208</v>
      </c>
      <c r="E89" s="18">
        <f>IF(F3="1",SUMIF(Data!A:A,'15'!$A$2,Data!EU:EU),0)</f>
        <v>509001</v>
      </c>
      <c r="F89" s="22">
        <f t="shared" si="4"/>
        <v>4.17</v>
      </c>
    </row>
    <row r="90" spans="1:6" x14ac:dyDescent="0.2">
      <c r="A90" s="20">
        <v>24</v>
      </c>
      <c r="B90" s="172" t="s">
        <v>21</v>
      </c>
      <c r="C90" s="173"/>
      <c r="D90" s="15">
        <f t="shared" si="5"/>
        <v>164072</v>
      </c>
      <c r="E90" s="18">
        <f>IF(F3="1",SUMIF(Data!A:A,'15'!$A$2,Data!EV:EV),0)</f>
        <v>663751</v>
      </c>
      <c r="F90" s="22">
        <f t="shared" si="4"/>
        <v>4.05</v>
      </c>
    </row>
    <row r="91" spans="1:6" x14ac:dyDescent="0.2">
      <c r="A91" s="20">
        <v>25</v>
      </c>
      <c r="B91" s="172" t="s">
        <v>22</v>
      </c>
      <c r="C91" s="173"/>
      <c r="D91" s="15">
        <f t="shared" si="5"/>
        <v>570144</v>
      </c>
      <c r="E91" s="18">
        <f>IF(F3="1",SUMIF(Data!A:A,'15'!$A$2,Data!EW:EW),0)</f>
        <v>2298831</v>
      </c>
      <c r="F91" s="22">
        <f t="shared" si="4"/>
        <v>4.03</v>
      </c>
    </row>
    <row r="92" spans="1:6" x14ac:dyDescent="0.2">
      <c r="A92" s="20">
        <v>26</v>
      </c>
      <c r="B92" s="172" t="s">
        <v>23</v>
      </c>
      <c r="C92" s="173"/>
      <c r="D92" s="15">
        <f t="shared" si="5"/>
        <v>262430</v>
      </c>
      <c r="E92" s="18">
        <f>IF(F3="1",SUMIF(Data!A:A,'15'!$A$2,Data!EX:EX),0)</f>
        <v>1946303</v>
      </c>
      <c r="F92" s="22">
        <f t="shared" si="4"/>
        <v>7.42</v>
      </c>
    </row>
    <row r="93" spans="1:6" x14ac:dyDescent="0.2">
      <c r="A93" s="20">
        <v>28</v>
      </c>
      <c r="B93" s="172" t="s">
        <v>24</v>
      </c>
      <c r="C93" s="173"/>
      <c r="D93" s="15">
        <f t="shared" si="5"/>
        <v>0</v>
      </c>
      <c r="E93" s="18">
        <f>IF(F3="1",SUMIF(Data!A:A,'15'!$A$2,Data!EZ:EZ),0)</f>
        <v>0</v>
      </c>
      <c r="F93" s="22" t="str">
        <f t="shared" si="4"/>
        <v/>
      </c>
    </row>
    <row r="94" spans="1:6" ht="15.75" customHeight="1" thickBot="1" x14ac:dyDescent="0.25">
      <c r="A94" s="23">
        <v>29</v>
      </c>
      <c r="B94" s="174" t="s">
        <v>25</v>
      </c>
      <c r="C94" s="175"/>
      <c r="D94" s="24">
        <f t="shared" si="5"/>
        <v>0</v>
      </c>
      <c r="E94" s="25">
        <f>IF(F3="1",SUMIF(Data!A:A,'15'!$A$2,Data!FA:FA),0)</f>
        <v>0</v>
      </c>
      <c r="F94" s="26" t="str">
        <f t="shared" si="4"/>
        <v/>
      </c>
    </row>
    <row r="95" spans="1:6" x14ac:dyDescent="0.2">
      <c r="B95" s="31" t="s">
        <v>35</v>
      </c>
      <c r="C95" s="31"/>
      <c r="D95" s="61">
        <f>SUM(D67:D94)</f>
        <v>4948612</v>
      </c>
      <c r="E95" s="32">
        <f>SUM(E67:E94)</f>
        <v>25864769</v>
      </c>
      <c r="F95" s="33">
        <f t="shared" si="4"/>
        <v>5.23</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IF(F3="1",SUMIF(Data!A:A,'15'!$A$2,Data!AH:AH),0)</f>
        <v>12501452</v>
      </c>
      <c r="F98" s="21">
        <f>IF($D$105=0,"",ROUND(E98/$D$105,2))</f>
        <v>2.5299999999999998</v>
      </c>
    </row>
    <row r="99" spans="2:6" x14ac:dyDescent="0.2">
      <c r="B99" s="178" t="s">
        <v>31</v>
      </c>
      <c r="C99" s="179"/>
      <c r="D99" s="37"/>
      <c r="E99" s="18">
        <f>IF(F3="1",SUMIF(Data!A:A,'15'!$A$2,Data!AI:AI),0)</f>
        <v>5957370</v>
      </c>
      <c r="F99" s="22">
        <f t="shared" ref="F99:F105" si="6">IF($D$105=0,"",ROUND(E99/$D$105,2))</f>
        <v>1.2</v>
      </c>
    </row>
    <row r="100" spans="2:6" x14ac:dyDescent="0.2">
      <c r="B100" s="178" t="s">
        <v>32</v>
      </c>
      <c r="C100" s="179"/>
      <c r="D100" s="37"/>
      <c r="E100" s="18">
        <f>IF(F3="1",SUMIF(Data!A:A,'15'!$A$2,Data!AJ:AJ),0)</f>
        <v>4980034</v>
      </c>
      <c r="F100" s="22">
        <f t="shared" si="6"/>
        <v>1.01</v>
      </c>
    </row>
    <row r="101" spans="2:6" x14ac:dyDescent="0.2">
      <c r="B101" s="178" t="s">
        <v>28</v>
      </c>
      <c r="C101" s="179"/>
      <c r="D101" s="37"/>
      <c r="E101" s="18">
        <f>IF(F3="1",SUMIF(Data!A:A,'15'!$A$2,Data!AK:AK),0)</f>
        <v>0</v>
      </c>
      <c r="F101" s="22">
        <f t="shared" si="6"/>
        <v>0</v>
      </c>
    </row>
    <row r="102" spans="2:6" x14ac:dyDescent="0.2">
      <c r="B102" s="178" t="s">
        <v>33</v>
      </c>
      <c r="C102" s="179"/>
      <c r="D102" s="37"/>
      <c r="E102" s="18">
        <f>IF(F3="1",SUMIF(Data!A:A,'15'!$A$2,Data!AL:AL),0)</f>
        <v>0</v>
      </c>
      <c r="F102" s="22">
        <f t="shared" si="6"/>
        <v>0</v>
      </c>
    </row>
    <row r="103" spans="2:6" x14ac:dyDescent="0.2">
      <c r="B103" s="180" t="s">
        <v>34</v>
      </c>
      <c r="C103" s="181"/>
      <c r="D103" s="37"/>
      <c r="E103" s="18">
        <f>IF(F3="1",SUMIF(Data!A:A,'15'!$A$2,Data!AM:AM),0)</f>
        <v>0</v>
      </c>
      <c r="F103" s="22">
        <f t="shared" si="6"/>
        <v>0</v>
      </c>
    </row>
    <row r="104" spans="2:6" ht="15.75" customHeight="1" thickBot="1" x14ac:dyDescent="0.25">
      <c r="B104" s="170" t="s">
        <v>29</v>
      </c>
      <c r="C104" s="171"/>
      <c r="D104" s="38"/>
      <c r="E104" s="25">
        <f>IF(F3="1",SUMIF(Data!A:A,'15'!$A$2,Data!Q:Q),0)</f>
        <v>2104119</v>
      </c>
      <c r="F104" s="26">
        <f t="shared" si="6"/>
        <v>0.43</v>
      </c>
    </row>
    <row r="105" spans="2:6" x14ac:dyDescent="0.2">
      <c r="B105" s="31" t="s">
        <v>35</v>
      </c>
      <c r="C105" s="31"/>
      <c r="D105" s="35">
        <f>D95</f>
        <v>4948612</v>
      </c>
      <c r="E105" s="32">
        <f>SUM(E98:E104)</f>
        <v>25542975</v>
      </c>
      <c r="F105" s="33">
        <f t="shared" si="6"/>
        <v>5.16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27050689</v>
      </c>
      <c r="D109" s="16">
        <f>IF(F3="1",SUMIF(Data!$A:$A,$A$2,Data!HJ:HJ),0)</f>
        <v>3303042</v>
      </c>
      <c r="E109" s="16">
        <f>IF(F3="1",SUMIF(Data!$A:$A,$A$2,Data!IN:IN),0)</f>
        <v>1697672</v>
      </c>
      <c r="F109" s="48">
        <f>SUM(C109:E109)</f>
        <v>32051403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249626</v>
      </c>
      <c r="D111" s="52"/>
      <c r="E111" s="51">
        <f>IF(F3="1",SUMIF(Data!A:A,$A$2,Data!AX:AX),0)</f>
        <v>50720</v>
      </c>
      <c r="F111" s="49">
        <f t="shared" si="7"/>
        <v>300346</v>
      </c>
    </row>
    <row r="112" spans="2:6" x14ac:dyDescent="0.2">
      <c r="B112" s="43" t="s">
        <v>32</v>
      </c>
      <c r="C112" s="51">
        <f>IF(F3="1",SUMIF(Data!A:A,$A$2,Data!V:V),0)</f>
        <v>4129747</v>
      </c>
      <c r="D112" s="52"/>
      <c r="E112" s="51">
        <f>IF(F3="1",SUMIF(Data!A:A,$A$2,Data!AC:AC),0)</f>
        <v>850287</v>
      </c>
      <c r="F112" s="49">
        <f t="shared" si="7"/>
        <v>4980034</v>
      </c>
    </row>
    <row r="113" spans="1:6" x14ac:dyDescent="0.2">
      <c r="B113" s="43" t="s">
        <v>31</v>
      </c>
      <c r="C113" s="51">
        <f>IF(F3="1",SUMIF(Data!A:A,$A$2,Data!U:U),0)</f>
        <v>4682673</v>
      </c>
      <c r="D113" s="52"/>
      <c r="E113" s="51">
        <f>IF(F3="1",SUMIF(Data!A:A,$A$2,Data!AB:AB),0)</f>
        <v>1274697</v>
      </c>
      <c r="F113" s="49">
        <f t="shared" si="7"/>
        <v>5957370</v>
      </c>
    </row>
    <row r="114" spans="1:6" x14ac:dyDescent="0.2">
      <c r="B114" s="43" t="s">
        <v>1021</v>
      </c>
      <c r="C114" s="51">
        <f>IF(F3="1",SUMIF(Data!A:A,$A$2,Data!T:T),0)</f>
        <v>7344438</v>
      </c>
      <c r="D114" s="52"/>
      <c r="E114" s="51">
        <f>IF(F3="1",SUMIF(Data!A:A,$A$2,Data!AA:AA),0)</f>
        <v>5157014</v>
      </c>
      <c r="F114" s="49">
        <f t="shared" si="7"/>
        <v>12501452</v>
      </c>
    </row>
    <row r="115" spans="1:6" x14ac:dyDescent="0.2">
      <c r="B115" s="43" t="s">
        <v>937</v>
      </c>
      <c r="C115" s="51">
        <f>IF(F3="1",SUMIF(Data!A:A,$A$2,Data!BI:BI),0)</f>
        <v>2914731</v>
      </c>
      <c r="D115" s="51">
        <f>IF(F3="1",SUMIF(Data!A:A,$A$2,Data!BL:BL),0)</f>
        <v>425945</v>
      </c>
      <c r="E115" s="51">
        <f>IF(F3="1",SUMIF(Data!A:A,$A$2,Data!BU:BU),0)</f>
        <v>10142323</v>
      </c>
      <c r="F115" s="49">
        <f t="shared" si="7"/>
        <v>13482999</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2104119</v>
      </c>
      <c r="E117" s="53"/>
      <c r="F117" s="50">
        <f>SUM(C117:E117)</f>
        <v>2104119</v>
      </c>
    </row>
    <row r="118" spans="1:6" x14ac:dyDescent="0.2">
      <c r="B118" s="14" t="s">
        <v>35</v>
      </c>
      <c r="C118" s="5">
        <f>SUM(C109:C116)</f>
        <v>46371904</v>
      </c>
      <c r="D118" s="5">
        <f>SUM(D109:D116)</f>
        <v>3728987</v>
      </c>
      <c r="E118" s="5">
        <f>SUM(E109:E116)</f>
        <v>19172713</v>
      </c>
      <c r="F118" s="5">
        <f>SUM(F109:F116)</f>
        <v>69273604</v>
      </c>
    </row>
    <row r="119" spans="1:6" ht="15" thickBot="1" x14ac:dyDescent="0.25"/>
    <row r="120" spans="1:6" ht="15" thickBot="1" x14ac:dyDescent="0.25">
      <c r="B120" s="57" t="s">
        <v>942</v>
      </c>
      <c r="C120" s="55"/>
      <c r="D120" s="55"/>
      <c r="E120" s="55">
        <f>IF(F3="1",SUMIF(Data!A:A,'15'!$A$2,Data!AM:AM),0)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42578125" style="11" bestFit="1" customWidth="1"/>
    <col min="12" max="12" width="13.5703125" style="11" bestFit="1" customWidth="1"/>
    <col min="13" max="13" width="12.1406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440</v>
      </c>
      <c r="B2" s="60" t="str">
        <f>VLOOKUP(A2,Data!A:G,7,0)</f>
        <v>El Paso Community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3168</v>
      </c>
      <c r="E5" s="16">
        <f>E36+E67+IFERROR($E$105/$D$105*D5,0)</f>
        <v>27328.792760821285</v>
      </c>
      <c r="F5" s="21">
        <f>IF(OR(D5=0,E5=0),"",ROUND(E5/D5,2))</f>
        <v>8.6300000000000008</v>
      </c>
    </row>
    <row r="6" spans="1:6" x14ac:dyDescent="0.2">
      <c r="A6" s="20">
        <v>2</v>
      </c>
      <c r="B6" s="172" t="s">
        <v>1</v>
      </c>
      <c r="C6" s="173"/>
      <c r="D6" s="15">
        <f t="shared" ref="D6:D32" si="0">D37</f>
        <v>62304</v>
      </c>
      <c r="E6" s="18">
        <f t="shared" ref="E6:E32" si="1">E37+E68+IFERROR($E$105/$D$105*D6,0)</f>
        <v>1148217.2576294853</v>
      </c>
      <c r="F6" s="22">
        <f t="shared" ref="F6:F33" si="2">IF(OR(D6=0,E6=0),"",ROUND(E6/D6,2))</f>
        <v>18.43</v>
      </c>
    </row>
    <row r="7" spans="1:6" ht="14.25" customHeight="1" x14ac:dyDescent="0.2">
      <c r="A7" s="20">
        <v>3</v>
      </c>
      <c r="B7" s="172" t="s">
        <v>2</v>
      </c>
      <c r="C7" s="173"/>
      <c r="D7" s="15">
        <f t="shared" si="0"/>
        <v>1222368</v>
      </c>
      <c r="E7" s="18">
        <f t="shared" si="1"/>
        <v>8972404.2795011345</v>
      </c>
      <c r="F7" s="22">
        <f t="shared" si="2"/>
        <v>7.34</v>
      </c>
    </row>
    <row r="8" spans="1:6" ht="14.25" customHeight="1" x14ac:dyDescent="0.2">
      <c r="A8" s="20">
        <v>4</v>
      </c>
      <c r="B8" s="172" t="s">
        <v>3</v>
      </c>
      <c r="C8" s="173"/>
      <c r="D8" s="15">
        <f t="shared" si="0"/>
        <v>430419</v>
      </c>
      <c r="E8" s="18">
        <f t="shared" si="1"/>
        <v>3743285.5414520008</v>
      </c>
      <c r="F8" s="22">
        <f t="shared" si="2"/>
        <v>8.6999999999999993</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159270</v>
      </c>
      <c r="E10" s="18">
        <f t="shared" si="1"/>
        <v>1276141.7042348506</v>
      </c>
      <c r="F10" s="22">
        <f t="shared" si="2"/>
        <v>8.01</v>
      </c>
    </row>
    <row r="11" spans="1:6" x14ac:dyDescent="0.2">
      <c r="A11" s="20">
        <v>7</v>
      </c>
      <c r="B11" s="172" t="s">
        <v>6</v>
      </c>
      <c r="C11" s="173"/>
      <c r="D11" s="15">
        <f t="shared" si="0"/>
        <v>282728</v>
      </c>
      <c r="E11" s="18">
        <f t="shared" si="1"/>
        <v>3038350.396364104</v>
      </c>
      <c r="F11" s="22">
        <f t="shared" si="2"/>
        <v>10.75</v>
      </c>
    </row>
    <row r="12" spans="1:6" x14ac:dyDescent="0.2">
      <c r="A12" s="20">
        <v>8</v>
      </c>
      <c r="B12" s="172" t="s">
        <v>7</v>
      </c>
      <c r="C12" s="173"/>
      <c r="D12" s="15">
        <f t="shared" si="0"/>
        <v>42390</v>
      </c>
      <c r="E12" s="18">
        <f t="shared" si="1"/>
        <v>235332.88040758029</v>
      </c>
      <c r="F12" s="22">
        <f t="shared" si="2"/>
        <v>5.55</v>
      </c>
    </row>
    <row r="13" spans="1:6" x14ac:dyDescent="0.2">
      <c r="A13" s="20">
        <v>9</v>
      </c>
      <c r="B13" s="172" t="s">
        <v>8</v>
      </c>
      <c r="C13" s="173"/>
      <c r="D13" s="15">
        <f t="shared" si="0"/>
        <v>364733</v>
      </c>
      <c r="E13" s="18">
        <f t="shared" si="1"/>
        <v>2160273.0839749463</v>
      </c>
      <c r="F13" s="22">
        <f t="shared" si="2"/>
        <v>5.92</v>
      </c>
    </row>
    <row r="14" spans="1:6" x14ac:dyDescent="0.2">
      <c r="A14" s="20">
        <v>10</v>
      </c>
      <c r="B14" s="172" t="s">
        <v>9</v>
      </c>
      <c r="C14" s="173"/>
      <c r="D14" s="15">
        <f t="shared" si="0"/>
        <v>24160</v>
      </c>
      <c r="E14" s="18">
        <f t="shared" si="1"/>
        <v>185361.88418606133</v>
      </c>
      <c r="F14" s="22">
        <f t="shared" si="2"/>
        <v>7.67</v>
      </c>
    </row>
    <row r="15" spans="1:6" x14ac:dyDescent="0.2">
      <c r="A15" s="20">
        <v>11</v>
      </c>
      <c r="B15" s="172" t="s">
        <v>10</v>
      </c>
      <c r="C15" s="173"/>
      <c r="D15" s="15">
        <f t="shared" si="0"/>
        <v>170036</v>
      </c>
      <c r="E15" s="18">
        <f t="shared" si="1"/>
        <v>932113.40842140419</v>
      </c>
      <c r="F15" s="22">
        <f t="shared" si="2"/>
        <v>5.48</v>
      </c>
    </row>
    <row r="16" spans="1:6" ht="14.25" customHeight="1" x14ac:dyDescent="0.2">
      <c r="A16" s="20">
        <v>12</v>
      </c>
      <c r="B16" s="172" t="s">
        <v>11</v>
      </c>
      <c r="C16" s="173"/>
      <c r="D16" s="15">
        <f t="shared" si="0"/>
        <v>2139634</v>
      </c>
      <c r="E16" s="18">
        <f t="shared" si="1"/>
        <v>20896128.563764866</v>
      </c>
      <c r="F16" s="22">
        <f t="shared" si="2"/>
        <v>9.77</v>
      </c>
    </row>
    <row r="17" spans="1:6" x14ac:dyDescent="0.2">
      <c r="A17" s="20">
        <v>13</v>
      </c>
      <c r="B17" s="172" t="s">
        <v>12</v>
      </c>
      <c r="C17" s="173"/>
      <c r="D17" s="15">
        <f t="shared" si="0"/>
        <v>155712</v>
      </c>
      <c r="E17" s="18">
        <f t="shared" si="1"/>
        <v>1033148.5714561251</v>
      </c>
      <c r="F17" s="22">
        <f t="shared" si="2"/>
        <v>6.63</v>
      </c>
    </row>
    <row r="18" spans="1:6" ht="14.25" customHeight="1" x14ac:dyDescent="0.2">
      <c r="A18" s="20">
        <v>14</v>
      </c>
      <c r="B18" s="172" t="s">
        <v>469</v>
      </c>
      <c r="C18" s="173"/>
      <c r="D18" s="15">
        <f t="shared" si="0"/>
        <v>241042</v>
      </c>
      <c r="E18" s="18">
        <f t="shared" si="1"/>
        <v>3474013.2476811502</v>
      </c>
      <c r="F18" s="22">
        <f t="shared" si="2"/>
        <v>14.41</v>
      </c>
    </row>
    <row r="19" spans="1:6" x14ac:dyDescent="0.2">
      <c r="A19" s="20">
        <v>15</v>
      </c>
      <c r="B19" s="172" t="s">
        <v>13</v>
      </c>
      <c r="C19" s="173"/>
      <c r="D19" s="15">
        <f t="shared" si="0"/>
        <v>28168</v>
      </c>
      <c r="E19" s="18">
        <f t="shared" si="1"/>
        <v>427738.94775467616</v>
      </c>
      <c r="F19" s="22">
        <f t="shared" si="2"/>
        <v>15.19</v>
      </c>
    </row>
    <row r="20" spans="1:6" x14ac:dyDescent="0.2">
      <c r="A20" s="20">
        <v>16</v>
      </c>
      <c r="B20" s="172" t="s">
        <v>14</v>
      </c>
      <c r="C20" s="173"/>
      <c r="D20" s="15">
        <f t="shared" si="0"/>
        <v>314313</v>
      </c>
      <c r="E20" s="18">
        <f t="shared" si="1"/>
        <v>4035281.6385833398</v>
      </c>
      <c r="F20" s="22">
        <f t="shared" si="2"/>
        <v>12.84</v>
      </c>
    </row>
    <row r="21" spans="1:6" x14ac:dyDescent="0.2">
      <c r="A21" s="20">
        <v>17</v>
      </c>
      <c r="B21" s="172" t="s">
        <v>15</v>
      </c>
      <c r="C21" s="173"/>
      <c r="D21" s="15">
        <f t="shared" si="0"/>
        <v>27056</v>
      </c>
      <c r="E21" s="18">
        <f t="shared" si="1"/>
        <v>434881.59878054948</v>
      </c>
      <c r="F21" s="22">
        <f t="shared" si="2"/>
        <v>16.07</v>
      </c>
    </row>
    <row r="22" spans="1:6" x14ac:dyDescent="0.2">
      <c r="A22" s="20">
        <v>18</v>
      </c>
      <c r="B22" s="172" t="s">
        <v>16</v>
      </c>
      <c r="C22" s="173"/>
      <c r="D22" s="15">
        <f t="shared" si="0"/>
        <v>50768</v>
      </c>
      <c r="E22" s="18">
        <f t="shared" si="1"/>
        <v>355182.47186912096</v>
      </c>
      <c r="F22" s="22">
        <f t="shared" si="2"/>
        <v>7</v>
      </c>
    </row>
    <row r="23" spans="1:6" x14ac:dyDescent="0.2">
      <c r="A23" s="20">
        <v>19</v>
      </c>
      <c r="B23" s="172" t="s">
        <v>17</v>
      </c>
      <c r="C23" s="173"/>
      <c r="D23" s="15">
        <f t="shared" si="0"/>
        <v>1211488</v>
      </c>
      <c r="E23" s="18">
        <f t="shared" si="1"/>
        <v>8573646.1528478097</v>
      </c>
      <c r="F23" s="22">
        <f t="shared" si="2"/>
        <v>7.08</v>
      </c>
    </row>
    <row r="24" spans="1:6" x14ac:dyDescent="0.2">
      <c r="A24" s="20">
        <v>20</v>
      </c>
      <c r="B24" s="172" t="s">
        <v>18</v>
      </c>
      <c r="C24" s="173"/>
      <c r="D24" s="15">
        <f t="shared" si="0"/>
        <v>96226</v>
      </c>
      <c r="E24" s="18">
        <f t="shared" si="1"/>
        <v>933098.1604175471</v>
      </c>
      <c r="F24" s="22">
        <f t="shared" si="2"/>
        <v>9.6999999999999993</v>
      </c>
    </row>
    <row r="25" spans="1:6" ht="14.25" customHeight="1" x14ac:dyDescent="0.2">
      <c r="A25" s="20">
        <v>21</v>
      </c>
      <c r="B25" s="172" t="s">
        <v>466</v>
      </c>
      <c r="C25" s="173"/>
      <c r="D25" s="15">
        <f t="shared" si="0"/>
        <v>31548</v>
      </c>
      <c r="E25" s="18">
        <f t="shared" si="1"/>
        <v>487058.2279098453</v>
      </c>
      <c r="F25" s="22">
        <f t="shared" si="2"/>
        <v>15.44</v>
      </c>
    </row>
    <row r="26" spans="1:6" x14ac:dyDescent="0.2">
      <c r="A26" s="20">
        <v>22</v>
      </c>
      <c r="B26" s="172" t="s">
        <v>19</v>
      </c>
      <c r="C26" s="173"/>
      <c r="D26" s="15">
        <f t="shared" si="0"/>
        <v>8998</v>
      </c>
      <c r="E26" s="18">
        <f t="shared" si="1"/>
        <v>40129.696105388241</v>
      </c>
      <c r="F26" s="22">
        <f t="shared" si="2"/>
        <v>4.46</v>
      </c>
    </row>
    <row r="27" spans="1:6" x14ac:dyDescent="0.2">
      <c r="A27" s="20">
        <v>23</v>
      </c>
      <c r="B27" s="172" t="s">
        <v>20</v>
      </c>
      <c r="C27" s="173"/>
      <c r="D27" s="15">
        <f t="shared" si="0"/>
        <v>27792</v>
      </c>
      <c r="E27" s="18">
        <f t="shared" si="1"/>
        <v>650166.04558356851</v>
      </c>
      <c r="F27" s="22">
        <f t="shared" si="2"/>
        <v>23.39</v>
      </c>
    </row>
    <row r="28" spans="1:6" x14ac:dyDescent="0.2">
      <c r="A28" s="20">
        <v>24</v>
      </c>
      <c r="B28" s="172" t="s">
        <v>21</v>
      </c>
      <c r="C28" s="173"/>
      <c r="D28" s="15">
        <f t="shared" si="0"/>
        <v>297910</v>
      </c>
      <c r="E28" s="18">
        <f t="shared" si="1"/>
        <v>2698678.781368772</v>
      </c>
      <c r="F28" s="22">
        <f t="shared" si="2"/>
        <v>9.06</v>
      </c>
    </row>
    <row r="29" spans="1:6" x14ac:dyDescent="0.2">
      <c r="A29" s="20">
        <v>25</v>
      </c>
      <c r="B29" s="172" t="s">
        <v>22</v>
      </c>
      <c r="C29" s="173"/>
      <c r="D29" s="15">
        <f t="shared" si="0"/>
        <v>1884528</v>
      </c>
      <c r="E29" s="18">
        <f t="shared" si="1"/>
        <v>12603961.039130373</v>
      </c>
      <c r="F29" s="22">
        <f t="shared" si="2"/>
        <v>6.69</v>
      </c>
    </row>
    <row r="30" spans="1:6" x14ac:dyDescent="0.2">
      <c r="A30" s="20">
        <v>26</v>
      </c>
      <c r="B30" s="172" t="s">
        <v>23</v>
      </c>
      <c r="C30" s="173"/>
      <c r="D30" s="15">
        <f t="shared" si="0"/>
        <v>351184</v>
      </c>
      <c r="E30" s="18">
        <f t="shared" si="1"/>
        <v>2723666.6278144773</v>
      </c>
      <c r="F30" s="22">
        <f t="shared" si="2"/>
        <v>7.76</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9627943</v>
      </c>
      <c r="E33" s="32">
        <f>SUM(E5:E32)</f>
        <v>81085588.999999985</v>
      </c>
      <c r="F33" s="33">
        <f t="shared" si="2"/>
        <v>8.42</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IF(F3="1",SUMIF(Data!A:A,'16'!$A$2,Data!CU:CU),0)</f>
        <v>3168</v>
      </c>
      <c r="E36" s="16">
        <f>IF(F3="1",SUMIF(Data!$A:$A,'16'!$A$2,Data!IO:IO),0)</f>
        <v>6496</v>
      </c>
      <c r="F36" s="21">
        <f>IF(D36=0,"",ROUND(E36/D36,2))</f>
        <v>2.0499999999999998</v>
      </c>
    </row>
    <row r="37" spans="1:6" x14ac:dyDescent="0.2">
      <c r="A37" s="20">
        <v>2</v>
      </c>
      <c r="B37" s="172" t="s">
        <v>1</v>
      </c>
      <c r="C37" s="173"/>
      <c r="D37" s="15">
        <f>IF(F3="1",SUMIF(Data!A:A,'16'!$A$2,Data!CV:CV),0)</f>
        <v>62304</v>
      </c>
      <c r="E37" s="18">
        <f>IF(F3="1",SUMIF(Data!$A:$A,'16'!$A$2,Data!IP:IP),0)</f>
        <v>274458</v>
      </c>
      <c r="F37" s="22">
        <f t="shared" ref="F37:F64" si="3">IF(D37=0,"",ROUND(E37/D37,2))</f>
        <v>4.41</v>
      </c>
    </row>
    <row r="38" spans="1:6" ht="14.25" customHeight="1" x14ac:dyDescent="0.2">
      <c r="A38" s="20">
        <v>3</v>
      </c>
      <c r="B38" s="172" t="s">
        <v>2</v>
      </c>
      <c r="C38" s="173"/>
      <c r="D38" s="15">
        <f>IF(F3="1",SUMIF(Data!A:A,'16'!$A$2,Data!CW:CW),0)</f>
        <v>1222368</v>
      </c>
      <c r="E38" s="18">
        <f>IF(F3="1",SUMIF(Data!$A:$A,'16'!$A$2,Data!IQ:IQ),0)</f>
        <v>638221</v>
      </c>
      <c r="F38" s="22">
        <f t="shared" si="3"/>
        <v>0.52</v>
      </c>
    </row>
    <row r="39" spans="1:6" ht="14.25" customHeight="1" x14ac:dyDescent="0.2">
      <c r="A39" s="20">
        <v>4</v>
      </c>
      <c r="B39" s="172" t="s">
        <v>3</v>
      </c>
      <c r="C39" s="173"/>
      <c r="D39" s="15">
        <f>IF(F3="1",SUMIF(Data!A:A,'16'!$A$2,Data!CX:CX),0)</f>
        <v>430419</v>
      </c>
      <c r="E39" s="18">
        <f>IF(F3="1",SUMIF(Data!$A:$A,'16'!$A$2,Data!IR:IR),0)</f>
        <v>793834</v>
      </c>
      <c r="F39" s="22">
        <f t="shared" si="3"/>
        <v>1.84</v>
      </c>
    </row>
    <row r="40" spans="1:6" x14ac:dyDescent="0.2">
      <c r="A40" s="20">
        <v>5</v>
      </c>
      <c r="B40" s="172" t="s">
        <v>4</v>
      </c>
      <c r="C40" s="173"/>
      <c r="D40" s="15">
        <f>IF(F3="1",SUMIF(Data!A:A,'16'!$A$2,Data!CY:CY),0)</f>
        <v>0</v>
      </c>
      <c r="E40" s="18">
        <f>IF(F3="1",SUMIF(Data!$A:$A,'16'!$A$2,Data!IS:IS),0)</f>
        <v>0</v>
      </c>
      <c r="F40" s="22" t="str">
        <f t="shared" si="3"/>
        <v/>
      </c>
    </row>
    <row r="41" spans="1:6" x14ac:dyDescent="0.2">
      <c r="A41" s="20">
        <v>6</v>
      </c>
      <c r="B41" s="172" t="s">
        <v>5</v>
      </c>
      <c r="C41" s="173"/>
      <c r="D41" s="15">
        <f>IF(F3="1",SUMIF(Data!A:A,'16'!$A$2,Data!CZ:CZ),0)</f>
        <v>159270</v>
      </c>
      <c r="E41" s="18">
        <f>IF(F3="1",SUMIF(Data!$A:$A,'16'!$A$2,Data!IT:IT),0)</f>
        <v>201127</v>
      </c>
      <c r="F41" s="22">
        <f t="shared" si="3"/>
        <v>1.26</v>
      </c>
    </row>
    <row r="42" spans="1:6" x14ac:dyDescent="0.2">
      <c r="A42" s="20">
        <v>7</v>
      </c>
      <c r="B42" s="172" t="s">
        <v>6</v>
      </c>
      <c r="C42" s="173"/>
      <c r="D42" s="15">
        <f>IF(F3="1",SUMIF(Data!A:A,'16'!$A$2,Data!DA:DA),0)</f>
        <v>282728</v>
      </c>
      <c r="E42" s="18">
        <f>IF(F3="1",SUMIF(Data!$A:$A,'16'!$A$2,Data!IU:IU),0)</f>
        <v>396173</v>
      </c>
      <c r="F42" s="22">
        <f t="shared" si="3"/>
        <v>1.4</v>
      </c>
    </row>
    <row r="43" spans="1:6" x14ac:dyDescent="0.2">
      <c r="A43" s="20">
        <v>8</v>
      </c>
      <c r="B43" s="172" t="s">
        <v>7</v>
      </c>
      <c r="C43" s="173"/>
      <c r="D43" s="15">
        <f>IF(F3="1",SUMIF(Data!A:A,'16'!$A$2,Data!DB:DB),0)</f>
        <v>42390</v>
      </c>
      <c r="E43" s="18">
        <f>IF(F3="1",SUMIF(Data!$A:$A,'16'!$A$2,Data!IV:IV),0)</f>
        <v>14581</v>
      </c>
      <c r="F43" s="22">
        <f t="shared" si="3"/>
        <v>0.34</v>
      </c>
    </row>
    <row r="44" spans="1:6" x14ac:dyDescent="0.2">
      <c r="A44" s="20">
        <v>9</v>
      </c>
      <c r="B44" s="172" t="s">
        <v>8</v>
      </c>
      <c r="C44" s="173"/>
      <c r="D44" s="15">
        <f>IF(F3="1",SUMIF(Data!A:A,'16'!$A$2,Data!DC:DC),0)</f>
        <v>364733</v>
      </c>
      <c r="E44" s="18">
        <f>IF(F3="1",SUMIF(Data!$A:$A,'16'!$A$2,Data!IW:IW),0)</f>
        <v>158530</v>
      </c>
      <c r="F44" s="22">
        <f t="shared" si="3"/>
        <v>0.43</v>
      </c>
    </row>
    <row r="45" spans="1:6" x14ac:dyDescent="0.2">
      <c r="A45" s="20">
        <v>10</v>
      </c>
      <c r="B45" s="172" t="s">
        <v>9</v>
      </c>
      <c r="C45" s="173"/>
      <c r="D45" s="15">
        <f>IF(F3="1",SUMIF(Data!A:A,'16'!$A$2,Data!DD:DD),0)</f>
        <v>24160</v>
      </c>
      <c r="E45" s="18">
        <f>IF(F3="1",SUMIF(Data!$A:$A,'16'!$A$2,Data!IX:IX),0)</f>
        <v>5853</v>
      </c>
      <c r="F45" s="22">
        <f t="shared" si="3"/>
        <v>0.24</v>
      </c>
    </row>
    <row r="46" spans="1:6" x14ac:dyDescent="0.2">
      <c r="A46" s="20">
        <v>11</v>
      </c>
      <c r="B46" s="172" t="s">
        <v>10</v>
      </c>
      <c r="C46" s="173"/>
      <c r="D46" s="15">
        <f>IF(F3="1",SUMIF(Data!A:A,'16'!$A$2,Data!DE:DE),0)</f>
        <v>170036</v>
      </c>
      <c r="E46" s="18">
        <f>IF(F3="1",SUMIF(Data!$A:$A,'16'!$A$2,Data!IY:IY),0)</f>
        <v>60610</v>
      </c>
      <c r="F46" s="22">
        <f t="shared" si="3"/>
        <v>0.36</v>
      </c>
    </row>
    <row r="47" spans="1:6" ht="14.25" customHeight="1" x14ac:dyDescent="0.2">
      <c r="A47" s="20">
        <v>12</v>
      </c>
      <c r="B47" s="172" t="s">
        <v>11</v>
      </c>
      <c r="C47" s="173"/>
      <c r="D47" s="15">
        <f>IF(F3="1",SUMIF(Data!A:A,'16'!$A$2,Data!DF:DF),0)</f>
        <v>2139634</v>
      </c>
      <c r="E47" s="18">
        <f>IF(F3="1",SUMIF(Data!$A:$A,'16'!$A$2,Data!IZ:IZ),0)</f>
        <v>1546653</v>
      </c>
      <c r="F47" s="22">
        <f t="shared" si="3"/>
        <v>0.72</v>
      </c>
    </row>
    <row r="48" spans="1:6" x14ac:dyDescent="0.2">
      <c r="A48" s="20">
        <v>13</v>
      </c>
      <c r="B48" s="172" t="s">
        <v>12</v>
      </c>
      <c r="C48" s="173"/>
      <c r="D48" s="15">
        <f>IF(F3="1",SUMIF(Data!A:A,'16'!$A$2,Data!DG:DG),0)</f>
        <v>155712</v>
      </c>
      <c r="E48" s="18">
        <f>IF(F3="1",SUMIF(Data!$A:$A,'16'!$A$2,Data!JA:JA),0)</f>
        <v>50257</v>
      </c>
      <c r="F48" s="22">
        <f t="shared" si="3"/>
        <v>0.32</v>
      </c>
    </row>
    <row r="49" spans="1:6" ht="14.25" customHeight="1" x14ac:dyDescent="0.2">
      <c r="A49" s="20">
        <v>14</v>
      </c>
      <c r="B49" s="172" t="s">
        <v>469</v>
      </c>
      <c r="C49" s="173"/>
      <c r="D49" s="15">
        <f>IF(F3="1",SUMIF(Data!A:A,'16'!$A$2,Data!DH:DH),0)</f>
        <v>241042</v>
      </c>
      <c r="E49" s="18">
        <f>IF(F3="1",SUMIF(Data!$A:$A,'16'!$A$2,Data!JB:JB),0)</f>
        <v>329490</v>
      </c>
      <c r="F49" s="22">
        <f t="shared" si="3"/>
        <v>1.37</v>
      </c>
    </row>
    <row r="50" spans="1:6" x14ac:dyDescent="0.2">
      <c r="A50" s="20">
        <v>15</v>
      </c>
      <c r="B50" s="172" t="s">
        <v>13</v>
      </c>
      <c r="C50" s="173"/>
      <c r="D50" s="15">
        <f>IF(F3="1",SUMIF(Data!A:A,'16'!$A$2,Data!DI:DI),0)</f>
        <v>28168</v>
      </c>
      <c r="E50" s="18">
        <f>IF(F3="1",SUMIF(Data!$A:$A,'16'!$A$2,Data!JC:JC),0)</f>
        <v>31467</v>
      </c>
      <c r="F50" s="22">
        <f t="shared" si="3"/>
        <v>1.1200000000000001</v>
      </c>
    </row>
    <row r="51" spans="1:6" x14ac:dyDescent="0.2">
      <c r="A51" s="20">
        <v>16</v>
      </c>
      <c r="B51" s="172" t="s">
        <v>14</v>
      </c>
      <c r="C51" s="173"/>
      <c r="D51" s="15">
        <f>IF(F3="1",SUMIF(Data!A:A,'16'!$A$2,Data!DJ:DJ),0)</f>
        <v>314313</v>
      </c>
      <c r="E51" s="18">
        <f>IF(F3="1",SUMIF(Data!$A:$A,'16'!$A$2,Data!JD:JD),0)</f>
        <v>439408</v>
      </c>
      <c r="F51" s="22">
        <f t="shared" si="3"/>
        <v>1.4</v>
      </c>
    </row>
    <row r="52" spans="1:6" x14ac:dyDescent="0.2">
      <c r="A52" s="20">
        <v>17</v>
      </c>
      <c r="B52" s="172" t="s">
        <v>15</v>
      </c>
      <c r="C52" s="173"/>
      <c r="D52" s="15">
        <f>IF(F3="1",SUMIF(Data!A:A,'16'!$A$2,Data!DK:DK),0)</f>
        <v>27056</v>
      </c>
      <c r="E52" s="18">
        <f>IF(F3="1",SUMIF(Data!$A:$A,'16'!$A$2,Data!JE:JE),0)</f>
        <v>25115</v>
      </c>
      <c r="F52" s="22">
        <f t="shared" si="3"/>
        <v>0.93</v>
      </c>
    </row>
    <row r="53" spans="1:6" x14ac:dyDescent="0.2">
      <c r="A53" s="20">
        <v>18</v>
      </c>
      <c r="B53" s="172" t="s">
        <v>16</v>
      </c>
      <c r="C53" s="173"/>
      <c r="D53" s="15">
        <f>IF(F3="1",SUMIF(Data!A:A,'16'!$A$2,Data!DL:DL),0)</f>
        <v>50768</v>
      </c>
      <c r="E53" s="18">
        <f>IF(F3="1",SUMIF(Data!$A:$A,'16'!$A$2,Data!JF:JF),0)</f>
        <v>42828</v>
      </c>
      <c r="F53" s="22">
        <f t="shared" si="3"/>
        <v>0.84</v>
      </c>
    </row>
    <row r="54" spans="1:6" x14ac:dyDescent="0.2">
      <c r="A54" s="20">
        <v>19</v>
      </c>
      <c r="B54" s="172" t="s">
        <v>17</v>
      </c>
      <c r="C54" s="173"/>
      <c r="D54" s="15">
        <f>IF(F3="1",SUMIF(Data!A:A,'16'!$A$2,Data!DM:DM),0)</f>
        <v>1211488</v>
      </c>
      <c r="E54" s="18">
        <f>IF(F3="1",SUMIF(Data!$A:$A,'16'!$A$2,Data!JG:JG),0)</f>
        <v>370693</v>
      </c>
      <c r="F54" s="22">
        <f t="shared" si="3"/>
        <v>0.31</v>
      </c>
    </row>
    <row r="55" spans="1:6" x14ac:dyDescent="0.2">
      <c r="A55" s="20">
        <v>20</v>
      </c>
      <c r="B55" s="172" t="s">
        <v>18</v>
      </c>
      <c r="C55" s="173"/>
      <c r="D55" s="15">
        <f>IF(F3="1",SUMIF(Data!A:A,'16'!$A$2,Data!DN:DN),0)</f>
        <v>96226</v>
      </c>
      <c r="E55" s="18">
        <f>IF(F3="1",SUMIF(Data!$A:$A,'16'!$A$2,Data!JH:JH),0)</f>
        <v>146480</v>
      </c>
      <c r="F55" s="22">
        <f t="shared" si="3"/>
        <v>1.52</v>
      </c>
    </row>
    <row r="56" spans="1:6" ht="14.25" customHeight="1" x14ac:dyDescent="0.2">
      <c r="A56" s="20">
        <v>21</v>
      </c>
      <c r="B56" s="172" t="s">
        <v>466</v>
      </c>
      <c r="C56" s="173"/>
      <c r="D56" s="15">
        <f>IF(F3="1",SUMIF(Data!A:A,'16'!$A$2,Data!DO:DO),0)</f>
        <v>31548</v>
      </c>
      <c r="E56" s="18">
        <f>IF(F3="1",SUMIF(Data!$A:$A,'16'!$A$2,Data!JI:JI),0)</f>
        <v>267841</v>
      </c>
      <c r="F56" s="22">
        <f t="shared" si="3"/>
        <v>8.49</v>
      </c>
    </row>
    <row r="57" spans="1:6" x14ac:dyDescent="0.2">
      <c r="A57" s="20">
        <v>22</v>
      </c>
      <c r="B57" s="172" t="s">
        <v>19</v>
      </c>
      <c r="C57" s="173"/>
      <c r="D57" s="15">
        <f>IF(F3="1",SUMIF(Data!A:A,'16'!$A$2,Data!DP:DP),0)</f>
        <v>8998</v>
      </c>
      <c r="E57" s="18">
        <f>IF(F3="1",SUMIF(Data!$A:$A,'16'!$A$2,Data!JJ:JJ),0)</f>
        <v>0</v>
      </c>
      <c r="F57" s="22" t="str">
        <f>IF(OR(D57=0,E57=0),"",ROUND(E57/D57,2))</f>
        <v/>
      </c>
    </row>
    <row r="58" spans="1:6" x14ac:dyDescent="0.2">
      <c r="A58" s="20">
        <v>23</v>
      </c>
      <c r="B58" s="172" t="s">
        <v>20</v>
      </c>
      <c r="C58" s="173"/>
      <c r="D58" s="15">
        <f>IF(F3="1",SUMIF(Data!A:A,'16'!$A$2,Data!DQ:DQ),0)</f>
        <v>27792</v>
      </c>
      <c r="E58" s="18">
        <f>IF(F3="1",SUMIF(Data!$A:$A,'16'!$A$2,Data!JK:JK),0)</f>
        <v>172192</v>
      </c>
      <c r="F58" s="22">
        <f t="shared" si="3"/>
        <v>6.2</v>
      </c>
    </row>
    <row r="59" spans="1:6" x14ac:dyDescent="0.2">
      <c r="A59" s="20">
        <v>24</v>
      </c>
      <c r="B59" s="172" t="s">
        <v>21</v>
      </c>
      <c r="C59" s="173"/>
      <c r="D59" s="15">
        <f>IF(F3="1",SUMIF(Data!A:A,'16'!$A$2,Data!DR:DR),0)</f>
        <v>297910</v>
      </c>
      <c r="E59" s="18">
        <f>IF(F3="1",SUMIF(Data!$A:$A,'16'!$A$2,Data!JL:JL),0)</f>
        <v>257605</v>
      </c>
      <c r="F59" s="22">
        <f t="shared" si="3"/>
        <v>0.86</v>
      </c>
    </row>
    <row r="60" spans="1:6" x14ac:dyDescent="0.2">
      <c r="A60" s="20">
        <v>25</v>
      </c>
      <c r="B60" s="172" t="s">
        <v>22</v>
      </c>
      <c r="C60" s="173"/>
      <c r="D60" s="15">
        <f>IF(F3="1",SUMIF(Data!A:A,'16'!$A$2,Data!DS:DS),0)</f>
        <v>1884528</v>
      </c>
      <c r="E60" s="18">
        <f>IF(F3="1",SUMIF(Data!$A:$A,'16'!$A$2,Data!JM:JM),0)</f>
        <v>356351</v>
      </c>
      <c r="F60" s="22">
        <f t="shared" si="3"/>
        <v>0.19</v>
      </c>
    </row>
    <row r="61" spans="1:6" x14ac:dyDescent="0.2">
      <c r="A61" s="20">
        <v>26</v>
      </c>
      <c r="B61" s="172" t="s">
        <v>23</v>
      </c>
      <c r="C61" s="173"/>
      <c r="D61" s="15">
        <f>IF(F3="1",SUMIF(Data!A:A,'16'!$A$2,Data!DT:DT),0)</f>
        <v>351184</v>
      </c>
      <c r="E61" s="18">
        <f>IF(F3="1",SUMIF(Data!$A:$A,'16'!$A$2,Data!JN:JN),0)</f>
        <v>161204</v>
      </c>
      <c r="F61" s="22">
        <f t="shared" si="3"/>
        <v>0.46</v>
      </c>
    </row>
    <row r="62" spans="1:6" x14ac:dyDescent="0.2">
      <c r="A62" s="20">
        <v>28</v>
      </c>
      <c r="B62" s="172" t="s">
        <v>24</v>
      </c>
      <c r="C62" s="173"/>
      <c r="D62" s="15">
        <f>IF(F3="1",SUMIF(Data!A:A,'16'!$A$2,Data!DV:DV),0)</f>
        <v>0</v>
      </c>
      <c r="E62" s="18">
        <f>IF(F3="1",SUMIF(Data!$A:$A,'16'!$A$2,Data!JP:JP),0)</f>
        <v>0</v>
      </c>
      <c r="F62" s="22" t="str">
        <f t="shared" si="3"/>
        <v/>
      </c>
    </row>
    <row r="63" spans="1:6" ht="15.75" customHeight="1" thickBot="1" x14ac:dyDescent="0.25">
      <c r="A63" s="23">
        <v>29</v>
      </c>
      <c r="B63" s="174" t="s">
        <v>25</v>
      </c>
      <c r="C63" s="175"/>
      <c r="D63" s="24">
        <f>IF(F3="1",SUMIF(Data!A:A,'16'!$A$2,Data!DW:DW),0)</f>
        <v>0</v>
      </c>
      <c r="E63" s="25">
        <f>IF(F3="1",SUMIF(Data!$A:$A,'16'!$A$2,Data!JQ:JQ),0)</f>
        <v>0</v>
      </c>
      <c r="F63" s="26" t="str">
        <f t="shared" si="3"/>
        <v/>
      </c>
    </row>
    <row r="64" spans="1:6" x14ac:dyDescent="0.2">
      <c r="B64" s="31" t="s">
        <v>35</v>
      </c>
      <c r="C64" s="31"/>
      <c r="D64" s="61">
        <f>SUM(D36:D63)</f>
        <v>9627943</v>
      </c>
      <c r="E64" s="32">
        <f>SUM(E36:E63)</f>
        <v>6747467</v>
      </c>
      <c r="F64" s="33">
        <f t="shared" si="3"/>
        <v>0.7</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3168</v>
      </c>
      <c r="E67" s="16">
        <f>IF(F3="1",SUMIF(Data!A:A,'16'!$A$2,Data!DY:DY),0)</f>
        <v>6704</v>
      </c>
      <c r="F67" s="21">
        <f t="shared" ref="F67:F95" si="4">IF(D67=0,"",ROUND(E67/D67,2))</f>
        <v>2.12</v>
      </c>
    </row>
    <row r="68" spans="1:6" x14ac:dyDescent="0.2">
      <c r="A68" s="20">
        <v>2</v>
      </c>
      <c r="B68" s="172" t="s">
        <v>1</v>
      </c>
      <c r="C68" s="173"/>
      <c r="D68" s="15">
        <f t="shared" ref="D68:D94" si="5">D37</f>
        <v>62304</v>
      </c>
      <c r="E68" s="18">
        <f>IF(F3="1",SUMIF(Data!A:A,'16'!$A$2,Data!DZ:DZ),0)</f>
        <v>595893</v>
      </c>
      <c r="F68" s="22">
        <f t="shared" si="4"/>
        <v>9.56</v>
      </c>
    </row>
    <row r="69" spans="1:6" ht="14.25" customHeight="1" x14ac:dyDescent="0.2">
      <c r="A69" s="20">
        <v>3</v>
      </c>
      <c r="B69" s="172" t="s">
        <v>2</v>
      </c>
      <c r="C69" s="173"/>
      <c r="D69" s="15">
        <f t="shared" si="5"/>
        <v>1222368</v>
      </c>
      <c r="E69" s="18">
        <f>IF(F3="1",SUMIF(Data!A:A,'16'!$A$2,Data!EA:EA),0)</f>
        <v>2882610</v>
      </c>
      <c r="F69" s="22">
        <f t="shared" si="4"/>
        <v>2.36</v>
      </c>
    </row>
    <row r="70" spans="1:6" ht="14.25" customHeight="1" x14ac:dyDescent="0.2">
      <c r="A70" s="20">
        <v>4</v>
      </c>
      <c r="B70" s="172" t="s">
        <v>3</v>
      </c>
      <c r="C70" s="173"/>
      <c r="D70" s="15">
        <f t="shared" si="5"/>
        <v>430419</v>
      </c>
      <c r="E70" s="18">
        <f>IF(F3="1",SUMIF(Data!A:A,'16'!$A$2,Data!EB:EB),0)</f>
        <v>1029849</v>
      </c>
      <c r="F70" s="22">
        <f t="shared" si="4"/>
        <v>2.39</v>
      </c>
    </row>
    <row r="71" spans="1:6" x14ac:dyDescent="0.2">
      <c r="A71" s="20">
        <v>5</v>
      </c>
      <c r="B71" s="172" t="s">
        <v>4</v>
      </c>
      <c r="C71" s="173"/>
      <c r="D71" s="15">
        <f t="shared" si="5"/>
        <v>0</v>
      </c>
      <c r="E71" s="18">
        <f>IF(F3="1",SUMIF(Data!A:A,'16'!$A$2,Data!EC:EC),0)</f>
        <v>0</v>
      </c>
      <c r="F71" s="22" t="str">
        <f t="shared" si="4"/>
        <v/>
      </c>
    </row>
    <row r="72" spans="1:6" x14ac:dyDescent="0.2">
      <c r="A72" s="20">
        <v>6</v>
      </c>
      <c r="B72" s="172" t="s">
        <v>5</v>
      </c>
      <c r="C72" s="173"/>
      <c r="D72" s="15">
        <f t="shared" si="5"/>
        <v>159270</v>
      </c>
      <c r="E72" s="18">
        <f>IF(F3="1",SUMIF(Data!A:A,'16'!$A$2,Data!ED:ED),0)</f>
        <v>364695</v>
      </c>
      <c r="F72" s="22">
        <f t="shared" si="4"/>
        <v>2.29</v>
      </c>
    </row>
    <row r="73" spans="1:6" x14ac:dyDescent="0.2">
      <c r="A73" s="20">
        <v>7</v>
      </c>
      <c r="B73" s="172" t="s">
        <v>6</v>
      </c>
      <c r="C73" s="173"/>
      <c r="D73" s="15">
        <f t="shared" si="5"/>
        <v>282728</v>
      </c>
      <c r="E73" s="18">
        <f>IF(F3="1",SUMIF(Data!A:A,'16'!$A$2,Data!EE:EE),0)</f>
        <v>1381254</v>
      </c>
      <c r="F73" s="22">
        <f t="shared" si="4"/>
        <v>4.8899999999999997</v>
      </c>
    </row>
    <row r="74" spans="1:6" x14ac:dyDescent="0.2">
      <c r="A74" s="20">
        <v>8</v>
      </c>
      <c r="B74" s="172" t="s">
        <v>7</v>
      </c>
      <c r="C74" s="173"/>
      <c r="D74" s="15">
        <f t="shared" si="5"/>
        <v>42390</v>
      </c>
      <c r="E74" s="18">
        <f>IF(F3="1",SUMIF(Data!A:A,'16'!$A$2,Data!EF:EF),0)</f>
        <v>31699</v>
      </c>
      <c r="F74" s="22">
        <f t="shared" si="4"/>
        <v>0.75</v>
      </c>
    </row>
    <row r="75" spans="1:6" x14ac:dyDescent="0.2">
      <c r="A75" s="20">
        <v>9</v>
      </c>
      <c r="B75" s="172" t="s">
        <v>8</v>
      </c>
      <c r="C75" s="173"/>
      <c r="D75" s="15">
        <f t="shared" si="5"/>
        <v>364733</v>
      </c>
      <c r="E75" s="18">
        <f>IF(F3="1",SUMIF(Data!A:A,'16'!$A$2,Data!EG:EG),0)</f>
        <v>375090</v>
      </c>
      <c r="F75" s="22">
        <f t="shared" si="4"/>
        <v>1.03</v>
      </c>
    </row>
    <row r="76" spans="1:6" x14ac:dyDescent="0.2">
      <c r="A76" s="20">
        <v>10</v>
      </c>
      <c r="B76" s="172" t="s">
        <v>9</v>
      </c>
      <c r="C76" s="173"/>
      <c r="D76" s="15">
        <f t="shared" si="5"/>
        <v>24160</v>
      </c>
      <c r="E76" s="18">
        <f>IF(F3="1",SUMIF(Data!A:A,'16'!$A$2,Data!EH:EH),0)</f>
        <v>71759</v>
      </c>
      <c r="F76" s="22">
        <f t="shared" si="4"/>
        <v>2.97</v>
      </c>
    </row>
    <row r="77" spans="1:6" x14ac:dyDescent="0.2">
      <c r="A77" s="20">
        <v>11</v>
      </c>
      <c r="B77" s="172" t="s">
        <v>10</v>
      </c>
      <c r="C77" s="173"/>
      <c r="D77" s="15">
        <f t="shared" si="5"/>
        <v>170036</v>
      </c>
      <c r="E77" s="18">
        <f>IF(F3="1",SUMIF(Data!A:A,'16'!$A$2,Data!EI:EI),0)</f>
        <v>113169</v>
      </c>
      <c r="F77" s="22">
        <f t="shared" si="4"/>
        <v>0.67</v>
      </c>
    </row>
    <row r="78" spans="1:6" ht="14.25" customHeight="1" x14ac:dyDescent="0.2">
      <c r="A78" s="20">
        <v>12</v>
      </c>
      <c r="B78" s="172" t="s">
        <v>11</v>
      </c>
      <c r="C78" s="173"/>
      <c r="D78" s="15">
        <f t="shared" si="5"/>
        <v>2139634</v>
      </c>
      <c r="E78" s="18">
        <f>IF(F3="1",SUMIF(Data!A:A,'16'!$A$2,Data!EJ:EJ),0)</f>
        <v>9807037</v>
      </c>
      <c r="F78" s="22">
        <f t="shared" si="4"/>
        <v>4.58</v>
      </c>
    </row>
    <row r="79" spans="1:6" x14ac:dyDescent="0.2">
      <c r="A79" s="20">
        <v>13</v>
      </c>
      <c r="B79" s="172" t="s">
        <v>12</v>
      </c>
      <c r="C79" s="173"/>
      <c r="D79" s="15">
        <f t="shared" si="5"/>
        <v>155712</v>
      </c>
      <c r="E79" s="18">
        <f>IF(F3="1",SUMIF(Data!A:A,'16'!$A$2,Data!EK:EK),0)</f>
        <v>288440</v>
      </c>
      <c r="F79" s="22">
        <f t="shared" si="4"/>
        <v>1.85</v>
      </c>
    </row>
    <row r="80" spans="1:6" ht="14.25" customHeight="1" x14ac:dyDescent="0.2">
      <c r="A80" s="20">
        <v>14</v>
      </c>
      <c r="B80" s="172" t="s">
        <v>469</v>
      </c>
      <c r="C80" s="173"/>
      <c r="D80" s="15">
        <f t="shared" si="5"/>
        <v>241042</v>
      </c>
      <c r="E80" s="18">
        <f>IF(F3="1",SUMIF(Data!A:A,'16'!$A$2,Data!EL:EL),0)</f>
        <v>2069513</v>
      </c>
      <c r="F80" s="22">
        <f t="shared" si="4"/>
        <v>8.59</v>
      </c>
    </row>
    <row r="81" spans="1:6" x14ac:dyDescent="0.2">
      <c r="A81" s="20">
        <v>15</v>
      </c>
      <c r="B81" s="172" t="s">
        <v>13</v>
      </c>
      <c r="C81" s="173"/>
      <c r="D81" s="15">
        <f t="shared" si="5"/>
        <v>28168</v>
      </c>
      <c r="E81" s="18">
        <f>IF(F3="1",SUMIF(Data!A:A,'16'!$A$2,Data!EM:EM),0)</f>
        <v>270647</v>
      </c>
      <c r="F81" s="22">
        <f t="shared" si="4"/>
        <v>9.61</v>
      </c>
    </row>
    <row r="82" spans="1:6" x14ac:dyDescent="0.2">
      <c r="A82" s="20">
        <v>16</v>
      </c>
      <c r="B82" s="172" t="s">
        <v>14</v>
      </c>
      <c r="C82" s="173"/>
      <c r="D82" s="15">
        <f t="shared" si="5"/>
        <v>314313</v>
      </c>
      <c r="E82" s="18">
        <f>IF(F3="1",SUMIF(Data!A:A,'16'!$A$2,Data!EN:EN),0)</f>
        <v>2194086</v>
      </c>
      <c r="F82" s="22">
        <f t="shared" si="4"/>
        <v>6.98</v>
      </c>
    </row>
    <row r="83" spans="1:6" x14ac:dyDescent="0.2">
      <c r="A83" s="20">
        <v>17</v>
      </c>
      <c r="B83" s="172" t="s">
        <v>15</v>
      </c>
      <c r="C83" s="173"/>
      <c r="D83" s="15">
        <f t="shared" si="5"/>
        <v>27056</v>
      </c>
      <c r="E83" s="18">
        <f>IF(F3="1",SUMIF(Data!A:A,'16'!$A$2,Data!EO:EO),0)</f>
        <v>289101</v>
      </c>
      <c r="F83" s="22">
        <f t="shared" si="4"/>
        <v>10.69</v>
      </c>
    </row>
    <row r="84" spans="1:6" x14ac:dyDescent="0.2">
      <c r="A84" s="20">
        <v>18</v>
      </c>
      <c r="B84" s="172" t="s">
        <v>16</v>
      </c>
      <c r="C84" s="173"/>
      <c r="D84" s="15">
        <f t="shared" si="5"/>
        <v>50768</v>
      </c>
      <c r="E84" s="18">
        <f>IF(F3="1",SUMIF(Data!A:A,'16'!$A$2,Data!EP:EP),0)</f>
        <v>85937</v>
      </c>
      <c r="F84" s="22">
        <f t="shared" si="4"/>
        <v>1.69</v>
      </c>
    </row>
    <row r="85" spans="1:6" x14ac:dyDescent="0.2">
      <c r="A85" s="20">
        <v>19</v>
      </c>
      <c r="B85" s="172" t="s">
        <v>17</v>
      </c>
      <c r="C85" s="173"/>
      <c r="D85" s="15">
        <f t="shared" si="5"/>
        <v>1211488</v>
      </c>
      <c r="E85" s="18">
        <f>IF(F3="1",SUMIF(Data!A:A,'16'!$A$2,Data!EQ:EQ),0)</f>
        <v>2799903</v>
      </c>
      <c r="F85" s="22">
        <f t="shared" si="4"/>
        <v>2.31</v>
      </c>
    </row>
    <row r="86" spans="1:6" x14ac:dyDescent="0.2">
      <c r="A86" s="20">
        <v>20</v>
      </c>
      <c r="B86" s="172" t="s">
        <v>18</v>
      </c>
      <c r="C86" s="173"/>
      <c r="D86" s="15">
        <f t="shared" si="5"/>
        <v>96226</v>
      </c>
      <c r="E86" s="18">
        <f>IF(F3="1",SUMIF(Data!A:A,'16'!$A$2,Data!ER:ER),0)</f>
        <v>357465</v>
      </c>
      <c r="F86" s="22">
        <f t="shared" si="4"/>
        <v>3.71</v>
      </c>
    </row>
    <row r="87" spans="1:6" ht="14.25" customHeight="1" x14ac:dyDescent="0.2">
      <c r="A87" s="20">
        <v>21</v>
      </c>
      <c r="B87" s="172" t="s">
        <v>466</v>
      </c>
      <c r="C87" s="173"/>
      <c r="D87" s="15">
        <f t="shared" si="5"/>
        <v>31548</v>
      </c>
      <c r="E87" s="18">
        <f>IF(F3="1",SUMIF(Data!A:A,'16'!$A$2,Data!ES:ES),0)</f>
        <v>78518</v>
      </c>
      <c r="F87" s="22">
        <f t="shared" si="4"/>
        <v>2.4900000000000002</v>
      </c>
    </row>
    <row r="88" spans="1:6" x14ac:dyDescent="0.2">
      <c r="A88" s="20">
        <v>22</v>
      </c>
      <c r="B88" s="172" t="s">
        <v>19</v>
      </c>
      <c r="C88" s="173"/>
      <c r="D88" s="15">
        <f t="shared" si="5"/>
        <v>8998</v>
      </c>
      <c r="E88" s="18">
        <f>IF(F3="1",SUMIF(Data!A:A,'16'!$A$2,Data!ET:ET),0)</f>
        <v>0</v>
      </c>
      <c r="F88" s="22" t="str">
        <f>IF(OR(D88=0,E88=0),"",ROUND(E88/D88,2))</f>
        <v/>
      </c>
    </row>
    <row r="89" spans="1:6" x14ac:dyDescent="0.2">
      <c r="A89" s="20">
        <v>23</v>
      </c>
      <c r="B89" s="172" t="s">
        <v>20</v>
      </c>
      <c r="C89" s="173"/>
      <c r="D89" s="15">
        <f t="shared" si="5"/>
        <v>27792</v>
      </c>
      <c r="E89" s="18">
        <f>IF(F3="1",SUMIF(Data!A:A,'16'!$A$2,Data!EU:EU),0)</f>
        <v>354026</v>
      </c>
      <c r="F89" s="22">
        <f t="shared" si="4"/>
        <v>12.74</v>
      </c>
    </row>
    <row r="90" spans="1:6" x14ac:dyDescent="0.2">
      <c r="A90" s="20">
        <v>24</v>
      </c>
      <c r="B90" s="172" t="s">
        <v>21</v>
      </c>
      <c r="C90" s="173"/>
      <c r="D90" s="15">
        <f t="shared" si="5"/>
        <v>297910</v>
      </c>
      <c r="E90" s="18">
        <f>IF(F3="1",SUMIF(Data!A:A,'16'!$A$2,Data!EV:EV),0)</f>
        <v>1112441</v>
      </c>
      <c r="F90" s="22">
        <f t="shared" si="4"/>
        <v>3.73</v>
      </c>
    </row>
    <row r="91" spans="1:6" x14ac:dyDescent="0.2">
      <c r="A91" s="20">
        <v>25</v>
      </c>
      <c r="B91" s="172" t="s">
        <v>22</v>
      </c>
      <c r="C91" s="173"/>
      <c r="D91" s="15">
        <f t="shared" si="5"/>
        <v>1884528</v>
      </c>
      <c r="E91" s="18">
        <f>IF(F3="1",SUMIF(Data!A:A,'16'!$A$2,Data!EW:EW),0)</f>
        <v>3842905</v>
      </c>
      <c r="F91" s="22">
        <f t="shared" si="4"/>
        <v>2.04</v>
      </c>
    </row>
    <row r="92" spans="1:6" x14ac:dyDescent="0.2">
      <c r="A92" s="20">
        <v>26</v>
      </c>
      <c r="B92" s="172" t="s">
        <v>23</v>
      </c>
      <c r="C92" s="173"/>
      <c r="D92" s="15">
        <f t="shared" si="5"/>
        <v>351184</v>
      </c>
      <c r="E92" s="18">
        <f>IF(F3="1",SUMIF(Data!A:A,'16'!$A$2,Data!EX:EX),0)</f>
        <v>996236</v>
      </c>
      <c r="F92" s="22">
        <f t="shared" si="4"/>
        <v>2.84</v>
      </c>
    </row>
    <row r="93" spans="1:6" x14ac:dyDescent="0.2">
      <c r="A93" s="20">
        <v>28</v>
      </c>
      <c r="B93" s="172" t="s">
        <v>24</v>
      </c>
      <c r="C93" s="173"/>
      <c r="D93" s="15">
        <f t="shared" si="5"/>
        <v>0</v>
      </c>
      <c r="E93" s="18">
        <f>IF(F3="1",SUMIF(Data!A:A,'16'!$A$2,Data!EZ:EZ),0)</f>
        <v>0</v>
      </c>
      <c r="F93" s="22" t="str">
        <f t="shared" si="4"/>
        <v/>
      </c>
    </row>
    <row r="94" spans="1:6" ht="15.75" customHeight="1" thickBot="1" x14ac:dyDescent="0.25">
      <c r="A94" s="23">
        <v>29</v>
      </c>
      <c r="B94" s="174" t="s">
        <v>25</v>
      </c>
      <c r="C94" s="175"/>
      <c r="D94" s="24">
        <f t="shared" si="5"/>
        <v>0</v>
      </c>
      <c r="E94" s="25">
        <f>IF(F3="1",SUMIF(Data!A:A,'16'!$A$2,Data!FA:FA),0)</f>
        <v>0</v>
      </c>
      <c r="F94" s="26" t="str">
        <f t="shared" si="4"/>
        <v/>
      </c>
    </row>
    <row r="95" spans="1:6" x14ac:dyDescent="0.2">
      <c r="B95" s="31" t="s">
        <v>35</v>
      </c>
      <c r="C95" s="31"/>
      <c r="D95" s="61">
        <f>SUM(D67:D94)</f>
        <v>9627943</v>
      </c>
      <c r="E95" s="32">
        <f>SUM(E67:E94)</f>
        <v>31398977</v>
      </c>
      <c r="F95" s="33">
        <f t="shared" si="4"/>
        <v>3.26</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IF(F3="1",SUMIF(Data!A:A,'16'!$A$2,Data!AH:AH),0)</f>
        <v>17595329</v>
      </c>
      <c r="F98" s="21">
        <f>IF($D$105=0,"",ROUND(E98/$D$105,2))</f>
        <v>1.83</v>
      </c>
    </row>
    <row r="99" spans="2:6" x14ac:dyDescent="0.2">
      <c r="B99" s="178" t="s">
        <v>31</v>
      </c>
      <c r="C99" s="179"/>
      <c r="D99" s="37"/>
      <c r="E99" s="18">
        <f>IF(F3="1",SUMIF(Data!A:A,'16'!$A$2,Data!AI:AI),0)</f>
        <v>7782940</v>
      </c>
      <c r="F99" s="22">
        <f t="shared" ref="F99:F105" si="6">IF($D$105=0,"",ROUND(E99/$D$105,2))</f>
        <v>0.81</v>
      </c>
    </row>
    <row r="100" spans="2:6" x14ac:dyDescent="0.2">
      <c r="B100" s="178" t="s">
        <v>32</v>
      </c>
      <c r="C100" s="179"/>
      <c r="D100" s="37"/>
      <c r="E100" s="18">
        <f>IF(F3="1",SUMIF(Data!A:A,'16'!$A$2,Data!AJ:AJ),0)</f>
        <v>12904681</v>
      </c>
      <c r="F100" s="22">
        <f t="shared" si="6"/>
        <v>1.34</v>
      </c>
    </row>
    <row r="101" spans="2:6" x14ac:dyDescent="0.2">
      <c r="B101" s="178" t="s">
        <v>28</v>
      </c>
      <c r="C101" s="179"/>
      <c r="D101" s="37"/>
      <c r="E101" s="18">
        <f>IF(F3="1",SUMIF(Data!A:A,'16'!$A$2,Data!AK:AK),0)</f>
        <v>14534</v>
      </c>
      <c r="F101" s="22">
        <f t="shared" si="6"/>
        <v>0</v>
      </c>
    </row>
    <row r="102" spans="2:6" x14ac:dyDescent="0.2">
      <c r="B102" s="178" t="s">
        <v>33</v>
      </c>
      <c r="C102" s="179"/>
      <c r="D102" s="37"/>
      <c r="E102" s="18">
        <f>IF(F3="1",SUMIF(Data!A:A,'16'!$A$2,Data!AL:AL),0)</f>
        <v>1532656</v>
      </c>
      <c r="F102" s="22">
        <f t="shared" si="6"/>
        <v>0.16</v>
      </c>
    </row>
    <row r="103" spans="2:6" x14ac:dyDescent="0.2">
      <c r="B103" s="180" t="s">
        <v>34</v>
      </c>
      <c r="C103" s="181"/>
      <c r="D103" s="37"/>
      <c r="E103" s="18">
        <f>IF(F3="1",SUMIF(Data!A:A,'16'!$A$2,Data!AM:AM),0)</f>
        <v>1543384</v>
      </c>
      <c r="F103" s="22">
        <f t="shared" si="6"/>
        <v>0.16</v>
      </c>
    </row>
    <row r="104" spans="2:6" ht="15.75" customHeight="1" thickBot="1" x14ac:dyDescent="0.25">
      <c r="B104" s="170" t="s">
        <v>29</v>
      </c>
      <c r="C104" s="171"/>
      <c r="D104" s="38"/>
      <c r="E104" s="25">
        <f>IF(F3="1",SUMIF(Data!A:A,'16'!$A$2,Data!Q:Q),0)</f>
        <v>1565621</v>
      </c>
      <c r="F104" s="26">
        <f t="shared" si="6"/>
        <v>0.16</v>
      </c>
    </row>
    <row r="105" spans="2:6" x14ac:dyDescent="0.2">
      <c r="B105" s="31" t="s">
        <v>35</v>
      </c>
      <c r="C105" s="31"/>
      <c r="D105" s="35">
        <f>D95</f>
        <v>9627943</v>
      </c>
      <c r="E105" s="32">
        <f>SUM(E98:E104)</f>
        <v>42939145</v>
      </c>
      <c r="F105" s="33">
        <f t="shared" si="6"/>
        <v>4.46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34539266</v>
      </c>
      <c r="D109" s="16">
        <f>IF(F3="1",SUMIF(Data!$A:$A,$A$2,Data!HJ:HJ),0)</f>
        <v>1859752</v>
      </c>
      <c r="E109" s="16">
        <f>IF(F3="1",SUMIF(Data!$A:$A,$A$2,Data!IN:IN),0)</f>
        <v>1860600</v>
      </c>
      <c r="F109" s="48">
        <f>SUM(C109:E109)</f>
        <v>38259618</v>
      </c>
    </row>
    <row r="110" spans="2:6" x14ac:dyDescent="0.2">
      <c r="B110" s="43" t="s">
        <v>28</v>
      </c>
      <c r="C110" s="51">
        <f>IF(F3="1",SUMIF(Data!A:A,$A$2,Data!W:W),0)</f>
        <v>12275</v>
      </c>
      <c r="D110" s="52"/>
      <c r="E110" s="51">
        <f>IF(F3="1",SUMIF(Data!A:A,$A$2,Data!W:W),0)</f>
        <v>12275</v>
      </c>
      <c r="F110" s="49">
        <f t="shared" ref="F110:F116" si="7">SUM(C110:E110)</f>
        <v>24550</v>
      </c>
    </row>
    <row r="111" spans="2:6" x14ac:dyDescent="0.2">
      <c r="B111" s="43" t="s">
        <v>936</v>
      </c>
      <c r="C111" s="51">
        <f>IF(F3="1",SUMIF(Data!A:A,$A$2,Data!AS:AS),0)</f>
        <v>2800833</v>
      </c>
      <c r="D111" s="52"/>
      <c r="E111" s="51">
        <f>IF(F3="1",SUMIF(Data!A:A,$A$2,Data!AX:AX),0)</f>
        <v>2580759</v>
      </c>
      <c r="F111" s="49">
        <f t="shared" si="7"/>
        <v>5381592</v>
      </c>
    </row>
    <row r="112" spans="2:6" x14ac:dyDescent="0.2">
      <c r="B112" s="43" t="s">
        <v>32</v>
      </c>
      <c r="C112" s="51">
        <f>IF(F3="1",SUMIF(Data!A:A,$A$2,Data!V:V),0)</f>
        <v>11070436</v>
      </c>
      <c r="D112" s="52"/>
      <c r="E112" s="51">
        <f>IF(F3="1",SUMIF(Data!A:A,$A$2,Data!AC:AC),0)</f>
        <v>1834245</v>
      </c>
      <c r="F112" s="49">
        <f t="shared" si="7"/>
        <v>12904681</v>
      </c>
    </row>
    <row r="113" spans="1:6" x14ac:dyDescent="0.2">
      <c r="B113" s="43" t="s">
        <v>31</v>
      </c>
      <c r="C113" s="51">
        <f>IF(F3="1",SUMIF(Data!A:A,$A$2,Data!U:U),0)</f>
        <v>6958219</v>
      </c>
      <c r="D113" s="52"/>
      <c r="E113" s="51">
        <f>IF(F3="1",SUMIF(Data!A:A,$A$2,Data!AB:AB),0)</f>
        <v>824721</v>
      </c>
      <c r="F113" s="49">
        <f t="shared" si="7"/>
        <v>7782940</v>
      </c>
    </row>
    <row r="114" spans="1:6" x14ac:dyDescent="0.2">
      <c r="B114" s="43" t="s">
        <v>1021</v>
      </c>
      <c r="C114" s="51">
        <f>IF(F3="1",SUMIF(Data!A:A,$A$2,Data!T:T),0)</f>
        <v>11493639</v>
      </c>
      <c r="D114" s="52"/>
      <c r="E114" s="51">
        <f>IF(F3="1",SUMIF(Data!A:A,$A$2,Data!AA:AA),0)</f>
        <v>6101690</v>
      </c>
      <c r="F114" s="49">
        <f t="shared" si="7"/>
        <v>17595329</v>
      </c>
    </row>
    <row r="115" spans="1:6" x14ac:dyDescent="0.2">
      <c r="B115" s="43" t="s">
        <v>937</v>
      </c>
      <c r="C115" s="51">
        <f>IF(F3="1",SUMIF(Data!A:A,$A$2,Data!BI:BI),0)</f>
        <v>2343935</v>
      </c>
      <c r="D115" s="51">
        <f>IF(F3="1",SUMIF(Data!A:A,$A$2,Data!BL:BL),0)</f>
        <v>425195</v>
      </c>
      <c r="E115" s="51">
        <f>IF(F3="1",SUMIF(Data!A:A,$A$2,Data!BU:BU),0)</f>
        <v>7727968</v>
      </c>
      <c r="F115" s="49">
        <f t="shared" si="7"/>
        <v>10497098</v>
      </c>
    </row>
    <row r="116" spans="1:6" x14ac:dyDescent="0.2">
      <c r="B116" s="43" t="s">
        <v>33</v>
      </c>
      <c r="C116" s="51">
        <f>IF(F3="1",SUMIF(Data!A:A,$A$2,Data!X:X),0)</f>
        <v>0</v>
      </c>
      <c r="D116" s="51"/>
      <c r="E116" s="51">
        <f>E102</f>
        <v>1532656</v>
      </c>
      <c r="F116" s="49">
        <f t="shared" si="7"/>
        <v>1532656</v>
      </c>
    </row>
    <row r="117" spans="1:6" ht="15" thickBot="1" x14ac:dyDescent="0.25">
      <c r="B117" s="44" t="s">
        <v>941</v>
      </c>
      <c r="C117" s="53"/>
      <c r="D117" s="53">
        <f>IF(F3="1",SUMIF(Data!A:A,$A$2,Data!Q:Q),0)</f>
        <v>1565621</v>
      </c>
      <c r="E117" s="53"/>
      <c r="F117" s="50">
        <f>SUM(C117:E117)</f>
        <v>1565621</v>
      </c>
    </row>
    <row r="118" spans="1:6" x14ac:dyDescent="0.2">
      <c r="B118" s="14" t="s">
        <v>35</v>
      </c>
      <c r="C118" s="5">
        <f>SUM(C109:C116)</f>
        <v>69218603</v>
      </c>
      <c r="D118" s="5">
        <f>SUM(D109:D116)</f>
        <v>2284947</v>
      </c>
      <c r="E118" s="5">
        <f>SUM(E109:E116)</f>
        <v>22474914</v>
      </c>
      <c r="F118" s="5">
        <f>SUM(F109:F116)</f>
        <v>93978464</v>
      </c>
    </row>
    <row r="119" spans="1:6" ht="15" thickBot="1" x14ac:dyDescent="0.25"/>
    <row r="120" spans="1:6" ht="15" thickBot="1" x14ac:dyDescent="0.25">
      <c r="B120" s="57" t="s">
        <v>942</v>
      </c>
      <c r="C120" s="55"/>
      <c r="D120" s="55"/>
      <c r="E120" s="55">
        <f>IF(F3="1",SUMIF(Data!A:A,'16'!$A$2,Data!AM:AM),0)</f>
        <v>1543384</v>
      </c>
      <c r="F120" s="56">
        <f>SUM(C120:E120)</f>
        <v>1543384</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366</v>
      </c>
      <c r="B2" s="60" t="str">
        <f>VLOOKUP(A2,Data!A:G,7,0)</f>
        <v>Frank Phillips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11064</v>
      </c>
      <c r="E5" s="16">
        <f>E36+E67+IFERROR($E$105/$D$105*D5,0)</f>
        <v>108051.71757074201</v>
      </c>
      <c r="F5" s="21">
        <f>IF(OR(D5=0,E5=0),"",ROUND(E5/D5,2))</f>
        <v>9.77</v>
      </c>
    </row>
    <row r="6" spans="1:6" x14ac:dyDescent="0.2">
      <c r="A6" s="20">
        <v>2</v>
      </c>
      <c r="B6" s="172" t="s">
        <v>1</v>
      </c>
      <c r="C6" s="173"/>
      <c r="D6" s="15">
        <f t="shared" ref="D6:D32" si="0">D37</f>
        <v>65574</v>
      </c>
      <c r="E6" s="18">
        <f t="shared" ref="E6:E32" si="1">E37+E68+IFERROR($E$105/$D$105*D6,0)</f>
        <v>610076.8928040344</v>
      </c>
      <c r="F6" s="22">
        <f t="shared" ref="F6:F33" si="2">IF(OR(D6=0,E6=0),"",ROUND(E6/D6,2))</f>
        <v>9.3000000000000007</v>
      </c>
    </row>
    <row r="7" spans="1:6" ht="14.25" customHeight="1" x14ac:dyDescent="0.2">
      <c r="A7" s="20">
        <v>3</v>
      </c>
      <c r="B7" s="172" t="s">
        <v>2</v>
      </c>
      <c r="C7" s="173"/>
      <c r="D7" s="15">
        <f t="shared" si="0"/>
        <v>54800</v>
      </c>
      <c r="E7" s="18">
        <f t="shared" si="1"/>
        <v>390338.60691220732</v>
      </c>
      <c r="F7" s="22">
        <f t="shared" si="2"/>
        <v>7.12</v>
      </c>
    </row>
    <row r="8" spans="1:6" ht="14.25" customHeight="1" x14ac:dyDescent="0.2">
      <c r="A8" s="20">
        <v>4</v>
      </c>
      <c r="B8" s="172" t="s">
        <v>3</v>
      </c>
      <c r="C8" s="173"/>
      <c r="D8" s="15">
        <f t="shared" si="0"/>
        <v>34174</v>
      </c>
      <c r="E8" s="18">
        <f t="shared" si="1"/>
        <v>242360.42825944844</v>
      </c>
      <c r="F8" s="22">
        <f t="shared" si="2"/>
        <v>7.09</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48</v>
      </c>
      <c r="E10" s="18">
        <f t="shared" si="1"/>
        <v>172.70593306178745</v>
      </c>
      <c r="F10" s="22">
        <f t="shared" si="2"/>
        <v>3.6</v>
      </c>
    </row>
    <row r="11" spans="1:6" x14ac:dyDescent="0.2">
      <c r="A11" s="20">
        <v>7</v>
      </c>
      <c r="B11" s="172" t="s">
        <v>6</v>
      </c>
      <c r="C11" s="173"/>
      <c r="D11" s="15">
        <f t="shared" si="0"/>
        <v>54098</v>
      </c>
      <c r="E11" s="18">
        <f t="shared" si="1"/>
        <v>815573.7826411787</v>
      </c>
      <c r="F11" s="22">
        <f t="shared" si="2"/>
        <v>15.08</v>
      </c>
    </row>
    <row r="12" spans="1:6" x14ac:dyDescent="0.2">
      <c r="A12" s="20">
        <v>8</v>
      </c>
      <c r="B12" s="172" t="s">
        <v>7</v>
      </c>
      <c r="C12" s="173"/>
      <c r="D12" s="15">
        <f t="shared" si="0"/>
        <v>4732</v>
      </c>
      <c r="E12" s="18">
        <f t="shared" si="1"/>
        <v>63740.926567674542</v>
      </c>
      <c r="F12" s="22">
        <f t="shared" si="2"/>
        <v>13.47</v>
      </c>
    </row>
    <row r="13" spans="1:6" x14ac:dyDescent="0.2">
      <c r="A13" s="20">
        <v>9</v>
      </c>
      <c r="B13" s="172" t="s">
        <v>8</v>
      </c>
      <c r="C13" s="173"/>
      <c r="D13" s="15">
        <f t="shared" si="0"/>
        <v>39188</v>
      </c>
      <c r="E13" s="18">
        <f t="shared" si="1"/>
        <v>299066.00218386098</v>
      </c>
      <c r="F13" s="22">
        <f t="shared" si="2"/>
        <v>7.63</v>
      </c>
    </row>
    <row r="14" spans="1:6" x14ac:dyDescent="0.2">
      <c r="A14" s="20">
        <v>10</v>
      </c>
      <c r="B14" s="172" t="s">
        <v>9</v>
      </c>
      <c r="C14" s="173"/>
      <c r="D14" s="15">
        <f t="shared" si="0"/>
        <v>70</v>
      </c>
      <c r="E14" s="18">
        <f t="shared" si="1"/>
        <v>4746.8628190484396</v>
      </c>
      <c r="F14" s="22">
        <f t="shared" si="2"/>
        <v>67.81</v>
      </c>
    </row>
    <row r="15" spans="1:6" x14ac:dyDescent="0.2">
      <c r="A15" s="20">
        <v>11</v>
      </c>
      <c r="B15" s="172" t="s">
        <v>10</v>
      </c>
      <c r="C15" s="173"/>
      <c r="D15" s="15">
        <f t="shared" si="0"/>
        <v>55267</v>
      </c>
      <c r="E15" s="18">
        <f t="shared" si="1"/>
        <v>539628.89171928761</v>
      </c>
      <c r="F15" s="22">
        <f t="shared" si="2"/>
        <v>9.76</v>
      </c>
    </row>
    <row r="16" spans="1:6" ht="14.25" customHeight="1" x14ac:dyDescent="0.2">
      <c r="A16" s="20">
        <v>12</v>
      </c>
      <c r="B16" s="172" t="s">
        <v>11</v>
      </c>
      <c r="C16" s="173"/>
      <c r="D16" s="15">
        <f t="shared" si="0"/>
        <v>68448</v>
      </c>
      <c r="E16" s="18">
        <f t="shared" si="1"/>
        <v>487357.66054610891</v>
      </c>
      <c r="F16" s="22">
        <f t="shared" si="2"/>
        <v>7.12</v>
      </c>
    </row>
    <row r="17" spans="1:6" x14ac:dyDescent="0.2">
      <c r="A17" s="20">
        <v>13</v>
      </c>
      <c r="B17" s="172" t="s">
        <v>12</v>
      </c>
      <c r="C17" s="173"/>
      <c r="D17" s="15">
        <f t="shared" si="0"/>
        <v>4512</v>
      </c>
      <c r="E17" s="18">
        <f t="shared" si="1"/>
        <v>23934.35770780802</v>
      </c>
      <c r="F17" s="22">
        <f t="shared" si="2"/>
        <v>5.3</v>
      </c>
    </row>
    <row r="18" spans="1:6" ht="14.25" customHeight="1" x14ac:dyDescent="0.2">
      <c r="A18" s="20">
        <v>14</v>
      </c>
      <c r="B18" s="172" t="s">
        <v>469</v>
      </c>
      <c r="C18" s="173"/>
      <c r="D18" s="15">
        <f t="shared" si="0"/>
        <v>1205</v>
      </c>
      <c r="E18" s="18">
        <f t="shared" si="1"/>
        <v>8391.6385279052884</v>
      </c>
      <c r="F18" s="22">
        <f t="shared" si="2"/>
        <v>6.96</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28172</v>
      </c>
      <c r="E20" s="18">
        <f t="shared" si="1"/>
        <v>196209.99054618075</v>
      </c>
      <c r="F20" s="22">
        <f t="shared" si="2"/>
        <v>6.96</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38152</v>
      </c>
      <c r="E22" s="18">
        <f t="shared" si="1"/>
        <v>278845.43246194406</v>
      </c>
      <c r="F22" s="22">
        <f t="shared" si="2"/>
        <v>7.31</v>
      </c>
    </row>
    <row r="23" spans="1:6" x14ac:dyDescent="0.2">
      <c r="A23" s="20">
        <v>19</v>
      </c>
      <c r="B23" s="172" t="s">
        <v>17</v>
      </c>
      <c r="C23" s="173"/>
      <c r="D23" s="15">
        <f t="shared" si="0"/>
        <v>67068</v>
      </c>
      <c r="E23" s="18">
        <f t="shared" si="1"/>
        <v>482297.36497058254</v>
      </c>
      <c r="F23" s="22">
        <f t="shared" si="2"/>
        <v>7.19</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2500</v>
      </c>
      <c r="E25" s="18">
        <f t="shared" si="1"/>
        <v>13465.10068030143</v>
      </c>
      <c r="F25" s="22">
        <f t="shared" si="2"/>
        <v>5.39</v>
      </c>
    </row>
    <row r="26" spans="1:6" x14ac:dyDescent="0.2">
      <c r="A26" s="20">
        <v>22</v>
      </c>
      <c r="B26" s="172" t="s">
        <v>19</v>
      </c>
      <c r="C26" s="173"/>
      <c r="D26" s="15">
        <f t="shared" si="0"/>
        <v>1575</v>
      </c>
      <c r="E26" s="18">
        <f t="shared" si="1"/>
        <v>9211.9134285899017</v>
      </c>
      <c r="F26" s="22">
        <f t="shared" si="2"/>
        <v>5.85</v>
      </c>
    </row>
    <row r="27" spans="1:6" x14ac:dyDescent="0.2">
      <c r="A27" s="20">
        <v>23</v>
      </c>
      <c r="B27" s="172" t="s">
        <v>20</v>
      </c>
      <c r="C27" s="173"/>
      <c r="D27" s="15">
        <f t="shared" si="0"/>
        <v>45248</v>
      </c>
      <c r="E27" s="18">
        <f t="shared" si="1"/>
        <v>327802.1262329116</v>
      </c>
      <c r="F27" s="22">
        <f t="shared" si="2"/>
        <v>7.24</v>
      </c>
    </row>
    <row r="28" spans="1:6" x14ac:dyDescent="0.2">
      <c r="A28" s="20">
        <v>24</v>
      </c>
      <c r="B28" s="172" t="s">
        <v>21</v>
      </c>
      <c r="C28" s="173"/>
      <c r="D28" s="15">
        <f t="shared" si="0"/>
        <v>3640</v>
      </c>
      <c r="E28" s="18">
        <f t="shared" si="1"/>
        <v>20096.866590518883</v>
      </c>
      <c r="F28" s="22">
        <f t="shared" si="2"/>
        <v>5.52</v>
      </c>
    </row>
    <row r="29" spans="1:6" x14ac:dyDescent="0.2">
      <c r="A29" s="20">
        <v>25</v>
      </c>
      <c r="B29" s="172" t="s">
        <v>22</v>
      </c>
      <c r="C29" s="173"/>
      <c r="D29" s="15">
        <f t="shared" si="0"/>
        <v>97344</v>
      </c>
      <c r="E29" s="18">
        <f t="shared" si="1"/>
        <v>673635.63224930502</v>
      </c>
      <c r="F29" s="22">
        <f t="shared" si="2"/>
        <v>6.92</v>
      </c>
    </row>
    <row r="30" spans="1:6" x14ac:dyDescent="0.2">
      <c r="A30" s="20">
        <v>26</v>
      </c>
      <c r="B30" s="172" t="s">
        <v>23</v>
      </c>
      <c r="C30" s="173"/>
      <c r="D30" s="15">
        <f t="shared" si="0"/>
        <v>19136</v>
      </c>
      <c r="E30" s="18">
        <f t="shared" si="1"/>
        <v>169014.09864729928</v>
      </c>
      <c r="F30" s="22">
        <f t="shared" si="2"/>
        <v>8.83</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696015</v>
      </c>
      <c r="E33" s="32">
        <f>SUM(E5:E32)</f>
        <v>5764019</v>
      </c>
      <c r="F33" s="33">
        <f t="shared" si="2"/>
        <v>8.2799999999999994</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IF(F3="1",SUMIF(Data!A:A,'17'!$A$2,Data!CU:CU),0)</f>
        <v>11064</v>
      </c>
      <c r="E36" s="16">
        <f>IF(F3="1",SUMIF(Data!$A:$A,'17'!$A$2,Data!IO:IO),0)</f>
        <v>22598</v>
      </c>
      <c r="F36" s="21">
        <f>IF(D36=0,"",ROUND(E36/D36,2))</f>
        <v>2.04</v>
      </c>
    </row>
    <row r="37" spans="1:6" x14ac:dyDescent="0.2">
      <c r="A37" s="20">
        <v>2</v>
      </c>
      <c r="B37" s="172" t="s">
        <v>1</v>
      </c>
      <c r="C37" s="173"/>
      <c r="D37" s="15">
        <f>IF(F3="1",SUMIF(Data!A:A,'17'!$A$2,Data!CV:CV),0)</f>
        <v>65574</v>
      </c>
      <c r="E37" s="18">
        <f>IF(F3="1",SUMIF(Data!$A:$A,'17'!$A$2,Data!IP:IP),0)</f>
        <v>168736</v>
      </c>
      <c r="F37" s="22">
        <f t="shared" ref="F37:F64" si="3">IF(D37=0,"",ROUND(E37/D37,2))</f>
        <v>2.57</v>
      </c>
    </row>
    <row r="38" spans="1:6" ht="14.25" customHeight="1" x14ac:dyDescent="0.2">
      <c r="A38" s="20">
        <v>3</v>
      </c>
      <c r="B38" s="172" t="s">
        <v>2</v>
      </c>
      <c r="C38" s="173"/>
      <c r="D38" s="15">
        <f>IF(F3="1",SUMIF(Data!A:A,'17'!$A$2,Data!CW:CW),0)</f>
        <v>54800</v>
      </c>
      <c r="E38" s="18">
        <f>IF(F3="1",SUMIF(Data!$A:$A,'17'!$A$2,Data!IQ:IQ),0)</f>
        <v>10586</v>
      </c>
      <c r="F38" s="22">
        <f t="shared" si="3"/>
        <v>0.19</v>
      </c>
    </row>
    <row r="39" spans="1:6" ht="14.25" customHeight="1" x14ac:dyDescent="0.2">
      <c r="A39" s="20">
        <v>4</v>
      </c>
      <c r="B39" s="172" t="s">
        <v>3</v>
      </c>
      <c r="C39" s="173"/>
      <c r="D39" s="15">
        <f>IF(F3="1",SUMIF(Data!A:A,'17'!$A$2,Data!CX:CX),0)</f>
        <v>34174</v>
      </c>
      <c r="E39" s="18">
        <f>IF(F3="1",SUMIF(Data!$A:$A,'17'!$A$2,Data!IR:IR),0)</f>
        <v>5288</v>
      </c>
      <c r="F39" s="22">
        <f t="shared" si="3"/>
        <v>0.15</v>
      </c>
    </row>
    <row r="40" spans="1:6" x14ac:dyDescent="0.2">
      <c r="A40" s="20">
        <v>5</v>
      </c>
      <c r="B40" s="172" t="s">
        <v>4</v>
      </c>
      <c r="C40" s="173"/>
      <c r="D40" s="15">
        <f>IF(F3="1",SUMIF(Data!A:A,'17'!$A$2,Data!CY:CY),0)</f>
        <v>0</v>
      </c>
      <c r="E40" s="18">
        <f>IF(F3="1",SUMIF(Data!$A:$A,'17'!$A$2,Data!IS:IS),0)</f>
        <v>0</v>
      </c>
      <c r="F40" s="22" t="str">
        <f t="shared" si="3"/>
        <v/>
      </c>
    </row>
    <row r="41" spans="1:6" x14ac:dyDescent="0.2">
      <c r="A41" s="20">
        <v>6</v>
      </c>
      <c r="B41" s="172" t="s">
        <v>5</v>
      </c>
      <c r="C41" s="173"/>
      <c r="D41" s="15">
        <f>IF(F3="1",SUMIF(Data!A:A,'17'!$A$2,Data!CZ:CZ),0)</f>
        <v>48</v>
      </c>
      <c r="E41" s="18">
        <f>IF(F3="1",SUMIF(Data!$A:$A,'17'!$A$2,Data!IT:IT),0)</f>
        <v>0</v>
      </c>
      <c r="F41" s="22" t="str">
        <f>IF(E41=0,"",ROUND(E41/D41,2))</f>
        <v/>
      </c>
    </row>
    <row r="42" spans="1:6" x14ac:dyDescent="0.2">
      <c r="A42" s="20">
        <v>7</v>
      </c>
      <c r="B42" s="172" t="s">
        <v>6</v>
      </c>
      <c r="C42" s="173"/>
      <c r="D42" s="15">
        <f>IF(F3="1",SUMIF(Data!A:A,'17'!$A$2,Data!DA:DA),0)</f>
        <v>54098</v>
      </c>
      <c r="E42" s="18">
        <f>IF(F3="1",SUMIF(Data!$A:$A,'17'!$A$2,Data!IU:IU),0)</f>
        <v>440269</v>
      </c>
      <c r="F42" s="22">
        <f t="shared" si="3"/>
        <v>8.14</v>
      </c>
    </row>
    <row r="43" spans="1:6" x14ac:dyDescent="0.2">
      <c r="A43" s="20">
        <v>8</v>
      </c>
      <c r="B43" s="172" t="s">
        <v>7</v>
      </c>
      <c r="C43" s="173"/>
      <c r="D43" s="15">
        <f>IF(F3="1",SUMIF(Data!A:A,'17'!$A$2,Data!DB:DB),0)</f>
        <v>4732</v>
      </c>
      <c r="E43" s="18">
        <f>IF(F3="1",SUMIF(Data!$A:$A,'17'!$A$2,Data!IV:IV),0)</f>
        <v>44430</v>
      </c>
      <c r="F43" s="22">
        <f t="shared" si="3"/>
        <v>9.39</v>
      </c>
    </row>
    <row r="44" spans="1:6" x14ac:dyDescent="0.2">
      <c r="A44" s="20">
        <v>9</v>
      </c>
      <c r="B44" s="172" t="s">
        <v>8</v>
      </c>
      <c r="C44" s="173"/>
      <c r="D44" s="15">
        <f>IF(F3="1",SUMIF(Data!A:A,'17'!$A$2,Data!DC:DC),0)</f>
        <v>39188</v>
      </c>
      <c r="E44" s="18">
        <f>IF(F3="1",SUMIF(Data!$A:$A,'17'!$A$2,Data!IW:IW),0)</f>
        <v>21131</v>
      </c>
      <c r="F44" s="22">
        <f t="shared" si="3"/>
        <v>0.54</v>
      </c>
    </row>
    <row r="45" spans="1:6" x14ac:dyDescent="0.2">
      <c r="A45" s="20">
        <v>10</v>
      </c>
      <c r="B45" s="172" t="s">
        <v>9</v>
      </c>
      <c r="C45" s="173"/>
      <c r="D45" s="15">
        <f>IF(F3="1",SUMIF(Data!A:A,'17'!$A$2,Data!DD:DD),0)</f>
        <v>70</v>
      </c>
      <c r="E45" s="18">
        <f>IF(F3="1",SUMIF(Data!$A:$A,'17'!$A$2,Data!IX:IX),0)</f>
        <v>3495</v>
      </c>
      <c r="F45" s="22">
        <f t="shared" si="3"/>
        <v>49.93</v>
      </c>
    </row>
    <row r="46" spans="1:6" x14ac:dyDescent="0.2">
      <c r="A46" s="20">
        <v>11</v>
      </c>
      <c r="B46" s="172" t="s">
        <v>10</v>
      </c>
      <c r="C46" s="173"/>
      <c r="D46" s="15">
        <f>IF(F3="1",SUMIF(Data!A:A,'17'!$A$2,Data!DE:DE),0)</f>
        <v>55267</v>
      </c>
      <c r="E46" s="18">
        <f>IF(F3="1",SUMIF(Data!$A:$A,'17'!$A$2,Data!IY:IY),0)</f>
        <v>160776</v>
      </c>
      <c r="F46" s="22">
        <f t="shared" si="3"/>
        <v>2.91</v>
      </c>
    </row>
    <row r="47" spans="1:6" ht="14.25" customHeight="1" x14ac:dyDescent="0.2">
      <c r="A47" s="20">
        <v>12</v>
      </c>
      <c r="B47" s="172" t="s">
        <v>11</v>
      </c>
      <c r="C47" s="173"/>
      <c r="D47" s="15">
        <f>IF(F3="1",SUMIF(Data!A:A,'17'!$A$2,Data!DF:DF),0)</f>
        <v>68448</v>
      </c>
      <c r="E47" s="18">
        <f>IF(F3="1",SUMIF(Data!$A:$A,'17'!$A$2,Data!IZ:IZ),0)</f>
        <v>12854</v>
      </c>
      <c r="F47" s="22">
        <f t="shared" si="3"/>
        <v>0.19</v>
      </c>
    </row>
    <row r="48" spans="1:6" x14ac:dyDescent="0.2">
      <c r="A48" s="20">
        <v>13</v>
      </c>
      <c r="B48" s="172" t="s">
        <v>12</v>
      </c>
      <c r="C48" s="173"/>
      <c r="D48" s="15">
        <f>IF(F3="1",SUMIF(Data!A:A,'17'!$A$2,Data!DG:DG),0)</f>
        <v>4512</v>
      </c>
      <c r="E48" s="18">
        <f>IF(F3="1",SUMIF(Data!$A:$A,'17'!$A$2,Data!JA:JA),0)</f>
        <v>6700</v>
      </c>
      <c r="F48" s="22">
        <f t="shared" si="3"/>
        <v>1.48</v>
      </c>
    </row>
    <row r="49" spans="1:6" ht="14.25" customHeight="1" x14ac:dyDescent="0.2">
      <c r="A49" s="20">
        <v>14</v>
      </c>
      <c r="B49" s="172" t="s">
        <v>469</v>
      </c>
      <c r="C49" s="173"/>
      <c r="D49" s="15">
        <f>IF(F3="1",SUMIF(Data!A:A,'17'!$A$2,Data!DH:DH),0)</f>
        <v>1205</v>
      </c>
      <c r="E49" s="18">
        <f>IF(F3="1",SUMIF(Data!$A:$A,'17'!$A$2,Data!JB:JB),0)</f>
        <v>3556</v>
      </c>
      <c r="F49" s="22">
        <f t="shared" si="3"/>
        <v>2.95</v>
      </c>
    </row>
    <row r="50" spans="1:6" x14ac:dyDescent="0.2">
      <c r="A50" s="20">
        <v>15</v>
      </c>
      <c r="B50" s="172" t="s">
        <v>13</v>
      </c>
      <c r="C50" s="173"/>
      <c r="D50" s="15">
        <f>IF(F3="1",SUMIF(Data!A:A,'17'!$A$2,Data!DI:DI),0)</f>
        <v>0</v>
      </c>
      <c r="E50" s="18">
        <f>IF(F3="1",SUMIF(Data!$A:$A,'17'!$A$2,Data!JC:JC),0)</f>
        <v>0</v>
      </c>
      <c r="F50" s="22" t="str">
        <f t="shared" si="3"/>
        <v/>
      </c>
    </row>
    <row r="51" spans="1:6" x14ac:dyDescent="0.2">
      <c r="A51" s="20">
        <v>16</v>
      </c>
      <c r="B51" s="172" t="s">
        <v>14</v>
      </c>
      <c r="C51" s="173"/>
      <c r="D51" s="15">
        <f>IF(F3="1",SUMIF(Data!A:A,'17'!$A$2,Data!DJ:DJ),0)</f>
        <v>28172</v>
      </c>
      <c r="E51" s="18">
        <f>IF(F3="1",SUMIF(Data!$A:$A,'17'!$A$2,Data!JD:JD),0)</f>
        <v>3556</v>
      </c>
      <c r="F51" s="22">
        <f t="shared" si="3"/>
        <v>0.13</v>
      </c>
    </row>
    <row r="52" spans="1:6" x14ac:dyDescent="0.2">
      <c r="A52" s="20">
        <v>17</v>
      </c>
      <c r="B52" s="172" t="s">
        <v>15</v>
      </c>
      <c r="C52" s="173"/>
      <c r="D52" s="15">
        <f>IF(F3="1",SUMIF(Data!A:A,'17'!$A$2,Data!DK:DK),0)</f>
        <v>0</v>
      </c>
      <c r="E52" s="18">
        <f>IF(F3="1",SUMIF(Data!$A:$A,'17'!$A$2,Data!JE:JE),0)</f>
        <v>0</v>
      </c>
      <c r="F52" s="22" t="str">
        <f t="shared" si="3"/>
        <v/>
      </c>
    </row>
    <row r="53" spans="1:6" x14ac:dyDescent="0.2">
      <c r="A53" s="20">
        <v>18</v>
      </c>
      <c r="B53" s="172" t="s">
        <v>16</v>
      </c>
      <c r="C53" s="173"/>
      <c r="D53" s="15">
        <f>IF(F3="1",SUMIF(Data!A:A,'17'!$A$2,Data!DL:DL),0)</f>
        <v>38152</v>
      </c>
      <c r="E53" s="18">
        <f>IF(F3="1",SUMIF(Data!$A:$A,'17'!$A$2,Data!JF:JF),0)</f>
        <v>27461</v>
      </c>
      <c r="F53" s="22">
        <f t="shared" si="3"/>
        <v>0.72</v>
      </c>
    </row>
    <row r="54" spans="1:6" x14ac:dyDescent="0.2">
      <c r="A54" s="20">
        <v>19</v>
      </c>
      <c r="B54" s="172" t="s">
        <v>17</v>
      </c>
      <c r="C54" s="173"/>
      <c r="D54" s="15">
        <f>IF(F3="1",SUMIF(Data!A:A,'17'!$A$2,Data!DM:DM),0)</f>
        <v>67068</v>
      </c>
      <c r="E54" s="18">
        <f>IF(F3="1",SUMIF(Data!$A:$A,'17'!$A$2,Data!JG:JG),0)</f>
        <v>12984</v>
      </c>
      <c r="F54" s="22">
        <f t="shared" si="3"/>
        <v>0.19</v>
      </c>
    </row>
    <row r="55" spans="1:6" x14ac:dyDescent="0.2">
      <c r="A55" s="20">
        <v>20</v>
      </c>
      <c r="B55" s="172" t="s">
        <v>18</v>
      </c>
      <c r="C55" s="173"/>
      <c r="D55" s="15">
        <f>IF(F3="1",SUMIF(Data!A:A,'17'!$A$2,Data!DN:DN),0)</f>
        <v>0</v>
      </c>
      <c r="E55" s="18">
        <f>IF(F3="1",SUMIF(Data!$A:$A,'17'!$A$2,Data!JH:JH),0)</f>
        <v>0</v>
      </c>
      <c r="F55" s="22" t="str">
        <f t="shared" si="3"/>
        <v/>
      </c>
    </row>
    <row r="56" spans="1:6" ht="14.25" customHeight="1" x14ac:dyDescent="0.2">
      <c r="A56" s="20">
        <v>21</v>
      </c>
      <c r="B56" s="172" t="s">
        <v>466</v>
      </c>
      <c r="C56" s="173"/>
      <c r="D56" s="15">
        <f>IF(F3="1",SUMIF(Data!A:A,'17'!$A$2,Data!DO:DO),0)</f>
        <v>2500</v>
      </c>
      <c r="E56" s="18">
        <f>IF(F3="1",SUMIF(Data!$A:$A,'17'!$A$2,Data!JI:JI),0)</f>
        <v>3470</v>
      </c>
      <c r="F56" s="22">
        <f t="shared" si="3"/>
        <v>1.39</v>
      </c>
    </row>
    <row r="57" spans="1:6" x14ac:dyDescent="0.2">
      <c r="A57" s="20">
        <v>22</v>
      </c>
      <c r="B57" s="172" t="s">
        <v>19</v>
      </c>
      <c r="C57" s="173"/>
      <c r="D57" s="15">
        <f>IF(F3="1",SUMIF(Data!A:A,'17'!$A$2,Data!DP:DP),0)</f>
        <v>1575</v>
      </c>
      <c r="E57" s="18">
        <f>IF(F3="1",SUMIF(Data!$A:$A,'17'!$A$2,Data!JJ:JJ),0)</f>
        <v>3470</v>
      </c>
      <c r="F57" s="22">
        <f t="shared" si="3"/>
        <v>2.2000000000000002</v>
      </c>
    </row>
    <row r="58" spans="1:6" x14ac:dyDescent="0.2">
      <c r="A58" s="20">
        <v>23</v>
      </c>
      <c r="B58" s="172" t="s">
        <v>20</v>
      </c>
      <c r="C58" s="173"/>
      <c r="D58" s="15">
        <f>IF(F3="1",SUMIF(Data!A:A,'17'!$A$2,Data!DQ:DQ),0)</f>
        <v>45248</v>
      </c>
      <c r="E58" s="18">
        <f>IF(F3="1",SUMIF(Data!$A:$A,'17'!$A$2,Data!JK:JK),0)</f>
        <v>5241</v>
      </c>
      <c r="F58" s="22">
        <f t="shared" si="3"/>
        <v>0.12</v>
      </c>
    </row>
    <row r="59" spans="1:6" x14ac:dyDescent="0.2">
      <c r="A59" s="20">
        <v>24</v>
      </c>
      <c r="B59" s="172" t="s">
        <v>21</v>
      </c>
      <c r="C59" s="173"/>
      <c r="D59" s="15">
        <f>IF(F3="1",SUMIF(Data!A:A,'17'!$A$2,Data!DR:DR),0)</f>
        <v>3640</v>
      </c>
      <c r="E59" s="18">
        <f>IF(F3="1",SUMIF(Data!$A:$A,'17'!$A$2,Data!JL:JL),0)</f>
        <v>5500</v>
      </c>
      <c r="F59" s="22">
        <f t="shared" si="3"/>
        <v>1.51</v>
      </c>
    </row>
    <row r="60" spans="1:6" x14ac:dyDescent="0.2">
      <c r="A60" s="20">
        <v>25</v>
      </c>
      <c r="B60" s="172" t="s">
        <v>22</v>
      </c>
      <c r="C60" s="173"/>
      <c r="D60" s="15">
        <f>IF(F3="1",SUMIF(Data!A:A,'17'!$A$2,Data!DS:DS),0)</f>
        <v>97344</v>
      </c>
      <c r="E60" s="18">
        <f>IF(F3="1",SUMIF(Data!$A:$A,'17'!$A$2,Data!JM:JM),0)</f>
        <v>3873</v>
      </c>
      <c r="F60" s="22">
        <f t="shared" si="3"/>
        <v>0.04</v>
      </c>
    </row>
    <row r="61" spans="1:6" x14ac:dyDescent="0.2">
      <c r="A61" s="20">
        <v>26</v>
      </c>
      <c r="B61" s="172" t="s">
        <v>23</v>
      </c>
      <c r="C61" s="173"/>
      <c r="D61" s="15">
        <f>IF(F3="1",SUMIF(Data!A:A,'17'!$A$2,Data!DT:DT),0)</f>
        <v>19136</v>
      </c>
      <c r="E61" s="18">
        <f>IF(F3="1",SUMIF(Data!$A:$A,'17'!$A$2,Data!JN:JN),0)</f>
        <v>12646</v>
      </c>
      <c r="F61" s="22">
        <f t="shared" si="3"/>
        <v>0.66</v>
      </c>
    </row>
    <row r="62" spans="1:6" x14ac:dyDescent="0.2">
      <c r="A62" s="20">
        <v>28</v>
      </c>
      <c r="B62" s="172" t="s">
        <v>24</v>
      </c>
      <c r="C62" s="173"/>
      <c r="D62" s="15">
        <f>IF(F3="1",SUMIF(Data!A:A,'17'!$A$2,Data!DV:DV),0)</f>
        <v>0</v>
      </c>
      <c r="E62" s="18">
        <f>IF(F3="1",SUMIF(Data!$A:$A,'17'!$A$2,Data!JP:JP),0)</f>
        <v>0</v>
      </c>
      <c r="F62" s="22" t="str">
        <f t="shared" si="3"/>
        <v/>
      </c>
    </row>
    <row r="63" spans="1:6" ht="15.75" customHeight="1" thickBot="1" x14ac:dyDescent="0.25">
      <c r="A63" s="23">
        <v>29</v>
      </c>
      <c r="B63" s="174" t="s">
        <v>25</v>
      </c>
      <c r="C63" s="175"/>
      <c r="D63" s="24">
        <f>IF(F3="1",SUMIF(Data!A:A,'17'!$A$2,Data!DW:DW),0)</f>
        <v>0</v>
      </c>
      <c r="E63" s="25">
        <f>IF(F3="1",SUMIF(Data!$A:$A,'17'!$A$2,Data!JQ:JQ),0)</f>
        <v>0</v>
      </c>
      <c r="F63" s="26" t="str">
        <f t="shared" si="3"/>
        <v/>
      </c>
    </row>
    <row r="64" spans="1:6" x14ac:dyDescent="0.2">
      <c r="B64" s="31" t="s">
        <v>35</v>
      </c>
      <c r="C64" s="31"/>
      <c r="D64" s="61">
        <f>SUM(D36:D63)</f>
        <v>696015</v>
      </c>
      <c r="E64" s="32">
        <f>SUM(E36:E63)</f>
        <v>978620</v>
      </c>
      <c r="F64" s="33">
        <f t="shared" si="3"/>
        <v>1.41</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11064</v>
      </c>
      <c r="E67" s="16">
        <f>IF(F3="1",SUMIF(Data!A:A,'17'!$A$2,Data!DY:DY),0)</f>
        <v>45645</v>
      </c>
      <c r="F67" s="21">
        <f t="shared" ref="F67:F95" si="4">IF(D67=0,"",ROUND(E67/D67,2))</f>
        <v>4.13</v>
      </c>
    </row>
    <row r="68" spans="1:6" x14ac:dyDescent="0.2">
      <c r="A68" s="20">
        <v>2</v>
      </c>
      <c r="B68" s="172" t="s">
        <v>1</v>
      </c>
      <c r="C68" s="173"/>
      <c r="D68" s="15">
        <f t="shared" ref="D68:D94" si="5">D37</f>
        <v>65574</v>
      </c>
      <c r="E68" s="18">
        <f>IF(F3="1",SUMIF(Data!A:A,'17'!$A$2,Data!DZ:DZ),0)</f>
        <v>205403</v>
      </c>
      <c r="F68" s="22">
        <f t="shared" si="4"/>
        <v>3.13</v>
      </c>
    </row>
    <row r="69" spans="1:6" ht="14.25" customHeight="1" x14ac:dyDescent="0.2">
      <c r="A69" s="20">
        <v>3</v>
      </c>
      <c r="B69" s="172" t="s">
        <v>2</v>
      </c>
      <c r="C69" s="173"/>
      <c r="D69" s="15">
        <f t="shared" si="5"/>
        <v>54800</v>
      </c>
      <c r="E69" s="18">
        <f>IF(F3="1",SUMIF(Data!A:A,'17'!$A$2,Data!EA:EA),0)</f>
        <v>182580</v>
      </c>
      <c r="F69" s="22">
        <f t="shared" si="4"/>
        <v>3.33</v>
      </c>
    </row>
    <row r="70" spans="1:6" ht="14.25" customHeight="1" x14ac:dyDescent="0.2">
      <c r="A70" s="20">
        <v>4</v>
      </c>
      <c r="B70" s="172" t="s">
        <v>3</v>
      </c>
      <c r="C70" s="173"/>
      <c r="D70" s="15">
        <f t="shared" si="5"/>
        <v>34174</v>
      </c>
      <c r="E70" s="18">
        <f>IF(F3="1",SUMIF(Data!A:A,'17'!$A$2,Data!EB:EB),0)</f>
        <v>114113</v>
      </c>
      <c r="F70" s="22">
        <f t="shared" si="4"/>
        <v>3.34</v>
      </c>
    </row>
    <row r="71" spans="1:6" x14ac:dyDescent="0.2">
      <c r="A71" s="20">
        <v>5</v>
      </c>
      <c r="B71" s="172" t="s">
        <v>4</v>
      </c>
      <c r="C71" s="173"/>
      <c r="D71" s="15">
        <f t="shared" si="5"/>
        <v>0</v>
      </c>
      <c r="E71" s="18">
        <f>IF(F3="1",SUMIF(Data!A:A,'17'!$A$2,Data!EC:EC),0)</f>
        <v>0</v>
      </c>
      <c r="F71" s="22" t="str">
        <f t="shared" si="4"/>
        <v/>
      </c>
    </row>
    <row r="72" spans="1:6" x14ac:dyDescent="0.2">
      <c r="A72" s="20">
        <v>6</v>
      </c>
      <c r="B72" s="172" t="s">
        <v>5</v>
      </c>
      <c r="C72" s="173"/>
      <c r="D72" s="15">
        <f t="shared" si="5"/>
        <v>48</v>
      </c>
      <c r="E72" s="18">
        <f>IF(F3="1",SUMIF(Data!A:A,'17'!$A$2,Data!ED:ED),0)</f>
        <v>0</v>
      </c>
      <c r="F72" s="22" t="str">
        <f>IF(E72=0,"",ROUND(E72/D72,2))</f>
        <v/>
      </c>
    </row>
    <row r="73" spans="1:6" x14ac:dyDescent="0.2">
      <c r="A73" s="20">
        <v>7</v>
      </c>
      <c r="B73" s="172" t="s">
        <v>6</v>
      </c>
      <c r="C73" s="173"/>
      <c r="D73" s="15">
        <f t="shared" si="5"/>
        <v>54098</v>
      </c>
      <c r="E73" s="18">
        <f>IF(F3="1",SUMIF(Data!A:A,'17'!$A$2,Data!EE:EE),0)</f>
        <v>180658</v>
      </c>
      <c r="F73" s="22">
        <f t="shared" si="4"/>
        <v>3.34</v>
      </c>
    </row>
    <row r="74" spans="1:6" x14ac:dyDescent="0.2">
      <c r="A74" s="20">
        <v>8</v>
      </c>
      <c r="B74" s="172" t="s">
        <v>7</v>
      </c>
      <c r="C74" s="173"/>
      <c r="D74" s="15">
        <f t="shared" si="5"/>
        <v>4732</v>
      </c>
      <c r="E74" s="18">
        <f>IF(F3="1",SUMIF(Data!A:A,'17'!$A$2,Data!EF:EF),0)</f>
        <v>2285</v>
      </c>
      <c r="F74" s="22">
        <f t="shared" si="4"/>
        <v>0.48</v>
      </c>
    </row>
    <row r="75" spans="1:6" x14ac:dyDescent="0.2">
      <c r="A75" s="20">
        <v>9</v>
      </c>
      <c r="B75" s="172" t="s">
        <v>8</v>
      </c>
      <c r="C75" s="173"/>
      <c r="D75" s="15">
        <f t="shared" si="5"/>
        <v>39188</v>
      </c>
      <c r="E75" s="18">
        <f>IF(F3="1",SUMIF(Data!A:A,'17'!$A$2,Data!EG:EG),0)</f>
        <v>136935</v>
      </c>
      <c r="F75" s="22">
        <f t="shared" si="4"/>
        <v>3.49</v>
      </c>
    </row>
    <row r="76" spans="1:6" x14ac:dyDescent="0.2">
      <c r="A76" s="20">
        <v>10</v>
      </c>
      <c r="B76" s="172" t="s">
        <v>9</v>
      </c>
      <c r="C76" s="173"/>
      <c r="D76" s="15">
        <f t="shared" si="5"/>
        <v>70</v>
      </c>
      <c r="E76" s="18">
        <f>IF(F3="1",SUMIF(Data!A:A,'17'!$A$2,Data!EH:EH),0)</f>
        <v>1000</v>
      </c>
      <c r="F76" s="22">
        <f t="shared" si="4"/>
        <v>14.29</v>
      </c>
    </row>
    <row r="77" spans="1:6" x14ac:dyDescent="0.2">
      <c r="A77" s="20">
        <v>11</v>
      </c>
      <c r="B77" s="172" t="s">
        <v>10</v>
      </c>
      <c r="C77" s="173"/>
      <c r="D77" s="15">
        <f t="shared" si="5"/>
        <v>55267</v>
      </c>
      <c r="E77" s="18">
        <f>IF(F3="1",SUMIF(Data!A:A,'17'!$A$2,Data!EI:EI),0)</f>
        <v>180000</v>
      </c>
      <c r="F77" s="22">
        <f t="shared" si="4"/>
        <v>3.26</v>
      </c>
    </row>
    <row r="78" spans="1:6" ht="14.25" customHeight="1" x14ac:dyDescent="0.2">
      <c r="A78" s="20">
        <v>12</v>
      </c>
      <c r="B78" s="172" t="s">
        <v>11</v>
      </c>
      <c r="C78" s="173"/>
      <c r="D78" s="15">
        <f t="shared" si="5"/>
        <v>68448</v>
      </c>
      <c r="E78" s="18">
        <f>IF(F3="1",SUMIF(Data!A:A,'17'!$A$2,Data!EJ:EJ),0)</f>
        <v>228225</v>
      </c>
      <c r="F78" s="22">
        <f t="shared" si="4"/>
        <v>3.33</v>
      </c>
    </row>
    <row r="79" spans="1:6" x14ac:dyDescent="0.2">
      <c r="A79" s="20">
        <v>13</v>
      </c>
      <c r="B79" s="172" t="s">
        <v>12</v>
      </c>
      <c r="C79" s="173"/>
      <c r="D79" s="15">
        <f t="shared" si="5"/>
        <v>4512</v>
      </c>
      <c r="E79" s="18">
        <f>IF(F3="1",SUMIF(Data!A:A,'17'!$A$2,Data!EK:EK),0)</f>
        <v>1000</v>
      </c>
      <c r="F79" s="22">
        <f t="shared" si="4"/>
        <v>0.22</v>
      </c>
    </row>
    <row r="80" spans="1:6" ht="14.25" customHeight="1" x14ac:dyDescent="0.2">
      <c r="A80" s="20">
        <v>14</v>
      </c>
      <c r="B80" s="172" t="s">
        <v>469</v>
      </c>
      <c r="C80" s="173"/>
      <c r="D80" s="15">
        <f t="shared" si="5"/>
        <v>1205</v>
      </c>
      <c r="E80" s="18">
        <f>IF(F3="1",SUMIF(Data!A:A,'17'!$A$2,Data!EL:EL),0)</f>
        <v>500</v>
      </c>
      <c r="F80" s="22">
        <f t="shared" si="4"/>
        <v>0.41</v>
      </c>
    </row>
    <row r="81" spans="1:6" x14ac:dyDescent="0.2">
      <c r="A81" s="20">
        <v>15</v>
      </c>
      <c r="B81" s="172" t="s">
        <v>13</v>
      </c>
      <c r="C81" s="173"/>
      <c r="D81" s="15">
        <f t="shared" si="5"/>
        <v>0</v>
      </c>
      <c r="E81" s="18">
        <f>IF(F3="1",SUMIF(Data!A:A,'17'!$A$2,Data!EM:EM),0)</f>
        <v>0</v>
      </c>
      <c r="F81" s="22" t="str">
        <f t="shared" si="4"/>
        <v/>
      </c>
    </row>
    <row r="82" spans="1:6" x14ac:dyDescent="0.2">
      <c r="A82" s="20">
        <v>16</v>
      </c>
      <c r="B82" s="172" t="s">
        <v>14</v>
      </c>
      <c r="C82" s="173"/>
      <c r="D82" s="15">
        <f t="shared" si="5"/>
        <v>28172</v>
      </c>
      <c r="E82" s="18">
        <f>IF(F3="1",SUMIF(Data!A:A,'17'!$A$2,Data!EN:EN),0)</f>
        <v>91290</v>
      </c>
      <c r="F82" s="22">
        <f t="shared" si="4"/>
        <v>3.24</v>
      </c>
    </row>
    <row r="83" spans="1:6" x14ac:dyDescent="0.2">
      <c r="A83" s="20">
        <v>17</v>
      </c>
      <c r="B83" s="172" t="s">
        <v>15</v>
      </c>
      <c r="C83" s="173"/>
      <c r="D83" s="15">
        <f t="shared" si="5"/>
        <v>0</v>
      </c>
      <c r="E83" s="18">
        <f>IF(F3="1",SUMIF(Data!A:A,'17'!$A$2,Data!EO:EO),0)</f>
        <v>0</v>
      </c>
      <c r="F83" s="22" t="str">
        <f t="shared" si="4"/>
        <v/>
      </c>
    </row>
    <row r="84" spans="1:6" x14ac:dyDescent="0.2">
      <c r="A84" s="20">
        <v>18</v>
      </c>
      <c r="B84" s="172" t="s">
        <v>16</v>
      </c>
      <c r="C84" s="173"/>
      <c r="D84" s="15">
        <f t="shared" si="5"/>
        <v>38152</v>
      </c>
      <c r="E84" s="18">
        <f>IF(F3="1",SUMIF(Data!A:A,'17'!$A$2,Data!EP:EP),0)</f>
        <v>114112</v>
      </c>
      <c r="F84" s="22">
        <f t="shared" si="4"/>
        <v>2.99</v>
      </c>
    </row>
    <row r="85" spans="1:6" x14ac:dyDescent="0.2">
      <c r="A85" s="20">
        <v>19</v>
      </c>
      <c r="B85" s="172" t="s">
        <v>17</v>
      </c>
      <c r="C85" s="173"/>
      <c r="D85" s="15">
        <f t="shared" si="5"/>
        <v>67068</v>
      </c>
      <c r="E85" s="18">
        <f>IF(F3="1",SUMIF(Data!A:A,'17'!$A$2,Data!EQ:EQ),0)</f>
        <v>228000</v>
      </c>
      <c r="F85" s="22">
        <f t="shared" si="4"/>
        <v>3.4</v>
      </c>
    </row>
    <row r="86" spans="1:6" x14ac:dyDescent="0.2">
      <c r="A86" s="20">
        <v>20</v>
      </c>
      <c r="B86" s="172" t="s">
        <v>18</v>
      </c>
      <c r="C86" s="173"/>
      <c r="D86" s="15">
        <f t="shared" si="5"/>
        <v>0</v>
      </c>
      <c r="E86" s="18">
        <f>IF(F3="1",SUMIF(Data!A:A,'17'!$A$2,Data!ER:ER),0)</f>
        <v>0</v>
      </c>
      <c r="F86" s="22" t="str">
        <f t="shared" si="4"/>
        <v/>
      </c>
    </row>
    <row r="87" spans="1:6" ht="14.25" customHeight="1" x14ac:dyDescent="0.2">
      <c r="A87" s="20">
        <v>21</v>
      </c>
      <c r="B87" s="172" t="s">
        <v>466</v>
      </c>
      <c r="C87" s="173"/>
      <c r="D87" s="15">
        <f t="shared" si="5"/>
        <v>2500</v>
      </c>
      <c r="E87" s="18">
        <f>IF(F3="1",SUMIF(Data!A:A,'17'!$A$2,Data!ES:ES),0)</f>
        <v>1000</v>
      </c>
      <c r="F87" s="22">
        <f t="shared" si="4"/>
        <v>0.4</v>
      </c>
    </row>
    <row r="88" spans="1:6" x14ac:dyDescent="0.2">
      <c r="A88" s="20">
        <v>22</v>
      </c>
      <c r="B88" s="172" t="s">
        <v>19</v>
      </c>
      <c r="C88" s="173"/>
      <c r="D88" s="15">
        <f t="shared" si="5"/>
        <v>1575</v>
      </c>
      <c r="E88" s="18">
        <f>IF(F3="1",SUMIF(Data!A:A,'17'!$A$2,Data!ET:ET),0)</f>
        <v>75</v>
      </c>
      <c r="F88" s="22">
        <f t="shared" si="4"/>
        <v>0.05</v>
      </c>
    </row>
    <row r="89" spans="1:6" x14ac:dyDescent="0.2">
      <c r="A89" s="20">
        <v>23</v>
      </c>
      <c r="B89" s="172" t="s">
        <v>20</v>
      </c>
      <c r="C89" s="173"/>
      <c r="D89" s="15">
        <f t="shared" si="5"/>
        <v>45248</v>
      </c>
      <c r="E89" s="18">
        <f>IF(F3="1",SUMIF(Data!A:A,'17'!$A$2,Data!EU:EU),0)</f>
        <v>159757</v>
      </c>
      <c r="F89" s="22">
        <f t="shared" si="4"/>
        <v>3.53</v>
      </c>
    </row>
    <row r="90" spans="1:6" x14ac:dyDescent="0.2">
      <c r="A90" s="20">
        <v>24</v>
      </c>
      <c r="B90" s="172" t="s">
        <v>21</v>
      </c>
      <c r="C90" s="173"/>
      <c r="D90" s="15">
        <f t="shared" si="5"/>
        <v>3640</v>
      </c>
      <c r="E90" s="18">
        <f>IF(F3="1",SUMIF(Data!A:A,'17'!$A$2,Data!EV:EV),0)</f>
        <v>1500</v>
      </c>
      <c r="F90" s="22">
        <f t="shared" si="4"/>
        <v>0.41</v>
      </c>
    </row>
    <row r="91" spans="1:6" x14ac:dyDescent="0.2">
      <c r="A91" s="20">
        <v>25</v>
      </c>
      <c r="B91" s="172" t="s">
        <v>22</v>
      </c>
      <c r="C91" s="173"/>
      <c r="D91" s="15">
        <f t="shared" si="5"/>
        <v>97344</v>
      </c>
      <c r="E91" s="18">
        <f>IF(F3="1",SUMIF(Data!A:A,'17'!$A$2,Data!EW:EW),0)</f>
        <v>319515</v>
      </c>
      <c r="F91" s="22">
        <f t="shared" si="4"/>
        <v>3.28</v>
      </c>
    </row>
    <row r="92" spans="1:6" x14ac:dyDescent="0.2">
      <c r="A92" s="20">
        <v>26</v>
      </c>
      <c r="B92" s="172" t="s">
        <v>23</v>
      </c>
      <c r="C92" s="173"/>
      <c r="D92" s="15">
        <f t="shared" si="5"/>
        <v>19136</v>
      </c>
      <c r="E92" s="18">
        <f>IF(F3="1",SUMIF(Data!A:A,'17'!$A$2,Data!EX:EX),0)</f>
        <v>87516</v>
      </c>
      <c r="F92" s="22">
        <f t="shared" si="4"/>
        <v>4.57</v>
      </c>
    </row>
    <row r="93" spans="1:6" x14ac:dyDescent="0.2">
      <c r="A93" s="20">
        <v>28</v>
      </c>
      <c r="B93" s="172" t="s">
        <v>24</v>
      </c>
      <c r="C93" s="173"/>
      <c r="D93" s="15">
        <f t="shared" si="5"/>
        <v>0</v>
      </c>
      <c r="E93" s="18">
        <f>IF(F3="1",SUMIF(Data!A:A,'17'!$A$2,Data!EZ:EZ),0)</f>
        <v>0</v>
      </c>
      <c r="F93" s="22" t="str">
        <f t="shared" si="4"/>
        <v/>
      </c>
    </row>
    <row r="94" spans="1:6" ht="15.75" customHeight="1" thickBot="1" x14ac:dyDescent="0.25">
      <c r="A94" s="23">
        <v>29</v>
      </c>
      <c r="B94" s="174" t="s">
        <v>25</v>
      </c>
      <c r="C94" s="175"/>
      <c r="D94" s="24">
        <f t="shared" si="5"/>
        <v>0</v>
      </c>
      <c r="E94" s="25">
        <f>IF(F3="1",SUMIF(Data!A:A,'17'!$A$2,Data!FA:FA),0)</f>
        <v>0</v>
      </c>
      <c r="F94" s="26" t="str">
        <f t="shared" si="4"/>
        <v/>
      </c>
    </row>
    <row r="95" spans="1:6" x14ac:dyDescent="0.2">
      <c r="B95" s="31" t="s">
        <v>35</v>
      </c>
      <c r="C95" s="31"/>
      <c r="D95" s="61">
        <f>SUM(D67:D94)</f>
        <v>696015</v>
      </c>
      <c r="E95" s="32">
        <f>SUM(E67:E94)</f>
        <v>2281109</v>
      </c>
      <c r="F95" s="33">
        <f t="shared" si="4"/>
        <v>3.28</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IF(F3="1",SUMIF(Data!A:A,'17'!$A$2,Data!AH:AH),0)</f>
        <v>1635856</v>
      </c>
      <c r="F98" s="21">
        <f>IF($D$105=0,"",ROUND(E98/$D$105,2))</f>
        <v>2.35</v>
      </c>
    </row>
    <row r="99" spans="2:6" x14ac:dyDescent="0.2">
      <c r="B99" s="178" t="s">
        <v>31</v>
      </c>
      <c r="C99" s="179"/>
      <c r="D99" s="37"/>
      <c r="E99" s="18">
        <f>IF(F3="1",SUMIF(Data!A:A,'17'!$A$2,Data!AI:AI),0)</f>
        <v>507787</v>
      </c>
      <c r="F99" s="22">
        <f t="shared" ref="F99:F105" si="6">IF($D$105=0,"",ROUND(E99/$D$105,2))</f>
        <v>0.73</v>
      </c>
    </row>
    <row r="100" spans="2:6" x14ac:dyDescent="0.2">
      <c r="B100" s="178" t="s">
        <v>32</v>
      </c>
      <c r="C100" s="179"/>
      <c r="D100" s="37"/>
      <c r="E100" s="18">
        <f>IF(F3="1",SUMIF(Data!A:A,'17'!$A$2,Data!AJ:AJ),0)</f>
        <v>140699</v>
      </c>
      <c r="F100" s="22">
        <f t="shared" si="6"/>
        <v>0.2</v>
      </c>
    </row>
    <row r="101" spans="2:6" x14ac:dyDescent="0.2">
      <c r="B101" s="178" t="s">
        <v>28</v>
      </c>
      <c r="C101" s="179"/>
      <c r="D101" s="37"/>
      <c r="E101" s="18">
        <f>IF(F3="1",SUMIF(Data!A:A,'17'!$A$2,Data!AK:AK),0)</f>
        <v>0</v>
      </c>
      <c r="F101" s="22">
        <f t="shared" si="6"/>
        <v>0</v>
      </c>
    </row>
    <row r="102" spans="2:6" x14ac:dyDescent="0.2">
      <c r="B102" s="178" t="s">
        <v>33</v>
      </c>
      <c r="C102" s="179"/>
      <c r="D102" s="37"/>
      <c r="E102" s="18">
        <f>IF(F3="1",SUMIF(Data!A:A,'17'!$A$2,Data!AL:AL),0)</f>
        <v>100617</v>
      </c>
      <c r="F102" s="22">
        <f t="shared" si="6"/>
        <v>0.14000000000000001</v>
      </c>
    </row>
    <row r="103" spans="2:6" x14ac:dyDescent="0.2">
      <c r="B103" s="180" t="s">
        <v>34</v>
      </c>
      <c r="C103" s="181"/>
      <c r="D103" s="37"/>
      <c r="E103" s="18">
        <f>IF(F3="1",SUMIF(Data!A:A,'17'!$A$2,Data!AM:AM),0)</f>
        <v>0</v>
      </c>
      <c r="F103" s="22">
        <f t="shared" si="6"/>
        <v>0</v>
      </c>
    </row>
    <row r="104" spans="2:6" ht="15.75" customHeight="1" thickBot="1" x14ac:dyDescent="0.25">
      <c r="B104" s="170" t="s">
        <v>29</v>
      </c>
      <c r="C104" s="171"/>
      <c r="D104" s="38"/>
      <c r="E104" s="25">
        <f>IF(F3="1",SUMIF(Data!A:A,'17'!$A$2,Data!Q:Q),0)</f>
        <v>119331</v>
      </c>
      <c r="F104" s="26">
        <f t="shared" si="6"/>
        <v>0.17</v>
      </c>
    </row>
    <row r="105" spans="2:6" x14ac:dyDescent="0.2">
      <c r="B105" s="31" t="s">
        <v>35</v>
      </c>
      <c r="C105" s="31"/>
      <c r="D105" s="35">
        <f>D95</f>
        <v>696015</v>
      </c>
      <c r="E105" s="32">
        <f>SUM(E98:E104)</f>
        <v>2504290</v>
      </c>
      <c r="F105" s="33">
        <f t="shared" si="6"/>
        <v>3.6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2281109</v>
      </c>
      <c r="D109" s="16">
        <f>IF(F3="1",SUMIF(Data!$A:$A,$A$2,Data!HJ:HJ),0)</f>
        <v>171309</v>
      </c>
      <c r="E109" s="16">
        <f>IF(F3="1",SUMIF(Data!$A:$A,$A$2,Data!IN:IN),0)</f>
        <v>980820</v>
      </c>
      <c r="F109" s="48">
        <f>SUM(C109:E109)</f>
        <v>3433238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38098</v>
      </c>
      <c r="D112" s="52"/>
      <c r="E112" s="51">
        <f>IF(F3="1",SUMIF(Data!A:A,$A$2,Data!AC:AC),0)</f>
        <v>102601</v>
      </c>
      <c r="F112" s="49">
        <f t="shared" si="7"/>
        <v>140699</v>
      </c>
    </row>
    <row r="113" spans="1:6" x14ac:dyDescent="0.2">
      <c r="B113" s="43" t="s">
        <v>31</v>
      </c>
      <c r="C113" s="51">
        <f>IF(F3="1",SUMIF(Data!A:A,$A$2,Data!U:U),0)</f>
        <v>412701</v>
      </c>
      <c r="D113" s="52"/>
      <c r="E113" s="51">
        <f>IF(F3="1",SUMIF(Data!A:A,$A$2,Data!AB:AB),0)</f>
        <v>95086</v>
      </c>
      <c r="F113" s="49">
        <f t="shared" si="7"/>
        <v>507787</v>
      </c>
    </row>
    <row r="114" spans="1:6" x14ac:dyDescent="0.2">
      <c r="B114" s="43" t="s">
        <v>1021</v>
      </c>
      <c r="C114" s="51">
        <f>IF(F3="1",SUMIF(Data!A:A,$A$2,Data!T:T),0)</f>
        <v>833275</v>
      </c>
      <c r="D114" s="52"/>
      <c r="E114" s="51">
        <f>IF(F3="1",SUMIF(Data!A:A,$A$2,Data!AA:AA),0)</f>
        <v>802581</v>
      </c>
      <c r="F114" s="49">
        <f t="shared" si="7"/>
        <v>1635856</v>
      </c>
    </row>
    <row r="115" spans="1:6" x14ac:dyDescent="0.2">
      <c r="B115" s="43" t="s">
        <v>937</v>
      </c>
      <c r="C115" s="51">
        <f>IF(F3="1",SUMIF(Data!A:A,$A$2,Data!BI:BI),0)</f>
        <v>262028</v>
      </c>
      <c r="D115" s="51">
        <f>IF(F3="1",SUMIF(Data!A:A,$A$2,Data!BL:BL),0)</f>
        <v>18281</v>
      </c>
      <c r="E115" s="51">
        <f>IF(F3="1",SUMIF(Data!A:A,$A$2,Data!BU:BU),0)</f>
        <v>805764</v>
      </c>
      <c r="F115" s="49">
        <f t="shared" si="7"/>
        <v>1086073</v>
      </c>
    </row>
    <row r="116" spans="1:6" x14ac:dyDescent="0.2">
      <c r="B116" s="43" t="s">
        <v>33</v>
      </c>
      <c r="C116" s="51">
        <f>IF(F3="1",SUMIF(Data!A:A,$A$2,Data!X:X),0)</f>
        <v>0</v>
      </c>
      <c r="D116" s="51"/>
      <c r="E116" s="51">
        <f>E102</f>
        <v>100617</v>
      </c>
      <c r="F116" s="49">
        <f t="shared" si="7"/>
        <v>100617</v>
      </c>
    </row>
    <row r="117" spans="1:6" ht="15" thickBot="1" x14ac:dyDescent="0.25">
      <c r="B117" s="44" t="s">
        <v>941</v>
      </c>
      <c r="C117" s="53"/>
      <c r="D117" s="53">
        <f>IF(F3="1",SUMIF(Data!A:A,$A$2,Data!Q:Q),0)</f>
        <v>119331</v>
      </c>
      <c r="E117" s="53"/>
      <c r="F117" s="50">
        <f>SUM(C117:E117)</f>
        <v>119331</v>
      </c>
    </row>
    <row r="118" spans="1:6" x14ac:dyDescent="0.2">
      <c r="B118" s="14" t="s">
        <v>35</v>
      </c>
      <c r="C118" s="5">
        <f>SUM(C109:C116)</f>
        <v>3827211</v>
      </c>
      <c r="D118" s="5">
        <f>SUM(D109:D116)</f>
        <v>189590</v>
      </c>
      <c r="E118" s="5">
        <f>SUM(E109:E116)</f>
        <v>2887469</v>
      </c>
      <c r="F118" s="5">
        <f>SUM(F109:F116)</f>
        <v>6904270</v>
      </c>
    </row>
    <row r="119" spans="1:6" ht="15" thickBot="1" x14ac:dyDescent="0.25"/>
    <row r="120" spans="1:6" ht="15" thickBot="1" x14ac:dyDescent="0.25">
      <c r="B120" s="57" t="s">
        <v>942</v>
      </c>
      <c r="C120" s="55"/>
      <c r="D120" s="55"/>
      <c r="E120" s="55">
        <f>IF(F3="1",SUMIF(Data!A:A,'17'!$A$2,Data!AM:AM),0)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424</v>
      </c>
      <c r="B2" s="60" t="str">
        <f>VLOOKUP(A2,Data!A:G,7,0)</f>
        <v>Galveston College</v>
      </c>
      <c r="C2" s="60"/>
    </row>
    <row r="3" spans="1:6" ht="15" thickBot="1" x14ac:dyDescent="0.25">
      <c r="A3" s="4"/>
      <c r="F3" s="58">
        <f>IFERROR(VLOOKUP(A2,Data!A:C,3,0),"0")</f>
        <v>0</v>
      </c>
    </row>
    <row r="4" spans="1:6" ht="29.25" customHeight="1" x14ac:dyDescent="0.2">
      <c r="A4" s="27" t="s">
        <v>26</v>
      </c>
      <c r="B4" s="182" t="s">
        <v>470</v>
      </c>
      <c r="C4" s="183"/>
      <c r="D4" s="29" t="s">
        <v>27</v>
      </c>
      <c r="E4" s="29" t="s">
        <v>467</v>
      </c>
      <c r="F4" s="30" t="s">
        <v>468</v>
      </c>
    </row>
    <row r="5" spans="1:6" x14ac:dyDescent="0.2">
      <c r="A5" s="20">
        <v>1</v>
      </c>
      <c r="B5" s="172" t="s">
        <v>0</v>
      </c>
      <c r="C5" s="173"/>
      <c r="D5" s="15">
        <f>D36</f>
        <v>0</v>
      </c>
      <c r="E5" s="16">
        <f>E36+E67+IFERROR($E$105/$D$105*D5,0)</f>
        <v>0</v>
      </c>
      <c r="F5" s="21" t="str">
        <f>IF(OR(D5=0,E5=0),"",ROUND(E5/D5,2))</f>
        <v/>
      </c>
    </row>
    <row r="6" spans="1:6" x14ac:dyDescent="0.2">
      <c r="A6" s="20">
        <v>2</v>
      </c>
      <c r="B6" s="172" t="s">
        <v>1</v>
      </c>
      <c r="C6" s="173"/>
      <c r="D6" s="15">
        <f t="shared" ref="D6:D32" si="0">D37</f>
        <v>0</v>
      </c>
      <c r="E6" s="18">
        <f t="shared" ref="E6:E32" si="1">E37+E68+IFERROR($E$105/$D$105*D6,0)</f>
        <v>0</v>
      </c>
      <c r="F6" s="22" t="str">
        <f t="shared" ref="F6:F33" si="2">IF(OR(D6=0,E6=0),"",ROUND(E6/D6,2))</f>
        <v/>
      </c>
    </row>
    <row r="7" spans="1:6" ht="14.25" customHeight="1" x14ac:dyDescent="0.2">
      <c r="A7" s="20">
        <v>3</v>
      </c>
      <c r="B7" s="172" t="s">
        <v>2</v>
      </c>
      <c r="C7" s="173"/>
      <c r="D7" s="15">
        <f t="shared" si="0"/>
        <v>0</v>
      </c>
      <c r="E7" s="18">
        <f t="shared" si="1"/>
        <v>0</v>
      </c>
      <c r="F7" s="22" t="str">
        <f t="shared" si="2"/>
        <v/>
      </c>
    </row>
    <row r="8" spans="1:6" ht="14.25" customHeight="1" x14ac:dyDescent="0.2">
      <c r="A8" s="20">
        <v>4</v>
      </c>
      <c r="B8" s="172" t="s">
        <v>3</v>
      </c>
      <c r="C8" s="173"/>
      <c r="D8" s="15">
        <f t="shared" si="0"/>
        <v>0</v>
      </c>
      <c r="E8" s="18">
        <f t="shared" si="1"/>
        <v>0</v>
      </c>
      <c r="F8" s="22" t="str">
        <f t="shared" si="2"/>
        <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0</v>
      </c>
      <c r="E10" s="18">
        <f t="shared" si="1"/>
        <v>0</v>
      </c>
      <c r="F10" s="22" t="str">
        <f t="shared" si="2"/>
        <v/>
      </c>
    </row>
    <row r="11" spans="1:6" x14ac:dyDescent="0.2">
      <c r="A11" s="20">
        <v>7</v>
      </c>
      <c r="B11" s="172" t="s">
        <v>6</v>
      </c>
      <c r="C11" s="173"/>
      <c r="D11" s="15">
        <f t="shared" si="0"/>
        <v>0</v>
      </c>
      <c r="E11" s="18">
        <f t="shared" si="1"/>
        <v>0</v>
      </c>
      <c r="F11" s="22" t="str">
        <f t="shared" si="2"/>
        <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0</v>
      </c>
      <c r="E13" s="18">
        <f t="shared" si="1"/>
        <v>0</v>
      </c>
      <c r="F13" s="22" t="str">
        <f t="shared" si="2"/>
        <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0</v>
      </c>
      <c r="E15" s="18">
        <f t="shared" si="1"/>
        <v>0</v>
      </c>
      <c r="F15" s="22" t="str">
        <f t="shared" si="2"/>
        <v/>
      </c>
    </row>
    <row r="16" spans="1:6" ht="14.25" customHeight="1" x14ac:dyDescent="0.2">
      <c r="A16" s="20">
        <v>12</v>
      </c>
      <c r="B16" s="172" t="s">
        <v>11</v>
      </c>
      <c r="C16" s="173"/>
      <c r="D16" s="15">
        <f t="shared" si="0"/>
        <v>0</v>
      </c>
      <c r="E16" s="18">
        <f t="shared" si="1"/>
        <v>0</v>
      </c>
      <c r="F16" s="22" t="str">
        <f t="shared" si="2"/>
        <v/>
      </c>
    </row>
    <row r="17" spans="1:6" x14ac:dyDescent="0.2">
      <c r="A17" s="20">
        <v>13</v>
      </c>
      <c r="B17" s="172" t="s">
        <v>12</v>
      </c>
      <c r="C17" s="173"/>
      <c r="D17" s="15">
        <f t="shared" si="0"/>
        <v>0</v>
      </c>
      <c r="E17" s="18">
        <f t="shared" si="1"/>
        <v>0</v>
      </c>
      <c r="F17" s="22" t="str">
        <f t="shared" si="2"/>
        <v/>
      </c>
    </row>
    <row r="18" spans="1:6" ht="14.25" customHeight="1" x14ac:dyDescent="0.2">
      <c r="A18" s="20">
        <v>14</v>
      </c>
      <c r="B18" s="172" t="s">
        <v>469</v>
      </c>
      <c r="C18" s="173"/>
      <c r="D18" s="15">
        <f t="shared" si="0"/>
        <v>0</v>
      </c>
      <c r="E18" s="18">
        <f t="shared" si="1"/>
        <v>0</v>
      </c>
      <c r="F18" s="22" t="str">
        <f t="shared" si="2"/>
        <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0</v>
      </c>
      <c r="E20" s="18">
        <f t="shared" si="1"/>
        <v>0</v>
      </c>
      <c r="F20" s="22" t="str">
        <f t="shared" si="2"/>
        <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0</v>
      </c>
      <c r="E23" s="18">
        <f t="shared" si="1"/>
        <v>0</v>
      </c>
      <c r="F23" s="22" t="str">
        <f t="shared" si="2"/>
        <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0</v>
      </c>
      <c r="E26" s="18">
        <f t="shared" si="1"/>
        <v>0</v>
      </c>
      <c r="F26" s="22" t="str">
        <f t="shared" si="2"/>
        <v/>
      </c>
    </row>
    <row r="27" spans="1:6" x14ac:dyDescent="0.2">
      <c r="A27" s="20">
        <v>23</v>
      </c>
      <c r="B27" s="172" t="s">
        <v>20</v>
      </c>
      <c r="C27" s="173"/>
      <c r="D27" s="15">
        <f t="shared" si="0"/>
        <v>0</v>
      </c>
      <c r="E27" s="18">
        <f t="shared" si="1"/>
        <v>0</v>
      </c>
      <c r="F27" s="22" t="str">
        <f t="shared" si="2"/>
        <v/>
      </c>
    </row>
    <row r="28" spans="1:6" x14ac:dyDescent="0.2">
      <c r="A28" s="20">
        <v>24</v>
      </c>
      <c r="B28" s="172" t="s">
        <v>21</v>
      </c>
      <c r="C28" s="173"/>
      <c r="D28" s="15">
        <f t="shared" si="0"/>
        <v>0</v>
      </c>
      <c r="E28" s="18">
        <f t="shared" si="1"/>
        <v>0</v>
      </c>
      <c r="F28" s="22" t="str">
        <f t="shared" si="2"/>
        <v/>
      </c>
    </row>
    <row r="29" spans="1:6" x14ac:dyDescent="0.2">
      <c r="A29" s="20">
        <v>25</v>
      </c>
      <c r="B29" s="172" t="s">
        <v>22</v>
      </c>
      <c r="C29" s="173"/>
      <c r="D29" s="15">
        <f t="shared" si="0"/>
        <v>0</v>
      </c>
      <c r="E29" s="18">
        <f t="shared" si="1"/>
        <v>0</v>
      </c>
      <c r="F29" s="22" t="str">
        <f t="shared" si="2"/>
        <v/>
      </c>
    </row>
    <row r="30" spans="1:6" x14ac:dyDescent="0.2">
      <c r="A30" s="20">
        <v>26</v>
      </c>
      <c r="B30" s="172" t="s">
        <v>23</v>
      </c>
      <c r="C30" s="173"/>
      <c r="D30" s="15">
        <f t="shared" si="0"/>
        <v>0</v>
      </c>
      <c r="E30" s="18">
        <f t="shared" si="1"/>
        <v>0</v>
      </c>
      <c r="F30" s="22" t="str">
        <f t="shared" si="2"/>
        <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IF(F3="1",SUMIF(Data!A:A,'18'!$A$2,Data!CU:CU),0)</f>
        <v>0</v>
      </c>
      <c r="E36" s="16">
        <f>IF(F3="1",SUMIF(Data!$A:$A,'18'!$A$2,Data!IO:IO),0)</f>
        <v>0</v>
      </c>
      <c r="F36" s="21" t="str">
        <f>IF(D36=0,"",ROUND(E36/D36,2))</f>
        <v/>
      </c>
    </row>
    <row r="37" spans="1:6" x14ac:dyDescent="0.2">
      <c r="A37" s="20">
        <v>2</v>
      </c>
      <c r="B37" s="172" t="s">
        <v>1</v>
      </c>
      <c r="C37" s="173"/>
      <c r="D37" s="15">
        <f>IF(F3="1",SUMIF(Data!A:A,'18'!$A$2,Data!CV:CV),0)</f>
        <v>0</v>
      </c>
      <c r="E37" s="18">
        <f>IF(F3="1",SUMIF(Data!$A:$A,'18'!$A$2,Data!IP:IP),0)</f>
        <v>0</v>
      </c>
      <c r="F37" s="22" t="str">
        <f t="shared" ref="F37:F64" si="3">IF(D37=0,"",ROUND(E37/D37,2))</f>
        <v/>
      </c>
    </row>
    <row r="38" spans="1:6" ht="14.25" customHeight="1" x14ac:dyDescent="0.2">
      <c r="A38" s="20">
        <v>3</v>
      </c>
      <c r="B38" s="172" t="s">
        <v>2</v>
      </c>
      <c r="C38" s="173"/>
      <c r="D38" s="15">
        <f>IF(F3="1",SUMIF(Data!A:A,'18'!$A$2,Data!CW:CW),0)</f>
        <v>0</v>
      </c>
      <c r="E38" s="18">
        <f>IF(F3="1",SUMIF(Data!$A:$A,'18'!$A$2,Data!IQ:IQ),0)</f>
        <v>0</v>
      </c>
      <c r="F38" s="22" t="str">
        <f t="shared" si="3"/>
        <v/>
      </c>
    </row>
    <row r="39" spans="1:6" ht="14.25" customHeight="1" x14ac:dyDescent="0.2">
      <c r="A39" s="20">
        <v>4</v>
      </c>
      <c r="B39" s="172" t="s">
        <v>3</v>
      </c>
      <c r="C39" s="173"/>
      <c r="D39" s="15">
        <f>IF(F3="1",SUMIF(Data!A:A,'18'!$A$2,Data!CX:CX),0)</f>
        <v>0</v>
      </c>
      <c r="E39" s="18">
        <f>IF(F3="1",SUMIF(Data!$A:$A,'18'!$A$2,Data!IR:IR),0)</f>
        <v>0</v>
      </c>
      <c r="F39" s="22" t="str">
        <f t="shared" si="3"/>
        <v/>
      </c>
    </row>
    <row r="40" spans="1:6" x14ac:dyDescent="0.2">
      <c r="A40" s="20">
        <v>5</v>
      </c>
      <c r="B40" s="172" t="s">
        <v>4</v>
      </c>
      <c r="C40" s="173"/>
      <c r="D40" s="15">
        <f>IF(F3="1",SUMIF(Data!A:A,'18'!$A$2,Data!CY:CY),0)</f>
        <v>0</v>
      </c>
      <c r="E40" s="18">
        <f>IF(F3="1",SUMIF(Data!$A:$A,'18'!$A$2,Data!IS:IS),0)</f>
        <v>0</v>
      </c>
      <c r="F40" s="22" t="str">
        <f t="shared" si="3"/>
        <v/>
      </c>
    </row>
    <row r="41" spans="1:6" x14ac:dyDescent="0.2">
      <c r="A41" s="20">
        <v>6</v>
      </c>
      <c r="B41" s="172" t="s">
        <v>5</v>
      </c>
      <c r="C41" s="173"/>
      <c r="D41" s="15">
        <f>IF(F3="1",SUMIF(Data!A:A,'18'!$A$2,Data!CZ:CZ),0)</f>
        <v>0</v>
      </c>
      <c r="E41" s="18">
        <f>IF(F3="1",SUMIF(Data!$A:$A,'18'!$A$2,Data!IT:IT),0)</f>
        <v>0</v>
      </c>
      <c r="F41" s="22" t="str">
        <f t="shared" si="3"/>
        <v/>
      </c>
    </row>
    <row r="42" spans="1:6" x14ac:dyDescent="0.2">
      <c r="A42" s="20">
        <v>7</v>
      </c>
      <c r="B42" s="172" t="s">
        <v>6</v>
      </c>
      <c r="C42" s="173"/>
      <c r="D42" s="15">
        <f>IF(F3="1",SUMIF(Data!A:A,'18'!$A$2,Data!DA:DA),0)</f>
        <v>0</v>
      </c>
      <c r="E42" s="18">
        <f>IF(F3="1",SUMIF(Data!$A:$A,'18'!$A$2,Data!IU:IU),0)</f>
        <v>0</v>
      </c>
      <c r="F42" s="22" t="str">
        <f t="shared" si="3"/>
        <v/>
      </c>
    </row>
    <row r="43" spans="1:6" x14ac:dyDescent="0.2">
      <c r="A43" s="20">
        <v>8</v>
      </c>
      <c r="B43" s="172" t="s">
        <v>7</v>
      </c>
      <c r="C43" s="173"/>
      <c r="D43" s="15">
        <f>IF(F3="1",SUMIF(Data!A:A,'18'!$A$2,Data!DB:DB),0)</f>
        <v>0</v>
      </c>
      <c r="E43" s="18">
        <f>IF(F3="1",SUMIF(Data!$A:$A,'18'!$A$2,Data!IV:IV),0)</f>
        <v>0</v>
      </c>
      <c r="F43" s="22" t="str">
        <f t="shared" si="3"/>
        <v/>
      </c>
    </row>
    <row r="44" spans="1:6" x14ac:dyDescent="0.2">
      <c r="A44" s="20">
        <v>9</v>
      </c>
      <c r="B44" s="172" t="s">
        <v>8</v>
      </c>
      <c r="C44" s="173"/>
      <c r="D44" s="15">
        <f>IF(F3="1",SUMIF(Data!A:A,'18'!$A$2,Data!DC:DC),0)</f>
        <v>0</v>
      </c>
      <c r="E44" s="18">
        <f>IF(F3="1",SUMIF(Data!$A:$A,'18'!$A$2,Data!IW:IW),0)</f>
        <v>0</v>
      </c>
      <c r="F44" s="22" t="str">
        <f t="shared" si="3"/>
        <v/>
      </c>
    </row>
    <row r="45" spans="1:6" x14ac:dyDescent="0.2">
      <c r="A45" s="20">
        <v>10</v>
      </c>
      <c r="B45" s="172" t="s">
        <v>9</v>
      </c>
      <c r="C45" s="173"/>
      <c r="D45" s="15">
        <f>IF(F3="1",SUMIF(Data!A:A,'18'!$A$2,Data!DD:DD),0)</f>
        <v>0</v>
      </c>
      <c r="E45" s="18">
        <f>IF(F3="1",SUMIF(Data!$A:$A,'18'!$A$2,Data!IX:IX),0)</f>
        <v>0</v>
      </c>
      <c r="F45" s="22" t="str">
        <f t="shared" si="3"/>
        <v/>
      </c>
    </row>
    <row r="46" spans="1:6" x14ac:dyDescent="0.2">
      <c r="A46" s="20">
        <v>11</v>
      </c>
      <c r="B46" s="172" t="s">
        <v>10</v>
      </c>
      <c r="C46" s="173"/>
      <c r="D46" s="15">
        <f>IF(F3="1",SUMIF(Data!A:A,'18'!$A$2,Data!DE:DE),0)</f>
        <v>0</v>
      </c>
      <c r="E46" s="18">
        <f>IF(F3="1",SUMIF(Data!$A:$A,'18'!$A$2,Data!IY:IY),0)</f>
        <v>0</v>
      </c>
      <c r="F46" s="22" t="str">
        <f t="shared" si="3"/>
        <v/>
      </c>
    </row>
    <row r="47" spans="1:6" ht="14.25" customHeight="1" x14ac:dyDescent="0.2">
      <c r="A47" s="20">
        <v>12</v>
      </c>
      <c r="B47" s="172" t="s">
        <v>11</v>
      </c>
      <c r="C47" s="173"/>
      <c r="D47" s="15">
        <f>IF(F3="1",SUMIF(Data!A:A,'18'!$A$2,Data!DF:DF),0)</f>
        <v>0</v>
      </c>
      <c r="E47" s="18">
        <f>IF(F3="1",SUMIF(Data!$A:$A,'18'!$A$2,Data!IZ:IZ),0)</f>
        <v>0</v>
      </c>
      <c r="F47" s="22" t="str">
        <f t="shared" si="3"/>
        <v/>
      </c>
    </row>
    <row r="48" spans="1:6" x14ac:dyDescent="0.2">
      <c r="A48" s="20">
        <v>13</v>
      </c>
      <c r="B48" s="172" t="s">
        <v>12</v>
      </c>
      <c r="C48" s="173"/>
      <c r="D48" s="15">
        <f>IF(F3="1",SUMIF(Data!A:A,'18'!$A$2,Data!DG:DG),0)</f>
        <v>0</v>
      </c>
      <c r="E48" s="18">
        <f>IF(F3="1",SUMIF(Data!$A:$A,'18'!$A$2,Data!JA:JA),0)</f>
        <v>0</v>
      </c>
      <c r="F48" s="22" t="str">
        <f t="shared" si="3"/>
        <v/>
      </c>
    </row>
    <row r="49" spans="1:6" ht="14.25" customHeight="1" x14ac:dyDescent="0.2">
      <c r="A49" s="20">
        <v>14</v>
      </c>
      <c r="B49" s="172" t="s">
        <v>469</v>
      </c>
      <c r="C49" s="173"/>
      <c r="D49" s="15">
        <f>IF(F3="1",SUMIF(Data!A:A,'18'!$A$2,Data!DH:DH),0)</f>
        <v>0</v>
      </c>
      <c r="E49" s="18">
        <f>IF(F3="1",SUMIF(Data!$A:$A,'18'!$A$2,Data!JB:JB),0)</f>
        <v>0</v>
      </c>
      <c r="F49" s="22" t="str">
        <f t="shared" si="3"/>
        <v/>
      </c>
    </row>
    <row r="50" spans="1:6" x14ac:dyDescent="0.2">
      <c r="A50" s="20">
        <v>15</v>
      </c>
      <c r="B50" s="172" t="s">
        <v>13</v>
      </c>
      <c r="C50" s="173"/>
      <c r="D50" s="15">
        <f>IF(F3="1",SUMIF(Data!A:A,'18'!$A$2,Data!DI:DI),0)</f>
        <v>0</v>
      </c>
      <c r="E50" s="18">
        <f>IF(F3="1",SUMIF(Data!$A:$A,'18'!$A$2,Data!JC:JC),0)</f>
        <v>0</v>
      </c>
      <c r="F50" s="22" t="str">
        <f t="shared" si="3"/>
        <v/>
      </c>
    </row>
    <row r="51" spans="1:6" x14ac:dyDescent="0.2">
      <c r="A51" s="20">
        <v>16</v>
      </c>
      <c r="B51" s="172" t="s">
        <v>14</v>
      </c>
      <c r="C51" s="173"/>
      <c r="D51" s="15">
        <f>IF(F3="1",SUMIF(Data!A:A,'18'!$A$2,Data!DJ:DJ),0)</f>
        <v>0</v>
      </c>
      <c r="E51" s="18">
        <f>IF(F3="1",SUMIF(Data!$A:$A,'18'!$A$2,Data!JD:JD),0)</f>
        <v>0</v>
      </c>
      <c r="F51" s="22" t="str">
        <f t="shared" si="3"/>
        <v/>
      </c>
    </row>
    <row r="52" spans="1:6" x14ac:dyDescent="0.2">
      <c r="A52" s="20">
        <v>17</v>
      </c>
      <c r="B52" s="172" t="s">
        <v>15</v>
      </c>
      <c r="C52" s="173"/>
      <c r="D52" s="15">
        <f>IF(F3="1",SUMIF(Data!A:A,'18'!$A$2,Data!DK:DK),0)</f>
        <v>0</v>
      </c>
      <c r="E52" s="18">
        <f>IF(F3="1",SUMIF(Data!$A:$A,'18'!$A$2,Data!JE:JE),0)</f>
        <v>0</v>
      </c>
      <c r="F52" s="22" t="str">
        <f t="shared" si="3"/>
        <v/>
      </c>
    </row>
    <row r="53" spans="1:6" x14ac:dyDescent="0.2">
      <c r="A53" s="20">
        <v>18</v>
      </c>
      <c r="B53" s="172" t="s">
        <v>16</v>
      </c>
      <c r="C53" s="173"/>
      <c r="D53" s="15">
        <f>IF(F3="1",SUMIF(Data!A:A,'18'!$A$2,Data!DL:DL),0)</f>
        <v>0</v>
      </c>
      <c r="E53" s="18">
        <f>IF(F3="1",SUMIF(Data!$A:$A,'18'!$A$2,Data!JF:JF),0)</f>
        <v>0</v>
      </c>
      <c r="F53" s="22" t="str">
        <f t="shared" si="3"/>
        <v/>
      </c>
    </row>
    <row r="54" spans="1:6" x14ac:dyDescent="0.2">
      <c r="A54" s="20">
        <v>19</v>
      </c>
      <c r="B54" s="172" t="s">
        <v>17</v>
      </c>
      <c r="C54" s="173"/>
      <c r="D54" s="15">
        <f>IF(F3="1",SUMIF(Data!A:A,'18'!$A$2,Data!DM:DM),0)</f>
        <v>0</v>
      </c>
      <c r="E54" s="18">
        <f>IF(F3="1",SUMIF(Data!$A:$A,'18'!$A$2,Data!JG:JG),0)</f>
        <v>0</v>
      </c>
      <c r="F54" s="22" t="str">
        <f t="shared" si="3"/>
        <v/>
      </c>
    </row>
    <row r="55" spans="1:6" x14ac:dyDescent="0.2">
      <c r="A55" s="20">
        <v>20</v>
      </c>
      <c r="B55" s="172" t="s">
        <v>18</v>
      </c>
      <c r="C55" s="173"/>
      <c r="D55" s="15">
        <f>IF(F3="1",SUMIF(Data!A:A,'18'!$A$2,Data!DN:DN),0)</f>
        <v>0</v>
      </c>
      <c r="E55" s="18">
        <f>IF(F3="1",SUMIF(Data!$A:$A,'18'!$A$2,Data!JH:JH),0)</f>
        <v>0</v>
      </c>
      <c r="F55" s="22" t="str">
        <f t="shared" si="3"/>
        <v/>
      </c>
    </row>
    <row r="56" spans="1:6" ht="14.25" customHeight="1" x14ac:dyDescent="0.2">
      <c r="A56" s="20">
        <v>21</v>
      </c>
      <c r="B56" s="172" t="s">
        <v>466</v>
      </c>
      <c r="C56" s="173"/>
      <c r="D56" s="15">
        <f>IF(F3="1",SUMIF(Data!A:A,'18'!$A$2,Data!DO:DO),0)</f>
        <v>0</v>
      </c>
      <c r="E56" s="18">
        <f>IF(F3="1",SUMIF(Data!$A:$A,'18'!$A$2,Data!JI:JI),0)</f>
        <v>0</v>
      </c>
      <c r="F56" s="22" t="str">
        <f t="shared" si="3"/>
        <v/>
      </c>
    </row>
    <row r="57" spans="1:6" x14ac:dyDescent="0.2">
      <c r="A57" s="20">
        <v>22</v>
      </c>
      <c r="B57" s="172" t="s">
        <v>19</v>
      </c>
      <c r="C57" s="173"/>
      <c r="D57" s="15">
        <f>IF(F3="1",SUMIF(Data!A:A,'18'!$A$2,Data!DP:DP),0)</f>
        <v>0</v>
      </c>
      <c r="E57" s="18">
        <f>IF(F3="1",SUMIF(Data!$A:$A,'18'!$A$2,Data!JJ:JJ),0)</f>
        <v>0</v>
      </c>
      <c r="F57" s="22" t="str">
        <f t="shared" si="3"/>
        <v/>
      </c>
    </row>
    <row r="58" spans="1:6" x14ac:dyDescent="0.2">
      <c r="A58" s="20">
        <v>23</v>
      </c>
      <c r="B58" s="172" t="s">
        <v>20</v>
      </c>
      <c r="C58" s="173"/>
      <c r="D58" s="15">
        <f>IF(F3="1",SUMIF(Data!A:A,'18'!$A$2,Data!DQ:DQ),0)</f>
        <v>0</v>
      </c>
      <c r="E58" s="18">
        <f>IF(F3="1",SUMIF(Data!$A:$A,'18'!$A$2,Data!JK:JK),0)</f>
        <v>0</v>
      </c>
      <c r="F58" s="22" t="str">
        <f t="shared" si="3"/>
        <v/>
      </c>
    </row>
    <row r="59" spans="1:6" x14ac:dyDescent="0.2">
      <c r="A59" s="20">
        <v>24</v>
      </c>
      <c r="B59" s="172" t="s">
        <v>21</v>
      </c>
      <c r="C59" s="173"/>
      <c r="D59" s="15">
        <f>IF(F3="1",SUMIF(Data!A:A,'18'!$A$2,Data!DR:DR),0)</f>
        <v>0</v>
      </c>
      <c r="E59" s="18">
        <f>IF(F3="1",SUMIF(Data!$A:$A,'18'!$A$2,Data!JL:JL),0)</f>
        <v>0</v>
      </c>
      <c r="F59" s="22" t="str">
        <f t="shared" si="3"/>
        <v/>
      </c>
    </row>
    <row r="60" spans="1:6" x14ac:dyDescent="0.2">
      <c r="A60" s="20">
        <v>25</v>
      </c>
      <c r="B60" s="172" t="s">
        <v>22</v>
      </c>
      <c r="C60" s="173"/>
      <c r="D60" s="15">
        <f>IF(F3="1",SUMIF(Data!A:A,'18'!$A$2,Data!DS:DS),0)</f>
        <v>0</v>
      </c>
      <c r="E60" s="18">
        <f>IF(F3="1",SUMIF(Data!$A:$A,'18'!$A$2,Data!JM:JM),0)</f>
        <v>0</v>
      </c>
      <c r="F60" s="22" t="str">
        <f t="shared" si="3"/>
        <v/>
      </c>
    </row>
    <row r="61" spans="1:6" x14ac:dyDescent="0.2">
      <c r="A61" s="20">
        <v>26</v>
      </c>
      <c r="B61" s="172" t="s">
        <v>23</v>
      </c>
      <c r="C61" s="173"/>
      <c r="D61" s="15">
        <f>IF(F3="1",SUMIF(Data!A:A,'18'!$A$2,Data!DT:DT),0)</f>
        <v>0</v>
      </c>
      <c r="E61" s="18">
        <f>IF(F3="1",SUMIF(Data!$A:$A,'18'!$A$2,Data!JN:JN),0)</f>
        <v>0</v>
      </c>
      <c r="F61" s="22" t="str">
        <f t="shared" si="3"/>
        <v/>
      </c>
    </row>
    <row r="62" spans="1:6" x14ac:dyDescent="0.2">
      <c r="A62" s="20">
        <v>28</v>
      </c>
      <c r="B62" s="172" t="s">
        <v>24</v>
      </c>
      <c r="C62" s="173"/>
      <c r="D62" s="15">
        <f>IF(F3="1",SUMIF(Data!A:A,'18'!$A$2,Data!DV:DV),0)</f>
        <v>0</v>
      </c>
      <c r="E62" s="18">
        <f>IF(F3="1",SUMIF(Data!$A:$A,'18'!$A$2,Data!JP:JP),0)</f>
        <v>0</v>
      </c>
      <c r="F62" s="22" t="str">
        <f t="shared" si="3"/>
        <v/>
      </c>
    </row>
    <row r="63" spans="1:6" ht="15.75" customHeight="1" thickBot="1" x14ac:dyDescent="0.25">
      <c r="A63" s="23">
        <v>29</v>
      </c>
      <c r="B63" s="174" t="s">
        <v>25</v>
      </c>
      <c r="C63" s="175"/>
      <c r="D63" s="24">
        <f>IF(F3="1",SUMIF(Data!A:A,'18'!$A$2,Data!DW:DW),0)</f>
        <v>0</v>
      </c>
      <c r="E63" s="25">
        <f>IF(F3="1",SUMIF(Data!$A:$A,'18'!$A$2,Data!JQ:JQ),0)</f>
        <v>0</v>
      </c>
      <c r="F63" s="26" t="str">
        <f t="shared" si="3"/>
        <v/>
      </c>
    </row>
    <row r="64" spans="1:6" x14ac:dyDescent="0.2">
      <c r="B64" s="31" t="s">
        <v>35</v>
      </c>
      <c r="C64" s="31"/>
      <c r="D64" s="61">
        <f>SUM(D36:D63)</f>
        <v>0</v>
      </c>
      <c r="E64" s="32">
        <f>SUM(E36:E63)</f>
        <v>0</v>
      </c>
      <c r="F64" s="33" t="str">
        <f t="shared" si="3"/>
        <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0</v>
      </c>
      <c r="E67" s="16">
        <f>IF(F3="1",SUMIF(Data!A:A,'18'!$A$2,Data!DY:DY),0)</f>
        <v>0</v>
      </c>
      <c r="F67" s="21" t="str">
        <f t="shared" ref="F67:F95" si="4">IF(D67=0,"",ROUND(E67/D67,2))</f>
        <v/>
      </c>
    </row>
    <row r="68" spans="1:6" x14ac:dyDescent="0.2">
      <c r="A68" s="20">
        <v>2</v>
      </c>
      <c r="B68" s="172" t="s">
        <v>1</v>
      </c>
      <c r="C68" s="173"/>
      <c r="D68" s="15">
        <f t="shared" ref="D68:D94" si="5">D37</f>
        <v>0</v>
      </c>
      <c r="E68" s="18">
        <f>IF(F3="1",SUMIF(Data!A:A,'18'!$A$2,Data!DZ:DZ),0)</f>
        <v>0</v>
      </c>
      <c r="F68" s="22" t="str">
        <f t="shared" si="4"/>
        <v/>
      </c>
    </row>
    <row r="69" spans="1:6" ht="14.25" customHeight="1" x14ac:dyDescent="0.2">
      <c r="A69" s="20">
        <v>3</v>
      </c>
      <c r="B69" s="172" t="s">
        <v>2</v>
      </c>
      <c r="C69" s="173"/>
      <c r="D69" s="15">
        <f t="shared" si="5"/>
        <v>0</v>
      </c>
      <c r="E69" s="18">
        <f>IF(F3="1",SUMIF(Data!A:A,'18'!$A$2,Data!EA:EA),0)</f>
        <v>0</v>
      </c>
      <c r="F69" s="22" t="str">
        <f t="shared" si="4"/>
        <v/>
      </c>
    </row>
    <row r="70" spans="1:6" ht="14.25" customHeight="1" x14ac:dyDescent="0.2">
      <c r="A70" s="20">
        <v>4</v>
      </c>
      <c r="B70" s="172" t="s">
        <v>3</v>
      </c>
      <c r="C70" s="173"/>
      <c r="D70" s="15">
        <f t="shared" si="5"/>
        <v>0</v>
      </c>
      <c r="E70" s="18">
        <f>IF(F3="1",SUMIF(Data!A:A,'18'!$A$2,Data!EB:EB),0)</f>
        <v>0</v>
      </c>
      <c r="F70" s="22" t="str">
        <f t="shared" si="4"/>
        <v/>
      </c>
    </row>
    <row r="71" spans="1:6" x14ac:dyDescent="0.2">
      <c r="A71" s="20">
        <v>5</v>
      </c>
      <c r="B71" s="172" t="s">
        <v>4</v>
      </c>
      <c r="C71" s="173"/>
      <c r="D71" s="15">
        <f t="shared" si="5"/>
        <v>0</v>
      </c>
      <c r="E71" s="18">
        <f>IF(F3="1",SUMIF(Data!A:A,'18'!$A$2,Data!EC:EC),0)</f>
        <v>0</v>
      </c>
      <c r="F71" s="22" t="str">
        <f t="shared" si="4"/>
        <v/>
      </c>
    </row>
    <row r="72" spans="1:6" x14ac:dyDescent="0.2">
      <c r="A72" s="20">
        <v>6</v>
      </c>
      <c r="B72" s="172" t="s">
        <v>5</v>
      </c>
      <c r="C72" s="173"/>
      <c r="D72" s="15">
        <f t="shared" si="5"/>
        <v>0</v>
      </c>
      <c r="E72" s="18">
        <f>IF(F3="1",SUMIF(Data!A:A,'18'!$A$2,Data!ED:ED),0)</f>
        <v>0</v>
      </c>
      <c r="F72" s="22" t="str">
        <f t="shared" si="4"/>
        <v/>
      </c>
    </row>
    <row r="73" spans="1:6" x14ac:dyDescent="0.2">
      <c r="A73" s="20">
        <v>7</v>
      </c>
      <c r="B73" s="172" t="s">
        <v>6</v>
      </c>
      <c r="C73" s="173"/>
      <c r="D73" s="15">
        <f t="shared" si="5"/>
        <v>0</v>
      </c>
      <c r="E73" s="18">
        <f>IF(F3="1",SUMIF(Data!A:A,'18'!$A$2,Data!EE:EE),0)</f>
        <v>0</v>
      </c>
      <c r="F73" s="22" t="str">
        <f t="shared" si="4"/>
        <v/>
      </c>
    </row>
    <row r="74" spans="1:6" x14ac:dyDescent="0.2">
      <c r="A74" s="20">
        <v>8</v>
      </c>
      <c r="B74" s="172" t="s">
        <v>7</v>
      </c>
      <c r="C74" s="173"/>
      <c r="D74" s="15">
        <f t="shared" si="5"/>
        <v>0</v>
      </c>
      <c r="E74" s="18">
        <f>IF(F3="1",SUMIF(Data!A:A,'18'!$A$2,Data!EF:EF),0)</f>
        <v>0</v>
      </c>
      <c r="F74" s="22" t="str">
        <f t="shared" si="4"/>
        <v/>
      </c>
    </row>
    <row r="75" spans="1:6" x14ac:dyDescent="0.2">
      <c r="A75" s="20">
        <v>9</v>
      </c>
      <c r="B75" s="172" t="s">
        <v>8</v>
      </c>
      <c r="C75" s="173"/>
      <c r="D75" s="15">
        <f t="shared" si="5"/>
        <v>0</v>
      </c>
      <c r="E75" s="18">
        <f>IF(F3="1",SUMIF(Data!A:A,'18'!$A$2,Data!EG:EG),0)</f>
        <v>0</v>
      </c>
      <c r="F75" s="22" t="str">
        <f t="shared" si="4"/>
        <v/>
      </c>
    </row>
    <row r="76" spans="1:6" x14ac:dyDescent="0.2">
      <c r="A76" s="20">
        <v>10</v>
      </c>
      <c r="B76" s="172" t="s">
        <v>9</v>
      </c>
      <c r="C76" s="173"/>
      <c r="D76" s="15">
        <f t="shared" si="5"/>
        <v>0</v>
      </c>
      <c r="E76" s="18">
        <f>IF(F3="1",SUMIF(Data!A:A,'18'!$A$2,Data!EH:EH),0)</f>
        <v>0</v>
      </c>
      <c r="F76" s="22" t="str">
        <f t="shared" si="4"/>
        <v/>
      </c>
    </row>
    <row r="77" spans="1:6" x14ac:dyDescent="0.2">
      <c r="A77" s="20">
        <v>11</v>
      </c>
      <c r="B77" s="172" t="s">
        <v>10</v>
      </c>
      <c r="C77" s="173"/>
      <c r="D77" s="15">
        <f t="shared" si="5"/>
        <v>0</v>
      </c>
      <c r="E77" s="18">
        <f>IF(F3="1",SUMIF(Data!A:A,'18'!$A$2,Data!EI:EI),0)</f>
        <v>0</v>
      </c>
      <c r="F77" s="22" t="str">
        <f t="shared" si="4"/>
        <v/>
      </c>
    </row>
    <row r="78" spans="1:6" ht="14.25" customHeight="1" x14ac:dyDescent="0.2">
      <c r="A78" s="20">
        <v>12</v>
      </c>
      <c r="B78" s="172" t="s">
        <v>11</v>
      </c>
      <c r="C78" s="173"/>
      <c r="D78" s="15">
        <f t="shared" si="5"/>
        <v>0</v>
      </c>
      <c r="E78" s="18">
        <f>IF(F3="1",SUMIF(Data!A:A,'18'!$A$2,Data!EJ:EJ),0)</f>
        <v>0</v>
      </c>
      <c r="F78" s="22" t="str">
        <f t="shared" si="4"/>
        <v/>
      </c>
    </row>
    <row r="79" spans="1:6" x14ac:dyDescent="0.2">
      <c r="A79" s="20">
        <v>13</v>
      </c>
      <c r="B79" s="172" t="s">
        <v>12</v>
      </c>
      <c r="C79" s="173"/>
      <c r="D79" s="15">
        <f t="shared" si="5"/>
        <v>0</v>
      </c>
      <c r="E79" s="18">
        <f>IF(F3="1",SUMIF(Data!A:A,'18'!$A$2,Data!EK:EK),0)</f>
        <v>0</v>
      </c>
      <c r="F79" s="22" t="str">
        <f t="shared" si="4"/>
        <v/>
      </c>
    </row>
    <row r="80" spans="1:6" ht="14.25" customHeight="1" x14ac:dyDescent="0.2">
      <c r="A80" s="20">
        <v>14</v>
      </c>
      <c r="B80" s="172" t="s">
        <v>469</v>
      </c>
      <c r="C80" s="173"/>
      <c r="D80" s="15">
        <f t="shared" si="5"/>
        <v>0</v>
      </c>
      <c r="E80" s="18">
        <f>IF(F3="1",SUMIF(Data!A:A,'18'!$A$2,Data!EL:EL),0)</f>
        <v>0</v>
      </c>
      <c r="F80" s="22" t="str">
        <f t="shared" si="4"/>
        <v/>
      </c>
    </row>
    <row r="81" spans="1:6" x14ac:dyDescent="0.2">
      <c r="A81" s="20">
        <v>15</v>
      </c>
      <c r="B81" s="172" t="s">
        <v>13</v>
      </c>
      <c r="C81" s="173"/>
      <c r="D81" s="15">
        <f t="shared" si="5"/>
        <v>0</v>
      </c>
      <c r="E81" s="18">
        <f>IF(F3="1",SUMIF(Data!A:A,'18'!$A$2,Data!EM:EM),0)</f>
        <v>0</v>
      </c>
      <c r="F81" s="22" t="str">
        <f t="shared" si="4"/>
        <v/>
      </c>
    </row>
    <row r="82" spans="1:6" x14ac:dyDescent="0.2">
      <c r="A82" s="20">
        <v>16</v>
      </c>
      <c r="B82" s="172" t="s">
        <v>14</v>
      </c>
      <c r="C82" s="173"/>
      <c r="D82" s="15">
        <f t="shared" si="5"/>
        <v>0</v>
      </c>
      <c r="E82" s="18">
        <f>IF(F3="1",SUMIF(Data!A:A,'18'!$A$2,Data!EN:EN),0)</f>
        <v>0</v>
      </c>
      <c r="F82" s="22" t="str">
        <f t="shared" si="4"/>
        <v/>
      </c>
    </row>
    <row r="83" spans="1:6" x14ac:dyDescent="0.2">
      <c r="A83" s="20">
        <v>17</v>
      </c>
      <c r="B83" s="172" t="s">
        <v>15</v>
      </c>
      <c r="C83" s="173"/>
      <c r="D83" s="15">
        <f t="shared" si="5"/>
        <v>0</v>
      </c>
      <c r="E83" s="18">
        <f>IF(F3="1",SUMIF(Data!A:A,'18'!$A$2,Data!EO:EO),0)</f>
        <v>0</v>
      </c>
      <c r="F83" s="22" t="str">
        <f t="shared" si="4"/>
        <v/>
      </c>
    </row>
    <row r="84" spans="1:6" x14ac:dyDescent="0.2">
      <c r="A84" s="20">
        <v>18</v>
      </c>
      <c r="B84" s="172" t="s">
        <v>16</v>
      </c>
      <c r="C84" s="173"/>
      <c r="D84" s="15">
        <f t="shared" si="5"/>
        <v>0</v>
      </c>
      <c r="E84" s="18">
        <f>IF(F3="1",SUMIF(Data!A:A,'18'!$A$2,Data!EP:EP),0)</f>
        <v>0</v>
      </c>
      <c r="F84" s="22" t="str">
        <f t="shared" si="4"/>
        <v/>
      </c>
    </row>
    <row r="85" spans="1:6" x14ac:dyDescent="0.2">
      <c r="A85" s="20">
        <v>19</v>
      </c>
      <c r="B85" s="172" t="s">
        <v>17</v>
      </c>
      <c r="C85" s="173"/>
      <c r="D85" s="15">
        <f t="shared" si="5"/>
        <v>0</v>
      </c>
      <c r="E85" s="18">
        <f>IF(F3="1",SUMIF(Data!A:A,'18'!$A$2,Data!EQ:EQ),0)</f>
        <v>0</v>
      </c>
      <c r="F85" s="22" t="str">
        <f t="shared" si="4"/>
        <v/>
      </c>
    </row>
    <row r="86" spans="1:6" x14ac:dyDescent="0.2">
      <c r="A86" s="20">
        <v>20</v>
      </c>
      <c r="B86" s="172" t="s">
        <v>18</v>
      </c>
      <c r="C86" s="173"/>
      <c r="D86" s="15">
        <f t="shared" si="5"/>
        <v>0</v>
      </c>
      <c r="E86" s="18">
        <f>IF(F3="1",SUMIF(Data!A:A,'18'!$A$2,Data!ER:ER),0)</f>
        <v>0</v>
      </c>
      <c r="F86" s="22" t="str">
        <f t="shared" si="4"/>
        <v/>
      </c>
    </row>
    <row r="87" spans="1:6" ht="14.25" customHeight="1" x14ac:dyDescent="0.2">
      <c r="A87" s="20">
        <v>21</v>
      </c>
      <c r="B87" s="172" t="s">
        <v>466</v>
      </c>
      <c r="C87" s="173"/>
      <c r="D87" s="15">
        <f t="shared" si="5"/>
        <v>0</v>
      </c>
      <c r="E87" s="18">
        <f>IF(F3="1",SUMIF(Data!A:A,'18'!$A$2,Data!ES:ES),0)</f>
        <v>0</v>
      </c>
      <c r="F87" s="22" t="str">
        <f t="shared" si="4"/>
        <v/>
      </c>
    </row>
    <row r="88" spans="1:6" x14ac:dyDescent="0.2">
      <c r="A88" s="20">
        <v>22</v>
      </c>
      <c r="B88" s="172" t="s">
        <v>19</v>
      </c>
      <c r="C88" s="173"/>
      <c r="D88" s="15">
        <f t="shared" si="5"/>
        <v>0</v>
      </c>
      <c r="E88" s="18">
        <f>IF(F3="1",SUMIF(Data!A:A,'18'!$A$2,Data!ET:ET),0)</f>
        <v>0</v>
      </c>
      <c r="F88" s="22" t="str">
        <f t="shared" si="4"/>
        <v/>
      </c>
    </row>
    <row r="89" spans="1:6" x14ac:dyDescent="0.2">
      <c r="A89" s="20">
        <v>23</v>
      </c>
      <c r="B89" s="172" t="s">
        <v>20</v>
      </c>
      <c r="C89" s="173"/>
      <c r="D89" s="15">
        <f t="shared" si="5"/>
        <v>0</v>
      </c>
      <c r="E89" s="18">
        <f>IF(F3="1",SUMIF(Data!A:A,'18'!$A$2,Data!EU:EU),0)</f>
        <v>0</v>
      </c>
      <c r="F89" s="22" t="str">
        <f t="shared" si="4"/>
        <v/>
      </c>
    </row>
    <row r="90" spans="1:6" x14ac:dyDescent="0.2">
      <c r="A90" s="20">
        <v>24</v>
      </c>
      <c r="B90" s="172" t="s">
        <v>21</v>
      </c>
      <c r="C90" s="173"/>
      <c r="D90" s="15">
        <f t="shared" si="5"/>
        <v>0</v>
      </c>
      <c r="E90" s="18">
        <f>IF(F3="1",SUMIF(Data!A:A,'18'!$A$2,Data!EV:EV),0)</f>
        <v>0</v>
      </c>
      <c r="F90" s="22" t="str">
        <f t="shared" si="4"/>
        <v/>
      </c>
    </row>
    <row r="91" spans="1:6" x14ac:dyDescent="0.2">
      <c r="A91" s="20">
        <v>25</v>
      </c>
      <c r="B91" s="172" t="s">
        <v>22</v>
      </c>
      <c r="C91" s="173"/>
      <c r="D91" s="15">
        <f t="shared" si="5"/>
        <v>0</v>
      </c>
      <c r="E91" s="18">
        <f>IF(F3="1",SUMIF(Data!A:A,'18'!$A$2,Data!EW:EW),0)</f>
        <v>0</v>
      </c>
      <c r="F91" s="22" t="str">
        <f t="shared" si="4"/>
        <v/>
      </c>
    </row>
    <row r="92" spans="1:6" x14ac:dyDescent="0.2">
      <c r="A92" s="20">
        <v>26</v>
      </c>
      <c r="B92" s="172" t="s">
        <v>23</v>
      </c>
      <c r="C92" s="173"/>
      <c r="D92" s="15">
        <f t="shared" si="5"/>
        <v>0</v>
      </c>
      <c r="E92" s="18">
        <f>IF(F3="1",SUMIF(Data!A:A,'18'!$A$2,Data!EX:EX),0)</f>
        <v>0</v>
      </c>
      <c r="F92" s="22" t="str">
        <f t="shared" si="4"/>
        <v/>
      </c>
    </row>
    <row r="93" spans="1:6" x14ac:dyDescent="0.2">
      <c r="A93" s="20">
        <v>28</v>
      </c>
      <c r="B93" s="172" t="s">
        <v>24</v>
      </c>
      <c r="C93" s="173"/>
      <c r="D93" s="15">
        <f t="shared" si="5"/>
        <v>0</v>
      </c>
      <c r="E93" s="18">
        <f>IF(F3="1",SUMIF(Data!A:A,'18'!$A$2,Data!EZ:EZ),0)</f>
        <v>0</v>
      </c>
      <c r="F93" s="22" t="str">
        <f t="shared" si="4"/>
        <v/>
      </c>
    </row>
    <row r="94" spans="1:6" ht="15.75" customHeight="1" thickBot="1" x14ac:dyDescent="0.25">
      <c r="A94" s="23">
        <v>29</v>
      </c>
      <c r="B94" s="174" t="s">
        <v>25</v>
      </c>
      <c r="C94" s="175"/>
      <c r="D94" s="24">
        <f t="shared" si="5"/>
        <v>0</v>
      </c>
      <c r="E94" s="25">
        <f>IF(F3="1",SUMIF(Data!A:A,'18'!$A$2,Data!FA:FA),0)</f>
        <v>0</v>
      </c>
      <c r="F94" s="26" t="str">
        <f t="shared" si="4"/>
        <v/>
      </c>
    </row>
    <row r="95" spans="1:6" x14ac:dyDescent="0.2">
      <c r="B95" s="31" t="s">
        <v>35</v>
      </c>
      <c r="C95" s="31"/>
      <c r="D95" s="61">
        <f>SUM(D67:D94)</f>
        <v>0</v>
      </c>
      <c r="E95" s="32">
        <f>SUM(E67:E94)</f>
        <v>0</v>
      </c>
      <c r="F95" s="33" t="str">
        <f t="shared" si="4"/>
        <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IF(F3="1",SUMIF(Data!A:A,'18'!$A$2,Data!AH:AH),0)</f>
        <v>0</v>
      </c>
      <c r="F98" s="21" t="str">
        <f>IF($D$105=0,"",ROUND(E98/$D$105,2))</f>
        <v/>
      </c>
    </row>
    <row r="99" spans="2:6" x14ac:dyDescent="0.2">
      <c r="B99" s="178" t="s">
        <v>31</v>
      </c>
      <c r="C99" s="179"/>
      <c r="D99" s="37"/>
      <c r="E99" s="18">
        <f>IF(F3="1",SUMIF(Data!A:A,'18'!$A$2,Data!AI:AI),0)</f>
        <v>0</v>
      </c>
      <c r="F99" s="22" t="str">
        <f t="shared" ref="F99:F105" si="6">IF($D$105=0,"",ROUND(E99/$D$105,2))</f>
        <v/>
      </c>
    </row>
    <row r="100" spans="2:6" x14ac:dyDescent="0.2">
      <c r="B100" s="178" t="s">
        <v>32</v>
      </c>
      <c r="C100" s="179"/>
      <c r="D100" s="37"/>
      <c r="E100" s="18">
        <f>IF(F3="1",SUMIF(Data!A:A,'18'!$A$2,Data!AJ:AJ),0)</f>
        <v>0</v>
      </c>
      <c r="F100" s="22" t="str">
        <f t="shared" si="6"/>
        <v/>
      </c>
    </row>
    <row r="101" spans="2:6" x14ac:dyDescent="0.2">
      <c r="B101" s="178" t="s">
        <v>28</v>
      </c>
      <c r="C101" s="179"/>
      <c r="D101" s="37"/>
      <c r="E101" s="18">
        <f>IF(F3="1",SUMIF(Data!A:A,'18'!$A$2,Data!AK:AK),0)</f>
        <v>0</v>
      </c>
      <c r="F101" s="22" t="str">
        <f t="shared" si="6"/>
        <v/>
      </c>
    </row>
    <row r="102" spans="2:6" x14ac:dyDescent="0.2">
      <c r="B102" s="178" t="s">
        <v>33</v>
      </c>
      <c r="C102" s="179"/>
      <c r="D102" s="37"/>
      <c r="E102" s="18">
        <f>IF(F3="1",SUMIF(Data!A:A,'18'!$A$2,Data!AL:AL),0)</f>
        <v>0</v>
      </c>
      <c r="F102" s="22" t="str">
        <f t="shared" si="6"/>
        <v/>
      </c>
    </row>
    <row r="103" spans="2:6" x14ac:dyDescent="0.2">
      <c r="B103" s="180" t="s">
        <v>34</v>
      </c>
      <c r="C103" s="181"/>
      <c r="D103" s="37"/>
      <c r="E103" s="18">
        <f>IF(F3="1",SUMIF(Data!A:A,'18'!$A$2,Data!AM:AM),0)</f>
        <v>0</v>
      </c>
      <c r="F103" s="22" t="str">
        <f t="shared" si="6"/>
        <v/>
      </c>
    </row>
    <row r="104" spans="2:6" ht="15.75" customHeight="1" thickBot="1" x14ac:dyDescent="0.25">
      <c r="B104" s="170" t="s">
        <v>29</v>
      </c>
      <c r="C104" s="171"/>
      <c r="D104" s="38"/>
      <c r="E104" s="25">
        <f>IF(F3="1",SUMIF(Data!A:A,'18'!$A$2,Data!Q:Q),0)</f>
        <v>0</v>
      </c>
      <c r="F104" s="26" t="str">
        <f t="shared" si="6"/>
        <v/>
      </c>
    </row>
    <row r="105" spans="2:6" x14ac:dyDescent="0.2">
      <c r="B105" s="31" t="s">
        <v>35</v>
      </c>
      <c r="C105" s="31"/>
      <c r="D105" s="35">
        <f>D95</f>
        <v>0</v>
      </c>
      <c r="E105" s="32">
        <f>SUM(E98:E104)</f>
        <v>0</v>
      </c>
      <c r="F105" s="33" t="str">
        <f t="shared" si="6"/>
        <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942</v>
      </c>
      <c r="C120" s="55"/>
      <c r="D120" s="55"/>
      <c r="E120" s="55">
        <f>IF(F3="1",SUMIF(Data!A:A,'18'!$A$2,Data!AM:AM),0)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3" width="12.42578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368</v>
      </c>
      <c r="B2" s="60" t="str">
        <f>VLOOKUP(A2,Data!A:G,7,0)</f>
        <v>Grayson County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14424</v>
      </c>
      <c r="E5" s="16">
        <f>E36+E67+IFERROR($E$105/$D$105*D5,0)</f>
        <v>128826.98721909808</v>
      </c>
      <c r="F5" s="21">
        <f>IF(OR(D5=0,E5=0),"",ROUND(E5/D5,2))</f>
        <v>8.93</v>
      </c>
    </row>
    <row r="6" spans="1:6" x14ac:dyDescent="0.2">
      <c r="A6" s="20">
        <v>2</v>
      </c>
      <c r="B6" s="172" t="s">
        <v>1</v>
      </c>
      <c r="C6" s="173"/>
      <c r="D6" s="15">
        <f t="shared" ref="D6:D32" si="0">D37</f>
        <v>26516</v>
      </c>
      <c r="E6" s="18">
        <f t="shared" ref="E6:E32" si="1">E37+E68+IFERROR($E$105/$D$105*D6,0)</f>
        <v>314184.39719229098</v>
      </c>
      <c r="F6" s="22">
        <f t="shared" ref="F6:F33" si="2">IF(OR(D6=0,E6=0),"",ROUND(E6/D6,2))</f>
        <v>11.85</v>
      </c>
    </row>
    <row r="7" spans="1:6" ht="14.25" customHeight="1" x14ac:dyDescent="0.2">
      <c r="A7" s="20">
        <v>3</v>
      </c>
      <c r="B7" s="172" t="s">
        <v>2</v>
      </c>
      <c r="C7" s="173"/>
      <c r="D7" s="15">
        <f t="shared" si="0"/>
        <v>229152</v>
      </c>
      <c r="E7" s="18">
        <f t="shared" si="1"/>
        <v>1445738.8169183838</v>
      </c>
      <c r="F7" s="22">
        <f t="shared" si="2"/>
        <v>6.31</v>
      </c>
    </row>
    <row r="8" spans="1:6" ht="14.25" customHeight="1" x14ac:dyDescent="0.2">
      <c r="A8" s="20">
        <v>4</v>
      </c>
      <c r="B8" s="172" t="s">
        <v>3</v>
      </c>
      <c r="C8" s="173"/>
      <c r="D8" s="15">
        <f t="shared" si="0"/>
        <v>85494</v>
      </c>
      <c r="E8" s="18">
        <f t="shared" si="1"/>
        <v>644524.02532650949</v>
      </c>
      <c r="F8" s="22">
        <f t="shared" si="2"/>
        <v>7.54</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144</v>
      </c>
      <c r="E10" s="18">
        <f t="shared" si="1"/>
        <v>441.17458122227708</v>
      </c>
      <c r="F10" s="22">
        <f t="shared" si="2"/>
        <v>3.06</v>
      </c>
    </row>
    <row r="11" spans="1:6" x14ac:dyDescent="0.2">
      <c r="A11" s="20">
        <v>7</v>
      </c>
      <c r="B11" s="172" t="s">
        <v>6</v>
      </c>
      <c r="C11" s="173"/>
      <c r="D11" s="15">
        <f t="shared" si="0"/>
        <v>63804</v>
      </c>
      <c r="E11" s="18">
        <f t="shared" si="1"/>
        <v>528471.10402990389</v>
      </c>
      <c r="F11" s="22">
        <f t="shared" si="2"/>
        <v>8.2799999999999994</v>
      </c>
    </row>
    <row r="12" spans="1:6" x14ac:dyDescent="0.2">
      <c r="A12" s="20">
        <v>8</v>
      </c>
      <c r="B12" s="172" t="s">
        <v>7</v>
      </c>
      <c r="C12" s="173"/>
      <c r="D12" s="15">
        <f t="shared" si="0"/>
        <v>576</v>
      </c>
      <c r="E12" s="18">
        <f t="shared" si="1"/>
        <v>1764.6983248891083</v>
      </c>
      <c r="F12" s="22">
        <f t="shared" si="2"/>
        <v>3.06</v>
      </c>
    </row>
    <row r="13" spans="1:6" x14ac:dyDescent="0.2">
      <c r="A13" s="20">
        <v>9</v>
      </c>
      <c r="B13" s="172" t="s">
        <v>8</v>
      </c>
      <c r="C13" s="173"/>
      <c r="D13" s="15">
        <f t="shared" si="0"/>
        <v>108880</v>
      </c>
      <c r="E13" s="18">
        <f t="shared" si="1"/>
        <v>572381.0028019551</v>
      </c>
      <c r="F13" s="22">
        <f t="shared" si="2"/>
        <v>5.26</v>
      </c>
    </row>
    <row r="14" spans="1:6" x14ac:dyDescent="0.2">
      <c r="A14" s="20">
        <v>10</v>
      </c>
      <c r="B14" s="172" t="s">
        <v>9</v>
      </c>
      <c r="C14" s="173"/>
      <c r="D14" s="15">
        <f t="shared" si="0"/>
        <v>1248</v>
      </c>
      <c r="E14" s="18">
        <f t="shared" si="1"/>
        <v>3823.513037259735</v>
      </c>
      <c r="F14" s="22">
        <f t="shared" si="2"/>
        <v>3.06</v>
      </c>
    </row>
    <row r="15" spans="1:6" x14ac:dyDescent="0.2">
      <c r="A15" s="20">
        <v>11</v>
      </c>
      <c r="B15" s="172" t="s">
        <v>10</v>
      </c>
      <c r="C15" s="173"/>
      <c r="D15" s="15">
        <f t="shared" si="0"/>
        <v>74155</v>
      </c>
      <c r="E15" s="18">
        <f t="shared" si="1"/>
        <v>445411.59076762473</v>
      </c>
      <c r="F15" s="22">
        <f t="shared" si="2"/>
        <v>6.01</v>
      </c>
    </row>
    <row r="16" spans="1:6" ht="14.25" customHeight="1" x14ac:dyDescent="0.2">
      <c r="A16" s="20">
        <v>12</v>
      </c>
      <c r="B16" s="172" t="s">
        <v>11</v>
      </c>
      <c r="C16" s="173"/>
      <c r="D16" s="15">
        <f t="shared" si="0"/>
        <v>270352</v>
      </c>
      <c r="E16" s="18">
        <f t="shared" si="1"/>
        <v>1642567.7665458685</v>
      </c>
      <c r="F16" s="22">
        <f t="shared" si="2"/>
        <v>6.08</v>
      </c>
    </row>
    <row r="17" spans="1:6" x14ac:dyDescent="0.2">
      <c r="A17" s="20">
        <v>13</v>
      </c>
      <c r="B17" s="172" t="s">
        <v>12</v>
      </c>
      <c r="C17" s="173"/>
      <c r="D17" s="15">
        <f t="shared" si="0"/>
        <v>27356</v>
      </c>
      <c r="E17" s="18">
        <f t="shared" si="1"/>
        <v>170233.91558275424</v>
      </c>
      <c r="F17" s="22">
        <f t="shared" si="2"/>
        <v>6.22</v>
      </c>
    </row>
    <row r="18" spans="1:6" ht="14.25" customHeight="1" x14ac:dyDescent="0.2">
      <c r="A18" s="20">
        <v>14</v>
      </c>
      <c r="B18" s="172" t="s">
        <v>469</v>
      </c>
      <c r="C18" s="173"/>
      <c r="D18" s="15">
        <f t="shared" si="0"/>
        <v>197242</v>
      </c>
      <c r="E18" s="18">
        <f t="shared" si="1"/>
        <v>1950666.755204475</v>
      </c>
      <c r="F18" s="22">
        <f t="shared" si="2"/>
        <v>9.89</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137090</v>
      </c>
      <c r="E20" s="18">
        <f t="shared" si="1"/>
        <v>926481.328748347</v>
      </c>
      <c r="F20" s="22">
        <f t="shared" si="2"/>
        <v>6.76</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66960</v>
      </c>
      <c r="E22" s="18">
        <f t="shared" si="1"/>
        <v>561747.1802683589</v>
      </c>
      <c r="F22" s="22">
        <f t="shared" si="2"/>
        <v>8.39</v>
      </c>
    </row>
    <row r="23" spans="1:6" x14ac:dyDescent="0.2">
      <c r="A23" s="20">
        <v>19</v>
      </c>
      <c r="B23" s="172" t="s">
        <v>17</v>
      </c>
      <c r="C23" s="173"/>
      <c r="D23" s="15">
        <f t="shared" si="0"/>
        <v>174624</v>
      </c>
      <c r="E23" s="18">
        <f t="shared" si="1"/>
        <v>1015901.7088288814</v>
      </c>
      <c r="F23" s="22">
        <f t="shared" si="2"/>
        <v>5.82</v>
      </c>
    </row>
    <row r="24" spans="1:6" x14ac:dyDescent="0.2">
      <c r="A24" s="20">
        <v>20</v>
      </c>
      <c r="B24" s="172" t="s">
        <v>18</v>
      </c>
      <c r="C24" s="173"/>
      <c r="D24" s="15">
        <f t="shared" si="0"/>
        <v>18320</v>
      </c>
      <c r="E24" s="18">
        <f t="shared" si="1"/>
        <v>135016.21061105636</v>
      </c>
      <c r="F24" s="22">
        <f t="shared" si="2"/>
        <v>7.37</v>
      </c>
    </row>
    <row r="25" spans="1:6" ht="14.25" customHeight="1" x14ac:dyDescent="0.2">
      <c r="A25" s="20">
        <v>21</v>
      </c>
      <c r="B25" s="172" t="s">
        <v>466</v>
      </c>
      <c r="C25" s="173"/>
      <c r="D25" s="15">
        <f t="shared" si="0"/>
        <v>7600</v>
      </c>
      <c r="E25" s="18">
        <f t="shared" si="1"/>
        <v>23284.214008953513</v>
      </c>
      <c r="F25" s="22">
        <f t="shared" si="2"/>
        <v>3.06</v>
      </c>
    </row>
    <row r="26" spans="1:6" x14ac:dyDescent="0.2">
      <c r="A26" s="20">
        <v>22</v>
      </c>
      <c r="B26" s="172" t="s">
        <v>19</v>
      </c>
      <c r="C26" s="173"/>
      <c r="D26" s="15">
        <f t="shared" si="0"/>
        <v>10635</v>
      </c>
      <c r="E26" s="18">
        <f t="shared" si="1"/>
        <v>194506.58105068692</v>
      </c>
      <c r="F26" s="22">
        <f t="shared" si="2"/>
        <v>18.29</v>
      </c>
    </row>
    <row r="27" spans="1:6" x14ac:dyDescent="0.2">
      <c r="A27" s="20">
        <v>23</v>
      </c>
      <c r="B27" s="172" t="s">
        <v>20</v>
      </c>
      <c r="C27" s="173"/>
      <c r="D27" s="15">
        <f t="shared" si="0"/>
        <v>17808</v>
      </c>
      <c r="E27" s="18">
        <f t="shared" si="1"/>
        <v>336296.58987782162</v>
      </c>
      <c r="F27" s="22">
        <f t="shared" si="2"/>
        <v>18.88</v>
      </c>
    </row>
    <row r="28" spans="1:6" x14ac:dyDescent="0.2">
      <c r="A28" s="20">
        <v>24</v>
      </c>
      <c r="B28" s="172" t="s">
        <v>21</v>
      </c>
      <c r="C28" s="173"/>
      <c r="D28" s="15">
        <f t="shared" si="0"/>
        <v>61350</v>
      </c>
      <c r="E28" s="18">
        <f t="shared" si="1"/>
        <v>425291.75387490762</v>
      </c>
      <c r="F28" s="22">
        <f t="shared" si="2"/>
        <v>6.93</v>
      </c>
    </row>
    <row r="29" spans="1:6" x14ac:dyDescent="0.2">
      <c r="A29" s="20">
        <v>25</v>
      </c>
      <c r="B29" s="172" t="s">
        <v>22</v>
      </c>
      <c r="C29" s="173"/>
      <c r="D29" s="15">
        <f t="shared" si="0"/>
        <v>279824</v>
      </c>
      <c r="E29" s="18">
        <f t="shared" si="1"/>
        <v>1623225.2501107114</v>
      </c>
      <c r="F29" s="22">
        <f t="shared" si="2"/>
        <v>5.8</v>
      </c>
    </row>
    <row r="30" spans="1:6" x14ac:dyDescent="0.2">
      <c r="A30" s="20">
        <v>26</v>
      </c>
      <c r="B30" s="172" t="s">
        <v>23</v>
      </c>
      <c r="C30" s="173"/>
      <c r="D30" s="15">
        <f t="shared" si="0"/>
        <v>72944</v>
      </c>
      <c r="E30" s="18">
        <f t="shared" si="1"/>
        <v>573533.43508804019</v>
      </c>
      <c r="F30" s="22">
        <f t="shared" si="2"/>
        <v>7.86</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1946498</v>
      </c>
      <c r="E33" s="32">
        <f>SUM(E5:E32)</f>
        <v>13664320</v>
      </c>
      <c r="F33" s="33">
        <f t="shared" si="2"/>
        <v>7.02</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IF(F3="1",SUMIF(Data!A:A,'19'!$A$2,Data!CU:CU),0)</f>
        <v>14424</v>
      </c>
      <c r="E36" s="16">
        <f>IF(F3="1",SUMIF(Data!$A:$A,'19'!$A$2,Data!IO:IO),0)</f>
        <v>84636</v>
      </c>
      <c r="F36" s="21">
        <f>IF(D36=0,"",ROUND(E36/D36,2))</f>
        <v>5.87</v>
      </c>
    </row>
    <row r="37" spans="1:6" x14ac:dyDescent="0.2">
      <c r="A37" s="20">
        <v>2</v>
      </c>
      <c r="B37" s="172" t="s">
        <v>1</v>
      </c>
      <c r="C37" s="173"/>
      <c r="D37" s="15">
        <f>IF(F3="1",SUMIF(Data!A:A,'19'!$A$2,Data!CV:CV),0)</f>
        <v>26516</v>
      </c>
      <c r="E37" s="18">
        <f>IF(F3="1",SUMIF(Data!$A:$A,'19'!$A$2,Data!IP:IP),0)</f>
        <v>100962</v>
      </c>
      <c r="F37" s="22">
        <f t="shared" ref="F37:F64" si="3">IF(D37=0,"",ROUND(E37/D37,2))</f>
        <v>3.81</v>
      </c>
    </row>
    <row r="38" spans="1:6" ht="14.25" customHeight="1" x14ac:dyDescent="0.2">
      <c r="A38" s="20">
        <v>3</v>
      </c>
      <c r="B38" s="172" t="s">
        <v>2</v>
      </c>
      <c r="C38" s="173"/>
      <c r="D38" s="15">
        <f>IF(F3="1",SUMIF(Data!A:A,'19'!$A$2,Data!CW:CW),0)</f>
        <v>229152</v>
      </c>
      <c r="E38" s="18">
        <f>IF(F3="1",SUMIF(Data!$A:$A,'19'!$A$2,Data!IQ:IQ),0)</f>
        <v>379321</v>
      </c>
      <c r="F38" s="22">
        <f t="shared" si="3"/>
        <v>1.66</v>
      </c>
    </row>
    <row r="39" spans="1:6" ht="14.25" customHeight="1" x14ac:dyDescent="0.2">
      <c r="A39" s="20">
        <v>4</v>
      </c>
      <c r="B39" s="172" t="s">
        <v>3</v>
      </c>
      <c r="C39" s="173"/>
      <c r="D39" s="15">
        <f>IF(F3="1",SUMIF(Data!A:A,'19'!$A$2,Data!CX:CX),0)</f>
        <v>85494</v>
      </c>
      <c r="E39" s="18">
        <f>IF(F3="1",SUMIF(Data!$A:$A,'19'!$A$2,Data!IR:IR),0)</f>
        <v>255245</v>
      </c>
      <c r="F39" s="22">
        <f t="shared" si="3"/>
        <v>2.99</v>
      </c>
    </row>
    <row r="40" spans="1:6" x14ac:dyDescent="0.2">
      <c r="A40" s="20">
        <v>5</v>
      </c>
      <c r="B40" s="172" t="s">
        <v>4</v>
      </c>
      <c r="C40" s="173"/>
      <c r="D40" s="15">
        <f>IF(F3="1",SUMIF(Data!A:A,'19'!$A$2,Data!CY:CY),0)</f>
        <v>0</v>
      </c>
      <c r="E40" s="18">
        <f>IF(F3="1",SUMIF(Data!$A:$A,'19'!$A$2,Data!IS:IS),0)</f>
        <v>0</v>
      </c>
      <c r="F40" s="22" t="str">
        <f t="shared" si="3"/>
        <v/>
      </c>
    </row>
    <row r="41" spans="1:6" x14ac:dyDescent="0.2">
      <c r="A41" s="20">
        <v>6</v>
      </c>
      <c r="B41" s="172" t="s">
        <v>5</v>
      </c>
      <c r="C41" s="173"/>
      <c r="D41" s="15">
        <f>IF(F3="1",SUMIF(Data!A:A,'19'!$A$2,Data!CZ:CZ),0)</f>
        <v>144</v>
      </c>
      <c r="E41" s="18">
        <f>IF(F3="1",SUMIF(Data!$A:$A,'19'!$A$2,Data!IT:IT),0)</f>
        <v>0</v>
      </c>
      <c r="F41" s="22">
        <f t="shared" si="3"/>
        <v>0</v>
      </c>
    </row>
    <row r="42" spans="1:6" x14ac:dyDescent="0.2">
      <c r="A42" s="20">
        <v>7</v>
      </c>
      <c r="B42" s="172" t="s">
        <v>6</v>
      </c>
      <c r="C42" s="173"/>
      <c r="D42" s="15">
        <f>IF(F3="1",SUMIF(Data!A:A,'19'!$A$2,Data!DA:DA),0)</f>
        <v>63804</v>
      </c>
      <c r="E42" s="18">
        <f>IF(F3="1",SUMIF(Data!$A:$A,'19'!$A$2,Data!IU:IU),0)</f>
        <v>165327</v>
      </c>
      <c r="F42" s="22">
        <f t="shared" si="3"/>
        <v>2.59</v>
      </c>
    </row>
    <row r="43" spans="1:6" x14ac:dyDescent="0.2">
      <c r="A43" s="20">
        <v>8</v>
      </c>
      <c r="B43" s="172" t="s">
        <v>7</v>
      </c>
      <c r="C43" s="173"/>
      <c r="D43" s="15">
        <f>IF(F3="1",SUMIF(Data!A:A,'19'!$A$2,Data!DB:DB),0)</f>
        <v>576</v>
      </c>
      <c r="E43" s="18">
        <f>IF(F3="1",SUMIF(Data!$A:$A,'19'!$A$2,Data!IV:IV),0)</f>
        <v>0</v>
      </c>
      <c r="F43" s="22">
        <f t="shared" si="3"/>
        <v>0</v>
      </c>
    </row>
    <row r="44" spans="1:6" x14ac:dyDescent="0.2">
      <c r="A44" s="20">
        <v>9</v>
      </c>
      <c r="B44" s="172" t="s">
        <v>8</v>
      </c>
      <c r="C44" s="173"/>
      <c r="D44" s="15">
        <f>IF(F3="1",SUMIF(Data!A:A,'19'!$A$2,Data!DC:DC),0)</f>
        <v>108880</v>
      </c>
      <c r="E44" s="18">
        <f>IF(F3="1",SUMIF(Data!$A:$A,'19'!$A$2,Data!IW:IW),0)</f>
        <v>112739</v>
      </c>
      <c r="F44" s="22">
        <f t="shared" si="3"/>
        <v>1.04</v>
      </c>
    </row>
    <row r="45" spans="1:6" x14ac:dyDescent="0.2">
      <c r="A45" s="20">
        <v>10</v>
      </c>
      <c r="B45" s="172" t="s">
        <v>9</v>
      </c>
      <c r="C45" s="173"/>
      <c r="D45" s="15">
        <f>IF(F3="1",SUMIF(Data!A:A,'19'!$A$2,Data!DD:DD),0)</f>
        <v>1248</v>
      </c>
      <c r="E45" s="18">
        <f>IF(F3="1",SUMIF(Data!$A:$A,'19'!$A$2,Data!IX:IX),0)</f>
        <v>0</v>
      </c>
      <c r="F45" s="22">
        <f t="shared" si="3"/>
        <v>0</v>
      </c>
    </row>
    <row r="46" spans="1:6" x14ac:dyDescent="0.2">
      <c r="A46" s="20">
        <v>11</v>
      </c>
      <c r="B46" s="172" t="s">
        <v>10</v>
      </c>
      <c r="C46" s="173"/>
      <c r="D46" s="15">
        <f>IF(F3="1",SUMIF(Data!A:A,'19'!$A$2,Data!DE:DE),0)</f>
        <v>74155</v>
      </c>
      <c r="E46" s="18">
        <f>IF(F3="1",SUMIF(Data!$A:$A,'19'!$A$2,Data!IY:IY),0)</f>
        <v>89585</v>
      </c>
      <c r="F46" s="22">
        <f t="shared" si="3"/>
        <v>1.21</v>
      </c>
    </row>
    <row r="47" spans="1:6" ht="14.25" customHeight="1" x14ac:dyDescent="0.2">
      <c r="A47" s="20">
        <v>12</v>
      </c>
      <c r="B47" s="172" t="s">
        <v>11</v>
      </c>
      <c r="C47" s="173"/>
      <c r="D47" s="15">
        <f>IF(F3="1",SUMIF(Data!A:A,'19'!$A$2,Data!DF:DF),0)</f>
        <v>270352</v>
      </c>
      <c r="E47" s="18">
        <f>IF(F3="1",SUMIF(Data!$A:$A,'19'!$A$2,Data!IZ:IZ),0)</f>
        <v>524912</v>
      </c>
      <c r="F47" s="22">
        <f t="shared" si="3"/>
        <v>1.94</v>
      </c>
    </row>
    <row r="48" spans="1:6" x14ac:dyDescent="0.2">
      <c r="A48" s="20">
        <v>13</v>
      </c>
      <c r="B48" s="172" t="s">
        <v>12</v>
      </c>
      <c r="C48" s="173"/>
      <c r="D48" s="15">
        <f>IF(F3="1",SUMIF(Data!A:A,'19'!$A$2,Data!DG:DG),0)</f>
        <v>27356</v>
      </c>
      <c r="E48" s="18">
        <f>IF(F3="1",SUMIF(Data!$A:$A,'19'!$A$2,Data!JA:JA),0)</f>
        <v>35247</v>
      </c>
      <c r="F48" s="22">
        <f t="shared" si="3"/>
        <v>1.29</v>
      </c>
    </row>
    <row r="49" spans="1:6" ht="14.25" customHeight="1" x14ac:dyDescent="0.2">
      <c r="A49" s="20">
        <v>14</v>
      </c>
      <c r="B49" s="172" t="s">
        <v>469</v>
      </c>
      <c r="C49" s="173"/>
      <c r="D49" s="15">
        <f>IF(F3="1",SUMIF(Data!A:A,'19'!$A$2,Data!DH:DH),0)</f>
        <v>197242</v>
      </c>
      <c r="E49" s="18">
        <f>IF(F3="1",SUMIF(Data!$A:$A,'19'!$A$2,Data!JB:JB),0)</f>
        <v>365618</v>
      </c>
      <c r="F49" s="22">
        <f t="shared" si="3"/>
        <v>1.85</v>
      </c>
    </row>
    <row r="50" spans="1:6" x14ac:dyDescent="0.2">
      <c r="A50" s="20">
        <v>15</v>
      </c>
      <c r="B50" s="172" t="s">
        <v>13</v>
      </c>
      <c r="C50" s="173"/>
      <c r="D50" s="15">
        <f>IF(F3="1",SUMIF(Data!A:A,'19'!$A$2,Data!DI:DI),0)</f>
        <v>0</v>
      </c>
      <c r="E50" s="18">
        <f>IF(F3="1",SUMIF(Data!$A:$A,'19'!$A$2,Data!JC:JC),0)</f>
        <v>0</v>
      </c>
      <c r="F50" s="22" t="str">
        <f t="shared" si="3"/>
        <v/>
      </c>
    </row>
    <row r="51" spans="1:6" x14ac:dyDescent="0.2">
      <c r="A51" s="20">
        <v>16</v>
      </c>
      <c r="B51" s="172" t="s">
        <v>14</v>
      </c>
      <c r="C51" s="173"/>
      <c r="D51" s="15">
        <f>IF(F3="1",SUMIF(Data!A:A,'19'!$A$2,Data!DJ:DJ),0)</f>
        <v>137090</v>
      </c>
      <c r="E51" s="18">
        <f>IF(F3="1",SUMIF(Data!$A:$A,'19'!$A$2,Data!JD:JD),0)</f>
        <v>225357</v>
      </c>
      <c r="F51" s="22">
        <f t="shared" si="3"/>
        <v>1.64</v>
      </c>
    </row>
    <row r="52" spans="1:6" x14ac:dyDescent="0.2">
      <c r="A52" s="20">
        <v>17</v>
      </c>
      <c r="B52" s="172" t="s">
        <v>15</v>
      </c>
      <c r="C52" s="173"/>
      <c r="D52" s="15">
        <f>IF(F3="1",SUMIF(Data!A:A,'19'!$A$2,Data!DK:DK),0)</f>
        <v>0</v>
      </c>
      <c r="E52" s="18">
        <f>IF(F3="1",SUMIF(Data!$A:$A,'19'!$A$2,Data!JE:JE),0)</f>
        <v>0</v>
      </c>
      <c r="F52" s="22" t="str">
        <f t="shared" si="3"/>
        <v/>
      </c>
    </row>
    <row r="53" spans="1:6" x14ac:dyDescent="0.2">
      <c r="A53" s="20">
        <v>18</v>
      </c>
      <c r="B53" s="172" t="s">
        <v>16</v>
      </c>
      <c r="C53" s="173"/>
      <c r="D53" s="15">
        <f>IF(F3="1",SUMIF(Data!A:A,'19'!$A$2,Data!DL:DL),0)</f>
        <v>66960</v>
      </c>
      <c r="E53" s="18">
        <f>IF(F3="1",SUMIF(Data!$A:$A,'19'!$A$2,Data!JF:JF),0)</f>
        <v>96903</v>
      </c>
      <c r="F53" s="22">
        <f t="shared" si="3"/>
        <v>1.45</v>
      </c>
    </row>
    <row r="54" spans="1:6" x14ac:dyDescent="0.2">
      <c r="A54" s="20">
        <v>19</v>
      </c>
      <c r="B54" s="172" t="s">
        <v>17</v>
      </c>
      <c r="C54" s="173"/>
      <c r="D54" s="15">
        <f>IF(F3="1",SUMIF(Data!A:A,'19'!$A$2,Data!DM:DM),0)</f>
        <v>174624</v>
      </c>
      <c r="E54" s="18">
        <f>IF(F3="1",SUMIF(Data!$A:$A,'19'!$A$2,Data!JG:JG),0)</f>
        <v>236007</v>
      </c>
      <c r="F54" s="22">
        <f t="shared" si="3"/>
        <v>1.35</v>
      </c>
    </row>
    <row r="55" spans="1:6" x14ac:dyDescent="0.2">
      <c r="A55" s="20">
        <v>20</v>
      </c>
      <c r="B55" s="172" t="s">
        <v>18</v>
      </c>
      <c r="C55" s="173"/>
      <c r="D55" s="15">
        <f>IF(F3="1",SUMIF(Data!A:A,'19'!$A$2,Data!DN:DN),0)</f>
        <v>18320</v>
      </c>
      <c r="E55" s="18">
        <f>IF(F3="1",SUMIF(Data!$A:$A,'19'!$A$2,Data!JH:JH),0)</f>
        <v>38725</v>
      </c>
      <c r="F55" s="22">
        <f t="shared" si="3"/>
        <v>2.11</v>
      </c>
    </row>
    <row r="56" spans="1:6" ht="14.25" customHeight="1" x14ac:dyDescent="0.2">
      <c r="A56" s="20">
        <v>21</v>
      </c>
      <c r="B56" s="172" t="s">
        <v>466</v>
      </c>
      <c r="C56" s="173"/>
      <c r="D56" s="15">
        <f>IF(F3="1",SUMIF(Data!A:A,'19'!$A$2,Data!DO:DO),0)</f>
        <v>7600</v>
      </c>
      <c r="E56" s="18">
        <f>IF(F3="1",SUMIF(Data!$A:$A,'19'!$A$2,Data!JI:JI),0)</f>
        <v>0</v>
      </c>
      <c r="F56" s="22">
        <f t="shared" si="3"/>
        <v>0</v>
      </c>
    </row>
    <row r="57" spans="1:6" x14ac:dyDescent="0.2">
      <c r="A57" s="20">
        <v>22</v>
      </c>
      <c r="B57" s="172" t="s">
        <v>19</v>
      </c>
      <c r="C57" s="173"/>
      <c r="D57" s="15">
        <f>IF(F3="1",SUMIF(Data!A:A,'19'!$A$2,Data!DP:DP),0)</f>
        <v>10635</v>
      </c>
      <c r="E57" s="18">
        <f>IF(F3="1",SUMIF(Data!$A:$A,'19'!$A$2,Data!JJ:JJ),0)</f>
        <v>161924</v>
      </c>
      <c r="F57" s="22">
        <f t="shared" si="3"/>
        <v>15.23</v>
      </c>
    </row>
    <row r="58" spans="1:6" x14ac:dyDescent="0.2">
      <c r="A58" s="20">
        <v>23</v>
      </c>
      <c r="B58" s="172" t="s">
        <v>20</v>
      </c>
      <c r="C58" s="173"/>
      <c r="D58" s="15">
        <f>IF(F3="1",SUMIF(Data!A:A,'19'!$A$2,Data!DQ:DQ),0)</f>
        <v>17808</v>
      </c>
      <c r="E58" s="18">
        <f>IF(F3="1",SUMIF(Data!$A:$A,'19'!$A$2,Data!JK:JK),0)</f>
        <v>41290</v>
      </c>
      <c r="F58" s="22">
        <f t="shared" si="3"/>
        <v>2.3199999999999998</v>
      </c>
    </row>
    <row r="59" spans="1:6" x14ac:dyDescent="0.2">
      <c r="A59" s="20">
        <v>24</v>
      </c>
      <c r="B59" s="172" t="s">
        <v>21</v>
      </c>
      <c r="C59" s="173"/>
      <c r="D59" s="15">
        <f>IF(F3="1",SUMIF(Data!A:A,'19'!$A$2,Data!DR:DR),0)</f>
        <v>61350</v>
      </c>
      <c r="E59" s="18">
        <f>IF(F3="1",SUMIF(Data!$A:$A,'19'!$A$2,Data!JL:JL),0)</f>
        <v>148072</v>
      </c>
      <c r="F59" s="22">
        <f t="shared" si="3"/>
        <v>2.41</v>
      </c>
    </row>
    <row r="60" spans="1:6" x14ac:dyDescent="0.2">
      <c r="A60" s="20">
        <v>25</v>
      </c>
      <c r="B60" s="172" t="s">
        <v>22</v>
      </c>
      <c r="C60" s="173"/>
      <c r="D60" s="15">
        <f>IF(F3="1",SUMIF(Data!A:A,'19'!$A$2,Data!DS:DS),0)</f>
        <v>279824</v>
      </c>
      <c r="E60" s="18">
        <f>IF(F3="1",SUMIF(Data!$A:$A,'19'!$A$2,Data!JM:JM),0)</f>
        <v>375836</v>
      </c>
      <c r="F60" s="22">
        <f t="shared" si="3"/>
        <v>1.34</v>
      </c>
    </row>
    <row r="61" spans="1:6" x14ac:dyDescent="0.2">
      <c r="A61" s="20">
        <v>26</v>
      </c>
      <c r="B61" s="172" t="s">
        <v>23</v>
      </c>
      <c r="C61" s="173"/>
      <c r="D61" s="15">
        <f>IF(F3="1",SUMIF(Data!A:A,'19'!$A$2,Data!DT:DT),0)</f>
        <v>72944</v>
      </c>
      <c r="E61" s="18">
        <f>IF(F3="1",SUMIF(Data!$A:$A,'19'!$A$2,Data!JN:JN),0)</f>
        <v>183191</v>
      </c>
      <c r="F61" s="22">
        <f t="shared" si="3"/>
        <v>2.5099999999999998</v>
      </c>
    </row>
    <row r="62" spans="1:6" x14ac:dyDescent="0.2">
      <c r="A62" s="20">
        <v>28</v>
      </c>
      <c r="B62" s="172" t="s">
        <v>24</v>
      </c>
      <c r="C62" s="173"/>
      <c r="D62" s="15">
        <f>IF(F3="1",SUMIF(Data!A:A,'19'!$A$2,Data!DV:DV),0)</f>
        <v>0</v>
      </c>
      <c r="E62" s="18">
        <f>IF(F3="1",SUMIF(Data!$A:$A,'19'!$A$2,Data!JP:JP),0)</f>
        <v>0</v>
      </c>
      <c r="F62" s="22" t="str">
        <f t="shared" si="3"/>
        <v/>
      </c>
    </row>
    <row r="63" spans="1:6" ht="15.75" customHeight="1" thickBot="1" x14ac:dyDescent="0.25">
      <c r="A63" s="23">
        <v>29</v>
      </c>
      <c r="B63" s="174" t="s">
        <v>25</v>
      </c>
      <c r="C63" s="175"/>
      <c r="D63" s="24">
        <f>IF(F3="1",SUMIF(Data!A:A,'19'!$A$2,Data!DW:DW),0)</f>
        <v>0</v>
      </c>
      <c r="E63" s="25">
        <f>IF(F3="1",SUMIF(Data!$A:$A,'19'!$A$2,Data!JQ:JQ),0)</f>
        <v>0</v>
      </c>
      <c r="F63" s="26" t="str">
        <f t="shared" si="3"/>
        <v/>
      </c>
    </row>
    <row r="64" spans="1:6" x14ac:dyDescent="0.2">
      <c r="B64" s="31" t="s">
        <v>35</v>
      </c>
      <c r="C64" s="31"/>
      <c r="D64" s="61">
        <f>SUM(D36:D63)</f>
        <v>1946498</v>
      </c>
      <c r="E64" s="32">
        <f>SUM(E36:E63)</f>
        <v>3620897</v>
      </c>
      <c r="F64" s="33">
        <f t="shared" si="3"/>
        <v>1.86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14424</v>
      </c>
      <c r="E67" s="16">
        <f>IF(F3="1",SUMIF(Data!A:A,'19'!$A$2,Data!DY:DY),0)</f>
        <v>0</v>
      </c>
      <c r="F67" s="21">
        <f t="shared" ref="F67:F95" si="4">IF(D67=0,"",ROUND(E67/D67,2))</f>
        <v>0</v>
      </c>
    </row>
    <row r="68" spans="1:6" x14ac:dyDescent="0.2">
      <c r="A68" s="20">
        <v>2</v>
      </c>
      <c r="B68" s="172" t="s">
        <v>1</v>
      </c>
      <c r="C68" s="173"/>
      <c r="D68" s="15">
        <f t="shared" ref="D68:D94" si="5">D37</f>
        <v>26516</v>
      </c>
      <c r="E68" s="18">
        <f>IF(F3="1",SUMIF(Data!A:A,'19'!$A$2,Data!DZ:DZ),0)</f>
        <v>131985</v>
      </c>
      <c r="F68" s="22">
        <f t="shared" si="4"/>
        <v>4.9800000000000004</v>
      </c>
    </row>
    <row r="69" spans="1:6" ht="14.25" customHeight="1" x14ac:dyDescent="0.2">
      <c r="A69" s="20">
        <v>3</v>
      </c>
      <c r="B69" s="172" t="s">
        <v>2</v>
      </c>
      <c r="C69" s="173"/>
      <c r="D69" s="15">
        <f t="shared" si="5"/>
        <v>229152</v>
      </c>
      <c r="E69" s="18">
        <f>IF(F3="1",SUMIF(Data!A:A,'19'!$A$2,Data!EA:EA),0)</f>
        <v>364362</v>
      </c>
      <c r="F69" s="22">
        <f t="shared" si="4"/>
        <v>1.59</v>
      </c>
    </row>
    <row r="70" spans="1:6" ht="14.25" customHeight="1" x14ac:dyDescent="0.2">
      <c r="A70" s="20">
        <v>4</v>
      </c>
      <c r="B70" s="172" t="s">
        <v>3</v>
      </c>
      <c r="C70" s="173"/>
      <c r="D70" s="15">
        <f t="shared" si="5"/>
        <v>85494</v>
      </c>
      <c r="E70" s="18">
        <f>IF(F3="1",SUMIF(Data!A:A,'19'!$A$2,Data!EB:EB),0)</f>
        <v>127350</v>
      </c>
      <c r="F70" s="22">
        <f t="shared" si="4"/>
        <v>1.49</v>
      </c>
    </row>
    <row r="71" spans="1:6" x14ac:dyDescent="0.2">
      <c r="A71" s="20">
        <v>5</v>
      </c>
      <c r="B71" s="172" t="s">
        <v>4</v>
      </c>
      <c r="C71" s="173"/>
      <c r="D71" s="15">
        <f t="shared" si="5"/>
        <v>0</v>
      </c>
      <c r="E71" s="18">
        <f>IF(F3="1",SUMIF(Data!A:A,'19'!$A$2,Data!EC:EC),0)</f>
        <v>0</v>
      </c>
      <c r="F71" s="22" t="str">
        <f t="shared" si="4"/>
        <v/>
      </c>
    </row>
    <row r="72" spans="1:6" x14ac:dyDescent="0.2">
      <c r="A72" s="20">
        <v>6</v>
      </c>
      <c r="B72" s="172" t="s">
        <v>5</v>
      </c>
      <c r="C72" s="173"/>
      <c r="D72" s="15">
        <f t="shared" si="5"/>
        <v>144</v>
      </c>
      <c r="E72" s="18">
        <f>IF(F3="1",SUMIF(Data!A:A,'19'!$A$2,Data!ED:ED),0)</f>
        <v>0</v>
      </c>
      <c r="F72" s="22">
        <f t="shared" si="4"/>
        <v>0</v>
      </c>
    </row>
    <row r="73" spans="1:6" x14ac:dyDescent="0.2">
      <c r="A73" s="20">
        <v>7</v>
      </c>
      <c r="B73" s="172" t="s">
        <v>6</v>
      </c>
      <c r="C73" s="173"/>
      <c r="D73" s="15">
        <f t="shared" si="5"/>
        <v>63804</v>
      </c>
      <c r="E73" s="18">
        <f>IF(F3="1",SUMIF(Data!A:A,'19'!$A$2,Data!EE:EE),0)</f>
        <v>167667</v>
      </c>
      <c r="F73" s="22">
        <f t="shared" si="4"/>
        <v>2.63</v>
      </c>
    </row>
    <row r="74" spans="1:6" x14ac:dyDescent="0.2">
      <c r="A74" s="20">
        <v>8</v>
      </c>
      <c r="B74" s="172" t="s">
        <v>7</v>
      </c>
      <c r="C74" s="173"/>
      <c r="D74" s="15">
        <f t="shared" si="5"/>
        <v>576</v>
      </c>
      <c r="E74" s="18">
        <f>IF(F3="1",SUMIF(Data!A:A,'19'!$A$2,Data!EF:EF),0)</f>
        <v>0</v>
      </c>
      <c r="F74" s="22">
        <f t="shared" si="4"/>
        <v>0</v>
      </c>
    </row>
    <row r="75" spans="1:6" x14ac:dyDescent="0.2">
      <c r="A75" s="20">
        <v>9</v>
      </c>
      <c r="B75" s="172" t="s">
        <v>8</v>
      </c>
      <c r="C75" s="173"/>
      <c r="D75" s="15">
        <f t="shared" si="5"/>
        <v>108880</v>
      </c>
      <c r="E75" s="18">
        <f>IF(F3="1",SUMIF(Data!A:A,'19'!$A$2,Data!EG:EG),0)</f>
        <v>126065</v>
      </c>
      <c r="F75" s="22">
        <f t="shared" si="4"/>
        <v>1.1599999999999999</v>
      </c>
    </row>
    <row r="76" spans="1:6" x14ac:dyDescent="0.2">
      <c r="A76" s="20">
        <v>10</v>
      </c>
      <c r="B76" s="172" t="s">
        <v>9</v>
      </c>
      <c r="C76" s="173"/>
      <c r="D76" s="15">
        <f t="shared" si="5"/>
        <v>1248</v>
      </c>
      <c r="E76" s="18">
        <f>IF(F3="1",SUMIF(Data!A:A,'19'!$A$2,Data!EH:EH),0)</f>
        <v>0</v>
      </c>
      <c r="F76" s="22">
        <f t="shared" si="4"/>
        <v>0</v>
      </c>
    </row>
    <row r="77" spans="1:6" x14ac:dyDescent="0.2">
      <c r="A77" s="20">
        <v>11</v>
      </c>
      <c r="B77" s="172" t="s">
        <v>10</v>
      </c>
      <c r="C77" s="173"/>
      <c r="D77" s="15">
        <f t="shared" si="5"/>
        <v>74155</v>
      </c>
      <c r="E77" s="18">
        <f>IF(F3="1",SUMIF(Data!A:A,'19'!$A$2,Data!EI:EI),0)</f>
        <v>128637</v>
      </c>
      <c r="F77" s="22">
        <f t="shared" si="4"/>
        <v>1.73</v>
      </c>
    </row>
    <row r="78" spans="1:6" ht="14.25" customHeight="1" x14ac:dyDescent="0.2">
      <c r="A78" s="20">
        <v>12</v>
      </c>
      <c r="B78" s="172" t="s">
        <v>11</v>
      </c>
      <c r="C78" s="173"/>
      <c r="D78" s="15">
        <f t="shared" si="5"/>
        <v>270352</v>
      </c>
      <c r="E78" s="18">
        <f>IF(F3="1",SUMIF(Data!A:A,'19'!$A$2,Data!EJ:EJ),0)</f>
        <v>289375</v>
      </c>
      <c r="F78" s="22">
        <f t="shared" si="4"/>
        <v>1.07</v>
      </c>
    </row>
    <row r="79" spans="1:6" x14ac:dyDescent="0.2">
      <c r="A79" s="20">
        <v>13</v>
      </c>
      <c r="B79" s="172" t="s">
        <v>12</v>
      </c>
      <c r="C79" s="173"/>
      <c r="D79" s="15">
        <f t="shared" si="5"/>
        <v>27356</v>
      </c>
      <c r="E79" s="18">
        <f>IF(F3="1",SUMIF(Data!A:A,'19'!$A$2,Data!EK:EK),0)</f>
        <v>51176</v>
      </c>
      <c r="F79" s="22">
        <f t="shared" si="4"/>
        <v>1.87</v>
      </c>
    </row>
    <row r="80" spans="1:6" ht="14.25" customHeight="1" x14ac:dyDescent="0.2">
      <c r="A80" s="20">
        <v>14</v>
      </c>
      <c r="B80" s="172" t="s">
        <v>469</v>
      </c>
      <c r="C80" s="173"/>
      <c r="D80" s="15">
        <f t="shared" si="5"/>
        <v>197242</v>
      </c>
      <c r="E80" s="18">
        <f>IF(F3="1",SUMIF(Data!A:A,'19'!$A$2,Data!EL:EL),0)</f>
        <v>980756</v>
      </c>
      <c r="F80" s="22">
        <f t="shared" si="4"/>
        <v>4.97</v>
      </c>
    </row>
    <row r="81" spans="1:6" x14ac:dyDescent="0.2">
      <c r="A81" s="20">
        <v>15</v>
      </c>
      <c r="B81" s="172" t="s">
        <v>13</v>
      </c>
      <c r="C81" s="173"/>
      <c r="D81" s="15">
        <f t="shared" si="5"/>
        <v>0</v>
      </c>
      <c r="E81" s="18">
        <f>IF(F3="1",SUMIF(Data!A:A,'19'!$A$2,Data!EM:EM),0)</f>
        <v>0</v>
      </c>
      <c r="F81" s="22" t="str">
        <f t="shared" si="4"/>
        <v/>
      </c>
    </row>
    <row r="82" spans="1:6" x14ac:dyDescent="0.2">
      <c r="A82" s="20">
        <v>16</v>
      </c>
      <c r="B82" s="172" t="s">
        <v>14</v>
      </c>
      <c r="C82" s="173"/>
      <c r="D82" s="15">
        <f t="shared" si="5"/>
        <v>137090</v>
      </c>
      <c r="E82" s="18">
        <f>IF(F3="1",SUMIF(Data!A:A,'19'!$A$2,Data!EN:EN),0)</f>
        <v>281120</v>
      </c>
      <c r="F82" s="22">
        <f t="shared" si="4"/>
        <v>2.0499999999999998</v>
      </c>
    </row>
    <row r="83" spans="1:6" x14ac:dyDescent="0.2">
      <c r="A83" s="20">
        <v>17</v>
      </c>
      <c r="B83" s="172" t="s">
        <v>15</v>
      </c>
      <c r="C83" s="173"/>
      <c r="D83" s="15">
        <f t="shared" si="5"/>
        <v>0</v>
      </c>
      <c r="E83" s="18">
        <f>IF(F3="1",SUMIF(Data!A:A,'19'!$A$2,Data!EO:EO),0)</f>
        <v>0</v>
      </c>
      <c r="F83" s="22" t="str">
        <f t="shared" si="4"/>
        <v/>
      </c>
    </row>
    <row r="84" spans="1:6" x14ac:dyDescent="0.2">
      <c r="A84" s="20">
        <v>18</v>
      </c>
      <c r="B84" s="172" t="s">
        <v>16</v>
      </c>
      <c r="C84" s="173"/>
      <c r="D84" s="15">
        <f t="shared" si="5"/>
        <v>66960</v>
      </c>
      <c r="E84" s="18">
        <f>IF(F3="1",SUMIF(Data!A:A,'19'!$A$2,Data!EP:EP),0)</f>
        <v>259698</v>
      </c>
      <c r="F84" s="22">
        <f t="shared" si="4"/>
        <v>3.88</v>
      </c>
    </row>
    <row r="85" spans="1:6" x14ac:dyDescent="0.2">
      <c r="A85" s="20">
        <v>19</v>
      </c>
      <c r="B85" s="172" t="s">
        <v>17</v>
      </c>
      <c r="C85" s="173"/>
      <c r="D85" s="15">
        <f t="shared" si="5"/>
        <v>174624</v>
      </c>
      <c r="E85" s="18">
        <f>IF(F3="1",SUMIF(Data!A:A,'19'!$A$2,Data!EQ:EQ),0)</f>
        <v>244897</v>
      </c>
      <c r="F85" s="22">
        <f t="shared" si="4"/>
        <v>1.4</v>
      </c>
    </row>
    <row r="86" spans="1:6" x14ac:dyDescent="0.2">
      <c r="A86" s="20">
        <v>20</v>
      </c>
      <c r="B86" s="172" t="s">
        <v>18</v>
      </c>
      <c r="C86" s="173"/>
      <c r="D86" s="15">
        <f t="shared" si="5"/>
        <v>18320</v>
      </c>
      <c r="E86" s="18">
        <f>IF(F3="1",SUMIF(Data!A:A,'19'!$A$2,Data!ER:ER),0)</f>
        <v>40164</v>
      </c>
      <c r="F86" s="22">
        <f t="shared" si="4"/>
        <v>2.19</v>
      </c>
    </row>
    <row r="87" spans="1:6" ht="14.25" customHeight="1" x14ac:dyDescent="0.2">
      <c r="A87" s="20">
        <v>21</v>
      </c>
      <c r="B87" s="172" t="s">
        <v>466</v>
      </c>
      <c r="C87" s="173"/>
      <c r="D87" s="15">
        <f t="shared" si="5"/>
        <v>7600</v>
      </c>
      <c r="E87" s="18">
        <f>IF(F3="1",SUMIF(Data!A:A,'19'!$A$2,Data!ES:ES),0)</f>
        <v>0</v>
      </c>
      <c r="F87" s="22">
        <f t="shared" si="4"/>
        <v>0</v>
      </c>
    </row>
    <row r="88" spans="1:6" x14ac:dyDescent="0.2">
      <c r="A88" s="20">
        <v>22</v>
      </c>
      <c r="B88" s="172" t="s">
        <v>19</v>
      </c>
      <c r="C88" s="173"/>
      <c r="D88" s="15">
        <f t="shared" si="5"/>
        <v>10635</v>
      </c>
      <c r="E88" s="18">
        <f>IF(F3="1",SUMIF(Data!A:A,'19'!$A$2,Data!ET:ET),0)</f>
        <v>0</v>
      </c>
      <c r="F88" s="22">
        <f t="shared" si="4"/>
        <v>0</v>
      </c>
    </row>
    <row r="89" spans="1:6" x14ac:dyDescent="0.2">
      <c r="A89" s="20">
        <v>23</v>
      </c>
      <c r="B89" s="172" t="s">
        <v>20</v>
      </c>
      <c r="C89" s="173"/>
      <c r="D89" s="15">
        <f t="shared" si="5"/>
        <v>17808</v>
      </c>
      <c r="E89" s="18">
        <f>IF(F3="1",SUMIF(Data!A:A,'19'!$A$2,Data!EU:EU),0)</f>
        <v>240448</v>
      </c>
      <c r="F89" s="22">
        <f t="shared" si="4"/>
        <v>13.5</v>
      </c>
    </row>
    <row r="90" spans="1:6" x14ac:dyDescent="0.2">
      <c r="A90" s="20">
        <v>24</v>
      </c>
      <c r="B90" s="172" t="s">
        <v>21</v>
      </c>
      <c r="C90" s="173"/>
      <c r="D90" s="15">
        <f t="shared" si="5"/>
        <v>61350</v>
      </c>
      <c r="E90" s="18">
        <f>IF(F3="1",SUMIF(Data!A:A,'19'!$A$2,Data!EV:EV),0)</f>
        <v>89261</v>
      </c>
      <c r="F90" s="22">
        <f t="shared" si="4"/>
        <v>1.45</v>
      </c>
    </row>
    <row r="91" spans="1:6" x14ac:dyDescent="0.2">
      <c r="A91" s="20">
        <v>25</v>
      </c>
      <c r="B91" s="172" t="s">
        <v>22</v>
      </c>
      <c r="C91" s="173"/>
      <c r="D91" s="15">
        <f t="shared" si="5"/>
        <v>279824</v>
      </c>
      <c r="E91" s="18">
        <f>IF(F3="1",SUMIF(Data!A:A,'19'!$A$2,Data!EW:EW),0)</f>
        <v>390089</v>
      </c>
      <c r="F91" s="22">
        <f t="shared" si="4"/>
        <v>1.39</v>
      </c>
    </row>
    <row r="92" spans="1:6" x14ac:dyDescent="0.2">
      <c r="A92" s="20">
        <v>26</v>
      </c>
      <c r="B92" s="172" t="s">
        <v>23</v>
      </c>
      <c r="C92" s="173"/>
      <c r="D92" s="15">
        <f t="shared" si="5"/>
        <v>72944</v>
      </c>
      <c r="E92" s="18">
        <f>IF(F3="1",SUMIF(Data!A:A,'19'!$A$2,Data!EX:EX),0)</f>
        <v>166863</v>
      </c>
      <c r="F92" s="22">
        <f t="shared" si="4"/>
        <v>2.29</v>
      </c>
    </row>
    <row r="93" spans="1:6" x14ac:dyDescent="0.2">
      <c r="A93" s="20">
        <v>28</v>
      </c>
      <c r="B93" s="172" t="s">
        <v>24</v>
      </c>
      <c r="C93" s="173"/>
      <c r="D93" s="15">
        <f t="shared" si="5"/>
        <v>0</v>
      </c>
      <c r="E93" s="18">
        <f>IF(F3="1",SUMIF(Data!A:A,'19'!$A$2,Data!EZ:EZ),0)</f>
        <v>0</v>
      </c>
      <c r="F93" s="22" t="str">
        <f t="shared" si="4"/>
        <v/>
      </c>
    </row>
    <row r="94" spans="1:6" ht="15.75" customHeight="1" thickBot="1" x14ac:dyDescent="0.25">
      <c r="A94" s="23">
        <v>29</v>
      </c>
      <c r="B94" s="174" t="s">
        <v>25</v>
      </c>
      <c r="C94" s="175"/>
      <c r="D94" s="24">
        <f t="shared" si="5"/>
        <v>0</v>
      </c>
      <c r="E94" s="25">
        <f>IF(F3="1",SUMIF(Data!A:A,'19'!$A$2,Data!FA:FA),0)</f>
        <v>0</v>
      </c>
      <c r="F94" s="26" t="str">
        <f t="shared" si="4"/>
        <v/>
      </c>
    </row>
    <row r="95" spans="1:6" x14ac:dyDescent="0.2">
      <c r="B95" s="31" t="s">
        <v>35</v>
      </c>
      <c r="C95" s="31"/>
      <c r="D95" s="61">
        <f>SUM(D67:D94)</f>
        <v>1946498</v>
      </c>
      <c r="E95" s="32">
        <f>SUM(E67:E94)</f>
        <v>4079913</v>
      </c>
      <c r="F95" s="33">
        <f t="shared" si="4"/>
        <v>2.1</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IF(F3="1",SUMIF(Data!A:A,'19'!$A$2,Data!AH:AH),0)</f>
        <v>2864619</v>
      </c>
      <c r="F98" s="21">
        <f>IF($D$105=0,"",ROUND(E98/$D$105,2))</f>
        <v>1.47</v>
      </c>
    </row>
    <row r="99" spans="2:6" x14ac:dyDescent="0.2">
      <c r="B99" s="178" t="s">
        <v>31</v>
      </c>
      <c r="C99" s="179"/>
      <c r="D99" s="37"/>
      <c r="E99" s="18">
        <f>IF(F3="1",SUMIF(Data!A:A,'19'!$A$2,Data!AI:AI),0)</f>
        <v>1419634</v>
      </c>
      <c r="F99" s="22">
        <f t="shared" ref="F99:F105" si="6">IF($D$105=0,"",ROUND(E99/$D$105,2))</f>
        <v>0.73</v>
      </c>
    </row>
    <row r="100" spans="2:6" x14ac:dyDescent="0.2">
      <c r="B100" s="178" t="s">
        <v>32</v>
      </c>
      <c r="C100" s="179"/>
      <c r="D100" s="37"/>
      <c r="E100" s="18">
        <f>IF(F3="1",SUMIF(Data!A:A,'19'!$A$2,Data!AJ:AJ),0)</f>
        <v>1080429</v>
      </c>
      <c r="F100" s="22">
        <f t="shared" si="6"/>
        <v>0.56000000000000005</v>
      </c>
    </row>
    <row r="101" spans="2:6" x14ac:dyDescent="0.2">
      <c r="B101" s="178" t="s">
        <v>28</v>
      </c>
      <c r="C101" s="179"/>
      <c r="D101" s="37"/>
      <c r="E101" s="18">
        <f>IF(F3="1",SUMIF(Data!A:A,'19'!$A$2,Data!AK:AK),0)</f>
        <v>0</v>
      </c>
      <c r="F101" s="22">
        <f t="shared" si="6"/>
        <v>0</v>
      </c>
    </row>
    <row r="102" spans="2:6" x14ac:dyDescent="0.2">
      <c r="B102" s="178" t="s">
        <v>33</v>
      </c>
      <c r="C102" s="179"/>
      <c r="D102" s="37"/>
      <c r="E102" s="18">
        <f>IF(F3="1",SUMIF(Data!A:A,'19'!$A$2,Data!AL:AL),0)</f>
        <v>0</v>
      </c>
      <c r="F102" s="22">
        <f t="shared" si="6"/>
        <v>0</v>
      </c>
    </row>
    <row r="103" spans="2:6" x14ac:dyDescent="0.2">
      <c r="B103" s="180" t="s">
        <v>34</v>
      </c>
      <c r="C103" s="181"/>
      <c r="D103" s="37"/>
      <c r="E103" s="18">
        <f>IF(F3="1",SUMIF(Data!A:A,'19'!$A$2,Data!AM:AM),0)</f>
        <v>245680</v>
      </c>
      <c r="F103" s="22">
        <f t="shared" si="6"/>
        <v>0.13</v>
      </c>
    </row>
    <row r="104" spans="2:6" ht="15.75" customHeight="1" thickBot="1" x14ac:dyDescent="0.25">
      <c r="B104" s="170" t="s">
        <v>29</v>
      </c>
      <c r="C104" s="171"/>
      <c r="D104" s="38"/>
      <c r="E104" s="25">
        <f>IF(F3="1",SUMIF(Data!A:A,'19'!$A$2,Data!Q:Q),0)</f>
        <v>353148</v>
      </c>
      <c r="F104" s="26">
        <f t="shared" si="6"/>
        <v>0.18</v>
      </c>
    </row>
    <row r="105" spans="2:6" x14ac:dyDescent="0.2">
      <c r="B105" s="31" t="s">
        <v>35</v>
      </c>
      <c r="C105" s="31"/>
      <c r="D105" s="35">
        <f>D95</f>
        <v>1946498</v>
      </c>
      <c r="E105" s="32">
        <f>SUM(E98:E104)</f>
        <v>5963510</v>
      </c>
      <c r="F105" s="33">
        <f t="shared" si="6"/>
        <v>3.06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6132498</v>
      </c>
      <c r="D109" s="16">
        <f>IF(F3="1",SUMIF(Data!$A:$A,$A$2,Data!HJ:HJ),0)</f>
        <v>629411</v>
      </c>
      <c r="E109" s="16">
        <f>IF(F3="1",SUMIF(Data!$A:$A,$A$2,Data!IN:IN),0)</f>
        <v>938901</v>
      </c>
      <c r="F109" s="48">
        <f>SUM(C109:E109)</f>
        <v>7700810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235129</v>
      </c>
      <c r="D111" s="52"/>
      <c r="E111" s="51">
        <f>IF(F3="1",SUMIF(Data!A:A,$A$2,Data!AX:AX),0)</f>
        <v>75243</v>
      </c>
      <c r="F111" s="49">
        <f t="shared" si="7"/>
        <v>310372</v>
      </c>
    </row>
    <row r="112" spans="2:6" x14ac:dyDescent="0.2">
      <c r="B112" s="43" t="s">
        <v>32</v>
      </c>
      <c r="C112" s="51">
        <f>IF(F3="1",SUMIF(Data!A:A,$A$2,Data!V:V),0)</f>
        <v>672215</v>
      </c>
      <c r="D112" s="52"/>
      <c r="E112" s="51">
        <f>IF(F3="1",SUMIF(Data!A:A,$A$2,Data!AC:AC),0)</f>
        <v>408214</v>
      </c>
      <c r="F112" s="49">
        <f t="shared" si="7"/>
        <v>1080429</v>
      </c>
    </row>
    <row r="113" spans="1:6" x14ac:dyDescent="0.2">
      <c r="B113" s="43" t="s">
        <v>31</v>
      </c>
      <c r="C113" s="51">
        <f>IF(F3="1",SUMIF(Data!A:A,$A$2,Data!U:U),0)</f>
        <v>1106555</v>
      </c>
      <c r="D113" s="52"/>
      <c r="E113" s="51">
        <f>IF(F3="1",SUMIF(Data!A:A,$A$2,Data!AB:AB),0)</f>
        <v>313079</v>
      </c>
      <c r="F113" s="49">
        <f t="shared" si="7"/>
        <v>1419634</v>
      </c>
    </row>
    <row r="114" spans="1:6" x14ac:dyDescent="0.2">
      <c r="B114" s="43" t="s">
        <v>1021</v>
      </c>
      <c r="C114" s="51">
        <f>IF(F3="1",SUMIF(Data!A:A,$A$2,Data!T:T),0)</f>
        <v>1335234</v>
      </c>
      <c r="D114" s="52"/>
      <c r="E114" s="51">
        <f>IF(F3="1",SUMIF(Data!A:A,$A$2,Data!AA:AA),0)</f>
        <v>1529385</v>
      </c>
      <c r="F114" s="49">
        <f t="shared" si="7"/>
        <v>2864619</v>
      </c>
    </row>
    <row r="115" spans="1:6" x14ac:dyDescent="0.2">
      <c r="B115" s="43" t="s">
        <v>937</v>
      </c>
      <c r="C115" s="51">
        <f>IF(F3="1",SUMIF(Data!A:A,$A$2,Data!BI:BI),0)</f>
        <v>650923</v>
      </c>
      <c r="D115" s="51">
        <f>IF(F3="1",SUMIF(Data!A:A,$A$2,Data!BL:BL),0)</f>
        <v>192867</v>
      </c>
      <c r="E115" s="51">
        <f>IF(F3="1",SUMIF(Data!A:A,$A$2,Data!BU:BU),0)</f>
        <v>2594070</v>
      </c>
      <c r="F115" s="49">
        <f t="shared" si="7"/>
        <v>3437860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353148</v>
      </c>
      <c r="E117" s="53"/>
      <c r="F117" s="50">
        <f>SUM(C117:E117)</f>
        <v>353148</v>
      </c>
    </row>
    <row r="118" spans="1:6" x14ac:dyDescent="0.2">
      <c r="B118" s="14" t="s">
        <v>35</v>
      </c>
      <c r="C118" s="5">
        <f>SUM(C109:C116)</f>
        <v>10132554</v>
      </c>
      <c r="D118" s="5">
        <f>SUM(D109:D116)</f>
        <v>822278</v>
      </c>
      <c r="E118" s="5">
        <f>SUM(E109:E116)</f>
        <v>5858892</v>
      </c>
      <c r="F118" s="5">
        <f>SUM(F109:F116)</f>
        <v>16813724</v>
      </c>
    </row>
    <row r="119" spans="1:6" ht="15" thickBot="1" x14ac:dyDescent="0.25"/>
    <row r="120" spans="1:6" ht="15" thickBot="1" x14ac:dyDescent="0.25">
      <c r="B120" s="57" t="s">
        <v>942</v>
      </c>
      <c r="C120" s="55"/>
      <c r="D120" s="55"/>
      <c r="E120" s="55">
        <f>IF(F3="1",SUMIF(Data!A:A,'19'!$A$2,Data!AM:AM),0)</f>
        <v>245680</v>
      </c>
      <c r="F120" s="56">
        <f>SUM(C120:E120)</f>
        <v>245680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3" width="10.57031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372</v>
      </c>
      <c r="B2" s="60" t="str">
        <f>VLOOKUP(A2,Data!A:G,7,0)</f>
        <v>Hill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7008</v>
      </c>
      <c r="E5" s="16">
        <f>E36+E67+IFERROR($E$105/$D$105*D5,0)</f>
        <v>86424.601332249425</v>
      </c>
      <c r="F5" s="21">
        <f>IF(OR(D5=0,E5=0),"",ROUND(E5/D5,2))</f>
        <v>12.33</v>
      </c>
    </row>
    <row r="6" spans="1:6" x14ac:dyDescent="0.2">
      <c r="A6" s="20">
        <v>2</v>
      </c>
      <c r="B6" s="172" t="s">
        <v>1</v>
      </c>
      <c r="C6" s="173"/>
      <c r="D6" s="15">
        <f t="shared" ref="D6:D32" si="0">D37</f>
        <v>37322</v>
      </c>
      <c r="E6" s="18">
        <f t="shared" ref="E6:E32" si="1">E37+E68+IFERROR($E$105/$D$105*D6,0)</f>
        <v>240792.56177542993</v>
      </c>
      <c r="F6" s="22">
        <f t="shared" ref="F6:F33" si="2">IF(OR(D6=0,E6=0),"",ROUND(E6/D6,2))</f>
        <v>6.45</v>
      </c>
    </row>
    <row r="7" spans="1:6" ht="14.25" customHeight="1" x14ac:dyDescent="0.2">
      <c r="A7" s="20">
        <v>3</v>
      </c>
      <c r="B7" s="172" t="s">
        <v>2</v>
      </c>
      <c r="C7" s="173"/>
      <c r="D7" s="15">
        <f t="shared" si="0"/>
        <v>191152</v>
      </c>
      <c r="E7" s="18">
        <f t="shared" si="1"/>
        <v>1020128.4956995065</v>
      </c>
      <c r="F7" s="22">
        <f t="shared" si="2"/>
        <v>5.34</v>
      </c>
    </row>
    <row r="8" spans="1:6" ht="14.25" customHeight="1" x14ac:dyDescent="0.2">
      <c r="A8" s="20">
        <v>4</v>
      </c>
      <c r="B8" s="172" t="s">
        <v>3</v>
      </c>
      <c r="C8" s="173"/>
      <c r="D8" s="15">
        <f t="shared" si="0"/>
        <v>64417</v>
      </c>
      <c r="E8" s="18">
        <f t="shared" si="1"/>
        <v>266089.4793121448</v>
      </c>
      <c r="F8" s="22">
        <f t="shared" si="2"/>
        <v>4.13</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8640</v>
      </c>
      <c r="E10" s="18">
        <f t="shared" si="1"/>
        <v>70134.919450718473</v>
      </c>
      <c r="F10" s="22">
        <f t="shared" si="2"/>
        <v>8.1199999999999992</v>
      </c>
    </row>
    <row r="11" spans="1:6" x14ac:dyDescent="0.2">
      <c r="A11" s="20">
        <v>7</v>
      </c>
      <c r="B11" s="172" t="s">
        <v>6</v>
      </c>
      <c r="C11" s="173"/>
      <c r="D11" s="15">
        <f t="shared" si="0"/>
        <v>95225</v>
      </c>
      <c r="E11" s="18">
        <f t="shared" si="1"/>
        <v>620611.2198720678</v>
      </c>
      <c r="F11" s="22">
        <f t="shared" si="2"/>
        <v>6.52</v>
      </c>
    </row>
    <row r="12" spans="1:6" x14ac:dyDescent="0.2">
      <c r="A12" s="20">
        <v>8</v>
      </c>
      <c r="B12" s="172" t="s">
        <v>7</v>
      </c>
      <c r="C12" s="173"/>
      <c r="D12" s="15">
        <f t="shared" si="0"/>
        <v>2504</v>
      </c>
      <c r="E12" s="18">
        <f t="shared" si="1"/>
        <v>20443.282211180442</v>
      </c>
      <c r="F12" s="22">
        <f t="shared" si="2"/>
        <v>8.16</v>
      </c>
    </row>
    <row r="13" spans="1:6" x14ac:dyDescent="0.2">
      <c r="A13" s="20">
        <v>9</v>
      </c>
      <c r="B13" s="172" t="s">
        <v>8</v>
      </c>
      <c r="C13" s="173"/>
      <c r="D13" s="15">
        <f t="shared" si="0"/>
        <v>196702</v>
      </c>
      <c r="E13" s="18">
        <f t="shared" si="1"/>
        <v>1025280.6731244471</v>
      </c>
      <c r="F13" s="22">
        <f t="shared" si="2"/>
        <v>5.21</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16472</v>
      </c>
      <c r="E15" s="18">
        <f t="shared" si="1"/>
        <v>76183.651989841965</v>
      </c>
      <c r="F15" s="22">
        <f t="shared" si="2"/>
        <v>4.63</v>
      </c>
    </row>
    <row r="16" spans="1:6" ht="14.25" customHeight="1" x14ac:dyDescent="0.2">
      <c r="A16" s="20">
        <v>12</v>
      </c>
      <c r="B16" s="172" t="s">
        <v>11</v>
      </c>
      <c r="C16" s="173"/>
      <c r="D16" s="15">
        <f t="shared" si="0"/>
        <v>243200</v>
      </c>
      <c r="E16" s="18">
        <f t="shared" si="1"/>
        <v>1185594.2882424458</v>
      </c>
      <c r="F16" s="22">
        <f t="shared" si="2"/>
        <v>4.87</v>
      </c>
    </row>
    <row r="17" spans="1:6" x14ac:dyDescent="0.2">
      <c r="A17" s="20">
        <v>13</v>
      </c>
      <c r="B17" s="172" t="s">
        <v>12</v>
      </c>
      <c r="C17" s="173"/>
      <c r="D17" s="15">
        <f t="shared" si="0"/>
        <v>37952</v>
      </c>
      <c r="E17" s="18">
        <f t="shared" si="1"/>
        <v>176584.86840204481</v>
      </c>
      <c r="F17" s="22">
        <f t="shared" si="2"/>
        <v>4.6500000000000004</v>
      </c>
    </row>
    <row r="18" spans="1:6" ht="14.25" customHeight="1" x14ac:dyDescent="0.2">
      <c r="A18" s="20">
        <v>14</v>
      </c>
      <c r="B18" s="172" t="s">
        <v>469</v>
      </c>
      <c r="C18" s="173"/>
      <c r="D18" s="15">
        <f t="shared" si="0"/>
        <v>15968</v>
      </c>
      <c r="E18" s="18">
        <f t="shared" si="1"/>
        <v>103619.40668855005</v>
      </c>
      <c r="F18" s="22">
        <f t="shared" si="2"/>
        <v>6.49</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102150</v>
      </c>
      <c r="E20" s="18">
        <f t="shared" si="1"/>
        <v>431768.86017255683</v>
      </c>
      <c r="F20" s="22">
        <f t="shared" si="2"/>
        <v>4.2300000000000004</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118096</v>
      </c>
      <c r="E22" s="18">
        <f t="shared" si="1"/>
        <v>1144600.8434550981</v>
      </c>
      <c r="F22" s="22">
        <f t="shared" si="2"/>
        <v>9.69</v>
      </c>
    </row>
    <row r="23" spans="1:6" x14ac:dyDescent="0.2">
      <c r="A23" s="20">
        <v>19</v>
      </c>
      <c r="B23" s="172" t="s">
        <v>17</v>
      </c>
      <c r="C23" s="173"/>
      <c r="D23" s="15">
        <f t="shared" si="0"/>
        <v>182096</v>
      </c>
      <c r="E23" s="18">
        <f t="shared" si="1"/>
        <v>945191.02457153122</v>
      </c>
      <c r="F23" s="22">
        <f t="shared" si="2"/>
        <v>5.19</v>
      </c>
    </row>
    <row r="24" spans="1:6" x14ac:dyDescent="0.2">
      <c r="A24" s="20">
        <v>20</v>
      </c>
      <c r="B24" s="172" t="s">
        <v>18</v>
      </c>
      <c r="C24" s="173"/>
      <c r="D24" s="15">
        <f t="shared" si="0"/>
        <v>33007</v>
      </c>
      <c r="E24" s="18">
        <f t="shared" si="1"/>
        <v>155907.33464234541</v>
      </c>
      <c r="F24" s="22">
        <f t="shared" si="2"/>
        <v>4.72</v>
      </c>
    </row>
    <row r="25" spans="1:6" ht="14.25" customHeight="1" x14ac:dyDescent="0.2">
      <c r="A25" s="20">
        <v>21</v>
      </c>
      <c r="B25" s="172" t="s">
        <v>466</v>
      </c>
      <c r="C25" s="173"/>
      <c r="D25" s="15">
        <f t="shared" si="0"/>
        <v>7650</v>
      </c>
      <c r="E25" s="18">
        <f t="shared" si="1"/>
        <v>62099.866180323639</v>
      </c>
      <c r="F25" s="22">
        <f t="shared" si="2"/>
        <v>8.1199999999999992</v>
      </c>
    </row>
    <row r="26" spans="1:6" x14ac:dyDescent="0.2">
      <c r="A26" s="20">
        <v>22</v>
      </c>
      <c r="B26" s="172" t="s">
        <v>19</v>
      </c>
      <c r="C26" s="173"/>
      <c r="D26" s="15">
        <f t="shared" si="0"/>
        <v>896</v>
      </c>
      <c r="E26" s="18">
        <f t="shared" si="1"/>
        <v>7273.8805356300636</v>
      </c>
      <c r="F26" s="22">
        <f t="shared" si="2"/>
        <v>8.1199999999999992</v>
      </c>
    </row>
    <row r="27" spans="1:6" x14ac:dyDescent="0.2">
      <c r="A27" s="20">
        <v>23</v>
      </c>
      <c r="B27" s="172" t="s">
        <v>20</v>
      </c>
      <c r="C27" s="173"/>
      <c r="D27" s="15">
        <f t="shared" si="0"/>
        <v>69312</v>
      </c>
      <c r="E27" s="18">
        <f t="shared" si="1"/>
        <v>658576.68714909698</v>
      </c>
      <c r="F27" s="22">
        <f t="shared" si="2"/>
        <v>9.5</v>
      </c>
    </row>
    <row r="28" spans="1:6" x14ac:dyDescent="0.2">
      <c r="A28" s="20">
        <v>24</v>
      </c>
      <c r="B28" s="172" t="s">
        <v>21</v>
      </c>
      <c r="C28" s="173"/>
      <c r="D28" s="15">
        <f t="shared" si="0"/>
        <v>46256</v>
      </c>
      <c r="E28" s="18">
        <f t="shared" si="1"/>
        <v>316499.95765190199</v>
      </c>
      <c r="F28" s="22">
        <f t="shared" si="2"/>
        <v>6.84</v>
      </c>
    </row>
    <row r="29" spans="1:6" x14ac:dyDescent="0.2">
      <c r="A29" s="20">
        <v>25</v>
      </c>
      <c r="B29" s="172" t="s">
        <v>22</v>
      </c>
      <c r="C29" s="173"/>
      <c r="D29" s="15">
        <f t="shared" si="0"/>
        <v>224928</v>
      </c>
      <c r="E29" s="18">
        <f t="shared" si="1"/>
        <v>1175200.903033704</v>
      </c>
      <c r="F29" s="22">
        <f t="shared" si="2"/>
        <v>5.22</v>
      </c>
    </row>
    <row r="30" spans="1:6" x14ac:dyDescent="0.2">
      <c r="A30" s="20">
        <v>26</v>
      </c>
      <c r="B30" s="172" t="s">
        <v>23</v>
      </c>
      <c r="C30" s="173"/>
      <c r="D30" s="15">
        <f t="shared" si="0"/>
        <v>86400</v>
      </c>
      <c r="E30" s="18">
        <f t="shared" si="1"/>
        <v>546063.19450718467</v>
      </c>
      <c r="F30" s="22">
        <f t="shared" si="2"/>
        <v>6.32</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1787353</v>
      </c>
      <c r="E33" s="32">
        <f>SUM(E5:E32)</f>
        <v>10335070</v>
      </c>
      <c r="F33" s="33">
        <f t="shared" si="2"/>
        <v>5.78</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IF(F3="1",SUMIF(Data!A:A,'20'!$A$2,Data!CU:CU),0)</f>
        <v>7008</v>
      </c>
      <c r="E36" s="16">
        <f>IF(F3="1",SUMIF(Data!$A:$A,'20'!$A$2,Data!IO:IO),0)</f>
        <v>10209</v>
      </c>
      <c r="F36" s="21">
        <f>IF(D36=0,"",ROUND(E36/D36,2))</f>
        <v>1.46</v>
      </c>
    </row>
    <row r="37" spans="1:6" x14ac:dyDescent="0.2">
      <c r="A37" s="20">
        <v>2</v>
      </c>
      <c r="B37" s="172" t="s">
        <v>1</v>
      </c>
      <c r="C37" s="173"/>
      <c r="D37" s="15">
        <f>IF(F3="1",SUMIF(Data!A:A,'20'!$A$2,Data!CV:CV),0)</f>
        <v>37322</v>
      </c>
      <c r="E37" s="18">
        <f>IF(F3="1",SUMIF(Data!$A:$A,'20'!$A$2,Data!IP:IP),0)</f>
        <v>18911</v>
      </c>
      <c r="F37" s="22">
        <f t="shared" ref="F37:F64" si="3">IF(D37=0,"",ROUND(E37/D37,2))</f>
        <v>0.51</v>
      </c>
    </row>
    <row r="38" spans="1:6" ht="14.25" customHeight="1" x14ac:dyDescent="0.2">
      <c r="A38" s="20">
        <v>3</v>
      </c>
      <c r="B38" s="172" t="s">
        <v>2</v>
      </c>
      <c r="C38" s="173"/>
      <c r="D38" s="15">
        <f>IF(F3="1",SUMIF(Data!A:A,'20'!$A$2,Data!CW:CW),0)</f>
        <v>191152</v>
      </c>
      <c r="E38" s="18">
        <f>IF(F3="1",SUMIF(Data!$A:$A,'20'!$A$2,Data!IQ:IQ),0)</f>
        <v>24264</v>
      </c>
      <c r="F38" s="22">
        <f t="shared" si="3"/>
        <v>0.13</v>
      </c>
    </row>
    <row r="39" spans="1:6" ht="14.25" customHeight="1" x14ac:dyDescent="0.2">
      <c r="A39" s="20">
        <v>4</v>
      </c>
      <c r="B39" s="172" t="s">
        <v>3</v>
      </c>
      <c r="C39" s="173"/>
      <c r="D39" s="15">
        <f>IF(F3="1",SUMIF(Data!A:A,'20'!$A$2,Data!CX:CX),0)</f>
        <v>64417</v>
      </c>
      <c r="E39" s="18">
        <f>IF(F3="1",SUMIF(Data!$A:$A,'20'!$A$2,Data!IR:IR),0)</f>
        <v>913</v>
      </c>
      <c r="F39" s="22">
        <f t="shared" si="3"/>
        <v>0.01</v>
      </c>
    </row>
    <row r="40" spans="1:6" x14ac:dyDescent="0.2">
      <c r="A40" s="20">
        <v>5</v>
      </c>
      <c r="B40" s="172" t="s">
        <v>4</v>
      </c>
      <c r="C40" s="173"/>
      <c r="D40" s="15">
        <f>IF(F3="1",SUMIF(Data!A:A,'20'!$A$2,Data!CY:CY),0)</f>
        <v>0</v>
      </c>
      <c r="E40" s="18">
        <f>IF(F3="1",SUMIF(Data!$A:$A,'20'!$A$2,Data!IS:IS),0)</f>
        <v>0</v>
      </c>
      <c r="F40" s="22" t="str">
        <f t="shared" si="3"/>
        <v/>
      </c>
    </row>
    <row r="41" spans="1:6" x14ac:dyDescent="0.2">
      <c r="A41" s="20">
        <v>6</v>
      </c>
      <c r="B41" s="172" t="s">
        <v>5</v>
      </c>
      <c r="C41" s="173"/>
      <c r="D41" s="15">
        <f>IF(F3="1",SUMIF(Data!A:A,'20'!$A$2,Data!CZ:CZ),0)</f>
        <v>8640</v>
      </c>
      <c r="E41" s="18">
        <f>IF(F3="1",SUMIF(Data!$A:$A,'20'!$A$2,Data!IT:IT),0)</f>
        <v>10067</v>
      </c>
      <c r="F41" s="22">
        <f t="shared" si="3"/>
        <v>1.17</v>
      </c>
    </row>
    <row r="42" spans="1:6" x14ac:dyDescent="0.2">
      <c r="A42" s="20">
        <v>7</v>
      </c>
      <c r="B42" s="172" t="s">
        <v>6</v>
      </c>
      <c r="C42" s="173"/>
      <c r="D42" s="15">
        <f>IF(F3="1",SUMIF(Data!A:A,'20'!$A$2,Data!DA:DA),0)</f>
        <v>95225</v>
      </c>
      <c r="E42" s="18">
        <f>IF(F3="1",SUMIF(Data!$A:$A,'20'!$A$2,Data!IU:IU),0)</f>
        <v>36227</v>
      </c>
      <c r="F42" s="22">
        <f t="shared" si="3"/>
        <v>0.38</v>
      </c>
    </row>
    <row r="43" spans="1:6" x14ac:dyDescent="0.2">
      <c r="A43" s="20">
        <v>8</v>
      </c>
      <c r="B43" s="172" t="s">
        <v>7</v>
      </c>
      <c r="C43" s="173"/>
      <c r="D43" s="15">
        <f>IF(F3="1",SUMIF(Data!A:A,'20'!$A$2,Data!DB:DB),0)</f>
        <v>2504</v>
      </c>
      <c r="E43" s="18">
        <f>IF(F3="1",SUMIF(Data!$A:$A,'20'!$A$2,Data!IV:IV),0)</f>
        <v>3035</v>
      </c>
      <c r="F43" s="22">
        <f t="shared" si="3"/>
        <v>1.21</v>
      </c>
    </row>
    <row r="44" spans="1:6" x14ac:dyDescent="0.2">
      <c r="A44" s="20">
        <v>9</v>
      </c>
      <c r="B44" s="172" t="s">
        <v>8</v>
      </c>
      <c r="C44" s="173"/>
      <c r="D44" s="15">
        <f>IF(F3="1",SUMIF(Data!A:A,'20'!$A$2,Data!DC:DC),0)</f>
        <v>196702</v>
      </c>
      <c r="E44" s="18">
        <f>IF(F3="1",SUMIF(Data!$A:$A,'20'!$A$2,Data!IW:IW),0)</f>
        <v>19361</v>
      </c>
      <c r="F44" s="22">
        <f t="shared" si="3"/>
        <v>0.1</v>
      </c>
    </row>
    <row r="45" spans="1:6" x14ac:dyDescent="0.2">
      <c r="A45" s="20">
        <v>10</v>
      </c>
      <c r="B45" s="172" t="s">
        <v>9</v>
      </c>
      <c r="C45" s="173"/>
      <c r="D45" s="15">
        <f>IF(F3="1",SUMIF(Data!A:A,'20'!$A$2,Data!DD:DD),0)</f>
        <v>0</v>
      </c>
      <c r="E45" s="18">
        <f>IF(F3="1",SUMIF(Data!$A:$A,'20'!$A$2,Data!IX:IX),0)</f>
        <v>0</v>
      </c>
      <c r="F45" s="22" t="str">
        <f t="shared" si="3"/>
        <v/>
      </c>
    </row>
    <row r="46" spans="1:6" x14ac:dyDescent="0.2">
      <c r="A46" s="20">
        <v>11</v>
      </c>
      <c r="B46" s="172" t="s">
        <v>10</v>
      </c>
      <c r="C46" s="173"/>
      <c r="D46" s="15">
        <f>IF(F3="1",SUMIF(Data!A:A,'20'!$A$2,Data!DE:DE),0)</f>
        <v>16472</v>
      </c>
      <c r="E46" s="18">
        <f>IF(F3="1",SUMIF(Data!$A:$A,'20'!$A$2,Data!IY:IY),0)</f>
        <v>1046</v>
      </c>
      <c r="F46" s="22">
        <f t="shared" si="3"/>
        <v>0.06</v>
      </c>
    </row>
    <row r="47" spans="1:6" ht="14.25" customHeight="1" x14ac:dyDescent="0.2">
      <c r="A47" s="20">
        <v>12</v>
      </c>
      <c r="B47" s="172" t="s">
        <v>11</v>
      </c>
      <c r="C47" s="173"/>
      <c r="D47" s="15">
        <f>IF(F3="1",SUMIF(Data!A:A,'20'!$A$2,Data!DF:DF),0)</f>
        <v>243200</v>
      </c>
      <c r="E47" s="18">
        <f>IF(F3="1",SUMIF(Data!$A:$A,'20'!$A$2,Data!IZ:IZ),0)</f>
        <v>9327</v>
      </c>
      <c r="F47" s="22">
        <f t="shared" si="3"/>
        <v>0.04</v>
      </c>
    </row>
    <row r="48" spans="1:6" x14ac:dyDescent="0.2">
      <c r="A48" s="20">
        <v>13</v>
      </c>
      <c r="B48" s="172" t="s">
        <v>12</v>
      </c>
      <c r="C48" s="173"/>
      <c r="D48" s="15">
        <f>IF(F3="1",SUMIF(Data!A:A,'20'!$A$2,Data!DG:DG),0)</f>
        <v>37952</v>
      </c>
      <c r="E48" s="18">
        <f>IF(F3="1",SUMIF(Data!$A:$A,'20'!$A$2,Data!JA:JA),0)</f>
        <v>959</v>
      </c>
      <c r="F48" s="22">
        <f t="shared" si="3"/>
        <v>0.03</v>
      </c>
    </row>
    <row r="49" spans="1:6" ht="14.25" customHeight="1" x14ac:dyDescent="0.2">
      <c r="A49" s="20">
        <v>14</v>
      </c>
      <c r="B49" s="172" t="s">
        <v>469</v>
      </c>
      <c r="C49" s="173"/>
      <c r="D49" s="15">
        <f>IF(F3="1",SUMIF(Data!A:A,'20'!$A$2,Data!DH:DH),0)</f>
        <v>15968</v>
      </c>
      <c r="E49" s="18">
        <f>IF(F3="1",SUMIF(Data!$A:$A,'20'!$A$2,Data!JB:JB),0)</f>
        <v>4467</v>
      </c>
      <c r="F49" s="22">
        <f t="shared" si="3"/>
        <v>0.28000000000000003</v>
      </c>
    </row>
    <row r="50" spans="1:6" x14ac:dyDescent="0.2">
      <c r="A50" s="20">
        <v>15</v>
      </c>
      <c r="B50" s="172" t="s">
        <v>13</v>
      </c>
      <c r="C50" s="173"/>
      <c r="D50" s="15">
        <f>IF(F3="1",SUMIF(Data!A:A,'20'!$A$2,Data!DI:DI),0)</f>
        <v>0</v>
      </c>
      <c r="E50" s="18">
        <f>IF(F3="1",SUMIF(Data!$A:$A,'20'!$A$2,Data!JC:JC),0)</f>
        <v>0</v>
      </c>
      <c r="F50" s="22" t="str">
        <f t="shared" si="3"/>
        <v/>
      </c>
    </row>
    <row r="51" spans="1:6" x14ac:dyDescent="0.2">
      <c r="A51" s="20">
        <v>16</v>
      </c>
      <c r="B51" s="172" t="s">
        <v>14</v>
      </c>
      <c r="C51" s="173"/>
      <c r="D51" s="15">
        <f>IF(F3="1",SUMIF(Data!A:A,'20'!$A$2,Data!DJ:DJ),0)</f>
        <v>102150</v>
      </c>
      <c r="E51" s="18">
        <f>IF(F3="1",SUMIF(Data!$A:$A,'20'!$A$2,Data!JD:JD),0)</f>
        <v>17654</v>
      </c>
      <c r="F51" s="22">
        <f t="shared" si="3"/>
        <v>0.17</v>
      </c>
    </row>
    <row r="52" spans="1:6" x14ac:dyDescent="0.2">
      <c r="A52" s="20">
        <v>17</v>
      </c>
      <c r="B52" s="172" t="s">
        <v>15</v>
      </c>
      <c r="C52" s="173"/>
      <c r="D52" s="15">
        <f>IF(F3="1",SUMIF(Data!A:A,'20'!$A$2,Data!DK:DK),0)</f>
        <v>0</v>
      </c>
      <c r="E52" s="18">
        <f>IF(F3="1",SUMIF(Data!$A:$A,'20'!$A$2,Data!JE:JE),0)</f>
        <v>0</v>
      </c>
      <c r="F52" s="22" t="str">
        <f t="shared" si="3"/>
        <v/>
      </c>
    </row>
    <row r="53" spans="1:6" x14ac:dyDescent="0.2">
      <c r="A53" s="20">
        <v>18</v>
      </c>
      <c r="B53" s="172" t="s">
        <v>16</v>
      </c>
      <c r="C53" s="173"/>
      <c r="D53" s="15">
        <f>IF(F3="1",SUMIF(Data!A:A,'20'!$A$2,Data!DL:DL),0)</f>
        <v>118096</v>
      </c>
      <c r="E53" s="18">
        <f>IF(F3="1",SUMIF(Data!$A:$A,'20'!$A$2,Data!JF:JF),0)</f>
        <v>35778</v>
      </c>
      <c r="F53" s="22">
        <f t="shared" si="3"/>
        <v>0.3</v>
      </c>
    </row>
    <row r="54" spans="1:6" x14ac:dyDescent="0.2">
      <c r="A54" s="20">
        <v>19</v>
      </c>
      <c r="B54" s="172" t="s">
        <v>17</v>
      </c>
      <c r="C54" s="173"/>
      <c r="D54" s="15">
        <f>IF(F3="1",SUMIF(Data!A:A,'20'!$A$2,Data!DM:DM),0)</f>
        <v>182096</v>
      </c>
      <c r="E54" s="18">
        <f>IF(F3="1",SUMIF(Data!$A:$A,'20'!$A$2,Data!JG:JG),0)</f>
        <v>3937</v>
      </c>
      <c r="F54" s="22">
        <f t="shared" si="3"/>
        <v>0.02</v>
      </c>
    </row>
    <row r="55" spans="1:6" x14ac:dyDescent="0.2">
      <c r="A55" s="20">
        <v>20</v>
      </c>
      <c r="B55" s="172" t="s">
        <v>18</v>
      </c>
      <c r="C55" s="173"/>
      <c r="D55" s="15">
        <f>IF(F3="1",SUMIF(Data!A:A,'20'!$A$2,Data!DN:DN),0)</f>
        <v>33007</v>
      </c>
      <c r="E55" s="18">
        <f>IF(F3="1",SUMIF(Data!$A:$A,'20'!$A$2,Data!JH:JH),0)</f>
        <v>9118</v>
      </c>
      <c r="F55" s="22">
        <f t="shared" si="3"/>
        <v>0.28000000000000003</v>
      </c>
    </row>
    <row r="56" spans="1:6" ht="14.25" customHeight="1" x14ac:dyDescent="0.2">
      <c r="A56" s="20">
        <v>21</v>
      </c>
      <c r="B56" s="172" t="s">
        <v>466</v>
      </c>
      <c r="C56" s="173"/>
      <c r="D56" s="15">
        <f>IF(F3="1",SUMIF(Data!A:A,'20'!$A$2,Data!DO:DO),0)</f>
        <v>7650</v>
      </c>
      <c r="E56" s="18">
        <f>IF(F3="1",SUMIF(Data!$A:$A,'20'!$A$2,Data!JI:JI),0)</f>
        <v>8914</v>
      </c>
      <c r="F56" s="22">
        <f t="shared" si="3"/>
        <v>1.17</v>
      </c>
    </row>
    <row r="57" spans="1:6" x14ac:dyDescent="0.2">
      <c r="A57" s="20">
        <v>22</v>
      </c>
      <c r="B57" s="172" t="s">
        <v>19</v>
      </c>
      <c r="C57" s="173"/>
      <c r="D57" s="15">
        <f>IF(F3="1",SUMIF(Data!A:A,'20'!$A$2,Data!DP:DP),0)</f>
        <v>896</v>
      </c>
      <c r="E57" s="18">
        <f>IF(F3="1",SUMIF(Data!$A:$A,'20'!$A$2,Data!JJ:JJ),0)</f>
        <v>1044</v>
      </c>
      <c r="F57" s="22">
        <f t="shared" si="3"/>
        <v>1.17</v>
      </c>
    </row>
    <row r="58" spans="1:6" x14ac:dyDescent="0.2">
      <c r="A58" s="20">
        <v>23</v>
      </c>
      <c r="B58" s="172" t="s">
        <v>20</v>
      </c>
      <c r="C58" s="173"/>
      <c r="D58" s="15">
        <f>IF(F3="1",SUMIF(Data!A:A,'20'!$A$2,Data!DQ:DQ),0)</f>
        <v>69312</v>
      </c>
      <c r="E58" s="18">
        <f>IF(F3="1",SUMIF(Data!$A:$A,'20'!$A$2,Data!JK:JK),0)</f>
        <v>18794</v>
      </c>
      <c r="F58" s="22">
        <f t="shared" si="3"/>
        <v>0.27</v>
      </c>
    </row>
    <row r="59" spans="1:6" x14ac:dyDescent="0.2">
      <c r="A59" s="20">
        <v>24</v>
      </c>
      <c r="B59" s="172" t="s">
        <v>21</v>
      </c>
      <c r="C59" s="173"/>
      <c r="D59" s="15">
        <f>IF(F3="1",SUMIF(Data!A:A,'20'!$A$2,Data!DR:DR),0)</f>
        <v>46256</v>
      </c>
      <c r="E59" s="18">
        <f>IF(F3="1",SUMIF(Data!$A:$A,'20'!$A$2,Data!JL:JL),0)</f>
        <v>35402</v>
      </c>
      <c r="F59" s="22">
        <f t="shared" si="3"/>
        <v>0.77</v>
      </c>
    </row>
    <row r="60" spans="1:6" x14ac:dyDescent="0.2">
      <c r="A60" s="20">
        <v>25</v>
      </c>
      <c r="B60" s="172" t="s">
        <v>22</v>
      </c>
      <c r="C60" s="173"/>
      <c r="D60" s="15">
        <f>IF(F3="1",SUMIF(Data!A:A,'20'!$A$2,Data!DS:DS),0)</f>
        <v>224928</v>
      </c>
      <c r="E60" s="18">
        <f>IF(F3="1",SUMIF(Data!$A:$A,'20'!$A$2,Data!JM:JM),0)</f>
        <v>5768</v>
      </c>
      <c r="F60" s="22">
        <f t="shared" si="3"/>
        <v>0.03</v>
      </c>
    </row>
    <row r="61" spans="1:6" x14ac:dyDescent="0.2">
      <c r="A61" s="20">
        <v>26</v>
      </c>
      <c r="B61" s="172" t="s">
        <v>23</v>
      </c>
      <c r="C61" s="173"/>
      <c r="D61" s="15">
        <f>IF(F3="1",SUMIF(Data!A:A,'20'!$A$2,Data!DT:DT),0)</f>
        <v>86400</v>
      </c>
      <c r="E61" s="18">
        <f>IF(F3="1",SUMIF(Data!$A:$A,'20'!$A$2,Data!JN:JN),0)</f>
        <v>24576</v>
      </c>
      <c r="F61" s="22">
        <f t="shared" si="3"/>
        <v>0.28000000000000003</v>
      </c>
    </row>
    <row r="62" spans="1:6" x14ac:dyDescent="0.2">
      <c r="A62" s="20">
        <v>28</v>
      </c>
      <c r="B62" s="172" t="s">
        <v>24</v>
      </c>
      <c r="C62" s="173"/>
      <c r="D62" s="15">
        <f>IF(F3="1",SUMIF(Data!A:A,'20'!$A$2,Data!DV:DV),0)</f>
        <v>0</v>
      </c>
      <c r="E62" s="18">
        <f>IF(F3="1",SUMIF(Data!$A:$A,'20'!$A$2,Data!JP:JP),0)</f>
        <v>0</v>
      </c>
      <c r="F62" s="22" t="str">
        <f t="shared" si="3"/>
        <v/>
      </c>
    </row>
    <row r="63" spans="1:6" ht="15.75" customHeight="1" thickBot="1" x14ac:dyDescent="0.25">
      <c r="A63" s="23">
        <v>29</v>
      </c>
      <c r="B63" s="174" t="s">
        <v>25</v>
      </c>
      <c r="C63" s="175"/>
      <c r="D63" s="24">
        <f>IF(F3="1",SUMIF(Data!A:A,'20'!$A$2,Data!DW:DW),0)</f>
        <v>0</v>
      </c>
      <c r="E63" s="25">
        <f>IF(F3="1",SUMIF(Data!$A:$A,'20'!$A$2,Data!JQ:JQ),0)</f>
        <v>0</v>
      </c>
      <c r="F63" s="26" t="str">
        <f t="shared" si="3"/>
        <v/>
      </c>
    </row>
    <row r="64" spans="1:6" x14ac:dyDescent="0.2">
      <c r="B64" s="31" t="s">
        <v>35</v>
      </c>
      <c r="C64" s="31"/>
      <c r="D64" s="61">
        <f>SUM(D36:D63)</f>
        <v>1787353</v>
      </c>
      <c r="E64" s="32">
        <f>SUM(E36:E63)</f>
        <v>299771</v>
      </c>
      <c r="F64" s="33">
        <f t="shared" si="3"/>
        <v>0.17</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7008</v>
      </c>
      <c r="E67" s="16">
        <f>IF(F3="1",SUMIF(Data!A:A,'20'!$A$2,Data!DY:DY),0)</f>
        <v>56968</v>
      </c>
      <c r="F67" s="21">
        <f t="shared" ref="F67:F95" si="4">IF(D67=0,"",ROUND(E67/D67,2))</f>
        <v>8.1300000000000008</v>
      </c>
    </row>
    <row r="68" spans="1:6" x14ac:dyDescent="0.2">
      <c r="A68" s="20">
        <v>2</v>
      </c>
      <c r="B68" s="172" t="s">
        <v>1</v>
      </c>
      <c r="C68" s="173"/>
      <c r="D68" s="15">
        <f t="shared" ref="D68:D94" si="5">D37</f>
        <v>37322</v>
      </c>
      <c r="E68" s="18">
        <f>IF(F3="1",SUMIF(Data!A:A,'20'!$A$2,Data!DZ:DZ),0)</f>
        <v>119376</v>
      </c>
      <c r="F68" s="22">
        <f t="shared" si="4"/>
        <v>3.2</v>
      </c>
    </row>
    <row r="69" spans="1:6" ht="14.25" customHeight="1" x14ac:dyDescent="0.2">
      <c r="A69" s="20">
        <v>3</v>
      </c>
      <c r="B69" s="172" t="s">
        <v>2</v>
      </c>
      <c r="C69" s="173"/>
      <c r="D69" s="15">
        <f t="shared" si="5"/>
        <v>191152</v>
      </c>
      <c r="E69" s="18">
        <f>IF(F3="1",SUMIF(Data!A:A,'20'!$A$2,Data!EA:EA),0)</f>
        <v>470862</v>
      </c>
      <c r="F69" s="22">
        <f t="shared" si="4"/>
        <v>2.46</v>
      </c>
    </row>
    <row r="70" spans="1:6" ht="14.25" customHeight="1" x14ac:dyDescent="0.2">
      <c r="A70" s="20">
        <v>4</v>
      </c>
      <c r="B70" s="172" t="s">
        <v>3</v>
      </c>
      <c r="C70" s="173"/>
      <c r="D70" s="15">
        <f t="shared" si="5"/>
        <v>64417</v>
      </c>
      <c r="E70" s="18">
        <f>IF(F3="1",SUMIF(Data!A:A,'20'!$A$2,Data!EB:EB),0)</f>
        <v>88254</v>
      </c>
      <c r="F70" s="22">
        <f t="shared" si="4"/>
        <v>1.37</v>
      </c>
    </row>
    <row r="71" spans="1:6" x14ac:dyDescent="0.2">
      <c r="A71" s="20">
        <v>5</v>
      </c>
      <c r="B71" s="172" t="s">
        <v>4</v>
      </c>
      <c r="C71" s="173"/>
      <c r="D71" s="15">
        <f t="shared" si="5"/>
        <v>0</v>
      </c>
      <c r="E71" s="18">
        <f>IF(F3="1",SUMIF(Data!A:A,'20'!$A$2,Data!EC:EC),0)</f>
        <v>0</v>
      </c>
      <c r="F71" s="22" t="str">
        <f t="shared" si="4"/>
        <v/>
      </c>
    </row>
    <row r="72" spans="1:6" x14ac:dyDescent="0.2">
      <c r="A72" s="20">
        <v>6</v>
      </c>
      <c r="B72" s="172" t="s">
        <v>5</v>
      </c>
      <c r="C72" s="173"/>
      <c r="D72" s="15">
        <f t="shared" si="5"/>
        <v>8640</v>
      </c>
      <c r="E72" s="18">
        <f>IF(F3="1",SUMIF(Data!A:A,'20'!$A$2,Data!ED:ED),0)</f>
        <v>36338</v>
      </c>
      <c r="F72" s="22">
        <f t="shared" si="4"/>
        <v>4.21</v>
      </c>
    </row>
    <row r="73" spans="1:6" x14ac:dyDescent="0.2">
      <c r="A73" s="20">
        <v>7</v>
      </c>
      <c r="B73" s="172" t="s">
        <v>6</v>
      </c>
      <c r="C73" s="173"/>
      <c r="D73" s="15">
        <f t="shared" si="5"/>
        <v>95225</v>
      </c>
      <c r="E73" s="18">
        <f>IF(F3="1",SUMIF(Data!A:A,'20'!$A$2,Data!EE:EE),0)</f>
        <v>322847</v>
      </c>
      <c r="F73" s="22">
        <f t="shared" si="4"/>
        <v>3.39</v>
      </c>
    </row>
    <row r="74" spans="1:6" x14ac:dyDescent="0.2">
      <c r="A74" s="20">
        <v>8</v>
      </c>
      <c r="B74" s="172" t="s">
        <v>7</v>
      </c>
      <c r="C74" s="173"/>
      <c r="D74" s="15">
        <f t="shared" si="5"/>
        <v>2504</v>
      </c>
      <c r="E74" s="18">
        <f>IF(F3="1",SUMIF(Data!A:A,'20'!$A$2,Data!EF:EF),0)</f>
        <v>10531</v>
      </c>
      <c r="F74" s="22">
        <f t="shared" si="4"/>
        <v>4.21</v>
      </c>
    </row>
    <row r="75" spans="1:6" x14ac:dyDescent="0.2">
      <c r="A75" s="20">
        <v>9</v>
      </c>
      <c r="B75" s="172" t="s">
        <v>8</v>
      </c>
      <c r="C75" s="173"/>
      <c r="D75" s="15">
        <f t="shared" si="5"/>
        <v>196702</v>
      </c>
      <c r="E75" s="18">
        <f>IF(F3="1",SUMIF(Data!A:A,'20'!$A$2,Data!EG:EG),0)</f>
        <v>465674</v>
      </c>
      <c r="F75" s="22">
        <f t="shared" si="4"/>
        <v>2.37</v>
      </c>
    </row>
    <row r="76" spans="1:6" x14ac:dyDescent="0.2">
      <c r="A76" s="20">
        <v>10</v>
      </c>
      <c r="B76" s="172" t="s">
        <v>9</v>
      </c>
      <c r="C76" s="173"/>
      <c r="D76" s="15">
        <f t="shared" si="5"/>
        <v>0</v>
      </c>
      <c r="E76" s="18">
        <f>IF(F3="1",SUMIF(Data!A:A,'20'!$A$2,Data!EH:EH),0)</f>
        <v>0</v>
      </c>
      <c r="F76" s="22" t="str">
        <f t="shared" si="4"/>
        <v/>
      </c>
    </row>
    <row r="77" spans="1:6" x14ac:dyDescent="0.2">
      <c r="A77" s="20">
        <v>11</v>
      </c>
      <c r="B77" s="172" t="s">
        <v>10</v>
      </c>
      <c r="C77" s="173"/>
      <c r="D77" s="15">
        <f t="shared" si="5"/>
        <v>16472</v>
      </c>
      <c r="E77" s="18">
        <f>IF(F3="1",SUMIF(Data!A:A,'20'!$A$2,Data!EI:EI),0)</f>
        <v>29897</v>
      </c>
      <c r="F77" s="22">
        <f t="shared" si="4"/>
        <v>1.82</v>
      </c>
    </row>
    <row r="78" spans="1:6" ht="14.25" customHeight="1" x14ac:dyDescent="0.2">
      <c r="A78" s="20">
        <v>12</v>
      </c>
      <c r="B78" s="172" t="s">
        <v>11</v>
      </c>
      <c r="C78" s="173"/>
      <c r="D78" s="15">
        <f t="shared" si="5"/>
        <v>243200</v>
      </c>
      <c r="E78" s="18">
        <f>IF(F3="1",SUMIF(Data!A:A,'20'!$A$2,Data!EJ:EJ),0)</f>
        <v>508314</v>
      </c>
      <c r="F78" s="22">
        <f t="shared" si="4"/>
        <v>2.09</v>
      </c>
    </row>
    <row r="79" spans="1:6" x14ac:dyDescent="0.2">
      <c r="A79" s="20">
        <v>13</v>
      </c>
      <c r="B79" s="172" t="s">
        <v>12</v>
      </c>
      <c r="C79" s="173"/>
      <c r="D79" s="15">
        <f t="shared" si="5"/>
        <v>37952</v>
      </c>
      <c r="E79" s="18">
        <f>IF(F3="1",SUMIF(Data!A:A,'20'!$A$2,Data!EK:EK),0)</f>
        <v>71390</v>
      </c>
      <c r="F79" s="22">
        <f t="shared" si="4"/>
        <v>1.88</v>
      </c>
    </row>
    <row r="80" spans="1:6" ht="14.25" customHeight="1" x14ac:dyDescent="0.2">
      <c r="A80" s="20">
        <v>14</v>
      </c>
      <c r="B80" s="172" t="s">
        <v>469</v>
      </c>
      <c r="C80" s="173"/>
      <c r="D80" s="15">
        <f t="shared" si="5"/>
        <v>15968</v>
      </c>
      <c r="E80" s="18">
        <f>IF(F3="1",SUMIF(Data!A:A,'20'!$A$2,Data!EL:EL),0)</f>
        <v>55296</v>
      </c>
      <c r="F80" s="22">
        <f t="shared" si="4"/>
        <v>3.46</v>
      </c>
    </row>
    <row r="81" spans="1:6" x14ac:dyDescent="0.2">
      <c r="A81" s="20">
        <v>15</v>
      </c>
      <c r="B81" s="172" t="s">
        <v>13</v>
      </c>
      <c r="C81" s="173"/>
      <c r="D81" s="15">
        <f t="shared" si="5"/>
        <v>0</v>
      </c>
      <c r="E81" s="18">
        <f>IF(F3="1",SUMIF(Data!A:A,'20'!$A$2,Data!EM:EM),0)</f>
        <v>0</v>
      </c>
      <c r="F81" s="22" t="str">
        <f t="shared" si="4"/>
        <v/>
      </c>
    </row>
    <row r="82" spans="1:6" x14ac:dyDescent="0.2">
      <c r="A82" s="20">
        <v>16</v>
      </c>
      <c r="B82" s="172" t="s">
        <v>14</v>
      </c>
      <c r="C82" s="173"/>
      <c r="D82" s="15">
        <f t="shared" si="5"/>
        <v>102150</v>
      </c>
      <c r="E82" s="18">
        <f>IF(F3="1",SUMIF(Data!A:A,'20'!$A$2,Data!EN:EN),0)</f>
        <v>133558</v>
      </c>
      <c r="F82" s="22">
        <f t="shared" si="4"/>
        <v>1.31</v>
      </c>
    </row>
    <row r="83" spans="1:6" x14ac:dyDescent="0.2">
      <c r="A83" s="20">
        <v>17</v>
      </c>
      <c r="B83" s="172" t="s">
        <v>15</v>
      </c>
      <c r="C83" s="173"/>
      <c r="D83" s="15">
        <f t="shared" si="5"/>
        <v>0</v>
      </c>
      <c r="E83" s="18">
        <f>IF(F3="1",SUMIF(Data!A:A,'20'!$A$2,Data!EO:EO),0)</f>
        <v>0</v>
      </c>
      <c r="F83" s="22" t="str">
        <f t="shared" si="4"/>
        <v/>
      </c>
    </row>
    <row r="84" spans="1:6" x14ac:dyDescent="0.2">
      <c r="A84" s="20">
        <v>18</v>
      </c>
      <c r="B84" s="172" t="s">
        <v>16</v>
      </c>
      <c r="C84" s="173"/>
      <c r="D84" s="15">
        <f t="shared" si="5"/>
        <v>118096</v>
      </c>
      <c r="E84" s="18">
        <f>IF(F3="1",SUMIF(Data!A:A,'20'!$A$2,Data!EP:EP),0)</f>
        <v>784470</v>
      </c>
      <c r="F84" s="22">
        <f t="shared" si="4"/>
        <v>6.64</v>
      </c>
    </row>
    <row r="85" spans="1:6" x14ac:dyDescent="0.2">
      <c r="A85" s="20">
        <v>19</v>
      </c>
      <c r="B85" s="172" t="s">
        <v>17</v>
      </c>
      <c r="C85" s="173"/>
      <c r="D85" s="15">
        <f t="shared" si="5"/>
        <v>182096</v>
      </c>
      <c r="E85" s="18">
        <f>IF(F3="1",SUMIF(Data!A:A,'20'!$A$2,Data!EQ:EQ),0)</f>
        <v>441124</v>
      </c>
      <c r="F85" s="22">
        <f t="shared" si="4"/>
        <v>2.42</v>
      </c>
    </row>
    <row r="86" spans="1:6" x14ac:dyDescent="0.2">
      <c r="A86" s="20">
        <v>20</v>
      </c>
      <c r="B86" s="172" t="s">
        <v>18</v>
      </c>
      <c r="C86" s="173"/>
      <c r="D86" s="15">
        <f t="shared" si="5"/>
        <v>33007</v>
      </c>
      <c r="E86" s="18">
        <f>IF(F3="1",SUMIF(Data!A:A,'20'!$A$2,Data!ER:ER),0)</f>
        <v>56135</v>
      </c>
      <c r="F86" s="22">
        <f t="shared" si="4"/>
        <v>1.7</v>
      </c>
    </row>
    <row r="87" spans="1:6" ht="14.25" customHeight="1" x14ac:dyDescent="0.2">
      <c r="A87" s="20">
        <v>21</v>
      </c>
      <c r="B87" s="172" t="s">
        <v>466</v>
      </c>
      <c r="C87" s="173"/>
      <c r="D87" s="15">
        <f t="shared" si="5"/>
        <v>7650</v>
      </c>
      <c r="E87" s="18">
        <f>IF(F3="1",SUMIF(Data!A:A,'20'!$A$2,Data!ES:ES),0)</f>
        <v>32175</v>
      </c>
      <c r="F87" s="22">
        <f t="shared" si="4"/>
        <v>4.21</v>
      </c>
    </row>
    <row r="88" spans="1:6" x14ac:dyDescent="0.2">
      <c r="A88" s="20">
        <v>22</v>
      </c>
      <c r="B88" s="172" t="s">
        <v>19</v>
      </c>
      <c r="C88" s="173"/>
      <c r="D88" s="15">
        <f t="shared" si="5"/>
        <v>896</v>
      </c>
      <c r="E88" s="18">
        <f>IF(F3="1",SUMIF(Data!A:A,'20'!$A$2,Data!ET:ET),0)</f>
        <v>3769</v>
      </c>
      <c r="F88" s="22">
        <f t="shared" si="4"/>
        <v>4.21</v>
      </c>
    </row>
    <row r="89" spans="1:6" x14ac:dyDescent="0.2">
      <c r="A89" s="20">
        <v>23</v>
      </c>
      <c r="B89" s="172" t="s">
        <v>20</v>
      </c>
      <c r="C89" s="173"/>
      <c r="D89" s="15">
        <f t="shared" si="5"/>
        <v>69312</v>
      </c>
      <c r="E89" s="18">
        <f>IF(F3="1",SUMIF(Data!A:A,'20'!$A$2,Data!EU:EU),0)</f>
        <v>449416</v>
      </c>
      <c r="F89" s="22">
        <f t="shared" si="4"/>
        <v>6.48</v>
      </c>
    </row>
    <row r="90" spans="1:6" x14ac:dyDescent="0.2">
      <c r="A90" s="20">
        <v>24</v>
      </c>
      <c r="B90" s="172" t="s">
        <v>21</v>
      </c>
      <c r="C90" s="173"/>
      <c r="D90" s="15">
        <f t="shared" si="5"/>
        <v>46256</v>
      </c>
      <c r="E90" s="18">
        <f>IF(F3="1",SUMIF(Data!A:A,'20'!$A$2,Data!EV:EV),0)</f>
        <v>154055</v>
      </c>
      <c r="F90" s="22">
        <f t="shared" si="4"/>
        <v>3.33</v>
      </c>
    </row>
    <row r="91" spans="1:6" x14ac:dyDescent="0.2">
      <c r="A91" s="20">
        <v>25</v>
      </c>
      <c r="B91" s="172" t="s">
        <v>22</v>
      </c>
      <c r="C91" s="173"/>
      <c r="D91" s="15">
        <f t="shared" si="5"/>
        <v>224928</v>
      </c>
      <c r="E91" s="18">
        <f>IF(F3="1",SUMIF(Data!A:A,'20'!$A$2,Data!EW:EW),0)</f>
        <v>551664</v>
      </c>
      <c r="F91" s="22">
        <f t="shared" si="4"/>
        <v>2.4500000000000002</v>
      </c>
    </row>
    <row r="92" spans="1:6" x14ac:dyDescent="0.2">
      <c r="A92" s="20">
        <v>26</v>
      </c>
      <c r="B92" s="172" t="s">
        <v>23</v>
      </c>
      <c r="C92" s="173"/>
      <c r="D92" s="15">
        <f t="shared" si="5"/>
        <v>86400</v>
      </c>
      <c r="E92" s="18">
        <f>IF(F3="1",SUMIF(Data!A:A,'20'!$A$2,Data!EX:EX),0)</f>
        <v>284188</v>
      </c>
      <c r="F92" s="22">
        <f t="shared" si="4"/>
        <v>3.29</v>
      </c>
    </row>
    <row r="93" spans="1:6" x14ac:dyDescent="0.2">
      <c r="A93" s="20">
        <v>28</v>
      </c>
      <c r="B93" s="172" t="s">
        <v>24</v>
      </c>
      <c r="C93" s="173"/>
      <c r="D93" s="15">
        <f t="shared" si="5"/>
        <v>0</v>
      </c>
      <c r="E93" s="18">
        <f>IF(F3="1",SUMIF(Data!A:A,'20'!$A$2,Data!EZ:EZ),0)</f>
        <v>0</v>
      </c>
      <c r="F93" s="22" t="str">
        <f t="shared" si="4"/>
        <v/>
      </c>
    </row>
    <row r="94" spans="1:6" ht="15.75" customHeight="1" thickBot="1" x14ac:dyDescent="0.25">
      <c r="A94" s="23">
        <v>29</v>
      </c>
      <c r="B94" s="174" t="s">
        <v>25</v>
      </c>
      <c r="C94" s="175"/>
      <c r="D94" s="24">
        <f t="shared" si="5"/>
        <v>0</v>
      </c>
      <c r="E94" s="25">
        <f>IF(F3="1",SUMIF(Data!A:A,'20'!$A$2,Data!FA:FA),0)</f>
        <v>0</v>
      </c>
      <c r="F94" s="26" t="str">
        <f t="shared" si="4"/>
        <v/>
      </c>
    </row>
    <row r="95" spans="1:6" x14ac:dyDescent="0.2">
      <c r="B95" s="31" t="s">
        <v>35</v>
      </c>
      <c r="C95" s="31"/>
      <c r="D95" s="61">
        <f>SUM(D67:D94)</f>
        <v>1787353</v>
      </c>
      <c r="E95" s="32">
        <f>SUM(E67:E94)</f>
        <v>5126301</v>
      </c>
      <c r="F95" s="33">
        <f t="shared" si="4"/>
        <v>2.87</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IF(F3="1",SUMIF(Data!A:A,'20'!$A$2,Data!AH:AH),0)</f>
        <v>2840497</v>
      </c>
      <c r="F98" s="21">
        <f>IF($D$105=0,"",ROUND(E98/$D$105,2))</f>
        <v>1.59</v>
      </c>
    </row>
    <row r="99" spans="2:6" x14ac:dyDescent="0.2">
      <c r="B99" s="178" t="s">
        <v>31</v>
      </c>
      <c r="C99" s="179"/>
      <c r="D99" s="37"/>
      <c r="E99" s="18">
        <f>IF(F3="1",SUMIF(Data!A:A,'20'!$A$2,Data!AI:AI),0)</f>
        <v>1189971</v>
      </c>
      <c r="F99" s="22">
        <f t="shared" ref="F99:F105" si="6">IF($D$105=0,"",ROUND(E99/$D$105,2))</f>
        <v>0.67</v>
      </c>
    </row>
    <row r="100" spans="2:6" x14ac:dyDescent="0.2">
      <c r="B100" s="178" t="s">
        <v>32</v>
      </c>
      <c r="C100" s="179"/>
      <c r="D100" s="37"/>
      <c r="E100" s="18">
        <f>IF(F3="1",SUMIF(Data!A:A,'20'!$A$2,Data!AJ:AJ),0)</f>
        <v>878530</v>
      </c>
      <c r="F100" s="22">
        <f t="shared" si="6"/>
        <v>0.49</v>
      </c>
    </row>
    <row r="101" spans="2:6" x14ac:dyDescent="0.2">
      <c r="B101" s="178" t="s">
        <v>28</v>
      </c>
      <c r="C101" s="179"/>
      <c r="D101" s="37"/>
      <c r="E101" s="18">
        <f>IF(F3="1",SUMIF(Data!A:A,'20'!$A$2,Data!AK:AK),0)</f>
        <v>0</v>
      </c>
      <c r="F101" s="22">
        <f t="shared" si="6"/>
        <v>0</v>
      </c>
    </row>
    <row r="102" spans="2:6" x14ac:dyDescent="0.2">
      <c r="B102" s="178" t="s">
        <v>33</v>
      </c>
      <c r="C102" s="179"/>
      <c r="D102" s="37"/>
      <c r="E102" s="18">
        <f>IF(F3="1",SUMIF(Data!A:A,'20'!$A$2,Data!AL:AL),0)</f>
        <v>0</v>
      </c>
      <c r="F102" s="22">
        <f t="shared" si="6"/>
        <v>0</v>
      </c>
    </row>
    <row r="103" spans="2:6" x14ac:dyDescent="0.2">
      <c r="B103" s="180" t="s">
        <v>34</v>
      </c>
      <c r="C103" s="181"/>
      <c r="D103" s="37"/>
      <c r="E103" s="18">
        <f>IF(F3="1",SUMIF(Data!A:A,'20'!$A$2,Data!AM:AM),0)</f>
        <v>0</v>
      </c>
      <c r="F103" s="22">
        <f t="shared" si="6"/>
        <v>0</v>
      </c>
    </row>
    <row r="104" spans="2:6" ht="15.75" customHeight="1" thickBot="1" x14ac:dyDescent="0.25">
      <c r="B104" s="170" t="s">
        <v>29</v>
      </c>
      <c r="C104" s="171"/>
      <c r="D104" s="38"/>
      <c r="E104" s="25">
        <f>IF(F3="1",SUMIF(Data!A:A,'20'!$A$2,Data!Q:Q),0)</f>
        <v>0</v>
      </c>
      <c r="F104" s="26">
        <f t="shared" si="6"/>
        <v>0</v>
      </c>
    </row>
    <row r="105" spans="2:6" x14ac:dyDescent="0.2">
      <c r="B105" s="31" t="s">
        <v>35</v>
      </c>
      <c r="C105" s="31"/>
      <c r="D105" s="35">
        <f>D95</f>
        <v>1787353</v>
      </c>
      <c r="E105" s="32">
        <f>SUM(E98:E104)</f>
        <v>4908998</v>
      </c>
      <c r="F105" s="33">
        <f t="shared" si="6"/>
        <v>2.75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5126301</v>
      </c>
      <c r="D109" s="16">
        <f>IF(F3="1",SUMIF(Data!$A:$A,$A$2,Data!HJ:HJ),0)</f>
        <v>97556</v>
      </c>
      <c r="E109" s="16">
        <f>IF(F3="1",SUMIF(Data!$A:$A,$A$2,Data!IN:IN),0)</f>
        <v>299771</v>
      </c>
      <c r="F109" s="48">
        <f>SUM(C109:E109)</f>
        <v>5523628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237429</v>
      </c>
      <c r="D111" s="52"/>
      <c r="E111" s="51">
        <f>IF(F3="1",SUMIF(Data!A:A,$A$2,Data!AX:AX),0)</f>
        <v>143974</v>
      </c>
      <c r="F111" s="49">
        <f t="shared" si="7"/>
        <v>381403</v>
      </c>
    </row>
    <row r="112" spans="2:6" x14ac:dyDescent="0.2">
      <c r="B112" s="43" t="s">
        <v>32</v>
      </c>
      <c r="C112" s="51">
        <f>IF(F3="1",SUMIF(Data!A:A,$A$2,Data!V:V),0)</f>
        <v>713797</v>
      </c>
      <c r="D112" s="52"/>
      <c r="E112" s="51">
        <f>IF(F3="1",SUMIF(Data!A:A,$A$2,Data!AC:AC),0)</f>
        <v>164733</v>
      </c>
      <c r="F112" s="49">
        <f t="shared" si="7"/>
        <v>878530</v>
      </c>
    </row>
    <row r="113" spans="1:6" x14ac:dyDescent="0.2">
      <c r="B113" s="43" t="s">
        <v>31</v>
      </c>
      <c r="C113" s="51">
        <f>IF(F3="1",SUMIF(Data!A:A,$A$2,Data!U:U),0)</f>
        <v>1065854</v>
      </c>
      <c r="D113" s="52"/>
      <c r="E113" s="51">
        <f>IF(F3="1",SUMIF(Data!A:A,$A$2,Data!AB:AB),0)</f>
        <v>124117</v>
      </c>
      <c r="F113" s="49">
        <f t="shared" si="7"/>
        <v>1189971</v>
      </c>
    </row>
    <row r="114" spans="1:6" x14ac:dyDescent="0.2">
      <c r="B114" s="43" t="s">
        <v>1021</v>
      </c>
      <c r="C114" s="51">
        <f>IF(F3="1",SUMIF(Data!A:A,$A$2,Data!T:T),0)</f>
        <v>1195860</v>
      </c>
      <c r="D114" s="52"/>
      <c r="E114" s="51">
        <f>IF(F3="1",SUMIF(Data!A:A,$A$2,Data!AA:AA),0)</f>
        <v>1644637</v>
      </c>
      <c r="F114" s="49">
        <f t="shared" si="7"/>
        <v>2840497</v>
      </c>
    </row>
    <row r="115" spans="1:6" x14ac:dyDescent="0.2">
      <c r="B115" s="43" t="s">
        <v>937</v>
      </c>
      <c r="C115" s="51">
        <f>IF(F3="1",SUMIF(Data!A:A,$A$2,Data!BI:BI),0)</f>
        <v>178851</v>
      </c>
      <c r="D115" s="51">
        <f>IF(F3="1",SUMIF(Data!A:A,$A$2,Data!BL:BL),0)</f>
        <v>32533</v>
      </c>
      <c r="E115" s="51">
        <f>IF(F3="1",SUMIF(Data!A:A,$A$2,Data!BU:BU),0)</f>
        <v>2097104</v>
      </c>
      <c r="F115" s="49">
        <f t="shared" si="7"/>
        <v>2308488</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0</v>
      </c>
      <c r="E117" s="53"/>
      <c r="F117" s="50">
        <f>SUM(C117:E117)</f>
        <v>0</v>
      </c>
    </row>
    <row r="118" spans="1:6" x14ac:dyDescent="0.2">
      <c r="B118" s="14" t="s">
        <v>35</v>
      </c>
      <c r="C118" s="5">
        <f>SUM(C109:C116)</f>
        <v>8518092</v>
      </c>
      <c r="D118" s="5">
        <f>SUM(D109:D116)</f>
        <v>130089</v>
      </c>
      <c r="E118" s="5">
        <f>SUM(E109:E116)</f>
        <v>4474336</v>
      </c>
      <c r="F118" s="5">
        <f>SUM(F109:F116)</f>
        <v>13122517</v>
      </c>
    </row>
    <row r="119" spans="1:6" ht="15" thickBot="1" x14ac:dyDescent="0.25"/>
    <row r="120" spans="1:6" ht="15" thickBot="1" x14ac:dyDescent="0.25">
      <c r="B120" s="57" t="s">
        <v>942</v>
      </c>
      <c r="C120" s="55"/>
      <c r="D120" s="55"/>
      <c r="E120" s="55">
        <f>IF(F3="1",SUMIF(Data!A:A,'20'!$A$2,Data!AM:AM),0)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5703125" style="11" bestFit="1" customWidth="1"/>
    <col min="13"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442</v>
      </c>
      <c r="B2" s="60" t="str">
        <f>VLOOKUP(A2,Data!A:G,7,0)</f>
        <v>Houston Community College System</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81920</v>
      </c>
      <c r="E5" s="16">
        <f>E36+E67+IFERROR($E$105/$D$105*D5,0)</f>
        <v>685212.50969897548</v>
      </c>
      <c r="F5" s="21">
        <f>IF(OR(D5=0,E5=0),"",ROUND(E5/D5,2))</f>
        <v>8.36</v>
      </c>
    </row>
    <row r="6" spans="1:6" x14ac:dyDescent="0.2">
      <c r="A6" s="20">
        <v>2</v>
      </c>
      <c r="B6" s="172" t="s">
        <v>1</v>
      </c>
      <c r="C6" s="173"/>
      <c r="D6" s="15">
        <f t="shared" ref="D6:D32" si="0">D37</f>
        <v>236066</v>
      </c>
      <c r="E6" s="18">
        <f t="shared" ref="E6:E32" si="1">E37+E68+IFERROR($E$105/$D$105*D6,0)</f>
        <v>2024568.6332592571</v>
      </c>
      <c r="F6" s="22">
        <f t="shared" ref="F6:F33" si="2">IF(OR(D6=0,E6=0),"",ROUND(E6/D6,2))</f>
        <v>8.58</v>
      </c>
    </row>
    <row r="7" spans="1:6" ht="14.25" customHeight="1" x14ac:dyDescent="0.2">
      <c r="A7" s="20">
        <v>3</v>
      </c>
      <c r="B7" s="172" t="s">
        <v>2</v>
      </c>
      <c r="C7" s="173"/>
      <c r="D7" s="15">
        <f t="shared" si="0"/>
        <v>2506800</v>
      </c>
      <c r="E7" s="18">
        <f t="shared" si="1"/>
        <v>19404873.385173239</v>
      </c>
      <c r="F7" s="22">
        <f t="shared" si="2"/>
        <v>7.74</v>
      </c>
    </row>
    <row r="8" spans="1:6" ht="14.25" customHeight="1" x14ac:dyDescent="0.2">
      <c r="A8" s="20">
        <v>4</v>
      </c>
      <c r="B8" s="172" t="s">
        <v>3</v>
      </c>
      <c r="C8" s="173"/>
      <c r="D8" s="15">
        <f t="shared" si="0"/>
        <v>1703174</v>
      </c>
      <c r="E8" s="18">
        <f t="shared" si="1"/>
        <v>13755224.261133336</v>
      </c>
      <c r="F8" s="22">
        <f t="shared" si="2"/>
        <v>8.08</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496224</v>
      </c>
      <c r="E10" s="18">
        <f t="shared" si="1"/>
        <v>3629856.1198835988</v>
      </c>
      <c r="F10" s="22">
        <f t="shared" si="2"/>
        <v>7.31</v>
      </c>
    </row>
    <row r="11" spans="1:6" x14ac:dyDescent="0.2">
      <c r="A11" s="20">
        <v>7</v>
      </c>
      <c r="B11" s="172" t="s">
        <v>6</v>
      </c>
      <c r="C11" s="173"/>
      <c r="D11" s="15">
        <f t="shared" si="0"/>
        <v>274116</v>
      </c>
      <c r="E11" s="18">
        <f t="shared" si="1"/>
        <v>5431106.7172930222</v>
      </c>
      <c r="F11" s="22">
        <f t="shared" si="2"/>
        <v>19.809999999999999</v>
      </c>
    </row>
    <row r="12" spans="1:6" x14ac:dyDescent="0.2">
      <c r="A12" s="20">
        <v>8</v>
      </c>
      <c r="B12" s="172" t="s">
        <v>7</v>
      </c>
      <c r="C12" s="173"/>
      <c r="D12" s="15">
        <f t="shared" si="0"/>
        <v>329301</v>
      </c>
      <c r="E12" s="18">
        <f t="shared" si="1"/>
        <v>3109362.175700468</v>
      </c>
      <c r="F12" s="22">
        <f t="shared" si="2"/>
        <v>9.44</v>
      </c>
    </row>
    <row r="13" spans="1:6" x14ac:dyDescent="0.2">
      <c r="A13" s="20">
        <v>9</v>
      </c>
      <c r="B13" s="172" t="s">
        <v>8</v>
      </c>
      <c r="C13" s="173"/>
      <c r="D13" s="15">
        <f t="shared" si="0"/>
        <v>705814</v>
      </c>
      <c r="E13" s="18">
        <f t="shared" si="1"/>
        <v>5556548.9433431718</v>
      </c>
      <c r="F13" s="22">
        <f t="shared" si="2"/>
        <v>7.87</v>
      </c>
    </row>
    <row r="14" spans="1:6" x14ac:dyDescent="0.2">
      <c r="A14" s="20">
        <v>10</v>
      </c>
      <c r="B14" s="172" t="s">
        <v>9</v>
      </c>
      <c r="C14" s="173"/>
      <c r="D14" s="15">
        <f t="shared" si="0"/>
        <v>15232</v>
      </c>
      <c r="E14" s="18">
        <f t="shared" si="1"/>
        <v>140192.58070965327</v>
      </c>
      <c r="F14" s="22">
        <f t="shared" si="2"/>
        <v>9.1999999999999993</v>
      </c>
    </row>
    <row r="15" spans="1:6" x14ac:dyDescent="0.2">
      <c r="A15" s="20">
        <v>11</v>
      </c>
      <c r="B15" s="172" t="s">
        <v>10</v>
      </c>
      <c r="C15" s="173"/>
      <c r="D15" s="15">
        <f t="shared" si="0"/>
        <v>536526</v>
      </c>
      <c r="E15" s="18">
        <f t="shared" si="1"/>
        <v>4888842.3422943419</v>
      </c>
      <c r="F15" s="22">
        <f t="shared" si="2"/>
        <v>9.11</v>
      </c>
    </row>
    <row r="16" spans="1:6" ht="14.25" customHeight="1" x14ac:dyDescent="0.2">
      <c r="A16" s="20">
        <v>12</v>
      </c>
      <c r="B16" s="172" t="s">
        <v>11</v>
      </c>
      <c r="C16" s="173"/>
      <c r="D16" s="15">
        <f t="shared" si="0"/>
        <v>3412552</v>
      </c>
      <c r="E16" s="18">
        <f t="shared" si="1"/>
        <v>29820033.970974833</v>
      </c>
      <c r="F16" s="22">
        <f t="shared" si="2"/>
        <v>8.74</v>
      </c>
    </row>
    <row r="17" spans="1:6" x14ac:dyDescent="0.2">
      <c r="A17" s="20">
        <v>13</v>
      </c>
      <c r="B17" s="172" t="s">
        <v>12</v>
      </c>
      <c r="C17" s="173"/>
      <c r="D17" s="15">
        <f t="shared" si="0"/>
        <v>398124</v>
      </c>
      <c r="E17" s="18">
        <f t="shared" si="1"/>
        <v>3289889.6088793324</v>
      </c>
      <c r="F17" s="22">
        <f t="shared" si="2"/>
        <v>8.26</v>
      </c>
    </row>
    <row r="18" spans="1:6" ht="14.25" customHeight="1" x14ac:dyDescent="0.2">
      <c r="A18" s="20">
        <v>14</v>
      </c>
      <c r="B18" s="172" t="s">
        <v>469</v>
      </c>
      <c r="C18" s="173"/>
      <c r="D18" s="15">
        <f t="shared" si="0"/>
        <v>383198</v>
      </c>
      <c r="E18" s="18">
        <f t="shared" si="1"/>
        <v>4094570.3791214358</v>
      </c>
      <c r="F18" s="22">
        <f t="shared" si="2"/>
        <v>10.69</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699887</v>
      </c>
      <c r="E20" s="18">
        <f t="shared" si="1"/>
        <v>8102905.7567710802</v>
      </c>
      <c r="F20" s="22">
        <f t="shared" si="2"/>
        <v>11.58</v>
      </c>
    </row>
    <row r="21" spans="1:6" x14ac:dyDescent="0.2">
      <c r="A21" s="20">
        <v>17</v>
      </c>
      <c r="B21" s="172" t="s">
        <v>15</v>
      </c>
      <c r="C21" s="173"/>
      <c r="D21" s="15">
        <f t="shared" si="0"/>
        <v>51072</v>
      </c>
      <c r="E21" s="18">
        <f t="shared" si="1"/>
        <v>737324.24120295502</v>
      </c>
      <c r="F21" s="22">
        <f t="shared" si="2"/>
        <v>14.44</v>
      </c>
    </row>
    <row r="22" spans="1:6" x14ac:dyDescent="0.2">
      <c r="A22" s="20">
        <v>18</v>
      </c>
      <c r="B22" s="172" t="s">
        <v>16</v>
      </c>
      <c r="C22" s="173"/>
      <c r="D22" s="15">
        <f t="shared" si="0"/>
        <v>124848</v>
      </c>
      <c r="E22" s="18">
        <f t="shared" si="1"/>
        <v>1664294.1883166223</v>
      </c>
      <c r="F22" s="22">
        <f t="shared" si="2"/>
        <v>13.33</v>
      </c>
    </row>
    <row r="23" spans="1:6" x14ac:dyDescent="0.2">
      <c r="A23" s="20">
        <v>19</v>
      </c>
      <c r="B23" s="172" t="s">
        <v>17</v>
      </c>
      <c r="C23" s="173"/>
      <c r="D23" s="15">
        <f t="shared" si="0"/>
        <v>2002740</v>
      </c>
      <c r="E23" s="18">
        <f t="shared" si="1"/>
        <v>15459032.611505445</v>
      </c>
      <c r="F23" s="22">
        <f t="shared" si="2"/>
        <v>7.72</v>
      </c>
    </row>
    <row r="24" spans="1:6" x14ac:dyDescent="0.2">
      <c r="A24" s="20">
        <v>20</v>
      </c>
      <c r="B24" s="172" t="s">
        <v>18</v>
      </c>
      <c r="C24" s="173"/>
      <c r="D24" s="15">
        <f t="shared" si="0"/>
        <v>235032</v>
      </c>
      <c r="E24" s="18">
        <f t="shared" si="1"/>
        <v>2407978.2251412305</v>
      </c>
      <c r="F24" s="22">
        <f t="shared" si="2"/>
        <v>10.25</v>
      </c>
    </row>
    <row r="25" spans="1:6" ht="14.25" customHeight="1" x14ac:dyDescent="0.2">
      <c r="A25" s="20">
        <v>21</v>
      </c>
      <c r="B25" s="172" t="s">
        <v>466</v>
      </c>
      <c r="C25" s="173"/>
      <c r="D25" s="15">
        <f t="shared" si="0"/>
        <v>176362</v>
      </c>
      <c r="E25" s="18">
        <f t="shared" si="1"/>
        <v>2672835.7142276699</v>
      </c>
      <c r="F25" s="22">
        <f t="shared" si="2"/>
        <v>15.16</v>
      </c>
    </row>
    <row r="26" spans="1:6" x14ac:dyDescent="0.2">
      <c r="A26" s="20">
        <v>22</v>
      </c>
      <c r="B26" s="172" t="s">
        <v>19</v>
      </c>
      <c r="C26" s="173"/>
      <c r="D26" s="15">
        <f t="shared" si="0"/>
        <v>109948</v>
      </c>
      <c r="E26" s="18">
        <f t="shared" si="1"/>
        <v>967449.21060037776</v>
      </c>
      <c r="F26" s="22">
        <f t="shared" si="2"/>
        <v>8.8000000000000007</v>
      </c>
    </row>
    <row r="27" spans="1:6" x14ac:dyDescent="0.2">
      <c r="A27" s="20">
        <v>23</v>
      </c>
      <c r="B27" s="172" t="s">
        <v>20</v>
      </c>
      <c r="C27" s="173"/>
      <c r="D27" s="15">
        <f t="shared" si="0"/>
        <v>41728</v>
      </c>
      <c r="E27" s="18">
        <f t="shared" si="1"/>
        <v>478718.96900291566</v>
      </c>
      <c r="F27" s="22">
        <f t="shared" si="2"/>
        <v>11.47</v>
      </c>
    </row>
    <row r="28" spans="1:6" x14ac:dyDescent="0.2">
      <c r="A28" s="20">
        <v>24</v>
      </c>
      <c r="B28" s="172" t="s">
        <v>21</v>
      </c>
      <c r="C28" s="173"/>
      <c r="D28" s="15">
        <f t="shared" si="0"/>
        <v>349424</v>
      </c>
      <c r="E28" s="18">
        <f t="shared" si="1"/>
        <v>3426155.9770148294</v>
      </c>
      <c r="F28" s="22">
        <f t="shared" si="2"/>
        <v>9.81</v>
      </c>
    </row>
    <row r="29" spans="1:6" x14ac:dyDescent="0.2">
      <c r="A29" s="20">
        <v>25</v>
      </c>
      <c r="B29" s="172" t="s">
        <v>22</v>
      </c>
      <c r="C29" s="173"/>
      <c r="D29" s="15">
        <f t="shared" si="0"/>
        <v>3462752</v>
      </c>
      <c r="E29" s="18">
        <f t="shared" si="1"/>
        <v>25903780.989857748</v>
      </c>
      <c r="F29" s="22">
        <f t="shared" si="2"/>
        <v>7.48</v>
      </c>
    </row>
    <row r="30" spans="1:6" x14ac:dyDescent="0.2">
      <c r="A30" s="20">
        <v>26</v>
      </c>
      <c r="B30" s="172" t="s">
        <v>23</v>
      </c>
      <c r="C30" s="173"/>
      <c r="D30" s="15">
        <f t="shared" si="0"/>
        <v>982396</v>
      </c>
      <c r="E30" s="18">
        <f t="shared" si="1"/>
        <v>9299474.4888944663</v>
      </c>
      <c r="F30" s="22">
        <f t="shared" si="2"/>
        <v>9.4700000000000006</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19315236</v>
      </c>
      <c r="E33" s="32">
        <f>SUM(E5:E32)</f>
        <v>166950232</v>
      </c>
      <c r="F33" s="33">
        <f t="shared" si="2"/>
        <v>8.64</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IF(F3="1",SUMIF(Data!A:A,'21'!$A$2,Data!CU:CU),0)</f>
        <v>81920</v>
      </c>
      <c r="E36" s="16">
        <f>IF(F3="1",SUMIF(Data!$A:$A,'21'!$A$2,Data!IO:IO),0)</f>
        <v>89839</v>
      </c>
      <c r="F36" s="21">
        <f>IF(D36=0,"",ROUND(E36/D36,2))</f>
        <v>1.1000000000000001</v>
      </c>
    </row>
    <row r="37" spans="1:6" x14ac:dyDescent="0.2">
      <c r="A37" s="20">
        <v>2</v>
      </c>
      <c r="B37" s="172" t="s">
        <v>1</v>
      </c>
      <c r="C37" s="173"/>
      <c r="D37" s="15">
        <f>IF(F3="1",SUMIF(Data!A:A,'21'!$A$2,Data!CV:CV),0)</f>
        <v>236066</v>
      </c>
      <c r="E37" s="18">
        <f>IF(F3="1",SUMIF(Data!$A:$A,'21'!$A$2,Data!IP:IP),0)</f>
        <v>314995</v>
      </c>
      <c r="F37" s="22">
        <f t="shared" ref="F37:F64" si="3">IF(D37=0,"",ROUND(E37/D37,2))</f>
        <v>1.33</v>
      </c>
    </row>
    <row r="38" spans="1:6" ht="14.25" customHeight="1" x14ac:dyDescent="0.2">
      <c r="A38" s="20">
        <v>3</v>
      </c>
      <c r="B38" s="172" t="s">
        <v>2</v>
      </c>
      <c r="C38" s="173"/>
      <c r="D38" s="15">
        <f>IF(F3="1",SUMIF(Data!A:A,'21'!$A$2,Data!CW:CW),0)</f>
        <v>2506800</v>
      </c>
      <c r="E38" s="18">
        <f>IF(F3="1",SUMIF(Data!$A:$A,'21'!$A$2,Data!IQ:IQ),0)</f>
        <v>1495766</v>
      </c>
      <c r="F38" s="22">
        <f t="shared" si="3"/>
        <v>0.6</v>
      </c>
    </row>
    <row r="39" spans="1:6" ht="14.25" customHeight="1" x14ac:dyDescent="0.2">
      <c r="A39" s="20">
        <v>4</v>
      </c>
      <c r="B39" s="172" t="s">
        <v>3</v>
      </c>
      <c r="C39" s="173"/>
      <c r="D39" s="15">
        <f>IF(F3="1",SUMIF(Data!A:A,'21'!$A$2,Data!CX:CX),0)</f>
        <v>1703174</v>
      </c>
      <c r="E39" s="18">
        <f>IF(F3="1",SUMIF(Data!$A:$A,'21'!$A$2,Data!IR:IR),0)</f>
        <v>1183881</v>
      </c>
      <c r="F39" s="22">
        <f t="shared" si="3"/>
        <v>0.7</v>
      </c>
    </row>
    <row r="40" spans="1:6" x14ac:dyDescent="0.2">
      <c r="A40" s="20">
        <v>5</v>
      </c>
      <c r="B40" s="172" t="s">
        <v>4</v>
      </c>
      <c r="C40" s="173"/>
      <c r="D40" s="15">
        <f>IF(F3="1",SUMIF(Data!A:A,'21'!$A$2,Data!CY:CY),0)</f>
        <v>0</v>
      </c>
      <c r="E40" s="18">
        <f>IF(F3="1",SUMIF(Data!$A:$A,'21'!$A$2,Data!IS:IS),0)</f>
        <v>0</v>
      </c>
      <c r="F40" s="22" t="str">
        <f t="shared" si="3"/>
        <v/>
      </c>
    </row>
    <row r="41" spans="1:6" x14ac:dyDescent="0.2">
      <c r="A41" s="20">
        <v>6</v>
      </c>
      <c r="B41" s="172" t="s">
        <v>5</v>
      </c>
      <c r="C41" s="173"/>
      <c r="D41" s="15">
        <f>IF(F3="1",SUMIF(Data!A:A,'21'!$A$2,Data!CZ:CZ),0)</f>
        <v>496224</v>
      </c>
      <c r="E41" s="18">
        <f>IF(F3="1",SUMIF(Data!$A:$A,'21'!$A$2,Data!IT:IT),0)</f>
        <v>529650</v>
      </c>
      <c r="F41" s="22">
        <f t="shared" si="3"/>
        <v>1.07</v>
      </c>
    </row>
    <row r="42" spans="1:6" x14ac:dyDescent="0.2">
      <c r="A42" s="20">
        <v>7</v>
      </c>
      <c r="B42" s="172" t="s">
        <v>6</v>
      </c>
      <c r="C42" s="173"/>
      <c r="D42" s="15">
        <f>IF(F3="1",SUMIF(Data!A:A,'21'!$A$2,Data!DA:DA),0)</f>
        <v>274116</v>
      </c>
      <c r="E42" s="18">
        <f>IF(F3="1",SUMIF(Data!$A:$A,'21'!$A$2,Data!IU:IU),0)</f>
        <v>1216361</v>
      </c>
      <c r="F42" s="22">
        <f t="shared" si="3"/>
        <v>4.4400000000000004</v>
      </c>
    </row>
    <row r="43" spans="1:6" x14ac:dyDescent="0.2">
      <c r="A43" s="20">
        <v>8</v>
      </c>
      <c r="B43" s="172" t="s">
        <v>7</v>
      </c>
      <c r="C43" s="173"/>
      <c r="D43" s="15">
        <f>IF(F3="1",SUMIF(Data!A:A,'21'!$A$2,Data!DB:DB),0)</f>
        <v>329301</v>
      </c>
      <c r="E43" s="18">
        <f>IF(F3="1",SUMIF(Data!$A:$A,'21'!$A$2,Data!IV:IV),0)</f>
        <v>768772</v>
      </c>
      <c r="F43" s="22">
        <f t="shared" si="3"/>
        <v>2.33</v>
      </c>
    </row>
    <row r="44" spans="1:6" x14ac:dyDescent="0.2">
      <c r="A44" s="20">
        <v>9</v>
      </c>
      <c r="B44" s="172" t="s">
        <v>8</v>
      </c>
      <c r="C44" s="173"/>
      <c r="D44" s="15">
        <f>IF(F3="1",SUMIF(Data!A:A,'21'!$A$2,Data!DC:DC),0)</f>
        <v>705814</v>
      </c>
      <c r="E44" s="18">
        <f>IF(F3="1",SUMIF(Data!$A:$A,'21'!$A$2,Data!IW:IW),0)</f>
        <v>558856</v>
      </c>
      <c r="F44" s="22">
        <f t="shared" si="3"/>
        <v>0.79</v>
      </c>
    </row>
    <row r="45" spans="1:6" x14ac:dyDescent="0.2">
      <c r="A45" s="20">
        <v>10</v>
      </c>
      <c r="B45" s="172" t="s">
        <v>9</v>
      </c>
      <c r="C45" s="173"/>
      <c r="D45" s="15">
        <f>IF(F3="1",SUMIF(Data!A:A,'21'!$A$2,Data!DD:DD),0)</f>
        <v>15232</v>
      </c>
      <c r="E45" s="18">
        <f>IF(F3="1",SUMIF(Data!$A:$A,'21'!$A$2,Data!IX:IX),0)</f>
        <v>20252</v>
      </c>
      <c r="F45" s="22">
        <f t="shared" si="3"/>
        <v>1.33</v>
      </c>
    </row>
    <row r="46" spans="1:6" x14ac:dyDescent="0.2">
      <c r="A46" s="20">
        <v>11</v>
      </c>
      <c r="B46" s="172" t="s">
        <v>10</v>
      </c>
      <c r="C46" s="173"/>
      <c r="D46" s="15">
        <f>IF(F3="1",SUMIF(Data!A:A,'21'!$A$2,Data!DE:DE),0)</f>
        <v>536526</v>
      </c>
      <c r="E46" s="18">
        <f>IF(F3="1",SUMIF(Data!$A:$A,'21'!$A$2,Data!IY:IY),0)</f>
        <v>700061</v>
      </c>
      <c r="F46" s="22">
        <f t="shared" si="3"/>
        <v>1.3</v>
      </c>
    </row>
    <row r="47" spans="1:6" ht="14.25" customHeight="1" x14ac:dyDescent="0.2">
      <c r="A47" s="20">
        <v>12</v>
      </c>
      <c r="B47" s="172" t="s">
        <v>11</v>
      </c>
      <c r="C47" s="173"/>
      <c r="D47" s="15">
        <f>IF(F3="1",SUMIF(Data!A:A,'21'!$A$2,Data!DF:DF),0)</f>
        <v>3412552</v>
      </c>
      <c r="E47" s="18">
        <f>IF(F3="1",SUMIF(Data!$A:$A,'21'!$A$2,Data!IZ:IZ),0)</f>
        <v>2187922</v>
      </c>
      <c r="F47" s="22">
        <f t="shared" si="3"/>
        <v>0.64</v>
      </c>
    </row>
    <row r="48" spans="1:6" x14ac:dyDescent="0.2">
      <c r="A48" s="20">
        <v>13</v>
      </c>
      <c r="B48" s="172" t="s">
        <v>12</v>
      </c>
      <c r="C48" s="173"/>
      <c r="D48" s="15">
        <f>IF(F3="1",SUMIF(Data!A:A,'21'!$A$2,Data!DG:DG),0)</f>
        <v>398124</v>
      </c>
      <c r="E48" s="18">
        <f>IF(F3="1",SUMIF(Data!$A:$A,'21'!$A$2,Data!JA:JA),0)</f>
        <v>249143</v>
      </c>
      <c r="F48" s="22">
        <f t="shared" si="3"/>
        <v>0.63</v>
      </c>
    </row>
    <row r="49" spans="1:6" ht="14.25" customHeight="1" x14ac:dyDescent="0.2">
      <c r="A49" s="20">
        <v>14</v>
      </c>
      <c r="B49" s="172" t="s">
        <v>469</v>
      </c>
      <c r="C49" s="173"/>
      <c r="D49" s="15">
        <f>IF(F3="1",SUMIF(Data!A:A,'21'!$A$2,Data!DH:DH),0)</f>
        <v>383198</v>
      </c>
      <c r="E49" s="18">
        <f>IF(F3="1",SUMIF(Data!$A:$A,'21'!$A$2,Data!JB:JB),0)</f>
        <v>267876</v>
      </c>
      <c r="F49" s="22">
        <f t="shared" si="3"/>
        <v>0.7</v>
      </c>
    </row>
    <row r="50" spans="1:6" x14ac:dyDescent="0.2">
      <c r="A50" s="20">
        <v>15</v>
      </c>
      <c r="B50" s="172" t="s">
        <v>13</v>
      </c>
      <c r="C50" s="173"/>
      <c r="D50" s="15">
        <f>IF(F3="1",SUMIF(Data!A:A,'21'!$A$2,Data!DI:DI),0)</f>
        <v>0</v>
      </c>
      <c r="E50" s="18">
        <f>IF(F3="1",SUMIF(Data!$A:$A,'21'!$A$2,Data!JC:JC),0)</f>
        <v>0</v>
      </c>
      <c r="F50" s="22" t="str">
        <f t="shared" si="3"/>
        <v/>
      </c>
    </row>
    <row r="51" spans="1:6" x14ac:dyDescent="0.2">
      <c r="A51" s="20">
        <v>16</v>
      </c>
      <c r="B51" s="172" t="s">
        <v>14</v>
      </c>
      <c r="C51" s="173"/>
      <c r="D51" s="15">
        <f>IF(F3="1",SUMIF(Data!A:A,'21'!$A$2,Data!DJ:DJ),0)</f>
        <v>699887</v>
      </c>
      <c r="E51" s="18">
        <f>IF(F3="1",SUMIF(Data!$A:$A,'21'!$A$2,Data!JD:JD),0)</f>
        <v>1166014</v>
      </c>
      <c r="F51" s="22">
        <f t="shared" si="3"/>
        <v>1.67</v>
      </c>
    </row>
    <row r="52" spans="1:6" x14ac:dyDescent="0.2">
      <c r="A52" s="20">
        <v>17</v>
      </c>
      <c r="B52" s="172" t="s">
        <v>15</v>
      </c>
      <c r="C52" s="173"/>
      <c r="D52" s="15">
        <f>IF(F3="1",SUMIF(Data!A:A,'21'!$A$2,Data!DK:DK),0)</f>
        <v>51072</v>
      </c>
      <c r="E52" s="18">
        <f>IF(F3="1",SUMIF(Data!$A:$A,'21'!$A$2,Data!JE:JE),0)</f>
        <v>99134</v>
      </c>
      <c r="F52" s="22">
        <f t="shared" si="3"/>
        <v>1.94</v>
      </c>
    </row>
    <row r="53" spans="1:6" x14ac:dyDescent="0.2">
      <c r="A53" s="20">
        <v>18</v>
      </c>
      <c r="B53" s="172" t="s">
        <v>16</v>
      </c>
      <c r="C53" s="173"/>
      <c r="D53" s="15">
        <f>IF(F3="1",SUMIF(Data!A:A,'21'!$A$2,Data!DL:DL),0)</f>
        <v>124848</v>
      </c>
      <c r="E53" s="18">
        <f>IF(F3="1",SUMIF(Data!$A:$A,'21'!$A$2,Data!JF:JF),0)</f>
        <v>171237</v>
      </c>
      <c r="F53" s="22">
        <f t="shared" si="3"/>
        <v>1.37</v>
      </c>
    </row>
    <row r="54" spans="1:6" x14ac:dyDescent="0.2">
      <c r="A54" s="20">
        <v>19</v>
      </c>
      <c r="B54" s="172" t="s">
        <v>17</v>
      </c>
      <c r="C54" s="173"/>
      <c r="D54" s="15">
        <f>IF(F3="1",SUMIF(Data!A:A,'21'!$A$2,Data!DM:DM),0)</f>
        <v>2002740</v>
      </c>
      <c r="E54" s="18">
        <f>IF(F3="1",SUMIF(Data!$A:$A,'21'!$A$2,Data!JG:JG),0)</f>
        <v>754483</v>
      </c>
      <c r="F54" s="22">
        <f t="shared" si="3"/>
        <v>0.38</v>
      </c>
    </row>
    <row r="55" spans="1:6" x14ac:dyDescent="0.2">
      <c r="A55" s="20">
        <v>20</v>
      </c>
      <c r="B55" s="172" t="s">
        <v>18</v>
      </c>
      <c r="C55" s="173"/>
      <c r="D55" s="15">
        <f>IF(F3="1",SUMIF(Data!A:A,'21'!$A$2,Data!DN:DN),0)</f>
        <v>235032</v>
      </c>
      <c r="E55" s="18">
        <f>IF(F3="1",SUMIF(Data!$A:$A,'21'!$A$2,Data!JH:JH),0)</f>
        <v>302319</v>
      </c>
      <c r="F55" s="22">
        <f t="shared" si="3"/>
        <v>1.29</v>
      </c>
    </row>
    <row r="56" spans="1:6" ht="14.25" customHeight="1" x14ac:dyDescent="0.2">
      <c r="A56" s="20">
        <v>21</v>
      </c>
      <c r="B56" s="172" t="s">
        <v>466</v>
      </c>
      <c r="C56" s="173"/>
      <c r="D56" s="15">
        <f>IF(F3="1",SUMIF(Data!A:A,'21'!$A$2,Data!DO:DO),0)</f>
        <v>176362</v>
      </c>
      <c r="E56" s="18">
        <f>IF(F3="1",SUMIF(Data!$A:$A,'21'!$A$2,Data!JI:JI),0)</f>
        <v>775866</v>
      </c>
      <c r="F56" s="22">
        <f t="shared" si="3"/>
        <v>4.4000000000000004</v>
      </c>
    </row>
    <row r="57" spans="1:6" x14ac:dyDescent="0.2">
      <c r="A57" s="20">
        <v>22</v>
      </c>
      <c r="B57" s="172" t="s">
        <v>19</v>
      </c>
      <c r="C57" s="173"/>
      <c r="D57" s="15">
        <f>IF(F3="1",SUMIF(Data!A:A,'21'!$A$2,Data!DP:DP),0)</f>
        <v>109948</v>
      </c>
      <c r="E57" s="18">
        <f>IF(F3="1",SUMIF(Data!$A:$A,'21'!$A$2,Data!JJ:JJ),0)</f>
        <v>63951</v>
      </c>
      <c r="F57" s="22">
        <f t="shared" si="3"/>
        <v>0.57999999999999996</v>
      </c>
    </row>
    <row r="58" spans="1:6" x14ac:dyDescent="0.2">
      <c r="A58" s="20">
        <v>23</v>
      </c>
      <c r="B58" s="172" t="s">
        <v>20</v>
      </c>
      <c r="C58" s="173"/>
      <c r="D58" s="15">
        <f>IF(F3="1",SUMIF(Data!A:A,'21'!$A$2,Data!DQ:DQ),0)</f>
        <v>41728</v>
      </c>
      <c r="E58" s="18">
        <f>IF(F3="1",SUMIF(Data!$A:$A,'21'!$A$2,Data!JK:JK),0)</f>
        <v>110348</v>
      </c>
      <c r="F58" s="22">
        <f t="shared" si="3"/>
        <v>2.64</v>
      </c>
    </row>
    <row r="59" spans="1:6" x14ac:dyDescent="0.2">
      <c r="A59" s="20">
        <v>24</v>
      </c>
      <c r="B59" s="172" t="s">
        <v>21</v>
      </c>
      <c r="C59" s="173"/>
      <c r="D59" s="15">
        <f>IF(F3="1",SUMIF(Data!A:A,'21'!$A$2,Data!DR:DR),0)</f>
        <v>349424</v>
      </c>
      <c r="E59" s="18">
        <f>IF(F3="1",SUMIF(Data!$A:$A,'21'!$A$2,Data!JL:JL),0)</f>
        <v>677782</v>
      </c>
      <c r="F59" s="22">
        <f t="shared" si="3"/>
        <v>1.94</v>
      </c>
    </row>
    <row r="60" spans="1:6" x14ac:dyDescent="0.2">
      <c r="A60" s="20">
        <v>25</v>
      </c>
      <c r="B60" s="172" t="s">
        <v>22</v>
      </c>
      <c r="C60" s="173"/>
      <c r="D60" s="15">
        <f>IF(F3="1",SUMIF(Data!A:A,'21'!$A$2,Data!DS:DS),0)</f>
        <v>3462752</v>
      </c>
      <c r="E60" s="18">
        <f>IF(F3="1",SUMIF(Data!$A:$A,'21'!$A$2,Data!JM:JM),0)</f>
        <v>1120264</v>
      </c>
      <c r="F60" s="22">
        <f t="shared" si="3"/>
        <v>0.32</v>
      </c>
    </row>
    <row r="61" spans="1:6" x14ac:dyDescent="0.2">
      <c r="A61" s="20">
        <v>26</v>
      </c>
      <c r="B61" s="172" t="s">
        <v>23</v>
      </c>
      <c r="C61" s="173"/>
      <c r="D61" s="15">
        <f>IF(F3="1",SUMIF(Data!A:A,'21'!$A$2,Data!DT:DT),0)</f>
        <v>982396</v>
      </c>
      <c r="E61" s="18">
        <f>IF(F3="1",SUMIF(Data!$A:$A,'21'!$A$2,Data!JN:JN),0)</f>
        <v>1247774</v>
      </c>
      <c r="F61" s="22">
        <f t="shared" si="3"/>
        <v>1.27</v>
      </c>
    </row>
    <row r="62" spans="1:6" x14ac:dyDescent="0.2">
      <c r="A62" s="20">
        <v>28</v>
      </c>
      <c r="B62" s="172" t="s">
        <v>24</v>
      </c>
      <c r="C62" s="173"/>
      <c r="D62" s="15">
        <f>IF(F3="1",SUMIF(Data!A:A,'21'!$A$2,Data!DV:DV),0)</f>
        <v>0</v>
      </c>
      <c r="E62" s="18">
        <f>IF(F3="1",SUMIF(Data!$A:$A,'21'!$A$2,Data!JP:JP),0)</f>
        <v>0</v>
      </c>
      <c r="F62" s="22" t="str">
        <f t="shared" si="3"/>
        <v/>
      </c>
    </row>
    <row r="63" spans="1:6" ht="15.75" customHeight="1" thickBot="1" x14ac:dyDescent="0.25">
      <c r="A63" s="23">
        <v>29</v>
      </c>
      <c r="B63" s="174" t="s">
        <v>25</v>
      </c>
      <c r="C63" s="175"/>
      <c r="D63" s="24">
        <f>IF(F3="1",SUMIF(Data!A:A,'21'!$A$2,Data!DW:DW),0)</f>
        <v>0</v>
      </c>
      <c r="E63" s="25">
        <f>IF(F3="1",SUMIF(Data!$A:$A,'21'!$A$2,Data!JQ:JQ),0)</f>
        <v>0</v>
      </c>
      <c r="F63" s="26" t="str">
        <f t="shared" si="3"/>
        <v/>
      </c>
    </row>
    <row r="64" spans="1:6" x14ac:dyDescent="0.2">
      <c r="B64" s="31" t="s">
        <v>35</v>
      </c>
      <c r="C64" s="31"/>
      <c r="D64" s="61">
        <f>SUM(D36:D63)</f>
        <v>19315236</v>
      </c>
      <c r="E64" s="32">
        <f>SUM(E36:E63)</f>
        <v>16072546</v>
      </c>
      <c r="F64" s="33">
        <f t="shared" si="3"/>
        <v>0.83</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81920</v>
      </c>
      <c r="E67" s="16">
        <f>IF(F3="1",SUMIF(Data!A:A,'21'!$A$2,Data!DY:DY),0)</f>
        <v>244844</v>
      </c>
      <c r="F67" s="21">
        <f t="shared" ref="F67:F95" si="4">IF(D67=0,"",ROUND(E67/D67,2))</f>
        <v>2.99</v>
      </c>
    </row>
    <row r="68" spans="1:6" x14ac:dyDescent="0.2">
      <c r="A68" s="20">
        <v>2</v>
      </c>
      <c r="B68" s="172" t="s">
        <v>1</v>
      </c>
      <c r="C68" s="173"/>
      <c r="D68" s="15">
        <f t="shared" ref="D68:D94" si="5">D37</f>
        <v>236066</v>
      </c>
      <c r="E68" s="18">
        <f>IF(F3="1",SUMIF(Data!A:A,'21'!$A$2,Data!DZ:DZ),0)</f>
        <v>699465</v>
      </c>
      <c r="F68" s="22">
        <f t="shared" si="4"/>
        <v>2.96</v>
      </c>
    </row>
    <row r="69" spans="1:6" ht="14.25" customHeight="1" x14ac:dyDescent="0.2">
      <c r="A69" s="20">
        <v>3</v>
      </c>
      <c r="B69" s="172" t="s">
        <v>2</v>
      </c>
      <c r="C69" s="173"/>
      <c r="D69" s="15">
        <f t="shared" si="5"/>
        <v>2506800</v>
      </c>
      <c r="E69" s="18">
        <f>IF(F3="1",SUMIF(Data!A:A,'21'!$A$2,Data!EA:EA),0)</f>
        <v>7182699</v>
      </c>
      <c r="F69" s="22">
        <f t="shared" si="4"/>
        <v>2.87</v>
      </c>
    </row>
    <row r="70" spans="1:6" ht="14.25" customHeight="1" x14ac:dyDescent="0.2">
      <c r="A70" s="20">
        <v>4</v>
      </c>
      <c r="B70" s="172" t="s">
        <v>3</v>
      </c>
      <c r="C70" s="173"/>
      <c r="D70" s="15">
        <f t="shared" si="5"/>
        <v>1703174</v>
      </c>
      <c r="E70" s="18">
        <f>IF(F3="1",SUMIF(Data!A:A,'21'!$A$2,Data!EB:EB),0)</f>
        <v>5283590</v>
      </c>
      <c r="F70" s="22">
        <f t="shared" si="4"/>
        <v>3.1</v>
      </c>
    </row>
    <row r="71" spans="1:6" x14ac:dyDescent="0.2">
      <c r="A71" s="20">
        <v>5</v>
      </c>
      <c r="B71" s="172" t="s">
        <v>4</v>
      </c>
      <c r="C71" s="173"/>
      <c r="D71" s="15">
        <f t="shared" si="5"/>
        <v>0</v>
      </c>
      <c r="E71" s="18">
        <f>IF(F3="1",SUMIF(Data!A:A,'21'!$A$2,Data!EC:EC),0)</f>
        <v>0</v>
      </c>
      <c r="F71" s="22" t="str">
        <f t="shared" si="4"/>
        <v/>
      </c>
    </row>
    <row r="72" spans="1:6" x14ac:dyDescent="0.2">
      <c r="A72" s="20">
        <v>6</v>
      </c>
      <c r="B72" s="172" t="s">
        <v>5</v>
      </c>
      <c r="C72" s="173"/>
      <c r="D72" s="15">
        <f t="shared" si="5"/>
        <v>496224</v>
      </c>
      <c r="E72" s="18">
        <f>IF(F3="1",SUMIF(Data!A:A,'21'!$A$2,Data!ED:ED),0)</f>
        <v>976901</v>
      </c>
      <c r="F72" s="22">
        <f t="shared" si="4"/>
        <v>1.97</v>
      </c>
    </row>
    <row r="73" spans="1:6" x14ac:dyDescent="0.2">
      <c r="A73" s="20">
        <v>7</v>
      </c>
      <c r="B73" s="172" t="s">
        <v>6</v>
      </c>
      <c r="C73" s="173"/>
      <c r="D73" s="15">
        <f t="shared" si="5"/>
        <v>274116</v>
      </c>
      <c r="E73" s="18">
        <f>IF(F3="1",SUMIF(Data!A:A,'21'!$A$2,Data!EE:EE),0)</f>
        <v>3041824</v>
      </c>
      <c r="F73" s="22">
        <f t="shared" si="4"/>
        <v>11.1</v>
      </c>
    </row>
    <row r="74" spans="1:6" x14ac:dyDescent="0.2">
      <c r="A74" s="20">
        <v>8</v>
      </c>
      <c r="B74" s="172" t="s">
        <v>7</v>
      </c>
      <c r="C74" s="173"/>
      <c r="D74" s="15">
        <f t="shared" si="5"/>
        <v>329301</v>
      </c>
      <c r="E74" s="18">
        <f>IF(F3="1",SUMIF(Data!A:A,'21'!$A$2,Data!EF:EF),0)</f>
        <v>931536</v>
      </c>
      <c r="F74" s="22">
        <f t="shared" si="4"/>
        <v>2.83</v>
      </c>
    </row>
    <row r="75" spans="1:6" x14ac:dyDescent="0.2">
      <c r="A75" s="20">
        <v>9</v>
      </c>
      <c r="B75" s="172" t="s">
        <v>8</v>
      </c>
      <c r="C75" s="173"/>
      <c r="D75" s="15">
        <f t="shared" si="5"/>
        <v>705814</v>
      </c>
      <c r="E75" s="18">
        <f>IF(F3="1",SUMIF(Data!A:A,'21'!$A$2,Data!EG:EG),0)</f>
        <v>1977568</v>
      </c>
      <c r="F75" s="22">
        <f t="shared" si="4"/>
        <v>2.8</v>
      </c>
    </row>
    <row r="76" spans="1:6" x14ac:dyDescent="0.2">
      <c r="A76" s="20">
        <v>10</v>
      </c>
      <c r="B76" s="172" t="s">
        <v>9</v>
      </c>
      <c r="C76" s="173"/>
      <c r="D76" s="15">
        <f t="shared" si="5"/>
        <v>15232</v>
      </c>
      <c r="E76" s="18">
        <f>IF(F3="1",SUMIF(Data!A:A,'21'!$A$2,Data!EH:EH),0)</f>
        <v>54764</v>
      </c>
      <c r="F76" s="22">
        <f t="shared" si="4"/>
        <v>3.6</v>
      </c>
    </row>
    <row r="77" spans="1:6" x14ac:dyDescent="0.2">
      <c r="A77" s="20">
        <v>11</v>
      </c>
      <c r="B77" s="172" t="s">
        <v>10</v>
      </c>
      <c r="C77" s="173"/>
      <c r="D77" s="15">
        <f t="shared" si="5"/>
        <v>536526</v>
      </c>
      <c r="E77" s="18">
        <f>IF(F3="1",SUMIF(Data!A:A,'21'!$A$2,Data!EI:EI),0)</f>
        <v>1893027</v>
      </c>
      <c r="F77" s="22">
        <f t="shared" si="4"/>
        <v>3.53</v>
      </c>
    </row>
    <row r="78" spans="1:6" ht="14.25" customHeight="1" x14ac:dyDescent="0.2">
      <c r="A78" s="20">
        <v>12</v>
      </c>
      <c r="B78" s="172" t="s">
        <v>11</v>
      </c>
      <c r="C78" s="173"/>
      <c r="D78" s="15">
        <f t="shared" si="5"/>
        <v>3412552</v>
      </c>
      <c r="E78" s="18">
        <f>IF(F3="1",SUMIF(Data!A:A,'21'!$A$2,Data!EJ:EJ),0)</f>
        <v>13030059</v>
      </c>
      <c r="F78" s="22">
        <f t="shared" si="4"/>
        <v>3.82</v>
      </c>
    </row>
    <row r="79" spans="1:6" x14ac:dyDescent="0.2">
      <c r="A79" s="20">
        <v>13</v>
      </c>
      <c r="B79" s="172" t="s">
        <v>12</v>
      </c>
      <c r="C79" s="173"/>
      <c r="D79" s="15">
        <f t="shared" si="5"/>
        <v>398124</v>
      </c>
      <c r="E79" s="18">
        <f>IF(F3="1",SUMIF(Data!A:A,'21'!$A$2,Data!EK:EK),0)</f>
        <v>1337204</v>
      </c>
      <c r="F79" s="22">
        <f t="shared" si="4"/>
        <v>3.36</v>
      </c>
    </row>
    <row r="80" spans="1:6" ht="14.25" customHeight="1" x14ac:dyDescent="0.2">
      <c r="A80" s="20">
        <v>14</v>
      </c>
      <c r="B80" s="172" t="s">
        <v>469</v>
      </c>
      <c r="C80" s="173"/>
      <c r="D80" s="15">
        <f t="shared" si="5"/>
        <v>383198</v>
      </c>
      <c r="E80" s="18">
        <f>IF(F3="1",SUMIF(Data!A:A,'21'!$A$2,Data!EL:EL),0)</f>
        <v>2187019</v>
      </c>
      <c r="F80" s="22">
        <f t="shared" si="4"/>
        <v>5.71</v>
      </c>
    </row>
    <row r="81" spans="1:6" x14ac:dyDescent="0.2">
      <c r="A81" s="20">
        <v>15</v>
      </c>
      <c r="B81" s="172" t="s">
        <v>13</v>
      </c>
      <c r="C81" s="173"/>
      <c r="D81" s="15">
        <f t="shared" si="5"/>
        <v>0</v>
      </c>
      <c r="E81" s="18">
        <f>IF(F3="1",SUMIF(Data!A:A,'21'!$A$2,Data!EM:EM),0)</f>
        <v>0</v>
      </c>
      <c r="F81" s="22" t="str">
        <f t="shared" si="4"/>
        <v/>
      </c>
    </row>
    <row r="82" spans="1:6" x14ac:dyDescent="0.2">
      <c r="A82" s="20">
        <v>16</v>
      </c>
      <c r="B82" s="172" t="s">
        <v>14</v>
      </c>
      <c r="C82" s="173"/>
      <c r="D82" s="15">
        <f t="shared" si="5"/>
        <v>699887</v>
      </c>
      <c r="E82" s="18">
        <f>IF(F3="1",SUMIF(Data!A:A,'21'!$A$2,Data!EN:EN),0)</f>
        <v>3942128</v>
      </c>
      <c r="F82" s="22">
        <f t="shared" si="4"/>
        <v>5.63</v>
      </c>
    </row>
    <row r="83" spans="1:6" x14ac:dyDescent="0.2">
      <c r="A83" s="20">
        <v>17</v>
      </c>
      <c r="B83" s="172" t="s">
        <v>15</v>
      </c>
      <c r="C83" s="173"/>
      <c r="D83" s="15">
        <f t="shared" si="5"/>
        <v>51072</v>
      </c>
      <c r="E83" s="18">
        <f>IF(F3="1",SUMIF(Data!A:A,'21'!$A$2,Data!EO:EO),0)</f>
        <v>419657</v>
      </c>
      <c r="F83" s="22">
        <f t="shared" si="4"/>
        <v>8.2200000000000006</v>
      </c>
    </row>
    <row r="84" spans="1:6" x14ac:dyDescent="0.2">
      <c r="A84" s="20">
        <v>18</v>
      </c>
      <c r="B84" s="172" t="s">
        <v>16</v>
      </c>
      <c r="C84" s="173"/>
      <c r="D84" s="15">
        <f t="shared" si="5"/>
        <v>124848</v>
      </c>
      <c r="E84" s="18">
        <f>IF(F3="1",SUMIF(Data!A:A,'21'!$A$2,Data!EP:EP),0)</f>
        <v>958842</v>
      </c>
      <c r="F84" s="22">
        <f t="shared" si="4"/>
        <v>7.68</v>
      </c>
    </row>
    <row r="85" spans="1:6" x14ac:dyDescent="0.2">
      <c r="A85" s="20">
        <v>19</v>
      </c>
      <c r="B85" s="172" t="s">
        <v>17</v>
      </c>
      <c r="C85" s="173"/>
      <c r="D85" s="15">
        <f t="shared" si="5"/>
        <v>2002740</v>
      </c>
      <c r="E85" s="18">
        <f>IF(F3="1",SUMIF(Data!A:A,'21'!$A$2,Data!EQ:EQ),0)</f>
        <v>6134976</v>
      </c>
      <c r="F85" s="22">
        <f t="shared" si="4"/>
        <v>3.06</v>
      </c>
    </row>
    <row r="86" spans="1:6" x14ac:dyDescent="0.2">
      <c r="A86" s="20">
        <v>20</v>
      </c>
      <c r="B86" s="172" t="s">
        <v>18</v>
      </c>
      <c r="C86" s="173"/>
      <c r="D86" s="15">
        <f t="shared" si="5"/>
        <v>235032</v>
      </c>
      <c r="E86" s="18">
        <f>IF(F3="1",SUMIF(Data!A:A,'21'!$A$2,Data!ER:ER),0)</f>
        <v>1099975</v>
      </c>
      <c r="F86" s="22">
        <f t="shared" si="4"/>
        <v>4.68</v>
      </c>
    </row>
    <row r="87" spans="1:6" ht="14.25" customHeight="1" x14ac:dyDescent="0.2">
      <c r="A87" s="20">
        <v>21</v>
      </c>
      <c r="B87" s="172" t="s">
        <v>466</v>
      </c>
      <c r="C87" s="173"/>
      <c r="D87" s="15">
        <f t="shared" si="5"/>
        <v>176362</v>
      </c>
      <c r="E87" s="18">
        <f>IF(F3="1",SUMIF(Data!A:A,'21'!$A$2,Data!ES:ES),0)</f>
        <v>1142330</v>
      </c>
      <c r="F87" s="22">
        <f t="shared" si="4"/>
        <v>6.48</v>
      </c>
    </row>
    <row r="88" spans="1:6" x14ac:dyDescent="0.2">
      <c r="A88" s="20">
        <v>22</v>
      </c>
      <c r="B88" s="172" t="s">
        <v>19</v>
      </c>
      <c r="C88" s="173"/>
      <c r="D88" s="15">
        <f t="shared" si="5"/>
        <v>109948</v>
      </c>
      <c r="E88" s="18">
        <f>IF(F3="1",SUMIF(Data!A:A,'21'!$A$2,Data!ET:ET),0)</f>
        <v>433039</v>
      </c>
      <c r="F88" s="22">
        <f t="shared" si="4"/>
        <v>3.94</v>
      </c>
    </row>
    <row r="89" spans="1:6" x14ac:dyDescent="0.2">
      <c r="A89" s="20">
        <v>23</v>
      </c>
      <c r="B89" s="172" t="s">
        <v>20</v>
      </c>
      <c r="C89" s="173"/>
      <c r="D89" s="15">
        <f t="shared" si="5"/>
        <v>41728</v>
      </c>
      <c r="E89" s="18">
        <f>IF(F3="1",SUMIF(Data!A:A,'21'!$A$2,Data!EU:EU),0)</f>
        <v>189820</v>
      </c>
      <c r="F89" s="22">
        <f t="shared" si="4"/>
        <v>4.55</v>
      </c>
    </row>
    <row r="90" spans="1:6" x14ac:dyDescent="0.2">
      <c r="A90" s="20">
        <v>24</v>
      </c>
      <c r="B90" s="172" t="s">
        <v>21</v>
      </c>
      <c r="C90" s="173"/>
      <c r="D90" s="15">
        <f t="shared" si="5"/>
        <v>349424</v>
      </c>
      <c r="E90" s="18">
        <f>IF(F3="1",SUMIF(Data!A:A,'21'!$A$2,Data!EV:EV),0)</f>
        <v>1253215</v>
      </c>
      <c r="F90" s="22">
        <f t="shared" si="4"/>
        <v>3.59</v>
      </c>
    </row>
    <row r="91" spans="1:6" x14ac:dyDescent="0.2">
      <c r="A91" s="20">
        <v>25</v>
      </c>
      <c r="B91" s="172" t="s">
        <v>22</v>
      </c>
      <c r="C91" s="173"/>
      <c r="D91" s="15">
        <f t="shared" si="5"/>
        <v>3462752</v>
      </c>
      <c r="E91" s="18">
        <f>IF(F3="1",SUMIF(Data!A:A,'21'!$A$2,Data!EW:EW),0)</f>
        <v>9966662</v>
      </c>
      <c r="F91" s="22">
        <f t="shared" si="4"/>
        <v>2.88</v>
      </c>
    </row>
    <row r="92" spans="1:6" x14ac:dyDescent="0.2">
      <c r="A92" s="20">
        <v>26</v>
      </c>
      <c r="B92" s="172" t="s">
        <v>23</v>
      </c>
      <c r="C92" s="173"/>
      <c r="D92" s="15">
        <f t="shared" si="5"/>
        <v>982396</v>
      </c>
      <c r="E92" s="18">
        <f>IF(F3="1",SUMIF(Data!A:A,'21'!$A$2,Data!EX:EX),0)</f>
        <v>3848102</v>
      </c>
      <c r="F92" s="22">
        <f t="shared" si="4"/>
        <v>3.92</v>
      </c>
    </row>
    <row r="93" spans="1:6" x14ac:dyDescent="0.2">
      <c r="A93" s="20">
        <v>28</v>
      </c>
      <c r="B93" s="172" t="s">
        <v>24</v>
      </c>
      <c r="C93" s="173"/>
      <c r="D93" s="15">
        <f t="shared" si="5"/>
        <v>0</v>
      </c>
      <c r="E93" s="18">
        <f>IF(F3="1",SUMIF(Data!A:A,'21'!$A$2,Data!EZ:EZ),0)</f>
        <v>0</v>
      </c>
      <c r="F93" s="22" t="str">
        <f t="shared" si="4"/>
        <v/>
      </c>
    </row>
    <row r="94" spans="1:6" ht="15.75" customHeight="1" thickBot="1" x14ac:dyDescent="0.25">
      <c r="A94" s="23">
        <v>29</v>
      </c>
      <c r="B94" s="174" t="s">
        <v>25</v>
      </c>
      <c r="C94" s="175"/>
      <c r="D94" s="24">
        <f t="shared" si="5"/>
        <v>0</v>
      </c>
      <c r="E94" s="25">
        <f>IF(F3="1",SUMIF(Data!A:A,'21'!$A$2,Data!FA:FA),0)</f>
        <v>0</v>
      </c>
      <c r="F94" s="26" t="str">
        <f t="shared" si="4"/>
        <v/>
      </c>
    </row>
    <row r="95" spans="1:6" x14ac:dyDescent="0.2">
      <c r="B95" s="31" t="s">
        <v>35</v>
      </c>
      <c r="C95" s="31"/>
      <c r="D95" s="61">
        <f>SUM(D67:D94)</f>
        <v>19315236</v>
      </c>
      <c r="E95" s="32">
        <f>SUM(E67:E94)</f>
        <v>68229246</v>
      </c>
      <c r="F95" s="33">
        <f t="shared" si="4"/>
        <v>3.53</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IF(F3="1",SUMIF(Data!A:A,'21'!$A$2,Data!AH:AH),0)</f>
        <v>40417942</v>
      </c>
      <c r="F98" s="21">
        <f>IF($D$105=0,"",ROUND(E98/$D$105,2))</f>
        <v>2.09</v>
      </c>
    </row>
    <row r="99" spans="2:6" x14ac:dyDescent="0.2">
      <c r="B99" s="178" t="s">
        <v>31</v>
      </c>
      <c r="C99" s="179"/>
      <c r="D99" s="37"/>
      <c r="E99" s="18">
        <f>IF(F3="1",SUMIF(Data!A:A,'21'!$A$2,Data!AI:AI),0)</f>
        <v>19418296</v>
      </c>
      <c r="F99" s="22">
        <f t="shared" ref="F99:F105" si="6">IF($D$105=0,"",ROUND(E99/$D$105,2))</f>
        <v>1.01</v>
      </c>
    </row>
    <row r="100" spans="2:6" x14ac:dyDescent="0.2">
      <c r="B100" s="178" t="s">
        <v>32</v>
      </c>
      <c r="C100" s="179"/>
      <c r="D100" s="37"/>
      <c r="E100" s="18">
        <f>IF(F3="1",SUMIF(Data!A:A,'21'!$A$2,Data!AJ:AJ),0)</f>
        <v>16778348</v>
      </c>
      <c r="F100" s="22">
        <f t="shared" si="6"/>
        <v>0.87</v>
      </c>
    </row>
    <row r="101" spans="2:6" x14ac:dyDescent="0.2">
      <c r="B101" s="178" t="s">
        <v>28</v>
      </c>
      <c r="C101" s="179"/>
      <c r="D101" s="37"/>
      <c r="E101" s="18">
        <f>IF(F3="1",SUMIF(Data!A:A,'21'!$A$2,Data!AK:AK),0)</f>
        <v>0</v>
      </c>
      <c r="F101" s="22">
        <f t="shared" si="6"/>
        <v>0</v>
      </c>
    </row>
    <row r="102" spans="2:6" x14ac:dyDescent="0.2">
      <c r="B102" s="178" t="s">
        <v>33</v>
      </c>
      <c r="C102" s="179"/>
      <c r="D102" s="37"/>
      <c r="E102" s="18">
        <f>IF(F3="1",SUMIF(Data!A:A,'21'!$A$2,Data!AL:AL),0)</f>
        <v>0</v>
      </c>
      <c r="F102" s="22">
        <f t="shared" si="6"/>
        <v>0</v>
      </c>
    </row>
    <row r="103" spans="2:6" x14ac:dyDescent="0.2">
      <c r="B103" s="180" t="s">
        <v>34</v>
      </c>
      <c r="C103" s="181"/>
      <c r="D103" s="37"/>
      <c r="E103" s="18">
        <f>IF(F3="1",SUMIF(Data!A:A,'21'!$A$2,Data!AM:AM),0)</f>
        <v>3945262</v>
      </c>
      <c r="F103" s="22">
        <f t="shared" si="6"/>
        <v>0.2</v>
      </c>
    </row>
    <row r="104" spans="2:6" ht="15.75" customHeight="1" thickBot="1" x14ac:dyDescent="0.25">
      <c r="B104" s="170" t="s">
        <v>29</v>
      </c>
      <c r="C104" s="171"/>
      <c r="D104" s="38"/>
      <c r="E104" s="25">
        <f>IF(F3="1",SUMIF(Data!A:A,'21'!$A$2,Data!Q:Q),0)</f>
        <v>2088592</v>
      </c>
      <c r="F104" s="26">
        <f t="shared" si="6"/>
        <v>0.11</v>
      </c>
    </row>
    <row r="105" spans="2:6" x14ac:dyDescent="0.2">
      <c r="B105" s="31" t="s">
        <v>35</v>
      </c>
      <c r="C105" s="31"/>
      <c r="D105" s="35">
        <f>D95</f>
        <v>19315236</v>
      </c>
      <c r="E105" s="32">
        <f>SUM(E98:E104)</f>
        <v>82648440</v>
      </c>
      <c r="F105" s="33">
        <f t="shared" si="6"/>
        <v>4.28</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75776178</v>
      </c>
      <c r="D109" s="16">
        <f>IF(F3="1",SUMIF(Data!$A:$A,$A$2,Data!HJ:HJ),0)</f>
        <v>3069743</v>
      </c>
      <c r="E109" s="16">
        <f>IF(F3="1",SUMIF(Data!$A:$A,$A$2,Data!IN:IN),0)</f>
        <v>5455872</v>
      </c>
      <c r="F109" s="48">
        <f>SUM(C109:E109)</f>
        <v>84301793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618960</v>
      </c>
      <c r="D111" s="52"/>
      <c r="E111" s="51">
        <f>IF(F3="1",SUMIF(Data!A:A,$A$2,Data!AX:AX),0)</f>
        <v>1146626</v>
      </c>
      <c r="F111" s="49">
        <f t="shared" si="7"/>
        <v>1765586</v>
      </c>
    </row>
    <row r="112" spans="2:6" x14ac:dyDescent="0.2">
      <c r="B112" s="43" t="s">
        <v>32</v>
      </c>
      <c r="C112" s="51">
        <f>IF(F3="1",SUMIF(Data!A:A,$A$2,Data!V:V),0)</f>
        <v>10923342</v>
      </c>
      <c r="D112" s="52"/>
      <c r="E112" s="51">
        <f>IF(F3="1",SUMIF(Data!A:A,$A$2,Data!AC:AC),0)</f>
        <v>5855006</v>
      </c>
      <c r="F112" s="49">
        <f t="shared" si="7"/>
        <v>16778348</v>
      </c>
    </row>
    <row r="113" spans="1:6" x14ac:dyDescent="0.2">
      <c r="B113" s="43" t="s">
        <v>31</v>
      </c>
      <c r="C113" s="51">
        <f>IF(F3="1",SUMIF(Data!A:A,$A$2,Data!U:U),0)</f>
        <v>17685062</v>
      </c>
      <c r="D113" s="52"/>
      <c r="E113" s="51">
        <f>IF(F3="1",SUMIF(Data!A:A,$A$2,Data!AB:AB),0)</f>
        <v>1733234</v>
      </c>
      <c r="F113" s="49">
        <f t="shared" si="7"/>
        <v>19418296</v>
      </c>
    </row>
    <row r="114" spans="1:6" x14ac:dyDescent="0.2">
      <c r="B114" s="43" t="s">
        <v>1021</v>
      </c>
      <c r="C114" s="51">
        <f>IF(F3="1",SUMIF(Data!A:A,$A$2,Data!T:T),0)</f>
        <v>22329202</v>
      </c>
      <c r="D114" s="52"/>
      <c r="E114" s="51">
        <f>IF(F3="1",SUMIF(Data!A:A,$A$2,Data!AA:AA),0)</f>
        <v>18088740</v>
      </c>
      <c r="F114" s="49">
        <f t="shared" si="7"/>
        <v>40417942</v>
      </c>
    </row>
    <row r="115" spans="1:6" x14ac:dyDescent="0.2">
      <c r="B115" s="43" t="s">
        <v>937</v>
      </c>
      <c r="C115" s="51">
        <f>IF(F3="1",SUMIF(Data!A:A,$A$2,Data!BI:BI),0)</f>
        <v>1428801</v>
      </c>
      <c r="D115" s="51">
        <f>IF(F3="1",SUMIF(Data!A:A,$A$2,Data!BL:BL),0)</f>
        <v>57882</v>
      </c>
      <c r="E115" s="51">
        <f>IF(F3="1",SUMIF(Data!A:A,$A$2,Data!BU:BU),0)</f>
        <v>26000053</v>
      </c>
      <c r="F115" s="49">
        <f t="shared" si="7"/>
        <v>27486736</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2088592</v>
      </c>
      <c r="E117" s="53"/>
      <c r="F117" s="50">
        <f>SUM(C117:E117)</f>
        <v>2088592</v>
      </c>
    </row>
    <row r="118" spans="1:6" x14ac:dyDescent="0.2">
      <c r="B118" s="14" t="s">
        <v>35</v>
      </c>
      <c r="C118" s="5">
        <f>SUM(C109:C116)</f>
        <v>128761545</v>
      </c>
      <c r="D118" s="5">
        <f>SUM(D109:D116)</f>
        <v>3127625</v>
      </c>
      <c r="E118" s="5">
        <f>SUM(E109:E116)</f>
        <v>58279531</v>
      </c>
      <c r="F118" s="5">
        <f>SUM(F109:F116)</f>
        <v>190168701</v>
      </c>
    </row>
    <row r="119" spans="1:6" ht="15" thickBot="1" x14ac:dyDescent="0.25"/>
    <row r="120" spans="1:6" ht="15" thickBot="1" x14ac:dyDescent="0.25">
      <c r="B120" s="57" t="s">
        <v>942</v>
      </c>
      <c r="C120" s="55"/>
      <c r="D120" s="55"/>
      <c r="E120" s="55">
        <f>IF(F3="1",SUMIF(Data!A:A,'21'!$A$2,Data!AM:AM),0)</f>
        <v>3945262</v>
      </c>
      <c r="F120" s="56">
        <f>SUM(C120:E120)</f>
        <v>3945262</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374</v>
      </c>
      <c r="B2" s="60" t="str">
        <f>VLOOKUP(A2,Data!A:G,7,0)</f>
        <v>Howard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95694</v>
      </c>
      <c r="E5" s="16">
        <f>E36+E67+IFERROR($E$105/$D$105*D5,0)</f>
        <v>571902.29519579711</v>
      </c>
      <c r="F5" s="21">
        <f>IF(OR(D5=0,E5=0),"",ROUND(E5/D5,2))</f>
        <v>5.98</v>
      </c>
    </row>
    <row r="6" spans="1:6" x14ac:dyDescent="0.2">
      <c r="A6" s="20">
        <v>2</v>
      </c>
      <c r="B6" s="172" t="s">
        <v>1</v>
      </c>
      <c r="C6" s="173"/>
      <c r="D6" s="15">
        <f t="shared" ref="D6:D32" si="0">D37</f>
        <v>11612</v>
      </c>
      <c r="E6" s="18">
        <f t="shared" ref="E6:E32" si="1">E37+E68+IFERROR($E$105/$D$105*D6,0)</f>
        <v>78831.815137977261</v>
      </c>
      <c r="F6" s="22">
        <f t="shared" ref="F6:F33" si="2">IF(OR(D6=0,E6=0),"",ROUND(E6/D6,2))</f>
        <v>6.79</v>
      </c>
    </row>
    <row r="7" spans="1:6" ht="14.25" customHeight="1" x14ac:dyDescent="0.2">
      <c r="A7" s="20">
        <v>3</v>
      </c>
      <c r="B7" s="172" t="s">
        <v>2</v>
      </c>
      <c r="C7" s="173"/>
      <c r="D7" s="15">
        <f t="shared" si="0"/>
        <v>143066</v>
      </c>
      <c r="E7" s="18">
        <f t="shared" si="1"/>
        <v>896007.7370418408</v>
      </c>
      <c r="F7" s="22">
        <f t="shared" si="2"/>
        <v>6.26</v>
      </c>
    </row>
    <row r="8" spans="1:6" ht="14.25" customHeight="1" x14ac:dyDescent="0.2">
      <c r="A8" s="20">
        <v>4</v>
      </c>
      <c r="B8" s="172" t="s">
        <v>3</v>
      </c>
      <c r="C8" s="173"/>
      <c r="D8" s="15">
        <f t="shared" si="0"/>
        <v>297969</v>
      </c>
      <c r="E8" s="18">
        <f t="shared" si="1"/>
        <v>1325616.2814199058</v>
      </c>
      <c r="F8" s="22">
        <f t="shared" si="2"/>
        <v>4.45</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89299</v>
      </c>
      <c r="E10" s="18">
        <f t="shared" si="1"/>
        <v>400530.67249450838</v>
      </c>
      <c r="F10" s="22">
        <f t="shared" si="2"/>
        <v>4.49</v>
      </c>
    </row>
    <row r="11" spans="1:6" x14ac:dyDescent="0.2">
      <c r="A11" s="20">
        <v>7</v>
      </c>
      <c r="B11" s="172" t="s">
        <v>6</v>
      </c>
      <c r="C11" s="173"/>
      <c r="D11" s="15">
        <f t="shared" si="0"/>
        <v>137556</v>
      </c>
      <c r="E11" s="18">
        <f t="shared" si="1"/>
        <v>889875.95032032381</v>
      </c>
      <c r="F11" s="22">
        <f t="shared" si="2"/>
        <v>6.47</v>
      </c>
    </row>
    <row r="12" spans="1:6" x14ac:dyDescent="0.2">
      <c r="A12" s="20">
        <v>8</v>
      </c>
      <c r="B12" s="172" t="s">
        <v>7</v>
      </c>
      <c r="C12" s="173"/>
      <c r="D12" s="15">
        <f t="shared" si="0"/>
        <v>142257</v>
      </c>
      <c r="E12" s="18">
        <f t="shared" si="1"/>
        <v>1136823.5739823659</v>
      </c>
      <c r="F12" s="22">
        <f t="shared" si="2"/>
        <v>7.99</v>
      </c>
    </row>
    <row r="13" spans="1:6" x14ac:dyDescent="0.2">
      <c r="A13" s="20">
        <v>9</v>
      </c>
      <c r="B13" s="172" t="s">
        <v>8</v>
      </c>
      <c r="C13" s="173"/>
      <c r="D13" s="15">
        <f t="shared" si="0"/>
        <v>206588</v>
      </c>
      <c r="E13" s="18">
        <f t="shared" si="1"/>
        <v>911663.17445095128</v>
      </c>
      <c r="F13" s="22">
        <f t="shared" si="2"/>
        <v>4.41</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135133</v>
      </c>
      <c r="E15" s="18">
        <f t="shared" si="1"/>
        <v>1015534.4965587566</v>
      </c>
      <c r="F15" s="22">
        <f t="shared" si="2"/>
        <v>7.52</v>
      </c>
    </row>
    <row r="16" spans="1:6" ht="14.25" customHeight="1" x14ac:dyDescent="0.2">
      <c r="A16" s="20">
        <v>12</v>
      </c>
      <c r="B16" s="172" t="s">
        <v>11</v>
      </c>
      <c r="C16" s="173"/>
      <c r="D16" s="15">
        <f t="shared" si="0"/>
        <v>194864</v>
      </c>
      <c r="E16" s="18">
        <f t="shared" si="1"/>
        <v>1979031.3676409577</v>
      </c>
      <c r="F16" s="22">
        <f t="shared" si="2"/>
        <v>10.16</v>
      </c>
    </row>
    <row r="17" spans="1:6" x14ac:dyDescent="0.2">
      <c r="A17" s="20">
        <v>13</v>
      </c>
      <c r="B17" s="172" t="s">
        <v>12</v>
      </c>
      <c r="C17" s="173"/>
      <c r="D17" s="15">
        <f t="shared" si="0"/>
        <v>35478</v>
      </c>
      <c r="E17" s="18">
        <f t="shared" si="1"/>
        <v>260303.12981959674</v>
      </c>
      <c r="F17" s="22">
        <f t="shared" si="2"/>
        <v>7.34</v>
      </c>
    </row>
    <row r="18" spans="1:6" ht="14.25" customHeight="1" x14ac:dyDescent="0.2">
      <c r="A18" s="20">
        <v>14</v>
      </c>
      <c r="B18" s="172" t="s">
        <v>469</v>
      </c>
      <c r="C18" s="173"/>
      <c r="D18" s="15">
        <f t="shared" si="0"/>
        <v>25124</v>
      </c>
      <c r="E18" s="18">
        <f t="shared" si="1"/>
        <v>354929.4532833742</v>
      </c>
      <c r="F18" s="22">
        <f t="shared" si="2"/>
        <v>14.13</v>
      </c>
    </row>
    <row r="19" spans="1:6" x14ac:dyDescent="0.2">
      <c r="A19" s="20">
        <v>15</v>
      </c>
      <c r="B19" s="172" t="s">
        <v>13</v>
      </c>
      <c r="C19" s="173"/>
      <c r="D19" s="15">
        <f t="shared" si="0"/>
        <v>22544</v>
      </c>
      <c r="E19" s="18">
        <f t="shared" si="1"/>
        <v>373239.60941014119</v>
      </c>
      <c r="F19" s="22">
        <f t="shared" si="2"/>
        <v>16.559999999999999</v>
      </c>
    </row>
    <row r="20" spans="1:6" x14ac:dyDescent="0.2">
      <c r="A20" s="20">
        <v>16</v>
      </c>
      <c r="B20" s="172" t="s">
        <v>14</v>
      </c>
      <c r="C20" s="173"/>
      <c r="D20" s="15">
        <f t="shared" si="0"/>
        <v>109517</v>
      </c>
      <c r="E20" s="18">
        <f t="shared" si="1"/>
        <v>830596.68700188212</v>
      </c>
      <c r="F20" s="22">
        <f t="shared" si="2"/>
        <v>7.58</v>
      </c>
    </row>
    <row r="21" spans="1:6" x14ac:dyDescent="0.2">
      <c r="A21" s="20">
        <v>17</v>
      </c>
      <c r="B21" s="172" t="s">
        <v>15</v>
      </c>
      <c r="C21" s="173"/>
      <c r="D21" s="15">
        <f t="shared" si="0"/>
        <v>12352</v>
      </c>
      <c r="E21" s="18">
        <f t="shared" si="1"/>
        <v>158294.36725665649</v>
      </c>
      <c r="F21" s="22">
        <f t="shared" si="2"/>
        <v>12.82</v>
      </c>
    </row>
    <row r="22" spans="1:6" x14ac:dyDescent="0.2">
      <c r="A22" s="20">
        <v>18</v>
      </c>
      <c r="B22" s="172" t="s">
        <v>16</v>
      </c>
      <c r="C22" s="173"/>
      <c r="D22" s="15">
        <f t="shared" si="0"/>
        <v>81216</v>
      </c>
      <c r="E22" s="18">
        <f t="shared" si="1"/>
        <v>659553.10387925955</v>
      </c>
      <c r="F22" s="22">
        <f t="shared" si="2"/>
        <v>8.1199999999999992</v>
      </c>
    </row>
    <row r="23" spans="1:6" x14ac:dyDescent="0.2">
      <c r="A23" s="20">
        <v>19</v>
      </c>
      <c r="B23" s="172" t="s">
        <v>17</v>
      </c>
      <c r="C23" s="173"/>
      <c r="D23" s="15">
        <f t="shared" si="0"/>
        <v>116920</v>
      </c>
      <c r="E23" s="18">
        <f t="shared" si="1"/>
        <v>624809.23475131777</v>
      </c>
      <c r="F23" s="22">
        <f t="shared" si="2"/>
        <v>5.34</v>
      </c>
    </row>
    <row r="24" spans="1:6" x14ac:dyDescent="0.2">
      <c r="A24" s="20">
        <v>20</v>
      </c>
      <c r="B24" s="172" t="s">
        <v>18</v>
      </c>
      <c r="C24" s="173"/>
      <c r="D24" s="15">
        <f t="shared" si="0"/>
        <v>1226</v>
      </c>
      <c r="E24" s="18">
        <f t="shared" si="1"/>
        <v>59228.855266892882</v>
      </c>
      <c r="F24" s="22">
        <f t="shared" si="2"/>
        <v>48.31</v>
      </c>
    </row>
    <row r="25" spans="1:6" ht="14.25" customHeight="1" x14ac:dyDescent="0.2">
      <c r="A25" s="20">
        <v>21</v>
      </c>
      <c r="B25" s="172" t="s">
        <v>466</v>
      </c>
      <c r="C25" s="173"/>
      <c r="D25" s="15">
        <f t="shared" si="0"/>
        <v>8376</v>
      </c>
      <c r="E25" s="18">
        <f t="shared" si="1"/>
        <v>64440.162900077295</v>
      </c>
      <c r="F25" s="22">
        <f t="shared" si="2"/>
        <v>7.69</v>
      </c>
    </row>
    <row r="26" spans="1:6" x14ac:dyDescent="0.2">
      <c r="A26" s="20">
        <v>22</v>
      </c>
      <c r="B26" s="172" t="s">
        <v>19</v>
      </c>
      <c r="C26" s="173"/>
      <c r="D26" s="15">
        <f t="shared" si="0"/>
        <v>12825</v>
      </c>
      <c r="E26" s="18">
        <f t="shared" si="1"/>
        <v>93142.555300082546</v>
      </c>
      <c r="F26" s="22">
        <f t="shared" si="2"/>
        <v>7.26</v>
      </c>
    </row>
    <row r="27" spans="1:6" x14ac:dyDescent="0.2">
      <c r="A27" s="20">
        <v>23</v>
      </c>
      <c r="B27" s="172" t="s">
        <v>20</v>
      </c>
      <c r="C27" s="173"/>
      <c r="D27" s="15">
        <f t="shared" si="0"/>
        <v>29808</v>
      </c>
      <c r="E27" s="18">
        <f t="shared" si="1"/>
        <v>569817.92642377084</v>
      </c>
      <c r="F27" s="22">
        <f t="shared" si="2"/>
        <v>19.12</v>
      </c>
    </row>
    <row r="28" spans="1:6" x14ac:dyDescent="0.2">
      <c r="A28" s="20">
        <v>24</v>
      </c>
      <c r="B28" s="172" t="s">
        <v>21</v>
      </c>
      <c r="C28" s="173"/>
      <c r="D28" s="15">
        <f t="shared" si="0"/>
        <v>112498</v>
      </c>
      <c r="E28" s="18">
        <f t="shared" si="1"/>
        <v>707811.08141510212</v>
      </c>
      <c r="F28" s="22">
        <f t="shared" si="2"/>
        <v>6.29</v>
      </c>
    </row>
    <row r="29" spans="1:6" x14ac:dyDescent="0.2">
      <c r="A29" s="20">
        <v>25</v>
      </c>
      <c r="B29" s="172" t="s">
        <v>22</v>
      </c>
      <c r="C29" s="173"/>
      <c r="D29" s="15">
        <f t="shared" si="0"/>
        <v>213638</v>
      </c>
      <c r="E29" s="18">
        <f t="shared" si="1"/>
        <v>1209073.5966626927</v>
      </c>
      <c r="F29" s="22">
        <f t="shared" si="2"/>
        <v>5.66</v>
      </c>
    </row>
    <row r="30" spans="1:6" x14ac:dyDescent="0.2">
      <c r="A30" s="20">
        <v>26</v>
      </c>
      <c r="B30" s="172" t="s">
        <v>23</v>
      </c>
      <c r="C30" s="173"/>
      <c r="D30" s="15">
        <f t="shared" si="0"/>
        <v>54310</v>
      </c>
      <c r="E30" s="18">
        <f t="shared" si="1"/>
        <v>394843.87238576863</v>
      </c>
      <c r="F30" s="22">
        <f t="shared" si="2"/>
        <v>7.27</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2289870</v>
      </c>
      <c r="E33" s="32">
        <f>SUM(E5:E32)</f>
        <v>15565901</v>
      </c>
      <c r="F33" s="33">
        <f t="shared" si="2"/>
        <v>6.8</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IF(F3="1",SUMIF(Data!A:A,'22'!$A$2,Data!CU:CU),0)</f>
        <v>95694</v>
      </c>
      <c r="E36" s="16">
        <f>IF(F3="1",SUMIF(Data!$A:$A,'22'!$A$2,Data!IO:IO),0)</f>
        <v>63441</v>
      </c>
      <c r="F36" s="21">
        <f>IF(D36=0,"",ROUND(E36/D36,2))</f>
        <v>0.66</v>
      </c>
    </row>
    <row r="37" spans="1:6" x14ac:dyDescent="0.2">
      <c r="A37" s="20">
        <v>2</v>
      </c>
      <c r="B37" s="172" t="s">
        <v>1</v>
      </c>
      <c r="C37" s="173"/>
      <c r="D37" s="15">
        <f>IF(F3="1",SUMIF(Data!A:A,'22'!$A$2,Data!CV:CV),0)</f>
        <v>11612</v>
      </c>
      <c r="E37" s="18">
        <f>IF(F3="1",SUMIF(Data!$A:$A,'22'!$A$2,Data!IP:IP),0)</f>
        <v>5002</v>
      </c>
      <c r="F37" s="22">
        <f t="shared" ref="F37:F64" si="3">IF(D37=0,"",ROUND(E37/D37,2))</f>
        <v>0.43</v>
      </c>
    </row>
    <row r="38" spans="1:6" ht="14.25" customHeight="1" x14ac:dyDescent="0.2">
      <c r="A38" s="20">
        <v>3</v>
      </c>
      <c r="B38" s="172" t="s">
        <v>2</v>
      </c>
      <c r="C38" s="173"/>
      <c r="D38" s="15">
        <f>IF(F3="1",SUMIF(Data!A:A,'22'!$A$2,Data!CW:CW),0)</f>
        <v>143066</v>
      </c>
      <c r="E38" s="18">
        <f>IF(F3="1",SUMIF(Data!$A:$A,'22'!$A$2,Data!IQ:IQ),0)</f>
        <v>86440</v>
      </c>
      <c r="F38" s="22">
        <f t="shared" si="3"/>
        <v>0.6</v>
      </c>
    </row>
    <row r="39" spans="1:6" ht="14.25" customHeight="1" x14ac:dyDescent="0.2">
      <c r="A39" s="20">
        <v>4</v>
      </c>
      <c r="B39" s="172" t="s">
        <v>3</v>
      </c>
      <c r="C39" s="173"/>
      <c r="D39" s="15">
        <f>IF(F3="1",SUMIF(Data!A:A,'22'!$A$2,Data!CX:CX),0)</f>
        <v>297969</v>
      </c>
      <c r="E39" s="18">
        <f>IF(F3="1",SUMIF(Data!$A:$A,'22'!$A$2,Data!IR:IR),0)</f>
        <v>40599</v>
      </c>
      <c r="F39" s="22">
        <f t="shared" si="3"/>
        <v>0.14000000000000001</v>
      </c>
    </row>
    <row r="40" spans="1:6" x14ac:dyDescent="0.2">
      <c r="A40" s="20">
        <v>5</v>
      </c>
      <c r="B40" s="172" t="s">
        <v>4</v>
      </c>
      <c r="C40" s="173"/>
      <c r="D40" s="15">
        <f>IF(F3="1",SUMIF(Data!A:A,'22'!$A$2,Data!CY:CY),0)</f>
        <v>0</v>
      </c>
      <c r="E40" s="18">
        <f>IF(F3="1",SUMIF(Data!$A:$A,'22'!$A$2,Data!IS:IS),0)</f>
        <v>0</v>
      </c>
      <c r="F40" s="22" t="str">
        <f t="shared" si="3"/>
        <v/>
      </c>
    </row>
    <row r="41" spans="1:6" x14ac:dyDescent="0.2">
      <c r="A41" s="20">
        <v>6</v>
      </c>
      <c r="B41" s="172" t="s">
        <v>5</v>
      </c>
      <c r="C41" s="173"/>
      <c r="D41" s="15">
        <f>IF(F3="1",SUMIF(Data!A:A,'22'!$A$2,Data!CZ:CZ),0)</f>
        <v>89299</v>
      </c>
      <c r="E41" s="18">
        <f>IF(F3="1",SUMIF(Data!$A:$A,'22'!$A$2,Data!IT:IT),0)</f>
        <v>18775</v>
      </c>
      <c r="F41" s="22">
        <f t="shared" si="3"/>
        <v>0.21</v>
      </c>
    </row>
    <row r="42" spans="1:6" x14ac:dyDescent="0.2">
      <c r="A42" s="20">
        <v>7</v>
      </c>
      <c r="B42" s="172" t="s">
        <v>6</v>
      </c>
      <c r="C42" s="173"/>
      <c r="D42" s="15">
        <f>IF(F3="1",SUMIF(Data!A:A,'22'!$A$2,Data!DA:DA),0)</f>
        <v>137556</v>
      </c>
      <c r="E42" s="18">
        <f>IF(F3="1",SUMIF(Data!$A:$A,'22'!$A$2,Data!IU:IU),0)</f>
        <v>83518</v>
      </c>
      <c r="F42" s="22">
        <f t="shared" si="3"/>
        <v>0.61</v>
      </c>
    </row>
    <row r="43" spans="1:6" x14ac:dyDescent="0.2">
      <c r="A43" s="20">
        <v>8</v>
      </c>
      <c r="B43" s="172" t="s">
        <v>7</v>
      </c>
      <c r="C43" s="173"/>
      <c r="D43" s="15">
        <f>IF(F3="1",SUMIF(Data!A:A,'22'!$A$2,Data!DB:DB),0)</f>
        <v>142257</v>
      </c>
      <c r="E43" s="18">
        <f>IF(F3="1",SUMIF(Data!$A:$A,'22'!$A$2,Data!IV:IV),0)</f>
        <v>87145</v>
      </c>
      <c r="F43" s="22">
        <f t="shared" si="3"/>
        <v>0.61</v>
      </c>
    </row>
    <row r="44" spans="1:6" x14ac:dyDescent="0.2">
      <c r="A44" s="20">
        <v>9</v>
      </c>
      <c r="B44" s="172" t="s">
        <v>8</v>
      </c>
      <c r="C44" s="173"/>
      <c r="D44" s="15">
        <f>IF(F3="1",SUMIF(Data!A:A,'22'!$A$2,Data!DC:DC),0)</f>
        <v>206588</v>
      </c>
      <c r="E44" s="18">
        <f>IF(F3="1",SUMIF(Data!$A:$A,'22'!$A$2,Data!IW:IW),0)</f>
        <v>77301</v>
      </c>
      <c r="F44" s="22">
        <f t="shared" si="3"/>
        <v>0.37</v>
      </c>
    </row>
    <row r="45" spans="1:6" x14ac:dyDescent="0.2">
      <c r="A45" s="20">
        <v>10</v>
      </c>
      <c r="B45" s="172" t="s">
        <v>9</v>
      </c>
      <c r="C45" s="173"/>
      <c r="D45" s="15">
        <f>IF(F3="1",SUMIF(Data!A:A,'22'!$A$2,Data!DD:DD),0)</f>
        <v>0</v>
      </c>
      <c r="E45" s="18">
        <f>IF(F3="1",SUMIF(Data!$A:$A,'22'!$A$2,Data!IX:IX),0)</f>
        <v>0</v>
      </c>
      <c r="F45" s="22" t="str">
        <f t="shared" si="3"/>
        <v/>
      </c>
    </row>
    <row r="46" spans="1:6" x14ac:dyDescent="0.2">
      <c r="A46" s="20">
        <v>11</v>
      </c>
      <c r="B46" s="172" t="s">
        <v>10</v>
      </c>
      <c r="C46" s="173"/>
      <c r="D46" s="15">
        <f>IF(F3="1",SUMIF(Data!A:A,'22'!$A$2,Data!DE:DE),0)</f>
        <v>135133</v>
      </c>
      <c r="E46" s="18">
        <f>IF(F3="1",SUMIF(Data!$A:$A,'22'!$A$2,Data!IY:IY),0)</f>
        <v>390134</v>
      </c>
      <c r="F46" s="22">
        <f t="shared" si="3"/>
        <v>2.89</v>
      </c>
    </row>
    <row r="47" spans="1:6" ht="14.25" customHeight="1" x14ac:dyDescent="0.2">
      <c r="A47" s="20">
        <v>12</v>
      </c>
      <c r="B47" s="172" t="s">
        <v>11</v>
      </c>
      <c r="C47" s="173"/>
      <c r="D47" s="15">
        <f>IF(F3="1",SUMIF(Data!A:A,'22'!$A$2,Data!DF:DF),0)</f>
        <v>194864</v>
      </c>
      <c r="E47" s="18">
        <f>IF(F3="1",SUMIF(Data!$A:$A,'22'!$A$2,Data!IZ:IZ),0)</f>
        <v>441939</v>
      </c>
      <c r="F47" s="22">
        <f t="shared" si="3"/>
        <v>2.27</v>
      </c>
    </row>
    <row r="48" spans="1:6" x14ac:dyDescent="0.2">
      <c r="A48" s="20">
        <v>13</v>
      </c>
      <c r="B48" s="172" t="s">
        <v>12</v>
      </c>
      <c r="C48" s="173"/>
      <c r="D48" s="15">
        <f>IF(F3="1",SUMIF(Data!A:A,'22'!$A$2,Data!DG:DG),0)</f>
        <v>35478</v>
      </c>
      <c r="E48" s="18">
        <f>IF(F3="1",SUMIF(Data!$A:$A,'22'!$A$2,Data!JA:JA),0)</f>
        <v>20447</v>
      </c>
      <c r="F48" s="22">
        <f t="shared" si="3"/>
        <v>0.57999999999999996</v>
      </c>
    </row>
    <row r="49" spans="1:6" ht="14.25" customHeight="1" x14ac:dyDescent="0.2">
      <c r="A49" s="20">
        <v>14</v>
      </c>
      <c r="B49" s="172" t="s">
        <v>469</v>
      </c>
      <c r="C49" s="173"/>
      <c r="D49" s="15">
        <f>IF(F3="1",SUMIF(Data!A:A,'22'!$A$2,Data!DH:DH),0)</f>
        <v>25124</v>
      </c>
      <c r="E49" s="18">
        <f>IF(F3="1",SUMIF(Data!$A:$A,'22'!$A$2,Data!JB:JB),0)</f>
        <v>86183</v>
      </c>
      <c r="F49" s="22">
        <f t="shared" si="3"/>
        <v>3.43</v>
      </c>
    </row>
    <row r="50" spans="1:6" x14ac:dyDescent="0.2">
      <c r="A50" s="20">
        <v>15</v>
      </c>
      <c r="B50" s="172" t="s">
        <v>13</v>
      </c>
      <c r="C50" s="173"/>
      <c r="D50" s="15">
        <f>IF(F3="1",SUMIF(Data!A:A,'22'!$A$2,Data!DI:DI),0)</f>
        <v>22544</v>
      </c>
      <c r="E50" s="18">
        <f>IF(F3="1",SUMIF(Data!$A:$A,'22'!$A$2,Data!JC:JC),0)</f>
        <v>123649</v>
      </c>
      <c r="F50" s="22">
        <f t="shared" si="3"/>
        <v>5.48</v>
      </c>
    </row>
    <row r="51" spans="1:6" x14ac:dyDescent="0.2">
      <c r="A51" s="20">
        <v>16</v>
      </c>
      <c r="B51" s="172" t="s">
        <v>14</v>
      </c>
      <c r="C51" s="173"/>
      <c r="D51" s="15">
        <f>IF(F3="1",SUMIF(Data!A:A,'22'!$A$2,Data!DJ:DJ),0)</f>
        <v>109517</v>
      </c>
      <c r="E51" s="18">
        <f>IF(F3="1",SUMIF(Data!$A:$A,'22'!$A$2,Data!JD:JD),0)</f>
        <v>114827</v>
      </c>
      <c r="F51" s="22">
        <f t="shared" si="3"/>
        <v>1.05</v>
      </c>
    </row>
    <row r="52" spans="1:6" x14ac:dyDescent="0.2">
      <c r="A52" s="20">
        <v>17</v>
      </c>
      <c r="B52" s="172" t="s">
        <v>15</v>
      </c>
      <c r="C52" s="173"/>
      <c r="D52" s="15">
        <f>IF(F3="1",SUMIF(Data!A:A,'22'!$A$2,Data!DK:DK),0)</f>
        <v>12352</v>
      </c>
      <c r="E52" s="18">
        <f>IF(F3="1",SUMIF(Data!$A:$A,'22'!$A$2,Data!JE:JE),0)</f>
        <v>28441</v>
      </c>
      <c r="F52" s="22">
        <f t="shared" si="3"/>
        <v>2.2999999999999998</v>
      </c>
    </row>
    <row r="53" spans="1:6" x14ac:dyDescent="0.2">
      <c r="A53" s="20">
        <v>18</v>
      </c>
      <c r="B53" s="172" t="s">
        <v>16</v>
      </c>
      <c r="C53" s="173"/>
      <c r="D53" s="15">
        <f>IF(F3="1",SUMIF(Data!A:A,'22'!$A$2,Data!DL:DL),0)</f>
        <v>81216</v>
      </c>
      <c r="E53" s="18">
        <f>IF(F3="1",SUMIF(Data!$A:$A,'22'!$A$2,Data!JF:JF),0)</f>
        <v>67275</v>
      </c>
      <c r="F53" s="22">
        <f t="shared" si="3"/>
        <v>0.83</v>
      </c>
    </row>
    <row r="54" spans="1:6" x14ac:dyDescent="0.2">
      <c r="A54" s="20">
        <v>19</v>
      </c>
      <c r="B54" s="172" t="s">
        <v>17</v>
      </c>
      <c r="C54" s="173"/>
      <c r="D54" s="15">
        <f>IF(F3="1",SUMIF(Data!A:A,'22'!$A$2,Data!DM:DM),0)</f>
        <v>116920</v>
      </c>
      <c r="E54" s="18">
        <f>IF(F3="1",SUMIF(Data!$A:$A,'22'!$A$2,Data!JG:JG),0)</f>
        <v>24531</v>
      </c>
      <c r="F54" s="22">
        <f t="shared" si="3"/>
        <v>0.21</v>
      </c>
    </row>
    <row r="55" spans="1:6" x14ac:dyDescent="0.2">
      <c r="A55" s="20">
        <v>20</v>
      </c>
      <c r="B55" s="172" t="s">
        <v>18</v>
      </c>
      <c r="C55" s="173"/>
      <c r="D55" s="15">
        <f>IF(F3="1",SUMIF(Data!A:A,'22'!$A$2,Data!DN:DN),0)</f>
        <v>1226</v>
      </c>
      <c r="E55" s="18">
        <f>IF(F3="1",SUMIF(Data!$A:$A,'22'!$A$2,Data!JH:JH),0)</f>
        <v>12137</v>
      </c>
      <c r="F55" s="22">
        <f t="shared" si="3"/>
        <v>9.9</v>
      </c>
    </row>
    <row r="56" spans="1:6" ht="14.25" customHeight="1" x14ac:dyDescent="0.2">
      <c r="A56" s="20">
        <v>21</v>
      </c>
      <c r="B56" s="172" t="s">
        <v>466</v>
      </c>
      <c r="C56" s="173"/>
      <c r="D56" s="15">
        <f>IF(F3="1",SUMIF(Data!A:A,'22'!$A$2,Data!DO:DO),0)</f>
        <v>8376</v>
      </c>
      <c r="E56" s="18">
        <f>IF(F3="1",SUMIF(Data!$A:$A,'22'!$A$2,Data!JI:JI),0)</f>
        <v>27185</v>
      </c>
      <c r="F56" s="22">
        <f t="shared" si="3"/>
        <v>3.25</v>
      </c>
    </row>
    <row r="57" spans="1:6" x14ac:dyDescent="0.2">
      <c r="A57" s="20">
        <v>22</v>
      </c>
      <c r="B57" s="172" t="s">
        <v>19</v>
      </c>
      <c r="C57" s="173"/>
      <c r="D57" s="15">
        <f>IF(F3="1",SUMIF(Data!A:A,'22'!$A$2,Data!DP:DP),0)</f>
        <v>12825</v>
      </c>
      <c r="E57" s="18">
        <f>IF(F3="1",SUMIF(Data!$A:$A,'22'!$A$2,Data!JJ:JJ),0)</f>
        <v>32394</v>
      </c>
      <c r="F57" s="22">
        <f t="shared" si="3"/>
        <v>2.5299999999999998</v>
      </c>
    </row>
    <row r="58" spans="1:6" x14ac:dyDescent="0.2">
      <c r="A58" s="20">
        <v>23</v>
      </c>
      <c r="B58" s="172" t="s">
        <v>20</v>
      </c>
      <c r="C58" s="173"/>
      <c r="D58" s="15">
        <f>IF(F3="1",SUMIF(Data!A:A,'22'!$A$2,Data!DQ:DQ),0)</f>
        <v>29808</v>
      </c>
      <c r="E58" s="18">
        <f>IF(F3="1",SUMIF(Data!$A:$A,'22'!$A$2,Data!JK:JK),0)</f>
        <v>42386</v>
      </c>
      <c r="F58" s="22">
        <f t="shared" si="3"/>
        <v>1.42</v>
      </c>
    </row>
    <row r="59" spans="1:6" x14ac:dyDescent="0.2">
      <c r="A59" s="20">
        <v>24</v>
      </c>
      <c r="B59" s="172" t="s">
        <v>21</v>
      </c>
      <c r="C59" s="173"/>
      <c r="D59" s="15">
        <f>IF(F3="1",SUMIF(Data!A:A,'22'!$A$2,Data!DR:DR),0)</f>
        <v>112498</v>
      </c>
      <c r="E59" s="18">
        <f>IF(F3="1",SUMIF(Data!$A:$A,'22'!$A$2,Data!JL:JL),0)</f>
        <v>226795</v>
      </c>
      <c r="F59" s="22">
        <f t="shared" si="3"/>
        <v>2.02</v>
      </c>
    </row>
    <row r="60" spans="1:6" x14ac:dyDescent="0.2">
      <c r="A60" s="20">
        <v>25</v>
      </c>
      <c r="B60" s="172" t="s">
        <v>22</v>
      </c>
      <c r="C60" s="173"/>
      <c r="D60" s="15">
        <f>IF(F3="1",SUMIF(Data!A:A,'22'!$A$2,Data!DS:DS),0)</f>
        <v>213638</v>
      </c>
      <c r="E60" s="18">
        <f>IF(F3="1",SUMIF(Data!$A:$A,'22'!$A$2,Data!JM:JM),0)</f>
        <v>48693</v>
      </c>
      <c r="F60" s="22">
        <f t="shared" si="3"/>
        <v>0.23</v>
      </c>
    </row>
    <row r="61" spans="1:6" x14ac:dyDescent="0.2">
      <c r="A61" s="20">
        <v>26</v>
      </c>
      <c r="B61" s="172" t="s">
        <v>23</v>
      </c>
      <c r="C61" s="173"/>
      <c r="D61" s="15">
        <f>IF(F3="1",SUMIF(Data!A:A,'22'!$A$2,Data!DT:DT),0)</f>
        <v>54310</v>
      </c>
      <c r="E61" s="18">
        <f>IF(F3="1",SUMIF(Data!$A:$A,'22'!$A$2,Data!JN:JN),0)</f>
        <v>57229</v>
      </c>
      <c r="F61" s="22">
        <f t="shared" si="3"/>
        <v>1.05</v>
      </c>
    </row>
    <row r="62" spans="1:6" x14ac:dyDescent="0.2">
      <c r="A62" s="20">
        <v>28</v>
      </c>
      <c r="B62" s="172" t="s">
        <v>24</v>
      </c>
      <c r="C62" s="173"/>
      <c r="D62" s="15">
        <f>IF(F3="1",SUMIF(Data!A:A,'22'!$A$2,Data!DV:DV),0)</f>
        <v>0</v>
      </c>
      <c r="E62" s="18">
        <f>IF(F3="1",SUMIF(Data!$A:$A,'22'!$A$2,Data!JP:JP),0)</f>
        <v>0</v>
      </c>
      <c r="F62" s="22" t="str">
        <f t="shared" si="3"/>
        <v/>
      </c>
    </row>
    <row r="63" spans="1:6" ht="15.75" customHeight="1" thickBot="1" x14ac:dyDescent="0.25">
      <c r="A63" s="23">
        <v>29</v>
      </c>
      <c r="B63" s="174" t="s">
        <v>25</v>
      </c>
      <c r="C63" s="175"/>
      <c r="D63" s="24">
        <f>IF(F3="1",SUMIF(Data!A:A,'22'!$A$2,Data!DW:DW),0)</f>
        <v>0</v>
      </c>
      <c r="E63" s="25">
        <f>IF(F3="1",SUMIF(Data!$A:$A,'22'!$A$2,Data!JQ:JQ),0)</f>
        <v>0</v>
      </c>
      <c r="F63" s="26" t="str">
        <f t="shared" si="3"/>
        <v/>
      </c>
    </row>
    <row r="64" spans="1:6" x14ac:dyDescent="0.2">
      <c r="B64" s="31" t="s">
        <v>35</v>
      </c>
      <c r="C64" s="31"/>
      <c r="D64" s="61">
        <f>SUM(D36:D63)</f>
        <v>2289870</v>
      </c>
      <c r="E64" s="32">
        <f>SUM(E36:E63)</f>
        <v>2206466</v>
      </c>
      <c r="F64" s="33">
        <f t="shared" si="3"/>
        <v>0.96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95694</v>
      </c>
      <c r="E67" s="16">
        <f>IF(F3="1",SUMIF(Data!A:A,'22'!$A$2,Data!DY:DY),0)</f>
        <v>220532</v>
      </c>
      <c r="F67" s="21">
        <f t="shared" ref="F67:F95" si="4">IF(D67=0,"",ROUND(E67/D67,2))</f>
        <v>2.2999999999999998</v>
      </c>
    </row>
    <row r="68" spans="1:6" x14ac:dyDescent="0.2">
      <c r="A68" s="20">
        <v>2</v>
      </c>
      <c r="B68" s="172" t="s">
        <v>1</v>
      </c>
      <c r="C68" s="173"/>
      <c r="D68" s="15">
        <f t="shared" ref="D68:D94" si="5">D37</f>
        <v>11612</v>
      </c>
      <c r="E68" s="18">
        <f>IF(F3="1",SUMIF(Data!A:A,'22'!$A$2,Data!DZ:DZ),0)</f>
        <v>38891</v>
      </c>
      <c r="F68" s="22">
        <f t="shared" si="4"/>
        <v>3.35</v>
      </c>
    </row>
    <row r="69" spans="1:6" ht="14.25" customHeight="1" x14ac:dyDescent="0.2">
      <c r="A69" s="20">
        <v>3</v>
      </c>
      <c r="B69" s="172" t="s">
        <v>2</v>
      </c>
      <c r="C69" s="173"/>
      <c r="D69" s="15">
        <f t="shared" si="5"/>
        <v>143066</v>
      </c>
      <c r="E69" s="18">
        <f>IF(F3="1",SUMIF(Data!A:A,'22'!$A$2,Data!EA:EA),0)</f>
        <v>379103</v>
      </c>
      <c r="F69" s="22">
        <f t="shared" si="4"/>
        <v>2.65</v>
      </c>
    </row>
    <row r="70" spans="1:6" ht="14.25" customHeight="1" x14ac:dyDescent="0.2">
      <c r="A70" s="20">
        <v>4</v>
      </c>
      <c r="B70" s="172" t="s">
        <v>3</v>
      </c>
      <c r="C70" s="173"/>
      <c r="D70" s="15">
        <f t="shared" si="5"/>
        <v>297969</v>
      </c>
      <c r="E70" s="18">
        <f>IF(F3="1",SUMIF(Data!A:A,'22'!$A$2,Data!EB:EB),0)</f>
        <v>388472</v>
      </c>
      <c r="F70" s="22">
        <f t="shared" si="4"/>
        <v>1.3</v>
      </c>
    </row>
    <row r="71" spans="1:6" x14ac:dyDescent="0.2">
      <c r="A71" s="20">
        <v>5</v>
      </c>
      <c r="B71" s="172" t="s">
        <v>4</v>
      </c>
      <c r="C71" s="173"/>
      <c r="D71" s="15">
        <f t="shared" si="5"/>
        <v>0</v>
      </c>
      <c r="E71" s="18">
        <f>IF(F3="1",SUMIF(Data!A:A,'22'!$A$2,Data!EC:EC),0)</f>
        <v>0</v>
      </c>
      <c r="F71" s="22" t="str">
        <f t="shared" si="4"/>
        <v/>
      </c>
    </row>
    <row r="72" spans="1:6" x14ac:dyDescent="0.2">
      <c r="A72" s="20">
        <v>6</v>
      </c>
      <c r="B72" s="172" t="s">
        <v>5</v>
      </c>
      <c r="C72" s="173"/>
      <c r="D72" s="15">
        <f t="shared" si="5"/>
        <v>89299</v>
      </c>
      <c r="E72" s="18">
        <f>IF(F3="1",SUMIF(Data!A:A,'22'!$A$2,Data!ED:ED),0)</f>
        <v>113068</v>
      </c>
      <c r="F72" s="22">
        <f t="shared" si="4"/>
        <v>1.27</v>
      </c>
    </row>
    <row r="73" spans="1:6" x14ac:dyDescent="0.2">
      <c r="A73" s="20">
        <v>7</v>
      </c>
      <c r="B73" s="172" t="s">
        <v>6</v>
      </c>
      <c r="C73" s="173"/>
      <c r="D73" s="15">
        <f t="shared" si="5"/>
        <v>137556</v>
      </c>
      <c r="E73" s="18">
        <f>IF(F3="1",SUMIF(Data!A:A,'22'!$A$2,Data!EE:EE),0)</f>
        <v>392472</v>
      </c>
      <c r="F73" s="22">
        <f t="shared" si="4"/>
        <v>2.85</v>
      </c>
    </row>
    <row r="74" spans="1:6" x14ac:dyDescent="0.2">
      <c r="A74" s="20">
        <v>8</v>
      </c>
      <c r="B74" s="172" t="s">
        <v>7</v>
      </c>
      <c r="C74" s="173"/>
      <c r="D74" s="15">
        <f t="shared" si="5"/>
        <v>142257</v>
      </c>
      <c r="E74" s="18">
        <f>IF(F3="1",SUMIF(Data!A:A,'22'!$A$2,Data!EF:EF),0)</f>
        <v>621648</v>
      </c>
      <c r="F74" s="22">
        <f t="shared" si="4"/>
        <v>4.37</v>
      </c>
    </row>
    <row r="75" spans="1:6" x14ac:dyDescent="0.2">
      <c r="A75" s="20">
        <v>9</v>
      </c>
      <c r="B75" s="172" t="s">
        <v>8</v>
      </c>
      <c r="C75" s="173"/>
      <c r="D75" s="15">
        <f t="shared" si="5"/>
        <v>206588</v>
      </c>
      <c r="E75" s="18">
        <f>IF(F3="1",SUMIF(Data!A:A,'22'!$A$2,Data!EG:EG),0)</f>
        <v>212769</v>
      </c>
      <c r="F75" s="22">
        <f t="shared" si="4"/>
        <v>1.03</v>
      </c>
    </row>
    <row r="76" spans="1:6" x14ac:dyDescent="0.2">
      <c r="A76" s="20">
        <v>10</v>
      </c>
      <c r="B76" s="172" t="s">
        <v>9</v>
      </c>
      <c r="C76" s="173"/>
      <c r="D76" s="15">
        <f t="shared" si="5"/>
        <v>0</v>
      </c>
      <c r="E76" s="18">
        <f>IF(F3="1",SUMIF(Data!A:A,'22'!$A$2,Data!EH:EH),0)</f>
        <v>0</v>
      </c>
      <c r="F76" s="22" t="str">
        <f t="shared" si="4"/>
        <v/>
      </c>
    </row>
    <row r="77" spans="1:6" x14ac:dyDescent="0.2">
      <c r="A77" s="20">
        <v>11</v>
      </c>
      <c r="B77" s="172" t="s">
        <v>10</v>
      </c>
      <c r="C77" s="173"/>
      <c r="D77" s="15">
        <f t="shared" si="5"/>
        <v>135133</v>
      </c>
      <c r="E77" s="18">
        <f>IF(F3="1",SUMIF(Data!A:A,'22'!$A$2,Data!EI:EI),0)</f>
        <v>218805</v>
      </c>
      <c r="F77" s="22">
        <f t="shared" si="4"/>
        <v>1.62</v>
      </c>
    </row>
    <row r="78" spans="1:6" ht="14.25" customHeight="1" x14ac:dyDescent="0.2">
      <c r="A78" s="20">
        <v>12</v>
      </c>
      <c r="B78" s="172" t="s">
        <v>11</v>
      </c>
      <c r="C78" s="173"/>
      <c r="D78" s="15">
        <f t="shared" si="5"/>
        <v>194864</v>
      </c>
      <c r="E78" s="18">
        <f>IF(F3="1",SUMIF(Data!A:A,'22'!$A$2,Data!EJ:EJ),0)</f>
        <v>950775</v>
      </c>
      <c r="F78" s="22">
        <f t="shared" si="4"/>
        <v>4.88</v>
      </c>
    </row>
    <row r="79" spans="1:6" x14ac:dyDescent="0.2">
      <c r="A79" s="20">
        <v>13</v>
      </c>
      <c r="B79" s="172" t="s">
        <v>12</v>
      </c>
      <c r="C79" s="173"/>
      <c r="D79" s="15">
        <f t="shared" si="5"/>
        <v>35478</v>
      </c>
      <c r="E79" s="18">
        <f>IF(F3="1",SUMIF(Data!A:A,'22'!$A$2,Data!EK:EK),0)</f>
        <v>133108</v>
      </c>
      <c r="F79" s="22">
        <f t="shared" si="4"/>
        <v>3.75</v>
      </c>
    </row>
    <row r="80" spans="1:6" ht="14.25" customHeight="1" x14ac:dyDescent="0.2">
      <c r="A80" s="20">
        <v>14</v>
      </c>
      <c r="B80" s="172" t="s">
        <v>469</v>
      </c>
      <c r="C80" s="173"/>
      <c r="D80" s="15">
        <f t="shared" si="5"/>
        <v>25124</v>
      </c>
      <c r="E80" s="18">
        <f>IF(F3="1",SUMIF(Data!A:A,'22'!$A$2,Data!EL:EL),0)</f>
        <v>193152</v>
      </c>
      <c r="F80" s="22">
        <f t="shared" si="4"/>
        <v>7.69</v>
      </c>
    </row>
    <row r="81" spans="1:6" x14ac:dyDescent="0.2">
      <c r="A81" s="20">
        <v>15</v>
      </c>
      <c r="B81" s="172" t="s">
        <v>13</v>
      </c>
      <c r="C81" s="173"/>
      <c r="D81" s="15">
        <f t="shared" si="5"/>
        <v>22544</v>
      </c>
      <c r="E81" s="18">
        <f>IF(F3="1",SUMIF(Data!A:A,'22'!$A$2,Data!EM:EM),0)</f>
        <v>181759</v>
      </c>
      <c r="F81" s="22">
        <f t="shared" si="4"/>
        <v>8.06</v>
      </c>
    </row>
    <row r="82" spans="1:6" x14ac:dyDescent="0.2">
      <c r="A82" s="20">
        <v>16</v>
      </c>
      <c r="B82" s="172" t="s">
        <v>14</v>
      </c>
      <c r="C82" s="173"/>
      <c r="D82" s="15">
        <f t="shared" si="5"/>
        <v>109517</v>
      </c>
      <c r="E82" s="18">
        <f>IF(F3="1",SUMIF(Data!A:A,'22'!$A$2,Data!EN:EN),0)</f>
        <v>386249</v>
      </c>
      <c r="F82" s="22">
        <f t="shared" si="4"/>
        <v>3.53</v>
      </c>
    </row>
    <row r="83" spans="1:6" x14ac:dyDescent="0.2">
      <c r="A83" s="20">
        <v>17</v>
      </c>
      <c r="B83" s="172" t="s">
        <v>15</v>
      </c>
      <c r="C83" s="173"/>
      <c r="D83" s="15">
        <f t="shared" si="5"/>
        <v>12352</v>
      </c>
      <c r="E83" s="18">
        <f>IF(F3="1",SUMIF(Data!A:A,'22'!$A$2,Data!EO:EO),0)</f>
        <v>92688</v>
      </c>
      <c r="F83" s="22">
        <f t="shared" si="4"/>
        <v>7.5</v>
      </c>
    </row>
    <row r="84" spans="1:6" x14ac:dyDescent="0.2">
      <c r="A84" s="20">
        <v>18</v>
      </c>
      <c r="B84" s="172" t="s">
        <v>16</v>
      </c>
      <c r="C84" s="173"/>
      <c r="D84" s="15">
        <f t="shared" si="5"/>
        <v>81216</v>
      </c>
      <c r="E84" s="18">
        <f>IF(F3="1",SUMIF(Data!A:A,'22'!$A$2,Data!EP:EP),0)</f>
        <v>347911</v>
      </c>
      <c r="F84" s="22">
        <f t="shared" si="4"/>
        <v>4.28</v>
      </c>
    </row>
    <row r="85" spans="1:6" x14ac:dyDescent="0.2">
      <c r="A85" s="20">
        <v>19</v>
      </c>
      <c r="B85" s="172" t="s">
        <v>17</v>
      </c>
      <c r="C85" s="173"/>
      <c r="D85" s="15">
        <f t="shared" si="5"/>
        <v>116920</v>
      </c>
      <c r="E85" s="18">
        <f>IF(F3="1",SUMIF(Data!A:A,'22'!$A$2,Data!EQ:EQ),0)</f>
        <v>248483</v>
      </c>
      <c r="F85" s="22">
        <f t="shared" si="4"/>
        <v>2.13</v>
      </c>
    </row>
    <row r="86" spans="1:6" x14ac:dyDescent="0.2">
      <c r="A86" s="20">
        <v>20</v>
      </c>
      <c r="B86" s="172" t="s">
        <v>18</v>
      </c>
      <c r="C86" s="173"/>
      <c r="D86" s="15">
        <f t="shared" si="5"/>
        <v>1226</v>
      </c>
      <c r="E86" s="18">
        <f>IF(F3="1",SUMIF(Data!A:A,'22'!$A$2,Data!ER:ER),0)</f>
        <v>43403</v>
      </c>
      <c r="F86" s="22">
        <f t="shared" si="4"/>
        <v>35.4</v>
      </c>
    </row>
    <row r="87" spans="1:6" ht="14.25" customHeight="1" x14ac:dyDescent="0.2">
      <c r="A87" s="20">
        <v>21</v>
      </c>
      <c r="B87" s="172" t="s">
        <v>466</v>
      </c>
      <c r="C87" s="173"/>
      <c r="D87" s="15">
        <f t="shared" si="5"/>
        <v>8376</v>
      </c>
      <c r="E87" s="18">
        <f>IF(F3="1",SUMIF(Data!A:A,'22'!$A$2,Data!ES:ES),0)</f>
        <v>12053</v>
      </c>
      <c r="F87" s="22">
        <f t="shared" si="4"/>
        <v>1.44</v>
      </c>
    </row>
    <row r="88" spans="1:6" x14ac:dyDescent="0.2">
      <c r="A88" s="20">
        <v>22</v>
      </c>
      <c r="B88" s="172" t="s">
        <v>19</v>
      </c>
      <c r="C88" s="173"/>
      <c r="D88" s="15">
        <f t="shared" si="5"/>
        <v>12825</v>
      </c>
      <c r="E88" s="18">
        <f>IF(F3="1",SUMIF(Data!A:A,'22'!$A$2,Data!ET:ET),0)</f>
        <v>22160</v>
      </c>
      <c r="F88" s="22">
        <f t="shared" si="4"/>
        <v>1.73</v>
      </c>
    </row>
    <row r="89" spans="1:6" x14ac:dyDescent="0.2">
      <c r="A89" s="20">
        <v>23</v>
      </c>
      <c r="B89" s="172" t="s">
        <v>20</v>
      </c>
      <c r="C89" s="173"/>
      <c r="D89" s="15">
        <f t="shared" si="5"/>
        <v>29808</v>
      </c>
      <c r="E89" s="18">
        <f>IF(F3="1",SUMIF(Data!A:A,'22'!$A$2,Data!EU:EU),0)</f>
        <v>437744</v>
      </c>
      <c r="F89" s="22">
        <f t="shared" si="4"/>
        <v>14.69</v>
      </c>
    </row>
    <row r="90" spans="1:6" x14ac:dyDescent="0.2">
      <c r="A90" s="20">
        <v>24</v>
      </c>
      <c r="B90" s="172" t="s">
        <v>21</v>
      </c>
      <c r="C90" s="173"/>
      <c r="D90" s="15">
        <f t="shared" si="5"/>
        <v>112498</v>
      </c>
      <c r="E90" s="18">
        <f>IF(F3="1",SUMIF(Data!A:A,'22'!$A$2,Data!EV:EV),0)</f>
        <v>142526</v>
      </c>
      <c r="F90" s="22">
        <f t="shared" si="4"/>
        <v>1.27</v>
      </c>
    </row>
    <row r="91" spans="1:6" x14ac:dyDescent="0.2">
      <c r="A91" s="20">
        <v>25</v>
      </c>
      <c r="B91" s="172" t="s">
        <v>22</v>
      </c>
      <c r="C91" s="173"/>
      <c r="D91" s="15">
        <f t="shared" si="5"/>
        <v>213638</v>
      </c>
      <c r="E91" s="18">
        <f>IF(F3="1",SUMIF(Data!A:A,'22'!$A$2,Data!EW:EW),0)</f>
        <v>517575</v>
      </c>
      <c r="F91" s="22">
        <f t="shared" si="4"/>
        <v>2.42</v>
      </c>
    </row>
    <row r="92" spans="1:6" x14ac:dyDescent="0.2">
      <c r="A92" s="20">
        <v>26</v>
      </c>
      <c r="B92" s="172" t="s">
        <v>23</v>
      </c>
      <c r="C92" s="173"/>
      <c r="D92" s="15">
        <f t="shared" si="5"/>
        <v>54310</v>
      </c>
      <c r="E92" s="18">
        <f>IF(F3="1",SUMIF(Data!A:A,'22'!$A$2,Data!EX:EX),0)</f>
        <v>174204</v>
      </c>
      <c r="F92" s="22">
        <f t="shared" si="4"/>
        <v>3.21</v>
      </c>
    </row>
    <row r="93" spans="1:6" x14ac:dyDescent="0.2">
      <c r="A93" s="20">
        <v>28</v>
      </c>
      <c r="B93" s="172" t="s">
        <v>24</v>
      </c>
      <c r="C93" s="173"/>
      <c r="D93" s="15">
        <f t="shared" si="5"/>
        <v>0</v>
      </c>
      <c r="E93" s="18">
        <f>IF(F3="1",SUMIF(Data!A:A,'22'!$A$2,Data!EZ:EZ),0)</f>
        <v>0</v>
      </c>
      <c r="F93" s="22" t="str">
        <f t="shared" si="4"/>
        <v/>
      </c>
    </row>
    <row r="94" spans="1:6" ht="15.75" customHeight="1" thickBot="1" x14ac:dyDescent="0.25">
      <c r="A94" s="23">
        <v>29</v>
      </c>
      <c r="B94" s="174" t="s">
        <v>25</v>
      </c>
      <c r="C94" s="175"/>
      <c r="D94" s="24">
        <f t="shared" si="5"/>
        <v>0</v>
      </c>
      <c r="E94" s="25">
        <f>IF(F3="1",SUMIF(Data!A:A,'22'!$A$2,Data!FA:FA),0)</f>
        <v>0</v>
      </c>
      <c r="F94" s="26" t="str">
        <f t="shared" si="4"/>
        <v/>
      </c>
    </row>
    <row r="95" spans="1:6" x14ac:dyDescent="0.2">
      <c r="B95" s="31" t="s">
        <v>35</v>
      </c>
      <c r="C95" s="31"/>
      <c r="D95" s="61">
        <f>SUM(D67:D94)</f>
        <v>2289870</v>
      </c>
      <c r="E95" s="32">
        <f>SUM(E67:E94)</f>
        <v>6469550</v>
      </c>
      <c r="F95" s="33">
        <f t="shared" si="4"/>
        <v>2.83</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IF(F3="1",SUMIF(Data!A:A,'22'!$A$2,Data!AH:AH),0)</f>
        <v>3444827</v>
      </c>
      <c r="F98" s="21">
        <f>IF($D$105=0,"",ROUND(E98/$D$105,2))</f>
        <v>1.5</v>
      </c>
    </row>
    <row r="99" spans="2:6" x14ac:dyDescent="0.2">
      <c r="B99" s="178" t="s">
        <v>31</v>
      </c>
      <c r="C99" s="179"/>
      <c r="D99" s="37"/>
      <c r="E99" s="18">
        <f>IF(F3="1",SUMIF(Data!A:A,'22'!$A$2,Data!AI:AI),0)</f>
        <v>1553815</v>
      </c>
      <c r="F99" s="22">
        <f t="shared" ref="F99:F105" si="6">IF($D$105=0,"",ROUND(E99/$D$105,2))</f>
        <v>0.68</v>
      </c>
    </row>
    <row r="100" spans="2:6" x14ac:dyDescent="0.2">
      <c r="B100" s="178" t="s">
        <v>32</v>
      </c>
      <c r="C100" s="179"/>
      <c r="D100" s="37"/>
      <c r="E100" s="18">
        <f>IF(F3="1",SUMIF(Data!A:A,'22'!$A$2,Data!AJ:AJ),0)</f>
        <v>1177532</v>
      </c>
      <c r="F100" s="22">
        <f t="shared" si="6"/>
        <v>0.51</v>
      </c>
    </row>
    <row r="101" spans="2:6" x14ac:dyDescent="0.2">
      <c r="B101" s="178" t="s">
        <v>28</v>
      </c>
      <c r="C101" s="179"/>
      <c r="D101" s="37"/>
      <c r="E101" s="18">
        <f>IF(F3="1",SUMIF(Data!A:A,'22'!$A$2,Data!AK:AK),0)</f>
        <v>0</v>
      </c>
      <c r="F101" s="22">
        <f t="shared" si="6"/>
        <v>0</v>
      </c>
    </row>
    <row r="102" spans="2:6" x14ac:dyDescent="0.2">
      <c r="B102" s="178" t="s">
        <v>33</v>
      </c>
      <c r="C102" s="179"/>
      <c r="D102" s="37"/>
      <c r="E102" s="18">
        <f>IF(F3="1",SUMIF(Data!A:A,'22'!$A$2,Data!AL:AL),0)</f>
        <v>0</v>
      </c>
      <c r="F102" s="22">
        <f t="shared" si="6"/>
        <v>0</v>
      </c>
    </row>
    <row r="103" spans="2:6" x14ac:dyDescent="0.2">
      <c r="B103" s="180" t="s">
        <v>34</v>
      </c>
      <c r="C103" s="181"/>
      <c r="D103" s="37"/>
      <c r="E103" s="18">
        <f>IF(F3="1",SUMIF(Data!A:A,'22'!$A$2,Data!AM:AM),0)</f>
        <v>381758</v>
      </c>
      <c r="F103" s="22">
        <f t="shared" si="6"/>
        <v>0.17</v>
      </c>
    </row>
    <row r="104" spans="2:6" ht="15.75" customHeight="1" thickBot="1" x14ac:dyDescent="0.25">
      <c r="B104" s="170" t="s">
        <v>29</v>
      </c>
      <c r="C104" s="171"/>
      <c r="D104" s="38"/>
      <c r="E104" s="25">
        <f>IF(F3="1",SUMIF(Data!A:A,'22'!$A$2,Data!Q:Q),0)</f>
        <v>331953</v>
      </c>
      <c r="F104" s="26">
        <f t="shared" si="6"/>
        <v>0.14000000000000001</v>
      </c>
    </row>
    <row r="105" spans="2:6" x14ac:dyDescent="0.2">
      <c r="B105" s="31" t="s">
        <v>35</v>
      </c>
      <c r="C105" s="31"/>
      <c r="D105" s="35">
        <f>D95</f>
        <v>2289870</v>
      </c>
      <c r="E105" s="32">
        <f>SUM(E98:E104)</f>
        <v>6889885</v>
      </c>
      <c r="F105" s="33">
        <f t="shared" si="6"/>
        <v>3.01</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7166502</v>
      </c>
      <c r="D109" s="16">
        <f>IF(F3="1",SUMIF(Data!$A:$A,$A$2,Data!HJ:HJ),0)</f>
        <v>592717</v>
      </c>
      <c r="E109" s="16">
        <f>IF(F3="1",SUMIF(Data!$A:$A,$A$2,Data!IN:IN),0)</f>
        <v>916796</v>
      </c>
      <c r="F109" s="48">
        <f>SUM(C109:E109)</f>
        <v>8676015</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883799</v>
      </c>
      <c r="D112" s="52"/>
      <c r="E112" s="51">
        <f>IF(F3="1",SUMIF(Data!A:A,$A$2,Data!AC:AC),0)</f>
        <v>293733</v>
      </c>
      <c r="F112" s="49">
        <f t="shared" si="7"/>
        <v>1177532</v>
      </c>
    </row>
    <row r="113" spans="1:6" x14ac:dyDescent="0.2">
      <c r="B113" s="43" t="s">
        <v>31</v>
      </c>
      <c r="C113" s="51">
        <f>IF(F3="1",SUMIF(Data!A:A,$A$2,Data!U:U),0)</f>
        <v>1334608</v>
      </c>
      <c r="D113" s="52"/>
      <c r="E113" s="51">
        <f>IF(F3="1",SUMIF(Data!A:A,$A$2,Data!AB:AB),0)</f>
        <v>219207</v>
      </c>
      <c r="F113" s="49">
        <f t="shared" si="7"/>
        <v>1553815</v>
      </c>
    </row>
    <row r="114" spans="1:6" x14ac:dyDescent="0.2">
      <c r="B114" s="43" t="s">
        <v>1021</v>
      </c>
      <c r="C114" s="51">
        <f>IF(F3="1",SUMIF(Data!A:A,$A$2,Data!T:T),0)</f>
        <v>1833173</v>
      </c>
      <c r="D114" s="52"/>
      <c r="E114" s="51">
        <f>IF(F3="1",SUMIF(Data!A:A,$A$2,Data!AA:AA),0)</f>
        <v>1611654</v>
      </c>
      <c r="F114" s="49">
        <f t="shared" si="7"/>
        <v>3444827</v>
      </c>
    </row>
    <row r="115" spans="1:6" x14ac:dyDescent="0.2">
      <c r="B115" s="43" t="s">
        <v>937</v>
      </c>
      <c r="C115" s="51">
        <f>IF(F3="1",SUMIF(Data!A:A,$A$2,Data!BI:BI),0)</f>
        <v>687447</v>
      </c>
      <c r="D115" s="51">
        <f>IF(F3="1",SUMIF(Data!A:A,$A$2,Data!BL:BL),0)</f>
        <v>228561</v>
      </c>
      <c r="E115" s="51">
        <f>IF(F3="1",SUMIF(Data!A:A,$A$2,Data!BU:BU),0)</f>
        <v>2123580</v>
      </c>
      <c r="F115" s="49">
        <f t="shared" si="7"/>
        <v>3039588</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331953</v>
      </c>
      <c r="E117" s="53"/>
      <c r="F117" s="50">
        <f>SUM(C117:E117)</f>
        <v>331953</v>
      </c>
    </row>
    <row r="118" spans="1:6" x14ac:dyDescent="0.2">
      <c r="B118" s="14" t="s">
        <v>35</v>
      </c>
      <c r="C118" s="5">
        <f>SUM(C109:C116)</f>
        <v>11905529</v>
      </c>
      <c r="D118" s="5">
        <f>SUM(D109:D116)</f>
        <v>821278</v>
      </c>
      <c r="E118" s="5">
        <f>SUM(E109:E116)</f>
        <v>5164970</v>
      </c>
      <c r="F118" s="5">
        <f>SUM(F109:F116)</f>
        <v>17891777</v>
      </c>
    </row>
    <row r="119" spans="1:6" ht="15" thickBot="1" x14ac:dyDescent="0.25"/>
    <row r="120" spans="1:6" ht="15" thickBot="1" x14ac:dyDescent="0.25">
      <c r="B120" s="57" t="s">
        <v>942</v>
      </c>
      <c r="C120" s="55"/>
      <c r="D120" s="55"/>
      <c r="E120" s="55">
        <f>IF(F3="1",SUMIF(Data!A:A,'22'!$A$2,Data!AM:AM),0)</f>
        <v>381758</v>
      </c>
      <c r="F120" s="56">
        <f>SUM(C120:E120)</f>
        <v>381758</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376</v>
      </c>
      <c r="B2" s="60" t="str">
        <f>VLOOKUP(A2,Data!A:G,7,0)</f>
        <v>Kilgore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8276</v>
      </c>
      <c r="E5" s="16">
        <f>E36+E67+IFERROR($E$105/$D$105*D5,0)</f>
        <v>88062.474080489206</v>
      </c>
      <c r="F5" s="21">
        <f>IF(OR(D5=0,E5=0),"",ROUND(E5/D5,2))</f>
        <v>10.64</v>
      </c>
    </row>
    <row r="6" spans="1:6" x14ac:dyDescent="0.2">
      <c r="A6" s="20">
        <v>2</v>
      </c>
      <c r="B6" s="172" t="s">
        <v>1</v>
      </c>
      <c r="C6" s="173"/>
      <c r="D6" s="15">
        <f t="shared" ref="D6:D32" si="0">D37</f>
        <v>30364</v>
      </c>
      <c r="E6" s="18">
        <f t="shared" ref="E6:E32" si="1">E37+E68+IFERROR($E$105/$D$105*D6,0)</f>
        <v>241763.87372885141</v>
      </c>
      <c r="F6" s="22">
        <f t="shared" ref="F6:F33" si="2">IF(OR(D6=0,E6=0),"",ROUND(E6/D6,2))</f>
        <v>7.96</v>
      </c>
    </row>
    <row r="7" spans="1:6" ht="14.25" customHeight="1" x14ac:dyDescent="0.2">
      <c r="A7" s="20">
        <v>3</v>
      </c>
      <c r="B7" s="172" t="s">
        <v>2</v>
      </c>
      <c r="C7" s="173"/>
      <c r="D7" s="15">
        <f t="shared" si="0"/>
        <v>285238</v>
      </c>
      <c r="E7" s="18">
        <f t="shared" si="1"/>
        <v>1726415.9381066435</v>
      </c>
      <c r="F7" s="22">
        <f t="shared" si="2"/>
        <v>6.05</v>
      </c>
    </row>
    <row r="8" spans="1:6" ht="14.25" customHeight="1" x14ac:dyDescent="0.2">
      <c r="A8" s="20">
        <v>4</v>
      </c>
      <c r="B8" s="172" t="s">
        <v>3</v>
      </c>
      <c r="C8" s="173"/>
      <c r="D8" s="15">
        <f t="shared" si="0"/>
        <v>256310</v>
      </c>
      <c r="E8" s="18">
        <f t="shared" si="1"/>
        <v>1298006.1973864413</v>
      </c>
      <c r="F8" s="22">
        <f t="shared" si="2"/>
        <v>5.0599999999999996</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11492</v>
      </c>
      <c r="E10" s="18">
        <f t="shared" si="1"/>
        <v>112727.95023356477</v>
      </c>
      <c r="F10" s="22">
        <f t="shared" si="2"/>
        <v>9.81</v>
      </c>
    </row>
    <row r="11" spans="1:6" x14ac:dyDescent="0.2">
      <c r="A11" s="20">
        <v>7</v>
      </c>
      <c r="B11" s="172" t="s">
        <v>6</v>
      </c>
      <c r="C11" s="173"/>
      <c r="D11" s="15">
        <f t="shared" si="0"/>
        <v>400383</v>
      </c>
      <c r="E11" s="18">
        <f t="shared" si="1"/>
        <v>1465977.287188075</v>
      </c>
      <c r="F11" s="22">
        <f t="shared" si="2"/>
        <v>3.66</v>
      </c>
    </row>
    <row r="12" spans="1:6" x14ac:dyDescent="0.2">
      <c r="A12" s="20">
        <v>8</v>
      </c>
      <c r="B12" s="172" t="s">
        <v>7</v>
      </c>
      <c r="C12" s="173"/>
      <c r="D12" s="15">
        <f t="shared" si="0"/>
        <v>3500</v>
      </c>
      <c r="E12" s="18">
        <f t="shared" si="1"/>
        <v>7775.3938233098388</v>
      </c>
      <c r="F12" s="22">
        <f t="shared" si="2"/>
        <v>2.2200000000000002</v>
      </c>
    </row>
    <row r="13" spans="1:6" x14ac:dyDescent="0.2">
      <c r="A13" s="20">
        <v>9</v>
      </c>
      <c r="B13" s="172" t="s">
        <v>8</v>
      </c>
      <c r="C13" s="173"/>
      <c r="D13" s="15">
        <f t="shared" si="0"/>
        <v>150638</v>
      </c>
      <c r="E13" s="18">
        <f t="shared" si="1"/>
        <v>783502.50707307062</v>
      </c>
      <c r="F13" s="22">
        <f t="shared" si="2"/>
        <v>5.2</v>
      </c>
    </row>
    <row r="14" spans="1:6" x14ac:dyDescent="0.2">
      <c r="A14" s="20">
        <v>10</v>
      </c>
      <c r="B14" s="172" t="s">
        <v>9</v>
      </c>
      <c r="C14" s="173"/>
      <c r="D14" s="15">
        <f t="shared" si="0"/>
        <v>608</v>
      </c>
      <c r="E14" s="18">
        <f t="shared" si="1"/>
        <v>15169.696984163538</v>
      </c>
      <c r="F14" s="22">
        <f t="shared" si="2"/>
        <v>24.95</v>
      </c>
    </row>
    <row r="15" spans="1:6" x14ac:dyDescent="0.2">
      <c r="A15" s="20">
        <v>11</v>
      </c>
      <c r="B15" s="172" t="s">
        <v>10</v>
      </c>
      <c r="C15" s="173"/>
      <c r="D15" s="15">
        <f t="shared" si="0"/>
        <v>155364</v>
      </c>
      <c r="E15" s="18">
        <f t="shared" si="1"/>
        <v>1110082.5102756314</v>
      </c>
      <c r="F15" s="22">
        <f t="shared" si="2"/>
        <v>7.15</v>
      </c>
    </row>
    <row r="16" spans="1:6" ht="14.25" customHeight="1" x14ac:dyDescent="0.2">
      <c r="A16" s="20">
        <v>12</v>
      </c>
      <c r="B16" s="172" t="s">
        <v>11</v>
      </c>
      <c r="C16" s="173"/>
      <c r="D16" s="15">
        <f t="shared" si="0"/>
        <v>337312</v>
      </c>
      <c r="E16" s="18">
        <f t="shared" si="1"/>
        <v>1707864.4689509394</v>
      </c>
      <c r="F16" s="22">
        <f t="shared" si="2"/>
        <v>5.0599999999999996</v>
      </c>
    </row>
    <row r="17" spans="1:6" x14ac:dyDescent="0.2">
      <c r="A17" s="20">
        <v>13</v>
      </c>
      <c r="B17" s="172" t="s">
        <v>12</v>
      </c>
      <c r="C17" s="173"/>
      <c r="D17" s="15">
        <f t="shared" si="0"/>
        <v>22792</v>
      </c>
      <c r="E17" s="18">
        <f t="shared" si="1"/>
        <v>216614.36457739366</v>
      </c>
      <c r="F17" s="22">
        <f t="shared" si="2"/>
        <v>9.5</v>
      </c>
    </row>
    <row r="18" spans="1:6" ht="14.25" customHeight="1" x14ac:dyDescent="0.2">
      <c r="A18" s="20">
        <v>14</v>
      </c>
      <c r="B18" s="172" t="s">
        <v>469</v>
      </c>
      <c r="C18" s="173"/>
      <c r="D18" s="15">
        <f t="shared" si="0"/>
        <v>144792</v>
      </c>
      <c r="E18" s="18">
        <f t="shared" si="1"/>
        <v>921046.3778470509</v>
      </c>
      <c r="F18" s="22">
        <f t="shared" si="2"/>
        <v>6.36</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183857</v>
      </c>
      <c r="E20" s="18">
        <f t="shared" si="1"/>
        <v>1138821.8806206505</v>
      </c>
      <c r="F20" s="22">
        <f t="shared" si="2"/>
        <v>6.19</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89664</v>
      </c>
      <c r="E22" s="18">
        <f t="shared" si="1"/>
        <v>532368.2605066438</v>
      </c>
      <c r="F22" s="22">
        <f t="shared" si="2"/>
        <v>5.94</v>
      </c>
    </row>
    <row r="23" spans="1:6" x14ac:dyDescent="0.2">
      <c r="A23" s="20">
        <v>19</v>
      </c>
      <c r="B23" s="172" t="s">
        <v>17</v>
      </c>
      <c r="C23" s="173"/>
      <c r="D23" s="15">
        <f t="shared" si="0"/>
        <v>257008</v>
      </c>
      <c r="E23" s="18">
        <f t="shared" si="1"/>
        <v>1313781.8330689184</v>
      </c>
      <c r="F23" s="22">
        <f t="shared" si="2"/>
        <v>5.1100000000000003</v>
      </c>
    </row>
    <row r="24" spans="1:6" x14ac:dyDescent="0.2">
      <c r="A24" s="20">
        <v>20</v>
      </c>
      <c r="B24" s="172" t="s">
        <v>18</v>
      </c>
      <c r="C24" s="173"/>
      <c r="D24" s="15">
        <f t="shared" si="0"/>
        <v>42240</v>
      </c>
      <c r="E24" s="18">
        <f t="shared" si="1"/>
        <v>299349.89574188786</v>
      </c>
      <c r="F24" s="22">
        <f t="shared" si="2"/>
        <v>7.09</v>
      </c>
    </row>
    <row r="25" spans="1:6" ht="14.25" customHeight="1" x14ac:dyDescent="0.2">
      <c r="A25" s="20">
        <v>21</v>
      </c>
      <c r="B25" s="172" t="s">
        <v>466</v>
      </c>
      <c r="C25" s="173"/>
      <c r="D25" s="15">
        <f t="shared" si="0"/>
        <v>26400</v>
      </c>
      <c r="E25" s="18">
        <f t="shared" si="1"/>
        <v>154235.68483867991</v>
      </c>
      <c r="F25" s="22">
        <f t="shared" si="2"/>
        <v>5.84</v>
      </c>
    </row>
    <row r="26" spans="1:6" x14ac:dyDescent="0.2">
      <c r="A26" s="20">
        <v>22</v>
      </c>
      <c r="B26" s="172" t="s">
        <v>19</v>
      </c>
      <c r="C26" s="173"/>
      <c r="D26" s="15">
        <f t="shared" si="0"/>
        <v>12272</v>
      </c>
      <c r="E26" s="18">
        <f t="shared" si="1"/>
        <v>28268.752285616669</v>
      </c>
      <c r="F26" s="22">
        <f t="shared" si="2"/>
        <v>2.2999999999999998</v>
      </c>
    </row>
    <row r="27" spans="1:6" x14ac:dyDescent="0.2">
      <c r="A27" s="20">
        <v>23</v>
      </c>
      <c r="B27" s="172" t="s">
        <v>20</v>
      </c>
      <c r="C27" s="173"/>
      <c r="D27" s="15">
        <f t="shared" si="0"/>
        <v>125536</v>
      </c>
      <c r="E27" s="18">
        <f t="shared" si="1"/>
        <v>872526.38257229258</v>
      </c>
      <c r="F27" s="22">
        <f t="shared" si="2"/>
        <v>6.95</v>
      </c>
    </row>
    <row r="28" spans="1:6" x14ac:dyDescent="0.2">
      <c r="A28" s="20">
        <v>24</v>
      </c>
      <c r="B28" s="172" t="s">
        <v>21</v>
      </c>
      <c r="C28" s="173"/>
      <c r="D28" s="15">
        <f t="shared" si="0"/>
        <v>321660</v>
      </c>
      <c r="E28" s="18">
        <f t="shared" si="1"/>
        <v>1410901.907773098</v>
      </c>
      <c r="F28" s="22">
        <f t="shared" si="2"/>
        <v>4.3899999999999997</v>
      </c>
    </row>
    <row r="29" spans="1:6" x14ac:dyDescent="0.2">
      <c r="A29" s="20">
        <v>25</v>
      </c>
      <c r="B29" s="172" t="s">
        <v>22</v>
      </c>
      <c r="C29" s="173"/>
      <c r="D29" s="15">
        <f t="shared" si="0"/>
        <v>385392</v>
      </c>
      <c r="E29" s="18">
        <f t="shared" si="1"/>
        <v>1659462.1646722928</v>
      </c>
      <c r="F29" s="22">
        <f t="shared" si="2"/>
        <v>4.3099999999999996</v>
      </c>
    </row>
    <row r="30" spans="1:6" x14ac:dyDescent="0.2">
      <c r="A30" s="20">
        <v>26</v>
      </c>
      <c r="B30" s="172" t="s">
        <v>23</v>
      </c>
      <c r="C30" s="173"/>
      <c r="D30" s="15">
        <f t="shared" si="0"/>
        <v>196768</v>
      </c>
      <c r="E30" s="18">
        <f t="shared" si="1"/>
        <v>1280231.1976642944</v>
      </c>
      <c r="F30" s="22">
        <f t="shared" si="2"/>
        <v>6.51</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3447866</v>
      </c>
      <c r="E33" s="32">
        <f>SUM(E5:E32)</f>
        <v>18384957</v>
      </c>
      <c r="F33" s="33">
        <f t="shared" si="2"/>
        <v>5.33</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IF(F3="1",SUMIF(Data!A:A,'23'!$A$2,Data!CU:CU),0)</f>
        <v>8276</v>
      </c>
      <c r="E36" s="16">
        <f>IF(F3="1",SUMIF(Data!$A:$A,'23'!$A$2,Data!IO:IO),0)</f>
        <v>8852</v>
      </c>
      <c r="F36" s="21">
        <f>IF(D36=0,"",ROUND(E36/D36,2))</f>
        <v>1.07</v>
      </c>
    </row>
    <row r="37" spans="1:6" x14ac:dyDescent="0.2">
      <c r="A37" s="20">
        <v>2</v>
      </c>
      <c r="B37" s="172" t="s">
        <v>1</v>
      </c>
      <c r="C37" s="173"/>
      <c r="D37" s="15">
        <f>IF(F3="1",SUMIF(Data!A:A,'23'!$A$2,Data!CV:CV),0)</f>
        <v>30364</v>
      </c>
      <c r="E37" s="18">
        <f>IF(F3="1",SUMIF(Data!$A:$A,'23'!$A$2,Data!IP:IP),0)</f>
        <v>28900</v>
      </c>
      <c r="F37" s="22">
        <f t="shared" ref="F37:F64" si="3">IF(D37=0,"",ROUND(E37/D37,2))</f>
        <v>0.95</v>
      </c>
    </row>
    <row r="38" spans="1:6" ht="14.25" customHeight="1" x14ac:dyDescent="0.2">
      <c r="A38" s="20">
        <v>3</v>
      </c>
      <c r="B38" s="172" t="s">
        <v>2</v>
      </c>
      <c r="C38" s="173"/>
      <c r="D38" s="15">
        <f>IF(F3="1",SUMIF(Data!A:A,'23'!$A$2,Data!CW:CW),0)</f>
        <v>285238</v>
      </c>
      <c r="E38" s="18">
        <f>IF(F3="1",SUMIF(Data!$A:$A,'23'!$A$2,Data!IQ:IQ),0)</f>
        <v>227920</v>
      </c>
      <c r="F38" s="22">
        <f t="shared" si="3"/>
        <v>0.8</v>
      </c>
    </row>
    <row r="39" spans="1:6" ht="14.25" customHeight="1" x14ac:dyDescent="0.2">
      <c r="A39" s="20">
        <v>4</v>
      </c>
      <c r="B39" s="172" t="s">
        <v>3</v>
      </c>
      <c r="C39" s="173"/>
      <c r="D39" s="15">
        <f>IF(F3="1",SUMIF(Data!A:A,'23'!$A$2,Data!CX:CX),0)</f>
        <v>256310</v>
      </c>
      <c r="E39" s="18">
        <f>IF(F3="1",SUMIF(Data!$A:$A,'23'!$A$2,Data!IR:IR),0)</f>
        <v>120304</v>
      </c>
      <c r="F39" s="22">
        <f t="shared" si="3"/>
        <v>0.47</v>
      </c>
    </row>
    <row r="40" spans="1:6" x14ac:dyDescent="0.2">
      <c r="A40" s="20">
        <v>5</v>
      </c>
      <c r="B40" s="172" t="s">
        <v>4</v>
      </c>
      <c r="C40" s="173"/>
      <c r="D40" s="15">
        <f>IF(F3="1",SUMIF(Data!A:A,'23'!$A$2,Data!CY:CY),0)</f>
        <v>0</v>
      </c>
      <c r="E40" s="18">
        <f>IF(F3="1",SUMIF(Data!$A:$A,'23'!$A$2,Data!IS:IS),0)</f>
        <v>0</v>
      </c>
      <c r="F40" s="22" t="str">
        <f t="shared" si="3"/>
        <v/>
      </c>
    </row>
    <row r="41" spans="1:6" x14ac:dyDescent="0.2">
      <c r="A41" s="20">
        <v>6</v>
      </c>
      <c r="B41" s="172" t="s">
        <v>5</v>
      </c>
      <c r="C41" s="173"/>
      <c r="D41" s="15">
        <f>IF(F3="1",SUMIF(Data!A:A,'23'!$A$2,Data!CZ:CZ),0)</f>
        <v>11492</v>
      </c>
      <c r="E41" s="18">
        <f>IF(F3="1",SUMIF(Data!$A:$A,'23'!$A$2,Data!IT:IT),0)</f>
        <v>29485</v>
      </c>
      <c r="F41" s="22">
        <f t="shared" si="3"/>
        <v>2.57</v>
      </c>
    </row>
    <row r="42" spans="1:6" x14ac:dyDescent="0.2">
      <c r="A42" s="20">
        <v>7</v>
      </c>
      <c r="B42" s="172" t="s">
        <v>6</v>
      </c>
      <c r="C42" s="173"/>
      <c r="D42" s="15">
        <f>IF(F3="1",SUMIF(Data!A:A,'23'!$A$2,Data!DA:DA),0)</f>
        <v>400383</v>
      </c>
      <c r="E42" s="18">
        <f>IF(F3="1",SUMIF(Data!$A:$A,'23'!$A$2,Data!IU:IU),0)</f>
        <v>235681</v>
      </c>
      <c r="F42" s="22">
        <f t="shared" si="3"/>
        <v>0.59</v>
      </c>
    </row>
    <row r="43" spans="1:6" x14ac:dyDescent="0.2">
      <c r="A43" s="20">
        <v>8</v>
      </c>
      <c r="B43" s="172" t="s">
        <v>7</v>
      </c>
      <c r="C43" s="173"/>
      <c r="D43" s="15">
        <f>IF(F3="1",SUMIF(Data!A:A,'23'!$A$2,Data!DB:DB),0)</f>
        <v>3500</v>
      </c>
      <c r="E43" s="18">
        <f>IF(F3="1",SUMIF(Data!$A:$A,'23'!$A$2,Data!IV:IV),0)</f>
        <v>0</v>
      </c>
      <c r="F43" s="22" t="str">
        <f>IF(E43=0,"",ROUND(E43/D43,2))</f>
        <v/>
      </c>
    </row>
    <row r="44" spans="1:6" x14ac:dyDescent="0.2">
      <c r="A44" s="20">
        <v>9</v>
      </c>
      <c r="B44" s="172" t="s">
        <v>8</v>
      </c>
      <c r="C44" s="173"/>
      <c r="D44" s="15">
        <f>IF(F3="1",SUMIF(Data!A:A,'23'!$A$2,Data!DC:DC),0)</f>
        <v>150638</v>
      </c>
      <c r="E44" s="18">
        <f>IF(F3="1",SUMIF(Data!$A:$A,'23'!$A$2,Data!IW:IW),0)</f>
        <v>57214</v>
      </c>
      <c r="F44" s="22">
        <f t="shared" si="3"/>
        <v>0.38</v>
      </c>
    </row>
    <row r="45" spans="1:6" x14ac:dyDescent="0.2">
      <c r="A45" s="20">
        <v>10</v>
      </c>
      <c r="B45" s="172" t="s">
        <v>9</v>
      </c>
      <c r="C45" s="173"/>
      <c r="D45" s="15">
        <f>IF(F3="1",SUMIF(Data!A:A,'23'!$A$2,Data!DD:DD),0)</f>
        <v>608</v>
      </c>
      <c r="E45" s="18">
        <f>IF(F3="1",SUMIF(Data!$A:$A,'23'!$A$2,Data!IX:IX),0)</f>
        <v>2394</v>
      </c>
      <c r="F45" s="22">
        <f t="shared" si="3"/>
        <v>3.94</v>
      </c>
    </row>
    <row r="46" spans="1:6" x14ac:dyDescent="0.2">
      <c r="A46" s="20">
        <v>11</v>
      </c>
      <c r="B46" s="172" t="s">
        <v>10</v>
      </c>
      <c r="C46" s="173"/>
      <c r="D46" s="15">
        <f>IF(F3="1",SUMIF(Data!A:A,'23'!$A$2,Data!DE:DE),0)</f>
        <v>155364</v>
      </c>
      <c r="E46" s="18">
        <f>IF(F3="1",SUMIF(Data!$A:$A,'23'!$A$2,Data!IY:IY),0)</f>
        <v>329044</v>
      </c>
      <c r="F46" s="22">
        <f t="shared" si="3"/>
        <v>2.12</v>
      </c>
    </row>
    <row r="47" spans="1:6" ht="14.25" customHeight="1" x14ac:dyDescent="0.2">
      <c r="A47" s="20">
        <v>12</v>
      </c>
      <c r="B47" s="172" t="s">
        <v>11</v>
      </c>
      <c r="C47" s="173"/>
      <c r="D47" s="15">
        <f>IF(F3="1",SUMIF(Data!A:A,'23'!$A$2,Data!DF:DF),0)</f>
        <v>337312</v>
      </c>
      <c r="E47" s="18">
        <f>IF(F3="1",SUMIF(Data!$A:$A,'23'!$A$2,Data!IZ:IZ),0)</f>
        <v>73632</v>
      </c>
      <c r="F47" s="22">
        <f t="shared" si="3"/>
        <v>0.22</v>
      </c>
    </row>
    <row r="48" spans="1:6" x14ac:dyDescent="0.2">
      <c r="A48" s="20">
        <v>13</v>
      </c>
      <c r="B48" s="172" t="s">
        <v>12</v>
      </c>
      <c r="C48" s="173"/>
      <c r="D48" s="15">
        <f>IF(F3="1",SUMIF(Data!A:A,'23'!$A$2,Data!DG:DG),0)</f>
        <v>22792</v>
      </c>
      <c r="E48" s="18">
        <f>IF(F3="1",SUMIF(Data!$A:$A,'23'!$A$2,Data!JA:JA),0)</f>
        <v>11536</v>
      </c>
      <c r="F48" s="22">
        <f t="shared" si="3"/>
        <v>0.51</v>
      </c>
    </row>
    <row r="49" spans="1:6" ht="14.25" customHeight="1" x14ac:dyDescent="0.2">
      <c r="A49" s="20">
        <v>14</v>
      </c>
      <c r="B49" s="172" t="s">
        <v>469</v>
      </c>
      <c r="C49" s="173"/>
      <c r="D49" s="15">
        <f>IF(F3="1",SUMIF(Data!A:A,'23'!$A$2,Data!DH:DH),0)</f>
        <v>144792</v>
      </c>
      <c r="E49" s="18">
        <f>IF(F3="1",SUMIF(Data!$A:$A,'23'!$A$2,Data!JB:JB),0)</f>
        <v>88978</v>
      </c>
      <c r="F49" s="22">
        <f t="shared" si="3"/>
        <v>0.61</v>
      </c>
    </row>
    <row r="50" spans="1:6" x14ac:dyDescent="0.2">
      <c r="A50" s="20">
        <v>15</v>
      </c>
      <c r="B50" s="172" t="s">
        <v>13</v>
      </c>
      <c r="C50" s="173"/>
      <c r="D50" s="15">
        <f>IF(F3="1",SUMIF(Data!A:A,'23'!$A$2,Data!DI:DI),0)</f>
        <v>0</v>
      </c>
      <c r="E50" s="18">
        <f>IF(F3="1",SUMIF(Data!$A:$A,'23'!$A$2,Data!JC:JC),0)</f>
        <v>0</v>
      </c>
      <c r="F50" s="22" t="str">
        <f t="shared" si="3"/>
        <v/>
      </c>
    </row>
    <row r="51" spans="1:6" x14ac:dyDescent="0.2">
      <c r="A51" s="20">
        <v>16</v>
      </c>
      <c r="B51" s="172" t="s">
        <v>14</v>
      </c>
      <c r="C51" s="173"/>
      <c r="D51" s="15">
        <f>IF(F3="1",SUMIF(Data!A:A,'23'!$A$2,Data!DJ:DJ),0)</f>
        <v>183857</v>
      </c>
      <c r="E51" s="18">
        <f>IF(F3="1",SUMIF(Data!$A:$A,'23'!$A$2,Data!JD:JD),0)</f>
        <v>114102</v>
      </c>
      <c r="F51" s="22">
        <f t="shared" si="3"/>
        <v>0.62</v>
      </c>
    </row>
    <row r="52" spans="1:6" x14ac:dyDescent="0.2">
      <c r="A52" s="20">
        <v>17</v>
      </c>
      <c r="B52" s="172" t="s">
        <v>15</v>
      </c>
      <c r="C52" s="173"/>
      <c r="D52" s="15">
        <f>IF(F3="1",SUMIF(Data!A:A,'23'!$A$2,Data!DK:DK),0)</f>
        <v>0</v>
      </c>
      <c r="E52" s="18">
        <f>IF(F3="1",SUMIF(Data!$A:$A,'23'!$A$2,Data!JE:JE),0)</f>
        <v>0</v>
      </c>
      <c r="F52" s="22" t="str">
        <f t="shared" si="3"/>
        <v/>
      </c>
    </row>
    <row r="53" spans="1:6" x14ac:dyDescent="0.2">
      <c r="A53" s="20">
        <v>18</v>
      </c>
      <c r="B53" s="172" t="s">
        <v>16</v>
      </c>
      <c r="C53" s="173"/>
      <c r="D53" s="15">
        <f>IF(F3="1",SUMIF(Data!A:A,'23'!$A$2,Data!DL:DL),0)</f>
        <v>89664</v>
      </c>
      <c r="E53" s="18">
        <f>IF(F3="1",SUMIF(Data!$A:$A,'23'!$A$2,Data!JF:JF),0)</f>
        <v>31769</v>
      </c>
      <c r="F53" s="22">
        <f t="shared" si="3"/>
        <v>0.35</v>
      </c>
    </row>
    <row r="54" spans="1:6" x14ac:dyDescent="0.2">
      <c r="A54" s="20">
        <v>19</v>
      </c>
      <c r="B54" s="172" t="s">
        <v>17</v>
      </c>
      <c r="C54" s="173"/>
      <c r="D54" s="15">
        <f>IF(F3="1",SUMIF(Data!A:A,'23'!$A$2,Data!DM:DM),0)</f>
        <v>257008</v>
      </c>
      <c r="E54" s="18">
        <f>IF(F3="1",SUMIF(Data!$A:$A,'23'!$A$2,Data!JG:JG),0)</f>
        <v>56859</v>
      </c>
      <c r="F54" s="22">
        <f t="shared" si="3"/>
        <v>0.22</v>
      </c>
    </row>
    <row r="55" spans="1:6" x14ac:dyDescent="0.2">
      <c r="A55" s="20">
        <v>20</v>
      </c>
      <c r="B55" s="172" t="s">
        <v>18</v>
      </c>
      <c r="C55" s="173"/>
      <c r="D55" s="15">
        <f>IF(F3="1",SUMIF(Data!A:A,'23'!$A$2,Data!DN:DN),0)</f>
        <v>42240</v>
      </c>
      <c r="E55" s="18">
        <f>IF(F3="1",SUMIF(Data!$A:$A,'23'!$A$2,Data!JH:JH),0)</f>
        <v>42463</v>
      </c>
      <c r="F55" s="22">
        <f t="shared" si="3"/>
        <v>1.01</v>
      </c>
    </row>
    <row r="56" spans="1:6" ht="14.25" customHeight="1" x14ac:dyDescent="0.2">
      <c r="A56" s="20">
        <v>21</v>
      </c>
      <c r="B56" s="172" t="s">
        <v>466</v>
      </c>
      <c r="C56" s="173"/>
      <c r="D56" s="15">
        <f>IF(F3="1",SUMIF(Data!A:A,'23'!$A$2,Data!DO:DO),0)</f>
        <v>26400</v>
      </c>
      <c r="E56" s="18">
        <f>IF(F3="1",SUMIF(Data!$A:$A,'23'!$A$2,Data!JI:JI),0)</f>
        <v>37380</v>
      </c>
      <c r="F56" s="22">
        <f t="shared" si="3"/>
        <v>1.42</v>
      </c>
    </row>
    <row r="57" spans="1:6" x14ac:dyDescent="0.2">
      <c r="A57" s="20">
        <v>22</v>
      </c>
      <c r="B57" s="172" t="s">
        <v>19</v>
      </c>
      <c r="C57" s="173"/>
      <c r="D57" s="15">
        <f>IF(F3="1",SUMIF(Data!A:A,'23'!$A$2,Data!DP:DP),0)</f>
        <v>12272</v>
      </c>
      <c r="E57" s="18">
        <f>IF(F3="1",SUMIF(Data!$A:$A,'23'!$A$2,Data!JJ:JJ),0)</f>
        <v>1006</v>
      </c>
      <c r="F57" s="22">
        <f t="shared" si="3"/>
        <v>0.08</v>
      </c>
    </row>
    <row r="58" spans="1:6" x14ac:dyDescent="0.2">
      <c r="A58" s="20">
        <v>23</v>
      </c>
      <c r="B58" s="172" t="s">
        <v>20</v>
      </c>
      <c r="C58" s="173"/>
      <c r="D58" s="15">
        <f>IF(F3="1",SUMIF(Data!A:A,'23'!$A$2,Data!DQ:DQ),0)</f>
        <v>125536</v>
      </c>
      <c r="E58" s="18">
        <f>IF(F3="1",SUMIF(Data!$A:$A,'23'!$A$2,Data!JK:JK),0)</f>
        <v>47004</v>
      </c>
      <c r="F58" s="22">
        <f t="shared" si="3"/>
        <v>0.37</v>
      </c>
    </row>
    <row r="59" spans="1:6" x14ac:dyDescent="0.2">
      <c r="A59" s="20">
        <v>24</v>
      </c>
      <c r="B59" s="172" t="s">
        <v>21</v>
      </c>
      <c r="C59" s="173"/>
      <c r="D59" s="15">
        <f>IF(F3="1",SUMIF(Data!A:A,'23'!$A$2,Data!DR:DR),0)</f>
        <v>321660</v>
      </c>
      <c r="E59" s="18">
        <f>IF(F3="1",SUMIF(Data!$A:$A,'23'!$A$2,Data!JL:JL),0)</f>
        <v>440804</v>
      </c>
      <c r="F59" s="22">
        <f t="shared" si="3"/>
        <v>1.37</v>
      </c>
    </row>
    <row r="60" spans="1:6" x14ac:dyDescent="0.2">
      <c r="A60" s="20">
        <v>25</v>
      </c>
      <c r="B60" s="172" t="s">
        <v>22</v>
      </c>
      <c r="C60" s="173"/>
      <c r="D60" s="15">
        <f>IF(F3="1",SUMIF(Data!A:A,'23'!$A$2,Data!DS:DS),0)</f>
        <v>385392</v>
      </c>
      <c r="E60" s="18">
        <f>IF(F3="1",SUMIF(Data!$A:$A,'23'!$A$2,Data!JM:JM),0)</f>
        <v>52509</v>
      </c>
      <c r="F60" s="22">
        <f t="shared" si="3"/>
        <v>0.14000000000000001</v>
      </c>
    </row>
    <row r="61" spans="1:6" x14ac:dyDescent="0.2">
      <c r="A61" s="20">
        <v>26</v>
      </c>
      <c r="B61" s="172" t="s">
        <v>23</v>
      </c>
      <c r="C61" s="173"/>
      <c r="D61" s="15">
        <f>IF(F3="1",SUMIF(Data!A:A,'23'!$A$2,Data!DT:DT),0)</f>
        <v>196768</v>
      </c>
      <c r="E61" s="18">
        <f>IF(F3="1",SUMIF(Data!$A:$A,'23'!$A$2,Data!JN:JN),0)</f>
        <v>160183</v>
      </c>
      <c r="F61" s="22">
        <f t="shared" si="3"/>
        <v>0.81</v>
      </c>
    </row>
    <row r="62" spans="1:6" x14ac:dyDescent="0.2">
      <c r="A62" s="20">
        <v>28</v>
      </c>
      <c r="B62" s="172" t="s">
        <v>24</v>
      </c>
      <c r="C62" s="173"/>
      <c r="D62" s="15">
        <f>IF(F3="1",SUMIF(Data!A:A,'23'!$A$2,Data!DV:DV),0)</f>
        <v>0</v>
      </c>
      <c r="E62" s="18">
        <f>IF(F3="1",SUMIF(Data!$A:$A,'23'!$A$2,Data!JP:JP),0)</f>
        <v>0</v>
      </c>
      <c r="F62" s="22" t="str">
        <f t="shared" si="3"/>
        <v/>
      </c>
    </row>
    <row r="63" spans="1:6" ht="15.75" customHeight="1" thickBot="1" x14ac:dyDescent="0.25">
      <c r="A63" s="23">
        <v>29</v>
      </c>
      <c r="B63" s="174" t="s">
        <v>25</v>
      </c>
      <c r="C63" s="175"/>
      <c r="D63" s="24">
        <f>IF(F3="1",SUMIF(Data!A:A,'23'!$A$2,Data!DW:DW),0)</f>
        <v>0</v>
      </c>
      <c r="E63" s="25">
        <f>IF(F3="1",SUMIF(Data!$A:$A,'23'!$A$2,Data!JQ:JQ),0)</f>
        <v>0</v>
      </c>
      <c r="F63" s="26" t="str">
        <f t="shared" si="3"/>
        <v/>
      </c>
    </row>
    <row r="64" spans="1:6" x14ac:dyDescent="0.2">
      <c r="B64" s="31" t="s">
        <v>35</v>
      </c>
      <c r="C64" s="31"/>
      <c r="D64" s="61">
        <f>SUM(D36:D63)</f>
        <v>3447866</v>
      </c>
      <c r="E64" s="32">
        <f>SUM(E36:E63)</f>
        <v>2198019</v>
      </c>
      <c r="F64" s="33">
        <f t="shared" si="3"/>
        <v>0.64</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8276</v>
      </c>
      <c r="E67" s="16">
        <f>IF(F3="1",SUMIF(Data!A:A,'23'!$A$2,Data!DY:DY),0)</f>
        <v>60825</v>
      </c>
      <c r="F67" s="21">
        <f t="shared" ref="F67:F95" si="4">IF(D67=0,"",ROUND(E67/D67,2))</f>
        <v>7.35</v>
      </c>
    </row>
    <row r="68" spans="1:6" x14ac:dyDescent="0.2">
      <c r="A68" s="20">
        <v>2</v>
      </c>
      <c r="B68" s="172" t="s">
        <v>1</v>
      </c>
      <c r="C68" s="173"/>
      <c r="D68" s="15">
        <f t="shared" ref="D68:D94" si="5">D37</f>
        <v>30364</v>
      </c>
      <c r="E68" s="18">
        <f>IF(F3="1",SUMIF(Data!A:A,'23'!$A$2,Data!DZ:DZ),0)</f>
        <v>145409</v>
      </c>
      <c r="F68" s="22">
        <f t="shared" si="4"/>
        <v>4.79</v>
      </c>
    </row>
    <row r="69" spans="1:6" ht="14.25" customHeight="1" x14ac:dyDescent="0.2">
      <c r="A69" s="20">
        <v>3</v>
      </c>
      <c r="B69" s="172" t="s">
        <v>2</v>
      </c>
      <c r="C69" s="173"/>
      <c r="D69" s="15">
        <f t="shared" si="5"/>
        <v>285238</v>
      </c>
      <c r="E69" s="18">
        <f>IF(F3="1",SUMIF(Data!A:A,'23'!$A$2,Data!EA:EA),0)</f>
        <v>864828</v>
      </c>
      <c r="F69" s="22">
        <f t="shared" si="4"/>
        <v>3.03</v>
      </c>
    </row>
    <row r="70" spans="1:6" ht="14.25" customHeight="1" x14ac:dyDescent="0.2">
      <c r="A70" s="20">
        <v>4</v>
      </c>
      <c r="B70" s="172" t="s">
        <v>3</v>
      </c>
      <c r="C70" s="173"/>
      <c r="D70" s="15">
        <f t="shared" si="5"/>
        <v>256310</v>
      </c>
      <c r="E70" s="18">
        <f>IF(F3="1",SUMIF(Data!A:A,'23'!$A$2,Data!EB:EB),0)</f>
        <v>608299</v>
      </c>
      <c r="F70" s="22">
        <f t="shared" si="4"/>
        <v>2.37</v>
      </c>
    </row>
    <row r="71" spans="1:6" x14ac:dyDescent="0.2">
      <c r="A71" s="20">
        <v>5</v>
      </c>
      <c r="B71" s="172" t="s">
        <v>4</v>
      </c>
      <c r="C71" s="173"/>
      <c r="D71" s="15">
        <f t="shared" si="5"/>
        <v>0</v>
      </c>
      <c r="E71" s="18">
        <f>IF(F3="1",SUMIF(Data!A:A,'23'!$A$2,Data!EC:EC),0)</f>
        <v>0</v>
      </c>
      <c r="F71" s="22" t="str">
        <f t="shared" si="4"/>
        <v/>
      </c>
    </row>
    <row r="72" spans="1:6" x14ac:dyDescent="0.2">
      <c r="A72" s="20">
        <v>6</v>
      </c>
      <c r="B72" s="172" t="s">
        <v>5</v>
      </c>
      <c r="C72" s="173"/>
      <c r="D72" s="15">
        <f t="shared" si="5"/>
        <v>11492</v>
      </c>
      <c r="E72" s="18">
        <f>IF(F3="1",SUMIF(Data!A:A,'23'!$A$2,Data!ED:ED),0)</f>
        <v>57713</v>
      </c>
      <c r="F72" s="22">
        <f t="shared" si="4"/>
        <v>5.0199999999999996</v>
      </c>
    </row>
    <row r="73" spans="1:6" x14ac:dyDescent="0.2">
      <c r="A73" s="20">
        <v>7</v>
      </c>
      <c r="B73" s="172" t="s">
        <v>6</v>
      </c>
      <c r="C73" s="173"/>
      <c r="D73" s="15">
        <f t="shared" si="5"/>
        <v>400383</v>
      </c>
      <c r="E73" s="18">
        <f>IF(F3="1",SUMIF(Data!A:A,'23'!$A$2,Data!EE:EE),0)</f>
        <v>340829</v>
      </c>
      <c r="F73" s="22">
        <f t="shared" si="4"/>
        <v>0.85</v>
      </c>
    </row>
    <row r="74" spans="1:6" x14ac:dyDescent="0.2">
      <c r="A74" s="20">
        <v>8</v>
      </c>
      <c r="B74" s="172" t="s">
        <v>7</v>
      </c>
      <c r="C74" s="173"/>
      <c r="D74" s="15">
        <f t="shared" si="5"/>
        <v>3500</v>
      </c>
      <c r="E74" s="18">
        <f>IF(F3="1",SUMIF(Data!A:A,'23'!$A$2,Data!EF:EF),0)</f>
        <v>0</v>
      </c>
      <c r="F74" s="22" t="str">
        <f>IF(E74=0,"",ROUND(E74/D74,2))</f>
        <v/>
      </c>
    </row>
    <row r="75" spans="1:6" x14ac:dyDescent="0.2">
      <c r="A75" s="20">
        <v>9</v>
      </c>
      <c r="B75" s="172" t="s">
        <v>8</v>
      </c>
      <c r="C75" s="173"/>
      <c r="D75" s="15">
        <f t="shared" si="5"/>
        <v>150638</v>
      </c>
      <c r="E75" s="18">
        <f>IF(F3="1",SUMIF(Data!A:A,'23'!$A$2,Data!EG:EG),0)</f>
        <v>391640</v>
      </c>
      <c r="F75" s="22">
        <f t="shared" si="4"/>
        <v>2.6</v>
      </c>
    </row>
    <row r="76" spans="1:6" x14ac:dyDescent="0.2">
      <c r="A76" s="20">
        <v>10</v>
      </c>
      <c r="B76" s="172" t="s">
        <v>9</v>
      </c>
      <c r="C76" s="173"/>
      <c r="D76" s="15">
        <f t="shared" si="5"/>
        <v>608</v>
      </c>
      <c r="E76" s="18">
        <f>IF(F3="1",SUMIF(Data!A:A,'23'!$A$2,Data!EH:EH),0)</f>
        <v>11425</v>
      </c>
      <c r="F76" s="22">
        <f t="shared" si="4"/>
        <v>18.79</v>
      </c>
    </row>
    <row r="77" spans="1:6" x14ac:dyDescent="0.2">
      <c r="A77" s="20">
        <v>11</v>
      </c>
      <c r="B77" s="172" t="s">
        <v>10</v>
      </c>
      <c r="C77" s="173"/>
      <c r="D77" s="15">
        <f t="shared" si="5"/>
        <v>155364</v>
      </c>
      <c r="E77" s="18">
        <f>IF(F3="1",SUMIF(Data!A:A,'23'!$A$2,Data!EI:EI),0)</f>
        <v>435891</v>
      </c>
      <c r="F77" s="22">
        <f t="shared" si="4"/>
        <v>2.81</v>
      </c>
    </row>
    <row r="78" spans="1:6" ht="14.25" customHeight="1" x14ac:dyDescent="0.2">
      <c r="A78" s="20">
        <v>12</v>
      </c>
      <c r="B78" s="172" t="s">
        <v>11</v>
      </c>
      <c r="C78" s="173"/>
      <c r="D78" s="15">
        <f t="shared" si="5"/>
        <v>337312</v>
      </c>
      <c r="E78" s="18">
        <f>IF(F3="1",SUMIF(Data!A:A,'23'!$A$2,Data!EJ:EJ),0)</f>
        <v>884880</v>
      </c>
      <c r="F78" s="22">
        <f t="shared" si="4"/>
        <v>2.62</v>
      </c>
    </row>
    <row r="79" spans="1:6" x14ac:dyDescent="0.2">
      <c r="A79" s="20">
        <v>13</v>
      </c>
      <c r="B79" s="172" t="s">
        <v>12</v>
      </c>
      <c r="C79" s="173"/>
      <c r="D79" s="15">
        <f t="shared" si="5"/>
        <v>22792</v>
      </c>
      <c r="E79" s="18">
        <f>IF(F3="1",SUMIF(Data!A:A,'23'!$A$2,Data!EK:EK),0)</f>
        <v>154445</v>
      </c>
      <c r="F79" s="22">
        <f t="shared" si="4"/>
        <v>6.78</v>
      </c>
    </row>
    <row r="80" spans="1:6" ht="14.25" customHeight="1" x14ac:dyDescent="0.2">
      <c r="A80" s="20">
        <v>14</v>
      </c>
      <c r="B80" s="172" t="s">
        <v>469</v>
      </c>
      <c r="C80" s="173"/>
      <c r="D80" s="15">
        <f t="shared" si="5"/>
        <v>144792</v>
      </c>
      <c r="E80" s="18">
        <f>IF(F3="1",SUMIF(Data!A:A,'23'!$A$2,Data!EL:EL),0)</f>
        <v>510407</v>
      </c>
      <c r="F80" s="22">
        <f t="shared" si="4"/>
        <v>3.53</v>
      </c>
    </row>
    <row r="81" spans="1:6" x14ac:dyDescent="0.2">
      <c r="A81" s="20">
        <v>15</v>
      </c>
      <c r="B81" s="172" t="s">
        <v>13</v>
      </c>
      <c r="C81" s="173"/>
      <c r="D81" s="15">
        <f t="shared" si="5"/>
        <v>0</v>
      </c>
      <c r="E81" s="18">
        <f>IF(F3="1",SUMIF(Data!A:A,'23'!$A$2,Data!EM:EM),0)</f>
        <v>0</v>
      </c>
      <c r="F81" s="22" t="str">
        <f t="shared" si="4"/>
        <v/>
      </c>
    </row>
    <row r="82" spans="1:6" x14ac:dyDescent="0.2">
      <c r="A82" s="20">
        <v>16</v>
      </c>
      <c r="B82" s="172" t="s">
        <v>14</v>
      </c>
      <c r="C82" s="173"/>
      <c r="D82" s="15">
        <f t="shared" si="5"/>
        <v>183857</v>
      </c>
      <c r="E82" s="18">
        <f>IF(F3="1",SUMIF(Data!A:A,'23'!$A$2,Data!EN:EN),0)</f>
        <v>616274</v>
      </c>
      <c r="F82" s="22">
        <f t="shared" si="4"/>
        <v>3.35</v>
      </c>
    </row>
    <row r="83" spans="1:6" x14ac:dyDescent="0.2">
      <c r="A83" s="20">
        <v>17</v>
      </c>
      <c r="B83" s="172" t="s">
        <v>15</v>
      </c>
      <c r="C83" s="173"/>
      <c r="D83" s="15">
        <f t="shared" si="5"/>
        <v>0</v>
      </c>
      <c r="E83" s="18">
        <f>IF(F3="1",SUMIF(Data!A:A,'23'!$A$2,Data!EO:EO),0)</f>
        <v>0</v>
      </c>
      <c r="F83" s="22" t="str">
        <f t="shared" si="4"/>
        <v/>
      </c>
    </row>
    <row r="84" spans="1:6" x14ac:dyDescent="0.2">
      <c r="A84" s="20">
        <v>18</v>
      </c>
      <c r="B84" s="172" t="s">
        <v>16</v>
      </c>
      <c r="C84" s="173"/>
      <c r="D84" s="15">
        <f t="shared" si="5"/>
        <v>89664</v>
      </c>
      <c r="E84" s="18">
        <f>IF(F3="1",SUMIF(Data!A:A,'23'!$A$2,Data!EP:EP),0)</f>
        <v>301407</v>
      </c>
      <c r="F84" s="22">
        <f t="shared" si="4"/>
        <v>3.36</v>
      </c>
    </row>
    <row r="85" spans="1:6" x14ac:dyDescent="0.2">
      <c r="A85" s="20">
        <v>19</v>
      </c>
      <c r="B85" s="172" t="s">
        <v>17</v>
      </c>
      <c r="C85" s="173"/>
      <c r="D85" s="15">
        <f t="shared" si="5"/>
        <v>257008</v>
      </c>
      <c r="E85" s="18">
        <f>IF(F3="1",SUMIF(Data!A:A,'23'!$A$2,Data!EQ:EQ),0)</f>
        <v>685969</v>
      </c>
      <c r="F85" s="22">
        <f t="shared" si="4"/>
        <v>2.67</v>
      </c>
    </row>
    <row r="86" spans="1:6" x14ac:dyDescent="0.2">
      <c r="A86" s="20">
        <v>20</v>
      </c>
      <c r="B86" s="172" t="s">
        <v>18</v>
      </c>
      <c r="C86" s="173"/>
      <c r="D86" s="15">
        <f t="shared" si="5"/>
        <v>42240</v>
      </c>
      <c r="E86" s="18">
        <f>IF(F3="1",SUMIF(Data!A:A,'23'!$A$2,Data!ER:ER),0)</f>
        <v>163049</v>
      </c>
      <c r="F86" s="22">
        <f t="shared" si="4"/>
        <v>3.86</v>
      </c>
    </row>
    <row r="87" spans="1:6" ht="14.25" customHeight="1" x14ac:dyDescent="0.2">
      <c r="A87" s="20">
        <v>21</v>
      </c>
      <c r="B87" s="172" t="s">
        <v>466</v>
      </c>
      <c r="C87" s="173"/>
      <c r="D87" s="15">
        <f t="shared" si="5"/>
        <v>26400</v>
      </c>
      <c r="E87" s="18">
        <f>IF(F3="1",SUMIF(Data!A:A,'23'!$A$2,Data!ES:ES),0)</f>
        <v>58207</v>
      </c>
      <c r="F87" s="22">
        <f t="shared" si="4"/>
        <v>2.2000000000000002</v>
      </c>
    </row>
    <row r="88" spans="1:6" x14ac:dyDescent="0.2">
      <c r="A88" s="20">
        <v>22</v>
      </c>
      <c r="B88" s="172" t="s">
        <v>19</v>
      </c>
      <c r="C88" s="173"/>
      <c r="D88" s="15">
        <f t="shared" si="5"/>
        <v>12272</v>
      </c>
      <c r="E88" s="18">
        <f>IF(F3="1",SUMIF(Data!A:A,'23'!$A$2,Data!ET:ET),0)</f>
        <v>0</v>
      </c>
      <c r="F88" s="22">
        <f t="shared" si="4"/>
        <v>0</v>
      </c>
    </row>
    <row r="89" spans="1:6" x14ac:dyDescent="0.2">
      <c r="A89" s="20">
        <v>23</v>
      </c>
      <c r="B89" s="172" t="s">
        <v>20</v>
      </c>
      <c r="C89" s="173"/>
      <c r="D89" s="15">
        <f t="shared" si="5"/>
        <v>125536</v>
      </c>
      <c r="E89" s="18">
        <f>IF(F3="1",SUMIF(Data!A:A,'23'!$A$2,Data!EU:EU),0)</f>
        <v>546639</v>
      </c>
      <c r="F89" s="22">
        <f t="shared" si="4"/>
        <v>4.3499999999999996</v>
      </c>
    </row>
    <row r="90" spans="1:6" x14ac:dyDescent="0.2">
      <c r="A90" s="20">
        <v>24</v>
      </c>
      <c r="B90" s="172" t="s">
        <v>21</v>
      </c>
      <c r="C90" s="173"/>
      <c r="D90" s="15">
        <f t="shared" si="5"/>
        <v>321660</v>
      </c>
      <c r="E90" s="18">
        <f>IF(F3="1",SUMIF(Data!A:A,'23'!$A$2,Data!EV:EV),0)</f>
        <v>255517</v>
      </c>
      <c r="F90" s="22">
        <f t="shared" si="4"/>
        <v>0.79</v>
      </c>
    </row>
    <row r="91" spans="1:6" x14ac:dyDescent="0.2">
      <c r="A91" s="20">
        <v>25</v>
      </c>
      <c r="B91" s="172" t="s">
        <v>22</v>
      </c>
      <c r="C91" s="173"/>
      <c r="D91" s="15">
        <f t="shared" si="5"/>
        <v>385392</v>
      </c>
      <c r="E91" s="18">
        <f>IF(F3="1",SUMIF(Data!A:A,'23'!$A$2,Data!EW:EW),0)</f>
        <v>750789</v>
      </c>
      <c r="F91" s="22">
        <f t="shared" si="4"/>
        <v>1.95</v>
      </c>
    </row>
    <row r="92" spans="1:6" x14ac:dyDescent="0.2">
      <c r="A92" s="20">
        <v>26</v>
      </c>
      <c r="B92" s="172" t="s">
        <v>23</v>
      </c>
      <c r="C92" s="173"/>
      <c r="D92" s="15">
        <f t="shared" si="5"/>
        <v>196768</v>
      </c>
      <c r="E92" s="18">
        <f>IF(F3="1",SUMIF(Data!A:A,'23'!$A$2,Data!EX:EX),0)</f>
        <v>682920</v>
      </c>
      <c r="F92" s="22">
        <f t="shared" si="4"/>
        <v>3.47</v>
      </c>
    </row>
    <row r="93" spans="1:6" x14ac:dyDescent="0.2">
      <c r="A93" s="20">
        <v>28</v>
      </c>
      <c r="B93" s="172" t="s">
        <v>24</v>
      </c>
      <c r="C93" s="173"/>
      <c r="D93" s="15">
        <f t="shared" si="5"/>
        <v>0</v>
      </c>
      <c r="E93" s="18">
        <f>IF(F3="1",SUMIF(Data!A:A,'23'!$A$2,Data!EZ:EZ),0)</f>
        <v>0</v>
      </c>
      <c r="F93" s="22" t="str">
        <f t="shared" si="4"/>
        <v/>
      </c>
    </row>
    <row r="94" spans="1:6" ht="15.75" customHeight="1" thickBot="1" x14ac:dyDescent="0.25">
      <c r="A94" s="23">
        <v>29</v>
      </c>
      <c r="B94" s="174" t="s">
        <v>25</v>
      </c>
      <c r="C94" s="175"/>
      <c r="D94" s="24">
        <f t="shared" si="5"/>
        <v>0</v>
      </c>
      <c r="E94" s="25">
        <f>IF(F3="1",SUMIF(Data!A:A,'23'!$A$2,Data!FA:FA),0)</f>
        <v>0</v>
      </c>
      <c r="F94" s="26" t="str">
        <f t="shared" si="4"/>
        <v/>
      </c>
    </row>
    <row r="95" spans="1:6" x14ac:dyDescent="0.2">
      <c r="B95" s="31" t="s">
        <v>35</v>
      </c>
      <c r="C95" s="31"/>
      <c r="D95" s="61">
        <f>SUM(D67:D94)</f>
        <v>3447866</v>
      </c>
      <c r="E95" s="32">
        <f>SUM(E67:E94)</f>
        <v>8527362</v>
      </c>
      <c r="F95" s="33">
        <f t="shared" si="4"/>
        <v>2.4700000000000002</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IF(F3="1",SUMIF(Data!A:A,'23'!$A$2,Data!AH:AH),0)</f>
        <v>3385261</v>
      </c>
      <c r="F98" s="21">
        <f>IF($D$105=0,"",ROUND(E98/$D$105,2))</f>
        <v>0.98</v>
      </c>
    </row>
    <row r="99" spans="2:6" x14ac:dyDescent="0.2">
      <c r="B99" s="178" t="s">
        <v>31</v>
      </c>
      <c r="C99" s="179"/>
      <c r="D99" s="37"/>
      <c r="E99" s="18">
        <f>IF(F3="1",SUMIF(Data!A:A,'23'!$A$2,Data!AI:AI),0)</f>
        <v>1323777</v>
      </c>
      <c r="F99" s="22">
        <f t="shared" ref="F99:F105" si="6">IF($D$105=0,"",ROUND(E99/$D$105,2))</f>
        <v>0.38</v>
      </c>
    </row>
    <row r="100" spans="2:6" x14ac:dyDescent="0.2">
      <c r="B100" s="178" t="s">
        <v>32</v>
      </c>
      <c r="C100" s="179"/>
      <c r="D100" s="37"/>
      <c r="E100" s="18">
        <f>IF(F3="1",SUMIF(Data!A:A,'23'!$A$2,Data!AJ:AJ),0)</f>
        <v>2174290</v>
      </c>
      <c r="F100" s="22">
        <f t="shared" si="6"/>
        <v>0.63</v>
      </c>
    </row>
    <row r="101" spans="2:6" x14ac:dyDescent="0.2">
      <c r="B101" s="178" t="s">
        <v>28</v>
      </c>
      <c r="C101" s="179"/>
      <c r="D101" s="37"/>
      <c r="E101" s="18">
        <f>IF(F3="1",SUMIF(Data!A:A,'23'!$A$2,Data!AK:AK),0)</f>
        <v>0</v>
      </c>
      <c r="F101" s="22">
        <f t="shared" si="6"/>
        <v>0</v>
      </c>
    </row>
    <row r="102" spans="2:6" x14ac:dyDescent="0.2">
      <c r="B102" s="178" t="s">
        <v>33</v>
      </c>
      <c r="C102" s="179"/>
      <c r="D102" s="37"/>
      <c r="E102" s="18">
        <f>IF(F3="1",SUMIF(Data!A:A,'23'!$A$2,Data!AL:AL),0)</f>
        <v>37166</v>
      </c>
      <c r="F102" s="22">
        <f t="shared" si="6"/>
        <v>0.01</v>
      </c>
    </row>
    <row r="103" spans="2:6" x14ac:dyDescent="0.2">
      <c r="B103" s="180" t="s">
        <v>34</v>
      </c>
      <c r="C103" s="181"/>
      <c r="D103" s="37"/>
      <c r="E103" s="18">
        <f>IF(F3="1",SUMIF(Data!A:A,'23'!$A$2,Data!AM:AM),0)</f>
        <v>257084</v>
      </c>
      <c r="F103" s="22">
        <f t="shared" si="6"/>
        <v>7.0000000000000007E-2</v>
      </c>
    </row>
    <row r="104" spans="2:6" ht="15.75" customHeight="1" thickBot="1" x14ac:dyDescent="0.25">
      <c r="B104" s="170" t="s">
        <v>29</v>
      </c>
      <c r="C104" s="171"/>
      <c r="D104" s="38"/>
      <c r="E104" s="25">
        <f>IF(F3="1",SUMIF(Data!A:A,'23'!$A$2,Data!Q:Q),0)</f>
        <v>481998</v>
      </c>
      <c r="F104" s="26">
        <f t="shared" si="6"/>
        <v>0.14000000000000001</v>
      </c>
    </row>
    <row r="105" spans="2:6" x14ac:dyDescent="0.2">
      <c r="B105" s="31" t="s">
        <v>35</v>
      </c>
      <c r="C105" s="31"/>
      <c r="D105" s="35">
        <f>D95</f>
        <v>3447866</v>
      </c>
      <c r="E105" s="32">
        <f>SUM(E98:E104)</f>
        <v>7659576</v>
      </c>
      <c r="F105" s="33">
        <f t="shared" si="6"/>
        <v>2.2200000000000002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8925532</v>
      </c>
      <c r="D109" s="16">
        <f>IF(F3="1",SUMIF(Data!$A:$A,$A$2,Data!HJ:HJ),0)</f>
        <v>318634</v>
      </c>
      <c r="E109" s="16">
        <f>IF(F3="1",SUMIF(Data!$A:$A,$A$2,Data!IN:IN),0)</f>
        <v>1533530</v>
      </c>
      <c r="F109" s="48">
        <f>SUM(C109:E109)</f>
        <v>10777696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81357</v>
      </c>
      <c r="D111" s="52"/>
      <c r="E111" s="51">
        <f>IF(F3="1",SUMIF(Data!A:A,$A$2,Data!AX:AX),0)</f>
        <v>196516</v>
      </c>
      <c r="F111" s="49">
        <f t="shared" si="7"/>
        <v>277873</v>
      </c>
    </row>
    <row r="112" spans="2:6" x14ac:dyDescent="0.2">
      <c r="B112" s="43" t="s">
        <v>32</v>
      </c>
      <c r="C112" s="51">
        <f>IF(F3="1",SUMIF(Data!A:A,$A$2,Data!V:V),0)</f>
        <v>1804366</v>
      </c>
      <c r="D112" s="52"/>
      <c r="E112" s="51">
        <f>IF(F3="1",SUMIF(Data!A:A,$A$2,Data!AC:AC),0)</f>
        <v>369924</v>
      </c>
      <c r="F112" s="49">
        <f t="shared" si="7"/>
        <v>2174290</v>
      </c>
    </row>
    <row r="113" spans="1:6" x14ac:dyDescent="0.2">
      <c r="B113" s="43" t="s">
        <v>31</v>
      </c>
      <c r="C113" s="51">
        <f>IF(F3="1",SUMIF(Data!A:A,$A$2,Data!U:U),0)</f>
        <v>989780</v>
      </c>
      <c r="D113" s="52"/>
      <c r="E113" s="51">
        <f>IF(F3="1",SUMIF(Data!A:A,$A$2,Data!AB:AB),0)</f>
        <v>333997</v>
      </c>
      <c r="F113" s="49">
        <f t="shared" si="7"/>
        <v>1323777</v>
      </c>
    </row>
    <row r="114" spans="1:6" x14ac:dyDescent="0.2">
      <c r="B114" s="43" t="s">
        <v>1021</v>
      </c>
      <c r="C114" s="51">
        <f>IF(F3="1",SUMIF(Data!A:A,$A$2,Data!T:T),0)</f>
        <v>1936555</v>
      </c>
      <c r="D114" s="52"/>
      <c r="E114" s="51">
        <f>IF(F3="1",SUMIF(Data!A:A,$A$2,Data!AA:AA),0)</f>
        <v>1448706</v>
      </c>
      <c r="F114" s="49">
        <f t="shared" si="7"/>
        <v>3385261</v>
      </c>
    </row>
    <row r="115" spans="1:6" x14ac:dyDescent="0.2">
      <c r="B115" s="43" t="s">
        <v>937</v>
      </c>
      <c r="C115" s="51">
        <f>IF(F3="1",SUMIF(Data!A:A,$A$2,Data!BI:BI),0)</f>
        <v>1028365</v>
      </c>
      <c r="D115" s="51">
        <f>IF(F3="1",SUMIF(Data!A:A,$A$2,Data!BL:BL),0)</f>
        <v>294412</v>
      </c>
      <c r="E115" s="51">
        <f>IF(F3="1",SUMIF(Data!A:A,$A$2,Data!BU:BU),0)</f>
        <v>1909183</v>
      </c>
      <c r="F115" s="49">
        <f t="shared" si="7"/>
        <v>3231960</v>
      </c>
    </row>
    <row r="116" spans="1:6" x14ac:dyDescent="0.2">
      <c r="B116" s="43" t="s">
        <v>33</v>
      </c>
      <c r="C116" s="51">
        <f>IF(F3="1",SUMIF(Data!A:A,$A$2,Data!X:X),0)</f>
        <v>0</v>
      </c>
      <c r="D116" s="51"/>
      <c r="E116" s="51">
        <f>E102</f>
        <v>37166</v>
      </c>
      <c r="F116" s="49">
        <f t="shared" si="7"/>
        <v>37166</v>
      </c>
    </row>
    <row r="117" spans="1:6" ht="15" thickBot="1" x14ac:dyDescent="0.25">
      <c r="B117" s="44" t="s">
        <v>941</v>
      </c>
      <c r="C117" s="53"/>
      <c r="D117" s="53">
        <f>IF(F3="1",SUMIF(Data!A:A,$A$2,Data!Q:Q),0)</f>
        <v>481998</v>
      </c>
      <c r="E117" s="53"/>
      <c r="F117" s="50">
        <f>SUM(C117:E117)</f>
        <v>481998</v>
      </c>
    </row>
    <row r="118" spans="1:6" x14ac:dyDescent="0.2">
      <c r="B118" s="14" t="s">
        <v>35</v>
      </c>
      <c r="C118" s="5">
        <f>SUM(C109:C116)</f>
        <v>14765955</v>
      </c>
      <c r="D118" s="5">
        <f>SUM(D109:D116)</f>
        <v>613046</v>
      </c>
      <c r="E118" s="5">
        <f>SUM(E109:E116)</f>
        <v>5829022</v>
      </c>
      <c r="F118" s="5">
        <f>SUM(F109:F116)</f>
        <v>21208023</v>
      </c>
    </row>
    <row r="119" spans="1:6" ht="15" thickBot="1" x14ac:dyDescent="0.25"/>
    <row r="120" spans="1:6" ht="15" thickBot="1" x14ac:dyDescent="0.25">
      <c r="B120" s="57" t="s">
        <v>942</v>
      </c>
      <c r="C120" s="55"/>
      <c r="D120" s="55"/>
      <c r="E120" s="55">
        <f>IF(F3="1",SUMIF(Data!A:A,'23'!$A$2,Data!AM:AM),0)</f>
        <v>257084</v>
      </c>
      <c r="F120" s="56">
        <f>SUM(C120:E120)</f>
        <v>257084</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378</v>
      </c>
      <c r="B2" s="60" t="str">
        <f>VLOOKUP(A2,Data!A:G,7,0)</f>
        <v>Laredo Community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0</v>
      </c>
      <c r="E5" s="16">
        <f>E36+E67+IFERROR($E$105/$D$105*D5,0)</f>
        <v>0</v>
      </c>
      <c r="F5" s="21" t="str">
        <f>IF(OR(D5=0,E5=0),"",ROUND(E5/D5,2))</f>
        <v/>
      </c>
    </row>
    <row r="6" spans="1:6" x14ac:dyDescent="0.2">
      <c r="A6" s="20">
        <v>2</v>
      </c>
      <c r="B6" s="172" t="s">
        <v>1</v>
      </c>
      <c r="C6" s="173"/>
      <c r="D6" s="15">
        <f t="shared" ref="D6:D32" si="0">D37</f>
        <v>0</v>
      </c>
      <c r="E6" s="18">
        <f t="shared" ref="E6:E32" si="1">E37+E68+IFERROR($E$105/$D$105*D6,0)</f>
        <v>0</v>
      </c>
      <c r="F6" s="22" t="str">
        <f t="shared" ref="F6:F33" si="2">IF(OR(D6=0,E6=0),"",ROUND(E6/D6,2))</f>
        <v/>
      </c>
    </row>
    <row r="7" spans="1:6" ht="14.25" customHeight="1" x14ac:dyDescent="0.2">
      <c r="A7" s="20">
        <v>3</v>
      </c>
      <c r="B7" s="172" t="s">
        <v>2</v>
      </c>
      <c r="C7" s="173"/>
      <c r="D7" s="15">
        <f t="shared" si="0"/>
        <v>281600</v>
      </c>
      <c r="E7" s="18">
        <f t="shared" si="1"/>
        <v>2609155.2554394687</v>
      </c>
      <c r="F7" s="22">
        <f t="shared" si="2"/>
        <v>9.27</v>
      </c>
    </row>
    <row r="8" spans="1:6" ht="14.25" customHeight="1" x14ac:dyDescent="0.2">
      <c r="A8" s="20">
        <v>4</v>
      </c>
      <c r="B8" s="172" t="s">
        <v>3</v>
      </c>
      <c r="C8" s="173"/>
      <c r="D8" s="15">
        <f t="shared" si="0"/>
        <v>212240</v>
      </c>
      <c r="E8" s="18">
        <f t="shared" si="1"/>
        <v>2279567.0612729862</v>
      </c>
      <c r="F8" s="22">
        <f t="shared" si="2"/>
        <v>10.74</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141024</v>
      </c>
      <c r="E10" s="18">
        <f t="shared" si="1"/>
        <v>1184138.730422925</v>
      </c>
      <c r="F10" s="22">
        <f t="shared" si="2"/>
        <v>8.4</v>
      </c>
    </row>
    <row r="11" spans="1:6" x14ac:dyDescent="0.2">
      <c r="A11" s="20">
        <v>7</v>
      </c>
      <c r="B11" s="172" t="s">
        <v>6</v>
      </c>
      <c r="C11" s="173"/>
      <c r="D11" s="15">
        <f t="shared" si="0"/>
        <v>235632</v>
      </c>
      <c r="E11" s="18">
        <f t="shared" si="1"/>
        <v>2608001.7149918783</v>
      </c>
      <c r="F11" s="22">
        <f t="shared" si="2"/>
        <v>11.07</v>
      </c>
    </row>
    <row r="12" spans="1:6" x14ac:dyDescent="0.2">
      <c r="A12" s="20">
        <v>8</v>
      </c>
      <c r="B12" s="172" t="s">
        <v>7</v>
      </c>
      <c r="C12" s="173"/>
      <c r="D12" s="15">
        <f t="shared" si="0"/>
        <v>102496</v>
      </c>
      <c r="E12" s="18">
        <f t="shared" si="1"/>
        <v>1034850.0654741613</v>
      </c>
      <c r="F12" s="22">
        <f t="shared" si="2"/>
        <v>10.1</v>
      </c>
    </row>
    <row r="13" spans="1:6" x14ac:dyDescent="0.2">
      <c r="A13" s="20">
        <v>9</v>
      </c>
      <c r="B13" s="172" t="s">
        <v>8</v>
      </c>
      <c r="C13" s="173"/>
      <c r="D13" s="15">
        <f t="shared" si="0"/>
        <v>0</v>
      </c>
      <c r="E13" s="18">
        <f t="shared" si="1"/>
        <v>0</v>
      </c>
      <c r="F13" s="22" t="str">
        <f t="shared" si="2"/>
        <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0</v>
      </c>
      <c r="E15" s="18">
        <f t="shared" si="1"/>
        <v>0</v>
      </c>
      <c r="F15" s="22" t="str">
        <f t="shared" si="2"/>
        <v/>
      </c>
    </row>
    <row r="16" spans="1:6" ht="14.25" customHeight="1" x14ac:dyDescent="0.2">
      <c r="A16" s="20">
        <v>12</v>
      </c>
      <c r="B16" s="172" t="s">
        <v>11</v>
      </c>
      <c r="C16" s="173"/>
      <c r="D16" s="15">
        <f t="shared" si="0"/>
        <v>426576</v>
      </c>
      <c r="E16" s="18">
        <f t="shared" si="1"/>
        <v>5241321.1906972546</v>
      </c>
      <c r="F16" s="22">
        <f t="shared" si="2"/>
        <v>12.29</v>
      </c>
    </row>
    <row r="17" spans="1:6" x14ac:dyDescent="0.2">
      <c r="A17" s="20">
        <v>13</v>
      </c>
      <c r="B17" s="172" t="s">
        <v>12</v>
      </c>
      <c r="C17" s="173"/>
      <c r="D17" s="15">
        <f t="shared" si="0"/>
        <v>97184</v>
      </c>
      <c r="E17" s="18">
        <f t="shared" si="1"/>
        <v>1063991.9156556439</v>
      </c>
      <c r="F17" s="22">
        <f t="shared" si="2"/>
        <v>10.95</v>
      </c>
    </row>
    <row r="18" spans="1:6" ht="14.25" customHeight="1" x14ac:dyDescent="0.2">
      <c r="A18" s="20">
        <v>14</v>
      </c>
      <c r="B18" s="172" t="s">
        <v>469</v>
      </c>
      <c r="C18" s="173"/>
      <c r="D18" s="15">
        <f t="shared" si="0"/>
        <v>75440</v>
      </c>
      <c r="E18" s="18">
        <f t="shared" si="1"/>
        <v>1175302.1246816532</v>
      </c>
      <c r="F18" s="22">
        <f t="shared" si="2"/>
        <v>15.58</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141056</v>
      </c>
      <c r="E20" s="18">
        <f t="shared" si="1"/>
        <v>1551242.3879519522</v>
      </c>
      <c r="F20" s="22">
        <f t="shared" si="2"/>
        <v>11</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67232</v>
      </c>
      <c r="E22" s="18">
        <f t="shared" si="1"/>
        <v>1144679.4684861731</v>
      </c>
      <c r="F22" s="22">
        <f t="shared" si="2"/>
        <v>17.03</v>
      </c>
    </row>
    <row r="23" spans="1:6" x14ac:dyDescent="0.2">
      <c r="A23" s="20">
        <v>19</v>
      </c>
      <c r="B23" s="172" t="s">
        <v>17</v>
      </c>
      <c r="C23" s="173"/>
      <c r="D23" s="15">
        <f t="shared" si="0"/>
        <v>381296</v>
      </c>
      <c r="E23" s="18">
        <f t="shared" si="1"/>
        <v>3333103.787123749</v>
      </c>
      <c r="F23" s="22">
        <f t="shared" si="2"/>
        <v>8.74</v>
      </c>
    </row>
    <row r="24" spans="1:6" x14ac:dyDescent="0.2">
      <c r="A24" s="20">
        <v>20</v>
      </c>
      <c r="B24" s="172" t="s">
        <v>18</v>
      </c>
      <c r="C24" s="173"/>
      <c r="D24" s="15">
        <f t="shared" si="0"/>
        <v>32656</v>
      </c>
      <c r="E24" s="18">
        <f t="shared" si="1"/>
        <v>746175.00837227027</v>
      </c>
      <c r="F24" s="22">
        <f t="shared" si="2"/>
        <v>22.85</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44368</v>
      </c>
      <c r="E26" s="18">
        <f t="shared" si="1"/>
        <v>491154.66399623</v>
      </c>
      <c r="F26" s="22">
        <f t="shared" si="2"/>
        <v>11.07</v>
      </c>
    </row>
    <row r="27" spans="1:6" x14ac:dyDescent="0.2">
      <c r="A27" s="20">
        <v>23</v>
      </c>
      <c r="B27" s="172" t="s">
        <v>20</v>
      </c>
      <c r="C27" s="173"/>
      <c r="D27" s="15">
        <f t="shared" si="0"/>
        <v>105728</v>
      </c>
      <c r="E27" s="18">
        <f t="shared" si="1"/>
        <v>1048821.4759059097</v>
      </c>
      <c r="F27" s="22">
        <f t="shared" si="2"/>
        <v>9.92</v>
      </c>
    </row>
    <row r="28" spans="1:6" x14ac:dyDescent="0.2">
      <c r="A28" s="20">
        <v>24</v>
      </c>
      <c r="B28" s="172" t="s">
        <v>21</v>
      </c>
      <c r="C28" s="173"/>
      <c r="D28" s="15">
        <f t="shared" si="0"/>
        <v>120784</v>
      </c>
      <c r="E28" s="18">
        <f t="shared" si="1"/>
        <v>1365423.843313213</v>
      </c>
      <c r="F28" s="22">
        <f t="shared" si="2"/>
        <v>11.3</v>
      </c>
    </row>
    <row r="29" spans="1:6" x14ac:dyDescent="0.2">
      <c r="A29" s="20">
        <v>25</v>
      </c>
      <c r="B29" s="172" t="s">
        <v>22</v>
      </c>
      <c r="C29" s="173"/>
      <c r="D29" s="15">
        <f t="shared" si="0"/>
        <v>494832</v>
      </c>
      <c r="E29" s="18">
        <f t="shared" si="1"/>
        <v>3962316.7001122986</v>
      </c>
      <c r="F29" s="22">
        <f t="shared" si="2"/>
        <v>8.01</v>
      </c>
    </row>
    <row r="30" spans="1:6" x14ac:dyDescent="0.2">
      <c r="A30" s="20">
        <v>26</v>
      </c>
      <c r="B30" s="172" t="s">
        <v>23</v>
      </c>
      <c r="C30" s="173"/>
      <c r="D30" s="15">
        <f t="shared" si="0"/>
        <v>231344</v>
      </c>
      <c r="E30" s="18">
        <f t="shared" si="1"/>
        <v>2914688.6061022319</v>
      </c>
      <c r="F30" s="22">
        <f t="shared" si="2"/>
        <v>12.6</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3191488</v>
      </c>
      <c r="E33" s="32">
        <f>SUM(E5:E32)</f>
        <v>33753934</v>
      </c>
      <c r="F33" s="33">
        <f t="shared" si="2"/>
        <v>10.58</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IF(F3="1",SUMIF(Data!A:A,'24'!$A$2,Data!CU:CU),0)</f>
        <v>0</v>
      </c>
      <c r="E36" s="16">
        <f>IF(F3="1",SUMIF(Data!$A:$A,'24'!$A$2,Data!IO:IO),0)</f>
        <v>0</v>
      </c>
      <c r="F36" s="21" t="str">
        <f>IF(D36=0,"",ROUND(E36/D36,2))</f>
        <v/>
      </c>
    </row>
    <row r="37" spans="1:6" x14ac:dyDescent="0.2">
      <c r="A37" s="20">
        <v>2</v>
      </c>
      <c r="B37" s="172" t="s">
        <v>1</v>
      </c>
      <c r="C37" s="173"/>
      <c r="D37" s="15">
        <f>IF(F3="1",SUMIF(Data!A:A,'24'!$A$2,Data!CV:CV),0)</f>
        <v>0</v>
      </c>
      <c r="E37" s="18">
        <f>IF(F3="1",SUMIF(Data!$A:$A,'24'!$A$2,Data!IP:IP),0)</f>
        <v>0</v>
      </c>
      <c r="F37" s="22" t="str">
        <f t="shared" ref="F37:F64" si="3">IF(D37=0,"",ROUND(E37/D37,2))</f>
        <v/>
      </c>
    </row>
    <row r="38" spans="1:6" ht="14.25" customHeight="1" x14ac:dyDescent="0.2">
      <c r="A38" s="20">
        <v>3</v>
      </c>
      <c r="B38" s="172" t="s">
        <v>2</v>
      </c>
      <c r="C38" s="173"/>
      <c r="D38" s="15">
        <f>IF(F3="1",SUMIF(Data!A:A,'24'!$A$2,Data!CW:CW),0)</f>
        <v>281600</v>
      </c>
      <c r="E38" s="18">
        <f>IF(F3="1",SUMIF(Data!$A:$A,'24'!$A$2,Data!IQ:IQ),0)</f>
        <v>245272</v>
      </c>
      <c r="F38" s="22">
        <f t="shared" si="3"/>
        <v>0.87</v>
      </c>
    </row>
    <row r="39" spans="1:6" ht="14.25" customHeight="1" x14ac:dyDescent="0.2">
      <c r="A39" s="20">
        <v>4</v>
      </c>
      <c r="B39" s="172" t="s">
        <v>3</v>
      </c>
      <c r="C39" s="173"/>
      <c r="D39" s="15">
        <f>IF(F3="1",SUMIF(Data!A:A,'24'!$A$2,Data!CX:CX),0)</f>
        <v>212240</v>
      </c>
      <c r="E39" s="18">
        <f>IF(F3="1",SUMIF(Data!$A:$A,'24'!$A$2,Data!IR:IR),0)</f>
        <v>195132</v>
      </c>
      <c r="F39" s="22">
        <f t="shared" si="3"/>
        <v>0.92</v>
      </c>
    </row>
    <row r="40" spans="1:6" x14ac:dyDescent="0.2">
      <c r="A40" s="20">
        <v>5</v>
      </c>
      <c r="B40" s="172" t="s">
        <v>4</v>
      </c>
      <c r="C40" s="173"/>
      <c r="D40" s="15">
        <f>IF(F3="1",SUMIF(Data!A:A,'24'!$A$2,Data!CY:CY),0)</f>
        <v>0</v>
      </c>
      <c r="E40" s="18">
        <f>IF(F3="1",SUMIF(Data!$A:$A,'24'!$A$2,Data!IS:IS),0)</f>
        <v>0</v>
      </c>
      <c r="F40" s="22" t="str">
        <f t="shared" si="3"/>
        <v/>
      </c>
    </row>
    <row r="41" spans="1:6" x14ac:dyDescent="0.2">
      <c r="A41" s="20">
        <v>6</v>
      </c>
      <c r="B41" s="172" t="s">
        <v>5</v>
      </c>
      <c r="C41" s="173"/>
      <c r="D41" s="15">
        <f>IF(F3="1",SUMIF(Data!A:A,'24'!$A$2,Data!CZ:CZ),0)</f>
        <v>141024</v>
      </c>
      <c r="E41" s="18">
        <f>IF(F3="1",SUMIF(Data!$A:$A,'24'!$A$2,Data!IT:IT),0)</f>
        <v>95167</v>
      </c>
      <c r="F41" s="22">
        <f t="shared" si="3"/>
        <v>0.67</v>
      </c>
    </row>
    <row r="42" spans="1:6" x14ac:dyDescent="0.2">
      <c r="A42" s="20">
        <v>7</v>
      </c>
      <c r="B42" s="172" t="s">
        <v>6</v>
      </c>
      <c r="C42" s="173"/>
      <c r="D42" s="15">
        <f>IF(F3="1",SUMIF(Data!A:A,'24'!$A$2,Data!DA:DA),0)</f>
        <v>235632</v>
      </c>
      <c r="E42" s="18">
        <f>IF(F3="1",SUMIF(Data!$A:$A,'24'!$A$2,Data!IU:IU),0)</f>
        <v>345058</v>
      </c>
      <c r="F42" s="22">
        <f t="shared" si="3"/>
        <v>1.46</v>
      </c>
    </row>
    <row r="43" spans="1:6" x14ac:dyDescent="0.2">
      <c r="A43" s="20">
        <v>8</v>
      </c>
      <c r="B43" s="172" t="s">
        <v>7</v>
      </c>
      <c r="C43" s="173"/>
      <c r="D43" s="15">
        <f>IF(F3="1",SUMIF(Data!A:A,'24'!$A$2,Data!DB:DB),0)</f>
        <v>102496</v>
      </c>
      <c r="E43" s="18">
        <f>IF(F3="1",SUMIF(Data!$A:$A,'24'!$A$2,Data!IV:IV),0)</f>
        <v>121697</v>
      </c>
      <c r="F43" s="22">
        <f t="shared" si="3"/>
        <v>1.19</v>
      </c>
    </row>
    <row r="44" spans="1:6" x14ac:dyDescent="0.2">
      <c r="A44" s="20">
        <v>9</v>
      </c>
      <c r="B44" s="172" t="s">
        <v>8</v>
      </c>
      <c r="C44" s="173"/>
      <c r="D44" s="15">
        <f>IF(F3="1",SUMIF(Data!A:A,'24'!$A$2,Data!DC:DC),0)</f>
        <v>0</v>
      </c>
      <c r="E44" s="18">
        <f>IF(F3="1",SUMIF(Data!$A:$A,'24'!$A$2,Data!IW:IW),0)</f>
        <v>0</v>
      </c>
      <c r="F44" s="22" t="str">
        <f t="shared" si="3"/>
        <v/>
      </c>
    </row>
    <row r="45" spans="1:6" x14ac:dyDescent="0.2">
      <c r="A45" s="20">
        <v>10</v>
      </c>
      <c r="B45" s="172" t="s">
        <v>9</v>
      </c>
      <c r="C45" s="173"/>
      <c r="D45" s="15">
        <f>IF(F3="1",SUMIF(Data!A:A,'24'!$A$2,Data!DD:DD),0)</f>
        <v>0</v>
      </c>
      <c r="E45" s="18">
        <f>IF(F3="1",SUMIF(Data!$A:$A,'24'!$A$2,Data!IX:IX),0)</f>
        <v>0</v>
      </c>
      <c r="F45" s="22" t="str">
        <f t="shared" si="3"/>
        <v/>
      </c>
    </row>
    <row r="46" spans="1:6" x14ac:dyDescent="0.2">
      <c r="A46" s="20">
        <v>11</v>
      </c>
      <c r="B46" s="172" t="s">
        <v>10</v>
      </c>
      <c r="C46" s="173"/>
      <c r="D46" s="15">
        <f>IF(F3="1",SUMIF(Data!A:A,'24'!$A$2,Data!DE:DE),0)</f>
        <v>0</v>
      </c>
      <c r="E46" s="18">
        <f>IF(F3="1",SUMIF(Data!$A:$A,'24'!$A$2,Data!IY:IY),0)</f>
        <v>0</v>
      </c>
      <c r="F46" s="22" t="str">
        <f t="shared" si="3"/>
        <v/>
      </c>
    </row>
    <row r="47" spans="1:6" ht="14.25" customHeight="1" x14ac:dyDescent="0.2">
      <c r="A47" s="20">
        <v>12</v>
      </c>
      <c r="B47" s="172" t="s">
        <v>11</v>
      </c>
      <c r="C47" s="173"/>
      <c r="D47" s="15">
        <f>IF(F3="1",SUMIF(Data!A:A,'24'!$A$2,Data!DF:DF),0)</f>
        <v>426576</v>
      </c>
      <c r="E47" s="18">
        <f>IF(F3="1",SUMIF(Data!$A:$A,'24'!$A$2,Data!IZ:IZ),0)</f>
        <v>1106707</v>
      </c>
      <c r="F47" s="22">
        <f t="shared" si="3"/>
        <v>2.59</v>
      </c>
    </row>
    <row r="48" spans="1:6" x14ac:dyDescent="0.2">
      <c r="A48" s="20">
        <v>13</v>
      </c>
      <c r="B48" s="172" t="s">
        <v>12</v>
      </c>
      <c r="C48" s="173"/>
      <c r="D48" s="15">
        <f>IF(F3="1",SUMIF(Data!A:A,'24'!$A$2,Data!DG:DG),0)</f>
        <v>97184</v>
      </c>
      <c r="E48" s="18">
        <f>IF(F3="1",SUMIF(Data!$A:$A,'24'!$A$2,Data!JA:JA),0)</f>
        <v>98136</v>
      </c>
      <c r="F48" s="22">
        <f t="shared" si="3"/>
        <v>1.01</v>
      </c>
    </row>
    <row r="49" spans="1:6" ht="14.25" customHeight="1" x14ac:dyDescent="0.2">
      <c r="A49" s="20">
        <v>14</v>
      </c>
      <c r="B49" s="172" t="s">
        <v>469</v>
      </c>
      <c r="C49" s="173"/>
      <c r="D49" s="15">
        <f>IF(F3="1",SUMIF(Data!A:A,'24'!$A$2,Data!DH:DH),0)</f>
        <v>75440</v>
      </c>
      <c r="E49" s="18">
        <f>IF(F3="1",SUMIF(Data!$A:$A,'24'!$A$2,Data!JB:JB),0)</f>
        <v>161496</v>
      </c>
      <c r="F49" s="22">
        <f t="shared" si="3"/>
        <v>2.14</v>
      </c>
    </row>
    <row r="50" spans="1:6" x14ac:dyDescent="0.2">
      <c r="A50" s="20">
        <v>15</v>
      </c>
      <c r="B50" s="172" t="s">
        <v>13</v>
      </c>
      <c r="C50" s="173"/>
      <c r="D50" s="15">
        <f>IF(F3="1",SUMIF(Data!A:A,'24'!$A$2,Data!DI:DI),0)</f>
        <v>0</v>
      </c>
      <c r="E50" s="18">
        <f>IF(F3="1",SUMIF(Data!$A:$A,'24'!$A$2,Data!JC:JC),0)</f>
        <v>0</v>
      </c>
      <c r="F50" s="22" t="str">
        <f t="shared" si="3"/>
        <v/>
      </c>
    </row>
    <row r="51" spans="1:6" x14ac:dyDescent="0.2">
      <c r="A51" s="20">
        <v>16</v>
      </c>
      <c r="B51" s="172" t="s">
        <v>14</v>
      </c>
      <c r="C51" s="173"/>
      <c r="D51" s="15">
        <f>IF(F3="1",SUMIF(Data!A:A,'24'!$A$2,Data!DJ:DJ),0)</f>
        <v>141056</v>
      </c>
      <c r="E51" s="18">
        <f>IF(F3="1",SUMIF(Data!$A:$A,'24'!$A$2,Data!JD:JD),0)</f>
        <v>201044</v>
      </c>
      <c r="F51" s="22">
        <f t="shared" si="3"/>
        <v>1.43</v>
      </c>
    </row>
    <row r="52" spans="1:6" x14ac:dyDescent="0.2">
      <c r="A52" s="20">
        <v>17</v>
      </c>
      <c r="B52" s="172" t="s">
        <v>15</v>
      </c>
      <c r="C52" s="173"/>
      <c r="D52" s="15">
        <f>IF(F3="1",SUMIF(Data!A:A,'24'!$A$2,Data!DK:DK),0)</f>
        <v>0</v>
      </c>
      <c r="E52" s="18">
        <f>IF(F3="1",SUMIF(Data!$A:$A,'24'!$A$2,Data!JE:JE),0)</f>
        <v>0</v>
      </c>
      <c r="F52" s="22" t="str">
        <f t="shared" si="3"/>
        <v/>
      </c>
    </row>
    <row r="53" spans="1:6" x14ac:dyDescent="0.2">
      <c r="A53" s="20">
        <v>18</v>
      </c>
      <c r="B53" s="172" t="s">
        <v>16</v>
      </c>
      <c r="C53" s="173"/>
      <c r="D53" s="15">
        <f>IF(F3="1",SUMIF(Data!A:A,'24'!$A$2,Data!DL:DL),0)</f>
        <v>67232</v>
      </c>
      <c r="E53" s="18">
        <f>IF(F3="1",SUMIF(Data!$A:$A,'24'!$A$2,Data!JF:JF),0)</f>
        <v>172453</v>
      </c>
      <c r="F53" s="22">
        <f t="shared" si="3"/>
        <v>2.57</v>
      </c>
    </row>
    <row r="54" spans="1:6" x14ac:dyDescent="0.2">
      <c r="A54" s="20">
        <v>19</v>
      </c>
      <c r="B54" s="172" t="s">
        <v>17</v>
      </c>
      <c r="C54" s="173"/>
      <c r="D54" s="15">
        <f>IF(F3="1",SUMIF(Data!A:A,'24'!$A$2,Data!DM:DM),0)</f>
        <v>381296</v>
      </c>
      <c r="E54" s="18">
        <f>IF(F3="1",SUMIF(Data!$A:$A,'24'!$A$2,Data!JG:JG),0)</f>
        <v>247112</v>
      </c>
      <c r="F54" s="22">
        <f t="shared" si="3"/>
        <v>0.65</v>
      </c>
    </row>
    <row r="55" spans="1:6" x14ac:dyDescent="0.2">
      <c r="A55" s="20">
        <v>20</v>
      </c>
      <c r="B55" s="172" t="s">
        <v>18</v>
      </c>
      <c r="C55" s="173"/>
      <c r="D55" s="15">
        <f>IF(F3="1",SUMIF(Data!A:A,'24'!$A$2,Data!DN:DN),0)</f>
        <v>32656</v>
      </c>
      <c r="E55" s="18">
        <f>IF(F3="1",SUMIF(Data!$A:$A,'24'!$A$2,Data!JH:JH),0)</f>
        <v>163796</v>
      </c>
      <c r="F55" s="22">
        <f t="shared" si="3"/>
        <v>5.0199999999999996</v>
      </c>
    </row>
    <row r="56" spans="1:6" ht="14.25" customHeight="1" x14ac:dyDescent="0.2">
      <c r="A56" s="20">
        <v>21</v>
      </c>
      <c r="B56" s="172" t="s">
        <v>466</v>
      </c>
      <c r="C56" s="173"/>
      <c r="D56" s="15">
        <f>IF(F3="1",SUMIF(Data!A:A,'24'!$A$2,Data!DO:DO),0)</f>
        <v>0</v>
      </c>
      <c r="E56" s="18">
        <f>IF(F3="1",SUMIF(Data!$A:$A,'24'!$A$2,Data!JI:JI),0)</f>
        <v>0</v>
      </c>
      <c r="F56" s="22" t="str">
        <f t="shared" si="3"/>
        <v/>
      </c>
    </row>
    <row r="57" spans="1:6" x14ac:dyDescent="0.2">
      <c r="A57" s="20">
        <v>22</v>
      </c>
      <c r="B57" s="172" t="s">
        <v>19</v>
      </c>
      <c r="C57" s="173"/>
      <c r="D57" s="15">
        <f>IF(F3="1",SUMIF(Data!A:A,'24'!$A$2,Data!DP:DP),0)</f>
        <v>44368</v>
      </c>
      <c r="E57" s="18">
        <f>IF(F3="1",SUMIF(Data!$A:$A,'24'!$A$2,Data!JJ:JJ),0)</f>
        <v>64993</v>
      </c>
      <c r="F57" s="22">
        <f t="shared" si="3"/>
        <v>1.46</v>
      </c>
    </row>
    <row r="58" spans="1:6" x14ac:dyDescent="0.2">
      <c r="A58" s="20">
        <v>23</v>
      </c>
      <c r="B58" s="172" t="s">
        <v>20</v>
      </c>
      <c r="C58" s="173"/>
      <c r="D58" s="15">
        <f>IF(F3="1",SUMIF(Data!A:A,'24'!$A$2,Data!DQ:DQ),0)</f>
        <v>105728</v>
      </c>
      <c r="E58" s="18">
        <f>IF(F3="1",SUMIF(Data!$A:$A,'24'!$A$2,Data!JK:JK),0)</f>
        <v>126764</v>
      </c>
      <c r="F58" s="22">
        <f t="shared" si="3"/>
        <v>1.2</v>
      </c>
    </row>
    <row r="59" spans="1:6" x14ac:dyDescent="0.2">
      <c r="A59" s="20">
        <v>24</v>
      </c>
      <c r="B59" s="172" t="s">
        <v>21</v>
      </c>
      <c r="C59" s="173"/>
      <c r="D59" s="15">
        <f>IF(F3="1",SUMIF(Data!A:A,'24'!$A$2,Data!DR:DR),0)</f>
        <v>120784</v>
      </c>
      <c r="E59" s="18">
        <f>IF(F3="1",SUMIF(Data!$A:$A,'24'!$A$2,Data!JL:JL),0)</f>
        <v>181218</v>
      </c>
      <c r="F59" s="22">
        <f t="shared" si="3"/>
        <v>1.5</v>
      </c>
    </row>
    <row r="60" spans="1:6" x14ac:dyDescent="0.2">
      <c r="A60" s="20">
        <v>25</v>
      </c>
      <c r="B60" s="172" t="s">
        <v>22</v>
      </c>
      <c r="C60" s="173"/>
      <c r="D60" s="15">
        <f>IF(F3="1",SUMIF(Data!A:A,'24'!$A$2,Data!DS:DS),0)</f>
        <v>494832</v>
      </c>
      <c r="E60" s="18">
        <f>IF(F3="1",SUMIF(Data!$A:$A,'24'!$A$2,Data!JM:JM),0)</f>
        <v>240154</v>
      </c>
      <c r="F60" s="22">
        <f t="shared" si="3"/>
        <v>0.49</v>
      </c>
    </row>
    <row r="61" spans="1:6" x14ac:dyDescent="0.2">
      <c r="A61" s="20">
        <v>26</v>
      </c>
      <c r="B61" s="172" t="s">
        <v>23</v>
      </c>
      <c r="C61" s="173"/>
      <c r="D61" s="15">
        <f>IF(F3="1",SUMIF(Data!A:A,'24'!$A$2,Data!DT:DT),0)</f>
        <v>231344</v>
      </c>
      <c r="E61" s="18">
        <f>IF(F3="1",SUMIF(Data!$A:$A,'24'!$A$2,Data!JN:JN),0)</f>
        <v>591007</v>
      </c>
      <c r="F61" s="22">
        <f t="shared" si="3"/>
        <v>2.5499999999999998</v>
      </c>
    </row>
    <row r="62" spans="1:6" x14ac:dyDescent="0.2">
      <c r="A62" s="20">
        <v>28</v>
      </c>
      <c r="B62" s="172" t="s">
        <v>24</v>
      </c>
      <c r="C62" s="173"/>
      <c r="D62" s="15">
        <f>IF(F3="1",SUMIF(Data!A:A,'24'!$A$2,Data!DV:DV),0)</f>
        <v>0</v>
      </c>
      <c r="E62" s="18">
        <f>IF(F3="1",SUMIF(Data!$A:$A,'24'!$A$2,Data!JP:JP),0)</f>
        <v>0</v>
      </c>
      <c r="F62" s="22" t="str">
        <f t="shared" si="3"/>
        <v/>
      </c>
    </row>
    <row r="63" spans="1:6" ht="15.75" customHeight="1" thickBot="1" x14ac:dyDescent="0.25">
      <c r="A63" s="23">
        <v>29</v>
      </c>
      <c r="B63" s="174" t="s">
        <v>25</v>
      </c>
      <c r="C63" s="175"/>
      <c r="D63" s="24">
        <f>IF(F3="1",SUMIF(Data!A:A,'24'!$A$2,Data!DW:DW),0)</f>
        <v>0</v>
      </c>
      <c r="E63" s="25">
        <f>IF(F3="1",SUMIF(Data!$A:$A,'24'!$A$2,Data!JQ:JQ),0)</f>
        <v>0</v>
      </c>
      <c r="F63" s="26" t="str">
        <f t="shared" si="3"/>
        <v/>
      </c>
    </row>
    <row r="64" spans="1:6" x14ac:dyDescent="0.2">
      <c r="B64" s="31" t="s">
        <v>35</v>
      </c>
      <c r="C64" s="31"/>
      <c r="D64" s="61">
        <f>SUM(D36:D63)</f>
        <v>3191488</v>
      </c>
      <c r="E64" s="32">
        <f>SUM(E36:E63)</f>
        <v>4357206</v>
      </c>
      <c r="F64" s="33">
        <f t="shared" si="3"/>
        <v>1.37</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0</v>
      </c>
      <c r="E67" s="16">
        <f>IF(F3="1",SUMIF(Data!A:A,'24'!$A$2,Data!DY:DY),0)</f>
        <v>0</v>
      </c>
      <c r="F67" s="21" t="str">
        <f t="shared" ref="F67:F95" si="4">IF(D67=0,"",ROUND(E67/D67,2))</f>
        <v/>
      </c>
    </row>
    <row r="68" spans="1:6" x14ac:dyDescent="0.2">
      <c r="A68" s="20">
        <v>2</v>
      </c>
      <c r="B68" s="172" t="s">
        <v>1</v>
      </c>
      <c r="C68" s="173"/>
      <c r="D68" s="15">
        <f t="shared" ref="D68:D94" si="5">D37</f>
        <v>0</v>
      </c>
      <c r="E68" s="18">
        <f>IF(F3="1",SUMIF(Data!A:A,'24'!$A$2,Data!DZ:DZ),0)</f>
        <v>0</v>
      </c>
      <c r="F68" s="22" t="str">
        <f t="shared" si="4"/>
        <v/>
      </c>
    </row>
    <row r="69" spans="1:6" ht="14.25" customHeight="1" x14ac:dyDescent="0.2">
      <c r="A69" s="20">
        <v>3</v>
      </c>
      <c r="B69" s="172" t="s">
        <v>2</v>
      </c>
      <c r="C69" s="173"/>
      <c r="D69" s="15">
        <f t="shared" si="5"/>
        <v>281600</v>
      </c>
      <c r="E69" s="18">
        <f>IF(F3="1",SUMIF(Data!A:A,'24'!$A$2,Data!EA:EA),0)</f>
        <v>914897</v>
      </c>
      <c r="F69" s="22">
        <f t="shared" si="4"/>
        <v>3.25</v>
      </c>
    </row>
    <row r="70" spans="1:6" ht="14.25" customHeight="1" x14ac:dyDescent="0.2">
      <c r="A70" s="20">
        <v>4</v>
      </c>
      <c r="B70" s="172" t="s">
        <v>3</v>
      </c>
      <c r="C70" s="173"/>
      <c r="D70" s="15">
        <f t="shared" si="5"/>
        <v>212240</v>
      </c>
      <c r="E70" s="18">
        <f>IF(F3="1",SUMIF(Data!A:A,'24'!$A$2,Data!EB:EB),0)</f>
        <v>992344</v>
      </c>
      <c r="F70" s="22">
        <f t="shared" si="4"/>
        <v>4.68</v>
      </c>
    </row>
    <row r="71" spans="1:6" x14ac:dyDescent="0.2">
      <c r="A71" s="20">
        <v>5</v>
      </c>
      <c r="B71" s="172" t="s">
        <v>4</v>
      </c>
      <c r="C71" s="173"/>
      <c r="D71" s="15">
        <f t="shared" si="5"/>
        <v>0</v>
      </c>
      <c r="E71" s="18">
        <f>IF(F3="1",SUMIF(Data!A:A,'24'!$A$2,Data!EC:EC),0)</f>
        <v>0</v>
      </c>
      <c r="F71" s="22" t="str">
        <f t="shared" si="4"/>
        <v/>
      </c>
    </row>
    <row r="72" spans="1:6" x14ac:dyDescent="0.2">
      <c r="A72" s="20">
        <v>6</v>
      </c>
      <c r="B72" s="172" t="s">
        <v>5</v>
      </c>
      <c r="C72" s="173"/>
      <c r="D72" s="15">
        <f t="shared" si="5"/>
        <v>141024</v>
      </c>
      <c r="E72" s="18">
        <f>IF(F3="1",SUMIF(Data!A:A,'24'!$A$2,Data!ED:ED),0)</f>
        <v>363326</v>
      </c>
      <c r="F72" s="22">
        <f t="shared" si="4"/>
        <v>2.58</v>
      </c>
    </row>
    <row r="73" spans="1:6" x14ac:dyDescent="0.2">
      <c r="A73" s="20">
        <v>7</v>
      </c>
      <c r="B73" s="172" t="s">
        <v>6</v>
      </c>
      <c r="C73" s="173"/>
      <c r="D73" s="15">
        <f t="shared" si="5"/>
        <v>235632</v>
      </c>
      <c r="E73" s="18">
        <f>IF(F3="1",SUMIF(Data!A:A,'24'!$A$2,Data!EE:EE),0)</f>
        <v>1050488</v>
      </c>
      <c r="F73" s="22">
        <f t="shared" si="4"/>
        <v>4.46</v>
      </c>
    </row>
    <row r="74" spans="1:6" x14ac:dyDescent="0.2">
      <c r="A74" s="20">
        <v>8</v>
      </c>
      <c r="B74" s="172" t="s">
        <v>7</v>
      </c>
      <c r="C74" s="173"/>
      <c r="D74" s="15">
        <f t="shared" si="5"/>
        <v>102496</v>
      </c>
      <c r="E74" s="18">
        <f>IF(F3="1",SUMIF(Data!A:A,'24'!$A$2,Data!EF:EF),0)</f>
        <v>385755</v>
      </c>
      <c r="F74" s="22">
        <f t="shared" si="4"/>
        <v>3.76</v>
      </c>
    </row>
    <row r="75" spans="1:6" x14ac:dyDescent="0.2">
      <c r="A75" s="20">
        <v>9</v>
      </c>
      <c r="B75" s="172" t="s">
        <v>8</v>
      </c>
      <c r="C75" s="173"/>
      <c r="D75" s="15">
        <f t="shared" si="5"/>
        <v>0</v>
      </c>
      <c r="E75" s="18">
        <f>IF(F3="1",SUMIF(Data!A:A,'24'!$A$2,Data!EG:EG),0)</f>
        <v>0</v>
      </c>
      <c r="F75" s="22" t="str">
        <f t="shared" si="4"/>
        <v/>
      </c>
    </row>
    <row r="76" spans="1:6" x14ac:dyDescent="0.2">
      <c r="A76" s="20">
        <v>10</v>
      </c>
      <c r="B76" s="172" t="s">
        <v>9</v>
      </c>
      <c r="C76" s="173"/>
      <c r="D76" s="15">
        <f t="shared" si="5"/>
        <v>0</v>
      </c>
      <c r="E76" s="18">
        <f>IF(F3="1",SUMIF(Data!A:A,'24'!$A$2,Data!EH:EH),0)</f>
        <v>0</v>
      </c>
      <c r="F76" s="22" t="str">
        <f t="shared" si="4"/>
        <v/>
      </c>
    </row>
    <row r="77" spans="1:6" x14ac:dyDescent="0.2">
      <c r="A77" s="20">
        <v>11</v>
      </c>
      <c r="B77" s="172" t="s">
        <v>10</v>
      </c>
      <c r="C77" s="173"/>
      <c r="D77" s="15">
        <f t="shared" si="5"/>
        <v>0</v>
      </c>
      <c r="E77" s="18">
        <f>IF(F3="1",SUMIF(Data!A:A,'24'!$A$2,Data!EI:EI),0)</f>
        <v>0</v>
      </c>
      <c r="F77" s="22" t="str">
        <f t="shared" si="4"/>
        <v/>
      </c>
    </row>
    <row r="78" spans="1:6" ht="14.25" customHeight="1" x14ac:dyDescent="0.2">
      <c r="A78" s="20">
        <v>12</v>
      </c>
      <c r="B78" s="172" t="s">
        <v>11</v>
      </c>
      <c r="C78" s="173"/>
      <c r="D78" s="15">
        <f t="shared" si="5"/>
        <v>426576</v>
      </c>
      <c r="E78" s="18">
        <f>IF(F3="1",SUMIF(Data!A:A,'24'!$A$2,Data!EJ:EJ),0)</f>
        <v>1939647</v>
      </c>
      <c r="F78" s="22">
        <f t="shared" si="4"/>
        <v>4.55</v>
      </c>
    </row>
    <row r="79" spans="1:6" x14ac:dyDescent="0.2">
      <c r="A79" s="20">
        <v>13</v>
      </c>
      <c r="B79" s="172" t="s">
        <v>12</v>
      </c>
      <c r="C79" s="173"/>
      <c r="D79" s="15">
        <f t="shared" si="5"/>
        <v>97184</v>
      </c>
      <c r="E79" s="18">
        <f>IF(F3="1",SUMIF(Data!A:A,'24'!$A$2,Data!EK:EK),0)</f>
        <v>465791</v>
      </c>
      <c r="F79" s="22">
        <f t="shared" si="4"/>
        <v>4.79</v>
      </c>
    </row>
    <row r="80" spans="1:6" ht="14.25" customHeight="1" x14ac:dyDescent="0.2">
      <c r="A80" s="20">
        <v>14</v>
      </c>
      <c r="B80" s="172" t="s">
        <v>469</v>
      </c>
      <c r="C80" s="173"/>
      <c r="D80" s="15">
        <f t="shared" si="5"/>
        <v>75440</v>
      </c>
      <c r="E80" s="18">
        <f>IF(F3="1",SUMIF(Data!A:A,'24'!$A$2,Data!EL:EL),0)</f>
        <v>625626</v>
      </c>
      <c r="F80" s="22">
        <f t="shared" si="4"/>
        <v>8.2899999999999991</v>
      </c>
    </row>
    <row r="81" spans="1:6" x14ac:dyDescent="0.2">
      <c r="A81" s="20">
        <v>15</v>
      </c>
      <c r="B81" s="172" t="s">
        <v>13</v>
      </c>
      <c r="C81" s="173"/>
      <c r="D81" s="15">
        <f t="shared" si="5"/>
        <v>0</v>
      </c>
      <c r="E81" s="18">
        <f>IF(F3="1",SUMIF(Data!A:A,'24'!$A$2,Data!EM:EM),0)</f>
        <v>0</v>
      </c>
      <c r="F81" s="22" t="str">
        <f t="shared" si="4"/>
        <v/>
      </c>
    </row>
    <row r="82" spans="1:6" x14ac:dyDescent="0.2">
      <c r="A82" s="20">
        <v>16</v>
      </c>
      <c r="B82" s="172" t="s">
        <v>14</v>
      </c>
      <c r="C82" s="173"/>
      <c r="D82" s="15">
        <f t="shared" si="5"/>
        <v>141056</v>
      </c>
      <c r="E82" s="18">
        <f>IF(F3="1",SUMIF(Data!A:A,'24'!$A$2,Data!EN:EN),0)</f>
        <v>624388</v>
      </c>
      <c r="F82" s="22">
        <f t="shared" si="4"/>
        <v>4.43</v>
      </c>
    </row>
    <row r="83" spans="1:6" x14ac:dyDescent="0.2">
      <c r="A83" s="20">
        <v>17</v>
      </c>
      <c r="B83" s="172" t="s">
        <v>15</v>
      </c>
      <c r="C83" s="173"/>
      <c r="D83" s="15">
        <f t="shared" si="5"/>
        <v>0</v>
      </c>
      <c r="E83" s="18">
        <f>IF(F3="1",SUMIF(Data!A:A,'24'!$A$2,Data!EO:EO),0)</f>
        <v>0</v>
      </c>
      <c r="F83" s="22" t="str">
        <f t="shared" si="4"/>
        <v/>
      </c>
    </row>
    <row r="84" spans="1:6" x14ac:dyDescent="0.2">
      <c r="A84" s="20">
        <v>18</v>
      </c>
      <c r="B84" s="172" t="s">
        <v>16</v>
      </c>
      <c r="C84" s="173"/>
      <c r="D84" s="15">
        <f t="shared" si="5"/>
        <v>67232</v>
      </c>
      <c r="E84" s="18">
        <f>IF(F3="1",SUMIF(Data!A:A,'24'!$A$2,Data!EP:EP),0)</f>
        <v>626281</v>
      </c>
      <c r="F84" s="22">
        <f t="shared" si="4"/>
        <v>9.32</v>
      </c>
    </row>
    <row r="85" spans="1:6" x14ac:dyDescent="0.2">
      <c r="A85" s="20">
        <v>19</v>
      </c>
      <c r="B85" s="172" t="s">
        <v>17</v>
      </c>
      <c r="C85" s="173"/>
      <c r="D85" s="15">
        <f t="shared" si="5"/>
        <v>381296</v>
      </c>
      <c r="E85" s="18">
        <f>IF(F3="1",SUMIF(Data!A:A,'24'!$A$2,Data!EQ:EQ),0)</f>
        <v>1124015</v>
      </c>
      <c r="F85" s="22">
        <f t="shared" si="4"/>
        <v>2.95</v>
      </c>
    </row>
    <row r="86" spans="1:6" x14ac:dyDescent="0.2">
      <c r="A86" s="20">
        <v>20</v>
      </c>
      <c r="B86" s="172" t="s">
        <v>18</v>
      </c>
      <c r="C86" s="173"/>
      <c r="D86" s="15">
        <f t="shared" si="5"/>
        <v>32656</v>
      </c>
      <c r="E86" s="18">
        <f>IF(F3="1",SUMIF(Data!A:A,'24'!$A$2,Data!ER:ER),0)</f>
        <v>414346</v>
      </c>
      <c r="F86" s="22">
        <f t="shared" si="4"/>
        <v>12.69</v>
      </c>
    </row>
    <row r="87" spans="1:6" ht="14.25" customHeight="1" x14ac:dyDescent="0.2">
      <c r="A87" s="20">
        <v>21</v>
      </c>
      <c r="B87" s="172" t="s">
        <v>466</v>
      </c>
      <c r="C87" s="173"/>
      <c r="D87" s="15">
        <f t="shared" si="5"/>
        <v>0</v>
      </c>
      <c r="E87" s="18">
        <f>IF(F3="1",SUMIF(Data!A:A,'24'!$A$2,Data!ES:ES),0)</f>
        <v>0</v>
      </c>
      <c r="F87" s="22" t="str">
        <f t="shared" si="4"/>
        <v/>
      </c>
    </row>
    <row r="88" spans="1:6" x14ac:dyDescent="0.2">
      <c r="A88" s="20">
        <v>22</v>
      </c>
      <c r="B88" s="172" t="s">
        <v>19</v>
      </c>
      <c r="C88" s="173"/>
      <c r="D88" s="15">
        <f t="shared" si="5"/>
        <v>44368</v>
      </c>
      <c r="E88" s="18">
        <f>IF(F3="1",SUMIF(Data!A:A,'24'!$A$2,Data!ET:ET),0)</f>
        <v>197864</v>
      </c>
      <c r="F88" s="22">
        <f t="shared" si="4"/>
        <v>4.46</v>
      </c>
    </row>
    <row r="89" spans="1:6" x14ac:dyDescent="0.2">
      <c r="A89" s="20">
        <v>23</v>
      </c>
      <c r="B89" s="172" t="s">
        <v>20</v>
      </c>
      <c r="C89" s="173"/>
      <c r="D89" s="15">
        <f t="shared" si="5"/>
        <v>105728</v>
      </c>
      <c r="E89" s="18">
        <f>IF(F3="1",SUMIF(Data!A:A,'24'!$A$2,Data!EU:EU),0)</f>
        <v>378029</v>
      </c>
      <c r="F89" s="22">
        <f t="shared" si="4"/>
        <v>3.58</v>
      </c>
    </row>
    <row r="90" spans="1:6" x14ac:dyDescent="0.2">
      <c r="A90" s="20">
        <v>24</v>
      </c>
      <c r="B90" s="172" t="s">
        <v>21</v>
      </c>
      <c r="C90" s="173"/>
      <c r="D90" s="15">
        <f t="shared" si="5"/>
        <v>120784</v>
      </c>
      <c r="E90" s="18">
        <f>IF(F3="1",SUMIF(Data!A:A,'24'!$A$2,Data!EV:EV),0)</f>
        <v>562706</v>
      </c>
      <c r="F90" s="22">
        <f t="shared" si="4"/>
        <v>4.66</v>
      </c>
    </row>
    <row r="91" spans="1:6" x14ac:dyDescent="0.2">
      <c r="A91" s="20">
        <v>25</v>
      </c>
      <c r="B91" s="172" t="s">
        <v>22</v>
      </c>
      <c r="C91" s="173"/>
      <c r="D91" s="15">
        <f t="shared" si="5"/>
        <v>494832</v>
      </c>
      <c r="E91" s="18">
        <f>IF(F3="1",SUMIF(Data!A:A,'24'!$A$2,Data!EW:EW),0)</f>
        <v>1175981</v>
      </c>
      <c r="F91" s="22">
        <f t="shared" si="4"/>
        <v>2.38</v>
      </c>
    </row>
    <row r="92" spans="1:6" x14ac:dyDescent="0.2">
      <c r="A92" s="20">
        <v>26</v>
      </c>
      <c r="B92" s="172" t="s">
        <v>23</v>
      </c>
      <c r="C92" s="173"/>
      <c r="D92" s="15">
        <f t="shared" si="5"/>
        <v>231344</v>
      </c>
      <c r="E92" s="18">
        <f>IF(F3="1",SUMIF(Data!A:A,'24'!$A$2,Data!EX:EX),0)</f>
        <v>1133290</v>
      </c>
      <c r="F92" s="22">
        <f t="shared" si="4"/>
        <v>4.9000000000000004</v>
      </c>
    </row>
    <row r="93" spans="1:6" x14ac:dyDescent="0.2">
      <c r="A93" s="20">
        <v>28</v>
      </c>
      <c r="B93" s="172" t="s">
        <v>24</v>
      </c>
      <c r="C93" s="173"/>
      <c r="D93" s="15">
        <f t="shared" si="5"/>
        <v>0</v>
      </c>
      <c r="E93" s="18">
        <f>IF(F3="1",SUMIF(Data!A:A,'24'!$A$2,Data!EZ:EZ),0)</f>
        <v>0</v>
      </c>
      <c r="F93" s="22" t="str">
        <f t="shared" si="4"/>
        <v/>
      </c>
    </row>
    <row r="94" spans="1:6" ht="15.75" customHeight="1" thickBot="1" x14ac:dyDescent="0.25">
      <c r="A94" s="23">
        <v>29</v>
      </c>
      <c r="B94" s="174" t="s">
        <v>25</v>
      </c>
      <c r="C94" s="175"/>
      <c r="D94" s="24">
        <f t="shared" si="5"/>
        <v>0</v>
      </c>
      <c r="E94" s="25">
        <f>IF(F3="1",SUMIF(Data!A:A,'24'!$A$2,Data!FA:FA),0)</f>
        <v>0</v>
      </c>
      <c r="F94" s="26" t="str">
        <f t="shared" si="4"/>
        <v/>
      </c>
    </row>
    <row r="95" spans="1:6" x14ac:dyDescent="0.2">
      <c r="B95" s="31" t="s">
        <v>35</v>
      </c>
      <c r="C95" s="31"/>
      <c r="D95" s="61">
        <f>SUM(D67:D94)</f>
        <v>3191488</v>
      </c>
      <c r="E95" s="32">
        <f>SUM(E67:E94)</f>
        <v>12974774</v>
      </c>
      <c r="F95" s="33">
        <f t="shared" si="4"/>
        <v>4.07</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IF(F3="1",SUMIF(Data!A:A,'24'!$A$2,Data!AH:AH),0)</f>
        <v>5302429</v>
      </c>
      <c r="F98" s="21">
        <f>IF($D$105=0,"",ROUND(E98/$D$105,2))</f>
        <v>1.66</v>
      </c>
    </row>
    <row r="99" spans="2:6" x14ac:dyDescent="0.2">
      <c r="B99" s="178" t="s">
        <v>31</v>
      </c>
      <c r="C99" s="179"/>
      <c r="D99" s="37"/>
      <c r="E99" s="18">
        <f>IF(F3="1",SUMIF(Data!A:A,'24'!$A$2,Data!AI:AI),0)</f>
        <v>3996912</v>
      </c>
      <c r="F99" s="22">
        <f t="shared" ref="F99:F105" si="6">IF($D$105=0,"",ROUND(E99/$D$105,2))</f>
        <v>1.25</v>
      </c>
    </row>
    <row r="100" spans="2:6" x14ac:dyDescent="0.2">
      <c r="B100" s="178" t="s">
        <v>32</v>
      </c>
      <c r="C100" s="179"/>
      <c r="D100" s="37"/>
      <c r="E100" s="18">
        <f>IF(F3="1",SUMIF(Data!A:A,'24'!$A$2,Data!AJ:AJ),0)</f>
        <v>4423891</v>
      </c>
      <c r="F100" s="22">
        <f t="shared" si="6"/>
        <v>1.39</v>
      </c>
    </row>
    <row r="101" spans="2:6" x14ac:dyDescent="0.2">
      <c r="B101" s="178" t="s">
        <v>28</v>
      </c>
      <c r="C101" s="179"/>
      <c r="D101" s="37"/>
      <c r="E101" s="18">
        <f>IF(F3="1",SUMIF(Data!A:A,'24'!$A$2,Data!AK:AK),0)</f>
        <v>0</v>
      </c>
      <c r="F101" s="22">
        <f t="shared" si="6"/>
        <v>0</v>
      </c>
    </row>
    <row r="102" spans="2:6" x14ac:dyDescent="0.2">
      <c r="B102" s="178" t="s">
        <v>33</v>
      </c>
      <c r="C102" s="179"/>
      <c r="D102" s="37"/>
      <c r="E102" s="18">
        <f>IF(F3="1",SUMIF(Data!A:A,'24'!$A$2,Data!AL:AL),0)</f>
        <v>275261</v>
      </c>
      <c r="F102" s="22">
        <f t="shared" si="6"/>
        <v>0.09</v>
      </c>
    </row>
    <row r="103" spans="2:6" x14ac:dyDescent="0.2">
      <c r="B103" s="180" t="s">
        <v>34</v>
      </c>
      <c r="C103" s="181"/>
      <c r="D103" s="37"/>
      <c r="E103" s="18">
        <f>IF(F3="1",SUMIF(Data!A:A,'24'!$A$2,Data!AM:AM),0)</f>
        <v>992146</v>
      </c>
      <c r="F103" s="22">
        <f t="shared" si="6"/>
        <v>0.31</v>
      </c>
    </row>
    <row r="104" spans="2:6" ht="15.75" customHeight="1" thickBot="1" x14ac:dyDescent="0.25">
      <c r="B104" s="170" t="s">
        <v>29</v>
      </c>
      <c r="C104" s="171"/>
      <c r="D104" s="38"/>
      <c r="E104" s="25">
        <f>IF(F3="1",SUMIF(Data!A:A,'24'!$A$2,Data!Q:Q),0)</f>
        <v>1431315</v>
      </c>
      <c r="F104" s="26">
        <f t="shared" si="6"/>
        <v>0.45</v>
      </c>
    </row>
    <row r="105" spans="2:6" x14ac:dyDescent="0.2">
      <c r="B105" s="31" t="s">
        <v>35</v>
      </c>
      <c r="C105" s="31"/>
      <c r="D105" s="35">
        <f>D95</f>
        <v>3191488</v>
      </c>
      <c r="E105" s="32">
        <f>SUM(E98:E104)</f>
        <v>16421954</v>
      </c>
      <c r="F105" s="33">
        <f t="shared" si="6"/>
        <v>5.15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14368520</v>
      </c>
      <c r="D109" s="16">
        <f>IF(F3="1",SUMIF(Data!$A:$A,$A$2,Data!HJ:HJ),0)</f>
        <v>2224880</v>
      </c>
      <c r="E109" s="16">
        <f>IF(F3="1",SUMIF(Data!$A:$A,$A$2,Data!IN:IN),0)</f>
        <v>738578</v>
      </c>
      <c r="F109" s="48">
        <f>SUM(C109:E109)</f>
        <v>17331978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263816</v>
      </c>
      <c r="D111" s="52"/>
      <c r="E111" s="51">
        <f>IF(F3="1",SUMIF(Data!A:A,$A$2,Data!AX:AX),0)</f>
        <v>226197</v>
      </c>
      <c r="F111" s="49">
        <f t="shared" si="7"/>
        <v>490013</v>
      </c>
    </row>
    <row r="112" spans="2:6" x14ac:dyDescent="0.2">
      <c r="B112" s="43" t="s">
        <v>32</v>
      </c>
      <c r="C112" s="51">
        <f>IF(F3="1",SUMIF(Data!A:A,$A$2,Data!V:V),0)</f>
        <v>2098676</v>
      </c>
      <c r="D112" s="52"/>
      <c r="E112" s="51">
        <f>IF(F3="1",SUMIF(Data!A:A,$A$2,Data!AC:AC),0)</f>
        <v>2325215</v>
      </c>
      <c r="F112" s="49">
        <f t="shared" si="7"/>
        <v>4423891</v>
      </c>
    </row>
    <row r="113" spans="1:6" x14ac:dyDescent="0.2">
      <c r="B113" s="43" t="s">
        <v>31</v>
      </c>
      <c r="C113" s="51">
        <f>IF(F3="1",SUMIF(Data!A:A,$A$2,Data!U:U),0)</f>
        <v>3437955</v>
      </c>
      <c r="D113" s="52"/>
      <c r="E113" s="51">
        <f>IF(F3="1",SUMIF(Data!A:A,$A$2,Data!AB:AB),0)</f>
        <v>558957</v>
      </c>
      <c r="F113" s="49">
        <f t="shared" si="7"/>
        <v>3996912</v>
      </c>
    </row>
    <row r="114" spans="1:6" x14ac:dyDescent="0.2">
      <c r="B114" s="43" t="s">
        <v>1021</v>
      </c>
      <c r="C114" s="51">
        <f>IF(F3="1",SUMIF(Data!A:A,$A$2,Data!T:T),0)</f>
        <v>5076766</v>
      </c>
      <c r="D114" s="52"/>
      <c r="E114" s="51">
        <f>IF(F3="1",SUMIF(Data!A:A,$A$2,Data!AA:AA),0)</f>
        <v>225663</v>
      </c>
      <c r="F114" s="49">
        <f t="shared" si="7"/>
        <v>5302429</v>
      </c>
    </row>
    <row r="115" spans="1:6" x14ac:dyDescent="0.2">
      <c r="B115" s="43" t="s">
        <v>937</v>
      </c>
      <c r="C115" s="51">
        <f>IF(F3="1",SUMIF(Data!A:A,$A$2,Data!BI:BI),0)</f>
        <v>1630637</v>
      </c>
      <c r="D115" s="51">
        <f>IF(F3="1",SUMIF(Data!A:A,$A$2,Data!BL:BL),0)</f>
        <v>346880</v>
      </c>
      <c r="E115" s="51">
        <f>IF(F3="1",SUMIF(Data!A:A,$A$2,Data!BU:BU),0)</f>
        <v>2229282</v>
      </c>
      <c r="F115" s="49">
        <f t="shared" si="7"/>
        <v>4206799</v>
      </c>
    </row>
    <row r="116" spans="1:6" x14ac:dyDescent="0.2">
      <c r="B116" s="43" t="s">
        <v>33</v>
      </c>
      <c r="C116" s="51">
        <f>IF(F3="1",SUMIF(Data!A:A,$A$2,Data!X:X),0)</f>
        <v>0</v>
      </c>
      <c r="D116" s="51"/>
      <c r="E116" s="51">
        <f>E102</f>
        <v>275261</v>
      </c>
      <c r="F116" s="49">
        <f t="shared" si="7"/>
        <v>275261</v>
      </c>
    </row>
    <row r="117" spans="1:6" ht="15" thickBot="1" x14ac:dyDescent="0.25">
      <c r="B117" s="44" t="s">
        <v>941</v>
      </c>
      <c r="C117" s="53"/>
      <c r="D117" s="53">
        <f>IF(F3="1",SUMIF(Data!A:A,$A$2,Data!Q:Q),0)</f>
        <v>1431315</v>
      </c>
      <c r="E117" s="53"/>
      <c r="F117" s="50">
        <f>SUM(C117:E117)</f>
        <v>1431315</v>
      </c>
    </row>
    <row r="118" spans="1:6" x14ac:dyDescent="0.2">
      <c r="B118" s="14" t="s">
        <v>35</v>
      </c>
      <c r="C118" s="5">
        <f>SUM(C109:C116)</f>
        <v>26876370</v>
      </c>
      <c r="D118" s="5">
        <f>SUM(D109:D116)</f>
        <v>2571760</v>
      </c>
      <c r="E118" s="5">
        <f>SUM(E109:E116)</f>
        <v>6579153</v>
      </c>
      <c r="F118" s="5">
        <f>SUM(F109:F116)</f>
        <v>36027283</v>
      </c>
    </row>
    <row r="119" spans="1:6" ht="15" thickBot="1" x14ac:dyDescent="0.25"/>
    <row r="120" spans="1:6" ht="15" thickBot="1" x14ac:dyDescent="0.25">
      <c r="B120" s="57" t="s">
        <v>942</v>
      </c>
      <c r="C120" s="55"/>
      <c r="D120" s="55"/>
      <c r="E120" s="55">
        <f>IF(F3="1",SUMIF(Data!A:A,'24'!$A$2,Data!AM:AM),0)</f>
        <v>992146</v>
      </c>
      <c r="F120" s="56">
        <f>SUM(C120:E120)</f>
        <v>992146</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380</v>
      </c>
      <c r="B2" s="60" t="str">
        <f>VLOOKUP(A2,Data!A:G,7,0)</f>
        <v>Lee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70176</v>
      </c>
      <c r="E5" s="16">
        <f>E36+E67+IFERROR($E$105/$D$105*D5,0)</f>
        <v>499710.74166750489</v>
      </c>
      <c r="F5" s="21">
        <f>IF(OR(D5=0,E5=0),"",ROUND(E5/D5,2))</f>
        <v>7.12</v>
      </c>
    </row>
    <row r="6" spans="1:6" x14ac:dyDescent="0.2">
      <c r="A6" s="20">
        <v>2</v>
      </c>
      <c r="B6" s="172" t="s">
        <v>1</v>
      </c>
      <c r="C6" s="173"/>
      <c r="D6" s="15">
        <f t="shared" ref="D6:D32" si="0">D37</f>
        <v>145216</v>
      </c>
      <c r="E6" s="18">
        <f t="shared" ref="E6:E32" si="1">E37+E68+IFERROR($E$105/$D$105*D6,0)</f>
        <v>1934687.7317314807</v>
      </c>
      <c r="F6" s="22">
        <f t="shared" ref="F6:F33" si="2">IF(OR(D6=0,E6=0),"",ROUND(E6/D6,2))</f>
        <v>13.32</v>
      </c>
    </row>
    <row r="7" spans="1:6" ht="14.25" customHeight="1" x14ac:dyDescent="0.2">
      <c r="A7" s="20">
        <v>3</v>
      </c>
      <c r="B7" s="172" t="s">
        <v>2</v>
      </c>
      <c r="C7" s="173"/>
      <c r="D7" s="15">
        <f t="shared" si="0"/>
        <v>339984</v>
      </c>
      <c r="E7" s="18">
        <f t="shared" si="1"/>
        <v>3049162.9940020088</v>
      </c>
      <c r="F7" s="22">
        <f t="shared" si="2"/>
        <v>8.9700000000000006</v>
      </c>
    </row>
    <row r="8" spans="1:6" ht="14.25" customHeight="1" x14ac:dyDescent="0.2">
      <c r="A8" s="20">
        <v>4</v>
      </c>
      <c r="B8" s="172" t="s">
        <v>3</v>
      </c>
      <c r="C8" s="173"/>
      <c r="D8" s="15">
        <f t="shared" si="0"/>
        <v>288684</v>
      </c>
      <c r="E8" s="18">
        <f t="shared" si="1"/>
        <v>2332079.1241954798</v>
      </c>
      <c r="F8" s="22">
        <f t="shared" si="2"/>
        <v>8.08</v>
      </c>
    </row>
    <row r="9" spans="1:6" x14ac:dyDescent="0.2">
      <c r="A9" s="20">
        <v>5</v>
      </c>
      <c r="B9" s="172" t="s">
        <v>4</v>
      </c>
      <c r="C9" s="173"/>
      <c r="D9" s="15">
        <f t="shared" si="0"/>
        <v>12896</v>
      </c>
      <c r="E9" s="18">
        <f t="shared" si="1"/>
        <v>57990.237524853837</v>
      </c>
      <c r="F9" s="22">
        <f t="shared" si="2"/>
        <v>4.5</v>
      </c>
    </row>
    <row r="10" spans="1:6" x14ac:dyDescent="0.2">
      <c r="A10" s="20">
        <v>6</v>
      </c>
      <c r="B10" s="172" t="s">
        <v>5</v>
      </c>
      <c r="C10" s="173"/>
      <c r="D10" s="15">
        <f t="shared" si="0"/>
        <v>19402</v>
      </c>
      <c r="E10" s="18">
        <f t="shared" si="1"/>
        <v>211727.16845977155</v>
      </c>
      <c r="F10" s="22">
        <f t="shared" si="2"/>
        <v>10.91</v>
      </c>
    </row>
    <row r="11" spans="1:6" x14ac:dyDescent="0.2">
      <c r="A11" s="20">
        <v>7</v>
      </c>
      <c r="B11" s="172" t="s">
        <v>6</v>
      </c>
      <c r="C11" s="173"/>
      <c r="D11" s="15">
        <f t="shared" si="0"/>
        <v>184019</v>
      </c>
      <c r="E11" s="18">
        <f t="shared" si="1"/>
        <v>1962928.5718894291</v>
      </c>
      <c r="F11" s="22">
        <f t="shared" si="2"/>
        <v>10.67</v>
      </c>
    </row>
    <row r="12" spans="1:6" x14ac:dyDescent="0.2">
      <c r="A12" s="20">
        <v>8</v>
      </c>
      <c r="B12" s="172" t="s">
        <v>7</v>
      </c>
      <c r="C12" s="173"/>
      <c r="D12" s="15">
        <f t="shared" si="0"/>
        <v>90634</v>
      </c>
      <c r="E12" s="18">
        <f t="shared" si="1"/>
        <v>1234902.4903712471</v>
      </c>
      <c r="F12" s="22">
        <f t="shared" si="2"/>
        <v>13.63</v>
      </c>
    </row>
    <row r="13" spans="1:6" x14ac:dyDescent="0.2">
      <c r="A13" s="20">
        <v>9</v>
      </c>
      <c r="B13" s="172" t="s">
        <v>8</v>
      </c>
      <c r="C13" s="173"/>
      <c r="D13" s="15">
        <f t="shared" si="0"/>
        <v>159549</v>
      </c>
      <c r="E13" s="18">
        <f t="shared" si="1"/>
        <v>1169849.8156678742</v>
      </c>
      <c r="F13" s="22">
        <f t="shared" si="2"/>
        <v>7.33</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214372</v>
      </c>
      <c r="E15" s="18">
        <f t="shared" si="1"/>
        <v>1620819.7765724231</v>
      </c>
      <c r="F15" s="22">
        <f t="shared" si="2"/>
        <v>7.56</v>
      </c>
    </row>
    <row r="16" spans="1:6" ht="14.25" customHeight="1" x14ac:dyDescent="0.2">
      <c r="A16" s="20">
        <v>12</v>
      </c>
      <c r="B16" s="172" t="s">
        <v>11</v>
      </c>
      <c r="C16" s="173"/>
      <c r="D16" s="15">
        <f t="shared" si="0"/>
        <v>297516</v>
      </c>
      <c r="E16" s="18">
        <f t="shared" si="1"/>
        <v>3409124.5225995979</v>
      </c>
      <c r="F16" s="22">
        <f t="shared" si="2"/>
        <v>11.46</v>
      </c>
    </row>
    <row r="17" spans="1:6" x14ac:dyDescent="0.2">
      <c r="A17" s="20">
        <v>13</v>
      </c>
      <c r="B17" s="172" t="s">
        <v>12</v>
      </c>
      <c r="C17" s="173"/>
      <c r="D17" s="15">
        <f t="shared" si="0"/>
        <v>40513</v>
      </c>
      <c r="E17" s="18">
        <f t="shared" si="1"/>
        <v>365809.30248483276</v>
      </c>
      <c r="F17" s="22">
        <f t="shared" si="2"/>
        <v>9.0299999999999994</v>
      </c>
    </row>
    <row r="18" spans="1:6" ht="14.25" customHeight="1" x14ac:dyDescent="0.2">
      <c r="A18" s="20">
        <v>14</v>
      </c>
      <c r="B18" s="172" t="s">
        <v>469</v>
      </c>
      <c r="C18" s="173"/>
      <c r="D18" s="15">
        <f t="shared" si="0"/>
        <v>154114</v>
      </c>
      <c r="E18" s="18">
        <f t="shared" si="1"/>
        <v>1801193.916400847</v>
      </c>
      <c r="F18" s="22">
        <f t="shared" si="2"/>
        <v>11.69</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25530</v>
      </c>
      <c r="E20" s="18">
        <f t="shared" si="1"/>
        <v>706123.32351190434</v>
      </c>
      <c r="F20" s="22">
        <f t="shared" si="2"/>
        <v>27.66</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39712</v>
      </c>
      <c r="E22" s="18">
        <f t="shared" si="1"/>
        <v>525006.39644750278</v>
      </c>
      <c r="F22" s="22">
        <f t="shared" si="2"/>
        <v>13.22</v>
      </c>
    </row>
    <row r="23" spans="1:6" x14ac:dyDescent="0.2">
      <c r="A23" s="20">
        <v>19</v>
      </c>
      <c r="B23" s="172" t="s">
        <v>17</v>
      </c>
      <c r="C23" s="173"/>
      <c r="D23" s="15">
        <f t="shared" si="0"/>
        <v>172976</v>
      </c>
      <c r="E23" s="18">
        <f t="shared" si="1"/>
        <v>1834409.8335994973</v>
      </c>
      <c r="F23" s="22">
        <f t="shared" si="2"/>
        <v>10.6</v>
      </c>
    </row>
    <row r="24" spans="1:6" x14ac:dyDescent="0.2">
      <c r="A24" s="20">
        <v>20</v>
      </c>
      <c r="B24" s="172" t="s">
        <v>18</v>
      </c>
      <c r="C24" s="173"/>
      <c r="D24" s="15">
        <f t="shared" si="0"/>
        <v>68056</v>
      </c>
      <c r="E24" s="18">
        <f t="shared" si="1"/>
        <v>520439.60708680621</v>
      </c>
      <c r="F24" s="22">
        <f t="shared" si="2"/>
        <v>7.65</v>
      </c>
    </row>
    <row r="25" spans="1:6" ht="14.25" customHeight="1" x14ac:dyDescent="0.2">
      <c r="A25" s="20">
        <v>21</v>
      </c>
      <c r="B25" s="172" t="s">
        <v>466</v>
      </c>
      <c r="C25" s="173"/>
      <c r="D25" s="15">
        <f t="shared" si="0"/>
        <v>40968</v>
      </c>
      <c r="E25" s="18">
        <f t="shared" si="1"/>
        <v>328625.32901040727</v>
      </c>
      <c r="F25" s="22">
        <f t="shared" si="2"/>
        <v>8.02</v>
      </c>
    </row>
    <row r="26" spans="1:6" x14ac:dyDescent="0.2">
      <c r="A26" s="20">
        <v>22</v>
      </c>
      <c r="B26" s="172" t="s">
        <v>19</v>
      </c>
      <c r="C26" s="173"/>
      <c r="D26" s="15">
        <f t="shared" si="0"/>
        <v>43892</v>
      </c>
      <c r="E26" s="18">
        <f t="shared" si="1"/>
        <v>197371.85991321996</v>
      </c>
      <c r="F26" s="22">
        <f t="shared" si="2"/>
        <v>4.5</v>
      </c>
    </row>
    <row r="27" spans="1:6" x14ac:dyDescent="0.2">
      <c r="A27" s="20">
        <v>23</v>
      </c>
      <c r="B27" s="172" t="s">
        <v>20</v>
      </c>
      <c r="C27" s="173"/>
      <c r="D27" s="15">
        <f t="shared" si="0"/>
        <v>55365</v>
      </c>
      <c r="E27" s="18">
        <f t="shared" si="1"/>
        <v>1110540.2056888596</v>
      </c>
      <c r="F27" s="22">
        <f t="shared" si="2"/>
        <v>20.059999999999999</v>
      </c>
    </row>
    <row r="28" spans="1:6" x14ac:dyDescent="0.2">
      <c r="A28" s="20">
        <v>24</v>
      </c>
      <c r="B28" s="172" t="s">
        <v>21</v>
      </c>
      <c r="C28" s="173"/>
      <c r="D28" s="15">
        <f t="shared" si="0"/>
        <v>22470</v>
      </c>
      <c r="E28" s="18">
        <f t="shared" si="1"/>
        <v>157133.23303221664</v>
      </c>
      <c r="F28" s="22">
        <f t="shared" si="2"/>
        <v>6.99</v>
      </c>
    </row>
    <row r="29" spans="1:6" x14ac:dyDescent="0.2">
      <c r="A29" s="20">
        <v>25</v>
      </c>
      <c r="B29" s="172" t="s">
        <v>22</v>
      </c>
      <c r="C29" s="173"/>
      <c r="D29" s="15">
        <f t="shared" si="0"/>
        <v>294896</v>
      </c>
      <c r="E29" s="18">
        <f t="shared" si="1"/>
        <v>2655527.0072215647</v>
      </c>
      <c r="F29" s="22">
        <f t="shared" si="2"/>
        <v>9</v>
      </c>
    </row>
    <row r="30" spans="1:6" x14ac:dyDescent="0.2">
      <c r="A30" s="20">
        <v>26</v>
      </c>
      <c r="B30" s="172" t="s">
        <v>23</v>
      </c>
      <c r="C30" s="173"/>
      <c r="D30" s="15">
        <f t="shared" si="0"/>
        <v>122032</v>
      </c>
      <c r="E30" s="18">
        <f t="shared" si="1"/>
        <v>1348787.8109206702</v>
      </c>
      <c r="F30" s="22">
        <f t="shared" si="2"/>
        <v>11.05</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2902972</v>
      </c>
      <c r="E33" s="32">
        <f>SUM(E5:E32)</f>
        <v>29033951</v>
      </c>
      <c r="F33" s="33">
        <f t="shared" si="2"/>
        <v>10</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IF(F3="1",SUMIF(Data!A:A,'25'!$A$2,Data!CU:CU),0)</f>
        <v>70176</v>
      </c>
      <c r="E36" s="16">
        <f>IF(F3="1",SUMIF(Data!$A:$A,'25'!$A$2,Data!IO:IO),0)</f>
        <v>41850</v>
      </c>
      <c r="F36" s="21">
        <f>IF(D36=0,"",ROUND(E36/D36,2))</f>
        <v>0.6</v>
      </c>
    </row>
    <row r="37" spans="1:6" x14ac:dyDescent="0.2">
      <c r="A37" s="20">
        <v>2</v>
      </c>
      <c r="B37" s="172" t="s">
        <v>1</v>
      </c>
      <c r="C37" s="173"/>
      <c r="D37" s="15">
        <f>IF(F3="1",SUMIF(Data!A:A,'25'!$A$2,Data!CV:CV),0)</f>
        <v>145216</v>
      </c>
      <c r="E37" s="18">
        <f>IF(F3="1",SUMIF(Data!$A:$A,'25'!$A$2,Data!IP:IP),0)</f>
        <v>322375</v>
      </c>
      <c r="F37" s="22">
        <f t="shared" ref="F37:F64" si="3">IF(D37=0,"",ROUND(E37/D37,2))</f>
        <v>2.2200000000000002</v>
      </c>
    </row>
    <row r="38" spans="1:6" ht="14.25" customHeight="1" x14ac:dyDescent="0.2">
      <c r="A38" s="20">
        <v>3</v>
      </c>
      <c r="B38" s="172" t="s">
        <v>2</v>
      </c>
      <c r="C38" s="173"/>
      <c r="D38" s="15">
        <f>IF(F3="1",SUMIF(Data!A:A,'25'!$A$2,Data!CW:CW),0)</f>
        <v>339984</v>
      </c>
      <c r="E38" s="18">
        <f>IF(F3="1",SUMIF(Data!$A:$A,'25'!$A$2,Data!IQ:IQ),0)</f>
        <v>427170</v>
      </c>
      <c r="F38" s="22">
        <f t="shared" si="3"/>
        <v>1.26</v>
      </c>
    </row>
    <row r="39" spans="1:6" ht="14.25" customHeight="1" x14ac:dyDescent="0.2">
      <c r="A39" s="20">
        <v>4</v>
      </c>
      <c r="B39" s="172" t="s">
        <v>3</v>
      </c>
      <c r="C39" s="173"/>
      <c r="D39" s="15">
        <f>IF(F3="1",SUMIF(Data!A:A,'25'!$A$2,Data!CX:CX),0)</f>
        <v>288684</v>
      </c>
      <c r="E39" s="18">
        <f>IF(F3="1",SUMIF(Data!$A:$A,'25'!$A$2,Data!IR:IR),0)</f>
        <v>251115</v>
      </c>
      <c r="F39" s="22">
        <f t="shared" si="3"/>
        <v>0.87</v>
      </c>
    </row>
    <row r="40" spans="1:6" x14ac:dyDescent="0.2">
      <c r="A40" s="20">
        <v>5</v>
      </c>
      <c r="B40" s="172" t="s">
        <v>4</v>
      </c>
      <c r="C40" s="173"/>
      <c r="D40" s="15">
        <f>IF(F3="1",SUMIF(Data!A:A,'25'!$A$2,Data!CY:CY),0)</f>
        <v>12896</v>
      </c>
      <c r="E40" s="18">
        <f>IF(F3="1",SUMIF(Data!$A:$A,'25'!$A$2,Data!IS:IS),0)</f>
        <v>0</v>
      </c>
      <c r="F40" s="22" t="str">
        <f>IF(E40=0,"",ROUND(E40/D40,2))</f>
        <v/>
      </c>
    </row>
    <row r="41" spans="1:6" x14ac:dyDescent="0.2">
      <c r="A41" s="20">
        <v>6</v>
      </c>
      <c r="B41" s="172" t="s">
        <v>5</v>
      </c>
      <c r="C41" s="173"/>
      <c r="D41" s="15">
        <f>IF(F3="1",SUMIF(Data!A:A,'25'!$A$2,Data!CZ:CZ),0)</f>
        <v>19402</v>
      </c>
      <c r="E41" s="18">
        <f>IF(F3="1",SUMIF(Data!$A:$A,'25'!$A$2,Data!IT:IT),0)</f>
        <v>32680</v>
      </c>
      <c r="F41" s="22">
        <f t="shared" si="3"/>
        <v>1.68</v>
      </c>
    </row>
    <row r="42" spans="1:6" x14ac:dyDescent="0.2">
      <c r="A42" s="20">
        <v>7</v>
      </c>
      <c r="B42" s="172" t="s">
        <v>6</v>
      </c>
      <c r="C42" s="173"/>
      <c r="D42" s="15">
        <f>IF(F3="1",SUMIF(Data!A:A,'25'!$A$2,Data!DA:DA),0)</f>
        <v>184019</v>
      </c>
      <c r="E42" s="18">
        <f>IF(F3="1",SUMIF(Data!$A:$A,'25'!$A$2,Data!IU:IU),0)</f>
        <v>312420</v>
      </c>
      <c r="F42" s="22">
        <f t="shared" si="3"/>
        <v>1.7</v>
      </c>
    </row>
    <row r="43" spans="1:6" x14ac:dyDescent="0.2">
      <c r="A43" s="20">
        <v>8</v>
      </c>
      <c r="B43" s="172" t="s">
        <v>7</v>
      </c>
      <c r="C43" s="173"/>
      <c r="D43" s="15">
        <f>IF(F3="1",SUMIF(Data!A:A,'25'!$A$2,Data!DB:DB),0)</f>
        <v>90634</v>
      </c>
      <c r="E43" s="18">
        <f>IF(F3="1",SUMIF(Data!$A:$A,'25'!$A$2,Data!IV:IV),0)</f>
        <v>236856</v>
      </c>
      <c r="F43" s="22">
        <f t="shared" si="3"/>
        <v>2.61</v>
      </c>
    </row>
    <row r="44" spans="1:6" x14ac:dyDescent="0.2">
      <c r="A44" s="20">
        <v>9</v>
      </c>
      <c r="B44" s="172" t="s">
        <v>8</v>
      </c>
      <c r="C44" s="173"/>
      <c r="D44" s="15">
        <f>IF(F3="1",SUMIF(Data!A:A,'25'!$A$2,Data!DC:DC),0)</f>
        <v>159549</v>
      </c>
      <c r="E44" s="18">
        <f>IF(F3="1",SUMIF(Data!$A:$A,'25'!$A$2,Data!IW:IW),0)</f>
        <v>118207</v>
      </c>
      <c r="F44" s="22">
        <f t="shared" si="3"/>
        <v>0.74</v>
      </c>
    </row>
    <row r="45" spans="1:6" x14ac:dyDescent="0.2">
      <c r="A45" s="20">
        <v>10</v>
      </c>
      <c r="B45" s="172" t="s">
        <v>9</v>
      </c>
      <c r="C45" s="173"/>
      <c r="D45" s="15">
        <f>IF(F3="1",SUMIF(Data!A:A,'25'!$A$2,Data!DD:DD),0)</f>
        <v>0</v>
      </c>
      <c r="E45" s="18">
        <f>IF(F3="1",SUMIF(Data!$A:$A,'25'!$A$2,Data!IX:IX),0)</f>
        <v>0</v>
      </c>
      <c r="F45" s="22" t="str">
        <f t="shared" si="3"/>
        <v/>
      </c>
    </row>
    <row r="46" spans="1:6" x14ac:dyDescent="0.2">
      <c r="A46" s="20">
        <v>11</v>
      </c>
      <c r="B46" s="172" t="s">
        <v>10</v>
      </c>
      <c r="C46" s="173"/>
      <c r="D46" s="15">
        <f>IF(F3="1",SUMIF(Data!A:A,'25'!$A$2,Data!DE:DE),0)</f>
        <v>214372</v>
      </c>
      <c r="E46" s="18">
        <f>IF(F3="1",SUMIF(Data!$A:$A,'25'!$A$2,Data!IY:IY),0)</f>
        <v>158319</v>
      </c>
      <c r="F46" s="22">
        <f t="shared" si="3"/>
        <v>0.74</v>
      </c>
    </row>
    <row r="47" spans="1:6" ht="14.25" customHeight="1" x14ac:dyDescent="0.2">
      <c r="A47" s="20">
        <v>12</v>
      </c>
      <c r="B47" s="172" t="s">
        <v>11</v>
      </c>
      <c r="C47" s="173"/>
      <c r="D47" s="15">
        <f>IF(F3="1",SUMIF(Data!A:A,'25'!$A$2,Data!DF:DF),0)</f>
        <v>297516</v>
      </c>
      <c r="E47" s="18">
        <f>IF(F3="1",SUMIF(Data!$A:$A,'25'!$A$2,Data!IZ:IZ),0)</f>
        <v>404634</v>
      </c>
      <c r="F47" s="22">
        <f t="shared" si="3"/>
        <v>1.36</v>
      </c>
    </row>
    <row r="48" spans="1:6" x14ac:dyDescent="0.2">
      <c r="A48" s="20">
        <v>13</v>
      </c>
      <c r="B48" s="172" t="s">
        <v>12</v>
      </c>
      <c r="C48" s="173"/>
      <c r="D48" s="15">
        <f>IF(F3="1",SUMIF(Data!A:A,'25'!$A$2,Data!DG:DG),0)</f>
        <v>40513</v>
      </c>
      <c r="E48" s="18">
        <f>IF(F3="1",SUMIF(Data!$A:$A,'25'!$A$2,Data!JA:JA),0)</f>
        <v>29629</v>
      </c>
      <c r="F48" s="22">
        <f t="shared" si="3"/>
        <v>0.73</v>
      </c>
    </row>
    <row r="49" spans="1:6" ht="14.25" customHeight="1" x14ac:dyDescent="0.2">
      <c r="A49" s="20">
        <v>14</v>
      </c>
      <c r="B49" s="172" t="s">
        <v>469</v>
      </c>
      <c r="C49" s="173"/>
      <c r="D49" s="15">
        <f>IF(F3="1",SUMIF(Data!A:A,'25'!$A$2,Data!DH:DH),0)</f>
        <v>154114</v>
      </c>
      <c r="E49" s="18">
        <f>IF(F3="1",SUMIF(Data!$A:$A,'25'!$A$2,Data!JB:JB),0)</f>
        <v>239939</v>
      </c>
      <c r="F49" s="22">
        <f t="shared" si="3"/>
        <v>1.56</v>
      </c>
    </row>
    <row r="50" spans="1:6" x14ac:dyDescent="0.2">
      <c r="A50" s="20">
        <v>15</v>
      </c>
      <c r="B50" s="172" t="s">
        <v>13</v>
      </c>
      <c r="C50" s="173"/>
      <c r="D50" s="15">
        <f>IF(F3="1",SUMIF(Data!A:A,'25'!$A$2,Data!DI:DI),0)</f>
        <v>0</v>
      </c>
      <c r="E50" s="18">
        <f>IF(F3="1",SUMIF(Data!$A:$A,'25'!$A$2,Data!JC:JC),0)</f>
        <v>0</v>
      </c>
      <c r="F50" s="22" t="str">
        <f t="shared" si="3"/>
        <v/>
      </c>
    </row>
    <row r="51" spans="1:6" x14ac:dyDescent="0.2">
      <c r="A51" s="20">
        <v>16</v>
      </c>
      <c r="B51" s="172" t="s">
        <v>14</v>
      </c>
      <c r="C51" s="173"/>
      <c r="D51" s="15">
        <f>IF(F3="1",SUMIF(Data!A:A,'25'!$A$2,Data!DJ:DJ),0)</f>
        <v>25530</v>
      </c>
      <c r="E51" s="18">
        <f>IF(F3="1",SUMIF(Data!$A:$A,'25'!$A$2,Data!JD:JD),0)</f>
        <v>274640</v>
      </c>
      <c r="F51" s="22">
        <f t="shared" si="3"/>
        <v>10.76</v>
      </c>
    </row>
    <row r="52" spans="1:6" x14ac:dyDescent="0.2">
      <c r="A52" s="20">
        <v>17</v>
      </c>
      <c r="B52" s="172" t="s">
        <v>15</v>
      </c>
      <c r="C52" s="173"/>
      <c r="D52" s="15">
        <f>IF(F3="1",SUMIF(Data!A:A,'25'!$A$2,Data!DK:DK),0)</f>
        <v>0</v>
      </c>
      <c r="E52" s="18">
        <f>IF(F3="1",SUMIF(Data!$A:$A,'25'!$A$2,Data!JE:JE),0)</f>
        <v>0</v>
      </c>
      <c r="F52" s="22" t="str">
        <f t="shared" si="3"/>
        <v/>
      </c>
    </row>
    <row r="53" spans="1:6" x14ac:dyDescent="0.2">
      <c r="A53" s="20">
        <v>18</v>
      </c>
      <c r="B53" s="172" t="s">
        <v>16</v>
      </c>
      <c r="C53" s="173"/>
      <c r="D53" s="15">
        <f>IF(F3="1",SUMIF(Data!A:A,'25'!$A$2,Data!DL:DL),0)</f>
        <v>39712</v>
      </c>
      <c r="E53" s="18">
        <f>IF(F3="1",SUMIF(Data!$A:$A,'25'!$A$2,Data!JF:JF),0)</f>
        <v>61166</v>
      </c>
      <c r="F53" s="22">
        <f t="shared" si="3"/>
        <v>1.54</v>
      </c>
    </row>
    <row r="54" spans="1:6" x14ac:dyDescent="0.2">
      <c r="A54" s="20">
        <v>19</v>
      </c>
      <c r="B54" s="172" t="s">
        <v>17</v>
      </c>
      <c r="C54" s="173"/>
      <c r="D54" s="15">
        <f>IF(F3="1",SUMIF(Data!A:A,'25'!$A$2,Data!DM:DM),0)</f>
        <v>172976</v>
      </c>
      <c r="E54" s="18">
        <f>IF(F3="1",SUMIF(Data!$A:$A,'25'!$A$2,Data!JG:JG),0)</f>
        <v>205690</v>
      </c>
      <c r="F54" s="22">
        <f t="shared" si="3"/>
        <v>1.19</v>
      </c>
    </row>
    <row r="55" spans="1:6" x14ac:dyDescent="0.2">
      <c r="A55" s="20">
        <v>20</v>
      </c>
      <c r="B55" s="172" t="s">
        <v>18</v>
      </c>
      <c r="C55" s="173"/>
      <c r="D55" s="15">
        <f>IF(F3="1",SUMIF(Data!A:A,'25'!$A$2,Data!DN:DN),0)</f>
        <v>68056</v>
      </c>
      <c r="E55" s="18">
        <f>IF(F3="1",SUMIF(Data!$A:$A,'25'!$A$2,Data!JH:JH),0)</f>
        <v>33709</v>
      </c>
      <c r="F55" s="22">
        <f t="shared" si="3"/>
        <v>0.5</v>
      </c>
    </row>
    <row r="56" spans="1:6" ht="14.25" customHeight="1" x14ac:dyDescent="0.2">
      <c r="A56" s="20">
        <v>21</v>
      </c>
      <c r="B56" s="172" t="s">
        <v>466</v>
      </c>
      <c r="C56" s="173"/>
      <c r="D56" s="15">
        <f>IF(F3="1",SUMIF(Data!A:A,'25'!$A$2,Data!DO:DO),0)</f>
        <v>40968</v>
      </c>
      <c r="E56" s="18">
        <f>IF(F3="1",SUMIF(Data!$A:$A,'25'!$A$2,Data!JI:JI),0)</f>
        <v>26165</v>
      </c>
      <c r="F56" s="22">
        <f t="shared" si="3"/>
        <v>0.64</v>
      </c>
    </row>
    <row r="57" spans="1:6" x14ac:dyDescent="0.2">
      <c r="A57" s="20">
        <v>22</v>
      </c>
      <c r="B57" s="172" t="s">
        <v>19</v>
      </c>
      <c r="C57" s="173"/>
      <c r="D57" s="15">
        <f>IF(F3="1",SUMIF(Data!A:A,'25'!$A$2,Data!DP:DP),0)</f>
        <v>43892</v>
      </c>
      <c r="E57" s="18">
        <f>IF(F3="1",SUMIF(Data!$A:$A,'25'!$A$2,Data!JJ:JJ),0)</f>
        <v>0</v>
      </c>
      <c r="F57" s="22">
        <f t="shared" si="3"/>
        <v>0</v>
      </c>
    </row>
    <row r="58" spans="1:6" x14ac:dyDescent="0.2">
      <c r="A58" s="20">
        <v>23</v>
      </c>
      <c r="B58" s="172" t="s">
        <v>20</v>
      </c>
      <c r="C58" s="173"/>
      <c r="D58" s="15">
        <f>IF(F3="1",SUMIF(Data!A:A,'25'!$A$2,Data!DQ:DQ),0)</f>
        <v>55365</v>
      </c>
      <c r="E58" s="18">
        <f>IF(F3="1",SUMIF(Data!$A:$A,'25'!$A$2,Data!JK:JK),0)</f>
        <v>330009</v>
      </c>
      <c r="F58" s="22">
        <f t="shared" si="3"/>
        <v>5.96</v>
      </c>
    </row>
    <row r="59" spans="1:6" x14ac:dyDescent="0.2">
      <c r="A59" s="20">
        <v>24</v>
      </c>
      <c r="B59" s="172" t="s">
        <v>21</v>
      </c>
      <c r="C59" s="173"/>
      <c r="D59" s="15">
        <f>IF(F3="1",SUMIF(Data!A:A,'25'!$A$2,Data!DR:DR),0)</f>
        <v>22470</v>
      </c>
      <c r="E59" s="18">
        <f>IF(F3="1",SUMIF(Data!$A:$A,'25'!$A$2,Data!JL:JL),0)</f>
        <v>9880</v>
      </c>
      <c r="F59" s="22">
        <f t="shared" si="3"/>
        <v>0.44</v>
      </c>
    </row>
    <row r="60" spans="1:6" x14ac:dyDescent="0.2">
      <c r="A60" s="20">
        <v>25</v>
      </c>
      <c r="B60" s="172" t="s">
        <v>22</v>
      </c>
      <c r="C60" s="173"/>
      <c r="D60" s="15">
        <f>IF(F3="1",SUMIF(Data!A:A,'25'!$A$2,Data!DS:DS),0)</f>
        <v>294896</v>
      </c>
      <c r="E60" s="18">
        <f>IF(F3="1",SUMIF(Data!$A:$A,'25'!$A$2,Data!JM:JM),0)</f>
        <v>219514</v>
      </c>
      <c r="F60" s="22">
        <f t="shared" si="3"/>
        <v>0.74</v>
      </c>
    </row>
    <row r="61" spans="1:6" x14ac:dyDescent="0.2">
      <c r="A61" s="20">
        <v>26</v>
      </c>
      <c r="B61" s="172" t="s">
        <v>23</v>
      </c>
      <c r="C61" s="173"/>
      <c r="D61" s="15">
        <f>IF(F3="1",SUMIF(Data!A:A,'25'!$A$2,Data!DT:DT),0)</f>
        <v>122032</v>
      </c>
      <c r="E61" s="18">
        <f>IF(F3="1",SUMIF(Data!$A:$A,'25'!$A$2,Data!JN:JN),0)</f>
        <v>204504</v>
      </c>
      <c r="F61" s="22">
        <f t="shared" si="3"/>
        <v>1.68</v>
      </c>
    </row>
    <row r="62" spans="1:6" x14ac:dyDescent="0.2">
      <c r="A62" s="20">
        <v>28</v>
      </c>
      <c r="B62" s="172" t="s">
        <v>24</v>
      </c>
      <c r="C62" s="173"/>
      <c r="D62" s="15">
        <f>IF(F3="1",SUMIF(Data!A:A,'25'!$A$2,Data!DV:DV),0)</f>
        <v>0</v>
      </c>
      <c r="E62" s="18">
        <f>IF(F3="1",SUMIF(Data!$A:$A,'25'!$A$2,Data!JP:JP),0)</f>
        <v>0</v>
      </c>
      <c r="F62" s="22" t="str">
        <f t="shared" si="3"/>
        <v/>
      </c>
    </row>
    <row r="63" spans="1:6" ht="15.75" customHeight="1" thickBot="1" x14ac:dyDescent="0.25">
      <c r="A63" s="23">
        <v>29</v>
      </c>
      <c r="B63" s="174" t="s">
        <v>25</v>
      </c>
      <c r="C63" s="175"/>
      <c r="D63" s="24">
        <f>IF(F3="1",SUMIF(Data!A:A,'25'!$A$2,Data!DW:DW),0)</f>
        <v>0</v>
      </c>
      <c r="E63" s="25">
        <f>IF(F3="1",SUMIF(Data!$A:$A,'25'!$A$2,Data!JQ:JQ),0)</f>
        <v>0</v>
      </c>
      <c r="F63" s="26" t="str">
        <f t="shared" si="3"/>
        <v/>
      </c>
    </row>
    <row r="64" spans="1:6" x14ac:dyDescent="0.2">
      <c r="B64" s="31" t="s">
        <v>35</v>
      </c>
      <c r="C64" s="31"/>
      <c r="D64" s="61">
        <f>SUM(D36:D63)</f>
        <v>2902972</v>
      </c>
      <c r="E64" s="32">
        <f>SUM(E36:E63)</f>
        <v>3940471</v>
      </c>
      <c r="F64" s="33">
        <f t="shared" si="3"/>
        <v>1.36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70176</v>
      </c>
      <c r="E67" s="16">
        <f>IF(F3="1",SUMIF(Data!A:A,'25'!$A$2,Data!DY:DY),0)</f>
        <v>142296</v>
      </c>
      <c r="F67" s="21">
        <f t="shared" ref="F67:F95" si="4">IF(D67=0,"",ROUND(E67/D67,2))</f>
        <v>2.0299999999999998</v>
      </c>
    </row>
    <row r="68" spans="1:6" x14ac:dyDescent="0.2">
      <c r="A68" s="20">
        <v>2</v>
      </c>
      <c r="B68" s="172" t="s">
        <v>1</v>
      </c>
      <c r="C68" s="173"/>
      <c r="D68" s="15">
        <f t="shared" ref="D68:D94" si="5">D37</f>
        <v>145216</v>
      </c>
      <c r="E68" s="18">
        <f>IF(F3="1",SUMIF(Data!A:A,'25'!$A$2,Data!DZ:DZ),0)</f>
        <v>959311</v>
      </c>
      <c r="F68" s="22">
        <f t="shared" si="4"/>
        <v>6.61</v>
      </c>
    </row>
    <row r="69" spans="1:6" ht="14.25" customHeight="1" x14ac:dyDescent="0.2">
      <c r="A69" s="20">
        <v>3</v>
      </c>
      <c r="B69" s="172" t="s">
        <v>2</v>
      </c>
      <c r="C69" s="173"/>
      <c r="D69" s="15">
        <f t="shared" si="5"/>
        <v>339984</v>
      </c>
      <c r="E69" s="18">
        <f>IF(F3="1",SUMIF(Data!A:A,'25'!$A$2,Data!EA:EA),0)</f>
        <v>1093166</v>
      </c>
      <c r="F69" s="22">
        <f t="shared" si="4"/>
        <v>3.22</v>
      </c>
    </row>
    <row r="70" spans="1:6" ht="14.25" customHeight="1" x14ac:dyDescent="0.2">
      <c r="A70" s="20">
        <v>4</v>
      </c>
      <c r="B70" s="172" t="s">
        <v>3</v>
      </c>
      <c r="C70" s="173"/>
      <c r="D70" s="15">
        <f t="shared" si="5"/>
        <v>288684</v>
      </c>
      <c r="E70" s="18">
        <f>IF(F3="1",SUMIF(Data!A:A,'25'!$A$2,Data!EB:EB),0)</f>
        <v>782821</v>
      </c>
      <c r="F70" s="22">
        <f t="shared" si="4"/>
        <v>2.71</v>
      </c>
    </row>
    <row r="71" spans="1:6" x14ac:dyDescent="0.2">
      <c r="A71" s="20">
        <v>5</v>
      </c>
      <c r="B71" s="172" t="s">
        <v>4</v>
      </c>
      <c r="C71" s="173"/>
      <c r="D71" s="15">
        <f t="shared" si="5"/>
        <v>12896</v>
      </c>
      <c r="E71" s="18">
        <f>IF(F3="1",SUMIF(Data!A:A,'25'!$A$2,Data!EC:EC),0)</f>
        <v>0</v>
      </c>
      <c r="F71" s="22" t="str">
        <f>IF(E71=0,"",ROUND(E71/D71,2))</f>
        <v/>
      </c>
    </row>
    <row r="72" spans="1:6" x14ac:dyDescent="0.2">
      <c r="A72" s="20">
        <v>6</v>
      </c>
      <c r="B72" s="172" t="s">
        <v>5</v>
      </c>
      <c r="C72" s="173"/>
      <c r="D72" s="15">
        <f t="shared" si="5"/>
        <v>19402</v>
      </c>
      <c r="E72" s="18">
        <f>IF(F3="1",SUMIF(Data!A:A,'25'!$A$2,Data!ED:ED),0)</f>
        <v>91801</v>
      </c>
      <c r="F72" s="22">
        <f t="shared" si="4"/>
        <v>4.7300000000000004</v>
      </c>
    </row>
    <row r="73" spans="1:6" x14ac:dyDescent="0.2">
      <c r="A73" s="20">
        <v>7</v>
      </c>
      <c r="B73" s="172" t="s">
        <v>6</v>
      </c>
      <c r="C73" s="173"/>
      <c r="D73" s="15">
        <f t="shared" si="5"/>
        <v>184019</v>
      </c>
      <c r="E73" s="18">
        <f>IF(F3="1",SUMIF(Data!A:A,'25'!$A$2,Data!EE:EE),0)</f>
        <v>823019</v>
      </c>
      <c r="F73" s="22">
        <f t="shared" si="4"/>
        <v>4.47</v>
      </c>
    </row>
    <row r="74" spans="1:6" x14ac:dyDescent="0.2">
      <c r="A74" s="20">
        <v>8</v>
      </c>
      <c r="B74" s="172" t="s">
        <v>7</v>
      </c>
      <c r="C74" s="173"/>
      <c r="D74" s="15">
        <f t="shared" si="5"/>
        <v>90634</v>
      </c>
      <c r="E74" s="18">
        <f>IF(F3="1",SUMIF(Data!A:A,'25'!$A$2,Data!EF:EF),0)</f>
        <v>590487</v>
      </c>
      <c r="F74" s="22">
        <f t="shared" si="4"/>
        <v>6.52</v>
      </c>
    </row>
    <row r="75" spans="1:6" x14ac:dyDescent="0.2">
      <c r="A75" s="20">
        <v>9</v>
      </c>
      <c r="B75" s="172" t="s">
        <v>8</v>
      </c>
      <c r="C75" s="173"/>
      <c r="D75" s="15">
        <f t="shared" si="5"/>
        <v>159549</v>
      </c>
      <c r="E75" s="18">
        <f>IF(F3="1",SUMIF(Data!A:A,'25'!$A$2,Data!EG:EG),0)</f>
        <v>334189</v>
      </c>
      <c r="F75" s="22">
        <f t="shared" si="4"/>
        <v>2.09</v>
      </c>
    </row>
    <row r="76" spans="1:6" x14ac:dyDescent="0.2">
      <c r="A76" s="20">
        <v>10</v>
      </c>
      <c r="B76" s="172" t="s">
        <v>9</v>
      </c>
      <c r="C76" s="173"/>
      <c r="D76" s="15">
        <f t="shared" si="5"/>
        <v>0</v>
      </c>
      <c r="E76" s="18">
        <f>IF(F3="1",SUMIF(Data!A:A,'25'!$A$2,Data!EH:EH),0)</f>
        <v>0</v>
      </c>
      <c r="F76" s="22" t="str">
        <f t="shared" si="4"/>
        <v/>
      </c>
    </row>
    <row r="77" spans="1:6" x14ac:dyDescent="0.2">
      <c r="A77" s="20">
        <v>11</v>
      </c>
      <c r="B77" s="172" t="s">
        <v>10</v>
      </c>
      <c r="C77" s="173"/>
      <c r="D77" s="15">
        <f t="shared" si="5"/>
        <v>214372</v>
      </c>
      <c r="E77" s="18">
        <f>IF(F3="1",SUMIF(Data!A:A,'25'!$A$2,Data!EI:EI),0)</f>
        <v>498521</v>
      </c>
      <c r="F77" s="22">
        <f t="shared" si="4"/>
        <v>2.33</v>
      </c>
    </row>
    <row r="78" spans="1:6" ht="14.25" customHeight="1" x14ac:dyDescent="0.2">
      <c r="A78" s="20">
        <v>12</v>
      </c>
      <c r="B78" s="172" t="s">
        <v>11</v>
      </c>
      <c r="C78" s="173"/>
      <c r="D78" s="15">
        <f t="shared" si="5"/>
        <v>297516</v>
      </c>
      <c r="E78" s="18">
        <f>IF(F3="1",SUMIF(Data!A:A,'25'!$A$2,Data!EJ:EJ),0)</f>
        <v>1666632</v>
      </c>
      <c r="F78" s="22">
        <f t="shared" si="4"/>
        <v>5.6</v>
      </c>
    </row>
    <row r="79" spans="1:6" x14ac:dyDescent="0.2">
      <c r="A79" s="20">
        <v>13</v>
      </c>
      <c r="B79" s="172" t="s">
        <v>12</v>
      </c>
      <c r="C79" s="173"/>
      <c r="D79" s="15">
        <f t="shared" si="5"/>
        <v>40513</v>
      </c>
      <c r="E79" s="18">
        <f>IF(F3="1",SUMIF(Data!A:A,'25'!$A$2,Data!EK:EK),0)</f>
        <v>154003</v>
      </c>
      <c r="F79" s="22">
        <f t="shared" si="4"/>
        <v>3.8</v>
      </c>
    </row>
    <row r="80" spans="1:6" ht="14.25" customHeight="1" x14ac:dyDescent="0.2">
      <c r="A80" s="20">
        <v>14</v>
      </c>
      <c r="B80" s="172" t="s">
        <v>469</v>
      </c>
      <c r="C80" s="173"/>
      <c r="D80" s="15">
        <f t="shared" si="5"/>
        <v>154114</v>
      </c>
      <c r="E80" s="18">
        <f>IF(F3="1",SUMIF(Data!A:A,'25'!$A$2,Data!EL:EL),0)</f>
        <v>868241</v>
      </c>
      <c r="F80" s="22">
        <f t="shared" si="4"/>
        <v>5.63</v>
      </c>
    </row>
    <row r="81" spans="1:6" x14ac:dyDescent="0.2">
      <c r="A81" s="20">
        <v>15</v>
      </c>
      <c r="B81" s="172" t="s">
        <v>13</v>
      </c>
      <c r="C81" s="173"/>
      <c r="D81" s="15">
        <f t="shared" si="5"/>
        <v>0</v>
      </c>
      <c r="E81" s="18">
        <f>IF(F3="1",SUMIF(Data!A:A,'25'!$A$2,Data!EM:EM),0)</f>
        <v>0</v>
      </c>
      <c r="F81" s="22" t="str">
        <f t="shared" si="4"/>
        <v/>
      </c>
    </row>
    <row r="82" spans="1:6" x14ac:dyDescent="0.2">
      <c r="A82" s="20">
        <v>16</v>
      </c>
      <c r="B82" s="172" t="s">
        <v>14</v>
      </c>
      <c r="C82" s="173"/>
      <c r="D82" s="15">
        <f t="shared" si="5"/>
        <v>25530</v>
      </c>
      <c r="E82" s="18">
        <f>IF(F3="1",SUMIF(Data!A:A,'25'!$A$2,Data!EN:EN),0)</f>
        <v>316681</v>
      </c>
      <c r="F82" s="22">
        <f t="shared" si="4"/>
        <v>12.4</v>
      </c>
    </row>
    <row r="83" spans="1:6" x14ac:dyDescent="0.2">
      <c r="A83" s="20">
        <v>17</v>
      </c>
      <c r="B83" s="172" t="s">
        <v>15</v>
      </c>
      <c r="C83" s="173"/>
      <c r="D83" s="15">
        <f t="shared" si="5"/>
        <v>0</v>
      </c>
      <c r="E83" s="18">
        <f>IF(F3="1",SUMIF(Data!A:A,'25'!$A$2,Data!EO:EO),0)</f>
        <v>0</v>
      </c>
      <c r="F83" s="22" t="str">
        <f t="shared" si="4"/>
        <v/>
      </c>
    </row>
    <row r="84" spans="1:6" x14ac:dyDescent="0.2">
      <c r="A84" s="20">
        <v>18</v>
      </c>
      <c r="B84" s="172" t="s">
        <v>16</v>
      </c>
      <c r="C84" s="173"/>
      <c r="D84" s="15">
        <f t="shared" si="5"/>
        <v>39712</v>
      </c>
      <c r="E84" s="18">
        <f>IF(F3="1",SUMIF(Data!A:A,'25'!$A$2,Data!EP:EP),0)</f>
        <v>285265</v>
      </c>
      <c r="F84" s="22">
        <f t="shared" si="4"/>
        <v>7.18</v>
      </c>
    </row>
    <row r="85" spans="1:6" x14ac:dyDescent="0.2">
      <c r="A85" s="20">
        <v>19</v>
      </c>
      <c r="B85" s="172" t="s">
        <v>17</v>
      </c>
      <c r="C85" s="173"/>
      <c r="D85" s="15">
        <f t="shared" si="5"/>
        <v>172976</v>
      </c>
      <c r="E85" s="18">
        <f>IF(F3="1",SUMIF(Data!A:A,'25'!$A$2,Data!EQ:EQ),0)</f>
        <v>850888</v>
      </c>
      <c r="F85" s="22">
        <f t="shared" si="4"/>
        <v>4.92</v>
      </c>
    </row>
    <row r="86" spans="1:6" x14ac:dyDescent="0.2">
      <c r="A86" s="20">
        <v>20</v>
      </c>
      <c r="B86" s="172" t="s">
        <v>18</v>
      </c>
      <c r="C86" s="173"/>
      <c r="D86" s="15">
        <f t="shared" si="5"/>
        <v>68056</v>
      </c>
      <c r="E86" s="18">
        <f>IF(F3="1",SUMIF(Data!A:A,'25'!$A$2,Data!ER:ER),0)</f>
        <v>180699</v>
      </c>
      <c r="F86" s="22">
        <f t="shared" si="4"/>
        <v>2.66</v>
      </c>
    </row>
    <row r="87" spans="1:6" ht="14.25" customHeight="1" x14ac:dyDescent="0.2">
      <c r="A87" s="20">
        <v>21</v>
      </c>
      <c r="B87" s="172" t="s">
        <v>466</v>
      </c>
      <c r="C87" s="173"/>
      <c r="D87" s="15">
        <f t="shared" si="5"/>
        <v>40968</v>
      </c>
      <c r="E87" s="18">
        <f>IF(F3="1",SUMIF(Data!A:A,'25'!$A$2,Data!ES:ES),0)</f>
        <v>118237</v>
      </c>
      <c r="F87" s="22">
        <f t="shared" si="4"/>
        <v>2.89</v>
      </c>
    </row>
    <row r="88" spans="1:6" x14ac:dyDescent="0.2">
      <c r="A88" s="20">
        <v>22</v>
      </c>
      <c r="B88" s="172" t="s">
        <v>19</v>
      </c>
      <c r="C88" s="173"/>
      <c r="D88" s="15">
        <f t="shared" si="5"/>
        <v>43892</v>
      </c>
      <c r="E88" s="18">
        <f>IF(F3="1",SUMIF(Data!A:A,'25'!$A$2,Data!ET:ET),0)</f>
        <v>0</v>
      </c>
      <c r="F88" s="22">
        <f t="shared" si="4"/>
        <v>0</v>
      </c>
    </row>
    <row r="89" spans="1:6" x14ac:dyDescent="0.2">
      <c r="A89" s="20">
        <v>23</v>
      </c>
      <c r="B89" s="172" t="s">
        <v>20</v>
      </c>
      <c r="C89" s="173"/>
      <c r="D89" s="15">
        <f t="shared" si="5"/>
        <v>55365</v>
      </c>
      <c r="E89" s="18">
        <f>IF(F3="1",SUMIF(Data!A:A,'25'!$A$2,Data!EU:EU),0)</f>
        <v>531568</v>
      </c>
      <c r="F89" s="22">
        <f t="shared" si="4"/>
        <v>9.6</v>
      </c>
    </row>
    <row r="90" spans="1:6" x14ac:dyDescent="0.2">
      <c r="A90" s="20">
        <v>24</v>
      </c>
      <c r="B90" s="172" t="s">
        <v>21</v>
      </c>
      <c r="C90" s="173"/>
      <c r="D90" s="15">
        <f t="shared" si="5"/>
        <v>22470</v>
      </c>
      <c r="E90" s="18">
        <f>IF(F3="1",SUMIF(Data!A:A,'25'!$A$2,Data!EV:EV),0)</f>
        <v>46211</v>
      </c>
      <c r="F90" s="22">
        <f t="shared" si="4"/>
        <v>2.06</v>
      </c>
    </row>
    <row r="91" spans="1:6" x14ac:dyDescent="0.2">
      <c r="A91" s="20">
        <v>25</v>
      </c>
      <c r="B91" s="172" t="s">
        <v>22</v>
      </c>
      <c r="C91" s="173"/>
      <c r="D91" s="15">
        <f t="shared" si="5"/>
        <v>294896</v>
      </c>
      <c r="E91" s="18">
        <f>IF(F3="1",SUMIF(Data!A:A,'25'!$A$2,Data!EW:EW),0)</f>
        <v>1109936</v>
      </c>
      <c r="F91" s="22">
        <f t="shared" si="4"/>
        <v>3.76</v>
      </c>
    </row>
    <row r="92" spans="1:6" x14ac:dyDescent="0.2">
      <c r="A92" s="20">
        <v>26</v>
      </c>
      <c r="B92" s="172" t="s">
        <v>23</v>
      </c>
      <c r="C92" s="173"/>
      <c r="D92" s="15">
        <f t="shared" si="5"/>
        <v>122032</v>
      </c>
      <c r="E92" s="18">
        <f>IF(F3="1",SUMIF(Data!A:A,'25'!$A$2,Data!EX:EX),0)</f>
        <v>595535</v>
      </c>
      <c r="F92" s="22">
        <f t="shared" si="4"/>
        <v>4.88</v>
      </c>
    </row>
    <row r="93" spans="1:6" x14ac:dyDescent="0.2">
      <c r="A93" s="20">
        <v>28</v>
      </c>
      <c r="B93" s="172" t="s">
        <v>24</v>
      </c>
      <c r="C93" s="173"/>
      <c r="D93" s="15">
        <f t="shared" si="5"/>
        <v>0</v>
      </c>
      <c r="E93" s="18">
        <f>IF(F3="1",SUMIF(Data!A:A,'25'!$A$2,Data!EZ:EZ),0)</f>
        <v>0</v>
      </c>
      <c r="F93" s="22" t="str">
        <f t="shared" si="4"/>
        <v/>
      </c>
    </row>
    <row r="94" spans="1:6" ht="15.75" customHeight="1" thickBot="1" x14ac:dyDescent="0.25">
      <c r="A94" s="23">
        <v>29</v>
      </c>
      <c r="B94" s="174" t="s">
        <v>25</v>
      </c>
      <c r="C94" s="175"/>
      <c r="D94" s="24">
        <f t="shared" si="5"/>
        <v>0</v>
      </c>
      <c r="E94" s="25">
        <f>IF(F3="1",SUMIF(Data!A:A,'25'!$A$2,Data!FA:FA),0)</f>
        <v>0</v>
      </c>
      <c r="F94" s="26" t="str">
        <f t="shared" si="4"/>
        <v/>
      </c>
    </row>
    <row r="95" spans="1:6" x14ac:dyDescent="0.2">
      <c r="B95" s="31" t="s">
        <v>35</v>
      </c>
      <c r="C95" s="31"/>
      <c r="D95" s="61">
        <f>SUM(D67:D94)</f>
        <v>2902972</v>
      </c>
      <c r="E95" s="32">
        <f>SUM(E67:E94)</f>
        <v>12039507</v>
      </c>
      <c r="F95" s="33">
        <f t="shared" si="4"/>
        <v>4.1500000000000004</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IF(F3="1",SUMIF(Data!A:A,'25'!$A$2,Data!AH:AH),0)</f>
        <v>7132938</v>
      </c>
      <c r="F98" s="21">
        <f>IF($D$105=0,"",ROUND(E98/$D$105,2))</f>
        <v>2.46</v>
      </c>
    </row>
    <row r="99" spans="2:6" x14ac:dyDescent="0.2">
      <c r="B99" s="178" t="s">
        <v>31</v>
      </c>
      <c r="C99" s="179"/>
      <c r="D99" s="37"/>
      <c r="E99" s="18">
        <f>IF(F3="1",SUMIF(Data!A:A,'25'!$A$2,Data!AI:AI),0)</f>
        <v>1647941</v>
      </c>
      <c r="F99" s="22">
        <f t="shared" ref="F99:F105" si="6">IF($D$105=0,"",ROUND(E99/$D$105,2))</f>
        <v>0.56999999999999995</v>
      </c>
    </row>
    <row r="100" spans="2:6" x14ac:dyDescent="0.2">
      <c r="B100" s="178" t="s">
        <v>32</v>
      </c>
      <c r="C100" s="179"/>
      <c r="D100" s="37"/>
      <c r="E100" s="18">
        <f>IF(F3="1",SUMIF(Data!A:A,'25'!$A$2,Data!AJ:AJ),0)</f>
        <v>2289254</v>
      </c>
      <c r="F100" s="22">
        <f t="shared" si="6"/>
        <v>0.79</v>
      </c>
    </row>
    <row r="101" spans="2:6" x14ac:dyDescent="0.2">
      <c r="B101" s="178" t="s">
        <v>28</v>
      </c>
      <c r="C101" s="179"/>
      <c r="D101" s="37"/>
      <c r="E101" s="18">
        <f>IF(F3="1",SUMIF(Data!A:A,'25'!$A$2,Data!AK:AK),0)</f>
        <v>0</v>
      </c>
      <c r="F101" s="22">
        <f t="shared" si="6"/>
        <v>0</v>
      </c>
    </row>
    <row r="102" spans="2:6" x14ac:dyDescent="0.2">
      <c r="B102" s="178" t="s">
        <v>33</v>
      </c>
      <c r="C102" s="179"/>
      <c r="D102" s="37"/>
      <c r="E102" s="18">
        <f>IF(F3="1",SUMIF(Data!A:A,'25'!$A$2,Data!AL:AL),0)</f>
        <v>0</v>
      </c>
      <c r="F102" s="22">
        <f t="shared" si="6"/>
        <v>0</v>
      </c>
    </row>
    <row r="103" spans="2:6" x14ac:dyDescent="0.2">
      <c r="B103" s="180" t="s">
        <v>34</v>
      </c>
      <c r="C103" s="181"/>
      <c r="D103" s="37"/>
      <c r="E103" s="18">
        <f>IF(F3="1",SUMIF(Data!A:A,'25'!$A$2,Data!AM:AM),0)</f>
        <v>569530</v>
      </c>
      <c r="F103" s="22">
        <f t="shared" si="6"/>
        <v>0.2</v>
      </c>
    </row>
    <row r="104" spans="2:6" ht="15.75" customHeight="1" thickBot="1" x14ac:dyDescent="0.25">
      <c r="B104" s="170" t="s">
        <v>29</v>
      </c>
      <c r="C104" s="171"/>
      <c r="D104" s="38"/>
      <c r="E104" s="25">
        <f>IF(F3="1",SUMIF(Data!A:A,'25'!$A$2,Data!Q:Q),0)</f>
        <v>1414310</v>
      </c>
      <c r="F104" s="26">
        <f t="shared" si="6"/>
        <v>0.49</v>
      </c>
    </row>
    <row r="105" spans="2:6" x14ac:dyDescent="0.2">
      <c r="B105" s="31" t="s">
        <v>35</v>
      </c>
      <c r="C105" s="31"/>
      <c r="D105" s="35">
        <f>D95</f>
        <v>2902972</v>
      </c>
      <c r="E105" s="32">
        <f>SUM(E98:E104)</f>
        <v>13053973</v>
      </c>
      <c r="F105" s="33">
        <f t="shared" si="6"/>
        <v>4.5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12415461</v>
      </c>
      <c r="D109" s="16">
        <f>IF(F3="1",SUMIF(Data!$A:$A,$A$2,Data!HJ:HJ),0)</f>
        <v>2192602</v>
      </c>
      <c r="E109" s="16">
        <f>IF(F3="1",SUMIF(Data!$A:$A,$A$2,Data!IN:IN),0)</f>
        <v>1475071</v>
      </c>
      <c r="F109" s="48">
        <f>SUM(C109:E109)</f>
        <v>16083134</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713907</v>
      </c>
      <c r="D111" s="52"/>
      <c r="E111" s="51">
        <f>IF(F3="1",SUMIF(Data!A:A,$A$2,Data!AX:AX),0)</f>
        <v>601445</v>
      </c>
      <c r="F111" s="49">
        <f t="shared" si="7"/>
        <v>1315352</v>
      </c>
    </row>
    <row r="112" spans="2:6" x14ac:dyDescent="0.2">
      <c r="B112" s="43" t="s">
        <v>32</v>
      </c>
      <c r="C112" s="51">
        <f>IF(F3="1",SUMIF(Data!A:A,$A$2,Data!V:V),0)</f>
        <v>1957808</v>
      </c>
      <c r="D112" s="52"/>
      <c r="E112" s="51">
        <f>IF(F3="1",SUMIF(Data!A:A,$A$2,Data!AC:AC),0)</f>
        <v>331446</v>
      </c>
      <c r="F112" s="49">
        <f t="shared" si="7"/>
        <v>2289254</v>
      </c>
    </row>
    <row r="113" spans="1:6" x14ac:dyDescent="0.2">
      <c r="B113" s="43" t="s">
        <v>31</v>
      </c>
      <c r="C113" s="51">
        <f>IF(F3="1",SUMIF(Data!A:A,$A$2,Data!U:U),0)</f>
        <v>1403832</v>
      </c>
      <c r="D113" s="52"/>
      <c r="E113" s="51">
        <f>IF(F3="1",SUMIF(Data!A:A,$A$2,Data!AB:AB),0)</f>
        <v>244109</v>
      </c>
      <c r="F113" s="49">
        <f t="shared" si="7"/>
        <v>1647941</v>
      </c>
    </row>
    <row r="114" spans="1:6" x14ac:dyDescent="0.2">
      <c r="B114" s="43" t="s">
        <v>1021</v>
      </c>
      <c r="C114" s="51">
        <f>IF(F3="1",SUMIF(Data!A:A,$A$2,Data!T:T),0)</f>
        <v>3932888</v>
      </c>
      <c r="D114" s="52"/>
      <c r="E114" s="51">
        <f>IF(F3="1",SUMIF(Data!A:A,$A$2,Data!AA:AA),0)</f>
        <v>3200050</v>
      </c>
      <c r="F114" s="49">
        <f t="shared" si="7"/>
        <v>7132938</v>
      </c>
    </row>
    <row r="115" spans="1:6" x14ac:dyDescent="0.2">
      <c r="B115" s="43" t="s">
        <v>937</v>
      </c>
      <c r="C115" s="51">
        <f>IF(F3="1",SUMIF(Data!A:A,$A$2,Data!BI:BI),0)</f>
        <v>1489302</v>
      </c>
      <c r="D115" s="51">
        <f>IF(F3="1",SUMIF(Data!A:A,$A$2,Data!BL:BL),0)</f>
        <v>263015</v>
      </c>
      <c r="E115" s="51">
        <f>IF(F3="1",SUMIF(Data!A:A,$A$2,Data!BU:BU),0)</f>
        <v>4585629</v>
      </c>
      <c r="F115" s="49">
        <f t="shared" si="7"/>
        <v>6337946</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1414310</v>
      </c>
      <c r="E117" s="53"/>
      <c r="F117" s="50">
        <f>SUM(C117:E117)</f>
        <v>1414310</v>
      </c>
    </row>
    <row r="118" spans="1:6" x14ac:dyDescent="0.2">
      <c r="B118" s="14" t="s">
        <v>35</v>
      </c>
      <c r="C118" s="5">
        <f>SUM(C109:C116)</f>
        <v>21913198</v>
      </c>
      <c r="D118" s="5">
        <f>SUM(D109:D116)</f>
        <v>2455617</v>
      </c>
      <c r="E118" s="5">
        <f>SUM(E109:E116)</f>
        <v>10437750</v>
      </c>
      <c r="F118" s="5">
        <f>SUM(F109:F116)</f>
        <v>34806565</v>
      </c>
    </row>
    <row r="119" spans="1:6" ht="15" thickBot="1" x14ac:dyDescent="0.25"/>
    <row r="120" spans="1:6" ht="15" thickBot="1" x14ac:dyDescent="0.25">
      <c r="B120" s="57" t="s">
        <v>942</v>
      </c>
      <c r="C120" s="55"/>
      <c r="D120" s="55"/>
      <c r="E120" s="55">
        <f>IF(F3="1",SUMIF(Data!A:A,'25'!$A$2,Data!AM:AM),0)</f>
        <v>569530</v>
      </c>
      <c r="F120" s="56">
        <f>SUM(C120:E120)</f>
        <v>569530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4.5703125" style="11" bestFit="1" customWidth="1"/>
    <col min="13"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444</v>
      </c>
      <c r="B2" s="60" t="str">
        <f>VLOOKUP(A2,Data!A:G,7,0)</f>
        <v>Lone Star College System District</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30852</v>
      </c>
      <c r="E5" s="16">
        <f>E36+E67+IFERROR($E$105/$D$105*D5,0)</f>
        <v>300475.79169672902</v>
      </c>
      <c r="F5" s="21">
        <f>IF(OR(D5=0,E5=0),"",ROUND(E5/D5,2))</f>
        <v>9.74</v>
      </c>
    </row>
    <row r="6" spans="1:6" x14ac:dyDescent="0.2">
      <c r="A6" s="20">
        <v>2</v>
      </c>
      <c r="B6" s="172" t="s">
        <v>1</v>
      </c>
      <c r="C6" s="173"/>
      <c r="D6" s="15">
        <f t="shared" ref="D6:D32" si="0">D37</f>
        <v>170656</v>
      </c>
      <c r="E6" s="18">
        <f t="shared" ref="E6:E32" si="1">E37+E68+IFERROR($E$105/$D$105*D6,0)</f>
        <v>1527643.8147218006</v>
      </c>
      <c r="F6" s="22">
        <f t="shared" ref="F6:F33" si="2">IF(OR(D6=0,E6=0),"",ROUND(E6/D6,2))</f>
        <v>8.9499999999999993</v>
      </c>
    </row>
    <row r="7" spans="1:6" ht="14.25" customHeight="1" x14ac:dyDescent="0.2">
      <c r="A7" s="20">
        <v>3</v>
      </c>
      <c r="B7" s="172" t="s">
        <v>2</v>
      </c>
      <c r="C7" s="173"/>
      <c r="D7" s="15">
        <f t="shared" si="0"/>
        <v>2242800</v>
      </c>
      <c r="E7" s="18">
        <f t="shared" si="1"/>
        <v>18494063.455899905</v>
      </c>
      <c r="F7" s="22">
        <f t="shared" si="2"/>
        <v>8.25</v>
      </c>
    </row>
    <row r="8" spans="1:6" ht="14.25" customHeight="1" x14ac:dyDescent="0.2">
      <c r="A8" s="20">
        <v>4</v>
      </c>
      <c r="B8" s="172" t="s">
        <v>3</v>
      </c>
      <c r="C8" s="173"/>
      <c r="D8" s="15">
        <f t="shared" si="0"/>
        <v>934610</v>
      </c>
      <c r="E8" s="18">
        <f t="shared" si="1"/>
        <v>8114586.9638169305</v>
      </c>
      <c r="F8" s="22">
        <f t="shared" si="2"/>
        <v>8.68</v>
      </c>
    </row>
    <row r="9" spans="1:6" x14ac:dyDescent="0.2">
      <c r="A9" s="20">
        <v>5</v>
      </c>
      <c r="B9" s="172" t="s">
        <v>4</v>
      </c>
      <c r="C9" s="173"/>
      <c r="D9" s="15">
        <f t="shared" si="0"/>
        <v>528</v>
      </c>
      <c r="E9" s="18">
        <f t="shared" si="1"/>
        <v>2336.5145214531613</v>
      </c>
      <c r="F9" s="22">
        <f t="shared" si="2"/>
        <v>4.43</v>
      </c>
    </row>
    <row r="10" spans="1:6" x14ac:dyDescent="0.2">
      <c r="A10" s="20">
        <v>6</v>
      </c>
      <c r="B10" s="172" t="s">
        <v>5</v>
      </c>
      <c r="C10" s="173"/>
      <c r="D10" s="15">
        <f t="shared" si="0"/>
        <v>133204</v>
      </c>
      <c r="E10" s="18">
        <f t="shared" si="1"/>
        <v>841326.59150690702</v>
      </c>
      <c r="F10" s="22">
        <f t="shared" si="2"/>
        <v>6.32</v>
      </c>
    </row>
    <row r="11" spans="1:6" x14ac:dyDescent="0.2">
      <c r="A11" s="20">
        <v>7</v>
      </c>
      <c r="B11" s="172" t="s">
        <v>6</v>
      </c>
      <c r="C11" s="173"/>
      <c r="D11" s="15">
        <f t="shared" si="0"/>
        <v>881335</v>
      </c>
      <c r="E11" s="18">
        <f t="shared" si="1"/>
        <v>7868518.5336456858</v>
      </c>
      <c r="F11" s="22">
        <f t="shared" si="2"/>
        <v>8.93</v>
      </c>
    </row>
    <row r="12" spans="1:6" x14ac:dyDescent="0.2">
      <c r="A12" s="20">
        <v>8</v>
      </c>
      <c r="B12" s="172" t="s">
        <v>7</v>
      </c>
      <c r="C12" s="173"/>
      <c r="D12" s="15">
        <f t="shared" si="0"/>
        <v>8496</v>
      </c>
      <c r="E12" s="18">
        <f t="shared" si="1"/>
        <v>78121.642754291781</v>
      </c>
      <c r="F12" s="22">
        <f t="shared" si="2"/>
        <v>9.1999999999999993</v>
      </c>
    </row>
    <row r="13" spans="1:6" x14ac:dyDescent="0.2">
      <c r="A13" s="20">
        <v>9</v>
      </c>
      <c r="B13" s="172" t="s">
        <v>8</v>
      </c>
      <c r="C13" s="173"/>
      <c r="D13" s="15">
        <f t="shared" si="0"/>
        <v>339820</v>
      </c>
      <c r="E13" s="18">
        <f t="shared" si="1"/>
        <v>2553864.2058337373</v>
      </c>
      <c r="F13" s="22">
        <f t="shared" si="2"/>
        <v>7.52</v>
      </c>
    </row>
    <row r="14" spans="1:6" x14ac:dyDescent="0.2">
      <c r="A14" s="20">
        <v>10</v>
      </c>
      <c r="B14" s="172" t="s">
        <v>9</v>
      </c>
      <c r="C14" s="173"/>
      <c r="D14" s="15">
        <f t="shared" si="0"/>
        <v>864</v>
      </c>
      <c r="E14" s="18">
        <f t="shared" si="1"/>
        <v>15544.387398741537</v>
      </c>
      <c r="F14" s="22">
        <f t="shared" si="2"/>
        <v>17.989999999999998</v>
      </c>
    </row>
    <row r="15" spans="1:6" x14ac:dyDescent="0.2">
      <c r="A15" s="20">
        <v>11</v>
      </c>
      <c r="B15" s="172" t="s">
        <v>10</v>
      </c>
      <c r="C15" s="173"/>
      <c r="D15" s="15">
        <f t="shared" si="0"/>
        <v>332787</v>
      </c>
      <c r="E15" s="18">
        <f t="shared" si="1"/>
        <v>3644701.6553993053</v>
      </c>
      <c r="F15" s="22">
        <f t="shared" si="2"/>
        <v>10.95</v>
      </c>
    </row>
    <row r="16" spans="1:6" ht="14.25" customHeight="1" x14ac:dyDescent="0.2">
      <c r="A16" s="20">
        <v>12</v>
      </c>
      <c r="B16" s="172" t="s">
        <v>11</v>
      </c>
      <c r="C16" s="173"/>
      <c r="D16" s="15">
        <f t="shared" si="0"/>
        <v>3308150</v>
      </c>
      <c r="E16" s="18">
        <f t="shared" si="1"/>
        <v>29427534.276790295</v>
      </c>
      <c r="F16" s="22">
        <f t="shared" si="2"/>
        <v>8.9</v>
      </c>
    </row>
    <row r="17" spans="1:6" x14ac:dyDescent="0.2">
      <c r="A17" s="20">
        <v>13</v>
      </c>
      <c r="B17" s="172" t="s">
        <v>12</v>
      </c>
      <c r="C17" s="173"/>
      <c r="D17" s="15">
        <f t="shared" si="0"/>
        <v>441240</v>
      </c>
      <c r="E17" s="18">
        <f t="shared" si="1"/>
        <v>3398223.7034961991</v>
      </c>
      <c r="F17" s="22">
        <f t="shared" si="2"/>
        <v>7.7</v>
      </c>
    </row>
    <row r="18" spans="1:6" ht="14.25" customHeight="1" x14ac:dyDescent="0.2">
      <c r="A18" s="20">
        <v>14</v>
      </c>
      <c r="B18" s="172" t="s">
        <v>469</v>
      </c>
      <c r="C18" s="173"/>
      <c r="D18" s="15">
        <f t="shared" si="0"/>
        <v>513006</v>
      </c>
      <c r="E18" s="18">
        <f t="shared" si="1"/>
        <v>6408740.8193041682</v>
      </c>
      <c r="F18" s="22">
        <f t="shared" si="2"/>
        <v>12.49</v>
      </c>
    </row>
    <row r="19" spans="1:6" x14ac:dyDescent="0.2">
      <c r="A19" s="20">
        <v>15</v>
      </c>
      <c r="B19" s="172" t="s">
        <v>13</v>
      </c>
      <c r="C19" s="173"/>
      <c r="D19" s="15">
        <f t="shared" si="0"/>
        <v>18648</v>
      </c>
      <c r="E19" s="18">
        <f t="shared" si="1"/>
        <v>419995.44468950486</v>
      </c>
      <c r="F19" s="22">
        <f t="shared" si="2"/>
        <v>22.52</v>
      </c>
    </row>
    <row r="20" spans="1:6" x14ac:dyDescent="0.2">
      <c r="A20" s="20">
        <v>16</v>
      </c>
      <c r="B20" s="172" t="s">
        <v>14</v>
      </c>
      <c r="C20" s="173"/>
      <c r="D20" s="15">
        <f t="shared" si="0"/>
        <v>558295</v>
      </c>
      <c r="E20" s="18">
        <f t="shared" si="1"/>
        <v>5928651.4673384335</v>
      </c>
      <c r="F20" s="22">
        <f t="shared" si="2"/>
        <v>10.62</v>
      </c>
    </row>
    <row r="21" spans="1:6" x14ac:dyDescent="0.2">
      <c r="A21" s="20">
        <v>17</v>
      </c>
      <c r="B21" s="172" t="s">
        <v>15</v>
      </c>
      <c r="C21" s="173"/>
      <c r="D21" s="15">
        <f t="shared" si="0"/>
        <v>65184</v>
      </c>
      <c r="E21" s="18">
        <f t="shared" si="1"/>
        <v>922871.33819394489</v>
      </c>
      <c r="F21" s="22">
        <f t="shared" si="2"/>
        <v>14.16</v>
      </c>
    </row>
    <row r="22" spans="1:6" x14ac:dyDescent="0.2">
      <c r="A22" s="20">
        <v>18</v>
      </c>
      <c r="B22" s="172" t="s">
        <v>16</v>
      </c>
      <c r="C22" s="173"/>
      <c r="D22" s="15">
        <f t="shared" si="0"/>
        <v>152064</v>
      </c>
      <c r="E22" s="18">
        <f t="shared" si="1"/>
        <v>1486431.1821785104</v>
      </c>
      <c r="F22" s="22">
        <f t="shared" si="2"/>
        <v>9.7799999999999994</v>
      </c>
    </row>
    <row r="23" spans="1:6" x14ac:dyDescent="0.2">
      <c r="A23" s="20">
        <v>19</v>
      </c>
      <c r="B23" s="172" t="s">
        <v>17</v>
      </c>
      <c r="C23" s="173"/>
      <c r="D23" s="15">
        <f t="shared" si="0"/>
        <v>2545024</v>
      </c>
      <c r="E23" s="18">
        <f t="shared" si="1"/>
        <v>19951435.207285628</v>
      </c>
      <c r="F23" s="22">
        <f t="shared" si="2"/>
        <v>7.84</v>
      </c>
    </row>
    <row r="24" spans="1:6" x14ac:dyDescent="0.2">
      <c r="A24" s="20">
        <v>20</v>
      </c>
      <c r="B24" s="172" t="s">
        <v>18</v>
      </c>
      <c r="C24" s="173"/>
      <c r="D24" s="15">
        <f t="shared" si="0"/>
        <v>58736</v>
      </c>
      <c r="E24" s="18">
        <f t="shared" si="1"/>
        <v>515366.53964407742</v>
      </c>
      <c r="F24" s="22">
        <f t="shared" si="2"/>
        <v>8.77</v>
      </c>
    </row>
    <row r="25" spans="1:6" ht="14.25" customHeight="1" x14ac:dyDescent="0.2">
      <c r="A25" s="20">
        <v>21</v>
      </c>
      <c r="B25" s="172" t="s">
        <v>466</v>
      </c>
      <c r="C25" s="173"/>
      <c r="D25" s="15">
        <f t="shared" si="0"/>
        <v>36312</v>
      </c>
      <c r="E25" s="18">
        <f t="shared" si="1"/>
        <v>561775.47595266509</v>
      </c>
      <c r="F25" s="22">
        <f t="shared" si="2"/>
        <v>15.47</v>
      </c>
    </row>
    <row r="26" spans="1:6" x14ac:dyDescent="0.2">
      <c r="A26" s="20">
        <v>22</v>
      </c>
      <c r="B26" s="172" t="s">
        <v>19</v>
      </c>
      <c r="C26" s="173"/>
      <c r="D26" s="15">
        <f t="shared" si="0"/>
        <v>18151</v>
      </c>
      <c r="E26" s="18">
        <f t="shared" si="1"/>
        <v>160988.11189184911</v>
      </c>
      <c r="F26" s="22">
        <f t="shared" si="2"/>
        <v>8.8699999999999992</v>
      </c>
    </row>
    <row r="27" spans="1:6" x14ac:dyDescent="0.2">
      <c r="A27" s="20">
        <v>23</v>
      </c>
      <c r="B27" s="172" t="s">
        <v>20</v>
      </c>
      <c r="C27" s="173"/>
      <c r="D27" s="15">
        <f t="shared" si="0"/>
        <v>378768</v>
      </c>
      <c r="E27" s="18">
        <f t="shared" si="1"/>
        <v>3592821.5535260816</v>
      </c>
      <c r="F27" s="22">
        <f t="shared" si="2"/>
        <v>9.49</v>
      </c>
    </row>
    <row r="28" spans="1:6" x14ac:dyDescent="0.2">
      <c r="A28" s="20">
        <v>24</v>
      </c>
      <c r="B28" s="172" t="s">
        <v>21</v>
      </c>
      <c r="C28" s="173"/>
      <c r="D28" s="15">
        <f t="shared" si="0"/>
        <v>249820</v>
      </c>
      <c r="E28" s="18">
        <f t="shared" si="1"/>
        <v>2097851.685131494</v>
      </c>
      <c r="F28" s="22">
        <f t="shared" si="2"/>
        <v>8.4</v>
      </c>
    </row>
    <row r="29" spans="1:6" x14ac:dyDescent="0.2">
      <c r="A29" s="20">
        <v>25</v>
      </c>
      <c r="B29" s="172" t="s">
        <v>22</v>
      </c>
      <c r="C29" s="173"/>
      <c r="D29" s="15">
        <f t="shared" si="0"/>
        <v>3220096</v>
      </c>
      <c r="E29" s="18">
        <f t="shared" si="1"/>
        <v>24665635.228169017</v>
      </c>
      <c r="F29" s="22">
        <f t="shared" si="2"/>
        <v>7.66</v>
      </c>
    </row>
    <row r="30" spans="1:6" x14ac:dyDescent="0.2">
      <c r="A30" s="20">
        <v>26</v>
      </c>
      <c r="B30" s="172" t="s">
        <v>23</v>
      </c>
      <c r="C30" s="173"/>
      <c r="D30" s="15">
        <f t="shared" si="0"/>
        <v>899088</v>
      </c>
      <c r="E30" s="18">
        <f t="shared" si="1"/>
        <v>9561885.4092126526</v>
      </c>
      <c r="F30" s="22">
        <f t="shared" si="2"/>
        <v>10.64</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17538534</v>
      </c>
      <c r="E33" s="32">
        <f>SUM(E5:E32)</f>
        <v>152541391.00000003</v>
      </c>
      <c r="F33" s="33">
        <f t="shared" si="2"/>
        <v>8.6999999999999993</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IF(F3="1",SUMIF(Data!A:A,'26'!$A$2,Data!CU:CU),0)</f>
        <v>30852</v>
      </c>
      <c r="E36" s="16">
        <f>IF(F3="1",SUMIF(Data!$A:$A,'26'!$A$2,Data!IO:IO),0)</f>
        <v>29662</v>
      </c>
      <c r="F36" s="21">
        <f>IF(D36=0,"",ROUND(E36/D36,2))</f>
        <v>0.96</v>
      </c>
    </row>
    <row r="37" spans="1:6" x14ac:dyDescent="0.2">
      <c r="A37" s="20">
        <v>2</v>
      </c>
      <c r="B37" s="172" t="s">
        <v>1</v>
      </c>
      <c r="C37" s="173"/>
      <c r="D37" s="15">
        <f>IF(F3="1",SUMIF(Data!A:A,'26'!$A$2,Data!CV:CV),0)</f>
        <v>170656</v>
      </c>
      <c r="E37" s="18">
        <f>IF(F3="1",SUMIF(Data!$A:$A,'26'!$A$2,Data!IP:IP),0)</f>
        <v>208224</v>
      </c>
      <c r="F37" s="22">
        <f t="shared" ref="F37:F64" si="3">IF(D37=0,"",ROUND(E37/D37,2))</f>
        <v>1.22</v>
      </c>
    </row>
    <row r="38" spans="1:6" ht="14.25" customHeight="1" x14ac:dyDescent="0.2">
      <c r="A38" s="20">
        <v>3</v>
      </c>
      <c r="B38" s="172" t="s">
        <v>2</v>
      </c>
      <c r="C38" s="173"/>
      <c r="D38" s="15">
        <f>IF(F3="1",SUMIF(Data!A:A,'26'!$A$2,Data!CW:CW),0)</f>
        <v>2242800</v>
      </c>
      <c r="E38" s="18">
        <f>IF(F3="1",SUMIF(Data!$A:$A,'26'!$A$2,Data!IQ:IQ),0)</f>
        <v>1921491</v>
      </c>
      <c r="F38" s="22">
        <f t="shared" si="3"/>
        <v>0.86</v>
      </c>
    </row>
    <row r="39" spans="1:6" ht="14.25" customHeight="1" x14ac:dyDescent="0.2">
      <c r="A39" s="20">
        <v>4</v>
      </c>
      <c r="B39" s="172" t="s">
        <v>3</v>
      </c>
      <c r="C39" s="173"/>
      <c r="D39" s="15">
        <f>IF(F3="1",SUMIF(Data!A:A,'26'!$A$2,Data!CX:CX),0)</f>
        <v>934610</v>
      </c>
      <c r="E39" s="18">
        <f>IF(F3="1",SUMIF(Data!$A:$A,'26'!$A$2,Data!IR:IR),0)</f>
        <v>441056</v>
      </c>
      <c r="F39" s="22">
        <f t="shared" si="3"/>
        <v>0.47</v>
      </c>
    </row>
    <row r="40" spans="1:6" x14ac:dyDescent="0.2">
      <c r="A40" s="20">
        <v>5</v>
      </c>
      <c r="B40" s="172" t="s">
        <v>4</v>
      </c>
      <c r="C40" s="173"/>
      <c r="D40" s="15">
        <f>IF(F3="1",SUMIF(Data!A:A,'26'!$A$2,Data!CY:CY),0)</f>
        <v>528</v>
      </c>
      <c r="E40" s="18">
        <f>IF(F3="1",SUMIF(Data!$A:$A,'26'!$A$2,Data!IS:IS),0)</f>
        <v>0</v>
      </c>
      <c r="F40" s="22" t="str">
        <f>IF(E40=0,"",ROUND(E40/D40,2))</f>
        <v/>
      </c>
    </row>
    <row r="41" spans="1:6" x14ac:dyDescent="0.2">
      <c r="A41" s="20">
        <v>6</v>
      </c>
      <c r="B41" s="172" t="s">
        <v>5</v>
      </c>
      <c r="C41" s="173"/>
      <c r="D41" s="15">
        <f>IF(F3="1",SUMIF(Data!A:A,'26'!$A$2,Data!CZ:CZ),0)</f>
        <v>133204</v>
      </c>
      <c r="E41" s="18">
        <f>IF(F3="1",SUMIF(Data!$A:$A,'26'!$A$2,Data!IT:IT),0)</f>
        <v>114248</v>
      </c>
      <c r="F41" s="22">
        <f t="shared" si="3"/>
        <v>0.86</v>
      </c>
    </row>
    <row r="42" spans="1:6" x14ac:dyDescent="0.2">
      <c r="A42" s="20">
        <v>7</v>
      </c>
      <c r="B42" s="172" t="s">
        <v>6</v>
      </c>
      <c r="C42" s="173"/>
      <c r="D42" s="15">
        <f>IF(F3="1",SUMIF(Data!A:A,'26'!$A$2,Data!DA:DA),0)</f>
        <v>881335</v>
      </c>
      <c r="E42" s="18">
        <f>IF(F3="1",SUMIF(Data!$A:$A,'26'!$A$2,Data!IU:IU),0)</f>
        <v>581889</v>
      </c>
      <c r="F42" s="22">
        <f t="shared" si="3"/>
        <v>0.66</v>
      </c>
    </row>
    <row r="43" spans="1:6" x14ac:dyDescent="0.2">
      <c r="A43" s="20">
        <v>8</v>
      </c>
      <c r="B43" s="172" t="s">
        <v>7</v>
      </c>
      <c r="C43" s="173"/>
      <c r="D43" s="15">
        <f>IF(F3="1",SUMIF(Data!A:A,'26'!$A$2,Data!DB:DB),0)</f>
        <v>8496</v>
      </c>
      <c r="E43" s="18">
        <f>IF(F3="1",SUMIF(Data!$A:$A,'26'!$A$2,Data!IV:IV),0)</f>
        <v>16291</v>
      </c>
      <c r="F43" s="22">
        <f t="shared" si="3"/>
        <v>1.92</v>
      </c>
    </row>
    <row r="44" spans="1:6" x14ac:dyDescent="0.2">
      <c r="A44" s="20">
        <v>9</v>
      </c>
      <c r="B44" s="172" t="s">
        <v>8</v>
      </c>
      <c r="C44" s="173"/>
      <c r="D44" s="15">
        <f>IF(F3="1",SUMIF(Data!A:A,'26'!$A$2,Data!DC:DC),0)</f>
        <v>339820</v>
      </c>
      <c r="E44" s="18">
        <f>IF(F3="1",SUMIF(Data!$A:$A,'26'!$A$2,Data!IW:IW),0)</f>
        <v>97778</v>
      </c>
      <c r="F44" s="22">
        <f t="shared" si="3"/>
        <v>0.28999999999999998</v>
      </c>
    </row>
    <row r="45" spans="1:6" x14ac:dyDescent="0.2">
      <c r="A45" s="20">
        <v>10</v>
      </c>
      <c r="B45" s="172" t="s">
        <v>9</v>
      </c>
      <c r="C45" s="173"/>
      <c r="D45" s="15">
        <f>IF(F3="1",SUMIF(Data!A:A,'26'!$A$2,Data!DD:DD),0)</f>
        <v>864</v>
      </c>
      <c r="E45" s="18">
        <f>IF(F3="1",SUMIF(Data!$A:$A,'26'!$A$2,Data!IX:IX),0)</f>
        <v>11116</v>
      </c>
      <c r="F45" s="22">
        <f t="shared" si="3"/>
        <v>12.87</v>
      </c>
    </row>
    <row r="46" spans="1:6" x14ac:dyDescent="0.2">
      <c r="A46" s="20">
        <v>11</v>
      </c>
      <c r="B46" s="172" t="s">
        <v>10</v>
      </c>
      <c r="C46" s="173"/>
      <c r="D46" s="15">
        <f>IF(F3="1",SUMIF(Data!A:A,'26'!$A$2,Data!DE:DE),0)</f>
        <v>332787</v>
      </c>
      <c r="E46" s="18">
        <f>IF(F3="1",SUMIF(Data!$A:$A,'26'!$A$2,Data!IY:IY),0)</f>
        <v>361532</v>
      </c>
      <c r="F46" s="22">
        <f t="shared" si="3"/>
        <v>1.0900000000000001</v>
      </c>
    </row>
    <row r="47" spans="1:6" ht="14.25" customHeight="1" x14ac:dyDescent="0.2">
      <c r="A47" s="20">
        <v>12</v>
      </c>
      <c r="B47" s="172" t="s">
        <v>11</v>
      </c>
      <c r="C47" s="173"/>
      <c r="D47" s="15">
        <f>IF(F3="1",SUMIF(Data!A:A,'26'!$A$2,Data!DF:DF),0)</f>
        <v>3308150</v>
      </c>
      <c r="E47" s="18">
        <f>IF(F3="1",SUMIF(Data!$A:$A,'26'!$A$2,Data!IZ:IZ),0)</f>
        <v>2089828</v>
      </c>
      <c r="F47" s="22">
        <f t="shared" si="3"/>
        <v>0.63</v>
      </c>
    </row>
    <row r="48" spans="1:6" x14ac:dyDescent="0.2">
      <c r="A48" s="20">
        <v>13</v>
      </c>
      <c r="B48" s="172" t="s">
        <v>12</v>
      </c>
      <c r="C48" s="173"/>
      <c r="D48" s="15">
        <f>IF(F3="1",SUMIF(Data!A:A,'26'!$A$2,Data!DG:DG),0)</f>
        <v>441240</v>
      </c>
      <c r="E48" s="18">
        <f>IF(F3="1",SUMIF(Data!$A:$A,'26'!$A$2,Data!JA:JA),0)</f>
        <v>116241</v>
      </c>
      <c r="F48" s="22">
        <f t="shared" si="3"/>
        <v>0.26</v>
      </c>
    </row>
    <row r="49" spans="1:6" ht="14.25" customHeight="1" x14ac:dyDescent="0.2">
      <c r="A49" s="20">
        <v>14</v>
      </c>
      <c r="B49" s="172" t="s">
        <v>469</v>
      </c>
      <c r="C49" s="173"/>
      <c r="D49" s="15">
        <f>IF(F3="1",SUMIF(Data!A:A,'26'!$A$2,Data!DH:DH),0)</f>
        <v>513006</v>
      </c>
      <c r="E49" s="18">
        <f>IF(F3="1",SUMIF(Data!$A:$A,'26'!$A$2,Data!JB:JB),0)</f>
        <v>870459</v>
      </c>
      <c r="F49" s="22">
        <f t="shared" si="3"/>
        <v>1.7</v>
      </c>
    </row>
    <row r="50" spans="1:6" x14ac:dyDescent="0.2">
      <c r="A50" s="20">
        <v>15</v>
      </c>
      <c r="B50" s="172" t="s">
        <v>13</v>
      </c>
      <c r="C50" s="173"/>
      <c r="D50" s="15">
        <f>IF(F3="1",SUMIF(Data!A:A,'26'!$A$2,Data!DI:DI),0)</f>
        <v>18648</v>
      </c>
      <c r="E50" s="18">
        <f>IF(F3="1",SUMIF(Data!$A:$A,'26'!$A$2,Data!JC:JC),0)</f>
        <v>121809</v>
      </c>
      <c r="F50" s="22">
        <f t="shared" si="3"/>
        <v>6.53</v>
      </c>
    </row>
    <row r="51" spans="1:6" x14ac:dyDescent="0.2">
      <c r="A51" s="20">
        <v>16</v>
      </c>
      <c r="B51" s="172" t="s">
        <v>14</v>
      </c>
      <c r="C51" s="173"/>
      <c r="D51" s="15">
        <f>IF(F3="1",SUMIF(Data!A:A,'26'!$A$2,Data!DJ:DJ),0)</f>
        <v>558295</v>
      </c>
      <c r="E51" s="18">
        <f>IF(F3="1",SUMIF(Data!$A:$A,'26'!$A$2,Data!JD:JD),0)</f>
        <v>992245</v>
      </c>
      <c r="F51" s="22">
        <f t="shared" si="3"/>
        <v>1.78</v>
      </c>
    </row>
    <row r="52" spans="1:6" x14ac:dyDescent="0.2">
      <c r="A52" s="20">
        <v>17</v>
      </c>
      <c r="B52" s="172" t="s">
        <v>15</v>
      </c>
      <c r="C52" s="173"/>
      <c r="D52" s="15">
        <f>IF(F3="1",SUMIF(Data!A:A,'26'!$A$2,Data!DK:DK),0)</f>
        <v>65184</v>
      </c>
      <c r="E52" s="18">
        <f>IF(F3="1",SUMIF(Data!$A:$A,'26'!$A$2,Data!JE:JE),0)</f>
        <v>67580</v>
      </c>
      <c r="F52" s="22">
        <f t="shared" si="3"/>
        <v>1.04</v>
      </c>
    </row>
    <row r="53" spans="1:6" x14ac:dyDescent="0.2">
      <c r="A53" s="20">
        <v>18</v>
      </c>
      <c r="B53" s="172" t="s">
        <v>16</v>
      </c>
      <c r="C53" s="173"/>
      <c r="D53" s="15">
        <f>IF(F3="1",SUMIF(Data!A:A,'26'!$A$2,Data!DL:DL),0)</f>
        <v>152064</v>
      </c>
      <c r="E53" s="18">
        <f>IF(F3="1",SUMIF(Data!$A:$A,'26'!$A$2,Data!JF:JF),0)</f>
        <v>103108</v>
      </c>
      <c r="F53" s="22">
        <f t="shared" si="3"/>
        <v>0.68</v>
      </c>
    </row>
    <row r="54" spans="1:6" x14ac:dyDescent="0.2">
      <c r="A54" s="20">
        <v>19</v>
      </c>
      <c r="B54" s="172" t="s">
        <v>17</v>
      </c>
      <c r="C54" s="173"/>
      <c r="D54" s="15">
        <f>IF(F3="1",SUMIF(Data!A:A,'26'!$A$2,Data!DM:DM),0)</f>
        <v>2545024</v>
      </c>
      <c r="E54" s="18">
        <f>IF(F3="1",SUMIF(Data!$A:$A,'26'!$A$2,Data!JG:JG),0)</f>
        <v>1421532</v>
      </c>
      <c r="F54" s="22">
        <f t="shared" si="3"/>
        <v>0.56000000000000005</v>
      </c>
    </row>
    <row r="55" spans="1:6" x14ac:dyDescent="0.2">
      <c r="A55" s="20">
        <v>20</v>
      </c>
      <c r="B55" s="172" t="s">
        <v>18</v>
      </c>
      <c r="C55" s="173"/>
      <c r="D55" s="15">
        <f>IF(F3="1",SUMIF(Data!A:A,'26'!$A$2,Data!DN:DN),0)</f>
        <v>58736</v>
      </c>
      <c r="E55" s="18">
        <f>IF(F3="1",SUMIF(Data!$A:$A,'26'!$A$2,Data!JH:JH),0)</f>
        <v>51551</v>
      </c>
      <c r="F55" s="22">
        <f t="shared" si="3"/>
        <v>0.88</v>
      </c>
    </row>
    <row r="56" spans="1:6" ht="14.25" customHeight="1" x14ac:dyDescent="0.2">
      <c r="A56" s="20">
        <v>21</v>
      </c>
      <c r="B56" s="172" t="s">
        <v>466</v>
      </c>
      <c r="C56" s="173"/>
      <c r="D56" s="15">
        <f>IF(F3="1",SUMIF(Data!A:A,'26'!$A$2,Data!DO:DO),0)</f>
        <v>36312</v>
      </c>
      <c r="E56" s="18">
        <f>IF(F3="1",SUMIF(Data!$A:$A,'26'!$A$2,Data!JI:JI),0)</f>
        <v>141621</v>
      </c>
      <c r="F56" s="22">
        <f t="shared" si="3"/>
        <v>3.9</v>
      </c>
    </row>
    <row r="57" spans="1:6" x14ac:dyDescent="0.2">
      <c r="A57" s="20">
        <v>22</v>
      </c>
      <c r="B57" s="172" t="s">
        <v>19</v>
      </c>
      <c r="C57" s="173"/>
      <c r="D57" s="15">
        <f>IF(F3="1",SUMIF(Data!A:A,'26'!$A$2,Data!DP:DP),0)</f>
        <v>18151</v>
      </c>
      <c r="E57" s="18">
        <f>IF(F3="1",SUMIF(Data!$A:$A,'26'!$A$2,Data!JJ:JJ),0)</f>
        <v>13427</v>
      </c>
      <c r="F57" s="22">
        <f t="shared" si="3"/>
        <v>0.74</v>
      </c>
    </row>
    <row r="58" spans="1:6" x14ac:dyDescent="0.2">
      <c r="A58" s="20">
        <v>23</v>
      </c>
      <c r="B58" s="172" t="s">
        <v>20</v>
      </c>
      <c r="C58" s="173"/>
      <c r="D58" s="15">
        <f>IF(F3="1",SUMIF(Data!A:A,'26'!$A$2,Data!DQ:DQ),0)</f>
        <v>378768</v>
      </c>
      <c r="E58" s="18">
        <f>IF(F3="1",SUMIF(Data!$A:$A,'26'!$A$2,Data!JK:JK),0)</f>
        <v>367565</v>
      </c>
      <c r="F58" s="22">
        <f t="shared" si="3"/>
        <v>0.97</v>
      </c>
    </row>
    <row r="59" spans="1:6" x14ac:dyDescent="0.2">
      <c r="A59" s="20">
        <v>24</v>
      </c>
      <c r="B59" s="172" t="s">
        <v>21</v>
      </c>
      <c r="C59" s="173"/>
      <c r="D59" s="15">
        <f>IF(F3="1",SUMIF(Data!A:A,'26'!$A$2,Data!DR:DR),0)</f>
        <v>249820</v>
      </c>
      <c r="E59" s="18">
        <f>IF(F3="1",SUMIF(Data!$A:$A,'26'!$A$2,Data!JL:JL),0)</f>
        <v>439855</v>
      </c>
      <c r="F59" s="22">
        <f t="shared" si="3"/>
        <v>1.76</v>
      </c>
    </row>
    <row r="60" spans="1:6" x14ac:dyDescent="0.2">
      <c r="A60" s="20">
        <v>25</v>
      </c>
      <c r="B60" s="172" t="s">
        <v>22</v>
      </c>
      <c r="C60" s="173"/>
      <c r="D60" s="15">
        <f>IF(F3="1",SUMIF(Data!A:A,'26'!$A$2,Data!DS:DS),0)</f>
        <v>3220096</v>
      </c>
      <c r="E60" s="18">
        <f>IF(F3="1",SUMIF(Data!$A:$A,'26'!$A$2,Data!JM:JM),0)</f>
        <v>1198732</v>
      </c>
      <c r="F60" s="22">
        <f t="shared" si="3"/>
        <v>0.37</v>
      </c>
    </row>
    <row r="61" spans="1:6" x14ac:dyDescent="0.2">
      <c r="A61" s="20">
        <v>26</v>
      </c>
      <c r="B61" s="172" t="s">
        <v>23</v>
      </c>
      <c r="C61" s="173"/>
      <c r="D61" s="15">
        <f>IF(F3="1",SUMIF(Data!A:A,'26'!$A$2,Data!DT:DT),0)</f>
        <v>899088</v>
      </c>
      <c r="E61" s="18">
        <f>IF(F3="1",SUMIF(Data!$A:$A,'26'!$A$2,Data!JN:JN),0)</f>
        <v>1233017</v>
      </c>
      <c r="F61" s="22">
        <f t="shared" si="3"/>
        <v>1.37</v>
      </c>
    </row>
    <row r="62" spans="1:6" x14ac:dyDescent="0.2">
      <c r="A62" s="20">
        <v>28</v>
      </c>
      <c r="B62" s="172" t="s">
        <v>24</v>
      </c>
      <c r="C62" s="173"/>
      <c r="D62" s="15">
        <f>IF(F3="1",SUMIF(Data!A:A,'26'!$A$2,Data!DV:DV),0)</f>
        <v>0</v>
      </c>
      <c r="E62" s="18">
        <f>IF(F3="1",SUMIF(Data!$A:$A,'26'!$A$2,Data!JP:JP),0)</f>
        <v>0</v>
      </c>
      <c r="F62" s="22" t="str">
        <f t="shared" si="3"/>
        <v/>
      </c>
    </row>
    <row r="63" spans="1:6" ht="15.75" customHeight="1" thickBot="1" x14ac:dyDescent="0.25">
      <c r="A63" s="23">
        <v>29</v>
      </c>
      <c r="B63" s="174" t="s">
        <v>25</v>
      </c>
      <c r="C63" s="175"/>
      <c r="D63" s="24">
        <f>IF(F3="1",SUMIF(Data!A:A,'26'!$A$2,Data!DW:DW),0)</f>
        <v>0</v>
      </c>
      <c r="E63" s="25">
        <f>IF(F3="1",SUMIF(Data!$A:$A,'26'!$A$2,Data!JQ:JQ),0)</f>
        <v>0</v>
      </c>
      <c r="F63" s="26" t="str">
        <f t="shared" si="3"/>
        <v/>
      </c>
    </row>
    <row r="64" spans="1:6" x14ac:dyDescent="0.2">
      <c r="B64" s="31" t="s">
        <v>35</v>
      </c>
      <c r="C64" s="31"/>
      <c r="D64" s="61">
        <f>SUM(D36:D63)</f>
        <v>17538534</v>
      </c>
      <c r="E64" s="32">
        <f>SUM(E36:E63)</f>
        <v>13011857</v>
      </c>
      <c r="F64" s="33">
        <f t="shared" si="3"/>
        <v>0.74</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30852</v>
      </c>
      <c r="E67" s="16">
        <f>IF(F3="1",SUMIF(Data!A:A,'26'!$A$2,Data!DY:DY),0)</f>
        <v>134287</v>
      </c>
      <c r="F67" s="21">
        <f t="shared" ref="F67:F95" si="4">IF(D67=0,"",ROUND(E67/D67,2))</f>
        <v>4.3499999999999996</v>
      </c>
    </row>
    <row r="68" spans="1:6" x14ac:dyDescent="0.2">
      <c r="A68" s="20">
        <v>2</v>
      </c>
      <c r="B68" s="172" t="s">
        <v>1</v>
      </c>
      <c r="C68" s="173"/>
      <c r="D68" s="15">
        <f t="shared" ref="D68:D94" si="5">D37</f>
        <v>170656</v>
      </c>
      <c r="E68" s="18">
        <f>IF(F3="1",SUMIF(Data!A:A,'26'!$A$2,Data!DZ:DZ),0)</f>
        <v>564230</v>
      </c>
      <c r="F68" s="22">
        <f t="shared" si="4"/>
        <v>3.31</v>
      </c>
    </row>
    <row r="69" spans="1:6" ht="14.25" customHeight="1" x14ac:dyDescent="0.2">
      <c r="A69" s="20">
        <v>3</v>
      </c>
      <c r="B69" s="172" t="s">
        <v>2</v>
      </c>
      <c r="C69" s="173"/>
      <c r="D69" s="15">
        <f t="shared" si="5"/>
        <v>2242800</v>
      </c>
      <c r="E69" s="18">
        <f>IF(F3="1",SUMIF(Data!A:A,'26'!$A$2,Data!EA:EA),0)</f>
        <v>6647696</v>
      </c>
      <c r="F69" s="22">
        <f t="shared" si="4"/>
        <v>2.96</v>
      </c>
    </row>
    <row r="70" spans="1:6" ht="14.25" customHeight="1" x14ac:dyDescent="0.2">
      <c r="A70" s="20">
        <v>4</v>
      </c>
      <c r="B70" s="172" t="s">
        <v>3</v>
      </c>
      <c r="C70" s="173"/>
      <c r="D70" s="15">
        <f t="shared" si="5"/>
        <v>934610</v>
      </c>
      <c r="E70" s="18">
        <f>IF(F3="1",SUMIF(Data!A:A,'26'!$A$2,Data!EB:EB),0)</f>
        <v>3537679</v>
      </c>
      <c r="F70" s="22">
        <f t="shared" si="4"/>
        <v>3.79</v>
      </c>
    </row>
    <row r="71" spans="1:6" x14ac:dyDescent="0.2">
      <c r="A71" s="20">
        <v>5</v>
      </c>
      <c r="B71" s="172" t="s">
        <v>4</v>
      </c>
      <c r="C71" s="173"/>
      <c r="D71" s="15">
        <f t="shared" si="5"/>
        <v>528</v>
      </c>
      <c r="E71" s="18">
        <f>IF(F3="1",SUMIF(Data!A:A,'26'!$A$2,Data!EC:EC),0)</f>
        <v>0</v>
      </c>
      <c r="F71" s="22" t="str">
        <f>IF(E71=0,"",ROUND(E71/D71,2))</f>
        <v/>
      </c>
    </row>
    <row r="72" spans="1:6" x14ac:dyDescent="0.2">
      <c r="A72" s="20">
        <v>6</v>
      </c>
      <c r="B72" s="172" t="s">
        <v>5</v>
      </c>
      <c r="C72" s="173"/>
      <c r="D72" s="15">
        <f t="shared" si="5"/>
        <v>133204</v>
      </c>
      <c r="E72" s="18">
        <f>IF(F3="1",SUMIF(Data!A:A,'26'!$A$2,Data!ED:ED),0)</f>
        <v>137622</v>
      </c>
      <c r="F72" s="22">
        <f t="shared" si="4"/>
        <v>1.03</v>
      </c>
    </row>
    <row r="73" spans="1:6" x14ac:dyDescent="0.2">
      <c r="A73" s="20">
        <v>7</v>
      </c>
      <c r="B73" s="172" t="s">
        <v>6</v>
      </c>
      <c r="C73" s="173"/>
      <c r="D73" s="15">
        <f t="shared" si="5"/>
        <v>881335</v>
      </c>
      <c r="E73" s="18">
        <f>IF(F3="1",SUMIF(Data!A:A,'26'!$A$2,Data!EE:EE),0)</f>
        <v>3386531</v>
      </c>
      <c r="F73" s="22">
        <f t="shared" si="4"/>
        <v>3.84</v>
      </c>
    </row>
    <row r="74" spans="1:6" x14ac:dyDescent="0.2">
      <c r="A74" s="20">
        <v>8</v>
      </c>
      <c r="B74" s="172" t="s">
        <v>7</v>
      </c>
      <c r="C74" s="173"/>
      <c r="D74" s="15">
        <f t="shared" si="5"/>
        <v>8496</v>
      </c>
      <c r="E74" s="18">
        <f>IF(F3="1",SUMIF(Data!A:A,'26'!$A$2,Data!EF:EF),0)</f>
        <v>24234</v>
      </c>
      <c r="F74" s="22">
        <f t="shared" si="4"/>
        <v>2.85</v>
      </c>
    </row>
    <row r="75" spans="1:6" x14ac:dyDescent="0.2">
      <c r="A75" s="20">
        <v>9</v>
      </c>
      <c r="B75" s="172" t="s">
        <v>8</v>
      </c>
      <c r="C75" s="173"/>
      <c r="D75" s="15">
        <f t="shared" si="5"/>
        <v>339820</v>
      </c>
      <c r="E75" s="18">
        <f>IF(F3="1",SUMIF(Data!A:A,'26'!$A$2,Data!EG:EG),0)</f>
        <v>952309</v>
      </c>
      <c r="F75" s="22">
        <f t="shared" si="4"/>
        <v>2.8</v>
      </c>
    </row>
    <row r="76" spans="1:6" x14ac:dyDescent="0.2">
      <c r="A76" s="20">
        <v>10</v>
      </c>
      <c r="B76" s="172" t="s">
        <v>9</v>
      </c>
      <c r="C76" s="173"/>
      <c r="D76" s="15">
        <f t="shared" si="5"/>
        <v>864</v>
      </c>
      <c r="E76" s="18">
        <f>IF(F3="1",SUMIF(Data!A:A,'26'!$A$2,Data!EH:EH),0)</f>
        <v>605</v>
      </c>
      <c r="F76" s="22">
        <f t="shared" si="4"/>
        <v>0.7</v>
      </c>
    </row>
    <row r="77" spans="1:6" x14ac:dyDescent="0.2">
      <c r="A77" s="20">
        <v>11</v>
      </c>
      <c r="B77" s="172" t="s">
        <v>10</v>
      </c>
      <c r="C77" s="173"/>
      <c r="D77" s="15">
        <f t="shared" si="5"/>
        <v>332787</v>
      </c>
      <c r="E77" s="18">
        <f>IF(F3="1",SUMIF(Data!A:A,'26'!$A$2,Data!EI:EI),0)</f>
        <v>1810515</v>
      </c>
      <c r="F77" s="22">
        <f t="shared" si="4"/>
        <v>5.44</v>
      </c>
    </row>
    <row r="78" spans="1:6" ht="14.25" customHeight="1" x14ac:dyDescent="0.2">
      <c r="A78" s="20">
        <v>12</v>
      </c>
      <c r="B78" s="172" t="s">
        <v>11</v>
      </c>
      <c r="C78" s="173"/>
      <c r="D78" s="15">
        <f t="shared" si="5"/>
        <v>3308150</v>
      </c>
      <c r="E78" s="18">
        <f>IF(F3="1",SUMIF(Data!A:A,'26'!$A$2,Data!EJ:EJ),0)</f>
        <v>12698425</v>
      </c>
      <c r="F78" s="22">
        <f t="shared" si="4"/>
        <v>3.84</v>
      </c>
    </row>
    <row r="79" spans="1:6" x14ac:dyDescent="0.2">
      <c r="A79" s="20">
        <v>13</v>
      </c>
      <c r="B79" s="172" t="s">
        <v>12</v>
      </c>
      <c r="C79" s="173"/>
      <c r="D79" s="15">
        <f t="shared" si="5"/>
        <v>441240</v>
      </c>
      <c r="E79" s="18">
        <f>IF(F3="1",SUMIF(Data!A:A,'26'!$A$2,Data!EK:EK),0)</f>
        <v>1329400</v>
      </c>
      <c r="F79" s="22">
        <f t="shared" si="4"/>
        <v>3.01</v>
      </c>
    </row>
    <row r="80" spans="1:6" ht="14.25" customHeight="1" x14ac:dyDescent="0.2">
      <c r="A80" s="20">
        <v>14</v>
      </c>
      <c r="B80" s="172" t="s">
        <v>469</v>
      </c>
      <c r="C80" s="173"/>
      <c r="D80" s="15">
        <f t="shared" si="5"/>
        <v>513006</v>
      </c>
      <c r="E80" s="18">
        <f>IF(F3="1",SUMIF(Data!A:A,'26'!$A$2,Data!EL:EL),0)</f>
        <v>3268119</v>
      </c>
      <c r="F80" s="22">
        <f t="shared" si="4"/>
        <v>6.37</v>
      </c>
    </row>
    <row r="81" spans="1:6" x14ac:dyDescent="0.2">
      <c r="A81" s="20">
        <v>15</v>
      </c>
      <c r="B81" s="172" t="s">
        <v>13</v>
      </c>
      <c r="C81" s="173"/>
      <c r="D81" s="15">
        <f t="shared" si="5"/>
        <v>18648</v>
      </c>
      <c r="E81" s="18">
        <f>IF(F3="1",SUMIF(Data!A:A,'26'!$A$2,Data!EM:EM),0)</f>
        <v>215665</v>
      </c>
      <c r="F81" s="22">
        <f t="shared" si="4"/>
        <v>11.57</v>
      </c>
    </row>
    <row r="82" spans="1:6" x14ac:dyDescent="0.2">
      <c r="A82" s="20">
        <v>16</v>
      </c>
      <c r="B82" s="172" t="s">
        <v>14</v>
      </c>
      <c r="C82" s="173"/>
      <c r="D82" s="15">
        <f t="shared" si="5"/>
        <v>558295</v>
      </c>
      <c r="E82" s="18">
        <f>IF(F3="1",SUMIF(Data!A:A,'26'!$A$2,Data!EN:EN),0)</f>
        <v>2465830</v>
      </c>
      <c r="F82" s="22">
        <f t="shared" si="4"/>
        <v>4.42</v>
      </c>
    </row>
    <row r="83" spans="1:6" x14ac:dyDescent="0.2">
      <c r="A83" s="20">
        <v>17</v>
      </c>
      <c r="B83" s="172" t="s">
        <v>15</v>
      </c>
      <c r="C83" s="173"/>
      <c r="D83" s="15">
        <f t="shared" si="5"/>
        <v>65184</v>
      </c>
      <c r="E83" s="18">
        <f>IF(F3="1",SUMIF(Data!A:A,'26'!$A$2,Data!EO:EO),0)</f>
        <v>566838</v>
      </c>
      <c r="F83" s="22">
        <f t="shared" si="4"/>
        <v>8.6999999999999993</v>
      </c>
    </row>
    <row r="84" spans="1:6" x14ac:dyDescent="0.2">
      <c r="A84" s="20">
        <v>18</v>
      </c>
      <c r="B84" s="172" t="s">
        <v>16</v>
      </c>
      <c r="C84" s="173"/>
      <c r="D84" s="15">
        <f t="shared" si="5"/>
        <v>152064</v>
      </c>
      <c r="E84" s="18">
        <f>IF(F3="1",SUMIF(Data!A:A,'26'!$A$2,Data!EP:EP),0)</f>
        <v>710407</v>
      </c>
      <c r="F84" s="22">
        <f t="shared" si="4"/>
        <v>4.67</v>
      </c>
    </row>
    <row r="85" spans="1:6" x14ac:dyDescent="0.2">
      <c r="A85" s="20">
        <v>19</v>
      </c>
      <c r="B85" s="172" t="s">
        <v>17</v>
      </c>
      <c r="C85" s="173"/>
      <c r="D85" s="15">
        <f t="shared" si="5"/>
        <v>2545024</v>
      </c>
      <c r="E85" s="18">
        <f>IF(F3="1",SUMIF(Data!A:A,'26'!$A$2,Data!EQ:EQ),0)</f>
        <v>7267620</v>
      </c>
      <c r="F85" s="22">
        <f t="shared" si="4"/>
        <v>2.86</v>
      </c>
    </row>
    <row r="86" spans="1:6" x14ac:dyDescent="0.2">
      <c r="A86" s="20">
        <v>20</v>
      </c>
      <c r="B86" s="172" t="s">
        <v>18</v>
      </c>
      <c r="C86" s="173"/>
      <c r="D86" s="15">
        <f t="shared" si="5"/>
        <v>58736</v>
      </c>
      <c r="E86" s="18">
        <f>IF(F3="1",SUMIF(Data!A:A,'26'!$A$2,Data!ER:ER),0)</f>
        <v>203896</v>
      </c>
      <c r="F86" s="22">
        <f t="shared" si="4"/>
        <v>3.47</v>
      </c>
    </row>
    <row r="87" spans="1:6" ht="14.25" customHeight="1" x14ac:dyDescent="0.2">
      <c r="A87" s="20">
        <v>21</v>
      </c>
      <c r="B87" s="172" t="s">
        <v>466</v>
      </c>
      <c r="C87" s="173"/>
      <c r="D87" s="15">
        <f t="shared" si="5"/>
        <v>36312</v>
      </c>
      <c r="E87" s="18">
        <f>IF(F3="1",SUMIF(Data!A:A,'26'!$A$2,Data!ES:ES),0)</f>
        <v>259466</v>
      </c>
      <c r="F87" s="22">
        <f t="shared" si="4"/>
        <v>7.15</v>
      </c>
    </row>
    <row r="88" spans="1:6" x14ac:dyDescent="0.2">
      <c r="A88" s="20">
        <v>22</v>
      </c>
      <c r="B88" s="172" t="s">
        <v>19</v>
      </c>
      <c r="C88" s="173"/>
      <c r="D88" s="15">
        <f t="shared" si="5"/>
        <v>18151</v>
      </c>
      <c r="E88" s="18">
        <f>IF(F3="1",SUMIF(Data!A:A,'26'!$A$2,Data!ET:ET),0)</f>
        <v>67239</v>
      </c>
      <c r="F88" s="22">
        <f t="shared" si="4"/>
        <v>3.7</v>
      </c>
    </row>
    <row r="89" spans="1:6" x14ac:dyDescent="0.2">
      <c r="A89" s="20">
        <v>23</v>
      </c>
      <c r="B89" s="172" t="s">
        <v>20</v>
      </c>
      <c r="C89" s="173"/>
      <c r="D89" s="15">
        <f t="shared" si="5"/>
        <v>378768</v>
      </c>
      <c r="E89" s="18">
        <f>IF(F3="1",SUMIF(Data!A:A,'26'!$A$2,Data!EU:EU),0)</f>
        <v>1549126</v>
      </c>
      <c r="F89" s="22">
        <f t="shared" si="4"/>
        <v>4.09</v>
      </c>
    </row>
    <row r="90" spans="1:6" x14ac:dyDescent="0.2">
      <c r="A90" s="20">
        <v>24</v>
      </c>
      <c r="B90" s="172" t="s">
        <v>21</v>
      </c>
      <c r="C90" s="173"/>
      <c r="D90" s="15">
        <f t="shared" si="5"/>
        <v>249820</v>
      </c>
      <c r="E90" s="18">
        <f>IF(F3="1",SUMIF(Data!A:A,'26'!$A$2,Data!EV:EV),0)</f>
        <v>552489</v>
      </c>
      <c r="F90" s="22">
        <f t="shared" si="4"/>
        <v>2.21</v>
      </c>
    </row>
    <row r="91" spans="1:6" x14ac:dyDescent="0.2">
      <c r="A91" s="20">
        <v>25</v>
      </c>
      <c r="B91" s="172" t="s">
        <v>22</v>
      </c>
      <c r="C91" s="173"/>
      <c r="D91" s="15">
        <f t="shared" si="5"/>
        <v>3220096</v>
      </c>
      <c r="E91" s="18">
        <f>IF(F3="1",SUMIF(Data!A:A,'26'!$A$2,Data!EW:EW),0)</f>
        <v>9217280</v>
      </c>
      <c r="F91" s="22">
        <f t="shared" si="4"/>
        <v>2.86</v>
      </c>
    </row>
    <row r="92" spans="1:6" x14ac:dyDescent="0.2">
      <c r="A92" s="20">
        <v>26</v>
      </c>
      <c r="B92" s="172" t="s">
        <v>23</v>
      </c>
      <c r="C92" s="173"/>
      <c r="D92" s="15">
        <f t="shared" si="5"/>
        <v>899088</v>
      </c>
      <c r="E92" s="18">
        <f>IF(F3="1",SUMIF(Data!A:A,'26'!$A$2,Data!EX:EX),0)</f>
        <v>4350209</v>
      </c>
      <c r="F92" s="22">
        <f t="shared" si="4"/>
        <v>4.84</v>
      </c>
    </row>
    <row r="93" spans="1:6" x14ac:dyDescent="0.2">
      <c r="A93" s="20">
        <v>28</v>
      </c>
      <c r="B93" s="172" t="s">
        <v>24</v>
      </c>
      <c r="C93" s="173"/>
      <c r="D93" s="15">
        <f t="shared" si="5"/>
        <v>0</v>
      </c>
      <c r="E93" s="18">
        <f>IF(F3="1",SUMIF(Data!A:A,'26'!$A$2,Data!EZ:EZ),0)</f>
        <v>0</v>
      </c>
      <c r="F93" s="22" t="str">
        <f t="shared" si="4"/>
        <v/>
      </c>
    </row>
    <row r="94" spans="1:6" ht="15.75" customHeight="1" thickBot="1" x14ac:dyDescent="0.25">
      <c r="A94" s="23">
        <v>29</v>
      </c>
      <c r="B94" s="174" t="s">
        <v>25</v>
      </c>
      <c r="C94" s="175"/>
      <c r="D94" s="24">
        <f t="shared" si="5"/>
        <v>0</v>
      </c>
      <c r="E94" s="25">
        <f>IF(F3="1",SUMIF(Data!A:A,'26'!$A$2,Data!FA:FA),0)</f>
        <v>0</v>
      </c>
      <c r="F94" s="26" t="str">
        <f t="shared" si="4"/>
        <v/>
      </c>
    </row>
    <row r="95" spans="1:6" x14ac:dyDescent="0.2">
      <c r="B95" s="31" t="s">
        <v>35</v>
      </c>
      <c r="C95" s="31"/>
      <c r="D95" s="61">
        <f>SUM(D67:D94)</f>
        <v>17538534</v>
      </c>
      <c r="E95" s="32">
        <f>SUM(E67:E94)</f>
        <v>61917717</v>
      </c>
      <c r="F95" s="33">
        <f t="shared" si="4"/>
        <v>3.53</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IF(F3="1",SUMIF(Data!A:A,'26'!$A$2,Data!AH:AH),0)</f>
        <v>26874666</v>
      </c>
      <c r="F98" s="21">
        <f>IF($D$105=0,"",ROUND(E98/$D$105,2))</f>
        <v>1.53</v>
      </c>
    </row>
    <row r="99" spans="2:6" x14ac:dyDescent="0.2">
      <c r="B99" s="178" t="s">
        <v>31</v>
      </c>
      <c r="C99" s="179"/>
      <c r="D99" s="37"/>
      <c r="E99" s="18">
        <f>IF(F3="1",SUMIF(Data!A:A,'26'!$A$2,Data!AI:AI),0)</f>
        <v>14412892</v>
      </c>
      <c r="F99" s="22">
        <f t="shared" ref="F99:F105" si="6">IF($D$105=0,"",ROUND(E99/$D$105,2))</f>
        <v>0.82</v>
      </c>
    </row>
    <row r="100" spans="2:6" x14ac:dyDescent="0.2">
      <c r="B100" s="178" t="s">
        <v>32</v>
      </c>
      <c r="C100" s="179"/>
      <c r="D100" s="37"/>
      <c r="E100" s="18">
        <f>IF(F3="1",SUMIF(Data!A:A,'26'!$A$2,Data!AJ:AJ),0)</f>
        <v>30593636</v>
      </c>
      <c r="F100" s="22">
        <f t="shared" si="6"/>
        <v>1.74</v>
      </c>
    </row>
    <row r="101" spans="2:6" x14ac:dyDescent="0.2">
      <c r="B101" s="178" t="s">
        <v>28</v>
      </c>
      <c r="C101" s="179"/>
      <c r="D101" s="37"/>
      <c r="E101" s="18">
        <f>IF(F3="1",SUMIF(Data!A:A,'26'!$A$2,Data!AK:AK),0)</f>
        <v>0</v>
      </c>
      <c r="F101" s="22">
        <f t="shared" si="6"/>
        <v>0</v>
      </c>
    </row>
    <row r="102" spans="2:6" x14ac:dyDescent="0.2">
      <c r="B102" s="178" t="s">
        <v>33</v>
      </c>
      <c r="C102" s="179"/>
      <c r="D102" s="37"/>
      <c r="E102" s="18">
        <f>IF(F3="1",SUMIF(Data!A:A,'26'!$A$2,Data!AL:AL),0)</f>
        <v>0</v>
      </c>
      <c r="F102" s="22">
        <f t="shared" si="6"/>
        <v>0</v>
      </c>
    </row>
    <row r="103" spans="2:6" x14ac:dyDescent="0.2">
      <c r="B103" s="180" t="s">
        <v>34</v>
      </c>
      <c r="C103" s="181"/>
      <c r="D103" s="37"/>
      <c r="E103" s="18">
        <f>IF(F3="1",SUMIF(Data!A:A,'26'!$A$2,Data!AM:AM),0)</f>
        <v>1864438</v>
      </c>
      <c r="F103" s="22">
        <f t="shared" si="6"/>
        <v>0.11</v>
      </c>
    </row>
    <row r="104" spans="2:6" ht="15.75" customHeight="1" thickBot="1" x14ac:dyDescent="0.25">
      <c r="B104" s="170" t="s">
        <v>29</v>
      </c>
      <c r="C104" s="171"/>
      <c r="D104" s="38"/>
      <c r="E104" s="25">
        <f>IF(F3="1",SUMIF(Data!A:A,'26'!$A$2,Data!Q:Q),0)</f>
        <v>3866185</v>
      </c>
      <c r="F104" s="26">
        <f t="shared" si="6"/>
        <v>0.22</v>
      </c>
    </row>
    <row r="105" spans="2:6" x14ac:dyDescent="0.2">
      <c r="B105" s="31" t="s">
        <v>35</v>
      </c>
      <c r="C105" s="31"/>
      <c r="D105" s="35">
        <f>D95</f>
        <v>17538534</v>
      </c>
      <c r="E105" s="32">
        <f>SUM(E98:E104)</f>
        <v>77611817</v>
      </c>
      <c r="F105" s="33">
        <f t="shared" si="6"/>
        <v>4.43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65460677</v>
      </c>
      <c r="D109" s="16">
        <f>IF(F3="1",SUMIF(Data!$A:$A,$A$2,Data!HJ:HJ),0)</f>
        <v>3000639</v>
      </c>
      <c r="E109" s="16">
        <f>IF(F3="1",SUMIF(Data!$A:$A,$A$2,Data!IN:IN),0)</f>
        <v>6468965</v>
      </c>
      <c r="F109" s="48">
        <f>SUM(C109:E109)</f>
        <v>74930281</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2300811</v>
      </c>
      <c r="D111" s="52"/>
      <c r="E111" s="51">
        <f>IF(F3="1",SUMIF(Data!A:A,$A$2,Data!AX:AX),0)</f>
        <v>938631</v>
      </c>
      <c r="F111" s="49">
        <f t="shared" si="7"/>
        <v>3239442</v>
      </c>
    </row>
    <row r="112" spans="2:6" x14ac:dyDescent="0.2">
      <c r="B112" s="43" t="s">
        <v>32</v>
      </c>
      <c r="C112" s="51">
        <f>IF(F3="1",SUMIF(Data!A:A,$A$2,Data!V:V),0)</f>
        <v>23851147</v>
      </c>
      <c r="D112" s="52"/>
      <c r="E112" s="51">
        <f>IF(F3="1",SUMIF(Data!A:A,$A$2,Data!AC:AC),0)</f>
        <v>6742489</v>
      </c>
      <c r="F112" s="49">
        <f t="shared" si="7"/>
        <v>30593636</v>
      </c>
    </row>
    <row r="113" spans="1:6" x14ac:dyDescent="0.2">
      <c r="B113" s="43" t="s">
        <v>31</v>
      </c>
      <c r="C113" s="51">
        <f>IF(F3="1",SUMIF(Data!A:A,$A$2,Data!U:U),0)</f>
        <v>11274750</v>
      </c>
      <c r="D113" s="52"/>
      <c r="E113" s="51">
        <f>IF(F3="1",SUMIF(Data!A:A,$A$2,Data!AB:AB),0)</f>
        <v>3138142</v>
      </c>
      <c r="F113" s="49">
        <f t="shared" si="7"/>
        <v>14412892</v>
      </c>
    </row>
    <row r="114" spans="1:6" x14ac:dyDescent="0.2">
      <c r="B114" s="43" t="s">
        <v>1021</v>
      </c>
      <c r="C114" s="51">
        <f>IF(F3="1",SUMIF(Data!A:A,$A$2,Data!T:T),0)</f>
        <v>15185781</v>
      </c>
      <c r="D114" s="52"/>
      <c r="E114" s="51">
        <f>IF(F3="1",SUMIF(Data!A:A,$A$2,Data!AA:AA),0)</f>
        <v>11688885</v>
      </c>
      <c r="F114" s="49">
        <f t="shared" si="7"/>
        <v>26874666</v>
      </c>
    </row>
    <row r="115" spans="1:6" x14ac:dyDescent="0.2">
      <c r="B115" s="43" t="s">
        <v>937</v>
      </c>
      <c r="C115" s="51">
        <f>IF(F3="1",SUMIF(Data!A:A,$A$2,Data!BI:BI),0)</f>
        <v>7749721</v>
      </c>
      <c r="D115" s="51">
        <f>IF(F3="1",SUMIF(Data!A:A,$A$2,Data!BL:BL),0)</f>
        <v>1957691</v>
      </c>
      <c r="E115" s="51">
        <f>IF(F3="1",SUMIF(Data!A:A,$A$2,Data!BU:BU),0)</f>
        <v>21954885</v>
      </c>
      <c r="F115" s="49">
        <f t="shared" si="7"/>
        <v>31662297</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3866185</v>
      </c>
      <c r="E117" s="53"/>
      <c r="F117" s="50">
        <f>SUM(C117:E117)</f>
        <v>3866185</v>
      </c>
    </row>
    <row r="118" spans="1:6" x14ac:dyDescent="0.2">
      <c r="B118" s="14" t="s">
        <v>35</v>
      </c>
      <c r="C118" s="5">
        <f>SUM(C109:C116)</f>
        <v>125822887</v>
      </c>
      <c r="D118" s="5">
        <f>SUM(D109:D116)</f>
        <v>4958330</v>
      </c>
      <c r="E118" s="5">
        <f>SUM(E109:E116)</f>
        <v>50931997</v>
      </c>
      <c r="F118" s="5">
        <f>SUM(F109:F116)</f>
        <v>181713214</v>
      </c>
    </row>
    <row r="119" spans="1:6" ht="15" thickBot="1" x14ac:dyDescent="0.25"/>
    <row r="120" spans="1:6" ht="15" thickBot="1" x14ac:dyDescent="0.25">
      <c r="B120" s="57" t="s">
        <v>942</v>
      </c>
      <c r="C120" s="55"/>
      <c r="D120" s="55"/>
      <c r="E120" s="55">
        <f>IF(F3="1",SUMIF(Data!A:A,'26'!$A$2,Data!AM:AM),0)</f>
        <v>1864438</v>
      </c>
      <c r="F120" s="56">
        <f>SUM(C120:E120)</f>
        <v>1864438</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382</v>
      </c>
      <c r="B2" s="60" t="str">
        <f>VLOOKUP(A2,Data!A:G,7,0)</f>
        <v>McLennan Community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33794</v>
      </c>
      <c r="E5" s="16">
        <f>E36+E67+IFERROR($E$105/$D$105*D5,0)</f>
        <v>560680.39631694404</v>
      </c>
      <c r="F5" s="21">
        <f>IF(OR(D5=0,E5=0),"",ROUND(E5/D5,2))</f>
        <v>16.59</v>
      </c>
    </row>
    <row r="6" spans="1:6" x14ac:dyDescent="0.2">
      <c r="A6" s="20">
        <v>2</v>
      </c>
      <c r="B6" s="172" t="s">
        <v>1</v>
      </c>
      <c r="C6" s="173"/>
      <c r="D6" s="15">
        <f t="shared" ref="D6:D32" si="0">D37</f>
        <v>0</v>
      </c>
      <c r="E6" s="18">
        <f t="shared" ref="E6:E32" si="1">E37+E68+IFERROR($E$105/$D$105*D6,0)</f>
        <v>0</v>
      </c>
      <c r="F6" s="22" t="str">
        <f t="shared" ref="F6:F33" si="2">IF(OR(D6=0,E6=0),"",ROUND(E6/D6,2))</f>
        <v/>
      </c>
    </row>
    <row r="7" spans="1:6" ht="14.25" customHeight="1" x14ac:dyDescent="0.2">
      <c r="A7" s="20">
        <v>3</v>
      </c>
      <c r="B7" s="172" t="s">
        <v>2</v>
      </c>
      <c r="C7" s="173"/>
      <c r="D7" s="15">
        <f t="shared" si="0"/>
        <v>395424</v>
      </c>
      <c r="E7" s="18">
        <f t="shared" si="1"/>
        <v>2335706.0927156089</v>
      </c>
      <c r="F7" s="22">
        <f t="shared" si="2"/>
        <v>5.91</v>
      </c>
    </row>
    <row r="8" spans="1:6" ht="14.25" customHeight="1" x14ac:dyDescent="0.2">
      <c r="A8" s="20">
        <v>4</v>
      </c>
      <c r="B8" s="172" t="s">
        <v>3</v>
      </c>
      <c r="C8" s="173"/>
      <c r="D8" s="15">
        <f t="shared" si="0"/>
        <v>333750</v>
      </c>
      <c r="E8" s="18">
        <f t="shared" si="1"/>
        <v>2438875.1201035711</v>
      </c>
      <c r="F8" s="22">
        <f t="shared" si="2"/>
        <v>7.31</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15530</v>
      </c>
      <c r="E10" s="18">
        <f t="shared" si="1"/>
        <v>52392.97919163583</v>
      </c>
      <c r="F10" s="22">
        <f t="shared" si="2"/>
        <v>3.37</v>
      </c>
    </row>
    <row r="11" spans="1:6" x14ac:dyDescent="0.2">
      <c r="A11" s="20">
        <v>7</v>
      </c>
      <c r="B11" s="172" t="s">
        <v>6</v>
      </c>
      <c r="C11" s="173"/>
      <c r="D11" s="15">
        <f t="shared" si="0"/>
        <v>108579</v>
      </c>
      <c r="E11" s="18">
        <f t="shared" si="1"/>
        <v>1473563.1084126611</v>
      </c>
      <c r="F11" s="22">
        <f t="shared" si="2"/>
        <v>13.57</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154356</v>
      </c>
      <c r="E13" s="18">
        <f t="shared" si="1"/>
        <v>1535716.2105669118</v>
      </c>
      <c r="F13" s="22">
        <f t="shared" si="2"/>
        <v>9.9499999999999993</v>
      </c>
    </row>
    <row r="14" spans="1:6" x14ac:dyDescent="0.2">
      <c r="A14" s="20">
        <v>10</v>
      </c>
      <c r="B14" s="172" t="s">
        <v>9</v>
      </c>
      <c r="C14" s="173"/>
      <c r="D14" s="15">
        <f t="shared" si="0"/>
        <v>736</v>
      </c>
      <c r="E14" s="18">
        <f t="shared" si="1"/>
        <v>2217.8091877040547</v>
      </c>
      <c r="F14" s="22">
        <f t="shared" si="2"/>
        <v>3.01</v>
      </c>
    </row>
    <row r="15" spans="1:6" x14ac:dyDescent="0.2">
      <c r="A15" s="20">
        <v>11</v>
      </c>
      <c r="B15" s="172" t="s">
        <v>10</v>
      </c>
      <c r="C15" s="173"/>
      <c r="D15" s="15">
        <f t="shared" si="0"/>
        <v>962</v>
      </c>
      <c r="E15" s="18">
        <f t="shared" si="1"/>
        <v>6168.8212480588327</v>
      </c>
      <c r="F15" s="22">
        <f t="shared" si="2"/>
        <v>6.41</v>
      </c>
    </row>
    <row r="16" spans="1:6" ht="14.25" customHeight="1" x14ac:dyDescent="0.2">
      <c r="A16" s="20">
        <v>12</v>
      </c>
      <c r="B16" s="172" t="s">
        <v>11</v>
      </c>
      <c r="C16" s="173"/>
      <c r="D16" s="15">
        <f t="shared" si="0"/>
        <v>548266</v>
      </c>
      <c r="E16" s="18">
        <f t="shared" si="1"/>
        <v>4231760.1251436844</v>
      </c>
      <c r="F16" s="22">
        <f t="shared" si="2"/>
        <v>7.72</v>
      </c>
    </row>
    <row r="17" spans="1:6" x14ac:dyDescent="0.2">
      <c r="A17" s="20">
        <v>13</v>
      </c>
      <c r="B17" s="172" t="s">
        <v>12</v>
      </c>
      <c r="C17" s="173"/>
      <c r="D17" s="15">
        <f t="shared" si="0"/>
        <v>94259</v>
      </c>
      <c r="E17" s="18">
        <f t="shared" si="1"/>
        <v>549064.25573885394</v>
      </c>
      <c r="F17" s="22">
        <f t="shared" si="2"/>
        <v>5.83</v>
      </c>
    </row>
    <row r="18" spans="1:6" ht="14.25" customHeight="1" x14ac:dyDescent="0.2">
      <c r="A18" s="20">
        <v>14</v>
      </c>
      <c r="B18" s="172" t="s">
        <v>469</v>
      </c>
      <c r="C18" s="173"/>
      <c r="D18" s="15">
        <f t="shared" si="0"/>
        <v>168187</v>
      </c>
      <c r="E18" s="18">
        <f t="shared" si="1"/>
        <v>2233609.5459950841</v>
      </c>
      <c r="F18" s="22">
        <f t="shared" si="2"/>
        <v>13.28</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308230</v>
      </c>
      <c r="E20" s="18">
        <f t="shared" si="1"/>
        <v>2603806.9971820936</v>
      </c>
      <c r="F20" s="22">
        <f t="shared" si="2"/>
        <v>8.4499999999999993</v>
      </c>
    </row>
    <row r="21" spans="1:6" x14ac:dyDescent="0.2">
      <c r="A21" s="20">
        <v>17</v>
      </c>
      <c r="B21" s="172" t="s">
        <v>15</v>
      </c>
      <c r="C21" s="173"/>
      <c r="D21" s="15">
        <f t="shared" si="0"/>
        <v>49840</v>
      </c>
      <c r="E21" s="18">
        <f t="shared" si="1"/>
        <v>469790.25260213332</v>
      </c>
      <c r="F21" s="22">
        <f t="shared" si="2"/>
        <v>9.43</v>
      </c>
    </row>
    <row r="22" spans="1:6" x14ac:dyDescent="0.2">
      <c r="A22" s="20">
        <v>18</v>
      </c>
      <c r="B22" s="172" t="s">
        <v>16</v>
      </c>
      <c r="C22" s="173"/>
      <c r="D22" s="15">
        <f t="shared" si="0"/>
        <v>86064</v>
      </c>
      <c r="E22" s="18">
        <f t="shared" si="1"/>
        <v>650349.03523174161</v>
      </c>
      <c r="F22" s="22">
        <f t="shared" si="2"/>
        <v>7.56</v>
      </c>
    </row>
    <row r="23" spans="1:6" x14ac:dyDescent="0.2">
      <c r="A23" s="20">
        <v>19</v>
      </c>
      <c r="B23" s="172" t="s">
        <v>17</v>
      </c>
      <c r="C23" s="173"/>
      <c r="D23" s="15">
        <f t="shared" si="0"/>
        <v>311306</v>
      </c>
      <c r="E23" s="18">
        <f t="shared" si="1"/>
        <v>2041681.9931894001</v>
      </c>
      <c r="F23" s="22">
        <f t="shared" si="2"/>
        <v>6.56</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66360</v>
      </c>
      <c r="E25" s="18">
        <f t="shared" si="1"/>
        <v>216834.42621744712</v>
      </c>
      <c r="F25" s="22">
        <f t="shared" si="2"/>
        <v>3.27</v>
      </c>
    </row>
    <row r="26" spans="1:6" x14ac:dyDescent="0.2">
      <c r="A26" s="20">
        <v>22</v>
      </c>
      <c r="B26" s="172" t="s">
        <v>19</v>
      </c>
      <c r="C26" s="173"/>
      <c r="D26" s="15">
        <f t="shared" si="0"/>
        <v>1304</v>
      </c>
      <c r="E26" s="18">
        <f t="shared" si="1"/>
        <v>3929.3793216930535</v>
      </c>
      <c r="F26" s="22">
        <f t="shared" si="2"/>
        <v>3.01</v>
      </c>
    </row>
    <row r="27" spans="1:6" x14ac:dyDescent="0.2">
      <c r="A27" s="20">
        <v>23</v>
      </c>
      <c r="B27" s="172" t="s">
        <v>20</v>
      </c>
      <c r="C27" s="173"/>
      <c r="D27" s="15">
        <f t="shared" si="0"/>
        <v>108630</v>
      </c>
      <c r="E27" s="18">
        <f t="shared" si="1"/>
        <v>1097647.788125396</v>
      </c>
      <c r="F27" s="22">
        <f t="shared" si="2"/>
        <v>10.1</v>
      </c>
    </row>
    <row r="28" spans="1:6" x14ac:dyDescent="0.2">
      <c r="A28" s="20">
        <v>24</v>
      </c>
      <c r="B28" s="172" t="s">
        <v>21</v>
      </c>
      <c r="C28" s="173"/>
      <c r="D28" s="15">
        <f t="shared" si="0"/>
        <v>134830</v>
      </c>
      <c r="E28" s="18">
        <f t="shared" si="1"/>
        <v>990617.9738833392</v>
      </c>
      <c r="F28" s="22">
        <f t="shared" si="2"/>
        <v>7.35</v>
      </c>
    </row>
    <row r="29" spans="1:6" x14ac:dyDescent="0.2">
      <c r="A29" s="20">
        <v>25</v>
      </c>
      <c r="B29" s="172" t="s">
        <v>22</v>
      </c>
      <c r="C29" s="173"/>
      <c r="D29" s="15">
        <f t="shared" si="0"/>
        <v>607584</v>
      </c>
      <c r="E29" s="18">
        <f t="shared" si="1"/>
        <v>3456040.6976929083</v>
      </c>
      <c r="F29" s="22">
        <f t="shared" si="2"/>
        <v>5.69</v>
      </c>
    </row>
    <row r="30" spans="1:6" x14ac:dyDescent="0.2">
      <c r="A30" s="20">
        <v>26</v>
      </c>
      <c r="B30" s="172" t="s">
        <v>23</v>
      </c>
      <c r="C30" s="173"/>
      <c r="D30" s="15">
        <f t="shared" si="0"/>
        <v>264186</v>
      </c>
      <c r="E30" s="18">
        <f t="shared" si="1"/>
        <v>2730179.9919331297</v>
      </c>
      <c r="F30" s="22">
        <f t="shared" si="2"/>
        <v>10.33</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3792177</v>
      </c>
      <c r="E33" s="32">
        <f>SUM(E5:E32)</f>
        <v>29680633.000000004</v>
      </c>
      <c r="F33" s="33">
        <f t="shared" si="2"/>
        <v>7.83</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IF(F3="1",SUMIF(Data!A:A,'27'!$A$2,Data!CU:CU),0)</f>
        <v>33794</v>
      </c>
      <c r="E36" s="16">
        <f>IF(F3="1",SUMIF(Data!$A:$A,'27'!$A$2,Data!IO:IO),0)</f>
        <v>356288</v>
      </c>
      <c r="F36" s="21">
        <f>IF(D36=0,"",ROUND(E36/D36,2))</f>
        <v>10.54</v>
      </c>
    </row>
    <row r="37" spans="1:6" x14ac:dyDescent="0.2">
      <c r="A37" s="20">
        <v>2</v>
      </c>
      <c r="B37" s="172" t="s">
        <v>1</v>
      </c>
      <c r="C37" s="173"/>
      <c r="D37" s="15">
        <f>IF(F3="1",SUMIF(Data!A:A,'27'!$A$2,Data!CV:CV),0)</f>
        <v>0</v>
      </c>
      <c r="E37" s="18">
        <f>IF(F3="1",SUMIF(Data!$A:$A,'27'!$A$2,Data!IP:IP),0)</f>
        <v>0</v>
      </c>
      <c r="F37" s="22" t="str">
        <f t="shared" ref="F37:F64" si="3">IF(D37=0,"",ROUND(E37/D37,2))</f>
        <v/>
      </c>
    </row>
    <row r="38" spans="1:6" ht="14.25" customHeight="1" x14ac:dyDescent="0.2">
      <c r="A38" s="20">
        <v>3</v>
      </c>
      <c r="B38" s="172" t="s">
        <v>2</v>
      </c>
      <c r="C38" s="173"/>
      <c r="D38" s="15">
        <f>IF(F3="1",SUMIF(Data!A:A,'27'!$A$2,Data!CW:CW),0)</f>
        <v>395424</v>
      </c>
      <c r="E38" s="18">
        <f>IF(F3="1",SUMIF(Data!$A:$A,'27'!$A$2,Data!IQ:IQ),0)</f>
        <v>117957</v>
      </c>
      <c r="F38" s="22">
        <f t="shared" si="3"/>
        <v>0.3</v>
      </c>
    </row>
    <row r="39" spans="1:6" ht="14.25" customHeight="1" x14ac:dyDescent="0.2">
      <c r="A39" s="20">
        <v>4</v>
      </c>
      <c r="B39" s="172" t="s">
        <v>3</v>
      </c>
      <c r="C39" s="173"/>
      <c r="D39" s="15">
        <f>IF(F3="1",SUMIF(Data!A:A,'27'!$A$2,Data!CX:CX),0)</f>
        <v>333750</v>
      </c>
      <c r="E39" s="18">
        <f>IF(F3="1",SUMIF(Data!$A:$A,'27'!$A$2,Data!IR:IR),0)</f>
        <v>302018</v>
      </c>
      <c r="F39" s="22">
        <f t="shared" si="3"/>
        <v>0.9</v>
      </c>
    </row>
    <row r="40" spans="1:6" x14ac:dyDescent="0.2">
      <c r="A40" s="20">
        <v>5</v>
      </c>
      <c r="B40" s="172" t="s">
        <v>4</v>
      </c>
      <c r="C40" s="173"/>
      <c r="D40" s="15">
        <f>IF(F3="1",SUMIF(Data!A:A,'27'!$A$2,Data!CY:CY),0)</f>
        <v>0</v>
      </c>
      <c r="E40" s="18">
        <f>IF(F3="1",SUMIF(Data!$A:$A,'27'!$A$2,Data!IS:IS),0)</f>
        <v>0</v>
      </c>
      <c r="F40" s="22" t="str">
        <f t="shared" si="3"/>
        <v/>
      </c>
    </row>
    <row r="41" spans="1:6" x14ac:dyDescent="0.2">
      <c r="A41" s="20">
        <v>6</v>
      </c>
      <c r="B41" s="172" t="s">
        <v>5</v>
      </c>
      <c r="C41" s="173"/>
      <c r="D41" s="15">
        <f>IF(F3="1",SUMIF(Data!A:A,'27'!$A$2,Data!CZ:CZ),0)</f>
        <v>15530</v>
      </c>
      <c r="E41" s="18">
        <f>IF(F3="1",SUMIF(Data!$A:$A,'27'!$A$2,Data!IT:IT),0)</f>
        <v>232</v>
      </c>
      <c r="F41" s="22">
        <f t="shared" si="3"/>
        <v>0.01</v>
      </c>
    </row>
    <row r="42" spans="1:6" x14ac:dyDescent="0.2">
      <c r="A42" s="20">
        <v>7</v>
      </c>
      <c r="B42" s="172" t="s">
        <v>6</v>
      </c>
      <c r="C42" s="173"/>
      <c r="D42" s="15">
        <f>IF(F3="1",SUMIF(Data!A:A,'27'!$A$2,Data!DA:DA),0)</f>
        <v>108579</v>
      </c>
      <c r="E42" s="18">
        <f>IF(F3="1",SUMIF(Data!$A:$A,'27'!$A$2,Data!IU:IU),0)</f>
        <v>127910</v>
      </c>
      <c r="F42" s="22">
        <f t="shared" si="3"/>
        <v>1.18</v>
      </c>
    </row>
    <row r="43" spans="1:6" x14ac:dyDescent="0.2">
      <c r="A43" s="20">
        <v>8</v>
      </c>
      <c r="B43" s="172" t="s">
        <v>7</v>
      </c>
      <c r="C43" s="173"/>
      <c r="D43" s="15">
        <f>IF(F3="1",SUMIF(Data!A:A,'27'!$A$2,Data!DB:DB),0)</f>
        <v>0</v>
      </c>
      <c r="E43" s="18">
        <f>IF(F3="1",SUMIF(Data!$A:$A,'27'!$A$2,Data!IV:IV),0)</f>
        <v>0</v>
      </c>
      <c r="F43" s="22" t="str">
        <f t="shared" si="3"/>
        <v/>
      </c>
    </row>
    <row r="44" spans="1:6" x14ac:dyDescent="0.2">
      <c r="A44" s="20">
        <v>9</v>
      </c>
      <c r="B44" s="172" t="s">
        <v>8</v>
      </c>
      <c r="C44" s="173"/>
      <c r="D44" s="15">
        <f>IF(F3="1",SUMIF(Data!A:A,'27'!$A$2,Data!DC:DC),0)</f>
        <v>154356</v>
      </c>
      <c r="E44" s="18">
        <f>IF(F3="1",SUMIF(Data!$A:$A,'27'!$A$2,Data!IW:IW),0)</f>
        <v>714662</v>
      </c>
      <c r="F44" s="22">
        <f t="shared" si="3"/>
        <v>4.63</v>
      </c>
    </row>
    <row r="45" spans="1:6" x14ac:dyDescent="0.2">
      <c r="A45" s="20">
        <v>10</v>
      </c>
      <c r="B45" s="172" t="s">
        <v>9</v>
      </c>
      <c r="C45" s="173"/>
      <c r="D45" s="15">
        <f>IF(F3="1",SUMIF(Data!A:A,'27'!$A$2,Data!DD:DD),0)</f>
        <v>736</v>
      </c>
      <c r="E45" s="18">
        <f>IF(F3="1",SUMIF(Data!$A:$A,'27'!$A$2,Data!IX:IX),0)</f>
        <v>0</v>
      </c>
      <c r="F45" s="22">
        <f t="shared" si="3"/>
        <v>0</v>
      </c>
    </row>
    <row r="46" spans="1:6" x14ac:dyDescent="0.2">
      <c r="A46" s="20">
        <v>11</v>
      </c>
      <c r="B46" s="172" t="s">
        <v>10</v>
      </c>
      <c r="C46" s="173"/>
      <c r="D46" s="15">
        <f>IF(F3="1",SUMIF(Data!A:A,'27'!$A$2,Data!DE:DE),0)</f>
        <v>962</v>
      </c>
      <c r="E46" s="18">
        <f>IF(F3="1",SUMIF(Data!$A:$A,'27'!$A$2,Data!IY:IY),0)</f>
        <v>141</v>
      </c>
      <c r="F46" s="22">
        <f t="shared" si="3"/>
        <v>0.15</v>
      </c>
    </row>
    <row r="47" spans="1:6" ht="14.25" customHeight="1" x14ac:dyDescent="0.2">
      <c r="A47" s="20">
        <v>12</v>
      </c>
      <c r="B47" s="172" t="s">
        <v>11</v>
      </c>
      <c r="C47" s="173"/>
      <c r="D47" s="15">
        <f>IF(F3="1",SUMIF(Data!A:A,'27'!$A$2,Data!DF:DF),0)</f>
        <v>548266</v>
      </c>
      <c r="E47" s="18">
        <f>IF(F3="1",SUMIF(Data!$A:$A,'27'!$A$2,Data!IZ:IZ),0)</f>
        <v>186394</v>
      </c>
      <c r="F47" s="22">
        <f t="shared" si="3"/>
        <v>0.34</v>
      </c>
    </row>
    <row r="48" spans="1:6" x14ac:dyDescent="0.2">
      <c r="A48" s="20">
        <v>13</v>
      </c>
      <c r="B48" s="172" t="s">
        <v>12</v>
      </c>
      <c r="C48" s="173"/>
      <c r="D48" s="15">
        <f>IF(F3="1",SUMIF(Data!A:A,'27'!$A$2,Data!DG:DG),0)</f>
        <v>94259</v>
      </c>
      <c r="E48" s="18">
        <f>IF(F3="1",SUMIF(Data!$A:$A,'27'!$A$2,Data!JA:JA),0)</f>
        <v>26486</v>
      </c>
      <c r="F48" s="22">
        <f t="shared" si="3"/>
        <v>0.28000000000000003</v>
      </c>
    </row>
    <row r="49" spans="1:6" ht="14.25" customHeight="1" x14ac:dyDescent="0.2">
      <c r="A49" s="20">
        <v>14</v>
      </c>
      <c r="B49" s="172" t="s">
        <v>469</v>
      </c>
      <c r="C49" s="173"/>
      <c r="D49" s="15">
        <f>IF(F3="1",SUMIF(Data!A:A,'27'!$A$2,Data!DH:DH),0)</f>
        <v>168187</v>
      </c>
      <c r="E49" s="18">
        <f>IF(F3="1",SUMIF(Data!$A:$A,'27'!$A$2,Data!JB:JB),0)</f>
        <v>242605</v>
      </c>
      <c r="F49" s="22">
        <f t="shared" si="3"/>
        <v>1.44</v>
      </c>
    </row>
    <row r="50" spans="1:6" x14ac:dyDescent="0.2">
      <c r="A50" s="20">
        <v>15</v>
      </c>
      <c r="B50" s="172" t="s">
        <v>13</v>
      </c>
      <c r="C50" s="173"/>
      <c r="D50" s="15">
        <f>IF(F3="1",SUMIF(Data!A:A,'27'!$A$2,Data!DI:DI),0)</f>
        <v>0</v>
      </c>
      <c r="E50" s="18">
        <f>IF(F3="1",SUMIF(Data!$A:$A,'27'!$A$2,Data!JC:JC),0)</f>
        <v>0</v>
      </c>
      <c r="F50" s="22" t="str">
        <f t="shared" si="3"/>
        <v/>
      </c>
    </row>
    <row r="51" spans="1:6" x14ac:dyDescent="0.2">
      <c r="A51" s="20">
        <v>16</v>
      </c>
      <c r="B51" s="172" t="s">
        <v>14</v>
      </c>
      <c r="C51" s="173"/>
      <c r="D51" s="15">
        <f>IF(F3="1",SUMIF(Data!A:A,'27'!$A$2,Data!DJ:DJ),0)</f>
        <v>308230</v>
      </c>
      <c r="E51" s="18">
        <f>IF(F3="1",SUMIF(Data!$A:$A,'27'!$A$2,Data!JD:JD),0)</f>
        <v>393262</v>
      </c>
      <c r="F51" s="22">
        <f t="shared" si="3"/>
        <v>1.28</v>
      </c>
    </row>
    <row r="52" spans="1:6" x14ac:dyDescent="0.2">
      <c r="A52" s="20">
        <v>17</v>
      </c>
      <c r="B52" s="172" t="s">
        <v>15</v>
      </c>
      <c r="C52" s="173"/>
      <c r="D52" s="15">
        <f>IF(F3="1",SUMIF(Data!A:A,'27'!$A$2,Data!DK:DK),0)</f>
        <v>49840</v>
      </c>
      <c r="E52" s="18">
        <f>IF(F3="1",SUMIF(Data!$A:$A,'27'!$A$2,Data!JE:JE),0)</f>
        <v>40401</v>
      </c>
      <c r="F52" s="22">
        <f t="shared" si="3"/>
        <v>0.81</v>
      </c>
    </row>
    <row r="53" spans="1:6" x14ac:dyDescent="0.2">
      <c r="A53" s="20">
        <v>18</v>
      </c>
      <c r="B53" s="172" t="s">
        <v>16</v>
      </c>
      <c r="C53" s="173"/>
      <c r="D53" s="15">
        <f>IF(F3="1",SUMIF(Data!A:A,'27'!$A$2,Data!DL:DL),0)</f>
        <v>86064</v>
      </c>
      <c r="E53" s="18">
        <f>IF(F3="1",SUMIF(Data!$A:$A,'27'!$A$2,Data!JF:JF),0)</f>
        <v>47840</v>
      </c>
      <c r="F53" s="22">
        <f t="shared" si="3"/>
        <v>0.56000000000000005</v>
      </c>
    </row>
    <row r="54" spans="1:6" x14ac:dyDescent="0.2">
      <c r="A54" s="20">
        <v>19</v>
      </c>
      <c r="B54" s="172" t="s">
        <v>17</v>
      </c>
      <c r="C54" s="173"/>
      <c r="D54" s="15">
        <f>IF(F3="1",SUMIF(Data!A:A,'27'!$A$2,Data!DM:DM),0)</f>
        <v>311306</v>
      </c>
      <c r="E54" s="18">
        <f>IF(F3="1",SUMIF(Data!$A:$A,'27'!$A$2,Data!JG:JG),0)</f>
        <v>134370</v>
      </c>
      <c r="F54" s="22">
        <f t="shared" si="3"/>
        <v>0.43</v>
      </c>
    </row>
    <row r="55" spans="1:6" x14ac:dyDescent="0.2">
      <c r="A55" s="20">
        <v>20</v>
      </c>
      <c r="B55" s="172" t="s">
        <v>18</v>
      </c>
      <c r="C55" s="173"/>
      <c r="D55" s="15">
        <f>IF(F3="1",SUMIF(Data!A:A,'27'!$A$2,Data!DN:DN),0)</f>
        <v>0</v>
      </c>
      <c r="E55" s="18">
        <f>IF(F3="1",SUMIF(Data!$A:$A,'27'!$A$2,Data!JH:JH),0)</f>
        <v>0</v>
      </c>
      <c r="F55" s="22" t="str">
        <f t="shared" si="3"/>
        <v/>
      </c>
    </row>
    <row r="56" spans="1:6" ht="14.25" customHeight="1" x14ac:dyDescent="0.2">
      <c r="A56" s="20">
        <v>21</v>
      </c>
      <c r="B56" s="172" t="s">
        <v>466</v>
      </c>
      <c r="C56" s="173"/>
      <c r="D56" s="15">
        <f>IF(F3="1",SUMIF(Data!A:A,'27'!$A$2,Data!DO:DO),0)</f>
        <v>66360</v>
      </c>
      <c r="E56" s="18">
        <f>IF(F3="1",SUMIF(Data!$A:$A,'27'!$A$2,Data!JI:JI),0)</f>
        <v>16870</v>
      </c>
      <c r="F56" s="22">
        <f t="shared" si="3"/>
        <v>0.25</v>
      </c>
    </row>
    <row r="57" spans="1:6" x14ac:dyDescent="0.2">
      <c r="A57" s="20">
        <v>22</v>
      </c>
      <c r="B57" s="172" t="s">
        <v>19</v>
      </c>
      <c r="C57" s="173"/>
      <c r="D57" s="15">
        <f>IF(F3="1",SUMIF(Data!A:A,'27'!$A$2,Data!DP:DP),0)</f>
        <v>1304</v>
      </c>
      <c r="E57" s="18">
        <f>IF(F3="1",SUMIF(Data!$A:$A,'27'!$A$2,Data!JJ:JJ),0)</f>
        <v>0</v>
      </c>
      <c r="F57" s="22">
        <f t="shared" si="3"/>
        <v>0</v>
      </c>
    </row>
    <row r="58" spans="1:6" x14ac:dyDescent="0.2">
      <c r="A58" s="20">
        <v>23</v>
      </c>
      <c r="B58" s="172" t="s">
        <v>20</v>
      </c>
      <c r="C58" s="173"/>
      <c r="D58" s="15">
        <f>IF(F3="1",SUMIF(Data!A:A,'27'!$A$2,Data!DQ:DQ),0)</f>
        <v>108630</v>
      </c>
      <c r="E58" s="18">
        <f>IF(F3="1",SUMIF(Data!$A:$A,'27'!$A$2,Data!JK:JK),0)</f>
        <v>105174</v>
      </c>
      <c r="F58" s="22">
        <f t="shared" si="3"/>
        <v>0.97</v>
      </c>
    </row>
    <row r="59" spans="1:6" x14ac:dyDescent="0.2">
      <c r="A59" s="20">
        <v>24</v>
      </c>
      <c r="B59" s="172" t="s">
        <v>21</v>
      </c>
      <c r="C59" s="173"/>
      <c r="D59" s="15">
        <f>IF(F3="1",SUMIF(Data!A:A,'27'!$A$2,Data!DR:DR),0)</f>
        <v>134830</v>
      </c>
      <c r="E59" s="18">
        <f>IF(F3="1",SUMIF(Data!$A:$A,'27'!$A$2,Data!JL:JL),0)</f>
        <v>353025</v>
      </c>
      <c r="F59" s="22">
        <f t="shared" si="3"/>
        <v>2.62</v>
      </c>
    </row>
    <row r="60" spans="1:6" x14ac:dyDescent="0.2">
      <c r="A60" s="20">
        <v>25</v>
      </c>
      <c r="B60" s="172" t="s">
        <v>22</v>
      </c>
      <c r="C60" s="173"/>
      <c r="D60" s="15">
        <f>IF(F3="1",SUMIF(Data!A:A,'27'!$A$2,Data!DS:DS),0)</f>
        <v>607584</v>
      </c>
      <c r="E60" s="18">
        <f>IF(F3="1",SUMIF(Data!$A:$A,'27'!$A$2,Data!JM:JM),0)</f>
        <v>206636</v>
      </c>
      <c r="F60" s="22">
        <f t="shared" si="3"/>
        <v>0.34</v>
      </c>
    </row>
    <row r="61" spans="1:6" x14ac:dyDescent="0.2">
      <c r="A61" s="20">
        <v>26</v>
      </c>
      <c r="B61" s="172" t="s">
        <v>23</v>
      </c>
      <c r="C61" s="173"/>
      <c r="D61" s="15">
        <f>IF(F3="1",SUMIF(Data!A:A,'27'!$A$2,Data!DT:DT),0)</f>
        <v>264186</v>
      </c>
      <c r="E61" s="18">
        <f>IF(F3="1",SUMIF(Data!$A:$A,'27'!$A$2,Data!JN:JN),0)</f>
        <v>278692</v>
      </c>
      <c r="F61" s="22">
        <f t="shared" si="3"/>
        <v>1.05</v>
      </c>
    </row>
    <row r="62" spans="1:6" x14ac:dyDescent="0.2">
      <c r="A62" s="20">
        <v>28</v>
      </c>
      <c r="B62" s="172" t="s">
        <v>24</v>
      </c>
      <c r="C62" s="173"/>
      <c r="D62" s="15">
        <f>IF(F3="1",SUMIF(Data!A:A,'27'!$A$2,Data!DV:DV),0)</f>
        <v>0</v>
      </c>
      <c r="E62" s="18">
        <f>IF(F3="1",SUMIF(Data!$A:$A,'27'!$A$2,Data!JP:JP),0)</f>
        <v>0</v>
      </c>
      <c r="F62" s="22" t="str">
        <f t="shared" si="3"/>
        <v/>
      </c>
    </row>
    <row r="63" spans="1:6" ht="15.75" customHeight="1" thickBot="1" x14ac:dyDescent="0.25">
      <c r="A63" s="23">
        <v>29</v>
      </c>
      <c r="B63" s="174" t="s">
        <v>25</v>
      </c>
      <c r="C63" s="175"/>
      <c r="D63" s="24">
        <f>IF(F3="1",SUMIF(Data!A:A,'27'!$A$2,Data!DW:DW),0)</f>
        <v>0</v>
      </c>
      <c r="E63" s="25">
        <f>IF(F3="1",SUMIF(Data!$A:$A,'27'!$A$2,Data!JQ:JQ),0)</f>
        <v>0</v>
      </c>
      <c r="F63" s="26" t="str">
        <f t="shared" si="3"/>
        <v/>
      </c>
    </row>
    <row r="64" spans="1:6" x14ac:dyDescent="0.2">
      <c r="B64" s="31" t="s">
        <v>35</v>
      </c>
      <c r="C64" s="31"/>
      <c r="D64" s="61">
        <f>SUM(D36:D63)</f>
        <v>3792177</v>
      </c>
      <c r="E64" s="32">
        <f>SUM(E36:E63)</f>
        <v>3650963</v>
      </c>
      <c r="F64" s="33">
        <f t="shared" si="3"/>
        <v>0.96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33794</v>
      </c>
      <c r="E67" s="16">
        <f>IF(F3="1",SUMIF(Data!A:A,'27'!$A$2,Data!DY:DY),0)</f>
        <v>102560</v>
      </c>
      <c r="F67" s="21">
        <f t="shared" ref="F67:F95" si="4">IF(D67=0,"",ROUND(E67/D67,2))</f>
        <v>3.03</v>
      </c>
    </row>
    <row r="68" spans="1:6" x14ac:dyDescent="0.2">
      <c r="A68" s="20">
        <v>2</v>
      </c>
      <c r="B68" s="172" t="s">
        <v>1</v>
      </c>
      <c r="C68" s="173"/>
      <c r="D68" s="15">
        <f t="shared" ref="D68:D94" si="5">D37</f>
        <v>0</v>
      </c>
      <c r="E68" s="18">
        <f>IF(F3="1",SUMIF(Data!A:A,'27'!$A$2,Data!DZ:DZ),0)</f>
        <v>0</v>
      </c>
      <c r="F68" s="22" t="str">
        <f t="shared" si="4"/>
        <v/>
      </c>
    </row>
    <row r="69" spans="1:6" ht="14.25" customHeight="1" x14ac:dyDescent="0.2">
      <c r="A69" s="20">
        <v>3</v>
      </c>
      <c r="B69" s="172" t="s">
        <v>2</v>
      </c>
      <c r="C69" s="173"/>
      <c r="D69" s="15">
        <f t="shared" si="5"/>
        <v>395424</v>
      </c>
      <c r="E69" s="18">
        <f>IF(F3="1",SUMIF(Data!A:A,'27'!$A$2,Data!EA:EA),0)</f>
        <v>1026207</v>
      </c>
      <c r="F69" s="22">
        <f t="shared" si="4"/>
        <v>2.6</v>
      </c>
    </row>
    <row r="70" spans="1:6" ht="14.25" customHeight="1" x14ac:dyDescent="0.2">
      <c r="A70" s="20">
        <v>4</v>
      </c>
      <c r="B70" s="172" t="s">
        <v>3</v>
      </c>
      <c r="C70" s="173"/>
      <c r="D70" s="15">
        <f t="shared" si="5"/>
        <v>333750</v>
      </c>
      <c r="E70" s="18">
        <f>IF(F3="1",SUMIF(Data!A:A,'27'!$A$2,Data!EB:EB),0)</f>
        <v>1131159</v>
      </c>
      <c r="F70" s="22">
        <f t="shared" si="4"/>
        <v>3.39</v>
      </c>
    </row>
    <row r="71" spans="1:6" x14ac:dyDescent="0.2">
      <c r="A71" s="20">
        <v>5</v>
      </c>
      <c r="B71" s="172" t="s">
        <v>4</v>
      </c>
      <c r="C71" s="173"/>
      <c r="D71" s="15">
        <f t="shared" si="5"/>
        <v>0</v>
      </c>
      <c r="E71" s="18">
        <f>IF(F3="1",SUMIF(Data!A:A,'27'!$A$2,Data!EC:EC),0)</f>
        <v>0</v>
      </c>
      <c r="F71" s="22" t="str">
        <f t="shared" si="4"/>
        <v/>
      </c>
    </row>
    <row r="72" spans="1:6" x14ac:dyDescent="0.2">
      <c r="A72" s="20">
        <v>6</v>
      </c>
      <c r="B72" s="172" t="s">
        <v>5</v>
      </c>
      <c r="C72" s="173"/>
      <c r="D72" s="15">
        <f t="shared" si="5"/>
        <v>15530</v>
      </c>
      <c r="E72" s="18">
        <f>IF(F3="1",SUMIF(Data!A:A,'27'!$A$2,Data!ED:ED),0)</f>
        <v>5364</v>
      </c>
      <c r="F72" s="22">
        <f t="shared" si="4"/>
        <v>0.35</v>
      </c>
    </row>
    <row r="73" spans="1:6" x14ac:dyDescent="0.2">
      <c r="A73" s="20">
        <v>7</v>
      </c>
      <c r="B73" s="172" t="s">
        <v>6</v>
      </c>
      <c r="C73" s="173"/>
      <c r="D73" s="15">
        <f t="shared" si="5"/>
        <v>108579</v>
      </c>
      <c r="E73" s="18">
        <f>IF(F3="1",SUMIF(Data!A:A,'27'!$A$2,Data!EE:EE),0)</f>
        <v>1018469</v>
      </c>
      <c r="F73" s="22">
        <f t="shared" si="4"/>
        <v>9.3800000000000008</v>
      </c>
    </row>
    <row r="74" spans="1:6" x14ac:dyDescent="0.2">
      <c r="A74" s="20">
        <v>8</v>
      </c>
      <c r="B74" s="172" t="s">
        <v>7</v>
      </c>
      <c r="C74" s="173"/>
      <c r="D74" s="15">
        <f t="shared" si="5"/>
        <v>0</v>
      </c>
      <c r="E74" s="18">
        <f>IF(F3="1",SUMIF(Data!A:A,'27'!$A$2,Data!EF:EF),0)</f>
        <v>0</v>
      </c>
      <c r="F74" s="22" t="str">
        <f t="shared" si="4"/>
        <v/>
      </c>
    </row>
    <row r="75" spans="1:6" x14ac:dyDescent="0.2">
      <c r="A75" s="20">
        <v>9</v>
      </c>
      <c r="B75" s="172" t="s">
        <v>8</v>
      </c>
      <c r="C75" s="173"/>
      <c r="D75" s="15">
        <f t="shared" si="5"/>
        <v>154356</v>
      </c>
      <c r="E75" s="18">
        <f>IF(F3="1",SUMIF(Data!A:A,'27'!$A$2,Data!EG:EG),0)</f>
        <v>355929</v>
      </c>
      <c r="F75" s="22">
        <f t="shared" si="4"/>
        <v>2.31</v>
      </c>
    </row>
    <row r="76" spans="1:6" x14ac:dyDescent="0.2">
      <c r="A76" s="20">
        <v>10</v>
      </c>
      <c r="B76" s="172" t="s">
        <v>9</v>
      </c>
      <c r="C76" s="173"/>
      <c r="D76" s="15">
        <f t="shared" si="5"/>
        <v>736</v>
      </c>
      <c r="E76" s="18">
        <f>IF(F3="1",SUMIF(Data!A:A,'27'!$A$2,Data!EH:EH),0)</f>
        <v>0</v>
      </c>
      <c r="F76" s="22">
        <f t="shared" si="4"/>
        <v>0</v>
      </c>
    </row>
    <row r="77" spans="1:6" x14ac:dyDescent="0.2">
      <c r="A77" s="20">
        <v>11</v>
      </c>
      <c r="B77" s="172" t="s">
        <v>10</v>
      </c>
      <c r="C77" s="173"/>
      <c r="D77" s="15">
        <f t="shared" si="5"/>
        <v>962</v>
      </c>
      <c r="E77" s="18">
        <f>IF(F3="1",SUMIF(Data!A:A,'27'!$A$2,Data!EI:EI),0)</f>
        <v>3129</v>
      </c>
      <c r="F77" s="22">
        <f t="shared" si="4"/>
        <v>3.25</v>
      </c>
    </row>
    <row r="78" spans="1:6" ht="14.25" customHeight="1" x14ac:dyDescent="0.2">
      <c r="A78" s="20">
        <v>12</v>
      </c>
      <c r="B78" s="172" t="s">
        <v>11</v>
      </c>
      <c r="C78" s="173"/>
      <c r="D78" s="15">
        <f t="shared" si="5"/>
        <v>548266</v>
      </c>
      <c r="E78" s="18">
        <f>IF(F3="1",SUMIF(Data!A:A,'27'!$A$2,Data!EJ:EJ),0)</f>
        <v>2393261</v>
      </c>
      <c r="F78" s="22">
        <f t="shared" si="4"/>
        <v>4.37</v>
      </c>
    </row>
    <row r="79" spans="1:6" x14ac:dyDescent="0.2">
      <c r="A79" s="20">
        <v>13</v>
      </c>
      <c r="B79" s="172" t="s">
        <v>12</v>
      </c>
      <c r="C79" s="173"/>
      <c r="D79" s="15">
        <f t="shared" si="5"/>
        <v>94259</v>
      </c>
      <c r="E79" s="18">
        <f>IF(F3="1",SUMIF(Data!A:A,'27'!$A$2,Data!EK:EK),0)</f>
        <v>238545</v>
      </c>
      <c r="F79" s="22">
        <f t="shared" si="4"/>
        <v>2.5299999999999998</v>
      </c>
    </row>
    <row r="80" spans="1:6" ht="14.25" customHeight="1" x14ac:dyDescent="0.2">
      <c r="A80" s="20">
        <v>14</v>
      </c>
      <c r="B80" s="172" t="s">
        <v>469</v>
      </c>
      <c r="C80" s="173"/>
      <c r="D80" s="15">
        <f t="shared" si="5"/>
        <v>168187</v>
      </c>
      <c r="E80" s="18">
        <f>IF(F3="1",SUMIF(Data!A:A,'27'!$A$2,Data!EL:EL),0)</f>
        <v>1484202</v>
      </c>
      <c r="F80" s="22">
        <f t="shared" si="4"/>
        <v>8.82</v>
      </c>
    </row>
    <row r="81" spans="1:6" x14ac:dyDescent="0.2">
      <c r="A81" s="20">
        <v>15</v>
      </c>
      <c r="B81" s="172" t="s">
        <v>13</v>
      </c>
      <c r="C81" s="173"/>
      <c r="D81" s="15">
        <f t="shared" si="5"/>
        <v>0</v>
      </c>
      <c r="E81" s="18">
        <f>IF(F3="1",SUMIF(Data!A:A,'27'!$A$2,Data!EM:EM),0)</f>
        <v>0</v>
      </c>
      <c r="F81" s="22" t="str">
        <f t="shared" si="4"/>
        <v/>
      </c>
    </row>
    <row r="82" spans="1:6" x14ac:dyDescent="0.2">
      <c r="A82" s="20">
        <v>16</v>
      </c>
      <c r="B82" s="172" t="s">
        <v>14</v>
      </c>
      <c r="C82" s="173"/>
      <c r="D82" s="15">
        <f t="shared" si="5"/>
        <v>308230</v>
      </c>
      <c r="E82" s="18">
        <f>IF(F3="1",SUMIF(Data!A:A,'27'!$A$2,Data!EN:EN),0)</f>
        <v>1281747</v>
      </c>
      <c r="F82" s="22">
        <f t="shared" si="4"/>
        <v>4.16</v>
      </c>
    </row>
    <row r="83" spans="1:6" x14ac:dyDescent="0.2">
      <c r="A83" s="20">
        <v>17</v>
      </c>
      <c r="B83" s="172" t="s">
        <v>15</v>
      </c>
      <c r="C83" s="173"/>
      <c r="D83" s="15">
        <f t="shared" si="5"/>
        <v>49840</v>
      </c>
      <c r="E83" s="18">
        <f>IF(F3="1",SUMIF(Data!A:A,'27'!$A$2,Data!EO:EO),0)</f>
        <v>279205</v>
      </c>
      <c r="F83" s="22">
        <f t="shared" si="4"/>
        <v>5.6</v>
      </c>
    </row>
    <row r="84" spans="1:6" x14ac:dyDescent="0.2">
      <c r="A84" s="20">
        <v>18</v>
      </c>
      <c r="B84" s="172" t="s">
        <v>16</v>
      </c>
      <c r="C84" s="173"/>
      <c r="D84" s="15">
        <f t="shared" si="5"/>
        <v>86064</v>
      </c>
      <c r="E84" s="18">
        <f>IF(F3="1",SUMIF(Data!A:A,'27'!$A$2,Data!EP:EP),0)</f>
        <v>343170</v>
      </c>
      <c r="F84" s="22">
        <f t="shared" si="4"/>
        <v>3.99</v>
      </c>
    </row>
    <row r="85" spans="1:6" x14ac:dyDescent="0.2">
      <c r="A85" s="20">
        <v>19</v>
      </c>
      <c r="B85" s="172" t="s">
        <v>17</v>
      </c>
      <c r="C85" s="173"/>
      <c r="D85" s="15">
        <f t="shared" si="5"/>
        <v>311306</v>
      </c>
      <c r="E85" s="18">
        <f>IF(F3="1",SUMIF(Data!A:A,'27'!$A$2,Data!EQ:EQ),0)</f>
        <v>969245</v>
      </c>
      <c r="F85" s="22">
        <f t="shared" si="4"/>
        <v>3.11</v>
      </c>
    </row>
    <row r="86" spans="1:6" x14ac:dyDescent="0.2">
      <c r="A86" s="20">
        <v>20</v>
      </c>
      <c r="B86" s="172" t="s">
        <v>18</v>
      </c>
      <c r="C86" s="173"/>
      <c r="D86" s="15">
        <f t="shared" si="5"/>
        <v>0</v>
      </c>
      <c r="E86" s="18">
        <f>IF(F3="1",SUMIF(Data!A:A,'27'!$A$2,Data!ER:ER),0)</f>
        <v>0</v>
      </c>
      <c r="F86" s="22" t="str">
        <f t="shared" si="4"/>
        <v/>
      </c>
    </row>
    <row r="87" spans="1:6" ht="14.25" customHeight="1" x14ac:dyDescent="0.2">
      <c r="A87" s="20">
        <v>21</v>
      </c>
      <c r="B87" s="172" t="s">
        <v>466</v>
      </c>
      <c r="C87" s="173"/>
      <c r="D87" s="15">
        <f t="shared" si="5"/>
        <v>66360</v>
      </c>
      <c r="E87" s="18">
        <f>IF(F3="1",SUMIF(Data!A:A,'27'!$A$2,Data!ES:ES),0)</f>
        <v>0</v>
      </c>
      <c r="F87" s="22">
        <f t="shared" si="4"/>
        <v>0</v>
      </c>
    </row>
    <row r="88" spans="1:6" x14ac:dyDescent="0.2">
      <c r="A88" s="20">
        <v>22</v>
      </c>
      <c r="B88" s="172" t="s">
        <v>19</v>
      </c>
      <c r="C88" s="173"/>
      <c r="D88" s="15">
        <f t="shared" si="5"/>
        <v>1304</v>
      </c>
      <c r="E88" s="18">
        <f>IF(F3="1",SUMIF(Data!A:A,'27'!$A$2,Data!ET:ET),0)</f>
        <v>0</v>
      </c>
      <c r="F88" s="22">
        <f t="shared" si="4"/>
        <v>0</v>
      </c>
    </row>
    <row r="89" spans="1:6" x14ac:dyDescent="0.2">
      <c r="A89" s="20">
        <v>23</v>
      </c>
      <c r="B89" s="172" t="s">
        <v>20</v>
      </c>
      <c r="C89" s="173"/>
      <c r="D89" s="15">
        <f t="shared" si="5"/>
        <v>108630</v>
      </c>
      <c r="E89" s="18">
        <f>IF(F3="1",SUMIF(Data!A:A,'27'!$A$2,Data!EU:EU),0)</f>
        <v>665136</v>
      </c>
      <c r="F89" s="22">
        <f t="shared" si="4"/>
        <v>6.12</v>
      </c>
    </row>
    <row r="90" spans="1:6" x14ac:dyDescent="0.2">
      <c r="A90" s="20">
        <v>24</v>
      </c>
      <c r="B90" s="172" t="s">
        <v>21</v>
      </c>
      <c r="C90" s="173"/>
      <c r="D90" s="15">
        <f t="shared" si="5"/>
        <v>134830</v>
      </c>
      <c r="E90" s="18">
        <f>IF(F3="1",SUMIF(Data!A:A,'27'!$A$2,Data!EV:EV),0)</f>
        <v>231306</v>
      </c>
      <c r="F90" s="22">
        <f t="shared" si="4"/>
        <v>1.72</v>
      </c>
    </row>
    <row r="91" spans="1:6" x14ac:dyDescent="0.2">
      <c r="A91" s="20">
        <v>25</v>
      </c>
      <c r="B91" s="172" t="s">
        <v>22</v>
      </c>
      <c r="C91" s="173"/>
      <c r="D91" s="15">
        <f t="shared" si="5"/>
        <v>607584</v>
      </c>
      <c r="E91" s="18">
        <f>IF(F3="1",SUMIF(Data!A:A,'27'!$A$2,Data!EW:EW),0)</f>
        <v>1418555</v>
      </c>
      <c r="F91" s="22">
        <f t="shared" si="4"/>
        <v>2.33</v>
      </c>
    </row>
    <row r="92" spans="1:6" x14ac:dyDescent="0.2">
      <c r="A92" s="20">
        <v>26</v>
      </c>
      <c r="B92" s="172" t="s">
        <v>23</v>
      </c>
      <c r="C92" s="173"/>
      <c r="D92" s="15">
        <f t="shared" si="5"/>
        <v>264186</v>
      </c>
      <c r="E92" s="18">
        <f>IF(F3="1",SUMIF(Data!A:A,'27'!$A$2,Data!EX:EX),0)</f>
        <v>1655409</v>
      </c>
      <c r="F92" s="22">
        <f t="shared" si="4"/>
        <v>6.27</v>
      </c>
    </row>
    <row r="93" spans="1:6" x14ac:dyDescent="0.2">
      <c r="A93" s="20">
        <v>28</v>
      </c>
      <c r="B93" s="172" t="s">
        <v>24</v>
      </c>
      <c r="C93" s="173"/>
      <c r="D93" s="15">
        <f t="shared" si="5"/>
        <v>0</v>
      </c>
      <c r="E93" s="18">
        <f>IF(F3="1",SUMIF(Data!A:A,'27'!$A$2,Data!EZ:EZ),0)</f>
        <v>0</v>
      </c>
      <c r="F93" s="22" t="str">
        <f t="shared" si="4"/>
        <v/>
      </c>
    </row>
    <row r="94" spans="1:6" ht="15.75" customHeight="1" thickBot="1" x14ac:dyDescent="0.25">
      <c r="A94" s="23">
        <v>29</v>
      </c>
      <c r="B94" s="174" t="s">
        <v>25</v>
      </c>
      <c r="C94" s="175"/>
      <c r="D94" s="24">
        <f t="shared" si="5"/>
        <v>0</v>
      </c>
      <c r="E94" s="25">
        <f>IF(F3="1",SUMIF(Data!A:A,'27'!$A$2,Data!FA:FA),0)</f>
        <v>0</v>
      </c>
      <c r="F94" s="26" t="str">
        <f t="shared" si="4"/>
        <v/>
      </c>
    </row>
    <row r="95" spans="1:6" x14ac:dyDescent="0.2">
      <c r="B95" s="31" t="s">
        <v>35</v>
      </c>
      <c r="C95" s="31"/>
      <c r="D95" s="61">
        <f>SUM(D67:D94)</f>
        <v>3792177</v>
      </c>
      <c r="E95" s="32">
        <f>SUM(E67:E94)</f>
        <v>14602598</v>
      </c>
      <c r="F95" s="33">
        <f t="shared" si="4"/>
        <v>3.85</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IF(F3="1",SUMIF(Data!A:A,'27'!$A$2,Data!AH:AH),0)</f>
        <v>6706382</v>
      </c>
      <c r="F98" s="21">
        <f>IF($D$105=0,"",ROUND(E98/$D$105,2))</f>
        <v>1.77</v>
      </c>
    </row>
    <row r="99" spans="2:6" x14ac:dyDescent="0.2">
      <c r="B99" s="178" t="s">
        <v>31</v>
      </c>
      <c r="C99" s="179"/>
      <c r="D99" s="37"/>
      <c r="E99" s="18">
        <f>IF(F3="1",SUMIF(Data!A:A,'27'!$A$2,Data!AI:AI),0)</f>
        <v>2064105</v>
      </c>
      <c r="F99" s="22">
        <f t="shared" ref="F99:F105" si="6">IF($D$105=0,"",ROUND(E99/$D$105,2))</f>
        <v>0.54</v>
      </c>
    </row>
    <row r="100" spans="2:6" x14ac:dyDescent="0.2">
      <c r="B100" s="178" t="s">
        <v>32</v>
      </c>
      <c r="C100" s="179"/>
      <c r="D100" s="37"/>
      <c r="E100" s="18">
        <f>IF(F3="1",SUMIF(Data!A:A,'27'!$A$2,Data!AJ:AJ),0)</f>
        <v>1541735</v>
      </c>
      <c r="F100" s="22">
        <f t="shared" si="6"/>
        <v>0.41</v>
      </c>
    </row>
    <row r="101" spans="2:6" x14ac:dyDescent="0.2">
      <c r="B101" s="178" t="s">
        <v>28</v>
      </c>
      <c r="C101" s="179"/>
      <c r="D101" s="37"/>
      <c r="E101" s="18">
        <f>IF(F3="1",SUMIF(Data!A:A,'27'!$A$2,Data!AK:AK),0)</f>
        <v>0</v>
      </c>
      <c r="F101" s="22">
        <f t="shared" si="6"/>
        <v>0</v>
      </c>
    </row>
    <row r="102" spans="2:6" x14ac:dyDescent="0.2">
      <c r="B102" s="178" t="s">
        <v>33</v>
      </c>
      <c r="C102" s="179"/>
      <c r="D102" s="37"/>
      <c r="E102" s="18">
        <f>IF(F3="1",SUMIF(Data!A:A,'27'!$A$2,Data!AL:AL),0)</f>
        <v>817458</v>
      </c>
      <c r="F102" s="22">
        <f t="shared" si="6"/>
        <v>0.22</v>
      </c>
    </row>
    <row r="103" spans="2:6" x14ac:dyDescent="0.2">
      <c r="B103" s="180" t="s">
        <v>34</v>
      </c>
      <c r="C103" s="181"/>
      <c r="D103" s="37"/>
      <c r="E103" s="18">
        <f>IF(F3="1",SUMIF(Data!A:A,'27'!$A$2,Data!AM:AM),0)</f>
        <v>0</v>
      </c>
      <c r="F103" s="22">
        <f t="shared" si="6"/>
        <v>0</v>
      </c>
    </row>
    <row r="104" spans="2:6" ht="15.75" customHeight="1" thickBot="1" x14ac:dyDescent="0.25">
      <c r="B104" s="170" t="s">
        <v>29</v>
      </c>
      <c r="C104" s="171"/>
      <c r="D104" s="38"/>
      <c r="E104" s="25">
        <f>IF(F3="1",SUMIF(Data!A:A,'27'!$A$2,Data!Q:Q),0)</f>
        <v>297392</v>
      </c>
      <c r="F104" s="26">
        <f t="shared" si="6"/>
        <v>0.08</v>
      </c>
    </row>
    <row r="105" spans="2:6" x14ac:dyDescent="0.2">
      <c r="B105" s="31" t="s">
        <v>35</v>
      </c>
      <c r="C105" s="31"/>
      <c r="D105" s="35">
        <f>D95</f>
        <v>3792177</v>
      </c>
      <c r="E105" s="32">
        <f>SUM(E98:E104)</f>
        <v>11427072</v>
      </c>
      <c r="F105" s="33">
        <f t="shared" si="6"/>
        <v>3.01</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16712415</v>
      </c>
      <c r="D109" s="16">
        <f>IF(F3="1",SUMIF(Data!$A:$A,$A$2,Data!HJ:HJ),0)</f>
        <v>621881</v>
      </c>
      <c r="E109" s="16">
        <f>IF(F3="1",SUMIF(Data!$A:$A,$A$2,Data!IN:IN),0)</f>
        <v>919266</v>
      </c>
      <c r="F109" s="48">
        <f>SUM(C109:E109)</f>
        <v>18253562</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486556</v>
      </c>
      <c r="D111" s="52"/>
      <c r="E111" s="51">
        <f>IF(F3="1",SUMIF(Data!A:A,$A$2,Data!AX:AX),0)</f>
        <v>227242</v>
      </c>
      <c r="F111" s="49">
        <f t="shared" si="7"/>
        <v>713798</v>
      </c>
    </row>
    <row r="112" spans="2:6" x14ac:dyDescent="0.2">
      <c r="B112" s="43" t="s">
        <v>32</v>
      </c>
      <c r="C112" s="51">
        <f>IF(F3="1",SUMIF(Data!A:A,$A$2,Data!V:V),0)</f>
        <v>1232412</v>
      </c>
      <c r="D112" s="52"/>
      <c r="E112" s="51">
        <f>IF(F3="1",SUMIF(Data!A:A,$A$2,Data!AC:AC),0)</f>
        <v>309323</v>
      </c>
      <c r="F112" s="49">
        <f t="shared" si="7"/>
        <v>1541735</v>
      </c>
    </row>
    <row r="113" spans="1:6" x14ac:dyDescent="0.2">
      <c r="B113" s="43" t="s">
        <v>31</v>
      </c>
      <c r="C113" s="51">
        <f>IF(F3="1",SUMIF(Data!A:A,$A$2,Data!U:U),0)</f>
        <v>1611438</v>
      </c>
      <c r="D113" s="52"/>
      <c r="E113" s="51">
        <f>IF(F3="1",SUMIF(Data!A:A,$A$2,Data!AB:AB),0)</f>
        <v>452667</v>
      </c>
      <c r="F113" s="49">
        <f t="shared" si="7"/>
        <v>2064105</v>
      </c>
    </row>
    <row r="114" spans="1:6" x14ac:dyDescent="0.2">
      <c r="B114" s="43" t="s">
        <v>1021</v>
      </c>
      <c r="C114" s="51">
        <f>IF(F3="1",SUMIF(Data!A:A,$A$2,Data!T:T),0)</f>
        <v>3615489</v>
      </c>
      <c r="D114" s="52"/>
      <c r="E114" s="51">
        <f>IF(F3="1",SUMIF(Data!A:A,$A$2,Data!AA:AA),0)</f>
        <v>3090893</v>
      </c>
      <c r="F114" s="49">
        <f t="shared" si="7"/>
        <v>6706382</v>
      </c>
    </row>
    <row r="115" spans="1:6" x14ac:dyDescent="0.2">
      <c r="B115" s="43" t="s">
        <v>937</v>
      </c>
      <c r="C115" s="51">
        <f>IF(F3="1",SUMIF(Data!A:A,$A$2,Data!BI:BI),0)</f>
        <v>1192459</v>
      </c>
      <c r="D115" s="51">
        <f>IF(F3="1",SUMIF(Data!A:A,$A$2,Data!BL:BL),0)</f>
        <v>370318</v>
      </c>
      <c r="E115" s="51">
        <f>IF(F3="1",SUMIF(Data!A:A,$A$2,Data!BU:BU),0)</f>
        <v>3474423</v>
      </c>
      <c r="F115" s="49">
        <f t="shared" si="7"/>
        <v>5037200</v>
      </c>
    </row>
    <row r="116" spans="1:6" x14ac:dyDescent="0.2">
      <c r="B116" s="43" t="s">
        <v>33</v>
      </c>
      <c r="C116" s="51">
        <f>IF(F3="1",SUMIF(Data!A:A,$A$2,Data!X:X),0)</f>
        <v>0</v>
      </c>
      <c r="D116" s="51"/>
      <c r="E116" s="51">
        <f>E102</f>
        <v>817458</v>
      </c>
      <c r="F116" s="49">
        <f t="shared" si="7"/>
        <v>817458</v>
      </c>
    </row>
    <row r="117" spans="1:6" ht="15" thickBot="1" x14ac:dyDescent="0.25">
      <c r="B117" s="44" t="s">
        <v>941</v>
      </c>
      <c r="C117" s="53"/>
      <c r="D117" s="53">
        <f>IF(F3="1",SUMIF(Data!A:A,$A$2,Data!Q:Q),0)</f>
        <v>297392</v>
      </c>
      <c r="E117" s="53"/>
      <c r="F117" s="50">
        <f>SUM(C117:E117)</f>
        <v>297392</v>
      </c>
    </row>
    <row r="118" spans="1:6" x14ac:dyDescent="0.2">
      <c r="B118" s="14" t="s">
        <v>35</v>
      </c>
      <c r="C118" s="5">
        <f>SUM(C109:C116)</f>
        <v>24850769</v>
      </c>
      <c r="D118" s="5">
        <f>SUM(D109:D116)</f>
        <v>992199</v>
      </c>
      <c r="E118" s="5">
        <f>SUM(E109:E116)</f>
        <v>9291272</v>
      </c>
      <c r="F118" s="5">
        <f>SUM(F109:F116)</f>
        <v>35134240</v>
      </c>
    </row>
    <row r="119" spans="1:6" ht="15" thickBot="1" x14ac:dyDescent="0.25"/>
    <row r="120" spans="1:6" ht="15" thickBot="1" x14ac:dyDescent="0.25">
      <c r="B120" s="57" t="s">
        <v>942</v>
      </c>
      <c r="C120" s="55"/>
      <c r="D120" s="55"/>
      <c r="E120" s="55">
        <f>IF(F3="1",SUMIF(Data!A:A,'27'!$A$2,Data!AM:AM),0)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434</v>
      </c>
      <c r="B2" s="60" t="str">
        <f>VLOOKUP(A2,Data!A:G,7,0)</f>
        <v>Midland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3984</v>
      </c>
      <c r="E5" s="16">
        <f>E36+E67+IFERROR($E$105/$D$105*D5,0)</f>
        <v>18818.725967867889</v>
      </c>
      <c r="F5" s="21">
        <f>IF(OR(D5=0,E5=0),"",ROUND(E5/D5,2))</f>
        <v>4.72</v>
      </c>
    </row>
    <row r="6" spans="1:6" x14ac:dyDescent="0.2">
      <c r="A6" s="20">
        <v>2</v>
      </c>
      <c r="B6" s="172" t="s">
        <v>1</v>
      </c>
      <c r="C6" s="173"/>
      <c r="D6" s="15">
        <f t="shared" ref="D6:D32" si="0">D37</f>
        <v>51376</v>
      </c>
      <c r="E6" s="18">
        <f t="shared" ref="E6:E32" si="1">E37+E68+IFERROR($E$105/$D$105*D6,0)</f>
        <v>479894.60274226422</v>
      </c>
      <c r="F6" s="22">
        <f t="shared" ref="F6:F33" si="2">IF(OR(D6=0,E6=0),"",ROUND(E6/D6,2))</f>
        <v>9.34</v>
      </c>
    </row>
    <row r="7" spans="1:6" ht="14.25" customHeight="1" x14ac:dyDescent="0.2">
      <c r="A7" s="20">
        <v>3</v>
      </c>
      <c r="B7" s="172" t="s">
        <v>2</v>
      </c>
      <c r="C7" s="173"/>
      <c r="D7" s="15">
        <f t="shared" si="0"/>
        <v>292772</v>
      </c>
      <c r="E7" s="18">
        <f t="shared" si="1"/>
        <v>2326235.3792832876</v>
      </c>
      <c r="F7" s="22">
        <f t="shared" si="2"/>
        <v>7.95</v>
      </c>
    </row>
    <row r="8" spans="1:6" ht="14.25" customHeight="1" x14ac:dyDescent="0.2">
      <c r="A8" s="20">
        <v>4</v>
      </c>
      <c r="B8" s="172" t="s">
        <v>3</v>
      </c>
      <c r="C8" s="173"/>
      <c r="D8" s="15">
        <f t="shared" si="0"/>
        <v>157317</v>
      </c>
      <c r="E8" s="18">
        <f t="shared" si="1"/>
        <v>1534976.8305941448</v>
      </c>
      <c r="F8" s="22">
        <f t="shared" si="2"/>
        <v>9.76</v>
      </c>
    </row>
    <row r="9" spans="1:6" x14ac:dyDescent="0.2">
      <c r="A9" s="20">
        <v>5</v>
      </c>
      <c r="B9" s="172" t="s">
        <v>4</v>
      </c>
      <c r="C9" s="173"/>
      <c r="D9" s="15">
        <f t="shared" si="0"/>
        <v>26462</v>
      </c>
      <c r="E9" s="18">
        <f t="shared" si="1"/>
        <v>1085671.6863859738</v>
      </c>
      <c r="F9" s="22">
        <f t="shared" si="2"/>
        <v>41.03</v>
      </c>
    </row>
    <row r="10" spans="1:6" x14ac:dyDescent="0.2">
      <c r="A10" s="20">
        <v>6</v>
      </c>
      <c r="B10" s="172" t="s">
        <v>5</v>
      </c>
      <c r="C10" s="173"/>
      <c r="D10" s="15">
        <f t="shared" si="0"/>
        <v>13441</v>
      </c>
      <c r="E10" s="18">
        <f t="shared" si="1"/>
        <v>194484.02904972699</v>
      </c>
      <c r="F10" s="22">
        <f t="shared" si="2"/>
        <v>14.47</v>
      </c>
    </row>
    <row r="11" spans="1:6" x14ac:dyDescent="0.2">
      <c r="A11" s="20">
        <v>7</v>
      </c>
      <c r="B11" s="172" t="s">
        <v>6</v>
      </c>
      <c r="C11" s="173"/>
      <c r="D11" s="15">
        <f t="shared" si="0"/>
        <v>40119</v>
      </c>
      <c r="E11" s="18">
        <f t="shared" si="1"/>
        <v>751483.70660263347</v>
      </c>
      <c r="F11" s="22">
        <f t="shared" si="2"/>
        <v>18.73</v>
      </c>
    </row>
    <row r="12" spans="1:6" x14ac:dyDescent="0.2">
      <c r="A12" s="20">
        <v>8</v>
      </c>
      <c r="B12" s="172" t="s">
        <v>7</v>
      </c>
      <c r="C12" s="173"/>
      <c r="D12" s="15">
        <f t="shared" si="0"/>
        <v>2712</v>
      </c>
      <c r="E12" s="18">
        <f t="shared" si="1"/>
        <v>26212.000207042598</v>
      </c>
      <c r="F12" s="22">
        <f t="shared" si="2"/>
        <v>9.67</v>
      </c>
    </row>
    <row r="13" spans="1:6" x14ac:dyDescent="0.2">
      <c r="A13" s="20">
        <v>9</v>
      </c>
      <c r="B13" s="172" t="s">
        <v>8</v>
      </c>
      <c r="C13" s="173"/>
      <c r="D13" s="15">
        <f t="shared" si="0"/>
        <v>101320</v>
      </c>
      <c r="E13" s="18">
        <f t="shared" si="1"/>
        <v>813535.00478523457</v>
      </c>
      <c r="F13" s="22">
        <f t="shared" si="2"/>
        <v>8.0299999999999994</v>
      </c>
    </row>
    <row r="14" spans="1:6" x14ac:dyDescent="0.2">
      <c r="A14" s="20">
        <v>10</v>
      </c>
      <c r="B14" s="172" t="s">
        <v>9</v>
      </c>
      <c r="C14" s="173"/>
      <c r="D14" s="15">
        <f t="shared" si="0"/>
        <v>5873</v>
      </c>
      <c r="E14" s="18">
        <f t="shared" si="1"/>
        <v>62120.264460162682</v>
      </c>
      <c r="F14" s="22">
        <f t="shared" si="2"/>
        <v>10.58</v>
      </c>
    </row>
    <row r="15" spans="1:6" x14ac:dyDescent="0.2">
      <c r="A15" s="20">
        <v>11</v>
      </c>
      <c r="B15" s="172" t="s">
        <v>10</v>
      </c>
      <c r="C15" s="173"/>
      <c r="D15" s="15">
        <f t="shared" si="0"/>
        <v>62738</v>
      </c>
      <c r="E15" s="18">
        <f t="shared" si="1"/>
        <v>1197231.5918102651</v>
      </c>
      <c r="F15" s="22">
        <f t="shared" si="2"/>
        <v>19.079999999999998</v>
      </c>
    </row>
    <row r="16" spans="1:6" ht="14.25" customHeight="1" x14ac:dyDescent="0.2">
      <c r="A16" s="20">
        <v>12</v>
      </c>
      <c r="B16" s="172" t="s">
        <v>11</v>
      </c>
      <c r="C16" s="173"/>
      <c r="D16" s="15">
        <f t="shared" si="0"/>
        <v>307418</v>
      </c>
      <c r="E16" s="18">
        <f t="shared" si="1"/>
        <v>2864490.1414633561</v>
      </c>
      <c r="F16" s="22">
        <f t="shared" si="2"/>
        <v>9.32</v>
      </c>
    </row>
    <row r="17" spans="1:6" x14ac:dyDescent="0.2">
      <c r="A17" s="20">
        <v>13</v>
      </c>
      <c r="B17" s="172" t="s">
        <v>12</v>
      </c>
      <c r="C17" s="173"/>
      <c r="D17" s="15">
        <f t="shared" si="0"/>
        <v>205856</v>
      </c>
      <c r="E17" s="18">
        <f t="shared" si="1"/>
        <v>1236905.6558336876</v>
      </c>
      <c r="F17" s="22">
        <f t="shared" si="2"/>
        <v>6.01</v>
      </c>
    </row>
    <row r="18" spans="1:6" ht="14.25" customHeight="1" x14ac:dyDescent="0.2">
      <c r="A18" s="20">
        <v>14</v>
      </c>
      <c r="B18" s="172" t="s">
        <v>469</v>
      </c>
      <c r="C18" s="173"/>
      <c r="D18" s="15">
        <f t="shared" si="0"/>
        <v>162190</v>
      </c>
      <c r="E18" s="18">
        <f t="shared" si="1"/>
        <v>1640517.8766888788</v>
      </c>
      <c r="F18" s="22">
        <f t="shared" si="2"/>
        <v>10.11</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149318</v>
      </c>
      <c r="E20" s="18">
        <f t="shared" si="1"/>
        <v>1628200.2178890808</v>
      </c>
      <c r="F20" s="22">
        <f t="shared" si="2"/>
        <v>10.9</v>
      </c>
    </row>
    <row r="21" spans="1:6" x14ac:dyDescent="0.2">
      <c r="A21" s="20">
        <v>17</v>
      </c>
      <c r="B21" s="172" t="s">
        <v>15</v>
      </c>
      <c r="C21" s="173"/>
      <c r="D21" s="15">
        <f t="shared" si="0"/>
        <v>27054</v>
      </c>
      <c r="E21" s="18">
        <f t="shared" si="1"/>
        <v>282728.14365830773</v>
      </c>
      <c r="F21" s="22">
        <f t="shared" si="2"/>
        <v>10.45</v>
      </c>
    </row>
    <row r="22" spans="1:6" x14ac:dyDescent="0.2">
      <c r="A22" s="20">
        <v>18</v>
      </c>
      <c r="B22" s="172" t="s">
        <v>16</v>
      </c>
      <c r="C22" s="173"/>
      <c r="D22" s="15">
        <f t="shared" si="0"/>
        <v>97064</v>
      </c>
      <c r="E22" s="18">
        <f t="shared" si="1"/>
        <v>938899.7714219701</v>
      </c>
      <c r="F22" s="22">
        <f t="shared" si="2"/>
        <v>9.67</v>
      </c>
    </row>
    <row r="23" spans="1:6" x14ac:dyDescent="0.2">
      <c r="A23" s="20">
        <v>19</v>
      </c>
      <c r="B23" s="172" t="s">
        <v>17</v>
      </c>
      <c r="C23" s="173"/>
      <c r="D23" s="15">
        <f t="shared" si="0"/>
        <v>213472</v>
      </c>
      <c r="E23" s="18">
        <f t="shared" si="1"/>
        <v>1829390.8629047927</v>
      </c>
      <c r="F23" s="22">
        <f t="shared" si="2"/>
        <v>8.57</v>
      </c>
    </row>
    <row r="24" spans="1:6" x14ac:dyDescent="0.2">
      <c r="A24" s="20">
        <v>20</v>
      </c>
      <c r="B24" s="172" t="s">
        <v>18</v>
      </c>
      <c r="C24" s="173"/>
      <c r="D24" s="15">
        <f t="shared" si="0"/>
        <v>35926</v>
      </c>
      <c r="E24" s="18">
        <f t="shared" si="1"/>
        <v>477580.92899639101</v>
      </c>
      <c r="F24" s="22">
        <f t="shared" si="2"/>
        <v>13.29</v>
      </c>
    </row>
    <row r="25" spans="1:6" ht="14.25" customHeight="1" x14ac:dyDescent="0.2">
      <c r="A25" s="20">
        <v>21</v>
      </c>
      <c r="B25" s="172" t="s">
        <v>466</v>
      </c>
      <c r="C25" s="173"/>
      <c r="D25" s="15">
        <f t="shared" si="0"/>
        <v>42787</v>
      </c>
      <c r="E25" s="18">
        <f t="shared" si="1"/>
        <v>894067.80120159721</v>
      </c>
      <c r="F25" s="22">
        <f t="shared" si="2"/>
        <v>20.9</v>
      </c>
    </row>
    <row r="26" spans="1:6" x14ac:dyDescent="0.2">
      <c r="A26" s="20">
        <v>22</v>
      </c>
      <c r="B26" s="172" t="s">
        <v>19</v>
      </c>
      <c r="C26" s="173"/>
      <c r="D26" s="15">
        <f t="shared" si="0"/>
        <v>4368</v>
      </c>
      <c r="E26" s="18">
        <f t="shared" si="1"/>
        <v>60066.265820192508</v>
      </c>
      <c r="F26" s="22">
        <f t="shared" si="2"/>
        <v>13.75</v>
      </c>
    </row>
    <row r="27" spans="1:6" x14ac:dyDescent="0.2">
      <c r="A27" s="20">
        <v>23</v>
      </c>
      <c r="B27" s="172" t="s">
        <v>20</v>
      </c>
      <c r="C27" s="173"/>
      <c r="D27" s="15">
        <f t="shared" si="0"/>
        <v>61888</v>
      </c>
      <c r="E27" s="18">
        <f t="shared" si="1"/>
        <v>604085.50619965058</v>
      </c>
      <c r="F27" s="22">
        <f t="shared" si="2"/>
        <v>9.76</v>
      </c>
    </row>
    <row r="28" spans="1:6" x14ac:dyDescent="0.2">
      <c r="A28" s="20">
        <v>24</v>
      </c>
      <c r="B28" s="172" t="s">
        <v>21</v>
      </c>
      <c r="C28" s="173"/>
      <c r="D28" s="15">
        <f t="shared" si="0"/>
        <v>106381</v>
      </c>
      <c r="E28" s="18">
        <f t="shared" si="1"/>
        <v>1109176.2839326691</v>
      </c>
      <c r="F28" s="22">
        <f t="shared" si="2"/>
        <v>10.43</v>
      </c>
    </row>
    <row r="29" spans="1:6" x14ac:dyDescent="0.2">
      <c r="A29" s="20">
        <v>25</v>
      </c>
      <c r="B29" s="172" t="s">
        <v>22</v>
      </c>
      <c r="C29" s="173"/>
      <c r="D29" s="15">
        <f t="shared" si="0"/>
        <v>367200</v>
      </c>
      <c r="E29" s="18">
        <f t="shared" si="1"/>
        <v>2826891.9837854141</v>
      </c>
      <c r="F29" s="22">
        <f t="shared" si="2"/>
        <v>7.7</v>
      </c>
    </row>
    <row r="30" spans="1:6" x14ac:dyDescent="0.2">
      <c r="A30" s="20">
        <v>26</v>
      </c>
      <c r="B30" s="172" t="s">
        <v>23</v>
      </c>
      <c r="C30" s="173"/>
      <c r="D30" s="15">
        <f t="shared" si="0"/>
        <v>127082</v>
      </c>
      <c r="E30" s="18">
        <f t="shared" si="1"/>
        <v>1211776.7383154084</v>
      </c>
      <c r="F30" s="22">
        <f t="shared" si="2"/>
        <v>9.5399999999999991</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2666118</v>
      </c>
      <c r="E33" s="32">
        <f>SUM(E5:E32)</f>
        <v>26095441.999999996</v>
      </c>
      <c r="F33" s="33">
        <f t="shared" si="2"/>
        <v>9.7899999999999991</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IF(F3="1",SUMIF(Data!A:A,'28'!$A$2,Data!CU:CU),0)</f>
        <v>3984</v>
      </c>
      <c r="E36" s="16">
        <f>IF(F3="1",SUMIF(Data!$A:$A,'28'!$A$2,Data!IO:IO),0)</f>
        <v>236</v>
      </c>
      <c r="F36" s="21">
        <f>IF(D36=0,"",ROUND(E36/D36,2))</f>
        <v>0.06</v>
      </c>
    </row>
    <row r="37" spans="1:6" x14ac:dyDescent="0.2">
      <c r="A37" s="20">
        <v>2</v>
      </c>
      <c r="B37" s="172" t="s">
        <v>1</v>
      </c>
      <c r="C37" s="173"/>
      <c r="D37" s="15">
        <f>IF(F3="1",SUMIF(Data!A:A,'28'!$A$2,Data!CV:CV),0)</f>
        <v>51376</v>
      </c>
      <c r="E37" s="18">
        <f>IF(F3="1",SUMIF(Data!$A:$A,'28'!$A$2,Data!IP:IP),0)</f>
        <v>71495</v>
      </c>
      <c r="F37" s="22">
        <f t="shared" ref="F37:F64" si="3">IF(D37=0,"",ROUND(E37/D37,2))</f>
        <v>1.39</v>
      </c>
    </row>
    <row r="38" spans="1:6" ht="14.25" customHeight="1" x14ac:dyDescent="0.2">
      <c r="A38" s="20">
        <v>3</v>
      </c>
      <c r="B38" s="172" t="s">
        <v>2</v>
      </c>
      <c r="C38" s="173"/>
      <c r="D38" s="15">
        <f>IF(F3="1",SUMIF(Data!A:A,'28'!$A$2,Data!CW:CW),0)</f>
        <v>292772</v>
      </c>
      <c r="E38" s="18">
        <f>IF(F3="1",SUMIF(Data!$A:$A,'28'!$A$2,Data!IQ:IQ),0)</f>
        <v>220825</v>
      </c>
      <c r="F38" s="22">
        <f t="shared" si="3"/>
        <v>0.75</v>
      </c>
    </row>
    <row r="39" spans="1:6" ht="14.25" customHeight="1" x14ac:dyDescent="0.2">
      <c r="A39" s="20">
        <v>4</v>
      </c>
      <c r="B39" s="172" t="s">
        <v>3</v>
      </c>
      <c r="C39" s="173"/>
      <c r="D39" s="15">
        <f>IF(F3="1",SUMIF(Data!A:A,'28'!$A$2,Data!CX:CX),0)</f>
        <v>157317</v>
      </c>
      <c r="E39" s="18">
        <f>IF(F3="1",SUMIF(Data!$A:$A,'28'!$A$2,Data!IR:IR),0)</f>
        <v>167656</v>
      </c>
      <c r="F39" s="22">
        <f t="shared" si="3"/>
        <v>1.07</v>
      </c>
    </row>
    <row r="40" spans="1:6" x14ac:dyDescent="0.2">
      <c r="A40" s="20">
        <v>5</v>
      </c>
      <c r="B40" s="172" t="s">
        <v>4</v>
      </c>
      <c r="C40" s="173"/>
      <c r="D40" s="15">
        <f>IF(F3="1",SUMIF(Data!A:A,'28'!$A$2,Data!CY:CY),0)</f>
        <v>26462</v>
      </c>
      <c r="E40" s="18">
        <f>IF(F3="1",SUMIF(Data!$A:$A,'28'!$A$2,Data!IS:IS),0)</f>
        <v>614499</v>
      </c>
      <c r="F40" s="22">
        <f t="shared" si="3"/>
        <v>23.22</v>
      </c>
    </row>
    <row r="41" spans="1:6" x14ac:dyDescent="0.2">
      <c r="A41" s="20">
        <v>6</v>
      </c>
      <c r="B41" s="172" t="s">
        <v>5</v>
      </c>
      <c r="C41" s="173"/>
      <c r="D41" s="15">
        <f>IF(F3="1",SUMIF(Data!A:A,'28'!$A$2,Data!CZ:CZ),0)</f>
        <v>13441</v>
      </c>
      <c r="E41" s="18">
        <f>IF(F3="1",SUMIF(Data!$A:$A,'28'!$A$2,Data!IT:IT),0)</f>
        <v>20414</v>
      </c>
      <c r="F41" s="22">
        <f t="shared" si="3"/>
        <v>1.52</v>
      </c>
    </row>
    <row r="42" spans="1:6" x14ac:dyDescent="0.2">
      <c r="A42" s="20">
        <v>7</v>
      </c>
      <c r="B42" s="172" t="s">
        <v>6</v>
      </c>
      <c r="C42" s="173"/>
      <c r="D42" s="15">
        <f>IF(F3="1",SUMIF(Data!A:A,'28'!$A$2,Data!DA:DA),0)</f>
        <v>40119</v>
      </c>
      <c r="E42" s="18">
        <f>IF(F3="1",SUMIF(Data!$A:$A,'28'!$A$2,Data!IU:IU),0)</f>
        <v>149683</v>
      </c>
      <c r="F42" s="22">
        <f t="shared" si="3"/>
        <v>3.73</v>
      </c>
    </row>
    <row r="43" spans="1:6" x14ac:dyDescent="0.2">
      <c r="A43" s="20">
        <v>8</v>
      </c>
      <c r="B43" s="172" t="s">
        <v>7</v>
      </c>
      <c r="C43" s="173"/>
      <c r="D43" s="15">
        <f>IF(F3="1",SUMIF(Data!A:A,'28'!$A$2,Data!DB:DB),0)</f>
        <v>2712</v>
      </c>
      <c r="E43" s="18">
        <f>IF(F3="1",SUMIF(Data!$A:$A,'28'!$A$2,Data!IV:IV),0)</f>
        <v>10860</v>
      </c>
      <c r="F43" s="22">
        <f t="shared" si="3"/>
        <v>4</v>
      </c>
    </row>
    <row r="44" spans="1:6" x14ac:dyDescent="0.2">
      <c r="A44" s="20">
        <v>9</v>
      </c>
      <c r="B44" s="172" t="s">
        <v>8</v>
      </c>
      <c r="C44" s="173"/>
      <c r="D44" s="15">
        <f>IF(F3="1",SUMIF(Data!A:A,'28'!$A$2,Data!DC:DC),0)</f>
        <v>101320</v>
      </c>
      <c r="E44" s="18">
        <f>IF(F3="1",SUMIF(Data!$A:$A,'28'!$A$2,Data!IW:IW),0)</f>
        <v>88762</v>
      </c>
      <c r="F44" s="22">
        <f t="shared" si="3"/>
        <v>0.88</v>
      </c>
    </row>
    <row r="45" spans="1:6" x14ac:dyDescent="0.2">
      <c r="A45" s="20">
        <v>10</v>
      </c>
      <c r="B45" s="172" t="s">
        <v>9</v>
      </c>
      <c r="C45" s="173"/>
      <c r="D45" s="15">
        <f>IF(F3="1",SUMIF(Data!A:A,'28'!$A$2,Data!DD:DD),0)</f>
        <v>5873</v>
      </c>
      <c r="E45" s="18">
        <f>IF(F3="1",SUMIF(Data!$A:$A,'28'!$A$2,Data!IX:IX),0)</f>
        <v>27396</v>
      </c>
      <c r="F45" s="22">
        <f t="shared" si="3"/>
        <v>4.66</v>
      </c>
    </row>
    <row r="46" spans="1:6" x14ac:dyDescent="0.2">
      <c r="A46" s="20">
        <v>11</v>
      </c>
      <c r="B46" s="172" t="s">
        <v>10</v>
      </c>
      <c r="C46" s="173"/>
      <c r="D46" s="15">
        <f>IF(F3="1",SUMIF(Data!A:A,'28'!$A$2,Data!DE:DE),0)</f>
        <v>62738</v>
      </c>
      <c r="E46" s="18">
        <f>IF(F3="1",SUMIF(Data!$A:$A,'28'!$A$2,Data!IY:IY),0)</f>
        <v>576000</v>
      </c>
      <c r="F46" s="22">
        <f t="shared" si="3"/>
        <v>9.18</v>
      </c>
    </row>
    <row r="47" spans="1:6" ht="14.25" customHeight="1" x14ac:dyDescent="0.2">
      <c r="A47" s="20">
        <v>12</v>
      </c>
      <c r="B47" s="172" t="s">
        <v>11</v>
      </c>
      <c r="C47" s="173"/>
      <c r="D47" s="15">
        <f>IF(F3="1",SUMIF(Data!A:A,'28'!$A$2,Data!DF:DF),0)</f>
        <v>307418</v>
      </c>
      <c r="E47" s="18">
        <f>IF(F3="1",SUMIF(Data!$A:$A,'28'!$A$2,Data!IZ:IZ),0)</f>
        <v>464611</v>
      </c>
      <c r="F47" s="22">
        <f t="shared" si="3"/>
        <v>1.51</v>
      </c>
    </row>
    <row r="48" spans="1:6" x14ac:dyDescent="0.2">
      <c r="A48" s="20">
        <v>13</v>
      </c>
      <c r="B48" s="172" t="s">
        <v>12</v>
      </c>
      <c r="C48" s="173"/>
      <c r="D48" s="15">
        <f>IF(F3="1",SUMIF(Data!A:A,'28'!$A$2,Data!DG:DG),0)</f>
        <v>205856</v>
      </c>
      <c r="E48" s="18">
        <f>IF(F3="1",SUMIF(Data!$A:$A,'28'!$A$2,Data!JA:JA),0)</f>
        <v>43919</v>
      </c>
      <c r="F48" s="22">
        <f t="shared" si="3"/>
        <v>0.21</v>
      </c>
    </row>
    <row r="49" spans="1:6" ht="14.25" customHeight="1" x14ac:dyDescent="0.2">
      <c r="A49" s="20">
        <v>14</v>
      </c>
      <c r="B49" s="172" t="s">
        <v>469</v>
      </c>
      <c r="C49" s="173"/>
      <c r="D49" s="15">
        <f>IF(F3="1",SUMIF(Data!A:A,'28'!$A$2,Data!DH:DH),0)</f>
        <v>162190</v>
      </c>
      <c r="E49" s="18">
        <f>IF(F3="1",SUMIF(Data!$A:$A,'28'!$A$2,Data!JB:JB),0)</f>
        <v>270745</v>
      </c>
      <c r="F49" s="22">
        <f t="shared" si="3"/>
        <v>1.67</v>
      </c>
    </row>
    <row r="50" spans="1:6" x14ac:dyDescent="0.2">
      <c r="A50" s="20">
        <v>15</v>
      </c>
      <c r="B50" s="172" t="s">
        <v>13</v>
      </c>
      <c r="C50" s="173"/>
      <c r="D50" s="15">
        <f>IF(F3="1",SUMIF(Data!A:A,'28'!$A$2,Data!DI:DI),0)</f>
        <v>0</v>
      </c>
      <c r="E50" s="18">
        <f>IF(F3="1",SUMIF(Data!$A:$A,'28'!$A$2,Data!JC:JC),0)</f>
        <v>0</v>
      </c>
      <c r="F50" s="22" t="str">
        <f t="shared" si="3"/>
        <v/>
      </c>
    </row>
    <row r="51" spans="1:6" x14ac:dyDescent="0.2">
      <c r="A51" s="20">
        <v>16</v>
      </c>
      <c r="B51" s="172" t="s">
        <v>14</v>
      </c>
      <c r="C51" s="173"/>
      <c r="D51" s="15">
        <f>IF(F3="1",SUMIF(Data!A:A,'28'!$A$2,Data!DJ:DJ),0)</f>
        <v>149318</v>
      </c>
      <c r="E51" s="18">
        <f>IF(F3="1",SUMIF(Data!$A:$A,'28'!$A$2,Data!JD:JD),0)</f>
        <v>308998</v>
      </c>
      <c r="F51" s="22">
        <f t="shared" si="3"/>
        <v>2.0699999999999998</v>
      </c>
    </row>
    <row r="52" spans="1:6" x14ac:dyDescent="0.2">
      <c r="A52" s="20">
        <v>17</v>
      </c>
      <c r="B52" s="172" t="s">
        <v>15</v>
      </c>
      <c r="C52" s="173"/>
      <c r="D52" s="15">
        <f>IF(F3="1",SUMIF(Data!A:A,'28'!$A$2,Data!DK:DK),0)</f>
        <v>27054</v>
      </c>
      <c r="E52" s="18">
        <f>IF(F3="1",SUMIF(Data!$A:$A,'28'!$A$2,Data!JE:JE),0)</f>
        <v>28894</v>
      </c>
      <c r="F52" s="22">
        <f t="shared" si="3"/>
        <v>1.07</v>
      </c>
    </row>
    <row r="53" spans="1:6" x14ac:dyDescent="0.2">
      <c r="A53" s="20">
        <v>18</v>
      </c>
      <c r="B53" s="172" t="s">
        <v>16</v>
      </c>
      <c r="C53" s="173"/>
      <c r="D53" s="15">
        <f>IF(F3="1",SUMIF(Data!A:A,'28'!$A$2,Data!DL:DL),0)</f>
        <v>97064</v>
      </c>
      <c r="E53" s="18">
        <f>IF(F3="1",SUMIF(Data!$A:$A,'28'!$A$2,Data!JF:JF),0)</f>
        <v>82059</v>
      </c>
      <c r="F53" s="22">
        <f t="shared" si="3"/>
        <v>0.85</v>
      </c>
    </row>
    <row r="54" spans="1:6" x14ac:dyDescent="0.2">
      <c r="A54" s="20">
        <v>19</v>
      </c>
      <c r="B54" s="172" t="s">
        <v>17</v>
      </c>
      <c r="C54" s="173"/>
      <c r="D54" s="15">
        <f>IF(F3="1",SUMIF(Data!A:A,'28'!$A$2,Data!DM:DM),0)</f>
        <v>213472</v>
      </c>
      <c r="E54" s="18">
        <f>IF(F3="1",SUMIF(Data!$A:$A,'28'!$A$2,Data!JG:JG),0)</f>
        <v>140978</v>
      </c>
      <c r="F54" s="22">
        <f t="shared" si="3"/>
        <v>0.66</v>
      </c>
    </row>
    <row r="55" spans="1:6" x14ac:dyDescent="0.2">
      <c r="A55" s="20">
        <v>20</v>
      </c>
      <c r="B55" s="172" t="s">
        <v>18</v>
      </c>
      <c r="C55" s="173"/>
      <c r="D55" s="15">
        <f>IF(F3="1",SUMIF(Data!A:A,'28'!$A$2,Data!DN:DN),0)</f>
        <v>35926</v>
      </c>
      <c r="E55" s="18">
        <f>IF(F3="1",SUMIF(Data!$A:$A,'28'!$A$2,Data!JH:JH),0)</f>
        <v>82054</v>
      </c>
      <c r="F55" s="22">
        <f t="shared" si="3"/>
        <v>2.2799999999999998</v>
      </c>
    </row>
    <row r="56" spans="1:6" ht="14.25" customHeight="1" x14ac:dyDescent="0.2">
      <c r="A56" s="20">
        <v>21</v>
      </c>
      <c r="B56" s="172" t="s">
        <v>466</v>
      </c>
      <c r="C56" s="173"/>
      <c r="D56" s="15">
        <f>IF(F3="1",SUMIF(Data!A:A,'28'!$A$2,Data!DO:DO),0)</f>
        <v>42787</v>
      </c>
      <c r="E56" s="18">
        <f>IF(F3="1",SUMIF(Data!$A:$A,'28'!$A$2,Data!JI:JI),0)</f>
        <v>321726</v>
      </c>
      <c r="F56" s="22">
        <f t="shared" si="3"/>
        <v>7.52</v>
      </c>
    </row>
    <row r="57" spans="1:6" x14ac:dyDescent="0.2">
      <c r="A57" s="20">
        <v>22</v>
      </c>
      <c r="B57" s="172" t="s">
        <v>19</v>
      </c>
      <c r="C57" s="173"/>
      <c r="D57" s="15">
        <f>IF(F3="1",SUMIF(Data!A:A,'28'!$A$2,Data!DP:DP),0)</f>
        <v>4368</v>
      </c>
      <c r="E57" s="18">
        <f>IF(F3="1",SUMIF(Data!$A:$A,'28'!$A$2,Data!JJ:JJ),0)</f>
        <v>4218</v>
      </c>
      <c r="F57" s="22">
        <f t="shared" si="3"/>
        <v>0.97</v>
      </c>
    </row>
    <row r="58" spans="1:6" x14ac:dyDescent="0.2">
      <c r="A58" s="20">
        <v>23</v>
      </c>
      <c r="B58" s="172" t="s">
        <v>20</v>
      </c>
      <c r="C58" s="173"/>
      <c r="D58" s="15">
        <f>IF(F3="1",SUMIF(Data!A:A,'28'!$A$2,Data!DQ:DQ),0)</f>
        <v>61888</v>
      </c>
      <c r="E58" s="18">
        <f>IF(F3="1",SUMIF(Data!$A:$A,'28'!$A$2,Data!JK:JK),0)</f>
        <v>43219</v>
      </c>
      <c r="F58" s="22">
        <f t="shared" si="3"/>
        <v>0.7</v>
      </c>
    </row>
    <row r="59" spans="1:6" x14ac:dyDescent="0.2">
      <c r="A59" s="20">
        <v>24</v>
      </c>
      <c r="B59" s="172" t="s">
        <v>21</v>
      </c>
      <c r="C59" s="173"/>
      <c r="D59" s="15">
        <f>IF(F3="1",SUMIF(Data!A:A,'28'!$A$2,Data!DR:DR),0)</f>
        <v>106381</v>
      </c>
      <c r="E59" s="18">
        <f>IF(F3="1",SUMIF(Data!$A:$A,'28'!$A$2,Data!JL:JL),0)</f>
        <v>371798</v>
      </c>
      <c r="F59" s="22">
        <f t="shared" si="3"/>
        <v>3.49</v>
      </c>
    </row>
    <row r="60" spans="1:6" x14ac:dyDescent="0.2">
      <c r="A60" s="20">
        <v>25</v>
      </c>
      <c r="B60" s="172" t="s">
        <v>22</v>
      </c>
      <c r="C60" s="173"/>
      <c r="D60" s="15">
        <f>IF(F3="1",SUMIF(Data!A:A,'28'!$A$2,Data!DS:DS),0)</f>
        <v>367200</v>
      </c>
      <c r="E60" s="18">
        <f>IF(F3="1",SUMIF(Data!$A:$A,'28'!$A$2,Data!JM:JM),0)</f>
        <v>184258</v>
      </c>
      <c r="F60" s="22">
        <f t="shared" si="3"/>
        <v>0.5</v>
      </c>
    </row>
    <row r="61" spans="1:6" x14ac:dyDescent="0.2">
      <c r="A61" s="20">
        <v>26</v>
      </c>
      <c r="B61" s="172" t="s">
        <v>23</v>
      </c>
      <c r="C61" s="173"/>
      <c r="D61" s="15">
        <f>IF(F3="1",SUMIF(Data!A:A,'28'!$A$2,Data!DT:DT),0)</f>
        <v>127082</v>
      </c>
      <c r="E61" s="18">
        <f>IF(F3="1",SUMIF(Data!$A:$A,'28'!$A$2,Data!JN:JN),0)</f>
        <v>108374</v>
      </c>
      <c r="F61" s="22">
        <f t="shared" si="3"/>
        <v>0.85</v>
      </c>
    </row>
    <row r="62" spans="1:6" x14ac:dyDescent="0.2">
      <c r="A62" s="20">
        <v>28</v>
      </c>
      <c r="B62" s="172" t="s">
        <v>24</v>
      </c>
      <c r="C62" s="173"/>
      <c r="D62" s="15">
        <f>IF(F3="1",SUMIF(Data!A:A,'28'!$A$2,Data!DV:DV),0)</f>
        <v>0</v>
      </c>
      <c r="E62" s="18">
        <f>IF(F3="1",SUMIF(Data!$A:$A,'28'!$A$2,Data!JP:JP),0)</f>
        <v>0</v>
      </c>
      <c r="F62" s="22" t="str">
        <f t="shared" si="3"/>
        <v/>
      </c>
    </row>
    <row r="63" spans="1:6" ht="15.75" customHeight="1" thickBot="1" x14ac:dyDescent="0.25">
      <c r="A63" s="23">
        <v>29</v>
      </c>
      <c r="B63" s="174" t="s">
        <v>25</v>
      </c>
      <c r="C63" s="175"/>
      <c r="D63" s="24">
        <f>IF(F3="1",SUMIF(Data!A:A,'28'!$A$2,Data!DW:DW),0)</f>
        <v>0</v>
      </c>
      <c r="E63" s="25">
        <f>IF(F3="1",SUMIF(Data!$A:$A,'28'!$A$2,Data!JQ:JQ),0)</f>
        <v>0</v>
      </c>
      <c r="F63" s="26" t="str">
        <f t="shared" si="3"/>
        <v/>
      </c>
    </row>
    <row r="64" spans="1:6" x14ac:dyDescent="0.2">
      <c r="B64" s="31" t="s">
        <v>35</v>
      </c>
      <c r="C64" s="31"/>
      <c r="D64" s="61">
        <f>SUM(D36:D63)</f>
        <v>2666118</v>
      </c>
      <c r="E64" s="32">
        <f>SUM(E36:E63)</f>
        <v>4403677</v>
      </c>
      <c r="F64" s="33">
        <f t="shared" si="3"/>
        <v>1.65</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3984</v>
      </c>
      <c r="E67" s="16">
        <f>IF(F3="1",SUMIF(Data!A:A,'28'!$A$2,Data!DY:DY),0)</f>
        <v>2112</v>
      </c>
      <c r="F67" s="21">
        <f t="shared" ref="F67:F95" si="4">IF(D67=0,"",ROUND(E67/D67,2))</f>
        <v>0.53</v>
      </c>
    </row>
    <row r="68" spans="1:6" x14ac:dyDescent="0.2">
      <c r="A68" s="20">
        <v>2</v>
      </c>
      <c r="B68" s="172" t="s">
        <v>1</v>
      </c>
      <c r="C68" s="173"/>
      <c r="D68" s="15">
        <f t="shared" ref="D68:D94" si="5">D37</f>
        <v>51376</v>
      </c>
      <c r="E68" s="18">
        <f>IF(F3="1",SUMIF(Data!A:A,'28'!$A$2,Data!DZ:DZ),0)</f>
        <v>196000</v>
      </c>
      <c r="F68" s="22">
        <f t="shared" si="4"/>
        <v>3.82</v>
      </c>
    </row>
    <row r="69" spans="1:6" ht="14.25" customHeight="1" x14ac:dyDescent="0.2">
      <c r="A69" s="20">
        <v>3</v>
      </c>
      <c r="B69" s="172" t="s">
        <v>2</v>
      </c>
      <c r="C69" s="173"/>
      <c r="D69" s="15">
        <f t="shared" si="5"/>
        <v>292772</v>
      </c>
      <c r="E69" s="18">
        <f>IF(F3="1",SUMIF(Data!A:A,'28'!$A$2,Data!EA:EA),0)</f>
        <v>895027</v>
      </c>
      <c r="F69" s="22">
        <f t="shared" si="4"/>
        <v>3.06</v>
      </c>
    </row>
    <row r="70" spans="1:6" ht="14.25" customHeight="1" x14ac:dyDescent="0.2">
      <c r="A70" s="20">
        <v>4</v>
      </c>
      <c r="B70" s="172" t="s">
        <v>3</v>
      </c>
      <c r="C70" s="173"/>
      <c r="D70" s="15">
        <f t="shared" si="5"/>
        <v>157317</v>
      </c>
      <c r="E70" s="18">
        <f>IF(F3="1",SUMIF(Data!A:A,'28'!$A$2,Data!EB:EB),0)</f>
        <v>716938</v>
      </c>
      <c r="F70" s="22">
        <f t="shared" si="4"/>
        <v>4.5599999999999996</v>
      </c>
    </row>
    <row r="71" spans="1:6" x14ac:dyDescent="0.2">
      <c r="A71" s="20">
        <v>5</v>
      </c>
      <c r="B71" s="172" t="s">
        <v>4</v>
      </c>
      <c r="C71" s="173"/>
      <c r="D71" s="15">
        <f t="shared" si="5"/>
        <v>26462</v>
      </c>
      <c r="E71" s="18">
        <f>IF(F3="1",SUMIF(Data!A:A,'28'!$A$2,Data!EC:EC),0)</f>
        <v>361773</v>
      </c>
      <c r="F71" s="22">
        <f t="shared" si="4"/>
        <v>13.67</v>
      </c>
    </row>
    <row r="72" spans="1:6" x14ac:dyDescent="0.2">
      <c r="A72" s="20">
        <v>6</v>
      </c>
      <c r="B72" s="172" t="s">
        <v>5</v>
      </c>
      <c r="C72" s="173"/>
      <c r="D72" s="15">
        <f t="shared" si="5"/>
        <v>13441</v>
      </c>
      <c r="E72" s="18">
        <f>IF(F3="1",SUMIF(Data!A:A,'28'!$A$2,Data!ED:ED),0)</f>
        <v>118502</v>
      </c>
      <c r="F72" s="22">
        <f t="shared" si="4"/>
        <v>8.82</v>
      </c>
    </row>
    <row r="73" spans="1:6" x14ac:dyDescent="0.2">
      <c r="A73" s="20">
        <v>7</v>
      </c>
      <c r="B73" s="172" t="s">
        <v>6</v>
      </c>
      <c r="C73" s="173"/>
      <c r="D73" s="15">
        <f t="shared" si="5"/>
        <v>40119</v>
      </c>
      <c r="E73" s="18">
        <f>IF(F3="1",SUMIF(Data!A:A,'28'!$A$2,Data!EE:EE),0)</f>
        <v>435940</v>
      </c>
      <c r="F73" s="22">
        <f t="shared" si="4"/>
        <v>10.87</v>
      </c>
    </row>
    <row r="74" spans="1:6" x14ac:dyDescent="0.2">
      <c r="A74" s="20">
        <v>8</v>
      </c>
      <c r="B74" s="172" t="s">
        <v>7</v>
      </c>
      <c r="C74" s="173"/>
      <c r="D74" s="15">
        <f t="shared" si="5"/>
        <v>2712</v>
      </c>
      <c r="E74" s="18">
        <f>IF(F3="1",SUMIF(Data!A:A,'28'!$A$2,Data!EF:EF),0)</f>
        <v>4140</v>
      </c>
      <c r="F74" s="22">
        <f t="shared" si="4"/>
        <v>1.53</v>
      </c>
    </row>
    <row r="75" spans="1:6" x14ac:dyDescent="0.2">
      <c r="A75" s="20">
        <v>9</v>
      </c>
      <c r="B75" s="172" t="s">
        <v>8</v>
      </c>
      <c r="C75" s="173"/>
      <c r="D75" s="15">
        <f t="shared" si="5"/>
        <v>101320</v>
      </c>
      <c r="E75" s="18">
        <f>IF(F3="1",SUMIF(Data!A:A,'28'!$A$2,Data!EG:EG),0)</f>
        <v>305894</v>
      </c>
      <c r="F75" s="22">
        <f t="shared" si="4"/>
        <v>3.02</v>
      </c>
    </row>
    <row r="76" spans="1:6" x14ac:dyDescent="0.2">
      <c r="A76" s="20">
        <v>10</v>
      </c>
      <c r="B76" s="172" t="s">
        <v>9</v>
      </c>
      <c r="C76" s="173"/>
      <c r="D76" s="15">
        <f t="shared" si="5"/>
        <v>5873</v>
      </c>
      <c r="E76" s="18">
        <f>IF(F3="1",SUMIF(Data!A:A,'28'!$A$2,Data!EH:EH),0)</f>
        <v>10444</v>
      </c>
      <c r="F76" s="22">
        <f t="shared" si="4"/>
        <v>1.78</v>
      </c>
    </row>
    <row r="77" spans="1:6" x14ac:dyDescent="0.2">
      <c r="A77" s="20">
        <v>11</v>
      </c>
      <c r="B77" s="172" t="s">
        <v>10</v>
      </c>
      <c r="C77" s="173"/>
      <c r="D77" s="15">
        <f t="shared" si="5"/>
        <v>62738</v>
      </c>
      <c r="E77" s="18">
        <f>IF(F3="1",SUMIF(Data!A:A,'28'!$A$2,Data!EI:EI),0)</f>
        <v>361859</v>
      </c>
      <c r="F77" s="22">
        <f t="shared" si="4"/>
        <v>5.77</v>
      </c>
    </row>
    <row r="78" spans="1:6" ht="14.25" customHeight="1" x14ac:dyDescent="0.2">
      <c r="A78" s="20">
        <v>12</v>
      </c>
      <c r="B78" s="172" t="s">
        <v>11</v>
      </c>
      <c r="C78" s="173"/>
      <c r="D78" s="15">
        <f t="shared" si="5"/>
        <v>307418</v>
      </c>
      <c r="E78" s="18">
        <f>IF(F3="1",SUMIF(Data!A:A,'28'!$A$2,Data!EJ:EJ),0)</f>
        <v>1128946</v>
      </c>
      <c r="F78" s="22">
        <f t="shared" si="4"/>
        <v>3.67</v>
      </c>
    </row>
    <row r="79" spans="1:6" x14ac:dyDescent="0.2">
      <c r="A79" s="20">
        <v>13</v>
      </c>
      <c r="B79" s="172" t="s">
        <v>12</v>
      </c>
      <c r="C79" s="173"/>
      <c r="D79" s="15">
        <f t="shared" si="5"/>
        <v>205856</v>
      </c>
      <c r="E79" s="18">
        <f>IF(F3="1",SUMIF(Data!A:A,'28'!$A$2,Data!EK:EK),0)</f>
        <v>341933</v>
      </c>
      <c r="F79" s="22">
        <f t="shared" si="4"/>
        <v>1.66</v>
      </c>
    </row>
    <row r="80" spans="1:6" ht="14.25" customHeight="1" x14ac:dyDescent="0.2">
      <c r="A80" s="20">
        <v>14</v>
      </c>
      <c r="B80" s="172" t="s">
        <v>469</v>
      </c>
      <c r="C80" s="173"/>
      <c r="D80" s="15">
        <f t="shared" si="5"/>
        <v>162190</v>
      </c>
      <c r="E80" s="18">
        <f>IF(F3="1",SUMIF(Data!A:A,'28'!$A$2,Data!EL:EL),0)</f>
        <v>699244</v>
      </c>
      <c r="F80" s="22">
        <f t="shared" si="4"/>
        <v>4.3099999999999996</v>
      </c>
    </row>
    <row r="81" spans="1:6" x14ac:dyDescent="0.2">
      <c r="A81" s="20">
        <v>15</v>
      </c>
      <c r="B81" s="172" t="s">
        <v>13</v>
      </c>
      <c r="C81" s="173"/>
      <c r="D81" s="15">
        <f t="shared" si="5"/>
        <v>0</v>
      </c>
      <c r="E81" s="18">
        <f>IF(F3="1",SUMIF(Data!A:A,'28'!$A$2,Data!EM:EM),0)</f>
        <v>0</v>
      </c>
      <c r="F81" s="22" t="str">
        <f t="shared" si="4"/>
        <v/>
      </c>
    </row>
    <row r="82" spans="1:6" x14ac:dyDescent="0.2">
      <c r="A82" s="20">
        <v>16</v>
      </c>
      <c r="B82" s="172" t="s">
        <v>14</v>
      </c>
      <c r="C82" s="173"/>
      <c r="D82" s="15">
        <f t="shared" si="5"/>
        <v>149318</v>
      </c>
      <c r="E82" s="18">
        <f>IF(F3="1",SUMIF(Data!A:A,'28'!$A$2,Data!EN:EN),0)</f>
        <v>701889</v>
      </c>
      <c r="F82" s="22">
        <f t="shared" si="4"/>
        <v>4.7</v>
      </c>
    </row>
    <row r="83" spans="1:6" x14ac:dyDescent="0.2">
      <c r="A83" s="20">
        <v>17</v>
      </c>
      <c r="B83" s="172" t="s">
        <v>15</v>
      </c>
      <c r="C83" s="173"/>
      <c r="D83" s="15">
        <f t="shared" si="5"/>
        <v>27054</v>
      </c>
      <c r="E83" s="18">
        <f>IF(F3="1",SUMIF(Data!A:A,'28'!$A$2,Data!EO:EO),0)</f>
        <v>141987</v>
      </c>
      <c r="F83" s="22">
        <f t="shared" si="4"/>
        <v>5.25</v>
      </c>
    </row>
    <row r="84" spans="1:6" x14ac:dyDescent="0.2">
      <c r="A84" s="20">
        <v>18</v>
      </c>
      <c r="B84" s="172" t="s">
        <v>16</v>
      </c>
      <c r="C84" s="173"/>
      <c r="D84" s="15">
        <f t="shared" si="5"/>
        <v>97064</v>
      </c>
      <c r="E84" s="18">
        <f>IF(F3="1",SUMIF(Data!A:A,'28'!$A$2,Data!EP:EP),0)</f>
        <v>455557</v>
      </c>
      <c r="F84" s="22">
        <f t="shared" si="4"/>
        <v>4.6900000000000004</v>
      </c>
    </row>
    <row r="85" spans="1:6" x14ac:dyDescent="0.2">
      <c r="A85" s="20">
        <v>19</v>
      </c>
      <c r="B85" s="172" t="s">
        <v>17</v>
      </c>
      <c r="C85" s="173"/>
      <c r="D85" s="15">
        <f t="shared" si="5"/>
        <v>213472</v>
      </c>
      <c r="E85" s="18">
        <f>IF(F3="1",SUMIF(Data!A:A,'28'!$A$2,Data!EQ:EQ),0)</f>
        <v>805873</v>
      </c>
      <c r="F85" s="22">
        <f t="shared" si="4"/>
        <v>3.78</v>
      </c>
    </row>
    <row r="86" spans="1:6" x14ac:dyDescent="0.2">
      <c r="A86" s="20">
        <v>20</v>
      </c>
      <c r="B86" s="172" t="s">
        <v>18</v>
      </c>
      <c r="C86" s="173"/>
      <c r="D86" s="15">
        <f t="shared" si="5"/>
        <v>35926</v>
      </c>
      <c r="E86" s="18">
        <f>IF(F3="1",SUMIF(Data!A:A,'28'!$A$2,Data!ER:ER),0)</f>
        <v>247001</v>
      </c>
      <c r="F86" s="22">
        <f t="shared" si="4"/>
        <v>6.88</v>
      </c>
    </row>
    <row r="87" spans="1:6" ht="14.25" customHeight="1" x14ac:dyDescent="0.2">
      <c r="A87" s="20">
        <v>21</v>
      </c>
      <c r="B87" s="172" t="s">
        <v>466</v>
      </c>
      <c r="C87" s="173"/>
      <c r="D87" s="15">
        <f t="shared" si="5"/>
        <v>42787</v>
      </c>
      <c r="E87" s="18">
        <f>IF(F3="1",SUMIF(Data!A:A,'28'!$A$2,Data!ES:ES),0)</f>
        <v>395451</v>
      </c>
      <c r="F87" s="22">
        <f t="shared" si="4"/>
        <v>9.24</v>
      </c>
    </row>
    <row r="88" spans="1:6" x14ac:dyDescent="0.2">
      <c r="A88" s="20">
        <v>22</v>
      </c>
      <c r="B88" s="172" t="s">
        <v>19</v>
      </c>
      <c r="C88" s="173"/>
      <c r="D88" s="15">
        <f t="shared" si="5"/>
        <v>4368</v>
      </c>
      <c r="E88" s="18">
        <f>IF(F3="1",SUMIF(Data!A:A,'28'!$A$2,Data!ET:ET),0)</f>
        <v>37790</v>
      </c>
      <c r="F88" s="22">
        <f t="shared" si="4"/>
        <v>8.65</v>
      </c>
    </row>
    <row r="89" spans="1:6" x14ac:dyDescent="0.2">
      <c r="A89" s="20">
        <v>23</v>
      </c>
      <c r="B89" s="172" t="s">
        <v>20</v>
      </c>
      <c r="C89" s="173"/>
      <c r="D89" s="15">
        <f t="shared" si="5"/>
        <v>61888</v>
      </c>
      <c r="E89" s="18">
        <f>IF(F3="1",SUMIF(Data!A:A,'28'!$A$2,Data!EU:EU),0)</f>
        <v>305008</v>
      </c>
      <c r="F89" s="22">
        <f t="shared" si="4"/>
        <v>4.93</v>
      </c>
    </row>
    <row r="90" spans="1:6" x14ac:dyDescent="0.2">
      <c r="A90" s="20">
        <v>24</v>
      </c>
      <c r="B90" s="172" t="s">
        <v>21</v>
      </c>
      <c r="C90" s="173"/>
      <c r="D90" s="15">
        <f t="shared" si="5"/>
        <v>106381</v>
      </c>
      <c r="E90" s="18">
        <f>IF(F3="1",SUMIF(Data!A:A,'28'!$A$2,Data!EV:EV),0)</f>
        <v>297576</v>
      </c>
      <c r="F90" s="22">
        <f t="shared" si="4"/>
        <v>2.8</v>
      </c>
    </row>
    <row r="91" spans="1:6" x14ac:dyDescent="0.2">
      <c r="A91" s="20">
        <v>25</v>
      </c>
      <c r="B91" s="172" t="s">
        <v>22</v>
      </c>
      <c r="C91" s="173"/>
      <c r="D91" s="15">
        <f t="shared" si="5"/>
        <v>367200</v>
      </c>
      <c r="E91" s="18">
        <f>IF(F3="1",SUMIF(Data!A:A,'28'!$A$2,Data!EW:EW),0)</f>
        <v>1124549</v>
      </c>
      <c r="F91" s="22">
        <f t="shared" si="4"/>
        <v>3.06</v>
      </c>
    </row>
    <row r="92" spans="1:6" x14ac:dyDescent="0.2">
      <c r="A92" s="20">
        <v>26</v>
      </c>
      <c r="B92" s="172" t="s">
        <v>23</v>
      </c>
      <c r="C92" s="173"/>
      <c r="D92" s="15">
        <f t="shared" si="5"/>
        <v>127082</v>
      </c>
      <c r="E92" s="18">
        <f>IF(F3="1",SUMIF(Data!A:A,'28'!$A$2,Data!EX:EX),0)</f>
        <v>578018</v>
      </c>
      <c r="F92" s="22">
        <f t="shared" si="4"/>
        <v>4.55</v>
      </c>
    </row>
    <row r="93" spans="1:6" x14ac:dyDescent="0.2">
      <c r="A93" s="20">
        <v>28</v>
      </c>
      <c r="B93" s="172" t="s">
        <v>24</v>
      </c>
      <c r="C93" s="173"/>
      <c r="D93" s="15">
        <f t="shared" si="5"/>
        <v>0</v>
      </c>
      <c r="E93" s="18">
        <f>IF(F3="1",SUMIF(Data!A:A,'28'!$A$2,Data!EZ:EZ),0)</f>
        <v>0</v>
      </c>
      <c r="F93" s="22" t="str">
        <f t="shared" si="4"/>
        <v/>
      </c>
    </row>
    <row r="94" spans="1:6" ht="15.75" customHeight="1" thickBot="1" x14ac:dyDescent="0.25">
      <c r="A94" s="23">
        <v>29</v>
      </c>
      <c r="B94" s="174" t="s">
        <v>25</v>
      </c>
      <c r="C94" s="175"/>
      <c r="D94" s="24">
        <f t="shared" si="5"/>
        <v>0</v>
      </c>
      <c r="E94" s="25">
        <f>IF(F3="1",SUMIF(Data!A:A,'28'!$A$2,Data!FA:FA),0)</f>
        <v>0</v>
      </c>
      <c r="F94" s="26" t="str">
        <f t="shared" si="4"/>
        <v/>
      </c>
    </row>
    <row r="95" spans="1:6" x14ac:dyDescent="0.2">
      <c r="B95" s="31" t="s">
        <v>35</v>
      </c>
      <c r="C95" s="31"/>
      <c r="D95" s="61">
        <f>SUM(D67:D94)</f>
        <v>2666118</v>
      </c>
      <c r="E95" s="32">
        <f>SUM(E67:E94)</f>
        <v>10669451</v>
      </c>
      <c r="F95" s="33">
        <f t="shared" si="4"/>
        <v>4</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IF(F3="1",SUMIF(Data!A:A,'28'!$A$2,Data!AH:AH),0)</f>
        <v>3893862</v>
      </c>
      <c r="F98" s="21">
        <f>IF($D$105=0,"",ROUND(E98/$D$105,2))</f>
        <v>1.46</v>
      </c>
    </row>
    <row r="99" spans="2:6" x14ac:dyDescent="0.2">
      <c r="B99" s="178" t="s">
        <v>31</v>
      </c>
      <c r="C99" s="179"/>
      <c r="D99" s="37"/>
      <c r="E99" s="18">
        <f>IF(F3="1",SUMIF(Data!A:A,'28'!$A$2,Data!AI:AI),0)</f>
        <v>1804748</v>
      </c>
      <c r="F99" s="22">
        <f t="shared" ref="F99:F105" si="6">IF($D$105=0,"",ROUND(E99/$D$105,2))</f>
        <v>0.68</v>
      </c>
    </row>
    <row r="100" spans="2:6" x14ac:dyDescent="0.2">
      <c r="B100" s="178" t="s">
        <v>32</v>
      </c>
      <c r="C100" s="179"/>
      <c r="D100" s="37"/>
      <c r="E100" s="18">
        <f>IF(F3="1",SUMIF(Data!A:A,'28'!$A$2,Data!AJ:AJ),0)</f>
        <v>3923437</v>
      </c>
      <c r="F100" s="22">
        <f t="shared" si="6"/>
        <v>1.47</v>
      </c>
    </row>
    <row r="101" spans="2:6" x14ac:dyDescent="0.2">
      <c r="B101" s="178" t="s">
        <v>28</v>
      </c>
      <c r="C101" s="179"/>
      <c r="D101" s="37"/>
      <c r="E101" s="18">
        <f>IF(F3="1",SUMIF(Data!A:A,'28'!$A$2,Data!AK:AK),0)</f>
        <v>0</v>
      </c>
      <c r="F101" s="22">
        <f t="shared" si="6"/>
        <v>0</v>
      </c>
    </row>
    <row r="102" spans="2:6" x14ac:dyDescent="0.2">
      <c r="B102" s="178" t="s">
        <v>33</v>
      </c>
      <c r="C102" s="179"/>
      <c r="D102" s="37"/>
      <c r="E102" s="18">
        <f>IF(F3="1",SUMIF(Data!A:A,'28'!$A$2,Data!AL:AL),0)</f>
        <v>45210</v>
      </c>
      <c r="F102" s="22">
        <f t="shared" si="6"/>
        <v>0.02</v>
      </c>
    </row>
    <row r="103" spans="2:6" x14ac:dyDescent="0.2">
      <c r="B103" s="180" t="s">
        <v>34</v>
      </c>
      <c r="C103" s="181"/>
      <c r="D103" s="37"/>
      <c r="E103" s="18">
        <f>IF(F3="1",SUMIF(Data!A:A,'28'!$A$2,Data!AM:AM),0)</f>
        <v>569380</v>
      </c>
      <c r="F103" s="22">
        <f t="shared" si="6"/>
        <v>0.21</v>
      </c>
    </row>
    <row r="104" spans="2:6" ht="15.75" customHeight="1" thickBot="1" x14ac:dyDescent="0.25">
      <c r="B104" s="170" t="s">
        <v>29</v>
      </c>
      <c r="C104" s="171"/>
      <c r="D104" s="38"/>
      <c r="E104" s="25">
        <f>IF(F3="1",SUMIF(Data!A:A,'28'!$A$2,Data!Q:Q),0)</f>
        <v>785677</v>
      </c>
      <c r="F104" s="26">
        <f t="shared" si="6"/>
        <v>0.28999999999999998</v>
      </c>
    </row>
    <row r="105" spans="2:6" x14ac:dyDescent="0.2">
      <c r="B105" s="31" t="s">
        <v>35</v>
      </c>
      <c r="C105" s="31"/>
      <c r="D105" s="35">
        <f>D95</f>
        <v>2666118</v>
      </c>
      <c r="E105" s="32">
        <f>SUM(E98:E104)</f>
        <v>11022314</v>
      </c>
      <c r="F105" s="33">
        <f t="shared" si="6"/>
        <v>4.13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11579753</v>
      </c>
      <c r="D109" s="16">
        <f>IF(F3="1",SUMIF(Data!$A:$A,$A$2,Data!HJ:HJ),0)</f>
        <v>1292551</v>
      </c>
      <c r="E109" s="16">
        <f>IF(F3="1",SUMIF(Data!$A:$A,$A$2,Data!IN:IN),0)</f>
        <v>2200824</v>
      </c>
      <c r="F109" s="48">
        <f>SUM(C109:E109)</f>
        <v>15073128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330012</v>
      </c>
      <c r="D111" s="52"/>
      <c r="E111" s="51">
        <f>IF(F3="1",SUMIF(Data!A:A,$A$2,Data!AX:AX),0)</f>
        <v>117700</v>
      </c>
      <c r="F111" s="49">
        <f t="shared" si="7"/>
        <v>447712</v>
      </c>
    </row>
    <row r="112" spans="2:6" x14ac:dyDescent="0.2">
      <c r="B112" s="43" t="s">
        <v>32</v>
      </c>
      <c r="C112" s="51">
        <f>IF(F3="1",SUMIF(Data!A:A,$A$2,Data!V:V),0)</f>
        <v>2709678</v>
      </c>
      <c r="D112" s="52"/>
      <c r="E112" s="51">
        <f>IF(F3="1",SUMIF(Data!A:A,$A$2,Data!AC:AC),0)</f>
        <v>1213759</v>
      </c>
      <c r="F112" s="49">
        <f t="shared" si="7"/>
        <v>3923437</v>
      </c>
    </row>
    <row r="113" spans="1:6" x14ac:dyDescent="0.2">
      <c r="B113" s="43" t="s">
        <v>31</v>
      </c>
      <c r="C113" s="51">
        <f>IF(F3="1",SUMIF(Data!A:A,$A$2,Data!U:U),0)</f>
        <v>1553166</v>
      </c>
      <c r="D113" s="52"/>
      <c r="E113" s="51">
        <f>IF(F3="1",SUMIF(Data!A:A,$A$2,Data!AB:AB),0)</f>
        <v>251582</v>
      </c>
      <c r="F113" s="49">
        <f t="shared" si="7"/>
        <v>1804748</v>
      </c>
    </row>
    <row r="114" spans="1:6" x14ac:dyDescent="0.2">
      <c r="B114" s="43" t="s">
        <v>1021</v>
      </c>
      <c r="C114" s="51">
        <f>IF(F3="1",SUMIF(Data!A:A,$A$2,Data!T:T),0)</f>
        <v>2517992</v>
      </c>
      <c r="D114" s="52"/>
      <c r="E114" s="51">
        <f>IF(F3="1",SUMIF(Data!A:A,$A$2,Data!AA:AA),0)</f>
        <v>1375870</v>
      </c>
      <c r="F114" s="49">
        <f t="shared" si="7"/>
        <v>3893862</v>
      </c>
    </row>
    <row r="115" spans="1:6" x14ac:dyDescent="0.2">
      <c r="B115" s="43" t="s">
        <v>937</v>
      </c>
      <c r="C115" s="51">
        <f>IF(F3="1",SUMIF(Data!A:A,$A$2,Data!BI:BI),0)</f>
        <v>736553</v>
      </c>
      <c r="D115" s="51">
        <f>IF(F3="1",SUMIF(Data!A:A,$A$2,Data!BL:BL),0)</f>
        <v>272852</v>
      </c>
      <c r="E115" s="51">
        <f>IF(F3="1",SUMIF(Data!A:A,$A$2,Data!BU:BU),0)</f>
        <v>3490706</v>
      </c>
      <c r="F115" s="49">
        <f t="shared" si="7"/>
        <v>4500111</v>
      </c>
    </row>
    <row r="116" spans="1:6" x14ac:dyDescent="0.2">
      <c r="B116" s="43" t="s">
        <v>33</v>
      </c>
      <c r="C116" s="51">
        <f>IF(F3="1",SUMIF(Data!A:A,$A$2,Data!X:X),0)</f>
        <v>0</v>
      </c>
      <c r="D116" s="51"/>
      <c r="E116" s="51">
        <f>E102</f>
        <v>45210</v>
      </c>
      <c r="F116" s="49">
        <f t="shared" si="7"/>
        <v>45210</v>
      </c>
    </row>
    <row r="117" spans="1:6" ht="15" thickBot="1" x14ac:dyDescent="0.25">
      <c r="B117" s="44" t="s">
        <v>941</v>
      </c>
      <c r="C117" s="53"/>
      <c r="D117" s="53">
        <f>IF(F3="1",SUMIF(Data!A:A,$A$2,Data!Q:Q),0)</f>
        <v>785677</v>
      </c>
      <c r="E117" s="53"/>
      <c r="F117" s="50">
        <f>SUM(C117:E117)</f>
        <v>785677</v>
      </c>
    </row>
    <row r="118" spans="1:6" x14ac:dyDescent="0.2">
      <c r="B118" s="14" t="s">
        <v>35</v>
      </c>
      <c r="C118" s="5">
        <f>SUM(C109:C116)</f>
        <v>19427154</v>
      </c>
      <c r="D118" s="5">
        <f>SUM(D109:D116)</f>
        <v>1565403</v>
      </c>
      <c r="E118" s="5">
        <f>SUM(E109:E116)</f>
        <v>8695651</v>
      </c>
      <c r="F118" s="5">
        <f>SUM(F109:F116)</f>
        <v>29688208</v>
      </c>
    </row>
    <row r="119" spans="1:6" ht="15" thickBot="1" x14ac:dyDescent="0.25"/>
    <row r="120" spans="1:6" ht="15" thickBot="1" x14ac:dyDescent="0.25">
      <c r="B120" s="57" t="s">
        <v>942</v>
      </c>
      <c r="C120" s="55"/>
      <c r="D120" s="55"/>
      <c r="E120" s="55">
        <f>IF(F3="1",SUMIF(Data!A:A,'28'!$A$2,Data!AM:AM),0)</f>
        <v>569380</v>
      </c>
      <c r="F120" s="56">
        <f>SUM(C120:E120)</f>
        <v>569380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384</v>
      </c>
      <c r="B2" s="60" t="str">
        <f>VLOOKUP(A2,Data!A:G,7,0)</f>
        <v>Navarro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19696</v>
      </c>
      <c r="E5" s="16">
        <f>E36+E67+IFERROR($E$105/$D$105*D5,0)</f>
        <v>132332.92823500629</v>
      </c>
      <c r="F5" s="21">
        <f>IF(OR(D5=0,E5=0),"",ROUND(E5/D5,2))</f>
        <v>6.72</v>
      </c>
    </row>
    <row r="6" spans="1:6" x14ac:dyDescent="0.2">
      <c r="A6" s="20">
        <v>2</v>
      </c>
      <c r="B6" s="172" t="s">
        <v>1</v>
      </c>
      <c r="C6" s="173"/>
      <c r="D6" s="15">
        <f t="shared" ref="D6:D32" si="0">D37</f>
        <v>3014</v>
      </c>
      <c r="E6" s="18">
        <f t="shared" ref="E6:E32" si="1">E37+E68+IFERROR($E$105/$D$105*D6,0)</f>
        <v>7399.5978726801868</v>
      </c>
      <c r="F6" s="22">
        <f t="shared" ref="F6:F33" si="2">IF(OR(D6=0,E6=0),"",ROUND(E6/D6,2))</f>
        <v>2.46</v>
      </c>
    </row>
    <row r="7" spans="1:6" ht="14.25" customHeight="1" x14ac:dyDescent="0.2">
      <c r="A7" s="20">
        <v>3</v>
      </c>
      <c r="B7" s="172" t="s">
        <v>2</v>
      </c>
      <c r="C7" s="173"/>
      <c r="D7" s="15">
        <f t="shared" si="0"/>
        <v>369456</v>
      </c>
      <c r="E7" s="18">
        <f t="shared" si="1"/>
        <v>1852195.9454707801</v>
      </c>
      <c r="F7" s="22">
        <f t="shared" si="2"/>
        <v>5.01</v>
      </c>
    </row>
    <row r="8" spans="1:6" ht="14.25" customHeight="1" x14ac:dyDescent="0.2">
      <c r="A8" s="20">
        <v>4</v>
      </c>
      <c r="B8" s="172" t="s">
        <v>3</v>
      </c>
      <c r="C8" s="173"/>
      <c r="D8" s="15">
        <f t="shared" si="0"/>
        <v>338568</v>
      </c>
      <c r="E8" s="18">
        <f t="shared" si="1"/>
        <v>1874681.3147171817</v>
      </c>
      <c r="F8" s="22">
        <f t="shared" si="2"/>
        <v>5.54</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10110</v>
      </c>
      <c r="E10" s="18">
        <f t="shared" si="1"/>
        <v>101910.47859747734</v>
      </c>
      <c r="F10" s="22">
        <f t="shared" si="2"/>
        <v>10.08</v>
      </c>
    </row>
    <row r="11" spans="1:6" x14ac:dyDescent="0.2">
      <c r="A11" s="20">
        <v>7</v>
      </c>
      <c r="B11" s="172" t="s">
        <v>6</v>
      </c>
      <c r="C11" s="173"/>
      <c r="D11" s="15">
        <f t="shared" si="0"/>
        <v>309816</v>
      </c>
      <c r="E11" s="18">
        <f t="shared" si="1"/>
        <v>1239400.0539224567</v>
      </c>
      <c r="F11" s="22">
        <f t="shared" si="2"/>
        <v>4</v>
      </c>
    </row>
    <row r="12" spans="1:6" x14ac:dyDescent="0.2">
      <c r="A12" s="20">
        <v>8</v>
      </c>
      <c r="B12" s="172" t="s">
        <v>7</v>
      </c>
      <c r="C12" s="173"/>
      <c r="D12" s="15">
        <f t="shared" si="0"/>
        <v>2384</v>
      </c>
      <c r="E12" s="18">
        <f t="shared" si="1"/>
        <v>10562.34549716973</v>
      </c>
      <c r="F12" s="22">
        <f t="shared" si="2"/>
        <v>4.43</v>
      </c>
    </row>
    <row r="13" spans="1:6" x14ac:dyDescent="0.2">
      <c r="A13" s="20">
        <v>9</v>
      </c>
      <c r="B13" s="172" t="s">
        <v>8</v>
      </c>
      <c r="C13" s="173"/>
      <c r="D13" s="15">
        <f t="shared" si="0"/>
        <v>395208</v>
      </c>
      <c r="E13" s="18">
        <f t="shared" si="1"/>
        <v>1207479.1473345028</v>
      </c>
      <c r="F13" s="22">
        <f t="shared" si="2"/>
        <v>3.06</v>
      </c>
    </row>
    <row r="14" spans="1:6" x14ac:dyDescent="0.2">
      <c r="A14" s="20">
        <v>10</v>
      </c>
      <c r="B14" s="172" t="s">
        <v>9</v>
      </c>
      <c r="C14" s="173"/>
      <c r="D14" s="15">
        <f t="shared" si="0"/>
        <v>672</v>
      </c>
      <c r="E14" s="18">
        <f t="shared" si="1"/>
        <v>12997.869200544488</v>
      </c>
      <c r="F14" s="22">
        <f t="shared" si="2"/>
        <v>19.34</v>
      </c>
    </row>
    <row r="15" spans="1:6" x14ac:dyDescent="0.2">
      <c r="A15" s="20">
        <v>11</v>
      </c>
      <c r="B15" s="172" t="s">
        <v>10</v>
      </c>
      <c r="C15" s="173"/>
      <c r="D15" s="15">
        <f t="shared" si="0"/>
        <v>29768</v>
      </c>
      <c r="E15" s="18">
        <f t="shared" si="1"/>
        <v>188640.5154193576</v>
      </c>
      <c r="F15" s="22">
        <f t="shared" si="2"/>
        <v>6.34</v>
      </c>
    </row>
    <row r="16" spans="1:6" ht="14.25" customHeight="1" x14ac:dyDescent="0.2">
      <c r="A16" s="20">
        <v>12</v>
      </c>
      <c r="B16" s="172" t="s">
        <v>11</v>
      </c>
      <c r="C16" s="173"/>
      <c r="D16" s="15">
        <f t="shared" si="0"/>
        <v>554016</v>
      </c>
      <c r="E16" s="18">
        <f t="shared" si="1"/>
        <v>2818768.4509060341</v>
      </c>
      <c r="F16" s="22">
        <f t="shared" si="2"/>
        <v>5.09</v>
      </c>
    </row>
    <row r="17" spans="1:6" x14ac:dyDescent="0.2">
      <c r="A17" s="20">
        <v>13</v>
      </c>
      <c r="B17" s="172" t="s">
        <v>12</v>
      </c>
      <c r="C17" s="173"/>
      <c r="D17" s="15">
        <f t="shared" si="0"/>
        <v>61264</v>
      </c>
      <c r="E17" s="18">
        <f t="shared" si="1"/>
        <v>239615.40878297246</v>
      </c>
      <c r="F17" s="22">
        <f t="shared" si="2"/>
        <v>3.91</v>
      </c>
    </row>
    <row r="18" spans="1:6" ht="14.25" customHeight="1" x14ac:dyDescent="0.2">
      <c r="A18" s="20">
        <v>14</v>
      </c>
      <c r="B18" s="172" t="s">
        <v>469</v>
      </c>
      <c r="C18" s="173"/>
      <c r="D18" s="15">
        <f t="shared" si="0"/>
        <v>110424</v>
      </c>
      <c r="E18" s="18">
        <f t="shared" si="1"/>
        <v>955679.72113232815</v>
      </c>
      <c r="F18" s="22">
        <f t="shared" si="2"/>
        <v>8.65</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196427</v>
      </c>
      <c r="E20" s="18">
        <f t="shared" si="1"/>
        <v>866546.62121332157</v>
      </c>
      <c r="F20" s="22">
        <f t="shared" si="2"/>
        <v>4.41</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105008</v>
      </c>
      <c r="E22" s="18">
        <f t="shared" si="1"/>
        <v>852432.51340889221</v>
      </c>
      <c r="F22" s="22">
        <f t="shared" si="2"/>
        <v>8.1199999999999992</v>
      </c>
    </row>
    <row r="23" spans="1:6" x14ac:dyDescent="0.2">
      <c r="A23" s="20">
        <v>19</v>
      </c>
      <c r="B23" s="172" t="s">
        <v>17</v>
      </c>
      <c r="C23" s="173"/>
      <c r="D23" s="15">
        <f t="shared" si="0"/>
        <v>380272</v>
      </c>
      <c r="E23" s="18">
        <f t="shared" si="1"/>
        <v>1915113.45927002</v>
      </c>
      <c r="F23" s="22">
        <f t="shared" si="2"/>
        <v>5.04</v>
      </c>
    </row>
    <row r="24" spans="1:6" x14ac:dyDescent="0.2">
      <c r="A24" s="20">
        <v>20</v>
      </c>
      <c r="B24" s="172" t="s">
        <v>18</v>
      </c>
      <c r="C24" s="173"/>
      <c r="D24" s="15">
        <f t="shared" si="0"/>
        <v>628</v>
      </c>
      <c r="E24" s="18">
        <f t="shared" si="1"/>
        <v>3981.8896695564554</v>
      </c>
      <c r="F24" s="22">
        <f t="shared" si="2"/>
        <v>6.34</v>
      </c>
    </row>
    <row r="25" spans="1:6" ht="14.25" customHeight="1" x14ac:dyDescent="0.2">
      <c r="A25" s="20">
        <v>21</v>
      </c>
      <c r="B25" s="172" t="s">
        <v>466</v>
      </c>
      <c r="C25" s="173"/>
      <c r="D25" s="15">
        <f t="shared" si="0"/>
        <v>29880</v>
      </c>
      <c r="E25" s="18">
        <f t="shared" si="1"/>
        <v>189343.82695278167</v>
      </c>
      <c r="F25" s="22">
        <f t="shared" si="2"/>
        <v>6.34</v>
      </c>
    </row>
    <row r="26" spans="1:6" x14ac:dyDescent="0.2">
      <c r="A26" s="20">
        <v>22</v>
      </c>
      <c r="B26" s="172" t="s">
        <v>19</v>
      </c>
      <c r="C26" s="173"/>
      <c r="D26" s="15">
        <f t="shared" si="0"/>
        <v>3488</v>
      </c>
      <c r="E26" s="18">
        <f t="shared" si="1"/>
        <v>9888.5591837785305</v>
      </c>
      <c r="F26" s="22">
        <f t="shared" si="2"/>
        <v>2.84</v>
      </c>
    </row>
    <row r="27" spans="1:6" x14ac:dyDescent="0.2">
      <c r="A27" s="20">
        <v>23</v>
      </c>
      <c r="B27" s="172" t="s">
        <v>20</v>
      </c>
      <c r="C27" s="173"/>
      <c r="D27" s="15">
        <f t="shared" si="0"/>
        <v>151824</v>
      </c>
      <c r="E27" s="18">
        <f t="shared" si="1"/>
        <v>814950.73438015813</v>
      </c>
      <c r="F27" s="22">
        <f t="shared" si="2"/>
        <v>5.37</v>
      </c>
    </row>
    <row r="28" spans="1:6" x14ac:dyDescent="0.2">
      <c r="A28" s="20">
        <v>24</v>
      </c>
      <c r="B28" s="172" t="s">
        <v>21</v>
      </c>
      <c r="C28" s="173"/>
      <c r="D28" s="15">
        <f t="shared" si="0"/>
        <v>258230</v>
      </c>
      <c r="E28" s="18">
        <f t="shared" si="1"/>
        <v>979010.77925089735</v>
      </c>
      <c r="F28" s="22">
        <f t="shared" si="2"/>
        <v>3.79</v>
      </c>
    </row>
    <row r="29" spans="1:6" x14ac:dyDescent="0.2">
      <c r="A29" s="20">
        <v>25</v>
      </c>
      <c r="B29" s="172" t="s">
        <v>22</v>
      </c>
      <c r="C29" s="173"/>
      <c r="D29" s="15">
        <f t="shared" si="0"/>
        <v>510832</v>
      </c>
      <c r="E29" s="18">
        <f t="shared" si="1"/>
        <v>2442561.9039472346</v>
      </c>
      <c r="F29" s="22">
        <f t="shared" si="2"/>
        <v>4.78</v>
      </c>
    </row>
    <row r="30" spans="1:6" x14ac:dyDescent="0.2">
      <c r="A30" s="20">
        <v>26</v>
      </c>
      <c r="B30" s="172" t="s">
        <v>23</v>
      </c>
      <c r="C30" s="173"/>
      <c r="D30" s="15">
        <f t="shared" si="0"/>
        <v>160576</v>
      </c>
      <c r="E30" s="18">
        <f t="shared" si="1"/>
        <v>951239.93563486845</v>
      </c>
      <c r="F30" s="22">
        <f t="shared" si="2"/>
        <v>5.92</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4001561</v>
      </c>
      <c r="E33" s="32">
        <f>SUM(E5:E32)</f>
        <v>19666734</v>
      </c>
      <c r="F33" s="33">
        <f t="shared" si="2"/>
        <v>4.91</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IF(F3="1",SUMIF(Data!A:A,'29'!$A$2,Data!CU:CU),0)</f>
        <v>19696</v>
      </c>
      <c r="E36" s="16">
        <f>IF(F3="1",SUMIF(Data!$A:$A,'29'!$A$2,Data!IO:IO),0)</f>
        <v>24085</v>
      </c>
      <c r="F36" s="21">
        <f>IF(D36=0,"",ROUND(E36/D36,2))</f>
        <v>1.22</v>
      </c>
    </row>
    <row r="37" spans="1:6" x14ac:dyDescent="0.2">
      <c r="A37" s="20">
        <v>2</v>
      </c>
      <c r="B37" s="172" t="s">
        <v>1</v>
      </c>
      <c r="C37" s="173"/>
      <c r="D37" s="15">
        <f>IF(F3="1",SUMIF(Data!A:A,'29'!$A$2,Data!CV:CV),0)</f>
        <v>3014</v>
      </c>
      <c r="E37" s="18">
        <f>IF(F3="1",SUMIF(Data!$A:$A,'29'!$A$2,Data!IP:IP),0)</f>
        <v>0</v>
      </c>
      <c r="F37" s="22">
        <f t="shared" ref="F37:F64" si="3">IF(D37=0,"",ROUND(E37/D37,2))</f>
        <v>0</v>
      </c>
    </row>
    <row r="38" spans="1:6" ht="14.25" customHeight="1" x14ac:dyDescent="0.2">
      <c r="A38" s="20">
        <v>3</v>
      </c>
      <c r="B38" s="172" t="s">
        <v>2</v>
      </c>
      <c r="C38" s="173"/>
      <c r="D38" s="15">
        <f>IF(F3="1",SUMIF(Data!A:A,'29'!$A$2,Data!CW:CW),0)</f>
        <v>369456</v>
      </c>
      <c r="E38" s="18">
        <f>IF(F3="1",SUMIF(Data!$A:$A,'29'!$A$2,Data!IQ:IQ),0)</f>
        <v>122283</v>
      </c>
      <c r="F38" s="22">
        <f t="shared" si="3"/>
        <v>0.33</v>
      </c>
    </row>
    <row r="39" spans="1:6" ht="14.25" customHeight="1" x14ac:dyDescent="0.2">
      <c r="A39" s="20">
        <v>4</v>
      </c>
      <c r="B39" s="172" t="s">
        <v>3</v>
      </c>
      <c r="C39" s="173"/>
      <c r="D39" s="15">
        <f>IF(F3="1",SUMIF(Data!A:A,'29'!$A$2,Data!CX:CX),0)</f>
        <v>338568</v>
      </c>
      <c r="E39" s="18">
        <f>IF(F3="1",SUMIF(Data!$A:$A,'29'!$A$2,Data!IR:IR),0)</f>
        <v>119864</v>
      </c>
      <c r="F39" s="22">
        <f t="shared" si="3"/>
        <v>0.35</v>
      </c>
    </row>
    <row r="40" spans="1:6" x14ac:dyDescent="0.2">
      <c r="A40" s="20">
        <v>5</v>
      </c>
      <c r="B40" s="172" t="s">
        <v>4</v>
      </c>
      <c r="C40" s="173"/>
      <c r="D40" s="15">
        <f>IF(F3="1",SUMIF(Data!A:A,'29'!$A$2,Data!CY:CY),0)</f>
        <v>0</v>
      </c>
      <c r="E40" s="18">
        <f>IF(F3="1",SUMIF(Data!$A:$A,'29'!$A$2,Data!IS:IS),0)</f>
        <v>0</v>
      </c>
      <c r="F40" s="22" t="str">
        <f t="shared" si="3"/>
        <v/>
      </c>
    </row>
    <row r="41" spans="1:6" x14ac:dyDescent="0.2">
      <c r="A41" s="20">
        <v>6</v>
      </c>
      <c r="B41" s="172" t="s">
        <v>5</v>
      </c>
      <c r="C41" s="173"/>
      <c r="D41" s="15">
        <f>IF(F3="1",SUMIF(Data!A:A,'29'!$A$2,Data!CZ:CZ),0)</f>
        <v>10110</v>
      </c>
      <c r="E41" s="18">
        <f>IF(F3="1",SUMIF(Data!$A:$A,'29'!$A$2,Data!IT:IT),0)</f>
        <v>9163</v>
      </c>
      <c r="F41" s="22">
        <f t="shared" si="3"/>
        <v>0.91</v>
      </c>
    </row>
    <row r="42" spans="1:6" x14ac:dyDescent="0.2">
      <c r="A42" s="20">
        <v>7</v>
      </c>
      <c r="B42" s="172" t="s">
        <v>6</v>
      </c>
      <c r="C42" s="173"/>
      <c r="D42" s="15">
        <f>IF(F3="1",SUMIF(Data!A:A,'29'!$A$2,Data!DA:DA),0)</f>
        <v>309816</v>
      </c>
      <c r="E42" s="18">
        <f>IF(F3="1",SUMIF(Data!$A:$A,'29'!$A$2,Data!IU:IU),0)</f>
        <v>58752</v>
      </c>
      <c r="F42" s="22">
        <f t="shared" si="3"/>
        <v>0.19</v>
      </c>
    </row>
    <row r="43" spans="1:6" x14ac:dyDescent="0.2">
      <c r="A43" s="20">
        <v>8</v>
      </c>
      <c r="B43" s="172" t="s">
        <v>7</v>
      </c>
      <c r="C43" s="173"/>
      <c r="D43" s="15">
        <f>IF(F3="1",SUMIF(Data!A:A,'29'!$A$2,Data!DB:DB),0)</f>
        <v>2384</v>
      </c>
      <c r="E43" s="18">
        <f>IF(F3="1",SUMIF(Data!$A:$A,'29'!$A$2,Data!IV:IV),0)</f>
        <v>0</v>
      </c>
      <c r="F43" s="22">
        <f t="shared" si="3"/>
        <v>0</v>
      </c>
    </row>
    <row r="44" spans="1:6" x14ac:dyDescent="0.2">
      <c r="A44" s="20">
        <v>9</v>
      </c>
      <c r="B44" s="172" t="s">
        <v>8</v>
      </c>
      <c r="C44" s="173"/>
      <c r="D44" s="15">
        <f>IF(F3="1",SUMIF(Data!A:A,'29'!$A$2,Data!DC:DC),0)</f>
        <v>395208</v>
      </c>
      <c r="E44" s="18">
        <f>IF(F3="1",SUMIF(Data!$A:$A,'29'!$A$2,Data!IW:IW),0)</f>
        <v>18192</v>
      </c>
      <c r="F44" s="22">
        <f t="shared" si="3"/>
        <v>0.05</v>
      </c>
    </row>
    <row r="45" spans="1:6" x14ac:dyDescent="0.2">
      <c r="A45" s="20">
        <v>10</v>
      </c>
      <c r="B45" s="172" t="s">
        <v>9</v>
      </c>
      <c r="C45" s="173"/>
      <c r="D45" s="15">
        <f>IF(F3="1",SUMIF(Data!A:A,'29'!$A$2,Data!DD:DD),0)</f>
        <v>672</v>
      </c>
      <c r="E45" s="18">
        <f>IF(F3="1",SUMIF(Data!$A:$A,'29'!$A$2,Data!IX:IX),0)</f>
        <v>110</v>
      </c>
      <c r="F45" s="22">
        <f t="shared" si="3"/>
        <v>0.16</v>
      </c>
    </row>
    <row r="46" spans="1:6" x14ac:dyDescent="0.2">
      <c r="A46" s="20">
        <v>11</v>
      </c>
      <c r="B46" s="172" t="s">
        <v>10</v>
      </c>
      <c r="C46" s="173"/>
      <c r="D46" s="15">
        <f>IF(F3="1",SUMIF(Data!A:A,'29'!$A$2,Data!DE:DE),0)</f>
        <v>29768</v>
      </c>
      <c r="E46" s="18">
        <f>IF(F3="1",SUMIF(Data!$A:$A,'29'!$A$2,Data!IY:IY),0)</f>
        <v>63217</v>
      </c>
      <c r="F46" s="22">
        <f t="shared" si="3"/>
        <v>2.12</v>
      </c>
    </row>
    <row r="47" spans="1:6" ht="14.25" customHeight="1" x14ac:dyDescent="0.2">
      <c r="A47" s="20">
        <v>12</v>
      </c>
      <c r="B47" s="172" t="s">
        <v>11</v>
      </c>
      <c r="C47" s="173"/>
      <c r="D47" s="15">
        <f>IF(F3="1",SUMIF(Data!A:A,'29'!$A$2,Data!DF:DF),0)</f>
        <v>554016</v>
      </c>
      <c r="E47" s="18">
        <f>IF(F3="1",SUMIF(Data!$A:$A,'29'!$A$2,Data!IZ:IZ),0)</f>
        <v>67933</v>
      </c>
      <c r="F47" s="22">
        <f t="shared" si="3"/>
        <v>0.12</v>
      </c>
    </row>
    <row r="48" spans="1:6" x14ac:dyDescent="0.2">
      <c r="A48" s="20">
        <v>13</v>
      </c>
      <c r="B48" s="172" t="s">
        <v>12</v>
      </c>
      <c r="C48" s="173"/>
      <c r="D48" s="15">
        <f>IF(F3="1",SUMIF(Data!A:A,'29'!$A$2,Data!DG:DG),0)</f>
        <v>61264</v>
      </c>
      <c r="E48" s="18">
        <f>IF(F3="1",SUMIF(Data!$A:$A,'29'!$A$2,Data!JA:JA),0)</f>
        <v>3594</v>
      </c>
      <c r="F48" s="22">
        <f t="shared" si="3"/>
        <v>0.06</v>
      </c>
    </row>
    <row r="49" spans="1:6" ht="14.25" customHeight="1" x14ac:dyDescent="0.2">
      <c r="A49" s="20">
        <v>14</v>
      </c>
      <c r="B49" s="172" t="s">
        <v>469</v>
      </c>
      <c r="C49" s="173"/>
      <c r="D49" s="15">
        <f>IF(F3="1",SUMIF(Data!A:A,'29'!$A$2,Data!DH:DH),0)</f>
        <v>110424</v>
      </c>
      <c r="E49" s="18">
        <f>IF(F3="1",SUMIF(Data!$A:$A,'29'!$A$2,Data!JB:JB),0)</f>
        <v>78238</v>
      </c>
      <c r="F49" s="22">
        <f t="shared" si="3"/>
        <v>0.71</v>
      </c>
    </row>
    <row r="50" spans="1:6" x14ac:dyDescent="0.2">
      <c r="A50" s="20">
        <v>15</v>
      </c>
      <c r="B50" s="172" t="s">
        <v>13</v>
      </c>
      <c r="C50" s="173"/>
      <c r="D50" s="15">
        <f>IF(F3="1",SUMIF(Data!A:A,'29'!$A$2,Data!DI:DI),0)</f>
        <v>0</v>
      </c>
      <c r="E50" s="18">
        <f>IF(F3="1",SUMIF(Data!$A:$A,'29'!$A$2,Data!JC:JC),0)</f>
        <v>0</v>
      </c>
      <c r="F50" s="22" t="str">
        <f t="shared" si="3"/>
        <v/>
      </c>
    </row>
    <row r="51" spans="1:6" x14ac:dyDescent="0.2">
      <c r="A51" s="20">
        <v>16</v>
      </c>
      <c r="B51" s="172" t="s">
        <v>14</v>
      </c>
      <c r="C51" s="173"/>
      <c r="D51" s="15">
        <f>IF(F3="1",SUMIF(Data!A:A,'29'!$A$2,Data!DJ:DJ),0)</f>
        <v>196427</v>
      </c>
      <c r="E51" s="18">
        <f>IF(F3="1",SUMIF(Data!$A:$A,'29'!$A$2,Data!JD:JD),0)</f>
        <v>45328</v>
      </c>
      <c r="F51" s="22">
        <f t="shared" si="3"/>
        <v>0.23</v>
      </c>
    </row>
    <row r="52" spans="1:6" x14ac:dyDescent="0.2">
      <c r="A52" s="20">
        <v>17</v>
      </c>
      <c r="B52" s="172" t="s">
        <v>15</v>
      </c>
      <c r="C52" s="173"/>
      <c r="D52" s="15">
        <f>IF(F3="1",SUMIF(Data!A:A,'29'!$A$2,Data!DK:DK),0)</f>
        <v>0</v>
      </c>
      <c r="E52" s="18">
        <f>IF(F3="1",SUMIF(Data!$A:$A,'29'!$A$2,Data!JE:JE),0)</f>
        <v>0</v>
      </c>
      <c r="F52" s="22" t="str">
        <f t="shared" si="3"/>
        <v/>
      </c>
    </row>
    <row r="53" spans="1:6" x14ac:dyDescent="0.2">
      <c r="A53" s="20">
        <v>18</v>
      </c>
      <c r="B53" s="172" t="s">
        <v>16</v>
      </c>
      <c r="C53" s="173"/>
      <c r="D53" s="15">
        <f>IF(F3="1",SUMIF(Data!A:A,'29'!$A$2,Data!DL:DL),0)</f>
        <v>105008</v>
      </c>
      <c r="E53" s="18">
        <f>IF(F3="1",SUMIF(Data!$A:$A,'29'!$A$2,Data!JF:JF),0)</f>
        <v>77597</v>
      </c>
      <c r="F53" s="22">
        <f t="shared" si="3"/>
        <v>0.74</v>
      </c>
    </row>
    <row r="54" spans="1:6" x14ac:dyDescent="0.2">
      <c r="A54" s="20">
        <v>19</v>
      </c>
      <c r="B54" s="172" t="s">
        <v>17</v>
      </c>
      <c r="C54" s="173"/>
      <c r="D54" s="15">
        <f>IF(F3="1",SUMIF(Data!A:A,'29'!$A$2,Data!DM:DM),0)</f>
        <v>380272</v>
      </c>
      <c r="E54" s="18">
        <f>IF(F3="1",SUMIF(Data!$A:$A,'29'!$A$2,Data!JG:JG),0)</f>
        <v>34337</v>
      </c>
      <c r="F54" s="22">
        <f t="shared" si="3"/>
        <v>0.09</v>
      </c>
    </row>
    <row r="55" spans="1:6" x14ac:dyDescent="0.2">
      <c r="A55" s="20">
        <v>20</v>
      </c>
      <c r="B55" s="172" t="s">
        <v>18</v>
      </c>
      <c r="C55" s="173"/>
      <c r="D55" s="15">
        <f>IF(F3="1",SUMIF(Data!A:A,'29'!$A$2,Data!DN:DN),0)</f>
        <v>628</v>
      </c>
      <c r="E55" s="18">
        <f>IF(F3="1",SUMIF(Data!$A:$A,'29'!$A$2,Data!JH:JH),0)</f>
        <v>282</v>
      </c>
      <c r="F55" s="22">
        <f t="shared" si="3"/>
        <v>0.45</v>
      </c>
    </row>
    <row r="56" spans="1:6" ht="14.25" customHeight="1" x14ac:dyDescent="0.2">
      <c r="A56" s="20">
        <v>21</v>
      </c>
      <c r="B56" s="172" t="s">
        <v>466</v>
      </c>
      <c r="C56" s="173"/>
      <c r="D56" s="15">
        <f>IF(F3="1",SUMIF(Data!A:A,'29'!$A$2,Data!DO:DO),0)</f>
        <v>29880</v>
      </c>
      <c r="E56" s="18">
        <f>IF(F3="1",SUMIF(Data!$A:$A,'29'!$A$2,Data!JI:JI),0)</f>
        <v>13383</v>
      </c>
      <c r="F56" s="22">
        <f t="shared" si="3"/>
        <v>0.45</v>
      </c>
    </row>
    <row r="57" spans="1:6" x14ac:dyDescent="0.2">
      <c r="A57" s="20">
        <v>22</v>
      </c>
      <c r="B57" s="172" t="s">
        <v>19</v>
      </c>
      <c r="C57" s="173"/>
      <c r="D57" s="15">
        <f>IF(F3="1",SUMIF(Data!A:A,'29'!$A$2,Data!DP:DP),0)</f>
        <v>3488</v>
      </c>
      <c r="E57" s="18">
        <f>IF(F3="1",SUMIF(Data!$A:$A,'29'!$A$2,Data!JJ:JJ),0)</f>
        <v>349</v>
      </c>
      <c r="F57" s="22">
        <f t="shared" si="3"/>
        <v>0.1</v>
      </c>
    </row>
    <row r="58" spans="1:6" x14ac:dyDescent="0.2">
      <c r="A58" s="20">
        <v>23</v>
      </c>
      <c r="B58" s="172" t="s">
        <v>20</v>
      </c>
      <c r="C58" s="173"/>
      <c r="D58" s="15">
        <f>IF(F3="1",SUMIF(Data!A:A,'29'!$A$2,Data!DQ:DQ),0)</f>
        <v>151824</v>
      </c>
      <c r="E58" s="18">
        <f>IF(F3="1",SUMIF(Data!$A:$A,'29'!$A$2,Data!JK:JK),0)</f>
        <v>48752</v>
      </c>
      <c r="F58" s="22">
        <f t="shared" si="3"/>
        <v>0.32</v>
      </c>
    </row>
    <row r="59" spans="1:6" x14ac:dyDescent="0.2">
      <c r="A59" s="20">
        <v>24</v>
      </c>
      <c r="B59" s="172" t="s">
        <v>21</v>
      </c>
      <c r="C59" s="173"/>
      <c r="D59" s="15">
        <f>IF(F3="1",SUMIF(Data!A:A,'29'!$A$2,Data!DR:DR),0)</f>
        <v>258230</v>
      </c>
      <c r="E59" s="18">
        <f>IF(F3="1",SUMIF(Data!$A:$A,'29'!$A$2,Data!JL:JL),0)</f>
        <v>51938</v>
      </c>
      <c r="F59" s="22">
        <f t="shared" si="3"/>
        <v>0.2</v>
      </c>
    </row>
    <row r="60" spans="1:6" x14ac:dyDescent="0.2">
      <c r="A60" s="20">
        <v>25</v>
      </c>
      <c r="B60" s="172" t="s">
        <v>22</v>
      </c>
      <c r="C60" s="173"/>
      <c r="D60" s="15">
        <f>IF(F3="1",SUMIF(Data!A:A,'29'!$A$2,Data!DS:DS),0)</f>
        <v>510832</v>
      </c>
      <c r="E60" s="18">
        <f>IF(F3="1",SUMIF(Data!$A:$A,'29'!$A$2,Data!JM:JM),0)</f>
        <v>32727</v>
      </c>
      <c r="F60" s="22">
        <f t="shared" si="3"/>
        <v>0.06</v>
      </c>
    </row>
    <row r="61" spans="1:6" x14ac:dyDescent="0.2">
      <c r="A61" s="20">
        <v>26</v>
      </c>
      <c r="B61" s="172" t="s">
        <v>23</v>
      </c>
      <c r="C61" s="173"/>
      <c r="D61" s="15">
        <f>IF(F3="1",SUMIF(Data!A:A,'29'!$A$2,Data!DT:DT),0)</f>
        <v>160576</v>
      </c>
      <c r="E61" s="18">
        <f>IF(F3="1",SUMIF(Data!$A:$A,'29'!$A$2,Data!JN:JN),0)</f>
        <v>72803</v>
      </c>
      <c r="F61" s="22">
        <f t="shared" si="3"/>
        <v>0.45</v>
      </c>
    </row>
    <row r="62" spans="1:6" x14ac:dyDescent="0.2">
      <c r="A62" s="20">
        <v>28</v>
      </c>
      <c r="B62" s="172" t="s">
        <v>24</v>
      </c>
      <c r="C62" s="173"/>
      <c r="D62" s="15">
        <f>IF(F3="1",SUMIF(Data!A:A,'29'!$A$2,Data!DV:DV),0)</f>
        <v>0</v>
      </c>
      <c r="E62" s="18">
        <f>IF(F3="1",SUMIF(Data!$A:$A,'29'!$A$2,Data!JP:JP),0)</f>
        <v>0</v>
      </c>
      <c r="F62" s="22" t="str">
        <f t="shared" si="3"/>
        <v/>
      </c>
    </row>
    <row r="63" spans="1:6" ht="15.75" customHeight="1" thickBot="1" x14ac:dyDescent="0.25">
      <c r="A63" s="23">
        <v>29</v>
      </c>
      <c r="B63" s="174" t="s">
        <v>25</v>
      </c>
      <c r="C63" s="175"/>
      <c r="D63" s="24">
        <f>IF(F3="1",SUMIF(Data!A:A,'29'!$A$2,Data!DW:DW),0)</f>
        <v>0</v>
      </c>
      <c r="E63" s="25">
        <f>IF(F3="1",SUMIF(Data!$A:$A,'29'!$A$2,Data!JQ:JQ),0)</f>
        <v>0</v>
      </c>
      <c r="F63" s="26" t="str">
        <f t="shared" si="3"/>
        <v/>
      </c>
    </row>
    <row r="64" spans="1:6" x14ac:dyDescent="0.2">
      <c r="B64" s="31" t="s">
        <v>35</v>
      </c>
      <c r="C64" s="31"/>
      <c r="D64" s="61">
        <f>SUM(D36:D63)</f>
        <v>4001561</v>
      </c>
      <c r="E64" s="32">
        <f>SUM(E36:E63)</f>
        <v>942927</v>
      </c>
      <c r="F64" s="33">
        <f t="shared" si="3"/>
        <v>0.24</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19696</v>
      </c>
      <c r="E67" s="16">
        <f>IF(F3="1",SUMIF(Data!A:A,'29'!$A$2,Data!DY:DY),0)</f>
        <v>65284</v>
      </c>
      <c r="F67" s="21">
        <f t="shared" ref="F67:F95" si="4">IF(D67=0,"",ROUND(E67/D67,2))</f>
        <v>3.31</v>
      </c>
    </row>
    <row r="68" spans="1:6" x14ac:dyDescent="0.2">
      <c r="A68" s="20">
        <v>2</v>
      </c>
      <c r="B68" s="172" t="s">
        <v>1</v>
      </c>
      <c r="C68" s="173"/>
      <c r="D68" s="15">
        <f t="shared" ref="D68:D94" si="5">D37</f>
        <v>3014</v>
      </c>
      <c r="E68" s="18">
        <f>IF(F3="1",SUMIF(Data!A:A,'29'!$A$2,Data!DZ:DZ),0)</f>
        <v>825</v>
      </c>
      <c r="F68" s="22">
        <f t="shared" si="4"/>
        <v>0.27</v>
      </c>
    </row>
    <row r="69" spans="1:6" ht="14.25" customHeight="1" x14ac:dyDescent="0.2">
      <c r="A69" s="20">
        <v>3</v>
      </c>
      <c r="B69" s="172" t="s">
        <v>2</v>
      </c>
      <c r="C69" s="173"/>
      <c r="D69" s="15">
        <f t="shared" si="5"/>
        <v>369456</v>
      </c>
      <c r="E69" s="18">
        <f>IF(F3="1",SUMIF(Data!A:A,'29'!$A$2,Data!EA:EA),0)</f>
        <v>923999</v>
      </c>
      <c r="F69" s="22">
        <f t="shared" si="4"/>
        <v>2.5</v>
      </c>
    </row>
    <row r="70" spans="1:6" ht="14.25" customHeight="1" x14ac:dyDescent="0.2">
      <c r="A70" s="20">
        <v>4</v>
      </c>
      <c r="B70" s="172" t="s">
        <v>3</v>
      </c>
      <c r="C70" s="173"/>
      <c r="D70" s="15">
        <f t="shared" si="5"/>
        <v>338568</v>
      </c>
      <c r="E70" s="18">
        <f>IF(F3="1",SUMIF(Data!A:A,'29'!$A$2,Data!EB:EB),0)</f>
        <v>1016281</v>
      </c>
      <c r="F70" s="22">
        <f t="shared" si="4"/>
        <v>3</v>
      </c>
    </row>
    <row r="71" spans="1:6" x14ac:dyDescent="0.2">
      <c r="A71" s="20">
        <v>5</v>
      </c>
      <c r="B71" s="172" t="s">
        <v>4</v>
      </c>
      <c r="C71" s="173"/>
      <c r="D71" s="15">
        <f t="shared" si="5"/>
        <v>0</v>
      </c>
      <c r="E71" s="18">
        <f>IF(F3="1",SUMIF(Data!A:A,'29'!$A$2,Data!EC:EC),0)</f>
        <v>0</v>
      </c>
      <c r="F71" s="22" t="str">
        <f t="shared" si="4"/>
        <v/>
      </c>
    </row>
    <row r="72" spans="1:6" x14ac:dyDescent="0.2">
      <c r="A72" s="20">
        <v>6</v>
      </c>
      <c r="B72" s="172" t="s">
        <v>5</v>
      </c>
      <c r="C72" s="173"/>
      <c r="D72" s="15">
        <f t="shared" si="5"/>
        <v>10110</v>
      </c>
      <c r="E72" s="18">
        <f>IF(F3="1",SUMIF(Data!A:A,'29'!$A$2,Data!ED:ED),0)</f>
        <v>70694</v>
      </c>
      <c r="F72" s="22">
        <f t="shared" si="4"/>
        <v>6.99</v>
      </c>
    </row>
    <row r="73" spans="1:6" x14ac:dyDescent="0.2">
      <c r="A73" s="20">
        <v>7</v>
      </c>
      <c r="B73" s="172" t="s">
        <v>6</v>
      </c>
      <c r="C73" s="173"/>
      <c r="D73" s="15">
        <f t="shared" si="5"/>
        <v>309816</v>
      </c>
      <c r="E73" s="18">
        <f>IF(F3="1",SUMIF(Data!A:A,'29'!$A$2,Data!EE:EE),0)</f>
        <v>504830</v>
      </c>
      <c r="F73" s="22">
        <f t="shared" si="4"/>
        <v>1.63</v>
      </c>
    </row>
    <row r="74" spans="1:6" x14ac:dyDescent="0.2">
      <c r="A74" s="20">
        <v>8</v>
      </c>
      <c r="B74" s="172" t="s">
        <v>7</v>
      </c>
      <c r="C74" s="173"/>
      <c r="D74" s="15">
        <f t="shared" si="5"/>
        <v>2384</v>
      </c>
      <c r="E74" s="18">
        <f>IF(F3="1",SUMIF(Data!A:A,'29'!$A$2,Data!EF:EF),0)</f>
        <v>5362</v>
      </c>
      <c r="F74" s="22">
        <f t="shared" si="4"/>
        <v>2.25</v>
      </c>
    </row>
    <row r="75" spans="1:6" x14ac:dyDescent="0.2">
      <c r="A75" s="20">
        <v>9</v>
      </c>
      <c r="B75" s="172" t="s">
        <v>8</v>
      </c>
      <c r="C75" s="173"/>
      <c r="D75" s="15">
        <f t="shared" si="5"/>
        <v>395208</v>
      </c>
      <c r="E75" s="18">
        <f>IF(F3="1",SUMIF(Data!A:A,'29'!$A$2,Data!EG:EG),0)</f>
        <v>327199</v>
      </c>
      <c r="F75" s="22">
        <f t="shared" si="4"/>
        <v>0.83</v>
      </c>
    </row>
    <row r="76" spans="1:6" x14ac:dyDescent="0.2">
      <c r="A76" s="20">
        <v>10</v>
      </c>
      <c r="B76" s="172" t="s">
        <v>9</v>
      </c>
      <c r="C76" s="173"/>
      <c r="D76" s="15">
        <f t="shared" si="5"/>
        <v>672</v>
      </c>
      <c r="E76" s="18">
        <f>IF(F3="1",SUMIF(Data!A:A,'29'!$A$2,Data!EH:EH),0)</f>
        <v>11422</v>
      </c>
      <c r="F76" s="22">
        <f t="shared" si="4"/>
        <v>17</v>
      </c>
    </row>
    <row r="77" spans="1:6" x14ac:dyDescent="0.2">
      <c r="A77" s="20">
        <v>11</v>
      </c>
      <c r="B77" s="172" t="s">
        <v>10</v>
      </c>
      <c r="C77" s="173"/>
      <c r="D77" s="15">
        <f t="shared" si="5"/>
        <v>29768</v>
      </c>
      <c r="E77" s="18">
        <f>IF(F3="1",SUMIF(Data!A:A,'29'!$A$2,Data!EI:EI),0)</f>
        <v>60489</v>
      </c>
      <c r="F77" s="22">
        <f t="shared" si="4"/>
        <v>2.0299999999999998</v>
      </c>
    </row>
    <row r="78" spans="1:6" ht="14.25" customHeight="1" x14ac:dyDescent="0.2">
      <c r="A78" s="20">
        <v>12</v>
      </c>
      <c r="B78" s="172" t="s">
        <v>11</v>
      </c>
      <c r="C78" s="173"/>
      <c r="D78" s="15">
        <f t="shared" si="5"/>
        <v>554016</v>
      </c>
      <c r="E78" s="18">
        <f>IF(F3="1",SUMIF(Data!A:A,'29'!$A$2,Data!EJ:EJ),0)</f>
        <v>1542331</v>
      </c>
      <c r="F78" s="22">
        <f t="shared" si="4"/>
        <v>2.78</v>
      </c>
    </row>
    <row r="79" spans="1:6" x14ac:dyDescent="0.2">
      <c r="A79" s="20">
        <v>13</v>
      </c>
      <c r="B79" s="172" t="s">
        <v>12</v>
      </c>
      <c r="C79" s="173"/>
      <c r="D79" s="15">
        <f t="shared" si="5"/>
        <v>61264</v>
      </c>
      <c r="E79" s="18">
        <f>IF(F3="1",SUMIF(Data!A:A,'29'!$A$2,Data!EK:EK),0)</f>
        <v>102383</v>
      </c>
      <c r="F79" s="22">
        <f t="shared" si="4"/>
        <v>1.67</v>
      </c>
    </row>
    <row r="80" spans="1:6" ht="14.25" customHeight="1" x14ac:dyDescent="0.2">
      <c r="A80" s="20">
        <v>14</v>
      </c>
      <c r="B80" s="172" t="s">
        <v>469</v>
      </c>
      <c r="C80" s="173"/>
      <c r="D80" s="15">
        <f t="shared" si="5"/>
        <v>110424</v>
      </c>
      <c r="E80" s="18">
        <f>IF(F3="1",SUMIF(Data!A:A,'29'!$A$2,Data!EL:EL),0)</f>
        <v>636568</v>
      </c>
      <c r="F80" s="22">
        <f t="shared" si="4"/>
        <v>5.76</v>
      </c>
    </row>
    <row r="81" spans="1:6" x14ac:dyDescent="0.2">
      <c r="A81" s="20">
        <v>15</v>
      </c>
      <c r="B81" s="172" t="s">
        <v>13</v>
      </c>
      <c r="C81" s="173"/>
      <c r="D81" s="15">
        <f t="shared" si="5"/>
        <v>0</v>
      </c>
      <c r="E81" s="18">
        <f>IF(F3="1",SUMIF(Data!A:A,'29'!$A$2,Data!EM:EM),0)</f>
        <v>0</v>
      </c>
      <c r="F81" s="22" t="str">
        <f t="shared" si="4"/>
        <v/>
      </c>
    </row>
    <row r="82" spans="1:6" x14ac:dyDescent="0.2">
      <c r="A82" s="20">
        <v>16</v>
      </c>
      <c r="B82" s="172" t="s">
        <v>14</v>
      </c>
      <c r="C82" s="173"/>
      <c r="D82" s="15">
        <f t="shared" si="5"/>
        <v>196427</v>
      </c>
      <c r="E82" s="18">
        <f>IF(F3="1",SUMIF(Data!A:A,'29'!$A$2,Data!EN:EN),0)</f>
        <v>392742</v>
      </c>
      <c r="F82" s="22">
        <f t="shared" si="4"/>
        <v>2</v>
      </c>
    </row>
    <row r="83" spans="1:6" x14ac:dyDescent="0.2">
      <c r="A83" s="20">
        <v>17</v>
      </c>
      <c r="B83" s="172" t="s">
        <v>15</v>
      </c>
      <c r="C83" s="173"/>
      <c r="D83" s="15">
        <f t="shared" si="5"/>
        <v>0</v>
      </c>
      <c r="E83" s="18">
        <f>IF(F3="1",SUMIF(Data!A:A,'29'!$A$2,Data!EO:EO),0)</f>
        <v>0</v>
      </c>
      <c r="F83" s="22" t="str">
        <f t="shared" si="4"/>
        <v/>
      </c>
    </row>
    <row r="84" spans="1:6" x14ac:dyDescent="0.2">
      <c r="A84" s="20">
        <v>18</v>
      </c>
      <c r="B84" s="172" t="s">
        <v>16</v>
      </c>
      <c r="C84" s="173"/>
      <c r="D84" s="15">
        <f t="shared" si="5"/>
        <v>105008</v>
      </c>
      <c r="E84" s="18">
        <f>IF(F3="1",SUMIF(Data!A:A,'29'!$A$2,Data!EP:EP),0)</f>
        <v>545776</v>
      </c>
      <c r="F84" s="22">
        <f t="shared" si="4"/>
        <v>5.2</v>
      </c>
    </row>
    <row r="85" spans="1:6" x14ac:dyDescent="0.2">
      <c r="A85" s="20">
        <v>19</v>
      </c>
      <c r="B85" s="172" t="s">
        <v>17</v>
      </c>
      <c r="C85" s="173"/>
      <c r="D85" s="15">
        <f t="shared" si="5"/>
        <v>380272</v>
      </c>
      <c r="E85" s="18">
        <f>IF(F3="1",SUMIF(Data!A:A,'29'!$A$2,Data!EQ:EQ),0)</f>
        <v>1051269</v>
      </c>
      <c r="F85" s="22">
        <f t="shared" si="4"/>
        <v>2.76</v>
      </c>
    </row>
    <row r="86" spans="1:6" x14ac:dyDescent="0.2">
      <c r="A86" s="20">
        <v>20</v>
      </c>
      <c r="B86" s="172" t="s">
        <v>18</v>
      </c>
      <c r="C86" s="173"/>
      <c r="D86" s="15">
        <f t="shared" si="5"/>
        <v>628</v>
      </c>
      <c r="E86" s="18">
        <f>IF(F3="1",SUMIF(Data!A:A,'29'!$A$2,Data!ER:ER),0)</f>
        <v>2330</v>
      </c>
      <c r="F86" s="22">
        <f t="shared" si="4"/>
        <v>3.71</v>
      </c>
    </row>
    <row r="87" spans="1:6" ht="14.25" customHeight="1" x14ac:dyDescent="0.2">
      <c r="A87" s="20">
        <v>21</v>
      </c>
      <c r="B87" s="172" t="s">
        <v>466</v>
      </c>
      <c r="C87" s="173"/>
      <c r="D87" s="15">
        <f t="shared" si="5"/>
        <v>29880</v>
      </c>
      <c r="E87" s="18">
        <f>IF(F3="1",SUMIF(Data!A:A,'29'!$A$2,Data!ES:ES),0)</f>
        <v>110782</v>
      </c>
      <c r="F87" s="22">
        <f t="shared" si="4"/>
        <v>3.71</v>
      </c>
    </row>
    <row r="88" spans="1:6" x14ac:dyDescent="0.2">
      <c r="A88" s="20">
        <v>22</v>
      </c>
      <c r="B88" s="172" t="s">
        <v>19</v>
      </c>
      <c r="C88" s="173"/>
      <c r="D88" s="15">
        <f t="shared" si="5"/>
        <v>3488</v>
      </c>
      <c r="E88" s="18">
        <f>IF(F3="1",SUMIF(Data!A:A,'29'!$A$2,Data!ET:ET),0)</f>
        <v>1931</v>
      </c>
      <c r="F88" s="22">
        <f t="shared" si="4"/>
        <v>0.55000000000000004</v>
      </c>
    </row>
    <row r="89" spans="1:6" x14ac:dyDescent="0.2">
      <c r="A89" s="20">
        <v>23</v>
      </c>
      <c r="B89" s="172" t="s">
        <v>20</v>
      </c>
      <c r="C89" s="173"/>
      <c r="D89" s="15">
        <f t="shared" si="5"/>
        <v>151824</v>
      </c>
      <c r="E89" s="18">
        <f>IF(F3="1",SUMIF(Data!A:A,'29'!$A$2,Data!EU:EU),0)</f>
        <v>435017</v>
      </c>
      <c r="F89" s="22">
        <f t="shared" si="4"/>
        <v>2.87</v>
      </c>
    </row>
    <row r="90" spans="1:6" x14ac:dyDescent="0.2">
      <c r="A90" s="20">
        <v>24</v>
      </c>
      <c r="B90" s="172" t="s">
        <v>21</v>
      </c>
      <c r="C90" s="173"/>
      <c r="D90" s="15">
        <f t="shared" si="5"/>
        <v>258230</v>
      </c>
      <c r="E90" s="18">
        <f>IF(F3="1",SUMIF(Data!A:A,'29'!$A$2,Data!EV:EV),0)</f>
        <v>363782</v>
      </c>
      <c r="F90" s="22">
        <f t="shared" si="4"/>
        <v>1.41</v>
      </c>
    </row>
    <row r="91" spans="1:6" x14ac:dyDescent="0.2">
      <c r="A91" s="20">
        <v>25</v>
      </c>
      <c r="B91" s="172" t="s">
        <v>22</v>
      </c>
      <c r="C91" s="173"/>
      <c r="D91" s="15">
        <f t="shared" si="5"/>
        <v>510832</v>
      </c>
      <c r="E91" s="18">
        <f>IF(F3="1",SUMIF(Data!A:A,'29'!$A$2,Data!EW:EW),0)</f>
        <v>1295530</v>
      </c>
      <c r="F91" s="22">
        <f t="shared" si="4"/>
        <v>2.54</v>
      </c>
    </row>
    <row r="92" spans="1:6" x14ac:dyDescent="0.2">
      <c r="A92" s="20">
        <v>26</v>
      </c>
      <c r="B92" s="172" t="s">
        <v>23</v>
      </c>
      <c r="C92" s="173"/>
      <c r="D92" s="15">
        <f t="shared" si="5"/>
        <v>160576</v>
      </c>
      <c r="E92" s="18">
        <f>IF(F3="1",SUMIF(Data!A:A,'29'!$A$2,Data!EX:EX),0)</f>
        <v>528164</v>
      </c>
      <c r="F92" s="22">
        <f t="shared" si="4"/>
        <v>3.29</v>
      </c>
    </row>
    <row r="93" spans="1:6" x14ac:dyDescent="0.2">
      <c r="A93" s="20">
        <v>28</v>
      </c>
      <c r="B93" s="172" t="s">
        <v>24</v>
      </c>
      <c r="C93" s="173"/>
      <c r="D93" s="15">
        <f t="shared" si="5"/>
        <v>0</v>
      </c>
      <c r="E93" s="18">
        <f>IF(F3="1",SUMIF(Data!A:A,'29'!$A$2,Data!EZ:EZ),0)</f>
        <v>0</v>
      </c>
      <c r="F93" s="22" t="str">
        <f t="shared" si="4"/>
        <v/>
      </c>
    </row>
    <row r="94" spans="1:6" ht="15.75" customHeight="1" thickBot="1" x14ac:dyDescent="0.25">
      <c r="A94" s="23">
        <v>29</v>
      </c>
      <c r="B94" s="174" t="s">
        <v>25</v>
      </c>
      <c r="C94" s="175"/>
      <c r="D94" s="24">
        <f t="shared" si="5"/>
        <v>0</v>
      </c>
      <c r="E94" s="25">
        <f>IF(F3="1",SUMIF(Data!A:A,'29'!$A$2,Data!FA:FA),0)</f>
        <v>0</v>
      </c>
      <c r="F94" s="26" t="str">
        <f t="shared" si="4"/>
        <v/>
      </c>
    </row>
    <row r="95" spans="1:6" x14ac:dyDescent="0.2">
      <c r="B95" s="31" t="s">
        <v>35</v>
      </c>
      <c r="C95" s="31"/>
      <c r="D95" s="61">
        <f>SUM(D67:D94)</f>
        <v>4001561</v>
      </c>
      <c r="E95" s="32">
        <f>SUM(E67:E94)</f>
        <v>9994990</v>
      </c>
      <c r="F95" s="33">
        <f t="shared" si="4"/>
        <v>2.5</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IF(F3="1",SUMIF(Data!A:A,'29'!$A$2,Data!AH:AH),0)</f>
        <v>3647798</v>
      </c>
      <c r="F98" s="21">
        <f>IF($D$105=0,"",ROUND(E98/$D$105,2))</f>
        <v>0.91</v>
      </c>
    </row>
    <row r="99" spans="2:6" x14ac:dyDescent="0.2">
      <c r="B99" s="178" t="s">
        <v>31</v>
      </c>
      <c r="C99" s="179"/>
      <c r="D99" s="37"/>
      <c r="E99" s="18">
        <f>IF(F3="1",SUMIF(Data!A:A,'29'!$A$2,Data!AI:AI),0)</f>
        <v>1966525</v>
      </c>
      <c r="F99" s="22">
        <f t="shared" ref="F99:F105" si="6">IF($D$105=0,"",ROUND(E99/$D$105,2))</f>
        <v>0.49</v>
      </c>
    </row>
    <row r="100" spans="2:6" x14ac:dyDescent="0.2">
      <c r="B100" s="178" t="s">
        <v>32</v>
      </c>
      <c r="C100" s="179"/>
      <c r="D100" s="37"/>
      <c r="E100" s="18">
        <f>IF(F3="1",SUMIF(Data!A:A,'29'!$A$2,Data!AJ:AJ),0)</f>
        <v>2306433</v>
      </c>
      <c r="F100" s="22">
        <f t="shared" si="6"/>
        <v>0.57999999999999996</v>
      </c>
    </row>
    <row r="101" spans="2:6" x14ac:dyDescent="0.2">
      <c r="B101" s="178" t="s">
        <v>28</v>
      </c>
      <c r="C101" s="179"/>
      <c r="D101" s="37"/>
      <c r="E101" s="18">
        <f>IF(F3="1",SUMIF(Data!A:A,'29'!$A$2,Data!AK:AK),0)</f>
        <v>0</v>
      </c>
      <c r="F101" s="22">
        <f t="shared" si="6"/>
        <v>0</v>
      </c>
    </row>
    <row r="102" spans="2:6" x14ac:dyDescent="0.2">
      <c r="B102" s="178" t="s">
        <v>33</v>
      </c>
      <c r="C102" s="179"/>
      <c r="D102" s="37"/>
      <c r="E102" s="18">
        <f>IF(F3="1",SUMIF(Data!A:A,'29'!$A$2,Data!AL:AL),0)</f>
        <v>0</v>
      </c>
      <c r="F102" s="22">
        <f t="shared" si="6"/>
        <v>0</v>
      </c>
    </row>
    <row r="103" spans="2:6" x14ac:dyDescent="0.2">
      <c r="B103" s="180" t="s">
        <v>34</v>
      </c>
      <c r="C103" s="181"/>
      <c r="D103" s="37"/>
      <c r="E103" s="18">
        <f>IF(F3="1",SUMIF(Data!A:A,'29'!$A$2,Data!AM:AM),0)</f>
        <v>143278</v>
      </c>
      <c r="F103" s="22">
        <f t="shared" si="6"/>
        <v>0.04</v>
      </c>
    </row>
    <row r="104" spans="2:6" ht="15.75" customHeight="1" thickBot="1" x14ac:dyDescent="0.25">
      <c r="B104" s="170" t="s">
        <v>29</v>
      </c>
      <c r="C104" s="171"/>
      <c r="D104" s="38"/>
      <c r="E104" s="25">
        <f>IF(F3="1",SUMIF(Data!A:A,'29'!$A$2,Data!Q:Q),0)</f>
        <v>664783</v>
      </c>
      <c r="F104" s="26">
        <f t="shared" si="6"/>
        <v>0.17</v>
      </c>
    </row>
    <row r="105" spans="2:6" x14ac:dyDescent="0.2">
      <c r="B105" s="31" t="s">
        <v>35</v>
      </c>
      <c r="C105" s="31"/>
      <c r="D105" s="35">
        <f>D95</f>
        <v>4001561</v>
      </c>
      <c r="E105" s="32">
        <f>SUM(E98:E104)</f>
        <v>8728817</v>
      </c>
      <c r="F105" s="33">
        <f t="shared" si="6"/>
        <v>2.1800000000000002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9994990</v>
      </c>
      <c r="D109" s="16">
        <f>IF(F3="1",SUMIF(Data!$A:$A,$A$2,Data!HJ:HJ),0)</f>
        <v>1229481</v>
      </c>
      <c r="E109" s="16">
        <f>IF(F3="1",SUMIF(Data!$A:$A,$A$2,Data!IN:IN),0)</f>
        <v>942927</v>
      </c>
      <c r="F109" s="48">
        <f>SUM(C109:E109)</f>
        <v>12167398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15652</v>
      </c>
      <c r="D111" s="52"/>
      <c r="E111" s="51">
        <f>IF(F3="1",SUMIF(Data!A:A,$A$2,Data!AX:AX),0)</f>
        <v>5323</v>
      </c>
      <c r="F111" s="49">
        <f t="shared" si="7"/>
        <v>20975</v>
      </c>
    </row>
    <row r="112" spans="2:6" x14ac:dyDescent="0.2">
      <c r="B112" s="43" t="s">
        <v>32</v>
      </c>
      <c r="C112" s="51">
        <f>IF(F3="1",SUMIF(Data!A:A,$A$2,Data!V:V),0)</f>
        <v>1844308</v>
      </c>
      <c r="D112" s="52"/>
      <c r="E112" s="51">
        <f>IF(F3="1",SUMIF(Data!A:A,$A$2,Data!AC:AC),0)</f>
        <v>462125</v>
      </c>
      <c r="F112" s="49">
        <f t="shared" si="7"/>
        <v>2306433</v>
      </c>
    </row>
    <row r="113" spans="1:6" x14ac:dyDescent="0.2">
      <c r="B113" s="43" t="s">
        <v>31</v>
      </c>
      <c r="C113" s="51">
        <f>IF(F3="1",SUMIF(Data!A:A,$A$2,Data!U:U),0)</f>
        <v>1385485</v>
      </c>
      <c r="D113" s="52"/>
      <c r="E113" s="51">
        <f>IF(F3="1",SUMIF(Data!A:A,$A$2,Data!AB:AB),0)</f>
        <v>581040</v>
      </c>
      <c r="F113" s="49">
        <f t="shared" si="7"/>
        <v>1966525</v>
      </c>
    </row>
    <row r="114" spans="1:6" x14ac:dyDescent="0.2">
      <c r="B114" s="43" t="s">
        <v>1021</v>
      </c>
      <c r="C114" s="51">
        <f>IF(F3="1",SUMIF(Data!A:A,$A$2,Data!T:T),0)</f>
        <v>2163474</v>
      </c>
      <c r="D114" s="52"/>
      <c r="E114" s="51">
        <f>IF(F3="1",SUMIF(Data!A:A,$A$2,Data!AA:AA),0)</f>
        <v>1484324</v>
      </c>
      <c r="F114" s="49">
        <f t="shared" si="7"/>
        <v>3647798</v>
      </c>
    </row>
    <row r="115" spans="1:6" x14ac:dyDescent="0.2">
      <c r="B115" s="43" t="s">
        <v>937</v>
      </c>
      <c r="C115" s="51">
        <f>IF(F3="1",SUMIF(Data!A:A,$A$2,Data!BI:BI),0)</f>
        <v>592715</v>
      </c>
      <c r="D115" s="51">
        <f>IF(F3="1",SUMIF(Data!A:A,$A$2,Data!BL:BL),0)</f>
        <v>72947</v>
      </c>
      <c r="E115" s="51">
        <f>IF(F3="1",SUMIF(Data!A:A,$A$2,Data!BU:BU),0)</f>
        <v>3003204</v>
      </c>
      <c r="F115" s="49">
        <f t="shared" si="7"/>
        <v>3668866</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664783</v>
      </c>
      <c r="E117" s="53"/>
      <c r="F117" s="50">
        <f>SUM(C117:E117)</f>
        <v>664783</v>
      </c>
    </row>
    <row r="118" spans="1:6" x14ac:dyDescent="0.2">
      <c r="B118" s="14" t="s">
        <v>35</v>
      </c>
      <c r="C118" s="5">
        <f>SUM(C109:C116)</f>
        <v>15996624</v>
      </c>
      <c r="D118" s="5">
        <f>SUM(D109:D116)</f>
        <v>1302428</v>
      </c>
      <c r="E118" s="5">
        <f>SUM(E109:E116)</f>
        <v>6478943</v>
      </c>
      <c r="F118" s="5">
        <f>SUM(F109:F116)</f>
        <v>23777995</v>
      </c>
    </row>
    <row r="119" spans="1:6" ht="15" thickBot="1" x14ac:dyDescent="0.25"/>
    <row r="120" spans="1:6" ht="15" thickBot="1" x14ac:dyDescent="0.25">
      <c r="B120" s="57" t="s">
        <v>942</v>
      </c>
      <c r="C120" s="55"/>
      <c r="D120" s="55"/>
      <c r="E120" s="55">
        <f>IF(F3="1",SUMIF(Data!A:A,'29'!$A$2,Data!AM:AM),0)</f>
        <v>143278</v>
      </c>
      <c r="F120" s="56">
        <f>SUM(C120:E120)</f>
        <v>143278</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362</v>
      </c>
      <c r="B2" s="60" t="str">
        <f>VLOOKUP(A2,Data!A:G,7,0)</f>
        <v>North Central Texas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64304</v>
      </c>
      <c r="E5" s="16">
        <f>E36+E67+IFERROR($E$105/$D$105*D5,0)</f>
        <v>590323.65639183833</v>
      </c>
      <c r="F5" s="21">
        <f>IF(OR(D5=0,E5=0),"",ROUND(E5/D5,2))</f>
        <v>9.18</v>
      </c>
    </row>
    <row r="6" spans="1:6" x14ac:dyDescent="0.2">
      <c r="A6" s="20">
        <v>2</v>
      </c>
      <c r="B6" s="172" t="s">
        <v>1</v>
      </c>
      <c r="C6" s="173"/>
      <c r="D6" s="15">
        <f t="shared" ref="D6:D32" si="0">D37</f>
        <v>4248</v>
      </c>
      <c r="E6" s="18">
        <f t="shared" ref="E6:E32" si="1">E37+E68+IFERROR($E$105/$D$105*D6,0)</f>
        <v>109390.7584652981</v>
      </c>
      <c r="F6" s="22">
        <f t="shared" ref="F6:F33" si="2">IF(OR(D6=0,E6=0),"",ROUND(E6/D6,2))</f>
        <v>25.75</v>
      </c>
    </row>
    <row r="7" spans="1:6" ht="14.25" customHeight="1" x14ac:dyDescent="0.2">
      <c r="A7" s="20">
        <v>3</v>
      </c>
      <c r="B7" s="172" t="s">
        <v>2</v>
      </c>
      <c r="C7" s="173"/>
      <c r="D7" s="15">
        <f t="shared" si="0"/>
        <v>273264</v>
      </c>
      <c r="E7" s="18">
        <f t="shared" si="1"/>
        <v>1443240.8242140349</v>
      </c>
      <c r="F7" s="22">
        <f t="shared" si="2"/>
        <v>5.28</v>
      </c>
    </row>
    <row r="8" spans="1:6" ht="14.25" customHeight="1" x14ac:dyDescent="0.2">
      <c r="A8" s="20">
        <v>4</v>
      </c>
      <c r="B8" s="172" t="s">
        <v>3</v>
      </c>
      <c r="C8" s="173"/>
      <c r="D8" s="15">
        <f t="shared" si="0"/>
        <v>109184</v>
      </c>
      <c r="E8" s="18">
        <f t="shared" si="1"/>
        <v>596387.27972577862</v>
      </c>
      <c r="F8" s="22">
        <f t="shared" si="2"/>
        <v>5.46</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5506</v>
      </c>
      <c r="E10" s="18">
        <f t="shared" si="1"/>
        <v>24765.706240567641</v>
      </c>
      <c r="F10" s="22">
        <f t="shared" si="2"/>
        <v>4.5</v>
      </c>
    </row>
    <row r="11" spans="1:6" x14ac:dyDescent="0.2">
      <c r="A11" s="20">
        <v>7</v>
      </c>
      <c r="B11" s="172" t="s">
        <v>6</v>
      </c>
      <c r="C11" s="173"/>
      <c r="D11" s="15">
        <f t="shared" si="0"/>
        <v>99165</v>
      </c>
      <c r="E11" s="18">
        <f t="shared" si="1"/>
        <v>1200099.8919988903</v>
      </c>
      <c r="F11" s="22">
        <f t="shared" si="2"/>
        <v>12.1</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137888</v>
      </c>
      <c r="E13" s="18">
        <f t="shared" si="1"/>
        <v>655300.86235005292</v>
      </c>
      <c r="F13" s="22">
        <f t="shared" si="2"/>
        <v>4.75</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13772</v>
      </c>
      <c r="E15" s="18">
        <f t="shared" si="1"/>
        <v>44139.006964238572</v>
      </c>
      <c r="F15" s="22">
        <f t="shared" si="2"/>
        <v>3.2</v>
      </c>
    </row>
    <row r="16" spans="1:6" ht="14.25" customHeight="1" x14ac:dyDescent="0.2">
      <c r="A16" s="20">
        <v>12</v>
      </c>
      <c r="B16" s="172" t="s">
        <v>11</v>
      </c>
      <c r="C16" s="173"/>
      <c r="D16" s="15">
        <f t="shared" si="0"/>
        <v>409632</v>
      </c>
      <c r="E16" s="18">
        <f t="shared" si="1"/>
        <v>2306628.5620661471</v>
      </c>
      <c r="F16" s="22">
        <f t="shared" si="2"/>
        <v>5.63</v>
      </c>
    </row>
    <row r="17" spans="1:6" x14ac:dyDescent="0.2">
      <c r="A17" s="20">
        <v>13</v>
      </c>
      <c r="B17" s="172" t="s">
        <v>12</v>
      </c>
      <c r="C17" s="173"/>
      <c r="D17" s="15">
        <f t="shared" si="0"/>
        <v>75616</v>
      </c>
      <c r="E17" s="18">
        <f t="shared" si="1"/>
        <v>316775.69870809349</v>
      </c>
      <c r="F17" s="22">
        <f t="shared" si="2"/>
        <v>4.1900000000000004</v>
      </c>
    </row>
    <row r="18" spans="1:6" ht="14.25" customHeight="1" x14ac:dyDescent="0.2">
      <c r="A18" s="20">
        <v>14</v>
      </c>
      <c r="B18" s="172" t="s">
        <v>469</v>
      </c>
      <c r="C18" s="173"/>
      <c r="D18" s="15">
        <f t="shared" si="0"/>
        <v>110384</v>
      </c>
      <c r="E18" s="18">
        <f t="shared" si="1"/>
        <v>842854.79906625836</v>
      </c>
      <c r="F18" s="22">
        <f t="shared" si="2"/>
        <v>7.64</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110429</v>
      </c>
      <c r="E20" s="18">
        <f t="shared" si="1"/>
        <v>817760.99354152638</v>
      </c>
      <c r="F20" s="22">
        <f t="shared" si="2"/>
        <v>7.41</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194976</v>
      </c>
      <c r="E22" s="18">
        <f t="shared" si="1"/>
        <v>998760.42244113993</v>
      </c>
      <c r="F22" s="22">
        <f t="shared" si="2"/>
        <v>5.12</v>
      </c>
    </row>
    <row r="23" spans="1:6" x14ac:dyDescent="0.2">
      <c r="A23" s="20">
        <v>19</v>
      </c>
      <c r="B23" s="172" t="s">
        <v>17</v>
      </c>
      <c r="C23" s="173"/>
      <c r="D23" s="15">
        <f t="shared" si="0"/>
        <v>363664</v>
      </c>
      <c r="E23" s="18">
        <f t="shared" si="1"/>
        <v>1834784.2811968382</v>
      </c>
      <c r="F23" s="22">
        <f t="shared" si="2"/>
        <v>5.05</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1344</v>
      </c>
      <c r="E26" s="18">
        <f t="shared" si="1"/>
        <v>20636.341661337254</v>
      </c>
      <c r="F26" s="22">
        <f t="shared" si="2"/>
        <v>15.35</v>
      </c>
    </row>
    <row r="27" spans="1:6" x14ac:dyDescent="0.2">
      <c r="A27" s="20">
        <v>23</v>
      </c>
      <c r="B27" s="172" t="s">
        <v>20</v>
      </c>
      <c r="C27" s="173"/>
      <c r="D27" s="15">
        <f t="shared" si="0"/>
        <v>68016</v>
      </c>
      <c r="E27" s="18">
        <f t="shared" si="1"/>
        <v>571731.07621838874</v>
      </c>
      <c r="F27" s="22">
        <f t="shared" si="2"/>
        <v>8.41</v>
      </c>
    </row>
    <row r="28" spans="1:6" x14ac:dyDescent="0.2">
      <c r="A28" s="20">
        <v>24</v>
      </c>
      <c r="B28" s="172" t="s">
        <v>21</v>
      </c>
      <c r="C28" s="173"/>
      <c r="D28" s="15">
        <f t="shared" si="0"/>
        <v>26160</v>
      </c>
      <c r="E28" s="18">
        <f t="shared" si="1"/>
        <v>172360.72162245723</v>
      </c>
      <c r="F28" s="22">
        <f t="shared" si="2"/>
        <v>6.59</v>
      </c>
    </row>
    <row r="29" spans="1:6" x14ac:dyDescent="0.2">
      <c r="A29" s="20">
        <v>25</v>
      </c>
      <c r="B29" s="172" t="s">
        <v>22</v>
      </c>
      <c r="C29" s="173"/>
      <c r="D29" s="15">
        <f t="shared" si="0"/>
        <v>633504</v>
      </c>
      <c r="E29" s="18">
        <f t="shared" si="1"/>
        <v>2889299.3302260377</v>
      </c>
      <c r="F29" s="22">
        <f t="shared" si="2"/>
        <v>4.5599999999999996</v>
      </c>
    </row>
    <row r="30" spans="1:6" x14ac:dyDescent="0.2">
      <c r="A30" s="20">
        <v>26</v>
      </c>
      <c r="B30" s="172" t="s">
        <v>23</v>
      </c>
      <c r="C30" s="173"/>
      <c r="D30" s="15">
        <f t="shared" si="0"/>
        <v>132276</v>
      </c>
      <c r="E30" s="18">
        <f t="shared" si="1"/>
        <v>800069.78690107609</v>
      </c>
      <c r="F30" s="22">
        <f t="shared" si="2"/>
        <v>6.05</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2833332</v>
      </c>
      <c r="E33" s="32">
        <f>SUM(E5:E32)</f>
        <v>16235310</v>
      </c>
      <c r="F33" s="33">
        <f t="shared" si="2"/>
        <v>5.73</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IF(F3="1",SUMIF(Data!A:A,'30'!$A$2,Data!CU:CU),0)</f>
        <v>64304</v>
      </c>
      <c r="E36" s="16">
        <f>IF(F3="1",SUMIF(Data!$A:$A,'30'!$A$2,Data!IO:IO),0)</f>
        <v>197485</v>
      </c>
      <c r="F36" s="21">
        <f>IF(D36=0,"",ROUND(E36/D36,2))</f>
        <v>3.07</v>
      </c>
    </row>
    <row r="37" spans="1:6" x14ac:dyDescent="0.2">
      <c r="A37" s="20">
        <v>2</v>
      </c>
      <c r="B37" s="172" t="s">
        <v>1</v>
      </c>
      <c r="C37" s="173"/>
      <c r="D37" s="15">
        <f>IF(F3="1",SUMIF(Data!A:A,'30'!$A$2,Data!CV:CV),0)</f>
        <v>4248</v>
      </c>
      <c r="E37" s="18">
        <f>IF(F3="1",SUMIF(Data!$A:$A,'30'!$A$2,Data!IP:IP),0)</f>
        <v>24905</v>
      </c>
      <c r="F37" s="22">
        <f t="shared" ref="F37:F64" si="3">IF(D37=0,"",ROUND(E37/D37,2))</f>
        <v>5.86</v>
      </c>
    </row>
    <row r="38" spans="1:6" ht="14.25" customHeight="1" x14ac:dyDescent="0.2">
      <c r="A38" s="20">
        <v>3</v>
      </c>
      <c r="B38" s="172" t="s">
        <v>2</v>
      </c>
      <c r="C38" s="173"/>
      <c r="D38" s="15">
        <f>IF(F3="1",SUMIF(Data!A:A,'30'!$A$2,Data!CW:CW),0)</f>
        <v>273264</v>
      </c>
      <c r="E38" s="18">
        <f>IF(F3="1",SUMIF(Data!$A:$A,'30'!$A$2,Data!IQ:IQ),0)</f>
        <v>142150</v>
      </c>
      <c r="F38" s="22">
        <f t="shared" si="3"/>
        <v>0.52</v>
      </c>
    </row>
    <row r="39" spans="1:6" ht="14.25" customHeight="1" x14ac:dyDescent="0.2">
      <c r="A39" s="20">
        <v>4</v>
      </c>
      <c r="B39" s="172" t="s">
        <v>3</v>
      </c>
      <c r="C39" s="173"/>
      <c r="D39" s="15">
        <f>IF(F3="1",SUMIF(Data!A:A,'30'!$A$2,Data!CX:CX),0)</f>
        <v>109184</v>
      </c>
      <c r="E39" s="18">
        <f>IF(F3="1",SUMIF(Data!$A:$A,'30'!$A$2,Data!IR:IR),0)</f>
        <v>68916</v>
      </c>
      <c r="F39" s="22">
        <f t="shared" si="3"/>
        <v>0.63</v>
      </c>
    </row>
    <row r="40" spans="1:6" x14ac:dyDescent="0.2">
      <c r="A40" s="20">
        <v>5</v>
      </c>
      <c r="B40" s="172" t="s">
        <v>4</v>
      </c>
      <c r="C40" s="173"/>
      <c r="D40" s="15">
        <f>IF(F3="1",SUMIF(Data!A:A,'30'!$A$2,Data!CY:CY),0)</f>
        <v>0</v>
      </c>
      <c r="E40" s="18">
        <f>IF(F3="1",SUMIF(Data!$A:$A,'30'!$A$2,Data!IS:IS),0)</f>
        <v>0</v>
      </c>
      <c r="F40" s="22" t="str">
        <f t="shared" si="3"/>
        <v/>
      </c>
    </row>
    <row r="41" spans="1:6" x14ac:dyDescent="0.2">
      <c r="A41" s="20">
        <v>6</v>
      </c>
      <c r="B41" s="172" t="s">
        <v>5</v>
      </c>
      <c r="C41" s="173"/>
      <c r="D41" s="15">
        <f>IF(F3="1",SUMIF(Data!A:A,'30'!$A$2,Data!CZ:CZ),0)</f>
        <v>5506</v>
      </c>
      <c r="E41" s="18">
        <f>IF(F3="1",SUMIF(Data!$A:$A,'30'!$A$2,Data!IT:IT),0)</f>
        <v>8921</v>
      </c>
      <c r="F41" s="22">
        <f t="shared" si="3"/>
        <v>1.62</v>
      </c>
    </row>
    <row r="42" spans="1:6" x14ac:dyDescent="0.2">
      <c r="A42" s="20">
        <v>7</v>
      </c>
      <c r="B42" s="172" t="s">
        <v>6</v>
      </c>
      <c r="C42" s="173"/>
      <c r="D42" s="15">
        <f>IF(F3="1",SUMIF(Data!A:A,'30'!$A$2,Data!DA:DA),0)</f>
        <v>99165</v>
      </c>
      <c r="E42" s="18">
        <f>IF(F3="1",SUMIF(Data!$A:$A,'30'!$A$2,Data!IU:IU),0)</f>
        <v>488345</v>
      </c>
      <c r="F42" s="22">
        <f t="shared" si="3"/>
        <v>4.92</v>
      </c>
    </row>
    <row r="43" spans="1:6" x14ac:dyDescent="0.2">
      <c r="A43" s="20">
        <v>8</v>
      </c>
      <c r="B43" s="172" t="s">
        <v>7</v>
      </c>
      <c r="C43" s="173"/>
      <c r="D43" s="15">
        <f>IF(F3="1",SUMIF(Data!A:A,'30'!$A$2,Data!DB:DB),0)</f>
        <v>0</v>
      </c>
      <c r="E43" s="18">
        <f>IF(F3="1",SUMIF(Data!$A:$A,'30'!$A$2,Data!IV:IV),0)</f>
        <v>0</v>
      </c>
      <c r="F43" s="22" t="str">
        <f t="shared" si="3"/>
        <v/>
      </c>
    </row>
    <row r="44" spans="1:6" x14ac:dyDescent="0.2">
      <c r="A44" s="20">
        <v>9</v>
      </c>
      <c r="B44" s="172" t="s">
        <v>8</v>
      </c>
      <c r="C44" s="173"/>
      <c r="D44" s="15">
        <f>IF(F3="1",SUMIF(Data!A:A,'30'!$A$2,Data!DC:DC),0)</f>
        <v>137888</v>
      </c>
      <c r="E44" s="18">
        <f>IF(F3="1",SUMIF(Data!$A:$A,'30'!$A$2,Data!IW:IW),0)</f>
        <v>77918</v>
      </c>
      <c r="F44" s="22">
        <f t="shared" si="3"/>
        <v>0.56999999999999995</v>
      </c>
    </row>
    <row r="45" spans="1:6" x14ac:dyDescent="0.2">
      <c r="A45" s="20">
        <v>10</v>
      </c>
      <c r="B45" s="172" t="s">
        <v>9</v>
      </c>
      <c r="C45" s="173"/>
      <c r="D45" s="15">
        <f>IF(F3="1",SUMIF(Data!A:A,'30'!$A$2,Data!DD:DD),0)</f>
        <v>0</v>
      </c>
      <c r="E45" s="18">
        <f>IF(F3="1",SUMIF(Data!$A:$A,'30'!$A$2,Data!IX:IX),0)</f>
        <v>0</v>
      </c>
      <c r="F45" s="22" t="str">
        <f t="shared" si="3"/>
        <v/>
      </c>
    </row>
    <row r="46" spans="1:6" x14ac:dyDescent="0.2">
      <c r="A46" s="20">
        <v>11</v>
      </c>
      <c r="B46" s="172" t="s">
        <v>10</v>
      </c>
      <c r="C46" s="173"/>
      <c r="D46" s="15">
        <f>IF(F3="1",SUMIF(Data!A:A,'30'!$A$2,Data!DE:DE),0)</f>
        <v>13772</v>
      </c>
      <c r="E46" s="18">
        <f>IF(F3="1",SUMIF(Data!$A:$A,'30'!$A$2,Data!IY:IY),0)</f>
        <v>9487</v>
      </c>
      <c r="F46" s="22">
        <f t="shared" si="3"/>
        <v>0.69</v>
      </c>
    </row>
    <row r="47" spans="1:6" ht="14.25" customHeight="1" x14ac:dyDescent="0.2">
      <c r="A47" s="20">
        <v>12</v>
      </c>
      <c r="B47" s="172" t="s">
        <v>11</v>
      </c>
      <c r="C47" s="173"/>
      <c r="D47" s="15">
        <f>IF(F3="1",SUMIF(Data!A:A,'30'!$A$2,Data!DF:DF),0)</f>
        <v>409632</v>
      </c>
      <c r="E47" s="18">
        <f>IF(F3="1",SUMIF(Data!$A:$A,'30'!$A$2,Data!IZ:IZ),0)</f>
        <v>163106</v>
      </c>
      <c r="F47" s="22">
        <f t="shared" si="3"/>
        <v>0.4</v>
      </c>
    </row>
    <row r="48" spans="1:6" x14ac:dyDescent="0.2">
      <c r="A48" s="20">
        <v>13</v>
      </c>
      <c r="B48" s="172" t="s">
        <v>12</v>
      </c>
      <c r="C48" s="173"/>
      <c r="D48" s="15">
        <f>IF(F3="1",SUMIF(Data!A:A,'30'!$A$2,Data!DG:DG),0)</f>
        <v>75616</v>
      </c>
      <c r="E48" s="18">
        <f>IF(F3="1",SUMIF(Data!$A:$A,'30'!$A$2,Data!JA:JA),0)</f>
        <v>26431</v>
      </c>
      <c r="F48" s="22">
        <f t="shared" si="3"/>
        <v>0.35</v>
      </c>
    </row>
    <row r="49" spans="1:6" ht="14.25" customHeight="1" x14ac:dyDescent="0.2">
      <c r="A49" s="20">
        <v>14</v>
      </c>
      <c r="B49" s="172" t="s">
        <v>469</v>
      </c>
      <c r="C49" s="173"/>
      <c r="D49" s="15">
        <f>IF(F3="1",SUMIF(Data!A:A,'30'!$A$2,Data!DH:DH),0)</f>
        <v>110384</v>
      </c>
      <c r="E49" s="18">
        <f>IF(F3="1",SUMIF(Data!$A:$A,'30'!$A$2,Data!JB:JB),0)</f>
        <v>116984</v>
      </c>
      <c r="F49" s="22">
        <f t="shared" si="3"/>
        <v>1.06</v>
      </c>
    </row>
    <row r="50" spans="1:6" x14ac:dyDescent="0.2">
      <c r="A50" s="20">
        <v>15</v>
      </c>
      <c r="B50" s="172" t="s">
        <v>13</v>
      </c>
      <c r="C50" s="173"/>
      <c r="D50" s="15">
        <f>IF(F3="1",SUMIF(Data!A:A,'30'!$A$2,Data!DI:DI),0)</f>
        <v>0</v>
      </c>
      <c r="E50" s="18">
        <f>IF(F3="1",SUMIF(Data!$A:$A,'30'!$A$2,Data!JC:JC),0)</f>
        <v>0</v>
      </c>
      <c r="F50" s="22" t="str">
        <f t="shared" si="3"/>
        <v/>
      </c>
    </row>
    <row r="51" spans="1:6" x14ac:dyDescent="0.2">
      <c r="A51" s="20">
        <v>16</v>
      </c>
      <c r="B51" s="172" t="s">
        <v>14</v>
      </c>
      <c r="C51" s="173"/>
      <c r="D51" s="15">
        <f>IF(F3="1",SUMIF(Data!A:A,'30'!$A$2,Data!DJ:DJ),0)</f>
        <v>110429</v>
      </c>
      <c r="E51" s="18">
        <f>IF(F3="1",SUMIF(Data!$A:$A,'30'!$A$2,Data!JD:JD),0)</f>
        <v>171485</v>
      </c>
      <c r="F51" s="22">
        <f t="shared" si="3"/>
        <v>1.55</v>
      </c>
    </row>
    <row r="52" spans="1:6" x14ac:dyDescent="0.2">
      <c r="A52" s="20">
        <v>17</v>
      </c>
      <c r="B52" s="172" t="s">
        <v>15</v>
      </c>
      <c r="C52" s="173"/>
      <c r="D52" s="15">
        <f>IF(F3="1",SUMIF(Data!A:A,'30'!$A$2,Data!DK:DK),0)</f>
        <v>0</v>
      </c>
      <c r="E52" s="18">
        <f>IF(F3="1",SUMIF(Data!$A:$A,'30'!$A$2,Data!JE:JE),0)</f>
        <v>0</v>
      </c>
      <c r="F52" s="22" t="str">
        <f t="shared" si="3"/>
        <v/>
      </c>
    </row>
    <row r="53" spans="1:6" x14ac:dyDescent="0.2">
      <c r="A53" s="20">
        <v>18</v>
      </c>
      <c r="B53" s="172" t="s">
        <v>16</v>
      </c>
      <c r="C53" s="173"/>
      <c r="D53" s="15">
        <f>IF(F3="1",SUMIF(Data!A:A,'30'!$A$2,Data!DL:DL),0)</f>
        <v>194976</v>
      </c>
      <c r="E53" s="18">
        <f>IF(F3="1",SUMIF(Data!$A:$A,'30'!$A$2,Data!JF:JF),0)</f>
        <v>94803</v>
      </c>
      <c r="F53" s="22">
        <f t="shared" si="3"/>
        <v>0.49</v>
      </c>
    </row>
    <row r="54" spans="1:6" x14ac:dyDescent="0.2">
      <c r="A54" s="20">
        <v>19</v>
      </c>
      <c r="B54" s="172" t="s">
        <v>17</v>
      </c>
      <c r="C54" s="173"/>
      <c r="D54" s="15">
        <f>IF(F3="1",SUMIF(Data!A:A,'30'!$A$2,Data!DM:DM),0)</f>
        <v>363664</v>
      </c>
      <c r="E54" s="18">
        <f>IF(F3="1",SUMIF(Data!$A:$A,'30'!$A$2,Data!JG:JG),0)</f>
        <v>185665</v>
      </c>
      <c r="F54" s="22">
        <f t="shared" si="3"/>
        <v>0.51</v>
      </c>
    </row>
    <row r="55" spans="1:6" x14ac:dyDescent="0.2">
      <c r="A55" s="20">
        <v>20</v>
      </c>
      <c r="B55" s="172" t="s">
        <v>18</v>
      </c>
      <c r="C55" s="173"/>
      <c r="D55" s="15">
        <f>IF(F3="1",SUMIF(Data!A:A,'30'!$A$2,Data!DN:DN),0)</f>
        <v>0</v>
      </c>
      <c r="E55" s="18">
        <f>IF(F3="1",SUMIF(Data!$A:$A,'30'!$A$2,Data!JH:JH),0)</f>
        <v>0</v>
      </c>
      <c r="F55" s="22" t="str">
        <f t="shared" si="3"/>
        <v/>
      </c>
    </row>
    <row r="56" spans="1:6" ht="14.25" customHeight="1" x14ac:dyDescent="0.2">
      <c r="A56" s="20">
        <v>21</v>
      </c>
      <c r="B56" s="172" t="s">
        <v>466</v>
      </c>
      <c r="C56" s="173"/>
      <c r="D56" s="15">
        <f>IF(F3="1",SUMIF(Data!A:A,'30'!$A$2,Data!DO:DO),0)</f>
        <v>0</v>
      </c>
      <c r="E56" s="18">
        <f>IF(F3="1",SUMIF(Data!$A:$A,'30'!$A$2,Data!JI:JI),0)</f>
        <v>0</v>
      </c>
      <c r="F56" s="22" t="str">
        <f t="shared" si="3"/>
        <v/>
      </c>
    </row>
    <row r="57" spans="1:6" x14ac:dyDescent="0.2">
      <c r="A57" s="20">
        <v>22</v>
      </c>
      <c r="B57" s="172" t="s">
        <v>19</v>
      </c>
      <c r="C57" s="173"/>
      <c r="D57" s="15">
        <f>IF(F3="1",SUMIF(Data!A:A,'30'!$A$2,Data!DP:DP),0)</f>
        <v>1344</v>
      </c>
      <c r="E57" s="18">
        <f>IF(F3="1",SUMIF(Data!$A:$A,'30'!$A$2,Data!JJ:JJ),0)</f>
        <v>986</v>
      </c>
      <c r="F57" s="22">
        <f t="shared" si="3"/>
        <v>0.73</v>
      </c>
    </row>
    <row r="58" spans="1:6" x14ac:dyDescent="0.2">
      <c r="A58" s="20">
        <v>23</v>
      </c>
      <c r="B58" s="172" t="s">
        <v>20</v>
      </c>
      <c r="C58" s="173"/>
      <c r="D58" s="15">
        <f>IF(F3="1",SUMIF(Data!A:A,'30'!$A$2,Data!DQ:DQ),0)</f>
        <v>68016</v>
      </c>
      <c r="E58" s="18">
        <f>IF(F3="1",SUMIF(Data!$A:$A,'30'!$A$2,Data!JK:JK),0)</f>
        <v>140989</v>
      </c>
      <c r="F58" s="22">
        <f t="shared" si="3"/>
        <v>2.0699999999999998</v>
      </c>
    </row>
    <row r="59" spans="1:6" x14ac:dyDescent="0.2">
      <c r="A59" s="20">
        <v>24</v>
      </c>
      <c r="B59" s="172" t="s">
        <v>21</v>
      </c>
      <c r="C59" s="173"/>
      <c r="D59" s="15">
        <f>IF(F3="1",SUMIF(Data!A:A,'30'!$A$2,Data!DR:DR),0)</f>
        <v>26160</v>
      </c>
      <c r="E59" s="18">
        <f>IF(F3="1",SUMIF(Data!$A:$A,'30'!$A$2,Data!JL:JL),0)</f>
        <v>9437</v>
      </c>
      <c r="F59" s="22">
        <f t="shared" si="3"/>
        <v>0.36</v>
      </c>
    </row>
    <row r="60" spans="1:6" x14ac:dyDescent="0.2">
      <c r="A60" s="20">
        <v>25</v>
      </c>
      <c r="B60" s="172" t="s">
        <v>22</v>
      </c>
      <c r="C60" s="173"/>
      <c r="D60" s="15">
        <f>IF(F3="1",SUMIF(Data!A:A,'30'!$A$2,Data!DS:DS),0)</f>
        <v>633504</v>
      </c>
      <c r="E60" s="18">
        <f>IF(F3="1",SUMIF(Data!$A:$A,'30'!$A$2,Data!JM:JM),0)</f>
        <v>112029</v>
      </c>
      <c r="F60" s="22">
        <f t="shared" si="3"/>
        <v>0.18</v>
      </c>
    </row>
    <row r="61" spans="1:6" x14ac:dyDescent="0.2">
      <c r="A61" s="20">
        <v>26</v>
      </c>
      <c r="B61" s="172" t="s">
        <v>23</v>
      </c>
      <c r="C61" s="173"/>
      <c r="D61" s="15">
        <f>IF(F3="1",SUMIF(Data!A:A,'30'!$A$2,Data!DT:DT),0)</f>
        <v>132276</v>
      </c>
      <c r="E61" s="18">
        <f>IF(F3="1",SUMIF(Data!$A:$A,'30'!$A$2,Data!JN:JN),0)</f>
        <v>103274</v>
      </c>
      <c r="F61" s="22">
        <f t="shared" si="3"/>
        <v>0.78</v>
      </c>
    </row>
    <row r="62" spans="1:6" x14ac:dyDescent="0.2">
      <c r="A62" s="20">
        <v>28</v>
      </c>
      <c r="B62" s="172" t="s">
        <v>24</v>
      </c>
      <c r="C62" s="173"/>
      <c r="D62" s="15">
        <f>IF(F3="1",SUMIF(Data!A:A,'30'!$A$2,Data!DV:DV),0)</f>
        <v>0</v>
      </c>
      <c r="E62" s="18">
        <f>IF(F3="1",SUMIF(Data!$A:$A,'30'!$A$2,Data!JP:JP),0)</f>
        <v>0</v>
      </c>
      <c r="F62" s="22" t="str">
        <f t="shared" si="3"/>
        <v/>
      </c>
    </row>
    <row r="63" spans="1:6" ht="15.75" customHeight="1" thickBot="1" x14ac:dyDescent="0.25">
      <c r="A63" s="23">
        <v>29</v>
      </c>
      <c r="B63" s="174" t="s">
        <v>25</v>
      </c>
      <c r="C63" s="175"/>
      <c r="D63" s="24">
        <f>IF(F3="1",SUMIF(Data!A:A,'30'!$A$2,Data!DW:DW),0)</f>
        <v>0</v>
      </c>
      <c r="E63" s="25">
        <f>IF(F3="1",SUMIF(Data!$A:$A,'30'!$A$2,Data!JQ:JQ),0)</f>
        <v>0</v>
      </c>
      <c r="F63" s="26" t="str">
        <f t="shared" si="3"/>
        <v/>
      </c>
    </row>
    <row r="64" spans="1:6" x14ac:dyDescent="0.2">
      <c r="B64" s="31" t="s">
        <v>35</v>
      </c>
      <c r="C64" s="31"/>
      <c r="D64" s="61">
        <f>SUM(D36:D63)</f>
        <v>2833332</v>
      </c>
      <c r="E64" s="32">
        <f>SUM(E36:E63)</f>
        <v>2143316</v>
      </c>
      <c r="F64" s="33">
        <f t="shared" si="3"/>
        <v>0.76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64304</v>
      </c>
      <c r="E67" s="16">
        <f>IF(F3="1",SUMIF(Data!A:A,'30'!$A$2,Data!DY:DY),0)</f>
        <v>248234</v>
      </c>
      <c r="F67" s="21">
        <f t="shared" ref="F67:F95" si="4">IF(D67=0,"",ROUND(E67/D67,2))</f>
        <v>3.86</v>
      </c>
    </row>
    <row r="68" spans="1:6" x14ac:dyDescent="0.2">
      <c r="A68" s="20">
        <v>2</v>
      </c>
      <c r="B68" s="172" t="s">
        <v>1</v>
      </c>
      <c r="C68" s="173"/>
      <c r="D68" s="15">
        <f t="shared" ref="D68:D94" si="5">D37</f>
        <v>4248</v>
      </c>
      <c r="E68" s="18">
        <f>IF(F3="1",SUMIF(Data!A:A,'30'!$A$2,Data!DZ:DZ),0)</f>
        <v>74933</v>
      </c>
      <c r="F68" s="22">
        <f t="shared" si="4"/>
        <v>17.64</v>
      </c>
    </row>
    <row r="69" spans="1:6" ht="14.25" customHeight="1" x14ac:dyDescent="0.2">
      <c r="A69" s="20">
        <v>3</v>
      </c>
      <c r="B69" s="172" t="s">
        <v>2</v>
      </c>
      <c r="C69" s="173"/>
      <c r="D69" s="15">
        <f t="shared" si="5"/>
        <v>273264</v>
      </c>
      <c r="E69" s="18">
        <f>IF(F3="1",SUMIF(Data!A:A,'30'!$A$2,Data!EA:EA),0)</f>
        <v>686584</v>
      </c>
      <c r="F69" s="22">
        <f t="shared" si="4"/>
        <v>2.5099999999999998</v>
      </c>
    </row>
    <row r="70" spans="1:6" ht="14.25" customHeight="1" x14ac:dyDescent="0.2">
      <c r="A70" s="20">
        <v>4</v>
      </c>
      <c r="B70" s="172" t="s">
        <v>3</v>
      </c>
      <c r="C70" s="173"/>
      <c r="D70" s="15">
        <f t="shared" si="5"/>
        <v>109184</v>
      </c>
      <c r="E70" s="18">
        <f>IF(F3="1",SUMIF(Data!A:A,'30'!$A$2,Data!EB:EB),0)</f>
        <v>281942</v>
      </c>
      <c r="F70" s="22">
        <f t="shared" si="4"/>
        <v>2.58</v>
      </c>
    </row>
    <row r="71" spans="1:6" x14ac:dyDescent="0.2">
      <c r="A71" s="20">
        <v>5</v>
      </c>
      <c r="B71" s="172" t="s">
        <v>4</v>
      </c>
      <c r="C71" s="173"/>
      <c r="D71" s="15">
        <f t="shared" si="5"/>
        <v>0</v>
      </c>
      <c r="E71" s="18">
        <f>IF(F3="1",SUMIF(Data!A:A,'30'!$A$2,Data!EC:EC),0)</f>
        <v>0</v>
      </c>
      <c r="F71" s="22" t="str">
        <f t="shared" si="4"/>
        <v/>
      </c>
    </row>
    <row r="72" spans="1:6" x14ac:dyDescent="0.2">
      <c r="A72" s="20">
        <v>6</v>
      </c>
      <c r="B72" s="172" t="s">
        <v>5</v>
      </c>
      <c r="C72" s="173"/>
      <c r="D72" s="15">
        <f t="shared" si="5"/>
        <v>5506</v>
      </c>
      <c r="E72" s="18">
        <f>IF(F3="1",SUMIF(Data!A:A,'30'!$A$2,Data!ED:ED),0)</f>
        <v>3463</v>
      </c>
      <c r="F72" s="22">
        <f t="shared" si="4"/>
        <v>0.63</v>
      </c>
    </row>
    <row r="73" spans="1:6" x14ac:dyDescent="0.2">
      <c r="A73" s="20">
        <v>7</v>
      </c>
      <c r="B73" s="172" t="s">
        <v>6</v>
      </c>
      <c r="C73" s="173"/>
      <c r="D73" s="15">
        <f t="shared" si="5"/>
        <v>99165</v>
      </c>
      <c r="E73" s="18">
        <f>IF(F3="1",SUMIF(Data!A:A,'30'!$A$2,Data!EE:EE),0)</f>
        <v>488756</v>
      </c>
      <c r="F73" s="22">
        <f t="shared" si="4"/>
        <v>4.93</v>
      </c>
    </row>
    <row r="74" spans="1:6" x14ac:dyDescent="0.2">
      <c r="A74" s="20">
        <v>8</v>
      </c>
      <c r="B74" s="172" t="s">
        <v>7</v>
      </c>
      <c r="C74" s="173"/>
      <c r="D74" s="15">
        <f t="shared" si="5"/>
        <v>0</v>
      </c>
      <c r="E74" s="18">
        <f>IF(F3="1",SUMIF(Data!A:A,'30'!$A$2,Data!EF:EF),0)</f>
        <v>0</v>
      </c>
      <c r="F74" s="22" t="str">
        <f t="shared" si="4"/>
        <v/>
      </c>
    </row>
    <row r="75" spans="1:6" x14ac:dyDescent="0.2">
      <c r="A75" s="20">
        <v>9</v>
      </c>
      <c r="B75" s="172" t="s">
        <v>8</v>
      </c>
      <c r="C75" s="173"/>
      <c r="D75" s="15">
        <f t="shared" si="5"/>
        <v>137888</v>
      </c>
      <c r="E75" s="18">
        <f>IF(F3="1",SUMIF(Data!A:A,'30'!$A$2,Data!EG:EG),0)</f>
        <v>267305</v>
      </c>
      <c r="F75" s="22">
        <f t="shared" si="4"/>
        <v>1.94</v>
      </c>
    </row>
    <row r="76" spans="1:6" x14ac:dyDescent="0.2">
      <c r="A76" s="20">
        <v>10</v>
      </c>
      <c r="B76" s="172" t="s">
        <v>9</v>
      </c>
      <c r="C76" s="173"/>
      <c r="D76" s="15">
        <f t="shared" si="5"/>
        <v>0</v>
      </c>
      <c r="E76" s="18">
        <f>IF(F3="1",SUMIF(Data!A:A,'30'!$A$2,Data!EH:EH),0)</f>
        <v>0</v>
      </c>
      <c r="F76" s="22" t="str">
        <f t="shared" si="4"/>
        <v/>
      </c>
    </row>
    <row r="77" spans="1:6" x14ac:dyDescent="0.2">
      <c r="A77" s="20">
        <v>11</v>
      </c>
      <c r="B77" s="172" t="s">
        <v>10</v>
      </c>
      <c r="C77" s="173"/>
      <c r="D77" s="15">
        <f t="shared" si="5"/>
        <v>13772</v>
      </c>
      <c r="E77" s="18">
        <f>IF(F3="1",SUMIF(Data!A:A,'30'!$A$2,Data!EI:EI),0)</f>
        <v>3682</v>
      </c>
      <c r="F77" s="22">
        <f t="shared" si="4"/>
        <v>0.27</v>
      </c>
    </row>
    <row r="78" spans="1:6" ht="14.25" customHeight="1" x14ac:dyDescent="0.2">
      <c r="A78" s="20">
        <v>12</v>
      </c>
      <c r="B78" s="172" t="s">
        <v>11</v>
      </c>
      <c r="C78" s="173"/>
      <c r="D78" s="15">
        <f t="shared" si="5"/>
        <v>409632</v>
      </c>
      <c r="E78" s="18">
        <f>IF(F3="1",SUMIF(Data!A:A,'30'!$A$2,Data!EJ:EJ),0)</f>
        <v>1222356</v>
      </c>
      <c r="F78" s="22">
        <f t="shared" si="4"/>
        <v>2.98</v>
      </c>
    </row>
    <row r="79" spans="1:6" x14ac:dyDescent="0.2">
      <c r="A79" s="20">
        <v>13</v>
      </c>
      <c r="B79" s="172" t="s">
        <v>12</v>
      </c>
      <c r="C79" s="173"/>
      <c r="D79" s="15">
        <f t="shared" si="5"/>
        <v>75616</v>
      </c>
      <c r="E79" s="18">
        <f>IF(F3="1",SUMIF(Data!A:A,'30'!$A$2,Data!EK:EK),0)</f>
        <v>120302</v>
      </c>
      <c r="F79" s="22">
        <f t="shared" si="4"/>
        <v>1.59</v>
      </c>
    </row>
    <row r="80" spans="1:6" ht="14.25" customHeight="1" x14ac:dyDescent="0.2">
      <c r="A80" s="20">
        <v>14</v>
      </c>
      <c r="B80" s="172" t="s">
        <v>469</v>
      </c>
      <c r="C80" s="173"/>
      <c r="D80" s="15">
        <f t="shared" si="5"/>
        <v>110384</v>
      </c>
      <c r="E80" s="18">
        <f>IF(F3="1",SUMIF(Data!A:A,'30'!$A$2,Data!EL:EL),0)</f>
        <v>477643</v>
      </c>
      <c r="F80" s="22">
        <f t="shared" si="4"/>
        <v>4.33</v>
      </c>
    </row>
    <row r="81" spans="1:6" x14ac:dyDescent="0.2">
      <c r="A81" s="20">
        <v>15</v>
      </c>
      <c r="B81" s="172" t="s">
        <v>13</v>
      </c>
      <c r="C81" s="173"/>
      <c r="D81" s="15">
        <f t="shared" si="5"/>
        <v>0</v>
      </c>
      <c r="E81" s="18">
        <f>IF(F3="1",SUMIF(Data!A:A,'30'!$A$2,Data!EM:EM),0)</f>
        <v>0</v>
      </c>
      <c r="F81" s="22" t="str">
        <f t="shared" si="4"/>
        <v/>
      </c>
    </row>
    <row r="82" spans="1:6" x14ac:dyDescent="0.2">
      <c r="A82" s="20">
        <v>16</v>
      </c>
      <c r="B82" s="172" t="s">
        <v>14</v>
      </c>
      <c r="C82" s="173"/>
      <c r="D82" s="15">
        <f t="shared" si="5"/>
        <v>110429</v>
      </c>
      <c r="E82" s="18">
        <f>IF(F3="1",SUMIF(Data!A:A,'30'!$A$2,Data!EN:EN),0)</f>
        <v>397947</v>
      </c>
      <c r="F82" s="22">
        <f t="shared" si="4"/>
        <v>3.6</v>
      </c>
    </row>
    <row r="83" spans="1:6" x14ac:dyDescent="0.2">
      <c r="A83" s="20">
        <v>17</v>
      </c>
      <c r="B83" s="172" t="s">
        <v>15</v>
      </c>
      <c r="C83" s="173"/>
      <c r="D83" s="15">
        <f t="shared" si="5"/>
        <v>0</v>
      </c>
      <c r="E83" s="18">
        <f>IF(F3="1",SUMIF(Data!A:A,'30'!$A$2,Data!EO:EO),0)</f>
        <v>0</v>
      </c>
      <c r="F83" s="22" t="str">
        <f t="shared" si="4"/>
        <v/>
      </c>
    </row>
    <row r="84" spans="1:6" x14ac:dyDescent="0.2">
      <c r="A84" s="20">
        <v>18</v>
      </c>
      <c r="B84" s="172" t="s">
        <v>16</v>
      </c>
      <c r="C84" s="173"/>
      <c r="D84" s="15">
        <f t="shared" si="5"/>
        <v>194976</v>
      </c>
      <c r="E84" s="18">
        <f>IF(F3="1",SUMIF(Data!A:A,'30'!$A$2,Data!EP:EP),0)</f>
        <v>465502</v>
      </c>
      <c r="F84" s="22">
        <f t="shared" si="4"/>
        <v>2.39</v>
      </c>
    </row>
    <row r="85" spans="1:6" x14ac:dyDescent="0.2">
      <c r="A85" s="20">
        <v>19</v>
      </c>
      <c r="B85" s="172" t="s">
        <v>17</v>
      </c>
      <c r="C85" s="173"/>
      <c r="D85" s="15">
        <f t="shared" si="5"/>
        <v>363664</v>
      </c>
      <c r="E85" s="18">
        <f>IF(F3="1",SUMIF(Data!A:A,'30'!$A$2,Data!EQ:EQ),0)</f>
        <v>831324</v>
      </c>
      <c r="F85" s="22">
        <f t="shared" si="4"/>
        <v>2.29</v>
      </c>
    </row>
    <row r="86" spans="1:6" x14ac:dyDescent="0.2">
      <c r="A86" s="20">
        <v>20</v>
      </c>
      <c r="B86" s="172" t="s">
        <v>18</v>
      </c>
      <c r="C86" s="173"/>
      <c r="D86" s="15">
        <f t="shared" si="5"/>
        <v>0</v>
      </c>
      <c r="E86" s="18">
        <f>IF(F3="1",SUMIF(Data!A:A,'30'!$A$2,Data!ER:ER),0)</f>
        <v>0</v>
      </c>
      <c r="F86" s="22" t="str">
        <f t="shared" si="4"/>
        <v/>
      </c>
    </row>
    <row r="87" spans="1:6" ht="14.25" customHeight="1" x14ac:dyDescent="0.2">
      <c r="A87" s="20">
        <v>21</v>
      </c>
      <c r="B87" s="172" t="s">
        <v>466</v>
      </c>
      <c r="C87" s="173"/>
      <c r="D87" s="15">
        <f t="shared" si="5"/>
        <v>0</v>
      </c>
      <c r="E87" s="18">
        <f>IF(F3="1",SUMIF(Data!A:A,'30'!$A$2,Data!ES:ES),0)</f>
        <v>0</v>
      </c>
      <c r="F87" s="22" t="str">
        <f t="shared" si="4"/>
        <v/>
      </c>
    </row>
    <row r="88" spans="1:6" x14ac:dyDescent="0.2">
      <c r="A88" s="20">
        <v>22</v>
      </c>
      <c r="B88" s="172" t="s">
        <v>19</v>
      </c>
      <c r="C88" s="173"/>
      <c r="D88" s="15">
        <f t="shared" si="5"/>
        <v>1344</v>
      </c>
      <c r="E88" s="18">
        <f>IF(F3="1",SUMIF(Data!A:A,'30'!$A$2,Data!ET:ET),0)</f>
        <v>16628</v>
      </c>
      <c r="F88" s="22">
        <f t="shared" si="4"/>
        <v>12.37</v>
      </c>
    </row>
    <row r="89" spans="1:6" x14ac:dyDescent="0.2">
      <c r="A89" s="20">
        <v>23</v>
      </c>
      <c r="B89" s="172" t="s">
        <v>20</v>
      </c>
      <c r="C89" s="173"/>
      <c r="D89" s="15">
        <f t="shared" si="5"/>
        <v>68016</v>
      </c>
      <c r="E89" s="18">
        <f>IF(F3="1",SUMIF(Data!A:A,'30'!$A$2,Data!EU:EU),0)</f>
        <v>277790</v>
      </c>
      <c r="F89" s="22">
        <f t="shared" si="4"/>
        <v>4.08</v>
      </c>
    </row>
    <row r="90" spans="1:6" x14ac:dyDescent="0.2">
      <c r="A90" s="20">
        <v>24</v>
      </c>
      <c r="B90" s="172" t="s">
        <v>21</v>
      </c>
      <c r="C90" s="173"/>
      <c r="D90" s="15">
        <f t="shared" si="5"/>
        <v>26160</v>
      </c>
      <c r="E90" s="18">
        <f>IF(F3="1",SUMIF(Data!A:A,'30'!$A$2,Data!EV:EV),0)</f>
        <v>104096</v>
      </c>
      <c r="F90" s="22">
        <f t="shared" si="4"/>
        <v>3.98</v>
      </c>
    </row>
    <row r="91" spans="1:6" x14ac:dyDescent="0.2">
      <c r="A91" s="20">
        <v>25</v>
      </c>
      <c r="B91" s="172" t="s">
        <v>22</v>
      </c>
      <c r="C91" s="173"/>
      <c r="D91" s="15">
        <f t="shared" si="5"/>
        <v>633504</v>
      </c>
      <c r="E91" s="18">
        <f>IF(F3="1",SUMIF(Data!A:A,'30'!$A$2,Data!EW:EW),0)</f>
        <v>1352668</v>
      </c>
      <c r="F91" s="22">
        <f t="shared" si="4"/>
        <v>2.14</v>
      </c>
    </row>
    <row r="92" spans="1:6" x14ac:dyDescent="0.2">
      <c r="A92" s="20">
        <v>26</v>
      </c>
      <c r="B92" s="172" t="s">
        <v>23</v>
      </c>
      <c r="C92" s="173"/>
      <c r="D92" s="15">
        <f t="shared" si="5"/>
        <v>132276</v>
      </c>
      <c r="E92" s="18">
        <f>IF(F3="1",SUMIF(Data!A:A,'30'!$A$2,Data!EX:EX),0)</f>
        <v>399338</v>
      </c>
      <c r="F92" s="22">
        <f t="shared" si="4"/>
        <v>3.02</v>
      </c>
    </row>
    <row r="93" spans="1:6" x14ac:dyDescent="0.2">
      <c r="A93" s="20">
        <v>28</v>
      </c>
      <c r="B93" s="172" t="s">
        <v>24</v>
      </c>
      <c r="C93" s="173"/>
      <c r="D93" s="15">
        <f t="shared" si="5"/>
        <v>0</v>
      </c>
      <c r="E93" s="18">
        <f>IF(F3="1",SUMIF(Data!A:A,'30'!$A$2,Data!EZ:EZ),0)</f>
        <v>0</v>
      </c>
      <c r="F93" s="22" t="str">
        <f t="shared" si="4"/>
        <v/>
      </c>
    </row>
    <row r="94" spans="1:6" ht="15.75" customHeight="1" thickBot="1" x14ac:dyDescent="0.25">
      <c r="A94" s="23">
        <v>29</v>
      </c>
      <c r="B94" s="174" t="s">
        <v>25</v>
      </c>
      <c r="C94" s="175"/>
      <c r="D94" s="24">
        <f t="shared" si="5"/>
        <v>0</v>
      </c>
      <c r="E94" s="25">
        <f>IF(F3="1",SUMIF(Data!A:A,'30'!$A$2,Data!FA:FA),0)</f>
        <v>0</v>
      </c>
      <c r="F94" s="26" t="str">
        <f t="shared" si="4"/>
        <v/>
      </c>
    </row>
    <row r="95" spans="1:6" x14ac:dyDescent="0.2">
      <c r="B95" s="31" t="s">
        <v>35</v>
      </c>
      <c r="C95" s="31"/>
      <c r="D95" s="61">
        <f>SUM(D67:D94)</f>
        <v>2833332</v>
      </c>
      <c r="E95" s="32">
        <f>SUM(E67:E94)</f>
        <v>7720493</v>
      </c>
      <c r="F95" s="33">
        <f t="shared" si="4"/>
        <v>2.72</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IF(F3="1",SUMIF(Data!A:A,'30'!$A$2,Data!AH:AH),0)</f>
        <v>2578777</v>
      </c>
      <c r="F98" s="21">
        <f>IF($D$105=0,"",ROUND(E98/$D$105,2))</f>
        <v>0.91</v>
      </c>
    </row>
    <row r="99" spans="2:6" x14ac:dyDescent="0.2">
      <c r="B99" s="178" t="s">
        <v>31</v>
      </c>
      <c r="C99" s="179"/>
      <c r="D99" s="37"/>
      <c r="E99" s="18">
        <f>IF(F3="1",SUMIF(Data!A:A,'30'!$A$2,Data!AI:AI),0)</f>
        <v>1105576</v>
      </c>
      <c r="F99" s="22">
        <f t="shared" ref="F99:F105" si="6">IF($D$105=0,"",ROUND(E99/$D$105,2))</f>
        <v>0.39</v>
      </c>
    </row>
    <row r="100" spans="2:6" x14ac:dyDescent="0.2">
      <c r="B100" s="178" t="s">
        <v>32</v>
      </c>
      <c r="C100" s="179"/>
      <c r="D100" s="37"/>
      <c r="E100" s="18">
        <f>IF(F3="1",SUMIF(Data!A:A,'30'!$A$2,Data!AJ:AJ),0)</f>
        <v>1994347</v>
      </c>
      <c r="F100" s="22">
        <f t="shared" si="6"/>
        <v>0.7</v>
      </c>
    </row>
    <row r="101" spans="2:6" x14ac:dyDescent="0.2">
      <c r="B101" s="178" t="s">
        <v>28</v>
      </c>
      <c r="C101" s="179"/>
      <c r="D101" s="37"/>
      <c r="E101" s="18">
        <f>IF(F3="1",SUMIF(Data!A:A,'30'!$A$2,Data!AK:AK),0)</f>
        <v>78688</v>
      </c>
      <c r="F101" s="22">
        <f t="shared" si="6"/>
        <v>0.03</v>
      </c>
    </row>
    <row r="102" spans="2:6" x14ac:dyDescent="0.2">
      <c r="B102" s="178" t="s">
        <v>33</v>
      </c>
      <c r="C102" s="179"/>
      <c r="D102" s="37"/>
      <c r="E102" s="18">
        <f>IF(F3="1",SUMIF(Data!A:A,'30'!$A$2,Data!AL:AL),0)</f>
        <v>0</v>
      </c>
      <c r="F102" s="22">
        <f t="shared" si="6"/>
        <v>0</v>
      </c>
    </row>
    <row r="103" spans="2:6" x14ac:dyDescent="0.2">
      <c r="B103" s="180" t="s">
        <v>34</v>
      </c>
      <c r="C103" s="181"/>
      <c r="D103" s="37"/>
      <c r="E103" s="18">
        <f>IF(F3="1",SUMIF(Data!A:A,'30'!$A$2,Data!AM:AM),0)</f>
        <v>413725</v>
      </c>
      <c r="F103" s="22">
        <f t="shared" si="6"/>
        <v>0.15</v>
      </c>
    </row>
    <row r="104" spans="2:6" ht="15.75" customHeight="1" thickBot="1" x14ac:dyDescent="0.25">
      <c r="B104" s="170" t="s">
        <v>29</v>
      </c>
      <c r="C104" s="171"/>
      <c r="D104" s="38"/>
      <c r="E104" s="25">
        <f>IF(F3="1",SUMIF(Data!A:A,'30'!$A$2,Data!Q:Q),0)</f>
        <v>200388</v>
      </c>
      <c r="F104" s="26">
        <f t="shared" si="6"/>
        <v>7.0000000000000007E-2</v>
      </c>
    </row>
    <row r="105" spans="2:6" x14ac:dyDescent="0.2">
      <c r="B105" s="31" t="s">
        <v>35</v>
      </c>
      <c r="C105" s="31"/>
      <c r="D105" s="35">
        <f>D95</f>
        <v>2833332</v>
      </c>
      <c r="E105" s="32">
        <f>SUM(E98:E104)</f>
        <v>6371501</v>
      </c>
      <c r="F105" s="33">
        <f t="shared" si="6"/>
        <v>2.25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8046417</v>
      </c>
      <c r="D109" s="16">
        <f>IF(F3="1",SUMIF(Data!$A:$A,$A$2,Data!HJ:HJ),0)</f>
        <v>379845</v>
      </c>
      <c r="E109" s="16">
        <f>IF(F3="1",SUMIF(Data!$A:$A,$A$2,Data!IN:IN),0)</f>
        <v>1437544</v>
      </c>
      <c r="F109" s="48">
        <f>SUM(C109:E109)</f>
        <v>9863806</v>
      </c>
    </row>
    <row r="110" spans="2:6" x14ac:dyDescent="0.2">
      <c r="B110" s="43" t="s">
        <v>28</v>
      </c>
      <c r="C110" s="51">
        <f>IF(F3="1",SUMIF(Data!A:A,$A$2,Data!W:W),0)</f>
        <v>52810</v>
      </c>
      <c r="D110" s="52"/>
      <c r="E110" s="51">
        <f>IF(F3="1",SUMIF(Data!A:A,$A$2,Data!W:W),0)</f>
        <v>52810</v>
      </c>
      <c r="F110" s="49">
        <f t="shared" ref="F110:F116" si="7">SUM(C110:E110)</f>
        <v>105620</v>
      </c>
    </row>
    <row r="111" spans="2:6" x14ac:dyDescent="0.2">
      <c r="B111" s="43" t="s">
        <v>936</v>
      </c>
      <c r="C111" s="51">
        <f>IF(F3="1",SUMIF(Data!A:A,$A$2,Data!AS:AS),0)</f>
        <v>282221</v>
      </c>
      <c r="D111" s="52"/>
      <c r="E111" s="51">
        <f>IF(F3="1",SUMIF(Data!A:A,$A$2,Data!AX:AX),0)</f>
        <v>136303</v>
      </c>
      <c r="F111" s="49">
        <f t="shared" si="7"/>
        <v>418524</v>
      </c>
    </row>
    <row r="112" spans="2:6" x14ac:dyDescent="0.2">
      <c r="B112" s="43" t="s">
        <v>32</v>
      </c>
      <c r="C112" s="51">
        <f>IF(F3="1",SUMIF(Data!A:A,$A$2,Data!V:V),0)</f>
        <v>1641884</v>
      </c>
      <c r="D112" s="52"/>
      <c r="E112" s="51">
        <f>IF(F3="1",SUMIF(Data!A:A,$A$2,Data!AC:AC),0)</f>
        <v>352463</v>
      </c>
      <c r="F112" s="49">
        <f t="shared" si="7"/>
        <v>1994347</v>
      </c>
    </row>
    <row r="113" spans="1:6" x14ac:dyDescent="0.2">
      <c r="B113" s="43" t="s">
        <v>31</v>
      </c>
      <c r="C113" s="51">
        <f>IF(F3="1",SUMIF(Data!A:A,$A$2,Data!U:U),0)</f>
        <v>926149</v>
      </c>
      <c r="D113" s="52"/>
      <c r="E113" s="51">
        <f>IF(F3="1",SUMIF(Data!A:A,$A$2,Data!AB:AB),0)</f>
        <v>179427</v>
      </c>
      <c r="F113" s="49">
        <f t="shared" si="7"/>
        <v>1105576</v>
      </c>
    </row>
    <row r="114" spans="1:6" x14ac:dyDescent="0.2">
      <c r="B114" s="43" t="s">
        <v>1021</v>
      </c>
      <c r="C114" s="51">
        <f>IF(F3="1",SUMIF(Data!A:A,$A$2,Data!T:T),0)</f>
        <v>1341842</v>
      </c>
      <c r="D114" s="52"/>
      <c r="E114" s="51">
        <f>IF(F3="1",SUMIF(Data!A:A,$A$2,Data!AA:AA),0)</f>
        <v>1236935</v>
      </c>
      <c r="F114" s="49">
        <f t="shared" si="7"/>
        <v>2578777</v>
      </c>
    </row>
    <row r="115" spans="1:6" x14ac:dyDescent="0.2">
      <c r="B115" s="43" t="s">
        <v>937</v>
      </c>
      <c r="C115" s="51">
        <f>IF(F3="1",SUMIF(Data!A:A,$A$2,Data!BI:BI),0)</f>
        <v>366384</v>
      </c>
      <c r="D115" s="51">
        <f>IF(F3="1",SUMIF(Data!A:A,$A$2,Data!BL:BL),0)</f>
        <v>98972</v>
      </c>
      <c r="E115" s="51">
        <f>IF(F3="1",SUMIF(Data!A:A,$A$2,Data!BU:BU),0)</f>
        <v>1821640</v>
      </c>
      <c r="F115" s="49">
        <f t="shared" si="7"/>
        <v>2286996</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200388</v>
      </c>
      <c r="E117" s="53"/>
      <c r="F117" s="50">
        <f>SUM(C117:E117)</f>
        <v>200388</v>
      </c>
    </row>
    <row r="118" spans="1:6" x14ac:dyDescent="0.2">
      <c r="B118" s="14" t="s">
        <v>35</v>
      </c>
      <c r="C118" s="5">
        <f>SUM(C109:C116)</f>
        <v>12657707</v>
      </c>
      <c r="D118" s="5">
        <f>SUM(D109:D116)</f>
        <v>478817</v>
      </c>
      <c r="E118" s="5">
        <f>SUM(E109:E116)</f>
        <v>5217122</v>
      </c>
      <c r="F118" s="5">
        <f>SUM(F109:F116)</f>
        <v>18353646</v>
      </c>
    </row>
    <row r="119" spans="1:6" ht="15" thickBot="1" x14ac:dyDescent="0.25"/>
    <row r="120" spans="1:6" ht="15" thickBot="1" x14ac:dyDescent="0.25">
      <c r="B120" s="57" t="s">
        <v>942</v>
      </c>
      <c r="C120" s="55"/>
      <c r="D120" s="55"/>
      <c r="E120" s="55">
        <f>IF(F3="1",SUMIF(Data!A:A,'30'!$A$2,Data!AM:AM),0)</f>
        <v>413725</v>
      </c>
      <c r="F120" s="56">
        <f>SUM(C120:E120)</f>
        <v>413725</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448</v>
      </c>
      <c r="B2" s="60" t="str">
        <f>VLOOKUP(A2,Data!A:G,7,0)</f>
        <v>Northeast Texas Community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13040</v>
      </c>
      <c r="E5" s="16">
        <f>E36+E67+IFERROR($E$105/$D$105*D5,0)</f>
        <v>210854.57657523209</v>
      </c>
      <c r="F5" s="21">
        <f>IF(OR(D5=0,E5=0),"",ROUND(E5/D5,2))</f>
        <v>16.170000000000002</v>
      </c>
    </row>
    <row r="6" spans="1:6" x14ac:dyDescent="0.2">
      <c r="A6" s="20">
        <v>2</v>
      </c>
      <c r="B6" s="172" t="s">
        <v>1</v>
      </c>
      <c r="C6" s="173"/>
      <c r="D6" s="15">
        <f t="shared" ref="D6:D32" si="0">D37</f>
        <v>29392</v>
      </c>
      <c r="E6" s="18">
        <f t="shared" ref="E6:E32" si="1">E37+E68+IFERROR($E$105/$D$105*D6,0)</f>
        <v>223294.14867325313</v>
      </c>
      <c r="F6" s="22">
        <f t="shared" ref="F6:F33" si="2">IF(OR(D6=0,E6=0),"",ROUND(E6/D6,2))</f>
        <v>7.6</v>
      </c>
    </row>
    <row r="7" spans="1:6" ht="14.25" customHeight="1" x14ac:dyDescent="0.2">
      <c r="A7" s="20">
        <v>3</v>
      </c>
      <c r="B7" s="172" t="s">
        <v>2</v>
      </c>
      <c r="C7" s="173"/>
      <c r="D7" s="15">
        <f t="shared" si="0"/>
        <v>154032</v>
      </c>
      <c r="E7" s="18">
        <f t="shared" si="1"/>
        <v>1124824.5309076798</v>
      </c>
      <c r="F7" s="22">
        <f t="shared" si="2"/>
        <v>7.3</v>
      </c>
    </row>
    <row r="8" spans="1:6" ht="14.25" customHeight="1" x14ac:dyDescent="0.2">
      <c r="A8" s="20">
        <v>4</v>
      </c>
      <c r="B8" s="172" t="s">
        <v>3</v>
      </c>
      <c r="C8" s="173"/>
      <c r="D8" s="15">
        <f t="shared" si="0"/>
        <v>68672</v>
      </c>
      <c r="E8" s="18">
        <f t="shared" si="1"/>
        <v>491706.80571889086</v>
      </c>
      <c r="F8" s="22">
        <f t="shared" si="2"/>
        <v>7.16</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2528</v>
      </c>
      <c r="E10" s="18">
        <f t="shared" si="1"/>
        <v>34559.851655075661</v>
      </c>
      <c r="F10" s="22">
        <f t="shared" si="2"/>
        <v>13.67</v>
      </c>
    </row>
    <row r="11" spans="1:6" x14ac:dyDescent="0.2">
      <c r="A11" s="20">
        <v>7</v>
      </c>
      <c r="B11" s="172" t="s">
        <v>6</v>
      </c>
      <c r="C11" s="173"/>
      <c r="D11" s="15">
        <f t="shared" si="0"/>
        <v>16780</v>
      </c>
      <c r="E11" s="18">
        <f t="shared" si="1"/>
        <v>248924.75267886458</v>
      </c>
      <c r="F11" s="22">
        <f t="shared" si="2"/>
        <v>14.83</v>
      </c>
    </row>
    <row r="12" spans="1:6" x14ac:dyDescent="0.2">
      <c r="A12" s="20">
        <v>8</v>
      </c>
      <c r="B12" s="172" t="s">
        <v>7</v>
      </c>
      <c r="C12" s="173"/>
      <c r="D12" s="15">
        <f t="shared" si="0"/>
        <v>3016</v>
      </c>
      <c r="E12" s="18">
        <f t="shared" si="1"/>
        <v>21131.879980897233</v>
      </c>
      <c r="F12" s="22">
        <f t="shared" si="2"/>
        <v>7.01</v>
      </c>
    </row>
    <row r="13" spans="1:6" x14ac:dyDescent="0.2">
      <c r="A13" s="20">
        <v>9</v>
      </c>
      <c r="B13" s="172" t="s">
        <v>8</v>
      </c>
      <c r="C13" s="173"/>
      <c r="D13" s="15">
        <f t="shared" si="0"/>
        <v>44610</v>
      </c>
      <c r="E13" s="18">
        <f t="shared" si="1"/>
        <v>243406.29839118884</v>
      </c>
      <c r="F13" s="22">
        <f t="shared" si="2"/>
        <v>5.46</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5872</v>
      </c>
      <c r="E15" s="18">
        <f t="shared" si="1"/>
        <v>19264.832641852969</v>
      </c>
      <c r="F15" s="22">
        <f t="shared" si="2"/>
        <v>3.28</v>
      </c>
    </row>
    <row r="16" spans="1:6" ht="14.25" customHeight="1" x14ac:dyDescent="0.2">
      <c r="A16" s="20">
        <v>12</v>
      </c>
      <c r="B16" s="172" t="s">
        <v>11</v>
      </c>
      <c r="C16" s="173"/>
      <c r="D16" s="15">
        <f t="shared" si="0"/>
        <v>175312</v>
      </c>
      <c r="E16" s="18">
        <f t="shared" si="1"/>
        <v>1149825.8644598993</v>
      </c>
      <c r="F16" s="22">
        <f t="shared" si="2"/>
        <v>6.56</v>
      </c>
    </row>
    <row r="17" spans="1:6" x14ac:dyDescent="0.2">
      <c r="A17" s="20">
        <v>13</v>
      </c>
      <c r="B17" s="172" t="s">
        <v>12</v>
      </c>
      <c r="C17" s="173"/>
      <c r="D17" s="15">
        <f t="shared" si="0"/>
        <v>7500</v>
      </c>
      <c r="E17" s="18">
        <f t="shared" si="1"/>
        <v>92929.968122257706</v>
      </c>
      <c r="F17" s="22">
        <f t="shared" si="2"/>
        <v>12.39</v>
      </c>
    </row>
    <row r="18" spans="1:6" ht="14.25" customHeight="1" x14ac:dyDescent="0.2">
      <c r="A18" s="20">
        <v>14</v>
      </c>
      <c r="B18" s="172" t="s">
        <v>469</v>
      </c>
      <c r="C18" s="173"/>
      <c r="D18" s="15">
        <f t="shared" si="0"/>
        <v>52257</v>
      </c>
      <c r="E18" s="18">
        <f t="shared" si="1"/>
        <v>554666.54348864278</v>
      </c>
      <c r="F18" s="22">
        <f t="shared" si="2"/>
        <v>10.61</v>
      </c>
    </row>
    <row r="19" spans="1:6" x14ac:dyDescent="0.2">
      <c r="A19" s="20">
        <v>15</v>
      </c>
      <c r="B19" s="172" t="s">
        <v>13</v>
      </c>
      <c r="C19" s="173"/>
      <c r="D19" s="15">
        <f t="shared" si="0"/>
        <v>17888</v>
      </c>
      <c r="E19" s="18">
        <f t="shared" si="1"/>
        <v>287347.87436945946</v>
      </c>
      <c r="F19" s="22">
        <f t="shared" si="2"/>
        <v>16.059999999999999</v>
      </c>
    </row>
    <row r="20" spans="1:6" x14ac:dyDescent="0.2">
      <c r="A20" s="20">
        <v>16</v>
      </c>
      <c r="B20" s="172" t="s">
        <v>14</v>
      </c>
      <c r="C20" s="173"/>
      <c r="D20" s="15">
        <f t="shared" si="0"/>
        <v>94318</v>
      </c>
      <c r="E20" s="18">
        <f t="shared" si="1"/>
        <v>794639.09351401369</v>
      </c>
      <c r="F20" s="22">
        <f t="shared" si="2"/>
        <v>8.43</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30944</v>
      </c>
      <c r="E22" s="18">
        <f t="shared" si="1"/>
        <v>302602.94367668568</v>
      </c>
      <c r="F22" s="22">
        <f t="shared" si="2"/>
        <v>9.7799999999999994</v>
      </c>
    </row>
    <row r="23" spans="1:6" x14ac:dyDescent="0.2">
      <c r="A23" s="20">
        <v>19</v>
      </c>
      <c r="B23" s="172" t="s">
        <v>17</v>
      </c>
      <c r="C23" s="173"/>
      <c r="D23" s="15">
        <f t="shared" si="0"/>
        <v>105200</v>
      </c>
      <c r="E23" s="18">
        <f t="shared" si="1"/>
        <v>716717.71286153479</v>
      </c>
      <c r="F23" s="22">
        <f t="shared" si="2"/>
        <v>6.81</v>
      </c>
    </row>
    <row r="24" spans="1:6" x14ac:dyDescent="0.2">
      <c r="A24" s="20">
        <v>20</v>
      </c>
      <c r="B24" s="172" t="s">
        <v>18</v>
      </c>
      <c r="C24" s="173"/>
      <c r="D24" s="15">
        <f t="shared" si="0"/>
        <v>17174</v>
      </c>
      <c r="E24" s="18">
        <f t="shared" si="1"/>
        <v>134855.38620422053</v>
      </c>
      <c r="F24" s="22">
        <f t="shared" si="2"/>
        <v>7.85</v>
      </c>
    </row>
    <row r="25" spans="1:6" ht="14.25" customHeight="1" x14ac:dyDescent="0.2">
      <c r="A25" s="20">
        <v>21</v>
      </c>
      <c r="B25" s="172" t="s">
        <v>466</v>
      </c>
      <c r="C25" s="173"/>
      <c r="D25" s="15">
        <f t="shared" si="0"/>
        <v>7627</v>
      </c>
      <c r="E25" s="18">
        <f t="shared" si="1"/>
        <v>142061.62918246127</v>
      </c>
      <c r="F25" s="22">
        <f t="shared" si="2"/>
        <v>18.63</v>
      </c>
    </row>
    <row r="26" spans="1:6" x14ac:dyDescent="0.2">
      <c r="A26" s="20">
        <v>22</v>
      </c>
      <c r="B26" s="172" t="s">
        <v>19</v>
      </c>
      <c r="C26" s="173"/>
      <c r="D26" s="15">
        <f t="shared" si="0"/>
        <v>408</v>
      </c>
      <c r="E26" s="18">
        <f t="shared" si="1"/>
        <v>1338.5646658508194</v>
      </c>
      <c r="F26" s="22">
        <f t="shared" si="2"/>
        <v>3.28</v>
      </c>
    </row>
    <row r="27" spans="1:6" x14ac:dyDescent="0.2">
      <c r="A27" s="20">
        <v>23</v>
      </c>
      <c r="B27" s="172" t="s">
        <v>20</v>
      </c>
      <c r="C27" s="173"/>
      <c r="D27" s="15">
        <f t="shared" si="0"/>
        <v>39552</v>
      </c>
      <c r="E27" s="18">
        <f t="shared" si="1"/>
        <v>263514.03348953824</v>
      </c>
      <c r="F27" s="22">
        <f t="shared" si="2"/>
        <v>6.66</v>
      </c>
    </row>
    <row r="28" spans="1:6" x14ac:dyDescent="0.2">
      <c r="A28" s="20">
        <v>24</v>
      </c>
      <c r="B28" s="172" t="s">
        <v>21</v>
      </c>
      <c r="C28" s="173"/>
      <c r="D28" s="15">
        <f t="shared" si="0"/>
        <v>29444</v>
      </c>
      <c r="E28" s="18">
        <f t="shared" si="1"/>
        <v>322310.75005223416</v>
      </c>
      <c r="F28" s="22">
        <f t="shared" si="2"/>
        <v>10.95</v>
      </c>
    </row>
    <row r="29" spans="1:6" x14ac:dyDescent="0.2">
      <c r="A29" s="20">
        <v>25</v>
      </c>
      <c r="B29" s="172" t="s">
        <v>22</v>
      </c>
      <c r="C29" s="173"/>
      <c r="D29" s="15">
        <f t="shared" si="0"/>
        <v>184016</v>
      </c>
      <c r="E29" s="18">
        <f t="shared" si="1"/>
        <v>1132480.9106647167</v>
      </c>
      <c r="F29" s="22">
        <f t="shared" si="2"/>
        <v>6.15</v>
      </c>
    </row>
    <row r="30" spans="1:6" x14ac:dyDescent="0.2">
      <c r="A30" s="20">
        <v>26</v>
      </c>
      <c r="B30" s="172" t="s">
        <v>23</v>
      </c>
      <c r="C30" s="173"/>
      <c r="D30" s="15">
        <f t="shared" si="0"/>
        <v>39520</v>
      </c>
      <c r="E30" s="18">
        <f t="shared" si="1"/>
        <v>415757.04802554997</v>
      </c>
      <c r="F30" s="22">
        <f t="shared" si="2"/>
        <v>10.52</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1139102</v>
      </c>
      <c r="E33" s="32">
        <f>SUM(E5:E32)</f>
        <v>8929016.0000000019</v>
      </c>
      <c r="F33" s="33">
        <f t="shared" si="2"/>
        <v>7.84</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IF(F3="1",SUMIF(Data!A:A,'31'!$A$2,Data!CU:CU),0)</f>
        <v>13040</v>
      </c>
      <c r="E36" s="16">
        <f>IF(F3="1",SUMIF(Data!$A:$A,'31'!$A$2,Data!IO:IO),0)</f>
        <v>73406</v>
      </c>
      <c r="F36" s="21">
        <f>IF(D36=0,"",ROUND(E36/D36,2))</f>
        <v>5.63</v>
      </c>
    </row>
    <row r="37" spans="1:6" x14ac:dyDescent="0.2">
      <c r="A37" s="20">
        <v>2</v>
      </c>
      <c r="B37" s="172" t="s">
        <v>1</v>
      </c>
      <c r="C37" s="173"/>
      <c r="D37" s="15">
        <f>IF(F3="1",SUMIF(Data!A:A,'31'!$A$2,Data!CV:CV),0)</f>
        <v>29392</v>
      </c>
      <c r="E37" s="18">
        <f>IF(F3="1",SUMIF(Data!$A:$A,'31'!$A$2,Data!IP:IP),0)</f>
        <v>23647</v>
      </c>
      <c r="F37" s="22">
        <f t="shared" ref="F37:F64" si="3">IF(D37=0,"",ROUND(E37/D37,2))</f>
        <v>0.8</v>
      </c>
    </row>
    <row r="38" spans="1:6" ht="14.25" customHeight="1" x14ac:dyDescent="0.2">
      <c r="A38" s="20">
        <v>3</v>
      </c>
      <c r="B38" s="172" t="s">
        <v>2</v>
      </c>
      <c r="C38" s="173"/>
      <c r="D38" s="15">
        <f>IF(F3="1",SUMIF(Data!A:A,'31'!$A$2,Data!CW:CW),0)</f>
        <v>154032</v>
      </c>
      <c r="E38" s="18">
        <f>IF(F3="1",SUMIF(Data!$A:$A,'31'!$A$2,Data!IQ:IQ),0)</f>
        <v>78456</v>
      </c>
      <c r="F38" s="22">
        <f t="shared" si="3"/>
        <v>0.51</v>
      </c>
    </row>
    <row r="39" spans="1:6" ht="14.25" customHeight="1" x14ac:dyDescent="0.2">
      <c r="A39" s="20">
        <v>4</v>
      </c>
      <c r="B39" s="172" t="s">
        <v>3</v>
      </c>
      <c r="C39" s="173"/>
      <c r="D39" s="15">
        <f>IF(F3="1",SUMIF(Data!A:A,'31'!$A$2,Data!CX:CX),0)</f>
        <v>68672</v>
      </c>
      <c r="E39" s="18">
        <f>IF(F3="1",SUMIF(Data!$A:$A,'31'!$A$2,Data!IR:IR),0)</f>
        <v>22733</v>
      </c>
      <c r="F39" s="22">
        <f t="shared" si="3"/>
        <v>0.33</v>
      </c>
    </row>
    <row r="40" spans="1:6" x14ac:dyDescent="0.2">
      <c r="A40" s="20">
        <v>5</v>
      </c>
      <c r="B40" s="172" t="s">
        <v>4</v>
      </c>
      <c r="C40" s="173"/>
      <c r="D40" s="15">
        <f>IF(F3="1",SUMIF(Data!A:A,'31'!$A$2,Data!CY:CY),0)</f>
        <v>0</v>
      </c>
      <c r="E40" s="18">
        <f>IF(F3="1",SUMIF(Data!$A:$A,'31'!$A$2,Data!IS:IS),0)</f>
        <v>0</v>
      </c>
      <c r="F40" s="22" t="str">
        <f t="shared" si="3"/>
        <v/>
      </c>
    </row>
    <row r="41" spans="1:6" x14ac:dyDescent="0.2">
      <c r="A41" s="20">
        <v>6</v>
      </c>
      <c r="B41" s="172" t="s">
        <v>5</v>
      </c>
      <c r="C41" s="173"/>
      <c r="D41" s="15">
        <f>IF(F3="1",SUMIF(Data!A:A,'31'!$A$2,Data!CZ:CZ),0)</f>
        <v>2528</v>
      </c>
      <c r="E41" s="18">
        <f>IF(F3="1",SUMIF(Data!$A:$A,'31'!$A$2,Data!IT:IT),0)</f>
        <v>26266</v>
      </c>
      <c r="F41" s="22">
        <f t="shared" si="3"/>
        <v>10.39</v>
      </c>
    </row>
    <row r="42" spans="1:6" x14ac:dyDescent="0.2">
      <c r="A42" s="20">
        <v>7</v>
      </c>
      <c r="B42" s="172" t="s">
        <v>6</v>
      </c>
      <c r="C42" s="173"/>
      <c r="D42" s="15">
        <f>IF(F3="1",SUMIF(Data!A:A,'31'!$A$2,Data!DA:DA),0)</f>
        <v>16780</v>
      </c>
      <c r="E42" s="18">
        <f>IF(F3="1",SUMIF(Data!$A:$A,'31'!$A$2,Data!IU:IU),0)</f>
        <v>15323</v>
      </c>
      <c r="F42" s="22">
        <f t="shared" si="3"/>
        <v>0.91</v>
      </c>
    </row>
    <row r="43" spans="1:6" x14ac:dyDescent="0.2">
      <c r="A43" s="20">
        <v>8</v>
      </c>
      <c r="B43" s="172" t="s">
        <v>7</v>
      </c>
      <c r="C43" s="173"/>
      <c r="D43" s="15">
        <f>IF(F3="1",SUMIF(Data!A:A,'31'!$A$2,Data!DB:DB),0)</f>
        <v>3016</v>
      </c>
      <c r="E43" s="18">
        <f>IF(F3="1",SUMIF(Data!$A:$A,'31'!$A$2,Data!IV:IV),0)</f>
        <v>7021</v>
      </c>
      <c r="F43" s="22">
        <f t="shared" si="3"/>
        <v>2.33</v>
      </c>
    </row>
    <row r="44" spans="1:6" x14ac:dyDescent="0.2">
      <c r="A44" s="20">
        <v>9</v>
      </c>
      <c r="B44" s="172" t="s">
        <v>8</v>
      </c>
      <c r="C44" s="173"/>
      <c r="D44" s="15">
        <f>IF(F3="1",SUMIF(Data!A:A,'31'!$A$2,Data!DC:DC),0)</f>
        <v>44610</v>
      </c>
      <c r="E44" s="18">
        <f>IF(F3="1",SUMIF(Data!$A:$A,'31'!$A$2,Data!IW:IW),0)</f>
        <v>15572</v>
      </c>
      <c r="F44" s="22">
        <f t="shared" si="3"/>
        <v>0.35</v>
      </c>
    </row>
    <row r="45" spans="1:6" x14ac:dyDescent="0.2">
      <c r="A45" s="20">
        <v>10</v>
      </c>
      <c r="B45" s="172" t="s">
        <v>9</v>
      </c>
      <c r="C45" s="173"/>
      <c r="D45" s="15">
        <f>IF(F3="1",SUMIF(Data!A:A,'31'!$A$2,Data!DD:DD),0)</f>
        <v>0</v>
      </c>
      <c r="E45" s="18">
        <f>IF(F3="1",SUMIF(Data!$A:$A,'31'!$A$2,Data!IX:IX),0)</f>
        <v>0</v>
      </c>
      <c r="F45" s="22" t="str">
        <f t="shared" si="3"/>
        <v/>
      </c>
    </row>
    <row r="46" spans="1:6" x14ac:dyDescent="0.2">
      <c r="A46" s="20">
        <v>11</v>
      </c>
      <c r="B46" s="172" t="s">
        <v>10</v>
      </c>
      <c r="C46" s="173"/>
      <c r="D46" s="15">
        <f>IF(F3="1",SUMIF(Data!A:A,'31'!$A$2,Data!DE:DE),0)</f>
        <v>5872</v>
      </c>
      <c r="E46" s="18">
        <f>IF(F3="1",SUMIF(Data!$A:$A,'31'!$A$2,Data!IY:IY),0)</f>
        <v>0</v>
      </c>
      <c r="F46" s="22">
        <f t="shared" si="3"/>
        <v>0</v>
      </c>
    </row>
    <row r="47" spans="1:6" ht="14.25" customHeight="1" x14ac:dyDescent="0.2">
      <c r="A47" s="20">
        <v>12</v>
      </c>
      <c r="B47" s="172" t="s">
        <v>11</v>
      </c>
      <c r="C47" s="173"/>
      <c r="D47" s="15">
        <f>IF(F3="1",SUMIF(Data!A:A,'31'!$A$2,Data!DF:DF),0)</f>
        <v>175312</v>
      </c>
      <c r="E47" s="18">
        <f>IF(F3="1",SUMIF(Data!$A:$A,'31'!$A$2,Data!IZ:IZ),0)</f>
        <v>68148</v>
      </c>
      <c r="F47" s="22">
        <f t="shared" si="3"/>
        <v>0.39</v>
      </c>
    </row>
    <row r="48" spans="1:6" x14ac:dyDescent="0.2">
      <c r="A48" s="20">
        <v>13</v>
      </c>
      <c r="B48" s="172" t="s">
        <v>12</v>
      </c>
      <c r="C48" s="173"/>
      <c r="D48" s="15">
        <f>IF(F3="1",SUMIF(Data!A:A,'31'!$A$2,Data!DG:DG),0)</f>
        <v>7500</v>
      </c>
      <c r="E48" s="18">
        <f>IF(F3="1",SUMIF(Data!$A:$A,'31'!$A$2,Data!JA:JA),0)</f>
        <v>6733</v>
      </c>
      <c r="F48" s="22">
        <f t="shared" si="3"/>
        <v>0.9</v>
      </c>
    </row>
    <row r="49" spans="1:6" ht="14.25" customHeight="1" x14ac:dyDescent="0.2">
      <c r="A49" s="20">
        <v>14</v>
      </c>
      <c r="B49" s="172" t="s">
        <v>469</v>
      </c>
      <c r="C49" s="173"/>
      <c r="D49" s="15">
        <f>IF(F3="1",SUMIF(Data!A:A,'31'!$A$2,Data!DH:DH),0)</f>
        <v>52257</v>
      </c>
      <c r="E49" s="18">
        <f>IF(F3="1",SUMIF(Data!$A:$A,'31'!$A$2,Data!JB:JB),0)</f>
        <v>49417</v>
      </c>
      <c r="F49" s="22">
        <f t="shared" si="3"/>
        <v>0.95</v>
      </c>
    </row>
    <row r="50" spans="1:6" x14ac:dyDescent="0.2">
      <c r="A50" s="20">
        <v>15</v>
      </c>
      <c r="B50" s="172" t="s">
        <v>13</v>
      </c>
      <c r="C50" s="173"/>
      <c r="D50" s="15">
        <f>IF(F3="1",SUMIF(Data!A:A,'31'!$A$2,Data!DI:DI),0)</f>
        <v>17888</v>
      </c>
      <c r="E50" s="18">
        <f>IF(F3="1",SUMIF(Data!$A:$A,'31'!$A$2,Data!JC:JC),0)</f>
        <v>33479</v>
      </c>
      <c r="F50" s="22">
        <f t="shared" si="3"/>
        <v>1.87</v>
      </c>
    </row>
    <row r="51" spans="1:6" x14ac:dyDescent="0.2">
      <c r="A51" s="20">
        <v>16</v>
      </c>
      <c r="B51" s="172" t="s">
        <v>14</v>
      </c>
      <c r="C51" s="173"/>
      <c r="D51" s="15">
        <f>IF(F3="1",SUMIF(Data!A:A,'31'!$A$2,Data!DJ:DJ),0)</f>
        <v>94318</v>
      </c>
      <c r="E51" s="18">
        <f>IF(F3="1",SUMIF(Data!$A:$A,'31'!$A$2,Data!JD:JD),0)</f>
        <v>123107</v>
      </c>
      <c r="F51" s="22">
        <f t="shared" si="3"/>
        <v>1.31</v>
      </c>
    </row>
    <row r="52" spans="1:6" x14ac:dyDescent="0.2">
      <c r="A52" s="20">
        <v>17</v>
      </c>
      <c r="B52" s="172" t="s">
        <v>15</v>
      </c>
      <c r="C52" s="173"/>
      <c r="D52" s="15">
        <f>IF(F3="1",SUMIF(Data!A:A,'31'!$A$2,Data!DK:DK),0)</f>
        <v>0</v>
      </c>
      <c r="E52" s="18">
        <f>IF(F3="1",SUMIF(Data!$A:$A,'31'!$A$2,Data!JE:JE),0)</f>
        <v>0</v>
      </c>
      <c r="F52" s="22" t="str">
        <f t="shared" si="3"/>
        <v/>
      </c>
    </row>
    <row r="53" spans="1:6" x14ac:dyDescent="0.2">
      <c r="A53" s="20">
        <v>18</v>
      </c>
      <c r="B53" s="172" t="s">
        <v>16</v>
      </c>
      <c r="C53" s="173"/>
      <c r="D53" s="15">
        <f>IF(F3="1",SUMIF(Data!A:A,'31'!$A$2,Data!DL:DL),0)</f>
        <v>30944</v>
      </c>
      <c r="E53" s="18">
        <f>IF(F3="1",SUMIF(Data!$A:$A,'31'!$A$2,Data!JF:JF),0)</f>
        <v>23800</v>
      </c>
      <c r="F53" s="22">
        <f t="shared" si="3"/>
        <v>0.77</v>
      </c>
    </row>
    <row r="54" spans="1:6" x14ac:dyDescent="0.2">
      <c r="A54" s="20">
        <v>19</v>
      </c>
      <c r="B54" s="172" t="s">
        <v>17</v>
      </c>
      <c r="C54" s="173"/>
      <c r="D54" s="15">
        <f>IF(F3="1",SUMIF(Data!A:A,'31'!$A$2,Data!DM:DM),0)</f>
        <v>105200</v>
      </c>
      <c r="E54" s="18">
        <f>IF(F3="1",SUMIF(Data!$A:$A,'31'!$A$2,Data!JG:JG),0)</f>
        <v>31525</v>
      </c>
      <c r="F54" s="22">
        <f t="shared" si="3"/>
        <v>0.3</v>
      </c>
    </row>
    <row r="55" spans="1:6" x14ac:dyDescent="0.2">
      <c r="A55" s="20">
        <v>20</v>
      </c>
      <c r="B55" s="172" t="s">
        <v>18</v>
      </c>
      <c r="C55" s="173"/>
      <c r="D55" s="15">
        <f>IF(F3="1",SUMIF(Data!A:A,'31'!$A$2,Data!DN:DN),0)</f>
        <v>17174</v>
      </c>
      <c r="E55" s="18">
        <f>IF(F3="1",SUMIF(Data!$A:$A,'31'!$A$2,Data!JH:JH),0)</f>
        <v>11485</v>
      </c>
      <c r="F55" s="22">
        <f t="shared" si="3"/>
        <v>0.67</v>
      </c>
    </row>
    <row r="56" spans="1:6" ht="14.25" customHeight="1" x14ac:dyDescent="0.2">
      <c r="A56" s="20">
        <v>21</v>
      </c>
      <c r="B56" s="172" t="s">
        <v>466</v>
      </c>
      <c r="C56" s="173"/>
      <c r="D56" s="15">
        <f>IF(F3="1",SUMIF(Data!A:A,'31'!$A$2,Data!DO:DO),0)</f>
        <v>7627</v>
      </c>
      <c r="E56" s="18">
        <f>IF(F3="1",SUMIF(Data!$A:$A,'31'!$A$2,Data!JI:JI),0)</f>
        <v>105235</v>
      </c>
      <c r="F56" s="22">
        <f t="shared" si="3"/>
        <v>13.8</v>
      </c>
    </row>
    <row r="57" spans="1:6" x14ac:dyDescent="0.2">
      <c r="A57" s="20">
        <v>22</v>
      </c>
      <c r="B57" s="172" t="s">
        <v>19</v>
      </c>
      <c r="C57" s="173"/>
      <c r="D57" s="15">
        <f>IF(F3="1",SUMIF(Data!A:A,'31'!$A$2,Data!DP:DP),0)</f>
        <v>408</v>
      </c>
      <c r="E57" s="18">
        <f>IF(F3="1",SUMIF(Data!$A:$A,'31'!$A$2,Data!JJ:JJ),0)</f>
        <v>0</v>
      </c>
      <c r="F57" s="22">
        <f t="shared" si="3"/>
        <v>0</v>
      </c>
    </row>
    <row r="58" spans="1:6" x14ac:dyDescent="0.2">
      <c r="A58" s="20">
        <v>23</v>
      </c>
      <c r="B58" s="172" t="s">
        <v>20</v>
      </c>
      <c r="C58" s="173"/>
      <c r="D58" s="15">
        <f>IF(F3="1",SUMIF(Data!A:A,'31'!$A$2,Data!DQ:DQ),0)</f>
        <v>39552</v>
      </c>
      <c r="E58" s="18">
        <f>IF(F3="1",SUMIF(Data!$A:$A,'31'!$A$2,Data!JK:JK),0)</f>
        <v>11783</v>
      </c>
      <c r="F58" s="22">
        <f t="shared" si="3"/>
        <v>0.3</v>
      </c>
    </row>
    <row r="59" spans="1:6" x14ac:dyDescent="0.2">
      <c r="A59" s="20">
        <v>24</v>
      </c>
      <c r="B59" s="172" t="s">
        <v>21</v>
      </c>
      <c r="C59" s="173"/>
      <c r="D59" s="15">
        <f>IF(F3="1",SUMIF(Data!A:A,'31'!$A$2,Data!DR:DR),0)</f>
        <v>29444</v>
      </c>
      <c r="E59" s="18">
        <f>IF(F3="1",SUMIF(Data!$A:$A,'31'!$A$2,Data!JL:JL),0)</f>
        <v>26177</v>
      </c>
      <c r="F59" s="22">
        <f t="shared" si="3"/>
        <v>0.89</v>
      </c>
    </row>
    <row r="60" spans="1:6" x14ac:dyDescent="0.2">
      <c r="A60" s="20">
        <v>25</v>
      </c>
      <c r="B60" s="172" t="s">
        <v>22</v>
      </c>
      <c r="C60" s="173"/>
      <c r="D60" s="15">
        <f>IF(F3="1",SUMIF(Data!A:A,'31'!$A$2,Data!DS:DS),0)</f>
        <v>184016</v>
      </c>
      <c r="E60" s="18">
        <f>IF(F3="1",SUMIF(Data!$A:$A,'31'!$A$2,Data!JM:JM),0)</f>
        <v>52108</v>
      </c>
      <c r="F60" s="22">
        <f t="shared" si="3"/>
        <v>0.28000000000000003</v>
      </c>
    </row>
    <row r="61" spans="1:6" x14ac:dyDescent="0.2">
      <c r="A61" s="20">
        <v>26</v>
      </c>
      <c r="B61" s="172" t="s">
        <v>23</v>
      </c>
      <c r="C61" s="173"/>
      <c r="D61" s="15">
        <f>IF(F3="1",SUMIF(Data!A:A,'31'!$A$2,Data!DT:DT),0)</f>
        <v>39520</v>
      </c>
      <c r="E61" s="18">
        <f>IF(F3="1",SUMIF(Data!$A:$A,'31'!$A$2,Data!JN:JN),0)</f>
        <v>32095</v>
      </c>
      <c r="F61" s="22">
        <f t="shared" si="3"/>
        <v>0.81</v>
      </c>
    </row>
    <row r="62" spans="1:6" x14ac:dyDescent="0.2">
      <c r="A62" s="20">
        <v>28</v>
      </c>
      <c r="B62" s="172" t="s">
        <v>24</v>
      </c>
      <c r="C62" s="173"/>
      <c r="D62" s="15">
        <f>IF(F3="1",SUMIF(Data!A:A,'31'!$A$2,Data!DV:DV),0)</f>
        <v>0</v>
      </c>
      <c r="E62" s="18">
        <f>IF(F3="1",SUMIF(Data!$A:$A,'31'!$A$2,Data!JP:JP),0)</f>
        <v>0</v>
      </c>
      <c r="F62" s="22" t="str">
        <f t="shared" si="3"/>
        <v/>
      </c>
    </row>
    <row r="63" spans="1:6" ht="15.75" customHeight="1" thickBot="1" x14ac:dyDescent="0.25">
      <c r="A63" s="23">
        <v>29</v>
      </c>
      <c r="B63" s="174" t="s">
        <v>25</v>
      </c>
      <c r="C63" s="175"/>
      <c r="D63" s="24">
        <f>IF(F3="1",SUMIF(Data!A:A,'31'!$A$2,Data!DW:DW),0)</f>
        <v>0</v>
      </c>
      <c r="E63" s="25">
        <f>IF(F3="1",SUMIF(Data!$A:$A,'31'!$A$2,Data!JQ:JQ),0)</f>
        <v>0</v>
      </c>
      <c r="F63" s="26" t="str">
        <f t="shared" si="3"/>
        <v/>
      </c>
    </row>
    <row r="64" spans="1:6" x14ac:dyDescent="0.2">
      <c r="B64" s="31" t="s">
        <v>35</v>
      </c>
      <c r="C64" s="31"/>
      <c r="D64" s="61">
        <f>SUM(D36:D63)</f>
        <v>1139102</v>
      </c>
      <c r="E64" s="32">
        <f>SUM(E36:E63)</f>
        <v>837516</v>
      </c>
      <c r="F64" s="33">
        <f t="shared" si="3"/>
        <v>0.74</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13040</v>
      </c>
      <c r="E67" s="16">
        <f>IF(F3="1",SUMIF(Data!A:A,'31'!$A$2,Data!DY:DY),0)</f>
        <v>94667</v>
      </c>
      <c r="F67" s="21">
        <f t="shared" ref="F67:F95" si="4">IF(D67=0,"",ROUND(E67/D67,2))</f>
        <v>7.26</v>
      </c>
    </row>
    <row r="68" spans="1:6" x14ac:dyDescent="0.2">
      <c r="A68" s="20">
        <v>2</v>
      </c>
      <c r="B68" s="172" t="s">
        <v>1</v>
      </c>
      <c r="C68" s="173"/>
      <c r="D68" s="15">
        <f t="shared" ref="D68:D94" si="5">D37</f>
        <v>29392</v>
      </c>
      <c r="E68" s="18">
        <f>IF(F3="1",SUMIF(Data!A:A,'31'!$A$2,Data!DZ:DZ),0)</f>
        <v>103218</v>
      </c>
      <c r="F68" s="22">
        <f t="shared" si="4"/>
        <v>3.51</v>
      </c>
    </row>
    <row r="69" spans="1:6" ht="14.25" customHeight="1" x14ac:dyDescent="0.2">
      <c r="A69" s="20">
        <v>3</v>
      </c>
      <c r="B69" s="172" t="s">
        <v>2</v>
      </c>
      <c r="C69" s="173"/>
      <c r="D69" s="15">
        <f t="shared" si="5"/>
        <v>154032</v>
      </c>
      <c r="E69" s="18">
        <f>IF(F3="1",SUMIF(Data!A:A,'31'!$A$2,Data!EA:EA),0)</f>
        <v>541021</v>
      </c>
      <c r="F69" s="22">
        <f t="shared" si="4"/>
        <v>3.51</v>
      </c>
    </row>
    <row r="70" spans="1:6" ht="14.25" customHeight="1" x14ac:dyDescent="0.2">
      <c r="A70" s="20">
        <v>4</v>
      </c>
      <c r="B70" s="172" t="s">
        <v>3</v>
      </c>
      <c r="C70" s="173"/>
      <c r="D70" s="15">
        <f t="shared" si="5"/>
        <v>68672</v>
      </c>
      <c r="E70" s="18">
        <f>IF(F3="1",SUMIF(Data!A:A,'31'!$A$2,Data!EB:EB),0)</f>
        <v>243675</v>
      </c>
      <c r="F70" s="22">
        <f t="shared" si="4"/>
        <v>3.55</v>
      </c>
    </row>
    <row r="71" spans="1:6" x14ac:dyDescent="0.2">
      <c r="A71" s="20">
        <v>5</v>
      </c>
      <c r="B71" s="172" t="s">
        <v>4</v>
      </c>
      <c r="C71" s="173"/>
      <c r="D71" s="15">
        <f t="shared" si="5"/>
        <v>0</v>
      </c>
      <c r="E71" s="18">
        <f>IF(F3="1",SUMIF(Data!A:A,'31'!$A$2,Data!EC:EC),0)</f>
        <v>0</v>
      </c>
      <c r="F71" s="22" t="str">
        <f t="shared" si="4"/>
        <v/>
      </c>
    </row>
    <row r="72" spans="1:6" x14ac:dyDescent="0.2">
      <c r="A72" s="20">
        <v>6</v>
      </c>
      <c r="B72" s="172" t="s">
        <v>5</v>
      </c>
      <c r="C72" s="173"/>
      <c r="D72" s="15">
        <f t="shared" si="5"/>
        <v>2528</v>
      </c>
      <c r="E72" s="18">
        <f>IF(F3="1",SUMIF(Data!A:A,'31'!$A$2,Data!ED:ED),0)</f>
        <v>0</v>
      </c>
      <c r="F72" s="22">
        <f t="shared" si="4"/>
        <v>0</v>
      </c>
    </row>
    <row r="73" spans="1:6" x14ac:dyDescent="0.2">
      <c r="A73" s="20">
        <v>7</v>
      </c>
      <c r="B73" s="172" t="s">
        <v>6</v>
      </c>
      <c r="C73" s="173"/>
      <c r="D73" s="15">
        <f t="shared" si="5"/>
        <v>16780</v>
      </c>
      <c r="E73" s="18">
        <f>IF(F3="1",SUMIF(Data!A:A,'31'!$A$2,Data!EE:EE),0)</f>
        <v>178550</v>
      </c>
      <c r="F73" s="22">
        <f t="shared" si="4"/>
        <v>10.64</v>
      </c>
    </row>
    <row r="74" spans="1:6" x14ac:dyDescent="0.2">
      <c r="A74" s="20">
        <v>8</v>
      </c>
      <c r="B74" s="172" t="s">
        <v>7</v>
      </c>
      <c r="C74" s="173"/>
      <c r="D74" s="15">
        <f t="shared" si="5"/>
        <v>3016</v>
      </c>
      <c r="E74" s="18">
        <f>IF(F3="1",SUMIF(Data!A:A,'31'!$A$2,Data!EF:EF),0)</f>
        <v>4216</v>
      </c>
      <c r="F74" s="22">
        <f t="shared" si="4"/>
        <v>1.4</v>
      </c>
    </row>
    <row r="75" spans="1:6" x14ac:dyDescent="0.2">
      <c r="A75" s="20">
        <v>9</v>
      </c>
      <c r="B75" s="172" t="s">
        <v>8</v>
      </c>
      <c r="C75" s="173"/>
      <c r="D75" s="15">
        <f t="shared" si="5"/>
        <v>44610</v>
      </c>
      <c r="E75" s="18">
        <f>IF(F3="1",SUMIF(Data!A:A,'31'!$A$2,Data!EG:EG),0)</f>
        <v>81478</v>
      </c>
      <c r="F75" s="22">
        <f t="shared" si="4"/>
        <v>1.83</v>
      </c>
    </row>
    <row r="76" spans="1:6" x14ac:dyDescent="0.2">
      <c r="A76" s="20">
        <v>10</v>
      </c>
      <c r="B76" s="172" t="s">
        <v>9</v>
      </c>
      <c r="C76" s="173"/>
      <c r="D76" s="15">
        <f t="shared" si="5"/>
        <v>0</v>
      </c>
      <c r="E76" s="18">
        <f>IF(F3="1",SUMIF(Data!A:A,'31'!$A$2,Data!EH:EH),0)</f>
        <v>0</v>
      </c>
      <c r="F76" s="22" t="str">
        <f t="shared" si="4"/>
        <v/>
      </c>
    </row>
    <row r="77" spans="1:6" x14ac:dyDescent="0.2">
      <c r="A77" s="20">
        <v>11</v>
      </c>
      <c r="B77" s="172" t="s">
        <v>10</v>
      </c>
      <c r="C77" s="173"/>
      <c r="D77" s="15">
        <f t="shared" si="5"/>
        <v>5872</v>
      </c>
      <c r="E77" s="18">
        <f>IF(F3="1",SUMIF(Data!A:A,'31'!$A$2,Data!EI:EI),0)</f>
        <v>0</v>
      </c>
      <c r="F77" s="22">
        <f t="shared" si="4"/>
        <v>0</v>
      </c>
    </row>
    <row r="78" spans="1:6" ht="14.25" customHeight="1" x14ac:dyDescent="0.2">
      <c r="A78" s="20">
        <v>12</v>
      </c>
      <c r="B78" s="172" t="s">
        <v>11</v>
      </c>
      <c r="C78" s="173"/>
      <c r="D78" s="15">
        <f t="shared" si="5"/>
        <v>175312</v>
      </c>
      <c r="E78" s="18">
        <f>IF(F3="1",SUMIF(Data!A:A,'31'!$A$2,Data!EJ:EJ),0)</f>
        <v>506515</v>
      </c>
      <c r="F78" s="22">
        <f t="shared" si="4"/>
        <v>2.89</v>
      </c>
    </row>
    <row r="79" spans="1:6" x14ac:dyDescent="0.2">
      <c r="A79" s="20">
        <v>13</v>
      </c>
      <c r="B79" s="172" t="s">
        <v>12</v>
      </c>
      <c r="C79" s="173"/>
      <c r="D79" s="15">
        <f t="shared" si="5"/>
        <v>7500</v>
      </c>
      <c r="E79" s="18">
        <f>IF(F3="1",SUMIF(Data!A:A,'31'!$A$2,Data!EK:EK),0)</f>
        <v>61591</v>
      </c>
      <c r="F79" s="22">
        <f t="shared" si="4"/>
        <v>8.2100000000000009</v>
      </c>
    </row>
    <row r="80" spans="1:6" ht="14.25" customHeight="1" x14ac:dyDescent="0.2">
      <c r="A80" s="20">
        <v>14</v>
      </c>
      <c r="B80" s="172" t="s">
        <v>469</v>
      </c>
      <c r="C80" s="173"/>
      <c r="D80" s="15">
        <f t="shared" si="5"/>
        <v>52257</v>
      </c>
      <c r="E80" s="18">
        <f>IF(F3="1",SUMIF(Data!A:A,'31'!$A$2,Data!EL:EL),0)</f>
        <v>333805</v>
      </c>
      <c r="F80" s="22">
        <f t="shared" si="4"/>
        <v>6.39</v>
      </c>
    </row>
    <row r="81" spans="1:6" x14ac:dyDescent="0.2">
      <c r="A81" s="20">
        <v>15</v>
      </c>
      <c r="B81" s="172" t="s">
        <v>13</v>
      </c>
      <c r="C81" s="173"/>
      <c r="D81" s="15">
        <f t="shared" si="5"/>
        <v>17888</v>
      </c>
      <c r="E81" s="18">
        <f>IF(F3="1",SUMIF(Data!A:A,'31'!$A$2,Data!EM:EM),0)</f>
        <v>195182</v>
      </c>
      <c r="F81" s="22">
        <f t="shared" si="4"/>
        <v>10.91</v>
      </c>
    </row>
    <row r="82" spans="1:6" x14ac:dyDescent="0.2">
      <c r="A82" s="20">
        <v>16</v>
      </c>
      <c r="B82" s="172" t="s">
        <v>14</v>
      </c>
      <c r="C82" s="173"/>
      <c r="D82" s="15">
        <f t="shared" si="5"/>
        <v>94318</v>
      </c>
      <c r="E82" s="18">
        <f>IF(F3="1",SUMIF(Data!A:A,'31'!$A$2,Data!EN:EN),0)</f>
        <v>362094</v>
      </c>
      <c r="F82" s="22">
        <f t="shared" si="4"/>
        <v>3.84</v>
      </c>
    </row>
    <row r="83" spans="1:6" x14ac:dyDescent="0.2">
      <c r="A83" s="20">
        <v>17</v>
      </c>
      <c r="B83" s="172" t="s">
        <v>15</v>
      </c>
      <c r="C83" s="173"/>
      <c r="D83" s="15">
        <f t="shared" si="5"/>
        <v>0</v>
      </c>
      <c r="E83" s="18">
        <f>IF(F3="1",SUMIF(Data!A:A,'31'!$A$2,Data!EO:EO),0)</f>
        <v>0</v>
      </c>
      <c r="F83" s="22" t="str">
        <f t="shared" si="4"/>
        <v/>
      </c>
    </row>
    <row r="84" spans="1:6" x14ac:dyDescent="0.2">
      <c r="A84" s="20">
        <v>18</v>
      </c>
      <c r="B84" s="172" t="s">
        <v>16</v>
      </c>
      <c r="C84" s="173"/>
      <c r="D84" s="15">
        <f t="shared" si="5"/>
        <v>30944</v>
      </c>
      <c r="E84" s="18">
        <f>IF(F3="1",SUMIF(Data!A:A,'31'!$A$2,Data!EP:EP),0)</f>
        <v>177282</v>
      </c>
      <c r="F84" s="22">
        <f t="shared" si="4"/>
        <v>5.73</v>
      </c>
    </row>
    <row r="85" spans="1:6" x14ac:dyDescent="0.2">
      <c r="A85" s="20">
        <v>19</v>
      </c>
      <c r="B85" s="172" t="s">
        <v>17</v>
      </c>
      <c r="C85" s="173"/>
      <c r="D85" s="15">
        <f t="shared" si="5"/>
        <v>105200</v>
      </c>
      <c r="E85" s="18">
        <f>IF(F3="1",SUMIF(Data!A:A,'31'!$A$2,Data!EQ:EQ),0)</f>
        <v>340053</v>
      </c>
      <c r="F85" s="22">
        <f t="shared" si="4"/>
        <v>3.23</v>
      </c>
    </row>
    <row r="86" spans="1:6" x14ac:dyDescent="0.2">
      <c r="A86" s="20">
        <v>20</v>
      </c>
      <c r="B86" s="172" t="s">
        <v>18</v>
      </c>
      <c r="C86" s="173"/>
      <c r="D86" s="15">
        <f t="shared" si="5"/>
        <v>17174</v>
      </c>
      <c r="E86" s="18">
        <f>IF(F3="1",SUMIF(Data!A:A,'31'!$A$2,Data!ER:ER),0)</f>
        <v>67026</v>
      </c>
      <c r="F86" s="22">
        <f t="shared" si="4"/>
        <v>3.9</v>
      </c>
    </row>
    <row r="87" spans="1:6" ht="14.25" customHeight="1" x14ac:dyDescent="0.2">
      <c r="A87" s="20">
        <v>21</v>
      </c>
      <c r="B87" s="172" t="s">
        <v>466</v>
      </c>
      <c r="C87" s="173"/>
      <c r="D87" s="15">
        <f t="shared" si="5"/>
        <v>7627</v>
      </c>
      <c r="E87" s="18">
        <f>IF(F3="1",SUMIF(Data!A:A,'31'!$A$2,Data!ES:ES),0)</f>
        <v>11804</v>
      </c>
      <c r="F87" s="22">
        <f t="shared" si="4"/>
        <v>1.55</v>
      </c>
    </row>
    <row r="88" spans="1:6" x14ac:dyDescent="0.2">
      <c r="A88" s="20">
        <v>22</v>
      </c>
      <c r="B88" s="172" t="s">
        <v>19</v>
      </c>
      <c r="C88" s="173"/>
      <c r="D88" s="15">
        <f t="shared" si="5"/>
        <v>408</v>
      </c>
      <c r="E88" s="18">
        <f>IF(F3="1",SUMIF(Data!A:A,'31'!$A$2,Data!ET:ET),0)</f>
        <v>0</v>
      </c>
      <c r="F88" s="22">
        <f t="shared" si="4"/>
        <v>0</v>
      </c>
    </row>
    <row r="89" spans="1:6" x14ac:dyDescent="0.2">
      <c r="A89" s="20">
        <v>23</v>
      </c>
      <c r="B89" s="172" t="s">
        <v>20</v>
      </c>
      <c r="C89" s="173"/>
      <c r="D89" s="15">
        <f t="shared" si="5"/>
        <v>39552</v>
      </c>
      <c r="E89" s="18">
        <f>IF(F3="1",SUMIF(Data!A:A,'31'!$A$2,Data!EU:EU),0)</f>
        <v>121969</v>
      </c>
      <c r="F89" s="22">
        <f t="shared" si="4"/>
        <v>3.08</v>
      </c>
    </row>
    <row r="90" spans="1:6" x14ac:dyDescent="0.2">
      <c r="A90" s="20">
        <v>24</v>
      </c>
      <c r="B90" s="172" t="s">
        <v>21</v>
      </c>
      <c r="C90" s="173"/>
      <c r="D90" s="15">
        <f t="shared" si="5"/>
        <v>29444</v>
      </c>
      <c r="E90" s="18">
        <f>IF(F3="1",SUMIF(Data!A:A,'31'!$A$2,Data!EV:EV),0)</f>
        <v>199534</v>
      </c>
      <c r="F90" s="22">
        <f t="shared" si="4"/>
        <v>6.78</v>
      </c>
    </row>
    <row r="91" spans="1:6" x14ac:dyDescent="0.2">
      <c r="A91" s="20">
        <v>25</v>
      </c>
      <c r="B91" s="172" t="s">
        <v>22</v>
      </c>
      <c r="C91" s="173"/>
      <c r="D91" s="15">
        <f t="shared" si="5"/>
        <v>184016</v>
      </c>
      <c r="E91" s="18">
        <f>IF(F3="1",SUMIF(Data!A:A,'31'!$A$2,Data!EW:EW),0)</f>
        <v>476654</v>
      </c>
      <c r="F91" s="22">
        <f t="shared" si="4"/>
        <v>2.59</v>
      </c>
    </row>
    <row r="92" spans="1:6" x14ac:dyDescent="0.2">
      <c r="A92" s="20">
        <v>26</v>
      </c>
      <c r="B92" s="172" t="s">
        <v>23</v>
      </c>
      <c r="C92" s="173"/>
      <c r="D92" s="15">
        <f t="shared" si="5"/>
        <v>39520</v>
      </c>
      <c r="E92" s="18">
        <f>IF(F3="1",SUMIF(Data!A:A,'31'!$A$2,Data!EX:EX),0)</f>
        <v>254005</v>
      </c>
      <c r="F92" s="22">
        <f t="shared" si="4"/>
        <v>6.43</v>
      </c>
    </row>
    <row r="93" spans="1:6" x14ac:dyDescent="0.2">
      <c r="A93" s="20">
        <v>28</v>
      </c>
      <c r="B93" s="172" t="s">
        <v>24</v>
      </c>
      <c r="C93" s="173"/>
      <c r="D93" s="15">
        <f t="shared" si="5"/>
        <v>0</v>
      </c>
      <c r="E93" s="18">
        <f>IF(F3="1",SUMIF(Data!A:A,'31'!$A$2,Data!EZ:EZ),0)</f>
        <v>0</v>
      </c>
      <c r="F93" s="22" t="str">
        <f t="shared" si="4"/>
        <v/>
      </c>
    </row>
    <row r="94" spans="1:6" ht="15.75" customHeight="1" thickBot="1" x14ac:dyDescent="0.25">
      <c r="A94" s="23">
        <v>29</v>
      </c>
      <c r="B94" s="174" t="s">
        <v>25</v>
      </c>
      <c r="C94" s="175"/>
      <c r="D94" s="24">
        <f t="shared" si="5"/>
        <v>0</v>
      </c>
      <c r="E94" s="25">
        <f>IF(F3="1",SUMIF(Data!A:A,'31'!$A$2,Data!FA:FA),0)</f>
        <v>0</v>
      </c>
      <c r="F94" s="26" t="str">
        <f t="shared" si="4"/>
        <v/>
      </c>
    </row>
    <row r="95" spans="1:6" x14ac:dyDescent="0.2">
      <c r="B95" s="31" t="s">
        <v>35</v>
      </c>
      <c r="C95" s="31"/>
      <c r="D95" s="61">
        <f>SUM(D67:D94)</f>
        <v>1139102</v>
      </c>
      <c r="E95" s="32">
        <f>SUM(E67:E94)</f>
        <v>4354339</v>
      </c>
      <c r="F95" s="33">
        <f t="shared" si="4"/>
        <v>3.82</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IF(F3="1",SUMIF(Data!A:A,'31'!$A$2,Data!AH:AH),0)</f>
        <v>2215471</v>
      </c>
      <c r="F98" s="21">
        <f>IF($D$105=0,"",ROUND(E98/$D$105,2))</f>
        <v>1.94</v>
      </c>
    </row>
    <row r="99" spans="2:6" x14ac:dyDescent="0.2">
      <c r="B99" s="178" t="s">
        <v>31</v>
      </c>
      <c r="C99" s="179"/>
      <c r="D99" s="37"/>
      <c r="E99" s="18">
        <f>IF(F3="1",SUMIF(Data!A:A,'31'!$A$2,Data!AI:AI),0)</f>
        <v>587311</v>
      </c>
      <c r="F99" s="22">
        <f t="shared" ref="F99:F105" si="6">IF($D$105=0,"",ROUND(E99/$D$105,2))</f>
        <v>0.52</v>
      </c>
    </row>
    <row r="100" spans="2:6" x14ac:dyDescent="0.2">
      <c r="B100" s="178" t="s">
        <v>32</v>
      </c>
      <c r="C100" s="179"/>
      <c r="D100" s="37"/>
      <c r="E100" s="18">
        <f>IF(F3="1",SUMIF(Data!A:A,'31'!$A$2,Data!AJ:AJ),0)</f>
        <v>755447</v>
      </c>
      <c r="F100" s="22">
        <f t="shared" si="6"/>
        <v>0.66</v>
      </c>
    </row>
    <row r="101" spans="2:6" x14ac:dyDescent="0.2">
      <c r="B101" s="178" t="s">
        <v>28</v>
      </c>
      <c r="C101" s="179"/>
      <c r="D101" s="37"/>
      <c r="E101" s="18">
        <f>IF(F3="1",SUMIF(Data!A:A,'31'!$A$2,Data!AK:AK),0)</f>
        <v>0</v>
      </c>
      <c r="F101" s="22">
        <f t="shared" si="6"/>
        <v>0</v>
      </c>
    </row>
    <row r="102" spans="2:6" x14ac:dyDescent="0.2">
      <c r="B102" s="178" t="s">
        <v>33</v>
      </c>
      <c r="C102" s="179"/>
      <c r="D102" s="37"/>
      <c r="E102" s="18">
        <f>IF(F3="1",SUMIF(Data!A:A,'31'!$A$2,Data!AL:AL),0)</f>
        <v>0</v>
      </c>
      <c r="F102" s="22">
        <f t="shared" si="6"/>
        <v>0</v>
      </c>
    </row>
    <row r="103" spans="2:6" x14ac:dyDescent="0.2">
      <c r="B103" s="180" t="s">
        <v>34</v>
      </c>
      <c r="C103" s="181"/>
      <c r="D103" s="37"/>
      <c r="E103" s="18">
        <f>IF(F3="1",SUMIF(Data!A:A,'31'!$A$2,Data!AM:AM),0)</f>
        <v>0</v>
      </c>
      <c r="F103" s="22">
        <f t="shared" si="6"/>
        <v>0</v>
      </c>
    </row>
    <row r="104" spans="2:6" ht="15.75" customHeight="1" thickBot="1" x14ac:dyDescent="0.25">
      <c r="B104" s="170" t="s">
        <v>29</v>
      </c>
      <c r="C104" s="171"/>
      <c r="D104" s="38"/>
      <c r="E104" s="25">
        <f>IF(F3="1",SUMIF(Data!A:A,'31'!$A$2,Data!Q:Q),0)</f>
        <v>178932</v>
      </c>
      <c r="F104" s="26">
        <f t="shared" si="6"/>
        <v>0.16</v>
      </c>
    </row>
    <row r="105" spans="2:6" x14ac:dyDescent="0.2">
      <c r="B105" s="31" t="s">
        <v>35</v>
      </c>
      <c r="C105" s="31"/>
      <c r="D105" s="35">
        <f>D95</f>
        <v>1139102</v>
      </c>
      <c r="E105" s="32">
        <f>SUM(E98:E104)</f>
        <v>3737161</v>
      </c>
      <c r="F105" s="33">
        <f t="shared" si="6"/>
        <v>3.28</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4745544</v>
      </c>
      <c r="D109" s="16">
        <f>IF(F3="1",SUMIF(Data!$A:$A,$A$2,Data!HJ:HJ),0)</f>
        <v>356479</v>
      </c>
      <c r="E109" s="16">
        <f>IF(F3="1",SUMIF(Data!$A:$A,$A$2,Data!IN:IN),0)</f>
        <v>399157</v>
      </c>
      <c r="F109" s="48">
        <f>SUM(C109:E109)</f>
        <v>5501180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50657</v>
      </c>
      <c r="D111" s="52"/>
      <c r="E111" s="51">
        <f>IF(F3="1",SUMIF(Data!A:A,$A$2,Data!AX:AX),0)</f>
        <v>124005</v>
      </c>
      <c r="F111" s="49">
        <f t="shared" si="7"/>
        <v>174662</v>
      </c>
    </row>
    <row r="112" spans="2:6" x14ac:dyDescent="0.2">
      <c r="B112" s="43" t="s">
        <v>32</v>
      </c>
      <c r="C112" s="51">
        <f>IF(F3="1",SUMIF(Data!A:A,$A$2,Data!V:V),0)</f>
        <v>684152</v>
      </c>
      <c r="D112" s="52"/>
      <c r="E112" s="51">
        <f>IF(F3="1",SUMIF(Data!A:A,$A$2,Data!AC:AC),0)</f>
        <v>71295</v>
      </c>
      <c r="F112" s="49">
        <f t="shared" si="7"/>
        <v>755447</v>
      </c>
    </row>
    <row r="113" spans="1:6" x14ac:dyDescent="0.2">
      <c r="B113" s="43" t="s">
        <v>31</v>
      </c>
      <c r="C113" s="51">
        <f>IF(F3="1",SUMIF(Data!A:A,$A$2,Data!U:U),0)</f>
        <v>490498</v>
      </c>
      <c r="D113" s="52"/>
      <c r="E113" s="51">
        <f>IF(F3="1",SUMIF(Data!A:A,$A$2,Data!AB:AB),0)</f>
        <v>96813</v>
      </c>
      <c r="F113" s="49">
        <f t="shared" si="7"/>
        <v>587311</v>
      </c>
    </row>
    <row r="114" spans="1:6" x14ac:dyDescent="0.2">
      <c r="B114" s="43" t="s">
        <v>1021</v>
      </c>
      <c r="C114" s="51">
        <f>IF(F3="1",SUMIF(Data!A:A,$A$2,Data!T:T),0)</f>
        <v>1156678</v>
      </c>
      <c r="D114" s="52"/>
      <c r="E114" s="51">
        <f>IF(F3="1",SUMIF(Data!A:A,$A$2,Data!AA:AA),0)</f>
        <v>1058793</v>
      </c>
      <c r="F114" s="49">
        <f t="shared" si="7"/>
        <v>2215471</v>
      </c>
    </row>
    <row r="115" spans="1:6" x14ac:dyDescent="0.2">
      <c r="B115" s="43" t="s">
        <v>937</v>
      </c>
      <c r="C115" s="51">
        <f>IF(F3="1",SUMIF(Data!A:A,$A$2,Data!BI:BI),0)</f>
        <v>466590</v>
      </c>
      <c r="D115" s="51">
        <f>IF(F3="1",SUMIF(Data!A:A,$A$2,Data!BL:BL),0)</f>
        <v>35050</v>
      </c>
      <c r="E115" s="51">
        <f>IF(F3="1",SUMIF(Data!A:A,$A$2,Data!BU:BU),0)</f>
        <v>1156504</v>
      </c>
      <c r="F115" s="49">
        <f t="shared" si="7"/>
        <v>1658144</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178932</v>
      </c>
      <c r="E117" s="53"/>
      <c r="F117" s="50">
        <f>SUM(C117:E117)</f>
        <v>178932</v>
      </c>
    </row>
    <row r="118" spans="1:6" x14ac:dyDescent="0.2">
      <c r="B118" s="14" t="s">
        <v>35</v>
      </c>
      <c r="C118" s="5">
        <f>SUM(C109:C116)</f>
        <v>7594119</v>
      </c>
      <c r="D118" s="5">
        <f>SUM(D109:D116)</f>
        <v>391529</v>
      </c>
      <c r="E118" s="5">
        <f>SUM(E109:E116)</f>
        <v>2906567</v>
      </c>
      <c r="F118" s="5">
        <f>SUM(F109:F116)</f>
        <v>10892215</v>
      </c>
    </row>
    <row r="119" spans="1:6" ht="15" thickBot="1" x14ac:dyDescent="0.25"/>
    <row r="120" spans="1:6" ht="15" thickBot="1" x14ac:dyDescent="0.25">
      <c r="B120" s="57" t="s">
        <v>942</v>
      </c>
      <c r="C120" s="55"/>
      <c r="D120" s="55"/>
      <c r="E120" s="55">
        <f>IF(F3="1",SUMIF(Data!A:A,'31'!$A$2,Data!AM:AM),0)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386</v>
      </c>
      <c r="B2" s="60" t="str">
        <f>VLOOKUP(A2,Data!A:G,7,0)</f>
        <v>Odessa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7768</v>
      </c>
      <c r="E5" s="16">
        <f>E36+E67+IFERROR($E$105/$D$105*D5,0)</f>
        <v>95161.074908306633</v>
      </c>
      <c r="F5" s="21">
        <f>IF(OR(D5=0,E5=0),"",ROUND(E5/D5,2))</f>
        <v>12.25</v>
      </c>
    </row>
    <row r="6" spans="1:6" x14ac:dyDescent="0.2">
      <c r="A6" s="20">
        <v>2</v>
      </c>
      <c r="B6" s="172" t="s">
        <v>1</v>
      </c>
      <c r="C6" s="173"/>
      <c r="D6" s="15">
        <f t="shared" ref="D6:D32" si="0">D37</f>
        <v>58080</v>
      </c>
      <c r="E6" s="18">
        <f t="shared" ref="E6:E32" si="1">E37+E68+IFERROR($E$105/$D$105*D6,0)</f>
        <v>415662.96584377566</v>
      </c>
      <c r="F6" s="22">
        <f t="shared" ref="F6:F33" si="2">IF(OR(D6=0,E6=0),"",ROUND(E6/D6,2))</f>
        <v>7.16</v>
      </c>
    </row>
    <row r="7" spans="1:6" ht="14.25" customHeight="1" x14ac:dyDescent="0.2">
      <c r="A7" s="20">
        <v>3</v>
      </c>
      <c r="B7" s="172" t="s">
        <v>2</v>
      </c>
      <c r="C7" s="173"/>
      <c r="D7" s="15">
        <f t="shared" si="0"/>
        <v>178032</v>
      </c>
      <c r="E7" s="18">
        <f t="shared" si="1"/>
        <v>1447742.3192682345</v>
      </c>
      <c r="F7" s="22">
        <f t="shared" si="2"/>
        <v>8.1300000000000008</v>
      </c>
    </row>
    <row r="8" spans="1:6" ht="14.25" customHeight="1" x14ac:dyDescent="0.2">
      <c r="A8" s="20">
        <v>4</v>
      </c>
      <c r="B8" s="172" t="s">
        <v>3</v>
      </c>
      <c r="C8" s="173"/>
      <c r="D8" s="15">
        <f t="shared" si="0"/>
        <v>125857</v>
      </c>
      <c r="E8" s="18">
        <f t="shared" si="1"/>
        <v>1071125.835058541</v>
      </c>
      <c r="F8" s="22">
        <f t="shared" si="2"/>
        <v>8.51</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54929</v>
      </c>
      <c r="E10" s="18">
        <f t="shared" si="1"/>
        <v>276654.75252811215</v>
      </c>
      <c r="F10" s="22">
        <f t="shared" si="2"/>
        <v>5.04</v>
      </c>
    </row>
    <row r="11" spans="1:6" x14ac:dyDescent="0.2">
      <c r="A11" s="20">
        <v>7</v>
      </c>
      <c r="B11" s="172" t="s">
        <v>6</v>
      </c>
      <c r="C11" s="173"/>
      <c r="D11" s="15">
        <f t="shared" si="0"/>
        <v>49927</v>
      </c>
      <c r="E11" s="18">
        <f t="shared" si="1"/>
        <v>438371.3523361258</v>
      </c>
      <c r="F11" s="22">
        <f t="shared" si="2"/>
        <v>8.7799999999999994</v>
      </c>
    </row>
    <row r="12" spans="1:6" x14ac:dyDescent="0.2">
      <c r="A12" s="20">
        <v>8</v>
      </c>
      <c r="B12" s="172" t="s">
        <v>7</v>
      </c>
      <c r="C12" s="173"/>
      <c r="D12" s="15">
        <f t="shared" si="0"/>
        <v>36204</v>
      </c>
      <c r="E12" s="18">
        <f t="shared" si="1"/>
        <v>203028.10246914692</v>
      </c>
      <c r="F12" s="22">
        <f t="shared" si="2"/>
        <v>5.61</v>
      </c>
    </row>
    <row r="13" spans="1:6" x14ac:dyDescent="0.2">
      <c r="A13" s="20">
        <v>9</v>
      </c>
      <c r="B13" s="172" t="s">
        <v>8</v>
      </c>
      <c r="C13" s="173"/>
      <c r="D13" s="15">
        <f t="shared" si="0"/>
        <v>142555</v>
      </c>
      <c r="E13" s="18">
        <f t="shared" si="1"/>
        <v>1370956.3377386266</v>
      </c>
      <c r="F13" s="22">
        <f t="shared" si="2"/>
        <v>9.6199999999999992</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91088</v>
      </c>
      <c r="E15" s="18">
        <f t="shared" si="1"/>
        <v>743353.8310051281</v>
      </c>
      <c r="F15" s="22">
        <f t="shared" si="2"/>
        <v>8.16</v>
      </c>
    </row>
    <row r="16" spans="1:6" ht="14.25" customHeight="1" x14ac:dyDescent="0.2">
      <c r="A16" s="20">
        <v>12</v>
      </c>
      <c r="B16" s="172" t="s">
        <v>11</v>
      </c>
      <c r="C16" s="173"/>
      <c r="D16" s="15">
        <f t="shared" si="0"/>
        <v>247428</v>
      </c>
      <c r="E16" s="18">
        <f t="shared" si="1"/>
        <v>2239800.5183332255</v>
      </c>
      <c r="F16" s="22">
        <f t="shared" si="2"/>
        <v>9.0500000000000007</v>
      </c>
    </row>
    <row r="17" spans="1:6" x14ac:dyDescent="0.2">
      <c r="A17" s="20">
        <v>13</v>
      </c>
      <c r="B17" s="172" t="s">
        <v>12</v>
      </c>
      <c r="C17" s="173"/>
      <c r="D17" s="15">
        <f t="shared" si="0"/>
        <v>14080</v>
      </c>
      <c r="E17" s="18">
        <f t="shared" si="1"/>
        <v>126304.84020455167</v>
      </c>
      <c r="F17" s="22">
        <f t="shared" si="2"/>
        <v>8.9700000000000006</v>
      </c>
    </row>
    <row r="18" spans="1:6" ht="14.25" customHeight="1" x14ac:dyDescent="0.2">
      <c r="A18" s="20">
        <v>14</v>
      </c>
      <c r="B18" s="172" t="s">
        <v>469</v>
      </c>
      <c r="C18" s="173"/>
      <c r="D18" s="15">
        <f t="shared" si="0"/>
        <v>129514</v>
      </c>
      <c r="E18" s="18">
        <f t="shared" si="1"/>
        <v>1574878.1848190557</v>
      </c>
      <c r="F18" s="22">
        <f t="shared" si="2"/>
        <v>12.16</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126957</v>
      </c>
      <c r="E20" s="18">
        <f t="shared" si="1"/>
        <v>1442029.0881995219</v>
      </c>
      <c r="F20" s="22">
        <f t="shared" si="2"/>
        <v>11.36</v>
      </c>
    </row>
    <row r="21" spans="1:6" x14ac:dyDescent="0.2">
      <c r="A21" s="20">
        <v>17</v>
      </c>
      <c r="B21" s="172" t="s">
        <v>15</v>
      </c>
      <c r="C21" s="173"/>
      <c r="D21" s="15">
        <f t="shared" si="0"/>
        <v>3200</v>
      </c>
      <c r="E21" s="18">
        <f t="shared" si="1"/>
        <v>77044.372773761745</v>
      </c>
      <c r="F21" s="22">
        <f t="shared" si="2"/>
        <v>24.08</v>
      </c>
    </row>
    <row r="22" spans="1:6" x14ac:dyDescent="0.2">
      <c r="A22" s="20">
        <v>18</v>
      </c>
      <c r="B22" s="172" t="s">
        <v>16</v>
      </c>
      <c r="C22" s="173"/>
      <c r="D22" s="15">
        <f t="shared" si="0"/>
        <v>47145</v>
      </c>
      <c r="E22" s="18">
        <f t="shared" si="1"/>
        <v>502994.13575593673</v>
      </c>
      <c r="F22" s="22">
        <f t="shared" si="2"/>
        <v>10.67</v>
      </c>
    </row>
    <row r="23" spans="1:6" x14ac:dyDescent="0.2">
      <c r="A23" s="20">
        <v>19</v>
      </c>
      <c r="B23" s="172" t="s">
        <v>17</v>
      </c>
      <c r="C23" s="173"/>
      <c r="D23" s="15">
        <f t="shared" si="0"/>
        <v>198024</v>
      </c>
      <c r="E23" s="18">
        <f t="shared" si="1"/>
        <v>1687189.378172311</v>
      </c>
      <c r="F23" s="22">
        <f t="shared" si="2"/>
        <v>8.52</v>
      </c>
    </row>
    <row r="24" spans="1:6" x14ac:dyDescent="0.2">
      <c r="A24" s="20">
        <v>20</v>
      </c>
      <c r="B24" s="172" t="s">
        <v>18</v>
      </c>
      <c r="C24" s="173"/>
      <c r="D24" s="15">
        <f t="shared" si="0"/>
        <v>28800</v>
      </c>
      <c r="E24" s="18">
        <f t="shared" si="1"/>
        <v>289769.3549638557</v>
      </c>
      <c r="F24" s="22">
        <f t="shared" si="2"/>
        <v>10.06</v>
      </c>
    </row>
    <row r="25" spans="1:6" ht="14.25" customHeight="1" x14ac:dyDescent="0.2">
      <c r="A25" s="20">
        <v>21</v>
      </c>
      <c r="B25" s="172" t="s">
        <v>466</v>
      </c>
      <c r="C25" s="173"/>
      <c r="D25" s="15">
        <f t="shared" si="0"/>
        <v>34496</v>
      </c>
      <c r="E25" s="18">
        <f t="shared" si="1"/>
        <v>468340.25850115158</v>
      </c>
      <c r="F25" s="22">
        <f t="shared" si="2"/>
        <v>13.58</v>
      </c>
    </row>
    <row r="26" spans="1:6" x14ac:dyDescent="0.2">
      <c r="A26" s="20">
        <v>22</v>
      </c>
      <c r="B26" s="172" t="s">
        <v>19</v>
      </c>
      <c r="C26" s="173"/>
      <c r="D26" s="15">
        <f t="shared" si="0"/>
        <v>2912</v>
      </c>
      <c r="E26" s="18">
        <f t="shared" si="1"/>
        <v>21252.619224123187</v>
      </c>
      <c r="F26" s="22">
        <f t="shared" si="2"/>
        <v>7.3</v>
      </c>
    </row>
    <row r="27" spans="1:6" x14ac:dyDescent="0.2">
      <c r="A27" s="20">
        <v>23</v>
      </c>
      <c r="B27" s="172" t="s">
        <v>20</v>
      </c>
      <c r="C27" s="173"/>
      <c r="D27" s="15">
        <f t="shared" si="0"/>
        <v>84160</v>
      </c>
      <c r="E27" s="18">
        <f t="shared" si="1"/>
        <v>821081.20394993387</v>
      </c>
      <c r="F27" s="22">
        <f t="shared" si="2"/>
        <v>9.76</v>
      </c>
    </row>
    <row r="28" spans="1:6" x14ac:dyDescent="0.2">
      <c r="A28" s="20">
        <v>24</v>
      </c>
      <c r="B28" s="172" t="s">
        <v>21</v>
      </c>
      <c r="C28" s="173"/>
      <c r="D28" s="15">
        <f t="shared" si="0"/>
        <v>72903</v>
      </c>
      <c r="E28" s="18">
        <f t="shared" si="1"/>
        <v>770806.46885173512</v>
      </c>
      <c r="F28" s="22">
        <f t="shared" si="2"/>
        <v>10.57</v>
      </c>
    </row>
    <row r="29" spans="1:6" x14ac:dyDescent="0.2">
      <c r="A29" s="20">
        <v>25</v>
      </c>
      <c r="B29" s="172" t="s">
        <v>22</v>
      </c>
      <c r="C29" s="173"/>
      <c r="D29" s="15">
        <f t="shared" si="0"/>
        <v>279744</v>
      </c>
      <c r="E29" s="18">
        <f t="shared" si="1"/>
        <v>2239385.9478822518</v>
      </c>
      <c r="F29" s="22">
        <f t="shared" si="2"/>
        <v>8.01</v>
      </c>
    </row>
    <row r="30" spans="1:6" x14ac:dyDescent="0.2">
      <c r="A30" s="20">
        <v>26</v>
      </c>
      <c r="B30" s="172" t="s">
        <v>23</v>
      </c>
      <c r="C30" s="173"/>
      <c r="D30" s="15">
        <f t="shared" si="0"/>
        <v>96764</v>
      </c>
      <c r="E30" s="18">
        <f t="shared" si="1"/>
        <v>1061704.0572125879</v>
      </c>
      <c r="F30" s="22">
        <f t="shared" si="2"/>
        <v>10.97</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2110567</v>
      </c>
      <c r="E33" s="32">
        <f>SUM(E5:E32)</f>
        <v>19384637.000000004</v>
      </c>
      <c r="F33" s="33">
        <f t="shared" si="2"/>
        <v>9.18</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IF(F3="1",SUMIF(Data!A:A,'32'!$A$2,Data!CU:CU),0)</f>
        <v>7768</v>
      </c>
      <c r="E36" s="16">
        <f>IF(F3="1",SUMIF(Data!$A:$A,'32'!$A$2,Data!IO:IO),0)</f>
        <v>8165</v>
      </c>
      <c r="F36" s="21">
        <f>IF(D36=0,"",ROUND(E36/D36,2))</f>
        <v>1.05</v>
      </c>
    </row>
    <row r="37" spans="1:6" x14ac:dyDescent="0.2">
      <c r="A37" s="20">
        <v>2</v>
      </c>
      <c r="B37" s="172" t="s">
        <v>1</v>
      </c>
      <c r="C37" s="173"/>
      <c r="D37" s="15">
        <f>IF(F3="1",SUMIF(Data!A:A,'32'!$A$2,Data!CV:CV),0)</f>
        <v>58080</v>
      </c>
      <c r="E37" s="18">
        <f>IF(F3="1",SUMIF(Data!$A:$A,'32'!$A$2,Data!IP:IP),0)</f>
        <v>51198</v>
      </c>
      <c r="F37" s="22">
        <f t="shared" ref="F37:F64" si="3">IF(D37=0,"",ROUND(E37/D37,2))</f>
        <v>0.88</v>
      </c>
    </row>
    <row r="38" spans="1:6" ht="14.25" customHeight="1" x14ac:dyDescent="0.2">
      <c r="A38" s="20">
        <v>3</v>
      </c>
      <c r="B38" s="172" t="s">
        <v>2</v>
      </c>
      <c r="C38" s="173"/>
      <c r="D38" s="15">
        <f>IF(F3="1",SUMIF(Data!A:A,'32'!$A$2,Data!CW:CW),0)</f>
        <v>178032</v>
      </c>
      <c r="E38" s="18">
        <f>IF(F3="1",SUMIF(Data!$A:$A,'32'!$A$2,Data!IQ:IQ),0)</f>
        <v>126259</v>
      </c>
      <c r="F38" s="22">
        <f t="shared" si="3"/>
        <v>0.71</v>
      </c>
    </row>
    <row r="39" spans="1:6" ht="14.25" customHeight="1" x14ac:dyDescent="0.2">
      <c r="A39" s="20">
        <v>4</v>
      </c>
      <c r="B39" s="172" t="s">
        <v>3</v>
      </c>
      <c r="C39" s="173"/>
      <c r="D39" s="15">
        <f>IF(F3="1",SUMIF(Data!A:A,'32'!$A$2,Data!CX:CX),0)</f>
        <v>125857</v>
      </c>
      <c r="E39" s="18">
        <f>IF(F3="1",SUMIF(Data!$A:$A,'32'!$A$2,Data!IR:IR),0)</f>
        <v>61195</v>
      </c>
      <c r="F39" s="22">
        <f t="shared" si="3"/>
        <v>0.49</v>
      </c>
    </row>
    <row r="40" spans="1:6" x14ac:dyDescent="0.2">
      <c r="A40" s="20">
        <v>5</v>
      </c>
      <c r="B40" s="172" t="s">
        <v>4</v>
      </c>
      <c r="C40" s="173"/>
      <c r="D40" s="15">
        <f>IF(F3="1",SUMIF(Data!A:A,'32'!$A$2,Data!CY:CY),0)</f>
        <v>0</v>
      </c>
      <c r="E40" s="18">
        <f>IF(F3="1",SUMIF(Data!$A:$A,'32'!$A$2,Data!IS:IS),0)</f>
        <v>0</v>
      </c>
      <c r="F40" s="22" t="str">
        <f t="shared" si="3"/>
        <v/>
      </c>
    </row>
    <row r="41" spans="1:6" x14ac:dyDescent="0.2">
      <c r="A41" s="20">
        <v>6</v>
      </c>
      <c r="B41" s="172" t="s">
        <v>5</v>
      </c>
      <c r="C41" s="173"/>
      <c r="D41" s="15">
        <f>IF(F3="1",SUMIF(Data!A:A,'32'!$A$2,Data!CZ:CZ),0)</f>
        <v>54929</v>
      </c>
      <c r="E41" s="18">
        <f>IF(F3="1",SUMIF(Data!$A:$A,'32'!$A$2,Data!IT:IT),0)</f>
        <v>4662</v>
      </c>
      <c r="F41" s="22">
        <f t="shared" si="3"/>
        <v>0.08</v>
      </c>
    </row>
    <row r="42" spans="1:6" x14ac:dyDescent="0.2">
      <c r="A42" s="20">
        <v>7</v>
      </c>
      <c r="B42" s="172" t="s">
        <v>6</v>
      </c>
      <c r="C42" s="173"/>
      <c r="D42" s="15">
        <f>IF(F3="1",SUMIF(Data!A:A,'32'!$A$2,Data!DA:DA),0)</f>
        <v>49927</v>
      </c>
      <c r="E42" s="18">
        <f>IF(F3="1",SUMIF(Data!$A:$A,'32'!$A$2,Data!IU:IU),0)</f>
        <v>46467</v>
      </c>
      <c r="F42" s="22">
        <f t="shared" si="3"/>
        <v>0.93</v>
      </c>
    </row>
    <row r="43" spans="1:6" x14ac:dyDescent="0.2">
      <c r="A43" s="20">
        <v>8</v>
      </c>
      <c r="B43" s="172" t="s">
        <v>7</v>
      </c>
      <c r="C43" s="173"/>
      <c r="D43" s="15">
        <f>IF(F3="1",SUMIF(Data!A:A,'32'!$A$2,Data!DB:DB),0)</f>
        <v>36204</v>
      </c>
      <c r="E43" s="18">
        <f>IF(F3="1",SUMIF(Data!$A:$A,'32'!$A$2,Data!IV:IV),0)</f>
        <v>4694</v>
      </c>
      <c r="F43" s="22">
        <f t="shared" si="3"/>
        <v>0.13</v>
      </c>
    </row>
    <row r="44" spans="1:6" x14ac:dyDescent="0.2">
      <c r="A44" s="20">
        <v>9</v>
      </c>
      <c r="B44" s="172" t="s">
        <v>8</v>
      </c>
      <c r="C44" s="173"/>
      <c r="D44" s="15">
        <f>IF(F3="1",SUMIF(Data!A:A,'32'!$A$2,Data!DC:DC),0)</f>
        <v>142555</v>
      </c>
      <c r="E44" s="18">
        <f>IF(F3="1",SUMIF(Data!$A:$A,'32'!$A$2,Data!IW:IW),0)</f>
        <v>195767</v>
      </c>
      <c r="F44" s="22">
        <f t="shared" si="3"/>
        <v>1.37</v>
      </c>
    </row>
    <row r="45" spans="1:6" x14ac:dyDescent="0.2">
      <c r="A45" s="20">
        <v>10</v>
      </c>
      <c r="B45" s="172" t="s">
        <v>9</v>
      </c>
      <c r="C45" s="173"/>
      <c r="D45" s="15">
        <f>IF(F3="1",SUMIF(Data!A:A,'32'!$A$2,Data!DD:DD),0)</f>
        <v>0</v>
      </c>
      <c r="E45" s="18">
        <f>IF(F3="1",SUMIF(Data!$A:$A,'32'!$A$2,Data!IX:IX),0)</f>
        <v>0</v>
      </c>
      <c r="F45" s="22" t="str">
        <f t="shared" si="3"/>
        <v/>
      </c>
    </row>
    <row r="46" spans="1:6" x14ac:dyDescent="0.2">
      <c r="A46" s="20">
        <v>11</v>
      </c>
      <c r="B46" s="172" t="s">
        <v>10</v>
      </c>
      <c r="C46" s="173"/>
      <c r="D46" s="15">
        <f>IF(F3="1",SUMIF(Data!A:A,'32'!$A$2,Data!DE:DE),0)</f>
        <v>91088</v>
      </c>
      <c r="E46" s="18">
        <f>IF(F3="1",SUMIF(Data!$A:$A,'32'!$A$2,Data!IY:IY),0)</f>
        <v>77610</v>
      </c>
      <c r="F46" s="22">
        <f t="shared" si="3"/>
        <v>0.85</v>
      </c>
    </row>
    <row r="47" spans="1:6" ht="14.25" customHeight="1" x14ac:dyDescent="0.2">
      <c r="A47" s="20">
        <v>12</v>
      </c>
      <c r="B47" s="172" t="s">
        <v>11</v>
      </c>
      <c r="C47" s="173"/>
      <c r="D47" s="15">
        <f>IF(F3="1",SUMIF(Data!A:A,'32'!$A$2,Data!DF:DF),0)</f>
        <v>247428</v>
      </c>
      <c r="E47" s="18">
        <f>IF(F3="1",SUMIF(Data!$A:$A,'32'!$A$2,Data!IZ:IZ),0)</f>
        <v>125045</v>
      </c>
      <c r="F47" s="22">
        <f t="shared" si="3"/>
        <v>0.51</v>
      </c>
    </row>
    <row r="48" spans="1:6" x14ac:dyDescent="0.2">
      <c r="A48" s="20">
        <v>13</v>
      </c>
      <c r="B48" s="172" t="s">
        <v>12</v>
      </c>
      <c r="C48" s="173"/>
      <c r="D48" s="15">
        <f>IF(F3="1",SUMIF(Data!A:A,'32'!$A$2,Data!DG:DG),0)</f>
        <v>14080</v>
      </c>
      <c r="E48" s="18">
        <f>IF(F3="1",SUMIF(Data!$A:$A,'32'!$A$2,Data!JA:JA),0)</f>
        <v>10793</v>
      </c>
      <c r="F48" s="22">
        <f t="shared" si="3"/>
        <v>0.77</v>
      </c>
    </row>
    <row r="49" spans="1:6" ht="14.25" customHeight="1" x14ac:dyDescent="0.2">
      <c r="A49" s="20">
        <v>14</v>
      </c>
      <c r="B49" s="172" t="s">
        <v>469</v>
      </c>
      <c r="C49" s="173"/>
      <c r="D49" s="15">
        <f>IF(F3="1",SUMIF(Data!A:A,'32'!$A$2,Data!DH:DH),0)</f>
        <v>129514</v>
      </c>
      <c r="E49" s="18">
        <f>IF(F3="1",SUMIF(Data!$A:$A,'32'!$A$2,Data!JB:JB),0)</f>
        <v>214941</v>
      </c>
      <c r="F49" s="22">
        <f t="shared" si="3"/>
        <v>1.66</v>
      </c>
    </row>
    <row r="50" spans="1:6" x14ac:dyDescent="0.2">
      <c r="A50" s="20">
        <v>15</v>
      </c>
      <c r="B50" s="172" t="s">
        <v>13</v>
      </c>
      <c r="C50" s="173"/>
      <c r="D50" s="15">
        <f>IF(F3="1",SUMIF(Data!A:A,'32'!$A$2,Data!DI:DI),0)</f>
        <v>0</v>
      </c>
      <c r="E50" s="18">
        <f>IF(F3="1",SUMIF(Data!$A:$A,'32'!$A$2,Data!JC:JC),0)</f>
        <v>0</v>
      </c>
      <c r="F50" s="22" t="str">
        <f t="shared" si="3"/>
        <v/>
      </c>
    </row>
    <row r="51" spans="1:6" x14ac:dyDescent="0.2">
      <c r="A51" s="20">
        <v>16</v>
      </c>
      <c r="B51" s="172" t="s">
        <v>14</v>
      </c>
      <c r="C51" s="173"/>
      <c r="D51" s="15">
        <f>IF(F3="1",SUMIF(Data!A:A,'32'!$A$2,Data!DJ:DJ),0)</f>
        <v>126957</v>
      </c>
      <c r="E51" s="18">
        <f>IF(F3="1",SUMIF(Data!$A:$A,'32'!$A$2,Data!JD:JD),0)</f>
        <v>168837</v>
      </c>
      <c r="F51" s="22">
        <f t="shared" si="3"/>
        <v>1.33</v>
      </c>
    </row>
    <row r="52" spans="1:6" x14ac:dyDescent="0.2">
      <c r="A52" s="20">
        <v>17</v>
      </c>
      <c r="B52" s="172" t="s">
        <v>15</v>
      </c>
      <c r="C52" s="173"/>
      <c r="D52" s="15">
        <f>IF(F3="1",SUMIF(Data!A:A,'32'!$A$2,Data!DK:DK),0)</f>
        <v>3200</v>
      </c>
      <c r="E52" s="18">
        <f>IF(F3="1",SUMIF(Data!$A:$A,'32'!$A$2,Data!JE:JE),0)</f>
        <v>6858</v>
      </c>
      <c r="F52" s="22">
        <f t="shared" si="3"/>
        <v>2.14</v>
      </c>
    </row>
    <row r="53" spans="1:6" x14ac:dyDescent="0.2">
      <c r="A53" s="20">
        <v>18</v>
      </c>
      <c r="B53" s="172" t="s">
        <v>16</v>
      </c>
      <c r="C53" s="173"/>
      <c r="D53" s="15">
        <f>IF(F3="1",SUMIF(Data!A:A,'32'!$A$2,Data!DL:DL),0)</f>
        <v>47145</v>
      </c>
      <c r="E53" s="18">
        <f>IF(F3="1",SUMIF(Data!$A:$A,'32'!$A$2,Data!JF:JF),0)</f>
        <v>61985</v>
      </c>
      <c r="F53" s="22">
        <f t="shared" si="3"/>
        <v>1.31</v>
      </c>
    </row>
    <row r="54" spans="1:6" x14ac:dyDescent="0.2">
      <c r="A54" s="20">
        <v>19</v>
      </c>
      <c r="B54" s="172" t="s">
        <v>17</v>
      </c>
      <c r="C54" s="173"/>
      <c r="D54" s="15">
        <f>IF(F3="1",SUMIF(Data!A:A,'32'!$A$2,Data!DM:DM),0)</f>
        <v>198024</v>
      </c>
      <c r="E54" s="18">
        <f>IF(F3="1",SUMIF(Data!$A:$A,'32'!$A$2,Data!JG:JG),0)</f>
        <v>143947</v>
      </c>
      <c r="F54" s="22">
        <f t="shared" si="3"/>
        <v>0.73</v>
      </c>
    </row>
    <row r="55" spans="1:6" x14ac:dyDescent="0.2">
      <c r="A55" s="20">
        <v>20</v>
      </c>
      <c r="B55" s="172" t="s">
        <v>18</v>
      </c>
      <c r="C55" s="173"/>
      <c r="D55" s="15">
        <f>IF(F3="1",SUMIF(Data!A:A,'32'!$A$2,Data!DN:DN),0)</f>
        <v>28800</v>
      </c>
      <c r="E55" s="18">
        <f>IF(F3="1",SUMIF(Data!$A:$A,'32'!$A$2,Data!JH:JH),0)</f>
        <v>92089</v>
      </c>
      <c r="F55" s="22">
        <f t="shared" si="3"/>
        <v>3.2</v>
      </c>
    </row>
    <row r="56" spans="1:6" ht="14.25" customHeight="1" x14ac:dyDescent="0.2">
      <c r="A56" s="20">
        <v>21</v>
      </c>
      <c r="B56" s="172" t="s">
        <v>466</v>
      </c>
      <c r="C56" s="173"/>
      <c r="D56" s="15">
        <f>IF(F3="1",SUMIF(Data!A:A,'32'!$A$2,Data!DO:DO),0)</f>
        <v>34496</v>
      </c>
      <c r="E56" s="18">
        <f>IF(F3="1",SUMIF(Data!$A:$A,'32'!$A$2,Data!JI:JI),0)</f>
        <v>200121</v>
      </c>
      <c r="F56" s="22">
        <f t="shared" si="3"/>
        <v>5.8</v>
      </c>
    </row>
    <row r="57" spans="1:6" x14ac:dyDescent="0.2">
      <c r="A57" s="20">
        <v>22</v>
      </c>
      <c r="B57" s="172" t="s">
        <v>19</v>
      </c>
      <c r="C57" s="173"/>
      <c r="D57" s="15">
        <f>IF(F3="1",SUMIF(Data!A:A,'32'!$A$2,Data!DP:DP),0)</f>
        <v>2912</v>
      </c>
      <c r="E57" s="18">
        <f>IF(F3="1",SUMIF(Data!$A:$A,'32'!$A$2,Data!JJ:JJ),0)</f>
        <v>2311</v>
      </c>
      <c r="F57" s="22">
        <f t="shared" si="3"/>
        <v>0.79</v>
      </c>
    </row>
    <row r="58" spans="1:6" x14ac:dyDescent="0.2">
      <c r="A58" s="20">
        <v>23</v>
      </c>
      <c r="B58" s="172" t="s">
        <v>20</v>
      </c>
      <c r="C58" s="173"/>
      <c r="D58" s="15">
        <f>IF(F3="1",SUMIF(Data!A:A,'32'!$A$2,Data!DQ:DQ),0)</f>
        <v>84160</v>
      </c>
      <c r="E58" s="18">
        <f>IF(F3="1",SUMIF(Data!$A:$A,'32'!$A$2,Data!JK:JK),0)</f>
        <v>117711</v>
      </c>
      <c r="F58" s="22">
        <f t="shared" si="3"/>
        <v>1.4</v>
      </c>
    </row>
    <row r="59" spans="1:6" x14ac:dyDescent="0.2">
      <c r="A59" s="20">
        <v>24</v>
      </c>
      <c r="B59" s="172" t="s">
        <v>21</v>
      </c>
      <c r="C59" s="173"/>
      <c r="D59" s="15">
        <f>IF(F3="1",SUMIF(Data!A:A,'32'!$A$2,Data!DR:DR),0)</f>
        <v>72903</v>
      </c>
      <c r="E59" s="18">
        <f>IF(F3="1",SUMIF(Data!$A:$A,'32'!$A$2,Data!JL:JL),0)</f>
        <v>144424</v>
      </c>
      <c r="F59" s="22">
        <f t="shared" si="3"/>
        <v>1.98</v>
      </c>
    </row>
    <row r="60" spans="1:6" x14ac:dyDescent="0.2">
      <c r="A60" s="20">
        <v>25</v>
      </c>
      <c r="B60" s="172" t="s">
        <v>22</v>
      </c>
      <c r="C60" s="173"/>
      <c r="D60" s="15">
        <f>IF(F3="1",SUMIF(Data!A:A,'32'!$A$2,Data!DS:DS),0)</f>
        <v>279744</v>
      </c>
      <c r="E60" s="18">
        <f>IF(F3="1",SUMIF(Data!$A:$A,'32'!$A$2,Data!JM:JM),0)</f>
        <v>108906</v>
      </c>
      <c r="F60" s="22">
        <f t="shared" si="3"/>
        <v>0.39</v>
      </c>
    </row>
    <row r="61" spans="1:6" x14ac:dyDescent="0.2">
      <c r="A61" s="20">
        <v>26</v>
      </c>
      <c r="B61" s="172" t="s">
        <v>23</v>
      </c>
      <c r="C61" s="173"/>
      <c r="D61" s="15">
        <f>IF(F3="1",SUMIF(Data!A:A,'32'!$A$2,Data!DT:DT),0)</f>
        <v>96764</v>
      </c>
      <c r="E61" s="18">
        <f>IF(F3="1",SUMIF(Data!$A:$A,'32'!$A$2,Data!JN:JN),0)</f>
        <v>127877</v>
      </c>
      <c r="F61" s="22">
        <f t="shared" si="3"/>
        <v>1.32</v>
      </c>
    </row>
    <row r="62" spans="1:6" x14ac:dyDescent="0.2">
      <c r="A62" s="20">
        <v>28</v>
      </c>
      <c r="B62" s="172" t="s">
        <v>24</v>
      </c>
      <c r="C62" s="173"/>
      <c r="D62" s="15">
        <f>IF(F3="1",SUMIF(Data!A:A,'32'!$A$2,Data!DV:DV),0)</f>
        <v>0</v>
      </c>
      <c r="E62" s="18">
        <f>IF(F3="1",SUMIF(Data!$A:$A,'32'!$A$2,Data!JP:JP),0)</f>
        <v>0</v>
      </c>
      <c r="F62" s="22" t="str">
        <f t="shared" si="3"/>
        <v/>
      </c>
    </row>
    <row r="63" spans="1:6" ht="15.75" customHeight="1" thickBot="1" x14ac:dyDescent="0.25">
      <c r="A63" s="23">
        <v>29</v>
      </c>
      <c r="B63" s="174" t="s">
        <v>25</v>
      </c>
      <c r="C63" s="175"/>
      <c r="D63" s="24">
        <f>IF(F3="1",SUMIF(Data!A:A,'32'!$A$2,Data!DW:DW),0)</f>
        <v>0</v>
      </c>
      <c r="E63" s="25">
        <f>IF(F3="1",SUMIF(Data!$A:$A,'32'!$A$2,Data!JQ:JQ),0)</f>
        <v>0</v>
      </c>
      <c r="F63" s="26" t="str">
        <f t="shared" si="3"/>
        <v/>
      </c>
    </row>
    <row r="64" spans="1:6" x14ac:dyDescent="0.2">
      <c r="B64" s="31" t="s">
        <v>35</v>
      </c>
      <c r="C64" s="31"/>
      <c r="D64" s="61">
        <f>SUM(D36:D63)</f>
        <v>2110567</v>
      </c>
      <c r="E64" s="32">
        <f>SUM(E36:E63)</f>
        <v>2101862</v>
      </c>
      <c r="F64" s="33">
        <f t="shared" si="3"/>
        <v>1</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7768</v>
      </c>
      <c r="E67" s="16">
        <f>IF(F3="1",SUMIF(Data!A:A,'32'!$A$2,Data!DY:DY),0)</f>
        <v>51777</v>
      </c>
      <c r="F67" s="21">
        <f t="shared" ref="F67:F95" si="4">IF(D67=0,"",ROUND(E67/D67,2))</f>
        <v>6.67</v>
      </c>
    </row>
    <row r="68" spans="1:6" x14ac:dyDescent="0.2">
      <c r="A68" s="20">
        <v>2</v>
      </c>
      <c r="B68" s="172" t="s">
        <v>1</v>
      </c>
      <c r="C68" s="173"/>
      <c r="D68" s="15">
        <f t="shared" ref="D68:D94" si="5">D37</f>
        <v>58080</v>
      </c>
      <c r="E68" s="18">
        <f>IF(F3="1",SUMIF(Data!A:A,'32'!$A$2,Data!DZ:DZ),0)</f>
        <v>101138</v>
      </c>
      <c r="F68" s="22">
        <f t="shared" si="4"/>
        <v>1.74</v>
      </c>
    </row>
    <row r="69" spans="1:6" ht="14.25" customHeight="1" x14ac:dyDescent="0.2">
      <c r="A69" s="20">
        <v>3</v>
      </c>
      <c r="B69" s="172" t="s">
        <v>2</v>
      </c>
      <c r="C69" s="173"/>
      <c r="D69" s="15">
        <f t="shared" si="5"/>
        <v>178032</v>
      </c>
      <c r="E69" s="18">
        <f>IF(F3="1",SUMIF(Data!A:A,'32'!$A$2,Data!EA:EA),0)</f>
        <v>514310</v>
      </c>
      <c r="F69" s="22">
        <f t="shared" si="4"/>
        <v>2.89</v>
      </c>
    </row>
    <row r="70" spans="1:6" ht="14.25" customHeight="1" x14ac:dyDescent="0.2">
      <c r="A70" s="20">
        <v>4</v>
      </c>
      <c r="B70" s="172" t="s">
        <v>3</v>
      </c>
      <c r="C70" s="173"/>
      <c r="D70" s="15">
        <f t="shared" si="5"/>
        <v>125857</v>
      </c>
      <c r="E70" s="18">
        <f>IF(F3="1",SUMIF(Data!A:A,'32'!$A$2,Data!EB:EB),0)</f>
        <v>439312</v>
      </c>
      <c r="F70" s="22">
        <f t="shared" si="4"/>
        <v>3.49</v>
      </c>
    </row>
    <row r="71" spans="1:6" x14ac:dyDescent="0.2">
      <c r="A71" s="20">
        <v>5</v>
      </c>
      <c r="B71" s="172" t="s">
        <v>4</v>
      </c>
      <c r="C71" s="173"/>
      <c r="D71" s="15">
        <f t="shared" si="5"/>
        <v>0</v>
      </c>
      <c r="E71" s="18">
        <f>IF(F3="1",SUMIF(Data!A:A,'32'!$A$2,Data!EC:EC),0)</f>
        <v>0</v>
      </c>
      <c r="F71" s="22" t="str">
        <f t="shared" si="4"/>
        <v/>
      </c>
    </row>
    <row r="72" spans="1:6" x14ac:dyDescent="0.2">
      <c r="A72" s="20">
        <v>6</v>
      </c>
      <c r="B72" s="172" t="s">
        <v>5</v>
      </c>
      <c r="C72" s="173"/>
      <c r="D72" s="15">
        <f t="shared" si="5"/>
        <v>54929</v>
      </c>
      <c r="E72" s="18">
        <f>IF(F3="1",SUMIF(Data!A:A,'32'!$A$2,Data!ED:ED),0)</f>
        <v>22952</v>
      </c>
      <c r="F72" s="22">
        <f t="shared" si="4"/>
        <v>0.42</v>
      </c>
    </row>
    <row r="73" spans="1:6" x14ac:dyDescent="0.2">
      <c r="A73" s="20">
        <v>7</v>
      </c>
      <c r="B73" s="172" t="s">
        <v>6</v>
      </c>
      <c r="C73" s="173"/>
      <c r="D73" s="15">
        <f t="shared" si="5"/>
        <v>49927</v>
      </c>
      <c r="E73" s="18">
        <f>IF(F3="1",SUMIF(Data!A:A,'32'!$A$2,Data!EE:EE),0)</f>
        <v>165542</v>
      </c>
      <c r="F73" s="22">
        <f t="shared" si="4"/>
        <v>3.32</v>
      </c>
    </row>
    <row r="74" spans="1:6" x14ac:dyDescent="0.2">
      <c r="A74" s="20">
        <v>8</v>
      </c>
      <c r="B74" s="172" t="s">
        <v>7</v>
      </c>
      <c r="C74" s="173"/>
      <c r="D74" s="15">
        <f t="shared" si="5"/>
        <v>36204</v>
      </c>
      <c r="E74" s="18">
        <f>IF(F3="1",SUMIF(Data!A:A,'32'!$A$2,Data!EF:EF),0)</f>
        <v>34190</v>
      </c>
      <c r="F74" s="22">
        <f t="shared" si="4"/>
        <v>0.94</v>
      </c>
    </row>
    <row r="75" spans="1:6" x14ac:dyDescent="0.2">
      <c r="A75" s="20">
        <v>9</v>
      </c>
      <c r="B75" s="172" t="s">
        <v>8</v>
      </c>
      <c r="C75" s="173"/>
      <c r="D75" s="15">
        <f t="shared" si="5"/>
        <v>142555</v>
      </c>
      <c r="E75" s="18">
        <f>IF(F3="1",SUMIF(Data!A:A,'32'!$A$2,Data!EG:EG),0)</f>
        <v>528864</v>
      </c>
      <c r="F75" s="22">
        <f t="shared" si="4"/>
        <v>3.71</v>
      </c>
    </row>
    <row r="76" spans="1:6" x14ac:dyDescent="0.2">
      <c r="A76" s="20">
        <v>10</v>
      </c>
      <c r="B76" s="172" t="s">
        <v>9</v>
      </c>
      <c r="C76" s="173"/>
      <c r="D76" s="15">
        <f t="shared" si="5"/>
        <v>0</v>
      </c>
      <c r="E76" s="18">
        <f>IF(F3="1",SUMIF(Data!A:A,'32'!$A$2,Data!EH:EH),0)</f>
        <v>0</v>
      </c>
      <c r="F76" s="22" t="str">
        <f t="shared" si="4"/>
        <v/>
      </c>
    </row>
    <row r="77" spans="1:6" x14ac:dyDescent="0.2">
      <c r="A77" s="20">
        <v>11</v>
      </c>
      <c r="B77" s="172" t="s">
        <v>10</v>
      </c>
      <c r="C77" s="173"/>
      <c r="D77" s="15">
        <f t="shared" si="5"/>
        <v>91088</v>
      </c>
      <c r="E77" s="18">
        <f>IF(F3="1",SUMIF(Data!A:A,'32'!$A$2,Data!EI:EI),0)</f>
        <v>252763</v>
      </c>
      <c r="F77" s="22">
        <f t="shared" si="4"/>
        <v>2.77</v>
      </c>
    </row>
    <row r="78" spans="1:6" ht="14.25" customHeight="1" x14ac:dyDescent="0.2">
      <c r="A78" s="20">
        <v>12</v>
      </c>
      <c r="B78" s="172" t="s">
        <v>11</v>
      </c>
      <c r="C78" s="173"/>
      <c r="D78" s="15">
        <f t="shared" si="5"/>
        <v>247428</v>
      </c>
      <c r="E78" s="18">
        <f>IF(F3="1",SUMIF(Data!A:A,'32'!$A$2,Data!EJ:EJ),0)</f>
        <v>992950</v>
      </c>
      <c r="F78" s="22">
        <f t="shared" si="4"/>
        <v>4.01</v>
      </c>
    </row>
    <row r="79" spans="1:6" x14ac:dyDescent="0.2">
      <c r="A79" s="20">
        <v>13</v>
      </c>
      <c r="B79" s="172" t="s">
        <v>12</v>
      </c>
      <c r="C79" s="173"/>
      <c r="D79" s="15">
        <f t="shared" si="5"/>
        <v>14080</v>
      </c>
      <c r="E79" s="18">
        <f>IF(F3="1",SUMIF(Data!A:A,'32'!$A$2,Data!EK:EK),0)</f>
        <v>51675</v>
      </c>
      <c r="F79" s="22">
        <f t="shared" si="4"/>
        <v>3.67</v>
      </c>
    </row>
    <row r="80" spans="1:6" ht="14.25" customHeight="1" x14ac:dyDescent="0.2">
      <c r="A80" s="20">
        <v>14</v>
      </c>
      <c r="B80" s="172" t="s">
        <v>469</v>
      </c>
      <c r="C80" s="173"/>
      <c r="D80" s="15">
        <f t="shared" si="5"/>
        <v>129514</v>
      </c>
      <c r="E80" s="18">
        <f>IF(F3="1",SUMIF(Data!A:A,'32'!$A$2,Data!EL:EL),0)</f>
        <v>772738</v>
      </c>
      <c r="F80" s="22">
        <f t="shared" si="4"/>
        <v>5.97</v>
      </c>
    </row>
    <row r="81" spans="1:6" x14ac:dyDescent="0.2">
      <c r="A81" s="20">
        <v>15</v>
      </c>
      <c r="B81" s="172" t="s">
        <v>13</v>
      </c>
      <c r="C81" s="173"/>
      <c r="D81" s="15">
        <f t="shared" si="5"/>
        <v>0</v>
      </c>
      <c r="E81" s="18">
        <f>IF(F3="1",SUMIF(Data!A:A,'32'!$A$2,Data!EM:EM),0)</f>
        <v>0</v>
      </c>
      <c r="F81" s="22" t="str">
        <f t="shared" si="4"/>
        <v/>
      </c>
    </row>
    <row r="82" spans="1:6" x14ac:dyDescent="0.2">
      <c r="A82" s="20">
        <v>16</v>
      </c>
      <c r="B82" s="172" t="s">
        <v>14</v>
      </c>
      <c r="C82" s="173"/>
      <c r="D82" s="15">
        <f t="shared" si="5"/>
        <v>126957</v>
      </c>
      <c r="E82" s="18">
        <f>IF(F3="1",SUMIF(Data!A:A,'32'!$A$2,Data!EN:EN),0)</f>
        <v>697586</v>
      </c>
      <c r="F82" s="22">
        <f t="shared" si="4"/>
        <v>5.49</v>
      </c>
    </row>
    <row r="83" spans="1:6" x14ac:dyDescent="0.2">
      <c r="A83" s="20">
        <v>17</v>
      </c>
      <c r="B83" s="172" t="s">
        <v>15</v>
      </c>
      <c r="C83" s="173"/>
      <c r="D83" s="15">
        <f t="shared" si="5"/>
        <v>3200</v>
      </c>
      <c r="E83" s="18">
        <f>IF(F3="1",SUMIF(Data!A:A,'32'!$A$2,Data!EO:EO),0)</f>
        <v>55678</v>
      </c>
      <c r="F83" s="22">
        <f t="shared" si="4"/>
        <v>17.399999999999999</v>
      </c>
    </row>
    <row r="84" spans="1:6" x14ac:dyDescent="0.2">
      <c r="A84" s="20">
        <v>18</v>
      </c>
      <c r="B84" s="172" t="s">
        <v>16</v>
      </c>
      <c r="C84" s="173"/>
      <c r="D84" s="15">
        <f t="shared" si="5"/>
        <v>47145</v>
      </c>
      <c r="E84" s="18">
        <f>IF(F3="1",SUMIF(Data!A:A,'32'!$A$2,Data!EP:EP),0)</f>
        <v>227260</v>
      </c>
      <c r="F84" s="22">
        <f t="shared" si="4"/>
        <v>4.82</v>
      </c>
    </row>
    <row r="85" spans="1:6" x14ac:dyDescent="0.2">
      <c r="A85" s="20">
        <v>19</v>
      </c>
      <c r="B85" s="172" t="s">
        <v>17</v>
      </c>
      <c r="C85" s="173"/>
      <c r="D85" s="15">
        <f t="shared" si="5"/>
        <v>198024</v>
      </c>
      <c r="E85" s="18">
        <f>IF(F3="1",SUMIF(Data!A:A,'32'!$A$2,Data!EQ:EQ),0)</f>
        <v>645428</v>
      </c>
      <c r="F85" s="22">
        <f t="shared" si="4"/>
        <v>3.26</v>
      </c>
    </row>
    <row r="86" spans="1:6" x14ac:dyDescent="0.2">
      <c r="A86" s="20">
        <v>20</v>
      </c>
      <c r="B86" s="172" t="s">
        <v>18</v>
      </c>
      <c r="C86" s="173"/>
      <c r="D86" s="15">
        <f t="shared" si="5"/>
        <v>28800</v>
      </c>
      <c r="E86" s="18">
        <f>IF(F3="1",SUMIF(Data!A:A,'32'!$A$2,Data!ER:ER),0)</f>
        <v>67105</v>
      </c>
      <c r="F86" s="22">
        <f t="shared" si="4"/>
        <v>2.33</v>
      </c>
    </row>
    <row r="87" spans="1:6" ht="14.25" customHeight="1" x14ac:dyDescent="0.2">
      <c r="A87" s="20">
        <v>21</v>
      </c>
      <c r="B87" s="172" t="s">
        <v>466</v>
      </c>
      <c r="C87" s="173"/>
      <c r="D87" s="15">
        <f t="shared" si="5"/>
        <v>34496</v>
      </c>
      <c r="E87" s="18">
        <f>IF(F3="1",SUMIF(Data!A:A,'32'!$A$2,Data!ES:ES),0)</f>
        <v>111819</v>
      </c>
      <c r="F87" s="22">
        <f t="shared" si="4"/>
        <v>3.24</v>
      </c>
    </row>
    <row r="88" spans="1:6" x14ac:dyDescent="0.2">
      <c r="A88" s="20">
        <v>22</v>
      </c>
      <c r="B88" s="172" t="s">
        <v>19</v>
      </c>
      <c r="C88" s="173"/>
      <c r="D88" s="15">
        <f t="shared" si="5"/>
        <v>2912</v>
      </c>
      <c r="E88" s="18">
        <f>IF(F3="1",SUMIF(Data!A:A,'32'!$A$2,Data!ET:ET),0)</f>
        <v>5739</v>
      </c>
      <c r="F88" s="22">
        <f t="shared" si="4"/>
        <v>1.97</v>
      </c>
    </row>
    <row r="89" spans="1:6" x14ac:dyDescent="0.2">
      <c r="A89" s="20">
        <v>23</v>
      </c>
      <c r="B89" s="172" t="s">
        <v>20</v>
      </c>
      <c r="C89" s="173"/>
      <c r="D89" s="15">
        <f t="shared" si="5"/>
        <v>84160</v>
      </c>
      <c r="E89" s="18">
        <f>IF(F3="1",SUMIF(Data!A:A,'32'!$A$2,Data!EU:EU),0)</f>
        <v>321800</v>
      </c>
      <c r="F89" s="22">
        <f t="shared" si="4"/>
        <v>3.82</v>
      </c>
    </row>
    <row r="90" spans="1:6" x14ac:dyDescent="0.2">
      <c r="A90" s="20">
        <v>24</v>
      </c>
      <c r="B90" s="172" t="s">
        <v>21</v>
      </c>
      <c r="C90" s="173"/>
      <c r="D90" s="15">
        <f t="shared" si="5"/>
        <v>72903</v>
      </c>
      <c r="E90" s="18">
        <f>IF(F3="1",SUMIF(Data!A:A,'32'!$A$2,Data!EV:EV),0)</f>
        <v>295850</v>
      </c>
      <c r="F90" s="22">
        <f t="shared" si="4"/>
        <v>4.0599999999999996</v>
      </c>
    </row>
    <row r="91" spans="1:6" x14ac:dyDescent="0.2">
      <c r="A91" s="20">
        <v>25</v>
      </c>
      <c r="B91" s="172" t="s">
        <v>22</v>
      </c>
      <c r="C91" s="173"/>
      <c r="D91" s="15">
        <f t="shared" si="5"/>
        <v>279744</v>
      </c>
      <c r="E91" s="18">
        <f>IF(F3="1",SUMIF(Data!A:A,'32'!$A$2,Data!EW:EW),0)</f>
        <v>862158</v>
      </c>
      <c r="F91" s="22">
        <f t="shared" si="4"/>
        <v>3.08</v>
      </c>
    </row>
    <row r="92" spans="1:6" x14ac:dyDescent="0.2">
      <c r="A92" s="20">
        <v>26</v>
      </c>
      <c r="B92" s="172" t="s">
        <v>23</v>
      </c>
      <c r="C92" s="173"/>
      <c r="D92" s="15">
        <f t="shared" si="5"/>
        <v>96764</v>
      </c>
      <c r="E92" s="18">
        <f>IF(F3="1",SUMIF(Data!A:A,'32'!$A$2,Data!EX:EX),0)</f>
        <v>495112</v>
      </c>
      <c r="F92" s="22">
        <f t="shared" si="4"/>
        <v>5.12</v>
      </c>
    </row>
    <row r="93" spans="1:6" x14ac:dyDescent="0.2">
      <c r="A93" s="20">
        <v>28</v>
      </c>
      <c r="B93" s="172" t="s">
        <v>24</v>
      </c>
      <c r="C93" s="173"/>
      <c r="D93" s="15">
        <f t="shared" si="5"/>
        <v>0</v>
      </c>
      <c r="E93" s="18">
        <f>IF(F3="1",SUMIF(Data!A:A,'32'!$A$2,Data!EZ:EZ),0)</f>
        <v>0</v>
      </c>
      <c r="F93" s="22" t="str">
        <f t="shared" si="4"/>
        <v/>
      </c>
    </row>
    <row r="94" spans="1:6" ht="15.75" customHeight="1" thickBot="1" x14ac:dyDescent="0.25">
      <c r="A94" s="23">
        <v>29</v>
      </c>
      <c r="B94" s="174" t="s">
        <v>25</v>
      </c>
      <c r="C94" s="175"/>
      <c r="D94" s="24">
        <f t="shared" si="5"/>
        <v>0</v>
      </c>
      <c r="E94" s="25">
        <f>IF(F3="1",SUMIF(Data!A:A,'32'!$A$2,Data!FA:FA),0)</f>
        <v>0</v>
      </c>
      <c r="F94" s="26" t="str">
        <f t="shared" si="4"/>
        <v/>
      </c>
    </row>
    <row r="95" spans="1:6" x14ac:dyDescent="0.2">
      <c r="B95" s="31" t="s">
        <v>35</v>
      </c>
      <c r="C95" s="31"/>
      <c r="D95" s="61">
        <f>SUM(D67:D94)</f>
        <v>2110567</v>
      </c>
      <c r="E95" s="32">
        <f>SUM(E67:E94)</f>
        <v>7713746</v>
      </c>
      <c r="F95" s="33">
        <f t="shared" si="4"/>
        <v>3.65</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IF(F3="1",SUMIF(Data!A:A,'32'!$A$2,Data!AH:AH),0)</f>
        <v>3500611</v>
      </c>
      <c r="F98" s="21">
        <f>IF($D$105=0,"",ROUND(E98/$D$105,2))</f>
        <v>1.66</v>
      </c>
    </row>
    <row r="99" spans="2:6" x14ac:dyDescent="0.2">
      <c r="B99" s="178" t="s">
        <v>31</v>
      </c>
      <c r="C99" s="179"/>
      <c r="D99" s="37"/>
      <c r="E99" s="18">
        <f>IF(F3="1",SUMIF(Data!A:A,'32'!$A$2,Data!AI:AI),0)</f>
        <v>1992948</v>
      </c>
      <c r="F99" s="22">
        <f t="shared" ref="F99:F105" si="6">IF($D$105=0,"",ROUND(E99/$D$105,2))</f>
        <v>0.94</v>
      </c>
    </row>
    <row r="100" spans="2:6" x14ac:dyDescent="0.2">
      <c r="B100" s="178" t="s">
        <v>32</v>
      </c>
      <c r="C100" s="179"/>
      <c r="D100" s="37"/>
      <c r="E100" s="18">
        <f>IF(F3="1",SUMIF(Data!A:A,'32'!$A$2,Data!AJ:AJ),0)</f>
        <v>2283552</v>
      </c>
      <c r="F100" s="22">
        <f t="shared" si="6"/>
        <v>1.08</v>
      </c>
    </row>
    <row r="101" spans="2:6" x14ac:dyDescent="0.2">
      <c r="B101" s="178" t="s">
        <v>28</v>
      </c>
      <c r="C101" s="179"/>
      <c r="D101" s="37"/>
      <c r="E101" s="18">
        <f>IF(F3="1",SUMIF(Data!A:A,'32'!$A$2,Data!AK:AK),0)</f>
        <v>0</v>
      </c>
      <c r="F101" s="22">
        <f t="shared" si="6"/>
        <v>0</v>
      </c>
    </row>
    <row r="102" spans="2:6" x14ac:dyDescent="0.2">
      <c r="B102" s="178" t="s">
        <v>33</v>
      </c>
      <c r="C102" s="179"/>
      <c r="D102" s="37"/>
      <c r="E102" s="18">
        <f>IF(F3="1",SUMIF(Data!A:A,'32'!$A$2,Data!AL:AL),0)</f>
        <v>566045</v>
      </c>
      <c r="F102" s="22">
        <f t="shared" si="6"/>
        <v>0.27</v>
      </c>
    </row>
    <row r="103" spans="2:6" x14ac:dyDescent="0.2">
      <c r="B103" s="180" t="s">
        <v>34</v>
      </c>
      <c r="C103" s="181"/>
      <c r="D103" s="37"/>
      <c r="E103" s="18">
        <f>IF(F3="1",SUMIF(Data!A:A,'32'!$A$2,Data!AM:AM),0)</f>
        <v>447728</v>
      </c>
      <c r="F103" s="22">
        <f t="shared" si="6"/>
        <v>0.21</v>
      </c>
    </row>
    <row r="104" spans="2:6" ht="15.75" customHeight="1" thickBot="1" x14ac:dyDescent="0.25">
      <c r="B104" s="170" t="s">
        <v>29</v>
      </c>
      <c r="C104" s="171"/>
      <c r="D104" s="38"/>
      <c r="E104" s="25">
        <f>IF(F3="1",SUMIF(Data!A:A,'32'!$A$2,Data!Q:Q),0)</f>
        <v>778145</v>
      </c>
      <c r="F104" s="26">
        <f t="shared" si="6"/>
        <v>0.37</v>
      </c>
    </row>
    <row r="105" spans="2:6" x14ac:dyDescent="0.2">
      <c r="B105" s="31" t="s">
        <v>35</v>
      </c>
      <c r="C105" s="31"/>
      <c r="D105" s="35">
        <f>D95</f>
        <v>2110567</v>
      </c>
      <c r="E105" s="32">
        <f>SUM(E98:E104)</f>
        <v>9569029</v>
      </c>
      <c r="F105" s="33">
        <f t="shared" si="6"/>
        <v>4.53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8001532</v>
      </c>
      <c r="D109" s="16">
        <f>IF(F3="1",SUMIF(Data!$A:$A,$A$2,Data!HJ:HJ),0)</f>
        <v>595093</v>
      </c>
      <c r="E109" s="16">
        <f>IF(F3="1",SUMIF(Data!$A:$A,$A$2,Data!IN:IN),0)</f>
        <v>1218982</v>
      </c>
      <c r="F109" s="48">
        <f>SUM(C109:E109)</f>
        <v>9815607</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775945</v>
      </c>
      <c r="D111" s="52"/>
      <c r="E111" s="51">
        <f>IF(F3="1",SUMIF(Data!A:A,$A$2,Data!AX:AX),0)</f>
        <v>177216</v>
      </c>
      <c r="F111" s="49">
        <f t="shared" si="7"/>
        <v>953161</v>
      </c>
    </row>
    <row r="112" spans="2:6" x14ac:dyDescent="0.2">
      <c r="B112" s="43" t="s">
        <v>32</v>
      </c>
      <c r="C112" s="51">
        <f>IF(F3="1",SUMIF(Data!A:A,$A$2,Data!V:V),0)</f>
        <v>1645845</v>
      </c>
      <c r="D112" s="52"/>
      <c r="E112" s="51">
        <f>IF(F3="1",SUMIF(Data!A:A,$A$2,Data!AC:AC),0)</f>
        <v>637707</v>
      </c>
      <c r="F112" s="49">
        <f t="shared" si="7"/>
        <v>2283552</v>
      </c>
    </row>
    <row r="113" spans="1:6" x14ac:dyDescent="0.2">
      <c r="B113" s="43" t="s">
        <v>31</v>
      </c>
      <c r="C113" s="51">
        <f>IF(F3="1",SUMIF(Data!A:A,$A$2,Data!U:U),0)</f>
        <v>1538754</v>
      </c>
      <c r="D113" s="52"/>
      <c r="E113" s="51">
        <f>IF(F3="1",SUMIF(Data!A:A,$A$2,Data!AB:AB),0)</f>
        <v>454194</v>
      </c>
      <c r="F113" s="49">
        <f t="shared" si="7"/>
        <v>1992948</v>
      </c>
    </row>
    <row r="114" spans="1:6" x14ac:dyDescent="0.2">
      <c r="B114" s="43" t="s">
        <v>1021</v>
      </c>
      <c r="C114" s="51">
        <f>IF(F3="1",SUMIF(Data!A:A,$A$2,Data!T:T),0)</f>
        <v>2003418</v>
      </c>
      <c r="D114" s="52"/>
      <c r="E114" s="51">
        <f>IF(F3="1",SUMIF(Data!A:A,$A$2,Data!AA:AA),0)</f>
        <v>1497193</v>
      </c>
      <c r="F114" s="49">
        <f t="shared" si="7"/>
        <v>3500611</v>
      </c>
    </row>
    <row r="115" spans="1:6" x14ac:dyDescent="0.2">
      <c r="B115" s="43" t="s">
        <v>937</v>
      </c>
      <c r="C115" s="51">
        <f>IF(F3="1",SUMIF(Data!A:A,$A$2,Data!BI:BI),0)</f>
        <v>883126</v>
      </c>
      <c r="D115" s="51">
        <f>IF(F3="1",SUMIF(Data!A:A,$A$2,Data!BL:BL),0)</f>
        <v>204472</v>
      </c>
      <c r="E115" s="51">
        <f>IF(F3="1",SUMIF(Data!A:A,$A$2,Data!BU:BU),0)</f>
        <v>3543575</v>
      </c>
      <c r="F115" s="49">
        <f t="shared" si="7"/>
        <v>4631173</v>
      </c>
    </row>
    <row r="116" spans="1:6" x14ac:dyDescent="0.2">
      <c r="B116" s="43" t="s">
        <v>33</v>
      </c>
      <c r="C116" s="51">
        <f>IF(F3="1",SUMIF(Data!A:A,$A$2,Data!X:X),0)</f>
        <v>0</v>
      </c>
      <c r="D116" s="51"/>
      <c r="E116" s="51">
        <f>E102</f>
        <v>566045</v>
      </c>
      <c r="F116" s="49">
        <f t="shared" si="7"/>
        <v>566045</v>
      </c>
    </row>
    <row r="117" spans="1:6" ht="15" thickBot="1" x14ac:dyDescent="0.25">
      <c r="B117" s="44" t="s">
        <v>941</v>
      </c>
      <c r="C117" s="53"/>
      <c r="D117" s="53">
        <f>IF(F3="1",SUMIF(Data!A:A,$A$2,Data!Q:Q),0)</f>
        <v>778145</v>
      </c>
      <c r="E117" s="53"/>
      <c r="F117" s="50">
        <f>SUM(C117:E117)</f>
        <v>778145</v>
      </c>
    </row>
    <row r="118" spans="1:6" x14ac:dyDescent="0.2">
      <c r="B118" s="14" t="s">
        <v>35</v>
      </c>
      <c r="C118" s="5">
        <f>SUM(C109:C116)</f>
        <v>14848620</v>
      </c>
      <c r="D118" s="5">
        <f>SUM(D109:D116)</f>
        <v>799565</v>
      </c>
      <c r="E118" s="5">
        <f>SUM(E109:E116)</f>
        <v>8094912</v>
      </c>
      <c r="F118" s="5">
        <f>SUM(F109:F116)</f>
        <v>23743097</v>
      </c>
    </row>
    <row r="119" spans="1:6" ht="15" thickBot="1" x14ac:dyDescent="0.25"/>
    <row r="120" spans="1:6" ht="15" thickBot="1" x14ac:dyDescent="0.25">
      <c r="B120" s="57" t="s">
        <v>942</v>
      </c>
      <c r="C120" s="55"/>
      <c r="D120" s="55"/>
      <c r="E120" s="55">
        <f>IF(F3="1",SUMIF(Data!A:A,'32'!$A$2,Data!AM:AM),0)</f>
        <v>447728</v>
      </c>
      <c r="F120" s="56">
        <f>SUM(C120:E120)</f>
        <v>447728</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388</v>
      </c>
      <c r="B2" s="60" t="str">
        <f>VLOOKUP(A2,Data!A:G,7,0)</f>
        <v>Panola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8821</v>
      </c>
      <c r="E5" s="16">
        <f>E36+E67+IFERROR($E$105/$D$105*D5,0)</f>
        <v>57031.884250224677</v>
      </c>
      <c r="F5" s="21">
        <f>IF(OR(D5=0,E5=0),"",ROUND(E5/D5,2))</f>
        <v>6.47</v>
      </c>
    </row>
    <row r="6" spans="1:6" x14ac:dyDescent="0.2">
      <c r="A6" s="20">
        <v>2</v>
      </c>
      <c r="B6" s="172" t="s">
        <v>1</v>
      </c>
      <c r="C6" s="173"/>
      <c r="D6" s="15">
        <f t="shared" ref="D6:D32" si="0">D37</f>
        <v>20241</v>
      </c>
      <c r="E6" s="18">
        <f t="shared" ref="E6:E32" si="1">E37+E68+IFERROR($E$105/$D$105*D6,0)</f>
        <v>276462.08730402426</v>
      </c>
      <c r="F6" s="22">
        <f t="shared" ref="F6:F33" si="2">IF(OR(D6=0,E6=0),"",ROUND(E6/D6,2))</f>
        <v>13.66</v>
      </c>
    </row>
    <row r="7" spans="1:6" ht="14.25" customHeight="1" x14ac:dyDescent="0.2">
      <c r="A7" s="20">
        <v>3</v>
      </c>
      <c r="B7" s="172" t="s">
        <v>2</v>
      </c>
      <c r="C7" s="173"/>
      <c r="D7" s="15">
        <f t="shared" si="0"/>
        <v>103712</v>
      </c>
      <c r="E7" s="18">
        <f t="shared" si="1"/>
        <v>888260.62899436592</v>
      </c>
      <c r="F7" s="22">
        <f t="shared" si="2"/>
        <v>8.56</v>
      </c>
    </row>
    <row r="8" spans="1:6" ht="14.25" customHeight="1" x14ac:dyDescent="0.2">
      <c r="A8" s="20">
        <v>4</v>
      </c>
      <c r="B8" s="172" t="s">
        <v>3</v>
      </c>
      <c r="C8" s="173"/>
      <c r="D8" s="15">
        <f t="shared" si="0"/>
        <v>44470</v>
      </c>
      <c r="E8" s="18">
        <f t="shared" si="1"/>
        <v>377379.04201422643</v>
      </c>
      <c r="F8" s="22">
        <f t="shared" si="2"/>
        <v>8.49</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3902</v>
      </c>
      <c r="E10" s="18">
        <f t="shared" si="1"/>
        <v>68311.510185282474</v>
      </c>
      <c r="F10" s="22">
        <f t="shared" si="2"/>
        <v>17.510000000000002</v>
      </c>
    </row>
    <row r="11" spans="1:6" x14ac:dyDescent="0.2">
      <c r="A11" s="20">
        <v>7</v>
      </c>
      <c r="B11" s="172" t="s">
        <v>6</v>
      </c>
      <c r="C11" s="173"/>
      <c r="D11" s="15">
        <f t="shared" si="0"/>
        <v>29901</v>
      </c>
      <c r="E11" s="18">
        <f t="shared" si="1"/>
        <v>474432.35188368306</v>
      </c>
      <c r="F11" s="22">
        <f t="shared" si="2"/>
        <v>15.87</v>
      </c>
    </row>
    <row r="12" spans="1:6" x14ac:dyDescent="0.2">
      <c r="A12" s="20">
        <v>8</v>
      </c>
      <c r="B12" s="172" t="s">
        <v>7</v>
      </c>
      <c r="C12" s="173"/>
      <c r="D12" s="15">
        <f t="shared" si="0"/>
        <v>3584</v>
      </c>
      <c r="E12" s="18">
        <f t="shared" si="1"/>
        <v>29234.747438250226</v>
      </c>
      <c r="F12" s="22">
        <f t="shared" si="2"/>
        <v>8.16</v>
      </c>
    </row>
    <row r="13" spans="1:6" x14ac:dyDescent="0.2">
      <c r="A13" s="20">
        <v>9</v>
      </c>
      <c r="B13" s="172" t="s">
        <v>8</v>
      </c>
      <c r="C13" s="173"/>
      <c r="D13" s="15">
        <f t="shared" si="0"/>
        <v>84789</v>
      </c>
      <c r="E13" s="18">
        <f t="shared" si="1"/>
        <v>599110.15584313567</v>
      </c>
      <c r="F13" s="22">
        <f t="shared" si="2"/>
        <v>7.07</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24833</v>
      </c>
      <c r="E15" s="18">
        <f t="shared" si="1"/>
        <v>372721.04495928233</v>
      </c>
      <c r="F15" s="22">
        <f t="shared" si="2"/>
        <v>15.01</v>
      </c>
    </row>
    <row r="16" spans="1:6" ht="14.25" customHeight="1" x14ac:dyDescent="0.2">
      <c r="A16" s="20">
        <v>12</v>
      </c>
      <c r="B16" s="172" t="s">
        <v>11</v>
      </c>
      <c r="C16" s="173"/>
      <c r="D16" s="15">
        <f t="shared" si="0"/>
        <v>101555</v>
      </c>
      <c r="E16" s="18">
        <f t="shared" si="1"/>
        <v>834000.63451213774</v>
      </c>
      <c r="F16" s="22">
        <f t="shared" si="2"/>
        <v>8.2100000000000009</v>
      </c>
    </row>
    <row r="17" spans="1:6" x14ac:dyDescent="0.2">
      <c r="A17" s="20">
        <v>13</v>
      </c>
      <c r="B17" s="172" t="s">
        <v>12</v>
      </c>
      <c r="C17" s="173"/>
      <c r="D17" s="15">
        <f t="shared" si="0"/>
        <v>7256</v>
      </c>
      <c r="E17" s="18">
        <f t="shared" si="1"/>
        <v>84561.441800207482</v>
      </c>
      <c r="F17" s="22">
        <f t="shared" si="2"/>
        <v>11.65</v>
      </c>
    </row>
    <row r="18" spans="1:6" ht="14.25" customHeight="1" x14ac:dyDescent="0.2">
      <c r="A18" s="20">
        <v>14</v>
      </c>
      <c r="B18" s="172" t="s">
        <v>469</v>
      </c>
      <c r="C18" s="173"/>
      <c r="D18" s="15">
        <f t="shared" si="0"/>
        <v>97469</v>
      </c>
      <c r="E18" s="18">
        <f t="shared" si="1"/>
        <v>1064278.8716681951</v>
      </c>
      <c r="F18" s="22">
        <f t="shared" si="2"/>
        <v>10.92</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70186</v>
      </c>
      <c r="E20" s="18">
        <f t="shared" si="1"/>
        <v>616177.44076479645</v>
      </c>
      <c r="F20" s="22">
        <f t="shared" si="2"/>
        <v>8.7799999999999994</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103764</v>
      </c>
      <c r="E22" s="18">
        <f t="shared" si="1"/>
        <v>823899.96126746549</v>
      </c>
      <c r="F22" s="22">
        <f t="shared" si="2"/>
        <v>7.94</v>
      </c>
    </row>
    <row r="23" spans="1:6" x14ac:dyDescent="0.2">
      <c r="A23" s="20">
        <v>19</v>
      </c>
      <c r="B23" s="172" t="s">
        <v>17</v>
      </c>
      <c r="C23" s="173"/>
      <c r="D23" s="15">
        <f t="shared" si="0"/>
        <v>56610</v>
      </c>
      <c r="E23" s="18">
        <f t="shared" si="1"/>
        <v>599199.53808017448</v>
      </c>
      <c r="F23" s="22">
        <f t="shared" si="2"/>
        <v>10.58</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336</v>
      </c>
      <c r="E26" s="18">
        <f t="shared" si="1"/>
        <v>10209.070072335959</v>
      </c>
      <c r="F26" s="22">
        <f t="shared" si="2"/>
        <v>30.38</v>
      </c>
    </row>
    <row r="27" spans="1:6" x14ac:dyDescent="0.2">
      <c r="A27" s="20">
        <v>23</v>
      </c>
      <c r="B27" s="172" t="s">
        <v>20</v>
      </c>
      <c r="C27" s="173"/>
      <c r="D27" s="15">
        <f t="shared" si="0"/>
        <v>42690</v>
      </c>
      <c r="E27" s="18">
        <f t="shared" si="1"/>
        <v>373578.20651197049</v>
      </c>
      <c r="F27" s="22">
        <f t="shared" si="2"/>
        <v>8.75</v>
      </c>
    </row>
    <row r="28" spans="1:6" x14ac:dyDescent="0.2">
      <c r="A28" s="20">
        <v>24</v>
      </c>
      <c r="B28" s="172" t="s">
        <v>21</v>
      </c>
      <c r="C28" s="173"/>
      <c r="D28" s="15">
        <f t="shared" si="0"/>
        <v>3072</v>
      </c>
      <c r="E28" s="18">
        <f t="shared" si="1"/>
        <v>19684.783518500193</v>
      </c>
      <c r="F28" s="22">
        <f t="shared" si="2"/>
        <v>6.41</v>
      </c>
    </row>
    <row r="29" spans="1:6" x14ac:dyDescent="0.2">
      <c r="A29" s="20">
        <v>25</v>
      </c>
      <c r="B29" s="172" t="s">
        <v>22</v>
      </c>
      <c r="C29" s="173"/>
      <c r="D29" s="15">
        <f t="shared" si="0"/>
        <v>108592</v>
      </c>
      <c r="E29" s="18">
        <f t="shared" si="1"/>
        <v>798395.50385448337</v>
      </c>
      <c r="F29" s="22">
        <f t="shared" si="2"/>
        <v>7.35</v>
      </c>
    </row>
    <row r="30" spans="1:6" x14ac:dyDescent="0.2">
      <c r="A30" s="20">
        <v>26</v>
      </c>
      <c r="B30" s="172" t="s">
        <v>23</v>
      </c>
      <c r="C30" s="173"/>
      <c r="D30" s="15">
        <f t="shared" si="0"/>
        <v>64504</v>
      </c>
      <c r="E30" s="18">
        <f t="shared" si="1"/>
        <v>618156.09507725795</v>
      </c>
      <c r="F30" s="22">
        <f t="shared" si="2"/>
        <v>9.58</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980287</v>
      </c>
      <c r="E33" s="32">
        <f>SUM(E5:E32)</f>
        <v>8985085</v>
      </c>
      <c r="F33" s="33">
        <f t="shared" si="2"/>
        <v>9.17</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IF(F3="1",SUMIF(Data!A:A,'33'!$A$2,Data!CU:CU),0)</f>
        <v>8821</v>
      </c>
      <c r="E36" s="16">
        <f>IF(F3="1",SUMIF(Data!$A:$A,'33'!$A$2,Data!IO:IO),0)</f>
        <v>9845</v>
      </c>
      <c r="F36" s="21">
        <f>IF(D36=0,"",ROUND(E36/D36,2))</f>
        <v>1.1200000000000001</v>
      </c>
    </row>
    <row r="37" spans="1:6" x14ac:dyDescent="0.2">
      <c r="A37" s="20">
        <v>2</v>
      </c>
      <c r="B37" s="172" t="s">
        <v>1</v>
      </c>
      <c r="C37" s="173"/>
      <c r="D37" s="15">
        <f>IF(F3="1",SUMIF(Data!A:A,'33'!$A$2,Data!CV:CV),0)</f>
        <v>20241</v>
      </c>
      <c r="E37" s="18">
        <f>IF(F3="1",SUMIF(Data!$A:$A,'33'!$A$2,Data!IP:IP),0)</f>
        <v>75567</v>
      </c>
      <c r="F37" s="22">
        <f t="shared" ref="F37:F64" si="3">IF(D37=0,"",ROUND(E37/D37,2))</f>
        <v>3.73</v>
      </c>
    </row>
    <row r="38" spans="1:6" ht="14.25" customHeight="1" x14ac:dyDescent="0.2">
      <c r="A38" s="20">
        <v>3</v>
      </c>
      <c r="B38" s="172" t="s">
        <v>2</v>
      </c>
      <c r="C38" s="173"/>
      <c r="D38" s="15">
        <f>IF(F3="1",SUMIF(Data!A:A,'33'!$A$2,Data!CW:CW),0)</f>
        <v>103712</v>
      </c>
      <c r="E38" s="18">
        <f>IF(F3="1",SUMIF(Data!$A:$A,'33'!$A$2,Data!IQ:IQ),0)</f>
        <v>92738</v>
      </c>
      <c r="F38" s="22">
        <f t="shared" si="3"/>
        <v>0.89</v>
      </c>
    </row>
    <row r="39" spans="1:6" ht="14.25" customHeight="1" x14ac:dyDescent="0.2">
      <c r="A39" s="20">
        <v>4</v>
      </c>
      <c r="B39" s="172" t="s">
        <v>3</v>
      </c>
      <c r="C39" s="173"/>
      <c r="D39" s="15">
        <f>IF(F3="1",SUMIF(Data!A:A,'33'!$A$2,Data!CX:CX),0)</f>
        <v>44470</v>
      </c>
      <c r="E39" s="18">
        <f>IF(F3="1",SUMIF(Data!$A:$A,'33'!$A$2,Data!IR:IR),0)</f>
        <v>35562</v>
      </c>
      <c r="F39" s="22">
        <f t="shared" si="3"/>
        <v>0.8</v>
      </c>
    </row>
    <row r="40" spans="1:6" x14ac:dyDescent="0.2">
      <c r="A40" s="20">
        <v>5</v>
      </c>
      <c r="B40" s="172" t="s">
        <v>4</v>
      </c>
      <c r="C40" s="173"/>
      <c r="D40" s="15">
        <f>IF(F3="1",SUMIF(Data!A:A,'33'!$A$2,Data!CY:CY),0)</f>
        <v>0</v>
      </c>
      <c r="E40" s="18">
        <f>IF(F3="1",SUMIF(Data!$A:$A,'33'!$A$2,Data!IS:IS),0)</f>
        <v>0</v>
      </c>
      <c r="F40" s="22" t="str">
        <f t="shared" si="3"/>
        <v/>
      </c>
    </row>
    <row r="41" spans="1:6" x14ac:dyDescent="0.2">
      <c r="A41" s="20">
        <v>6</v>
      </c>
      <c r="B41" s="172" t="s">
        <v>5</v>
      </c>
      <c r="C41" s="173"/>
      <c r="D41" s="15">
        <f>IF(F3="1",SUMIF(Data!A:A,'33'!$A$2,Data!CZ:CZ),0)</f>
        <v>3902</v>
      </c>
      <c r="E41" s="18">
        <f>IF(F3="1",SUMIF(Data!$A:$A,'33'!$A$2,Data!IT:IT),0)</f>
        <v>10232</v>
      </c>
      <c r="F41" s="22">
        <f t="shared" si="3"/>
        <v>2.62</v>
      </c>
    </row>
    <row r="42" spans="1:6" x14ac:dyDescent="0.2">
      <c r="A42" s="20">
        <v>7</v>
      </c>
      <c r="B42" s="172" t="s">
        <v>6</v>
      </c>
      <c r="C42" s="173"/>
      <c r="D42" s="15">
        <f>IF(F3="1",SUMIF(Data!A:A,'33'!$A$2,Data!DA:DA),0)</f>
        <v>29901</v>
      </c>
      <c r="E42" s="18">
        <f>IF(F3="1",SUMIF(Data!$A:$A,'33'!$A$2,Data!IU:IU),0)</f>
        <v>51148</v>
      </c>
      <c r="F42" s="22">
        <f t="shared" si="3"/>
        <v>1.71</v>
      </c>
    </row>
    <row r="43" spans="1:6" x14ac:dyDescent="0.2">
      <c r="A43" s="20">
        <v>8</v>
      </c>
      <c r="B43" s="172" t="s">
        <v>7</v>
      </c>
      <c r="C43" s="173"/>
      <c r="D43" s="15">
        <f>IF(F3="1",SUMIF(Data!A:A,'33'!$A$2,Data!DB:DB),0)</f>
        <v>3584</v>
      </c>
      <c r="E43" s="18">
        <f>IF(F3="1",SUMIF(Data!$A:$A,'33'!$A$2,Data!IV:IV),0)</f>
        <v>9882</v>
      </c>
      <c r="F43" s="22">
        <f t="shared" si="3"/>
        <v>2.76</v>
      </c>
    </row>
    <row r="44" spans="1:6" x14ac:dyDescent="0.2">
      <c r="A44" s="20">
        <v>9</v>
      </c>
      <c r="B44" s="172" t="s">
        <v>8</v>
      </c>
      <c r="C44" s="173"/>
      <c r="D44" s="15">
        <f>IF(F3="1",SUMIF(Data!A:A,'33'!$A$2,Data!DC:DC),0)</f>
        <v>84789</v>
      </c>
      <c r="E44" s="18">
        <f>IF(F3="1",SUMIF(Data!$A:$A,'33'!$A$2,Data!IW:IW),0)</f>
        <v>48766</v>
      </c>
      <c r="F44" s="22">
        <f t="shared" si="3"/>
        <v>0.57999999999999996</v>
      </c>
    </row>
    <row r="45" spans="1:6" x14ac:dyDescent="0.2">
      <c r="A45" s="20">
        <v>10</v>
      </c>
      <c r="B45" s="172" t="s">
        <v>9</v>
      </c>
      <c r="C45" s="173"/>
      <c r="D45" s="15">
        <f>IF(F3="1",SUMIF(Data!A:A,'33'!$A$2,Data!DD:DD),0)</f>
        <v>0</v>
      </c>
      <c r="E45" s="18">
        <f>IF(F3="1",SUMIF(Data!$A:$A,'33'!$A$2,Data!IX:IX),0)</f>
        <v>0</v>
      </c>
      <c r="F45" s="22" t="str">
        <f t="shared" si="3"/>
        <v/>
      </c>
    </row>
    <row r="46" spans="1:6" x14ac:dyDescent="0.2">
      <c r="A46" s="20">
        <v>11</v>
      </c>
      <c r="B46" s="172" t="s">
        <v>10</v>
      </c>
      <c r="C46" s="173"/>
      <c r="D46" s="15">
        <f>IF(F3="1",SUMIF(Data!A:A,'33'!$A$2,Data!DE:DE),0)</f>
        <v>24833</v>
      </c>
      <c r="E46" s="18">
        <f>IF(F3="1",SUMIF(Data!$A:$A,'33'!$A$2,Data!IY:IY),0)</f>
        <v>163501</v>
      </c>
      <c r="F46" s="22">
        <f t="shared" si="3"/>
        <v>6.58</v>
      </c>
    </row>
    <row r="47" spans="1:6" ht="14.25" customHeight="1" x14ac:dyDescent="0.2">
      <c r="A47" s="20">
        <v>12</v>
      </c>
      <c r="B47" s="172" t="s">
        <v>11</v>
      </c>
      <c r="C47" s="173"/>
      <c r="D47" s="15">
        <f>IF(F3="1",SUMIF(Data!A:A,'33'!$A$2,Data!DF:DF),0)</f>
        <v>101555</v>
      </c>
      <c r="E47" s="18">
        <f>IF(F3="1",SUMIF(Data!$A:$A,'33'!$A$2,Data!IZ:IZ),0)</f>
        <v>53773</v>
      </c>
      <c r="F47" s="22">
        <f t="shared" si="3"/>
        <v>0.53</v>
      </c>
    </row>
    <row r="48" spans="1:6" x14ac:dyDescent="0.2">
      <c r="A48" s="20">
        <v>13</v>
      </c>
      <c r="B48" s="172" t="s">
        <v>12</v>
      </c>
      <c r="C48" s="173"/>
      <c r="D48" s="15">
        <f>IF(F3="1",SUMIF(Data!A:A,'33'!$A$2,Data!DG:DG),0)</f>
        <v>7256</v>
      </c>
      <c r="E48" s="18">
        <f>IF(F3="1",SUMIF(Data!$A:$A,'33'!$A$2,Data!JA:JA),0)</f>
        <v>7726</v>
      </c>
      <c r="F48" s="22">
        <f t="shared" si="3"/>
        <v>1.06</v>
      </c>
    </row>
    <row r="49" spans="1:6" ht="14.25" customHeight="1" x14ac:dyDescent="0.2">
      <c r="A49" s="20">
        <v>14</v>
      </c>
      <c r="B49" s="172" t="s">
        <v>469</v>
      </c>
      <c r="C49" s="173"/>
      <c r="D49" s="15">
        <f>IF(F3="1",SUMIF(Data!A:A,'33'!$A$2,Data!DH:DH),0)</f>
        <v>97469</v>
      </c>
      <c r="E49" s="18">
        <f>IF(F3="1",SUMIF(Data!$A:$A,'33'!$A$2,Data!JB:JB),0)</f>
        <v>116522</v>
      </c>
      <c r="F49" s="22">
        <f t="shared" si="3"/>
        <v>1.2</v>
      </c>
    </row>
    <row r="50" spans="1:6" x14ac:dyDescent="0.2">
      <c r="A50" s="20">
        <v>15</v>
      </c>
      <c r="B50" s="172" t="s">
        <v>13</v>
      </c>
      <c r="C50" s="173"/>
      <c r="D50" s="15">
        <f>IF(F3="1",SUMIF(Data!A:A,'33'!$A$2,Data!DI:DI),0)</f>
        <v>0</v>
      </c>
      <c r="E50" s="18">
        <f>IF(F3="1",SUMIF(Data!$A:$A,'33'!$A$2,Data!JC:JC),0)</f>
        <v>0</v>
      </c>
      <c r="F50" s="22" t="str">
        <f t="shared" si="3"/>
        <v/>
      </c>
    </row>
    <row r="51" spans="1:6" x14ac:dyDescent="0.2">
      <c r="A51" s="20">
        <v>16</v>
      </c>
      <c r="B51" s="172" t="s">
        <v>14</v>
      </c>
      <c r="C51" s="173"/>
      <c r="D51" s="15">
        <f>IF(F3="1",SUMIF(Data!A:A,'33'!$A$2,Data!DJ:DJ),0)</f>
        <v>70186</v>
      </c>
      <c r="E51" s="18">
        <f>IF(F3="1",SUMIF(Data!$A:$A,'33'!$A$2,Data!JD:JD),0)</f>
        <v>85425</v>
      </c>
      <c r="F51" s="22">
        <f t="shared" si="3"/>
        <v>1.22</v>
      </c>
    </row>
    <row r="52" spans="1:6" x14ac:dyDescent="0.2">
      <c r="A52" s="20">
        <v>17</v>
      </c>
      <c r="B52" s="172" t="s">
        <v>15</v>
      </c>
      <c r="C52" s="173"/>
      <c r="D52" s="15">
        <f>IF(F3="1",SUMIF(Data!A:A,'33'!$A$2,Data!DK:DK),0)</f>
        <v>0</v>
      </c>
      <c r="E52" s="18">
        <f>IF(F3="1",SUMIF(Data!$A:$A,'33'!$A$2,Data!JE:JE),0)</f>
        <v>0</v>
      </c>
      <c r="F52" s="22" t="str">
        <f t="shared" si="3"/>
        <v/>
      </c>
    </row>
    <row r="53" spans="1:6" x14ac:dyDescent="0.2">
      <c r="A53" s="20">
        <v>18</v>
      </c>
      <c r="B53" s="172" t="s">
        <v>16</v>
      </c>
      <c r="C53" s="173"/>
      <c r="D53" s="15">
        <f>IF(F3="1",SUMIF(Data!A:A,'33'!$A$2,Data!DL:DL),0)</f>
        <v>103764</v>
      </c>
      <c r="E53" s="18">
        <f>IF(F3="1",SUMIF(Data!$A:$A,'33'!$A$2,Data!JF:JF),0)</f>
        <v>67537</v>
      </c>
      <c r="F53" s="22">
        <f t="shared" si="3"/>
        <v>0.65</v>
      </c>
    </row>
    <row r="54" spans="1:6" x14ac:dyDescent="0.2">
      <c r="A54" s="20">
        <v>19</v>
      </c>
      <c r="B54" s="172" t="s">
        <v>17</v>
      </c>
      <c r="C54" s="173"/>
      <c r="D54" s="15">
        <f>IF(F3="1",SUMIF(Data!A:A,'33'!$A$2,Data!DM:DM),0)</f>
        <v>56610</v>
      </c>
      <c r="E54" s="18">
        <f>IF(F3="1",SUMIF(Data!$A:$A,'33'!$A$2,Data!JG:JG),0)</f>
        <v>47443</v>
      </c>
      <c r="F54" s="22">
        <f t="shared" si="3"/>
        <v>0.84</v>
      </c>
    </row>
    <row r="55" spans="1:6" x14ac:dyDescent="0.2">
      <c r="A55" s="20">
        <v>20</v>
      </c>
      <c r="B55" s="172" t="s">
        <v>18</v>
      </c>
      <c r="C55" s="173"/>
      <c r="D55" s="15">
        <f>IF(F3="1",SUMIF(Data!A:A,'33'!$A$2,Data!DN:DN),0)</f>
        <v>0</v>
      </c>
      <c r="E55" s="18">
        <f>IF(F3="1",SUMIF(Data!$A:$A,'33'!$A$2,Data!JH:JH),0)</f>
        <v>0</v>
      </c>
      <c r="F55" s="22" t="str">
        <f t="shared" si="3"/>
        <v/>
      </c>
    </row>
    <row r="56" spans="1:6" ht="14.25" customHeight="1" x14ac:dyDescent="0.2">
      <c r="A56" s="20">
        <v>21</v>
      </c>
      <c r="B56" s="172" t="s">
        <v>466</v>
      </c>
      <c r="C56" s="173"/>
      <c r="D56" s="15">
        <f>IF(F3="1",SUMIF(Data!A:A,'33'!$A$2,Data!DO:DO),0)</f>
        <v>0</v>
      </c>
      <c r="E56" s="18">
        <f>IF(F3="1",SUMIF(Data!$A:$A,'33'!$A$2,Data!JI:JI),0)</f>
        <v>0</v>
      </c>
      <c r="F56" s="22" t="str">
        <f t="shared" si="3"/>
        <v/>
      </c>
    </row>
    <row r="57" spans="1:6" x14ac:dyDescent="0.2">
      <c r="A57" s="20">
        <v>22</v>
      </c>
      <c r="B57" s="172" t="s">
        <v>19</v>
      </c>
      <c r="C57" s="173"/>
      <c r="D57" s="15">
        <f>IF(F3="1",SUMIF(Data!A:A,'33'!$A$2,Data!DP:DP),0)</f>
        <v>336</v>
      </c>
      <c r="E57" s="18">
        <f>IF(F3="1",SUMIF(Data!$A:$A,'33'!$A$2,Data!JJ:JJ),0)</f>
        <v>6258</v>
      </c>
      <c r="F57" s="22">
        <f t="shared" si="3"/>
        <v>18.63</v>
      </c>
    </row>
    <row r="58" spans="1:6" x14ac:dyDescent="0.2">
      <c r="A58" s="20">
        <v>23</v>
      </c>
      <c r="B58" s="172" t="s">
        <v>20</v>
      </c>
      <c r="C58" s="173"/>
      <c r="D58" s="15">
        <f>IF(F3="1",SUMIF(Data!A:A,'33'!$A$2,Data!DQ:DQ),0)</f>
        <v>42690</v>
      </c>
      <c r="E58" s="18">
        <f>IF(F3="1",SUMIF(Data!$A:$A,'33'!$A$2,Data!JK:JK),0)</f>
        <v>21466</v>
      </c>
      <c r="F58" s="22">
        <f t="shared" si="3"/>
        <v>0.5</v>
      </c>
    </row>
    <row r="59" spans="1:6" x14ac:dyDescent="0.2">
      <c r="A59" s="20">
        <v>24</v>
      </c>
      <c r="B59" s="172" t="s">
        <v>21</v>
      </c>
      <c r="C59" s="173"/>
      <c r="D59" s="15">
        <f>IF(F3="1",SUMIF(Data!A:A,'33'!$A$2,Data!DR:DR),0)</f>
        <v>3072</v>
      </c>
      <c r="E59" s="18">
        <f>IF(F3="1",SUMIF(Data!$A:$A,'33'!$A$2,Data!JL:JL),0)</f>
        <v>814</v>
      </c>
      <c r="F59" s="22">
        <f t="shared" si="3"/>
        <v>0.26</v>
      </c>
    </row>
    <row r="60" spans="1:6" x14ac:dyDescent="0.2">
      <c r="A60" s="20">
        <v>25</v>
      </c>
      <c r="B60" s="172" t="s">
        <v>22</v>
      </c>
      <c r="C60" s="173"/>
      <c r="D60" s="15">
        <f>IF(F3="1",SUMIF(Data!A:A,'33'!$A$2,Data!DS:DS),0)</f>
        <v>108592</v>
      </c>
      <c r="E60" s="18">
        <f>IF(F3="1",SUMIF(Data!$A:$A,'33'!$A$2,Data!JM:JM),0)</f>
        <v>52910</v>
      </c>
      <c r="F60" s="22">
        <f t="shared" si="3"/>
        <v>0.49</v>
      </c>
    </row>
    <row r="61" spans="1:6" x14ac:dyDescent="0.2">
      <c r="A61" s="20">
        <v>26</v>
      </c>
      <c r="B61" s="172" t="s">
        <v>23</v>
      </c>
      <c r="C61" s="173"/>
      <c r="D61" s="15">
        <f>IF(F3="1",SUMIF(Data!A:A,'33'!$A$2,Data!DT:DT),0)</f>
        <v>64504</v>
      </c>
      <c r="E61" s="18">
        <f>IF(F3="1",SUMIF(Data!$A:$A,'33'!$A$2,Data!JN:JN),0)</f>
        <v>79352</v>
      </c>
      <c r="F61" s="22">
        <f t="shared" si="3"/>
        <v>1.23</v>
      </c>
    </row>
    <row r="62" spans="1:6" x14ac:dyDescent="0.2">
      <c r="A62" s="20">
        <v>28</v>
      </c>
      <c r="B62" s="172" t="s">
        <v>24</v>
      </c>
      <c r="C62" s="173"/>
      <c r="D62" s="15">
        <f>IF(F3="1",SUMIF(Data!A:A,'33'!$A$2,Data!DV:DV),0)</f>
        <v>0</v>
      </c>
      <c r="E62" s="18">
        <f>IF(F3="1",SUMIF(Data!$A:$A,'33'!$A$2,Data!JP:JP),0)</f>
        <v>0</v>
      </c>
      <c r="F62" s="22" t="str">
        <f t="shared" si="3"/>
        <v/>
      </c>
    </row>
    <row r="63" spans="1:6" ht="15.75" customHeight="1" thickBot="1" x14ac:dyDescent="0.25">
      <c r="A63" s="23">
        <v>29</v>
      </c>
      <c r="B63" s="174" t="s">
        <v>25</v>
      </c>
      <c r="C63" s="175"/>
      <c r="D63" s="24">
        <f>IF(F3="1",SUMIF(Data!A:A,'33'!$A$2,Data!DW:DW),0)</f>
        <v>0</v>
      </c>
      <c r="E63" s="25">
        <f>IF(F3="1",SUMIF(Data!$A:$A,'33'!$A$2,Data!JQ:JQ),0)</f>
        <v>0</v>
      </c>
      <c r="F63" s="26" t="str">
        <f t="shared" si="3"/>
        <v/>
      </c>
    </row>
    <row r="64" spans="1:6" x14ac:dyDescent="0.2">
      <c r="B64" s="31" t="s">
        <v>35</v>
      </c>
      <c r="C64" s="31"/>
      <c r="D64" s="61">
        <f>SUM(D36:D63)</f>
        <v>980287</v>
      </c>
      <c r="E64" s="32">
        <f>SUM(E36:E63)</f>
        <v>1036467</v>
      </c>
      <c r="F64" s="33">
        <f t="shared" si="3"/>
        <v>1.06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8821</v>
      </c>
      <c r="E67" s="16">
        <f>IF(F3="1",SUMIF(Data!A:A,'33'!$A$2,Data!DY:DY),0)</f>
        <v>9302</v>
      </c>
      <c r="F67" s="21">
        <f t="shared" ref="F67:F95" si="4">IF(D67=0,"",ROUND(E67/D67,2))</f>
        <v>1.05</v>
      </c>
    </row>
    <row r="68" spans="1:6" x14ac:dyDescent="0.2">
      <c r="A68" s="20">
        <v>2</v>
      </c>
      <c r="B68" s="172" t="s">
        <v>1</v>
      </c>
      <c r="C68" s="173"/>
      <c r="D68" s="15">
        <f t="shared" ref="D68:D94" si="5">D37</f>
        <v>20241</v>
      </c>
      <c r="E68" s="18">
        <f>IF(F3="1",SUMIF(Data!A:A,'33'!$A$2,Data!DZ:DZ),0)</f>
        <v>113963</v>
      </c>
      <c r="F68" s="22">
        <f t="shared" si="4"/>
        <v>5.63</v>
      </c>
    </row>
    <row r="69" spans="1:6" ht="14.25" customHeight="1" x14ac:dyDescent="0.2">
      <c r="A69" s="20">
        <v>3</v>
      </c>
      <c r="B69" s="172" t="s">
        <v>2</v>
      </c>
      <c r="C69" s="173"/>
      <c r="D69" s="15">
        <f t="shared" si="5"/>
        <v>103712</v>
      </c>
      <c r="E69" s="18">
        <f>IF(F3="1",SUMIF(Data!A:A,'33'!$A$2,Data!EA:EA),0)</f>
        <v>350095</v>
      </c>
      <c r="F69" s="22">
        <f t="shared" si="4"/>
        <v>3.38</v>
      </c>
    </row>
    <row r="70" spans="1:6" ht="14.25" customHeight="1" x14ac:dyDescent="0.2">
      <c r="A70" s="20">
        <v>4</v>
      </c>
      <c r="B70" s="172" t="s">
        <v>3</v>
      </c>
      <c r="C70" s="173"/>
      <c r="D70" s="15">
        <f t="shared" si="5"/>
        <v>44470</v>
      </c>
      <c r="E70" s="18">
        <f>IF(F3="1",SUMIF(Data!A:A,'33'!$A$2,Data!EB:EB),0)</f>
        <v>150825</v>
      </c>
      <c r="F70" s="22">
        <f t="shared" si="4"/>
        <v>3.39</v>
      </c>
    </row>
    <row r="71" spans="1:6" x14ac:dyDescent="0.2">
      <c r="A71" s="20">
        <v>5</v>
      </c>
      <c r="B71" s="172" t="s">
        <v>4</v>
      </c>
      <c r="C71" s="173"/>
      <c r="D71" s="15">
        <f t="shared" si="5"/>
        <v>0</v>
      </c>
      <c r="E71" s="18">
        <f>IF(F3="1",SUMIF(Data!A:A,'33'!$A$2,Data!EC:EC),0)</f>
        <v>0</v>
      </c>
      <c r="F71" s="22" t="str">
        <f t="shared" si="4"/>
        <v/>
      </c>
    </row>
    <row r="72" spans="1:6" x14ac:dyDescent="0.2">
      <c r="A72" s="20">
        <v>6</v>
      </c>
      <c r="B72" s="172" t="s">
        <v>5</v>
      </c>
      <c r="C72" s="173"/>
      <c r="D72" s="15">
        <f t="shared" si="5"/>
        <v>3902</v>
      </c>
      <c r="E72" s="18">
        <f>IF(F3="1",SUMIF(Data!A:A,'33'!$A$2,Data!ED:ED),0)</f>
        <v>41321</v>
      </c>
      <c r="F72" s="22">
        <f t="shared" si="4"/>
        <v>10.59</v>
      </c>
    </row>
    <row r="73" spans="1:6" x14ac:dyDescent="0.2">
      <c r="A73" s="20">
        <v>7</v>
      </c>
      <c r="B73" s="172" t="s">
        <v>6</v>
      </c>
      <c r="C73" s="173"/>
      <c r="D73" s="15">
        <f t="shared" si="5"/>
        <v>29901</v>
      </c>
      <c r="E73" s="18">
        <f>IF(F3="1",SUMIF(Data!A:A,'33'!$A$2,Data!EE:EE),0)</f>
        <v>294864</v>
      </c>
      <c r="F73" s="22">
        <f t="shared" si="4"/>
        <v>9.86</v>
      </c>
    </row>
    <row r="74" spans="1:6" x14ac:dyDescent="0.2">
      <c r="A74" s="20">
        <v>8</v>
      </c>
      <c r="B74" s="172" t="s">
        <v>7</v>
      </c>
      <c r="C74" s="173"/>
      <c r="D74" s="15">
        <f t="shared" si="5"/>
        <v>3584</v>
      </c>
      <c r="E74" s="18">
        <f>IF(F3="1",SUMIF(Data!A:A,'33'!$A$2,Data!EF:EF),0)</f>
        <v>3960</v>
      </c>
      <c r="F74" s="22">
        <f t="shared" si="4"/>
        <v>1.1000000000000001</v>
      </c>
    </row>
    <row r="75" spans="1:6" x14ac:dyDescent="0.2">
      <c r="A75" s="20">
        <v>9</v>
      </c>
      <c r="B75" s="172" t="s">
        <v>8</v>
      </c>
      <c r="C75" s="173"/>
      <c r="D75" s="15">
        <f t="shared" si="5"/>
        <v>84789</v>
      </c>
      <c r="E75" s="18">
        <f>IF(F3="1",SUMIF(Data!A:A,'33'!$A$2,Data!EG:EG),0)</f>
        <v>186188</v>
      </c>
      <c r="F75" s="22">
        <f t="shared" si="4"/>
        <v>2.2000000000000002</v>
      </c>
    </row>
    <row r="76" spans="1:6" x14ac:dyDescent="0.2">
      <c r="A76" s="20">
        <v>10</v>
      </c>
      <c r="B76" s="172" t="s">
        <v>9</v>
      </c>
      <c r="C76" s="173"/>
      <c r="D76" s="15">
        <f t="shared" si="5"/>
        <v>0</v>
      </c>
      <c r="E76" s="18">
        <f>IF(F3="1",SUMIF(Data!A:A,'33'!$A$2,Data!EH:EH),0)</f>
        <v>0</v>
      </c>
      <c r="F76" s="22" t="str">
        <f t="shared" si="4"/>
        <v/>
      </c>
    </row>
    <row r="77" spans="1:6" x14ac:dyDescent="0.2">
      <c r="A77" s="20">
        <v>11</v>
      </c>
      <c r="B77" s="172" t="s">
        <v>10</v>
      </c>
      <c r="C77" s="173"/>
      <c r="D77" s="15">
        <f t="shared" si="5"/>
        <v>24833</v>
      </c>
      <c r="E77" s="18">
        <f>IF(F3="1",SUMIF(Data!A:A,'33'!$A$2,Data!EI:EI),0)</f>
        <v>102566</v>
      </c>
      <c r="F77" s="22">
        <f t="shared" si="4"/>
        <v>4.13</v>
      </c>
    </row>
    <row r="78" spans="1:6" ht="14.25" customHeight="1" x14ac:dyDescent="0.2">
      <c r="A78" s="20">
        <v>12</v>
      </c>
      <c r="B78" s="172" t="s">
        <v>11</v>
      </c>
      <c r="C78" s="173"/>
      <c r="D78" s="15">
        <f t="shared" si="5"/>
        <v>101555</v>
      </c>
      <c r="E78" s="18">
        <f>IF(F3="1",SUMIF(Data!A:A,'33'!$A$2,Data!EJ:EJ),0)</f>
        <v>344064</v>
      </c>
      <c r="F78" s="22">
        <f t="shared" si="4"/>
        <v>3.39</v>
      </c>
    </row>
    <row r="79" spans="1:6" x14ac:dyDescent="0.2">
      <c r="A79" s="20">
        <v>13</v>
      </c>
      <c r="B79" s="172" t="s">
        <v>12</v>
      </c>
      <c r="C79" s="173"/>
      <c r="D79" s="15">
        <f t="shared" si="5"/>
        <v>7256</v>
      </c>
      <c r="E79" s="18">
        <f>IF(F3="1",SUMIF(Data!A:A,'33'!$A$2,Data!EK:EK),0)</f>
        <v>45672</v>
      </c>
      <c r="F79" s="22">
        <f t="shared" si="4"/>
        <v>6.29</v>
      </c>
    </row>
    <row r="80" spans="1:6" ht="14.25" customHeight="1" x14ac:dyDescent="0.2">
      <c r="A80" s="20">
        <v>14</v>
      </c>
      <c r="B80" s="172" t="s">
        <v>469</v>
      </c>
      <c r="C80" s="173"/>
      <c r="D80" s="15">
        <f t="shared" si="5"/>
        <v>97469</v>
      </c>
      <c r="E80" s="18">
        <f>IF(F3="1",SUMIF(Data!A:A,'33'!$A$2,Data!EL:EL),0)</f>
        <v>529142</v>
      </c>
      <c r="F80" s="22">
        <f t="shared" si="4"/>
        <v>5.43</v>
      </c>
    </row>
    <row r="81" spans="1:6" x14ac:dyDescent="0.2">
      <c r="A81" s="20">
        <v>15</v>
      </c>
      <c r="B81" s="172" t="s">
        <v>13</v>
      </c>
      <c r="C81" s="173"/>
      <c r="D81" s="15">
        <f t="shared" si="5"/>
        <v>0</v>
      </c>
      <c r="E81" s="18">
        <f>IF(F3="1",SUMIF(Data!A:A,'33'!$A$2,Data!EM:EM),0)</f>
        <v>0</v>
      </c>
      <c r="F81" s="22" t="str">
        <f t="shared" si="4"/>
        <v/>
      </c>
    </row>
    <row r="82" spans="1:6" x14ac:dyDescent="0.2">
      <c r="A82" s="20">
        <v>16</v>
      </c>
      <c r="B82" s="172" t="s">
        <v>14</v>
      </c>
      <c r="C82" s="173"/>
      <c r="D82" s="15">
        <f t="shared" si="5"/>
        <v>70186</v>
      </c>
      <c r="E82" s="18">
        <f>IF(F3="1",SUMIF(Data!A:A,'33'!$A$2,Data!EN:EN),0)</f>
        <v>229314</v>
      </c>
      <c r="F82" s="22">
        <f t="shared" si="4"/>
        <v>3.27</v>
      </c>
    </row>
    <row r="83" spans="1:6" x14ac:dyDescent="0.2">
      <c r="A83" s="20">
        <v>17</v>
      </c>
      <c r="B83" s="172" t="s">
        <v>15</v>
      </c>
      <c r="C83" s="173"/>
      <c r="D83" s="15">
        <f t="shared" si="5"/>
        <v>0</v>
      </c>
      <c r="E83" s="18">
        <f>IF(F3="1",SUMIF(Data!A:A,'33'!$A$2,Data!EO:EO),0)</f>
        <v>0</v>
      </c>
      <c r="F83" s="22" t="str">
        <f t="shared" si="4"/>
        <v/>
      </c>
    </row>
    <row r="84" spans="1:6" x14ac:dyDescent="0.2">
      <c r="A84" s="20">
        <v>18</v>
      </c>
      <c r="B84" s="172" t="s">
        <v>16</v>
      </c>
      <c r="C84" s="173"/>
      <c r="D84" s="15">
        <f t="shared" si="5"/>
        <v>103764</v>
      </c>
      <c r="E84" s="18">
        <f>IF(F3="1",SUMIF(Data!A:A,'33'!$A$2,Data!EP:EP),0)</f>
        <v>310712</v>
      </c>
      <c r="F84" s="22">
        <f t="shared" si="4"/>
        <v>2.99</v>
      </c>
    </row>
    <row r="85" spans="1:6" x14ac:dyDescent="0.2">
      <c r="A85" s="20">
        <v>19</v>
      </c>
      <c r="B85" s="172" t="s">
        <v>17</v>
      </c>
      <c r="C85" s="173"/>
      <c r="D85" s="15">
        <f t="shared" si="5"/>
        <v>56610</v>
      </c>
      <c r="E85" s="18">
        <f>IF(F3="1",SUMIF(Data!A:A,'33'!$A$2,Data!EQ:EQ),0)</f>
        <v>308625</v>
      </c>
      <c r="F85" s="22">
        <f t="shared" si="4"/>
        <v>5.45</v>
      </c>
    </row>
    <row r="86" spans="1:6" x14ac:dyDescent="0.2">
      <c r="A86" s="20">
        <v>20</v>
      </c>
      <c r="B86" s="172" t="s">
        <v>18</v>
      </c>
      <c r="C86" s="173"/>
      <c r="D86" s="15">
        <f t="shared" si="5"/>
        <v>0</v>
      </c>
      <c r="E86" s="18">
        <f>IF(F3="1",SUMIF(Data!A:A,'33'!$A$2,Data!ER:ER),0)</f>
        <v>0</v>
      </c>
      <c r="F86" s="22" t="str">
        <f t="shared" si="4"/>
        <v/>
      </c>
    </row>
    <row r="87" spans="1:6" ht="14.25" customHeight="1" x14ac:dyDescent="0.2">
      <c r="A87" s="20">
        <v>21</v>
      </c>
      <c r="B87" s="172" t="s">
        <v>466</v>
      </c>
      <c r="C87" s="173"/>
      <c r="D87" s="15">
        <f t="shared" si="5"/>
        <v>0</v>
      </c>
      <c r="E87" s="18">
        <f>IF(F3="1",SUMIF(Data!A:A,'33'!$A$2,Data!ES:ES),0)</f>
        <v>0</v>
      </c>
      <c r="F87" s="22" t="str">
        <f t="shared" si="4"/>
        <v/>
      </c>
    </row>
    <row r="88" spans="1:6" x14ac:dyDescent="0.2">
      <c r="A88" s="20">
        <v>22</v>
      </c>
      <c r="B88" s="172" t="s">
        <v>19</v>
      </c>
      <c r="C88" s="173"/>
      <c r="D88" s="15">
        <f t="shared" si="5"/>
        <v>336</v>
      </c>
      <c r="E88" s="18">
        <f>IF(F3="1",SUMIF(Data!A:A,'33'!$A$2,Data!ET:ET),0)</f>
        <v>2508</v>
      </c>
      <c r="F88" s="22">
        <f t="shared" si="4"/>
        <v>7.46</v>
      </c>
    </row>
    <row r="89" spans="1:6" x14ac:dyDescent="0.2">
      <c r="A89" s="20">
        <v>23</v>
      </c>
      <c r="B89" s="172" t="s">
        <v>20</v>
      </c>
      <c r="C89" s="173"/>
      <c r="D89" s="15">
        <f t="shared" si="5"/>
        <v>42690</v>
      </c>
      <c r="E89" s="18">
        <f>IF(F3="1",SUMIF(Data!A:A,'33'!$A$2,Data!EU:EU),0)</f>
        <v>168765</v>
      </c>
      <c r="F89" s="22">
        <f t="shared" si="4"/>
        <v>3.95</v>
      </c>
    </row>
    <row r="90" spans="1:6" x14ac:dyDescent="0.2">
      <c r="A90" s="20">
        <v>24</v>
      </c>
      <c r="B90" s="172" t="s">
        <v>21</v>
      </c>
      <c r="C90" s="173"/>
      <c r="D90" s="15">
        <f t="shared" si="5"/>
        <v>3072</v>
      </c>
      <c r="E90" s="18">
        <f>IF(F3="1",SUMIF(Data!A:A,'33'!$A$2,Data!EV:EV),0)</f>
        <v>5677</v>
      </c>
      <c r="F90" s="22">
        <f t="shared" si="4"/>
        <v>1.85</v>
      </c>
    </row>
    <row r="91" spans="1:6" x14ac:dyDescent="0.2">
      <c r="A91" s="20">
        <v>25</v>
      </c>
      <c r="B91" s="172" t="s">
        <v>22</v>
      </c>
      <c r="C91" s="173"/>
      <c r="D91" s="15">
        <f t="shared" si="5"/>
        <v>108592</v>
      </c>
      <c r="E91" s="18">
        <f>IF(F3="1",SUMIF(Data!A:A,'33'!$A$2,Data!EW:EW),0)</f>
        <v>279099</v>
      </c>
      <c r="F91" s="22">
        <f t="shared" si="4"/>
        <v>2.57</v>
      </c>
    </row>
    <row r="92" spans="1:6" x14ac:dyDescent="0.2">
      <c r="A92" s="20">
        <v>26</v>
      </c>
      <c r="B92" s="172" t="s">
        <v>23</v>
      </c>
      <c r="C92" s="173"/>
      <c r="D92" s="15">
        <f t="shared" si="5"/>
        <v>64504</v>
      </c>
      <c r="E92" s="18">
        <f>IF(F3="1",SUMIF(Data!A:A,'33'!$A$2,Data!EX:EX),0)</f>
        <v>261769</v>
      </c>
      <c r="F92" s="22">
        <f t="shared" si="4"/>
        <v>4.0599999999999996</v>
      </c>
    </row>
    <row r="93" spans="1:6" x14ac:dyDescent="0.2">
      <c r="A93" s="20">
        <v>28</v>
      </c>
      <c r="B93" s="172" t="s">
        <v>24</v>
      </c>
      <c r="C93" s="173"/>
      <c r="D93" s="15">
        <f t="shared" si="5"/>
        <v>0</v>
      </c>
      <c r="E93" s="18">
        <f>IF(F3="1",SUMIF(Data!A:A,'33'!$A$2,Data!EZ:EZ),0)</f>
        <v>0</v>
      </c>
      <c r="F93" s="22" t="str">
        <f t="shared" si="4"/>
        <v/>
      </c>
    </row>
    <row r="94" spans="1:6" ht="15.75" customHeight="1" thickBot="1" x14ac:dyDescent="0.25">
      <c r="A94" s="23">
        <v>29</v>
      </c>
      <c r="B94" s="174" t="s">
        <v>25</v>
      </c>
      <c r="C94" s="175"/>
      <c r="D94" s="24">
        <f t="shared" si="5"/>
        <v>0</v>
      </c>
      <c r="E94" s="25">
        <f>IF(F3="1",SUMIF(Data!A:A,'33'!$A$2,Data!FA:FA),0)</f>
        <v>0</v>
      </c>
      <c r="F94" s="26" t="str">
        <f t="shared" si="4"/>
        <v/>
      </c>
    </row>
    <row r="95" spans="1:6" x14ac:dyDescent="0.2">
      <c r="B95" s="31" t="s">
        <v>35</v>
      </c>
      <c r="C95" s="31"/>
      <c r="D95" s="61">
        <f>SUM(D67:D94)</f>
        <v>980287</v>
      </c>
      <c r="E95" s="32">
        <f>SUM(E67:E94)</f>
        <v>3738431</v>
      </c>
      <c r="F95" s="33">
        <f t="shared" si="4"/>
        <v>3.81</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IF(F3="1",SUMIF(Data!A:A,'33'!$A$2,Data!AH:AH),0)</f>
        <v>1479583</v>
      </c>
      <c r="F98" s="21">
        <f>IF($D$105=0,"",ROUND(E98/$D$105,2))</f>
        <v>1.51</v>
      </c>
    </row>
    <row r="99" spans="2:6" x14ac:dyDescent="0.2">
      <c r="B99" s="178" t="s">
        <v>31</v>
      </c>
      <c r="C99" s="179"/>
      <c r="D99" s="37"/>
      <c r="E99" s="18">
        <f>IF(F3="1",SUMIF(Data!A:A,'33'!$A$2,Data!AI:AI),0)</f>
        <v>781488</v>
      </c>
      <c r="F99" s="22">
        <f t="shared" ref="F99:F105" si="6">IF($D$105=0,"",ROUND(E99/$D$105,2))</f>
        <v>0.8</v>
      </c>
    </row>
    <row r="100" spans="2:6" x14ac:dyDescent="0.2">
      <c r="B100" s="178" t="s">
        <v>32</v>
      </c>
      <c r="C100" s="179"/>
      <c r="D100" s="37"/>
      <c r="E100" s="18">
        <f>IF(F3="1",SUMIF(Data!A:A,'33'!$A$2,Data!AJ:AJ),0)</f>
        <v>1468195</v>
      </c>
      <c r="F100" s="22">
        <f t="shared" si="6"/>
        <v>1.5</v>
      </c>
    </row>
    <row r="101" spans="2:6" x14ac:dyDescent="0.2">
      <c r="B101" s="178" t="s">
        <v>28</v>
      </c>
      <c r="C101" s="179"/>
      <c r="D101" s="37"/>
      <c r="E101" s="18">
        <f>IF(F3="1",SUMIF(Data!A:A,'33'!$A$2,Data!AK:AK),0)</f>
        <v>0</v>
      </c>
      <c r="F101" s="22">
        <f t="shared" si="6"/>
        <v>0</v>
      </c>
    </row>
    <row r="102" spans="2:6" x14ac:dyDescent="0.2">
      <c r="B102" s="178" t="s">
        <v>33</v>
      </c>
      <c r="C102" s="179"/>
      <c r="D102" s="37"/>
      <c r="E102" s="18">
        <f>IF(F3="1",SUMIF(Data!A:A,'33'!$A$2,Data!AL:AL),0)</f>
        <v>0</v>
      </c>
      <c r="F102" s="22">
        <f t="shared" si="6"/>
        <v>0</v>
      </c>
    </row>
    <row r="103" spans="2:6" x14ac:dyDescent="0.2">
      <c r="B103" s="180" t="s">
        <v>34</v>
      </c>
      <c r="C103" s="181"/>
      <c r="D103" s="37"/>
      <c r="E103" s="18">
        <f>IF(F3="1",SUMIF(Data!A:A,'33'!$A$2,Data!AM:AM),0)</f>
        <v>210260</v>
      </c>
      <c r="F103" s="22">
        <f t="shared" si="6"/>
        <v>0.21</v>
      </c>
    </row>
    <row r="104" spans="2:6" ht="15.75" customHeight="1" thickBot="1" x14ac:dyDescent="0.25">
      <c r="B104" s="170" t="s">
        <v>29</v>
      </c>
      <c r="C104" s="171"/>
      <c r="D104" s="38"/>
      <c r="E104" s="25">
        <f>IF(F3="1",SUMIF(Data!A:A,'33'!$A$2,Data!Q:Q),0)</f>
        <v>270661</v>
      </c>
      <c r="F104" s="26">
        <f t="shared" si="6"/>
        <v>0.28000000000000003</v>
      </c>
    </row>
    <row r="105" spans="2:6" x14ac:dyDescent="0.2">
      <c r="B105" s="31" t="s">
        <v>35</v>
      </c>
      <c r="C105" s="31"/>
      <c r="D105" s="35">
        <f>D95</f>
        <v>980287</v>
      </c>
      <c r="E105" s="32">
        <f>SUM(E98:E104)</f>
        <v>4210187</v>
      </c>
      <c r="F105" s="33">
        <f t="shared" si="6"/>
        <v>4.29</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3870249</v>
      </c>
      <c r="D109" s="16">
        <f>IF(F3="1",SUMIF(Data!$A:$A,$A$2,Data!HJ:HJ),0)</f>
        <v>324813</v>
      </c>
      <c r="E109" s="16">
        <f>IF(F3="1",SUMIF(Data!$A:$A,$A$2,Data!IN:IN),0)</f>
        <v>579837</v>
      </c>
      <c r="F109" s="48">
        <f>SUM(C109:E109)</f>
        <v>4774899</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1063015</v>
      </c>
      <c r="D112" s="52"/>
      <c r="E112" s="51">
        <f>IF(F3="1",SUMIF(Data!A:A,$A$2,Data!AC:AC),0)</f>
        <v>405180</v>
      </c>
      <c r="F112" s="49">
        <f t="shared" si="7"/>
        <v>1468195</v>
      </c>
    </row>
    <row r="113" spans="1:6" x14ac:dyDescent="0.2">
      <c r="B113" s="43" t="s">
        <v>31</v>
      </c>
      <c r="C113" s="51">
        <f>IF(F3="1",SUMIF(Data!A:A,$A$2,Data!U:U),0)</f>
        <v>613587</v>
      </c>
      <c r="D113" s="52"/>
      <c r="E113" s="51">
        <f>IF(F3="1",SUMIF(Data!A:A,$A$2,Data!AB:AB),0)</f>
        <v>167901</v>
      </c>
      <c r="F113" s="49">
        <f t="shared" si="7"/>
        <v>781488</v>
      </c>
    </row>
    <row r="114" spans="1:6" x14ac:dyDescent="0.2">
      <c r="B114" s="43" t="s">
        <v>1021</v>
      </c>
      <c r="C114" s="51">
        <f>IF(F3="1",SUMIF(Data!A:A,$A$2,Data!T:T),0)</f>
        <v>712807</v>
      </c>
      <c r="D114" s="52"/>
      <c r="E114" s="51">
        <f>IF(F3="1",SUMIF(Data!A:A,$A$2,Data!AA:AA),0)</f>
        <v>766776</v>
      </c>
      <c r="F114" s="49">
        <f t="shared" si="7"/>
        <v>1479583</v>
      </c>
    </row>
    <row r="115" spans="1:6" x14ac:dyDescent="0.2">
      <c r="B115" s="43" t="s">
        <v>937</v>
      </c>
      <c r="C115" s="51">
        <f>IF(F3="1",SUMIF(Data!A:A,$A$2,Data!BI:BI),0)</f>
        <v>237226</v>
      </c>
      <c r="D115" s="51">
        <f>IF(F3="1",SUMIF(Data!A:A,$A$2,Data!BL:BL),0)</f>
        <v>54280</v>
      </c>
      <c r="E115" s="51">
        <f>IF(F3="1",SUMIF(Data!A:A,$A$2,Data!BU:BU),0)</f>
        <v>1194955</v>
      </c>
      <c r="F115" s="49">
        <f t="shared" si="7"/>
        <v>1486461</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270661</v>
      </c>
      <c r="E117" s="53"/>
      <c r="F117" s="50">
        <f>SUM(C117:E117)</f>
        <v>270661</v>
      </c>
    </row>
    <row r="118" spans="1:6" x14ac:dyDescent="0.2">
      <c r="B118" s="14" t="s">
        <v>35</v>
      </c>
      <c r="C118" s="5">
        <f>SUM(C109:C116)</f>
        <v>6496884</v>
      </c>
      <c r="D118" s="5">
        <f>SUM(D109:D116)</f>
        <v>379093</v>
      </c>
      <c r="E118" s="5">
        <f>SUM(E109:E116)</f>
        <v>3114649</v>
      </c>
      <c r="F118" s="5">
        <f>SUM(F109:F116)</f>
        <v>9990626</v>
      </c>
    </row>
    <row r="119" spans="1:6" ht="15" thickBot="1" x14ac:dyDescent="0.25"/>
    <row r="120" spans="1:6" ht="15" thickBot="1" x14ac:dyDescent="0.25">
      <c r="B120" s="57" t="s">
        <v>942</v>
      </c>
      <c r="C120" s="55"/>
      <c r="D120" s="55"/>
      <c r="E120" s="55">
        <f>IF(F3="1",SUMIF(Data!A:A,'33'!$A$2,Data!AM:AM),0)</f>
        <v>210260</v>
      </c>
      <c r="F120" s="56">
        <f>SUM(C120:E120)</f>
        <v>210260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390</v>
      </c>
      <c r="B2" s="60" t="str">
        <f>VLOOKUP(A2,Data!A:G,7,0)</f>
        <v>Paris Junior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4304</v>
      </c>
      <c r="E5" s="16">
        <f>E36+E67+IFERROR($E$105/$D$105*D5,0)</f>
        <v>62533.138758951129</v>
      </c>
      <c r="F5" s="21">
        <f>IF(OR(D5=0,E5=0),"",ROUND(E5/D5,2))</f>
        <v>14.53</v>
      </c>
    </row>
    <row r="6" spans="1:6" x14ac:dyDescent="0.2">
      <c r="A6" s="20">
        <v>2</v>
      </c>
      <c r="B6" s="172" t="s">
        <v>1</v>
      </c>
      <c r="C6" s="173"/>
      <c r="D6" s="15">
        <f t="shared" ref="D6:D32" si="0">D37</f>
        <v>181404</v>
      </c>
      <c r="E6" s="18">
        <f t="shared" ref="E6:E32" si="1">E37+E68+IFERROR($E$105/$D$105*D6,0)</f>
        <v>1162433.9310940453</v>
      </c>
      <c r="F6" s="22">
        <f t="shared" ref="F6:F33" si="2">IF(OR(D6=0,E6=0),"",ROUND(E6/D6,2))</f>
        <v>6.41</v>
      </c>
    </row>
    <row r="7" spans="1:6" ht="14.25" customHeight="1" x14ac:dyDescent="0.2">
      <c r="A7" s="20">
        <v>3</v>
      </c>
      <c r="B7" s="172" t="s">
        <v>2</v>
      </c>
      <c r="C7" s="173"/>
      <c r="D7" s="15">
        <f t="shared" si="0"/>
        <v>277952</v>
      </c>
      <c r="E7" s="18">
        <f t="shared" si="1"/>
        <v>1208944.4554665391</v>
      </c>
      <c r="F7" s="22">
        <f t="shared" si="2"/>
        <v>4.3499999999999996</v>
      </c>
    </row>
    <row r="8" spans="1:6" ht="14.25" customHeight="1" x14ac:dyDescent="0.2">
      <c r="A8" s="20">
        <v>4</v>
      </c>
      <c r="B8" s="172" t="s">
        <v>3</v>
      </c>
      <c r="C8" s="173"/>
      <c r="D8" s="15">
        <f t="shared" si="0"/>
        <v>98931</v>
      </c>
      <c r="E8" s="18">
        <f t="shared" si="1"/>
        <v>549379.12652458041</v>
      </c>
      <c r="F8" s="22">
        <f t="shared" si="2"/>
        <v>5.55</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4989</v>
      </c>
      <c r="E10" s="18">
        <f t="shared" si="1"/>
        <v>55081.097413663374</v>
      </c>
      <c r="F10" s="22">
        <f t="shared" si="2"/>
        <v>11.04</v>
      </c>
    </row>
    <row r="11" spans="1:6" x14ac:dyDescent="0.2">
      <c r="A11" s="20">
        <v>7</v>
      </c>
      <c r="B11" s="172" t="s">
        <v>6</v>
      </c>
      <c r="C11" s="173"/>
      <c r="D11" s="15">
        <f t="shared" si="0"/>
        <v>91371</v>
      </c>
      <c r="E11" s="18">
        <f t="shared" si="1"/>
        <v>499371.14487549337</v>
      </c>
      <c r="F11" s="22">
        <f t="shared" si="2"/>
        <v>5.47</v>
      </c>
    </row>
    <row r="12" spans="1:6" x14ac:dyDescent="0.2">
      <c r="A12" s="20">
        <v>8</v>
      </c>
      <c r="B12" s="172" t="s">
        <v>7</v>
      </c>
      <c r="C12" s="173"/>
      <c r="D12" s="15">
        <f t="shared" si="0"/>
        <v>64</v>
      </c>
      <c r="E12" s="18">
        <f t="shared" si="1"/>
        <v>437.11730496581606</v>
      </c>
      <c r="F12" s="22">
        <f t="shared" si="2"/>
        <v>6.83</v>
      </c>
    </row>
    <row r="13" spans="1:6" x14ac:dyDescent="0.2">
      <c r="A13" s="20">
        <v>9</v>
      </c>
      <c r="B13" s="172" t="s">
        <v>8</v>
      </c>
      <c r="C13" s="173"/>
      <c r="D13" s="15">
        <f t="shared" si="0"/>
        <v>62802</v>
      </c>
      <c r="E13" s="18">
        <f t="shared" si="1"/>
        <v>267461.39041348716</v>
      </c>
      <c r="F13" s="22">
        <f t="shared" si="2"/>
        <v>4.26</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103092</v>
      </c>
      <c r="E15" s="18">
        <f t="shared" si="1"/>
        <v>486540.76880524855</v>
      </c>
      <c r="F15" s="22">
        <f t="shared" si="2"/>
        <v>4.72</v>
      </c>
    </row>
    <row r="16" spans="1:6" ht="14.25" customHeight="1" x14ac:dyDescent="0.2">
      <c r="A16" s="20">
        <v>12</v>
      </c>
      <c r="B16" s="172" t="s">
        <v>11</v>
      </c>
      <c r="C16" s="173"/>
      <c r="D16" s="15">
        <f t="shared" si="0"/>
        <v>333440</v>
      </c>
      <c r="E16" s="18">
        <f t="shared" si="1"/>
        <v>1731614.1588719017</v>
      </c>
      <c r="F16" s="22">
        <f t="shared" si="2"/>
        <v>5.19</v>
      </c>
    </row>
    <row r="17" spans="1:6" x14ac:dyDescent="0.2">
      <c r="A17" s="20">
        <v>13</v>
      </c>
      <c r="B17" s="172" t="s">
        <v>12</v>
      </c>
      <c r="C17" s="173"/>
      <c r="D17" s="15">
        <f t="shared" si="0"/>
        <v>42560</v>
      </c>
      <c r="E17" s="18">
        <f t="shared" si="1"/>
        <v>211775.00780226768</v>
      </c>
      <c r="F17" s="22">
        <f t="shared" si="2"/>
        <v>4.9800000000000004</v>
      </c>
    </row>
    <row r="18" spans="1:6" ht="14.25" customHeight="1" x14ac:dyDescent="0.2">
      <c r="A18" s="20">
        <v>14</v>
      </c>
      <c r="B18" s="172" t="s">
        <v>469</v>
      </c>
      <c r="C18" s="173"/>
      <c r="D18" s="15">
        <f t="shared" si="0"/>
        <v>58224</v>
      </c>
      <c r="E18" s="18">
        <f t="shared" si="1"/>
        <v>677133.46819265117</v>
      </c>
      <c r="F18" s="22">
        <f t="shared" si="2"/>
        <v>11.63</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102709</v>
      </c>
      <c r="E20" s="18">
        <f t="shared" si="1"/>
        <v>632748.08243334375</v>
      </c>
      <c r="F20" s="22">
        <f t="shared" si="2"/>
        <v>6.16</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78197</v>
      </c>
      <c r="E22" s="18">
        <f t="shared" si="1"/>
        <v>565120.15463143622</v>
      </c>
      <c r="F22" s="22">
        <f t="shared" si="2"/>
        <v>7.23</v>
      </c>
    </row>
    <row r="23" spans="1:6" x14ac:dyDescent="0.2">
      <c r="A23" s="20">
        <v>19</v>
      </c>
      <c r="B23" s="172" t="s">
        <v>17</v>
      </c>
      <c r="C23" s="173"/>
      <c r="D23" s="15">
        <f t="shared" si="0"/>
        <v>355424</v>
      </c>
      <c r="E23" s="18">
        <f t="shared" si="1"/>
        <v>1479533.9531276594</v>
      </c>
      <c r="F23" s="22">
        <f t="shared" si="2"/>
        <v>4.16</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15600</v>
      </c>
      <c r="E25" s="18">
        <f t="shared" si="1"/>
        <v>231609.34308541767</v>
      </c>
      <c r="F25" s="22">
        <f t="shared" si="2"/>
        <v>14.85</v>
      </c>
    </row>
    <row r="26" spans="1:6" x14ac:dyDescent="0.2">
      <c r="A26" s="20">
        <v>22</v>
      </c>
      <c r="B26" s="172" t="s">
        <v>19</v>
      </c>
      <c r="C26" s="173"/>
      <c r="D26" s="15">
        <f t="shared" si="0"/>
        <v>1432</v>
      </c>
      <c r="E26" s="18">
        <f t="shared" si="1"/>
        <v>3311.9996986101337</v>
      </c>
      <c r="F26" s="22">
        <f t="shared" si="2"/>
        <v>2.31</v>
      </c>
    </row>
    <row r="27" spans="1:6" x14ac:dyDescent="0.2">
      <c r="A27" s="20">
        <v>23</v>
      </c>
      <c r="B27" s="172" t="s">
        <v>20</v>
      </c>
      <c r="C27" s="173"/>
      <c r="D27" s="15">
        <f t="shared" si="0"/>
        <v>85344</v>
      </c>
      <c r="E27" s="18">
        <f t="shared" si="1"/>
        <v>516078.92617191572</v>
      </c>
      <c r="F27" s="22">
        <f t="shared" si="2"/>
        <v>6.05</v>
      </c>
    </row>
    <row r="28" spans="1:6" x14ac:dyDescent="0.2">
      <c r="A28" s="20">
        <v>24</v>
      </c>
      <c r="B28" s="172" t="s">
        <v>21</v>
      </c>
      <c r="C28" s="173"/>
      <c r="D28" s="15">
        <f t="shared" si="0"/>
        <v>30048</v>
      </c>
      <c r="E28" s="18">
        <f t="shared" si="1"/>
        <v>149764.57468145061</v>
      </c>
      <c r="F28" s="22">
        <f t="shared" si="2"/>
        <v>4.9800000000000004</v>
      </c>
    </row>
    <row r="29" spans="1:6" x14ac:dyDescent="0.2">
      <c r="A29" s="20">
        <v>25</v>
      </c>
      <c r="B29" s="172" t="s">
        <v>22</v>
      </c>
      <c r="C29" s="173"/>
      <c r="D29" s="15">
        <f t="shared" si="0"/>
        <v>301728</v>
      </c>
      <c r="E29" s="18">
        <f t="shared" si="1"/>
        <v>1507578.5342613398</v>
      </c>
      <c r="F29" s="22">
        <f t="shared" si="2"/>
        <v>5</v>
      </c>
    </row>
    <row r="30" spans="1:6" x14ac:dyDescent="0.2">
      <c r="A30" s="20">
        <v>26</v>
      </c>
      <c r="B30" s="172" t="s">
        <v>23</v>
      </c>
      <c r="C30" s="173"/>
      <c r="D30" s="15">
        <f t="shared" si="0"/>
        <v>102912</v>
      </c>
      <c r="E30" s="18">
        <f t="shared" si="1"/>
        <v>684483.6263850322</v>
      </c>
      <c r="F30" s="22">
        <f t="shared" si="2"/>
        <v>6.65</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2332527</v>
      </c>
      <c r="E33" s="32">
        <f>SUM(E5:E32)</f>
        <v>12682934</v>
      </c>
      <c r="F33" s="33">
        <f t="shared" si="2"/>
        <v>5.44</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IF(F3="1",SUMIF(Data!A:A,'34'!$A$2,Data!CU:CU),0)</f>
        <v>4304</v>
      </c>
      <c r="E36" s="16">
        <f>IF(F3="1",SUMIF(Data!$A:$A,'34'!$A$2,Data!IO:IO),0)</f>
        <v>12046</v>
      </c>
      <c r="F36" s="21">
        <f>IF(D36=0,"",ROUND(E36/D36,2))</f>
        <v>2.8</v>
      </c>
    </row>
    <row r="37" spans="1:6" x14ac:dyDescent="0.2">
      <c r="A37" s="20">
        <v>2</v>
      </c>
      <c r="B37" s="172" t="s">
        <v>1</v>
      </c>
      <c r="C37" s="173"/>
      <c r="D37" s="15">
        <f>IF(F3="1",SUMIF(Data!A:A,'34'!$A$2,Data!CV:CV),0)</f>
        <v>181404</v>
      </c>
      <c r="E37" s="18">
        <f>IF(F3="1",SUMIF(Data!$A:$A,'34'!$A$2,Data!IP:IP),0)</f>
        <v>199241</v>
      </c>
      <c r="F37" s="22">
        <f t="shared" ref="F37:F64" si="3">IF(D37=0,"",ROUND(E37/D37,2))</f>
        <v>1.1000000000000001</v>
      </c>
    </row>
    <row r="38" spans="1:6" ht="14.25" customHeight="1" x14ac:dyDescent="0.2">
      <c r="A38" s="20">
        <v>3</v>
      </c>
      <c r="B38" s="172" t="s">
        <v>2</v>
      </c>
      <c r="C38" s="173"/>
      <c r="D38" s="15">
        <f>IF(F3="1",SUMIF(Data!A:A,'34'!$A$2,Data!CW:CW),0)</f>
        <v>277952</v>
      </c>
      <c r="E38" s="18">
        <f>IF(F3="1",SUMIF(Data!$A:$A,'34'!$A$2,Data!IQ:IQ),0)</f>
        <v>95923</v>
      </c>
      <c r="F38" s="22">
        <f t="shared" si="3"/>
        <v>0.35</v>
      </c>
    </row>
    <row r="39" spans="1:6" ht="14.25" customHeight="1" x14ac:dyDescent="0.2">
      <c r="A39" s="20">
        <v>4</v>
      </c>
      <c r="B39" s="172" t="s">
        <v>3</v>
      </c>
      <c r="C39" s="173"/>
      <c r="D39" s="15">
        <f>IF(F3="1",SUMIF(Data!A:A,'34'!$A$2,Data!CX:CX),0)</f>
        <v>98931</v>
      </c>
      <c r="E39" s="18">
        <f>IF(F3="1",SUMIF(Data!$A:$A,'34'!$A$2,Data!IR:IR),0)</f>
        <v>67991</v>
      </c>
      <c r="F39" s="22">
        <f t="shared" si="3"/>
        <v>0.69</v>
      </c>
    </row>
    <row r="40" spans="1:6" x14ac:dyDescent="0.2">
      <c r="A40" s="20">
        <v>5</v>
      </c>
      <c r="B40" s="172" t="s">
        <v>4</v>
      </c>
      <c r="C40" s="173"/>
      <c r="D40" s="15">
        <f>IF(F3="1",SUMIF(Data!A:A,'34'!$A$2,Data!CY:CY),0)</f>
        <v>0</v>
      </c>
      <c r="E40" s="18">
        <f>IF(F3="1",SUMIF(Data!$A:$A,'34'!$A$2,Data!IS:IS),0)</f>
        <v>0</v>
      </c>
      <c r="F40" s="22" t="str">
        <f t="shared" si="3"/>
        <v/>
      </c>
    </row>
    <row r="41" spans="1:6" x14ac:dyDescent="0.2">
      <c r="A41" s="20">
        <v>6</v>
      </c>
      <c r="B41" s="172" t="s">
        <v>5</v>
      </c>
      <c r="C41" s="173"/>
      <c r="D41" s="15">
        <f>IF(F3="1",SUMIF(Data!A:A,'34'!$A$2,Data!CZ:CZ),0)</f>
        <v>4989</v>
      </c>
      <c r="E41" s="18">
        <f>IF(F3="1",SUMIF(Data!$A:$A,'34'!$A$2,Data!IT:IT),0)</f>
        <v>12412</v>
      </c>
      <c r="F41" s="22">
        <f t="shared" si="3"/>
        <v>2.4900000000000002</v>
      </c>
    </row>
    <row r="42" spans="1:6" x14ac:dyDescent="0.2">
      <c r="A42" s="20">
        <v>7</v>
      </c>
      <c r="B42" s="172" t="s">
        <v>6</v>
      </c>
      <c r="C42" s="173"/>
      <c r="D42" s="15">
        <f>IF(F3="1",SUMIF(Data!A:A,'34'!$A$2,Data!DA:DA),0)</f>
        <v>91371</v>
      </c>
      <c r="E42" s="18">
        <f>IF(F3="1",SUMIF(Data!$A:$A,'34'!$A$2,Data!IU:IU),0)</f>
        <v>70017</v>
      </c>
      <c r="F42" s="22">
        <f t="shared" si="3"/>
        <v>0.77</v>
      </c>
    </row>
    <row r="43" spans="1:6" x14ac:dyDescent="0.2">
      <c r="A43" s="20">
        <v>8</v>
      </c>
      <c r="B43" s="172" t="s">
        <v>7</v>
      </c>
      <c r="C43" s="173"/>
      <c r="D43" s="15">
        <f>IF(F3="1",SUMIF(Data!A:A,'34'!$A$2,Data!DB:DB),0)</f>
        <v>64</v>
      </c>
      <c r="E43" s="18">
        <f>IF(F3="1",SUMIF(Data!$A:$A,'34'!$A$2,Data!IV:IV),0)</f>
        <v>271</v>
      </c>
      <c r="F43" s="22">
        <f t="shared" si="3"/>
        <v>4.2300000000000004</v>
      </c>
    </row>
    <row r="44" spans="1:6" x14ac:dyDescent="0.2">
      <c r="A44" s="20">
        <v>9</v>
      </c>
      <c r="B44" s="172" t="s">
        <v>8</v>
      </c>
      <c r="C44" s="173"/>
      <c r="D44" s="15">
        <f>IF(F3="1",SUMIF(Data!A:A,'34'!$A$2,Data!DC:DC),0)</f>
        <v>62802</v>
      </c>
      <c r="E44" s="18">
        <f>IF(F3="1",SUMIF(Data!$A:$A,'34'!$A$2,Data!IW:IW),0)</f>
        <v>47871</v>
      </c>
      <c r="F44" s="22">
        <f t="shared" si="3"/>
        <v>0.76</v>
      </c>
    </row>
    <row r="45" spans="1:6" x14ac:dyDescent="0.2">
      <c r="A45" s="20">
        <v>10</v>
      </c>
      <c r="B45" s="172" t="s">
        <v>9</v>
      </c>
      <c r="C45" s="173"/>
      <c r="D45" s="15">
        <f>IF(F3="1",SUMIF(Data!A:A,'34'!$A$2,Data!DD:DD),0)</f>
        <v>0</v>
      </c>
      <c r="E45" s="18">
        <f>IF(F3="1",SUMIF(Data!$A:$A,'34'!$A$2,Data!IX:IX),0)</f>
        <v>0</v>
      </c>
      <c r="F45" s="22" t="str">
        <f t="shared" si="3"/>
        <v/>
      </c>
    </row>
    <row r="46" spans="1:6" x14ac:dyDescent="0.2">
      <c r="A46" s="20">
        <v>11</v>
      </c>
      <c r="B46" s="172" t="s">
        <v>10</v>
      </c>
      <c r="C46" s="173"/>
      <c r="D46" s="15">
        <f>IF(F3="1",SUMIF(Data!A:A,'34'!$A$2,Data!DE:DE),0)</f>
        <v>103092</v>
      </c>
      <c r="E46" s="18">
        <f>IF(F3="1",SUMIF(Data!$A:$A,'34'!$A$2,Data!IY:IY),0)</f>
        <v>65536</v>
      </c>
      <c r="F46" s="22">
        <f t="shared" si="3"/>
        <v>0.64</v>
      </c>
    </row>
    <row r="47" spans="1:6" ht="14.25" customHeight="1" x14ac:dyDescent="0.2">
      <c r="A47" s="20">
        <v>12</v>
      </c>
      <c r="B47" s="172" t="s">
        <v>11</v>
      </c>
      <c r="C47" s="173"/>
      <c r="D47" s="15">
        <f>IF(F3="1",SUMIF(Data!A:A,'34'!$A$2,Data!DF:DF),0)</f>
        <v>333440</v>
      </c>
      <c r="E47" s="18">
        <f>IF(F3="1",SUMIF(Data!$A:$A,'34'!$A$2,Data!IZ:IZ),0)</f>
        <v>144230</v>
      </c>
      <c r="F47" s="22">
        <f t="shared" si="3"/>
        <v>0.43</v>
      </c>
    </row>
    <row r="48" spans="1:6" x14ac:dyDescent="0.2">
      <c r="A48" s="20">
        <v>13</v>
      </c>
      <c r="B48" s="172" t="s">
        <v>12</v>
      </c>
      <c r="C48" s="173"/>
      <c r="D48" s="15">
        <f>IF(F3="1",SUMIF(Data!A:A,'34'!$A$2,Data!DG:DG),0)</f>
        <v>42560</v>
      </c>
      <c r="E48" s="18">
        <f>IF(F3="1",SUMIF(Data!$A:$A,'34'!$A$2,Data!JA:JA),0)</f>
        <v>20048</v>
      </c>
      <c r="F48" s="22">
        <f t="shared" si="3"/>
        <v>0.47</v>
      </c>
    </row>
    <row r="49" spans="1:6" ht="14.25" customHeight="1" x14ac:dyDescent="0.2">
      <c r="A49" s="20">
        <v>14</v>
      </c>
      <c r="B49" s="172" t="s">
        <v>469</v>
      </c>
      <c r="C49" s="173"/>
      <c r="D49" s="15">
        <f>IF(F3="1",SUMIF(Data!A:A,'34'!$A$2,Data!DH:DH),0)</f>
        <v>58224</v>
      </c>
      <c r="E49" s="18">
        <f>IF(F3="1",SUMIF(Data!$A:$A,'34'!$A$2,Data!JB:JB),0)</f>
        <v>113369</v>
      </c>
      <c r="F49" s="22">
        <f t="shared" si="3"/>
        <v>1.95</v>
      </c>
    </row>
    <row r="50" spans="1:6" x14ac:dyDescent="0.2">
      <c r="A50" s="20">
        <v>15</v>
      </c>
      <c r="B50" s="172" t="s">
        <v>13</v>
      </c>
      <c r="C50" s="173"/>
      <c r="D50" s="15">
        <f>IF(F3="1",SUMIF(Data!A:A,'34'!$A$2,Data!DI:DI),0)</f>
        <v>0</v>
      </c>
      <c r="E50" s="18">
        <f>IF(F3="1",SUMIF(Data!$A:$A,'34'!$A$2,Data!JC:JC),0)</f>
        <v>0</v>
      </c>
      <c r="F50" s="22" t="str">
        <f t="shared" si="3"/>
        <v/>
      </c>
    </row>
    <row r="51" spans="1:6" x14ac:dyDescent="0.2">
      <c r="A51" s="20">
        <v>16</v>
      </c>
      <c r="B51" s="172" t="s">
        <v>14</v>
      </c>
      <c r="C51" s="173"/>
      <c r="D51" s="15">
        <f>IF(F3="1",SUMIF(Data!A:A,'34'!$A$2,Data!DJ:DJ),0)</f>
        <v>102709</v>
      </c>
      <c r="E51" s="18">
        <f>IF(F3="1",SUMIF(Data!$A:$A,'34'!$A$2,Data!JD:JD),0)</f>
        <v>168343</v>
      </c>
      <c r="F51" s="22">
        <f t="shared" si="3"/>
        <v>1.64</v>
      </c>
    </row>
    <row r="52" spans="1:6" x14ac:dyDescent="0.2">
      <c r="A52" s="20">
        <v>17</v>
      </c>
      <c r="B52" s="172" t="s">
        <v>15</v>
      </c>
      <c r="C52" s="173"/>
      <c r="D52" s="15">
        <f>IF(F3="1",SUMIF(Data!A:A,'34'!$A$2,Data!DK:DK),0)</f>
        <v>0</v>
      </c>
      <c r="E52" s="18">
        <f>IF(F3="1",SUMIF(Data!$A:$A,'34'!$A$2,Data!JE:JE),0)</f>
        <v>0</v>
      </c>
      <c r="F52" s="22" t="str">
        <f t="shared" si="3"/>
        <v/>
      </c>
    </row>
    <row r="53" spans="1:6" x14ac:dyDescent="0.2">
      <c r="A53" s="20">
        <v>18</v>
      </c>
      <c r="B53" s="172" t="s">
        <v>16</v>
      </c>
      <c r="C53" s="173"/>
      <c r="D53" s="15">
        <f>IF(F3="1",SUMIF(Data!A:A,'34'!$A$2,Data!DL:DL),0)</f>
        <v>78197</v>
      </c>
      <c r="E53" s="18">
        <f>IF(F3="1",SUMIF(Data!$A:$A,'34'!$A$2,Data!JF:JF),0)</f>
        <v>60204</v>
      </c>
      <c r="F53" s="22">
        <f t="shared" si="3"/>
        <v>0.77</v>
      </c>
    </row>
    <row r="54" spans="1:6" x14ac:dyDescent="0.2">
      <c r="A54" s="20">
        <v>19</v>
      </c>
      <c r="B54" s="172" t="s">
        <v>17</v>
      </c>
      <c r="C54" s="173"/>
      <c r="D54" s="15">
        <f>IF(F3="1",SUMIF(Data!A:A,'34'!$A$2,Data!DM:DM),0)</f>
        <v>355424</v>
      </c>
      <c r="E54" s="18">
        <f>IF(F3="1",SUMIF(Data!$A:$A,'34'!$A$2,Data!JG:JG),0)</f>
        <v>92260</v>
      </c>
      <c r="F54" s="22">
        <f t="shared" si="3"/>
        <v>0.26</v>
      </c>
    </row>
    <row r="55" spans="1:6" x14ac:dyDescent="0.2">
      <c r="A55" s="20">
        <v>20</v>
      </c>
      <c r="B55" s="172" t="s">
        <v>18</v>
      </c>
      <c r="C55" s="173"/>
      <c r="D55" s="15">
        <f>IF(F3="1",SUMIF(Data!A:A,'34'!$A$2,Data!DN:DN),0)</f>
        <v>0</v>
      </c>
      <c r="E55" s="18">
        <f>IF(F3="1",SUMIF(Data!$A:$A,'34'!$A$2,Data!JH:JH),0)</f>
        <v>0</v>
      </c>
      <c r="F55" s="22" t="str">
        <f t="shared" si="3"/>
        <v/>
      </c>
    </row>
    <row r="56" spans="1:6" ht="14.25" customHeight="1" x14ac:dyDescent="0.2">
      <c r="A56" s="20">
        <v>21</v>
      </c>
      <c r="B56" s="172" t="s">
        <v>466</v>
      </c>
      <c r="C56" s="173"/>
      <c r="D56" s="15">
        <f>IF(F3="1",SUMIF(Data!A:A,'34'!$A$2,Data!DO:DO),0)</f>
        <v>15600</v>
      </c>
      <c r="E56" s="18">
        <f>IF(F3="1",SUMIF(Data!$A:$A,'34'!$A$2,Data!JI:JI),0)</f>
        <v>191142</v>
      </c>
      <c r="F56" s="22">
        <f t="shared" si="3"/>
        <v>12.25</v>
      </c>
    </row>
    <row r="57" spans="1:6" x14ac:dyDescent="0.2">
      <c r="A57" s="20">
        <v>22</v>
      </c>
      <c r="B57" s="172" t="s">
        <v>19</v>
      </c>
      <c r="C57" s="173"/>
      <c r="D57" s="15">
        <f>IF(F3="1",SUMIF(Data!A:A,'34'!$A$2,Data!DP:DP),0)</f>
        <v>1432</v>
      </c>
      <c r="E57" s="18">
        <f>IF(F3="1",SUMIF(Data!$A:$A,'34'!$A$2,Data!JJ:JJ),0)</f>
        <v>372</v>
      </c>
      <c r="F57" s="22">
        <f t="shared" si="3"/>
        <v>0.26</v>
      </c>
    </row>
    <row r="58" spans="1:6" x14ac:dyDescent="0.2">
      <c r="A58" s="20">
        <v>23</v>
      </c>
      <c r="B58" s="172" t="s">
        <v>20</v>
      </c>
      <c r="C58" s="173"/>
      <c r="D58" s="15">
        <f>IF(F3="1",SUMIF(Data!A:A,'34'!$A$2,Data!DQ:DQ),0)</f>
        <v>85344</v>
      </c>
      <c r="E58" s="18">
        <f>IF(F3="1",SUMIF(Data!$A:$A,'34'!$A$2,Data!JK:JK),0)</f>
        <v>95233</v>
      </c>
      <c r="F58" s="22">
        <f t="shared" si="3"/>
        <v>1.1200000000000001</v>
      </c>
    </row>
    <row r="59" spans="1:6" x14ac:dyDescent="0.2">
      <c r="A59" s="20">
        <v>24</v>
      </c>
      <c r="B59" s="172" t="s">
        <v>21</v>
      </c>
      <c r="C59" s="173"/>
      <c r="D59" s="15">
        <f>IF(F3="1",SUMIF(Data!A:A,'34'!$A$2,Data!DR:DR),0)</f>
        <v>30048</v>
      </c>
      <c r="E59" s="18">
        <f>IF(F3="1",SUMIF(Data!$A:$A,'34'!$A$2,Data!JL:JL),0)</f>
        <v>12749</v>
      </c>
      <c r="F59" s="22">
        <f t="shared" si="3"/>
        <v>0.42</v>
      </c>
    </row>
    <row r="60" spans="1:6" x14ac:dyDescent="0.2">
      <c r="A60" s="20">
        <v>25</v>
      </c>
      <c r="B60" s="172" t="s">
        <v>22</v>
      </c>
      <c r="C60" s="173"/>
      <c r="D60" s="15">
        <f>IF(F3="1",SUMIF(Data!A:A,'34'!$A$2,Data!DS:DS),0)</f>
        <v>301728</v>
      </c>
      <c r="E60" s="18">
        <f>IF(F3="1",SUMIF(Data!$A:$A,'34'!$A$2,Data!JM:JM),0)</f>
        <v>97825</v>
      </c>
      <c r="F60" s="22">
        <f t="shared" si="3"/>
        <v>0.32</v>
      </c>
    </row>
    <row r="61" spans="1:6" x14ac:dyDescent="0.2">
      <c r="A61" s="20">
        <v>26</v>
      </c>
      <c r="B61" s="172" t="s">
        <v>23</v>
      </c>
      <c r="C61" s="173"/>
      <c r="D61" s="15">
        <f>IF(F3="1",SUMIF(Data!A:A,'34'!$A$2,Data!DT:DT),0)</f>
        <v>102912</v>
      </c>
      <c r="E61" s="18">
        <f>IF(F3="1",SUMIF(Data!$A:$A,'34'!$A$2,Data!JN:JN),0)</f>
        <v>163647</v>
      </c>
      <c r="F61" s="22">
        <f t="shared" si="3"/>
        <v>1.59</v>
      </c>
    </row>
    <row r="62" spans="1:6" x14ac:dyDescent="0.2">
      <c r="A62" s="20">
        <v>28</v>
      </c>
      <c r="B62" s="172" t="s">
        <v>24</v>
      </c>
      <c r="C62" s="173"/>
      <c r="D62" s="15">
        <f>IF(F3="1",SUMIF(Data!A:A,'34'!$A$2,Data!DV:DV),0)</f>
        <v>0</v>
      </c>
      <c r="E62" s="18">
        <f>IF(F3="1",SUMIF(Data!$A:$A,'34'!$A$2,Data!JP:JP),0)</f>
        <v>0</v>
      </c>
      <c r="F62" s="22" t="str">
        <f t="shared" si="3"/>
        <v/>
      </c>
    </row>
    <row r="63" spans="1:6" ht="15.75" customHeight="1" thickBot="1" x14ac:dyDescent="0.25">
      <c r="A63" s="23">
        <v>29</v>
      </c>
      <c r="B63" s="174" t="s">
        <v>25</v>
      </c>
      <c r="C63" s="175"/>
      <c r="D63" s="24">
        <f>IF(F3="1",SUMIF(Data!A:A,'34'!$A$2,Data!DW:DW),0)</f>
        <v>0</v>
      </c>
      <c r="E63" s="25">
        <f>IF(F3="1",SUMIF(Data!$A:$A,'34'!$A$2,Data!JQ:JQ),0)</f>
        <v>0</v>
      </c>
      <c r="F63" s="26" t="str">
        <f t="shared" si="3"/>
        <v/>
      </c>
    </row>
    <row r="64" spans="1:6" x14ac:dyDescent="0.2">
      <c r="B64" s="31" t="s">
        <v>35</v>
      </c>
      <c r="C64" s="31"/>
      <c r="D64" s="61">
        <f>SUM(D36:D63)</f>
        <v>2332527</v>
      </c>
      <c r="E64" s="32">
        <f>SUM(E36:E63)</f>
        <v>1730730</v>
      </c>
      <c r="F64" s="33">
        <f t="shared" si="3"/>
        <v>0.74</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4304</v>
      </c>
      <c r="E67" s="16">
        <f>IF(F3="1",SUMIF(Data!A:A,'34'!$A$2,Data!DY:DY),0)</f>
        <v>41804</v>
      </c>
      <c r="F67" s="21">
        <f t="shared" ref="F67:F95" si="4">IF(D67=0,"",ROUND(E67/D67,2))</f>
        <v>9.7100000000000009</v>
      </c>
    </row>
    <row r="68" spans="1:6" x14ac:dyDescent="0.2">
      <c r="A68" s="20">
        <v>2</v>
      </c>
      <c r="B68" s="172" t="s">
        <v>1</v>
      </c>
      <c r="C68" s="173"/>
      <c r="D68" s="15">
        <f t="shared" ref="D68:D94" si="5">D37</f>
        <v>181404</v>
      </c>
      <c r="E68" s="18">
        <f>IF(F3="1",SUMIF(Data!A:A,'34'!$A$2,Data!DZ:DZ),0)</f>
        <v>597218</v>
      </c>
      <c r="F68" s="22">
        <f t="shared" si="4"/>
        <v>3.29</v>
      </c>
    </row>
    <row r="69" spans="1:6" ht="14.25" customHeight="1" x14ac:dyDescent="0.2">
      <c r="A69" s="20">
        <v>3</v>
      </c>
      <c r="B69" s="172" t="s">
        <v>2</v>
      </c>
      <c r="C69" s="173"/>
      <c r="D69" s="15">
        <f t="shared" si="5"/>
        <v>277952</v>
      </c>
      <c r="E69" s="18">
        <f>IF(F3="1",SUMIF(Data!A:A,'34'!$A$2,Data!EA:EA),0)</f>
        <v>552265</v>
      </c>
      <c r="F69" s="22">
        <f t="shared" si="4"/>
        <v>1.99</v>
      </c>
    </row>
    <row r="70" spans="1:6" ht="14.25" customHeight="1" x14ac:dyDescent="0.2">
      <c r="A70" s="20">
        <v>4</v>
      </c>
      <c r="B70" s="172" t="s">
        <v>3</v>
      </c>
      <c r="C70" s="173"/>
      <c r="D70" s="15">
        <f t="shared" si="5"/>
        <v>98931</v>
      </c>
      <c r="E70" s="18">
        <f>IF(F3="1",SUMIF(Data!A:A,'34'!$A$2,Data!EB:EB),0)</f>
        <v>281799</v>
      </c>
      <c r="F70" s="22">
        <f t="shared" si="4"/>
        <v>2.85</v>
      </c>
    </row>
    <row r="71" spans="1:6" x14ac:dyDescent="0.2">
      <c r="A71" s="20">
        <v>5</v>
      </c>
      <c r="B71" s="172" t="s">
        <v>4</v>
      </c>
      <c r="C71" s="173"/>
      <c r="D71" s="15">
        <f t="shared" si="5"/>
        <v>0</v>
      </c>
      <c r="E71" s="18">
        <f>IF(F3="1",SUMIF(Data!A:A,'34'!$A$2,Data!EC:EC),0)</f>
        <v>0</v>
      </c>
      <c r="F71" s="22" t="str">
        <f t="shared" si="4"/>
        <v/>
      </c>
    </row>
    <row r="72" spans="1:6" x14ac:dyDescent="0.2">
      <c r="A72" s="20">
        <v>6</v>
      </c>
      <c r="B72" s="172" t="s">
        <v>5</v>
      </c>
      <c r="C72" s="173"/>
      <c r="D72" s="15">
        <f t="shared" si="5"/>
        <v>4989</v>
      </c>
      <c r="E72" s="18">
        <f>IF(F3="1",SUMIF(Data!A:A,'34'!$A$2,Data!ED:ED),0)</f>
        <v>32604</v>
      </c>
      <c r="F72" s="22">
        <f t="shared" si="4"/>
        <v>6.54</v>
      </c>
    </row>
    <row r="73" spans="1:6" x14ac:dyDescent="0.2">
      <c r="A73" s="20">
        <v>7</v>
      </c>
      <c r="B73" s="172" t="s">
        <v>6</v>
      </c>
      <c r="C73" s="173"/>
      <c r="D73" s="15">
        <f t="shared" si="5"/>
        <v>91371</v>
      </c>
      <c r="E73" s="18">
        <f>IF(F3="1",SUMIF(Data!A:A,'34'!$A$2,Data!EE:EE),0)</f>
        <v>245017</v>
      </c>
      <c r="F73" s="22">
        <f t="shared" si="4"/>
        <v>2.68</v>
      </c>
    </row>
    <row r="74" spans="1:6" x14ac:dyDescent="0.2">
      <c r="A74" s="20">
        <v>8</v>
      </c>
      <c r="B74" s="172" t="s">
        <v>7</v>
      </c>
      <c r="C74" s="173"/>
      <c r="D74" s="15">
        <f t="shared" si="5"/>
        <v>64</v>
      </c>
      <c r="E74" s="18">
        <f>IF(F3="1",SUMIF(Data!A:A,'34'!$A$2,Data!EF:EF),0)</f>
        <v>37</v>
      </c>
      <c r="F74" s="22">
        <f t="shared" si="4"/>
        <v>0.57999999999999996</v>
      </c>
    </row>
    <row r="75" spans="1:6" x14ac:dyDescent="0.2">
      <c r="A75" s="20">
        <v>9</v>
      </c>
      <c r="B75" s="172" t="s">
        <v>8</v>
      </c>
      <c r="C75" s="173"/>
      <c r="D75" s="15">
        <f t="shared" si="5"/>
        <v>62802</v>
      </c>
      <c r="E75" s="18">
        <f>IF(F3="1",SUMIF(Data!A:A,'34'!$A$2,Data!EG:EG),0)</f>
        <v>92890</v>
      </c>
      <c r="F75" s="22">
        <f t="shared" si="4"/>
        <v>1.48</v>
      </c>
    </row>
    <row r="76" spans="1:6" x14ac:dyDescent="0.2">
      <c r="A76" s="20">
        <v>10</v>
      </c>
      <c r="B76" s="172" t="s">
        <v>9</v>
      </c>
      <c r="C76" s="173"/>
      <c r="D76" s="15">
        <f t="shared" si="5"/>
        <v>0</v>
      </c>
      <c r="E76" s="18">
        <f>IF(F3="1",SUMIF(Data!A:A,'34'!$A$2,Data!EH:EH),0)</f>
        <v>0</v>
      </c>
      <c r="F76" s="22" t="str">
        <f t="shared" si="4"/>
        <v/>
      </c>
    </row>
    <row r="77" spans="1:6" x14ac:dyDescent="0.2">
      <c r="A77" s="20">
        <v>11</v>
      </c>
      <c r="B77" s="172" t="s">
        <v>10</v>
      </c>
      <c r="C77" s="173"/>
      <c r="D77" s="15">
        <f t="shared" si="5"/>
        <v>103092</v>
      </c>
      <c r="E77" s="18">
        <f>IF(F3="1",SUMIF(Data!A:A,'34'!$A$2,Data!EI:EI),0)</f>
        <v>213021</v>
      </c>
      <c r="F77" s="22">
        <f t="shared" si="4"/>
        <v>2.0699999999999998</v>
      </c>
    </row>
    <row r="78" spans="1:6" ht="14.25" customHeight="1" x14ac:dyDescent="0.2">
      <c r="A78" s="20">
        <v>12</v>
      </c>
      <c r="B78" s="172" t="s">
        <v>11</v>
      </c>
      <c r="C78" s="173"/>
      <c r="D78" s="15">
        <f t="shared" si="5"/>
        <v>333440</v>
      </c>
      <c r="E78" s="18">
        <f>IF(F3="1",SUMIF(Data!A:A,'34'!$A$2,Data!EJ:EJ),0)</f>
        <v>914683</v>
      </c>
      <c r="F78" s="22">
        <f t="shared" si="4"/>
        <v>2.74</v>
      </c>
    </row>
    <row r="79" spans="1:6" x14ac:dyDescent="0.2">
      <c r="A79" s="20">
        <v>13</v>
      </c>
      <c r="B79" s="172" t="s">
        <v>12</v>
      </c>
      <c r="C79" s="173"/>
      <c r="D79" s="15">
        <f t="shared" si="5"/>
        <v>42560</v>
      </c>
      <c r="E79" s="18">
        <f>IF(F3="1",SUMIF(Data!A:A,'34'!$A$2,Data!EK:EK),0)</f>
        <v>105864</v>
      </c>
      <c r="F79" s="22">
        <f t="shared" si="4"/>
        <v>2.4900000000000002</v>
      </c>
    </row>
    <row r="80" spans="1:6" ht="14.25" customHeight="1" x14ac:dyDescent="0.2">
      <c r="A80" s="20">
        <v>14</v>
      </c>
      <c r="B80" s="172" t="s">
        <v>469</v>
      </c>
      <c r="C80" s="173"/>
      <c r="D80" s="15">
        <f t="shared" si="5"/>
        <v>58224</v>
      </c>
      <c r="E80" s="18">
        <f>IF(F3="1",SUMIF(Data!A:A,'34'!$A$2,Data!EL:EL),0)</f>
        <v>446300</v>
      </c>
      <c r="F80" s="22">
        <f t="shared" si="4"/>
        <v>7.67</v>
      </c>
    </row>
    <row r="81" spans="1:6" x14ac:dyDescent="0.2">
      <c r="A81" s="20">
        <v>15</v>
      </c>
      <c r="B81" s="172" t="s">
        <v>13</v>
      </c>
      <c r="C81" s="173"/>
      <c r="D81" s="15">
        <f t="shared" si="5"/>
        <v>0</v>
      </c>
      <c r="E81" s="18">
        <f>IF(F3="1",SUMIF(Data!A:A,'34'!$A$2,Data!EM:EM),0)</f>
        <v>0</v>
      </c>
      <c r="F81" s="22" t="str">
        <f t="shared" si="4"/>
        <v/>
      </c>
    </row>
    <row r="82" spans="1:6" x14ac:dyDescent="0.2">
      <c r="A82" s="20">
        <v>16</v>
      </c>
      <c r="B82" s="172" t="s">
        <v>14</v>
      </c>
      <c r="C82" s="173"/>
      <c r="D82" s="15">
        <f t="shared" si="5"/>
        <v>102709</v>
      </c>
      <c r="E82" s="18">
        <f>IF(F3="1",SUMIF(Data!A:A,'34'!$A$2,Data!EN:EN),0)</f>
        <v>257194</v>
      </c>
      <c r="F82" s="22">
        <f t="shared" si="4"/>
        <v>2.5</v>
      </c>
    </row>
    <row r="83" spans="1:6" x14ac:dyDescent="0.2">
      <c r="A83" s="20">
        <v>17</v>
      </c>
      <c r="B83" s="172" t="s">
        <v>15</v>
      </c>
      <c r="C83" s="173"/>
      <c r="D83" s="15">
        <f t="shared" si="5"/>
        <v>0</v>
      </c>
      <c r="E83" s="18">
        <f>IF(F3="1",SUMIF(Data!A:A,'34'!$A$2,Data!EO:EO),0)</f>
        <v>0</v>
      </c>
      <c r="F83" s="22" t="str">
        <f t="shared" si="4"/>
        <v/>
      </c>
    </row>
    <row r="84" spans="1:6" x14ac:dyDescent="0.2">
      <c r="A84" s="20">
        <v>18</v>
      </c>
      <c r="B84" s="172" t="s">
        <v>16</v>
      </c>
      <c r="C84" s="173"/>
      <c r="D84" s="15">
        <f t="shared" si="5"/>
        <v>78197</v>
      </c>
      <c r="E84" s="18">
        <f>IF(F3="1",SUMIF(Data!A:A,'34'!$A$2,Data!EP:EP),0)</f>
        <v>347157</v>
      </c>
      <c r="F84" s="22">
        <f t="shared" si="4"/>
        <v>4.4400000000000004</v>
      </c>
    </row>
    <row r="85" spans="1:6" x14ac:dyDescent="0.2">
      <c r="A85" s="20">
        <v>19</v>
      </c>
      <c r="B85" s="172" t="s">
        <v>17</v>
      </c>
      <c r="C85" s="173"/>
      <c r="D85" s="15">
        <f t="shared" si="5"/>
        <v>355424</v>
      </c>
      <c r="E85" s="18">
        <f>IF(F3="1",SUMIF(Data!A:A,'34'!$A$2,Data!EQ:EQ),0)</f>
        <v>670221</v>
      </c>
      <c r="F85" s="22">
        <f t="shared" si="4"/>
        <v>1.89</v>
      </c>
    </row>
    <row r="86" spans="1:6" x14ac:dyDescent="0.2">
      <c r="A86" s="20">
        <v>20</v>
      </c>
      <c r="B86" s="172" t="s">
        <v>18</v>
      </c>
      <c r="C86" s="173"/>
      <c r="D86" s="15">
        <f t="shared" si="5"/>
        <v>0</v>
      </c>
      <c r="E86" s="18">
        <f>IF(F3="1",SUMIF(Data!A:A,'34'!$A$2,Data!ER:ER),0)</f>
        <v>0</v>
      </c>
      <c r="F86" s="22" t="str">
        <f t="shared" si="4"/>
        <v/>
      </c>
    </row>
    <row r="87" spans="1:6" ht="14.25" customHeight="1" x14ac:dyDescent="0.2">
      <c r="A87" s="20">
        <v>21</v>
      </c>
      <c r="B87" s="172" t="s">
        <v>466</v>
      </c>
      <c r="C87" s="173"/>
      <c r="D87" s="15">
        <f t="shared" si="5"/>
        <v>15600</v>
      </c>
      <c r="E87" s="18">
        <f>IF(F3="1",SUMIF(Data!A:A,'34'!$A$2,Data!ES:ES),0)</f>
        <v>8995</v>
      </c>
      <c r="F87" s="22">
        <f t="shared" si="4"/>
        <v>0.57999999999999996</v>
      </c>
    </row>
    <row r="88" spans="1:6" x14ac:dyDescent="0.2">
      <c r="A88" s="20">
        <v>22</v>
      </c>
      <c r="B88" s="172" t="s">
        <v>19</v>
      </c>
      <c r="C88" s="173"/>
      <c r="D88" s="15">
        <f t="shared" si="5"/>
        <v>1432</v>
      </c>
      <c r="E88" s="18">
        <f>IF(F3="1",SUMIF(Data!A:A,'34'!$A$2,Data!ET:ET),0)</f>
        <v>51</v>
      </c>
      <c r="F88" s="22">
        <f t="shared" si="4"/>
        <v>0.04</v>
      </c>
    </row>
    <row r="89" spans="1:6" x14ac:dyDescent="0.2">
      <c r="A89" s="20">
        <v>23</v>
      </c>
      <c r="B89" s="172" t="s">
        <v>20</v>
      </c>
      <c r="C89" s="173"/>
      <c r="D89" s="15">
        <f t="shared" si="5"/>
        <v>85344</v>
      </c>
      <c r="E89" s="18">
        <f>IF(F3="1",SUMIF(Data!A:A,'34'!$A$2,Data!EU:EU),0)</f>
        <v>248668</v>
      </c>
      <c r="F89" s="22">
        <f t="shared" si="4"/>
        <v>2.91</v>
      </c>
    </row>
    <row r="90" spans="1:6" x14ac:dyDescent="0.2">
      <c r="A90" s="20">
        <v>24</v>
      </c>
      <c r="B90" s="172" t="s">
        <v>21</v>
      </c>
      <c r="C90" s="173"/>
      <c r="D90" s="15">
        <f t="shared" si="5"/>
        <v>30048</v>
      </c>
      <c r="E90" s="18">
        <f>IF(F3="1",SUMIF(Data!A:A,'34'!$A$2,Data!EV:EV),0)</f>
        <v>76395</v>
      </c>
      <c r="F90" s="22">
        <f t="shared" si="4"/>
        <v>2.54</v>
      </c>
    </row>
    <row r="91" spans="1:6" x14ac:dyDescent="0.2">
      <c r="A91" s="20">
        <v>25</v>
      </c>
      <c r="B91" s="172" t="s">
        <v>22</v>
      </c>
      <c r="C91" s="173"/>
      <c r="D91" s="15">
        <f t="shared" si="5"/>
        <v>301728</v>
      </c>
      <c r="E91" s="18">
        <f>IF(F3="1",SUMIF(Data!A:A,'34'!$A$2,Data!EW:EW),0)</f>
        <v>801030</v>
      </c>
      <c r="F91" s="22">
        <f t="shared" si="4"/>
        <v>2.65</v>
      </c>
    </row>
    <row r="92" spans="1:6" x14ac:dyDescent="0.2">
      <c r="A92" s="20">
        <v>26</v>
      </c>
      <c r="B92" s="172" t="s">
        <v>23</v>
      </c>
      <c r="C92" s="173"/>
      <c r="D92" s="15">
        <f t="shared" si="5"/>
        <v>102912</v>
      </c>
      <c r="E92" s="18">
        <f>IF(F3="1",SUMIF(Data!A:A,'34'!$A$2,Data!EX:EX),0)</f>
        <v>313216</v>
      </c>
      <c r="F92" s="22">
        <f t="shared" si="4"/>
        <v>3.04</v>
      </c>
    </row>
    <row r="93" spans="1:6" x14ac:dyDescent="0.2">
      <c r="A93" s="20">
        <v>28</v>
      </c>
      <c r="B93" s="172" t="s">
        <v>24</v>
      </c>
      <c r="C93" s="173"/>
      <c r="D93" s="15">
        <f t="shared" si="5"/>
        <v>0</v>
      </c>
      <c r="E93" s="18">
        <f>IF(F3="1",SUMIF(Data!A:A,'34'!$A$2,Data!EZ:EZ),0)</f>
        <v>0</v>
      </c>
      <c r="F93" s="22" t="str">
        <f t="shared" si="4"/>
        <v/>
      </c>
    </row>
    <row r="94" spans="1:6" ht="15.75" customHeight="1" thickBot="1" x14ac:dyDescent="0.25">
      <c r="A94" s="23">
        <v>29</v>
      </c>
      <c r="B94" s="174" t="s">
        <v>25</v>
      </c>
      <c r="C94" s="175"/>
      <c r="D94" s="24">
        <f t="shared" si="5"/>
        <v>0</v>
      </c>
      <c r="E94" s="25">
        <f>IF(F3="1",SUMIF(Data!A:A,'34'!$A$2,Data!FA:FA),0)</f>
        <v>0</v>
      </c>
      <c r="F94" s="26" t="str">
        <f t="shared" si="4"/>
        <v/>
      </c>
    </row>
    <row r="95" spans="1:6" x14ac:dyDescent="0.2">
      <c r="B95" s="31" t="s">
        <v>35</v>
      </c>
      <c r="C95" s="31"/>
      <c r="D95" s="61">
        <f>SUM(D67:D94)</f>
        <v>2332527</v>
      </c>
      <c r="E95" s="32">
        <f>SUM(E67:E94)</f>
        <v>6246429</v>
      </c>
      <c r="F95" s="33">
        <f t="shared" si="4"/>
        <v>2.68</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IF(F3="1",SUMIF(Data!A:A,'34'!$A$2,Data!AH:AH),0)</f>
        <v>2223884</v>
      </c>
      <c r="F98" s="21">
        <f>IF($D$105=0,"",ROUND(E98/$D$105,2))</f>
        <v>0.95</v>
      </c>
    </row>
    <row r="99" spans="2:6" x14ac:dyDescent="0.2">
      <c r="B99" s="178" t="s">
        <v>31</v>
      </c>
      <c r="C99" s="179"/>
      <c r="D99" s="37"/>
      <c r="E99" s="18">
        <f>IF(F3="1",SUMIF(Data!A:A,'34'!$A$2,Data!AI:AI),0)</f>
        <v>1158352</v>
      </c>
      <c r="F99" s="22">
        <f t="shared" ref="F99:F105" si="6">IF($D$105=0,"",ROUND(E99/$D$105,2))</f>
        <v>0.5</v>
      </c>
    </row>
    <row r="100" spans="2:6" x14ac:dyDescent="0.2">
      <c r="B100" s="178" t="s">
        <v>32</v>
      </c>
      <c r="C100" s="179"/>
      <c r="D100" s="37"/>
      <c r="E100" s="18">
        <f>IF(F3="1",SUMIF(Data!A:A,'34'!$A$2,Data!AJ:AJ),0)</f>
        <v>987055</v>
      </c>
      <c r="F100" s="22">
        <f t="shared" si="6"/>
        <v>0.42</v>
      </c>
    </row>
    <row r="101" spans="2:6" x14ac:dyDescent="0.2">
      <c r="B101" s="178" t="s">
        <v>28</v>
      </c>
      <c r="C101" s="179"/>
      <c r="D101" s="37"/>
      <c r="E101" s="18">
        <f>IF(F3="1",SUMIF(Data!A:A,'34'!$A$2,Data!AK:AK),0)</f>
        <v>0</v>
      </c>
      <c r="F101" s="22">
        <f t="shared" si="6"/>
        <v>0</v>
      </c>
    </row>
    <row r="102" spans="2:6" x14ac:dyDescent="0.2">
      <c r="B102" s="178" t="s">
        <v>33</v>
      </c>
      <c r="C102" s="179"/>
      <c r="D102" s="37"/>
      <c r="E102" s="18">
        <f>IF(F3="1",SUMIF(Data!A:A,'34'!$A$2,Data!AL:AL),0)</f>
        <v>0</v>
      </c>
      <c r="F102" s="22">
        <f t="shared" si="6"/>
        <v>0</v>
      </c>
    </row>
    <row r="103" spans="2:6" x14ac:dyDescent="0.2">
      <c r="B103" s="180" t="s">
        <v>34</v>
      </c>
      <c r="C103" s="181"/>
      <c r="D103" s="37"/>
      <c r="E103" s="18">
        <f>IF(F3="1",SUMIF(Data!A:A,'34'!$A$2,Data!AM:AM),0)</f>
        <v>0</v>
      </c>
      <c r="F103" s="22">
        <f t="shared" si="6"/>
        <v>0</v>
      </c>
    </row>
    <row r="104" spans="2:6" ht="15.75" customHeight="1" thickBot="1" x14ac:dyDescent="0.25">
      <c r="B104" s="170" t="s">
        <v>29</v>
      </c>
      <c r="C104" s="171"/>
      <c r="D104" s="38"/>
      <c r="E104" s="25">
        <f>IF(F3="1",SUMIF(Data!A:A,'34'!$A$2,Data!Q:Q),0)</f>
        <v>336484</v>
      </c>
      <c r="F104" s="26">
        <f t="shared" si="6"/>
        <v>0.14000000000000001</v>
      </c>
    </row>
    <row r="105" spans="2:6" x14ac:dyDescent="0.2">
      <c r="B105" s="31" t="s">
        <v>35</v>
      </c>
      <c r="C105" s="31"/>
      <c r="D105" s="35">
        <f>D95</f>
        <v>2332527</v>
      </c>
      <c r="E105" s="32">
        <f>SUM(E98:E104)</f>
        <v>4705775</v>
      </c>
      <c r="F105" s="33">
        <f t="shared" si="6"/>
        <v>2.02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6492393</v>
      </c>
      <c r="D109" s="16">
        <f>IF(F3="1",SUMIF(Data!$A:$A,$A$2,Data!HJ:HJ),0)</f>
        <v>715804</v>
      </c>
      <c r="E109" s="16">
        <f>IF(F3="1",SUMIF(Data!$A:$A,$A$2,Data!IN:IN),0)</f>
        <v>753108</v>
      </c>
      <c r="F109" s="48">
        <f>SUM(C109:E109)</f>
        <v>7961305</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100080</v>
      </c>
      <c r="D111" s="52"/>
      <c r="E111" s="51">
        <f>IF(F3="1",SUMIF(Data!A:A,$A$2,Data!AX:AX),0)</f>
        <v>51048</v>
      </c>
      <c r="F111" s="49">
        <f t="shared" si="7"/>
        <v>151128</v>
      </c>
    </row>
    <row r="112" spans="2:6" x14ac:dyDescent="0.2">
      <c r="B112" s="43" t="s">
        <v>32</v>
      </c>
      <c r="C112" s="51">
        <f>IF(F3="1",SUMIF(Data!A:A,$A$2,Data!V:V),0)</f>
        <v>794399</v>
      </c>
      <c r="D112" s="52"/>
      <c r="E112" s="51">
        <f>IF(F3="1",SUMIF(Data!A:A,$A$2,Data!AC:AC),0)</f>
        <v>192656</v>
      </c>
      <c r="F112" s="49">
        <f t="shared" si="7"/>
        <v>987055</v>
      </c>
    </row>
    <row r="113" spans="1:6" x14ac:dyDescent="0.2">
      <c r="B113" s="43" t="s">
        <v>31</v>
      </c>
      <c r="C113" s="51">
        <f>IF(F3="1",SUMIF(Data!A:A,$A$2,Data!U:U),0)</f>
        <v>944626</v>
      </c>
      <c r="D113" s="52"/>
      <c r="E113" s="51">
        <f>IF(F3="1",SUMIF(Data!A:A,$A$2,Data!AB:AB),0)</f>
        <v>213726</v>
      </c>
      <c r="F113" s="49">
        <f t="shared" si="7"/>
        <v>1158352</v>
      </c>
    </row>
    <row r="114" spans="1:6" x14ac:dyDescent="0.2">
      <c r="B114" s="43" t="s">
        <v>1021</v>
      </c>
      <c r="C114" s="51">
        <f>IF(F3="1",SUMIF(Data!A:A,$A$2,Data!T:T),0)</f>
        <v>1204413</v>
      </c>
      <c r="D114" s="52"/>
      <c r="E114" s="51">
        <f>IF(F3="1",SUMIF(Data!A:A,$A$2,Data!AA:AA),0)</f>
        <v>1019471</v>
      </c>
      <c r="F114" s="49">
        <f t="shared" si="7"/>
        <v>2223884</v>
      </c>
    </row>
    <row r="115" spans="1:6" x14ac:dyDescent="0.2">
      <c r="B115" s="43" t="s">
        <v>937</v>
      </c>
      <c r="C115" s="51">
        <f>IF(F3="1",SUMIF(Data!A:A,$A$2,Data!BI:BI),0)</f>
        <v>777002</v>
      </c>
      <c r="D115" s="51">
        <f>IF(F3="1",SUMIF(Data!A:A,$A$2,Data!BL:BL),0)</f>
        <v>213642</v>
      </c>
      <c r="E115" s="51">
        <f>IF(F3="1",SUMIF(Data!A:A,$A$2,Data!BU:BU),0)</f>
        <v>788928</v>
      </c>
      <c r="F115" s="49">
        <f t="shared" si="7"/>
        <v>1779572</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336484</v>
      </c>
      <c r="E117" s="53"/>
      <c r="F117" s="50">
        <f>SUM(C117:E117)</f>
        <v>336484</v>
      </c>
    </row>
    <row r="118" spans="1:6" x14ac:dyDescent="0.2">
      <c r="B118" s="14" t="s">
        <v>35</v>
      </c>
      <c r="C118" s="5">
        <f>SUM(C109:C116)</f>
        <v>10312913</v>
      </c>
      <c r="D118" s="5">
        <f>SUM(D109:D116)</f>
        <v>929446</v>
      </c>
      <c r="E118" s="5">
        <f>SUM(E109:E116)</f>
        <v>3018937</v>
      </c>
      <c r="F118" s="5">
        <f>SUM(F109:F116)</f>
        <v>14261296</v>
      </c>
    </row>
    <row r="119" spans="1:6" ht="15" thickBot="1" x14ac:dyDescent="0.25"/>
    <row r="120" spans="1:6" ht="15" thickBot="1" x14ac:dyDescent="0.25">
      <c r="B120" s="57" t="s">
        <v>942</v>
      </c>
      <c r="C120" s="55"/>
      <c r="D120" s="55"/>
      <c r="E120" s="55">
        <f>IF(F3="1",SUMIF(Data!A:A,'34'!$A$2,Data!AM:AM),0)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392</v>
      </c>
      <c r="B2" s="60" t="str">
        <f>VLOOKUP(A2,Data!A:G,7,0)</f>
        <v>Ranger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2112</v>
      </c>
      <c r="E5" s="16">
        <f>E36+E67+IFERROR($E$105/$D$105*D5,0)</f>
        <v>15390.998533434864</v>
      </c>
      <c r="F5" s="21">
        <f>IF(OR(D5=0,E5=0),"",ROUND(E5/D5,2))</f>
        <v>7.29</v>
      </c>
    </row>
    <row r="6" spans="1:6" x14ac:dyDescent="0.2">
      <c r="A6" s="20">
        <v>2</v>
      </c>
      <c r="B6" s="172" t="s">
        <v>1</v>
      </c>
      <c r="C6" s="173"/>
      <c r="D6" s="15">
        <f t="shared" ref="D6:D32" si="0">D37</f>
        <v>20064</v>
      </c>
      <c r="E6" s="18">
        <f t="shared" ref="E6:E32" si="1">E37+E68+IFERROR($E$105/$D$105*D6,0)</f>
        <v>104742.98606763121</v>
      </c>
      <c r="F6" s="22">
        <f t="shared" ref="F6:F33" si="2">IF(OR(D6=0,E6=0),"",ROUND(E6/D6,2))</f>
        <v>5.22</v>
      </c>
    </row>
    <row r="7" spans="1:6" ht="14.25" customHeight="1" x14ac:dyDescent="0.2">
      <c r="A7" s="20">
        <v>3</v>
      </c>
      <c r="B7" s="172" t="s">
        <v>2</v>
      </c>
      <c r="C7" s="173"/>
      <c r="D7" s="15">
        <f t="shared" si="0"/>
        <v>30624</v>
      </c>
      <c r="E7" s="18">
        <f t="shared" si="1"/>
        <v>149623.97873480554</v>
      </c>
      <c r="F7" s="22">
        <f t="shared" si="2"/>
        <v>4.8899999999999997</v>
      </c>
    </row>
    <row r="8" spans="1:6" ht="14.25" customHeight="1" x14ac:dyDescent="0.2">
      <c r="A8" s="20">
        <v>4</v>
      </c>
      <c r="B8" s="172" t="s">
        <v>3</v>
      </c>
      <c r="C8" s="173"/>
      <c r="D8" s="15">
        <f t="shared" si="0"/>
        <v>9168</v>
      </c>
      <c r="E8" s="18">
        <f t="shared" si="1"/>
        <v>71718.175451955889</v>
      </c>
      <c r="F8" s="22">
        <f t="shared" si="2"/>
        <v>7.82</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0</v>
      </c>
      <c r="E10" s="18">
        <f t="shared" si="1"/>
        <v>0</v>
      </c>
      <c r="F10" s="22" t="str">
        <f t="shared" si="2"/>
        <v/>
      </c>
    </row>
    <row r="11" spans="1:6" x14ac:dyDescent="0.2">
      <c r="A11" s="20">
        <v>7</v>
      </c>
      <c r="B11" s="172" t="s">
        <v>6</v>
      </c>
      <c r="C11" s="173"/>
      <c r="D11" s="15">
        <f t="shared" si="0"/>
        <v>28273</v>
      </c>
      <c r="E11" s="18">
        <f t="shared" si="1"/>
        <v>159497.28529157382</v>
      </c>
      <c r="F11" s="22">
        <f t="shared" si="2"/>
        <v>5.64</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34720</v>
      </c>
      <c r="E13" s="18">
        <f t="shared" si="1"/>
        <v>183703.85467843676</v>
      </c>
      <c r="F13" s="22">
        <f t="shared" si="2"/>
        <v>5.29</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0</v>
      </c>
      <c r="E15" s="18">
        <f t="shared" si="1"/>
        <v>0</v>
      </c>
      <c r="F15" s="22" t="str">
        <f t="shared" si="2"/>
        <v/>
      </c>
    </row>
    <row r="16" spans="1:6" ht="14.25" customHeight="1" x14ac:dyDescent="0.2">
      <c r="A16" s="20">
        <v>12</v>
      </c>
      <c r="B16" s="172" t="s">
        <v>11</v>
      </c>
      <c r="C16" s="173"/>
      <c r="D16" s="15">
        <f t="shared" si="0"/>
        <v>68060</v>
      </c>
      <c r="E16" s="18">
        <f t="shared" si="1"/>
        <v>389713.27849695878</v>
      </c>
      <c r="F16" s="22">
        <f t="shared" si="2"/>
        <v>5.73</v>
      </c>
    </row>
    <row r="17" spans="1:6" x14ac:dyDescent="0.2">
      <c r="A17" s="20">
        <v>13</v>
      </c>
      <c r="B17" s="172" t="s">
        <v>12</v>
      </c>
      <c r="C17" s="173"/>
      <c r="D17" s="15">
        <f t="shared" si="0"/>
        <v>672</v>
      </c>
      <c r="E17" s="18">
        <f t="shared" si="1"/>
        <v>3037.6358970020024</v>
      </c>
      <c r="F17" s="22">
        <f t="shared" si="2"/>
        <v>4.5199999999999996</v>
      </c>
    </row>
    <row r="18" spans="1:6" ht="14.25" customHeight="1" x14ac:dyDescent="0.2">
      <c r="A18" s="20">
        <v>14</v>
      </c>
      <c r="B18" s="172" t="s">
        <v>469</v>
      </c>
      <c r="C18" s="173"/>
      <c r="D18" s="15">
        <f t="shared" si="0"/>
        <v>0</v>
      </c>
      <c r="E18" s="18">
        <f t="shared" si="1"/>
        <v>0</v>
      </c>
      <c r="F18" s="22" t="str">
        <f t="shared" si="2"/>
        <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10543</v>
      </c>
      <c r="E20" s="18">
        <f t="shared" si="1"/>
        <v>83512.445330494214</v>
      </c>
      <c r="F20" s="22">
        <f t="shared" si="2"/>
        <v>7.92</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85360</v>
      </c>
      <c r="E22" s="18">
        <f t="shared" si="1"/>
        <v>462025.2740596591</v>
      </c>
      <c r="F22" s="22">
        <f t="shared" si="2"/>
        <v>5.41</v>
      </c>
    </row>
    <row r="23" spans="1:6" x14ac:dyDescent="0.2">
      <c r="A23" s="20">
        <v>19</v>
      </c>
      <c r="B23" s="172" t="s">
        <v>17</v>
      </c>
      <c r="C23" s="173"/>
      <c r="D23" s="15">
        <f t="shared" si="0"/>
        <v>30160</v>
      </c>
      <c r="E23" s="18">
        <f t="shared" si="1"/>
        <v>183980.03966306604</v>
      </c>
      <c r="F23" s="22">
        <f t="shared" si="2"/>
        <v>6.1</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320</v>
      </c>
      <c r="E26" s="18">
        <f t="shared" si="1"/>
        <v>1970.3028080961917</v>
      </c>
      <c r="F26" s="22">
        <f t="shared" si="2"/>
        <v>6.16</v>
      </c>
    </row>
    <row r="27" spans="1:6" x14ac:dyDescent="0.2">
      <c r="A27" s="20">
        <v>23</v>
      </c>
      <c r="B27" s="172" t="s">
        <v>20</v>
      </c>
      <c r="C27" s="173"/>
      <c r="D27" s="15">
        <f t="shared" si="0"/>
        <v>50480</v>
      </c>
      <c r="E27" s="18">
        <f t="shared" si="1"/>
        <v>567768.26797717426</v>
      </c>
      <c r="F27" s="22">
        <f t="shared" si="2"/>
        <v>11.25</v>
      </c>
    </row>
    <row r="28" spans="1:6" x14ac:dyDescent="0.2">
      <c r="A28" s="20">
        <v>24</v>
      </c>
      <c r="B28" s="172" t="s">
        <v>21</v>
      </c>
      <c r="C28" s="173"/>
      <c r="D28" s="15">
        <f t="shared" si="0"/>
        <v>0</v>
      </c>
      <c r="E28" s="18">
        <f t="shared" si="1"/>
        <v>0</v>
      </c>
      <c r="F28" s="22" t="str">
        <f t="shared" si="2"/>
        <v/>
      </c>
    </row>
    <row r="29" spans="1:6" x14ac:dyDescent="0.2">
      <c r="A29" s="20">
        <v>25</v>
      </c>
      <c r="B29" s="172" t="s">
        <v>22</v>
      </c>
      <c r="C29" s="173"/>
      <c r="D29" s="15">
        <f t="shared" si="0"/>
        <v>44592</v>
      </c>
      <c r="E29" s="18">
        <f t="shared" si="1"/>
        <v>212030.69630820429</v>
      </c>
      <c r="F29" s="22">
        <f t="shared" si="2"/>
        <v>4.75</v>
      </c>
    </row>
    <row r="30" spans="1:6" x14ac:dyDescent="0.2">
      <c r="A30" s="20">
        <v>26</v>
      </c>
      <c r="B30" s="172" t="s">
        <v>23</v>
      </c>
      <c r="C30" s="173"/>
      <c r="D30" s="15">
        <f t="shared" si="0"/>
        <v>10336</v>
      </c>
      <c r="E30" s="18">
        <f t="shared" si="1"/>
        <v>90133.780701506985</v>
      </c>
      <c r="F30" s="22">
        <f t="shared" si="2"/>
        <v>8.7200000000000006</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425484</v>
      </c>
      <c r="E33" s="32">
        <f>SUM(E5:E32)</f>
        <v>2678849</v>
      </c>
      <c r="F33" s="33">
        <f t="shared" si="2"/>
        <v>6.3</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IF(F3="1",SUMIF(Data!A:A,'35'!$A$2,Data!CU:CU),0)</f>
        <v>2112</v>
      </c>
      <c r="E36" s="16">
        <f>IF(F3="1",SUMIF(Data!$A:$A,'35'!$A$2,Data!IO:IO),0)</f>
        <v>2777</v>
      </c>
      <c r="F36" s="21">
        <f>IF(D36=0,"",ROUND(E36/D36,2))</f>
        <v>1.31</v>
      </c>
    </row>
    <row r="37" spans="1:6" x14ac:dyDescent="0.2">
      <c r="A37" s="20">
        <v>2</v>
      </c>
      <c r="B37" s="172" t="s">
        <v>1</v>
      </c>
      <c r="C37" s="173"/>
      <c r="D37" s="15">
        <f>IF(F3="1",SUMIF(Data!A:A,'35'!$A$2,Data!CV:CV),0)</f>
        <v>20064</v>
      </c>
      <c r="E37" s="18">
        <f>IF(F3="1",SUMIF(Data!$A:$A,'35'!$A$2,Data!IP:IP),0)</f>
        <v>6600</v>
      </c>
      <c r="F37" s="22">
        <f t="shared" ref="F37:F64" si="3">IF(D37=0,"",ROUND(E37/D37,2))</f>
        <v>0.33</v>
      </c>
    </row>
    <row r="38" spans="1:6" ht="14.25" customHeight="1" x14ac:dyDescent="0.2">
      <c r="A38" s="20">
        <v>3</v>
      </c>
      <c r="B38" s="172" t="s">
        <v>2</v>
      </c>
      <c r="C38" s="173"/>
      <c r="D38" s="15">
        <f>IF(F3="1",SUMIF(Data!A:A,'35'!$A$2,Data!CW:CW),0)</f>
        <v>30624</v>
      </c>
      <c r="E38" s="18">
        <f>IF(F3="1",SUMIF(Data!$A:$A,'35'!$A$2,Data!IQ:IQ),0)</f>
        <v>4139</v>
      </c>
      <c r="F38" s="22">
        <f t="shared" si="3"/>
        <v>0.14000000000000001</v>
      </c>
    </row>
    <row r="39" spans="1:6" ht="14.25" customHeight="1" x14ac:dyDescent="0.2">
      <c r="A39" s="20">
        <v>4</v>
      </c>
      <c r="B39" s="172" t="s">
        <v>3</v>
      </c>
      <c r="C39" s="173"/>
      <c r="D39" s="15">
        <f>IF(F3="1",SUMIF(Data!A:A,'35'!$A$2,Data!CX:CX),0)</f>
        <v>9168</v>
      </c>
      <c r="E39" s="18">
        <f>IF(F3="1",SUMIF(Data!$A:$A,'35'!$A$2,Data!IR:IR),0)</f>
        <v>2000</v>
      </c>
      <c r="F39" s="22">
        <f t="shared" si="3"/>
        <v>0.22</v>
      </c>
    </row>
    <row r="40" spans="1:6" x14ac:dyDescent="0.2">
      <c r="A40" s="20">
        <v>5</v>
      </c>
      <c r="B40" s="172" t="s">
        <v>4</v>
      </c>
      <c r="C40" s="173"/>
      <c r="D40" s="15">
        <f>IF(F3="1",SUMIF(Data!A:A,'35'!$A$2,Data!CY:CY),0)</f>
        <v>0</v>
      </c>
      <c r="E40" s="18">
        <f>IF(F3="1",SUMIF(Data!$A:$A,'35'!$A$2,Data!IS:IS),0)</f>
        <v>0</v>
      </c>
      <c r="F40" s="22" t="str">
        <f t="shared" si="3"/>
        <v/>
      </c>
    </row>
    <row r="41" spans="1:6" x14ac:dyDescent="0.2">
      <c r="A41" s="20">
        <v>6</v>
      </c>
      <c r="B41" s="172" t="s">
        <v>5</v>
      </c>
      <c r="C41" s="173"/>
      <c r="D41" s="15">
        <f>IF(F3="1",SUMIF(Data!A:A,'35'!$A$2,Data!CZ:CZ),0)</f>
        <v>0</v>
      </c>
      <c r="E41" s="18">
        <f>IF(F3="1",SUMIF(Data!$A:$A,'35'!$A$2,Data!IT:IT),0)</f>
        <v>0</v>
      </c>
      <c r="F41" s="22" t="str">
        <f t="shared" si="3"/>
        <v/>
      </c>
    </row>
    <row r="42" spans="1:6" x14ac:dyDescent="0.2">
      <c r="A42" s="20">
        <v>7</v>
      </c>
      <c r="B42" s="172" t="s">
        <v>6</v>
      </c>
      <c r="C42" s="173"/>
      <c r="D42" s="15">
        <f>IF(F3="1",SUMIF(Data!A:A,'35'!$A$2,Data!DA:DA),0)</f>
        <v>28273</v>
      </c>
      <c r="E42" s="18">
        <f>IF(F3="1",SUMIF(Data!$A:$A,'35'!$A$2,Data!IU:IU),0)</f>
        <v>4885</v>
      </c>
      <c r="F42" s="22">
        <f t="shared" si="3"/>
        <v>0.17</v>
      </c>
    </row>
    <row r="43" spans="1:6" x14ac:dyDescent="0.2">
      <c r="A43" s="20">
        <v>8</v>
      </c>
      <c r="B43" s="172" t="s">
        <v>7</v>
      </c>
      <c r="C43" s="173"/>
      <c r="D43" s="15">
        <f>IF(F3="1",SUMIF(Data!A:A,'35'!$A$2,Data!DB:DB),0)</f>
        <v>0</v>
      </c>
      <c r="E43" s="18">
        <f>IF(F3="1",SUMIF(Data!$A:$A,'35'!$A$2,Data!IV:IV),0)</f>
        <v>0</v>
      </c>
      <c r="F43" s="22" t="str">
        <f t="shared" si="3"/>
        <v/>
      </c>
    </row>
    <row r="44" spans="1:6" x14ac:dyDescent="0.2">
      <c r="A44" s="20">
        <v>9</v>
      </c>
      <c r="B44" s="172" t="s">
        <v>8</v>
      </c>
      <c r="C44" s="173"/>
      <c r="D44" s="15">
        <f>IF(F3="1",SUMIF(Data!A:A,'35'!$A$2,Data!DC:DC),0)</f>
        <v>34720</v>
      </c>
      <c r="E44" s="18">
        <f>IF(F3="1",SUMIF(Data!$A:$A,'35'!$A$2,Data!IW:IW),0)</f>
        <v>31920</v>
      </c>
      <c r="F44" s="22">
        <f t="shared" si="3"/>
        <v>0.92</v>
      </c>
    </row>
    <row r="45" spans="1:6" x14ac:dyDescent="0.2">
      <c r="A45" s="20">
        <v>10</v>
      </c>
      <c r="B45" s="172" t="s">
        <v>9</v>
      </c>
      <c r="C45" s="173"/>
      <c r="D45" s="15">
        <f>IF(F3="1",SUMIF(Data!A:A,'35'!$A$2,Data!DD:DD),0)</f>
        <v>0</v>
      </c>
      <c r="E45" s="18">
        <f>IF(F3="1",SUMIF(Data!$A:$A,'35'!$A$2,Data!IX:IX),0)</f>
        <v>0</v>
      </c>
      <c r="F45" s="22" t="str">
        <f t="shared" si="3"/>
        <v/>
      </c>
    </row>
    <row r="46" spans="1:6" x14ac:dyDescent="0.2">
      <c r="A46" s="20">
        <v>11</v>
      </c>
      <c r="B46" s="172" t="s">
        <v>10</v>
      </c>
      <c r="C46" s="173"/>
      <c r="D46" s="15">
        <f>IF(F3="1",SUMIF(Data!A:A,'35'!$A$2,Data!DE:DE),0)</f>
        <v>0</v>
      </c>
      <c r="E46" s="18">
        <f>IF(F3="1",SUMIF(Data!$A:$A,'35'!$A$2,Data!IY:IY),0)</f>
        <v>0</v>
      </c>
      <c r="F46" s="22" t="str">
        <f t="shared" si="3"/>
        <v/>
      </c>
    </row>
    <row r="47" spans="1:6" ht="14.25" customHeight="1" x14ac:dyDescent="0.2">
      <c r="A47" s="20">
        <v>12</v>
      </c>
      <c r="B47" s="172" t="s">
        <v>11</v>
      </c>
      <c r="C47" s="173"/>
      <c r="D47" s="15">
        <f>IF(F3="1",SUMIF(Data!A:A,'35'!$A$2,Data!DF:DF),0)</f>
        <v>68060</v>
      </c>
      <c r="E47" s="18">
        <f>IF(F3="1",SUMIF(Data!$A:$A,'35'!$A$2,Data!IZ:IZ),0)</f>
        <v>5484</v>
      </c>
      <c r="F47" s="22">
        <f t="shared" si="3"/>
        <v>0.08</v>
      </c>
    </row>
    <row r="48" spans="1:6" x14ac:dyDescent="0.2">
      <c r="A48" s="20">
        <v>13</v>
      </c>
      <c r="B48" s="172" t="s">
        <v>12</v>
      </c>
      <c r="C48" s="173"/>
      <c r="D48" s="15">
        <f>IF(F3="1",SUMIF(Data!A:A,'35'!$A$2,Data!DG:DG),0)</f>
        <v>672</v>
      </c>
      <c r="E48" s="18">
        <f>IF(F3="1",SUMIF(Data!$A:$A,'35'!$A$2,Data!JA:JA),0)</f>
        <v>0</v>
      </c>
      <c r="F48" s="22">
        <f t="shared" si="3"/>
        <v>0</v>
      </c>
    </row>
    <row r="49" spans="1:6" ht="14.25" customHeight="1" x14ac:dyDescent="0.2">
      <c r="A49" s="20">
        <v>14</v>
      </c>
      <c r="B49" s="172" t="s">
        <v>469</v>
      </c>
      <c r="C49" s="173"/>
      <c r="D49" s="15">
        <f>IF(F3="1",SUMIF(Data!A:A,'35'!$A$2,Data!DH:DH),0)</f>
        <v>0</v>
      </c>
      <c r="E49" s="18">
        <f>IF(F3="1",SUMIF(Data!$A:$A,'35'!$A$2,Data!JB:JB),0)</f>
        <v>0</v>
      </c>
      <c r="F49" s="22" t="str">
        <f t="shared" si="3"/>
        <v/>
      </c>
    </row>
    <row r="50" spans="1:6" x14ac:dyDescent="0.2">
      <c r="A50" s="20">
        <v>15</v>
      </c>
      <c r="B50" s="172" t="s">
        <v>13</v>
      </c>
      <c r="C50" s="173"/>
      <c r="D50" s="15">
        <f>IF(F3="1",SUMIF(Data!A:A,'35'!$A$2,Data!DI:DI),0)</f>
        <v>0</v>
      </c>
      <c r="E50" s="18">
        <f>IF(F3="1",SUMIF(Data!$A:$A,'35'!$A$2,Data!JC:JC),0)</f>
        <v>0</v>
      </c>
      <c r="F50" s="22" t="str">
        <f t="shared" si="3"/>
        <v/>
      </c>
    </row>
    <row r="51" spans="1:6" x14ac:dyDescent="0.2">
      <c r="A51" s="20">
        <v>16</v>
      </c>
      <c r="B51" s="172" t="s">
        <v>14</v>
      </c>
      <c r="C51" s="173"/>
      <c r="D51" s="15">
        <f>IF(F3="1",SUMIF(Data!A:A,'35'!$A$2,Data!DJ:DJ),0)</f>
        <v>10543</v>
      </c>
      <c r="E51" s="18">
        <f>IF(F3="1",SUMIF(Data!$A:$A,'35'!$A$2,Data!JD:JD),0)</f>
        <v>13666</v>
      </c>
      <c r="F51" s="22">
        <f t="shared" si="3"/>
        <v>1.3</v>
      </c>
    </row>
    <row r="52" spans="1:6" x14ac:dyDescent="0.2">
      <c r="A52" s="20">
        <v>17</v>
      </c>
      <c r="B52" s="172" t="s">
        <v>15</v>
      </c>
      <c r="C52" s="173"/>
      <c r="D52" s="15">
        <f>IF(F3="1",SUMIF(Data!A:A,'35'!$A$2,Data!DK:DK),0)</f>
        <v>0</v>
      </c>
      <c r="E52" s="18">
        <f>IF(F3="1",SUMIF(Data!$A:$A,'35'!$A$2,Data!JE:JE),0)</f>
        <v>0</v>
      </c>
      <c r="F52" s="22" t="str">
        <f t="shared" si="3"/>
        <v/>
      </c>
    </row>
    <row r="53" spans="1:6" x14ac:dyDescent="0.2">
      <c r="A53" s="20">
        <v>18</v>
      </c>
      <c r="B53" s="172" t="s">
        <v>16</v>
      </c>
      <c r="C53" s="173"/>
      <c r="D53" s="15">
        <f>IF(F3="1",SUMIF(Data!A:A,'35'!$A$2,Data!DL:DL),0)</f>
        <v>85360</v>
      </c>
      <c r="E53" s="18">
        <f>IF(F3="1",SUMIF(Data!$A:$A,'35'!$A$2,Data!JF:JF),0)</f>
        <v>12115</v>
      </c>
      <c r="F53" s="22">
        <f t="shared" si="3"/>
        <v>0.14000000000000001</v>
      </c>
    </row>
    <row r="54" spans="1:6" x14ac:dyDescent="0.2">
      <c r="A54" s="20">
        <v>19</v>
      </c>
      <c r="B54" s="172" t="s">
        <v>17</v>
      </c>
      <c r="C54" s="173"/>
      <c r="D54" s="15">
        <f>IF(F3="1",SUMIF(Data!A:A,'35'!$A$2,Data!DM:DM),0)</f>
        <v>30160</v>
      </c>
      <c r="E54" s="18">
        <f>IF(F3="1",SUMIF(Data!$A:$A,'35'!$A$2,Data!JG:JG),0)</f>
        <v>357</v>
      </c>
      <c r="F54" s="22">
        <f t="shared" si="3"/>
        <v>0.01</v>
      </c>
    </row>
    <row r="55" spans="1:6" x14ac:dyDescent="0.2">
      <c r="A55" s="20">
        <v>20</v>
      </c>
      <c r="B55" s="172" t="s">
        <v>18</v>
      </c>
      <c r="C55" s="173"/>
      <c r="D55" s="15">
        <f>IF(F3="1",SUMIF(Data!A:A,'35'!$A$2,Data!DN:DN),0)</f>
        <v>0</v>
      </c>
      <c r="E55" s="18">
        <f>IF(F3="1",SUMIF(Data!$A:$A,'35'!$A$2,Data!JH:JH),0)</f>
        <v>0</v>
      </c>
      <c r="F55" s="22" t="str">
        <f t="shared" si="3"/>
        <v/>
      </c>
    </row>
    <row r="56" spans="1:6" ht="14.25" customHeight="1" x14ac:dyDescent="0.2">
      <c r="A56" s="20">
        <v>21</v>
      </c>
      <c r="B56" s="172" t="s">
        <v>466</v>
      </c>
      <c r="C56" s="173"/>
      <c r="D56" s="15">
        <f>IF(F3="1",SUMIF(Data!A:A,'35'!$A$2,Data!DO:DO),0)</f>
        <v>0</v>
      </c>
      <c r="E56" s="18">
        <f>IF(F3="1",SUMIF(Data!$A:$A,'35'!$A$2,Data!JI:JI),0)</f>
        <v>0</v>
      </c>
      <c r="F56" s="22" t="str">
        <f t="shared" si="3"/>
        <v/>
      </c>
    </row>
    <row r="57" spans="1:6" x14ac:dyDescent="0.2">
      <c r="A57" s="20">
        <v>22</v>
      </c>
      <c r="B57" s="172" t="s">
        <v>19</v>
      </c>
      <c r="C57" s="173"/>
      <c r="D57" s="15">
        <f>IF(F3="1",SUMIF(Data!A:A,'35'!$A$2,Data!DP:DP),0)</f>
        <v>320</v>
      </c>
      <c r="E57" s="18">
        <f>IF(F3="1",SUMIF(Data!$A:$A,'35'!$A$2,Data!JJ:JJ),0)</f>
        <v>0</v>
      </c>
      <c r="F57" s="22">
        <f t="shared" si="3"/>
        <v>0</v>
      </c>
    </row>
    <row r="58" spans="1:6" x14ac:dyDescent="0.2">
      <c r="A58" s="20">
        <v>23</v>
      </c>
      <c r="B58" s="172" t="s">
        <v>20</v>
      </c>
      <c r="C58" s="173"/>
      <c r="D58" s="15">
        <f>IF(F3="1",SUMIF(Data!A:A,'35'!$A$2,Data!DQ:DQ),0)</f>
        <v>50480</v>
      </c>
      <c r="E58" s="18">
        <f>IF(F3="1",SUMIF(Data!$A:$A,'35'!$A$2,Data!JK:JK),0)</f>
        <v>7583</v>
      </c>
      <c r="F58" s="22">
        <f t="shared" si="3"/>
        <v>0.15</v>
      </c>
    </row>
    <row r="59" spans="1:6" x14ac:dyDescent="0.2">
      <c r="A59" s="20">
        <v>24</v>
      </c>
      <c r="B59" s="172" t="s">
        <v>21</v>
      </c>
      <c r="C59" s="173"/>
      <c r="D59" s="15">
        <f>IF(F3="1",SUMIF(Data!A:A,'35'!$A$2,Data!DR:DR),0)</f>
        <v>0</v>
      </c>
      <c r="E59" s="18">
        <f>IF(F3="1",SUMIF(Data!$A:$A,'35'!$A$2,Data!JL:JL),0)</f>
        <v>0</v>
      </c>
      <c r="F59" s="22" t="str">
        <f t="shared" si="3"/>
        <v/>
      </c>
    </row>
    <row r="60" spans="1:6" x14ac:dyDescent="0.2">
      <c r="A60" s="20">
        <v>25</v>
      </c>
      <c r="B60" s="172" t="s">
        <v>22</v>
      </c>
      <c r="C60" s="173"/>
      <c r="D60" s="15">
        <f>IF(F3="1",SUMIF(Data!A:A,'35'!$A$2,Data!DS:DS),0)</f>
        <v>44592</v>
      </c>
      <c r="E60" s="18">
        <f>IF(F3="1",SUMIF(Data!$A:$A,'35'!$A$2,Data!JM:JM),0)</f>
        <v>3064</v>
      </c>
      <c r="F60" s="22">
        <f t="shared" si="3"/>
        <v>7.0000000000000007E-2</v>
      </c>
    </row>
    <row r="61" spans="1:6" x14ac:dyDescent="0.2">
      <c r="A61" s="20">
        <v>26</v>
      </c>
      <c r="B61" s="172" t="s">
        <v>23</v>
      </c>
      <c r="C61" s="173"/>
      <c r="D61" s="15">
        <f>IF(F3="1",SUMIF(Data!A:A,'35'!$A$2,Data!DT:DT),0)</f>
        <v>10336</v>
      </c>
      <c r="E61" s="18">
        <f>IF(F3="1",SUMIF(Data!$A:$A,'35'!$A$2,Data!JN:JN),0)</f>
        <v>10294</v>
      </c>
      <c r="F61" s="22">
        <f t="shared" si="3"/>
        <v>1</v>
      </c>
    </row>
    <row r="62" spans="1:6" x14ac:dyDescent="0.2">
      <c r="A62" s="20">
        <v>28</v>
      </c>
      <c r="B62" s="172" t="s">
        <v>24</v>
      </c>
      <c r="C62" s="173"/>
      <c r="D62" s="15">
        <f>IF(F3="1",SUMIF(Data!A:A,'35'!$A$2,Data!DV:DV),0)</f>
        <v>0</v>
      </c>
      <c r="E62" s="18">
        <f>IF(F3="1",SUMIF(Data!$A:$A,'35'!$A$2,Data!JP:JP),0)</f>
        <v>0</v>
      </c>
      <c r="F62" s="22" t="str">
        <f t="shared" si="3"/>
        <v/>
      </c>
    </row>
    <row r="63" spans="1:6" ht="15.75" customHeight="1" thickBot="1" x14ac:dyDescent="0.25">
      <c r="A63" s="23">
        <v>29</v>
      </c>
      <c r="B63" s="174" t="s">
        <v>25</v>
      </c>
      <c r="C63" s="175"/>
      <c r="D63" s="24">
        <f>IF(F3="1",SUMIF(Data!A:A,'35'!$A$2,Data!DW:DW),0)</f>
        <v>0</v>
      </c>
      <c r="E63" s="25">
        <f>IF(F3="1",SUMIF(Data!$A:$A,'35'!$A$2,Data!JQ:JQ),0)</f>
        <v>0</v>
      </c>
      <c r="F63" s="26" t="str">
        <f t="shared" si="3"/>
        <v/>
      </c>
    </row>
    <row r="64" spans="1:6" x14ac:dyDescent="0.2">
      <c r="B64" s="31" t="s">
        <v>35</v>
      </c>
      <c r="C64" s="31"/>
      <c r="D64" s="61">
        <f>SUM(D36:D63)</f>
        <v>425484</v>
      </c>
      <c r="E64" s="32">
        <f>SUM(E36:E63)</f>
        <v>104884</v>
      </c>
      <c r="F64" s="33">
        <f t="shared" si="3"/>
        <v>0.25</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2112</v>
      </c>
      <c r="E67" s="16">
        <f>IF(F3="1",SUMIF(Data!A:A,'35'!$A$2,Data!DY:DY),0)</f>
        <v>6210</v>
      </c>
      <c r="F67" s="21">
        <f t="shared" ref="F67:F95" si="4">IF(D67=0,"",ROUND(E67/D67,2))</f>
        <v>2.94</v>
      </c>
    </row>
    <row r="68" spans="1:6" x14ac:dyDescent="0.2">
      <c r="A68" s="20">
        <v>2</v>
      </c>
      <c r="B68" s="172" t="s">
        <v>1</v>
      </c>
      <c r="C68" s="173"/>
      <c r="D68" s="15">
        <f t="shared" ref="D68:D94" si="5">D37</f>
        <v>20064</v>
      </c>
      <c r="E68" s="18">
        <f>IF(F3="1",SUMIF(Data!A:A,'35'!$A$2,Data!DZ:DZ),0)</f>
        <v>37305</v>
      </c>
      <c r="F68" s="22">
        <f t="shared" si="4"/>
        <v>1.86</v>
      </c>
    </row>
    <row r="69" spans="1:6" ht="14.25" customHeight="1" x14ac:dyDescent="0.2">
      <c r="A69" s="20">
        <v>3</v>
      </c>
      <c r="B69" s="172" t="s">
        <v>2</v>
      </c>
      <c r="C69" s="173"/>
      <c r="D69" s="15">
        <f t="shared" si="5"/>
        <v>30624</v>
      </c>
      <c r="E69" s="18">
        <f>IF(F3="1",SUMIF(Data!A:A,'35'!$A$2,Data!EA:EA),0)</f>
        <v>52627</v>
      </c>
      <c r="F69" s="22">
        <f t="shared" si="4"/>
        <v>1.72</v>
      </c>
    </row>
    <row r="70" spans="1:6" ht="14.25" customHeight="1" x14ac:dyDescent="0.2">
      <c r="A70" s="20">
        <v>4</v>
      </c>
      <c r="B70" s="172" t="s">
        <v>3</v>
      </c>
      <c r="C70" s="173"/>
      <c r="D70" s="15">
        <f t="shared" si="5"/>
        <v>9168</v>
      </c>
      <c r="E70" s="18">
        <f>IF(F3="1",SUMIF(Data!A:A,'35'!$A$2,Data!EB:EB),0)</f>
        <v>41919</v>
      </c>
      <c r="F70" s="22">
        <f t="shared" si="4"/>
        <v>4.57</v>
      </c>
    </row>
    <row r="71" spans="1:6" x14ac:dyDescent="0.2">
      <c r="A71" s="20">
        <v>5</v>
      </c>
      <c r="B71" s="172" t="s">
        <v>4</v>
      </c>
      <c r="C71" s="173"/>
      <c r="D71" s="15">
        <f t="shared" si="5"/>
        <v>0</v>
      </c>
      <c r="E71" s="18">
        <f>IF(F3="1",SUMIF(Data!A:A,'35'!$A$2,Data!EC:EC),0)</f>
        <v>0</v>
      </c>
      <c r="F71" s="22" t="str">
        <f t="shared" si="4"/>
        <v/>
      </c>
    </row>
    <row r="72" spans="1:6" x14ac:dyDescent="0.2">
      <c r="A72" s="20">
        <v>6</v>
      </c>
      <c r="B72" s="172" t="s">
        <v>5</v>
      </c>
      <c r="C72" s="173"/>
      <c r="D72" s="15">
        <f t="shared" si="5"/>
        <v>0</v>
      </c>
      <c r="E72" s="18">
        <f>IF(F3="1",SUMIF(Data!A:A,'35'!$A$2,Data!ED:ED),0)</f>
        <v>0</v>
      </c>
      <c r="F72" s="22" t="str">
        <f t="shared" si="4"/>
        <v/>
      </c>
    </row>
    <row r="73" spans="1:6" x14ac:dyDescent="0.2">
      <c r="A73" s="20">
        <v>7</v>
      </c>
      <c r="B73" s="172" t="s">
        <v>6</v>
      </c>
      <c r="C73" s="173"/>
      <c r="D73" s="15">
        <f t="shared" si="5"/>
        <v>28273</v>
      </c>
      <c r="E73" s="18">
        <f>IF(F3="1",SUMIF(Data!A:A,'35'!$A$2,Data!EE:EE),0)</f>
        <v>68883</v>
      </c>
      <c r="F73" s="22">
        <f t="shared" si="4"/>
        <v>2.44</v>
      </c>
    </row>
    <row r="74" spans="1:6" x14ac:dyDescent="0.2">
      <c r="A74" s="20">
        <v>8</v>
      </c>
      <c r="B74" s="172" t="s">
        <v>7</v>
      </c>
      <c r="C74" s="173"/>
      <c r="D74" s="15">
        <f t="shared" si="5"/>
        <v>0</v>
      </c>
      <c r="E74" s="18">
        <f>IF(F3="1",SUMIF(Data!A:A,'35'!$A$2,Data!EF:EF),0)</f>
        <v>0</v>
      </c>
      <c r="F74" s="22" t="str">
        <f t="shared" si="4"/>
        <v/>
      </c>
    </row>
    <row r="75" spans="1:6" x14ac:dyDescent="0.2">
      <c r="A75" s="20">
        <v>9</v>
      </c>
      <c r="B75" s="172" t="s">
        <v>8</v>
      </c>
      <c r="C75" s="173"/>
      <c r="D75" s="15">
        <f t="shared" si="5"/>
        <v>34720</v>
      </c>
      <c r="E75" s="18">
        <f>IF(F3="1",SUMIF(Data!A:A,'35'!$A$2,Data!EG:EG),0)</f>
        <v>46506</v>
      </c>
      <c r="F75" s="22">
        <f t="shared" si="4"/>
        <v>1.34</v>
      </c>
    </row>
    <row r="76" spans="1:6" x14ac:dyDescent="0.2">
      <c r="A76" s="20">
        <v>10</v>
      </c>
      <c r="B76" s="172" t="s">
        <v>9</v>
      </c>
      <c r="C76" s="173"/>
      <c r="D76" s="15">
        <f t="shared" si="5"/>
        <v>0</v>
      </c>
      <c r="E76" s="18">
        <f>IF(F3="1",SUMIF(Data!A:A,'35'!$A$2,Data!EH:EH),0)</f>
        <v>0</v>
      </c>
      <c r="F76" s="22" t="str">
        <f t="shared" si="4"/>
        <v/>
      </c>
    </row>
    <row r="77" spans="1:6" x14ac:dyDescent="0.2">
      <c r="A77" s="20">
        <v>11</v>
      </c>
      <c r="B77" s="172" t="s">
        <v>10</v>
      </c>
      <c r="C77" s="173"/>
      <c r="D77" s="15">
        <f t="shared" si="5"/>
        <v>0</v>
      </c>
      <c r="E77" s="18">
        <f>IF(F3="1",SUMIF(Data!A:A,'35'!$A$2,Data!EI:EI),0)</f>
        <v>0</v>
      </c>
      <c r="F77" s="22" t="str">
        <f t="shared" si="4"/>
        <v/>
      </c>
    </row>
    <row r="78" spans="1:6" ht="14.25" customHeight="1" x14ac:dyDescent="0.2">
      <c r="A78" s="20">
        <v>12</v>
      </c>
      <c r="B78" s="172" t="s">
        <v>11</v>
      </c>
      <c r="C78" s="173"/>
      <c r="D78" s="15">
        <f t="shared" si="5"/>
        <v>68060</v>
      </c>
      <c r="E78" s="18">
        <f>IF(F3="1",SUMIF(Data!A:A,'35'!$A$2,Data!EJ:EJ),0)</f>
        <v>177858</v>
      </c>
      <c r="F78" s="22">
        <f t="shared" si="4"/>
        <v>2.61</v>
      </c>
    </row>
    <row r="79" spans="1:6" x14ac:dyDescent="0.2">
      <c r="A79" s="20">
        <v>13</v>
      </c>
      <c r="B79" s="172" t="s">
        <v>12</v>
      </c>
      <c r="C79" s="173"/>
      <c r="D79" s="15">
        <f t="shared" si="5"/>
        <v>672</v>
      </c>
      <c r="E79" s="18">
        <f>IF(F3="1",SUMIF(Data!A:A,'35'!$A$2,Data!EK:EK),0)</f>
        <v>1000</v>
      </c>
      <c r="F79" s="22">
        <f t="shared" si="4"/>
        <v>1.49</v>
      </c>
    </row>
    <row r="80" spans="1:6" ht="14.25" customHeight="1" x14ac:dyDescent="0.2">
      <c r="A80" s="20">
        <v>14</v>
      </c>
      <c r="B80" s="172" t="s">
        <v>469</v>
      </c>
      <c r="C80" s="173"/>
      <c r="D80" s="15">
        <f t="shared" si="5"/>
        <v>0</v>
      </c>
      <c r="E80" s="18">
        <f>IF(F3="1",SUMIF(Data!A:A,'35'!$A$2,Data!EL:EL),0)</f>
        <v>0</v>
      </c>
      <c r="F80" s="22" t="str">
        <f t="shared" si="4"/>
        <v/>
      </c>
    </row>
    <row r="81" spans="1:6" x14ac:dyDescent="0.2">
      <c r="A81" s="20">
        <v>15</v>
      </c>
      <c r="B81" s="172" t="s">
        <v>13</v>
      </c>
      <c r="C81" s="173"/>
      <c r="D81" s="15">
        <f t="shared" si="5"/>
        <v>0</v>
      </c>
      <c r="E81" s="18">
        <f>IF(F3="1",SUMIF(Data!A:A,'35'!$A$2,Data!EM:EM),0)</f>
        <v>0</v>
      </c>
      <c r="F81" s="22" t="str">
        <f t="shared" si="4"/>
        <v/>
      </c>
    </row>
    <row r="82" spans="1:6" x14ac:dyDescent="0.2">
      <c r="A82" s="20">
        <v>16</v>
      </c>
      <c r="B82" s="172" t="s">
        <v>14</v>
      </c>
      <c r="C82" s="173"/>
      <c r="D82" s="15">
        <f t="shared" si="5"/>
        <v>10543</v>
      </c>
      <c r="E82" s="18">
        <f>IF(F3="1",SUMIF(Data!A:A,'35'!$A$2,Data!EN:EN),0)</f>
        <v>37878</v>
      </c>
      <c r="F82" s="22">
        <f t="shared" si="4"/>
        <v>3.59</v>
      </c>
    </row>
    <row r="83" spans="1:6" x14ac:dyDescent="0.2">
      <c r="A83" s="20">
        <v>17</v>
      </c>
      <c r="B83" s="172" t="s">
        <v>15</v>
      </c>
      <c r="C83" s="173"/>
      <c r="D83" s="15">
        <f t="shared" si="5"/>
        <v>0</v>
      </c>
      <c r="E83" s="18">
        <f>IF(F3="1",SUMIF(Data!A:A,'35'!$A$2,Data!EO:EO),0)</f>
        <v>0</v>
      </c>
      <c r="F83" s="22" t="str">
        <f t="shared" si="4"/>
        <v/>
      </c>
    </row>
    <row r="84" spans="1:6" x14ac:dyDescent="0.2">
      <c r="A84" s="20">
        <v>18</v>
      </c>
      <c r="B84" s="172" t="s">
        <v>16</v>
      </c>
      <c r="C84" s="173"/>
      <c r="D84" s="15">
        <f t="shared" si="5"/>
        <v>85360</v>
      </c>
      <c r="E84" s="18">
        <f>IF(F3="1",SUMIF(Data!A:A,'35'!$A$2,Data!EP:EP),0)</f>
        <v>191082</v>
      </c>
      <c r="F84" s="22">
        <f t="shared" si="4"/>
        <v>2.2400000000000002</v>
      </c>
    </row>
    <row r="85" spans="1:6" x14ac:dyDescent="0.2">
      <c r="A85" s="20">
        <v>19</v>
      </c>
      <c r="B85" s="172" t="s">
        <v>17</v>
      </c>
      <c r="C85" s="173"/>
      <c r="D85" s="15">
        <f t="shared" si="5"/>
        <v>30160</v>
      </c>
      <c r="E85" s="18">
        <f>IF(F3="1",SUMIF(Data!A:A,'35'!$A$2,Data!EQ:EQ),0)</f>
        <v>92172</v>
      </c>
      <c r="F85" s="22">
        <f t="shared" si="4"/>
        <v>3.06</v>
      </c>
    </row>
    <row r="86" spans="1:6" x14ac:dyDescent="0.2">
      <c r="A86" s="20">
        <v>20</v>
      </c>
      <c r="B86" s="172" t="s">
        <v>18</v>
      </c>
      <c r="C86" s="173"/>
      <c r="D86" s="15">
        <f t="shared" si="5"/>
        <v>0</v>
      </c>
      <c r="E86" s="18">
        <f>IF(F3="1",SUMIF(Data!A:A,'35'!$A$2,Data!ER:ER),0)</f>
        <v>0</v>
      </c>
      <c r="F86" s="22" t="str">
        <f t="shared" si="4"/>
        <v/>
      </c>
    </row>
    <row r="87" spans="1:6" ht="14.25" customHeight="1" x14ac:dyDescent="0.2">
      <c r="A87" s="20">
        <v>21</v>
      </c>
      <c r="B87" s="172" t="s">
        <v>466</v>
      </c>
      <c r="C87" s="173"/>
      <c r="D87" s="15">
        <f t="shared" si="5"/>
        <v>0</v>
      </c>
      <c r="E87" s="18">
        <f>IF(F3="1",SUMIF(Data!A:A,'35'!$A$2,Data!ES:ES),0)</f>
        <v>0</v>
      </c>
      <c r="F87" s="22" t="str">
        <f t="shared" si="4"/>
        <v/>
      </c>
    </row>
    <row r="88" spans="1:6" x14ac:dyDescent="0.2">
      <c r="A88" s="20">
        <v>22</v>
      </c>
      <c r="B88" s="172" t="s">
        <v>19</v>
      </c>
      <c r="C88" s="173"/>
      <c r="D88" s="15">
        <f t="shared" si="5"/>
        <v>320</v>
      </c>
      <c r="E88" s="18">
        <f>IF(F3="1",SUMIF(Data!A:A,'35'!$A$2,Data!ET:ET),0)</f>
        <v>1000</v>
      </c>
      <c r="F88" s="22">
        <f t="shared" si="4"/>
        <v>3.13</v>
      </c>
    </row>
    <row r="89" spans="1:6" x14ac:dyDescent="0.2">
      <c r="A89" s="20">
        <v>23</v>
      </c>
      <c r="B89" s="172" t="s">
        <v>20</v>
      </c>
      <c r="C89" s="173"/>
      <c r="D89" s="15">
        <f t="shared" si="5"/>
        <v>50480</v>
      </c>
      <c r="E89" s="18">
        <f>IF(F3="1",SUMIF(Data!A:A,'35'!$A$2,Data!EU:EU),0)</f>
        <v>407120</v>
      </c>
      <c r="F89" s="22">
        <f t="shared" si="4"/>
        <v>8.06</v>
      </c>
    </row>
    <row r="90" spans="1:6" x14ac:dyDescent="0.2">
      <c r="A90" s="20">
        <v>24</v>
      </c>
      <c r="B90" s="172" t="s">
        <v>21</v>
      </c>
      <c r="C90" s="173"/>
      <c r="D90" s="15">
        <f t="shared" si="5"/>
        <v>0</v>
      </c>
      <c r="E90" s="18">
        <f>IF(F3="1",SUMIF(Data!A:A,'35'!$A$2,Data!EV:EV),0)</f>
        <v>0</v>
      </c>
      <c r="F90" s="22" t="str">
        <f t="shared" si="4"/>
        <v/>
      </c>
    </row>
    <row r="91" spans="1:6" x14ac:dyDescent="0.2">
      <c r="A91" s="20">
        <v>25</v>
      </c>
      <c r="B91" s="172" t="s">
        <v>22</v>
      </c>
      <c r="C91" s="173"/>
      <c r="D91" s="15">
        <f t="shared" si="5"/>
        <v>44592</v>
      </c>
      <c r="E91" s="18">
        <f>IF(F3="1",SUMIF(Data!A:A,'35'!$A$2,Data!EW:EW),0)</f>
        <v>73755</v>
      </c>
      <c r="F91" s="22">
        <f t="shared" si="4"/>
        <v>1.65</v>
      </c>
    </row>
    <row r="92" spans="1:6" x14ac:dyDescent="0.2">
      <c r="A92" s="20">
        <v>26</v>
      </c>
      <c r="B92" s="172" t="s">
        <v>23</v>
      </c>
      <c r="C92" s="173"/>
      <c r="D92" s="15">
        <f t="shared" si="5"/>
        <v>10336</v>
      </c>
      <c r="E92" s="18">
        <f>IF(F3="1",SUMIF(Data!A:A,'35'!$A$2,Data!EX:EX),0)</f>
        <v>48499</v>
      </c>
      <c r="F92" s="22">
        <f t="shared" si="4"/>
        <v>4.6900000000000004</v>
      </c>
    </row>
    <row r="93" spans="1:6" x14ac:dyDescent="0.2">
      <c r="A93" s="20">
        <v>28</v>
      </c>
      <c r="B93" s="172" t="s">
        <v>24</v>
      </c>
      <c r="C93" s="173"/>
      <c r="D93" s="15">
        <f t="shared" si="5"/>
        <v>0</v>
      </c>
      <c r="E93" s="18">
        <f>IF(F3="1",SUMIF(Data!A:A,'35'!$A$2,Data!EZ:EZ),0)</f>
        <v>0</v>
      </c>
      <c r="F93" s="22" t="str">
        <f t="shared" si="4"/>
        <v/>
      </c>
    </row>
    <row r="94" spans="1:6" ht="15.75" customHeight="1" thickBot="1" x14ac:dyDescent="0.25">
      <c r="A94" s="23">
        <v>29</v>
      </c>
      <c r="B94" s="174" t="s">
        <v>25</v>
      </c>
      <c r="C94" s="175"/>
      <c r="D94" s="24">
        <f t="shared" si="5"/>
        <v>0</v>
      </c>
      <c r="E94" s="25">
        <f>IF(F3="1",SUMIF(Data!A:A,'35'!$A$2,Data!FA:FA),0)</f>
        <v>0</v>
      </c>
      <c r="F94" s="26" t="str">
        <f t="shared" si="4"/>
        <v/>
      </c>
    </row>
    <row r="95" spans="1:6" x14ac:dyDescent="0.2">
      <c r="B95" s="31" t="s">
        <v>35</v>
      </c>
      <c r="C95" s="31"/>
      <c r="D95" s="61">
        <f>SUM(D67:D94)</f>
        <v>425484</v>
      </c>
      <c r="E95" s="32">
        <f>SUM(E67:E94)</f>
        <v>1283814</v>
      </c>
      <c r="F95" s="33">
        <f t="shared" si="4"/>
        <v>3.02</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IF(F3="1",SUMIF(Data!A:A,'35'!$A$2,Data!AH:AH),0)</f>
        <v>695303</v>
      </c>
      <c r="F98" s="21">
        <f>IF($D$105=0,"",ROUND(E98/$D$105,2))</f>
        <v>1.63</v>
      </c>
    </row>
    <row r="99" spans="2:6" x14ac:dyDescent="0.2">
      <c r="B99" s="178" t="s">
        <v>31</v>
      </c>
      <c r="C99" s="179"/>
      <c r="D99" s="37"/>
      <c r="E99" s="18">
        <f>IF(F3="1",SUMIF(Data!A:A,'35'!$A$2,Data!AI:AI),0)</f>
        <v>214118</v>
      </c>
      <c r="F99" s="22">
        <f t="shared" ref="F99:F105" si="6">IF($D$105=0,"",ROUND(E99/$D$105,2))</f>
        <v>0.5</v>
      </c>
    </row>
    <row r="100" spans="2:6" x14ac:dyDescent="0.2">
      <c r="B100" s="178" t="s">
        <v>32</v>
      </c>
      <c r="C100" s="179"/>
      <c r="D100" s="37"/>
      <c r="E100" s="18">
        <f>IF(F3="1",SUMIF(Data!A:A,'35'!$A$2,Data!AJ:AJ),0)</f>
        <v>125315</v>
      </c>
      <c r="F100" s="22">
        <f t="shared" si="6"/>
        <v>0.28999999999999998</v>
      </c>
    </row>
    <row r="101" spans="2:6" x14ac:dyDescent="0.2">
      <c r="B101" s="178" t="s">
        <v>28</v>
      </c>
      <c r="C101" s="179"/>
      <c r="D101" s="37"/>
      <c r="E101" s="18">
        <f>IF(F3="1",SUMIF(Data!A:A,'35'!$A$2,Data!AK:AK),0)</f>
        <v>0</v>
      </c>
      <c r="F101" s="22">
        <f t="shared" si="6"/>
        <v>0</v>
      </c>
    </row>
    <row r="102" spans="2:6" x14ac:dyDescent="0.2">
      <c r="B102" s="178" t="s">
        <v>33</v>
      </c>
      <c r="C102" s="179"/>
      <c r="D102" s="37"/>
      <c r="E102" s="18">
        <f>IF(F3="1",SUMIF(Data!A:A,'35'!$A$2,Data!AL:AL),0)</f>
        <v>122557</v>
      </c>
      <c r="F102" s="22">
        <f t="shared" si="6"/>
        <v>0.28999999999999998</v>
      </c>
    </row>
    <row r="103" spans="2:6" x14ac:dyDescent="0.2">
      <c r="B103" s="180" t="s">
        <v>34</v>
      </c>
      <c r="C103" s="181"/>
      <c r="D103" s="37"/>
      <c r="E103" s="18">
        <f>IF(F3="1",SUMIF(Data!A:A,'35'!$A$2,Data!AM:AM),0)</f>
        <v>95130</v>
      </c>
      <c r="F103" s="22">
        <f t="shared" si="6"/>
        <v>0.22</v>
      </c>
    </row>
    <row r="104" spans="2:6" ht="15.75" customHeight="1" thickBot="1" x14ac:dyDescent="0.25">
      <c r="B104" s="170" t="s">
        <v>29</v>
      </c>
      <c r="C104" s="171"/>
      <c r="D104" s="38"/>
      <c r="E104" s="25">
        <f>IF(F3="1",SUMIF(Data!A:A,'35'!$A$2,Data!Q:Q),0)</f>
        <v>37728</v>
      </c>
      <c r="F104" s="26">
        <f t="shared" si="6"/>
        <v>0.09</v>
      </c>
    </row>
    <row r="105" spans="2:6" x14ac:dyDescent="0.2">
      <c r="B105" s="31" t="s">
        <v>35</v>
      </c>
      <c r="C105" s="31"/>
      <c r="D105" s="35">
        <f>D95</f>
        <v>425484</v>
      </c>
      <c r="E105" s="32">
        <f>SUM(E98:E104)</f>
        <v>1290151</v>
      </c>
      <c r="F105" s="33">
        <f t="shared" si="6"/>
        <v>3.03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1283814</v>
      </c>
      <c r="D109" s="16">
        <f>IF(F3="1",SUMIF(Data!$A:$A,$A$2,Data!HJ:HJ),0)</f>
        <v>48475</v>
      </c>
      <c r="E109" s="16">
        <f>IF(F3="1",SUMIF(Data!$A:$A,$A$2,Data!IN:IN),0)</f>
        <v>104884</v>
      </c>
      <c r="F109" s="48">
        <f>SUM(C109:E109)</f>
        <v>1437173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102234</v>
      </c>
      <c r="D112" s="52"/>
      <c r="E112" s="51">
        <f>IF(F3="1",SUMIF(Data!A:A,$A$2,Data!AC:AC),0)</f>
        <v>23081</v>
      </c>
      <c r="F112" s="49">
        <f t="shared" si="7"/>
        <v>125315</v>
      </c>
    </row>
    <row r="113" spans="1:6" x14ac:dyDescent="0.2">
      <c r="B113" s="43" t="s">
        <v>31</v>
      </c>
      <c r="C113" s="51">
        <f>IF(F3="1",SUMIF(Data!A:A,$A$2,Data!U:U),0)</f>
        <v>189681</v>
      </c>
      <c r="D113" s="52"/>
      <c r="E113" s="51">
        <f>IF(F3="1",SUMIF(Data!A:A,$A$2,Data!AB:AB),0)</f>
        <v>24437</v>
      </c>
      <c r="F113" s="49">
        <f t="shared" si="7"/>
        <v>214118</v>
      </c>
    </row>
    <row r="114" spans="1:6" x14ac:dyDescent="0.2">
      <c r="B114" s="43" t="s">
        <v>1021</v>
      </c>
      <c r="C114" s="51">
        <f>IF(F3="1",SUMIF(Data!A:A,$A$2,Data!T:T),0)</f>
        <v>317148</v>
      </c>
      <c r="D114" s="52"/>
      <c r="E114" s="51">
        <f>IF(F3="1",SUMIF(Data!A:A,$A$2,Data!AA:AA),0)</f>
        <v>378155</v>
      </c>
      <c r="F114" s="49">
        <f t="shared" si="7"/>
        <v>695303</v>
      </c>
    </row>
    <row r="115" spans="1:6" x14ac:dyDescent="0.2">
      <c r="B115" s="43" t="s">
        <v>937</v>
      </c>
      <c r="C115" s="51">
        <f>IF(F3="1",SUMIF(Data!A:A,$A$2,Data!BI:BI),0)</f>
        <v>105116</v>
      </c>
      <c r="D115" s="51">
        <f>IF(F3="1",SUMIF(Data!A:A,$A$2,Data!BL:BL),0)</f>
        <v>88832</v>
      </c>
      <c r="E115" s="51">
        <f>IF(F3="1",SUMIF(Data!A:A,$A$2,Data!BU:BU),0)</f>
        <v>387730</v>
      </c>
      <c r="F115" s="49">
        <f t="shared" si="7"/>
        <v>581678</v>
      </c>
    </row>
    <row r="116" spans="1:6" x14ac:dyDescent="0.2">
      <c r="B116" s="43" t="s">
        <v>33</v>
      </c>
      <c r="C116" s="51">
        <f>IF(F3="1",SUMIF(Data!A:A,$A$2,Data!X:X),0)</f>
        <v>0</v>
      </c>
      <c r="D116" s="51"/>
      <c r="E116" s="51">
        <f>E102</f>
        <v>122557</v>
      </c>
      <c r="F116" s="49">
        <f t="shared" si="7"/>
        <v>122557</v>
      </c>
    </row>
    <row r="117" spans="1:6" ht="15" thickBot="1" x14ac:dyDescent="0.25">
      <c r="B117" s="44" t="s">
        <v>941</v>
      </c>
      <c r="C117" s="53"/>
      <c r="D117" s="53">
        <f>IF(F3="1",SUMIF(Data!A:A,$A$2,Data!Q:Q),0)</f>
        <v>37728</v>
      </c>
      <c r="E117" s="53"/>
      <c r="F117" s="50">
        <f>SUM(C117:E117)</f>
        <v>37728</v>
      </c>
    </row>
    <row r="118" spans="1:6" x14ac:dyDescent="0.2">
      <c r="B118" s="14" t="s">
        <v>35</v>
      </c>
      <c r="C118" s="5">
        <f>SUM(C109:C116)</f>
        <v>1997993</v>
      </c>
      <c r="D118" s="5">
        <f>SUM(D109:D116)</f>
        <v>137307</v>
      </c>
      <c r="E118" s="5">
        <f>SUM(E109:E116)</f>
        <v>1040844</v>
      </c>
      <c r="F118" s="5">
        <f>SUM(F109:F116)</f>
        <v>3176144</v>
      </c>
    </row>
    <row r="119" spans="1:6" ht="15" thickBot="1" x14ac:dyDescent="0.25"/>
    <row r="120" spans="1:6" ht="15" thickBot="1" x14ac:dyDescent="0.25">
      <c r="B120" s="57" t="s">
        <v>942</v>
      </c>
      <c r="C120" s="55"/>
      <c r="D120" s="55"/>
      <c r="E120" s="55">
        <f>IF(F3="1",SUMIF(Data!A:A,'35'!$A$2,Data!AM:AM),0)</f>
        <v>95130</v>
      </c>
      <c r="F120" s="56">
        <f>SUM(C120:E120)</f>
        <v>95130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5703125" style="11" bestFit="1" customWidth="1"/>
    <col min="13" max="13" width="13.425781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396</v>
      </c>
      <c r="B2" s="60" t="str">
        <f>VLOOKUP(A2,Data!A:G,7,0)</f>
        <v>San Jacinto College District</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12768</v>
      </c>
      <c r="E5" s="16">
        <f>E36+E67+IFERROR($E$105/$D$105*D5,0)</f>
        <v>100379.71298661</v>
      </c>
      <c r="F5" s="21">
        <f>IF(OR(D5=0,E5=0),"",ROUND(E5/D5,2))</f>
        <v>7.86</v>
      </c>
    </row>
    <row r="6" spans="1:6" x14ac:dyDescent="0.2">
      <c r="A6" s="20">
        <v>2</v>
      </c>
      <c r="B6" s="172" t="s">
        <v>1</v>
      </c>
      <c r="C6" s="173"/>
      <c r="D6" s="15">
        <f t="shared" ref="D6:D32" si="0">D37</f>
        <v>263764</v>
      </c>
      <c r="E6" s="18">
        <f t="shared" ref="E6:E32" si="1">E37+E68+IFERROR($E$105/$D$105*D6,0)</f>
        <v>1829629.2650532739</v>
      </c>
      <c r="F6" s="22">
        <f t="shared" ref="F6:F33" si="2">IF(OR(D6=0,E6=0),"",ROUND(E6/D6,2))</f>
        <v>6.94</v>
      </c>
    </row>
    <row r="7" spans="1:6" ht="14.25" customHeight="1" x14ac:dyDescent="0.2">
      <c r="A7" s="20">
        <v>3</v>
      </c>
      <c r="B7" s="172" t="s">
        <v>2</v>
      </c>
      <c r="C7" s="173"/>
      <c r="D7" s="15">
        <f t="shared" si="0"/>
        <v>1416240</v>
      </c>
      <c r="E7" s="18">
        <f t="shared" si="1"/>
        <v>10011112.532593716</v>
      </c>
      <c r="F7" s="22">
        <f t="shared" si="2"/>
        <v>7.07</v>
      </c>
    </row>
    <row r="8" spans="1:6" ht="14.25" customHeight="1" x14ac:dyDescent="0.2">
      <c r="A8" s="20">
        <v>4</v>
      </c>
      <c r="B8" s="172" t="s">
        <v>3</v>
      </c>
      <c r="C8" s="173"/>
      <c r="D8" s="15">
        <f t="shared" si="0"/>
        <v>639804</v>
      </c>
      <c r="E8" s="18">
        <f t="shared" si="1"/>
        <v>4588860.4260404939</v>
      </c>
      <c r="F8" s="22">
        <f t="shared" si="2"/>
        <v>7.17</v>
      </c>
    </row>
    <row r="9" spans="1:6" x14ac:dyDescent="0.2">
      <c r="A9" s="20">
        <v>5</v>
      </c>
      <c r="B9" s="172" t="s">
        <v>4</v>
      </c>
      <c r="C9" s="173"/>
      <c r="D9" s="15">
        <f t="shared" si="0"/>
        <v>47216</v>
      </c>
      <c r="E9" s="18">
        <f t="shared" si="1"/>
        <v>1525804.3797286793</v>
      </c>
      <c r="F9" s="22">
        <f t="shared" si="2"/>
        <v>32.32</v>
      </c>
    </row>
    <row r="10" spans="1:6" x14ac:dyDescent="0.2">
      <c r="A10" s="20">
        <v>6</v>
      </c>
      <c r="B10" s="172" t="s">
        <v>5</v>
      </c>
      <c r="C10" s="173"/>
      <c r="D10" s="15">
        <f t="shared" si="0"/>
        <v>145100</v>
      </c>
      <c r="E10" s="18">
        <f t="shared" si="1"/>
        <v>842713.58163824491</v>
      </c>
      <c r="F10" s="22">
        <f t="shared" si="2"/>
        <v>5.81</v>
      </c>
    </row>
    <row r="11" spans="1:6" x14ac:dyDescent="0.2">
      <c r="A11" s="20">
        <v>7</v>
      </c>
      <c r="B11" s="172" t="s">
        <v>6</v>
      </c>
      <c r="C11" s="173"/>
      <c r="D11" s="15">
        <f t="shared" si="0"/>
        <v>241589</v>
      </c>
      <c r="E11" s="18">
        <f t="shared" si="1"/>
        <v>2441495.3515603165</v>
      </c>
      <c r="F11" s="22">
        <f t="shared" si="2"/>
        <v>10.11</v>
      </c>
    </row>
    <row r="12" spans="1:6" x14ac:dyDescent="0.2">
      <c r="A12" s="20">
        <v>8</v>
      </c>
      <c r="B12" s="172" t="s">
        <v>7</v>
      </c>
      <c r="C12" s="173"/>
      <c r="D12" s="15">
        <f t="shared" si="0"/>
        <v>62014</v>
      </c>
      <c r="E12" s="18">
        <f t="shared" si="1"/>
        <v>459103.06901250256</v>
      </c>
      <c r="F12" s="22">
        <f t="shared" si="2"/>
        <v>7.4</v>
      </c>
    </row>
    <row r="13" spans="1:6" x14ac:dyDescent="0.2">
      <c r="A13" s="20">
        <v>9</v>
      </c>
      <c r="B13" s="172" t="s">
        <v>8</v>
      </c>
      <c r="C13" s="173"/>
      <c r="D13" s="15">
        <f t="shared" si="0"/>
        <v>627798</v>
      </c>
      <c r="E13" s="18">
        <f t="shared" si="1"/>
        <v>5288502.5662255473</v>
      </c>
      <c r="F13" s="22">
        <f t="shared" si="2"/>
        <v>8.42</v>
      </c>
    </row>
    <row r="14" spans="1:6" x14ac:dyDescent="0.2">
      <c r="A14" s="20">
        <v>10</v>
      </c>
      <c r="B14" s="172" t="s">
        <v>9</v>
      </c>
      <c r="C14" s="173"/>
      <c r="D14" s="15">
        <f t="shared" si="0"/>
        <v>108404</v>
      </c>
      <c r="E14" s="18">
        <f t="shared" si="1"/>
        <v>1083804.6997650745</v>
      </c>
      <c r="F14" s="22">
        <f t="shared" si="2"/>
        <v>10</v>
      </c>
    </row>
    <row r="15" spans="1:6" x14ac:dyDescent="0.2">
      <c r="A15" s="20">
        <v>11</v>
      </c>
      <c r="B15" s="172" t="s">
        <v>10</v>
      </c>
      <c r="C15" s="173"/>
      <c r="D15" s="15">
        <f t="shared" si="0"/>
        <v>149294</v>
      </c>
      <c r="E15" s="18">
        <f t="shared" si="1"/>
        <v>2743638.2223232263</v>
      </c>
      <c r="F15" s="22">
        <f t="shared" si="2"/>
        <v>18.38</v>
      </c>
    </row>
    <row r="16" spans="1:6" ht="14.25" customHeight="1" x14ac:dyDescent="0.2">
      <c r="A16" s="20">
        <v>12</v>
      </c>
      <c r="B16" s="172" t="s">
        <v>11</v>
      </c>
      <c r="C16" s="173"/>
      <c r="D16" s="15">
        <f t="shared" si="0"/>
        <v>1405576</v>
      </c>
      <c r="E16" s="18">
        <f t="shared" si="1"/>
        <v>10563865.519178206</v>
      </c>
      <c r="F16" s="22">
        <f t="shared" si="2"/>
        <v>7.52</v>
      </c>
    </row>
    <row r="17" spans="1:6" x14ac:dyDescent="0.2">
      <c r="A17" s="20">
        <v>13</v>
      </c>
      <c r="B17" s="172" t="s">
        <v>12</v>
      </c>
      <c r="C17" s="173"/>
      <c r="D17" s="15">
        <f t="shared" si="0"/>
        <v>122584</v>
      </c>
      <c r="E17" s="18">
        <f t="shared" si="1"/>
        <v>1147425.0514372338</v>
      </c>
      <c r="F17" s="22">
        <f t="shared" si="2"/>
        <v>9.36</v>
      </c>
    </row>
    <row r="18" spans="1:6" ht="14.25" customHeight="1" x14ac:dyDescent="0.2">
      <c r="A18" s="20">
        <v>14</v>
      </c>
      <c r="B18" s="172" t="s">
        <v>469</v>
      </c>
      <c r="C18" s="173"/>
      <c r="D18" s="15">
        <f t="shared" si="0"/>
        <v>353704</v>
      </c>
      <c r="E18" s="18">
        <f t="shared" si="1"/>
        <v>3804822.525236208</v>
      </c>
      <c r="F18" s="22">
        <f t="shared" si="2"/>
        <v>10.76</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579814</v>
      </c>
      <c r="E20" s="18">
        <f t="shared" si="1"/>
        <v>6333351.4368435377</v>
      </c>
      <c r="F20" s="22">
        <f t="shared" si="2"/>
        <v>10.92</v>
      </c>
    </row>
    <row r="21" spans="1:6" x14ac:dyDescent="0.2">
      <c r="A21" s="20">
        <v>17</v>
      </c>
      <c r="B21" s="172" t="s">
        <v>15</v>
      </c>
      <c r="C21" s="173"/>
      <c r="D21" s="15">
        <f t="shared" si="0"/>
        <v>49440</v>
      </c>
      <c r="E21" s="18">
        <f t="shared" si="1"/>
        <v>501729.00893311389</v>
      </c>
      <c r="F21" s="22">
        <f t="shared" si="2"/>
        <v>10.15</v>
      </c>
    </row>
    <row r="22" spans="1:6" x14ac:dyDescent="0.2">
      <c r="A22" s="20">
        <v>18</v>
      </c>
      <c r="B22" s="172" t="s">
        <v>16</v>
      </c>
      <c r="C22" s="173"/>
      <c r="D22" s="15">
        <f t="shared" si="0"/>
        <v>258992</v>
      </c>
      <c r="E22" s="18">
        <f t="shared" si="1"/>
        <v>2845840.5966344061</v>
      </c>
      <c r="F22" s="22">
        <f t="shared" si="2"/>
        <v>10.99</v>
      </c>
    </row>
    <row r="23" spans="1:6" x14ac:dyDescent="0.2">
      <c r="A23" s="20">
        <v>19</v>
      </c>
      <c r="B23" s="172" t="s">
        <v>17</v>
      </c>
      <c r="C23" s="173"/>
      <c r="D23" s="15">
        <f t="shared" si="0"/>
        <v>1185232</v>
      </c>
      <c r="E23" s="18">
        <f t="shared" si="1"/>
        <v>9056995.1264525168</v>
      </c>
      <c r="F23" s="22">
        <f t="shared" si="2"/>
        <v>7.64</v>
      </c>
    </row>
    <row r="24" spans="1:6" x14ac:dyDescent="0.2">
      <c r="A24" s="20">
        <v>20</v>
      </c>
      <c r="B24" s="172" t="s">
        <v>18</v>
      </c>
      <c r="C24" s="173"/>
      <c r="D24" s="15">
        <f t="shared" si="0"/>
        <v>239344</v>
      </c>
      <c r="E24" s="18">
        <f t="shared" si="1"/>
        <v>2409120.5846700491</v>
      </c>
      <c r="F24" s="22">
        <f t="shared" si="2"/>
        <v>10.07</v>
      </c>
    </row>
    <row r="25" spans="1:6" ht="14.25" customHeight="1" x14ac:dyDescent="0.2">
      <c r="A25" s="20">
        <v>21</v>
      </c>
      <c r="B25" s="172" t="s">
        <v>466</v>
      </c>
      <c r="C25" s="173"/>
      <c r="D25" s="15">
        <f t="shared" si="0"/>
        <v>50078</v>
      </c>
      <c r="E25" s="18">
        <f t="shared" si="1"/>
        <v>917131.00148366659</v>
      </c>
      <c r="F25" s="22">
        <f t="shared" si="2"/>
        <v>18.309999999999999</v>
      </c>
    </row>
    <row r="26" spans="1:6" x14ac:dyDescent="0.2">
      <c r="A26" s="20">
        <v>22</v>
      </c>
      <c r="B26" s="172" t="s">
        <v>19</v>
      </c>
      <c r="C26" s="173"/>
      <c r="D26" s="15">
        <f t="shared" si="0"/>
        <v>20896</v>
      </c>
      <c r="E26" s="18">
        <f t="shared" si="1"/>
        <v>166227.48015101836</v>
      </c>
      <c r="F26" s="22">
        <f t="shared" si="2"/>
        <v>7.95</v>
      </c>
    </row>
    <row r="27" spans="1:6" x14ac:dyDescent="0.2">
      <c r="A27" s="20">
        <v>23</v>
      </c>
      <c r="B27" s="172" t="s">
        <v>20</v>
      </c>
      <c r="C27" s="173"/>
      <c r="D27" s="15">
        <f t="shared" si="0"/>
        <v>429264</v>
      </c>
      <c r="E27" s="18">
        <f t="shared" si="1"/>
        <v>3702165.884358095</v>
      </c>
      <c r="F27" s="22">
        <f t="shared" si="2"/>
        <v>8.6199999999999992</v>
      </c>
    </row>
    <row r="28" spans="1:6" x14ac:dyDescent="0.2">
      <c r="A28" s="20">
        <v>24</v>
      </c>
      <c r="B28" s="172" t="s">
        <v>21</v>
      </c>
      <c r="C28" s="173"/>
      <c r="D28" s="15">
        <f t="shared" si="0"/>
        <v>116592</v>
      </c>
      <c r="E28" s="18">
        <f t="shared" si="1"/>
        <v>1437841.4317461492</v>
      </c>
      <c r="F28" s="22">
        <f t="shared" si="2"/>
        <v>12.33</v>
      </c>
    </row>
    <row r="29" spans="1:6" x14ac:dyDescent="0.2">
      <c r="A29" s="20">
        <v>25</v>
      </c>
      <c r="B29" s="172" t="s">
        <v>22</v>
      </c>
      <c r="C29" s="173"/>
      <c r="D29" s="15">
        <f t="shared" si="0"/>
        <v>1618560</v>
      </c>
      <c r="E29" s="18">
        <f t="shared" si="1"/>
        <v>12026346.894392816</v>
      </c>
      <c r="F29" s="22">
        <f t="shared" si="2"/>
        <v>7.43</v>
      </c>
    </row>
    <row r="30" spans="1:6" x14ac:dyDescent="0.2">
      <c r="A30" s="20">
        <v>26</v>
      </c>
      <c r="B30" s="172" t="s">
        <v>23</v>
      </c>
      <c r="C30" s="173"/>
      <c r="D30" s="15">
        <f t="shared" si="0"/>
        <v>558472</v>
      </c>
      <c r="E30" s="18">
        <f t="shared" si="1"/>
        <v>5406604.6515552998</v>
      </c>
      <c r="F30" s="22">
        <f t="shared" si="2"/>
        <v>9.68</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10702539</v>
      </c>
      <c r="E33" s="32">
        <f>SUM(E5:E32)</f>
        <v>91234511</v>
      </c>
      <c r="F33" s="33">
        <f t="shared" si="2"/>
        <v>8.52</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IF(F3="1",SUMIF(Data!A:A,'36'!$A$2,Data!CU:CU),0)</f>
        <v>12768</v>
      </c>
      <c r="E36" s="16">
        <f>IF(F3="1",SUMIF(Data!$A:$A,'36'!$A$2,Data!IO:IO),0)</f>
        <v>21872</v>
      </c>
      <c r="F36" s="21">
        <f>IF(D36=0,"",ROUND(E36/D36,2))</f>
        <v>1.71</v>
      </c>
    </row>
    <row r="37" spans="1:6" x14ac:dyDescent="0.2">
      <c r="A37" s="20">
        <v>2</v>
      </c>
      <c r="B37" s="172" t="s">
        <v>1</v>
      </c>
      <c r="C37" s="173"/>
      <c r="D37" s="15">
        <f>IF(F3="1",SUMIF(Data!A:A,'36'!$A$2,Data!CV:CV),0)</f>
        <v>263764</v>
      </c>
      <c r="E37" s="18">
        <f>IF(F3="1",SUMIF(Data!$A:$A,'36'!$A$2,Data!IP:IP),0)</f>
        <v>413090</v>
      </c>
      <c r="F37" s="22">
        <f t="shared" ref="F37:F64" si="3">IF(D37=0,"",ROUND(E37/D37,2))</f>
        <v>1.57</v>
      </c>
    </row>
    <row r="38" spans="1:6" ht="14.25" customHeight="1" x14ac:dyDescent="0.2">
      <c r="A38" s="20">
        <v>3</v>
      </c>
      <c r="B38" s="172" t="s">
        <v>2</v>
      </c>
      <c r="C38" s="173"/>
      <c r="D38" s="15">
        <f>IF(F3="1",SUMIF(Data!A:A,'36'!$A$2,Data!CW:CW),0)</f>
        <v>1416240</v>
      </c>
      <c r="E38" s="18">
        <f>IF(F3="1",SUMIF(Data!$A:$A,'36'!$A$2,Data!IQ:IQ),0)</f>
        <v>1302976</v>
      </c>
      <c r="F38" s="22">
        <f t="shared" si="3"/>
        <v>0.92</v>
      </c>
    </row>
    <row r="39" spans="1:6" ht="14.25" customHeight="1" x14ac:dyDescent="0.2">
      <c r="A39" s="20">
        <v>4</v>
      </c>
      <c r="B39" s="172" t="s">
        <v>3</v>
      </c>
      <c r="C39" s="173"/>
      <c r="D39" s="15">
        <f>IF(F3="1",SUMIF(Data!A:A,'36'!$A$2,Data!CX:CX),0)</f>
        <v>639804</v>
      </c>
      <c r="E39" s="18">
        <f>IF(F3="1",SUMIF(Data!$A:$A,'36'!$A$2,Data!IR:IR),0)</f>
        <v>474906</v>
      </c>
      <c r="F39" s="22">
        <f t="shared" si="3"/>
        <v>0.74</v>
      </c>
    </row>
    <row r="40" spans="1:6" x14ac:dyDescent="0.2">
      <c r="A40" s="20">
        <v>5</v>
      </c>
      <c r="B40" s="172" t="s">
        <v>4</v>
      </c>
      <c r="C40" s="173"/>
      <c r="D40" s="15">
        <f>IF(F3="1",SUMIF(Data!A:A,'36'!$A$2,Data!CY:CY),0)</f>
        <v>47216</v>
      </c>
      <c r="E40" s="18">
        <f>IF(F3="1",SUMIF(Data!$A:$A,'36'!$A$2,Data!IS:IS),0)</f>
        <v>1108450</v>
      </c>
      <c r="F40" s="22">
        <f t="shared" si="3"/>
        <v>23.48</v>
      </c>
    </row>
    <row r="41" spans="1:6" x14ac:dyDescent="0.2">
      <c r="A41" s="20">
        <v>6</v>
      </c>
      <c r="B41" s="172" t="s">
        <v>5</v>
      </c>
      <c r="C41" s="173"/>
      <c r="D41" s="15">
        <f>IF(F3="1",SUMIF(Data!A:A,'36'!$A$2,Data!CZ:CZ),0)</f>
        <v>145100</v>
      </c>
      <c r="E41" s="18">
        <f>IF(F3="1",SUMIF(Data!$A:$A,'36'!$A$2,Data!IT:IT),0)</f>
        <v>107895</v>
      </c>
      <c r="F41" s="22">
        <f t="shared" si="3"/>
        <v>0.74</v>
      </c>
    </row>
    <row r="42" spans="1:6" x14ac:dyDescent="0.2">
      <c r="A42" s="20">
        <v>7</v>
      </c>
      <c r="B42" s="172" t="s">
        <v>6</v>
      </c>
      <c r="C42" s="173"/>
      <c r="D42" s="15">
        <f>IF(F3="1",SUMIF(Data!A:A,'36'!$A$2,Data!DA:DA),0)</f>
        <v>241589</v>
      </c>
      <c r="E42" s="18">
        <f>IF(F3="1",SUMIF(Data!$A:$A,'36'!$A$2,Data!IU:IU),0)</f>
        <v>373026</v>
      </c>
      <c r="F42" s="22">
        <f t="shared" si="3"/>
        <v>1.54</v>
      </c>
    </row>
    <row r="43" spans="1:6" x14ac:dyDescent="0.2">
      <c r="A43" s="20">
        <v>8</v>
      </c>
      <c r="B43" s="172" t="s">
        <v>7</v>
      </c>
      <c r="C43" s="173"/>
      <c r="D43" s="15">
        <f>IF(F3="1",SUMIF(Data!A:A,'36'!$A$2,Data!DB:DB),0)</f>
        <v>62014</v>
      </c>
      <c r="E43" s="18">
        <f>IF(F3="1",SUMIF(Data!$A:$A,'36'!$A$2,Data!IV:IV),0)</f>
        <v>43568</v>
      </c>
      <c r="F43" s="22">
        <f t="shared" si="3"/>
        <v>0.7</v>
      </c>
    </row>
    <row r="44" spans="1:6" x14ac:dyDescent="0.2">
      <c r="A44" s="20">
        <v>9</v>
      </c>
      <c r="B44" s="172" t="s">
        <v>8</v>
      </c>
      <c r="C44" s="173"/>
      <c r="D44" s="15">
        <f>IF(F3="1",SUMIF(Data!A:A,'36'!$A$2,Data!DC:DC),0)</f>
        <v>627798</v>
      </c>
      <c r="E44" s="18">
        <f>IF(F3="1",SUMIF(Data!$A:$A,'36'!$A$2,Data!IW:IW),0)</f>
        <v>802337</v>
      </c>
      <c r="F44" s="22">
        <f t="shared" si="3"/>
        <v>1.28</v>
      </c>
    </row>
    <row r="45" spans="1:6" x14ac:dyDescent="0.2">
      <c r="A45" s="20">
        <v>10</v>
      </c>
      <c r="B45" s="172" t="s">
        <v>9</v>
      </c>
      <c r="C45" s="173"/>
      <c r="D45" s="15">
        <f>IF(F3="1",SUMIF(Data!A:A,'36'!$A$2,Data!DD:DD),0)</f>
        <v>108404</v>
      </c>
      <c r="E45" s="18">
        <f>IF(F3="1",SUMIF(Data!$A:$A,'36'!$A$2,Data!IX:IX),0)</f>
        <v>184228</v>
      </c>
      <c r="F45" s="22">
        <f t="shared" si="3"/>
        <v>1.7</v>
      </c>
    </row>
    <row r="46" spans="1:6" x14ac:dyDescent="0.2">
      <c r="A46" s="20">
        <v>11</v>
      </c>
      <c r="B46" s="172" t="s">
        <v>10</v>
      </c>
      <c r="C46" s="173"/>
      <c r="D46" s="15">
        <f>IF(F3="1",SUMIF(Data!A:A,'36'!$A$2,Data!DE:DE),0)</f>
        <v>149294</v>
      </c>
      <c r="E46" s="18">
        <f>IF(F3="1",SUMIF(Data!$A:$A,'36'!$A$2,Data!IY:IY),0)</f>
        <v>1504739</v>
      </c>
      <c r="F46" s="22">
        <f t="shared" si="3"/>
        <v>10.08</v>
      </c>
    </row>
    <row r="47" spans="1:6" ht="14.25" customHeight="1" x14ac:dyDescent="0.2">
      <c r="A47" s="20">
        <v>12</v>
      </c>
      <c r="B47" s="172" t="s">
        <v>11</v>
      </c>
      <c r="C47" s="173"/>
      <c r="D47" s="15">
        <f>IF(F3="1",SUMIF(Data!A:A,'36'!$A$2,Data!DF:DF),0)</f>
        <v>1405576</v>
      </c>
      <c r="E47" s="18">
        <f>IF(F3="1",SUMIF(Data!$A:$A,'36'!$A$2,Data!IZ:IZ),0)</f>
        <v>1068544</v>
      </c>
      <c r="F47" s="22">
        <f t="shared" si="3"/>
        <v>0.76</v>
      </c>
    </row>
    <row r="48" spans="1:6" x14ac:dyDescent="0.2">
      <c r="A48" s="20">
        <v>13</v>
      </c>
      <c r="B48" s="172" t="s">
        <v>12</v>
      </c>
      <c r="C48" s="173"/>
      <c r="D48" s="15">
        <f>IF(F3="1",SUMIF(Data!A:A,'36'!$A$2,Data!DG:DG),0)</f>
        <v>122584</v>
      </c>
      <c r="E48" s="18">
        <f>IF(F3="1",SUMIF(Data!$A:$A,'36'!$A$2,Data!JA:JA),0)</f>
        <v>124550</v>
      </c>
      <c r="F48" s="22">
        <f t="shared" si="3"/>
        <v>1.02</v>
      </c>
    </row>
    <row r="49" spans="1:6" ht="14.25" customHeight="1" x14ac:dyDescent="0.2">
      <c r="A49" s="20">
        <v>14</v>
      </c>
      <c r="B49" s="172" t="s">
        <v>469</v>
      </c>
      <c r="C49" s="173"/>
      <c r="D49" s="15">
        <f>IF(F3="1",SUMIF(Data!A:A,'36'!$A$2,Data!DH:DH),0)</f>
        <v>353704</v>
      </c>
      <c r="E49" s="18">
        <f>IF(F3="1",SUMIF(Data!$A:$A,'36'!$A$2,Data!JB:JB),0)</f>
        <v>673700</v>
      </c>
      <c r="F49" s="22">
        <f t="shared" si="3"/>
        <v>1.9</v>
      </c>
    </row>
    <row r="50" spans="1:6" x14ac:dyDescent="0.2">
      <c r="A50" s="20">
        <v>15</v>
      </c>
      <c r="B50" s="172" t="s">
        <v>13</v>
      </c>
      <c r="C50" s="173"/>
      <c r="D50" s="15">
        <f>IF(F3="1",SUMIF(Data!A:A,'36'!$A$2,Data!DI:DI),0)</f>
        <v>0</v>
      </c>
      <c r="E50" s="18">
        <f>IF(F3="1",SUMIF(Data!$A:$A,'36'!$A$2,Data!JC:JC),0)</f>
        <v>0</v>
      </c>
      <c r="F50" s="22" t="str">
        <f t="shared" si="3"/>
        <v/>
      </c>
    </row>
    <row r="51" spans="1:6" x14ac:dyDescent="0.2">
      <c r="A51" s="20">
        <v>16</v>
      </c>
      <c r="B51" s="172" t="s">
        <v>14</v>
      </c>
      <c r="C51" s="173"/>
      <c r="D51" s="15">
        <f>IF(F3="1",SUMIF(Data!A:A,'36'!$A$2,Data!DJ:DJ),0)</f>
        <v>579814</v>
      </c>
      <c r="E51" s="18">
        <f>IF(F3="1",SUMIF(Data!$A:$A,'36'!$A$2,Data!JD:JD),0)</f>
        <v>982260</v>
      </c>
      <c r="F51" s="22">
        <f t="shared" si="3"/>
        <v>1.69</v>
      </c>
    </row>
    <row r="52" spans="1:6" x14ac:dyDescent="0.2">
      <c r="A52" s="20">
        <v>17</v>
      </c>
      <c r="B52" s="172" t="s">
        <v>15</v>
      </c>
      <c r="C52" s="173"/>
      <c r="D52" s="15">
        <f>IF(F3="1",SUMIF(Data!A:A,'36'!$A$2,Data!DK:DK),0)</f>
        <v>49440</v>
      </c>
      <c r="E52" s="18">
        <f>IF(F3="1",SUMIF(Data!$A:$A,'36'!$A$2,Data!JE:JE),0)</f>
        <v>60884</v>
      </c>
      <c r="F52" s="22">
        <f t="shared" si="3"/>
        <v>1.23</v>
      </c>
    </row>
    <row r="53" spans="1:6" x14ac:dyDescent="0.2">
      <c r="A53" s="20">
        <v>18</v>
      </c>
      <c r="B53" s="172" t="s">
        <v>16</v>
      </c>
      <c r="C53" s="173"/>
      <c r="D53" s="15">
        <f>IF(F3="1",SUMIF(Data!A:A,'36'!$A$2,Data!DL:DL),0)</f>
        <v>258992</v>
      </c>
      <c r="E53" s="18">
        <f>IF(F3="1",SUMIF(Data!$A:$A,'36'!$A$2,Data!JF:JF),0)</f>
        <v>433702</v>
      </c>
      <c r="F53" s="22">
        <f t="shared" si="3"/>
        <v>1.67</v>
      </c>
    </row>
    <row r="54" spans="1:6" x14ac:dyDescent="0.2">
      <c r="A54" s="20">
        <v>19</v>
      </c>
      <c r="B54" s="172" t="s">
        <v>17</v>
      </c>
      <c r="C54" s="173"/>
      <c r="D54" s="15">
        <f>IF(F3="1",SUMIF(Data!A:A,'36'!$A$2,Data!DM:DM),0)</f>
        <v>1185232</v>
      </c>
      <c r="E54" s="18">
        <f>IF(F3="1",SUMIF(Data!$A:$A,'36'!$A$2,Data!JG:JG),0)</f>
        <v>1031594</v>
      </c>
      <c r="F54" s="22">
        <f t="shared" si="3"/>
        <v>0.87</v>
      </c>
    </row>
    <row r="55" spans="1:6" x14ac:dyDescent="0.2">
      <c r="A55" s="20">
        <v>20</v>
      </c>
      <c r="B55" s="172" t="s">
        <v>18</v>
      </c>
      <c r="C55" s="173"/>
      <c r="D55" s="15">
        <f>IF(F3="1",SUMIF(Data!A:A,'36'!$A$2,Data!DN:DN),0)</f>
        <v>239344</v>
      </c>
      <c r="E55" s="18">
        <f>IF(F3="1",SUMIF(Data!$A:$A,'36'!$A$2,Data!JH:JH),0)</f>
        <v>570221</v>
      </c>
      <c r="F55" s="22">
        <f t="shared" si="3"/>
        <v>2.38</v>
      </c>
    </row>
    <row r="56" spans="1:6" ht="14.25" customHeight="1" x14ac:dyDescent="0.2">
      <c r="A56" s="20">
        <v>21</v>
      </c>
      <c r="B56" s="172" t="s">
        <v>466</v>
      </c>
      <c r="C56" s="173"/>
      <c r="D56" s="15">
        <f>IF(F3="1",SUMIF(Data!A:A,'36'!$A$2,Data!DO:DO),0)</f>
        <v>50078</v>
      </c>
      <c r="E56" s="18">
        <f>IF(F3="1",SUMIF(Data!$A:$A,'36'!$A$2,Data!JI:JI),0)</f>
        <v>536293</v>
      </c>
      <c r="F56" s="22">
        <f t="shared" si="3"/>
        <v>10.71</v>
      </c>
    </row>
    <row r="57" spans="1:6" x14ac:dyDescent="0.2">
      <c r="A57" s="20">
        <v>22</v>
      </c>
      <c r="B57" s="172" t="s">
        <v>19</v>
      </c>
      <c r="C57" s="173"/>
      <c r="D57" s="15">
        <f>IF(F3="1",SUMIF(Data!A:A,'36'!$A$2,Data!DP:DP),0)</f>
        <v>20896</v>
      </c>
      <c r="E57" s="18">
        <f>IF(F3="1",SUMIF(Data!$A:$A,'36'!$A$2,Data!JJ:JJ),0)</f>
        <v>7220</v>
      </c>
      <c r="F57" s="22">
        <f t="shared" si="3"/>
        <v>0.35</v>
      </c>
    </row>
    <row r="58" spans="1:6" x14ac:dyDescent="0.2">
      <c r="A58" s="20">
        <v>23</v>
      </c>
      <c r="B58" s="172" t="s">
        <v>20</v>
      </c>
      <c r="C58" s="173"/>
      <c r="D58" s="15">
        <f>IF(F3="1",SUMIF(Data!A:A,'36'!$A$2,Data!DQ:DQ),0)</f>
        <v>429264</v>
      </c>
      <c r="E58" s="18">
        <f>IF(F3="1",SUMIF(Data!$A:$A,'36'!$A$2,Data!JK:JK),0)</f>
        <v>432177</v>
      </c>
      <c r="F58" s="22">
        <f t="shared" si="3"/>
        <v>1.01</v>
      </c>
    </row>
    <row r="59" spans="1:6" x14ac:dyDescent="0.2">
      <c r="A59" s="20">
        <v>24</v>
      </c>
      <c r="B59" s="172" t="s">
        <v>21</v>
      </c>
      <c r="C59" s="173"/>
      <c r="D59" s="15">
        <f>IF(F3="1",SUMIF(Data!A:A,'36'!$A$2,Data!DR:DR),0)</f>
        <v>116592</v>
      </c>
      <c r="E59" s="18">
        <f>IF(F3="1",SUMIF(Data!$A:$A,'36'!$A$2,Data!JL:JL),0)</f>
        <v>287752</v>
      </c>
      <c r="F59" s="22">
        <f t="shared" si="3"/>
        <v>2.4700000000000002</v>
      </c>
    </row>
    <row r="60" spans="1:6" x14ac:dyDescent="0.2">
      <c r="A60" s="20">
        <v>25</v>
      </c>
      <c r="B60" s="172" t="s">
        <v>22</v>
      </c>
      <c r="C60" s="173"/>
      <c r="D60" s="15">
        <f>IF(F3="1",SUMIF(Data!A:A,'36'!$A$2,Data!DS:DS),0)</f>
        <v>1618560</v>
      </c>
      <c r="E60" s="18">
        <f>IF(F3="1",SUMIF(Data!$A:$A,'36'!$A$2,Data!JM:JM),0)</f>
        <v>1082135</v>
      </c>
      <c r="F60" s="22">
        <f t="shared" si="3"/>
        <v>0.67</v>
      </c>
    </row>
    <row r="61" spans="1:6" x14ac:dyDescent="0.2">
      <c r="A61" s="20">
        <v>26</v>
      </c>
      <c r="B61" s="172" t="s">
        <v>23</v>
      </c>
      <c r="C61" s="173"/>
      <c r="D61" s="15">
        <f>IF(F3="1",SUMIF(Data!A:A,'36'!$A$2,Data!DT:DT),0)</f>
        <v>558472</v>
      </c>
      <c r="E61" s="18">
        <f>IF(F3="1",SUMIF(Data!$A:$A,'36'!$A$2,Data!JN:JN),0)</f>
        <v>925286</v>
      </c>
      <c r="F61" s="22">
        <f t="shared" si="3"/>
        <v>1.66</v>
      </c>
    </row>
    <row r="62" spans="1:6" x14ac:dyDescent="0.2">
      <c r="A62" s="20">
        <v>28</v>
      </c>
      <c r="B62" s="172" t="s">
        <v>24</v>
      </c>
      <c r="C62" s="173"/>
      <c r="D62" s="15">
        <f>IF(F3="1",SUMIF(Data!A:A,'36'!$A$2,Data!DV:DV),0)</f>
        <v>0</v>
      </c>
      <c r="E62" s="18">
        <f>IF(F3="1",SUMIF(Data!$A:$A,'36'!$A$2,Data!JP:JP),0)</f>
        <v>0</v>
      </c>
      <c r="F62" s="22" t="str">
        <f t="shared" si="3"/>
        <v/>
      </c>
    </row>
    <row r="63" spans="1:6" ht="15.75" customHeight="1" thickBot="1" x14ac:dyDescent="0.25">
      <c r="A63" s="23">
        <v>29</v>
      </c>
      <c r="B63" s="174" t="s">
        <v>25</v>
      </c>
      <c r="C63" s="175"/>
      <c r="D63" s="24">
        <f>IF(F3="1",SUMIF(Data!A:A,'36'!$A$2,Data!DW:DW),0)</f>
        <v>0</v>
      </c>
      <c r="E63" s="25">
        <f>IF(F3="1",SUMIF(Data!$A:$A,'36'!$A$2,Data!JQ:JQ),0)</f>
        <v>0</v>
      </c>
      <c r="F63" s="26" t="str">
        <f t="shared" si="3"/>
        <v/>
      </c>
    </row>
    <row r="64" spans="1:6" x14ac:dyDescent="0.2">
      <c r="B64" s="31" t="s">
        <v>35</v>
      </c>
      <c r="C64" s="31"/>
      <c r="D64" s="61">
        <f>SUM(D36:D63)</f>
        <v>10702539</v>
      </c>
      <c r="E64" s="32">
        <f>SUM(E36:E63)</f>
        <v>14553405</v>
      </c>
      <c r="F64" s="33">
        <f t="shared" si="3"/>
        <v>1.36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12768</v>
      </c>
      <c r="E67" s="16">
        <f>IF(F3="1",SUMIF(Data!A:A,'36'!$A$2,Data!DY:DY),0)</f>
        <v>34040</v>
      </c>
      <c r="F67" s="21">
        <f t="shared" ref="F67:F95" si="4">IF(D67=0,"",ROUND(E67/D67,2))</f>
        <v>2.67</v>
      </c>
    </row>
    <row r="68" spans="1:6" x14ac:dyDescent="0.2">
      <c r="A68" s="20">
        <v>2</v>
      </c>
      <c r="B68" s="172" t="s">
        <v>1</v>
      </c>
      <c r="C68" s="173"/>
      <c r="D68" s="15">
        <f t="shared" ref="D68:D94" si="5">D37</f>
        <v>263764</v>
      </c>
      <c r="E68" s="18">
        <f>IF(F3="1",SUMIF(Data!A:A,'36'!$A$2,Data!DZ:DZ),0)</f>
        <v>497916</v>
      </c>
      <c r="F68" s="22">
        <f t="shared" si="4"/>
        <v>1.89</v>
      </c>
    </row>
    <row r="69" spans="1:6" ht="14.25" customHeight="1" x14ac:dyDescent="0.2">
      <c r="A69" s="20">
        <v>3</v>
      </c>
      <c r="B69" s="172" t="s">
        <v>2</v>
      </c>
      <c r="C69" s="173"/>
      <c r="D69" s="15">
        <f t="shared" si="5"/>
        <v>1416240</v>
      </c>
      <c r="E69" s="18">
        <f>IF(F3="1",SUMIF(Data!A:A,'36'!$A$2,Data!EA:EA),0)</f>
        <v>3775731</v>
      </c>
      <c r="F69" s="22">
        <f t="shared" si="4"/>
        <v>2.67</v>
      </c>
    </row>
    <row r="70" spans="1:6" ht="14.25" customHeight="1" x14ac:dyDescent="0.2">
      <c r="A70" s="20">
        <v>4</v>
      </c>
      <c r="B70" s="172" t="s">
        <v>3</v>
      </c>
      <c r="C70" s="173"/>
      <c r="D70" s="15">
        <f t="shared" si="5"/>
        <v>639804</v>
      </c>
      <c r="E70" s="18">
        <f>IF(F3="1",SUMIF(Data!A:A,'36'!$A$2,Data!EB:EB),0)</f>
        <v>1885679</v>
      </c>
      <c r="F70" s="22">
        <f t="shared" si="4"/>
        <v>2.95</v>
      </c>
    </row>
    <row r="71" spans="1:6" x14ac:dyDescent="0.2">
      <c r="A71" s="20">
        <v>5</v>
      </c>
      <c r="B71" s="172" t="s">
        <v>4</v>
      </c>
      <c r="C71" s="173"/>
      <c r="D71" s="15">
        <f t="shared" si="5"/>
        <v>47216</v>
      </c>
      <c r="E71" s="18">
        <f>IF(F3="1",SUMIF(Data!A:A,'36'!$A$2,Data!EC:EC),0)</f>
        <v>252913</v>
      </c>
      <c r="F71" s="22">
        <f t="shared" si="4"/>
        <v>5.36</v>
      </c>
    </row>
    <row r="72" spans="1:6" x14ac:dyDescent="0.2">
      <c r="A72" s="20">
        <v>6</v>
      </c>
      <c r="B72" s="172" t="s">
        <v>5</v>
      </c>
      <c r="C72" s="173"/>
      <c r="D72" s="15">
        <f t="shared" si="5"/>
        <v>145100</v>
      </c>
      <c r="E72" s="18">
        <f>IF(F3="1",SUMIF(Data!A:A,'36'!$A$2,Data!ED:ED),0)</f>
        <v>229472</v>
      </c>
      <c r="F72" s="22">
        <f t="shared" si="4"/>
        <v>1.58</v>
      </c>
    </row>
    <row r="73" spans="1:6" x14ac:dyDescent="0.2">
      <c r="A73" s="20">
        <v>7</v>
      </c>
      <c r="B73" s="172" t="s">
        <v>6</v>
      </c>
      <c r="C73" s="173"/>
      <c r="D73" s="15">
        <f t="shared" si="5"/>
        <v>241589</v>
      </c>
      <c r="E73" s="18">
        <f>IF(F3="1",SUMIF(Data!A:A,'36'!$A$2,Data!EE:EE),0)</f>
        <v>1227076</v>
      </c>
      <c r="F73" s="22">
        <f t="shared" si="4"/>
        <v>5.08</v>
      </c>
    </row>
    <row r="74" spans="1:6" x14ac:dyDescent="0.2">
      <c r="A74" s="20">
        <v>8</v>
      </c>
      <c r="B74" s="172" t="s">
        <v>7</v>
      </c>
      <c r="C74" s="173"/>
      <c r="D74" s="15">
        <f t="shared" si="5"/>
        <v>62014</v>
      </c>
      <c r="E74" s="18">
        <f>IF(F3="1",SUMIF(Data!A:A,'36'!$A$2,Data!EF:EF),0)</f>
        <v>199556</v>
      </c>
      <c r="F74" s="22">
        <f t="shared" si="4"/>
        <v>3.22</v>
      </c>
    </row>
    <row r="75" spans="1:6" x14ac:dyDescent="0.2">
      <c r="A75" s="20">
        <v>9</v>
      </c>
      <c r="B75" s="172" t="s">
        <v>8</v>
      </c>
      <c r="C75" s="173"/>
      <c r="D75" s="15">
        <f t="shared" si="5"/>
        <v>627798</v>
      </c>
      <c r="E75" s="18">
        <f>IF(F3="1",SUMIF(Data!A:A,'36'!$A$2,Data!EG:EG),0)</f>
        <v>2299704</v>
      </c>
      <c r="F75" s="22">
        <f t="shared" si="4"/>
        <v>3.66</v>
      </c>
    </row>
    <row r="76" spans="1:6" x14ac:dyDescent="0.2">
      <c r="A76" s="20">
        <v>10</v>
      </c>
      <c r="B76" s="172" t="s">
        <v>9</v>
      </c>
      <c r="C76" s="173"/>
      <c r="D76" s="15">
        <f t="shared" si="5"/>
        <v>108404</v>
      </c>
      <c r="E76" s="18">
        <f>IF(F3="1",SUMIF(Data!A:A,'36'!$A$2,Data!EH:EH),0)</f>
        <v>522033</v>
      </c>
      <c r="F76" s="22">
        <f t="shared" si="4"/>
        <v>4.82</v>
      </c>
    </row>
    <row r="77" spans="1:6" x14ac:dyDescent="0.2">
      <c r="A77" s="20">
        <v>11</v>
      </c>
      <c r="B77" s="172" t="s">
        <v>10</v>
      </c>
      <c r="C77" s="173"/>
      <c r="D77" s="15">
        <f t="shared" si="5"/>
        <v>149294</v>
      </c>
      <c r="E77" s="18">
        <f>IF(F3="1",SUMIF(Data!A:A,'36'!$A$2,Data!EI:EI),0)</f>
        <v>718946</v>
      </c>
      <c r="F77" s="22">
        <f t="shared" si="4"/>
        <v>4.82</v>
      </c>
    </row>
    <row r="78" spans="1:6" ht="14.25" customHeight="1" x14ac:dyDescent="0.2">
      <c r="A78" s="20">
        <v>12</v>
      </c>
      <c r="B78" s="172" t="s">
        <v>11</v>
      </c>
      <c r="C78" s="173"/>
      <c r="D78" s="15">
        <f t="shared" si="5"/>
        <v>1405576</v>
      </c>
      <c r="E78" s="18">
        <f>IF(F3="1",SUMIF(Data!A:A,'36'!$A$2,Data!EJ:EJ),0)</f>
        <v>4600056</v>
      </c>
      <c r="F78" s="22">
        <f t="shared" si="4"/>
        <v>3.27</v>
      </c>
    </row>
    <row r="79" spans="1:6" x14ac:dyDescent="0.2">
      <c r="A79" s="20">
        <v>13</v>
      </c>
      <c r="B79" s="172" t="s">
        <v>12</v>
      </c>
      <c r="C79" s="173"/>
      <c r="D79" s="15">
        <f t="shared" si="5"/>
        <v>122584</v>
      </c>
      <c r="E79" s="18">
        <f>IF(F3="1",SUMIF(Data!A:A,'36'!$A$2,Data!EK:EK),0)</f>
        <v>595946</v>
      </c>
      <c r="F79" s="22">
        <f t="shared" si="4"/>
        <v>4.8600000000000003</v>
      </c>
    </row>
    <row r="80" spans="1:6" ht="14.25" customHeight="1" x14ac:dyDescent="0.2">
      <c r="A80" s="20">
        <v>14</v>
      </c>
      <c r="B80" s="172" t="s">
        <v>469</v>
      </c>
      <c r="C80" s="173"/>
      <c r="D80" s="15">
        <f t="shared" si="5"/>
        <v>353704</v>
      </c>
      <c r="E80" s="18">
        <f>IF(F3="1",SUMIF(Data!A:A,'36'!$A$2,Data!EL:EL),0)</f>
        <v>1899261</v>
      </c>
      <c r="F80" s="22">
        <f t="shared" si="4"/>
        <v>5.37</v>
      </c>
    </row>
    <row r="81" spans="1:6" x14ac:dyDescent="0.2">
      <c r="A81" s="20">
        <v>15</v>
      </c>
      <c r="B81" s="172" t="s">
        <v>13</v>
      </c>
      <c r="C81" s="173"/>
      <c r="D81" s="15">
        <f t="shared" si="5"/>
        <v>0</v>
      </c>
      <c r="E81" s="18">
        <f>IF(F3="1",SUMIF(Data!A:A,'36'!$A$2,Data!EM:EM),0)</f>
        <v>0</v>
      </c>
      <c r="F81" s="22" t="str">
        <f t="shared" si="4"/>
        <v/>
      </c>
    </row>
    <row r="82" spans="1:6" x14ac:dyDescent="0.2">
      <c r="A82" s="20">
        <v>16</v>
      </c>
      <c r="B82" s="172" t="s">
        <v>14</v>
      </c>
      <c r="C82" s="173"/>
      <c r="D82" s="15">
        <f t="shared" si="5"/>
        <v>579814</v>
      </c>
      <c r="E82" s="18">
        <f>IF(F3="1",SUMIF(Data!A:A,'36'!$A$2,Data!EN:EN),0)</f>
        <v>3331746</v>
      </c>
      <c r="F82" s="22">
        <f t="shared" si="4"/>
        <v>5.75</v>
      </c>
    </row>
    <row r="83" spans="1:6" x14ac:dyDescent="0.2">
      <c r="A83" s="20">
        <v>17</v>
      </c>
      <c r="B83" s="172" t="s">
        <v>15</v>
      </c>
      <c r="C83" s="173"/>
      <c r="D83" s="15">
        <f t="shared" si="5"/>
        <v>49440</v>
      </c>
      <c r="E83" s="18">
        <f>IF(F3="1",SUMIF(Data!A:A,'36'!$A$2,Data!EO:EO),0)</f>
        <v>268658</v>
      </c>
      <c r="F83" s="22">
        <f t="shared" si="4"/>
        <v>5.43</v>
      </c>
    </row>
    <row r="84" spans="1:6" x14ac:dyDescent="0.2">
      <c r="A84" s="20">
        <v>18</v>
      </c>
      <c r="B84" s="172" t="s">
        <v>16</v>
      </c>
      <c r="C84" s="173"/>
      <c r="D84" s="15">
        <f t="shared" si="5"/>
        <v>258992</v>
      </c>
      <c r="E84" s="18">
        <f>IF(F3="1",SUMIF(Data!A:A,'36'!$A$2,Data!EP:EP),0)</f>
        <v>1510135</v>
      </c>
      <c r="F84" s="22">
        <f t="shared" si="4"/>
        <v>5.83</v>
      </c>
    </row>
    <row r="85" spans="1:6" x14ac:dyDescent="0.2">
      <c r="A85" s="20">
        <v>19</v>
      </c>
      <c r="B85" s="172" t="s">
        <v>17</v>
      </c>
      <c r="C85" s="173"/>
      <c r="D85" s="15">
        <f t="shared" si="5"/>
        <v>1185232</v>
      </c>
      <c r="E85" s="18">
        <f>IF(F3="1",SUMIF(Data!A:A,'36'!$A$2,Data!EQ:EQ),0)</f>
        <v>3897538</v>
      </c>
      <c r="F85" s="22">
        <f t="shared" si="4"/>
        <v>3.29</v>
      </c>
    </row>
    <row r="86" spans="1:6" x14ac:dyDescent="0.2">
      <c r="A86" s="20">
        <v>20</v>
      </c>
      <c r="B86" s="172" t="s">
        <v>18</v>
      </c>
      <c r="C86" s="173"/>
      <c r="D86" s="15">
        <f t="shared" si="5"/>
        <v>239344</v>
      </c>
      <c r="E86" s="18">
        <f>IF(F3="1",SUMIF(Data!A:A,'36'!$A$2,Data!ER:ER),0)</f>
        <v>1005325</v>
      </c>
      <c r="F86" s="22">
        <f t="shared" si="4"/>
        <v>4.2</v>
      </c>
    </row>
    <row r="87" spans="1:6" ht="14.25" customHeight="1" x14ac:dyDescent="0.2">
      <c r="A87" s="20">
        <v>21</v>
      </c>
      <c r="B87" s="172" t="s">
        <v>466</v>
      </c>
      <c r="C87" s="173"/>
      <c r="D87" s="15">
        <f t="shared" si="5"/>
        <v>50078</v>
      </c>
      <c r="E87" s="18">
        <f>IF(F3="1",SUMIF(Data!A:A,'36'!$A$2,Data!ES:ES),0)</f>
        <v>206429</v>
      </c>
      <c r="F87" s="22">
        <f t="shared" si="4"/>
        <v>4.12</v>
      </c>
    </row>
    <row r="88" spans="1:6" x14ac:dyDescent="0.2">
      <c r="A88" s="20">
        <v>22</v>
      </c>
      <c r="B88" s="172" t="s">
        <v>19</v>
      </c>
      <c r="C88" s="173"/>
      <c r="D88" s="15">
        <f t="shared" si="5"/>
        <v>20896</v>
      </c>
      <c r="E88" s="18">
        <f>IF(F3="1",SUMIF(Data!A:A,'36'!$A$2,Data!ET:ET),0)</f>
        <v>86232</v>
      </c>
      <c r="F88" s="22">
        <f t="shared" si="4"/>
        <v>4.13</v>
      </c>
    </row>
    <row r="89" spans="1:6" x14ac:dyDescent="0.2">
      <c r="A89" s="20">
        <v>23</v>
      </c>
      <c r="B89" s="172" t="s">
        <v>20</v>
      </c>
      <c r="C89" s="173"/>
      <c r="D89" s="15">
        <f t="shared" si="5"/>
        <v>429264</v>
      </c>
      <c r="E89" s="18">
        <f>IF(F3="1",SUMIF(Data!A:A,'36'!$A$2,Data!EU:EU),0)</f>
        <v>1774971</v>
      </c>
      <c r="F89" s="22">
        <f t="shared" si="4"/>
        <v>4.13</v>
      </c>
    </row>
    <row r="90" spans="1:6" x14ac:dyDescent="0.2">
      <c r="A90" s="20">
        <v>24</v>
      </c>
      <c r="B90" s="172" t="s">
        <v>21</v>
      </c>
      <c r="C90" s="173"/>
      <c r="D90" s="15">
        <f t="shared" si="5"/>
        <v>116592</v>
      </c>
      <c r="E90" s="18">
        <f>IF(F3="1",SUMIF(Data!A:A,'36'!$A$2,Data!EV:EV),0)</f>
        <v>744029</v>
      </c>
      <c r="F90" s="22">
        <f t="shared" si="4"/>
        <v>6.38</v>
      </c>
    </row>
    <row r="91" spans="1:6" x14ac:dyDescent="0.2">
      <c r="A91" s="20">
        <v>25</v>
      </c>
      <c r="B91" s="172" t="s">
        <v>22</v>
      </c>
      <c r="C91" s="173"/>
      <c r="D91" s="15">
        <f t="shared" si="5"/>
        <v>1618560</v>
      </c>
      <c r="E91" s="18">
        <f>IF(F3="1",SUMIF(Data!A:A,'36'!$A$2,Data!EW:EW),0)</f>
        <v>5307177</v>
      </c>
      <c r="F91" s="22">
        <f t="shared" si="4"/>
        <v>3.28</v>
      </c>
    </row>
    <row r="92" spans="1:6" x14ac:dyDescent="0.2">
      <c r="A92" s="20">
        <v>26</v>
      </c>
      <c r="B92" s="172" t="s">
        <v>23</v>
      </c>
      <c r="C92" s="173"/>
      <c r="D92" s="15">
        <f t="shared" si="5"/>
        <v>558472</v>
      </c>
      <c r="E92" s="18">
        <f>IF(F3="1",SUMIF(Data!A:A,'36'!$A$2,Data!EX:EX),0)</f>
        <v>2536302</v>
      </c>
      <c r="F92" s="22">
        <f t="shared" si="4"/>
        <v>4.54</v>
      </c>
    </row>
    <row r="93" spans="1:6" x14ac:dyDescent="0.2">
      <c r="A93" s="20">
        <v>28</v>
      </c>
      <c r="B93" s="172" t="s">
        <v>24</v>
      </c>
      <c r="C93" s="173"/>
      <c r="D93" s="15">
        <f t="shared" si="5"/>
        <v>0</v>
      </c>
      <c r="E93" s="18">
        <f>IF(F3="1",SUMIF(Data!A:A,'36'!$A$2,Data!EZ:EZ),0)</f>
        <v>0</v>
      </c>
      <c r="F93" s="22" t="str">
        <f t="shared" si="4"/>
        <v/>
      </c>
    </row>
    <row r="94" spans="1:6" ht="15.75" customHeight="1" thickBot="1" x14ac:dyDescent="0.25">
      <c r="A94" s="23">
        <v>29</v>
      </c>
      <c r="B94" s="174" t="s">
        <v>25</v>
      </c>
      <c r="C94" s="175"/>
      <c r="D94" s="24">
        <f t="shared" si="5"/>
        <v>0</v>
      </c>
      <c r="E94" s="25">
        <f>IF(F3="1",SUMIF(Data!A:A,'36'!$A$2,Data!FA:FA),0)</f>
        <v>0</v>
      </c>
      <c r="F94" s="26" t="str">
        <f t="shared" si="4"/>
        <v/>
      </c>
    </row>
    <row r="95" spans="1:6" x14ac:dyDescent="0.2">
      <c r="B95" s="31" t="s">
        <v>35</v>
      </c>
      <c r="C95" s="31"/>
      <c r="D95" s="61">
        <f>SUM(D67:D94)</f>
        <v>10702539</v>
      </c>
      <c r="E95" s="32">
        <f>SUM(E67:E94)</f>
        <v>39406871</v>
      </c>
      <c r="F95" s="33">
        <f t="shared" si="4"/>
        <v>3.68</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IF(F3="1",SUMIF(Data!A:A,'36'!$A$2,Data!AH:AH),0)</f>
        <v>15138258</v>
      </c>
      <c r="F98" s="21">
        <f>IF($D$105=0,"",ROUND(E98/$D$105,2))</f>
        <v>1.41</v>
      </c>
    </row>
    <row r="99" spans="2:6" x14ac:dyDescent="0.2">
      <c r="B99" s="178" t="s">
        <v>31</v>
      </c>
      <c r="C99" s="179"/>
      <c r="D99" s="37"/>
      <c r="E99" s="18">
        <f>IF(F3="1",SUMIF(Data!A:A,'36'!$A$2,Data!AI:AI),0)</f>
        <v>9266072</v>
      </c>
      <c r="F99" s="22">
        <f t="shared" ref="F99:F105" si="6">IF($D$105=0,"",ROUND(E99/$D$105,2))</f>
        <v>0.87</v>
      </c>
    </row>
    <row r="100" spans="2:6" x14ac:dyDescent="0.2">
      <c r="B100" s="178" t="s">
        <v>32</v>
      </c>
      <c r="C100" s="179"/>
      <c r="D100" s="37"/>
      <c r="E100" s="18">
        <f>IF(F3="1",SUMIF(Data!A:A,'36'!$A$2,Data!AJ:AJ),0)</f>
        <v>9912867</v>
      </c>
      <c r="F100" s="22">
        <f t="shared" si="6"/>
        <v>0.93</v>
      </c>
    </row>
    <row r="101" spans="2:6" x14ac:dyDescent="0.2">
      <c r="B101" s="178" t="s">
        <v>28</v>
      </c>
      <c r="C101" s="179"/>
      <c r="D101" s="37"/>
      <c r="E101" s="18">
        <f>IF(F3="1",SUMIF(Data!A:A,'36'!$A$2,Data!AK:AK),0)</f>
        <v>0</v>
      </c>
      <c r="F101" s="22">
        <f t="shared" si="6"/>
        <v>0</v>
      </c>
    </row>
    <row r="102" spans="2:6" x14ac:dyDescent="0.2">
      <c r="B102" s="178" t="s">
        <v>33</v>
      </c>
      <c r="C102" s="179"/>
      <c r="D102" s="37"/>
      <c r="E102" s="18">
        <f>IF(F3="1",SUMIF(Data!A:A,'36'!$A$2,Data!AL:AL),0)</f>
        <v>0</v>
      </c>
      <c r="F102" s="22">
        <f t="shared" si="6"/>
        <v>0</v>
      </c>
    </row>
    <row r="103" spans="2:6" x14ac:dyDescent="0.2">
      <c r="B103" s="180" t="s">
        <v>34</v>
      </c>
      <c r="C103" s="181"/>
      <c r="D103" s="37"/>
      <c r="E103" s="18">
        <f>IF(F3="1",SUMIF(Data!A:A,'36'!$A$2,Data!AM:AM),0)</f>
        <v>0</v>
      </c>
      <c r="F103" s="22">
        <f t="shared" si="6"/>
        <v>0</v>
      </c>
    </row>
    <row r="104" spans="2:6" ht="15.75" customHeight="1" thickBot="1" x14ac:dyDescent="0.25">
      <c r="B104" s="170" t="s">
        <v>29</v>
      </c>
      <c r="C104" s="171"/>
      <c r="D104" s="38"/>
      <c r="E104" s="25">
        <f>IF(F3="1",SUMIF(Data!A:A,'36'!$A$2,Data!Q:Q),0)</f>
        <v>2957038</v>
      </c>
      <c r="F104" s="26">
        <f t="shared" si="6"/>
        <v>0.28000000000000003</v>
      </c>
    </row>
    <row r="105" spans="2:6" x14ac:dyDescent="0.2">
      <c r="B105" s="31" t="s">
        <v>35</v>
      </c>
      <c r="C105" s="31"/>
      <c r="D105" s="35">
        <f>D95</f>
        <v>10702539</v>
      </c>
      <c r="E105" s="32">
        <f>SUM(E98:E104)</f>
        <v>37274235</v>
      </c>
      <c r="F105" s="33">
        <f t="shared" si="6"/>
        <v>3.48</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42422525</v>
      </c>
      <c r="D109" s="16">
        <f>IF(F3="1",SUMIF(Data!$A:$A,$A$2,Data!HJ:HJ),0)</f>
        <v>3551996</v>
      </c>
      <c r="E109" s="16">
        <f>IF(F3="1",SUMIF(Data!$A:$A,$A$2,Data!IN:IN),0)</f>
        <v>7985754</v>
      </c>
      <c r="F109" s="48">
        <f>SUM(C109:E109)</f>
        <v>53960275</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2133470</v>
      </c>
      <c r="D111" s="52"/>
      <c r="E111" s="51">
        <f>IF(F3="1",SUMIF(Data!A:A,$A$2,Data!AX:AX),0)</f>
        <v>1447003</v>
      </c>
      <c r="F111" s="49">
        <f t="shared" si="7"/>
        <v>3580473</v>
      </c>
    </row>
    <row r="112" spans="2:6" x14ac:dyDescent="0.2">
      <c r="B112" s="43" t="s">
        <v>32</v>
      </c>
      <c r="C112" s="51">
        <f>IF(F3="1",SUMIF(Data!A:A,$A$2,Data!V:V),0)</f>
        <v>6255617</v>
      </c>
      <c r="D112" s="52"/>
      <c r="E112" s="51">
        <f>IF(F3="1",SUMIF(Data!A:A,$A$2,Data!AC:AC),0)</f>
        <v>3657250</v>
      </c>
      <c r="F112" s="49">
        <f t="shared" si="7"/>
        <v>9912867</v>
      </c>
    </row>
    <row r="113" spans="1:6" x14ac:dyDescent="0.2">
      <c r="B113" s="43" t="s">
        <v>31</v>
      </c>
      <c r="C113" s="51">
        <f>IF(F3="1",SUMIF(Data!A:A,$A$2,Data!U:U),0)</f>
        <v>7185096</v>
      </c>
      <c r="D113" s="52"/>
      <c r="E113" s="51">
        <f>IF(F3="1",SUMIF(Data!A:A,$A$2,Data!AB:AB),0)</f>
        <v>2080976</v>
      </c>
      <c r="F113" s="49">
        <f t="shared" si="7"/>
        <v>9266072</v>
      </c>
    </row>
    <row r="114" spans="1:6" x14ac:dyDescent="0.2">
      <c r="B114" s="43" t="s">
        <v>1021</v>
      </c>
      <c r="C114" s="51">
        <f>IF(F3="1",SUMIF(Data!A:A,$A$2,Data!T:T),0)</f>
        <v>8344714</v>
      </c>
      <c r="D114" s="52"/>
      <c r="E114" s="51">
        <f>IF(F3="1",SUMIF(Data!A:A,$A$2,Data!AA:AA),0)</f>
        <v>6793544</v>
      </c>
      <c r="F114" s="49">
        <f t="shared" si="7"/>
        <v>15138258</v>
      </c>
    </row>
    <row r="115" spans="1:6" x14ac:dyDescent="0.2">
      <c r="B115" s="43" t="s">
        <v>937</v>
      </c>
      <c r="C115" s="51">
        <f>IF(F3="1",SUMIF(Data!A:A,$A$2,Data!BI:BI),0)</f>
        <v>4464284</v>
      </c>
      <c r="D115" s="51">
        <f>IF(F3="1",SUMIF(Data!A:A,$A$2,Data!BL:BL),0)</f>
        <v>1752829</v>
      </c>
      <c r="E115" s="51">
        <f>IF(F3="1",SUMIF(Data!A:A,$A$2,Data!BU:BU),0)</f>
        <v>10591752</v>
      </c>
      <c r="F115" s="49">
        <f t="shared" si="7"/>
        <v>16808865</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2957038</v>
      </c>
      <c r="E117" s="53"/>
      <c r="F117" s="50">
        <f>SUM(C117:E117)</f>
        <v>2957038</v>
      </c>
    </row>
    <row r="118" spans="1:6" x14ac:dyDescent="0.2">
      <c r="B118" s="14" t="s">
        <v>35</v>
      </c>
      <c r="C118" s="5">
        <f>SUM(C109:C116)</f>
        <v>70805706</v>
      </c>
      <c r="D118" s="5">
        <f>SUM(D109:D116)</f>
        <v>5304825</v>
      </c>
      <c r="E118" s="5">
        <f>SUM(E109:E116)</f>
        <v>32556279</v>
      </c>
      <c r="F118" s="5">
        <f>SUM(F109:F116)</f>
        <v>108666810</v>
      </c>
    </row>
    <row r="119" spans="1:6" ht="15" thickBot="1" x14ac:dyDescent="0.25"/>
    <row r="120" spans="1:6" ht="15" thickBot="1" x14ac:dyDescent="0.25">
      <c r="B120" s="57" t="s">
        <v>942</v>
      </c>
      <c r="C120" s="55"/>
      <c r="D120" s="55"/>
      <c r="E120" s="55">
        <f>IF(F3="1",SUMIF(Data!A:A,'36'!$A$2,Data!AM:AM),0)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398</v>
      </c>
      <c r="B2" s="60" t="str">
        <f>VLOOKUP(A2,Data!A:G,7,0)</f>
        <v>South Plains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29868</v>
      </c>
      <c r="E5" s="16">
        <f>E36+E67+IFERROR($E$105/$D$105*D5,0)</f>
        <v>332866.43015113607</v>
      </c>
      <c r="F5" s="21">
        <f>IF(OR(D5=0,E5=0),"",ROUND(E5/D5,2))</f>
        <v>11.14</v>
      </c>
    </row>
    <row r="6" spans="1:6" x14ac:dyDescent="0.2">
      <c r="A6" s="20">
        <v>2</v>
      </c>
      <c r="B6" s="172" t="s">
        <v>1</v>
      </c>
      <c r="C6" s="173"/>
      <c r="D6" s="15">
        <f t="shared" ref="D6:D32" si="0">D37</f>
        <v>63448</v>
      </c>
      <c r="E6" s="18">
        <f t="shared" ref="E6:E32" si="1">E37+E68+IFERROR($E$105/$D$105*D6,0)</f>
        <v>406568.15562572924</v>
      </c>
      <c r="F6" s="22">
        <f t="shared" ref="F6:F33" si="2">IF(OR(D6=0,E6=0),"",ROUND(E6/D6,2))</f>
        <v>6.41</v>
      </c>
    </row>
    <row r="7" spans="1:6" ht="14.25" customHeight="1" x14ac:dyDescent="0.2">
      <c r="A7" s="20">
        <v>3</v>
      </c>
      <c r="B7" s="172" t="s">
        <v>2</v>
      </c>
      <c r="C7" s="173"/>
      <c r="D7" s="15">
        <f t="shared" si="0"/>
        <v>491568</v>
      </c>
      <c r="E7" s="18">
        <f t="shared" si="1"/>
        <v>2858359.1863041939</v>
      </c>
      <c r="F7" s="22">
        <f t="shared" si="2"/>
        <v>5.81</v>
      </c>
    </row>
    <row r="8" spans="1:6" ht="14.25" customHeight="1" x14ac:dyDescent="0.2">
      <c r="A8" s="20">
        <v>4</v>
      </c>
      <c r="B8" s="172" t="s">
        <v>3</v>
      </c>
      <c r="C8" s="173"/>
      <c r="D8" s="15">
        <f t="shared" si="0"/>
        <v>181339</v>
      </c>
      <c r="E8" s="18">
        <f t="shared" si="1"/>
        <v>1061248.1389171309</v>
      </c>
      <c r="F8" s="22">
        <f t="shared" si="2"/>
        <v>5.85</v>
      </c>
    </row>
    <row r="9" spans="1:6" x14ac:dyDescent="0.2">
      <c r="A9" s="20">
        <v>5</v>
      </c>
      <c r="B9" s="172" t="s">
        <v>4</v>
      </c>
      <c r="C9" s="173"/>
      <c r="D9" s="15">
        <f t="shared" si="0"/>
        <v>1872</v>
      </c>
      <c r="E9" s="18">
        <f t="shared" si="1"/>
        <v>4658.9679001917348</v>
      </c>
      <c r="F9" s="22">
        <f t="shared" si="2"/>
        <v>2.4900000000000002</v>
      </c>
    </row>
    <row r="10" spans="1:6" x14ac:dyDescent="0.2">
      <c r="A10" s="20">
        <v>6</v>
      </c>
      <c r="B10" s="172" t="s">
        <v>5</v>
      </c>
      <c r="C10" s="173"/>
      <c r="D10" s="15">
        <f t="shared" si="0"/>
        <v>118865</v>
      </c>
      <c r="E10" s="18">
        <f t="shared" si="1"/>
        <v>632837.04030784755</v>
      </c>
      <c r="F10" s="22">
        <f t="shared" si="2"/>
        <v>5.32</v>
      </c>
    </row>
    <row r="11" spans="1:6" x14ac:dyDescent="0.2">
      <c r="A11" s="20">
        <v>7</v>
      </c>
      <c r="B11" s="172" t="s">
        <v>6</v>
      </c>
      <c r="C11" s="173"/>
      <c r="D11" s="15">
        <f t="shared" si="0"/>
        <v>193209</v>
      </c>
      <c r="E11" s="18">
        <f t="shared" si="1"/>
        <v>1320527.7783270003</v>
      </c>
      <c r="F11" s="22">
        <f t="shared" si="2"/>
        <v>6.83</v>
      </c>
    </row>
    <row r="12" spans="1:6" x14ac:dyDescent="0.2">
      <c r="A12" s="20">
        <v>8</v>
      </c>
      <c r="B12" s="172" t="s">
        <v>7</v>
      </c>
      <c r="C12" s="173"/>
      <c r="D12" s="15">
        <f t="shared" si="0"/>
        <v>13384</v>
      </c>
      <c r="E12" s="18">
        <f t="shared" si="1"/>
        <v>33309.629474447742</v>
      </c>
      <c r="F12" s="22">
        <f t="shared" si="2"/>
        <v>2.4900000000000002</v>
      </c>
    </row>
    <row r="13" spans="1:6" x14ac:dyDescent="0.2">
      <c r="A13" s="20">
        <v>9</v>
      </c>
      <c r="B13" s="172" t="s">
        <v>8</v>
      </c>
      <c r="C13" s="173"/>
      <c r="D13" s="15">
        <f t="shared" si="0"/>
        <v>160004</v>
      </c>
      <c r="E13" s="18">
        <f t="shared" si="1"/>
        <v>957698.33969138796</v>
      </c>
      <c r="F13" s="22">
        <f t="shared" si="2"/>
        <v>5.99</v>
      </c>
    </row>
    <row r="14" spans="1:6" x14ac:dyDescent="0.2">
      <c r="A14" s="20">
        <v>10</v>
      </c>
      <c r="B14" s="172" t="s">
        <v>9</v>
      </c>
      <c r="C14" s="173"/>
      <c r="D14" s="15">
        <f t="shared" si="0"/>
        <v>1088</v>
      </c>
      <c r="E14" s="18">
        <f t="shared" si="1"/>
        <v>2707.776215496051</v>
      </c>
      <c r="F14" s="22">
        <f t="shared" si="2"/>
        <v>2.4900000000000002</v>
      </c>
    </row>
    <row r="15" spans="1:6" x14ac:dyDescent="0.2">
      <c r="A15" s="20">
        <v>11</v>
      </c>
      <c r="B15" s="172" t="s">
        <v>10</v>
      </c>
      <c r="C15" s="173"/>
      <c r="D15" s="15">
        <f t="shared" si="0"/>
        <v>39120</v>
      </c>
      <c r="E15" s="18">
        <f t="shared" si="1"/>
        <v>158825.48304246832</v>
      </c>
      <c r="F15" s="22">
        <f t="shared" si="2"/>
        <v>4.0599999999999996</v>
      </c>
    </row>
    <row r="16" spans="1:6" ht="14.25" customHeight="1" x14ac:dyDescent="0.2">
      <c r="A16" s="20">
        <v>12</v>
      </c>
      <c r="B16" s="172" t="s">
        <v>11</v>
      </c>
      <c r="C16" s="173"/>
      <c r="D16" s="15">
        <f t="shared" si="0"/>
        <v>434512</v>
      </c>
      <c r="E16" s="18">
        <f t="shared" si="1"/>
        <v>2842234.2159445034</v>
      </c>
      <c r="F16" s="22">
        <f t="shared" si="2"/>
        <v>6.54</v>
      </c>
    </row>
    <row r="17" spans="1:6" x14ac:dyDescent="0.2">
      <c r="A17" s="20">
        <v>13</v>
      </c>
      <c r="B17" s="172" t="s">
        <v>12</v>
      </c>
      <c r="C17" s="173"/>
      <c r="D17" s="15">
        <f t="shared" si="0"/>
        <v>123552</v>
      </c>
      <c r="E17" s="18">
        <f t="shared" si="1"/>
        <v>653382.88141265442</v>
      </c>
      <c r="F17" s="22">
        <f t="shared" si="2"/>
        <v>5.29</v>
      </c>
    </row>
    <row r="18" spans="1:6" ht="14.25" customHeight="1" x14ac:dyDescent="0.2">
      <c r="A18" s="20">
        <v>14</v>
      </c>
      <c r="B18" s="172" t="s">
        <v>469</v>
      </c>
      <c r="C18" s="173"/>
      <c r="D18" s="15">
        <f t="shared" si="0"/>
        <v>118826</v>
      </c>
      <c r="E18" s="18">
        <f t="shared" si="1"/>
        <v>752311.9784765935</v>
      </c>
      <c r="F18" s="22">
        <f t="shared" si="2"/>
        <v>6.33</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168747</v>
      </c>
      <c r="E20" s="18">
        <f t="shared" si="1"/>
        <v>1476547.6112466105</v>
      </c>
      <c r="F20" s="22">
        <f t="shared" si="2"/>
        <v>8.75</v>
      </c>
    </row>
    <row r="21" spans="1:6" x14ac:dyDescent="0.2">
      <c r="A21" s="20">
        <v>17</v>
      </c>
      <c r="B21" s="172" t="s">
        <v>15</v>
      </c>
      <c r="C21" s="173"/>
      <c r="D21" s="15">
        <f t="shared" si="0"/>
        <v>20992</v>
      </c>
      <c r="E21" s="18">
        <f t="shared" si="1"/>
        <v>177446.15286368851</v>
      </c>
      <c r="F21" s="22">
        <f t="shared" si="2"/>
        <v>8.4499999999999993</v>
      </c>
    </row>
    <row r="22" spans="1:6" x14ac:dyDescent="0.2">
      <c r="A22" s="20">
        <v>18</v>
      </c>
      <c r="B22" s="172" t="s">
        <v>16</v>
      </c>
      <c r="C22" s="173"/>
      <c r="D22" s="15">
        <f t="shared" si="0"/>
        <v>202976</v>
      </c>
      <c r="E22" s="18">
        <f t="shared" si="1"/>
        <v>1245265.5451438662</v>
      </c>
      <c r="F22" s="22">
        <f t="shared" si="2"/>
        <v>6.14</v>
      </c>
    </row>
    <row r="23" spans="1:6" x14ac:dyDescent="0.2">
      <c r="A23" s="20">
        <v>19</v>
      </c>
      <c r="B23" s="172" t="s">
        <v>17</v>
      </c>
      <c r="C23" s="173"/>
      <c r="D23" s="15">
        <f t="shared" si="0"/>
        <v>500936</v>
      </c>
      <c r="E23" s="18">
        <f t="shared" si="1"/>
        <v>2661060.9359243838</v>
      </c>
      <c r="F23" s="22">
        <f t="shared" si="2"/>
        <v>5.31</v>
      </c>
    </row>
    <row r="24" spans="1:6" x14ac:dyDescent="0.2">
      <c r="A24" s="20">
        <v>20</v>
      </c>
      <c r="B24" s="172" t="s">
        <v>18</v>
      </c>
      <c r="C24" s="173"/>
      <c r="D24" s="15">
        <f t="shared" si="0"/>
        <v>57296</v>
      </c>
      <c r="E24" s="18">
        <f t="shared" si="1"/>
        <v>350192.27393663762</v>
      </c>
      <c r="F24" s="22">
        <f t="shared" si="2"/>
        <v>6.11</v>
      </c>
    </row>
    <row r="25" spans="1:6" ht="14.25" customHeight="1" x14ac:dyDescent="0.2">
      <c r="A25" s="20">
        <v>21</v>
      </c>
      <c r="B25" s="172" t="s">
        <v>466</v>
      </c>
      <c r="C25" s="173"/>
      <c r="D25" s="15">
        <f t="shared" si="0"/>
        <v>38596</v>
      </c>
      <c r="E25" s="18">
        <f t="shared" si="1"/>
        <v>216074.37023279927</v>
      </c>
      <c r="F25" s="22">
        <f t="shared" si="2"/>
        <v>5.6</v>
      </c>
    </row>
    <row r="26" spans="1:6" x14ac:dyDescent="0.2">
      <c r="A26" s="20">
        <v>22</v>
      </c>
      <c r="B26" s="172" t="s">
        <v>19</v>
      </c>
      <c r="C26" s="173"/>
      <c r="D26" s="15">
        <f t="shared" si="0"/>
        <v>7264</v>
      </c>
      <c r="E26" s="18">
        <f t="shared" si="1"/>
        <v>137313.38826228245</v>
      </c>
      <c r="F26" s="22">
        <f t="shared" si="2"/>
        <v>18.899999999999999</v>
      </c>
    </row>
    <row r="27" spans="1:6" x14ac:dyDescent="0.2">
      <c r="A27" s="20">
        <v>23</v>
      </c>
      <c r="B27" s="172" t="s">
        <v>20</v>
      </c>
      <c r="C27" s="173"/>
      <c r="D27" s="15">
        <f t="shared" si="0"/>
        <v>107712</v>
      </c>
      <c r="E27" s="18">
        <f t="shared" si="1"/>
        <v>1189020.8453341089</v>
      </c>
      <c r="F27" s="22">
        <f t="shared" si="2"/>
        <v>11.04</v>
      </c>
    </row>
    <row r="28" spans="1:6" x14ac:dyDescent="0.2">
      <c r="A28" s="20">
        <v>24</v>
      </c>
      <c r="B28" s="172" t="s">
        <v>21</v>
      </c>
      <c r="C28" s="173"/>
      <c r="D28" s="15">
        <f t="shared" si="0"/>
        <v>155496</v>
      </c>
      <c r="E28" s="18">
        <f t="shared" si="1"/>
        <v>715248.98750438774</v>
      </c>
      <c r="F28" s="22">
        <f t="shared" si="2"/>
        <v>4.5999999999999996</v>
      </c>
    </row>
    <row r="29" spans="1:6" x14ac:dyDescent="0.2">
      <c r="A29" s="20">
        <v>25</v>
      </c>
      <c r="B29" s="172" t="s">
        <v>22</v>
      </c>
      <c r="C29" s="173"/>
      <c r="D29" s="15">
        <f t="shared" si="0"/>
        <v>781536</v>
      </c>
      <c r="E29" s="18">
        <f t="shared" si="1"/>
        <v>4233352.3679723544</v>
      </c>
      <c r="F29" s="22">
        <f t="shared" si="2"/>
        <v>5.42</v>
      </c>
    </row>
    <row r="30" spans="1:6" x14ac:dyDescent="0.2">
      <c r="A30" s="20">
        <v>26</v>
      </c>
      <c r="B30" s="172" t="s">
        <v>23</v>
      </c>
      <c r="C30" s="173"/>
      <c r="D30" s="15">
        <f t="shared" si="0"/>
        <v>278100</v>
      </c>
      <c r="E30" s="18">
        <f t="shared" si="1"/>
        <v>2719611.519788099</v>
      </c>
      <c r="F30" s="22">
        <f t="shared" si="2"/>
        <v>9.7799999999999994</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4290306</v>
      </c>
      <c r="E33" s="32">
        <f>SUM(E5:E32)</f>
        <v>27138670</v>
      </c>
      <c r="F33" s="33">
        <f t="shared" si="2"/>
        <v>6.33</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IF(F3="1",SUMIF(Data!A:A,'37'!$A$2,Data!CU:CU),0)</f>
        <v>29868</v>
      </c>
      <c r="E36" s="16">
        <f>IF(F3="1",SUMIF(Data!$A:$A,'37'!$A$2,Data!IO:IO),0)</f>
        <v>34716</v>
      </c>
      <c r="F36" s="21">
        <f>IF(D36=0,"",ROUND(E36/D36,2))</f>
        <v>1.1599999999999999</v>
      </c>
    </row>
    <row r="37" spans="1:6" x14ac:dyDescent="0.2">
      <c r="A37" s="20">
        <v>2</v>
      </c>
      <c r="B37" s="172" t="s">
        <v>1</v>
      </c>
      <c r="C37" s="173"/>
      <c r="D37" s="15">
        <f>IF(F3="1",SUMIF(Data!A:A,'37'!$A$2,Data!CV:CV),0)</f>
        <v>63448</v>
      </c>
      <c r="E37" s="18">
        <f>IF(F3="1",SUMIF(Data!$A:$A,'37'!$A$2,Data!IP:IP),0)</f>
        <v>125306</v>
      </c>
      <c r="F37" s="22">
        <f t="shared" ref="F37:F64" si="3">IF(D37=0,"",ROUND(E37/D37,2))</f>
        <v>1.97</v>
      </c>
    </row>
    <row r="38" spans="1:6" ht="14.25" customHeight="1" x14ac:dyDescent="0.2">
      <c r="A38" s="20">
        <v>3</v>
      </c>
      <c r="B38" s="172" t="s">
        <v>2</v>
      </c>
      <c r="C38" s="173"/>
      <c r="D38" s="15">
        <f>IF(F3="1",SUMIF(Data!A:A,'37'!$A$2,Data!CW:CW),0)</f>
        <v>491568</v>
      </c>
      <c r="E38" s="18">
        <f>IF(F3="1",SUMIF(Data!$A:$A,'37'!$A$2,Data!IQ:IQ),0)</f>
        <v>222108</v>
      </c>
      <c r="F38" s="22">
        <f t="shared" si="3"/>
        <v>0.45</v>
      </c>
    </row>
    <row r="39" spans="1:6" ht="14.25" customHeight="1" x14ac:dyDescent="0.2">
      <c r="A39" s="20">
        <v>4</v>
      </c>
      <c r="B39" s="172" t="s">
        <v>3</v>
      </c>
      <c r="C39" s="173"/>
      <c r="D39" s="15">
        <f>IF(F3="1",SUMIF(Data!A:A,'37'!$A$2,Data!CX:CX),0)</f>
        <v>181339</v>
      </c>
      <c r="E39" s="18">
        <f>IF(F3="1",SUMIF(Data!$A:$A,'37'!$A$2,Data!IR:IR),0)</f>
        <v>42253</v>
      </c>
      <c r="F39" s="22">
        <f t="shared" si="3"/>
        <v>0.23</v>
      </c>
    </row>
    <row r="40" spans="1:6" x14ac:dyDescent="0.2">
      <c r="A40" s="20">
        <v>5</v>
      </c>
      <c r="B40" s="172" t="s">
        <v>4</v>
      </c>
      <c r="C40" s="173"/>
      <c r="D40" s="15">
        <f>IF(F3="1",SUMIF(Data!A:A,'37'!$A$2,Data!CY:CY),0)</f>
        <v>1872</v>
      </c>
      <c r="E40" s="18">
        <f>IF(F3="1",SUMIF(Data!$A:$A,'37'!$A$2,Data!IS:IS),0)</f>
        <v>0</v>
      </c>
      <c r="F40" s="22" t="str">
        <f>IF(E40=0,"",ROUND(E40/D40,2))</f>
        <v/>
      </c>
    </row>
    <row r="41" spans="1:6" x14ac:dyDescent="0.2">
      <c r="A41" s="20">
        <v>6</v>
      </c>
      <c r="B41" s="172" t="s">
        <v>5</v>
      </c>
      <c r="C41" s="173"/>
      <c r="D41" s="15">
        <f>IF(F3="1",SUMIF(Data!A:A,'37'!$A$2,Data!CZ:CZ),0)</f>
        <v>118865</v>
      </c>
      <c r="E41" s="18">
        <f>IF(F3="1",SUMIF(Data!$A:$A,'37'!$A$2,Data!IT:IT),0)</f>
        <v>115174</v>
      </c>
      <c r="F41" s="22">
        <f t="shared" si="3"/>
        <v>0.97</v>
      </c>
    </row>
    <row r="42" spans="1:6" x14ac:dyDescent="0.2">
      <c r="A42" s="20">
        <v>7</v>
      </c>
      <c r="B42" s="172" t="s">
        <v>6</v>
      </c>
      <c r="C42" s="173"/>
      <c r="D42" s="15">
        <f>IF(F3="1",SUMIF(Data!A:A,'37'!$A$2,Data!DA:DA),0)</f>
        <v>193209</v>
      </c>
      <c r="E42" s="18">
        <f>IF(F3="1",SUMIF(Data!$A:$A,'37'!$A$2,Data!IU:IU),0)</f>
        <v>96052</v>
      </c>
      <c r="F42" s="22">
        <f t="shared" si="3"/>
        <v>0.5</v>
      </c>
    </row>
    <row r="43" spans="1:6" x14ac:dyDescent="0.2">
      <c r="A43" s="20">
        <v>8</v>
      </c>
      <c r="B43" s="172" t="s">
        <v>7</v>
      </c>
      <c r="C43" s="173"/>
      <c r="D43" s="15">
        <f>IF(F3="1",SUMIF(Data!A:A,'37'!$A$2,Data!DB:DB),0)</f>
        <v>13384</v>
      </c>
      <c r="E43" s="18">
        <f>IF(F3="1",SUMIF(Data!$A:$A,'37'!$A$2,Data!IV:IV),0)</f>
        <v>0</v>
      </c>
      <c r="F43" s="22" t="str">
        <f>IF(E43=0,"",ROUND(E43/D43,2))</f>
        <v/>
      </c>
    </row>
    <row r="44" spans="1:6" x14ac:dyDescent="0.2">
      <c r="A44" s="20">
        <v>9</v>
      </c>
      <c r="B44" s="172" t="s">
        <v>8</v>
      </c>
      <c r="C44" s="173"/>
      <c r="D44" s="15">
        <f>IF(F3="1",SUMIF(Data!A:A,'37'!$A$2,Data!DC:DC),0)</f>
        <v>160004</v>
      </c>
      <c r="E44" s="18">
        <f>IF(F3="1",SUMIF(Data!$A:$A,'37'!$A$2,Data!IW:IW),0)</f>
        <v>78179</v>
      </c>
      <c r="F44" s="22">
        <f t="shared" si="3"/>
        <v>0.49</v>
      </c>
    </row>
    <row r="45" spans="1:6" x14ac:dyDescent="0.2">
      <c r="A45" s="20">
        <v>10</v>
      </c>
      <c r="B45" s="172" t="s">
        <v>9</v>
      </c>
      <c r="C45" s="173"/>
      <c r="D45" s="15">
        <f>IF(F3="1",SUMIF(Data!A:A,'37'!$A$2,Data!DD:DD),0)</f>
        <v>1088</v>
      </c>
      <c r="E45" s="18">
        <f>IF(F3="1",SUMIF(Data!$A:$A,'37'!$A$2,Data!IX:IX),0)</f>
        <v>0</v>
      </c>
      <c r="F45" s="22" t="str">
        <f>IF(E45=0,"",ROUND(E45/D45,2))</f>
        <v/>
      </c>
    </row>
    <row r="46" spans="1:6" x14ac:dyDescent="0.2">
      <c r="A46" s="20">
        <v>11</v>
      </c>
      <c r="B46" s="172" t="s">
        <v>10</v>
      </c>
      <c r="C46" s="173"/>
      <c r="D46" s="15">
        <f>IF(F3="1",SUMIF(Data!A:A,'37'!$A$2,Data!DE:DE),0)</f>
        <v>39120</v>
      </c>
      <c r="E46" s="18">
        <f>IF(F3="1",SUMIF(Data!$A:$A,'37'!$A$2,Data!IY:IY),0)</f>
        <v>20817</v>
      </c>
      <c r="F46" s="22">
        <f t="shared" si="3"/>
        <v>0.53</v>
      </c>
    </row>
    <row r="47" spans="1:6" ht="14.25" customHeight="1" x14ac:dyDescent="0.2">
      <c r="A47" s="20">
        <v>12</v>
      </c>
      <c r="B47" s="172" t="s">
        <v>11</v>
      </c>
      <c r="C47" s="173"/>
      <c r="D47" s="15">
        <f>IF(F3="1",SUMIF(Data!A:A,'37'!$A$2,Data!DF:DF),0)</f>
        <v>434512</v>
      </c>
      <c r="E47" s="18">
        <f>IF(F3="1",SUMIF(Data!$A:$A,'37'!$A$2,Data!IZ:IZ),0)</f>
        <v>64622</v>
      </c>
      <c r="F47" s="22">
        <f t="shared" si="3"/>
        <v>0.15</v>
      </c>
    </row>
    <row r="48" spans="1:6" x14ac:dyDescent="0.2">
      <c r="A48" s="20">
        <v>13</v>
      </c>
      <c r="B48" s="172" t="s">
        <v>12</v>
      </c>
      <c r="C48" s="173"/>
      <c r="D48" s="15">
        <f>IF(F3="1",SUMIF(Data!A:A,'37'!$A$2,Data!DG:DG),0)</f>
        <v>123552</v>
      </c>
      <c r="E48" s="18">
        <f>IF(F3="1",SUMIF(Data!$A:$A,'37'!$A$2,Data!JA:JA),0)</f>
        <v>3847</v>
      </c>
      <c r="F48" s="22">
        <f t="shared" si="3"/>
        <v>0.03</v>
      </c>
    </row>
    <row r="49" spans="1:6" ht="14.25" customHeight="1" x14ac:dyDescent="0.2">
      <c r="A49" s="20">
        <v>14</v>
      </c>
      <c r="B49" s="172" t="s">
        <v>469</v>
      </c>
      <c r="C49" s="173"/>
      <c r="D49" s="15">
        <f>IF(F3="1",SUMIF(Data!A:A,'37'!$A$2,Data!DH:DH),0)</f>
        <v>118826</v>
      </c>
      <c r="E49" s="18">
        <f>IF(F3="1",SUMIF(Data!$A:$A,'37'!$A$2,Data!JB:JB),0)</f>
        <v>51449</v>
      </c>
      <c r="F49" s="22">
        <f t="shared" si="3"/>
        <v>0.43</v>
      </c>
    </row>
    <row r="50" spans="1:6" x14ac:dyDescent="0.2">
      <c r="A50" s="20">
        <v>15</v>
      </c>
      <c r="B50" s="172" t="s">
        <v>13</v>
      </c>
      <c r="C50" s="173"/>
      <c r="D50" s="15">
        <f>IF(F3="1",SUMIF(Data!A:A,'37'!$A$2,Data!DI:DI),0)</f>
        <v>0</v>
      </c>
      <c r="E50" s="18">
        <f>IF(F3="1",SUMIF(Data!$A:$A,'37'!$A$2,Data!JC:JC),0)</f>
        <v>0</v>
      </c>
      <c r="F50" s="22" t="str">
        <f t="shared" si="3"/>
        <v/>
      </c>
    </row>
    <row r="51" spans="1:6" x14ac:dyDescent="0.2">
      <c r="A51" s="20">
        <v>16</v>
      </c>
      <c r="B51" s="172" t="s">
        <v>14</v>
      </c>
      <c r="C51" s="173"/>
      <c r="D51" s="15">
        <f>IF(F3="1",SUMIF(Data!A:A,'37'!$A$2,Data!DJ:DJ),0)</f>
        <v>168747</v>
      </c>
      <c r="E51" s="18">
        <f>IF(F3="1",SUMIF(Data!$A:$A,'37'!$A$2,Data!JD:JD),0)</f>
        <v>51713</v>
      </c>
      <c r="F51" s="22">
        <f t="shared" si="3"/>
        <v>0.31</v>
      </c>
    </row>
    <row r="52" spans="1:6" x14ac:dyDescent="0.2">
      <c r="A52" s="20">
        <v>17</v>
      </c>
      <c r="B52" s="172" t="s">
        <v>15</v>
      </c>
      <c r="C52" s="173"/>
      <c r="D52" s="15">
        <f>IF(F3="1",SUMIF(Data!A:A,'37'!$A$2,Data!DK:DK),0)</f>
        <v>20992</v>
      </c>
      <c r="E52" s="18">
        <f>IF(F3="1",SUMIF(Data!$A:$A,'37'!$A$2,Data!JE:JE),0)</f>
        <v>9318</v>
      </c>
      <c r="F52" s="22">
        <f t="shared" si="3"/>
        <v>0.44</v>
      </c>
    </row>
    <row r="53" spans="1:6" x14ac:dyDescent="0.2">
      <c r="A53" s="20">
        <v>18</v>
      </c>
      <c r="B53" s="172" t="s">
        <v>16</v>
      </c>
      <c r="C53" s="173"/>
      <c r="D53" s="15">
        <f>IF(F3="1",SUMIF(Data!A:A,'37'!$A$2,Data!DL:DL),0)</f>
        <v>202976</v>
      </c>
      <c r="E53" s="18">
        <f>IF(F3="1",SUMIF(Data!$A:$A,'37'!$A$2,Data!JF:JF),0)</f>
        <v>53129</v>
      </c>
      <c r="F53" s="22">
        <f t="shared" si="3"/>
        <v>0.26</v>
      </c>
    </row>
    <row r="54" spans="1:6" x14ac:dyDescent="0.2">
      <c r="A54" s="20">
        <v>19</v>
      </c>
      <c r="B54" s="172" t="s">
        <v>17</v>
      </c>
      <c r="C54" s="173"/>
      <c r="D54" s="15">
        <f>IF(F3="1",SUMIF(Data!A:A,'37'!$A$2,Data!DM:DM),0)</f>
        <v>500936</v>
      </c>
      <c r="E54" s="18">
        <f>IF(F3="1",SUMIF(Data!$A:$A,'37'!$A$2,Data!JG:JG),0)</f>
        <v>37387</v>
      </c>
      <c r="F54" s="22">
        <f t="shared" si="3"/>
        <v>7.0000000000000007E-2</v>
      </c>
    </row>
    <row r="55" spans="1:6" x14ac:dyDescent="0.2">
      <c r="A55" s="20">
        <v>20</v>
      </c>
      <c r="B55" s="172" t="s">
        <v>18</v>
      </c>
      <c r="C55" s="173"/>
      <c r="D55" s="15">
        <f>IF(F3="1",SUMIF(Data!A:A,'37'!$A$2,Data!DN:DN),0)</f>
        <v>57296</v>
      </c>
      <c r="E55" s="18">
        <f>IF(F3="1",SUMIF(Data!$A:$A,'37'!$A$2,Data!JH:JH),0)</f>
        <v>11064</v>
      </c>
      <c r="F55" s="22">
        <f t="shared" si="3"/>
        <v>0.19</v>
      </c>
    </row>
    <row r="56" spans="1:6" ht="14.25" customHeight="1" x14ac:dyDescent="0.2">
      <c r="A56" s="20">
        <v>21</v>
      </c>
      <c r="B56" s="172" t="s">
        <v>466</v>
      </c>
      <c r="C56" s="173"/>
      <c r="D56" s="15">
        <f>IF(F3="1",SUMIF(Data!A:A,'37'!$A$2,Data!DO:DO),0)</f>
        <v>38596</v>
      </c>
      <c r="E56" s="18">
        <f>IF(F3="1",SUMIF(Data!$A:$A,'37'!$A$2,Data!JI:JI),0)</f>
        <v>23837</v>
      </c>
      <c r="F56" s="22">
        <f t="shared" si="3"/>
        <v>0.62</v>
      </c>
    </row>
    <row r="57" spans="1:6" x14ac:dyDescent="0.2">
      <c r="A57" s="20">
        <v>22</v>
      </c>
      <c r="B57" s="172" t="s">
        <v>19</v>
      </c>
      <c r="C57" s="173"/>
      <c r="D57" s="15">
        <f>IF(F3="1",SUMIF(Data!A:A,'37'!$A$2,Data!DP:DP),0)</f>
        <v>7264</v>
      </c>
      <c r="E57" s="18">
        <f>IF(F3="1",SUMIF(Data!$A:$A,'37'!$A$2,Data!JJ:JJ),0)</f>
        <v>22382</v>
      </c>
      <c r="F57" s="22">
        <f t="shared" si="3"/>
        <v>3.08</v>
      </c>
    </row>
    <row r="58" spans="1:6" x14ac:dyDescent="0.2">
      <c r="A58" s="20">
        <v>23</v>
      </c>
      <c r="B58" s="172" t="s">
        <v>20</v>
      </c>
      <c r="C58" s="173"/>
      <c r="D58" s="15">
        <f>IF(F3="1",SUMIF(Data!A:A,'37'!$A$2,Data!DQ:DQ),0)</f>
        <v>107712</v>
      </c>
      <c r="E58" s="18">
        <f>IF(F3="1",SUMIF(Data!$A:$A,'37'!$A$2,Data!JK:JK),0)</f>
        <v>55696</v>
      </c>
      <c r="F58" s="22">
        <f t="shared" si="3"/>
        <v>0.52</v>
      </c>
    </row>
    <row r="59" spans="1:6" x14ac:dyDescent="0.2">
      <c r="A59" s="20">
        <v>24</v>
      </c>
      <c r="B59" s="172" t="s">
        <v>21</v>
      </c>
      <c r="C59" s="173"/>
      <c r="D59" s="15">
        <f>IF(F3="1",SUMIF(Data!A:A,'37'!$A$2,Data!DR:DR),0)</f>
        <v>155496</v>
      </c>
      <c r="E59" s="18">
        <f>IF(F3="1",SUMIF(Data!$A:$A,'37'!$A$2,Data!JL:JL),0)</f>
        <v>51544</v>
      </c>
      <c r="F59" s="22">
        <f t="shared" si="3"/>
        <v>0.33</v>
      </c>
    </row>
    <row r="60" spans="1:6" x14ac:dyDescent="0.2">
      <c r="A60" s="20">
        <v>25</v>
      </c>
      <c r="B60" s="172" t="s">
        <v>22</v>
      </c>
      <c r="C60" s="173"/>
      <c r="D60" s="15">
        <f>IF(F3="1",SUMIF(Data!A:A,'37'!$A$2,Data!DS:DS),0)</f>
        <v>781536</v>
      </c>
      <c r="E60" s="18">
        <f>IF(F3="1",SUMIF(Data!$A:$A,'37'!$A$2,Data!JM:JM),0)</f>
        <v>64700</v>
      </c>
      <c r="F60" s="22">
        <f t="shared" si="3"/>
        <v>0.08</v>
      </c>
    </row>
    <row r="61" spans="1:6" x14ac:dyDescent="0.2">
      <c r="A61" s="20">
        <v>26</v>
      </c>
      <c r="B61" s="172" t="s">
        <v>23</v>
      </c>
      <c r="C61" s="173"/>
      <c r="D61" s="15">
        <f>IF(F3="1",SUMIF(Data!A:A,'37'!$A$2,Data!DT:DT),0)</f>
        <v>278100</v>
      </c>
      <c r="E61" s="18">
        <f>IF(F3="1",SUMIF(Data!$A:$A,'37'!$A$2,Data!JN:JN),0)</f>
        <v>150671</v>
      </c>
      <c r="F61" s="22">
        <f t="shared" si="3"/>
        <v>0.54</v>
      </c>
    </row>
    <row r="62" spans="1:6" x14ac:dyDescent="0.2">
      <c r="A62" s="20">
        <v>28</v>
      </c>
      <c r="B62" s="172" t="s">
        <v>24</v>
      </c>
      <c r="C62" s="173"/>
      <c r="D62" s="15">
        <f>IF(F3="1",SUMIF(Data!A:A,'37'!$A$2,Data!DV:DV),0)</f>
        <v>0</v>
      </c>
      <c r="E62" s="18">
        <f>IF(F3="1",SUMIF(Data!$A:$A,'37'!$A$2,Data!JP:JP),0)</f>
        <v>0</v>
      </c>
      <c r="F62" s="22" t="str">
        <f t="shared" si="3"/>
        <v/>
      </c>
    </row>
    <row r="63" spans="1:6" ht="15.75" customHeight="1" thickBot="1" x14ac:dyDescent="0.25">
      <c r="A63" s="23">
        <v>29</v>
      </c>
      <c r="B63" s="174" t="s">
        <v>25</v>
      </c>
      <c r="C63" s="175"/>
      <c r="D63" s="24">
        <f>IF(F3="1",SUMIF(Data!A:A,'37'!$A$2,Data!DW:DW),0)</f>
        <v>0</v>
      </c>
      <c r="E63" s="25">
        <f>IF(F3="1",SUMIF(Data!$A:$A,'37'!$A$2,Data!JQ:JQ),0)</f>
        <v>0</v>
      </c>
      <c r="F63" s="26" t="str">
        <f t="shared" si="3"/>
        <v/>
      </c>
    </row>
    <row r="64" spans="1:6" x14ac:dyDescent="0.2">
      <c r="B64" s="31" t="s">
        <v>35</v>
      </c>
      <c r="C64" s="31"/>
      <c r="D64" s="61">
        <f>SUM(D36:D63)</f>
        <v>4290306</v>
      </c>
      <c r="E64" s="32">
        <f>SUM(E36:E63)</f>
        <v>1385964</v>
      </c>
      <c r="F64" s="33">
        <f t="shared" si="3"/>
        <v>0.32</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29868</v>
      </c>
      <c r="E67" s="16">
        <f>IF(F3="1",SUMIF(Data!A:A,'37'!$A$2,Data!DY:DY),0)</f>
        <v>223816</v>
      </c>
      <c r="F67" s="21">
        <f t="shared" ref="F67:F95" si="4">IF(D67=0,"",ROUND(E67/D67,2))</f>
        <v>7.49</v>
      </c>
    </row>
    <row r="68" spans="1:6" x14ac:dyDescent="0.2">
      <c r="A68" s="20">
        <v>2</v>
      </c>
      <c r="B68" s="172" t="s">
        <v>1</v>
      </c>
      <c r="C68" s="173"/>
      <c r="D68" s="15">
        <f t="shared" ref="D68:D94" si="5">D37</f>
        <v>63448</v>
      </c>
      <c r="E68" s="18">
        <f>IF(F3="1",SUMIF(Data!A:A,'37'!$A$2,Data!DZ:DZ),0)</f>
        <v>123355</v>
      </c>
      <c r="F68" s="22">
        <f t="shared" si="4"/>
        <v>1.94</v>
      </c>
    </row>
    <row r="69" spans="1:6" ht="14.25" customHeight="1" x14ac:dyDescent="0.2">
      <c r="A69" s="20">
        <v>3</v>
      </c>
      <c r="B69" s="172" t="s">
        <v>2</v>
      </c>
      <c r="C69" s="173"/>
      <c r="D69" s="15">
        <f t="shared" si="5"/>
        <v>491568</v>
      </c>
      <c r="E69" s="18">
        <f>IF(F3="1",SUMIF(Data!A:A,'37'!$A$2,Data!EA:EA),0)</f>
        <v>1412854</v>
      </c>
      <c r="F69" s="22">
        <f t="shared" si="4"/>
        <v>2.87</v>
      </c>
    </row>
    <row r="70" spans="1:6" ht="14.25" customHeight="1" x14ac:dyDescent="0.2">
      <c r="A70" s="20">
        <v>4</v>
      </c>
      <c r="B70" s="172" t="s">
        <v>3</v>
      </c>
      <c r="C70" s="173"/>
      <c r="D70" s="15">
        <f t="shared" si="5"/>
        <v>181339</v>
      </c>
      <c r="E70" s="18">
        <f>IF(F3="1",SUMIF(Data!A:A,'37'!$A$2,Data!EB:EB),0)</f>
        <v>567685</v>
      </c>
      <c r="F70" s="22">
        <f t="shared" si="4"/>
        <v>3.13</v>
      </c>
    </row>
    <row r="71" spans="1:6" x14ac:dyDescent="0.2">
      <c r="A71" s="20">
        <v>5</v>
      </c>
      <c r="B71" s="172" t="s">
        <v>4</v>
      </c>
      <c r="C71" s="173"/>
      <c r="D71" s="15">
        <f t="shared" si="5"/>
        <v>1872</v>
      </c>
      <c r="E71" s="18">
        <f>IF(F3="1",SUMIF(Data!A:A,'37'!$A$2,Data!EC:EC),0)</f>
        <v>0</v>
      </c>
      <c r="F71" s="22" t="str">
        <f>IF(E71=0,"",ROUND(E71/D71,2))</f>
        <v/>
      </c>
    </row>
    <row r="72" spans="1:6" x14ac:dyDescent="0.2">
      <c r="A72" s="20">
        <v>6</v>
      </c>
      <c r="B72" s="172" t="s">
        <v>5</v>
      </c>
      <c r="C72" s="173"/>
      <c r="D72" s="15">
        <f t="shared" si="5"/>
        <v>118865</v>
      </c>
      <c r="E72" s="18">
        <f>IF(F3="1",SUMIF(Data!A:A,'37'!$A$2,Data!ED:ED),0)</f>
        <v>221836</v>
      </c>
      <c r="F72" s="22">
        <f t="shared" si="4"/>
        <v>1.87</v>
      </c>
    </row>
    <row r="73" spans="1:6" x14ac:dyDescent="0.2">
      <c r="A73" s="20">
        <v>7</v>
      </c>
      <c r="B73" s="172" t="s">
        <v>6</v>
      </c>
      <c r="C73" s="173"/>
      <c r="D73" s="15">
        <f t="shared" si="5"/>
        <v>193209</v>
      </c>
      <c r="E73" s="18">
        <f>IF(F3="1",SUMIF(Data!A:A,'37'!$A$2,Data!EE:EE),0)</f>
        <v>743624</v>
      </c>
      <c r="F73" s="22">
        <f t="shared" si="4"/>
        <v>3.85</v>
      </c>
    </row>
    <row r="74" spans="1:6" x14ac:dyDescent="0.2">
      <c r="A74" s="20">
        <v>8</v>
      </c>
      <c r="B74" s="172" t="s">
        <v>7</v>
      </c>
      <c r="C74" s="173"/>
      <c r="D74" s="15">
        <f t="shared" si="5"/>
        <v>13384</v>
      </c>
      <c r="E74" s="18">
        <f>IF(F3="1",SUMIF(Data!A:A,'37'!$A$2,Data!EF:EF),0)</f>
        <v>0</v>
      </c>
      <c r="F74" s="22" t="str">
        <f>IF(E74=0,"",ROUND(E74/D74,2))</f>
        <v/>
      </c>
    </row>
    <row r="75" spans="1:6" x14ac:dyDescent="0.2">
      <c r="A75" s="20">
        <v>9</v>
      </c>
      <c r="B75" s="172" t="s">
        <v>8</v>
      </c>
      <c r="C75" s="173"/>
      <c r="D75" s="15">
        <f t="shared" si="5"/>
        <v>160004</v>
      </c>
      <c r="E75" s="18">
        <f>IF(F3="1",SUMIF(Data!A:A,'37'!$A$2,Data!EG:EG),0)</f>
        <v>481307</v>
      </c>
      <c r="F75" s="22">
        <f t="shared" si="4"/>
        <v>3.01</v>
      </c>
    </row>
    <row r="76" spans="1:6" x14ac:dyDescent="0.2">
      <c r="A76" s="20">
        <v>10</v>
      </c>
      <c r="B76" s="172" t="s">
        <v>9</v>
      </c>
      <c r="C76" s="173"/>
      <c r="D76" s="15">
        <f t="shared" si="5"/>
        <v>1088</v>
      </c>
      <c r="E76" s="18">
        <f>IF(F3="1",SUMIF(Data!A:A,'37'!$A$2,Data!EH:EH),0)</f>
        <v>0</v>
      </c>
      <c r="F76" s="22" t="str">
        <f>IF(E76=0,"",ROUND(E76/D76,2))</f>
        <v/>
      </c>
    </row>
    <row r="77" spans="1:6" x14ac:dyDescent="0.2">
      <c r="A77" s="20">
        <v>11</v>
      </c>
      <c r="B77" s="172" t="s">
        <v>10</v>
      </c>
      <c r="C77" s="173"/>
      <c r="D77" s="15">
        <f t="shared" si="5"/>
        <v>39120</v>
      </c>
      <c r="E77" s="18">
        <f>IF(F3="1",SUMIF(Data!A:A,'37'!$A$2,Data!EI:EI),0)</f>
        <v>40648</v>
      </c>
      <c r="F77" s="22">
        <f t="shared" si="4"/>
        <v>1.04</v>
      </c>
    </row>
    <row r="78" spans="1:6" ht="14.25" customHeight="1" x14ac:dyDescent="0.2">
      <c r="A78" s="20">
        <v>12</v>
      </c>
      <c r="B78" s="172" t="s">
        <v>11</v>
      </c>
      <c r="C78" s="173"/>
      <c r="D78" s="15">
        <f t="shared" si="5"/>
        <v>434512</v>
      </c>
      <c r="E78" s="18">
        <f>IF(F3="1",SUMIF(Data!A:A,'37'!$A$2,Data!EJ:EJ),0)</f>
        <v>1696214</v>
      </c>
      <c r="F78" s="22">
        <f t="shared" si="4"/>
        <v>3.9</v>
      </c>
    </row>
    <row r="79" spans="1:6" x14ac:dyDescent="0.2">
      <c r="A79" s="20">
        <v>13</v>
      </c>
      <c r="B79" s="172" t="s">
        <v>12</v>
      </c>
      <c r="C79" s="173"/>
      <c r="D79" s="15">
        <f t="shared" si="5"/>
        <v>123552</v>
      </c>
      <c r="E79" s="18">
        <f>IF(F3="1",SUMIF(Data!A:A,'37'!$A$2,Data!EK:EK),0)</f>
        <v>342044</v>
      </c>
      <c r="F79" s="22">
        <f t="shared" si="4"/>
        <v>2.77</v>
      </c>
    </row>
    <row r="80" spans="1:6" ht="14.25" customHeight="1" x14ac:dyDescent="0.2">
      <c r="A80" s="20">
        <v>14</v>
      </c>
      <c r="B80" s="172" t="s">
        <v>469</v>
      </c>
      <c r="C80" s="173"/>
      <c r="D80" s="15">
        <f t="shared" si="5"/>
        <v>118826</v>
      </c>
      <c r="E80" s="18">
        <f>IF(F3="1",SUMIF(Data!A:A,'37'!$A$2,Data!EL:EL),0)</f>
        <v>405133</v>
      </c>
      <c r="F80" s="22">
        <f t="shared" si="4"/>
        <v>3.41</v>
      </c>
    </row>
    <row r="81" spans="1:6" x14ac:dyDescent="0.2">
      <c r="A81" s="20">
        <v>15</v>
      </c>
      <c r="B81" s="172" t="s">
        <v>13</v>
      </c>
      <c r="C81" s="173"/>
      <c r="D81" s="15">
        <f t="shared" si="5"/>
        <v>0</v>
      </c>
      <c r="E81" s="18">
        <f>IF(F3="1",SUMIF(Data!A:A,'37'!$A$2,Data!EM:EM),0)</f>
        <v>0</v>
      </c>
      <c r="F81" s="22" t="str">
        <f t="shared" si="4"/>
        <v/>
      </c>
    </row>
    <row r="82" spans="1:6" x14ac:dyDescent="0.2">
      <c r="A82" s="20">
        <v>16</v>
      </c>
      <c r="B82" s="172" t="s">
        <v>14</v>
      </c>
      <c r="C82" s="173"/>
      <c r="D82" s="15">
        <f t="shared" si="5"/>
        <v>168747</v>
      </c>
      <c r="E82" s="18">
        <f>IF(F3="1",SUMIF(Data!A:A,'37'!$A$2,Data!EN:EN),0)</f>
        <v>1004863</v>
      </c>
      <c r="F82" s="22">
        <f t="shared" si="4"/>
        <v>5.95</v>
      </c>
    </row>
    <row r="83" spans="1:6" x14ac:dyDescent="0.2">
      <c r="A83" s="20">
        <v>17</v>
      </c>
      <c r="B83" s="172" t="s">
        <v>15</v>
      </c>
      <c r="C83" s="173"/>
      <c r="D83" s="15">
        <f t="shared" si="5"/>
        <v>20992</v>
      </c>
      <c r="E83" s="18">
        <f>IF(F3="1",SUMIF(Data!A:A,'37'!$A$2,Data!EO:EO),0)</f>
        <v>115884</v>
      </c>
      <c r="F83" s="22">
        <f t="shared" si="4"/>
        <v>5.52</v>
      </c>
    </row>
    <row r="84" spans="1:6" x14ac:dyDescent="0.2">
      <c r="A84" s="20">
        <v>18</v>
      </c>
      <c r="B84" s="172" t="s">
        <v>16</v>
      </c>
      <c r="C84" s="173"/>
      <c r="D84" s="15">
        <f t="shared" si="5"/>
        <v>202976</v>
      </c>
      <c r="E84" s="18">
        <f>IF(F3="1",SUMIF(Data!A:A,'37'!$A$2,Data!EP:EP),0)</f>
        <v>686977</v>
      </c>
      <c r="F84" s="22">
        <f t="shared" si="4"/>
        <v>3.38</v>
      </c>
    </row>
    <row r="85" spans="1:6" x14ac:dyDescent="0.2">
      <c r="A85" s="20">
        <v>19</v>
      </c>
      <c r="B85" s="172" t="s">
        <v>17</v>
      </c>
      <c r="C85" s="173"/>
      <c r="D85" s="15">
        <f t="shared" si="5"/>
        <v>500936</v>
      </c>
      <c r="E85" s="18">
        <f>IF(F3="1",SUMIF(Data!A:A,'37'!$A$2,Data!EQ:EQ),0)</f>
        <v>1376962</v>
      </c>
      <c r="F85" s="22">
        <f t="shared" si="4"/>
        <v>2.75</v>
      </c>
    </row>
    <row r="86" spans="1:6" x14ac:dyDescent="0.2">
      <c r="A86" s="20">
        <v>20</v>
      </c>
      <c r="B86" s="172" t="s">
        <v>18</v>
      </c>
      <c r="C86" s="173"/>
      <c r="D86" s="15">
        <f t="shared" si="5"/>
        <v>57296</v>
      </c>
      <c r="E86" s="18">
        <f>IF(F3="1",SUMIF(Data!A:A,'37'!$A$2,Data!ER:ER),0)</f>
        <v>196532</v>
      </c>
      <c r="F86" s="22">
        <f t="shared" si="4"/>
        <v>3.43</v>
      </c>
    </row>
    <row r="87" spans="1:6" ht="14.25" customHeight="1" x14ac:dyDescent="0.2">
      <c r="A87" s="20">
        <v>21</v>
      </c>
      <c r="B87" s="172" t="s">
        <v>466</v>
      </c>
      <c r="C87" s="173"/>
      <c r="D87" s="15">
        <f t="shared" si="5"/>
        <v>38596</v>
      </c>
      <c r="E87" s="18">
        <f>IF(F3="1",SUMIF(Data!A:A,'37'!$A$2,Data!ES:ES),0)</f>
        <v>96181</v>
      </c>
      <c r="F87" s="22">
        <f t="shared" si="4"/>
        <v>2.4900000000000002</v>
      </c>
    </row>
    <row r="88" spans="1:6" x14ac:dyDescent="0.2">
      <c r="A88" s="20">
        <v>22</v>
      </c>
      <c r="B88" s="172" t="s">
        <v>19</v>
      </c>
      <c r="C88" s="173"/>
      <c r="D88" s="15">
        <f t="shared" si="5"/>
        <v>7264</v>
      </c>
      <c r="E88" s="18">
        <f>IF(F3="1",SUMIF(Data!A:A,'37'!$A$2,Data!ET:ET),0)</f>
        <v>96853</v>
      </c>
      <c r="F88" s="22">
        <f t="shared" si="4"/>
        <v>13.33</v>
      </c>
    </row>
    <row r="89" spans="1:6" x14ac:dyDescent="0.2">
      <c r="A89" s="20">
        <v>23</v>
      </c>
      <c r="B89" s="172" t="s">
        <v>20</v>
      </c>
      <c r="C89" s="173"/>
      <c r="D89" s="15">
        <f t="shared" si="5"/>
        <v>107712</v>
      </c>
      <c r="E89" s="18">
        <f>IF(F3="1",SUMIF(Data!A:A,'37'!$A$2,Data!EU:EU),0)</f>
        <v>865255</v>
      </c>
      <c r="F89" s="22">
        <f t="shared" si="4"/>
        <v>8.0299999999999994</v>
      </c>
    </row>
    <row r="90" spans="1:6" x14ac:dyDescent="0.2">
      <c r="A90" s="20">
        <v>24</v>
      </c>
      <c r="B90" s="172" t="s">
        <v>21</v>
      </c>
      <c r="C90" s="173"/>
      <c r="D90" s="15">
        <f t="shared" si="5"/>
        <v>155496</v>
      </c>
      <c r="E90" s="18">
        <f>IF(F3="1",SUMIF(Data!A:A,'37'!$A$2,Data!EV:EV),0)</f>
        <v>276712</v>
      </c>
      <c r="F90" s="22">
        <f t="shared" si="4"/>
        <v>1.78</v>
      </c>
    </row>
    <row r="91" spans="1:6" x14ac:dyDescent="0.2">
      <c r="A91" s="20">
        <v>25</v>
      </c>
      <c r="B91" s="172" t="s">
        <v>22</v>
      </c>
      <c r="C91" s="173"/>
      <c r="D91" s="15">
        <f t="shared" si="5"/>
        <v>781536</v>
      </c>
      <c r="E91" s="18">
        <f>IF(F3="1",SUMIF(Data!A:A,'37'!$A$2,Data!EW:EW),0)</f>
        <v>2223593</v>
      </c>
      <c r="F91" s="22">
        <f t="shared" si="4"/>
        <v>2.85</v>
      </c>
    </row>
    <row r="92" spans="1:6" x14ac:dyDescent="0.2">
      <c r="A92" s="20">
        <v>26</v>
      </c>
      <c r="B92" s="172" t="s">
        <v>23</v>
      </c>
      <c r="C92" s="173"/>
      <c r="D92" s="15">
        <f t="shared" si="5"/>
        <v>278100</v>
      </c>
      <c r="E92" s="18">
        <f>IF(F3="1",SUMIF(Data!A:A,'37'!$A$2,Data!EX:EX),0)</f>
        <v>1876815</v>
      </c>
      <c r="F92" s="22">
        <f t="shared" si="4"/>
        <v>6.75</v>
      </c>
    </row>
    <row r="93" spans="1:6" x14ac:dyDescent="0.2">
      <c r="A93" s="20">
        <v>28</v>
      </c>
      <c r="B93" s="172" t="s">
        <v>24</v>
      </c>
      <c r="C93" s="173"/>
      <c r="D93" s="15">
        <f t="shared" si="5"/>
        <v>0</v>
      </c>
      <c r="E93" s="18">
        <f>IF(F3="1",SUMIF(Data!A:A,'37'!$A$2,Data!EZ:EZ),0)</f>
        <v>0</v>
      </c>
      <c r="F93" s="22" t="str">
        <f t="shared" si="4"/>
        <v/>
      </c>
    </row>
    <row r="94" spans="1:6" ht="15.75" customHeight="1" thickBot="1" x14ac:dyDescent="0.25">
      <c r="A94" s="23">
        <v>29</v>
      </c>
      <c r="B94" s="174" t="s">
        <v>25</v>
      </c>
      <c r="C94" s="175"/>
      <c r="D94" s="24">
        <f t="shared" si="5"/>
        <v>0</v>
      </c>
      <c r="E94" s="25">
        <f>IF(F3="1",SUMIF(Data!A:A,'37'!$A$2,Data!FA:FA),0)</f>
        <v>0</v>
      </c>
      <c r="F94" s="26" t="str">
        <f t="shared" si="4"/>
        <v/>
      </c>
    </row>
    <row r="95" spans="1:6" x14ac:dyDescent="0.2">
      <c r="B95" s="31" t="s">
        <v>35</v>
      </c>
      <c r="C95" s="31"/>
      <c r="D95" s="61">
        <f>SUM(D67:D94)</f>
        <v>4290306</v>
      </c>
      <c r="E95" s="32">
        <f>SUM(E67:E94)</f>
        <v>15075143</v>
      </c>
      <c r="F95" s="33">
        <f t="shared" si="4"/>
        <v>3.51</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IF(F3="1",SUMIF(Data!A:A,'37'!$A$2,Data!AH:AH),0)</f>
        <v>3476081</v>
      </c>
      <c r="F98" s="21">
        <f>IF($D$105=0,"",ROUND(E98/$D$105,2))</f>
        <v>0.81</v>
      </c>
    </row>
    <row r="99" spans="2:6" x14ac:dyDescent="0.2">
      <c r="B99" s="178" t="s">
        <v>31</v>
      </c>
      <c r="C99" s="179"/>
      <c r="D99" s="37"/>
      <c r="E99" s="18">
        <f>IF(F3="1",SUMIF(Data!A:A,'37'!$A$2,Data!AI:AI),0)</f>
        <v>3457634</v>
      </c>
      <c r="F99" s="22">
        <f t="shared" ref="F99:F105" si="6">IF($D$105=0,"",ROUND(E99/$D$105,2))</f>
        <v>0.81</v>
      </c>
    </row>
    <row r="100" spans="2:6" x14ac:dyDescent="0.2">
      <c r="B100" s="178" t="s">
        <v>32</v>
      </c>
      <c r="C100" s="179"/>
      <c r="D100" s="37"/>
      <c r="E100" s="18">
        <f>IF(F3="1",SUMIF(Data!A:A,'37'!$A$2,Data!AJ:AJ),0)</f>
        <v>1592905</v>
      </c>
      <c r="F100" s="22">
        <f t="shared" si="6"/>
        <v>0.37</v>
      </c>
    </row>
    <row r="101" spans="2:6" x14ac:dyDescent="0.2">
      <c r="B101" s="178" t="s">
        <v>28</v>
      </c>
      <c r="C101" s="179"/>
      <c r="D101" s="37"/>
      <c r="E101" s="18">
        <f>IF(F3="1",SUMIF(Data!A:A,'37'!$A$2,Data!AK:AK),0)</f>
        <v>0</v>
      </c>
      <c r="F101" s="22">
        <f t="shared" si="6"/>
        <v>0</v>
      </c>
    </row>
    <row r="102" spans="2:6" x14ac:dyDescent="0.2">
      <c r="B102" s="178" t="s">
        <v>33</v>
      </c>
      <c r="C102" s="179"/>
      <c r="D102" s="37"/>
      <c r="E102" s="18">
        <f>IF(F3="1",SUMIF(Data!A:A,'37'!$A$2,Data!AL:AL),0)</f>
        <v>107519</v>
      </c>
      <c r="F102" s="22">
        <f t="shared" si="6"/>
        <v>0.03</v>
      </c>
    </row>
    <row r="103" spans="2:6" x14ac:dyDescent="0.2">
      <c r="B103" s="180" t="s">
        <v>34</v>
      </c>
      <c r="C103" s="181"/>
      <c r="D103" s="37"/>
      <c r="E103" s="18">
        <f>IF(F3="1",SUMIF(Data!A:A,'37'!$A$2,Data!AM:AM),0)</f>
        <v>732942</v>
      </c>
      <c r="F103" s="22">
        <f t="shared" si="6"/>
        <v>0.17</v>
      </c>
    </row>
    <row r="104" spans="2:6" ht="15.75" customHeight="1" thickBot="1" x14ac:dyDescent="0.25">
      <c r="B104" s="170" t="s">
        <v>29</v>
      </c>
      <c r="C104" s="171"/>
      <c r="D104" s="38"/>
      <c r="E104" s="25">
        <f>IF(F3="1",SUMIF(Data!A:A,'37'!$A$2,Data!Q:Q),0)</f>
        <v>1310482</v>
      </c>
      <c r="F104" s="26">
        <f t="shared" si="6"/>
        <v>0.31</v>
      </c>
    </row>
    <row r="105" spans="2:6" x14ac:dyDescent="0.2">
      <c r="B105" s="31" t="s">
        <v>35</v>
      </c>
      <c r="C105" s="31"/>
      <c r="D105" s="35">
        <f>D95</f>
        <v>4290306</v>
      </c>
      <c r="E105" s="32">
        <f>SUM(E98:E104)</f>
        <v>10677563</v>
      </c>
      <c r="F105" s="33">
        <f t="shared" si="6"/>
        <v>2.4900000000000002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15075143</v>
      </c>
      <c r="D109" s="16">
        <f>IF(F3="1",SUMIF(Data!$A:$A,$A$2,Data!HJ:HJ),0)</f>
        <v>2237473</v>
      </c>
      <c r="E109" s="16">
        <f>IF(F3="1",SUMIF(Data!$A:$A,$A$2,Data!IN:IN),0)</f>
        <v>1394385</v>
      </c>
      <c r="F109" s="48">
        <f>SUM(C109:E109)</f>
        <v>18707001</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413047</v>
      </c>
      <c r="D111" s="52"/>
      <c r="E111" s="51">
        <f>IF(F3="1",SUMIF(Data!A:A,$A$2,Data!AX:AX),0)</f>
        <v>510288</v>
      </c>
      <c r="F111" s="49">
        <f t="shared" si="7"/>
        <v>923335</v>
      </c>
    </row>
    <row r="112" spans="2:6" x14ac:dyDescent="0.2">
      <c r="B112" s="43" t="s">
        <v>32</v>
      </c>
      <c r="C112" s="51">
        <f>IF(F3="1",SUMIF(Data!A:A,$A$2,Data!V:V),0)</f>
        <v>1226243</v>
      </c>
      <c r="D112" s="52"/>
      <c r="E112" s="51">
        <f>IF(F3="1",SUMIF(Data!A:A,$A$2,Data!AC:AC),0)</f>
        <v>366662</v>
      </c>
      <c r="F112" s="49">
        <f t="shared" si="7"/>
        <v>1592905</v>
      </c>
    </row>
    <row r="113" spans="1:6" x14ac:dyDescent="0.2">
      <c r="B113" s="43" t="s">
        <v>31</v>
      </c>
      <c r="C113" s="51">
        <f>IF(F3="1",SUMIF(Data!A:A,$A$2,Data!U:U),0)</f>
        <v>2432246</v>
      </c>
      <c r="D113" s="52"/>
      <c r="E113" s="51">
        <f>IF(F3="1",SUMIF(Data!A:A,$A$2,Data!AB:AB),0)</f>
        <v>1025388</v>
      </c>
      <c r="F113" s="49">
        <f t="shared" si="7"/>
        <v>3457634</v>
      </c>
    </row>
    <row r="114" spans="1:6" x14ac:dyDescent="0.2">
      <c r="B114" s="43" t="s">
        <v>1021</v>
      </c>
      <c r="C114" s="51">
        <f>IF(F3="1",SUMIF(Data!A:A,$A$2,Data!T:T),0)</f>
        <v>2005955</v>
      </c>
      <c r="D114" s="52"/>
      <c r="E114" s="51">
        <f>IF(F3="1",SUMIF(Data!A:A,$A$2,Data!AA:AA),0)</f>
        <v>1470126</v>
      </c>
      <c r="F114" s="49">
        <f t="shared" si="7"/>
        <v>3476081</v>
      </c>
    </row>
    <row r="115" spans="1:6" x14ac:dyDescent="0.2">
      <c r="B115" s="43" t="s">
        <v>937</v>
      </c>
      <c r="C115" s="51">
        <f>IF(F3="1",SUMIF(Data!A:A,$A$2,Data!BI:BI),0)</f>
        <v>1637535</v>
      </c>
      <c r="D115" s="51">
        <f>IF(F3="1",SUMIF(Data!A:A,$A$2,Data!BL:BL),0)</f>
        <v>850883</v>
      </c>
      <c r="E115" s="51">
        <f>IF(F3="1",SUMIF(Data!A:A,$A$2,Data!BU:BU),0)</f>
        <v>3138854</v>
      </c>
      <c r="F115" s="49">
        <f t="shared" si="7"/>
        <v>5627272</v>
      </c>
    </row>
    <row r="116" spans="1:6" x14ac:dyDescent="0.2">
      <c r="B116" s="43" t="s">
        <v>33</v>
      </c>
      <c r="C116" s="51">
        <f>IF(F3="1",SUMIF(Data!A:A,$A$2,Data!X:X),0)</f>
        <v>0</v>
      </c>
      <c r="D116" s="51"/>
      <c r="E116" s="51">
        <f>E102</f>
        <v>107519</v>
      </c>
      <c r="F116" s="49">
        <f t="shared" si="7"/>
        <v>107519</v>
      </c>
    </row>
    <row r="117" spans="1:6" ht="15" thickBot="1" x14ac:dyDescent="0.25">
      <c r="B117" s="44" t="s">
        <v>941</v>
      </c>
      <c r="C117" s="53"/>
      <c r="D117" s="53">
        <f>IF(F3="1",SUMIF(Data!A:A,$A$2,Data!Q:Q),0)</f>
        <v>1310482</v>
      </c>
      <c r="E117" s="53"/>
      <c r="F117" s="50">
        <f>SUM(C117:E117)</f>
        <v>1310482</v>
      </c>
    </row>
    <row r="118" spans="1:6" x14ac:dyDescent="0.2">
      <c r="B118" s="14" t="s">
        <v>35</v>
      </c>
      <c r="C118" s="5">
        <f>SUM(C109:C116)</f>
        <v>22790169</v>
      </c>
      <c r="D118" s="5">
        <f>SUM(D109:D116)</f>
        <v>3088356</v>
      </c>
      <c r="E118" s="5">
        <f>SUM(E109:E116)</f>
        <v>8013222</v>
      </c>
      <c r="F118" s="5">
        <f>SUM(F109:F116)</f>
        <v>33891747</v>
      </c>
    </row>
    <row r="119" spans="1:6" ht="15" thickBot="1" x14ac:dyDescent="0.25"/>
    <row r="120" spans="1:6" ht="15" thickBot="1" x14ac:dyDescent="0.25">
      <c r="B120" s="57" t="s">
        <v>942</v>
      </c>
      <c r="C120" s="55"/>
      <c r="D120" s="55"/>
      <c r="E120" s="55">
        <f>IF(F3="1",SUMIF(Data!A:A,'37'!$A$2,Data!AM:AM),0)</f>
        <v>732942</v>
      </c>
      <c r="F120" s="56">
        <f>SUM(C120:E120)</f>
        <v>732942</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5703125" style="11" bestFit="1" customWidth="1"/>
    <col min="13" max="13" width="13.425781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458</v>
      </c>
      <c r="B2" s="60" t="str">
        <f>VLOOKUP(A2,Data!A:G,7,0)</f>
        <v>South Texas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21648</v>
      </c>
      <c r="E5" s="16">
        <f>E36+E67+IFERROR($E$105/$D$105*D5,0)</f>
        <v>153312.61126847926</v>
      </c>
      <c r="F5" s="21">
        <f>IF(OR(D5=0,E5=0),"",ROUND(E5/D5,2))</f>
        <v>7.08</v>
      </c>
    </row>
    <row r="6" spans="1:6" x14ac:dyDescent="0.2">
      <c r="A6" s="20">
        <v>2</v>
      </c>
      <c r="B6" s="172" t="s">
        <v>1</v>
      </c>
      <c r="C6" s="173"/>
      <c r="D6" s="15">
        <f t="shared" ref="D6:D32" si="0">D37</f>
        <v>83592</v>
      </c>
      <c r="E6" s="18">
        <f t="shared" ref="E6:E32" si="1">E37+E68+IFERROR($E$105/$D$105*D6,0)</f>
        <v>1552731.7417384847</v>
      </c>
      <c r="F6" s="22">
        <f t="shared" ref="F6:F33" si="2">IF(OR(D6=0,E6=0),"",ROUND(E6/D6,2))</f>
        <v>18.579999999999998</v>
      </c>
    </row>
    <row r="7" spans="1:6" ht="14.25" customHeight="1" x14ac:dyDescent="0.2">
      <c r="A7" s="20">
        <v>3</v>
      </c>
      <c r="B7" s="172" t="s">
        <v>2</v>
      </c>
      <c r="C7" s="173"/>
      <c r="D7" s="15">
        <f t="shared" si="0"/>
        <v>967680</v>
      </c>
      <c r="E7" s="18">
        <f t="shared" si="1"/>
        <v>6853176.6278770333</v>
      </c>
      <c r="F7" s="22">
        <f t="shared" si="2"/>
        <v>7.08</v>
      </c>
    </row>
    <row r="8" spans="1:6" ht="14.25" customHeight="1" x14ac:dyDescent="0.2">
      <c r="A8" s="20">
        <v>4</v>
      </c>
      <c r="B8" s="172" t="s">
        <v>3</v>
      </c>
      <c r="C8" s="173"/>
      <c r="D8" s="15">
        <f t="shared" si="0"/>
        <v>571718</v>
      </c>
      <c r="E8" s="18">
        <f t="shared" si="1"/>
        <v>3409206.062508889</v>
      </c>
      <c r="F8" s="22">
        <f t="shared" si="2"/>
        <v>5.96</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8888</v>
      </c>
      <c r="E10" s="18">
        <f t="shared" si="1"/>
        <v>92415.299748440681</v>
      </c>
      <c r="F10" s="22">
        <f t="shared" si="2"/>
        <v>10.4</v>
      </c>
    </row>
    <row r="11" spans="1:6" x14ac:dyDescent="0.2">
      <c r="A11" s="20">
        <v>7</v>
      </c>
      <c r="B11" s="172" t="s">
        <v>6</v>
      </c>
      <c r="C11" s="173"/>
      <c r="D11" s="15">
        <f t="shared" si="0"/>
        <v>564948</v>
      </c>
      <c r="E11" s="18">
        <f t="shared" si="1"/>
        <v>4452827.0853152638</v>
      </c>
      <c r="F11" s="22">
        <f t="shared" si="2"/>
        <v>7.88</v>
      </c>
    </row>
    <row r="12" spans="1:6" x14ac:dyDescent="0.2">
      <c r="A12" s="20">
        <v>8</v>
      </c>
      <c r="B12" s="172" t="s">
        <v>7</v>
      </c>
      <c r="C12" s="173"/>
      <c r="D12" s="15">
        <f t="shared" si="0"/>
        <v>29098</v>
      </c>
      <c r="E12" s="18">
        <f t="shared" si="1"/>
        <v>373455.50788480276</v>
      </c>
      <c r="F12" s="22">
        <f t="shared" si="2"/>
        <v>12.83</v>
      </c>
    </row>
    <row r="13" spans="1:6" x14ac:dyDescent="0.2">
      <c r="A13" s="20">
        <v>9</v>
      </c>
      <c r="B13" s="172" t="s">
        <v>8</v>
      </c>
      <c r="C13" s="173"/>
      <c r="D13" s="15">
        <f t="shared" si="0"/>
        <v>211268</v>
      </c>
      <c r="E13" s="18">
        <f t="shared" si="1"/>
        <v>2085045.4067567016</v>
      </c>
      <c r="F13" s="22">
        <f t="shared" si="2"/>
        <v>9.8699999999999992</v>
      </c>
    </row>
    <row r="14" spans="1:6" x14ac:dyDescent="0.2">
      <c r="A14" s="20">
        <v>10</v>
      </c>
      <c r="B14" s="172" t="s">
        <v>9</v>
      </c>
      <c r="C14" s="173"/>
      <c r="D14" s="15">
        <f t="shared" si="0"/>
        <v>13536</v>
      </c>
      <c r="E14" s="18">
        <f t="shared" si="1"/>
        <v>89953.925449470407</v>
      </c>
      <c r="F14" s="22">
        <f t="shared" si="2"/>
        <v>6.65</v>
      </c>
    </row>
    <row r="15" spans="1:6" x14ac:dyDescent="0.2">
      <c r="A15" s="20">
        <v>11</v>
      </c>
      <c r="B15" s="172" t="s">
        <v>10</v>
      </c>
      <c r="C15" s="173"/>
      <c r="D15" s="15">
        <f t="shared" si="0"/>
        <v>198545</v>
      </c>
      <c r="E15" s="18">
        <f t="shared" si="1"/>
        <v>1181340.8629111336</v>
      </c>
      <c r="F15" s="22">
        <f t="shared" si="2"/>
        <v>5.95</v>
      </c>
    </row>
    <row r="16" spans="1:6" ht="14.25" customHeight="1" x14ac:dyDescent="0.2">
      <c r="A16" s="20">
        <v>12</v>
      </c>
      <c r="B16" s="172" t="s">
        <v>11</v>
      </c>
      <c r="C16" s="173"/>
      <c r="D16" s="15">
        <f t="shared" si="0"/>
        <v>1324068</v>
      </c>
      <c r="E16" s="18">
        <f t="shared" si="1"/>
        <v>12006096.897313045</v>
      </c>
      <c r="F16" s="22">
        <f t="shared" si="2"/>
        <v>9.07</v>
      </c>
    </row>
    <row r="17" spans="1:6" x14ac:dyDescent="0.2">
      <c r="A17" s="20">
        <v>13</v>
      </c>
      <c r="B17" s="172" t="s">
        <v>12</v>
      </c>
      <c r="C17" s="173"/>
      <c r="D17" s="15">
        <f t="shared" si="0"/>
        <v>278480</v>
      </c>
      <c r="E17" s="18">
        <f t="shared" si="1"/>
        <v>1930637.6482837263</v>
      </c>
      <c r="F17" s="22">
        <f t="shared" si="2"/>
        <v>6.93</v>
      </c>
    </row>
    <row r="18" spans="1:6" ht="14.25" customHeight="1" x14ac:dyDescent="0.2">
      <c r="A18" s="20">
        <v>14</v>
      </c>
      <c r="B18" s="172" t="s">
        <v>469</v>
      </c>
      <c r="C18" s="173"/>
      <c r="D18" s="15">
        <f t="shared" si="0"/>
        <v>282336</v>
      </c>
      <c r="E18" s="18">
        <f t="shared" si="1"/>
        <v>2905764.5443042018</v>
      </c>
      <c r="F18" s="22">
        <f t="shared" si="2"/>
        <v>10.29</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285288</v>
      </c>
      <c r="E20" s="18">
        <f t="shared" si="1"/>
        <v>3815259.9003862673</v>
      </c>
      <c r="F20" s="22">
        <f t="shared" si="2"/>
        <v>13.37</v>
      </c>
    </row>
    <row r="21" spans="1:6" x14ac:dyDescent="0.2">
      <c r="A21" s="20">
        <v>17</v>
      </c>
      <c r="B21" s="172" t="s">
        <v>15</v>
      </c>
      <c r="C21" s="173"/>
      <c r="D21" s="15">
        <f t="shared" si="0"/>
        <v>19200</v>
      </c>
      <c r="E21" s="18">
        <f t="shared" si="1"/>
        <v>323206.90134676651</v>
      </c>
      <c r="F21" s="22">
        <f t="shared" si="2"/>
        <v>16.829999999999998</v>
      </c>
    </row>
    <row r="22" spans="1:6" x14ac:dyDescent="0.2">
      <c r="A22" s="20">
        <v>18</v>
      </c>
      <c r="B22" s="172" t="s">
        <v>16</v>
      </c>
      <c r="C22" s="173"/>
      <c r="D22" s="15">
        <f t="shared" si="0"/>
        <v>223136</v>
      </c>
      <c r="E22" s="18">
        <f t="shared" si="1"/>
        <v>2448338.2651516716</v>
      </c>
      <c r="F22" s="22">
        <f t="shared" si="2"/>
        <v>10.97</v>
      </c>
    </row>
    <row r="23" spans="1:6" x14ac:dyDescent="0.2">
      <c r="A23" s="20">
        <v>19</v>
      </c>
      <c r="B23" s="172" t="s">
        <v>17</v>
      </c>
      <c r="C23" s="173"/>
      <c r="D23" s="15">
        <f t="shared" si="0"/>
        <v>1079176</v>
      </c>
      <c r="E23" s="18">
        <f t="shared" si="1"/>
        <v>7365547.2395728193</v>
      </c>
      <c r="F23" s="22">
        <f t="shared" si="2"/>
        <v>6.83</v>
      </c>
    </row>
    <row r="24" spans="1:6" x14ac:dyDescent="0.2">
      <c r="A24" s="20">
        <v>20</v>
      </c>
      <c r="B24" s="172" t="s">
        <v>18</v>
      </c>
      <c r="C24" s="173"/>
      <c r="D24" s="15">
        <f t="shared" si="0"/>
        <v>135712</v>
      </c>
      <c r="E24" s="18">
        <f t="shared" si="1"/>
        <v>1048583.8010193948</v>
      </c>
      <c r="F24" s="22">
        <f t="shared" si="2"/>
        <v>7.73</v>
      </c>
    </row>
    <row r="25" spans="1:6" ht="14.25" customHeight="1" x14ac:dyDescent="0.2">
      <c r="A25" s="20">
        <v>21</v>
      </c>
      <c r="B25" s="172" t="s">
        <v>466</v>
      </c>
      <c r="C25" s="173"/>
      <c r="D25" s="15">
        <f t="shared" si="0"/>
        <v>66388</v>
      </c>
      <c r="E25" s="18">
        <f t="shared" si="1"/>
        <v>599595.28034422593</v>
      </c>
      <c r="F25" s="22">
        <f t="shared" si="2"/>
        <v>9.0299999999999994</v>
      </c>
    </row>
    <row r="26" spans="1:6" x14ac:dyDescent="0.2">
      <c r="A26" s="20">
        <v>22</v>
      </c>
      <c r="B26" s="172" t="s">
        <v>19</v>
      </c>
      <c r="C26" s="173"/>
      <c r="D26" s="15">
        <f t="shared" si="0"/>
        <v>86160</v>
      </c>
      <c r="E26" s="18">
        <f t="shared" si="1"/>
        <v>964748.31979361479</v>
      </c>
      <c r="F26" s="22">
        <f t="shared" si="2"/>
        <v>11.2</v>
      </c>
    </row>
    <row r="27" spans="1:6" x14ac:dyDescent="0.2">
      <c r="A27" s="20">
        <v>23</v>
      </c>
      <c r="B27" s="172" t="s">
        <v>20</v>
      </c>
      <c r="C27" s="173"/>
      <c r="D27" s="15">
        <f t="shared" si="0"/>
        <v>63552</v>
      </c>
      <c r="E27" s="18">
        <f t="shared" si="1"/>
        <v>697695.76345779723</v>
      </c>
      <c r="F27" s="22">
        <f t="shared" si="2"/>
        <v>10.98</v>
      </c>
    </row>
    <row r="28" spans="1:6" x14ac:dyDescent="0.2">
      <c r="A28" s="20">
        <v>24</v>
      </c>
      <c r="B28" s="172" t="s">
        <v>21</v>
      </c>
      <c r="C28" s="173"/>
      <c r="D28" s="15">
        <f t="shared" si="0"/>
        <v>87536</v>
      </c>
      <c r="E28" s="18">
        <f t="shared" si="1"/>
        <v>771417.2743901331</v>
      </c>
      <c r="F28" s="22">
        <f t="shared" si="2"/>
        <v>8.81</v>
      </c>
    </row>
    <row r="29" spans="1:6" x14ac:dyDescent="0.2">
      <c r="A29" s="20">
        <v>25</v>
      </c>
      <c r="B29" s="172" t="s">
        <v>22</v>
      </c>
      <c r="C29" s="173"/>
      <c r="D29" s="15">
        <f t="shared" si="0"/>
        <v>1140912</v>
      </c>
      <c r="E29" s="18">
        <f t="shared" si="1"/>
        <v>8365913.8652782347</v>
      </c>
      <c r="F29" s="22">
        <f t="shared" si="2"/>
        <v>7.33</v>
      </c>
    </row>
    <row r="30" spans="1:6" x14ac:dyDescent="0.2">
      <c r="A30" s="20">
        <v>26</v>
      </c>
      <c r="B30" s="172" t="s">
        <v>23</v>
      </c>
      <c r="C30" s="173"/>
      <c r="D30" s="15">
        <f t="shared" si="0"/>
        <v>237360</v>
      </c>
      <c r="E30" s="18">
        <f t="shared" si="1"/>
        <v>1781054.1678994014</v>
      </c>
      <c r="F30" s="22">
        <f t="shared" si="2"/>
        <v>7.5</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7980225</v>
      </c>
      <c r="E33" s="32">
        <f>SUM(E5:E32)</f>
        <v>65267325</v>
      </c>
      <c r="F33" s="33">
        <f t="shared" si="2"/>
        <v>8.18</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IF(F3="1",SUMIF(Data!A:A,'38'!$A$2,Data!CU:CU),0)</f>
        <v>21648</v>
      </c>
      <c r="E36" s="16">
        <f>IF(F3="1",SUMIF(Data!$A:$A,'38'!$A$2,Data!IO:IO),0)</f>
        <v>19094</v>
      </c>
      <c r="F36" s="21">
        <f>IF(D36=0,"",ROUND(E36/D36,2))</f>
        <v>0.88</v>
      </c>
    </row>
    <row r="37" spans="1:6" x14ac:dyDescent="0.2">
      <c r="A37" s="20">
        <v>2</v>
      </c>
      <c r="B37" s="172" t="s">
        <v>1</v>
      </c>
      <c r="C37" s="173"/>
      <c r="D37" s="15">
        <f>IF(F3="1",SUMIF(Data!A:A,'38'!$A$2,Data!CV:CV),0)</f>
        <v>83592</v>
      </c>
      <c r="E37" s="18">
        <f>IF(F3="1",SUMIF(Data!$A:$A,'38'!$A$2,Data!IP:IP),0)</f>
        <v>449316</v>
      </c>
      <c r="F37" s="22">
        <f t="shared" ref="F37:F64" si="3">IF(D37=0,"",ROUND(E37/D37,2))</f>
        <v>5.38</v>
      </c>
    </row>
    <row r="38" spans="1:6" ht="14.25" customHeight="1" x14ac:dyDescent="0.2">
      <c r="A38" s="20">
        <v>3</v>
      </c>
      <c r="B38" s="172" t="s">
        <v>2</v>
      </c>
      <c r="C38" s="173"/>
      <c r="D38" s="15">
        <f>IF(F3="1",SUMIF(Data!A:A,'38'!$A$2,Data!CW:CW),0)</f>
        <v>967680</v>
      </c>
      <c r="E38" s="18">
        <f>IF(F3="1",SUMIF(Data!$A:$A,'38'!$A$2,Data!IQ:IQ),0)</f>
        <v>853536</v>
      </c>
      <c r="F38" s="22">
        <f t="shared" si="3"/>
        <v>0.88</v>
      </c>
    </row>
    <row r="39" spans="1:6" ht="14.25" customHeight="1" x14ac:dyDescent="0.2">
      <c r="A39" s="20">
        <v>4</v>
      </c>
      <c r="B39" s="172" t="s">
        <v>3</v>
      </c>
      <c r="C39" s="173"/>
      <c r="D39" s="15">
        <f>IF(F3="1",SUMIF(Data!A:A,'38'!$A$2,Data!CX:CX),0)</f>
        <v>571718</v>
      </c>
      <c r="E39" s="18">
        <f>IF(F3="1",SUMIF(Data!$A:$A,'38'!$A$2,Data!IR:IR),0)</f>
        <v>373053</v>
      </c>
      <c r="F39" s="22">
        <f t="shared" si="3"/>
        <v>0.65</v>
      </c>
    </row>
    <row r="40" spans="1:6" x14ac:dyDescent="0.2">
      <c r="A40" s="20">
        <v>5</v>
      </c>
      <c r="B40" s="172" t="s">
        <v>4</v>
      </c>
      <c r="C40" s="173"/>
      <c r="D40" s="15">
        <f>IF(F3="1",SUMIF(Data!A:A,'38'!$A$2,Data!CY:CY),0)</f>
        <v>0</v>
      </c>
      <c r="E40" s="18">
        <f>IF(F3="1",SUMIF(Data!$A:$A,'38'!$A$2,Data!IS:IS),0)</f>
        <v>0</v>
      </c>
      <c r="F40" s="22" t="str">
        <f t="shared" si="3"/>
        <v/>
      </c>
    </row>
    <row r="41" spans="1:6" x14ac:dyDescent="0.2">
      <c r="A41" s="20">
        <v>6</v>
      </c>
      <c r="B41" s="172" t="s">
        <v>5</v>
      </c>
      <c r="C41" s="173"/>
      <c r="D41" s="15">
        <f>IF(F3="1",SUMIF(Data!A:A,'38'!$A$2,Data!CZ:CZ),0)</f>
        <v>8888</v>
      </c>
      <c r="E41" s="18">
        <f>IF(F3="1",SUMIF(Data!$A:$A,'38'!$A$2,Data!IT:IT),0)</f>
        <v>34576</v>
      </c>
      <c r="F41" s="22">
        <f t="shared" si="3"/>
        <v>3.89</v>
      </c>
    </row>
    <row r="42" spans="1:6" x14ac:dyDescent="0.2">
      <c r="A42" s="20">
        <v>7</v>
      </c>
      <c r="B42" s="172" t="s">
        <v>6</v>
      </c>
      <c r="C42" s="173"/>
      <c r="D42" s="15">
        <f>IF(F3="1",SUMIF(Data!A:A,'38'!$A$2,Data!DA:DA),0)</f>
        <v>564948</v>
      </c>
      <c r="E42" s="18">
        <f>IF(F3="1",SUMIF(Data!$A:$A,'38'!$A$2,Data!IU:IU),0)</f>
        <v>776420</v>
      </c>
      <c r="F42" s="22">
        <f t="shared" si="3"/>
        <v>1.37</v>
      </c>
    </row>
    <row r="43" spans="1:6" x14ac:dyDescent="0.2">
      <c r="A43" s="20">
        <v>8</v>
      </c>
      <c r="B43" s="172" t="s">
        <v>7</v>
      </c>
      <c r="C43" s="173"/>
      <c r="D43" s="15">
        <f>IF(F3="1",SUMIF(Data!A:A,'38'!$A$2,Data!DB:DB),0)</f>
        <v>29098</v>
      </c>
      <c r="E43" s="18">
        <f>IF(F3="1",SUMIF(Data!$A:$A,'38'!$A$2,Data!IV:IV),0)</f>
        <v>150138</v>
      </c>
      <c r="F43" s="22">
        <f t="shared" si="3"/>
        <v>5.16</v>
      </c>
    </row>
    <row r="44" spans="1:6" x14ac:dyDescent="0.2">
      <c r="A44" s="20">
        <v>9</v>
      </c>
      <c r="B44" s="172" t="s">
        <v>8</v>
      </c>
      <c r="C44" s="173"/>
      <c r="D44" s="15">
        <f>IF(F3="1",SUMIF(Data!A:A,'38'!$A$2,Data!DC:DC),0)</f>
        <v>211268</v>
      </c>
      <c r="E44" s="18">
        <f>IF(F3="1",SUMIF(Data!$A:$A,'38'!$A$2,Data!IW:IW),0)</f>
        <v>516339</v>
      </c>
      <c r="F44" s="22">
        <f t="shared" si="3"/>
        <v>2.44</v>
      </c>
    </row>
    <row r="45" spans="1:6" x14ac:dyDescent="0.2">
      <c r="A45" s="20">
        <v>10</v>
      </c>
      <c r="B45" s="172" t="s">
        <v>9</v>
      </c>
      <c r="C45" s="173"/>
      <c r="D45" s="15">
        <f>IF(F3="1",SUMIF(Data!A:A,'38'!$A$2,Data!DD:DD),0)</f>
        <v>13536</v>
      </c>
      <c r="E45" s="18">
        <f>IF(F3="1",SUMIF(Data!$A:$A,'38'!$A$2,Data!IX:IX),0)</f>
        <v>9238</v>
      </c>
      <c r="F45" s="22">
        <f t="shared" si="3"/>
        <v>0.68</v>
      </c>
    </row>
    <row r="46" spans="1:6" x14ac:dyDescent="0.2">
      <c r="A46" s="20">
        <v>11</v>
      </c>
      <c r="B46" s="172" t="s">
        <v>10</v>
      </c>
      <c r="C46" s="173"/>
      <c r="D46" s="15">
        <f>IF(F3="1",SUMIF(Data!A:A,'38'!$A$2,Data!DE:DE),0)</f>
        <v>198545</v>
      </c>
      <c r="E46" s="18">
        <f>IF(F3="1",SUMIF(Data!$A:$A,'38'!$A$2,Data!IY:IY),0)</f>
        <v>253775</v>
      </c>
      <c r="F46" s="22">
        <f t="shared" si="3"/>
        <v>1.28</v>
      </c>
    </row>
    <row r="47" spans="1:6" ht="14.25" customHeight="1" x14ac:dyDescent="0.2">
      <c r="A47" s="20">
        <v>12</v>
      </c>
      <c r="B47" s="172" t="s">
        <v>11</v>
      </c>
      <c r="C47" s="173"/>
      <c r="D47" s="15">
        <f>IF(F3="1",SUMIF(Data!A:A,'38'!$A$2,Data!DF:DF),0)</f>
        <v>1324068</v>
      </c>
      <c r="E47" s="18">
        <f>IF(F3="1",SUMIF(Data!$A:$A,'38'!$A$2,Data!IZ:IZ),0)</f>
        <v>2107215</v>
      </c>
      <c r="F47" s="22">
        <f t="shared" si="3"/>
        <v>1.59</v>
      </c>
    </row>
    <row r="48" spans="1:6" x14ac:dyDescent="0.2">
      <c r="A48" s="20">
        <v>13</v>
      </c>
      <c r="B48" s="172" t="s">
        <v>12</v>
      </c>
      <c r="C48" s="173"/>
      <c r="D48" s="15">
        <f>IF(F3="1",SUMIF(Data!A:A,'38'!$A$2,Data!DG:DG),0)</f>
        <v>278480</v>
      </c>
      <c r="E48" s="18">
        <f>IF(F3="1",SUMIF(Data!$A:$A,'38'!$A$2,Data!JA:JA),0)</f>
        <v>130292</v>
      </c>
      <c r="F48" s="22">
        <f t="shared" si="3"/>
        <v>0.47</v>
      </c>
    </row>
    <row r="49" spans="1:6" ht="14.25" customHeight="1" x14ac:dyDescent="0.2">
      <c r="A49" s="20">
        <v>14</v>
      </c>
      <c r="B49" s="172" t="s">
        <v>469</v>
      </c>
      <c r="C49" s="173"/>
      <c r="D49" s="15">
        <f>IF(F3="1",SUMIF(Data!A:A,'38'!$A$2,Data!DH:DH),0)</f>
        <v>282336</v>
      </c>
      <c r="E49" s="18">
        <f>IF(F3="1",SUMIF(Data!$A:$A,'38'!$A$2,Data!JB:JB),0)</f>
        <v>611615</v>
      </c>
      <c r="F49" s="22">
        <f t="shared" si="3"/>
        <v>2.17</v>
      </c>
    </row>
    <row r="50" spans="1:6" x14ac:dyDescent="0.2">
      <c r="A50" s="20">
        <v>15</v>
      </c>
      <c r="B50" s="172" t="s">
        <v>13</v>
      </c>
      <c r="C50" s="173"/>
      <c r="D50" s="15">
        <f>IF(F3="1",SUMIF(Data!A:A,'38'!$A$2,Data!DI:DI),0)</f>
        <v>0</v>
      </c>
      <c r="E50" s="18">
        <f>IF(F3="1",SUMIF(Data!$A:$A,'38'!$A$2,Data!JC:JC),0)</f>
        <v>0</v>
      </c>
      <c r="F50" s="22" t="str">
        <f t="shared" si="3"/>
        <v/>
      </c>
    </row>
    <row r="51" spans="1:6" x14ac:dyDescent="0.2">
      <c r="A51" s="20">
        <v>16</v>
      </c>
      <c r="B51" s="172" t="s">
        <v>14</v>
      </c>
      <c r="C51" s="173"/>
      <c r="D51" s="15">
        <f>IF(F3="1",SUMIF(Data!A:A,'38'!$A$2,Data!DJ:DJ),0)</f>
        <v>285288</v>
      </c>
      <c r="E51" s="18">
        <f>IF(F3="1",SUMIF(Data!$A:$A,'38'!$A$2,Data!JD:JD),0)</f>
        <v>1106830</v>
      </c>
      <c r="F51" s="22">
        <f t="shared" si="3"/>
        <v>3.88</v>
      </c>
    </row>
    <row r="52" spans="1:6" x14ac:dyDescent="0.2">
      <c r="A52" s="20">
        <v>17</v>
      </c>
      <c r="B52" s="172" t="s">
        <v>15</v>
      </c>
      <c r="C52" s="173"/>
      <c r="D52" s="15">
        <f>IF(F3="1",SUMIF(Data!A:A,'38'!$A$2,Data!DK:DK),0)</f>
        <v>19200</v>
      </c>
      <c r="E52" s="18">
        <f>IF(F3="1",SUMIF(Data!$A:$A,'38'!$A$2,Data!JE:JE),0)</f>
        <v>127110</v>
      </c>
      <c r="F52" s="22">
        <f t="shared" si="3"/>
        <v>6.62</v>
      </c>
    </row>
    <row r="53" spans="1:6" x14ac:dyDescent="0.2">
      <c r="A53" s="20">
        <v>18</v>
      </c>
      <c r="B53" s="172" t="s">
        <v>16</v>
      </c>
      <c r="C53" s="173"/>
      <c r="D53" s="15">
        <f>IF(F3="1",SUMIF(Data!A:A,'38'!$A$2,Data!DL:DL),0)</f>
        <v>223136</v>
      </c>
      <c r="E53" s="18">
        <f>IF(F3="1",SUMIF(Data!$A:$A,'38'!$A$2,Data!JF:JF),0)</f>
        <v>492040</v>
      </c>
      <c r="F53" s="22">
        <f t="shared" si="3"/>
        <v>2.21</v>
      </c>
    </row>
    <row r="54" spans="1:6" x14ac:dyDescent="0.2">
      <c r="A54" s="20">
        <v>19</v>
      </c>
      <c r="B54" s="172" t="s">
        <v>17</v>
      </c>
      <c r="C54" s="173"/>
      <c r="D54" s="15">
        <f>IF(F3="1",SUMIF(Data!A:A,'38'!$A$2,Data!DM:DM),0)</f>
        <v>1079176</v>
      </c>
      <c r="E54" s="18">
        <f>IF(F3="1",SUMIF(Data!$A:$A,'38'!$A$2,Data!JG:JG),0)</f>
        <v>495926</v>
      </c>
      <c r="F54" s="22">
        <f t="shared" si="3"/>
        <v>0.46</v>
      </c>
    </row>
    <row r="55" spans="1:6" x14ac:dyDescent="0.2">
      <c r="A55" s="20">
        <v>20</v>
      </c>
      <c r="B55" s="172" t="s">
        <v>18</v>
      </c>
      <c r="C55" s="173"/>
      <c r="D55" s="15">
        <f>IF(F3="1",SUMIF(Data!A:A,'38'!$A$2,Data!DN:DN),0)</f>
        <v>135712</v>
      </c>
      <c r="E55" s="18">
        <f>IF(F3="1",SUMIF(Data!$A:$A,'38'!$A$2,Data!JH:JH),0)</f>
        <v>119705</v>
      </c>
      <c r="F55" s="22">
        <f t="shared" si="3"/>
        <v>0.88</v>
      </c>
    </row>
    <row r="56" spans="1:6" ht="14.25" customHeight="1" x14ac:dyDescent="0.2">
      <c r="A56" s="20">
        <v>21</v>
      </c>
      <c r="B56" s="172" t="s">
        <v>466</v>
      </c>
      <c r="C56" s="173"/>
      <c r="D56" s="15">
        <f>IF(F3="1",SUMIF(Data!A:A,'38'!$A$2,Data!DO:DO),0)</f>
        <v>66388</v>
      </c>
      <c r="E56" s="18">
        <f>IF(F3="1",SUMIF(Data!$A:$A,'38'!$A$2,Data!JI:JI),0)</f>
        <v>145204</v>
      </c>
      <c r="F56" s="22">
        <f t="shared" si="3"/>
        <v>2.19</v>
      </c>
    </row>
    <row r="57" spans="1:6" x14ac:dyDescent="0.2">
      <c r="A57" s="20">
        <v>22</v>
      </c>
      <c r="B57" s="172" t="s">
        <v>19</v>
      </c>
      <c r="C57" s="173"/>
      <c r="D57" s="15">
        <f>IF(F3="1",SUMIF(Data!A:A,'38'!$A$2,Data!DP:DP),0)</f>
        <v>86160</v>
      </c>
      <c r="E57" s="18">
        <f>IF(F3="1",SUMIF(Data!$A:$A,'38'!$A$2,Data!JJ:JJ),0)</f>
        <v>196317</v>
      </c>
      <c r="F57" s="22">
        <f t="shared" si="3"/>
        <v>2.2799999999999998</v>
      </c>
    </row>
    <row r="58" spans="1:6" x14ac:dyDescent="0.2">
      <c r="A58" s="20">
        <v>23</v>
      </c>
      <c r="B58" s="172" t="s">
        <v>20</v>
      </c>
      <c r="C58" s="173"/>
      <c r="D58" s="15">
        <f>IF(F3="1",SUMIF(Data!A:A,'38'!$A$2,Data!DQ:DQ),0)</f>
        <v>63552</v>
      </c>
      <c r="E58" s="18">
        <f>IF(F3="1",SUMIF(Data!$A:$A,'38'!$A$2,Data!JK:JK),0)</f>
        <v>95339</v>
      </c>
      <c r="F58" s="22">
        <f t="shared" si="3"/>
        <v>1.5</v>
      </c>
    </row>
    <row r="59" spans="1:6" x14ac:dyDescent="0.2">
      <c r="A59" s="20">
        <v>24</v>
      </c>
      <c r="B59" s="172" t="s">
        <v>21</v>
      </c>
      <c r="C59" s="173"/>
      <c r="D59" s="15">
        <f>IF(F3="1",SUMIF(Data!A:A,'38'!$A$2,Data!DR:DR),0)</f>
        <v>87536</v>
      </c>
      <c r="E59" s="18">
        <f>IF(F3="1",SUMIF(Data!$A:$A,'38'!$A$2,Data!JL:JL),0)</f>
        <v>59895</v>
      </c>
      <c r="F59" s="22">
        <f t="shared" si="3"/>
        <v>0.68</v>
      </c>
    </row>
    <row r="60" spans="1:6" x14ac:dyDescent="0.2">
      <c r="A60" s="20">
        <v>25</v>
      </c>
      <c r="B60" s="172" t="s">
        <v>22</v>
      </c>
      <c r="C60" s="173"/>
      <c r="D60" s="15">
        <f>IF(F3="1",SUMIF(Data!A:A,'38'!$A$2,Data!DS:DS),0)</f>
        <v>1140912</v>
      </c>
      <c r="E60" s="18">
        <f>IF(F3="1",SUMIF(Data!$A:$A,'38'!$A$2,Data!JM:JM),0)</f>
        <v>542899</v>
      </c>
      <c r="F60" s="22">
        <f t="shared" si="3"/>
        <v>0.48</v>
      </c>
    </row>
    <row r="61" spans="1:6" x14ac:dyDescent="0.2">
      <c r="A61" s="20">
        <v>26</v>
      </c>
      <c r="B61" s="172" t="s">
        <v>23</v>
      </c>
      <c r="C61" s="173"/>
      <c r="D61" s="15">
        <f>IF(F3="1",SUMIF(Data!A:A,'38'!$A$2,Data!DT:DT),0)</f>
        <v>237360</v>
      </c>
      <c r="E61" s="18">
        <f>IF(F3="1",SUMIF(Data!$A:$A,'38'!$A$2,Data!JN:JN),0)</f>
        <v>128711</v>
      </c>
      <c r="F61" s="22">
        <f t="shared" si="3"/>
        <v>0.54</v>
      </c>
    </row>
    <row r="62" spans="1:6" x14ac:dyDescent="0.2">
      <c r="A62" s="20">
        <v>28</v>
      </c>
      <c r="B62" s="172" t="s">
        <v>24</v>
      </c>
      <c r="C62" s="173"/>
      <c r="D62" s="15">
        <f>IF(F3="1",SUMIF(Data!A:A,'38'!$A$2,Data!DV:DV),0)</f>
        <v>0</v>
      </c>
      <c r="E62" s="18">
        <f>IF(F3="1",SUMIF(Data!$A:$A,'38'!$A$2,Data!JP:JP),0)</f>
        <v>0</v>
      </c>
      <c r="F62" s="22" t="str">
        <f t="shared" si="3"/>
        <v/>
      </c>
    </row>
    <row r="63" spans="1:6" ht="15.75" customHeight="1" thickBot="1" x14ac:dyDescent="0.25">
      <c r="A63" s="23">
        <v>29</v>
      </c>
      <c r="B63" s="174" t="s">
        <v>25</v>
      </c>
      <c r="C63" s="175"/>
      <c r="D63" s="24">
        <f>IF(F3="1",SUMIF(Data!A:A,'38'!$A$2,Data!DW:DW),0)</f>
        <v>0</v>
      </c>
      <c r="E63" s="25">
        <f>IF(F3="1",SUMIF(Data!$A:$A,'38'!$A$2,Data!JQ:JQ),0)</f>
        <v>0</v>
      </c>
      <c r="F63" s="26" t="str">
        <f t="shared" si="3"/>
        <v/>
      </c>
    </row>
    <row r="64" spans="1:6" x14ac:dyDescent="0.2">
      <c r="B64" s="31" t="s">
        <v>35</v>
      </c>
      <c r="C64" s="31"/>
      <c r="D64" s="61">
        <f>SUM(D36:D63)</f>
        <v>7980225</v>
      </c>
      <c r="E64" s="32">
        <f>SUM(E36:E63)</f>
        <v>9794583</v>
      </c>
      <c r="F64" s="33">
        <f t="shared" si="3"/>
        <v>1.23</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21648</v>
      </c>
      <c r="E67" s="16">
        <f>IF(F3="1",SUMIF(Data!A:A,'38'!$A$2,Data!DY:DY),0)</f>
        <v>58294</v>
      </c>
      <c r="F67" s="21">
        <f t="shared" ref="F67:F95" si="4">IF(D67=0,"",ROUND(E67/D67,2))</f>
        <v>2.69</v>
      </c>
    </row>
    <row r="68" spans="1:6" x14ac:dyDescent="0.2">
      <c r="A68" s="20">
        <v>2</v>
      </c>
      <c r="B68" s="172" t="s">
        <v>1</v>
      </c>
      <c r="C68" s="173"/>
      <c r="D68" s="15">
        <f t="shared" ref="D68:D94" si="5">D37</f>
        <v>83592</v>
      </c>
      <c r="E68" s="18">
        <f>IF(F3="1",SUMIF(Data!A:A,'38'!$A$2,Data!DZ:DZ),0)</f>
        <v>810239</v>
      </c>
      <c r="F68" s="22">
        <f t="shared" si="4"/>
        <v>9.69</v>
      </c>
    </row>
    <row r="69" spans="1:6" ht="14.25" customHeight="1" x14ac:dyDescent="0.2">
      <c r="A69" s="20">
        <v>3</v>
      </c>
      <c r="B69" s="172" t="s">
        <v>2</v>
      </c>
      <c r="C69" s="173"/>
      <c r="D69" s="15">
        <f t="shared" si="5"/>
        <v>967680</v>
      </c>
      <c r="E69" s="18">
        <f>IF(F3="1",SUMIF(Data!A:A,'38'!$A$2,Data!EA:EA),0)</f>
        <v>2605760</v>
      </c>
      <c r="F69" s="22">
        <f t="shared" si="4"/>
        <v>2.69</v>
      </c>
    </row>
    <row r="70" spans="1:6" ht="14.25" customHeight="1" x14ac:dyDescent="0.2">
      <c r="A70" s="20">
        <v>4</v>
      </c>
      <c r="B70" s="172" t="s">
        <v>3</v>
      </c>
      <c r="C70" s="173"/>
      <c r="D70" s="15">
        <f t="shared" si="5"/>
        <v>571718</v>
      </c>
      <c r="E70" s="18">
        <f>IF(F3="1",SUMIF(Data!A:A,'38'!$A$2,Data!EB:EB),0)</f>
        <v>1031004</v>
      </c>
      <c r="F70" s="22">
        <f t="shared" si="4"/>
        <v>1.8</v>
      </c>
    </row>
    <row r="71" spans="1:6" x14ac:dyDescent="0.2">
      <c r="A71" s="20">
        <v>5</v>
      </c>
      <c r="B71" s="172" t="s">
        <v>4</v>
      </c>
      <c r="C71" s="173"/>
      <c r="D71" s="15">
        <f t="shared" si="5"/>
        <v>0</v>
      </c>
      <c r="E71" s="18">
        <f>IF(F3="1",SUMIF(Data!A:A,'38'!$A$2,Data!EC:EC),0)</f>
        <v>0</v>
      </c>
      <c r="F71" s="22" t="str">
        <f t="shared" si="4"/>
        <v/>
      </c>
    </row>
    <row r="72" spans="1:6" x14ac:dyDescent="0.2">
      <c r="A72" s="20">
        <v>6</v>
      </c>
      <c r="B72" s="172" t="s">
        <v>5</v>
      </c>
      <c r="C72" s="173"/>
      <c r="D72" s="15">
        <f t="shared" si="5"/>
        <v>8888</v>
      </c>
      <c r="E72" s="18">
        <f>IF(F3="1",SUMIF(Data!A:A,'38'!$A$2,Data!ED:ED),0)</f>
        <v>26667</v>
      </c>
      <c r="F72" s="22">
        <f t="shared" si="4"/>
        <v>3</v>
      </c>
    </row>
    <row r="73" spans="1:6" x14ac:dyDescent="0.2">
      <c r="A73" s="20">
        <v>7</v>
      </c>
      <c r="B73" s="172" t="s">
        <v>6</v>
      </c>
      <c r="C73" s="173"/>
      <c r="D73" s="15">
        <f t="shared" si="5"/>
        <v>564948</v>
      </c>
      <c r="E73" s="18">
        <f>IF(F3="1",SUMIF(Data!A:A,'38'!$A$2,Data!EE:EE),0)</f>
        <v>1695002</v>
      </c>
      <c r="F73" s="22">
        <f t="shared" si="4"/>
        <v>3</v>
      </c>
    </row>
    <row r="74" spans="1:6" x14ac:dyDescent="0.2">
      <c r="A74" s="20">
        <v>8</v>
      </c>
      <c r="B74" s="172" t="s">
        <v>7</v>
      </c>
      <c r="C74" s="173"/>
      <c r="D74" s="15">
        <f t="shared" si="5"/>
        <v>29098</v>
      </c>
      <c r="E74" s="18">
        <f>IF(F3="1",SUMIF(Data!A:A,'38'!$A$2,Data!EF:EF),0)</f>
        <v>121264</v>
      </c>
      <c r="F74" s="22">
        <f t="shared" si="4"/>
        <v>4.17</v>
      </c>
    </row>
    <row r="75" spans="1:6" x14ac:dyDescent="0.2">
      <c r="A75" s="20">
        <v>9</v>
      </c>
      <c r="B75" s="172" t="s">
        <v>8</v>
      </c>
      <c r="C75" s="173"/>
      <c r="D75" s="15">
        <f t="shared" si="5"/>
        <v>211268</v>
      </c>
      <c r="E75" s="18">
        <f>IF(F3="1",SUMIF(Data!A:A,'38'!$A$2,Data!EG:EG),0)</f>
        <v>827740</v>
      </c>
      <c r="F75" s="22">
        <f t="shared" si="4"/>
        <v>3.92</v>
      </c>
    </row>
    <row r="76" spans="1:6" x14ac:dyDescent="0.2">
      <c r="A76" s="20">
        <v>10</v>
      </c>
      <c r="B76" s="172" t="s">
        <v>9</v>
      </c>
      <c r="C76" s="173"/>
      <c r="D76" s="15">
        <f t="shared" si="5"/>
        <v>13536</v>
      </c>
      <c r="E76" s="18">
        <f>IF(F3="1",SUMIF(Data!A:A,'38'!$A$2,Data!EH:EH),0)</f>
        <v>33242</v>
      </c>
      <c r="F76" s="22">
        <f t="shared" si="4"/>
        <v>2.46</v>
      </c>
    </row>
    <row r="77" spans="1:6" x14ac:dyDescent="0.2">
      <c r="A77" s="20">
        <v>11</v>
      </c>
      <c r="B77" s="172" t="s">
        <v>10</v>
      </c>
      <c r="C77" s="173"/>
      <c r="D77" s="15">
        <f t="shared" si="5"/>
        <v>198545</v>
      </c>
      <c r="E77" s="18">
        <f>IF(F3="1",SUMIF(Data!A:A,'38'!$A$2,Data!EI:EI),0)</f>
        <v>231222</v>
      </c>
      <c r="F77" s="22">
        <f t="shared" si="4"/>
        <v>1.1599999999999999</v>
      </c>
    </row>
    <row r="78" spans="1:6" ht="14.25" customHeight="1" x14ac:dyDescent="0.2">
      <c r="A78" s="20">
        <v>12</v>
      </c>
      <c r="B78" s="172" t="s">
        <v>11</v>
      </c>
      <c r="C78" s="173"/>
      <c r="D78" s="15">
        <f t="shared" si="5"/>
        <v>1324068</v>
      </c>
      <c r="E78" s="18">
        <f>IF(F3="1",SUMIF(Data!A:A,'38'!$A$2,Data!EJ:EJ),0)</f>
        <v>5255065</v>
      </c>
      <c r="F78" s="22">
        <f t="shared" si="4"/>
        <v>3.97</v>
      </c>
    </row>
    <row r="79" spans="1:6" x14ac:dyDescent="0.2">
      <c r="A79" s="20">
        <v>13</v>
      </c>
      <c r="B79" s="172" t="s">
        <v>12</v>
      </c>
      <c r="C79" s="173"/>
      <c r="D79" s="15">
        <f t="shared" si="5"/>
        <v>278480</v>
      </c>
      <c r="E79" s="18">
        <f>IF(F3="1",SUMIF(Data!A:A,'38'!$A$2,Data!EK:EK),0)</f>
        <v>823651</v>
      </c>
      <c r="F79" s="22">
        <f t="shared" si="4"/>
        <v>2.96</v>
      </c>
    </row>
    <row r="80" spans="1:6" ht="14.25" customHeight="1" x14ac:dyDescent="0.2">
      <c r="A80" s="20">
        <v>14</v>
      </c>
      <c r="B80" s="172" t="s">
        <v>469</v>
      </c>
      <c r="C80" s="173"/>
      <c r="D80" s="15">
        <f t="shared" si="5"/>
        <v>282336</v>
      </c>
      <c r="E80" s="18">
        <f>IF(F3="1",SUMIF(Data!A:A,'38'!$A$2,Data!EL:EL),0)</f>
        <v>1303931</v>
      </c>
      <c r="F80" s="22">
        <f t="shared" si="4"/>
        <v>4.62</v>
      </c>
    </row>
    <row r="81" spans="1:6" x14ac:dyDescent="0.2">
      <c r="A81" s="20">
        <v>15</v>
      </c>
      <c r="B81" s="172" t="s">
        <v>13</v>
      </c>
      <c r="C81" s="173"/>
      <c r="D81" s="15">
        <f t="shared" si="5"/>
        <v>0</v>
      </c>
      <c r="E81" s="18">
        <f>IF(F3="1",SUMIF(Data!A:A,'38'!$A$2,Data!EM:EM),0)</f>
        <v>0</v>
      </c>
      <c r="F81" s="22" t="str">
        <f t="shared" si="4"/>
        <v/>
      </c>
    </row>
    <row r="82" spans="1:6" x14ac:dyDescent="0.2">
      <c r="A82" s="20">
        <v>16</v>
      </c>
      <c r="B82" s="172" t="s">
        <v>14</v>
      </c>
      <c r="C82" s="173"/>
      <c r="D82" s="15">
        <f t="shared" si="5"/>
        <v>285288</v>
      </c>
      <c r="E82" s="18">
        <f>IF(F3="1",SUMIF(Data!A:A,'38'!$A$2,Data!EN:EN),0)</f>
        <v>1707858</v>
      </c>
      <c r="F82" s="22">
        <f t="shared" si="4"/>
        <v>5.99</v>
      </c>
    </row>
    <row r="83" spans="1:6" x14ac:dyDescent="0.2">
      <c r="A83" s="20">
        <v>17</v>
      </c>
      <c r="B83" s="172" t="s">
        <v>15</v>
      </c>
      <c r="C83" s="173"/>
      <c r="D83" s="15">
        <f t="shared" si="5"/>
        <v>19200</v>
      </c>
      <c r="E83" s="18">
        <f>IF(F3="1",SUMIF(Data!A:A,'38'!$A$2,Data!EO:EO),0)</f>
        <v>128758</v>
      </c>
      <c r="F83" s="22">
        <f t="shared" si="4"/>
        <v>6.71</v>
      </c>
    </row>
    <row r="84" spans="1:6" x14ac:dyDescent="0.2">
      <c r="A84" s="20">
        <v>18</v>
      </c>
      <c r="B84" s="172" t="s">
        <v>16</v>
      </c>
      <c r="C84" s="173"/>
      <c r="D84" s="15">
        <f t="shared" si="5"/>
        <v>223136</v>
      </c>
      <c r="E84" s="18">
        <f>IF(F3="1",SUMIF(Data!A:A,'38'!$A$2,Data!EP:EP),0)</f>
        <v>1173708</v>
      </c>
      <c r="F84" s="22">
        <f t="shared" si="4"/>
        <v>5.26</v>
      </c>
    </row>
    <row r="85" spans="1:6" x14ac:dyDescent="0.2">
      <c r="A85" s="20">
        <v>19</v>
      </c>
      <c r="B85" s="172" t="s">
        <v>17</v>
      </c>
      <c r="C85" s="173"/>
      <c r="D85" s="15">
        <f t="shared" si="5"/>
        <v>1079176</v>
      </c>
      <c r="E85" s="18">
        <f>IF(F3="1",SUMIF(Data!A:A,'38'!$A$2,Data!EQ:EQ),0)</f>
        <v>3084698</v>
      </c>
      <c r="F85" s="22">
        <f t="shared" si="4"/>
        <v>2.86</v>
      </c>
    </row>
    <row r="86" spans="1:6" x14ac:dyDescent="0.2">
      <c r="A86" s="20">
        <v>20</v>
      </c>
      <c r="B86" s="172" t="s">
        <v>18</v>
      </c>
      <c r="C86" s="173"/>
      <c r="D86" s="15">
        <f t="shared" si="5"/>
        <v>135712</v>
      </c>
      <c r="E86" s="18">
        <f>IF(F3="1",SUMIF(Data!A:A,'38'!$A$2,Data!ER:ER),0)</f>
        <v>452905</v>
      </c>
      <c r="F86" s="22">
        <f t="shared" si="4"/>
        <v>3.34</v>
      </c>
    </row>
    <row r="87" spans="1:6" ht="14.25" customHeight="1" x14ac:dyDescent="0.2">
      <c r="A87" s="20">
        <v>21</v>
      </c>
      <c r="B87" s="172" t="s">
        <v>466</v>
      </c>
      <c r="C87" s="173"/>
      <c r="D87" s="15">
        <f t="shared" si="5"/>
        <v>66388</v>
      </c>
      <c r="E87" s="18">
        <f>IF(F3="1",SUMIF(Data!A:A,'38'!$A$2,Data!ES:ES),0)</f>
        <v>221553</v>
      </c>
      <c r="F87" s="22">
        <f t="shared" si="4"/>
        <v>3.34</v>
      </c>
    </row>
    <row r="88" spans="1:6" x14ac:dyDescent="0.2">
      <c r="A88" s="20">
        <v>22</v>
      </c>
      <c r="B88" s="172" t="s">
        <v>19</v>
      </c>
      <c r="C88" s="173"/>
      <c r="D88" s="15">
        <f t="shared" si="5"/>
        <v>86160</v>
      </c>
      <c r="E88" s="18">
        <f>IF(F3="1",SUMIF(Data!A:A,'38'!$A$2,Data!ET:ET),0)</f>
        <v>466248</v>
      </c>
      <c r="F88" s="22">
        <f t="shared" si="4"/>
        <v>5.41</v>
      </c>
    </row>
    <row r="89" spans="1:6" x14ac:dyDescent="0.2">
      <c r="A89" s="20">
        <v>23</v>
      </c>
      <c r="B89" s="172" t="s">
        <v>20</v>
      </c>
      <c r="C89" s="173"/>
      <c r="D89" s="15">
        <f t="shared" si="5"/>
        <v>63552</v>
      </c>
      <c r="E89" s="18">
        <f>IF(F3="1",SUMIF(Data!A:A,'38'!$A$2,Data!EU:EU),0)</f>
        <v>379465</v>
      </c>
      <c r="F89" s="22">
        <f t="shared" si="4"/>
        <v>5.97</v>
      </c>
    </row>
    <row r="90" spans="1:6" x14ac:dyDescent="0.2">
      <c r="A90" s="20">
        <v>24</v>
      </c>
      <c r="B90" s="172" t="s">
        <v>21</v>
      </c>
      <c r="C90" s="173"/>
      <c r="D90" s="15">
        <f t="shared" si="5"/>
        <v>87536</v>
      </c>
      <c r="E90" s="18">
        <f>IF(F3="1",SUMIF(Data!A:A,'38'!$A$2,Data!EV:EV),0)</f>
        <v>404513</v>
      </c>
      <c r="F90" s="22">
        <f t="shared" si="4"/>
        <v>4.62</v>
      </c>
    </row>
    <row r="91" spans="1:6" x14ac:dyDescent="0.2">
      <c r="A91" s="20">
        <v>25</v>
      </c>
      <c r="B91" s="172" t="s">
        <v>22</v>
      </c>
      <c r="C91" s="173"/>
      <c r="D91" s="15">
        <f t="shared" si="5"/>
        <v>1140912</v>
      </c>
      <c r="E91" s="18">
        <f>IF(F3="1",SUMIF(Data!A:A,'38'!$A$2,Data!EW:EW),0)</f>
        <v>3821569</v>
      </c>
      <c r="F91" s="22">
        <f t="shared" si="4"/>
        <v>3.35</v>
      </c>
    </row>
    <row r="92" spans="1:6" x14ac:dyDescent="0.2">
      <c r="A92" s="20">
        <v>26</v>
      </c>
      <c r="B92" s="172" t="s">
        <v>23</v>
      </c>
      <c r="C92" s="173"/>
      <c r="D92" s="15">
        <f t="shared" si="5"/>
        <v>237360</v>
      </c>
      <c r="E92" s="18">
        <f>IF(F3="1",SUMIF(Data!A:A,'38'!$A$2,Data!EX:EX),0)</f>
        <v>819866</v>
      </c>
      <c r="F92" s="22">
        <f t="shared" si="4"/>
        <v>3.45</v>
      </c>
    </row>
    <row r="93" spans="1:6" x14ac:dyDescent="0.2">
      <c r="A93" s="20">
        <v>28</v>
      </c>
      <c r="B93" s="172" t="s">
        <v>24</v>
      </c>
      <c r="C93" s="173"/>
      <c r="D93" s="15">
        <f t="shared" si="5"/>
        <v>0</v>
      </c>
      <c r="E93" s="18">
        <f>IF(F3="1",SUMIF(Data!A:A,'38'!$A$2,Data!EZ:EZ),0)</f>
        <v>0</v>
      </c>
      <c r="F93" s="22" t="str">
        <f t="shared" si="4"/>
        <v/>
      </c>
    </row>
    <row r="94" spans="1:6" ht="15.75" customHeight="1" thickBot="1" x14ac:dyDescent="0.25">
      <c r="A94" s="23">
        <v>29</v>
      </c>
      <c r="B94" s="174" t="s">
        <v>25</v>
      </c>
      <c r="C94" s="175"/>
      <c r="D94" s="24">
        <f t="shared" si="5"/>
        <v>0</v>
      </c>
      <c r="E94" s="25">
        <f>IF(F3="1",SUMIF(Data!A:A,'38'!$A$2,Data!FA:FA),0)</f>
        <v>0</v>
      </c>
      <c r="F94" s="26" t="str">
        <f t="shared" si="4"/>
        <v/>
      </c>
    </row>
    <row r="95" spans="1:6" x14ac:dyDescent="0.2">
      <c r="B95" s="31" t="s">
        <v>35</v>
      </c>
      <c r="C95" s="31"/>
      <c r="D95" s="61">
        <f>SUM(D67:D94)</f>
        <v>7980225</v>
      </c>
      <c r="E95" s="32">
        <f>SUM(E67:E94)</f>
        <v>27484222</v>
      </c>
      <c r="F95" s="33">
        <f t="shared" si="4"/>
        <v>3.44</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IF(F3="1",SUMIF(Data!A:A,'38'!$A$2,Data!AH:AH),0)</f>
        <v>13085411</v>
      </c>
      <c r="F98" s="21">
        <f>IF($D$105=0,"",ROUND(E98/$D$105,2))</f>
        <v>1.64</v>
      </c>
    </row>
    <row r="99" spans="2:6" x14ac:dyDescent="0.2">
      <c r="B99" s="178" t="s">
        <v>31</v>
      </c>
      <c r="C99" s="179"/>
      <c r="D99" s="37"/>
      <c r="E99" s="18">
        <f>IF(F3="1",SUMIF(Data!A:A,'38'!$A$2,Data!AI:AI),0)</f>
        <v>5851792</v>
      </c>
      <c r="F99" s="22">
        <f t="shared" ref="F99:F105" si="6">IF($D$105=0,"",ROUND(E99/$D$105,2))</f>
        <v>0.73</v>
      </c>
    </row>
    <row r="100" spans="2:6" x14ac:dyDescent="0.2">
      <c r="B100" s="178" t="s">
        <v>32</v>
      </c>
      <c r="C100" s="179"/>
      <c r="D100" s="37"/>
      <c r="E100" s="18">
        <f>IF(F3="1",SUMIF(Data!A:A,'38'!$A$2,Data!AJ:AJ),0)</f>
        <v>5316227</v>
      </c>
      <c r="F100" s="22">
        <f t="shared" si="6"/>
        <v>0.67</v>
      </c>
    </row>
    <row r="101" spans="2:6" x14ac:dyDescent="0.2">
      <c r="B101" s="178" t="s">
        <v>28</v>
      </c>
      <c r="C101" s="179"/>
      <c r="D101" s="37"/>
      <c r="E101" s="18">
        <f>IF(F3="1",SUMIF(Data!A:A,'38'!$A$2,Data!AK:AK),0)</f>
        <v>0</v>
      </c>
      <c r="F101" s="22">
        <f t="shared" si="6"/>
        <v>0</v>
      </c>
    </row>
    <row r="102" spans="2:6" x14ac:dyDescent="0.2">
      <c r="B102" s="178" t="s">
        <v>33</v>
      </c>
      <c r="C102" s="179"/>
      <c r="D102" s="37"/>
      <c r="E102" s="18">
        <f>IF(F3="1",SUMIF(Data!A:A,'38'!$A$2,Data!AL:AL),0)</f>
        <v>0</v>
      </c>
      <c r="F102" s="22">
        <f t="shared" si="6"/>
        <v>0</v>
      </c>
    </row>
    <row r="103" spans="2:6" x14ac:dyDescent="0.2">
      <c r="B103" s="180" t="s">
        <v>34</v>
      </c>
      <c r="C103" s="181"/>
      <c r="D103" s="37"/>
      <c r="E103" s="18">
        <f>IF(F3="1",SUMIF(Data!A:A,'38'!$A$2,Data!AM:AM),0)</f>
        <v>1866801</v>
      </c>
      <c r="F103" s="22">
        <f t="shared" si="6"/>
        <v>0.23</v>
      </c>
    </row>
    <row r="104" spans="2:6" ht="15.75" customHeight="1" thickBot="1" x14ac:dyDescent="0.25">
      <c r="B104" s="170" t="s">
        <v>29</v>
      </c>
      <c r="C104" s="171"/>
      <c r="D104" s="38"/>
      <c r="E104" s="25">
        <f>IF(F3="1",SUMIF(Data!A:A,'38'!$A$2,Data!Q:Q),0)</f>
        <v>1868289</v>
      </c>
      <c r="F104" s="26">
        <f t="shared" si="6"/>
        <v>0.23</v>
      </c>
    </row>
    <row r="105" spans="2:6" x14ac:dyDescent="0.2">
      <c r="B105" s="31" t="s">
        <v>35</v>
      </c>
      <c r="C105" s="31"/>
      <c r="D105" s="35">
        <f>D95</f>
        <v>7980225</v>
      </c>
      <c r="E105" s="32">
        <f>SUM(E98:E104)</f>
        <v>27988520</v>
      </c>
      <c r="F105" s="33">
        <f t="shared" si="6"/>
        <v>3.51</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31421690</v>
      </c>
      <c r="D109" s="16">
        <f>IF(F3="1",SUMIF(Data!$A:$A,$A$2,Data!HJ:HJ),0)</f>
        <v>2881432</v>
      </c>
      <c r="E109" s="16">
        <f>IF(F3="1",SUMIF(Data!$A:$A,$A$2,Data!IN:IN),0)</f>
        <v>2975686</v>
      </c>
      <c r="F109" s="48">
        <f>SUM(C109:E109)</f>
        <v>37278808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314191</v>
      </c>
      <c r="D111" s="52"/>
      <c r="E111" s="51">
        <f>IF(F3="1",SUMIF(Data!A:A,$A$2,Data!AX:AX),0)</f>
        <v>43616</v>
      </c>
      <c r="F111" s="49">
        <f t="shared" si="7"/>
        <v>357807</v>
      </c>
    </row>
    <row r="112" spans="2:6" x14ac:dyDescent="0.2">
      <c r="B112" s="43" t="s">
        <v>32</v>
      </c>
      <c r="C112" s="51">
        <f>IF(F3="1",SUMIF(Data!A:A,$A$2,Data!V:V),0)</f>
        <v>3631316</v>
      </c>
      <c r="D112" s="52"/>
      <c r="E112" s="51">
        <f>IF(F3="1",SUMIF(Data!A:A,$A$2,Data!AC:AC),0)</f>
        <v>1684911</v>
      </c>
      <c r="F112" s="49">
        <f t="shared" si="7"/>
        <v>5316227</v>
      </c>
    </row>
    <row r="113" spans="1:6" x14ac:dyDescent="0.2">
      <c r="B113" s="43" t="s">
        <v>31</v>
      </c>
      <c r="C113" s="51">
        <f>IF(F3="1",SUMIF(Data!A:A,$A$2,Data!U:U),0)</f>
        <v>4902785</v>
      </c>
      <c r="D113" s="52"/>
      <c r="E113" s="51">
        <f>IF(F3="1",SUMIF(Data!A:A,$A$2,Data!AB:AB),0)</f>
        <v>949007</v>
      </c>
      <c r="F113" s="49">
        <f t="shared" si="7"/>
        <v>5851792</v>
      </c>
    </row>
    <row r="114" spans="1:6" x14ac:dyDescent="0.2">
      <c r="B114" s="43" t="s">
        <v>1021</v>
      </c>
      <c r="C114" s="51">
        <f>IF(F3="1",SUMIF(Data!A:A,$A$2,Data!T:T),0)</f>
        <v>7122452</v>
      </c>
      <c r="D114" s="52"/>
      <c r="E114" s="51">
        <f>IF(F3="1",SUMIF(Data!A:A,$A$2,Data!AA:AA),0)</f>
        <v>5962959</v>
      </c>
      <c r="F114" s="49">
        <f t="shared" si="7"/>
        <v>13085411</v>
      </c>
    </row>
    <row r="115" spans="1:6" x14ac:dyDescent="0.2">
      <c r="B115" s="43" t="s">
        <v>937</v>
      </c>
      <c r="C115" s="51">
        <f>IF(F3="1",SUMIF(Data!A:A,$A$2,Data!BI:BI),0)</f>
        <v>2091334</v>
      </c>
      <c r="D115" s="51">
        <f>IF(F3="1",SUMIF(Data!A:A,$A$2,Data!BL:BL),0)</f>
        <v>665803</v>
      </c>
      <c r="E115" s="51">
        <f>IF(F3="1",SUMIF(Data!A:A,$A$2,Data!BU:BU),0)</f>
        <v>6696779</v>
      </c>
      <c r="F115" s="49">
        <f t="shared" si="7"/>
        <v>9453916</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1868289</v>
      </c>
      <c r="E117" s="53"/>
      <c r="F117" s="50">
        <f>SUM(C117:E117)</f>
        <v>1868289</v>
      </c>
    </row>
    <row r="118" spans="1:6" x14ac:dyDescent="0.2">
      <c r="B118" s="14" t="s">
        <v>35</v>
      </c>
      <c r="C118" s="5">
        <f>SUM(C109:C116)</f>
        <v>49483768</v>
      </c>
      <c r="D118" s="5">
        <f>SUM(D109:D116)</f>
        <v>3547235</v>
      </c>
      <c r="E118" s="5">
        <f>SUM(E109:E116)</f>
        <v>18312958</v>
      </c>
      <c r="F118" s="5">
        <f>SUM(F109:F116)</f>
        <v>71343961</v>
      </c>
    </row>
    <row r="119" spans="1:6" ht="15" thickBot="1" x14ac:dyDescent="0.25"/>
    <row r="120" spans="1:6" ht="15" thickBot="1" x14ac:dyDescent="0.25">
      <c r="B120" s="57" t="s">
        <v>942</v>
      </c>
      <c r="C120" s="55"/>
      <c r="D120" s="55"/>
      <c r="E120" s="55">
        <f>IF(F3="1",SUMIF(Data!A:A,'38'!$A$2,Data!AM:AM),0)</f>
        <v>1866801</v>
      </c>
      <c r="F120" s="56">
        <f>SUM(C120:E120)</f>
        <v>1866801</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400</v>
      </c>
      <c r="B2" s="60" t="str">
        <f>VLOOKUP(A2,Data!A:G,7,0)</f>
        <v>Southwest Texas Junior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20672</v>
      </c>
      <c r="E5" s="16">
        <f>E36+E67+IFERROR($E$105/$D$105*D5,0)</f>
        <v>204077.59508338993</v>
      </c>
      <c r="F5" s="21">
        <f>IF(OR(D5=0,E5=0),"",ROUND(E5/D5,2))</f>
        <v>9.8699999999999992</v>
      </c>
    </row>
    <row r="6" spans="1:6" x14ac:dyDescent="0.2">
      <c r="A6" s="20">
        <v>2</v>
      </c>
      <c r="B6" s="172" t="s">
        <v>1</v>
      </c>
      <c r="C6" s="173"/>
      <c r="D6" s="15">
        <f t="shared" ref="D6:D32" si="0">D37</f>
        <v>7248</v>
      </c>
      <c r="E6" s="18">
        <f t="shared" ref="E6:E32" si="1">E37+E68+IFERROR($E$105/$D$105*D6,0)</f>
        <v>99397.574746730374</v>
      </c>
      <c r="F6" s="22">
        <f t="shared" ref="F6:F33" si="2">IF(OR(D6=0,E6=0),"",ROUND(E6/D6,2))</f>
        <v>13.71</v>
      </c>
    </row>
    <row r="7" spans="1:6" ht="14.25" customHeight="1" x14ac:dyDescent="0.2">
      <c r="A7" s="20">
        <v>3</v>
      </c>
      <c r="B7" s="172" t="s">
        <v>2</v>
      </c>
      <c r="C7" s="173"/>
      <c r="D7" s="15">
        <f t="shared" si="0"/>
        <v>222080</v>
      </c>
      <c r="E7" s="18">
        <f t="shared" si="1"/>
        <v>1628619.7118865729</v>
      </c>
      <c r="F7" s="22">
        <f t="shared" si="2"/>
        <v>7.33</v>
      </c>
    </row>
    <row r="8" spans="1:6" ht="14.25" customHeight="1" x14ac:dyDescent="0.2">
      <c r="A8" s="20">
        <v>4</v>
      </c>
      <c r="B8" s="172" t="s">
        <v>3</v>
      </c>
      <c r="C8" s="173"/>
      <c r="D8" s="15">
        <f t="shared" si="0"/>
        <v>112066</v>
      </c>
      <c r="E8" s="18">
        <f t="shared" si="1"/>
        <v>1069213.8321698518</v>
      </c>
      <c r="F8" s="22">
        <f t="shared" si="2"/>
        <v>9.5399999999999991</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9198</v>
      </c>
      <c r="E10" s="18">
        <f t="shared" si="1"/>
        <v>49496.927224120576</v>
      </c>
      <c r="F10" s="22">
        <f t="shared" si="2"/>
        <v>5.38</v>
      </c>
    </row>
    <row r="11" spans="1:6" x14ac:dyDescent="0.2">
      <c r="A11" s="20">
        <v>7</v>
      </c>
      <c r="B11" s="172" t="s">
        <v>6</v>
      </c>
      <c r="C11" s="173"/>
      <c r="D11" s="15">
        <f t="shared" si="0"/>
        <v>125000</v>
      </c>
      <c r="E11" s="18">
        <f t="shared" si="1"/>
        <v>708676.44085834664</v>
      </c>
      <c r="F11" s="22">
        <f t="shared" si="2"/>
        <v>5.67</v>
      </c>
    </row>
    <row r="12" spans="1:6" x14ac:dyDescent="0.2">
      <c r="A12" s="20">
        <v>8</v>
      </c>
      <c r="B12" s="172" t="s">
        <v>7</v>
      </c>
      <c r="C12" s="173"/>
      <c r="D12" s="15">
        <f t="shared" si="0"/>
        <v>8160</v>
      </c>
      <c r="E12" s="18">
        <f t="shared" si="1"/>
        <v>73906.998059232865</v>
      </c>
      <c r="F12" s="22">
        <f t="shared" si="2"/>
        <v>9.06</v>
      </c>
    </row>
    <row r="13" spans="1:6" x14ac:dyDescent="0.2">
      <c r="A13" s="20">
        <v>9</v>
      </c>
      <c r="B13" s="172" t="s">
        <v>8</v>
      </c>
      <c r="C13" s="173"/>
      <c r="D13" s="15">
        <f t="shared" si="0"/>
        <v>111752</v>
      </c>
      <c r="E13" s="18">
        <f t="shared" si="1"/>
        <v>790833.39695041557</v>
      </c>
      <c r="F13" s="22">
        <f t="shared" si="2"/>
        <v>7.08</v>
      </c>
    </row>
    <row r="14" spans="1:6" x14ac:dyDescent="0.2">
      <c r="A14" s="20">
        <v>10</v>
      </c>
      <c r="B14" s="172" t="s">
        <v>9</v>
      </c>
      <c r="C14" s="173"/>
      <c r="D14" s="15">
        <f t="shared" si="0"/>
        <v>1504</v>
      </c>
      <c r="E14" s="18">
        <f t="shared" si="1"/>
        <v>7414.4349364076261</v>
      </c>
      <c r="F14" s="22">
        <f t="shared" si="2"/>
        <v>4.93</v>
      </c>
    </row>
    <row r="15" spans="1:6" x14ac:dyDescent="0.2">
      <c r="A15" s="20">
        <v>11</v>
      </c>
      <c r="B15" s="172" t="s">
        <v>10</v>
      </c>
      <c r="C15" s="173"/>
      <c r="D15" s="15">
        <f t="shared" si="0"/>
        <v>14640</v>
      </c>
      <c r="E15" s="18">
        <f t="shared" si="1"/>
        <v>217209.58475332955</v>
      </c>
      <c r="F15" s="22">
        <f t="shared" si="2"/>
        <v>14.84</v>
      </c>
    </row>
    <row r="16" spans="1:6" ht="14.25" customHeight="1" x14ac:dyDescent="0.2">
      <c r="A16" s="20">
        <v>12</v>
      </c>
      <c r="B16" s="172" t="s">
        <v>11</v>
      </c>
      <c r="C16" s="173"/>
      <c r="D16" s="15">
        <f t="shared" si="0"/>
        <v>335536</v>
      </c>
      <c r="E16" s="18">
        <f t="shared" si="1"/>
        <v>2485795.4260787694</v>
      </c>
      <c r="F16" s="22">
        <f t="shared" si="2"/>
        <v>7.41</v>
      </c>
    </row>
    <row r="17" spans="1:6" x14ac:dyDescent="0.2">
      <c r="A17" s="20">
        <v>13</v>
      </c>
      <c r="B17" s="172" t="s">
        <v>12</v>
      </c>
      <c r="C17" s="173"/>
      <c r="D17" s="15">
        <f t="shared" si="0"/>
        <v>35216</v>
      </c>
      <c r="E17" s="18">
        <f t="shared" si="1"/>
        <v>193164.55633014027</v>
      </c>
      <c r="F17" s="22">
        <f t="shared" si="2"/>
        <v>5.49</v>
      </c>
    </row>
    <row r="18" spans="1:6" ht="14.25" customHeight="1" x14ac:dyDescent="0.2">
      <c r="A18" s="20">
        <v>14</v>
      </c>
      <c r="B18" s="172" t="s">
        <v>469</v>
      </c>
      <c r="C18" s="173"/>
      <c r="D18" s="15">
        <f t="shared" si="0"/>
        <v>7904</v>
      </c>
      <c r="E18" s="18">
        <f t="shared" si="1"/>
        <v>26315.668708354973</v>
      </c>
      <c r="F18" s="22">
        <f t="shared" si="2"/>
        <v>3.33</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45336</v>
      </c>
      <c r="E20" s="18">
        <f t="shared" si="1"/>
        <v>234581.20098203202</v>
      </c>
      <c r="F20" s="22">
        <f t="shared" si="2"/>
        <v>5.17</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104608</v>
      </c>
      <c r="E22" s="18">
        <f t="shared" si="1"/>
        <v>951578.08100247942</v>
      </c>
      <c r="F22" s="22">
        <f t="shared" si="2"/>
        <v>9.1</v>
      </c>
    </row>
    <row r="23" spans="1:6" x14ac:dyDescent="0.2">
      <c r="A23" s="20">
        <v>19</v>
      </c>
      <c r="B23" s="172" t="s">
        <v>17</v>
      </c>
      <c r="C23" s="173"/>
      <c r="D23" s="15">
        <f t="shared" si="0"/>
        <v>220240</v>
      </c>
      <c r="E23" s="18">
        <f t="shared" si="1"/>
        <v>1746365.5946771381</v>
      </c>
      <c r="F23" s="22">
        <f t="shared" si="2"/>
        <v>7.93</v>
      </c>
    </row>
    <row r="24" spans="1:6" x14ac:dyDescent="0.2">
      <c r="A24" s="20">
        <v>20</v>
      </c>
      <c r="B24" s="172" t="s">
        <v>18</v>
      </c>
      <c r="C24" s="173"/>
      <c r="D24" s="15">
        <f t="shared" si="0"/>
        <v>53760</v>
      </c>
      <c r="E24" s="18">
        <f t="shared" si="1"/>
        <v>440073.16368435771</v>
      </c>
      <c r="F24" s="22">
        <f t="shared" si="2"/>
        <v>8.19</v>
      </c>
    </row>
    <row r="25" spans="1:6" ht="14.25" customHeight="1" x14ac:dyDescent="0.2">
      <c r="A25" s="20">
        <v>21</v>
      </c>
      <c r="B25" s="172" t="s">
        <v>466</v>
      </c>
      <c r="C25" s="173"/>
      <c r="D25" s="15">
        <f t="shared" si="0"/>
        <v>33320</v>
      </c>
      <c r="E25" s="18">
        <f t="shared" si="1"/>
        <v>515553.99207520089</v>
      </c>
      <c r="F25" s="22">
        <f t="shared" si="2"/>
        <v>15.47</v>
      </c>
    </row>
    <row r="26" spans="1:6" x14ac:dyDescent="0.2">
      <c r="A26" s="20">
        <v>22</v>
      </c>
      <c r="B26" s="172" t="s">
        <v>19</v>
      </c>
      <c r="C26" s="173"/>
      <c r="D26" s="15">
        <f t="shared" si="0"/>
        <v>4992</v>
      </c>
      <c r="E26" s="18">
        <f t="shared" si="1"/>
        <v>19027.422342118931</v>
      </c>
      <c r="F26" s="22">
        <f t="shared" si="2"/>
        <v>3.81</v>
      </c>
    </row>
    <row r="27" spans="1:6" x14ac:dyDescent="0.2">
      <c r="A27" s="20">
        <v>23</v>
      </c>
      <c r="B27" s="172" t="s">
        <v>20</v>
      </c>
      <c r="C27" s="173"/>
      <c r="D27" s="15">
        <f t="shared" si="0"/>
        <v>57840</v>
      </c>
      <c r="E27" s="18">
        <f t="shared" si="1"/>
        <v>475406.16271397413</v>
      </c>
      <c r="F27" s="22">
        <f t="shared" si="2"/>
        <v>8.2200000000000006</v>
      </c>
    </row>
    <row r="28" spans="1:6" x14ac:dyDescent="0.2">
      <c r="A28" s="20">
        <v>24</v>
      </c>
      <c r="B28" s="172" t="s">
        <v>21</v>
      </c>
      <c r="C28" s="173"/>
      <c r="D28" s="15">
        <f t="shared" si="0"/>
        <v>76857</v>
      </c>
      <c r="E28" s="18">
        <f t="shared" si="1"/>
        <v>710087.58172039955</v>
      </c>
      <c r="F28" s="22">
        <f t="shared" si="2"/>
        <v>9.24</v>
      </c>
    </row>
    <row r="29" spans="1:6" x14ac:dyDescent="0.2">
      <c r="A29" s="20">
        <v>25</v>
      </c>
      <c r="B29" s="172" t="s">
        <v>22</v>
      </c>
      <c r="C29" s="173"/>
      <c r="D29" s="15">
        <f t="shared" si="0"/>
        <v>395392</v>
      </c>
      <c r="E29" s="18">
        <f t="shared" si="1"/>
        <v>2573904.6824309072</v>
      </c>
      <c r="F29" s="22">
        <f t="shared" si="2"/>
        <v>6.51</v>
      </c>
    </row>
    <row r="30" spans="1:6" x14ac:dyDescent="0.2">
      <c r="A30" s="20">
        <v>26</v>
      </c>
      <c r="B30" s="172" t="s">
        <v>23</v>
      </c>
      <c r="C30" s="173"/>
      <c r="D30" s="15">
        <f t="shared" si="0"/>
        <v>74208</v>
      </c>
      <c r="E30" s="18">
        <f t="shared" si="1"/>
        <v>541614.97058572946</v>
      </c>
      <c r="F30" s="22">
        <f t="shared" si="2"/>
        <v>7.3</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2077529</v>
      </c>
      <c r="E33" s="32">
        <f>SUM(E5:E32)</f>
        <v>15762315.000000004</v>
      </c>
      <c r="F33" s="33">
        <f t="shared" si="2"/>
        <v>7.59</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IF(F3="1",SUMIF(Data!A:A,'39'!$A$2,Data!CU:CU),0)</f>
        <v>20672</v>
      </c>
      <c r="E36" s="16">
        <f>IF(F3="1",SUMIF(Data!$A:$A,'39'!$A$2,Data!IO:IO),0)</f>
        <v>26923</v>
      </c>
      <c r="F36" s="21">
        <f>IF(D36=0,"",ROUND(E36/D36,2))</f>
        <v>1.3</v>
      </c>
    </row>
    <row r="37" spans="1:6" x14ac:dyDescent="0.2">
      <c r="A37" s="20">
        <v>2</v>
      </c>
      <c r="B37" s="172" t="s">
        <v>1</v>
      </c>
      <c r="C37" s="173"/>
      <c r="D37" s="15">
        <f>IF(F3="1",SUMIF(Data!A:A,'39'!$A$2,Data!CV:CV),0)</f>
        <v>7248</v>
      </c>
      <c r="E37" s="18">
        <f>IF(F3="1",SUMIF(Data!$A:$A,'39'!$A$2,Data!IP:IP),0)</f>
        <v>17800</v>
      </c>
      <c r="F37" s="22">
        <f t="shared" ref="F37:F64" si="3">IF(D37=0,"",ROUND(E37/D37,2))</f>
        <v>2.46</v>
      </c>
    </row>
    <row r="38" spans="1:6" ht="14.25" customHeight="1" x14ac:dyDescent="0.2">
      <c r="A38" s="20">
        <v>3</v>
      </c>
      <c r="B38" s="172" t="s">
        <v>2</v>
      </c>
      <c r="C38" s="173"/>
      <c r="D38" s="15">
        <f>IF(F3="1",SUMIF(Data!A:A,'39'!$A$2,Data!CW:CW),0)</f>
        <v>222080</v>
      </c>
      <c r="E38" s="18">
        <f>IF(F3="1",SUMIF(Data!$A:$A,'39'!$A$2,Data!IQ:IQ),0)</f>
        <v>152012</v>
      </c>
      <c r="F38" s="22">
        <f t="shared" si="3"/>
        <v>0.68</v>
      </c>
    </row>
    <row r="39" spans="1:6" ht="14.25" customHeight="1" x14ac:dyDescent="0.2">
      <c r="A39" s="20">
        <v>4</v>
      </c>
      <c r="B39" s="172" t="s">
        <v>3</v>
      </c>
      <c r="C39" s="173"/>
      <c r="D39" s="15">
        <f>IF(F3="1",SUMIF(Data!A:A,'39'!$A$2,Data!CX:CX),0)</f>
        <v>112066</v>
      </c>
      <c r="E39" s="18">
        <f>IF(F3="1",SUMIF(Data!$A:$A,'39'!$A$2,Data!IR:IR),0)</f>
        <v>135744</v>
      </c>
      <c r="F39" s="22">
        <f t="shared" si="3"/>
        <v>1.21</v>
      </c>
    </row>
    <row r="40" spans="1:6" x14ac:dyDescent="0.2">
      <c r="A40" s="20">
        <v>5</v>
      </c>
      <c r="B40" s="172" t="s">
        <v>4</v>
      </c>
      <c r="C40" s="173"/>
      <c r="D40" s="15">
        <f>IF(F3="1",SUMIF(Data!A:A,'39'!$A$2,Data!CY:CY),0)</f>
        <v>0</v>
      </c>
      <c r="E40" s="18">
        <f>IF(F3="1",SUMIF(Data!$A:$A,'39'!$A$2,Data!IS:IS),0)</f>
        <v>0</v>
      </c>
      <c r="F40" s="22" t="str">
        <f t="shared" si="3"/>
        <v/>
      </c>
    </row>
    <row r="41" spans="1:6" x14ac:dyDescent="0.2">
      <c r="A41" s="20">
        <v>6</v>
      </c>
      <c r="B41" s="172" t="s">
        <v>5</v>
      </c>
      <c r="C41" s="173"/>
      <c r="D41" s="15">
        <f>IF(F3="1",SUMIF(Data!A:A,'39'!$A$2,Data!CZ:CZ),0)</f>
        <v>9198</v>
      </c>
      <c r="E41" s="18">
        <f>IF(F3="1",SUMIF(Data!$A:$A,'39'!$A$2,Data!IT:IT),0)</f>
        <v>14777</v>
      </c>
      <c r="F41" s="22">
        <f t="shared" si="3"/>
        <v>1.61</v>
      </c>
    </row>
    <row r="42" spans="1:6" x14ac:dyDescent="0.2">
      <c r="A42" s="20">
        <v>7</v>
      </c>
      <c r="B42" s="172" t="s">
        <v>6</v>
      </c>
      <c r="C42" s="173"/>
      <c r="D42" s="15">
        <f>IF(F3="1",SUMIF(Data!A:A,'39'!$A$2,Data!DA:DA),0)</f>
        <v>125000</v>
      </c>
      <c r="E42" s="18">
        <f>IF(F3="1",SUMIF(Data!$A:$A,'39'!$A$2,Data!IU:IU),0)</f>
        <v>78402</v>
      </c>
      <c r="F42" s="22">
        <f t="shared" si="3"/>
        <v>0.63</v>
      </c>
    </row>
    <row r="43" spans="1:6" x14ac:dyDescent="0.2">
      <c r="A43" s="20">
        <v>8</v>
      </c>
      <c r="B43" s="172" t="s">
        <v>7</v>
      </c>
      <c r="C43" s="173"/>
      <c r="D43" s="15">
        <f>IF(F3="1",SUMIF(Data!A:A,'39'!$A$2,Data!DB:DB),0)</f>
        <v>8160</v>
      </c>
      <c r="E43" s="18">
        <f>IF(F3="1",SUMIF(Data!$A:$A,'39'!$A$2,Data!IV:IV),0)</f>
        <v>12093</v>
      </c>
      <c r="F43" s="22">
        <f t="shared" si="3"/>
        <v>1.48</v>
      </c>
    </row>
    <row r="44" spans="1:6" x14ac:dyDescent="0.2">
      <c r="A44" s="20">
        <v>9</v>
      </c>
      <c r="B44" s="172" t="s">
        <v>8</v>
      </c>
      <c r="C44" s="173"/>
      <c r="D44" s="15">
        <f>IF(F3="1",SUMIF(Data!A:A,'39'!$A$2,Data!DC:DC),0)</f>
        <v>111752</v>
      </c>
      <c r="E44" s="18">
        <f>IF(F3="1",SUMIF(Data!$A:$A,'39'!$A$2,Data!IW:IW),0)</f>
        <v>67947</v>
      </c>
      <c r="F44" s="22">
        <f t="shared" si="3"/>
        <v>0.61</v>
      </c>
    </row>
    <row r="45" spans="1:6" x14ac:dyDescent="0.2">
      <c r="A45" s="20">
        <v>10</v>
      </c>
      <c r="B45" s="172" t="s">
        <v>9</v>
      </c>
      <c r="C45" s="173"/>
      <c r="D45" s="15">
        <f>IF(F3="1",SUMIF(Data!A:A,'39'!$A$2,Data!DD:DD),0)</f>
        <v>1504</v>
      </c>
      <c r="E45" s="18">
        <f>IF(F3="1",SUMIF(Data!$A:$A,'39'!$A$2,Data!IX:IX),0)</f>
        <v>2407</v>
      </c>
      <c r="F45" s="22">
        <f t="shared" si="3"/>
        <v>1.6</v>
      </c>
    </row>
    <row r="46" spans="1:6" x14ac:dyDescent="0.2">
      <c r="A46" s="20">
        <v>11</v>
      </c>
      <c r="B46" s="172" t="s">
        <v>10</v>
      </c>
      <c r="C46" s="173"/>
      <c r="D46" s="15">
        <f>IF(F3="1",SUMIF(Data!A:A,'39'!$A$2,Data!DE:DE),0)</f>
        <v>14640</v>
      </c>
      <c r="E46" s="18">
        <f>IF(F3="1",SUMIF(Data!$A:$A,'39'!$A$2,Data!IY:IY),0)</f>
        <v>25091</v>
      </c>
      <c r="F46" s="22">
        <f t="shared" si="3"/>
        <v>1.71</v>
      </c>
    </row>
    <row r="47" spans="1:6" ht="14.25" customHeight="1" x14ac:dyDescent="0.2">
      <c r="A47" s="20">
        <v>12</v>
      </c>
      <c r="B47" s="172" t="s">
        <v>11</v>
      </c>
      <c r="C47" s="173"/>
      <c r="D47" s="15">
        <f>IF(F3="1",SUMIF(Data!A:A,'39'!$A$2,Data!DF:DF),0)</f>
        <v>335536</v>
      </c>
      <c r="E47" s="18">
        <f>IF(F3="1",SUMIF(Data!$A:$A,'39'!$A$2,Data!IZ:IZ),0)</f>
        <v>262381</v>
      </c>
      <c r="F47" s="22">
        <f t="shared" si="3"/>
        <v>0.78</v>
      </c>
    </row>
    <row r="48" spans="1:6" x14ac:dyDescent="0.2">
      <c r="A48" s="20">
        <v>13</v>
      </c>
      <c r="B48" s="172" t="s">
        <v>12</v>
      </c>
      <c r="C48" s="173"/>
      <c r="D48" s="15">
        <f>IF(F3="1",SUMIF(Data!A:A,'39'!$A$2,Data!DG:DG),0)</f>
        <v>35216</v>
      </c>
      <c r="E48" s="18">
        <f>IF(F3="1",SUMIF(Data!$A:$A,'39'!$A$2,Data!JA:JA),0)</f>
        <v>8215</v>
      </c>
      <c r="F48" s="22">
        <f t="shared" si="3"/>
        <v>0.23</v>
      </c>
    </row>
    <row r="49" spans="1:6" ht="14.25" customHeight="1" x14ac:dyDescent="0.2">
      <c r="A49" s="20">
        <v>14</v>
      </c>
      <c r="B49" s="172" t="s">
        <v>469</v>
      </c>
      <c r="C49" s="173"/>
      <c r="D49" s="15">
        <f>IF(F3="1",SUMIF(Data!A:A,'39'!$A$2,Data!DH:DH),0)</f>
        <v>7904</v>
      </c>
      <c r="E49" s="18">
        <f>IF(F3="1",SUMIF(Data!$A:$A,'39'!$A$2,Data!JB:JB),0)</f>
        <v>0</v>
      </c>
      <c r="F49" s="22">
        <f t="shared" si="3"/>
        <v>0</v>
      </c>
    </row>
    <row r="50" spans="1:6" x14ac:dyDescent="0.2">
      <c r="A50" s="20">
        <v>15</v>
      </c>
      <c r="B50" s="172" t="s">
        <v>13</v>
      </c>
      <c r="C50" s="173"/>
      <c r="D50" s="15">
        <f>IF(F3="1",SUMIF(Data!A:A,'39'!$A$2,Data!DI:DI),0)</f>
        <v>0</v>
      </c>
      <c r="E50" s="18">
        <f>IF(F3="1",SUMIF(Data!$A:$A,'39'!$A$2,Data!JC:JC),0)</f>
        <v>0</v>
      </c>
      <c r="F50" s="22" t="str">
        <f t="shared" si="3"/>
        <v/>
      </c>
    </row>
    <row r="51" spans="1:6" x14ac:dyDescent="0.2">
      <c r="A51" s="20">
        <v>16</v>
      </c>
      <c r="B51" s="172" t="s">
        <v>14</v>
      </c>
      <c r="C51" s="173"/>
      <c r="D51" s="15">
        <f>IF(F3="1",SUMIF(Data!A:A,'39'!$A$2,Data!DJ:DJ),0)</f>
        <v>45336</v>
      </c>
      <c r="E51" s="18">
        <f>IF(F3="1",SUMIF(Data!$A:$A,'39'!$A$2,Data!JD:JD),0)</f>
        <v>83639</v>
      </c>
      <c r="F51" s="22">
        <f t="shared" si="3"/>
        <v>1.84</v>
      </c>
    </row>
    <row r="52" spans="1:6" x14ac:dyDescent="0.2">
      <c r="A52" s="20">
        <v>17</v>
      </c>
      <c r="B52" s="172" t="s">
        <v>15</v>
      </c>
      <c r="C52" s="173"/>
      <c r="D52" s="15">
        <f>IF(F3="1",SUMIF(Data!A:A,'39'!$A$2,Data!DK:DK),0)</f>
        <v>0</v>
      </c>
      <c r="E52" s="18">
        <f>IF(F3="1",SUMIF(Data!$A:$A,'39'!$A$2,Data!JE:JE),0)</f>
        <v>0</v>
      </c>
      <c r="F52" s="22" t="str">
        <f t="shared" si="3"/>
        <v/>
      </c>
    </row>
    <row r="53" spans="1:6" x14ac:dyDescent="0.2">
      <c r="A53" s="20">
        <v>18</v>
      </c>
      <c r="B53" s="172" t="s">
        <v>16</v>
      </c>
      <c r="C53" s="173"/>
      <c r="D53" s="15">
        <f>IF(F3="1",SUMIF(Data!A:A,'39'!$A$2,Data!DL:DL),0)</f>
        <v>104608</v>
      </c>
      <c r="E53" s="18">
        <f>IF(F3="1",SUMIF(Data!$A:$A,'39'!$A$2,Data!JF:JF),0)</f>
        <v>166131</v>
      </c>
      <c r="F53" s="22">
        <f t="shared" si="3"/>
        <v>1.59</v>
      </c>
    </row>
    <row r="54" spans="1:6" x14ac:dyDescent="0.2">
      <c r="A54" s="20">
        <v>19</v>
      </c>
      <c r="B54" s="172" t="s">
        <v>17</v>
      </c>
      <c r="C54" s="173"/>
      <c r="D54" s="15">
        <f>IF(F3="1",SUMIF(Data!A:A,'39'!$A$2,Data!DM:DM),0)</f>
        <v>220240</v>
      </c>
      <c r="E54" s="18">
        <f>IF(F3="1",SUMIF(Data!$A:$A,'39'!$A$2,Data!JG:JG),0)</f>
        <v>220355</v>
      </c>
      <c r="F54" s="22">
        <f t="shared" si="3"/>
        <v>1</v>
      </c>
    </row>
    <row r="55" spans="1:6" x14ac:dyDescent="0.2">
      <c r="A55" s="20">
        <v>20</v>
      </c>
      <c r="B55" s="172" t="s">
        <v>18</v>
      </c>
      <c r="C55" s="173"/>
      <c r="D55" s="15">
        <f>IF(F3="1",SUMIF(Data!A:A,'39'!$A$2,Data!DN:DN),0)</f>
        <v>53760</v>
      </c>
      <c r="E55" s="18">
        <f>IF(F3="1",SUMIF(Data!$A:$A,'39'!$A$2,Data!JH:JH),0)</f>
        <v>65502</v>
      </c>
      <c r="F55" s="22">
        <f t="shared" si="3"/>
        <v>1.22</v>
      </c>
    </row>
    <row r="56" spans="1:6" ht="14.25" customHeight="1" x14ac:dyDescent="0.2">
      <c r="A56" s="20">
        <v>21</v>
      </c>
      <c r="B56" s="172" t="s">
        <v>466</v>
      </c>
      <c r="C56" s="173"/>
      <c r="D56" s="15">
        <f>IF(F3="1",SUMIF(Data!A:A,'39'!$A$2,Data!DO:DO),0)</f>
        <v>33320</v>
      </c>
      <c r="E56" s="18">
        <f>IF(F3="1",SUMIF(Data!$A:$A,'39'!$A$2,Data!JI:JI),0)</f>
        <v>346386</v>
      </c>
      <c r="F56" s="22">
        <f t="shared" si="3"/>
        <v>10.4</v>
      </c>
    </row>
    <row r="57" spans="1:6" x14ac:dyDescent="0.2">
      <c r="A57" s="20">
        <v>22</v>
      </c>
      <c r="B57" s="172" t="s">
        <v>19</v>
      </c>
      <c r="C57" s="173"/>
      <c r="D57" s="15">
        <f>IF(F3="1",SUMIF(Data!A:A,'39'!$A$2,Data!DP:DP),0)</f>
        <v>4992</v>
      </c>
      <c r="E57" s="18">
        <f>IF(F3="1",SUMIF(Data!$A:$A,'39'!$A$2,Data!JJ:JJ),0)</f>
        <v>2407</v>
      </c>
      <c r="F57" s="22">
        <f t="shared" si="3"/>
        <v>0.48</v>
      </c>
    </row>
    <row r="58" spans="1:6" x14ac:dyDescent="0.2">
      <c r="A58" s="20">
        <v>23</v>
      </c>
      <c r="B58" s="172" t="s">
        <v>20</v>
      </c>
      <c r="C58" s="173"/>
      <c r="D58" s="15">
        <f>IF(F3="1",SUMIF(Data!A:A,'39'!$A$2,Data!DQ:DQ),0)</f>
        <v>57840</v>
      </c>
      <c r="E58" s="18">
        <f>IF(F3="1",SUMIF(Data!$A:$A,'39'!$A$2,Data!JK:JK),0)</f>
        <v>129600</v>
      </c>
      <c r="F58" s="22">
        <f t="shared" si="3"/>
        <v>2.2400000000000002</v>
      </c>
    </row>
    <row r="59" spans="1:6" x14ac:dyDescent="0.2">
      <c r="A59" s="20">
        <v>24</v>
      </c>
      <c r="B59" s="172" t="s">
        <v>21</v>
      </c>
      <c r="C59" s="173"/>
      <c r="D59" s="15">
        <f>IF(F3="1",SUMIF(Data!A:A,'39'!$A$2,Data!DR:DR),0)</f>
        <v>76857</v>
      </c>
      <c r="E59" s="18">
        <f>IF(F3="1",SUMIF(Data!$A:$A,'39'!$A$2,Data!JL:JL),0)</f>
        <v>194428</v>
      </c>
      <c r="F59" s="22">
        <f t="shared" si="3"/>
        <v>2.5299999999999998</v>
      </c>
    </row>
    <row r="60" spans="1:6" x14ac:dyDescent="0.2">
      <c r="A60" s="20">
        <v>25</v>
      </c>
      <c r="B60" s="172" t="s">
        <v>22</v>
      </c>
      <c r="C60" s="173"/>
      <c r="D60" s="15">
        <f>IF(F3="1",SUMIF(Data!A:A,'39'!$A$2,Data!DS:DS),0)</f>
        <v>395392</v>
      </c>
      <c r="E60" s="18">
        <f>IF(F3="1",SUMIF(Data!$A:$A,'39'!$A$2,Data!JM:JM),0)</f>
        <v>112920</v>
      </c>
      <c r="F60" s="22">
        <f t="shared" si="3"/>
        <v>0.28999999999999998</v>
      </c>
    </row>
    <row r="61" spans="1:6" x14ac:dyDescent="0.2">
      <c r="A61" s="20">
        <v>26</v>
      </c>
      <c r="B61" s="172" t="s">
        <v>23</v>
      </c>
      <c r="C61" s="173"/>
      <c r="D61" s="15">
        <f>IF(F3="1",SUMIF(Data!A:A,'39'!$A$2,Data!DT:DT),0)</f>
        <v>74208</v>
      </c>
      <c r="E61" s="18">
        <f>IF(F3="1",SUMIF(Data!$A:$A,'39'!$A$2,Data!JN:JN),0)</f>
        <v>39820</v>
      </c>
      <c r="F61" s="22">
        <f t="shared" si="3"/>
        <v>0.54</v>
      </c>
    </row>
    <row r="62" spans="1:6" x14ac:dyDescent="0.2">
      <c r="A62" s="20">
        <v>28</v>
      </c>
      <c r="B62" s="172" t="s">
        <v>24</v>
      </c>
      <c r="C62" s="173"/>
      <c r="D62" s="15">
        <f>IF(F3="1",SUMIF(Data!A:A,'39'!$A$2,Data!DV:DV),0)</f>
        <v>0</v>
      </c>
      <c r="E62" s="18">
        <f>IF(F3="1",SUMIF(Data!$A:$A,'39'!$A$2,Data!JP:JP),0)</f>
        <v>0</v>
      </c>
      <c r="F62" s="22" t="str">
        <f t="shared" si="3"/>
        <v/>
      </c>
    </row>
    <row r="63" spans="1:6" ht="15.75" customHeight="1" thickBot="1" x14ac:dyDescent="0.25">
      <c r="A63" s="23">
        <v>29</v>
      </c>
      <c r="B63" s="174" t="s">
        <v>25</v>
      </c>
      <c r="C63" s="175"/>
      <c r="D63" s="24">
        <f>IF(F3="1",SUMIF(Data!A:A,'39'!$A$2,Data!DW:DW),0)</f>
        <v>0</v>
      </c>
      <c r="E63" s="25">
        <f>IF(F3="1",SUMIF(Data!$A:$A,'39'!$A$2,Data!JQ:JQ),0)</f>
        <v>0</v>
      </c>
      <c r="F63" s="26" t="str">
        <f t="shared" si="3"/>
        <v/>
      </c>
    </row>
    <row r="64" spans="1:6" x14ac:dyDescent="0.2">
      <c r="B64" s="31" t="s">
        <v>35</v>
      </c>
      <c r="C64" s="31"/>
      <c r="D64" s="61">
        <f>SUM(D36:D63)</f>
        <v>2077529</v>
      </c>
      <c r="E64" s="32">
        <f>SUM(E36:E63)</f>
        <v>2164980</v>
      </c>
      <c r="F64" s="33">
        <f t="shared" si="3"/>
        <v>1.04</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20672</v>
      </c>
      <c r="E67" s="16">
        <f>IF(F3="1",SUMIF(Data!A:A,'39'!$A$2,Data!DY:DY),0)</f>
        <v>108329</v>
      </c>
      <c r="F67" s="21">
        <f t="shared" ref="F67:F95" si="4">IF(D67=0,"",ROUND(E67/D67,2))</f>
        <v>5.24</v>
      </c>
    </row>
    <row r="68" spans="1:6" x14ac:dyDescent="0.2">
      <c r="A68" s="20">
        <v>2</v>
      </c>
      <c r="B68" s="172" t="s">
        <v>1</v>
      </c>
      <c r="C68" s="173"/>
      <c r="D68" s="15">
        <f t="shared" ref="D68:D94" si="5">D37</f>
        <v>7248</v>
      </c>
      <c r="E68" s="18">
        <f>IF(F3="1",SUMIF(Data!A:A,'39'!$A$2,Data!DZ:DZ),0)</f>
        <v>57466</v>
      </c>
      <c r="F68" s="22">
        <f t="shared" si="4"/>
        <v>7.93</v>
      </c>
    </row>
    <row r="69" spans="1:6" ht="14.25" customHeight="1" x14ac:dyDescent="0.2">
      <c r="A69" s="20">
        <v>3</v>
      </c>
      <c r="B69" s="172" t="s">
        <v>2</v>
      </c>
      <c r="C69" s="173"/>
      <c r="D69" s="15">
        <f t="shared" si="5"/>
        <v>222080</v>
      </c>
      <c r="E69" s="18">
        <f>IF(F3="1",SUMIF(Data!A:A,'39'!$A$2,Data!EA:EA),0)</f>
        <v>737212</v>
      </c>
      <c r="F69" s="22">
        <f t="shared" si="4"/>
        <v>3.32</v>
      </c>
    </row>
    <row r="70" spans="1:6" ht="14.25" customHeight="1" x14ac:dyDescent="0.2">
      <c r="A70" s="20">
        <v>4</v>
      </c>
      <c r="B70" s="172" t="s">
        <v>3</v>
      </c>
      <c r="C70" s="173"/>
      <c r="D70" s="15">
        <f t="shared" si="5"/>
        <v>112066</v>
      </c>
      <c r="E70" s="18">
        <f>IF(F3="1",SUMIF(Data!A:A,'39'!$A$2,Data!EB:EB),0)</f>
        <v>560356</v>
      </c>
      <c r="F70" s="22">
        <f t="shared" si="4"/>
        <v>5</v>
      </c>
    </row>
    <row r="71" spans="1:6" x14ac:dyDescent="0.2">
      <c r="A71" s="20">
        <v>5</v>
      </c>
      <c r="B71" s="172" t="s">
        <v>4</v>
      </c>
      <c r="C71" s="173"/>
      <c r="D71" s="15">
        <f t="shared" si="5"/>
        <v>0</v>
      </c>
      <c r="E71" s="18">
        <f>IF(F3="1",SUMIF(Data!A:A,'39'!$A$2,Data!EC:EC),0)</f>
        <v>0</v>
      </c>
      <c r="F71" s="22" t="str">
        <f t="shared" si="4"/>
        <v/>
      </c>
    </row>
    <row r="72" spans="1:6" x14ac:dyDescent="0.2">
      <c r="A72" s="20">
        <v>6</v>
      </c>
      <c r="B72" s="172" t="s">
        <v>5</v>
      </c>
      <c r="C72" s="173"/>
      <c r="D72" s="15">
        <f t="shared" si="5"/>
        <v>9198</v>
      </c>
      <c r="E72" s="18">
        <f>IF(F3="1",SUMIF(Data!A:A,'39'!$A$2,Data!ED:ED),0)</f>
        <v>4096</v>
      </c>
      <c r="F72" s="22">
        <f t="shared" si="4"/>
        <v>0.45</v>
      </c>
    </row>
    <row r="73" spans="1:6" x14ac:dyDescent="0.2">
      <c r="A73" s="20">
        <v>7</v>
      </c>
      <c r="B73" s="172" t="s">
        <v>6</v>
      </c>
      <c r="C73" s="173"/>
      <c r="D73" s="15">
        <f t="shared" si="5"/>
        <v>125000</v>
      </c>
      <c r="E73" s="18">
        <f>IF(F3="1",SUMIF(Data!A:A,'39'!$A$2,Data!EE:EE),0)</f>
        <v>214098</v>
      </c>
      <c r="F73" s="22">
        <f t="shared" si="4"/>
        <v>1.71</v>
      </c>
    </row>
    <row r="74" spans="1:6" x14ac:dyDescent="0.2">
      <c r="A74" s="20">
        <v>8</v>
      </c>
      <c r="B74" s="172" t="s">
        <v>7</v>
      </c>
      <c r="C74" s="173"/>
      <c r="D74" s="15">
        <f t="shared" si="5"/>
        <v>8160</v>
      </c>
      <c r="E74" s="18">
        <f>IF(F3="1",SUMIF(Data!A:A,'39'!$A$2,Data!EF:EF),0)</f>
        <v>34646</v>
      </c>
      <c r="F74" s="22">
        <f t="shared" si="4"/>
        <v>4.25</v>
      </c>
    </row>
    <row r="75" spans="1:6" x14ac:dyDescent="0.2">
      <c r="A75" s="20">
        <v>9</v>
      </c>
      <c r="B75" s="172" t="s">
        <v>8</v>
      </c>
      <c r="C75" s="173"/>
      <c r="D75" s="15">
        <f t="shared" si="5"/>
        <v>111752</v>
      </c>
      <c r="E75" s="18">
        <f>IF(F3="1",SUMIF(Data!A:A,'39'!$A$2,Data!EG:EG),0)</f>
        <v>350818</v>
      </c>
      <c r="F75" s="22">
        <f t="shared" si="4"/>
        <v>3.14</v>
      </c>
    </row>
    <row r="76" spans="1:6" x14ac:dyDescent="0.2">
      <c r="A76" s="20">
        <v>10</v>
      </c>
      <c r="B76" s="172" t="s">
        <v>9</v>
      </c>
      <c r="C76" s="173"/>
      <c r="D76" s="15">
        <f t="shared" si="5"/>
        <v>1504</v>
      </c>
      <c r="E76" s="18">
        <f>IF(F3="1",SUMIF(Data!A:A,'39'!$A$2,Data!EH:EH),0)</f>
        <v>0</v>
      </c>
      <c r="F76" s="22">
        <f t="shared" si="4"/>
        <v>0</v>
      </c>
    </row>
    <row r="77" spans="1:6" x14ac:dyDescent="0.2">
      <c r="A77" s="20">
        <v>11</v>
      </c>
      <c r="B77" s="172" t="s">
        <v>10</v>
      </c>
      <c r="C77" s="173"/>
      <c r="D77" s="15">
        <f t="shared" si="5"/>
        <v>14640</v>
      </c>
      <c r="E77" s="18">
        <f>IF(F3="1",SUMIF(Data!A:A,'39'!$A$2,Data!EI:EI),0)</f>
        <v>143376</v>
      </c>
      <c r="F77" s="22">
        <f t="shared" si="4"/>
        <v>9.7899999999999991</v>
      </c>
    </row>
    <row r="78" spans="1:6" ht="14.25" customHeight="1" x14ac:dyDescent="0.2">
      <c r="A78" s="20">
        <v>12</v>
      </c>
      <c r="B78" s="172" t="s">
        <v>11</v>
      </c>
      <c r="C78" s="173"/>
      <c r="D78" s="15">
        <f t="shared" si="5"/>
        <v>335536</v>
      </c>
      <c r="E78" s="18">
        <f>IF(F3="1",SUMIF(Data!A:A,'39'!$A$2,Data!EJ:EJ),0)</f>
        <v>1106277</v>
      </c>
      <c r="F78" s="22">
        <f t="shared" si="4"/>
        <v>3.3</v>
      </c>
    </row>
    <row r="79" spans="1:6" x14ac:dyDescent="0.2">
      <c r="A79" s="20">
        <v>13</v>
      </c>
      <c r="B79" s="172" t="s">
        <v>12</v>
      </c>
      <c r="C79" s="173"/>
      <c r="D79" s="15">
        <f t="shared" si="5"/>
        <v>35216</v>
      </c>
      <c r="E79" s="18">
        <f>IF(F3="1",SUMIF(Data!A:A,'39'!$A$2,Data!EK:EK),0)</f>
        <v>67701</v>
      </c>
      <c r="F79" s="22">
        <f t="shared" si="4"/>
        <v>1.92</v>
      </c>
    </row>
    <row r="80" spans="1:6" ht="14.25" customHeight="1" x14ac:dyDescent="0.2">
      <c r="A80" s="20">
        <v>14</v>
      </c>
      <c r="B80" s="172" t="s">
        <v>469</v>
      </c>
      <c r="C80" s="173"/>
      <c r="D80" s="15">
        <f t="shared" si="5"/>
        <v>7904</v>
      </c>
      <c r="E80" s="18">
        <f>IF(F3="1",SUMIF(Data!A:A,'39'!$A$2,Data!EL:EL),0)</f>
        <v>0</v>
      </c>
      <c r="F80" s="22">
        <f t="shared" si="4"/>
        <v>0</v>
      </c>
    </row>
    <row r="81" spans="1:6" x14ac:dyDescent="0.2">
      <c r="A81" s="20">
        <v>15</v>
      </c>
      <c r="B81" s="172" t="s">
        <v>13</v>
      </c>
      <c r="C81" s="173"/>
      <c r="D81" s="15">
        <f t="shared" si="5"/>
        <v>0</v>
      </c>
      <c r="E81" s="18">
        <f>IF(F3="1",SUMIF(Data!A:A,'39'!$A$2,Data!EM:EM),0)</f>
        <v>0</v>
      </c>
      <c r="F81" s="22" t="str">
        <f t="shared" si="4"/>
        <v/>
      </c>
    </row>
    <row r="82" spans="1:6" x14ac:dyDescent="0.2">
      <c r="A82" s="20">
        <v>16</v>
      </c>
      <c r="B82" s="172" t="s">
        <v>14</v>
      </c>
      <c r="C82" s="173"/>
      <c r="D82" s="15">
        <f t="shared" si="5"/>
        <v>45336</v>
      </c>
      <c r="E82" s="18">
        <f>IF(F3="1",SUMIF(Data!A:A,'39'!$A$2,Data!EN:EN),0)</f>
        <v>0</v>
      </c>
      <c r="F82" s="22">
        <f t="shared" si="4"/>
        <v>0</v>
      </c>
    </row>
    <row r="83" spans="1:6" x14ac:dyDescent="0.2">
      <c r="A83" s="20">
        <v>17</v>
      </c>
      <c r="B83" s="172" t="s">
        <v>15</v>
      </c>
      <c r="C83" s="173"/>
      <c r="D83" s="15">
        <f t="shared" si="5"/>
        <v>0</v>
      </c>
      <c r="E83" s="18">
        <f>IF(F3="1",SUMIF(Data!A:A,'39'!$A$2,Data!EO:EO),0)</f>
        <v>0</v>
      </c>
      <c r="F83" s="22" t="str">
        <f t="shared" si="4"/>
        <v/>
      </c>
    </row>
    <row r="84" spans="1:6" x14ac:dyDescent="0.2">
      <c r="A84" s="20">
        <v>18</v>
      </c>
      <c r="B84" s="172" t="s">
        <v>16</v>
      </c>
      <c r="C84" s="173"/>
      <c r="D84" s="15">
        <f t="shared" si="5"/>
        <v>104608</v>
      </c>
      <c r="E84" s="18">
        <f>IF(F3="1",SUMIF(Data!A:A,'39'!$A$2,Data!EP:EP),0)</f>
        <v>437164</v>
      </c>
      <c r="F84" s="22">
        <f t="shared" si="4"/>
        <v>4.18</v>
      </c>
    </row>
    <row r="85" spans="1:6" x14ac:dyDescent="0.2">
      <c r="A85" s="20">
        <v>19</v>
      </c>
      <c r="B85" s="172" t="s">
        <v>17</v>
      </c>
      <c r="C85" s="173"/>
      <c r="D85" s="15">
        <f t="shared" si="5"/>
        <v>220240</v>
      </c>
      <c r="E85" s="18">
        <f>IF(F3="1",SUMIF(Data!A:A,'39'!$A$2,Data!EQ:EQ),0)</f>
        <v>792741</v>
      </c>
      <c r="F85" s="22">
        <f t="shared" si="4"/>
        <v>3.6</v>
      </c>
    </row>
    <row r="86" spans="1:6" x14ac:dyDescent="0.2">
      <c r="A86" s="20">
        <v>20</v>
      </c>
      <c r="B86" s="172" t="s">
        <v>18</v>
      </c>
      <c r="C86" s="173"/>
      <c r="D86" s="15">
        <f t="shared" si="5"/>
        <v>53760</v>
      </c>
      <c r="E86" s="18">
        <f>IF(F3="1",SUMIF(Data!A:A,'39'!$A$2,Data!ER:ER),0)</f>
        <v>195582</v>
      </c>
      <c r="F86" s="22">
        <f t="shared" si="4"/>
        <v>3.64</v>
      </c>
    </row>
    <row r="87" spans="1:6" ht="14.25" customHeight="1" x14ac:dyDescent="0.2">
      <c r="A87" s="20">
        <v>21</v>
      </c>
      <c r="B87" s="172" t="s">
        <v>466</v>
      </c>
      <c r="C87" s="173"/>
      <c r="D87" s="15">
        <f t="shared" si="5"/>
        <v>33320</v>
      </c>
      <c r="E87" s="18">
        <f>IF(F3="1",SUMIF(Data!A:A,'39'!$A$2,Data!ES:ES),0)</f>
        <v>58232</v>
      </c>
      <c r="F87" s="22">
        <f t="shared" si="4"/>
        <v>1.75</v>
      </c>
    </row>
    <row r="88" spans="1:6" x14ac:dyDescent="0.2">
      <c r="A88" s="20">
        <v>22</v>
      </c>
      <c r="B88" s="172" t="s">
        <v>19</v>
      </c>
      <c r="C88" s="173"/>
      <c r="D88" s="15">
        <f t="shared" si="5"/>
        <v>4992</v>
      </c>
      <c r="E88" s="18">
        <f>IF(F3="1",SUMIF(Data!A:A,'39'!$A$2,Data!ET:ET),0)</f>
        <v>0</v>
      </c>
      <c r="F88" s="22">
        <f t="shared" si="4"/>
        <v>0</v>
      </c>
    </row>
    <row r="89" spans="1:6" x14ac:dyDescent="0.2">
      <c r="A89" s="20">
        <v>23</v>
      </c>
      <c r="B89" s="172" t="s">
        <v>20</v>
      </c>
      <c r="C89" s="173"/>
      <c r="D89" s="15">
        <f t="shared" si="5"/>
        <v>57840</v>
      </c>
      <c r="E89" s="18">
        <f>IF(F3="1",SUMIF(Data!A:A,'39'!$A$2,Data!EU:EU),0)</f>
        <v>153233</v>
      </c>
      <c r="F89" s="22">
        <f t="shared" si="4"/>
        <v>2.65</v>
      </c>
    </row>
    <row r="90" spans="1:6" x14ac:dyDescent="0.2">
      <c r="A90" s="20">
        <v>24</v>
      </c>
      <c r="B90" s="172" t="s">
        <v>21</v>
      </c>
      <c r="C90" s="173"/>
      <c r="D90" s="15">
        <f t="shared" si="5"/>
        <v>76857</v>
      </c>
      <c r="E90" s="18">
        <f>IF(F3="1",SUMIF(Data!A:A,'39'!$A$2,Data!EV:EV),0)</f>
        <v>259771</v>
      </c>
      <c r="F90" s="22">
        <f t="shared" si="4"/>
        <v>3.38</v>
      </c>
    </row>
    <row r="91" spans="1:6" x14ac:dyDescent="0.2">
      <c r="A91" s="20">
        <v>25</v>
      </c>
      <c r="B91" s="172" t="s">
        <v>22</v>
      </c>
      <c r="C91" s="173"/>
      <c r="D91" s="15">
        <f t="shared" si="5"/>
        <v>395392</v>
      </c>
      <c r="E91" s="18">
        <f>IF(F3="1",SUMIF(Data!A:A,'39'!$A$2,Data!EW:EW),0)</f>
        <v>1144562</v>
      </c>
      <c r="F91" s="22">
        <f t="shared" si="4"/>
        <v>2.89</v>
      </c>
    </row>
    <row r="92" spans="1:6" x14ac:dyDescent="0.2">
      <c r="A92" s="20">
        <v>26</v>
      </c>
      <c r="B92" s="172" t="s">
        <v>23</v>
      </c>
      <c r="C92" s="173"/>
      <c r="D92" s="15">
        <f t="shared" si="5"/>
        <v>74208</v>
      </c>
      <c r="E92" s="18">
        <f>IF(F3="1",SUMIF(Data!A:A,'39'!$A$2,Data!EX:EX),0)</f>
        <v>254726</v>
      </c>
      <c r="F92" s="22">
        <f t="shared" si="4"/>
        <v>3.43</v>
      </c>
    </row>
    <row r="93" spans="1:6" x14ac:dyDescent="0.2">
      <c r="A93" s="20">
        <v>28</v>
      </c>
      <c r="B93" s="172" t="s">
        <v>24</v>
      </c>
      <c r="C93" s="173"/>
      <c r="D93" s="15">
        <f t="shared" si="5"/>
        <v>0</v>
      </c>
      <c r="E93" s="18">
        <f>IF(F3="1",SUMIF(Data!A:A,'39'!$A$2,Data!EZ:EZ),0)</f>
        <v>0</v>
      </c>
      <c r="F93" s="22" t="str">
        <f t="shared" si="4"/>
        <v/>
      </c>
    </row>
    <row r="94" spans="1:6" ht="15.75" customHeight="1" thickBot="1" x14ac:dyDescent="0.25">
      <c r="A94" s="23">
        <v>29</v>
      </c>
      <c r="B94" s="174" t="s">
        <v>25</v>
      </c>
      <c r="C94" s="175"/>
      <c r="D94" s="24">
        <f t="shared" si="5"/>
        <v>0</v>
      </c>
      <c r="E94" s="25">
        <f>IF(F3="1",SUMIF(Data!A:A,'39'!$A$2,Data!FA:FA),0)</f>
        <v>0</v>
      </c>
      <c r="F94" s="26" t="str">
        <f t="shared" si="4"/>
        <v/>
      </c>
    </row>
    <row r="95" spans="1:6" x14ac:dyDescent="0.2">
      <c r="B95" s="31" t="s">
        <v>35</v>
      </c>
      <c r="C95" s="31"/>
      <c r="D95" s="61">
        <f>SUM(D67:D94)</f>
        <v>2077529</v>
      </c>
      <c r="E95" s="32">
        <f>SUM(E67:E94)</f>
        <v>6680386</v>
      </c>
      <c r="F95" s="33">
        <f t="shared" si="4"/>
        <v>3.22</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IF(F3="1",SUMIF(Data!A:A,'39'!$A$2,Data!AH:AH),0)</f>
        <v>3209432</v>
      </c>
      <c r="F98" s="21">
        <f>IF($D$105=0,"",ROUND(E98/$D$105,2))</f>
        <v>1.54</v>
      </c>
    </row>
    <row r="99" spans="2:6" x14ac:dyDescent="0.2">
      <c r="B99" s="178" t="s">
        <v>31</v>
      </c>
      <c r="C99" s="179"/>
      <c r="D99" s="37"/>
      <c r="E99" s="18">
        <f>IF(F3="1",SUMIF(Data!A:A,'39'!$A$2,Data!AI:AI),0)</f>
        <v>1234896</v>
      </c>
      <c r="F99" s="22">
        <f t="shared" ref="F99:F105" si="6">IF($D$105=0,"",ROUND(E99/$D$105,2))</f>
        <v>0.59</v>
      </c>
    </row>
    <row r="100" spans="2:6" x14ac:dyDescent="0.2">
      <c r="B100" s="178" t="s">
        <v>32</v>
      </c>
      <c r="C100" s="179"/>
      <c r="D100" s="37"/>
      <c r="E100" s="18">
        <f>IF(F3="1",SUMIF(Data!A:A,'39'!$A$2,Data!AJ:AJ),0)</f>
        <v>1845999</v>
      </c>
      <c r="F100" s="22">
        <f t="shared" si="6"/>
        <v>0.89</v>
      </c>
    </row>
    <row r="101" spans="2:6" x14ac:dyDescent="0.2">
      <c r="B101" s="178" t="s">
        <v>28</v>
      </c>
      <c r="C101" s="179"/>
      <c r="D101" s="37"/>
      <c r="E101" s="18">
        <f>IF(F3="1",SUMIF(Data!A:A,'39'!$A$2,Data!AK:AK),0)</f>
        <v>0</v>
      </c>
      <c r="F101" s="22">
        <f t="shared" si="6"/>
        <v>0</v>
      </c>
    </row>
    <row r="102" spans="2:6" x14ac:dyDescent="0.2">
      <c r="B102" s="178" t="s">
        <v>33</v>
      </c>
      <c r="C102" s="179"/>
      <c r="D102" s="37"/>
      <c r="E102" s="18">
        <f>IF(F3="1",SUMIF(Data!A:A,'39'!$A$2,Data!AL:AL),0)</f>
        <v>0</v>
      </c>
      <c r="F102" s="22">
        <f t="shared" si="6"/>
        <v>0</v>
      </c>
    </row>
    <row r="103" spans="2:6" x14ac:dyDescent="0.2">
      <c r="B103" s="180" t="s">
        <v>34</v>
      </c>
      <c r="C103" s="181"/>
      <c r="D103" s="37"/>
      <c r="E103" s="18">
        <f>IF(F3="1",SUMIF(Data!A:A,'39'!$A$2,Data!AM:AM),0)</f>
        <v>318191</v>
      </c>
      <c r="F103" s="22">
        <f t="shared" si="6"/>
        <v>0.15</v>
      </c>
    </row>
    <row r="104" spans="2:6" ht="15.75" customHeight="1" thickBot="1" x14ac:dyDescent="0.25">
      <c r="B104" s="170" t="s">
        <v>29</v>
      </c>
      <c r="C104" s="171"/>
      <c r="D104" s="38"/>
      <c r="E104" s="25">
        <f>IF(F3="1",SUMIF(Data!A:A,'39'!$A$2,Data!Q:Q),0)</f>
        <v>308431</v>
      </c>
      <c r="F104" s="26">
        <f t="shared" si="6"/>
        <v>0.15</v>
      </c>
    </row>
    <row r="105" spans="2:6" x14ac:dyDescent="0.2">
      <c r="B105" s="31" t="s">
        <v>35</v>
      </c>
      <c r="C105" s="31"/>
      <c r="D105" s="35">
        <f>D95</f>
        <v>2077529</v>
      </c>
      <c r="E105" s="32">
        <f>SUM(E98:E104)</f>
        <v>6916949</v>
      </c>
      <c r="F105" s="33">
        <f t="shared" si="6"/>
        <v>3.33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7446215</v>
      </c>
      <c r="D109" s="16">
        <f>IF(F3="1",SUMIF(Data!$A:$A,$A$2,Data!HJ:HJ),0)</f>
        <v>477618</v>
      </c>
      <c r="E109" s="16">
        <f>IF(F3="1",SUMIF(Data!$A:$A,$A$2,Data!IN:IN),0)</f>
        <v>921533</v>
      </c>
      <c r="F109" s="48">
        <f>SUM(C109:E109)</f>
        <v>8845366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93790</v>
      </c>
      <c r="D111" s="52"/>
      <c r="E111" s="51">
        <f>IF(F3="1",SUMIF(Data!A:A,$A$2,Data!AX:AX),0)</f>
        <v>312</v>
      </c>
      <c r="F111" s="49">
        <f t="shared" si="7"/>
        <v>94102</v>
      </c>
    </row>
    <row r="112" spans="2:6" x14ac:dyDescent="0.2">
      <c r="B112" s="43" t="s">
        <v>32</v>
      </c>
      <c r="C112" s="51">
        <f>IF(F3="1",SUMIF(Data!A:A,$A$2,Data!V:V),0)</f>
        <v>1551123</v>
      </c>
      <c r="D112" s="52"/>
      <c r="E112" s="51">
        <f>IF(F3="1",SUMIF(Data!A:A,$A$2,Data!AC:AC),0)</f>
        <v>294876</v>
      </c>
      <c r="F112" s="49">
        <f t="shared" si="7"/>
        <v>1845999</v>
      </c>
    </row>
    <row r="113" spans="1:6" x14ac:dyDescent="0.2">
      <c r="B113" s="43" t="s">
        <v>31</v>
      </c>
      <c r="C113" s="51">
        <f>IF(F3="1",SUMIF(Data!A:A,$A$2,Data!U:U),0)</f>
        <v>953343</v>
      </c>
      <c r="D113" s="52"/>
      <c r="E113" s="51">
        <f>IF(F3="1",SUMIF(Data!A:A,$A$2,Data!AB:AB),0)</f>
        <v>281553</v>
      </c>
      <c r="F113" s="49">
        <f t="shared" si="7"/>
        <v>1234896</v>
      </c>
    </row>
    <row r="114" spans="1:6" x14ac:dyDescent="0.2">
      <c r="B114" s="43" t="s">
        <v>1021</v>
      </c>
      <c r="C114" s="51">
        <f>IF(F3="1",SUMIF(Data!A:A,$A$2,Data!T:T),0)</f>
        <v>2163178</v>
      </c>
      <c r="D114" s="52"/>
      <c r="E114" s="51">
        <f>IF(F3="1",SUMIF(Data!A:A,$A$2,Data!AA:AA),0)</f>
        <v>1046254</v>
      </c>
      <c r="F114" s="49">
        <f t="shared" si="7"/>
        <v>3209432</v>
      </c>
    </row>
    <row r="115" spans="1:6" x14ac:dyDescent="0.2">
      <c r="B115" s="43" t="s">
        <v>937</v>
      </c>
      <c r="C115" s="51">
        <f>IF(F3="1",SUMIF(Data!A:A,$A$2,Data!BI:BI),0)</f>
        <v>969895</v>
      </c>
      <c r="D115" s="51">
        <f>IF(F3="1",SUMIF(Data!A:A,$A$2,Data!BL:BL),0)</f>
        <v>62827</v>
      </c>
      <c r="E115" s="51">
        <f>IF(F3="1",SUMIF(Data!A:A,$A$2,Data!BU:BU),0)</f>
        <v>2828207</v>
      </c>
      <c r="F115" s="49">
        <f t="shared" si="7"/>
        <v>3860929</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308431</v>
      </c>
      <c r="E117" s="53"/>
      <c r="F117" s="50">
        <f>SUM(C117:E117)</f>
        <v>308431</v>
      </c>
    </row>
    <row r="118" spans="1:6" x14ac:dyDescent="0.2">
      <c r="B118" s="14" t="s">
        <v>35</v>
      </c>
      <c r="C118" s="5">
        <f>SUM(C109:C116)</f>
        <v>13177544</v>
      </c>
      <c r="D118" s="5">
        <f>SUM(D109:D116)</f>
        <v>540445</v>
      </c>
      <c r="E118" s="5">
        <f>SUM(E109:E116)</f>
        <v>5372735</v>
      </c>
      <c r="F118" s="5">
        <f>SUM(F109:F116)</f>
        <v>19090724</v>
      </c>
    </row>
    <row r="119" spans="1:6" ht="15" thickBot="1" x14ac:dyDescent="0.25"/>
    <row r="120" spans="1:6" ht="15" thickBot="1" x14ac:dyDescent="0.25">
      <c r="B120" s="57" t="s">
        <v>942</v>
      </c>
      <c r="C120" s="55"/>
      <c r="D120" s="55"/>
      <c r="E120" s="55">
        <f>IF(F3="1",SUMIF(Data!A:A,'39'!$A$2,Data!AM:AM),0)</f>
        <v>318191</v>
      </c>
      <c r="F120" s="56">
        <f>SUM(C120:E120)</f>
        <v>318191</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2" width="13.42578125" style="11" bestFit="1" customWidth="1"/>
    <col min="13" max="13" width="13.5703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402</v>
      </c>
      <c r="B2" s="60" t="str">
        <f>VLOOKUP(A2,Data!A:G,7,0)</f>
        <v>Tarrant County College District</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27236</v>
      </c>
      <c r="E5" s="16">
        <f>E36+E67+IFERROR($E$105/$D$105*D5,0)</f>
        <v>259133.15325505554</v>
      </c>
      <c r="F5" s="21">
        <f>IF(OR(D5=0,E5=0),"",ROUND(E5/D5,2))</f>
        <v>9.51</v>
      </c>
    </row>
    <row r="6" spans="1:6" x14ac:dyDescent="0.2">
      <c r="A6" s="20">
        <v>2</v>
      </c>
      <c r="B6" s="172" t="s">
        <v>1</v>
      </c>
      <c r="C6" s="173"/>
      <c r="D6" s="15">
        <f t="shared" ref="D6:D32" si="0">D37</f>
        <v>34420</v>
      </c>
      <c r="E6" s="18">
        <f t="shared" ref="E6:E32" si="1">E37+E68+IFERROR($E$105/$D$105*D6,0)</f>
        <v>637625.2127712958</v>
      </c>
      <c r="F6" s="22">
        <f t="shared" ref="F6:F33" si="2">IF(OR(D6=0,E6=0),"",ROUND(E6/D6,2))</f>
        <v>18.52</v>
      </c>
    </row>
    <row r="7" spans="1:6" ht="14.25" customHeight="1" x14ac:dyDescent="0.2">
      <c r="A7" s="20">
        <v>3</v>
      </c>
      <c r="B7" s="172" t="s">
        <v>2</v>
      </c>
      <c r="C7" s="173"/>
      <c r="D7" s="15">
        <f t="shared" si="0"/>
        <v>2185056</v>
      </c>
      <c r="E7" s="18">
        <f t="shared" si="1"/>
        <v>15246582.422928426</v>
      </c>
      <c r="F7" s="22">
        <f t="shared" si="2"/>
        <v>6.98</v>
      </c>
    </row>
    <row r="8" spans="1:6" ht="14.25" customHeight="1" x14ac:dyDescent="0.2">
      <c r="A8" s="20">
        <v>4</v>
      </c>
      <c r="B8" s="172" t="s">
        <v>3</v>
      </c>
      <c r="C8" s="173"/>
      <c r="D8" s="15">
        <f t="shared" si="0"/>
        <v>998437</v>
      </c>
      <c r="E8" s="18">
        <f t="shared" si="1"/>
        <v>7185737.8782316744</v>
      </c>
      <c r="F8" s="22">
        <f t="shared" si="2"/>
        <v>7.2</v>
      </c>
    </row>
    <row r="9" spans="1:6" x14ac:dyDescent="0.2">
      <c r="A9" s="20">
        <v>5</v>
      </c>
      <c r="B9" s="172" t="s">
        <v>4</v>
      </c>
      <c r="C9" s="173"/>
      <c r="D9" s="15">
        <f t="shared" si="0"/>
        <v>1008</v>
      </c>
      <c r="E9" s="18">
        <f t="shared" si="1"/>
        <v>3171.8969922564247</v>
      </c>
      <c r="F9" s="22">
        <f t="shared" si="2"/>
        <v>3.15</v>
      </c>
    </row>
    <row r="10" spans="1:6" x14ac:dyDescent="0.2">
      <c r="A10" s="20">
        <v>6</v>
      </c>
      <c r="B10" s="172" t="s">
        <v>5</v>
      </c>
      <c r="C10" s="173"/>
      <c r="D10" s="15">
        <f t="shared" si="0"/>
        <v>282176</v>
      </c>
      <c r="E10" s="18">
        <f t="shared" si="1"/>
        <v>2626885.7675465764</v>
      </c>
      <c r="F10" s="22">
        <f t="shared" si="2"/>
        <v>9.31</v>
      </c>
    </row>
    <row r="11" spans="1:6" x14ac:dyDescent="0.2">
      <c r="A11" s="20">
        <v>7</v>
      </c>
      <c r="B11" s="172" t="s">
        <v>6</v>
      </c>
      <c r="C11" s="173"/>
      <c r="D11" s="15">
        <f t="shared" si="0"/>
        <v>554501</v>
      </c>
      <c r="E11" s="18">
        <f t="shared" si="1"/>
        <v>4990786.1647849008</v>
      </c>
      <c r="F11" s="22">
        <f t="shared" si="2"/>
        <v>9</v>
      </c>
    </row>
    <row r="12" spans="1:6" x14ac:dyDescent="0.2">
      <c r="A12" s="20">
        <v>8</v>
      </c>
      <c r="B12" s="172" t="s">
        <v>7</v>
      </c>
      <c r="C12" s="173"/>
      <c r="D12" s="15">
        <f t="shared" si="0"/>
        <v>1236</v>
      </c>
      <c r="E12" s="18">
        <f t="shared" si="1"/>
        <v>7486.3498833620442</v>
      </c>
      <c r="F12" s="22">
        <f t="shared" si="2"/>
        <v>6.06</v>
      </c>
    </row>
    <row r="13" spans="1:6" x14ac:dyDescent="0.2">
      <c r="A13" s="20">
        <v>9</v>
      </c>
      <c r="B13" s="172" t="s">
        <v>8</v>
      </c>
      <c r="C13" s="173"/>
      <c r="D13" s="15">
        <f t="shared" si="0"/>
        <v>221932</v>
      </c>
      <c r="E13" s="18">
        <f t="shared" si="1"/>
        <v>1672400.5746879491</v>
      </c>
      <c r="F13" s="22">
        <f t="shared" si="2"/>
        <v>7.54</v>
      </c>
    </row>
    <row r="14" spans="1:6" x14ac:dyDescent="0.2">
      <c r="A14" s="20">
        <v>10</v>
      </c>
      <c r="B14" s="172" t="s">
        <v>9</v>
      </c>
      <c r="C14" s="173"/>
      <c r="D14" s="15">
        <f t="shared" si="0"/>
        <v>10048</v>
      </c>
      <c r="E14" s="18">
        <f t="shared" si="1"/>
        <v>113675.27477995293</v>
      </c>
      <c r="F14" s="22">
        <f t="shared" si="2"/>
        <v>11.31</v>
      </c>
    </row>
    <row r="15" spans="1:6" x14ac:dyDescent="0.2">
      <c r="A15" s="20">
        <v>11</v>
      </c>
      <c r="B15" s="172" t="s">
        <v>10</v>
      </c>
      <c r="C15" s="173"/>
      <c r="D15" s="15">
        <f t="shared" si="0"/>
        <v>221121</v>
      </c>
      <c r="E15" s="18">
        <f t="shared" si="1"/>
        <v>2357768.5821673935</v>
      </c>
      <c r="F15" s="22">
        <f t="shared" si="2"/>
        <v>10.66</v>
      </c>
    </row>
    <row r="16" spans="1:6" ht="14.25" customHeight="1" x14ac:dyDescent="0.2">
      <c r="A16" s="20">
        <v>12</v>
      </c>
      <c r="B16" s="172" t="s">
        <v>11</v>
      </c>
      <c r="C16" s="173"/>
      <c r="D16" s="15">
        <f t="shared" si="0"/>
        <v>2367296</v>
      </c>
      <c r="E16" s="18">
        <f t="shared" si="1"/>
        <v>17232920.260099865</v>
      </c>
      <c r="F16" s="22">
        <f t="shared" si="2"/>
        <v>7.28</v>
      </c>
    </row>
    <row r="17" spans="1:6" x14ac:dyDescent="0.2">
      <c r="A17" s="20">
        <v>13</v>
      </c>
      <c r="B17" s="172" t="s">
        <v>12</v>
      </c>
      <c r="C17" s="173"/>
      <c r="D17" s="15">
        <f t="shared" si="0"/>
        <v>480240</v>
      </c>
      <c r="E17" s="18">
        <f t="shared" si="1"/>
        <v>3252031.3527393108</v>
      </c>
      <c r="F17" s="22">
        <f t="shared" si="2"/>
        <v>6.77</v>
      </c>
    </row>
    <row r="18" spans="1:6" ht="14.25" customHeight="1" x14ac:dyDescent="0.2">
      <c r="A18" s="20">
        <v>14</v>
      </c>
      <c r="B18" s="172" t="s">
        <v>469</v>
      </c>
      <c r="C18" s="173"/>
      <c r="D18" s="15">
        <f t="shared" si="0"/>
        <v>277147</v>
      </c>
      <c r="E18" s="18">
        <f t="shared" si="1"/>
        <v>3866860.8965405668</v>
      </c>
      <c r="F18" s="22">
        <f t="shared" si="2"/>
        <v>13.95</v>
      </c>
    </row>
    <row r="19" spans="1:6" x14ac:dyDescent="0.2">
      <c r="A19" s="20">
        <v>15</v>
      </c>
      <c r="B19" s="172" t="s">
        <v>13</v>
      </c>
      <c r="C19" s="173"/>
      <c r="D19" s="15">
        <f t="shared" si="0"/>
        <v>37568</v>
      </c>
      <c r="E19" s="18">
        <f t="shared" si="1"/>
        <v>663920.09742568387</v>
      </c>
      <c r="F19" s="22">
        <f t="shared" si="2"/>
        <v>17.670000000000002</v>
      </c>
    </row>
    <row r="20" spans="1:6" x14ac:dyDescent="0.2">
      <c r="A20" s="20">
        <v>16</v>
      </c>
      <c r="B20" s="172" t="s">
        <v>14</v>
      </c>
      <c r="C20" s="173"/>
      <c r="D20" s="15">
        <f t="shared" si="0"/>
        <v>315983</v>
      </c>
      <c r="E20" s="18">
        <f t="shared" si="1"/>
        <v>3627548.0389922243</v>
      </c>
      <c r="F20" s="22">
        <f t="shared" si="2"/>
        <v>11.48</v>
      </c>
    </row>
    <row r="21" spans="1:6" x14ac:dyDescent="0.2">
      <c r="A21" s="20">
        <v>17</v>
      </c>
      <c r="B21" s="172" t="s">
        <v>15</v>
      </c>
      <c r="C21" s="173"/>
      <c r="D21" s="15">
        <f t="shared" si="0"/>
        <v>43248</v>
      </c>
      <c r="E21" s="18">
        <f t="shared" si="1"/>
        <v>625645.48523919238</v>
      </c>
      <c r="F21" s="22">
        <f t="shared" si="2"/>
        <v>14.47</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1425205</v>
      </c>
      <c r="E23" s="18">
        <f t="shared" si="1"/>
        <v>10337436.647667479</v>
      </c>
      <c r="F23" s="22">
        <f t="shared" si="2"/>
        <v>7.25</v>
      </c>
    </row>
    <row r="24" spans="1:6" x14ac:dyDescent="0.2">
      <c r="A24" s="20">
        <v>20</v>
      </c>
      <c r="B24" s="172" t="s">
        <v>18</v>
      </c>
      <c r="C24" s="173"/>
      <c r="D24" s="15">
        <f t="shared" si="0"/>
        <v>104988</v>
      </c>
      <c r="E24" s="18">
        <f t="shared" si="1"/>
        <v>1029512.1760148983</v>
      </c>
      <c r="F24" s="22">
        <f t="shared" si="2"/>
        <v>9.81</v>
      </c>
    </row>
    <row r="25" spans="1:6" ht="14.25" customHeight="1" x14ac:dyDescent="0.2">
      <c r="A25" s="20">
        <v>21</v>
      </c>
      <c r="B25" s="172" t="s">
        <v>466</v>
      </c>
      <c r="C25" s="173"/>
      <c r="D25" s="15">
        <f t="shared" si="0"/>
        <v>189854</v>
      </c>
      <c r="E25" s="18">
        <f t="shared" si="1"/>
        <v>1959297.9876665189</v>
      </c>
      <c r="F25" s="22">
        <f t="shared" si="2"/>
        <v>10.32</v>
      </c>
    </row>
    <row r="26" spans="1:6" x14ac:dyDescent="0.2">
      <c r="A26" s="20">
        <v>22</v>
      </c>
      <c r="B26" s="172" t="s">
        <v>19</v>
      </c>
      <c r="C26" s="173"/>
      <c r="D26" s="15">
        <f t="shared" si="0"/>
        <v>36514</v>
      </c>
      <c r="E26" s="18">
        <f t="shared" si="1"/>
        <v>183970.45116592367</v>
      </c>
      <c r="F26" s="22">
        <f t="shared" si="2"/>
        <v>5.04</v>
      </c>
    </row>
    <row r="27" spans="1:6" x14ac:dyDescent="0.2">
      <c r="A27" s="20">
        <v>23</v>
      </c>
      <c r="B27" s="172" t="s">
        <v>20</v>
      </c>
      <c r="C27" s="173"/>
      <c r="D27" s="15">
        <f t="shared" si="0"/>
        <v>402816</v>
      </c>
      <c r="E27" s="18">
        <f t="shared" si="1"/>
        <v>3308629.4551912341</v>
      </c>
      <c r="F27" s="22">
        <f t="shared" si="2"/>
        <v>8.2100000000000009</v>
      </c>
    </row>
    <row r="28" spans="1:6" x14ac:dyDescent="0.2">
      <c r="A28" s="20">
        <v>24</v>
      </c>
      <c r="B28" s="172" t="s">
        <v>21</v>
      </c>
      <c r="C28" s="173"/>
      <c r="D28" s="15">
        <f t="shared" si="0"/>
        <v>313149</v>
      </c>
      <c r="E28" s="18">
        <f t="shared" si="1"/>
        <v>4488322.2254247097</v>
      </c>
      <c r="F28" s="22">
        <f t="shared" si="2"/>
        <v>14.33</v>
      </c>
    </row>
    <row r="29" spans="1:6" x14ac:dyDescent="0.2">
      <c r="A29" s="20">
        <v>25</v>
      </c>
      <c r="B29" s="172" t="s">
        <v>22</v>
      </c>
      <c r="C29" s="173"/>
      <c r="D29" s="15">
        <f t="shared" si="0"/>
        <v>3049376</v>
      </c>
      <c r="E29" s="18">
        <f t="shared" si="1"/>
        <v>19144285.224860046</v>
      </c>
      <c r="F29" s="22">
        <f t="shared" si="2"/>
        <v>6.28</v>
      </c>
    </row>
    <row r="30" spans="1:6" x14ac:dyDescent="0.2">
      <c r="A30" s="20">
        <v>26</v>
      </c>
      <c r="B30" s="172" t="s">
        <v>23</v>
      </c>
      <c r="C30" s="173"/>
      <c r="D30" s="15">
        <f t="shared" si="0"/>
        <v>1006892</v>
      </c>
      <c r="E30" s="18">
        <f t="shared" si="1"/>
        <v>8579323.4229435083</v>
      </c>
      <c r="F30" s="22">
        <f t="shared" si="2"/>
        <v>8.52</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14587447</v>
      </c>
      <c r="E33" s="32">
        <f>SUM(E5:E32)</f>
        <v>113400957.00000001</v>
      </c>
      <c r="F33" s="33">
        <f t="shared" si="2"/>
        <v>7.77</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IF(F3="1",SUMIF(Data!A:A,'40'!$A$2,Data!CU:CU),0)</f>
        <v>27236</v>
      </c>
      <c r="E36" s="16">
        <f>IF(F3="1",SUMIF(Data!$A:$A,'40'!$A$2,Data!IO:IO),0)</f>
        <v>74142</v>
      </c>
      <c r="F36" s="21">
        <f>IF(D36=0,"",ROUND(E36/D36,2))</f>
        <v>2.72</v>
      </c>
    </row>
    <row r="37" spans="1:6" x14ac:dyDescent="0.2">
      <c r="A37" s="20">
        <v>2</v>
      </c>
      <c r="B37" s="172" t="s">
        <v>1</v>
      </c>
      <c r="C37" s="173"/>
      <c r="D37" s="15">
        <f>IF(F3="1",SUMIF(Data!A:A,'40'!$A$2,Data!CV:CV),0)</f>
        <v>34420</v>
      </c>
      <c r="E37" s="18">
        <f>IF(F3="1",SUMIF(Data!$A:$A,'40'!$A$2,Data!IP:IP),0)</f>
        <v>124564</v>
      </c>
      <c r="F37" s="22">
        <f t="shared" ref="F37:F64" si="3">IF(D37=0,"",ROUND(E37/D37,2))</f>
        <v>3.62</v>
      </c>
    </row>
    <row r="38" spans="1:6" ht="14.25" customHeight="1" x14ac:dyDescent="0.2">
      <c r="A38" s="20">
        <v>3</v>
      </c>
      <c r="B38" s="172" t="s">
        <v>2</v>
      </c>
      <c r="C38" s="173"/>
      <c r="D38" s="15">
        <f>IF(F3="1",SUMIF(Data!A:A,'40'!$A$2,Data!CW:CW),0)</f>
        <v>2185056</v>
      </c>
      <c r="E38" s="18">
        <f>IF(F3="1",SUMIF(Data!$A:$A,'40'!$A$2,Data!IQ:IQ),0)</f>
        <v>2369445</v>
      </c>
      <c r="F38" s="22">
        <f t="shared" si="3"/>
        <v>1.08</v>
      </c>
    </row>
    <row r="39" spans="1:6" ht="14.25" customHeight="1" x14ac:dyDescent="0.2">
      <c r="A39" s="20">
        <v>4</v>
      </c>
      <c r="B39" s="172" t="s">
        <v>3</v>
      </c>
      <c r="C39" s="173"/>
      <c r="D39" s="15">
        <f>IF(F3="1",SUMIF(Data!A:A,'40'!$A$2,Data!CX:CX),0)</f>
        <v>998437</v>
      </c>
      <c r="E39" s="18">
        <f>IF(F3="1",SUMIF(Data!$A:$A,'40'!$A$2,Data!IR:IR),0)</f>
        <v>1355482</v>
      </c>
      <c r="F39" s="22">
        <f t="shared" si="3"/>
        <v>1.36</v>
      </c>
    </row>
    <row r="40" spans="1:6" x14ac:dyDescent="0.2">
      <c r="A40" s="20">
        <v>5</v>
      </c>
      <c r="B40" s="172" t="s">
        <v>4</v>
      </c>
      <c r="C40" s="173"/>
      <c r="D40" s="15">
        <f>IF(F3="1",SUMIF(Data!A:A,'40'!$A$2,Data!CY:CY),0)</f>
        <v>1008</v>
      </c>
      <c r="E40" s="18">
        <f>IF(F3="1",SUMIF(Data!$A:$A,'40'!$A$2,Data!IS:IS),0)</f>
        <v>0</v>
      </c>
      <c r="F40" s="22" t="str">
        <f>IF(E40=0,"",ROUND(E40/D40,2))</f>
        <v/>
      </c>
    </row>
    <row r="41" spans="1:6" x14ac:dyDescent="0.2">
      <c r="A41" s="20">
        <v>6</v>
      </c>
      <c r="B41" s="172" t="s">
        <v>5</v>
      </c>
      <c r="C41" s="173"/>
      <c r="D41" s="15">
        <f>IF(F3="1",SUMIF(Data!A:A,'40'!$A$2,Data!CZ:CZ),0)</f>
        <v>282176</v>
      </c>
      <c r="E41" s="18">
        <f>IF(F3="1",SUMIF(Data!$A:$A,'40'!$A$2,Data!IT:IT),0)</f>
        <v>1153245</v>
      </c>
      <c r="F41" s="22">
        <f t="shared" si="3"/>
        <v>4.09</v>
      </c>
    </row>
    <row r="42" spans="1:6" x14ac:dyDescent="0.2">
      <c r="A42" s="20">
        <v>7</v>
      </c>
      <c r="B42" s="172" t="s">
        <v>6</v>
      </c>
      <c r="C42" s="173"/>
      <c r="D42" s="15">
        <f>IF(F3="1",SUMIF(Data!A:A,'40'!$A$2,Data!DA:DA),0)</f>
        <v>554501</v>
      </c>
      <c r="E42" s="18">
        <f>IF(F3="1",SUMIF(Data!$A:$A,'40'!$A$2,Data!IU:IU),0)</f>
        <v>944316</v>
      </c>
      <c r="F42" s="22">
        <f t="shared" si="3"/>
        <v>1.7</v>
      </c>
    </row>
    <row r="43" spans="1:6" x14ac:dyDescent="0.2">
      <c r="A43" s="20">
        <v>8</v>
      </c>
      <c r="B43" s="172" t="s">
        <v>7</v>
      </c>
      <c r="C43" s="173"/>
      <c r="D43" s="15">
        <f>IF(F3="1",SUMIF(Data!A:A,'40'!$A$2,Data!DB:DB),0)</f>
        <v>1236</v>
      </c>
      <c r="E43" s="18">
        <f>IF(F3="1",SUMIF(Data!$A:$A,'40'!$A$2,Data!IV:IV),0)</f>
        <v>2766</v>
      </c>
      <c r="F43" s="22">
        <f t="shared" si="3"/>
        <v>2.2400000000000002</v>
      </c>
    </row>
    <row r="44" spans="1:6" x14ac:dyDescent="0.2">
      <c r="A44" s="20">
        <v>9</v>
      </c>
      <c r="B44" s="172" t="s">
        <v>8</v>
      </c>
      <c r="C44" s="173"/>
      <c r="D44" s="15">
        <f>IF(F3="1",SUMIF(Data!A:A,'40'!$A$2,Data!DC:DC),0)</f>
        <v>221932</v>
      </c>
      <c r="E44" s="18">
        <f>IF(F3="1",SUMIF(Data!$A:$A,'40'!$A$2,Data!IW:IW),0)</f>
        <v>263928</v>
      </c>
      <c r="F44" s="22">
        <f t="shared" si="3"/>
        <v>1.19</v>
      </c>
    </row>
    <row r="45" spans="1:6" x14ac:dyDescent="0.2">
      <c r="A45" s="20">
        <v>10</v>
      </c>
      <c r="B45" s="172" t="s">
        <v>9</v>
      </c>
      <c r="C45" s="173"/>
      <c r="D45" s="15">
        <f>IF(F3="1",SUMIF(Data!A:A,'40'!$A$2,Data!DD:DD),0)</f>
        <v>10048</v>
      </c>
      <c r="E45" s="18">
        <f>IF(F3="1",SUMIF(Data!$A:$A,'40'!$A$2,Data!IX:IX),0)</f>
        <v>22122</v>
      </c>
      <c r="F45" s="22">
        <f t="shared" si="3"/>
        <v>2.2000000000000002</v>
      </c>
    </row>
    <row r="46" spans="1:6" x14ac:dyDescent="0.2">
      <c r="A46" s="20">
        <v>11</v>
      </c>
      <c r="B46" s="172" t="s">
        <v>10</v>
      </c>
      <c r="C46" s="173"/>
      <c r="D46" s="15">
        <f>IF(F3="1",SUMIF(Data!A:A,'40'!$A$2,Data!DE:DE),0)</f>
        <v>221121</v>
      </c>
      <c r="E46" s="18">
        <f>IF(F3="1",SUMIF(Data!$A:$A,'40'!$A$2,Data!IY:IY),0)</f>
        <v>538436</v>
      </c>
      <c r="F46" s="22">
        <f t="shared" si="3"/>
        <v>2.44</v>
      </c>
    </row>
    <row r="47" spans="1:6" ht="14.25" customHeight="1" x14ac:dyDescent="0.2">
      <c r="A47" s="20">
        <v>12</v>
      </c>
      <c r="B47" s="172" t="s">
        <v>11</v>
      </c>
      <c r="C47" s="173"/>
      <c r="D47" s="15">
        <f>IF(F3="1",SUMIF(Data!A:A,'40'!$A$2,Data!DF:DF),0)</f>
        <v>2367296</v>
      </c>
      <c r="E47" s="18">
        <f>IF(F3="1",SUMIF(Data!$A:$A,'40'!$A$2,Data!IZ:IZ),0)</f>
        <v>2284280</v>
      </c>
      <c r="F47" s="22">
        <f t="shared" si="3"/>
        <v>0.96</v>
      </c>
    </row>
    <row r="48" spans="1:6" x14ac:dyDescent="0.2">
      <c r="A48" s="20">
        <v>13</v>
      </c>
      <c r="B48" s="172" t="s">
        <v>12</v>
      </c>
      <c r="C48" s="173"/>
      <c r="D48" s="15">
        <f>IF(F3="1",SUMIF(Data!A:A,'40'!$A$2,Data!DG:DG),0)</f>
        <v>480240</v>
      </c>
      <c r="E48" s="18">
        <f>IF(F3="1",SUMIF(Data!$A:$A,'40'!$A$2,Data!JA:JA),0)</f>
        <v>445769</v>
      </c>
      <c r="F48" s="22">
        <f t="shared" si="3"/>
        <v>0.93</v>
      </c>
    </row>
    <row r="49" spans="1:6" ht="14.25" customHeight="1" x14ac:dyDescent="0.2">
      <c r="A49" s="20">
        <v>14</v>
      </c>
      <c r="B49" s="172" t="s">
        <v>469</v>
      </c>
      <c r="C49" s="173"/>
      <c r="D49" s="15">
        <f>IF(F3="1",SUMIF(Data!A:A,'40'!$A$2,Data!DH:DH),0)</f>
        <v>277147</v>
      </c>
      <c r="E49" s="18">
        <f>IF(F3="1",SUMIF(Data!$A:$A,'40'!$A$2,Data!JB:JB),0)</f>
        <v>859787</v>
      </c>
      <c r="F49" s="22">
        <f t="shared" si="3"/>
        <v>3.1</v>
      </c>
    </row>
    <row r="50" spans="1:6" x14ac:dyDescent="0.2">
      <c r="A50" s="20">
        <v>15</v>
      </c>
      <c r="B50" s="172" t="s">
        <v>13</v>
      </c>
      <c r="C50" s="173"/>
      <c r="D50" s="15">
        <f>IF(F3="1",SUMIF(Data!A:A,'40'!$A$2,Data!DI:DI),0)</f>
        <v>37568</v>
      </c>
      <c r="E50" s="18">
        <f>IF(F3="1",SUMIF(Data!$A:$A,'40'!$A$2,Data!JC:JC),0)</f>
        <v>126750</v>
      </c>
      <c r="F50" s="22">
        <f t="shared" si="3"/>
        <v>3.37</v>
      </c>
    </row>
    <row r="51" spans="1:6" x14ac:dyDescent="0.2">
      <c r="A51" s="20">
        <v>16</v>
      </c>
      <c r="B51" s="172" t="s">
        <v>14</v>
      </c>
      <c r="C51" s="173"/>
      <c r="D51" s="15">
        <f>IF(F3="1",SUMIF(Data!A:A,'40'!$A$2,Data!DJ:DJ),0)</f>
        <v>315983</v>
      </c>
      <c r="E51" s="18">
        <f>IF(F3="1",SUMIF(Data!$A:$A,'40'!$A$2,Data!JD:JD),0)</f>
        <v>1009142</v>
      </c>
      <c r="F51" s="22">
        <f t="shared" si="3"/>
        <v>3.19</v>
      </c>
    </row>
    <row r="52" spans="1:6" x14ac:dyDescent="0.2">
      <c r="A52" s="20">
        <v>17</v>
      </c>
      <c r="B52" s="172" t="s">
        <v>15</v>
      </c>
      <c r="C52" s="173"/>
      <c r="D52" s="15">
        <f>IF(F3="1",SUMIF(Data!A:A,'40'!$A$2,Data!DK:DK),0)</f>
        <v>43248</v>
      </c>
      <c r="E52" s="18">
        <f>IF(F3="1",SUMIF(Data!$A:$A,'40'!$A$2,Data!JE:JE),0)</f>
        <v>89553</v>
      </c>
      <c r="F52" s="22">
        <f t="shared" si="3"/>
        <v>2.0699999999999998</v>
      </c>
    </row>
    <row r="53" spans="1:6" x14ac:dyDescent="0.2">
      <c r="A53" s="20">
        <v>18</v>
      </c>
      <c r="B53" s="172" t="s">
        <v>16</v>
      </c>
      <c r="C53" s="173"/>
      <c r="D53" s="15">
        <f>IF(F3="1",SUMIF(Data!A:A,'40'!$A$2,Data!DL:DL),0)</f>
        <v>0</v>
      </c>
      <c r="E53" s="18">
        <f>IF(F3="1",SUMIF(Data!$A:$A,'40'!$A$2,Data!JF:JF),0)</f>
        <v>0</v>
      </c>
      <c r="F53" s="22" t="str">
        <f t="shared" si="3"/>
        <v/>
      </c>
    </row>
    <row r="54" spans="1:6" x14ac:dyDescent="0.2">
      <c r="A54" s="20">
        <v>19</v>
      </c>
      <c r="B54" s="172" t="s">
        <v>17</v>
      </c>
      <c r="C54" s="173"/>
      <c r="D54" s="15">
        <f>IF(F3="1",SUMIF(Data!A:A,'40'!$A$2,Data!DM:DM),0)</f>
        <v>1425205</v>
      </c>
      <c r="E54" s="18">
        <f>IF(F3="1",SUMIF(Data!$A:$A,'40'!$A$2,Data!JG:JG),0)</f>
        <v>1371700</v>
      </c>
      <c r="F54" s="22">
        <f t="shared" si="3"/>
        <v>0.96</v>
      </c>
    </row>
    <row r="55" spans="1:6" x14ac:dyDescent="0.2">
      <c r="A55" s="20">
        <v>20</v>
      </c>
      <c r="B55" s="172" t="s">
        <v>18</v>
      </c>
      <c r="C55" s="173"/>
      <c r="D55" s="15">
        <f>IF(F3="1",SUMIF(Data!A:A,'40'!$A$2,Data!DN:DN),0)</f>
        <v>104988</v>
      </c>
      <c r="E55" s="18">
        <f>IF(F3="1",SUMIF(Data!$A:$A,'40'!$A$2,Data!JH:JH),0)</f>
        <v>222675</v>
      </c>
      <c r="F55" s="22">
        <f t="shared" si="3"/>
        <v>2.12</v>
      </c>
    </row>
    <row r="56" spans="1:6" ht="14.25" customHeight="1" x14ac:dyDescent="0.2">
      <c r="A56" s="20">
        <v>21</v>
      </c>
      <c r="B56" s="172" t="s">
        <v>466</v>
      </c>
      <c r="C56" s="173"/>
      <c r="D56" s="15">
        <f>IF(F3="1",SUMIF(Data!A:A,'40'!$A$2,Data!DO:DO),0)</f>
        <v>189854</v>
      </c>
      <c r="E56" s="18">
        <f>IF(F3="1",SUMIF(Data!$A:$A,'40'!$A$2,Data!JI:JI),0)</f>
        <v>532544</v>
      </c>
      <c r="F56" s="22">
        <f t="shared" si="3"/>
        <v>2.81</v>
      </c>
    </row>
    <row r="57" spans="1:6" x14ac:dyDescent="0.2">
      <c r="A57" s="20">
        <v>22</v>
      </c>
      <c r="B57" s="172" t="s">
        <v>19</v>
      </c>
      <c r="C57" s="173"/>
      <c r="D57" s="15">
        <f>IF(F3="1",SUMIF(Data!A:A,'40'!$A$2,Data!DP:DP),0)</f>
        <v>36514</v>
      </c>
      <c r="E57" s="18">
        <f>IF(F3="1",SUMIF(Data!$A:$A,'40'!$A$2,Data!JJ:JJ),0)</f>
        <v>55006</v>
      </c>
      <c r="F57" s="22">
        <f t="shared" si="3"/>
        <v>1.51</v>
      </c>
    </row>
    <row r="58" spans="1:6" x14ac:dyDescent="0.2">
      <c r="A58" s="20">
        <v>23</v>
      </c>
      <c r="B58" s="172" t="s">
        <v>20</v>
      </c>
      <c r="C58" s="173"/>
      <c r="D58" s="15">
        <f>IF(F3="1",SUMIF(Data!A:A,'40'!$A$2,Data!DQ:DQ),0)</f>
        <v>402816</v>
      </c>
      <c r="E58" s="18">
        <f>IF(F3="1",SUMIF(Data!$A:$A,'40'!$A$2,Data!JK:JK),0)</f>
        <v>518309</v>
      </c>
      <c r="F58" s="22">
        <f t="shared" si="3"/>
        <v>1.29</v>
      </c>
    </row>
    <row r="59" spans="1:6" x14ac:dyDescent="0.2">
      <c r="A59" s="20">
        <v>24</v>
      </c>
      <c r="B59" s="172" t="s">
        <v>21</v>
      </c>
      <c r="C59" s="173"/>
      <c r="D59" s="15">
        <f>IF(F3="1",SUMIF(Data!A:A,'40'!$A$2,Data!DR:DR),0)</f>
        <v>313149</v>
      </c>
      <c r="E59" s="18">
        <f>IF(F3="1",SUMIF(Data!$A:$A,'40'!$A$2,Data!JL:JL),0)</f>
        <v>2202190</v>
      </c>
      <c r="F59" s="22">
        <f t="shared" si="3"/>
        <v>7.03</v>
      </c>
    </row>
    <row r="60" spans="1:6" x14ac:dyDescent="0.2">
      <c r="A60" s="20">
        <v>25</v>
      </c>
      <c r="B60" s="172" t="s">
        <v>22</v>
      </c>
      <c r="C60" s="173"/>
      <c r="D60" s="15">
        <f>IF(F3="1",SUMIF(Data!A:A,'40'!$A$2,Data!DS:DS),0)</f>
        <v>3049376</v>
      </c>
      <c r="E60" s="18">
        <f>IF(F3="1",SUMIF(Data!$A:$A,'40'!$A$2,Data!JM:JM),0)</f>
        <v>2521018</v>
      </c>
      <c r="F60" s="22">
        <f t="shared" si="3"/>
        <v>0.83</v>
      </c>
    </row>
    <row r="61" spans="1:6" x14ac:dyDescent="0.2">
      <c r="A61" s="20">
        <v>26</v>
      </c>
      <c r="B61" s="172" t="s">
        <v>23</v>
      </c>
      <c r="C61" s="173"/>
      <c r="D61" s="15">
        <f>IF(F3="1",SUMIF(Data!A:A,'40'!$A$2,Data!DT:DT),0)</f>
        <v>1006892</v>
      </c>
      <c r="E61" s="18">
        <f>IF(F3="1",SUMIF(Data!$A:$A,'40'!$A$2,Data!JN:JN),0)</f>
        <v>1392752</v>
      </c>
      <c r="F61" s="22">
        <f t="shared" si="3"/>
        <v>1.38</v>
      </c>
    </row>
    <row r="62" spans="1:6" x14ac:dyDescent="0.2">
      <c r="A62" s="20">
        <v>28</v>
      </c>
      <c r="B62" s="172" t="s">
        <v>24</v>
      </c>
      <c r="C62" s="173"/>
      <c r="D62" s="15">
        <f>IF(F3="1",SUMIF(Data!A:A,'40'!$A$2,Data!DV:DV),0)</f>
        <v>0</v>
      </c>
      <c r="E62" s="18">
        <f>IF(F3="1",SUMIF(Data!$A:$A,'40'!$A$2,Data!JP:JP),0)</f>
        <v>0</v>
      </c>
      <c r="F62" s="22" t="str">
        <f t="shared" si="3"/>
        <v/>
      </c>
    </row>
    <row r="63" spans="1:6" ht="15.75" customHeight="1" thickBot="1" x14ac:dyDescent="0.25">
      <c r="A63" s="23">
        <v>29</v>
      </c>
      <c r="B63" s="174" t="s">
        <v>25</v>
      </c>
      <c r="C63" s="175"/>
      <c r="D63" s="24">
        <f>IF(F3="1",SUMIF(Data!A:A,'40'!$A$2,Data!DW:DW),0)</f>
        <v>0</v>
      </c>
      <c r="E63" s="25">
        <f>IF(F3="1",SUMIF(Data!$A:$A,'40'!$A$2,Data!JQ:JQ),0)</f>
        <v>0</v>
      </c>
      <c r="F63" s="26" t="str">
        <f t="shared" si="3"/>
        <v/>
      </c>
    </row>
    <row r="64" spans="1:6" x14ac:dyDescent="0.2">
      <c r="B64" s="31" t="s">
        <v>35</v>
      </c>
      <c r="C64" s="31"/>
      <c r="D64" s="61">
        <f>SUM(D36:D63)</f>
        <v>14587447</v>
      </c>
      <c r="E64" s="32">
        <f>SUM(E36:E63)</f>
        <v>20479921</v>
      </c>
      <c r="F64" s="33">
        <f t="shared" si="3"/>
        <v>1.4</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27236</v>
      </c>
      <c r="E67" s="16">
        <f>IF(F3="1",SUMIF(Data!A:A,'40'!$A$2,Data!DY:DY),0)</f>
        <v>99287</v>
      </c>
      <c r="F67" s="21">
        <f t="shared" ref="F67:F95" si="4">IF(D67=0,"",ROUND(E67/D67,2))</f>
        <v>3.65</v>
      </c>
    </row>
    <row r="68" spans="1:6" x14ac:dyDescent="0.2">
      <c r="A68" s="20">
        <v>2</v>
      </c>
      <c r="B68" s="172" t="s">
        <v>1</v>
      </c>
      <c r="C68" s="173"/>
      <c r="D68" s="15">
        <f t="shared" ref="D68:D94" si="5">D37</f>
        <v>34420</v>
      </c>
      <c r="E68" s="18">
        <f>IF(F3="1",SUMIF(Data!A:A,'40'!$A$2,Data!DZ:DZ),0)</f>
        <v>404751</v>
      </c>
      <c r="F68" s="22">
        <f t="shared" si="4"/>
        <v>11.76</v>
      </c>
    </row>
    <row r="69" spans="1:6" ht="14.25" customHeight="1" x14ac:dyDescent="0.2">
      <c r="A69" s="20">
        <v>3</v>
      </c>
      <c r="B69" s="172" t="s">
        <v>2</v>
      </c>
      <c r="C69" s="173"/>
      <c r="D69" s="15">
        <f t="shared" si="5"/>
        <v>2185056</v>
      </c>
      <c r="E69" s="18">
        <f>IF(F3="1",SUMIF(Data!A:A,'40'!$A$2,Data!EA:EA),0)</f>
        <v>6001371</v>
      </c>
      <c r="F69" s="22">
        <f t="shared" si="4"/>
        <v>2.75</v>
      </c>
    </row>
    <row r="70" spans="1:6" ht="14.25" customHeight="1" x14ac:dyDescent="0.2">
      <c r="A70" s="20">
        <v>4</v>
      </c>
      <c r="B70" s="172" t="s">
        <v>3</v>
      </c>
      <c r="C70" s="173"/>
      <c r="D70" s="15">
        <f t="shared" si="5"/>
        <v>998437</v>
      </c>
      <c r="E70" s="18">
        <f>IF(F3="1",SUMIF(Data!A:A,'40'!$A$2,Data!EB:EB),0)</f>
        <v>2688451</v>
      </c>
      <c r="F70" s="22">
        <f t="shared" si="4"/>
        <v>2.69</v>
      </c>
    </row>
    <row r="71" spans="1:6" x14ac:dyDescent="0.2">
      <c r="A71" s="20">
        <v>5</v>
      </c>
      <c r="B71" s="172" t="s">
        <v>4</v>
      </c>
      <c r="C71" s="173"/>
      <c r="D71" s="15">
        <f t="shared" si="5"/>
        <v>1008</v>
      </c>
      <c r="E71" s="18">
        <f>IF(F3="1",SUMIF(Data!A:A,'40'!$A$2,Data!EC:EC),0)</f>
        <v>0</v>
      </c>
      <c r="F71" s="22" t="str">
        <f>IF(E71=0,"",ROUND(E71/D71,2))</f>
        <v/>
      </c>
    </row>
    <row r="72" spans="1:6" x14ac:dyDescent="0.2">
      <c r="A72" s="20">
        <v>6</v>
      </c>
      <c r="B72" s="172" t="s">
        <v>5</v>
      </c>
      <c r="C72" s="173"/>
      <c r="D72" s="15">
        <f t="shared" si="5"/>
        <v>282176</v>
      </c>
      <c r="E72" s="18">
        <f>IF(F3="1",SUMIF(Data!A:A,'40'!$A$2,Data!ED:ED),0)</f>
        <v>585711</v>
      </c>
      <c r="F72" s="22">
        <f t="shared" si="4"/>
        <v>2.08</v>
      </c>
    </row>
    <row r="73" spans="1:6" x14ac:dyDescent="0.2">
      <c r="A73" s="20">
        <v>7</v>
      </c>
      <c r="B73" s="172" t="s">
        <v>6</v>
      </c>
      <c r="C73" s="173"/>
      <c r="D73" s="15">
        <f t="shared" si="5"/>
        <v>554501</v>
      </c>
      <c r="E73" s="18">
        <f>IF(F3="1",SUMIF(Data!A:A,'40'!$A$2,Data!EE:EE),0)</f>
        <v>2301609</v>
      </c>
      <c r="F73" s="22">
        <f t="shared" si="4"/>
        <v>4.1500000000000004</v>
      </c>
    </row>
    <row r="74" spans="1:6" x14ac:dyDescent="0.2">
      <c r="A74" s="20">
        <v>8</v>
      </c>
      <c r="B74" s="172" t="s">
        <v>7</v>
      </c>
      <c r="C74" s="173"/>
      <c r="D74" s="15">
        <f t="shared" si="5"/>
        <v>1236</v>
      </c>
      <c r="E74" s="18">
        <f>IF(F3="1",SUMIF(Data!A:A,'40'!$A$2,Data!EF:EF),0)</f>
        <v>831</v>
      </c>
      <c r="F74" s="22">
        <f t="shared" si="4"/>
        <v>0.67</v>
      </c>
    </row>
    <row r="75" spans="1:6" x14ac:dyDescent="0.2">
      <c r="A75" s="20">
        <v>9</v>
      </c>
      <c r="B75" s="172" t="s">
        <v>8</v>
      </c>
      <c r="C75" s="173"/>
      <c r="D75" s="15">
        <f t="shared" si="5"/>
        <v>221932</v>
      </c>
      <c r="E75" s="18">
        <f>IF(F3="1",SUMIF(Data!A:A,'40'!$A$2,Data!EG:EG),0)</f>
        <v>710114</v>
      </c>
      <c r="F75" s="22">
        <f t="shared" si="4"/>
        <v>3.2</v>
      </c>
    </row>
    <row r="76" spans="1:6" x14ac:dyDescent="0.2">
      <c r="A76" s="20">
        <v>10</v>
      </c>
      <c r="B76" s="172" t="s">
        <v>9</v>
      </c>
      <c r="C76" s="173"/>
      <c r="D76" s="15">
        <f t="shared" si="5"/>
        <v>10048</v>
      </c>
      <c r="E76" s="18">
        <f>IF(F3="1",SUMIF(Data!A:A,'40'!$A$2,Data!EH:EH),0)</f>
        <v>59935</v>
      </c>
      <c r="F76" s="22">
        <f t="shared" si="4"/>
        <v>5.96</v>
      </c>
    </row>
    <row r="77" spans="1:6" x14ac:dyDescent="0.2">
      <c r="A77" s="20">
        <v>11</v>
      </c>
      <c r="B77" s="172" t="s">
        <v>10</v>
      </c>
      <c r="C77" s="173"/>
      <c r="D77" s="15">
        <f t="shared" si="5"/>
        <v>221121</v>
      </c>
      <c r="E77" s="18">
        <f>IF(F3="1",SUMIF(Data!A:A,'40'!$A$2,Data!EI:EI),0)</f>
        <v>1123526</v>
      </c>
      <c r="F77" s="22">
        <f t="shared" si="4"/>
        <v>5.08</v>
      </c>
    </row>
    <row r="78" spans="1:6" ht="14.25" customHeight="1" x14ac:dyDescent="0.2">
      <c r="A78" s="20">
        <v>12</v>
      </c>
      <c r="B78" s="172" t="s">
        <v>11</v>
      </c>
      <c r="C78" s="173"/>
      <c r="D78" s="15">
        <f t="shared" si="5"/>
        <v>2367296</v>
      </c>
      <c r="E78" s="18">
        <f>IF(F3="1",SUMIF(Data!A:A,'40'!$A$2,Data!EJ:EJ),0)</f>
        <v>7499415</v>
      </c>
      <c r="F78" s="22">
        <f t="shared" si="4"/>
        <v>3.17</v>
      </c>
    </row>
    <row r="79" spans="1:6" x14ac:dyDescent="0.2">
      <c r="A79" s="20">
        <v>13</v>
      </c>
      <c r="B79" s="172" t="s">
        <v>12</v>
      </c>
      <c r="C79" s="173"/>
      <c r="D79" s="15">
        <f t="shared" si="5"/>
        <v>480240</v>
      </c>
      <c r="E79" s="18">
        <f>IF(F3="1",SUMIF(Data!A:A,'40'!$A$2,Data!EK:EK),0)</f>
        <v>1295080</v>
      </c>
      <c r="F79" s="22">
        <f t="shared" si="4"/>
        <v>2.7</v>
      </c>
    </row>
    <row r="80" spans="1:6" ht="14.25" customHeight="1" x14ac:dyDescent="0.2">
      <c r="A80" s="20">
        <v>14</v>
      </c>
      <c r="B80" s="172" t="s">
        <v>469</v>
      </c>
      <c r="C80" s="173"/>
      <c r="D80" s="15">
        <f t="shared" si="5"/>
        <v>277147</v>
      </c>
      <c r="E80" s="18">
        <f>IF(F3="1",SUMIF(Data!A:A,'40'!$A$2,Data!EL:EL),0)</f>
        <v>2134969</v>
      </c>
      <c r="F80" s="22">
        <f t="shared" si="4"/>
        <v>7.7</v>
      </c>
    </row>
    <row r="81" spans="1:6" x14ac:dyDescent="0.2">
      <c r="A81" s="20">
        <v>15</v>
      </c>
      <c r="B81" s="172" t="s">
        <v>13</v>
      </c>
      <c r="C81" s="173"/>
      <c r="D81" s="15">
        <f t="shared" si="5"/>
        <v>37568</v>
      </c>
      <c r="E81" s="18">
        <f>IF(F3="1",SUMIF(Data!A:A,'40'!$A$2,Data!EM:EM),0)</f>
        <v>418954</v>
      </c>
      <c r="F81" s="22">
        <f t="shared" si="4"/>
        <v>11.15</v>
      </c>
    </row>
    <row r="82" spans="1:6" x14ac:dyDescent="0.2">
      <c r="A82" s="20">
        <v>16</v>
      </c>
      <c r="B82" s="172" t="s">
        <v>14</v>
      </c>
      <c r="C82" s="173"/>
      <c r="D82" s="15">
        <f t="shared" si="5"/>
        <v>315983</v>
      </c>
      <c r="E82" s="18">
        <f>IF(F3="1",SUMIF(Data!A:A,'40'!$A$2,Data!EN:EN),0)</f>
        <v>1624095</v>
      </c>
      <c r="F82" s="22">
        <f t="shared" si="4"/>
        <v>5.14</v>
      </c>
    </row>
    <row r="83" spans="1:6" x14ac:dyDescent="0.2">
      <c r="A83" s="20">
        <v>17</v>
      </c>
      <c r="B83" s="172" t="s">
        <v>15</v>
      </c>
      <c r="C83" s="173"/>
      <c r="D83" s="15">
        <f t="shared" si="5"/>
        <v>43248</v>
      </c>
      <c r="E83" s="18">
        <f>IF(F3="1",SUMIF(Data!A:A,'40'!$A$2,Data!EO:EO),0)</f>
        <v>400003</v>
      </c>
      <c r="F83" s="22">
        <f t="shared" si="4"/>
        <v>9.25</v>
      </c>
    </row>
    <row r="84" spans="1:6" x14ac:dyDescent="0.2">
      <c r="A84" s="20">
        <v>18</v>
      </c>
      <c r="B84" s="172" t="s">
        <v>16</v>
      </c>
      <c r="C84" s="173"/>
      <c r="D84" s="15">
        <f t="shared" si="5"/>
        <v>0</v>
      </c>
      <c r="E84" s="18">
        <f>IF(F3="1",SUMIF(Data!A:A,'40'!$A$2,Data!EP:EP),0)</f>
        <v>0</v>
      </c>
      <c r="F84" s="22" t="str">
        <f t="shared" si="4"/>
        <v/>
      </c>
    </row>
    <row r="85" spans="1:6" x14ac:dyDescent="0.2">
      <c r="A85" s="20">
        <v>19</v>
      </c>
      <c r="B85" s="172" t="s">
        <v>17</v>
      </c>
      <c r="C85" s="173"/>
      <c r="D85" s="15">
        <f t="shared" si="5"/>
        <v>1425205</v>
      </c>
      <c r="E85" s="18">
        <f>IF(F3="1",SUMIF(Data!A:A,'40'!$A$2,Data!EQ:EQ),0)</f>
        <v>4481011</v>
      </c>
      <c r="F85" s="22">
        <f t="shared" si="4"/>
        <v>3.14</v>
      </c>
    </row>
    <row r="86" spans="1:6" x14ac:dyDescent="0.2">
      <c r="A86" s="20">
        <v>20</v>
      </c>
      <c r="B86" s="172" t="s">
        <v>18</v>
      </c>
      <c r="C86" s="173"/>
      <c r="D86" s="15">
        <f t="shared" si="5"/>
        <v>104988</v>
      </c>
      <c r="E86" s="18">
        <f>IF(F3="1",SUMIF(Data!A:A,'40'!$A$2,Data!ER:ER),0)</f>
        <v>476469</v>
      </c>
      <c r="F86" s="22">
        <f t="shared" si="4"/>
        <v>4.54</v>
      </c>
    </row>
    <row r="87" spans="1:6" ht="14.25" customHeight="1" x14ac:dyDescent="0.2">
      <c r="A87" s="20">
        <v>21</v>
      </c>
      <c r="B87" s="172" t="s">
        <v>466</v>
      </c>
      <c r="C87" s="173"/>
      <c r="D87" s="15">
        <f t="shared" si="5"/>
        <v>189854</v>
      </c>
      <c r="E87" s="18">
        <f>IF(F3="1",SUMIF(Data!A:A,'40'!$A$2,Data!ES:ES),0)</f>
        <v>829336</v>
      </c>
      <c r="F87" s="22">
        <f t="shared" si="4"/>
        <v>4.37</v>
      </c>
    </row>
    <row r="88" spans="1:6" x14ac:dyDescent="0.2">
      <c r="A88" s="20">
        <v>22</v>
      </c>
      <c r="B88" s="172" t="s">
        <v>19</v>
      </c>
      <c r="C88" s="173"/>
      <c r="D88" s="15">
        <f t="shared" si="5"/>
        <v>36514</v>
      </c>
      <c r="E88" s="18">
        <f>IF(F3="1",SUMIF(Data!A:A,'40'!$A$2,Data!ET:ET),0)</f>
        <v>14065</v>
      </c>
      <c r="F88" s="22">
        <f t="shared" si="4"/>
        <v>0.39</v>
      </c>
    </row>
    <row r="89" spans="1:6" x14ac:dyDescent="0.2">
      <c r="A89" s="20">
        <v>23</v>
      </c>
      <c r="B89" s="172" t="s">
        <v>20</v>
      </c>
      <c r="C89" s="173"/>
      <c r="D89" s="15">
        <f t="shared" si="5"/>
        <v>402816</v>
      </c>
      <c r="E89" s="18">
        <f>IF(F3="1",SUMIF(Data!A:A,'40'!$A$2,Data!EU:EU),0)</f>
        <v>1522770</v>
      </c>
      <c r="F89" s="22">
        <f t="shared" si="4"/>
        <v>3.78</v>
      </c>
    </row>
    <row r="90" spans="1:6" x14ac:dyDescent="0.2">
      <c r="A90" s="20">
        <v>24</v>
      </c>
      <c r="B90" s="172" t="s">
        <v>21</v>
      </c>
      <c r="C90" s="173"/>
      <c r="D90" s="15">
        <f t="shared" si="5"/>
        <v>313149</v>
      </c>
      <c r="E90" s="18">
        <f>IF(F3="1",SUMIF(Data!A:A,'40'!$A$2,Data!EV:EV),0)</f>
        <v>1300739</v>
      </c>
      <c r="F90" s="22">
        <f t="shared" si="4"/>
        <v>4.1500000000000004</v>
      </c>
    </row>
    <row r="91" spans="1:6" x14ac:dyDescent="0.2">
      <c r="A91" s="20">
        <v>25</v>
      </c>
      <c r="B91" s="172" t="s">
        <v>22</v>
      </c>
      <c r="C91" s="173"/>
      <c r="D91" s="15">
        <f t="shared" si="5"/>
        <v>3049376</v>
      </c>
      <c r="E91" s="18">
        <f>IF(F3="1",SUMIF(Data!A:A,'40'!$A$2,Data!EW:EW),0)</f>
        <v>7027725</v>
      </c>
      <c r="F91" s="22">
        <f t="shared" si="4"/>
        <v>2.2999999999999998</v>
      </c>
    </row>
    <row r="92" spans="1:6" x14ac:dyDescent="0.2">
      <c r="A92" s="20">
        <v>26</v>
      </c>
      <c r="B92" s="172" t="s">
        <v>23</v>
      </c>
      <c r="C92" s="173"/>
      <c r="D92" s="15">
        <f t="shared" si="5"/>
        <v>1006892</v>
      </c>
      <c r="E92" s="18">
        <f>IF(F3="1",SUMIF(Data!A:A,'40'!$A$2,Data!EX:EX),0)</f>
        <v>4018161</v>
      </c>
      <c r="F92" s="22">
        <f t="shared" si="4"/>
        <v>3.99</v>
      </c>
    </row>
    <row r="93" spans="1:6" x14ac:dyDescent="0.2">
      <c r="A93" s="20">
        <v>28</v>
      </c>
      <c r="B93" s="172" t="s">
        <v>24</v>
      </c>
      <c r="C93" s="173"/>
      <c r="D93" s="15">
        <f t="shared" si="5"/>
        <v>0</v>
      </c>
      <c r="E93" s="18">
        <f>IF(F3="1",SUMIF(Data!A:A,'40'!$A$2,Data!EZ:EZ),0)</f>
        <v>0</v>
      </c>
      <c r="F93" s="22" t="str">
        <f t="shared" si="4"/>
        <v/>
      </c>
    </row>
    <row r="94" spans="1:6" ht="15.75" customHeight="1" thickBot="1" x14ac:dyDescent="0.25">
      <c r="A94" s="23">
        <v>29</v>
      </c>
      <c r="B94" s="174" t="s">
        <v>25</v>
      </c>
      <c r="C94" s="175"/>
      <c r="D94" s="24">
        <f t="shared" si="5"/>
        <v>0</v>
      </c>
      <c r="E94" s="25">
        <f>IF(F3="1",SUMIF(Data!A:A,'40'!$A$2,Data!FA:FA),0)</f>
        <v>0</v>
      </c>
      <c r="F94" s="26" t="str">
        <f t="shared" si="4"/>
        <v/>
      </c>
    </row>
    <row r="95" spans="1:6" x14ac:dyDescent="0.2">
      <c r="B95" s="31" t="s">
        <v>35</v>
      </c>
      <c r="C95" s="31"/>
      <c r="D95" s="61">
        <f>SUM(D67:D94)</f>
        <v>14587447</v>
      </c>
      <c r="E95" s="32">
        <f>SUM(E67:E94)</f>
        <v>47018378</v>
      </c>
      <c r="F95" s="33">
        <f t="shared" si="4"/>
        <v>3.22</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IF(F3="1",SUMIF(Data!A:A,'40'!$A$2,Data!AH:AH),0)</f>
        <v>16448195</v>
      </c>
      <c r="F98" s="21">
        <f>IF($D$105=0,"",ROUND(E98/$D$105,2))</f>
        <v>1.1299999999999999</v>
      </c>
    </row>
    <row r="99" spans="2:6" x14ac:dyDescent="0.2">
      <c r="B99" s="178" t="s">
        <v>31</v>
      </c>
      <c r="C99" s="179"/>
      <c r="D99" s="37"/>
      <c r="E99" s="18">
        <f>IF(F3="1",SUMIF(Data!A:A,'40'!$A$2,Data!AI:AI),0)</f>
        <v>11726476</v>
      </c>
      <c r="F99" s="22">
        <f t="shared" ref="F99:F105" si="6">IF($D$105=0,"",ROUND(E99/$D$105,2))</f>
        <v>0.8</v>
      </c>
    </row>
    <row r="100" spans="2:6" x14ac:dyDescent="0.2">
      <c r="B100" s="178" t="s">
        <v>32</v>
      </c>
      <c r="C100" s="179"/>
      <c r="D100" s="37"/>
      <c r="E100" s="18">
        <f>IF(F3="1",SUMIF(Data!A:A,'40'!$A$2,Data!AJ:AJ),0)</f>
        <v>10280202</v>
      </c>
      <c r="F100" s="22">
        <f t="shared" si="6"/>
        <v>0.7</v>
      </c>
    </row>
    <row r="101" spans="2:6" x14ac:dyDescent="0.2">
      <c r="B101" s="178" t="s">
        <v>28</v>
      </c>
      <c r="C101" s="179"/>
      <c r="D101" s="37"/>
      <c r="E101" s="18">
        <f>IF(F3="1",SUMIF(Data!A:A,'40'!$A$2,Data!AK:AK),0)</f>
        <v>0</v>
      </c>
      <c r="F101" s="22">
        <f t="shared" si="6"/>
        <v>0</v>
      </c>
    </row>
    <row r="102" spans="2:6" x14ac:dyDescent="0.2">
      <c r="B102" s="178" t="s">
        <v>33</v>
      </c>
      <c r="C102" s="179"/>
      <c r="D102" s="37"/>
      <c r="E102" s="18">
        <f>IF(F3="1",SUMIF(Data!A:A,'40'!$A$2,Data!AL:AL),0)</f>
        <v>464031</v>
      </c>
      <c r="F102" s="22">
        <f t="shared" si="6"/>
        <v>0.03</v>
      </c>
    </row>
    <row r="103" spans="2:6" x14ac:dyDescent="0.2">
      <c r="B103" s="180" t="s">
        <v>34</v>
      </c>
      <c r="C103" s="181"/>
      <c r="D103" s="37"/>
      <c r="E103" s="18">
        <f>IF(F3="1",SUMIF(Data!A:A,'40'!$A$2,Data!AM:AM),0)</f>
        <v>2262163</v>
      </c>
      <c r="F103" s="22">
        <f t="shared" si="6"/>
        <v>0.16</v>
      </c>
    </row>
    <row r="104" spans="2:6" ht="15.75" customHeight="1" thickBot="1" x14ac:dyDescent="0.25">
      <c r="B104" s="170" t="s">
        <v>29</v>
      </c>
      <c r="C104" s="171"/>
      <c r="D104" s="38"/>
      <c r="E104" s="25">
        <f>IF(F3="1",SUMIF(Data!A:A,'40'!$A$2,Data!Q:Q),0)</f>
        <v>4721591</v>
      </c>
      <c r="F104" s="26">
        <f t="shared" si="6"/>
        <v>0.32</v>
      </c>
    </row>
    <row r="105" spans="2:6" x14ac:dyDescent="0.2">
      <c r="B105" s="31" t="s">
        <v>35</v>
      </c>
      <c r="C105" s="31"/>
      <c r="D105" s="35">
        <f>D95</f>
        <v>14587447</v>
      </c>
      <c r="E105" s="32">
        <f>SUM(E98:E104)</f>
        <v>45902658</v>
      </c>
      <c r="F105" s="33">
        <f t="shared" si="6"/>
        <v>3.15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56620518</v>
      </c>
      <c r="D109" s="16">
        <f>IF(F3="1",SUMIF(Data!$A:$A,$A$2,Data!HJ:HJ),0)</f>
        <v>6055326</v>
      </c>
      <c r="E109" s="16">
        <f>IF(F3="1",SUMIF(Data!$A:$A,$A$2,Data!IN:IN),0)</f>
        <v>4827547</v>
      </c>
      <c r="F109" s="48">
        <f>SUM(C109:E109)</f>
        <v>67503391</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2620219</v>
      </c>
      <c r="D111" s="52"/>
      <c r="E111" s="51">
        <f>IF(F3="1",SUMIF(Data!A:A,$A$2,Data!AX:AX),0)</f>
        <v>692368</v>
      </c>
      <c r="F111" s="49">
        <f t="shared" si="7"/>
        <v>3312587</v>
      </c>
    </row>
    <row r="112" spans="2:6" x14ac:dyDescent="0.2">
      <c r="B112" s="43" t="s">
        <v>32</v>
      </c>
      <c r="C112" s="51">
        <f>IF(F3="1",SUMIF(Data!A:A,$A$2,Data!V:V),0)</f>
        <v>8769468</v>
      </c>
      <c r="D112" s="52"/>
      <c r="E112" s="51">
        <f>IF(F3="1",SUMIF(Data!A:A,$A$2,Data!AC:AC),0)</f>
        <v>1510734</v>
      </c>
      <c r="F112" s="49">
        <f t="shared" si="7"/>
        <v>10280202</v>
      </c>
    </row>
    <row r="113" spans="1:6" x14ac:dyDescent="0.2">
      <c r="B113" s="43" t="s">
        <v>31</v>
      </c>
      <c r="C113" s="51">
        <f>IF(F3="1",SUMIF(Data!A:A,$A$2,Data!U:U),0)</f>
        <v>10164306</v>
      </c>
      <c r="D113" s="52"/>
      <c r="E113" s="51">
        <f>IF(F3="1",SUMIF(Data!A:A,$A$2,Data!AB:AB),0)</f>
        <v>1562170</v>
      </c>
      <c r="F113" s="49">
        <f t="shared" si="7"/>
        <v>11726476</v>
      </c>
    </row>
    <row r="114" spans="1:6" x14ac:dyDescent="0.2">
      <c r="B114" s="43" t="s">
        <v>1021</v>
      </c>
      <c r="C114" s="51">
        <f>IF(F3="1",SUMIF(Data!A:A,$A$2,Data!T:T),0)</f>
        <v>10652227</v>
      </c>
      <c r="D114" s="52"/>
      <c r="E114" s="51">
        <f>IF(F3="1",SUMIF(Data!A:A,$A$2,Data!AA:AA),0)</f>
        <v>5795968</v>
      </c>
      <c r="F114" s="49">
        <f t="shared" si="7"/>
        <v>16448195</v>
      </c>
    </row>
    <row r="115" spans="1:6" x14ac:dyDescent="0.2">
      <c r="B115" s="43" t="s">
        <v>937</v>
      </c>
      <c r="C115" s="51">
        <f>IF(F3="1",SUMIF(Data!A:A,$A$2,Data!BI:BI),0)</f>
        <v>8448627</v>
      </c>
      <c r="D115" s="51">
        <f>IF(F3="1",SUMIF(Data!A:A,$A$2,Data!BL:BL),0)</f>
        <v>2586504</v>
      </c>
      <c r="E115" s="51">
        <f>IF(F3="1",SUMIF(Data!A:A,$A$2,Data!BU:BU),0)</f>
        <v>21757406</v>
      </c>
      <c r="F115" s="49">
        <f t="shared" si="7"/>
        <v>32792537</v>
      </c>
    </row>
    <row r="116" spans="1:6" x14ac:dyDescent="0.2">
      <c r="B116" s="43" t="s">
        <v>33</v>
      </c>
      <c r="C116" s="51">
        <f>IF(F3="1",SUMIF(Data!A:A,$A$2,Data!X:X),0)</f>
        <v>0</v>
      </c>
      <c r="D116" s="51"/>
      <c r="E116" s="51">
        <f>E102</f>
        <v>464031</v>
      </c>
      <c r="F116" s="49">
        <f t="shared" si="7"/>
        <v>464031</v>
      </c>
    </row>
    <row r="117" spans="1:6" ht="15" thickBot="1" x14ac:dyDescent="0.25">
      <c r="B117" s="44" t="s">
        <v>941</v>
      </c>
      <c r="C117" s="53"/>
      <c r="D117" s="53">
        <f>IF(F3="1",SUMIF(Data!A:A,$A$2,Data!Q:Q),0)</f>
        <v>4721591</v>
      </c>
      <c r="E117" s="53"/>
      <c r="F117" s="50">
        <f>SUM(C117:E117)</f>
        <v>4721591</v>
      </c>
    </row>
    <row r="118" spans="1:6" x14ac:dyDescent="0.2">
      <c r="B118" s="14" t="s">
        <v>35</v>
      </c>
      <c r="C118" s="5">
        <f>SUM(C109:C116)</f>
        <v>97275365</v>
      </c>
      <c r="D118" s="5">
        <f>SUM(D109:D116)</f>
        <v>8641830</v>
      </c>
      <c r="E118" s="5">
        <f>SUM(E109:E116)</f>
        <v>36610224</v>
      </c>
      <c r="F118" s="5">
        <f>SUM(F109:F116)</f>
        <v>142527419</v>
      </c>
    </row>
    <row r="119" spans="1:6" ht="15" thickBot="1" x14ac:dyDescent="0.25"/>
    <row r="120" spans="1:6" ht="15" thickBot="1" x14ac:dyDescent="0.25">
      <c r="B120" s="57" t="s">
        <v>942</v>
      </c>
      <c r="C120" s="55"/>
      <c r="D120" s="55"/>
      <c r="E120" s="55">
        <f>IF(F3="1",SUMIF(Data!A:A,'40'!$A$2,Data!AM:AM),0)</f>
        <v>2262163</v>
      </c>
      <c r="F120" s="56">
        <f>SUM(C120:E120)</f>
        <v>2262163</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404</v>
      </c>
      <c r="B2" s="60" t="str">
        <f>VLOOKUP(A2,Data!A:G,7,0)</f>
        <v>Temple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19984</v>
      </c>
      <c r="E5" s="16">
        <f>E36+E67+IFERROR($E$105/$D$105*D5,0)</f>
        <v>144921.834711798</v>
      </c>
      <c r="F5" s="21">
        <f>IF(OR(D5=0,E5=0),"",ROUND(E5/D5,2))</f>
        <v>7.25</v>
      </c>
    </row>
    <row r="6" spans="1:6" x14ac:dyDescent="0.2">
      <c r="A6" s="20">
        <v>2</v>
      </c>
      <c r="B6" s="172" t="s">
        <v>1</v>
      </c>
      <c r="C6" s="173"/>
      <c r="D6" s="15">
        <f t="shared" ref="D6:D32" si="0">D37</f>
        <v>6730</v>
      </c>
      <c r="E6" s="18">
        <f t="shared" ref="E6:E32" si="1">E37+E68+IFERROR($E$105/$D$105*D6,0)</f>
        <v>105120.03831116896</v>
      </c>
      <c r="F6" s="22">
        <f t="shared" ref="F6:F33" si="2">IF(OR(D6=0,E6=0),"",ROUND(E6/D6,2))</f>
        <v>15.62</v>
      </c>
    </row>
    <row r="7" spans="1:6" ht="14.25" customHeight="1" x14ac:dyDescent="0.2">
      <c r="A7" s="20">
        <v>3</v>
      </c>
      <c r="B7" s="172" t="s">
        <v>2</v>
      </c>
      <c r="C7" s="173"/>
      <c r="D7" s="15">
        <f t="shared" si="0"/>
        <v>251184</v>
      </c>
      <c r="E7" s="18">
        <f t="shared" si="1"/>
        <v>1879154.452474393</v>
      </c>
      <c r="F7" s="22">
        <f t="shared" si="2"/>
        <v>7.48</v>
      </c>
    </row>
    <row r="8" spans="1:6" ht="14.25" customHeight="1" x14ac:dyDescent="0.2">
      <c r="A8" s="20">
        <v>4</v>
      </c>
      <c r="B8" s="172" t="s">
        <v>3</v>
      </c>
      <c r="C8" s="173"/>
      <c r="D8" s="15">
        <f t="shared" si="0"/>
        <v>189718</v>
      </c>
      <c r="E8" s="18">
        <f t="shared" si="1"/>
        <v>1138765.4713697406</v>
      </c>
      <c r="F8" s="22">
        <f t="shared" si="2"/>
        <v>6</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2863</v>
      </c>
      <c r="E10" s="18">
        <f t="shared" si="1"/>
        <v>24953.064440546321</v>
      </c>
      <c r="F10" s="22">
        <f t="shared" si="2"/>
        <v>8.7200000000000006</v>
      </c>
    </row>
    <row r="11" spans="1:6" x14ac:dyDescent="0.2">
      <c r="A11" s="20">
        <v>7</v>
      </c>
      <c r="B11" s="172" t="s">
        <v>6</v>
      </c>
      <c r="C11" s="173"/>
      <c r="D11" s="15">
        <f t="shared" si="0"/>
        <v>90576</v>
      </c>
      <c r="E11" s="18">
        <f t="shared" si="1"/>
        <v>688565.3949587578</v>
      </c>
      <c r="F11" s="22">
        <f t="shared" si="2"/>
        <v>7.6</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30827</v>
      </c>
      <c r="E13" s="18">
        <f t="shared" si="1"/>
        <v>218397.19123601867</v>
      </c>
      <c r="F13" s="22">
        <f t="shared" si="2"/>
        <v>7.08</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25204</v>
      </c>
      <c r="E15" s="18">
        <f t="shared" si="1"/>
        <v>171982.70246578046</v>
      </c>
      <c r="F15" s="22">
        <f t="shared" si="2"/>
        <v>6.82</v>
      </c>
    </row>
    <row r="16" spans="1:6" ht="14.25" customHeight="1" x14ac:dyDescent="0.2">
      <c r="A16" s="20">
        <v>12</v>
      </c>
      <c r="B16" s="172" t="s">
        <v>11</v>
      </c>
      <c r="C16" s="173"/>
      <c r="D16" s="15">
        <f t="shared" si="0"/>
        <v>334320</v>
      </c>
      <c r="E16" s="18">
        <f t="shared" si="1"/>
        <v>2229398.920979199</v>
      </c>
      <c r="F16" s="22">
        <f t="shared" si="2"/>
        <v>6.67</v>
      </c>
    </row>
    <row r="17" spans="1:6" x14ac:dyDescent="0.2">
      <c r="A17" s="20">
        <v>13</v>
      </c>
      <c r="B17" s="172" t="s">
        <v>12</v>
      </c>
      <c r="C17" s="173"/>
      <c r="D17" s="15">
        <f t="shared" si="0"/>
        <v>30906</v>
      </c>
      <c r="E17" s="18">
        <f t="shared" si="1"/>
        <v>219640.992874441</v>
      </c>
      <c r="F17" s="22">
        <f t="shared" si="2"/>
        <v>7.11</v>
      </c>
    </row>
    <row r="18" spans="1:6" ht="14.25" customHeight="1" x14ac:dyDescent="0.2">
      <c r="A18" s="20">
        <v>14</v>
      </c>
      <c r="B18" s="172" t="s">
        <v>469</v>
      </c>
      <c r="C18" s="173"/>
      <c r="D18" s="15">
        <f t="shared" si="0"/>
        <v>94997</v>
      </c>
      <c r="E18" s="18">
        <f t="shared" si="1"/>
        <v>938463.30690135481</v>
      </c>
      <c r="F18" s="22">
        <f t="shared" si="2"/>
        <v>9.8800000000000008</v>
      </c>
    </row>
    <row r="19" spans="1:6" x14ac:dyDescent="0.2">
      <c r="A19" s="20">
        <v>15</v>
      </c>
      <c r="B19" s="172" t="s">
        <v>13</v>
      </c>
      <c r="C19" s="173"/>
      <c r="D19" s="15">
        <f t="shared" si="0"/>
        <v>17555</v>
      </c>
      <c r="E19" s="18">
        <f t="shared" si="1"/>
        <v>408917.51598106558</v>
      </c>
      <c r="F19" s="22">
        <f t="shared" si="2"/>
        <v>23.29</v>
      </c>
    </row>
    <row r="20" spans="1:6" x14ac:dyDescent="0.2">
      <c r="A20" s="20">
        <v>16</v>
      </c>
      <c r="B20" s="172" t="s">
        <v>14</v>
      </c>
      <c r="C20" s="173"/>
      <c r="D20" s="15">
        <f t="shared" si="0"/>
        <v>138213</v>
      </c>
      <c r="E20" s="18">
        <f t="shared" si="1"/>
        <v>1267636.7829274288</v>
      </c>
      <c r="F20" s="22">
        <f t="shared" si="2"/>
        <v>9.17</v>
      </c>
    </row>
    <row r="21" spans="1:6" x14ac:dyDescent="0.2">
      <c r="A21" s="20">
        <v>17</v>
      </c>
      <c r="B21" s="172" t="s">
        <v>15</v>
      </c>
      <c r="C21" s="173"/>
      <c r="D21" s="15">
        <f t="shared" si="0"/>
        <v>37472</v>
      </c>
      <c r="E21" s="18">
        <f t="shared" si="1"/>
        <v>355962.46829065727</v>
      </c>
      <c r="F21" s="22">
        <f t="shared" si="2"/>
        <v>9.5</v>
      </c>
    </row>
    <row r="22" spans="1:6" x14ac:dyDescent="0.2">
      <c r="A22" s="20">
        <v>18</v>
      </c>
      <c r="B22" s="172" t="s">
        <v>16</v>
      </c>
      <c r="C22" s="173"/>
      <c r="D22" s="15">
        <f t="shared" si="0"/>
        <v>108576</v>
      </c>
      <c r="E22" s="18">
        <f t="shared" si="1"/>
        <v>976173.24928283528</v>
      </c>
      <c r="F22" s="22">
        <f t="shared" si="2"/>
        <v>8.99</v>
      </c>
    </row>
    <row r="23" spans="1:6" x14ac:dyDescent="0.2">
      <c r="A23" s="20">
        <v>19</v>
      </c>
      <c r="B23" s="172" t="s">
        <v>17</v>
      </c>
      <c r="C23" s="173"/>
      <c r="D23" s="15">
        <f t="shared" si="0"/>
        <v>199880</v>
      </c>
      <c r="E23" s="18">
        <f t="shared" si="1"/>
        <v>1482042.4112387002</v>
      </c>
      <c r="F23" s="22">
        <f t="shared" si="2"/>
        <v>7.41</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4624</v>
      </c>
      <c r="E26" s="18">
        <f t="shared" si="1"/>
        <v>35944.212355251897</v>
      </c>
      <c r="F26" s="22">
        <f t="shared" si="2"/>
        <v>7.77</v>
      </c>
    </row>
    <row r="27" spans="1:6" x14ac:dyDescent="0.2">
      <c r="A27" s="20">
        <v>23</v>
      </c>
      <c r="B27" s="172" t="s">
        <v>20</v>
      </c>
      <c r="C27" s="173"/>
      <c r="D27" s="15">
        <f t="shared" si="0"/>
        <v>68256</v>
      </c>
      <c r="E27" s="18">
        <f t="shared" si="1"/>
        <v>445523.61559690174</v>
      </c>
      <c r="F27" s="22">
        <f t="shared" si="2"/>
        <v>6.53</v>
      </c>
    </row>
    <row r="28" spans="1:6" x14ac:dyDescent="0.2">
      <c r="A28" s="20">
        <v>24</v>
      </c>
      <c r="B28" s="172" t="s">
        <v>21</v>
      </c>
      <c r="C28" s="173"/>
      <c r="D28" s="15">
        <f t="shared" si="0"/>
        <v>55821</v>
      </c>
      <c r="E28" s="18">
        <f t="shared" si="1"/>
        <v>393278.30706801824</v>
      </c>
      <c r="F28" s="22">
        <f t="shared" si="2"/>
        <v>7.05</v>
      </c>
    </row>
    <row r="29" spans="1:6" x14ac:dyDescent="0.2">
      <c r="A29" s="20">
        <v>25</v>
      </c>
      <c r="B29" s="172" t="s">
        <v>22</v>
      </c>
      <c r="C29" s="173"/>
      <c r="D29" s="15">
        <f t="shared" si="0"/>
        <v>314464</v>
      </c>
      <c r="E29" s="18">
        <f t="shared" si="1"/>
        <v>1917032.8914537053</v>
      </c>
      <c r="F29" s="22">
        <f t="shared" si="2"/>
        <v>6.1</v>
      </c>
    </row>
    <row r="30" spans="1:6" x14ac:dyDescent="0.2">
      <c r="A30" s="20">
        <v>26</v>
      </c>
      <c r="B30" s="172" t="s">
        <v>23</v>
      </c>
      <c r="C30" s="173"/>
      <c r="D30" s="15">
        <f t="shared" si="0"/>
        <v>125872</v>
      </c>
      <c r="E30" s="18">
        <f t="shared" si="1"/>
        <v>1304968.1750822377</v>
      </c>
      <c r="F30" s="22">
        <f t="shared" si="2"/>
        <v>10.37</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2148042</v>
      </c>
      <c r="E33" s="32">
        <f>SUM(E5:E32)</f>
        <v>16346843</v>
      </c>
      <c r="F33" s="33">
        <f t="shared" si="2"/>
        <v>7.61</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IF(F3="1",SUMIF(Data!A:A,'41'!$A$2,Data!CU:CU),0)</f>
        <v>19984</v>
      </c>
      <c r="E36" s="16">
        <f>IF(F3="1",SUMIF(Data!$A:$A,'41'!$A$2,Data!IO:IO),0)</f>
        <v>12321</v>
      </c>
      <c r="F36" s="21">
        <f>IF(D36=0,"",ROUND(E36/D36,2))</f>
        <v>0.62</v>
      </c>
    </row>
    <row r="37" spans="1:6" x14ac:dyDescent="0.2">
      <c r="A37" s="20">
        <v>2</v>
      </c>
      <c r="B37" s="172" t="s">
        <v>1</v>
      </c>
      <c r="C37" s="173"/>
      <c r="D37" s="15">
        <f>IF(F3="1",SUMIF(Data!A:A,'41'!$A$2,Data!CV:CV),0)</f>
        <v>6730</v>
      </c>
      <c r="E37" s="18">
        <f>IF(F3="1",SUMIF(Data!$A:$A,'41'!$A$2,Data!IP:IP),0)</f>
        <v>78232</v>
      </c>
      <c r="F37" s="22">
        <f t="shared" ref="F37:F64" si="3">IF(D37=0,"",ROUND(E37/D37,2))</f>
        <v>11.62</v>
      </c>
    </row>
    <row r="38" spans="1:6" ht="14.25" customHeight="1" x14ac:dyDescent="0.2">
      <c r="A38" s="20">
        <v>3</v>
      </c>
      <c r="B38" s="172" t="s">
        <v>2</v>
      </c>
      <c r="C38" s="173"/>
      <c r="D38" s="15">
        <f>IF(F3="1",SUMIF(Data!A:A,'41'!$A$2,Data!CW:CW),0)</f>
        <v>251184</v>
      </c>
      <c r="E38" s="18">
        <f>IF(F3="1",SUMIF(Data!$A:$A,'41'!$A$2,Data!IQ:IQ),0)</f>
        <v>324860</v>
      </c>
      <c r="F38" s="22">
        <f t="shared" si="3"/>
        <v>1.29</v>
      </c>
    </row>
    <row r="39" spans="1:6" ht="14.25" customHeight="1" x14ac:dyDescent="0.2">
      <c r="A39" s="20">
        <v>4</v>
      </c>
      <c r="B39" s="172" t="s">
        <v>3</v>
      </c>
      <c r="C39" s="173"/>
      <c r="D39" s="15">
        <f>IF(F3="1",SUMIF(Data!A:A,'41'!$A$2,Data!CX:CX),0)</f>
        <v>189718</v>
      </c>
      <c r="E39" s="18">
        <f>IF(F3="1",SUMIF(Data!$A:$A,'41'!$A$2,Data!IR:IR),0)</f>
        <v>154700</v>
      </c>
      <c r="F39" s="22">
        <f t="shared" si="3"/>
        <v>0.82</v>
      </c>
    </row>
    <row r="40" spans="1:6" x14ac:dyDescent="0.2">
      <c r="A40" s="20">
        <v>5</v>
      </c>
      <c r="B40" s="172" t="s">
        <v>4</v>
      </c>
      <c r="C40" s="173"/>
      <c r="D40" s="15">
        <f>IF(F3="1",SUMIF(Data!A:A,'41'!$A$2,Data!CY:CY),0)</f>
        <v>0</v>
      </c>
      <c r="E40" s="18">
        <f>IF(F3="1",SUMIF(Data!$A:$A,'41'!$A$2,Data!IS:IS),0)</f>
        <v>0</v>
      </c>
      <c r="F40" s="22" t="str">
        <f t="shared" si="3"/>
        <v/>
      </c>
    </row>
    <row r="41" spans="1:6" x14ac:dyDescent="0.2">
      <c r="A41" s="20">
        <v>6</v>
      </c>
      <c r="B41" s="172" t="s">
        <v>5</v>
      </c>
      <c r="C41" s="173"/>
      <c r="D41" s="15">
        <f>IF(F3="1",SUMIF(Data!A:A,'41'!$A$2,Data!CZ:CZ),0)</f>
        <v>2863</v>
      </c>
      <c r="E41" s="18">
        <f>IF(F3="1",SUMIF(Data!$A:$A,'41'!$A$2,Data!IT:IT),0)</f>
        <v>7299</v>
      </c>
      <c r="F41" s="22">
        <f t="shared" si="3"/>
        <v>2.5499999999999998</v>
      </c>
    </row>
    <row r="42" spans="1:6" x14ac:dyDescent="0.2">
      <c r="A42" s="20">
        <v>7</v>
      </c>
      <c r="B42" s="172" t="s">
        <v>6</v>
      </c>
      <c r="C42" s="173"/>
      <c r="D42" s="15">
        <f>IF(F3="1",SUMIF(Data!A:A,'41'!$A$2,Data!DA:DA),0)</f>
        <v>90576</v>
      </c>
      <c r="E42" s="18">
        <f>IF(F3="1",SUMIF(Data!$A:$A,'41'!$A$2,Data!IU:IU),0)</f>
        <v>113956</v>
      </c>
      <c r="F42" s="22">
        <f t="shared" si="3"/>
        <v>1.26</v>
      </c>
    </row>
    <row r="43" spans="1:6" x14ac:dyDescent="0.2">
      <c r="A43" s="20">
        <v>8</v>
      </c>
      <c r="B43" s="172" t="s">
        <v>7</v>
      </c>
      <c r="C43" s="173"/>
      <c r="D43" s="15">
        <f>IF(F3="1",SUMIF(Data!A:A,'41'!$A$2,Data!DB:DB),0)</f>
        <v>0</v>
      </c>
      <c r="E43" s="18">
        <f>IF(F3="1",SUMIF(Data!$A:$A,'41'!$A$2,Data!IV:IV),0)</f>
        <v>0</v>
      </c>
      <c r="F43" s="22" t="str">
        <f t="shared" si="3"/>
        <v/>
      </c>
    </row>
    <row r="44" spans="1:6" x14ac:dyDescent="0.2">
      <c r="A44" s="20">
        <v>9</v>
      </c>
      <c r="B44" s="172" t="s">
        <v>8</v>
      </c>
      <c r="C44" s="173"/>
      <c r="D44" s="15">
        <f>IF(F3="1",SUMIF(Data!A:A,'41'!$A$2,Data!DC:DC),0)</f>
        <v>30827</v>
      </c>
      <c r="E44" s="18">
        <f>IF(F3="1",SUMIF(Data!$A:$A,'41'!$A$2,Data!IW:IW),0)</f>
        <v>24446</v>
      </c>
      <c r="F44" s="22">
        <f t="shared" si="3"/>
        <v>0.79</v>
      </c>
    </row>
    <row r="45" spans="1:6" x14ac:dyDescent="0.2">
      <c r="A45" s="20">
        <v>10</v>
      </c>
      <c r="B45" s="172" t="s">
        <v>9</v>
      </c>
      <c r="C45" s="173"/>
      <c r="D45" s="15">
        <f>IF(F3="1",SUMIF(Data!A:A,'41'!$A$2,Data!DD:DD),0)</f>
        <v>0</v>
      </c>
      <c r="E45" s="18">
        <f>IF(F3="1",SUMIF(Data!$A:$A,'41'!$A$2,Data!IX:IX),0)</f>
        <v>0</v>
      </c>
      <c r="F45" s="22" t="str">
        <f t="shared" si="3"/>
        <v/>
      </c>
    </row>
    <row r="46" spans="1:6" x14ac:dyDescent="0.2">
      <c r="A46" s="20">
        <v>11</v>
      </c>
      <c r="B46" s="172" t="s">
        <v>10</v>
      </c>
      <c r="C46" s="173"/>
      <c r="D46" s="15">
        <f>IF(F3="1",SUMIF(Data!A:A,'41'!$A$2,Data!DE:DE),0)</f>
        <v>25204</v>
      </c>
      <c r="E46" s="18">
        <f>IF(F3="1",SUMIF(Data!$A:$A,'41'!$A$2,Data!IY:IY),0)</f>
        <v>32109</v>
      </c>
      <c r="F46" s="22">
        <f t="shared" si="3"/>
        <v>1.27</v>
      </c>
    </row>
    <row r="47" spans="1:6" ht="14.25" customHeight="1" x14ac:dyDescent="0.2">
      <c r="A47" s="20">
        <v>12</v>
      </c>
      <c r="B47" s="172" t="s">
        <v>11</v>
      </c>
      <c r="C47" s="173"/>
      <c r="D47" s="15">
        <f>IF(F3="1",SUMIF(Data!A:A,'41'!$A$2,Data!DF:DF),0)</f>
        <v>334320</v>
      </c>
      <c r="E47" s="18">
        <f>IF(F3="1",SUMIF(Data!$A:$A,'41'!$A$2,Data!IZ:IZ),0)</f>
        <v>140995</v>
      </c>
      <c r="F47" s="22">
        <f t="shared" si="3"/>
        <v>0.42</v>
      </c>
    </row>
    <row r="48" spans="1:6" x14ac:dyDescent="0.2">
      <c r="A48" s="20">
        <v>13</v>
      </c>
      <c r="B48" s="172" t="s">
        <v>12</v>
      </c>
      <c r="C48" s="173"/>
      <c r="D48" s="15">
        <f>IF(F3="1",SUMIF(Data!A:A,'41'!$A$2,Data!DG:DG),0)</f>
        <v>30906</v>
      </c>
      <c r="E48" s="18">
        <f>IF(F3="1",SUMIF(Data!$A:$A,'41'!$A$2,Data!JA:JA),0)</f>
        <v>17755</v>
      </c>
      <c r="F48" s="22">
        <f t="shared" si="3"/>
        <v>0.56999999999999995</v>
      </c>
    </row>
    <row r="49" spans="1:6" ht="14.25" customHeight="1" x14ac:dyDescent="0.2">
      <c r="A49" s="20">
        <v>14</v>
      </c>
      <c r="B49" s="172" t="s">
        <v>469</v>
      </c>
      <c r="C49" s="173"/>
      <c r="D49" s="15">
        <f>IF(F3="1",SUMIF(Data!A:A,'41'!$A$2,Data!DH:DH),0)</f>
        <v>94997</v>
      </c>
      <c r="E49" s="18">
        <f>IF(F3="1",SUMIF(Data!$A:$A,'41'!$A$2,Data!JB:JB),0)</f>
        <v>125214</v>
      </c>
      <c r="F49" s="22">
        <f t="shared" si="3"/>
        <v>1.32</v>
      </c>
    </row>
    <row r="50" spans="1:6" x14ac:dyDescent="0.2">
      <c r="A50" s="20">
        <v>15</v>
      </c>
      <c r="B50" s="172" t="s">
        <v>13</v>
      </c>
      <c r="C50" s="173"/>
      <c r="D50" s="15">
        <f>IF(F3="1",SUMIF(Data!A:A,'41'!$A$2,Data!DI:DI),0)</f>
        <v>17555</v>
      </c>
      <c r="E50" s="18">
        <f>IF(F3="1",SUMIF(Data!$A:$A,'41'!$A$2,Data!JC:JC),0)</f>
        <v>101301</v>
      </c>
      <c r="F50" s="22">
        <f t="shared" si="3"/>
        <v>5.77</v>
      </c>
    </row>
    <row r="51" spans="1:6" x14ac:dyDescent="0.2">
      <c r="A51" s="20">
        <v>16</v>
      </c>
      <c r="B51" s="172" t="s">
        <v>14</v>
      </c>
      <c r="C51" s="173"/>
      <c r="D51" s="15">
        <f>IF(F3="1",SUMIF(Data!A:A,'41'!$A$2,Data!DJ:DJ),0)</f>
        <v>138213</v>
      </c>
      <c r="E51" s="18">
        <f>IF(F3="1",SUMIF(Data!$A:$A,'41'!$A$2,Data!JD:JD),0)</f>
        <v>352415</v>
      </c>
      <c r="F51" s="22">
        <f t="shared" si="3"/>
        <v>2.5499999999999998</v>
      </c>
    </row>
    <row r="52" spans="1:6" x14ac:dyDescent="0.2">
      <c r="A52" s="20">
        <v>17</v>
      </c>
      <c r="B52" s="172" t="s">
        <v>15</v>
      </c>
      <c r="C52" s="173"/>
      <c r="D52" s="15">
        <f>IF(F3="1",SUMIF(Data!A:A,'41'!$A$2,Data!DK:DK),0)</f>
        <v>37472</v>
      </c>
      <c r="E52" s="18">
        <f>IF(F3="1",SUMIF(Data!$A:$A,'41'!$A$2,Data!JE:JE),0)</f>
        <v>47491</v>
      </c>
      <c r="F52" s="22">
        <f t="shared" si="3"/>
        <v>1.27</v>
      </c>
    </row>
    <row r="53" spans="1:6" x14ac:dyDescent="0.2">
      <c r="A53" s="20">
        <v>18</v>
      </c>
      <c r="B53" s="172" t="s">
        <v>16</v>
      </c>
      <c r="C53" s="173"/>
      <c r="D53" s="15">
        <f>IF(F3="1",SUMIF(Data!A:A,'41'!$A$2,Data!DL:DL),0)</f>
        <v>108576</v>
      </c>
      <c r="E53" s="18">
        <f>IF(F3="1",SUMIF(Data!$A:$A,'41'!$A$2,Data!JF:JF),0)</f>
        <v>113594</v>
      </c>
      <c r="F53" s="22">
        <f t="shared" si="3"/>
        <v>1.05</v>
      </c>
    </row>
    <row r="54" spans="1:6" x14ac:dyDescent="0.2">
      <c r="A54" s="20">
        <v>19</v>
      </c>
      <c r="B54" s="172" t="s">
        <v>17</v>
      </c>
      <c r="C54" s="173"/>
      <c r="D54" s="15">
        <f>IF(F3="1",SUMIF(Data!A:A,'41'!$A$2,Data!DM:DM),0)</f>
        <v>199880</v>
      </c>
      <c r="E54" s="18">
        <f>IF(F3="1",SUMIF(Data!$A:$A,'41'!$A$2,Data!JG:JG),0)</f>
        <v>194814</v>
      </c>
      <c r="F54" s="22">
        <f t="shared" si="3"/>
        <v>0.97</v>
      </c>
    </row>
    <row r="55" spans="1:6" x14ac:dyDescent="0.2">
      <c r="A55" s="20">
        <v>20</v>
      </c>
      <c r="B55" s="172" t="s">
        <v>18</v>
      </c>
      <c r="C55" s="173"/>
      <c r="D55" s="15">
        <f>IF(F3="1",SUMIF(Data!A:A,'41'!$A$2,Data!DN:DN),0)</f>
        <v>0</v>
      </c>
      <c r="E55" s="18">
        <f>IF(F3="1",SUMIF(Data!$A:$A,'41'!$A$2,Data!JH:JH),0)</f>
        <v>0</v>
      </c>
      <c r="F55" s="22" t="str">
        <f t="shared" si="3"/>
        <v/>
      </c>
    </row>
    <row r="56" spans="1:6" ht="14.25" customHeight="1" x14ac:dyDescent="0.2">
      <c r="A56" s="20">
        <v>21</v>
      </c>
      <c r="B56" s="172" t="s">
        <v>466</v>
      </c>
      <c r="C56" s="173"/>
      <c r="D56" s="15">
        <f>IF(F3="1",SUMIF(Data!A:A,'41'!$A$2,Data!DO:DO),0)</f>
        <v>0</v>
      </c>
      <c r="E56" s="18">
        <f>IF(F3="1",SUMIF(Data!$A:$A,'41'!$A$2,Data!JI:JI),0)</f>
        <v>0</v>
      </c>
      <c r="F56" s="22" t="str">
        <f t="shared" si="3"/>
        <v/>
      </c>
    </row>
    <row r="57" spans="1:6" x14ac:dyDescent="0.2">
      <c r="A57" s="20">
        <v>22</v>
      </c>
      <c r="B57" s="172" t="s">
        <v>19</v>
      </c>
      <c r="C57" s="173"/>
      <c r="D57" s="15">
        <f>IF(F3="1",SUMIF(Data!A:A,'41'!$A$2,Data!DP:DP),0)</f>
        <v>4624</v>
      </c>
      <c r="E57" s="18">
        <f>IF(F3="1",SUMIF(Data!$A:$A,'41'!$A$2,Data!JJ:JJ),0)</f>
        <v>4649</v>
      </c>
      <c r="F57" s="22">
        <f t="shared" si="3"/>
        <v>1.01</v>
      </c>
    </row>
    <row r="58" spans="1:6" x14ac:dyDescent="0.2">
      <c r="A58" s="20">
        <v>23</v>
      </c>
      <c r="B58" s="172" t="s">
        <v>20</v>
      </c>
      <c r="C58" s="173"/>
      <c r="D58" s="15">
        <f>IF(F3="1",SUMIF(Data!A:A,'41'!$A$2,Data!DQ:DQ),0)</f>
        <v>68256</v>
      </c>
      <c r="E58" s="18">
        <f>IF(F3="1",SUMIF(Data!$A:$A,'41'!$A$2,Data!JK:JK),0)</f>
        <v>27199</v>
      </c>
      <c r="F58" s="22">
        <f t="shared" si="3"/>
        <v>0.4</v>
      </c>
    </row>
    <row r="59" spans="1:6" x14ac:dyDescent="0.2">
      <c r="A59" s="20">
        <v>24</v>
      </c>
      <c r="B59" s="172" t="s">
        <v>21</v>
      </c>
      <c r="C59" s="173"/>
      <c r="D59" s="15">
        <f>IF(F3="1",SUMIF(Data!A:A,'41'!$A$2,Data!DR:DR),0)</f>
        <v>55821</v>
      </c>
      <c r="E59" s="18">
        <f>IF(F3="1",SUMIF(Data!$A:$A,'41'!$A$2,Data!JL:JL),0)</f>
        <v>93595</v>
      </c>
      <c r="F59" s="22">
        <f t="shared" si="3"/>
        <v>1.68</v>
      </c>
    </row>
    <row r="60" spans="1:6" x14ac:dyDescent="0.2">
      <c r="A60" s="20">
        <v>25</v>
      </c>
      <c r="B60" s="172" t="s">
        <v>22</v>
      </c>
      <c r="C60" s="173"/>
      <c r="D60" s="15">
        <f>IF(F3="1",SUMIF(Data!A:A,'41'!$A$2,Data!DS:DS),0)</f>
        <v>314464</v>
      </c>
      <c r="E60" s="18">
        <f>IF(F3="1",SUMIF(Data!$A:$A,'41'!$A$2,Data!JM:JM),0)</f>
        <v>117203</v>
      </c>
      <c r="F60" s="22">
        <f t="shared" si="3"/>
        <v>0.37</v>
      </c>
    </row>
    <row r="61" spans="1:6" x14ac:dyDescent="0.2">
      <c r="A61" s="20">
        <v>26</v>
      </c>
      <c r="B61" s="172" t="s">
        <v>23</v>
      </c>
      <c r="C61" s="173"/>
      <c r="D61" s="15">
        <f>IF(F3="1",SUMIF(Data!A:A,'41'!$A$2,Data!DT:DT),0)</f>
        <v>125872</v>
      </c>
      <c r="E61" s="18">
        <f>IF(F3="1",SUMIF(Data!$A:$A,'41'!$A$2,Data!JN:JN),0)</f>
        <v>269103</v>
      </c>
      <c r="F61" s="22">
        <f t="shared" si="3"/>
        <v>2.14</v>
      </c>
    </row>
    <row r="62" spans="1:6" x14ac:dyDescent="0.2">
      <c r="A62" s="20">
        <v>28</v>
      </c>
      <c r="B62" s="172" t="s">
        <v>24</v>
      </c>
      <c r="C62" s="173"/>
      <c r="D62" s="15">
        <f>IF(F3="1",SUMIF(Data!A:A,'41'!$A$2,Data!DV:DV),0)</f>
        <v>0</v>
      </c>
      <c r="E62" s="18">
        <f>IF(F3="1",SUMIF(Data!$A:$A,'41'!$A$2,Data!JP:JP),0)</f>
        <v>0</v>
      </c>
      <c r="F62" s="22" t="str">
        <f t="shared" si="3"/>
        <v/>
      </c>
    </row>
    <row r="63" spans="1:6" ht="15.75" customHeight="1" thickBot="1" x14ac:dyDescent="0.25">
      <c r="A63" s="23">
        <v>29</v>
      </c>
      <c r="B63" s="174" t="s">
        <v>25</v>
      </c>
      <c r="C63" s="175"/>
      <c r="D63" s="24">
        <f>IF(F3="1",SUMIF(Data!A:A,'41'!$A$2,Data!DW:DW),0)</f>
        <v>0</v>
      </c>
      <c r="E63" s="25">
        <f>IF(F3="1",SUMIF(Data!$A:$A,'41'!$A$2,Data!JQ:JQ),0)</f>
        <v>0</v>
      </c>
      <c r="F63" s="26" t="str">
        <f t="shared" si="3"/>
        <v/>
      </c>
    </row>
    <row r="64" spans="1:6" x14ac:dyDescent="0.2">
      <c r="B64" s="31" t="s">
        <v>35</v>
      </c>
      <c r="C64" s="31"/>
      <c r="D64" s="61">
        <f>SUM(D36:D63)</f>
        <v>2148042</v>
      </c>
      <c r="E64" s="32">
        <f>SUM(E36:E63)</f>
        <v>2353251</v>
      </c>
      <c r="F64" s="33">
        <f t="shared" si="3"/>
        <v>1.1000000000000001</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19984</v>
      </c>
      <c r="E67" s="16">
        <f>IF(F3="1",SUMIF(Data!A:A,'41'!$A$2,Data!DY:DY),0)</f>
        <v>66122</v>
      </c>
      <c r="F67" s="21">
        <f t="shared" ref="F67:F95" si="4">IF(D67=0,"",ROUND(E67/D67,2))</f>
        <v>3.31</v>
      </c>
    </row>
    <row r="68" spans="1:6" x14ac:dyDescent="0.2">
      <c r="A68" s="20">
        <v>2</v>
      </c>
      <c r="B68" s="172" t="s">
        <v>1</v>
      </c>
      <c r="C68" s="173"/>
      <c r="D68" s="15">
        <f t="shared" ref="D68:D94" si="5">D37</f>
        <v>6730</v>
      </c>
      <c r="E68" s="18">
        <f>IF(F3="1",SUMIF(Data!A:A,'41'!$A$2,Data!DZ:DZ),0)</f>
        <v>4500</v>
      </c>
      <c r="F68" s="22">
        <f t="shared" si="4"/>
        <v>0.67</v>
      </c>
    </row>
    <row r="69" spans="1:6" ht="14.25" customHeight="1" x14ac:dyDescent="0.2">
      <c r="A69" s="20">
        <v>3</v>
      </c>
      <c r="B69" s="172" t="s">
        <v>2</v>
      </c>
      <c r="C69" s="173"/>
      <c r="D69" s="15">
        <f t="shared" si="5"/>
        <v>251184</v>
      </c>
      <c r="E69" s="18">
        <f>IF(F3="1",SUMIF(Data!A:A,'41'!$A$2,Data!EA:EA),0)</f>
        <v>718705</v>
      </c>
      <c r="F69" s="22">
        <f t="shared" si="4"/>
        <v>2.86</v>
      </c>
    </row>
    <row r="70" spans="1:6" ht="14.25" customHeight="1" x14ac:dyDescent="0.2">
      <c r="A70" s="20">
        <v>4</v>
      </c>
      <c r="B70" s="172" t="s">
        <v>3</v>
      </c>
      <c r="C70" s="173"/>
      <c r="D70" s="15">
        <f t="shared" si="5"/>
        <v>189718</v>
      </c>
      <c r="E70" s="18">
        <f>IF(F3="1",SUMIF(Data!A:A,'41'!$A$2,Data!EB:EB),0)</f>
        <v>352949</v>
      </c>
      <c r="F70" s="22">
        <f t="shared" si="4"/>
        <v>1.86</v>
      </c>
    </row>
    <row r="71" spans="1:6" x14ac:dyDescent="0.2">
      <c r="A71" s="20">
        <v>5</v>
      </c>
      <c r="B71" s="172" t="s">
        <v>4</v>
      </c>
      <c r="C71" s="173"/>
      <c r="D71" s="15">
        <f t="shared" si="5"/>
        <v>0</v>
      </c>
      <c r="E71" s="18">
        <f>IF(F3="1",SUMIF(Data!A:A,'41'!$A$2,Data!EC:EC),0)</f>
        <v>0</v>
      </c>
      <c r="F71" s="22" t="str">
        <f t="shared" si="4"/>
        <v/>
      </c>
    </row>
    <row r="72" spans="1:6" x14ac:dyDescent="0.2">
      <c r="A72" s="20">
        <v>6</v>
      </c>
      <c r="B72" s="172" t="s">
        <v>5</v>
      </c>
      <c r="C72" s="173"/>
      <c r="D72" s="15">
        <f t="shared" si="5"/>
        <v>2863</v>
      </c>
      <c r="E72" s="18">
        <f>IF(F3="1",SUMIF(Data!A:A,'41'!$A$2,Data!ED:ED),0)</f>
        <v>8130</v>
      </c>
      <c r="F72" s="22">
        <f t="shared" si="4"/>
        <v>2.84</v>
      </c>
    </row>
    <row r="73" spans="1:6" x14ac:dyDescent="0.2">
      <c r="A73" s="20">
        <v>7</v>
      </c>
      <c r="B73" s="172" t="s">
        <v>6</v>
      </c>
      <c r="C73" s="173"/>
      <c r="D73" s="15">
        <f t="shared" si="5"/>
        <v>90576</v>
      </c>
      <c r="E73" s="18">
        <f>IF(F3="1",SUMIF(Data!A:A,'41'!$A$2,Data!EE:EE),0)</f>
        <v>273299</v>
      </c>
      <c r="F73" s="22">
        <f t="shared" si="4"/>
        <v>3.02</v>
      </c>
    </row>
    <row r="74" spans="1:6" x14ac:dyDescent="0.2">
      <c r="A74" s="20">
        <v>8</v>
      </c>
      <c r="B74" s="172" t="s">
        <v>7</v>
      </c>
      <c r="C74" s="173"/>
      <c r="D74" s="15">
        <f t="shared" si="5"/>
        <v>0</v>
      </c>
      <c r="E74" s="18">
        <f>IF(F3="1",SUMIF(Data!A:A,'41'!$A$2,Data!EF:EF),0)</f>
        <v>0</v>
      </c>
      <c r="F74" s="22" t="str">
        <f t="shared" si="4"/>
        <v/>
      </c>
    </row>
    <row r="75" spans="1:6" x14ac:dyDescent="0.2">
      <c r="A75" s="20">
        <v>9</v>
      </c>
      <c r="B75" s="172" t="s">
        <v>8</v>
      </c>
      <c r="C75" s="173"/>
      <c r="D75" s="15">
        <f t="shared" si="5"/>
        <v>30827</v>
      </c>
      <c r="E75" s="18">
        <f>IF(F3="1",SUMIF(Data!A:A,'41'!$A$2,Data!EG:EG),0)</f>
        <v>91402</v>
      </c>
      <c r="F75" s="22">
        <f t="shared" si="4"/>
        <v>2.96</v>
      </c>
    </row>
    <row r="76" spans="1:6" x14ac:dyDescent="0.2">
      <c r="A76" s="20">
        <v>10</v>
      </c>
      <c r="B76" s="172" t="s">
        <v>9</v>
      </c>
      <c r="C76" s="173"/>
      <c r="D76" s="15">
        <f t="shared" si="5"/>
        <v>0</v>
      </c>
      <c r="E76" s="18">
        <f>IF(F3="1",SUMIF(Data!A:A,'41'!$A$2,Data!EH:EH),0)</f>
        <v>0</v>
      </c>
      <c r="F76" s="22" t="str">
        <f t="shared" si="4"/>
        <v/>
      </c>
    </row>
    <row r="77" spans="1:6" x14ac:dyDescent="0.2">
      <c r="A77" s="20">
        <v>11</v>
      </c>
      <c r="B77" s="172" t="s">
        <v>10</v>
      </c>
      <c r="C77" s="173"/>
      <c r="D77" s="15">
        <f t="shared" si="5"/>
        <v>25204</v>
      </c>
      <c r="E77" s="18">
        <f>IF(F3="1",SUMIF(Data!A:A,'41'!$A$2,Data!EI:EI),0)</f>
        <v>56030</v>
      </c>
      <c r="F77" s="22">
        <f t="shared" si="4"/>
        <v>2.2200000000000002</v>
      </c>
    </row>
    <row r="78" spans="1:6" ht="14.25" customHeight="1" x14ac:dyDescent="0.2">
      <c r="A78" s="20">
        <v>12</v>
      </c>
      <c r="B78" s="172" t="s">
        <v>11</v>
      </c>
      <c r="C78" s="173"/>
      <c r="D78" s="15">
        <f t="shared" si="5"/>
        <v>334320</v>
      </c>
      <c r="E78" s="18">
        <f>IF(F3="1",SUMIF(Data!A:A,'41'!$A$2,Data!EJ:EJ),0)</f>
        <v>976254</v>
      </c>
      <c r="F78" s="22">
        <f t="shared" si="4"/>
        <v>2.92</v>
      </c>
    </row>
    <row r="79" spans="1:6" x14ac:dyDescent="0.2">
      <c r="A79" s="20">
        <v>13</v>
      </c>
      <c r="B79" s="172" t="s">
        <v>12</v>
      </c>
      <c r="C79" s="173"/>
      <c r="D79" s="15">
        <f t="shared" si="5"/>
        <v>30906</v>
      </c>
      <c r="E79" s="18">
        <f>IF(F3="1",SUMIF(Data!A:A,'41'!$A$2,Data!EK:EK),0)</f>
        <v>99074</v>
      </c>
      <c r="F79" s="22">
        <f t="shared" si="4"/>
        <v>3.21</v>
      </c>
    </row>
    <row r="80" spans="1:6" ht="14.25" customHeight="1" x14ac:dyDescent="0.2">
      <c r="A80" s="20">
        <v>14</v>
      </c>
      <c r="B80" s="172" t="s">
        <v>469</v>
      </c>
      <c r="C80" s="173"/>
      <c r="D80" s="15">
        <f t="shared" si="5"/>
        <v>94997</v>
      </c>
      <c r="E80" s="18">
        <f>IF(F3="1",SUMIF(Data!A:A,'41'!$A$2,Data!EL:EL),0)</f>
        <v>497232</v>
      </c>
      <c r="F80" s="22">
        <f t="shared" si="4"/>
        <v>5.23</v>
      </c>
    </row>
    <row r="81" spans="1:6" x14ac:dyDescent="0.2">
      <c r="A81" s="20">
        <v>15</v>
      </c>
      <c r="B81" s="172" t="s">
        <v>13</v>
      </c>
      <c r="C81" s="173"/>
      <c r="D81" s="15">
        <f t="shared" si="5"/>
        <v>17555</v>
      </c>
      <c r="E81" s="18">
        <f>IF(F3="1",SUMIF(Data!A:A,'41'!$A$2,Data!EM:EM),0)</f>
        <v>249218</v>
      </c>
      <c r="F81" s="22">
        <f t="shared" si="4"/>
        <v>14.2</v>
      </c>
    </row>
    <row r="82" spans="1:6" x14ac:dyDescent="0.2">
      <c r="A82" s="20">
        <v>16</v>
      </c>
      <c r="B82" s="172" t="s">
        <v>14</v>
      </c>
      <c r="C82" s="173"/>
      <c r="D82" s="15">
        <f t="shared" si="5"/>
        <v>138213</v>
      </c>
      <c r="E82" s="18">
        <f>IF(F3="1",SUMIF(Data!A:A,'41'!$A$2,Data!EN:EN),0)</f>
        <v>455442</v>
      </c>
      <c r="F82" s="22">
        <f t="shared" si="4"/>
        <v>3.3</v>
      </c>
    </row>
    <row r="83" spans="1:6" x14ac:dyDescent="0.2">
      <c r="A83" s="20">
        <v>17</v>
      </c>
      <c r="B83" s="172" t="s">
        <v>15</v>
      </c>
      <c r="C83" s="173"/>
      <c r="D83" s="15">
        <f t="shared" si="5"/>
        <v>37472</v>
      </c>
      <c r="E83" s="18">
        <f>IF(F3="1",SUMIF(Data!A:A,'41'!$A$2,Data!EO:EO),0)</f>
        <v>183817</v>
      </c>
      <c r="F83" s="22">
        <f t="shared" si="4"/>
        <v>4.91</v>
      </c>
    </row>
    <row r="84" spans="1:6" x14ac:dyDescent="0.2">
      <c r="A84" s="20">
        <v>18</v>
      </c>
      <c r="B84" s="172" t="s">
        <v>16</v>
      </c>
      <c r="C84" s="173"/>
      <c r="D84" s="15">
        <f t="shared" si="5"/>
        <v>108576</v>
      </c>
      <c r="E84" s="18">
        <f>IF(F3="1",SUMIF(Data!A:A,'41'!$A$2,Data!EP:EP),0)</f>
        <v>501390</v>
      </c>
      <c r="F84" s="22">
        <f t="shared" si="4"/>
        <v>4.62</v>
      </c>
    </row>
    <row r="85" spans="1:6" x14ac:dyDescent="0.2">
      <c r="A85" s="20">
        <v>19</v>
      </c>
      <c r="B85" s="172" t="s">
        <v>17</v>
      </c>
      <c r="C85" s="173"/>
      <c r="D85" s="15">
        <f t="shared" si="5"/>
        <v>199880</v>
      </c>
      <c r="E85" s="18">
        <f>IF(F3="1",SUMIF(Data!A:A,'41'!$A$2,Data!EQ:EQ),0)</f>
        <v>622307</v>
      </c>
      <c r="F85" s="22">
        <f t="shared" si="4"/>
        <v>3.11</v>
      </c>
    </row>
    <row r="86" spans="1:6" x14ac:dyDescent="0.2">
      <c r="A86" s="20">
        <v>20</v>
      </c>
      <c r="B86" s="172" t="s">
        <v>18</v>
      </c>
      <c r="C86" s="173"/>
      <c r="D86" s="15">
        <f t="shared" si="5"/>
        <v>0</v>
      </c>
      <c r="E86" s="18">
        <f>IF(F3="1",SUMIF(Data!A:A,'41'!$A$2,Data!ER:ER),0)</f>
        <v>0</v>
      </c>
      <c r="F86" s="22" t="str">
        <f t="shared" si="4"/>
        <v/>
      </c>
    </row>
    <row r="87" spans="1:6" ht="14.25" customHeight="1" x14ac:dyDescent="0.2">
      <c r="A87" s="20">
        <v>21</v>
      </c>
      <c r="B87" s="172" t="s">
        <v>466</v>
      </c>
      <c r="C87" s="173"/>
      <c r="D87" s="15">
        <f t="shared" si="5"/>
        <v>0</v>
      </c>
      <c r="E87" s="18">
        <f>IF(F3="1",SUMIF(Data!A:A,'41'!$A$2,Data!ES:ES),0)</f>
        <v>0</v>
      </c>
      <c r="F87" s="22" t="str">
        <f t="shared" si="4"/>
        <v/>
      </c>
    </row>
    <row r="88" spans="1:6" x14ac:dyDescent="0.2">
      <c r="A88" s="20">
        <v>22</v>
      </c>
      <c r="B88" s="172" t="s">
        <v>19</v>
      </c>
      <c r="C88" s="173"/>
      <c r="D88" s="15">
        <f t="shared" si="5"/>
        <v>4624</v>
      </c>
      <c r="E88" s="18">
        <f>IF(F3="1",SUMIF(Data!A:A,'41'!$A$2,Data!ET:ET),0)</f>
        <v>15913</v>
      </c>
      <c r="F88" s="22">
        <f t="shared" si="4"/>
        <v>3.44</v>
      </c>
    </row>
    <row r="89" spans="1:6" x14ac:dyDescent="0.2">
      <c r="A89" s="20">
        <v>23</v>
      </c>
      <c r="B89" s="172" t="s">
        <v>20</v>
      </c>
      <c r="C89" s="173"/>
      <c r="D89" s="15">
        <f t="shared" si="5"/>
        <v>68256</v>
      </c>
      <c r="E89" s="18">
        <f>IF(F3="1",SUMIF(Data!A:A,'41'!$A$2,Data!EU:EU),0)</f>
        <v>191264</v>
      </c>
      <c r="F89" s="22">
        <f t="shared" si="4"/>
        <v>2.8</v>
      </c>
    </row>
    <row r="90" spans="1:6" x14ac:dyDescent="0.2">
      <c r="A90" s="20">
        <v>24</v>
      </c>
      <c r="B90" s="172" t="s">
        <v>21</v>
      </c>
      <c r="C90" s="173"/>
      <c r="D90" s="15">
        <f t="shared" si="5"/>
        <v>55821</v>
      </c>
      <c r="E90" s="18">
        <f>IF(F3="1",SUMIF(Data!A:A,'41'!$A$2,Data!EV:EV),0)</f>
        <v>113989</v>
      </c>
      <c r="F90" s="22">
        <f t="shared" si="4"/>
        <v>2.04</v>
      </c>
    </row>
    <row r="91" spans="1:6" x14ac:dyDescent="0.2">
      <c r="A91" s="20">
        <v>25</v>
      </c>
      <c r="B91" s="172" t="s">
        <v>22</v>
      </c>
      <c r="C91" s="173"/>
      <c r="D91" s="15">
        <f t="shared" si="5"/>
        <v>314464</v>
      </c>
      <c r="E91" s="18">
        <f>IF(F3="1",SUMIF(Data!A:A,'41'!$A$2,Data!EW:EW),0)</f>
        <v>753733</v>
      </c>
      <c r="F91" s="22">
        <f t="shared" si="4"/>
        <v>2.4</v>
      </c>
    </row>
    <row r="92" spans="1:6" x14ac:dyDescent="0.2">
      <c r="A92" s="20">
        <v>26</v>
      </c>
      <c r="B92" s="172" t="s">
        <v>23</v>
      </c>
      <c r="C92" s="173"/>
      <c r="D92" s="15">
        <f t="shared" si="5"/>
        <v>125872</v>
      </c>
      <c r="E92" s="18">
        <f>IF(F3="1",SUMIF(Data!A:A,'41'!$A$2,Data!EX:EX),0)</f>
        <v>617139</v>
      </c>
      <c r="F92" s="22">
        <f t="shared" si="4"/>
        <v>4.9000000000000004</v>
      </c>
    </row>
    <row r="93" spans="1:6" x14ac:dyDescent="0.2">
      <c r="A93" s="20">
        <v>28</v>
      </c>
      <c r="B93" s="172" t="s">
        <v>24</v>
      </c>
      <c r="C93" s="173"/>
      <c r="D93" s="15">
        <f t="shared" si="5"/>
        <v>0</v>
      </c>
      <c r="E93" s="18">
        <f>IF(F3="1",SUMIF(Data!A:A,'41'!$A$2,Data!EZ:EZ),0)</f>
        <v>0</v>
      </c>
      <c r="F93" s="22" t="str">
        <f t="shared" si="4"/>
        <v/>
      </c>
    </row>
    <row r="94" spans="1:6" ht="15.75" customHeight="1" thickBot="1" x14ac:dyDescent="0.25">
      <c r="A94" s="23">
        <v>29</v>
      </c>
      <c r="B94" s="174" t="s">
        <v>25</v>
      </c>
      <c r="C94" s="175"/>
      <c r="D94" s="24">
        <f t="shared" si="5"/>
        <v>0</v>
      </c>
      <c r="E94" s="25">
        <f>IF(F3="1",SUMIF(Data!A:A,'41'!$A$2,Data!FA:FA),0)</f>
        <v>0</v>
      </c>
      <c r="F94" s="26" t="str">
        <f t="shared" si="4"/>
        <v/>
      </c>
    </row>
    <row r="95" spans="1:6" x14ac:dyDescent="0.2">
      <c r="B95" s="31" t="s">
        <v>35</v>
      </c>
      <c r="C95" s="31"/>
      <c r="D95" s="61">
        <f>SUM(D67:D94)</f>
        <v>2148042</v>
      </c>
      <c r="E95" s="32">
        <f>SUM(E67:E94)</f>
        <v>6847909</v>
      </c>
      <c r="F95" s="33">
        <f t="shared" si="4"/>
        <v>3.19</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IF(F3="1",SUMIF(Data!A:A,'41'!$A$2,Data!AH:AH),0)</f>
        <v>3836841</v>
      </c>
      <c r="F98" s="21">
        <f>IF($D$105=0,"",ROUND(E98/$D$105,2))</f>
        <v>1.79</v>
      </c>
    </row>
    <row r="99" spans="2:6" x14ac:dyDescent="0.2">
      <c r="B99" s="178" t="s">
        <v>31</v>
      </c>
      <c r="C99" s="179"/>
      <c r="D99" s="37"/>
      <c r="E99" s="18">
        <f>IF(F3="1",SUMIF(Data!A:A,'41'!$A$2,Data!AI:AI),0)</f>
        <v>1168154</v>
      </c>
      <c r="F99" s="22">
        <f t="shared" ref="F99:F105" si="6">IF($D$105=0,"",ROUND(E99/$D$105,2))</f>
        <v>0.54</v>
      </c>
    </row>
    <row r="100" spans="2:6" x14ac:dyDescent="0.2">
      <c r="B100" s="178" t="s">
        <v>32</v>
      </c>
      <c r="C100" s="179"/>
      <c r="D100" s="37"/>
      <c r="E100" s="18">
        <f>IF(F3="1",SUMIF(Data!A:A,'41'!$A$2,Data!AJ:AJ),0)</f>
        <v>1398232</v>
      </c>
      <c r="F100" s="22">
        <f t="shared" si="6"/>
        <v>0.65</v>
      </c>
    </row>
    <row r="101" spans="2:6" x14ac:dyDescent="0.2">
      <c r="B101" s="178" t="s">
        <v>28</v>
      </c>
      <c r="C101" s="179"/>
      <c r="D101" s="37"/>
      <c r="E101" s="18">
        <f>IF(F3="1",SUMIF(Data!A:A,'41'!$A$2,Data!AK:AK),0)</f>
        <v>0</v>
      </c>
      <c r="F101" s="22">
        <f t="shared" si="6"/>
        <v>0</v>
      </c>
    </row>
    <row r="102" spans="2:6" x14ac:dyDescent="0.2">
      <c r="B102" s="178" t="s">
        <v>33</v>
      </c>
      <c r="C102" s="179"/>
      <c r="D102" s="37"/>
      <c r="E102" s="18">
        <f>IF(F3="1",SUMIF(Data!A:A,'41'!$A$2,Data!AL:AL),0)</f>
        <v>213476</v>
      </c>
      <c r="F102" s="22">
        <f t="shared" si="6"/>
        <v>0.1</v>
      </c>
    </row>
    <row r="103" spans="2:6" x14ac:dyDescent="0.2">
      <c r="B103" s="180" t="s">
        <v>34</v>
      </c>
      <c r="C103" s="181"/>
      <c r="D103" s="37"/>
      <c r="E103" s="18">
        <f>IF(F3="1",SUMIF(Data!A:A,'41'!$A$2,Data!AM:AM),0)</f>
        <v>0</v>
      </c>
      <c r="F103" s="22">
        <f t="shared" si="6"/>
        <v>0</v>
      </c>
    </row>
    <row r="104" spans="2:6" ht="15.75" customHeight="1" thickBot="1" x14ac:dyDescent="0.25">
      <c r="B104" s="170" t="s">
        <v>29</v>
      </c>
      <c r="C104" s="171"/>
      <c r="D104" s="38"/>
      <c r="E104" s="25">
        <f>IF(F3="1",SUMIF(Data!A:A,'41'!$A$2,Data!Q:Q),0)</f>
        <v>528980</v>
      </c>
      <c r="F104" s="26">
        <f t="shared" si="6"/>
        <v>0.25</v>
      </c>
    </row>
    <row r="105" spans="2:6" x14ac:dyDescent="0.2">
      <c r="B105" s="31" t="s">
        <v>35</v>
      </c>
      <c r="C105" s="31"/>
      <c r="D105" s="35">
        <f>D95</f>
        <v>2148042</v>
      </c>
      <c r="E105" s="32">
        <f>SUM(E98:E104)</f>
        <v>7145683</v>
      </c>
      <c r="F105" s="33">
        <f t="shared" si="6"/>
        <v>3.33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7348454</v>
      </c>
      <c r="D109" s="16">
        <f>IF(F3="1",SUMIF(Data!$A:$A,$A$2,Data!HJ:HJ),0)</f>
        <v>738017</v>
      </c>
      <c r="E109" s="16">
        <f>IF(F3="1",SUMIF(Data!$A:$A,$A$2,Data!IN:IN),0)</f>
        <v>1114690</v>
      </c>
      <c r="F109" s="48">
        <f>SUM(C109:E109)</f>
        <v>9201161</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246294</v>
      </c>
      <c r="D111" s="52"/>
      <c r="E111" s="51">
        <f>IF(F3="1",SUMIF(Data!A:A,$A$2,Data!AX:AX),0)</f>
        <v>575065</v>
      </c>
      <c r="F111" s="49">
        <f t="shared" si="7"/>
        <v>821359</v>
      </c>
    </row>
    <row r="112" spans="2:6" x14ac:dyDescent="0.2">
      <c r="B112" s="43" t="s">
        <v>32</v>
      </c>
      <c r="C112" s="51">
        <f>IF(F3="1",SUMIF(Data!A:A,$A$2,Data!V:V),0)</f>
        <v>999923</v>
      </c>
      <c r="D112" s="52"/>
      <c r="E112" s="51">
        <f>IF(F3="1",SUMIF(Data!A:A,$A$2,Data!AC:AC),0)</f>
        <v>398309</v>
      </c>
      <c r="F112" s="49">
        <f t="shared" si="7"/>
        <v>1398232</v>
      </c>
    </row>
    <row r="113" spans="1:6" x14ac:dyDescent="0.2">
      <c r="B113" s="43" t="s">
        <v>31</v>
      </c>
      <c r="C113" s="51">
        <f>IF(F3="1",SUMIF(Data!A:A,$A$2,Data!U:U),0)</f>
        <v>986722</v>
      </c>
      <c r="D113" s="52"/>
      <c r="E113" s="51">
        <f>IF(F3="1",SUMIF(Data!A:A,$A$2,Data!AB:AB),0)</f>
        <v>181432</v>
      </c>
      <c r="F113" s="49">
        <f t="shared" si="7"/>
        <v>1168154</v>
      </c>
    </row>
    <row r="114" spans="1:6" x14ac:dyDescent="0.2">
      <c r="B114" s="43" t="s">
        <v>1021</v>
      </c>
      <c r="C114" s="51">
        <f>IF(F3="1",SUMIF(Data!A:A,$A$2,Data!T:T),0)</f>
        <v>2328492</v>
      </c>
      <c r="D114" s="52"/>
      <c r="E114" s="51">
        <f>IF(F3="1",SUMIF(Data!A:A,$A$2,Data!AA:AA),0)</f>
        <v>1508349</v>
      </c>
      <c r="F114" s="49">
        <f t="shared" si="7"/>
        <v>3836841</v>
      </c>
    </row>
    <row r="115" spans="1:6" x14ac:dyDescent="0.2">
      <c r="B115" s="43" t="s">
        <v>937</v>
      </c>
      <c r="C115" s="51">
        <f>IF(F3="1",SUMIF(Data!A:A,$A$2,Data!BI:BI),0)</f>
        <v>618072</v>
      </c>
      <c r="D115" s="51">
        <f>IF(F3="1",SUMIF(Data!A:A,$A$2,Data!BL:BL),0)</f>
        <v>218973</v>
      </c>
      <c r="E115" s="51">
        <f>IF(F3="1",SUMIF(Data!A:A,$A$2,Data!BU:BU),0)</f>
        <v>1509831</v>
      </c>
      <c r="F115" s="49">
        <f t="shared" si="7"/>
        <v>2346876</v>
      </c>
    </row>
    <row r="116" spans="1:6" x14ac:dyDescent="0.2">
      <c r="B116" s="43" t="s">
        <v>33</v>
      </c>
      <c r="C116" s="51">
        <f>IF(F3="1",SUMIF(Data!A:A,$A$2,Data!X:X),0)</f>
        <v>0</v>
      </c>
      <c r="D116" s="51"/>
      <c r="E116" s="51">
        <f>E102</f>
        <v>213476</v>
      </c>
      <c r="F116" s="49">
        <f t="shared" si="7"/>
        <v>213476</v>
      </c>
    </row>
    <row r="117" spans="1:6" ht="15" thickBot="1" x14ac:dyDescent="0.25">
      <c r="B117" s="44" t="s">
        <v>941</v>
      </c>
      <c r="C117" s="53"/>
      <c r="D117" s="53">
        <f>IF(F3="1",SUMIF(Data!A:A,$A$2,Data!Q:Q),0)</f>
        <v>528980</v>
      </c>
      <c r="E117" s="53"/>
      <c r="F117" s="50">
        <f>SUM(C117:E117)</f>
        <v>528980</v>
      </c>
    </row>
    <row r="118" spans="1:6" x14ac:dyDescent="0.2">
      <c r="B118" s="14" t="s">
        <v>35</v>
      </c>
      <c r="C118" s="5">
        <f>SUM(C109:C116)</f>
        <v>12527957</v>
      </c>
      <c r="D118" s="5">
        <f>SUM(D109:D116)</f>
        <v>956990</v>
      </c>
      <c r="E118" s="5">
        <f>SUM(E109:E116)</f>
        <v>5501152</v>
      </c>
      <c r="F118" s="5">
        <f>SUM(F109:F116)</f>
        <v>18986099</v>
      </c>
    </row>
    <row r="119" spans="1:6" ht="15" thickBot="1" x14ac:dyDescent="0.25"/>
    <row r="120" spans="1:6" ht="15" thickBot="1" x14ac:dyDescent="0.25">
      <c r="B120" s="57" t="s">
        <v>942</v>
      </c>
      <c r="C120" s="55"/>
      <c r="D120" s="55"/>
      <c r="E120" s="55">
        <f>IF(F3="1",SUMIF(Data!A:A,'41'!$A$2,Data!AM:AM),0)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406</v>
      </c>
      <c r="B2" s="60" t="str">
        <f>VLOOKUP(A2,Data!A:G,7,0)</f>
        <v>Texarkana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22171</v>
      </c>
      <c r="E5" s="16">
        <f>E36+E67+IFERROR($E$105/$D$105*D5,0)</f>
        <v>194644.52568763483</v>
      </c>
      <c r="F5" s="21">
        <f>IF(OR(D5=0,E5=0),"",ROUND(E5/D5,2))</f>
        <v>8.7799999999999994</v>
      </c>
    </row>
    <row r="6" spans="1:6" x14ac:dyDescent="0.2">
      <c r="A6" s="20">
        <v>2</v>
      </c>
      <c r="B6" s="172" t="s">
        <v>1</v>
      </c>
      <c r="C6" s="173"/>
      <c r="D6" s="15">
        <f t="shared" ref="D6:D32" si="0">D37</f>
        <v>117147</v>
      </c>
      <c r="E6" s="18">
        <f t="shared" ref="E6:E32" si="1">E37+E68+IFERROR($E$105/$D$105*D6,0)</f>
        <v>723280.75683231966</v>
      </c>
      <c r="F6" s="22">
        <f t="shared" ref="F6:F33" si="2">IF(OR(D6=0,E6=0),"",ROUND(E6/D6,2))</f>
        <v>6.17</v>
      </c>
    </row>
    <row r="7" spans="1:6" ht="14.25" customHeight="1" x14ac:dyDescent="0.2">
      <c r="A7" s="20">
        <v>3</v>
      </c>
      <c r="B7" s="172" t="s">
        <v>2</v>
      </c>
      <c r="C7" s="173"/>
      <c r="D7" s="15">
        <f t="shared" si="0"/>
        <v>263576</v>
      </c>
      <c r="E7" s="18">
        <f t="shared" si="1"/>
        <v>1568325.765037393</v>
      </c>
      <c r="F7" s="22">
        <f t="shared" si="2"/>
        <v>5.95</v>
      </c>
    </row>
    <row r="8" spans="1:6" ht="14.25" customHeight="1" x14ac:dyDescent="0.2">
      <c r="A8" s="20">
        <v>4</v>
      </c>
      <c r="B8" s="172" t="s">
        <v>3</v>
      </c>
      <c r="C8" s="173"/>
      <c r="D8" s="15">
        <f t="shared" si="0"/>
        <v>222667</v>
      </c>
      <c r="E8" s="18">
        <f t="shared" si="1"/>
        <v>1430030.8375936397</v>
      </c>
      <c r="F8" s="22">
        <f t="shared" si="2"/>
        <v>6.42</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9800</v>
      </c>
      <c r="E10" s="18">
        <f t="shared" si="1"/>
        <v>68379.112883443304</v>
      </c>
      <c r="F10" s="22">
        <f t="shared" si="2"/>
        <v>6.98</v>
      </c>
    </row>
    <row r="11" spans="1:6" x14ac:dyDescent="0.2">
      <c r="A11" s="20">
        <v>7</v>
      </c>
      <c r="B11" s="172" t="s">
        <v>6</v>
      </c>
      <c r="C11" s="173"/>
      <c r="D11" s="15">
        <f t="shared" si="0"/>
        <v>64117</v>
      </c>
      <c r="E11" s="18">
        <f t="shared" si="1"/>
        <v>554036.61844364635</v>
      </c>
      <c r="F11" s="22">
        <f t="shared" si="2"/>
        <v>8.64</v>
      </c>
    </row>
    <row r="12" spans="1:6" x14ac:dyDescent="0.2">
      <c r="A12" s="20">
        <v>8</v>
      </c>
      <c r="B12" s="172" t="s">
        <v>7</v>
      </c>
      <c r="C12" s="173"/>
      <c r="D12" s="15">
        <f t="shared" si="0"/>
        <v>34872</v>
      </c>
      <c r="E12" s="18">
        <f t="shared" si="1"/>
        <v>173260.72494606476</v>
      </c>
      <c r="F12" s="22">
        <f t="shared" si="2"/>
        <v>4.97</v>
      </c>
    </row>
    <row r="13" spans="1:6" x14ac:dyDescent="0.2">
      <c r="A13" s="20">
        <v>9</v>
      </c>
      <c r="B13" s="172" t="s">
        <v>8</v>
      </c>
      <c r="C13" s="173"/>
      <c r="D13" s="15">
        <f t="shared" si="0"/>
        <v>206898</v>
      </c>
      <c r="E13" s="18">
        <f t="shared" si="1"/>
        <v>1143819.3691182297</v>
      </c>
      <c r="F13" s="22">
        <f t="shared" si="2"/>
        <v>5.53</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184098</v>
      </c>
      <c r="E15" s="18">
        <f t="shared" si="1"/>
        <v>766206.75955266785</v>
      </c>
      <c r="F15" s="22">
        <f t="shared" si="2"/>
        <v>4.16</v>
      </c>
    </row>
    <row r="16" spans="1:6" ht="14.25" customHeight="1" x14ac:dyDescent="0.2">
      <c r="A16" s="20">
        <v>12</v>
      </c>
      <c r="B16" s="172" t="s">
        <v>11</v>
      </c>
      <c r="C16" s="173"/>
      <c r="D16" s="15">
        <f t="shared" si="0"/>
        <v>260544</v>
      </c>
      <c r="E16" s="18">
        <f t="shared" si="1"/>
        <v>1371690.708888148</v>
      </c>
      <c r="F16" s="22">
        <f t="shared" si="2"/>
        <v>5.26</v>
      </c>
    </row>
    <row r="17" spans="1:6" x14ac:dyDescent="0.2">
      <c r="A17" s="20">
        <v>13</v>
      </c>
      <c r="B17" s="172" t="s">
        <v>12</v>
      </c>
      <c r="C17" s="173"/>
      <c r="D17" s="15">
        <f t="shared" si="0"/>
        <v>24176</v>
      </c>
      <c r="E17" s="18">
        <f t="shared" si="1"/>
        <v>143320.86459899237</v>
      </c>
      <c r="F17" s="22">
        <f t="shared" si="2"/>
        <v>5.93</v>
      </c>
    </row>
    <row r="18" spans="1:6" ht="14.25" customHeight="1" x14ac:dyDescent="0.2">
      <c r="A18" s="20">
        <v>14</v>
      </c>
      <c r="B18" s="172" t="s">
        <v>469</v>
      </c>
      <c r="C18" s="173"/>
      <c r="D18" s="15">
        <f t="shared" si="0"/>
        <v>132226</v>
      </c>
      <c r="E18" s="18">
        <f t="shared" si="1"/>
        <v>1357703.3081761403</v>
      </c>
      <c r="F18" s="22">
        <f t="shared" si="2"/>
        <v>10.27</v>
      </c>
    </row>
    <row r="19" spans="1:6" x14ac:dyDescent="0.2">
      <c r="A19" s="20">
        <v>15</v>
      </c>
      <c r="B19" s="172" t="s">
        <v>13</v>
      </c>
      <c r="C19" s="173"/>
      <c r="D19" s="15">
        <f t="shared" si="0"/>
        <v>980</v>
      </c>
      <c r="E19" s="18">
        <f t="shared" si="1"/>
        <v>3755.9112883443299</v>
      </c>
      <c r="F19" s="22">
        <f t="shared" si="2"/>
        <v>3.83</v>
      </c>
    </row>
    <row r="20" spans="1:6" x14ac:dyDescent="0.2">
      <c r="A20" s="20">
        <v>16</v>
      </c>
      <c r="B20" s="172" t="s">
        <v>14</v>
      </c>
      <c r="C20" s="173"/>
      <c r="D20" s="15">
        <f t="shared" si="0"/>
        <v>61004</v>
      </c>
      <c r="E20" s="18">
        <f t="shared" si="1"/>
        <v>284813.83289199747</v>
      </c>
      <c r="F20" s="22">
        <f t="shared" si="2"/>
        <v>4.67</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155044</v>
      </c>
      <c r="E22" s="18">
        <f t="shared" si="1"/>
        <v>939394.52427556971</v>
      </c>
      <c r="F22" s="22">
        <f t="shared" si="2"/>
        <v>6.06</v>
      </c>
    </row>
    <row r="23" spans="1:6" x14ac:dyDescent="0.2">
      <c r="A23" s="20">
        <v>19</v>
      </c>
      <c r="B23" s="172" t="s">
        <v>17</v>
      </c>
      <c r="C23" s="173"/>
      <c r="D23" s="15">
        <f t="shared" si="0"/>
        <v>211184</v>
      </c>
      <c r="E23" s="18">
        <f t="shared" si="1"/>
        <v>1105488.0137935807</v>
      </c>
      <c r="F23" s="22">
        <f t="shared" si="2"/>
        <v>5.23</v>
      </c>
    </row>
    <row r="24" spans="1:6" x14ac:dyDescent="0.2">
      <c r="A24" s="20">
        <v>20</v>
      </c>
      <c r="B24" s="172" t="s">
        <v>18</v>
      </c>
      <c r="C24" s="173"/>
      <c r="D24" s="15">
        <f t="shared" si="0"/>
        <v>106864</v>
      </c>
      <c r="E24" s="18">
        <f t="shared" si="1"/>
        <v>614212.70195676375</v>
      </c>
      <c r="F24" s="22">
        <f t="shared" si="2"/>
        <v>5.75</v>
      </c>
    </row>
    <row r="25" spans="1:6" ht="14.25" customHeight="1" x14ac:dyDescent="0.2">
      <c r="A25" s="20">
        <v>21</v>
      </c>
      <c r="B25" s="172" t="s">
        <v>466</v>
      </c>
      <c r="C25" s="173"/>
      <c r="D25" s="15">
        <f t="shared" si="0"/>
        <v>20316</v>
      </c>
      <c r="E25" s="18">
        <f t="shared" si="1"/>
        <v>88877.907891840208</v>
      </c>
      <c r="F25" s="22">
        <f t="shared" si="2"/>
        <v>4.37</v>
      </c>
    </row>
    <row r="26" spans="1:6" x14ac:dyDescent="0.2">
      <c r="A26" s="20">
        <v>22</v>
      </c>
      <c r="B26" s="172" t="s">
        <v>19</v>
      </c>
      <c r="C26" s="173"/>
      <c r="D26" s="15">
        <f t="shared" si="0"/>
        <v>13116</v>
      </c>
      <c r="E26" s="18">
        <f t="shared" si="1"/>
        <v>60897.29434482065</v>
      </c>
      <c r="F26" s="22">
        <f t="shared" si="2"/>
        <v>4.6399999999999997</v>
      </c>
    </row>
    <row r="27" spans="1:6" x14ac:dyDescent="0.2">
      <c r="A27" s="20">
        <v>23</v>
      </c>
      <c r="B27" s="172" t="s">
        <v>20</v>
      </c>
      <c r="C27" s="173"/>
      <c r="D27" s="15">
        <f t="shared" si="0"/>
        <v>21168</v>
      </c>
      <c r="E27" s="18">
        <f t="shared" si="1"/>
        <v>65163.283828237531</v>
      </c>
      <c r="F27" s="22">
        <f t="shared" si="2"/>
        <v>3.08</v>
      </c>
    </row>
    <row r="28" spans="1:6" x14ac:dyDescent="0.2">
      <c r="A28" s="20">
        <v>24</v>
      </c>
      <c r="B28" s="172" t="s">
        <v>21</v>
      </c>
      <c r="C28" s="173"/>
      <c r="D28" s="15">
        <f t="shared" si="0"/>
        <v>25152</v>
      </c>
      <c r="E28" s="18">
        <f t="shared" si="1"/>
        <v>147028.19665758836</v>
      </c>
      <c r="F28" s="22">
        <f t="shared" si="2"/>
        <v>5.85</v>
      </c>
    </row>
    <row r="29" spans="1:6" x14ac:dyDescent="0.2">
      <c r="A29" s="20">
        <v>25</v>
      </c>
      <c r="B29" s="172" t="s">
        <v>22</v>
      </c>
      <c r="C29" s="173"/>
      <c r="D29" s="15">
        <f t="shared" si="0"/>
        <v>293536</v>
      </c>
      <c r="E29" s="18">
        <f t="shared" si="1"/>
        <v>1526682.1958524911</v>
      </c>
      <c r="F29" s="22">
        <f t="shared" si="2"/>
        <v>5.2</v>
      </c>
    </row>
    <row r="30" spans="1:6" x14ac:dyDescent="0.2">
      <c r="A30" s="20">
        <v>26</v>
      </c>
      <c r="B30" s="172" t="s">
        <v>23</v>
      </c>
      <c r="C30" s="173"/>
      <c r="D30" s="15">
        <f t="shared" si="0"/>
        <v>93136</v>
      </c>
      <c r="E30" s="18">
        <f t="shared" si="1"/>
        <v>508798.78546044644</v>
      </c>
      <c r="F30" s="22">
        <f t="shared" si="2"/>
        <v>5.46</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2543792</v>
      </c>
      <c r="E33" s="32">
        <f>SUM(E5:E32)</f>
        <v>14839812</v>
      </c>
      <c r="F33" s="33">
        <f t="shared" si="2"/>
        <v>5.83</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IF(F3="1",SUMIF(Data!A:A,'42'!$A$2,Data!CU:CU),0)</f>
        <v>22171</v>
      </c>
      <c r="E36" s="16">
        <f>IF(F3="1",SUMIF(Data!$A:$A,'42'!$A$2,Data!IO:IO),0)</f>
        <v>48204</v>
      </c>
      <c r="F36" s="21">
        <f>IF(D36=0,"",ROUND(E36/D36,2))</f>
        <v>2.17</v>
      </c>
    </row>
    <row r="37" spans="1:6" x14ac:dyDescent="0.2">
      <c r="A37" s="20">
        <v>2</v>
      </c>
      <c r="B37" s="172" t="s">
        <v>1</v>
      </c>
      <c r="C37" s="173"/>
      <c r="D37" s="15">
        <f>IF(F3="1",SUMIF(Data!A:A,'42'!$A$2,Data!CV:CV),0)</f>
        <v>117147</v>
      </c>
      <c r="E37" s="18">
        <f>IF(F3="1",SUMIF(Data!$A:$A,'42'!$A$2,Data!IP:IP),0)</f>
        <v>96194</v>
      </c>
      <c r="F37" s="22">
        <f t="shared" ref="F37:F64" si="3">IF(D37=0,"",ROUND(E37/D37,2))</f>
        <v>0.82</v>
      </c>
    </row>
    <row r="38" spans="1:6" ht="14.25" customHeight="1" x14ac:dyDescent="0.2">
      <c r="A38" s="20">
        <v>3</v>
      </c>
      <c r="B38" s="172" t="s">
        <v>2</v>
      </c>
      <c r="C38" s="173"/>
      <c r="D38" s="15">
        <f>IF(F3="1",SUMIF(Data!A:A,'42'!$A$2,Data!CW:CW),0)</f>
        <v>263576</v>
      </c>
      <c r="E38" s="18">
        <f>IF(F3="1",SUMIF(Data!$A:$A,'42'!$A$2,Data!IQ:IQ),0)</f>
        <v>161719</v>
      </c>
      <c r="F38" s="22">
        <f t="shared" si="3"/>
        <v>0.61</v>
      </c>
    </row>
    <row r="39" spans="1:6" ht="14.25" customHeight="1" x14ac:dyDescent="0.2">
      <c r="A39" s="20">
        <v>4</v>
      </c>
      <c r="B39" s="172" t="s">
        <v>3</v>
      </c>
      <c r="C39" s="173"/>
      <c r="D39" s="15">
        <f>IF(F3="1",SUMIF(Data!A:A,'42'!$A$2,Data!CX:CX),0)</f>
        <v>222667</v>
      </c>
      <c r="E39" s="18">
        <f>IF(F3="1",SUMIF(Data!$A:$A,'42'!$A$2,Data!IR:IR),0)</f>
        <v>134431</v>
      </c>
      <c r="F39" s="22">
        <f t="shared" si="3"/>
        <v>0.6</v>
      </c>
    </row>
    <row r="40" spans="1:6" x14ac:dyDescent="0.2">
      <c r="A40" s="20">
        <v>5</v>
      </c>
      <c r="B40" s="172" t="s">
        <v>4</v>
      </c>
      <c r="C40" s="173"/>
      <c r="D40" s="15">
        <f>IF(F3="1",SUMIF(Data!A:A,'42'!$A$2,Data!CY:CY),0)</f>
        <v>0</v>
      </c>
      <c r="E40" s="18">
        <f>IF(F3="1",SUMIF(Data!$A:$A,'42'!$A$2,Data!IS:IS),0)</f>
        <v>0</v>
      </c>
      <c r="F40" s="22" t="str">
        <f t="shared" si="3"/>
        <v/>
      </c>
    </row>
    <row r="41" spans="1:6" x14ac:dyDescent="0.2">
      <c r="A41" s="20">
        <v>6</v>
      </c>
      <c r="B41" s="172" t="s">
        <v>5</v>
      </c>
      <c r="C41" s="173"/>
      <c r="D41" s="15">
        <f>IF(F3="1",SUMIF(Data!A:A,'42'!$A$2,Data!CZ:CZ),0)</f>
        <v>9800</v>
      </c>
      <c r="E41" s="18">
        <f>IF(F3="1",SUMIF(Data!$A:$A,'42'!$A$2,Data!IT:IT),0)</f>
        <v>11931</v>
      </c>
      <c r="F41" s="22">
        <f t="shared" si="3"/>
        <v>1.22</v>
      </c>
    </row>
    <row r="42" spans="1:6" x14ac:dyDescent="0.2">
      <c r="A42" s="20">
        <v>7</v>
      </c>
      <c r="B42" s="172" t="s">
        <v>6</v>
      </c>
      <c r="C42" s="173"/>
      <c r="D42" s="15">
        <f>IF(F3="1",SUMIF(Data!A:A,'42'!$A$2,Data!DA:DA),0)</f>
        <v>64117</v>
      </c>
      <c r="E42" s="18">
        <f>IF(F3="1",SUMIF(Data!$A:$A,'42'!$A$2,Data!IU:IU),0)</f>
        <v>58952</v>
      </c>
      <c r="F42" s="22">
        <f t="shared" si="3"/>
        <v>0.92</v>
      </c>
    </row>
    <row r="43" spans="1:6" x14ac:dyDescent="0.2">
      <c r="A43" s="20">
        <v>8</v>
      </c>
      <c r="B43" s="172" t="s">
        <v>7</v>
      </c>
      <c r="C43" s="173"/>
      <c r="D43" s="15">
        <f>IF(F3="1",SUMIF(Data!A:A,'42'!$A$2,Data!DB:DB),0)</f>
        <v>34872</v>
      </c>
      <c r="E43" s="18">
        <f>IF(F3="1",SUMIF(Data!$A:$A,'42'!$A$2,Data!IV:IV),0)</f>
        <v>39271</v>
      </c>
      <c r="F43" s="22">
        <f t="shared" si="3"/>
        <v>1.1299999999999999</v>
      </c>
    </row>
    <row r="44" spans="1:6" x14ac:dyDescent="0.2">
      <c r="A44" s="20">
        <v>9</v>
      </c>
      <c r="B44" s="172" t="s">
        <v>8</v>
      </c>
      <c r="C44" s="173"/>
      <c r="D44" s="15">
        <f>IF(F3="1",SUMIF(Data!A:A,'42'!$A$2,Data!DC:DC),0)</f>
        <v>206898</v>
      </c>
      <c r="E44" s="18">
        <f>IF(F3="1",SUMIF(Data!$A:$A,'42'!$A$2,Data!IW:IW),0)</f>
        <v>328348</v>
      </c>
      <c r="F44" s="22">
        <f t="shared" si="3"/>
        <v>1.59</v>
      </c>
    </row>
    <row r="45" spans="1:6" x14ac:dyDescent="0.2">
      <c r="A45" s="20">
        <v>10</v>
      </c>
      <c r="B45" s="172" t="s">
        <v>9</v>
      </c>
      <c r="C45" s="173"/>
      <c r="D45" s="15">
        <f>IF(F3="1",SUMIF(Data!A:A,'42'!$A$2,Data!DD:DD),0)</f>
        <v>0</v>
      </c>
      <c r="E45" s="18">
        <f>IF(F3="1",SUMIF(Data!$A:$A,'42'!$A$2,Data!IX:IX),0)</f>
        <v>0</v>
      </c>
      <c r="F45" s="22" t="str">
        <f t="shared" si="3"/>
        <v/>
      </c>
    </row>
    <row r="46" spans="1:6" x14ac:dyDescent="0.2">
      <c r="A46" s="20">
        <v>11</v>
      </c>
      <c r="B46" s="172" t="s">
        <v>10</v>
      </c>
      <c r="C46" s="173"/>
      <c r="D46" s="15">
        <f>IF(F3="1",SUMIF(Data!A:A,'42'!$A$2,Data!DE:DE),0)</f>
        <v>184098</v>
      </c>
      <c r="E46" s="18">
        <f>IF(F3="1",SUMIF(Data!$A:$A,'42'!$A$2,Data!IY:IY),0)</f>
        <v>66830</v>
      </c>
      <c r="F46" s="22">
        <f t="shared" si="3"/>
        <v>0.36</v>
      </c>
    </row>
    <row r="47" spans="1:6" ht="14.25" customHeight="1" x14ac:dyDescent="0.2">
      <c r="A47" s="20">
        <v>12</v>
      </c>
      <c r="B47" s="172" t="s">
        <v>11</v>
      </c>
      <c r="C47" s="173"/>
      <c r="D47" s="15">
        <f>IF(F3="1",SUMIF(Data!A:A,'42'!$A$2,Data!DF:DF),0)</f>
        <v>260544</v>
      </c>
      <c r="E47" s="18">
        <f>IF(F3="1",SUMIF(Data!$A:$A,'42'!$A$2,Data!IZ:IZ),0)</f>
        <v>118820</v>
      </c>
      <c r="F47" s="22">
        <f t="shared" si="3"/>
        <v>0.46</v>
      </c>
    </row>
    <row r="48" spans="1:6" x14ac:dyDescent="0.2">
      <c r="A48" s="20">
        <v>13</v>
      </c>
      <c r="B48" s="172" t="s">
        <v>12</v>
      </c>
      <c r="C48" s="173"/>
      <c r="D48" s="15">
        <f>IF(F3="1",SUMIF(Data!A:A,'42'!$A$2,Data!DG:DG),0)</f>
        <v>24176</v>
      </c>
      <c r="E48" s="18">
        <f>IF(F3="1",SUMIF(Data!$A:$A,'42'!$A$2,Data!JA:JA),0)</f>
        <v>8614</v>
      </c>
      <c r="F48" s="22">
        <f t="shared" si="3"/>
        <v>0.36</v>
      </c>
    </row>
    <row r="49" spans="1:6" ht="14.25" customHeight="1" x14ac:dyDescent="0.2">
      <c r="A49" s="20">
        <v>14</v>
      </c>
      <c r="B49" s="172" t="s">
        <v>469</v>
      </c>
      <c r="C49" s="173"/>
      <c r="D49" s="15">
        <f>IF(F3="1",SUMIF(Data!A:A,'42'!$A$2,Data!DH:DH),0)</f>
        <v>132226</v>
      </c>
      <c r="E49" s="18">
        <f>IF(F3="1",SUMIF(Data!$A:$A,'42'!$A$2,Data!JB:JB),0)</f>
        <v>122024</v>
      </c>
      <c r="F49" s="22">
        <f t="shared" si="3"/>
        <v>0.92</v>
      </c>
    </row>
    <row r="50" spans="1:6" x14ac:dyDescent="0.2">
      <c r="A50" s="20">
        <v>15</v>
      </c>
      <c r="B50" s="172" t="s">
        <v>13</v>
      </c>
      <c r="C50" s="173"/>
      <c r="D50" s="15">
        <f>IF(F3="1",SUMIF(Data!A:A,'42'!$A$2,Data!DI:DI),0)</f>
        <v>980</v>
      </c>
      <c r="E50" s="18">
        <f>IF(F3="1",SUMIF(Data!$A:$A,'42'!$A$2,Data!JC:JC),0)</f>
        <v>1654</v>
      </c>
      <c r="F50" s="22">
        <f t="shared" si="3"/>
        <v>1.69</v>
      </c>
    </row>
    <row r="51" spans="1:6" x14ac:dyDescent="0.2">
      <c r="A51" s="20">
        <v>16</v>
      </c>
      <c r="B51" s="172" t="s">
        <v>14</v>
      </c>
      <c r="C51" s="173"/>
      <c r="D51" s="15">
        <f>IF(F3="1",SUMIF(Data!A:A,'42'!$A$2,Data!DJ:DJ),0)</f>
        <v>61004</v>
      </c>
      <c r="E51" s="18">
        <f>IF(F3="1",SUMIF(Data!$A:$A,'42'!$A$2,Data!JD:JD),0)</f>
        <v>20444</v>
      </c>
      <c r="F51" s="22">
        <f t="shared" si="3"/>
        <v>0.34</v>
      </c>
    </row>
    <row r="52" spans="1:6" x14ac:dyDescent="0.2">
      <c r="A52" s="20">
        <v>17</v>
      </c>
      <c r="B52" s="172" t="s">
        <v>15</v>
      </c>
      <c r="C52" s="173"/>
      <c r="D52" s="15">
        <f>IF(F3="1",SUMIF(Data!A:A,'42'!$A$2,Data!DK:DK),0)</f>
        <v>0</v>
      </c>
      <c r="E52" s="18">
        <f>IF(F3="1",SUMIF(Data!$A:$A,'42'!$A$2,Data!JE:JE),0)</f>
        <v>0</v>
      </c>
      <c r="F52" s="22" t="str">
        <f t="shared" si="3"/>
        <v/>
      </c>
    </row>
    <row r="53" spans="1:6" x14ac:dyDescent="0.2">
      <c r="A53" s="20">
        <v>18</v>
      </c>
      <c r="B53" s="172" t="s">
        <v>16</v>
      </c>
      <c r="C53" s="173"/>
      <c r="D53" s="15">
        <f>IF(F3="1",SUMIF(Data!A:A,'42'!$A$2,Data!DL:DL),0)</f>
        <v>155044</v>
      </c>
      <c r="E53" s="18">
        <f>IF(F3="1",SUMIF(Data!$A:$A,'42'!$A$2,Data!JF:JF),0)</f>
        <v>157461</v>
      </c>
      <c r="F53" s="22">
        <f t="shared" si="3"/>
        <v>1.02</v>
      </c>
    </row>
    <row r="54" spans="1:6" x14ac:dyDescent="0.2">
      <c r="A54" s="20">
        <v>19</v>
      </c>
      <c r="B54" s="172" t="s">
        <v>17</v>
      </c>
      <c r="C54" s="173"/>
      <c r="D54" s="15">
        <f>IF(F3="1",SUMIF(Data!A:A,'42'!$A$2,Data!DM:DM),0)</f>
        <v>211184</v>
      </c>
      <c r="E54" s="18">
        <f>IF(F3="1",SUMIF(Data!$A:$A,'42'!$A$2,Data!JG:JG),0)</f>
        <v>96671</v>
      </c>
      <c r="F54" s="22">
        <f t="shared" si="3"/>
        <v>0.46</v>
      </c>
    </row>
    <row r="55" spans="1:6" x14ac:dyDescent="0.2">
      <c r="A55" s="20">
        <v>20</v>
      </c>
      <c r="B55" s="172" t="s">
        <v>18</v>
      </c>
      <c r="C55" s="173"/>
      <c r="D55" s="15">
        <f>IF(F3="1",SUMIF(Data!A:A,'42'!$A$2,Data!DN:DN),0)</f>
        <v>106864</v>
      </c>
      <c r="E55" s="18">
        <f>IF(F3="1",SUMIF(Data!$A:$A,'42'!$A$2,Data!JH:JH),0)</f>
        <v>118641</v>
      </c>
      <c r="F55" s="22">
        <f t="shared" si="3"/>
        <v>1.1100000000000001</v>
      </c>
    </row>
    <row r="56" spans="1:6" ht="14.25" customHeight="1" x14ac:dyDescent="0.2">
      <c r="A56" s="20">
        <v>21</v>
      </c>
      <c r="B56" s="172" t="s">
        <v>466</v>
      </c>
      <c r="C56" s="173"/>
      <c r="D56" s="15">
        <f>IF(F3="1",SUMIF(Data!A:A,'42'!$A$2,Data!DO:DO),0)</f>
        <v>20316</v>
      </c>
      <c r="E56" s="18">
        <f>IF(F3="1",SUMIF(Data!$A:$A,'42'!$A$2,Data!JI:JI),0)</f>
        <v>11704</v>
      </c>
      <c r="F56" s="22">
        <f t="shared" si="3"/>
        <v>0.57999999999999996</v>
      </c>
    </row>
    <row r="57" spans="1:6" x14ac:dyDescent="0.2">
      <c r="A57" s="20">
        <v>22</v>
      </c>
      <c r="B57" s="172" t="s">
        <v>19</v>
      </c>
      <c r="C57" s="173"/>
      <c r="D57" s="15">
        <f>IF(F3="1",SUMIF(Data!A:A,'42'!$A$2,Data!DP:DP),0)</f>
        <v>13116</v>
      </c>
      <c r="E57" s="18">
        <f>IF(F3="1",SUMIF(Data!$A:$A,'42'!$A$2,Data!JJ:JJ),0)</f>
        <v>10964</v>
      </c>
      <c r="F57" s="22">
        <f t="shared" si="3"/>
        <v>0.84</v>
      </c>
    </row>
    <row r="58" spans="1:6" x14ac:dyDescent="0.2">
      <c r="A58" s="20">
        <v>23</v>
      </c>
      <c r="B58" s="172" t="s">
        <v>20</v>
      </c>
      <c r="C58" s="173"/>
      <c r="D58" s="15">
        <f>IF(F3="1",SUMIF(Data!A:A,'42'!$A$2,Data!DQ:DQ),0)</f>
        <v>21168</v>
      </c>
      <c r="E58" s="18">
        <f>IF(F3="1",SUMIF(Data!$A:$A,'42'!$A$2,Data!JK:JK),0)</f>
        <v>5542</v>
      </c>
      <c r="F58" s="22">
        <f t="shared" si="3"/>
        <v>0.26</v>
      </c>
    </row>
    <row r="59" spans="1:6" x14ac:dyDescent="0.2">
      <c r="A59" s="20">
        <v>24</v>
      </c>
      <c r="B59" s="172" t="s">
        <v>21</v>
      </c>
      <c r="C59" s="173"/>
      <c r="D59" s="15">
        <f>IF(F3="1",SUMIF(Data!A:A,'42'!$A$2,Data!DR:DR),0)</f>
        <v>25152</v>
      </c>
      <c r="E59" s="18">
        <f>IF(F3="1",SUMIF(Data!$A:$A,'42'!$A$2,Data!JL:JL),0)</f>
        <v>31094</v>
      </c>
      <c r="F59" s="22">
        <f t="shared" si="3"/>
        <v>1.24</v>
      </c>
    </row>
    <row r="60" spans="1:6" x14ac:dyDescent="0.2">
      <c r="A60" s="20">
        <v>25</v>
      </c>
      <c r="B60" s="172" t="s">
        <v>22</v>
      </c>
      <c r="C60" s="173"/>
      <c r="D60" s="15">
        <f>IF(F3="1",SUMIF(Data!A:A,'42'!$A$2,Data!DS:DS),0)</f>
        <v>293536</v>
      </c>
      <c r="E60" s="18">
        <f>IF(F3="1",SUMIF(Data!$A:$A,'42'!$A$2,Data!JM:JM),0)</f>
        <v>134771</v>
      </c>
      <c r="F60" s="22">
        <f t="shared" si="3"/>
        <v>0.46</v>
      </c>
    </row>
    <row r="61" spans="1:6" x14ac:dyDescent="0.2">
      <c r="A61" s="20">
        <v>26</v>
      </c>
      <c r="B61" s="172" t="s">
        <v>23</v>
      </c>
      <c r="C61" s="173"/>
      <c r="D61" s="15">
        <f>IF(F3="1",SUMIF(Data!A:A,'42'!$A$2,Data!DT:DT),0)</f>
        <v>93136</v>
      </c>
      <c r="E61" s="18">
        <f>IF(F3="1",SUMIF(Data!$A:$A,'42'!$A$2,Data!JN:JN),0)</f>
        <v>59679</v>
      </c>
      <c r="F61" s="22">
        <f t="shared" si="3"/>
        <v>0.64</v>
      </c>
    </row>
    <row r="62" spans="1:6" x14ac:dyDescent="0.2">
      <c r="A62" s="20">
        <v>28</v>
      </c>
      <c r="B62" s="172" t="s">
        <v>24</v>
      </c>
      <c r="C62" s="173"/>
      <c r="D62" s="15">
        <f>IF(F3="1",SUMIF(Data!A:A,'42'!$A$2,Data!DV:DV),0)</f>
        <v>0</v>
      </c>
      <c r="E62" s="18">
        <f>IF(F3="1",SUMIF(Data!$A:$A,'42'!$A$2,Data!JP:JP),0)</f>
        <v>0</v>
      </c>
      <c r="F62" s="22" t="str">
        <f t="shared" si="3"/>
        <v/>
      </c>
    </row>
    <row r="63" spans="1:6" ht="15.75" customHeight="1" thickBot="1" x14ac:dyDescent="0.25">
      <c r="A63" s="23">
        <v>29</v>
      </c>
      <c r="B63" s="174" t="s">
        <v>25</v>
      </c>
      <c r="C63" s="175"/>
      <c r="D63" s="24">
        <f>IF(F3="1",SUMIF(Data!A:A,'42'!$A$2,Data!DW:DW),0)</f>
        <v>0</v>
      </c>
      <c r="E63" s="25">
        <f>IF(F3="1",SUMIF(Data!$A:$A,'42'!$A$2,Data!JQ:JQ),0)</f>
        <v>0</v>
      </c>
      <c r="F63" s="26" t="str">
        <f t="shared" si="3"/>
        <v/>
      </c>
    </row>
    <row r="64" spans="1:6" x14ac:dyDescent="0.2">
      <c r="B64" s="31" t="s">
        <v>35</v>
      </c>
      <c r="C64" s="31"/>
      <c r="D64" s="61">
        <f>SUM(D36:D63)</f>
        <v>2543792</v>
      </c>
      <c r="E64" s="32">
        <f>SUM(E36:E63)</f>
        <v>1843963</v>
      </c>
      <c r="F64" s="33">
        <f t="shared" si="3"/>
        <v>0.72</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22171</v>
      </c>
      <c r="E67" s="16">
        <f>IF(F3="1",SUMIF(Data!A:A,'42'!$A$2,Data!DY:DY),0)</f>
        <v>98888</v>
      </c>
      <c r="F67" s="21">
        <f t="shared" ref="F67:F95" si="4">IF(D67=0,"",ROUND(E67/D67,2))</f>
        <v>4.46</v>
      </c>
    </row>
    <row r="68" spans="1:6" x14ac:dyDescent="0.2">
      <c r="A68" s="20">
        <v>2</v>
      </c>
      <c r="B68" s="172" t="s">
        <v>1</v>
      </c>
      <c r="C68" s="173"/>
      <c r="D68" s="15">
        <f t="shared" ref="D68:D94" si="5">D37</f>
        <v>117147</v>
      </c>
      <c r="E68" s="18">
        <f>IF(F3="1",SUMIF(Data!A:A,'42'!$A$2,Data!DZ:DZ),0)</f>
        <v>375829</v>
      </c>
      <c r="F68" s="22">
        <f t="shared" si="4"/>
        <v>3.21</v>
      </c>
    </row>
    <row r="69" spans="1:6" ht="14.25" customHeight="1" x14ac:dyDescent="0.2">
      <c r="A69" s="20">
        <v>3</v>
      </c>
      <c r="B69" s="172" t="s">
        <v>2</v>
      </c>
      <c r="C69" s="173"/>
      <c r="D69" s="15">
        <f t="shared" si="5"/>
        <v>263576</v>
      </c>
      <c r="E69" s="18">
        <f>IF(F3="1",SUMIF(Data!A:A,'42'!$A$2,Data!EA:EA),0)</f>
        <v>841287</v>
      </c>
      <c r="F69" s="22">
        <f t="shared" si="4"/>
        <v>3.19</v>
      </c>
    </row>
    <row r="70" spans="1:6" ht="14.25" customHeight="1" x14ac:dyDescent="0.2">
      <c r="A70" s="20">
        <v>4</v>
      </c>
      <c r="B70" s="172" t="s">
        <v>3</v>
      </c>
      <c r="C70" s="173"/>
      <c r="D70" s="15">
        <f t="shared" si="5"/>
        <v>222667</v>
      </c>
      <c r="E70" s="18">
        <f>IF(F3="1",SUMIF(Data!A:A,'42'!$A$2,Data!EB:EB),0)</f>
        <v>818022</v>
      </c>
      <c r="F70" s="22">
        <f t="shared" si="4"/>
        <v>3.67</v>
      </c>
    </row>
    <row r="71" spans="1:6" x14ac:dyDescent="0.2">
      <c r="A71" s="20">
        <v>5</v>
      </c>
      <c r="B71" s="172" t="s">
        <v>4</v>
      </c>
      <c r="C71" s="173"/>
      <c r="D71" s="15">
        <f t="shared" si="5"/>
        <v>0</v>
      </c>
      <c r="E71" s="18">
        <f>IF(F3="1",SUMIF(Data!A:A,'42'!$A$2,Data!EC:EC),0)</f>
        <v>0</v>
      </c>
      <c r="F71" s="22" t="str">
        <f t="shared" si="4"/>
        <v/>
      </c>
    </row>
    <row r="72" spans="1:6" x14ac:dyDescent="0.2">
      <c r="A72" s="20">
        <v>6</v>
      </c>
      <c r="B72" s="172" t="s">
        <v>5</v>
      </c>
      <c r="C72" s="173"/>
      <c r="D72" s="15">
        <f t="shared" si="5"/>
        <v>9800</v>
      </c>
      <c r="E72" s="18">
        <f>IF(F3="1",SUMIF(Data!A:A,'42'!$A$2,Data!ED:ED),0)</f>
        <v>35429</v>
      </c>
      <c r="F72" s="22">
        <f t="shared" si="4"/>
        <v>3.62</v>
      </c>
    </row>
    <row r="73" spans="1:6" x14ac:dyDescent="0.2">
      <c r="A73" s="20">
        <v>7</v>
      </c>
      <c r="B73" s="172" t="s">
        <v>6</v>
      </c>
      <c r="C73" s="173"/>
      <c r="D73" s="15">
        <f t="shared" si="5"/>
        <v>64117</v>
      </c>
      <c r="E73" s="18">
        <f>IF(F3="1",SUMIF(Data!A:A,'42'!$A$2,Data!EE:EE),0)</f>
        <v>357566</v>
      </c>
      <c r="F73" s="22">
        <f t="shared" si="4"/>
        <v>5.58</v>
      </c>
    </row>
    <row r="74" spans="1:6" x14ac:dyDescent="0.2">
      <c r="A74" s="20">
        <v>8</v>
      </c>
      <c r="B74" s="172" t="s">
        <v>7</v>
      </c>
      <c r="C74" s="173"/>
      <c r="D74" s="15">
        <f t="shared" si="5"/>
        <v>34872</v>
      </c>
      <c r="E74" s="18">
        <f>IF(F3="1",SUMIF(Data!A:A,'42'!$A$2,Data!EF:EF),0)</f>
        <v>59196</v>
      </c>
      <c r="F74" s="22">
        <f t="shared" si="4"/>
        <v>1.7</v>
      </c>
    </row>
    <row r="75" spans="1:6" x14ac:dyDescent="0.2">
      <c r="A75" s="20">
        <v>9</v>
      </c>
      <c r="B75" s="172" t="s">
        <v>8</v>
      </c>
      <c r="C75" s="173"/>
      <c r="D75" s="15">
        <f t="shared" si="5"/>
        <v>206898</v>
      </c>
      <c r="E75" s="18">
        <f>IF(F3="1",SUMIF(Data!A:A,'42'!$A$2,Data!EG:EG),0)</f>
        <v>371715</v>
      </c>
      <c r="F75" s="22">
        <f t="shared" si="4"/>
        <v>1.8</v>
      </c>
    </row>
    <row r="76" spans="1:6" x14ac:dyDescent="0.2">
      <c r="A76" s="20">
        <v>10</v>
      </c>
      <c r="B76" s="172" t="s">
        <v>9</v>
      </c>
      <c r="C76" s="173"/>
      <c r="D76" s="15">
        <f t="shared" si="5"/>
        <v>0</v>
      </c>
      <c r="E76" s="18">
        <f>IF(F3="1",SUMIF(Data!A:A,'42'!$A$2,Data!EH:EH),0)</f>
        <v>0</v>
      </c>
      <c r="F76" s="22" t="str">
        <f t="shared" si="4"/>
        <v/>
      </c>
    </row>
    <row r="77" spans="1:6" x14ac:dyDescent="0.2">
      <c r="A77" s="20">
        <v>11</v>
      </c>
      <c r="B77" s="172" t="s">
        <v>10</v>
      </c>
      <c r="C77" s="173"/>
      <c r="D77" s="15">
        <f t="shared" si="5"/>
        <v>184098</v>
      </c>
      <c r="E77" s="18">
        <f>IF(F3="1",SUMIF(Data!A:A,'42'!$A$2,Data!EI:EI),0)</f>
        <v>304522</v>
      </c>
      <c r="F77" s="22">
        <f t="shared" si="4"/>
        <v>1.65</v>
      </c>
    </row>
    <row r="78" spans="1:6" ht="14.25" customHeight="1" x14ac:dyDescent="0.2">
      <c r="A78" s="20">
        <v>12</v>
      </c>
      <c r="B78" s="172" t="s">
        <v>11</v>
      </c>
      <c r="C78" s="173"/>
      <c r="D78" s="15">
        <f t="shared" si="5"/>
        <v>260544</v>
      </c>
      <c r="E78" s="18">
        <f>IF(F3="1",SUMIF(Data!A:A,'42'!$A$2,Data!EJ:EJ),0)</f>
        <v>694054</v>
      </c>
      <c r="F78" s="22">
        <f t="shared" si="4"/>
        <v>2.66</v>
      </c>
    </row>
    <row r="79" spans="1:6" x14ac:dyDescent="0.2">
      <c r="A79" s="20">
        <v>13</v>
      </c>
      <c r="B79" s="172" t="s">
        <v>12</v>
      </c>
      <c r="C79" s="173"/>
      <c r="D79" s="15">
        <f t="shared" si="5"/>
        <v>24176</v>
      </c>
      <c r="E79" s="18">
        <f>IF(F3="1",SUMIF(Data!A:A,'42'!$A$2,Data!EK:EK),0)</f>
        <v>82854</v>
      </c>
      <c r="F79" s="22">
        <f t="shared" si="4"/>
        <v>3.43</v>
      </c>
    </row>
    <row r="80" spans="1:6" ht="14.25" customHeight="1" x14ac:dyDescent="0.2">
      <c r="A80" s="20">
        <v>14</v>
      </c>
      <c r="B80" s="172" t="s">
        <v>469</v>
      </c>
      <c r="C80" s="173"/>
      <c r="D80" s="15">
        <f t="shared" si="5"/>
        <v>132226</v>
      </c>
      <c r="E80" s="18">
        <f>IF(F3="1",SUMIF(Data!A:A,'42'!$A$2,Data!EL:EL),0)</f>
        <v>952080</v>
      </c>
      <c r="F80" s="22">
        <f t="shared" si="4"/>
        <v>7.2</v>
      </c>
    </row>
    <row r="81" spans="1:6" x14ac:dyDescent="0.2">
      <c r="A81" s="20">
        <v>15</v>
      </c>
      <c r="B81" s="172" t="s">
        <v>13</v>
      </c>
      <c r="C81" s="173"/>
      <c r="D81" s="15">
        <f t="shared" si="5"/>
        <v>980</v>
      </c>
      <c r="E81" s="18">
        <f>IF(F3="1",SUMIF(Data!A:A,'42'!$A$2,Data!EM:EM),0)</f>
        <v>0</v>
      </c>
      <c r="F81" s="22">
        <f t="shared" si="4"/>
        <v>0</v>
      </c>
    </row>
    <row r="82" spans="1:6" x14ac:dyDescent="0.2">
      <c r="A82" s="20">
        <v>16</v>
      </c>
      <c r="B82" s="172" t="s">
        <v>14</v>
      </c>
      <c r="C82" s="173"/>
      <c r="D82" s="15">
        <f t="shared" si="5"/>
        <v>61004</v>
      </c>
      <c r="E82" s="18">
        <f>IF(F3="1",SUMIF(Data!A:A,'42'!$A$2,Data!EN:EN),0)</f>
        <v>133528</v>
      </c>
      <c r="F82" s="22">
        <f t="shared" si="4"/>
        <v>2.19</v>
      </c>
    </row>
    <row r="83" spans="1:6" x14ac:dyDescent="0.2">
      <c r="A83" s="20">
        <v>17</v>
      </c>
      <c r="B83" s="172" t="s">
        <v>15</v>
      </c>
      <c r="C83" s="173"/>
      <c r="D83" s="15">
        <f t="shared" si="5"/>
        <v>0</v>
      </c>
      <c r="E83" s="18">
        <f>IF(F3="1",SUMIF(Data!A:A,'42'!$A$2,Data!EO:EO),0)</f>
        <v>0</v>
      </c>
      <c r="F83" s="22" t="str">
        <f t="shared" si="4"/>
        <v/>
      </c>
    </row>
    <row r="84" spans="1:6" x14ac:dyDescent="0.2">
      <c r="A84" s="20">
        <v>18</v>
      </c>
      <c r="B84" s="172" t="s">
        <v>16</v>
      </c>
      <c r="C84" s="173"/>
      <c r="D84" s="15">
        <f t="shared" si="5"/>
        <v>155044</v>
      </c>
      <c r="E84" s="18">
        <f>IF(F3="1",SUMIF(Data!A:A,'42'!$A$2,Data!EP:EP),0)</f>
        <v>449394</v>
      </c>
      <c r="F84" s="22">
        <f t="shared" si="4"/>
        <v>2.9</v>
      </c>
    </row>
    <row r="85" spans="1:6" x14ac:dyDescent="0.2">
      <c r="A85" s="20">
        <v>19</v>
      </c>
      <c r="B85" s="172" t="s">
        <v>17</v>
      </c>
      <c r="C85" s="173"/>
      <c r="D85" s="15">
        <f t="shared" si="5"/>
        <v>211184</v>
      </c>
      <c r="E85" s="18">
        <f>IF(F3="1",SUMIF(Data!A:A,'42'!$A$2,Data!EQ:EQ),0)</f>
        <v>555868</v>
      </c>
      <c r="F85" s="22">
        <f t="shared" si="4"/>
        <v>2.63</v>
      </c>
    </row>
    <row r="86" spans="1:6" x14ac:dyDescent="0.2">
      <c r="A86" s="20">
        <v>20</v>
      </c>
      <c r="B86" s="172" t="s">
        <v>18</v>
      </c>
      <c r="C86" s="173"/>
      <c r="D86" s="15">
        <f t="shared" si="5"/>
        <v>106864</v>
      </c>
      <c r="E86" s="18">
        <f>IF(F3="1",SUMIF(Data!A:A,'42'!$A$2,Data!ER:ER),0)</f>
        <v>266369</v>
      </c>
      <c r="F86" s="22">
        <f t="shared" si="4"/>
        <v>2.4900000000000002</v>
      </c>
    </row>
    <row r="87" spans="1:6" ht="14.25" customHeight="1" x14ac:dyDescent="0.2">
      <c r="A87" s="20">
        <v>21</v>
      </c>
      <c r="B87" s="172" t="s">
        <v>466</v>
      </c>
      <c r="C87" s="173"/>
      <c r="D87" s="15">
        <f t="shared" si="5"/>
        <v>20316</v>
      </c>
      <c r="E87" s="18">
        <f>IF(F3="1",SUMIF(Data!A:A,'42'!$A$2,Data!ES:ES),0)</f>
        <v>33600</v>
      </c>
      <c r="F87" s="22">
        <f t="shared" si="4"/>
        <v>1.65</v>
      </c>
    </row>
    <row r="88" spans="1:6" x14ac:dyDescent="0.2">
      <c r="A88" s="20">
        <v>22</v>
      </c>
      <c r="B88" s="172" t="s">
        <v>19</v>
      </c>
      <c r="C88" s="173"/>
      <c r="D88" s="15">
        <f t="shared" si="5"/>
        <v>13116</v>
      </c>
      <c r="E88" s="18">
        <f>IF(F3="1",SUMIF(Data!A:A,'42'!$A$2,Data!ET:ET),0)</f>
        <v>21802</v>
      </c>
      <c r="F88" s="22">
        <f t="shared" si="4"/>
        <v>1.66</v>
      </c>
    </row>
    <row r="89" spans="1:6" x14ac:dyDescent="0.2">
      <c r="A89" s="20">
        <v>23</v>
      </c>
      <c r="B89" s="172" t="s">
        <v>20</v>
      </c>
      <c r="C89" s="173"/>
      <c r="D89" s="15">
        <f t="shared" si="5"/>
        <v>21168</v>
      </c>
      <c r="E89" s="18">
        <f>IF(F3="1",SUMIF(Data!A:A,'42'!$A$2,Data!EU:EU),0)</f>
        <v>14220</v>
      </c>
      <c r="F89" s="22">
        <f t="shared" si="4"/>
        <v>0.67</v>
      </c>
    </row>
    <row r="90" spans="1:6" x14ac:dyDescent="0.2">
      <c r="A90" s="20">
        <v>24</v>
      </c>
      <c r="B90" s="172" t="s">
        <v>21</v>
      </c>
      <c r="C90" s="173"/>
      <c r="D90" s="15">
        <f t="shared" si="5"/>
        <v>25152</v>
      </c>
      <c r="E90" s="18">
        <f>IF(F3="1",SUMIF(Data!A:A,'42'!$A$2,Data!EV:EV),0)</f>
        <v>61988</v>
      </c>
      <c r="F90" s="22">
        <f t="shared" si="4"/>
        <v>2.46</v>
      </c>
    </row>
    <row r="91" spans="1:6" x14ac:dyDescent="0.2">
      <c r="A91" s="20">
        <v>25</v>
      </c>
      <c r="B91" s="172" t="s">
        <v>22</v>
      </c>
      <c r="C91" s="173"/>
      <c r="D91" s="15">
        <f t="shared" si="5"/>
        <v>293536</v>
      </c>
      <c r="E91" s="18">
        <f>IF(F3="1",SUMIF(Data!A:A,'42'!$A$2,Data!EW:EW),0)</f>
        <v>762333</v>
      </c>
      <c r="F91" s="22">
        <f t="shared" si="4"/>
        <v>2.6</v>
      </c>
    </row>
    <row r="92" spans="1:6" x14ac:dyDescent="0.2">
      <c r="A92" s="20">
        <v>26</v>
      </c>
      <c r="B92" s="172" t="s">
        <v>23</v>
      </c>
      <c r="C92" s="173"/>
      <c r="D92" s="15">
        <f t="shared" si="5"/>
        <v>93136</v>
      </c>
      <c r="E92" s="18">
        <f>IF(F3="1",SUMIF(Data!A:A,'42'!$A$2,Data!EX:EX),0)</f>
        <v>249361</v>
      </c>
      <c r="F92" s="22">
        <f t="shared" si="4"/>
        <v>2.68</v>
      </c>
    </row>
    <row r="93" spans="1:6" x14ac:dyDescent="0.2">
      <c r="A93" s="20">
        <v>28</v>
      </c>
      <c r="B93" s="172" t="s">
        <v>24</v>
      </c>
      <c r="C93" s="173"/>
      <c r="D93" s="15">
        <f t="shared" si="5"/>
        <v>0</v>
      </c>
      <c r="E93" s="18">
        <f>IF(F3="1",SUMIF(Data!A:A,'42'!$A$2,Data!EZ:EZ),0)</f>
        <v>0</v>
      </c>
      <c r="F93" s="22" t="str">
        <f t="shared" si="4"/>
        <v/>
      </c>
    </row>
    <row r="94" spans="1:6" ht="15.75" customHeight="1" thickBot="1" x14ac:dyDescent="0.25">
      <c r="A94" s="23">
        <v>29</v>
      </c>
      <c r="B94" s="174" t="s">
        <v>25</v>
      </c>
      <c r="C94" s="175"/>
      <c r="D94" s="24">
        <f t="shared" si="5"/>
        <v>0</v>
      </c>
      <c r="E94" s="25">
        <f>IF(F3="1",SUMIF(Data!A:A,'42'!$A$2,Data!FA:FA),0)</f>
        <v>0</v>
      </c>
      <c r="F94" s="26" t="str">
        <f t="shared" si="4"/>
        <v/>
      </c>
    </row>
    <row r="95" spans="1:6" x14ac:dyDescent="0.2">
      <c r="B95" s="31" t="s">
        <v>35</v>
      </c>
      <c r="C95" s="31"/>
      <c r="D95" s="61">
        <f>SUM(D67:D94)</f>
        <v>2543792</v>
      </c>
      <c r="E95" s="32">
        <f>SUM(E67:E94)</f>
        <v>7539905</v>
      </c>
      <c r="F95" s="33">
        <f t="shared" si="4"/>
        <v>2.96</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IF(F3="1",SUMIF(Data!A:A,'42'!$A$2,Data!AH:AH),0)</f>
        <v>1882839</v>
      </c>
      <c r="F98" s="21">
        <f>IF($D$105=0,"",ROUND(E98/$D$105,2))</f>
        <v>0.74</v>
      </c>
    </row>
    <row r="99" spans="2:6" x14ac:dyDescent="0.2">
      <c r="B99" s="178" t="s">
        <v>31</v>
      </c>
      <c r="C99" s="179"/>
      <c r="D99" s="37"/>
      <c r="E99" s="18">
        <f>IF(F3="1",SUMIF(Data!A:A,'42'!$A$2,Data!AI:AI),0)</f>
        <v>840585</v>
      </c>
      <c r="F99" s="22">
        <f t="shared" ref="F99:F105" si="6">IF($D$105=0,"",ROUND(E99/$D$105,2))</f>
        <v>0.33</v>
      </c>
    </row>
    <row r="100" spans="2:6" x14ac:dyDescent="0.2">
      <c r="B100" s="178" t="s">
        <v>32</v>
      </c>
      <c r="C100" s="179"/>
      <c r="D100" s="37"/>
      <c r="E100" s="18">
        <f>IF(F3="1",SUMIF(Data!A:A,'42'!$A$2,Data!AJ:AJ),0)</f>
        <v>1485683</v>
      </c>
      <c r="F100" s="22">
        <f t="shared" si="6"/>
        <v>0.57999999999999996</v>
      </c>
    </row>
    <row r="101" spans="2:6" x14ac:dyDescent="0.2">
      <c r="B101" s="178" t="s">
        <v>28</v>
      </c>
      <c r="C101" s="179"/>
      <c r="D101" s="37"/>
      <c r="E101" s="18">
        <f>IF(F3="1",SUMIF(Data!A:A,'42'!$A$2,Data!AK:AK),0)</f>
        <v>0</v>
      </c>
      <c r="F101" s="22">
        <f t="shared" si="6"/>
        <v>0</v>
      </c>
    </row>
    <row r="102" spans="2:6" x14ac:dyDescent="0.2">
      <c r="B102" s="178" t="s">
        <v>33</v>
      </c>
      <c r="C102" s="179"/>
      <c r="D102" s="37"/>
      <c r="E102" s="18">
        <f>IF(F3="1",SUMIF(Data!A:A,'42'!$A$2,Data!AL:AL),0)</f>
        <v>40914</v>
      </c>
      <c r="F102" s="22">
        <f t="shared" si="6"/>
        <v>0.02</v>
      </c>
    </row>
    <row r="103" spans="2:6" x14ac:dyDescent="0.2">
      <c r="B103" s="180" t="s">
        <v>34</v>
      </c>
      <c r="C103" s="181"/>
      <c r="D103" s="37"/>
      <c r="E103" s="18">
        <f>IF(F3="1",SUMIF(Data!A:A,'42'!$A$2,Data!AM:AM),0)</f>
        <v>887328</v>
      </c>
      <c r="F103" s="22">
        <f t="shared" si="6"/>
        <v>0.35</v>
      </c>
    </row>
    <row r="104" spans="2:6" ht="15.75" customHeight="1" thickBot="1" x14ac:dyDescent="0.25">
      <c r="B104" s="170" t="s">
        <v>29</v>
      </c>
      <c r="C104" s="171"/>
      <c r="D104" s="38"/>
      <c r="E104" s="25">
        <f>IF(F3="1",SUMIF(Data!A:A,'42'!$A$2,Data!Q:Q),0)</f>
        <v>318595</v>
      </c>
      <c r="F104" s="26">
        <f t="shared" si="6"/>
        <v>0.13</v>
      </c>
    </row>
    <row r="105" spans="2:6" x14ac:dyDescent="0.2">
      <c r="B105" s="31" t="s">
        <v>35</v>
      </c>
      <c r="C105" s="31"/>
      <c r="D105" s="35">
        <f>D95</f>
        <v>2543792</v>
      </c>
      <c r="E105" s="32">
        <f>SUM(E98:E104)</f>
        <v>5455944</v>
      </c>
      <c r="F105" s="33">
        <f t="shared" si="6"/>
        <v>2.14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7930122</v>
      </c>
      <c r="D109" s="16">
        <f>IF(F3="1",SUMIF(Data!$A:$A,$A$2,Data!HJ:HJ),0)</f>
        <v>815726</v>
      </c>
      <c r="E109" s="16">
        <f>IF(F3="1",SUMIF(Data!$A:$A,$A$2,Data!IN:IN),0)</f>
        <v>638021</v>
      </c>
      <c r="F109" s="48">
        <f>SUM(C109:E109)</f>
        <v>9383869</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1224167</v>
      </c>
      <c r="D112" s="52"/>
      <c r="E112" s="51">
        <f>IF(F3="1",SUMIF(Data!A:A,$A$2,Data!AC:AC),0)</f>
        <v>261516</v>
      </c>
      <c r="F112" s="49">
        <f t="shared" si="7"/>
        <v>1485683</v>
      </c>
    </row>
    <row r="113" spans="1:6" x14ac:dyDescent="0.2">
      <c r="B113" s="43" t="s">
        <v>31</v>
      </c>
      <c r="C113" s="51">
        <f>IF(F3="1",SUMIF(Data!A:A,$A$2,Data!U:U),0)</f>
        <v>774578</v>
      </c>
      <c r="D113" s="52"/>
      <c r="E113" s="51">
        <f>IF(F3="1",SUMIF(Data!A:A,$A$2,Data!AB:AB),0)</f>
        <v>66007</v>
      </c>
      <c r="F113" s="49">
        <f t="shared" si="7"/>
        <v>840585</v>
      </c>
    </row>
    <row r="114" spans="1:6" x14ac:dyDescent="0.2">
      <c r="B114" s="43" t="s">
        <v>1021</v>
      </c>
      <c r="C114" s="51">
        <f>IF(F3="1",SUMIF(Data!A:A,$A$2,Data!T:T),0)</f>
        <v>1098499</v>
      </c>
      <c r="D114" s="52"/>
      <c r="E114" s="51">
        <f>IF(F3="1",SUMIF(Data!A:A,$A$2,Data!AA:AA),0)</f>
        <v>784340</v>
      </c>
      <c r="F114" s="49">
        <f t="shared" si="7"/>
        <v>1882839</v>
      </c>
    </row>
    <row r="115" spans="1:6" x14ac:dyDescent="0.2">
      <c r="B115" s="43" t="s">
        <v>937</v>
      </c>
      <c r="C115" s="51">
        <f>IF(F3="1",SUMIF(Data!A:A,$A$2,Data!BI:BI),0)</f>
        <v>633777</v>
      </c>
      <c r="D115" s="51">
        <f>IF(F3="1",SUMIF(Data!A:A,$A$2,Data!BL:BL),0)</f>
        <v>65193</v>
      </c>
      <c r="E115" s="51">
        <f>IF(F3="1",SUMIF(Data!A:A,$A$2,Data!BU:BU),0)</f>
        <v>1302738</v>
      </c>
      <c r="F115" s="49">
        <f t="shared" si="7"/>
        <v>2001708</v>
      </c>
    </row>
    <row r="116" spans="1:6" x14ac:dyDescent="0.2">
      <c r="B116" s="43" t="s">
        <v>33</v>
      </c>
      <c r="C116" s="51">
        <f>IF(F3="1",SUMIF(Data!A:A,$A$2,Data!X:X),0)</f>
        <v>0</v>
      </c>
      <c r="D116" s="51"/>
      <c r="E116" s="51">
        <f>E102</f>
        <v>40914</v>
      </c>
      <c r="F116" s="49">
        <f t="shared" si="7"/>
        <v>40914</v>
      </c>
    </row>
    <row r="117" spans="1:6" ht="15" thickBot="1" x14ac:dyDescent="0.25">
      <c r="B117" s="44" t="s">
        <v>941</v>
      </c>
      <c r="C117" s="53"/>
      <c r="D117" s="53">
        <f>IF(F3="1",SUMIF(Data!A:A,$A$2,Data!Q:Q),0)</f>
        <v>318595</v>
      </c>
      <c r="E117" s="53"/>
      <c r="F117" s="50">
        <f>SUM(C117:E117)</f>
        <v>318595</v>
      </c>
    </row>
    <row r="118" spans="1:6" x14ac:dyDescent="0.2">
      <c r="B118" s="14" t="s">
        <v>35</v>
      </c>
      <c r="C118" s="5">
        <f>SUM(C109:C116)</f>
        <v>11661143</v>
      </c>
      <c r="D118" s="5">
        <f>SUM(D109:D116)</f>
        <v>880919</v>
      </c>
      <c r="E118" s="5">
        <f>SUM(E109:E116)</f>
        <v>3093536</v>
      </c>
      <c r="F118" s="5">
        <f>SUM(F109:F116)</f>
        <v>15635598</v>
      </c>
    </row>
    <row r="119" spans="1:6" ht="15" thickBot="1" x14ac:dyDescent="0.25"/>
    <row r="120" spans="1:6" ht="15" thickBot="1" x14ac:dyDescent="0.25">
      <c r="B120" s="57" t="s">
        <v>942</v>
      </c>
      <c r="C120" s="55"/>
      <c r="D120" s="55"/>
      <c r="E120" s="55">
        <f>IF(F3="1",SUMIF(Data!A:A,'42'!$A$2,Data!AM:AM),0)</f>
        <v>887328</v>
      </c>
      <c r="F120" s="56">
        <f>SUM(C120:E120)</f>
        <v>887328</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410</v>
      </c>
      <c r="B2" s="60" t="str">
        <f>VLOOKUP(A2,Data!A:G,7,0)</f>
        <v>Texas Southmost College</v>
      </c>
      <c r="C2" s="60"/>
    </row>
    <row r="3" spans="1:6" ht="15" thickBot="1" x14ac:dyDescent="0.25">
      <c r="A3" s="4"/>
      <c r="F3" s="58">
        <f>IFERROR(VLOOKUP(A2,Data!A:C,3,0),"0")</f>
        <v>0</v>
      </c>
    </row>
    <row r="4" spans="1:6" ht="29.25" customHeight="1" x14ac:dyDescent="0.2">
      <c r="A4" s="27" t="s">
        <v>26</v>
      </c>
      <c r="B4" s="182" t="s">
        <v>470</v>
      </c>
      <c r="C4" s="183"/>
      <c r="D4" s="29" t="s">
        <v>27</v>
      </c>
      <c r="E4" s="29" t="s">
        <v>467</v>
      </c>
      <c r="F4" s="30" t="s">
        <v>468</v>
      </c>
    </row>
    <row r="5" spans="1:6" x14ac:dyDescent="0.2">
      <c r="A5" s="20">
        <v>1</v>
      </c>
      <c r="B5" s="172" t="s">
        <v>0</v>
      </c>
      <c r="C5" s="173"/>
      <c r="D5" s="15">
        <f>D36</f>
        <v>0</v>
      </c>
      <c r="E5" s="16">
        <f>E36+E67+IFERROR($E$105/$D$105*D5,0)</f>
        <v>0</v>
      </c>
      <c r="F5" s="21" t="str">
        <f>IF(OR(D5=0,E5=0),"",ROUND(E5/D5,2))</f>
        <v/>
      </c>
    </row>
    <row r="6" spans="1:6" x14ac:dyDescent="0.2">
      <c r="A6" s="20">
        <v>2</v>
      </c>
      <c r="B6" s="172" t="s">
        <v>1</v>
      </c>
      <c r="C6" s="173"/>
      <c r="D6" s="15">
        <f t="shared" ref="D6:D32" si="0">D37</f>
        <v>0</v>
      </c>
      <c r="E6" s="18">
        <f t="shared" ref="E6:E32" si="1">E37+E68+IFERROR($E$105/$D$105*D6,0)</f>
        <v>0</v>
      </c>
      <c r="F6" s="22" t="str">
        <f t="shared" ref="F6:F33" si="2">IF(OR(D6=0,E6=0),"",ROUND(E6/D6,2))</f>
        <v/>
      </c>
    </row>
    <row r="7" spans="1:6" ht="14.25" customHeight="1" x14ac:dyDescent="0.2">
      <c r="A7" s="20">
        <v>3</v>
      </c>
      <c r="B7" s="172" t="s">
        <v>2</v>
      </c>
      <c r="C7" s="173"/>
      <c r="D7" s="15">
        <f t="shared" si="0"/>
        <v>0</v>
      </c>
      <c r="E7" s="18">
        <f t="shared" si="1"/>
        <v>0</v>
      </c>
      <c r="F7" s="22" t="str">
        <f t="shared" si="2"/>
        <v/>
      </c>
    </row>
    <row r="8" spans="1:6" ht="14.25" customHeight="1" x14ac:dyDescent="0.2">
      <c r="A8" s="20">
        <v>4</v>
      </c>
      <c r="B8" s="172" t="s">
        <v>3</v>
      </c>
      <c r="C8" s="173"/>
      <c r="D8" s="15">
        <f t="shared" si="0"/>
        <v>0</v>
      </c>
      <c r="E8" s="18">
        <f t="shared" si="1"/>
        <v>0</v>
      </c>
      <c r="F8" s="22" t="str">
        <f t="shared" si="2"/>
        <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0</v>
      </c>
      <c r="E10" s="18">
        <f t="shared" si="1"/>
        <v>0</v>
      </c>
      <c r="F10" s="22" t="str">
        <f t="shared" si="2"/>
        <v/>
      </c>
    </row>
    <row r="11" spans="1:6" x14ac:dyDescent="0.2">
      <c r="A11" s="20">
        <v>7</v>
      </c>
      <c r="B11" s="172" t="s">
        <v>6</v>
      </c>
      <c r="C11" s="173"/>
      <c r="D11" s="15">
        <f t="shared" si="0"/>
        <v>0</v>
      </c>
      <c r="E11" s="18">
        <f t="shared" si="1"/>
        <v>0</v>
      </c>
      <c r="F11" s="22" t="str">
        <f t="shared" si="2"/>
        <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0</v>
      </c>
      <c r="E13" s="18">
        <f t="shared" si="1"/>
        <v>0</v>
      </c>
      <c r="F13" s="22" t="str">
        <f t="shared" si="2"/>
        <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0</v>
      </c>
      <c r="E15" s="18">
        <f t="shared" si="1"/>
        <v>0</v>
      </c>
      <c r="F15" s="22" t="str">
        <f t="shared" si="2"/>
        <v/>
      </c>
    </row>
    <row r="16" spans="1:6" ht="14.25" customHeight="1" x14ac:dyDescent="0.2">
      <c r="A16" s="20">
        <v>12</v>
      </c>
      <c r="B16" s="172" t="s">
        <v>11</v>
      </c>
      <c r="C16" s="173"/>
      <c r="D16" s="15">
        <f t="shared" si="0"/>
        <v>0</v>
      </c>
      <c r="E16" s="18">
        <f t="shared" si="1"/>
        <v>0</v>
      </c>
      <c r="F16" s="22" t="str">
        <f t="shared" si="2"/>
        <v/>
      </c>
    </row>
    <row r="17" spans="1:6" x14ac:dyDescent="0.2">
      <c r="A17" s="20">
        <v>13</v>
      </c>
      <c r="B17" s="172" t="s">
        <v>12</v>
      </c>
      <c r="C17" s="173"/>
      <c r="D17" s="15">
        <f t="shared" si="0"/>
        <v>0</v>
      </c>
      <c r="E17" s="18">
        <f t="shared" si="1"/>
        <v>0</v>
      </c>
      <c r="F17" s="22" t="str">
        <f t="shared" si="2"/>
        <v/>
      </c>
    </row>
    <row r="18" spans="1:6" ht="14.25" customHeight="1" x14ac:dyDescent="0.2">
      <c r="A18" s="20">
        <v>14</v>
      </c>
      <c r="B18" s="172" t="s">
        <v>469</v>
      </c>
      <c r="C18" s="173"/>
      <c r="D18" s="15">
        <f t="shared" si="0"/>
        <v>0</v>
      </c>
      <c r="E18" s="18">
        <f t="shared" si="1"/>
        <v>0</v>
      </c>
      <c r="F18" s="22" t="str">
        <f t="shared" si="2"/>
        <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0</v>
      </c>
      <c r="E20" s="18">
        <f t="shared" si="1"/>
        <v>0</v>
      </c>
      <c r="F20" s="22" t="str">
        <f t="shared" si="2"/>
        <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0</v>
      </c>
      <c r="E23" s="18">
        <f t="shared" si="1"/>
        <v>0</v>
      </c>
      <c r="F23" s="22" t="str">
        <f t="shared" si="2"/>
        <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0</v>
      </c>
      <c r="E26" s="18">
        <f t="shared" si="1"/>
        <v>0</v>
      </c>
      <c r="F26" s="22" t="str">
        <f t="shared" si="2"/>
        <v/>
      </c>
    </row>
    <row r="27" spans="1:6" x14ac:dyDescent="0.2">
      <c r="A27" s="20">
        <v>23</v>
      </c>
      <c r="B27" s="172" t="s">
        <v>20</v>
      </c>
      <c r="C27" s="173"/>
      <c r="D27" s="15">
        <f t="shared" si="0"/>
        <v>0</v>
      </c>
      <c r="E27" s="18">
        <f t="shared" si="1"/>
        <v>0</v>
      </c>
      <c r="F27" s="22" t="str">
        <f t="shared" si="2"/>
        <v/>
      </c>
    </row>
    <row r="28" spans="1:6" x14ac:dyDescent="0.2">
      <c r="A28" s="20">
        <v>24</v>
      </c>
      <c r="B28" s="172" t="s">
        <v>21</v>
      </c>
      <c r="C28" s="173"/>
      <c r="D28" s="15">
        <f t="shared" si="0"/>
        <v>0</v>
      </c>
      <c r="E28" s="18">
        <f t="shared" si="1"/>
        <v>0</v>
      </c>
      <c r="F28" s="22" t="str">
        <f t="shared" si="2"/>
        <v/>
      </c>
    </row>
    <row r="29" spans="1:6" x14ac:dyDescent="0.2">
      <c r="A29" s="20">
        <v>25</v>
      </c>
      <c r="B29" s="172" t="s">
        <v>22</v>
      </c>
      <c r="C29" s="173"/>
      <c r="D29" s="15">
        <f t="shared" si="0"/>
        <v>0</v>
      </c>
      <c r="E29" s="18">
        <f t="shared" si="1"/>
        <v>0</v>
      </c>
      <c r="F29" s="22" t="str">
        <f t="shared" si="2"/>
        <v/>
      </c>
    </row>
    <row r="30" spans="1:6" x14ac:dyDescent="0.2">
      <c r="A30" s="20">
        <v>26</v>
      </c>
      <c r="B30" s="172" t="s">
        <v>23</v>
      </c>
      <c r="C30" s="173"/>
      <c r="D30" s="15">
        <f t="shared" si="0"/>
        <v>0</v>
      </c>
      <c r="E30" s="18">
        <f t="shared" si="1"/>
        <v>0</v>
      </c>
      <c r="F30" s="22" t="str">
        <f t="shared" si="2"/>
        <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IF(F3="1",SUMIF(Data!A:A,'43'!$A$2,Data!CU:CU),0)</f>
        <v>0</v>
      </c>
      <c r="E36" s="16">
        <f>IF(F3="1",SUMIF(Data!$A:$A,'43'!$A$2,Data!IO:IO),0)</f>
        <v>0</v>
      </c>
      <c r="F36" s="21" t="str">
        <f>IF(D36=0,"",ROUND(E36/D36,2))</f>
        <v/>
      </c>
    </row>
    <row r="37" spans="1:6" x14ac:dyDescent="0.2">
      <c r="A37" s="20">
        <v>2</v>
      </c>
      <c r="B37" s="172" t="s">
        <v>1</v>
      </c>
      <c r="C37" s="173"/>
      <c r="D37" s="15">
        <f>IF(F3="1",SUMIF(Data!A:A,'43'!$A$2,Data!CV:CV),0)</f>
        <v>0</v>
      </c>
      <c r="E37" s="18">
        <f>IF(F3="1",SUMIF(Data!$A:$A,'43'!$A$2,Data!IP:IP),0)</f>
        <v>0</v>
      </c>
      <c r="F37" s="22" t="str">
        <f t="shared" ref="F37:F64" si="3">IF(D37=0,"",ROUND(E37/D37,2))</f>
        <v/>
      </c>
    </row>
    <row r="38" spans="1:6" ht="14.25" customHeight="1" x14ac:dyDescent="0.2">
      <c r="A38" s="20">
        <v>3</v>
      </c>
      <c r="B38" s="172" t="s">
        <v>2</v>
      </c>
      <c r="C38" s="173"/>
      <c r="D38" s="15">
        <f>IF(F3="1",SUMIF(Data!A:A,'43'!$A$2,Data!CW:CW),0)</f>
        <v>0</v>
      </c>
      <c r="E38" s="18">
        <f>IF(F3="1",SUMIF(Data!$A:$A,'43'!$A$2,Data!IQ:IQ),0)</f>
        <v>0</v>
      </c>
      <c r="F38" s="22" t="str">
        <f t="shared" si="3"/>
        <v/>
      </c>
    </row>
    <row r="39" spans="1:6" ht="14.25" customHeight="1" x14ac:dyDescent="0.2">
      <c r="A39" s="20">
        <v>4</v>
      </c>
      <c r="B39" s="172" t="s">
        <v>3</v>
      </c>
      <c r="C39" s="173"/>
      <c r="D39" s="15">
        <f>IF(F3="1",SUMIF(Data!A:A,'43'!$A$2,Data!CX:CX),0)</f>
        <v>0</v>
      </c>
      <c r="E39" s="18">
        <f>IF(F3="1",SUMIF(Data!$A:$A,'43'!$A$2,Data!IR:IR),0)</f>
        <v>0</v>
      </c>
      <c r="F39" s="22" t="str">
        <f t="shared" si="3"/>
        <v/>
      </c>
    </row>
    <row r="40" spans="1:6" x14ac:dyDescent="0.2">
      <c r="A40" s="20">
        <v>5</v>
      </c>
      <c r="B40" s="172" t="s">
        <v>4</v>
      </c>
      <c r="C40" s="173"/>
      <c r="D40" s="15">
        <f>IF(F3="1",SUMIF(Data!A:A,'43'!$A$2,Data!CY:CY),0)</f>
        <v>0</v>
      </c>
      <c r="E40" s="18">
        <f>IF(F3="1",SUMIF(Data!$A:$A,'43'!$A$2,Data!IS:IS),0)</f>
        <v>0</v>
      </c>
      <c r="F40" s="22" t="str">
        <f t="shared" si="3"/>
        <v/>
      </c>
    </row>
    <row r="41" spans="1:6" x14ac:dyDescent="0.2">
      <c r="A41" s="20">
        <v>6</v>
      </c>
      <c r="B41" s="172" t="s">
        <v>5</v>
      </c>
      <c r="C41" s="173"/>
      <c r="D41" s="15">
        <f>IF(F3="1",SUMIF(Data!A:A,'43'!$A$2,Data!CZ:CZ),0)</f>
        <v>0</v>
      </c>
      <c r="E41" s="18">
        <f>IF(F3="1",SUMIF(Data!$A:$A,'43'!$A$2,Data!IT:IT),0)</f>
        <v>0</v>
      </c>
      <c r="F41" s="22" t="str">
        <f t="shared" si="3"/>
        <v/>
      </c>
    </row>
    <row r="42" spans="1:6" x14ac:dyDescent="0.2">
      <c r="A42" s="20">
        <v>7</v>
      </c>
      <c r="B42" s="172" t="s">
        <v>6</v>
      </c>
      <c r="C42" s="173"/>
      <c r="D42" s="15">
        <f>IF(F3="1",SUMIF(Data!A:A,'43'!$A$2,Data!DA:DA),0)</f>
        <v>0</v>
      </c>
      <c r="E42" s="18">
        <f>IF(F3="1",SUMIF(Data!$A:$A,'43'!$A$2,Data!IU:IU),0)</f>
        <v>0</v>
      </c>
      <c r="F42" s="22" t="str">
        <f t="shared" si="3"/>
        <v/>
      </c>
    </row>
    <row r="43" spans="1:6" x14ac:dyDescent="0.2">
      <c r="A43" s="20">
        <v>8</v>
      </c>
      <c r="B43" s="172" t="s">
        <v>7</v>
      </c>
      <c r="C43" s="173"/>
      <c r="D43" s="15">
        <f>IF(F3="1",SUMIF(Data!A:A,'43'!$A$2,Data!DB:DB),0)</f>
        <v>0</v>
      </c>
      <c r="E43" s="18">
        <f>IF(F3="1",SUMIF(Data!$A:$A,'43'!$A$2,Data!IV:IV),0)</f>
        <v>0</v>
      </c>
      <c r="F43" s="22" t="str">
        <f t="shared" si="3"/>
        <v/>
      </c>
    </row>
    <row r="44" spans="1:6" x14ac:dyDescent="0.2">
      <c r="A44" s="20">
        <v>9</v>
      </c>
      <c r="B44" s="172" t="s">
        <v>8</v>
      </c>
      <c r="C44" s="173"/>
      <c r="D44" s="15">
        <f>IF(F3="1",SUMIF(Data!A:A,'43'!$A$2,Data!DC:DC),0)</f>
        <v>0</v>
      </c>
      <c r="E44" s="18">
        <f>IF(F3="1",SUMIF(Data!$A:$A,'43'!$A$2,Data!IW:IW),0)</f>
        <v>0</v>
      </c>
      <c r="F44" s="22" t="str">
        <f t="shared" si="3"/>
        <v/>
      </c>
    </row>
    <row r="45" spans="1:6" x14ac:dyDescent="0.2">
      <c r="A45" s="20">
        <v>10</v>
      </c>
      <c r="B45" s="172" t="s">
        <v>9</v>
      </c>
      <c r="C45" s="173"/>
      <c r="D45" s="15">
        <f>IF(F3="1",SUMIF(Data!A:A,'43'!$A$2,Data!DD:DD),0)</f>
        <v>0</v>
      </c>
      <c r="E45" s="18">
        <f>IF(F3="1",SUMIF(Data!$A:$A,'43'!$A$2,Data!IX:IX),0)</f>
        <v>0</v>
      </c>
      <c r="F45" s="22" t="str">
        <f t="shared" si="3"/>
        <v/>
      </c>
    </row>
    <row r="46" spans="1:6" x14ac:dyDescent="0.2">
      <c r="A46" s="20">
        <v>11</v>
      </c>
      <c r="B46" s="172" t="s">
        <v>10</v>
      </c>
      <c r="C46" s="173"/>
      <c r="D46" s="15">
        <f>IF(F3="1",SUMIF(Data!A:A,'43'!$A$2,Data!DE:DE),0)</f>
        <v>0</v>
      </c>
      <c r="E46" s="18">
        <f>IF(F3="1",SUMIF(Data!$A:$A,'43'!$A$2,Data!IY:IY),0)</f>
        <v>0</v>
      </c>
      <c r="F46" s="22" t="str">
        <f t="shared" si="3"/>
        <v/>
      </c>
    </row>
    <row r="47" spans="1:6" ht="14.25" customHeight="1" x14ac:dyDescent="0.2">
      <c r="A47" s="20">
        <v>12</v>
      </c>
      <c r="B47" s="172" t="s">
        <v>11</v>
      </c>
      <c r="C47" s="173"/>
      <c r="D47" s="15">
        <f>IF(F3="1",SUMIF(Data!A:A,'43'!$A$2,Data!DF:DF),0)</f>
        <v>0</v>
      </c>
      <c r="E47" s="18">
        <f>IF(F3="1",SUMIF(Data!$A:$A,'43'!$A$2,Data!IZ:IZ),0)</f>
        <v>0</v>
      </c>
      <c r="F47" s="22" t="str">
        <f t="shared" si="3"/>
        <v/>
      </c>
    </row>
    <row r="48" spans="1:6" x14ac:dyDescent="0.2">
      <c r="A48" s="20">
        <v>13</v>
      </c>
      <c r="B48" s="172" t="s">
        <v>12</v>
      </c>
      <c r="C48" s="173"/>
      <c r="D48" s="15">
        <f>IF(F3="1",SUMIF(Data!A:A,'43'!$A$2,Data!DG:DG),0)</f>
        <v>0</v>
      </c>
      <c r="E48" s="18">
        <f>IF(F3="1",SUMIF(Data!$A:$A,'43'!$A$2,Data!JA:JA),0)</f>
        <v>0</v>
      </c>
      <c r="F48" s="22" t="str">
        <f t="shared" si="3"/>
        <v/>
      </c>
    </row>
    <row r="49" spans="1:6" ht="14.25" customHeight="1" x14ac:dyDescent="0.2">
      <c r="A49" s="20">
        <v>14</v>
      </c>
      <c r="B49" s="172" t="s">
        <v>469</v>
      </c>
      <c r="C49" s="173"/>
      <c r="D49" s="15">
        <f>IF(F3="1",SUMIF(Data!A:A,'43'!$A$2,Data!DH:DH),0)</f>
        <v>0</v>
      </c>
      <c r="E49" s="18">
        <f>IF(F3="1",SUMIF(Data!$A:$A,'43'!$A$2,Data!JB:JB),0)</f>
        <v>0</v>
      </c>
      <c r="F49" s="22" t="str">
        <f t="shared" si="3"/>
        <v/>
      </c>
    </row>
    <row r="50" spans="1:6" x14ac:dyDescent="0.2">
      <c r="A50" s="20">
        <v>15</v>
      </c>
      <c r="B50" s="172" t="s">
        <v>13</v>
      </c>
      <c r="C50" s="173"/>
      <c r="D50" s="15">
        <f>IF(F3="1",SUMIF(Data!A:A,'43'!$A$2,Data!DI:DI),0)</f>
        <v>0</v>
      </c>
      <c r="E50" s="18">
        <f>IF(F3="1",SUMIF(Data!$A:$A,'43'!$A$2,Data!JC:JC),0)</f>
        <v>0</v>
      </c>
      <c r="F50" s="22" t="str">
        <f t="shared" si="3"/>
        <v/>
      </c>
    </row>
    <row r="51" spans="1:6" x14ac:dyDescent="0.2">
      <c r="A51" s="20">
        <v>16</v>
      </c>
      <c r="B51" s="172" t="s">
        <v>14</v>
      </c>
      <c r="C51" s="173"/>
      <c r="D51" s="15">
        <f>IF(F3="1",SUMIF(Data!A:A,'43'!$A$2,Data!DJ:DJ),0)</f>
        <v>0</v>
      </c>
      <c r="E51" s="18">
        <f>IF(F3="1",SUMIF(Data!$A:$A,'43'!$A$2,Data!JD:JD),0)</f>
        <v>0</v>
      </c>
      <c r="F51" s="22" t="str">
        <f t="shared" si="3"/>
        <v/>
      </c>
    </row>
    <row r="52" spans="1:6" x14ac:dyDescent="0.2">
      <c r="A52" s="20">
        <v>17</v>
      </c>
      <c r="B52" s="172" t="s">
        <v>15</v>
      </c>
      <c r="C52" s="173"/>
      <c r="D52" s="15">
        <f>IF(F3="1",SUMIF(Data!A:A,'43'!$A$2,Data!DK:DK),0)</f>
        <v>0</v>
      </c>
      <c r="E52" s="18">
        <f>IF(F3="1",SUMIF(Data!$A:$A,'43'!$A$2,Data!JE:JE),0)</f>
        <v>0</v>
      </c>
      <c r="F52" s="22" t="str">
        <f t="shared" si="3"/>
        <v/>
      </c>
    </row>
    <row r="53" spans="1:6" x14ac:dyDescent="0.2">
      <c r="A53" s="20">
        <v>18</v>
      </c>
      <c r="B53" s="172" t="s">
        <v>16</v>
      </c>
      <c r="C53" s="173"/>
      <c r="D53" s="15">
        <f>IF(F3="1",SUMIF(Data!A:A,'43'!$A$2,Data!DL:DL),0)</f>
        <v>0</v>
      </c>
      <c r="E53" s="18">
        <f>IF(F3="1",SUMIF(Data!$A:$A,'43'!$A$2,Data!JF:JF),0)</f>
        <v>0</v>
      </c>
      <c r="F53" s="22" t="str">
        <f t="shared" si="3"/>
        <v/>
      </c>
    </row>
    <row r="54" spans="1:6" x14ac:dyDescent="0.2">
      <c r="A54" s="20">
        <v>19</v>
      </c>
      <c r="B54" s="172" t="s">
        <v>17</v>
      </c>
      <c r="C54" s="173"/>
      <c r="D54" s="15">
        <f>IF(F3="1",SUMIF(Data!A:A,'43'!$A$2,Data!DM:DM),0)</f>
        <v>0</v>
      </c>
      <c r="E54" s="18">
        <f>IF(F3="1",SUMIF(Data!$A:$A,'43'!$A$2,Data!JG:JG),0)</f>
        <v>0</v>
      </c>
      <c r="F54" s="22" t="str">
        <f t="shared" si="3"/>
        <v/>
      </c>
    </row>
    <row r="55" spans="1:6" x14ac:dyDescent="0.2">
      <c r="A55" s="20">
        <v>20</v>
      </c>
      <c r="B55" s="172" t="s">
        <v>18</v>
      </c>
      <c r="C55" s="173"/>
      <c r="D55" s="15">
        <f>IF(F3="1",SUMIF(Data!A:A,'43'!$A$2,Data!DN:DN),0)</f>
        <v>0</v>
      </c>
      <c r="E55" s="18">
        <f>IF(F3="1",SUMIF(Data!$A:$A,'43'!$A$2,Data!JH:JH),0)</f>
        <v>0</v>
      </c>
      <c r="F55" s="22" t="str">
        <f t="shared" si="3"/>
        <v/>
      </c>
    </row>
    <row r="56" spans="1:6" ht="14.25" customHeight="1" x14ac:dyDescent="0.2">
      <c r="A56" s="20">
        <v>21</v>
      </c>
      <c r="B56" s="172" t="s">
        <v>466</v>
      </c>
      <c r="C56" s="173"/>
      <c r="D56" s="15">
        <f>IF(F3="1",SUMIF(Data!A:A,'43'!$A$2,Data!DO:DO),0)</f>
        <v>0</v>
      </c>
      <c r="E56" s="18">
        <f>IF(F3="1",SUMIF(Data!$A:$A,'43'!$A$2,Data!JI:JI),0)</f>
        <v>0</v>
      </c>
      <c r="F56" s="22" t="str">
        <f t="shared" si="3"/>
        <v/>
      </c>
    </row>
    <row r="57" spans="1:6" x14ac:dyDescent="0.2">
      <c r="A57" s="20">
        <v>22</v>
      </c>
      <c r="B57" s="172" t="s">
        <v>19</v>
      </c>
      <c r="C57" s="173"/>
      <c r="D57" s="15">
        <f>IF(F3="1",SUMIF(Data!A:A,'43'!$A$2,Data!DP:DP),0)</f>
        <v>0</v>
      </c>
      <c r="E57" s="18">
        <f>IF(F3="1",SUMIF(Data!$A:$A,'43'!$A$2,Data!JJ:JJ),0)</f>
        <v>0</v>
      </c>
      <c r="F57" s="22" t="str">
        <f t="shared" si="3"/>
        <v/>
      </c>
    </row>
    <row r="58" spans="1:6" x14ac:dyDescent="0.2">
      <c r="A58" s="20">
        <v>23</v>
      </c>
      <c r="B58" s="172" t="s">
        <v>20</v>
      </c>
      <c r="C58" s="173"/>
      <c r="D58" s="15">
        <f>IF(F3="1",SUMIF(Data!A:A,'43'!$A$2,Data!DQ:DQ),0)</f>
        <v>0</v>
      </c>
      <c r="E58" s="18">
        <f>IF(F3="1",SUMIF(Data!$A:$A,'43'!$A$2,Data!JK:JK),0)</f>
        <v>0</v>
      </c>
      <c r="F58" s="22" t="str">
        <f t="shared" si="3"/>
        <v/>
      </c>
    </row>
    <row r="59" spans="1:6" x14ac:dyDescent="0.2">
      <c r="A59" s="20">
        <v>24</v>
      </c>
      <c r="B59" s="172" t="s">
        <v>21</v>
      </c>
      <c r="C59" s="173"/>
      <c r="D59" s="15">
        <f>IF(F3="1",SUMIF(Data!A:A,'43'!$A$2,Data!DR:DR),0)</f>
        <v>0</v>
      </c>
      <c r="E59" s="18">
        <f>IF(F3="1",SUMIF(Data!$A:$A,'43'!$A$2,Data!JL:JL),0)</f>
        <v>0</v>
      </c>
      <c r="F59" s="22" t="str">
        <f t="shared" si="3"/>
        <v/>
      </c>
    </row>
    <row r="60" spans="1:6" x14ac:dyDescent="0.2">
      <c r="A60" s="20">
        <v>25</v>
      </c>
      <c r="B60" s="172" t="s">
        <v>22</v>
      </c>
      <c r="C60" s="173"/>
      <c r="D60" s="15">
        <f>IF(F3="1",SUMIF(Data!A:A,'43'!$A$2,Data!DS:DS),0)</f>
        <v>0</v>
      </c>
      <c r="E60" s="18">
        <f>IF(F3="1",SUMIF(Data!$A:$A,'43'!$A$2,Data!JM:JM),0)</f>
        <v>0</v>
      </c>
      <c r="F60" s="22" t="str">
        <f t="shared" si="3"/>
        <v/>
      </c>
    </row>
    <row r="61" spans="1:6" x14ac:dyDescent="0.2">
      <c r="A61" s="20">
        <v>26</v>
      </c>
      <c r="B61" s="172" t="s">
        <v>23</v>
      </c>
      <c r="C61" s="173"/>
      <c r="D61" s="15">
        <f>IF(F3="1",SUMIF(Data!A:A,'43'!$A$2,Data!DT:DT),0)</f>
        <v>0</v>
      </c>
      <c r="E61" s="18">
        <f>IF(F3="1",SUMIF(Data!$A:$A,'43'!$A$2,Data!JN:JN),0)</f>
        <v>0</v>
      </c>
      <c r="F61" s="22" t="str">
        <f t="shared" si="3"/>
        <v/>
      </c>
    </row>
    <row r="62" spans="1:6" x14ac:dyDescent="0.2">
      <c r="A62" s="20">
        <v>28</v>
      </c>
      <c r="B62" s="172" t="s">
        <v>24</v>
      </c>
      <c r="C62" s="173"/>
      <c r="D62" s="15">
        <f>IF(F3="1",SUMIF(Data!A:A,'43'!$A$2,Data!DV:DV),0)</f>
        <v>0</v>
      </c>
      <c r="E62" s="18">
        <f>IF(F3="1",SUMIF(Data!$A:$A,'43'!$A$2,Data!JP:JP),0)</f>
        <v>0</v>
      </c>
      <c r="F62" s="22" t="str">
        <f t="shared" si="3"/>
        <v/>
      </c>
    </row>
    <row r="63" spans="1:6" ht="15.75" customHeight="1" thickBot="1" x14ac:dyDescent="0.25">
      <c r="A63" s="23">
        <v>29</v>
      </c>
      <c r="B63" s="174" t="s">
        <v>25</v>
      </c>
      <c r="C63" s="175"/>
      <c r="D63" s="24">
        <f>IF(F3="1",SUMIF(Data!A:A,'43'!$A$2,Data!DW:DW),0)</f>
        <v>0</v>
      </c>
      <c r="E63" s="25">
        <f>IF(F3="1",SUMIF(Data!$A:$A,'43'!$A$2,Data!JQ:JQ),0)</f>
        <v>0</v>
      </c>
      <c r="F63" s="26" t="str">
        <f t="shared" si="3"/>
        <v/>
      </c>
    </row>
    <row r="64" spans="1:6" x14ac:dyDescent="0.2">
      <c r="B64" s="31" t="s">
        <v>35</v>
      </c>
      <c r="C64" s="31"/>
      <c r="D64" s="61">
        <f>SUM(D36:D63)</f>
        <v>0</v>
      </c>
      <c r="E64" s="32">
        <f>SUM(E36:E63)</f>
        <v>0</v>
      </c>
      <c r="F64" s="33" t="str">
        <f t="shared" si="3"/>
        <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0</v>
      </c>
      <c r="E67" s="16">
        <f>IF(F3="1",SUMIF(Data!A:A,'43'!$A$2,Data!DY:DY),0)</f>
        <v>0</v>
      </c>
      <c r="F67" s="21" t="str">
        <f t="shared" ref="F67:F95" si="4">IF(D67=0,"",ROUND(E67/D67,2))</f>
        <v/>
      </c>
    </row>
    <row r="68" spans="1:6" x14ac:dyDescent="0.2">
      <c r="A68" s="20">
        <v>2</v>
      </c>
      <c r="B68" s="172" t="s">
        <v>1</v>
      </c>
      <c r="C68" s="173"/>
      <c r="D68" s="15">
        <f t="shared" ref="D68:D94" si="5">D37</f>
        <v>0</v>
      </c>
      <c r="E68" s="18">
        <f>IF(F3="1",SUMIF(Data!A:A,'43'!$A$2,Data!DZ:DZ),0)</f>
        <v>0</v>
      </c>
      <c r="F68" s="22" t="str">
        <f t="shared" si="4"/>
        <v/>
      </c>
    </row>
    <row r="69" spans="1:6" ht="14.25" customHeight="1" x14ac:dyDescent="0.2">
      <c r="A69" s="20">
        <v>3</v>
      </c>
      <c r="B69" s="172" t="s">
        <v>2</v>
      </c>
      <c r="C69" s="173"/>
      <c r="D69" s="15">
        <f t="shared" si="5"/>
        <v>0</v>
      </c>
      <c r="E69" s="18">
        <f>IF(F3="1",SUMIF(Data!A:A,'43'!$A$2,Data!EA:EA),0)</f>
        <v>0</v>
      </c>
      <c r="F69" s="22" t="str">
        <f t="shared" si="4"/>
        <v/>
      </c>
    </row>
    <row r="70" spans="1:6" ht="14.25" customHeight="1" x14ac:dyDescent="0.2">
      <c r="A70" s="20">
        <v>4</v>
      </c>
      <c r="B70" s="172" t="s">
        <v>3</v>
      </c>
      <c r="C70" s="173"/>
      <c r="D70" s="15">
        <f t="shared" si="5"/>
        <v>0</v>
      </c>
      <c r="E70" s="18">
        <f>IF(F3="1",SUMIF(Data!A:A,'43'!$A$2,Data!EB:EB),0)</f>
        <v>0</v>
      </c>
      <c r="F70" s="22" t="str">
        <f t="shared" si="4"/>
        <v/>
      </c>
    </row>
    <row r="71" spans="1:6" x14ac:dyDescent="0.2">
      <c r="A71" s="20">
        <v>5</v>
      </c>
      <c r="B71" s="172" t="s">
        <v>4</v>
      </c>
      <c r="C71" s="173"/>
      <c r="D71" s="15">
        <f t="shared" si="5"/>
        <v>0</v>
      </c>
      <c r="E71" s="18">
        <f>IF(F3="1",SUMIF(Data!A:A,'43'!$A$2,Data!EC:EC),0)</f>
        <v>0</v>
      </c>
      <c r="F71" s="22" t="str">
        <f t="shared" si="4"/>
        <v/>
      </c>
    </row>
    <row r="72" spans="1:6" x14ac:dyDescent="0.2">
      <c r="A72" s="20">
        <v>6</v>
      </c>
      <c r="B72" s="172" t="s">
        <v>5</v>
      </c>
      <c r="C72" s="173"/>
      <c r="D72" s="15">
        <f t="shared" si="5"/>
        <v>0</v>
      </c>
      <c r="E72" s="18">
        <f>IF(F3="1",SUMIF(Data!A:A,'43'!$A$2,Data!ED:ED),0)</f>
        <v>0</v>
      </c>
      <c r="F72" s="22" t="str">
        <f t="shared" si="4"/>
        <v/>
      </c>
    </row>
    <row r="73" spans="1:6" x14ac:dyDescent="0.2">
      <c r="A73" s="20">
        <v>7</v>
      </c>
      <c r="B73" s="172" t="s">
        <v>6</v>
      </c>
      <c r="C73" s="173"/>
      <c r="D73" s="15">
        <f t="shared" si="5"/>
        <v>0</v>
      </c>
      <c r="E73" s="18">
        <f>IF(F3="1",SUMIF(Data!A:A,'43'!$A$2,Data!EE:EE),0)</f>
        <v>0</v>
      </c>
      <c r="F73" s="22" t="str">
        <f t="shared" si="4"/>
        <v/>
      </c>
    </row>
    <row r="74" spans="1:6" x14ac:dyDescent="0.2">
      <c r="A74" s="20">
        <v>8</v>
      </c>
      <c r="B74" s="172" t="s">
        <v>7</v>
      </c>
      <c r="C74" s="173"/>
      <c r="D74" s="15">
        <f t="shared" si="5"/>
        <v>0</v>
      </c>
      <c r="E74" s="18">
        <f>IF(F3="1",SUMIF(Data!A:A,'43'!$A$2,Data!EF:EF),0)</f>
        <v>0</v>
      </c>
      <c r="F74" s="22" t="str">
        <f t="shared" si="4"/>
        <v/>
      </c>
    </row>
    <row r="75" spans="1:6" x14ac:dyDescent="0.2">
      <c r="A75" s="20">
        <v>9</v>
      </c>
      <c r="B75" s="172" t="s">
        <v>8</v>
      </c>
      <c r="C75" s="173"/>
      <c r="D75" s="15">
        <f t="shared" si="5"/>
        <v>0</v>
      </c>
      <c r="E75" s="18">
        <f>IF(F3="1",SUMIF(Data!A:A,'43'!$A$2,Data!EG:EG),0)</f>
        <v>0</v>
      </c>
      <c r="F75" s="22" t="str">
        <f t="shared" si="4"/>
        <v/>
      </c>
    </row>
    <row r="76" spans="1:6" x14ac:dyDescent="0.2">
      <c r="A76" s="20">
        <v>10</v>
      </c>
      <c r="B76" s="172" t="s">
        <v>9</v>
      </c>
      <c r="C76" s="173"/>
      <c r="D76" s="15">
        <f t="shared" si="5"/>
        <v>0</v>
      </c>
      <c r="E76" s="18">
        <f>IF(F3="1",SUMIF(Data!A:A,'43'!$A$2,Data!EH:EH),0)</f>
        <v>0</v>
      </c>
      <c r="F76" s="22" t="str">
        <f t="shared" si="4"/>
        <v/>
      </c>
    </row>
    <row r="77" spans="1:6" x14ac:dyDescent="0.2">
      <c r="A77" s="20">
        <v>11</v>
      </c>
      <c r="B77" s="172" t="s">
        <v>10</v>
      </c>
      <c r="C77" s="173"/>
      <c r="D77" s="15">
        <f t="shared" si="5"/>
        <v>0</v>
      </c>
      <c r="E77" s="18">
        <f>IF(F3="1",SUMIF(Data!A:A,'43'!$A$2,Data!EI:EI),0)</f>
        <v>0</v>
      </c>
      <c r="F77" s="22" t="str">
        <f t="shared" si="4"/>
        <v/>
      </c>
    </row>
    <row r="78" spans="1:6" ht="14.25" customHeight="1" x14ac:dyDescent="0.2">
      <c r="A78" s="20">
        <v>12</v>
      </c>
      <c r="B78" s="172" t="s">
        <v>11</v>
      </c>
      <c r="C78" s="173"/>
      <c r="D78" s="15">
        <f t="shared" si="5"/>
        <v>0</v>
      </c>
      <c r="E78" s="18">
        <f>IF(F3="1",SUMIF(Data!A:A,'43'!$A$2,Data!EJ:EJ),0)</f>
        <v>0</v>
      </c>
      <c r="F78" s="22" t="str">
        <f t="shared" si="4"/>
        <v/>
      </c>
    </row>
    <row r="79" spans="1:6" x14ac:dyDescent="0.2">
      <c r="A79" s="20">
        <v>13</v>
      </c>
      <c r="B79" s="172" t="s">
        <v>12</v>
      </c>
      <c r="C79" s="173"/>
      <c r="D79" s="15">
        <f t="shared" si="5"/>
        <v>0</v>
      </c>
      <c r="E79" s="18">
        <f>IF(F3="1",SUMIF(Data!A:A,'43'!$A$2,Data!EK:EK),0)</f>
        <v>0</v>
      </c>
      <c r="F79" s="22" t="str">
        <f t="shared" si="4"/>
        <v/>
      </c>
    </row>
    <row r="80" spans="1:6" ht="14.25" customHeight="1" x14ac:dyDescent="0.2">
      <c r="A80" s="20">
        <v>14</v>
      </c>
      <c r="B80" s="172" t="s">
        <v>469</v>
      </c>
      <c r="C80" s="173"/>
      <c r="D80" s="15">
        <f t="shared" si="5"/>
        <v>0</v>
      </c>
      <c r="E80" s="18">
        <f>IF(F3="1",SUMIF(Data!A:A,'43'!$A$2,Data!EL:EL),0)</f>
        <v>0</v>
      </c>
      <c r="F80" s="22" t="str">
        <f t="shared" si="4"/>
        <v/>
      </c>
    </row>
    <row r="81" spans="1:6" x14ac:dyDescent="0.2">
      <c r="A81" s="20">
        <v>15</v>
      </c>
      <c r="B81" s="172" t="s">
        <v>13</v>
      </c>
      <c r="C81" s="173"/>
      <c r="D81" s="15">
        <f t="shared" si="5"/>
        <v>0</v>
      </c>
      <c r="E81" s="18">
        <f>IF(F3="1",SUMIF(Data!A:A,'43'!$A$2,Data!EM:EM),0)</f>
        <v>0</v>
      </c>
      <c r="F81" s="22" t="str">
        <f t="shared" si="4"/>
        <v/>
      </c>
    </row>
    <row r="82" spans="1:6" x14ac:dyDescent="0.2">
      <c r="A82" s="20">
        <v>16</v>
      </c>
      <c r="B82" s="172" t="s">
        <v>14</v>
      </c>
      <c r="C82" s="173"/>
      <c r="D82" s="15">
        <f t="shared" si="5"/>
        <v>0</v>
      </c>
      <c r="E82" s="18">
        <f>IF(F3="1",SUMIF(Data!A:A,'43'!$A$2,Data!EN:EN),0)</f>
        <v>0</v>
      </c>
      <c r="F82" s="22" t="str">
        <f t="shared" si="4"/>
        <v/>
      </c>
    </row>
    <row r="83" spans="1:6" x14ac:dyDescent="0.2">
      <c r="A83" s="20">
        <v>17</v>
      </c>
      <c r="B83" s="172" t="s">
        <v>15</v>
      </c>
      <c r="C83" s="173"/>
      <c r="D83" s="15">
        <f t="shared" si="5"/>
        <v>0</v>
      </c>
      <c r="E83" s="18">
        <f>IF(F3="1",SUMIF(Data!A:A,'43'!$A$2,Data!EO:EO),0)</f>
        <v>0</v>
      </c>
      <c r="F83" s="22" t="str">
        <f t="shared" si="4"/>
        <v/>
      </c>
    </row>
    <row r="84" spans="1:6" x14ac:dyDescent="0.2">
      <c r="A84" s="20">
        <v>18</v>
      </c>
      <c r="B84" s="172" t="s">
        <v>16</v>
      </c>
      <c r="C84" s="173"/>
      <c r="D84" s="15">
        <f t="shared" si="5"/>
        <v>0</v>
      </c>
      <c r="E84" s="18">
        <f>IF(F3="1",SUMIF(Data!A:A,'43'!$A$2,Data!EP:EP),0)</f>
        <v>0</v>
      </c>
      <c r="F84" s="22" t="str">
        <f t="shared" si="4"/>
        <v/>
      </c>
    </row>
    <row r="85" spans="1:6" x14ac:dyDescent="0.2">
      <c r="A85" s="20">
        <v>19</v>
      </c>
      <c r="B85" s="172" t="s">
        <v>17</v>
      </c>
      <c r="C85" s="173"/>
      <c r="D85" s="15">
        <f t="shared" si="5"/>
        <v>0</v>
      </c>
      <c r="E85" s="18">
        <f>IF(F3="1",SUMIF(Data!A:A,'43'!$A$2,Data!EQ:EQ),0)</f>
        <v>0</v>
      </c>
      <c r="F85" s="22" t="str">
        <f t="shared" si="4"/>
        <v/>
      </c>
    </row>
    <row r="86" spans="1:6" x14ac:dyDescent="0.2">
      <c r="A86" s="20">
        <v>20</v>
      </c>
      <c r="B86" s="172" t="s">
        <v>18</v>
      </c>
      <c r="C86" s="173"/>
      <c r="D86" s="15">
        <f t="shared" si="5"/>
        <v>0</v>
      </c>
      <c r="E86" s="18">
        <f>IF(F3="1",SUMIF(Data!A:A,'43'!$A$2,Data!ER:ER),0)</f>
        <v>0</v>
      </c>
      <c r="F86" s="22" t="str">
        <f t="shared" si="4"/>
        <v/>
      </c>
    </row>
    <row r="87" spans="1:6" ht="14.25" customHeight="1" x14ac:dyDescent="0.2">
      <c r="A87" s="20">
        <v>21</v>
      </c>
      <c r="B87" s="172" t="s">
        <v>466</v>
      </c>
      <c r="C87" s="173"/>
      <c r="D87" s="15">
        <f t="shared" si="5"/>
        <v>0</v>
      </c>
      <c r="E87" s="18">
        <f>IF(F3="1",SUMIF(Data!A:A,'43'!$A$2,Data!ES:ES),0)</f>
        <v>0</v>
      </c>
      <c r="F87" s="22" t="str">
        <f t="shared" si="4"/>
        <v/>
      </c>
    </row>
    <row r="88" spans="1:6" x14ac:dyDescent="0.2">
      <c r="A88" s="20">
        <v>22</v>
      </c>
      <c r="B88" s="172" t="s">
        <v>19</v>
      </c>
      <c r="C88" s="173"/>
      <c r="D88" s="15">
        <f t="shared" si="5"/>
        <v>0</v>
      </c>
      <c r="E88" s="18">
        <f>IF(F3="1",SUMIF(Data!A:A,'43'!$A$2,Data!ET:ET),0)</f>
        <v>0</v>
      </c>
      <c r="F88" s="22" t="str">
        <f t="shared" si="4"/>
        <v/>
      </c>
    </row>
    <row r="89" spans="1:6" x14ac:dyDescent="0.2">
      <c r="A89" s="20">
        <v>23</v>
      </c>
      <c r="B89" s="172" t="s">
        <v>20</v>
      </c>
      <c r="C89" s="173"/>
      <c r="D89" s="15">
        <f t="shared" si="5"/>
        <v>0</v>
      </c>
      <c r="E89" s="18">
        <f>IF(F3="1",SUMIF(Data!A:A,'43'!$A$2,Data!EU:EU),0)</f>
        <v>0</v>
      </c>
      <c r="F89" s="22" t="str">
        <f t="shared" si="4"/>
        <v/>
      </c>
    </row>
    <row r="90" spans="1:6" x14ac:dyDescent="0.2">
      <c r="A90" s="20">
        <v>24</v>
      </c>
      <c r="B90" s="172" t="s">
        <v>21</v>
      </c>
      <c r="C90" s="173"/>
      <c r="D90" s="15">
        <f t="shared" si="5"/>
        <v>0</v>
      </c>
      <c r="E90" s="18">
        <f>IF(F3="1",SUMIF(Data!A:A,'43'!$A$2,Data!EV:EV),0)</f>
        <v>0</v>
      </c>
      <c r="F90" s="22" t="str">
        <f t="shared" si="4"/>
        <v/>
      </c>
    </row>
    <row r="91" spans="1:6" x14ac:dyDescent="0.2">
      <c r="A91" s="20">
        <v>25</v>
      </c>
      <c r="B91" s="172" t="s">
        <v>22</v>
      </c>
      <c r="C91" s="173"/>
      <c r="D91" s="15">
        <f t="shared" si="5"/>
        <v>0</v>
      </c>
      <c r="E91" s="18">
        <f>IF(F3="1",SUMIF(Data!A:A,'43'!$A$2,Data!EW:EW),0)</f>
        <v>0</v>
      </c>
      <c r="F91" s="22" t="str">
        <f t="shared" si="4"/>
        <v/>
      </c>
    </row>
    <row r="92" spans="1:6" x14ac:dyDescent="0.2">
      <c r="A92" s="20">
        <v>26</v>
      </c>
      <c r="B92" s="172" t="s">
        <v>23</v>
      </c>
      <c r="C92" s="173"/>
      <c r="D92" s="15">
        <f t="shared" si="5"/>
        <v>0</v>
      </c>
      <c r="E92" s="18">
        <f>IF(F3="1",SUMIF(Data!A:A,'43'!$A$2,Data!EX:EX),0)</f>
        <v>0</v>
      </c>
      <c r="F92" s="22" t="str">
        <f t="shared" si="4"/>
        <v/>
      </c>
    </row>
    <row r="93" spans="1:6" x14ac:dyDescent="0.2">
      <c r="A93" s="20">
        <v>28</v>
      </c>
      <c r="B93" s="172" t="s">
        <v>24</v>
      </c>
      <c r="C93" s="173"/>
      <c r="D93" s="15">
        <f t="shared" si="5"/>
        <v>0</v>
      </c>
      <c r="E93" s="18">
        <f>IF(F3="1",SUMIF(Data!A:A,'43'!$A$2,Data!EZ:EZ),0)</f>
        <v>0</v>
      </c>
      <c r="F93" s="22" t="str">
        <f t="shared" si="4"/>
        <v/>
      </c>
    </row>
    <row r="94" spans="1:6" ht="15.75" customHeight="1" thickBot="1" x14ac:dyDescent="0.25">
      <c r="A94" s="23">
        <v>29</v>
      </c>
      <c r="B94" s="174" t="s">
        <v>25</v>
      </c>
      <c r="C94" s="175"/>
      <c r="D94" s="24">
        <f t="shared" si="5"/>
        <v>0</v>
      </c>
      <c r="E94" s="25">
        <f>IF(F3="1",SUMIF(Data!A:A,'43'!$A$2,Data!FA:FA),0)</f>
        <v>0</v>
      </c>
      <c r="F94" s="26" t="str">
        <f t="shared" si="4"/>
        <v/>
      </c>
    </row>
    <row r="95" spans="1:6" x14ac:dyDescent="0.2">
      <c r="B95" s="31" t="s">
        <v>35</v>
      </c>
      <c r="C95" s="31"/>
      <c r="D95" s="61">
        <f>SUM(D67:D94)</f>
        <v>0</v>
      </c>
      <c r="E95" s="32">
        <f>SUM(E67:E94)</f>
        <v>0</v>
      </c>
      <c r="F95" s="33" t="str">
        <f t="shared" si="4"/>
        <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IF(F3="1",SUMIF(Data!A:A,'43'!$A$2,Data!AH:AH),0)</f>
        <v>0</v>
      </c>
      <c r="F98" s="21" t="str">
        <f>IF($D$105=0,"",ROUND(E98/$D$105,2))</f>
        <v/>
      </c>
    </row>
    <row r="99" spans="2:6" x14ac:dyDescent="0.2">
      <c r="B99" s="178" t="s">
        <v>31</v>
      </c>
      <c r="C99" s="179"/>
      <c r="D99" s="37"/>
      <c r="E99" s="18">
        <f>IF(F3="1",SUMIF(Data!A:A,'43'!$A$2,Data!AI:AI),0)</f>
        <v>0</v>
      </c>
      <c r="F99" s="22" t="str">
        <f t="shared" ref="F99:F105" si="6">IF($D$105=0,"",ROUND(E99/$D$105,2))</f>
        <v/>
      </c>
    </row>
    <row r="100" spans="2:6" x14ac:dyDescent="0.2">
      <c r="B100" s="178" t="s">
        <v>32</v>
      </c>
      <c r="C100" s="179"/>
      <c r="D100" s="37"/>
      <c r="E100" s="18">
        <f>IF(F3="1",SUMIF(Data!A:A,'43'!$A$2,Data!AJ:AJ),0)</f>
        <v>0</v>
      </c>
      <c r="F100" s="22" t="str">
        <f t="shared" si="6"/>
        <v/>
      </c>
    </row>
    <row r="101" spans="2:6" x14ac:dyDescent="0.2">
      <c r="B101" s="178" t="s">
        <v>28</v>
      </c>
      <c r="C101" s="179"/>
      <c r="D101" s="37"/>
      <c r="E101" s="18">
        <f>IF(F3="1",SUMIF(Data!A:A,'43'!$A$2,Data!AK:AK),0)</f>
        <v>0</v>
      </c>
      <c r="F101" s="22" t="str">
        <f t="shared" si="6"/>
        <v/>
      </c>
    </row>
    <row r="102" spans="2:6" x14ac:dyDescent="0.2">
      <c r="B102" s="178" t="s">
        <v>33</v>
      </c>
      <c r="C102" s="179"/>
      <c r="D102" s="37"/>
      <c r="E102" s="18">
        <f>IF(F3="1",SUMIF(Data!A:A,'43'!$A$2,Data!AL:AL),0)</f>
        <v>0</v>
      </c>
      <c r="F102" s="22" t="str">
        <f t="shared" si="6"/>
        <v/>
      </c>
    </row>
    <row r="103" spans="2:6" x14ac:dyDescent="0.2">
      <c r="B103" s="180" t="s">
        <v>34</v>
      </c>
      <c r="C103" s="181"/>
      <c r="D103" s="37"/>
      <c r="E103" s="18">
        <f>IF(F3="1",SUMIF(Data!A:A,'43'!$A$2,Data!AM:AM),0)</f>
        <v>0</v>
      </c>
      <c r="F103" s="22" t="str">
        <f t="shared" si="6"/>
        <v/>
      </c>
    </row>
    <row r="104" spans="2:6" ht="15.75" customHeight="1" thickBot="1" x14ac:dyDescent="0.25">
      <c r="B104" s="170" t="s">
        <v>29</v>
      </c>
      <c r="C104" s="171"/>
      <c r="D104" s="38"/>
      <c r="E104" s="25">
        <f>IF(F3="1",SUMIF(Data!A:A,'43'!$A$2,Data!Q:Q),0)</f>
        <v>0</v>
      </c>
      <c r="F104" s="26" t="str">
        <f t="shared" si="6"/>
        <v/>
      </c>
    </row>
    <row r="105" spans="2:6" x14ac:dyDescent="0.2">
      <c r="B105" s="31" t="s">
        <v>35</v>
      </c>
      <c r="C105" s="31"/>
      <c r="D105" s="35">
        <f>D95</f>
        <v>0</v>
      </c>
      <c r="E105" s="32">
        <f>SUM(E98:E104)</f>
        <v>0</v>
      </c>
      <c r="F105" s="33" t="str">
        <f t="shared" si="6"/>
        <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942</v>
      </c>
      <c r="C120" s="55"/>
      <c r="D120" s="55"/>
      <c r="E120" s="55">
        <f>IF(F3="1",SUMIF(Data!A:A,'43'!$A$2,Data!AM:AM),0)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370</v>
      </c>
      <c r="B2" s="60" t="str">
        <f>VLOOKUP(A2,Data!A:G,7,0)</f>
        <v>Trinity Valley Community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74336</v>
      </c>
      <c r="E5" s="16">
        <f>E36+E67+IFERROR($E$105/$D$105*D5,0)</f>
        <v>444453.82642440149</v>
      </c>
      <c r="F5" s="21">
        <f>IF(OR(D5=0,E5=0),"",ROUND(E5/D5,2))</f>
        <v>5.98</v>
      </c>
    </row>
    <row r="6" spans="1:6" x14ac:dyDescent="0.2">
      <c r="A6" s="20">
        <v>2</v>
      </c>
      <c r="B6" s="172" t="s">
        <v>1</v>
      </c>
      <c r="C6" s="173"/>
      <c r="D6" s="15">
        <f t="shared" ref="D6:D32" si="0">D37</f>
        <v>110816</v>
      </c>
      <c r="E6" s="18">
        <f t="shared" ref="E6:E32" si="1">E37+E68+IFERROR($E$105/$D$105*D6,0)</f>
        <v>469462.45368390111</v>
      </c>
      <c r="F6" s="22">
        <f t="shared" ref="F6:F33" si="2">IF(OR(D6=0,E6=0),"",ROUND(E6/D6,2))</f>
        <v>4.24</v>
      </c>
    </row>
    <row r="7" spans="1:6" ht="14.25" customHeight="1" x14ac:dyDescent="0.2">
      <c r="A7" s="20">
        <v>3</v>
      </c>
      <c r="B7" s="172" t="s">
        <v>2</v>
      </c>
      <c r="C7" s="173"/>
      <c r="D7" s="15">
        <f t="shared" si="0"/>
        <v>286752</v>
      </c>
      <c r="E7" s="18">
        <f t="shared" si="1"/>
        <v>1546690.9963792772</v>
      </c>
      <c r="F7" s="22">
        <f t="shared" si="2"/>
        <v>5.39</v>
      </c>
    </row>
    <row r="8" spans="1:6" ht="14.25" customHeight="1" x14ac:dyDescent="0.2">
      <c r="A8" s="20">
        <v>4</v>
      </c>
      <c r="B8" s="172" t="s">
        <v>3</v>
      </c>
      <c r="C8" s="173"/>
      <c r="D8" s="15">
        <f t="shared" si="0"/>
        <v>230030</v>
      </c>
      <c r="E8" s="18">
        <f t="shared" si="1"/>
        <v>1583247.7132264995</v>
      </c>
      <c r="F8" s="22">
        <f t="shared" si="2"/>
        <v>6.88</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50739</v>
      </c>
      <c r="E10" s="18">
        <f t="shared" si="1"/>
        <v>182348.02827630899</v>
      </c>
      <c r="F10" s="22">
        <f t="shared" si="2"/>
        <v>3.59</v>
      </c>
    </row>
    <row r="11" spans="1:6" x14ac:dyDescent="0.2">
      <c r="A11" s="20">
        <v>7</v>
      </c>
      <c r="B11" s="172" t="s">
        <v>6</v>
      </c>
      <c r="C11" s="173"/>
      <c r="D11" s="15">
        <f t="shared" si="0"/>
        <v>284808</v>
      </c>
      <c r="E11" s="18">
        <f t="shared" si="1"/>
        <v>1081324.9267687383</v>
      </c>
      <c r="F11" s="22">
        <f t="shared" si="2"/>
        <v>3.8</v>
      </c>
    </row>
    <row r="12" spans="1:6" x14ac:dyDescent="0.2">
      <c r="A12" s="20">
        <v>8</v>
      </c>
      <c r="B12" s="172" t="s">
        <v>7</v>
      </c>
      <c r="C12" s="173"/>
      <c r="D12" s="15">
        <f t="shared" si="0"/>
        <v>56869</v>
      </c>
      <c r="E12" s="18">
        <f t="shared" si="1"/>
        <v>317548.58625604399</v>
      </c>
      <c r="F12" s="22">
        <f t="shared" si="2"/>
        <v>5.58</v>
      </c>
    </row>
    <row r="13" spans="1:6" x14ac:dyDescent="0.2">
      <c r="A13" s="20">
        <v>9</v>
      </c>
      <c r="B13" s="172" t="s">
        <v>8</v>
      </c>
      <c r="C13" s="173"/>
      <c r="D13" s="15">
        <f t="shared" si="0"/>
        <v>228293</v>
      </c>
      <c r="E13" s="18">
        <f t="shared" si="1"/>
        <v>1110627.0908430084</v>
      </c>
      <c r="F13" s="22">
        <f t="shared" si="2"/>
        <v>4.8600000000000003</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162276</v>
      </c>
      <c r="E15" s="18">
        <f t="shared" si="1"/>
        <v>769365.39718099125</v>
      </c>
      <c r="F15" s="22">
        <f t="shared" si="2"/>
        <v>4.74</v>
      </c>
    </row>
    <row r="16" spans="1:6" ht="14.25" customHeight="1" x14ac:dyDescent="0.2">
      <c r="A16" s="20">
        <v>12</v>
      </c>
      <c r="B16" s="172" t="s">
        <v>11</v>
      </c>
      <c r="C16" s="173"/>
      <c r="D16" s="15">
        <f t="shared" si="0"/>
        <v>338624</v>
      </c>
      <c r="E16" s="18">
        <f t="shared" si="1"/>
        <v>1745548.4628596711</v>
      </c>
      <c r="F16" s="22">
        <f t="shared" si="2"/>
        <v>5.15</v>
      </c>
    </row>
    <row r="17" spans="1:6" x14ac:dyDescent="0.2">
      <c r="A17" s="20">
        <v>13</v>
      </c>
      <c r="B17" s="172" t="s">
        <v>12</v>
      </c>
      <c r="C17" s="173"/>
      <c r="D17" s="15">
        <f t="shared" si="0"/>
        <v>48144</v>
      </c>
      <c r="E17" s="18">
        <f t="shared" si="1"/>
        <v>176770.04492273438</v>
      </c>
      <c r="F17" s="22">
        <f t="shared" si="2"/>
        <v>3.67</v>
      </c>
    </row>
    <row r="18" spans="1:6" ht="14.25" customHeight="1" x14ac:dyDescent="0.2">
      <c r="A18" s="20">
        <v>14</v>
      </c>
      <c r="B18" s="172" t="s">
        <v>469</v>
      </c>
      <c r="C18" s="173"/>
      <c r="D18" s="15">
        <f t="shared" si="0"/>
        <v>174841</v>
      </c>
      <c r="E18" s="18">
        <f t="shared" si="1"/>
        <v>1280169.1624363535</v>
      </c>
      <c r="F18" s="22">
        <f t="shared" si="2"/>
        <v>7.32</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98515</v>
      </c>
      <c r="E20" s="18">
        <f t="shared" si="1"/>
        <v>606883.72257317998</v>
      </c>
      <c r="F20" s="22">
        <f t="shared" si="2"/>
        <v>6.16</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90012</v>
      </c>
      <c r="E22" s="18">
        <f t="shared" si="1"/>
        <v>497678.41449786408</v>
      </c>
      <c r="F22" s="22">
        <f t="shared" si="2"/>
        <v>5.53</v>
      </c>
    </row>
    <row r="23" spans="1:6" x14ac:dyDescent="0.2">
      <c r="A23" s="20">
        <v>19</v>
      </c>
      <c r="B23" s="172" t="s">
        <v>17</v>
      </c>
      <c r="C23" s="173"/>
      <c r="D23" s="15">
        <f t="shared" si="0"/>
        <v>249787</v>
      </c>
      <c r="E23" s="18">
        <f t="shared" si="1"/>
        <v>1419874.2874525394</v>
      </c>
      <c r="F23" s="22">
        <f t="shared" si="2"/>
        <v>5.68</v>
      </c>
    </row>
    <row r="24" spans="1:6" x14ac:dyDescent="0.2">
      <c r="A24" s="20">
        <v>20</v>
      </c>
      <c r="B24" s="172" t="s">
        <v>18</v>
      </c>
      <c r="C24" s="173"/>
      <c r="D24" s="15">
        <f t="shared" si="0"/>
        <v>76144</v>
      </c>
      <c r="E24" s="18">
        <f t="shared" si="1"/>
        <v>402082.63602103456</v>
      </c>
      <c r="F24" s="22">
        <f t="shared" si="2"/>
        <v>5.28</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39320</v>
      </c>
      <c r="E26" s="18">
        <f t="shared" si="1"/>
        <v>144928.11578518437</v>
      </c>
      <c r="F26" s="22">
        <f t="shared" si="2"/>
        <v>3.69</v>
      </c>
    </row>
    <row r="27" spans="1:6" x14ac:dyDescent="0.2">
      <c r="A27" s="20">
        <v>23</v>
      </c>
      <c r="B27" s="172" t="s">
        <v>20</v>
      </c>
      <c r="C27" s="173"/>
      <c r="D27" s="15">
        <f t="shared" si="0"/>
        <v>49872</v>
      </c>
      <c r="E27" s="18">
        <f t="shared" si="1"/>
        <v>376836.99568765808</v>
      </c>
      <c r="F27" s="22">
        <f t="shared" si="2"/>
        <v>7.56</v>
      </c>
    </row>
    <row r="28" spans="1:6" x14ac:dyDescent="0.2">
      <c r="A28" s="20">
        <v>24</v>
      </c>
      <c r="B28" s="172" t="s">
        <v>21</v>
      </c>
      <c r="C28" s="173"/>
      <c r="D28" s="15">
        <f t="shared" si="0"/>
        <v>50952</v>
      </c>
      <c r="E28" s="18">
        <f t="shared" si="1"/>
        <v>246042.58991573536</v>
      </c>
      <c r="F28" s="22">
        <f t="shared" si="2"/>
        <v>4.83</v>
      </c>
    </row>
    <row r="29" spans="1:6" x14ac:dyDescent="0.2">
      <c r="A29" s="20">
        <v>25</v>
      </c>
      <c r="B29" s="172" t="s">
        <v>22</v>
      </c>
      <c r="C29" s="173"/>
      <c r="D29" s="15">
        <f t="shared" si="0"/>
        <v>419712</v>
      </c>
      <c r="E29" s="18">
        <f t="shared" si="1"/>
        <v>2098354.3746803487</v>
      </c>
      <c r="F29" s="22">
        <f t="shared" si="2"/>
        <v>5</v>
      </c>
    </row>
    <row r="30" spans="1:6" x14ac:dyDescent="0.2">
      <c r="A30" s="20">
        <v>26</v>
      </c>
      <c r="B30" s="172" t="s">
        <v>23</v>
      </c>
      <c r="C30" s="173"/>
      <c r="D30" s="15">
        <f t="shared" si="0"/>
        <v>138176</v>
      </c>
      <c r="E30" s="18">
        <f t="shared" si="1"/>
        <v>1086660.1741285259</v>
      </c>
      <c r="F30" s="22">
        <f t="shared" si="2"/>
        <v>7.86</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3259018</v>
      </c>
      <c r="E33" s="32">
        <f>SUM(E5:E32)</f>
        <v>17586898</v>
      </c>
      <c r="F33" s="33">
        <f t="shared" si="2"/>
        <v>5.4</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IF(F3="1",SUMIF(Data!A:A,'44'!$A$2,Data!CU:CU),0)</f>
        <v>74336</v>
      </c>
      <c r="E36" s="16">
        <f>IF(F3="1",SUMIF(Data!$A:$A,'44'!$A$2,Data!IO:IO),0)</f>
        <v>62522</v>
      </c>
      <c r="F36" s="21">
        <f>IF(D36=0,"",ROUND(E36/D36,2))</f>
        <v>0.84</v>
      </c>
    </row>
    <row r="37" spans="1:6" x14ac:dyDescent="0.2">
      <c r="A37" s="20">
        <v>2</v>
      </c>
      <c r="B37" s="172" t="s">
        <v>1</v>
      </c>
      <c r="C37" s="173"/>
      <c r="D37" s="15">
        <f>IF(F3="1",SUMIF(Data!A:A,'44'!$A$2,Data!CV:CV),0)</f>
        <v>110816</v>
      </c>
      <c r="E37" s="18">
        <f>IF(F3="1",SUMIF(Data!$A:$A,'44'!$A$2,Data!IP:IP),0)</f>
        <v>60576</v>
      </c>
      <c r="F37" s="22">
        <f t="shared" ref="F37:F64" si="3">IF(D37=0,"",ROUND(E37/D37,2))</f>
        <v>0.55000000000000004</v>
      </c>
    </row>
    <row r="38" spans="1:6" ht="14.25" customHeight="1" x14ac:dyDescent="0.2">
      <c r="A38" s="20">
        <v>3</v>
      </c>
      <c r="B38" s="172" t="s">
        <v>2</v>
      </c>
      <c r="C38" s="173"/>
      <c r="D38" s="15">
        <f>IF(F3="1",SUMIF(Data!A:A,'44'!$A$2,Data!CW:CW),0)</f>
        <v>286752</v>
      </c>
      <c r="E38" s="18">
        <f>IF(F3="1",SUMIF(Data!$A:$A,'44'!$A$2,Data!IQ:IQ),0)</f>
        <v>161434</v>
      </c>
      <c r="F38" s="22">
        <f t="shared" si="3"/>
        <v>0.56000000000000005</v>
      </c>
    </row>
    <row r="39" spans="1:6" ht="14.25" customHeight="1" x14ac:dyDescent="0.2">
      <c r="A39" s="20">
        <v>4</v>
      </c>
      <c r="B39" s="172" t="s">
        <v>3</v>
      </c>
      <c r="C39" s="173"/>
      <c r="D39" s="15">
        <f>IF(F3="1",SUMIF(Data!A:A,'44'!$A$2,Data!CX:CX),0)</f>
        <v>230030</v>
      </c>
      <c r="E39" s="18">
        <f>IF(F3="1",SUMIF(Data!$A:$A,'44'!$A$2,Data!IR:IR),0)</f>
        <v>243175</v>
      </c>
      <c r="F39" s="22">
        <f t="shared" si="3"/>
        <v>1.06</v>
      </c>
    </row>
    <row r="40" spans="1:6" x14ac:dyDescent="0.2">
      <c r="A40" s="20">
        <v>5</v>
      </c>
      <c r="B40" s="172" t="s">
        <v>4</v>
      </c>
      <c r="C40" s="173"/>
      <c r="D40" s="15">
        <f>IF(F3="1",SUMIF(Data!A:A,'44'!$A$2,Data!CY:CY),0)</f>
        <v>0</v>
      </c>
      <c r="E40" s="18">
        <f>IF(F3="1",SUMIF(Data!$A:$A,'44'!$A$2,Data!IS:IS),0)</f>
        <v>0</v>
      </c>
      <c r="F40" s="22" t="str">
        <f t="shared" si="3"/>
        <v/>
      </c>
    </row>
    <row r="41" spans="1:6" x14ac:dyDescent="0.2">
      <c r="A41" s="20">
        <v>6</v>
      </c>
      <c r="B41" s="172" t="s">
        <v>5</v>
      </c>
      <c r="C41" s="173"/>
      <c r="D41" s="15">
        <f>IF(F3="1",SUMIF(Data!A:A,'44'!$A$2,Data!CZ:CZ),0)</f>
        <v>50739</v>
      </c>
      <c r="E41" s="18">
        <f>IF(F3="1",SUMIF(Data!$A:$A,'44'!$A$2,Data!IT:IT),0)</f>
        <v>35288</v>
      </c>
      <c r="F41" s="22">
        <f t="shared" si="3"/>
        <v>0.7</v>
      </c>
    </row>
    <row r="42" spans="1:6" x14ac:dyDescent="0.2">
      <c r="A42" s="20">
        <v>7</v>
      </c>
      <c r="B42" s="172" t="s">
        <v>6</v>
      </c>
      <c r="C42" s="173"/>
      <c r="D42" s="15">
        <f>IF(F3="1",SUMIF(Data!A:A,'44'!$A$2,Data!DA:DA),0)</f>
        <v>284808</v>
      </c>
      <c r="E42" s="18">
        <f>IF(F3="1",SUMIF(Data!$A:$A,'44'!$A$2,Data!IU:IU),0)</f>
        <v>51165</v>
      </c>
      <c r="F42" s="22">
        <f t="shared" si="3"/>
        <v>0.18</v>
      </c>
    </row>
    <row r="43" spans="1:6" x14ac:dyDescent="0.2">
      <c r="A43" s="20">
        <v>8</v>
      </c>
      <c r="B43" s="172" t="s">
        <v>7</v>
      </c>
      <c r="C43" s="173"/>
      <c r="D43" s="15">
        <f>IF(F3="1",SUMIF(Data!A:A,'44'!$A$2,Data!DB:DB),0)</f>
        <v>56869</v>
      </c>
      <c r="E43" s="18">
        <f>IF(F3="1",SUMIF(Data!$A:$A,'44'!$A$2,Data!IV:IV),0)</f>
        <v>27165</v>
      </c>
      <c r="F43" s="22">
        <f t="shared" si="3"/>
        <v>0.48</v>
      </c>
    </row>
    <row r="44" spans="1:6" x14ac:dyDescent="0.2">
      <c r="A44" s="20">
        <v>9</v>
      </c>
      <c r="B44" s="172" t="s">
        <v>8</v>
      </c>
      <c r="C44" s="173"/>
      <c r="D44" s="15">
        <f>IF(F3="1",SUMIF(Data!A:A,'44'!$A$2,Data!DC:DC),0)</f>
        <v>228293</v>
      </c>
      <c r="E44" s="18">
        <f>IF(F3="1",SUMIF(Data!$A:$A,'44'!$A$2,Data!IW:IW),0)</f>
        <v>143239</v>
      </c>
      <c r="F44" s="22">
        <f t="shared" si="3"/>
        <v>0.63</v>
      </c>
    </row>
    <row r="45" spans="1:6" x14ac:dyDescent="0.2">
      <c r="A45" s="20">
        <v>10</v>
      </c>
      <c r="B45" s="172" t="s">
        <v>9</v>
      </c>
      <c r="C45" s="173"/>
      <c r="D45" s="15">
        <f>IF(F3="1",SUMIF(Data!A:A,'44'!$A$2,Data!DD:DD),0)</f>
        <v>0</v>
      </c>
      <c r="E45" s="18">
        <f>IF(F3="1",SUMIF(Data!$A:$A,'44'!$A$2,Data!IX:IX),0)</f>
        <v>0</v>
      </c>
      <c r="F45" s="22" t="str">
        <f t="shared" si="3"/>
        <v/>
      </c>
    </row>
    <row r="46" spans="1:6" x14ac:dyDescent="0.2">
      <c r="A46" s="20">
        <v>11</v>
      </c>
      <c r="B46" s="172" t="s">
        <v>10</v>
      </c>
      <c r="C46" s="173"/>
      <c r="D46" s="15">
        <f>IF(F3="1",SUMIF(Data!A:A,'44'!$A$2,Data!DE:DE),0)</f>
        <v>162276</v>
      </c>
      <c r="E46" s="18">
        <f>IF(F3="1",SUMIF(Data!$A:$A,'44'!$A$2,Data!IY:IY),0)</f>
        <v>85226</v>
      </c>
      <c r="F46" s="22">
        <f t="shared" si="3"/>
        <v>0.53</v>
      </c>
    </row>
    <row r="47" spans="1:6" ht="14.25" customHeight="1" x14ac:dyDescent="0.2">
      <c r="A47" s="20">
        <v>12</v>
      </c>
      <c r="B47" s="172" t="s">
        <v>11</v>
      </c>
      <c r="C47" s="173"/>
      <c r="D47" s="15">
        <f>IF(F3="1",SUMIF(Data!A:A,'44'!$A$2,Data!DF:DF),0)</f>
        <v>338624</v>
      </c>
      <c r="E47" s="18">
        <f>IF(F3="1",SUMIF(Data!$A:$A,'44'!$A$2,Data!IZ:IZ),0)</f>
        <v>164335</v>
      </c>
      <c r="F47" s="22">
        <f t="shared" si="3"/>
        <v>0.49</v>
      </c>
    </row>
    <row r="48" spans="1:6" x14ac:dyDescent="0.2">
      <c r="A48" s="20">
        <v>13</v>
      </c>
      <c r="B48" s="172" t="s">
        <v>12</v>
      </c>
      <c r="C48" s="173"/>
      <c r="D48" s="15">
        <f>IF(F3="1",SUMIF(Data!A:A,'44'!$A$2,Data!DG:DG),0)</f>
        <v>48144</v>
      </c>
      <c r="E48" s="18">
        <f>IF(F3="1",SUMIF(Data!$A:$A,'44'!$A$2,Data!JA:JA),0)</f>
        <v>13165</v>
      </c>
      <c r="F48" s="22">
        <f t="shared" si="3"/>
        <v>0.27</v>
      </c>
    </row>
    <row r="49" spans="1:6" ht="14.25" customHeight="1" x14ac:dyDescent="0.2">
      <c r="A49" s="20">
        <v>14</v>
      </c>
      <c r="B49" s="172" t="s">
        <v>469</v>
      </c>
      <c r="C49" s="173"/>
      <c r="D49" s="15">
        <f>IF(F3="1",SUMIF(Data!A:A,'44'!$A$2,Data!DH:DH),0)</f>
        <v>174841</v>
      </c>
      <c r="E49" s="18">
        <f>IF(F3="1",SUMIF(Data!$A:$A,'44'!$A$2,Data!JB:JB),0)</f>
        <v>163750</v>
      </c>
      <c r="F49" s="22">
        <f t="shared" si="3"/>
        <v>0.94</v>
      </c>
    </row>
    <row r="50" spans="1:6" x14ac:dyDescent="0.2">
      <c r="A50" s="20">
        <v>15</v>
      </c>
      <c r="B50" s="172" t="s">
        <v>13</v>
      </c>
      <c r="C50" s="173"/>
      <c r="D50" s="15">
        <f>IF(F3="1",SUMIF(Data!A:A,'44'!$A$2,Data!DI:DI),0)</f>
        <v>0</v>
      </c>
      <c r="E50" s="18">
        <f>IF(F3="1",SUMIF(Data!$A:$A,'44'!$A$2,Data!JC:JC),0)</f>
        <v>0</v>
      </c>
      <c r="F50" s="22" t="str">
        <f t="shared" si="3"/>
        <v/>
      </c>
    </row>
    <row r="51" spans="1:6" x14ac:dyDescent="0.2">
      <c r="A51" s="20">
        <v>16</v>
      </c>
      <c r="B51" s="172" t="s">
        <v>14</v>
      </c>
      <c r="C51" s="173"/>
      <c r="D51" s="15">
        <f>IF(F3="1",SUMIF(Data!A:A,'44'!$A$2,Data!DJ:DJ),0)</f>
        <v>98515</v>
      </c>
      <c r="E51" s="18">
        <f>IF(F3="1",SUMIF(Data!$A:$A,'44'!$A$2,Data!JD:JD),0)</f>
        <v>88861</v>
      </c>
      <c r="F51" s="22">
        <f t="shared" si="3"/>
        <v>0.9</v>
      </c>
    </row>
    <row r="52" spans="1:6" x14ac:dyDescent="0.2">
      <c r="A52" s="20">
        <v>17</v>
      </c>
      <c r="B52" s="172" t="s">
        <v>15</v>
      </c>
      <c r="C52" s="173"/>
      <c r="D52" s="15">
        <f>IF(F3="1",SUMIF(Data!A:A,'44'!$A$2,Data!DK:DK),0)</f>
        <v>0</v>
      </c>
      <c r="E52" s="18">
        <f>IF(F3="1",SUMIF(Data!$A:$A,'44'!$A$2,Data!JE:JE),0)</f>
        <v>0</v>
      </c>
      <c r="F52" s="22" t="str">
        <f t="shared" si="3"/>
        <v/>
      </c>
    </row>
    <row r="53" spans="1:6" x14ac:dyDescent="0.2">
      <c r="A53" s="20">
        <v>18</v>
      </c>
      <c r="B53" s="172" t="s">
        <v>16</v>
      </c>
      <c r="C53" s="173"/>
      <c r="D53" s="15">
        <f>IF(F3="1",SUMIF(Data!A:A,'44'!$A$2,Data!DL:DL),0)</f>
        <v>90012</v>
      </c>
      <c r="E53" s="18">
        <f>IF(F3="1",SUMIF(Data!$A:$A,'44'!$A$2,Data!JF:JF),0)</f>
        <v>66316</v>
      </c>
      <c r="F53" s="22">
        <f t="shared" si="3"/>
        <v>0.74</v>
      </c>
    </row>
    <row r="54" spans="1:6" x14ac:dyDescent="0.2">
      <c r="A54" s="20">
        <v>19</v>
      </c>
      <c r="B54" s="172" t="s">
        <v>17</v>
      </c>
      <c r="C54" s="173"/>
      <c r="D54" s="15">
        <f>IF(F3="1",SUMIF(Data!A:A,'44'!$A$2,Data!DM:DM),0)</f>
        <v>249787</v>
      </c>
      <c r="E54" s="18">
        <f>IF(F3="1",SUMIF(Data!$A:$A,'44'!$A$2,Data!JG:JG),0)</f>
        <v>137056</v>
      </c>
      <c r="F54" s="22">
        <f t="shared" si="3"/>
        <v>0.55000000000000004</v>
      </c>
    </row>
    <row r="55" spans="1:6" x14ac:dyDescent="0.2">
      <c r="A55" s="20">
        <v>20</v>
      </c>
      <c r="B55" s="172" t="s">
        <v>18</v>
      </c>
      <c r="C55" s="173"/>
      <c r="D55" s="15">
        <f>IF(F3="1",SUMIF(Data!A:A,'44'!$A$2,Data!DN:DN),0)</f>
        <v>76144</v>
      </c>
      <c r="E55" s="18">
        <f>IF(F3="1",SUMIF(Data!$A:$A,'44'!$A$2,Data!JH:JH),0)</f>
        <v>45001</v>
      </c>
      <c r="F55" s="22">
        <f t="shared" si="3"/>
        <v>0.59</v>
      </c>
    </row>
    <row r="56" spans="1:6" ht="14.25" customHeight="1" x14ac:dyDescent="0.2">
      <c r="A56" s="20">
        <v>21</v>
      </c>
      <c r="B56" s="172" t="s">
        <v>466</v>
      </c>
      <c r="C56" s="173"/>
      <c r="D56" s="15">
        <f>IF(F3="1",SUMIF(Data!A:A,'44'!$A$2,Data!DO:DO),0)</f>
        <v>0</v>
      </c>
      <c r="E56" s="18">
        <f>IF(F3="1",SUMIF(Data!$A:$A,'44'!$A$2,Data!JI:JI),0)</f>
        <v>0</v>
      </c>
      <c r="F56" s="22" t="str">
        <f t="shared" si="3"/>
        <v/>
      </c>
    </row>
    <row r="57" spans="1:6" x14ac:dyDescent="0.2">
      <c r="A57" s="20">
        <v>22</v>
      </c>
      <c r="B57" s="172" t="s">
        <v>19</v>
      </c>
      <c r="C57" s="173"/>
      <c r="D57" s="15">
        <f>IF(F3="1",SUMIF(Data!A:A,'44'!$A$2,Data!DP:DP),0)</f>
        <v>39320</v>
      </c>
      <c r="E57" s="18">
        <f>IF(F3="1",SUMIF(Data!$A:$A,'44'!$A$2,Data!JJ:JJ),0)</f>
        <v>12571</v>
      </c>
      <c r="F57" s="22">
        <f t="shared" si="3"/>
        <v>0.32</v>
      </c>
    </row>
    <row r="58" spans="1:6" x14ac:dyDescent="0.2">
      <c r="A58" s="20">
        <v>23</v>
      </c>
      <c r="B58" s="172" t="s">
        <v>20</v>
      </c>
      <c r="C58" s="173"/>
      <c r="D58" s="15">
        <f>IF(F3="1",SUMIF(Data!A:A,'44'!$A$2,Data!DQ:DQ),0)</f>
        <v>49872</v>
      </c>
      <c r="E58" s="18">
        <f>IF(F3="1",SUMIF(Data!$A:$A,'44'!$A$2,Data!JK:JK),0)</f>
        <v>42510</v>
      </c>
      <c r="F58" s="22">
        <f t="shared" si="3"/>
        <v>0.85</v>
      </c>
    </row>
    <row r="59" spans="1:6" x14ac:dyDescent="0.2">
      <c r="A59" s="20">
        <v>24</v>
      </c>
      <c r="B59" s="172" t="s">
        <v>21</v>
      </c>
      <c r="C59" s="173"/>
      <c r="D59" s="15">
        <f>IF(F3="1",SUMIF(Data!A:A,'44'!$A$2,Data!DR:DR),0)</f>
        <v>50952</v>
      </c>
      <c r="E59" s="18">
        <f>IF(F3="1",SUMIF(Data!$A:$A,'44'!$A$2,Data!JL:JL),0)</f>
        <v>18655</v>
      </c>
      <c r="F59" s="22">
        <f t="shared" si="3"/>
        <v>0.37</v>
      </c>
    </row>
    <row r="60" spans="1:6" x14ac:dyDescent="0.2">
      <c r="A60" s="20">
        <v>25</v>
      </c>
      <c r="B60" s="172" t="s">
        <v>22</v>
      </c>
      <c r="C60" s="173"/>
      <c r="D60" s="15">
        <f>IF(F3="1",SUMIF(Data!A:A,'44'!$A$2,Data!DS:DS),0)</f>
        <v>419712</v>
      </c>
      <c r="E60" s="18">
        <f>IF(F3="1",SUMIF(Data!$A:$A,'44'!$A$2,Data!JM:JM),0)</f>
        <v>157450</v>
      </c>
      <c r="F60" s="22">
        <f t="shared" si="3"/>
        <v>0.38</v>
      </c>
    </row>
    <row r="61" spans="1:6" x14ac:dyDescent="0.2">
      <c r="A61" s="20">
        <v>26</v>
      </c>
      <c r="B61" s="172" t="s">
        <v>23</v>
      </c>
      <c r="C61" s="173"/>
      <c r="D61" s="15">
        <f>IF(F3="1",SUMIF(Data!A:A,'44'!$A$2,Data!DT:DT),0)</f>
        <v>138176</v>
      </c>
      <c r="E61" s="18">
        <f>IF(F3="1",SUMIF(Data!$A:$A,'44'!$A$2,Data!JN:JN),0)</f>
        <v>160201</v>
      </c>
      <c r="F61" s="22">
        <f t="shared" si="3"/>
        <v>1.1599999999999999</v>
      </c>
    </row>
    <row r="62" spans="1:6" x14ac:dyDescent="0.2">
      <c r="A62" s="20">
        <v>28</v>
      </c>
      <c r="B62" s="172" t="s">
        <v>24</v>
      </c>
      <c r="C62" s="173"/>
      <c r="D62" s="15">
        <f>IF(F3="1",SUMIF(Data!A:A,'44'!$A$2,Data!DV:DV),0)</f>
        <v>0</v>
      </c>
      <c r="E62" s="18">
        <f>IF(F3="1",SUMIF(Data!$A:$A,'44'!$A$2,Data!JP:JP),0)</f>
        <v>0</v>
      </c>
      <c r="F62" s="22" t="str">
        <f t="shared" si="3"/>
        <v/>
      </c>
    </row>
    <row r="63" spans="1:6" ht="15.75" customHeight="1" thickBot="1" x14ac:dyDescent="0.25">
      <c r="A63" s="23">
        <v>29</v>
      </c>
      <c r="B63" s="174" t="s">
        <v>25</v>
      </c>
      <c r="C63" s="175"/>
      <c r="D63" s="24">
        <f>IF(F3="1",SUMIF(Data!A:A,'44'!$A$2,Data!DW:DW),0)</f>
        <v>0</v>
      </c>
      <c r="E63" s="25">
        <f>IF(F3="1",SUMIF(Data!$A:$A,'44'!$A$2,Data!JQ:JQ),0)</f>
        <v>0</v>
      </c>
      <c r="F63" s="26" t="str">
        <f t="shared" si="3"/>
        <v/>
      </c>
    </row>
    <row r="64" spans="1:6" x14ac:dyDescent="0.2">
      <c r="B64" s="31" t="s">
        <v>35</v>
      </c>
      <c r="C64" s="31"/>
      <c r="D64" s="61">
        <f>SUM(D36:D63)</f>
        <v>3259018</v>
      </c>
      <c r="E64" s="32">
        <f>SUM(E36:E63)</f>
        <v>1939661</v>
      </c>
      <c r="F64" s="33">
        <f t="shared" si="3"/>
        <v>0.6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74336</v>
      </c>
      <c r="E67" s="16">
        <f>IF(F3="1",SUMIF(Data!A:A,'44'!$A$2,Data!DY:DY),0)</f>
        <v>219453</v>
      </c>
      <c r="F67" s="21">
        <f t="shared" ref="F67:F95" si="4">IF(D67=0,"",ROUND(E67/D67,2))</f>
        <v>2.95</v>
      </c>
    </row>
    <row r="68" spans="1:6" x14ac:dyDescent="0.2">
      <c r="A68" s="20">
        <v>2</v>
      </c>
      <c r="B68" s="172" t="s">
        <v>1</v>
      </c>
      <c r="C68" s="173"/>
      <c r="D68" s="15">
        <f t="shared" ref="D68:D94" si="5">D37</f>
        <v>110816</v>
      </c>
      <c r="E68" s="18">
        <f>IF(F3="1",SUMIF(Data!A:A,'44'!$A$2,Data!DZ:DZ),0)</f>
        <v>166672</v>
      </c>
      <c r="F68" s="22">
        <f t="shared" si="4"/>
        <v>1.5</v>
      </c>
    </row>
    <row r="69" spans="1:6" ht="14.25" customHeight="1" x14ac:dyDescent="0.2">
      <c r="A69" s="20">
        <v>3</v>
      </c>
      <c r="B69" s="172" t="s">
        <v>2</v>
      </c>
      <c r="C69" s="173"/>
      <c r="D69" s="15">
        <f t="shared" si="5"/>
        <v>286752</v>
      </c>
      <c r="E69" s="18">
        <f>IF(F3="1",SUMIF(Data!A:A,'44'!$A$2,Data!EA:EA),0)</f>
        <v>758493</v>
      </c>
      <c r="F69" s="22">
        <f t="shared" si="4"/>
        <v>2.65</v>
      </c>
    </row>
    <row r="70" spans="1:6" ht="14.25" customHeight="1" x14ac:dyDescent="0.2">
      <c r="A70" s="20">
        <v>4</v>
      </c>
      <c r="B70" s="172" t="s">
        <v>3</v>
      </c>
      <c r="C70" s="173"/>
      <c r="D70" s="15">
        <f t="shared" si="5"/>
        <v>230030</v>
      </c>
      <c r="E70" s="18">
        <f>IF(F3="1",SUMIF(Data!A:A,'44'!$A$2,Data!EB:EB),0)</f>
        <v>837288</v>
      </c>
      <c r="F70" s="22">
        <f t="shared" si="4"/>
        <v>3.64</v>
      </c>
    </row>
    <row r="71" spans="1:6" x14ac:dyDescent="0.2">
      <c r="A71" s="20">
        <v>5</v>
      </c>
      <c r="B71" s="172" t="s">
        <v>4</v>
      </c>
      <c r="C71" s="173"/>
      <c r="D71" s="15">
        <f t="shared" si="5"/>
        <v>0</v>
      </c>
      <c r="E71" s="18">
        <f>IF(F3="1",SUMIF(Data!A:A,'44'!$A$2,Data!EC:EC),0)</f>
        <v>0</v>
      </c>
      <c r="F71" s="22" t="str">
        <f t="shared" si="4"/>
        <v/>
      </c>
    </row>
    <row r="72" spans="1:6" x14ac:dyDescent="0.2">
      <c r="A72" s="20">
        <v>6</v>
      </c>
      <c r="B72" s="172" t="s">
        <v>5</v>
      </c>
      <c r="C72" s="173"/>
      <c r="D72" s="15">
        <f t="shared" si="5"/>
        <v>50739</v>
      </c>
      <c r="E72" s="18">
        <f>IF(F3="1",SUMIF(Data!A:A,'44'!$A$2,Data!ED:ED),0)</f>
        <v>36158</v>
      </c>
      <c r="F72" s="22">
        <f t="shared" si="4"/>
        <v>0.71</v>
      </c>
    </row>
    <row r="73" spans="1:6" x14ac:dyDescent="0.2">
      <c r="A73" s="20">
        <v>7</v>
      </c>
      <c r="B73" s="172" t="s">
        <v>6</v>
      </c>
      <c r="C73" s="173"/>
      <c r="D73" s="15">
        <f t="shared" si="5"/>
        <v>284808</v>
      </c>
      <c r="E73" s="18">
        <f>IF(F3="1",SUMIF(Data!A:A,'44'!$A$2,Data!EE:EE),0)</f>
        <v>407645</v>
      </c>
      <c r="F73" s="22">
        <f t="shared" si="4"/>
        <v>1.43</v>
      </c>
    </row>
    <row r="74" spans="1:6" x14ac:dyDescent="0.2">
      <c r="A74" s="20">
        <v>8</v>
      </c>
      <c r="B74" s="172" t="s">
        <v>7</v>
      </c>
      <c r="C74" s="173"/>
      <c r="D74" s="15">
        <f t="shared" si="5"/>
        <v>56869</v>
      </c>
      <c r="E74" s="18">
        <f>IF(F3="1",SUMIF(Data!A:A,'44'!$A$2,Data!EF:EF),0)</f>
        <v>166083</v>
      </c>
      <c r="F74" s="22">
        <f t="shared" si="4"/>
        <v>2.92</v>
      </c>
    </row>
    <row r="75" spans="1:6" x14ac:dyDescent="0.2">
      <c r="A75" s="20">
        <v>9</v>
      </c>
      <c r="B75" s="172" t="s">
        <v>8</v>
      </c>
      <c r="C75" s="173"/>
      <c r="D75" s="15">
        <f t="shared" si="5"/>
        <v>228293</v>
      </c>
      <c r="E75" s="18">
        <f>IF(F3="1",SUMIF(Data!A:A,'44'!$A$2,Data!EG:EG),0)</f>
        <v>468400</v>
      </c>
      <c r="F75" s="22">
        <f t="shared" si="4"/>
        <v>2.0499999999999998</v>
      </c>
    </row>
    <row r="76" spans="1:6" x14ac:dyDescent="0.2">
      <c r="A76" s="20">
        <v>10</v>
      </c>
      <c r="B76" s="172" t="s">
        <v>9</v>
      </c>
      <c r="C76" s="173"/>
      <c r="D76" s="15">
        <f t="shared" si="5"/>
        <v>0</v>
      </c>
      <c r="E76" s="18">
        <f>IF(F3="1",SUMIF(Data!A:A,'44'!$A$2,Data!EH:EH),0)</f>
        <v>0</v>
      </c>
      <c r="F76" s="22" t="str">
        <f t="shared" si="4"/>
        <v/>
      </c>
    </row>
    <row r="77" spans="1:6" x14ac:dyDescent="0.2">
      <c r="A77" s="20">
        <v>11</v>
      </c>
      <c r="B77" s="172" t="s">
        <v>10</v>
      </c>
      <c r="C77" s="173"/>
      <c r="D77" s="15">
        <f t="shared" si="5"/>
        <v>162276</v>
      </c>
      <c r="E77" s="18">
        <f>IF(F3="1",SUMIF(Data!A:A,'44'!$A$2,Data!EI:EI),0)</f>
        <v>329447</v>
      </c>
      <c r="F77" s="22">
        <f t="shared" si="4"/>
        <v>2.0299999999999998</v>
      </c>
    </row>
    <row r="78" spans="1:6" ht="14.25" customHeight="1" x14ac:dyDescent="0.2">
      <c r="A78" s="20">
        <v>12</v>
      </c>
      <c r="B78" s="172" t="s">
        <v>11</v>
      </c>
      <c r="C78" s="173"/>
      <c r="D78" s="15">
        <f t="shared" si="5"/>
        <v>338624</v>
      </c>
      <c r="E78" s="18">
        <f>IF(F3="1",SUMIF(Data!A:A,'44'!$A$2,Data!EJ:EJ),0)</f>
        <v>841071</v>
      </c>
      <c r="F78" s="22">
        <f t="shared" si="4"/>
        <v>2.48</v>
      </c>
    </row>
    <row r="79" spans="1:6" x14ac:dyDescent="0.2">
      <c r="A79" s="20">
        <v>13</v>
      </c>
      <c r="B79" s="172" t="s">
        <v>12</v>
      </c>
      <c r="C79" s="173"/>
      <c r="D79" s="15">
        <f t="shared" si="5"/>
        <v>48144</v>
      </c>
      <c r="E79" s="18">
        <f>IF(F3="1",SUMIF(Data!A:A,'44'!$A$2,Data!EK:EK),0)</f>
        <v>58375</v>
      </c>
      <c r="F79" s="22">
        <f t="shared" si="4"/>
        <v>1.21</v>
      </c>
    </row>
    <row r="80" spans="1:6" ht="14.25" customHeight="1" x14ac:dyDescent="0.2">
      <c r="A80" s="20">
        <v>14</v>
      </c>
      <c r="B80" s="172" t="s">
        <v>469</v>
      </c>
      <c r="C80" s="173"/>
      <c r="D80" s="15">
        <f t="shared" si="5"/>
        <v>174841</v>
      </c>
      <c r="E80" s="18">
        <f>IF(F3="1",SUMIF(Data!A:A,'44'!$A$2,Data!EL:EL),0)</f>
        <v>734263</v>
      </c>
      <c r="F80" s="22">
        <f t="shared" si="4"/>
        <v>4.2</v>
      </c>
    </row>
    <row r="81" spans="1:6" x14ac:dyDescent="0.2">
      <c r="A81" s="20">
        <v>15</v>
      </c>
      <c r="B81" s="172" t="s">
        <v>13</v>
      </c>
      <c r="C81" s="173"/>
      <c r="D81" s="15">
        <f t="shared" si="5"/>
        <v>0</v>
      </c>
      <c r="E81" s="18">
        <f>IF(F3="1",SUMIF(Data!A:A,'44'!$A$2,Data!EM:EM),0)</f>
        <v>0</v>
      </c>
      <c r="F81" s="22" t="str">
        <f t="shared" si="4"/>
        <v/>
      </c>
    </row>
    <row r="82" spans="1:6" x14ac:dyDescent="0.2">
      <c r="A82" s="20">
        <v>16</v>
      </c>
      <c r="B82" s="172" t="s">
        <v>14</v>
      </c>
      <c r="C82" s="173"/>
      <c r="D82" s="15">
        <f t="shared" si="5"/>
        <v>98515</v>
      </c>
      <c r="E82" s="18">
        <f>IF(F3="1",SUMIF(Data!A:A,'44'!$A$2,Data!EN:EN),0)</f>
        <v>302695</v>
      </c>
      <c r="F82" s="22">
        <f t="shared" si="4"/>
        <v>3.07</v>
      </c>
    </row>
    <row r="83" spans="1:6" x14ac:dyDescent="0.2">
      <c r="A83" s="20">
        <v>17</v>
      </c>
      <c r="B83" s="172" t="s">
        <v>15</v>
      </c>
      <c r="C83" s="173"/>
      <c r="D83" s="15">
        <f t="shared" si="5"/>
        <v>0</v>
      </c>
      <c r="E83" s="18">
        <f>IF(F3="1",SUMIF(Data!A:A,'44'!$A$2,Data!EO:EO),0)</f>
        <v>0</v>
      </c>
      <c r="F83" s="22" t="str">
        <f t="shared" si="4"/>
        <v/>
      </c>
    </row>
    <row r="84" spans="1:6" x14ac:dyDescent="0.2">
      <c r="A84" s="20">
        <v>18</v>
      </c>
      <c r="B84" s="172" t="s">
        <v>16</v>
      </c>
      <c r="C84" s="173"/>
      <c r="D84" s="15">
        <f t="shared" si="5"/>
        <v>90012</v>
      </c>
      <c r="E84" s="18">
        <f>IF(F3="1",SUMIF(Data!A:A,'44'!$A$2,Data!EP:EP),0)</f>
        <v>234620</v>
      </c>
      <c r="F84" s="22">
        <f t="shared" si="4"/>
        <v>2.61</v>
      </c>
    </row>
    <row r="85" spans="1:6" x14ac:dyDescent="0.2">
      <c r="A85" s="20">
        <v>19</v>
      </c>
      <c r="B85" s="172" t="s">
        <v>17</v>
      </c>
      <c r="C85" s="173"/>
      <c r="D85" s="15">
        <f t="shared" si="5"/>
        <v>249787</v>
      </c>
      <c r="E85" s="18">
        <f>IF(F3="1",SUMIF(Data!A:A,'44'!$A$2,Data!EQ:EQ),0)</f>
        <v>736850</v>
      </c>
      <c r="F85" s="22">
        <f t="shared" si="4"/>
        <v>2.95</v>
      </c>
    </row>
    <row r="86" spans="1:6" x14ac:dyDescent="0.2">
      <c r="A86" s="20">
        <v>20</v>
      </c>
      <c r="B86" s="172" t="s">
        <v>18</v>
      </c>
      <c r="C86" s="173"/>
      <c r="D86" s="15">
        <f t="shared" si="5"/>
        <v>76144</v>
      </c>
      <c r="E86" s="18">
        <f>IF(F3="1",SUMIF(Data!A:A,'44'!$A$2,Data!ER:ER),0)</f>
        <v>190651</v>
      </c>
      <c r="F86" s="22">
        <f t="shared" si="4"/>
        <v>2.5</v>
      </c>
    </row>
    <row r="87" spans="1:6" ht="14.25" customHeight="1" x14ac:dyDescent="0.2">
      <c r="A87" s="20">
        <v>21</v>
      </c>
      <c r="B87" s="172" t="s">
        <v>466</v>
      </c>
      <c r="C87" s="173"/>
      <c r="D87" s="15">
        <f t="shared" si="5"/>
        <v>0</v>
      </c>
      <c r="E87" s="18">
        <f>IF(F3="1",SUMIF(Data!A:A,'44'!$A$2,Data!ES:ES),0)</f>
        <v>0</v>
      </c>
      <c r="F87" s="22" t="str">
        <f t="shared" si="4"/>
        <v/>
      </c>
    </row>
    <row r="88" spans="1:6" x14ac:dyDescent="0.2">
      <c r="A88" s="20">
        <v>22</v>
      </c>
      <c r="B88" s="172" t="s">
        <v>19</v>
      </c>
      <c r="C88" s="173"/>
      <c r="D88" s="15">
        <f t="shared" si="5"/>
        <v>39320</v>
      </c>
      <c r="E88" s="18">
        <f>IF(F3="1",SUMIF(Data!A:A,'44'!$A$2,Data!ET:ET),0)</f>
        <v>46414</v>
      </c>
      <c r="F88" s="22">
        <f t="shared" si="4"/>
        <v>1.18</v>
      </c>
    </row>
    <row r="89" spans="1:6" x14ac:dyDescent="0.2">
      <c r="A89" s="20">
        <v>23</v>
      </c>
      <c r="B89" s="172" t="s">
        <v>20</v>
      </c>
      <c r="C89" s="173"/>
      <c r="D89" s="15">
        <f t="shared" si="5"/>
        <v>49872</v>
      </c>
      <c r="E89" s="18">
        <f>IF(F3="1",SUMIF(Data!A:A,'44'!$A$2,Data!EU:EU),0)</f>
        <v>225320</v>
      </c>
      <c r="F89" s="22">
        <f t="shared" si="4"/>
        <v>4.5199999999999996</v>
      </c>
    </row>
    <row r="90" spans="1:6" x14ac:dyDescent="0.2">
      <c r="A90" s="20">
        <v>24</v>
      </c>
      <c r="B90" s="172" t="s">
        <v>21</v>
      </c>
      <c r="C90" s="173"/>
      <c r="D90" s="15">
        <f t="shared" si="5"/>
        <v>50952</v>
      </c>
      <c r="E90" s="18">
        <f>IF(F3="1",SUMIF(Data!A:A,'44'!$A$2,Data!EV:EV),0)</f>
        <v>116020</v>
      </c>
      <c r="F90" s="22">
        <f t="shared" si="4"/>
        <v>2.2799999999999998</v>
      </c>
    </row>
    <row r="91" spans="1:6" x14ac:dyDescent="0.2">
      <c r="A91" s="20">
        <v>25</v>
      </c>
      <c r="B91" s="172" t="s">
        <v>22</v>
      </c>
      <c r="C91" s="173"/>
      <c r="D91" s="15">
        <f t="shared" si="5"/>
        <v>419712</v>
      </c>
      <c r="E91" s="18">
        <f>IF(F3="1",SUMIF(Data!A:A,'44'!$A$2,Data!EW:EW),0)</f>
        <v>1023525</v>
      </c>
      <c r="F91" s="22">
        <f t="shared" si="4"/>
        <v>2.44</v>
      </c>
    </row>
    <row r="92" spans="1:6" x14ac:dyDescent="0.2">
      <c r="A92" s="20">
        <v>26</v>
      </c>
      <c r="B92" s="172" t="s">
        <v>23</v>
      </c>
      <c r="C92" s="173"/>
      <c r="D92" s="15">
        <f t="shared" si="5"/>
        <v>138176</v>
      </c>
      <c r="E92" s="18">
        <f>IF(F3="1",SUMIF(Data!A:A,'44'!$A$2,Data!EX:EX),0)</f>
        <v>624443</v>
      </c>
      <c r="F92" s="22">
        <f t="shared" si="4"/>
        <v>4.5199999999999996</v>
      </c>
    </row>
    <row r="93" spans="1:6" x14ac:dyDescent="0.2">
      <c r="A93" s="20">
        <v>28</v>
      </c>
      <c r="B93" s="172" t="s">
        <v>24</v>
      </c>
      <c r="C93" s="173"/>
      <c r="D93" s="15">
        <f t="shared" si="5"/>
        <v>0</v>
      </c>
      <c r="E93" s="18">
        <f>IF(F3="1",SUMIF(Data!A:A,'44'!$A$2,Data!EZ:EZ),0)</f>
        <v>0</v>
      </c>
      <c r="F93" s="22" t="str">
        <f t="shared" si="4"/>
        <v/>
      </c>
    </row>
    <row r="94" spans="1:6" ht="15.75" customHeight="1" thickBot="1" x14ac:dyDescent="0.25">
      <c r="A94" s="23">
        <v>29</v>
      </c>
      <c r="B94" s="174" t="s">
        <v>25</v>
      </c>
      <c r="C94" s="175"/>
      <c r="D94" s="24">
        <f t="shared" si="5"/>
        <v>0</v>
      </c>
      <c r="E94" s="25">
        <f>IF(F3="1",SUMIF(Data!A:A,'44'!$A$2,Data!FA:FA),0)</f>
        <v>0</v>
      </c>
      <c r="F94" s="26" t="str">
        <f t="shared" si="4"/>
        <v/>
      </c>
    </row>
    <row r="95" spans="1:6" x14ac:dyDescent="0.2">
      <c r="B95" s="31" t="s">
        <v>35</v>
      </c>
      <c r="C95" s="31"/>
      <c r="D95" s="61">
        <f>SUM(D67:D94)</f>
        <v>3259018</v>
      </c>
      <c r="E95" s="32">
        <f>SUM(E67:E94)</f>
        <v>8523886</v>
      </c>
      <c r="F95" s="33">
        <f t="shared" si="4"/>
        <v>2.62</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IF(F3="1",SUMIF(Data!A:A,'44'!$A$2,Data!AH:AH),0)</f>
        <v>2047163</v>
      </c>
      <c r="F98" s="21">
        <f>IF($D$105=0,"",ROUND(E98/$D$105,2))</f>
        <v>0.63</v>
      </c>
    </row>
    <row r="99" spans="2:6" x14ac:dyDescent="0.2">
      <c r="B99" s="178" t="s">
        <v>31</v>
      </c>
      <c r="C99" s="179"/>
      <c r="D99" s="37"/>
      <c r="E99" s="18">
        <f>IF(F3="1",SUMIF(Data!A:A,'44'!$A$2,Data!AI:AI),0)</f>
        <v>1646523</v>
      </c>
      <c r="F99" s="22">
        <f t="shared" ref="F99:F105" si="6">IF($D$105=0,"",ROUND(E99/$D$105,2))</f>
        <v>0.51</v>
      </c>
    </row>
    <row r="100" spans="2:6" x14ac:dyDescent="0.2">
      <c r="B100" s="178" t="s">
        <v>32</v>
      </c>
      <c r="C100" s="179"/>
      <c r="D100" s="37"/>
      <c r="E100" s="18">
        <f>IF(F3="1",SUMIF(Data!A:A,'44'!$A$2,Data!AJ:AJ),0)</f>
        <v>2427384</v>
      </c>
      <c r="F100" s="22">
        <f t="shared" si="6"/>
        <v>0.74</v>
      </c>
    </row>
    <row r="101" spans="2:6" x14ac:dyDescent="0.2">
      <c r="B101" s="178" t="s">
        <v>28</v>
      </c>
      <c r="C101" s="179"/>
      <c r="D101" s="37"/>
      <c r="E101" s="18">
        <f>IF(F3="1",SUMIF(Data!A:A,'44'!$A$2,Data!AK:AK),0)</f>
        <v>0</v>
      </c>
      <c r="F101" s="22">
        <f t="shared" si="6"/>
        <v>0</v>
      </c>
    </row>
    <row r="102" spans="2:6" x14ac:dyDescent="0.2">
      <c r="B102" s="178" t="s">
        <v>33</v>
      </c>
      <c r="C102" s="179"/>
      <c r="D102" s="37"/>
      <c r="E102" s="18">
        <f>IF(F3="1",SUMIF(Data!A:A,'44'!$A$2,Data!AL:AL),0)</f>
        <v>2883</v>
      </c>
      <c r="F102" s="22">
        <f t="shared" si="6"/>
        <v>0</v>
      </c>
    </row>
    <row r="103" spans="2:6" x14ac:dyDescent="0.2">
      <c r="B103" s="180" t="s">
        <v>34</v>
      </c>
      <c r="C103" s="181"/>
      <c r="D103" s="37"/>
      <c r="E103" s="18">
        <f>IF(F3="1",SUMIF(Data!A:A,'44'!$A$2,Data!AM:AM),0)</f>
        <v>347941</v>
      </c>
      <c r="F103" s="22">
        <f t="shared" si="6"/>
        <v>0.11</v>
      </c>
    </row>
    <row r="104" spans="2:6" ht="15.75" customHeight="1" thickBot="1" x14ac:dyDescent="0.25">
      <c r="B104" s="170" t="s">
        <v>29</v>
      </c>
      <c r="C104" s="171"/>
      <c r="D104" s="38"/>
      <c r="E104" s="25">
        <f>IF(F3="1",SUMIF(Data!A:A,'44'!$A$2,Data!Q:Q),0)</f>
        <v>651457</v>
      </c>
      <c r="F104" s="26">
        <f t="shared" si="6"/>
        <v>0.2</v>
      </c>
    </row>
    <row r="105" spans="2:6" x14ac:dyDescent="0.2">
      <c r="B105" s="31" t="s">
        <v>35</v>
      </c>
      <c r="C105" s="31"/>
      <c r="D105" s="35">
        <f>D95</f>
        <v>3259018</v>
      </c>
      <c r="E105" s="32">
        <f>SUM(E98:E104)</f>
        <v>7123351</v>
      </c>
      <c r="F105" s="33">
        <f t="shared" si="6"/>
        <v>2.19</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8634178</v>
      </c>
      <c r="D109" s="16">
        <f>IF(F3="1",SUMIF(Data!$A:$A,$A$2,Data!HJ:HJ),0)</f>
        <v>971709</v>
      </c>
      <c r="E109" s="16">
        <f>IF(F3="1",SUMIF(Data!$A:$A,$A$2,Data!IN:IN),0)</f>
        <v>857659</v>
      </c>
      <c r="F109" s="48">
        <f>SUM(C109:E109)</f>
        <v>10463546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191991</v>
      </c>
      <c r="D111" s="52"/>
      <c r="E111" s="51">
        <f>IF(F3="1",SUMIF(Data!A:A,$A$2,Data!AX:AX),0)</f>
        <v>53958</v>
      </c>
      <c r="F111" s="49">
        <f t="shared" si="7"/>
        <v>245949</v>
      </c>
    </row>
    <row r="112" spans="2:6" x14ac:dyDescent="0.2">
      <c r="B112" s="43" t="s">
        <v>32</v>
      </c>
      <c r="C112" s="51">
        <f>IF(F3="1",SUMIF(Data!A:A,$A$2,Data!V:V),0)</f>
        <v>1488670</v>
      </c>
      <c r="D112" s="52"/>
      <c r="E112" s="51">
        <f>IF(F3="1",SUMIF(Data!A:A,$A$2,Data!AC:AC),0)</f>
        <v>938714</v>
      </c>
      <c r="F112" s="49">
        <f t="shared" si="7"/>
        <v>2427384</v>
      </c>
    </row>
    <row r="113" spans="1:6" x14ac:dyDescent="0.2">
      <c r="B113" s="43" t="s">
        <v>31</v>
      </c>
      <c r="C113" s="51">
        <f>IF(F3="1",SUMIF(Data!A:A,$A$2,Data!U:U),0)</f>
        <v>1368498</v>
      </c>
      <c r="D113" s="52"/>
      <c r="E113" s="51">
        <f>IF(F3="1",SUMIF(Data!A:A,$A$2,Data!AB:AB),0)</f>
        <v>278025</v>
      </c>
      <c r="F113" s="49">
        <f t="shared" si="7"/>
        <v>1646523</v>
      </c>
    </row>
    <row r="114" spans="1:6" x14ac:dyDescent="0.2">
      <c r="B114" s="43" t="s">
        <v>1021</v>
      </c>
      <c r="C114" s="51">
        <f>IF(F3="1",SUMIF(Data!A:A,$A$2,Data!T:T),0)</f>
        <v>1566613</v>
      </c>
      <c r="D114" s="52"/>
      <c r="E114" s="51">
        <f>IF(F3="1",SUMIF(Data!A:A,$A$2,Data!AA:AA),0)</f>
        <v>480550</v>
      </c>
      <c r="F114" s="49">
        <f t="shared" si="7"/>
        <v>2047163</v>
      </c>
    </row>
    <row r="115" spans="1:6" x14ac:dyDescent="0.2">
      <c r="B115" s="43" t="s">
        <v>937</v>
      </c>
      <c r="C115" s="51">
        <f>IF(F3="1",SUMIF(Data!A:A,$A$2,Data!BI:BI),0)</f>
        <v>878366</v>
      </c>
      <c r="D115" s="51">
        <f>IF(F3="1",SUMIF(Data!A:A,$A$2,Data!BL:BL),0)</f>
        <v>339221</v>
      </c>
      <c r="E115" s="51">
        <f>IF(F3="1",SUMIF(Data!A:A,$A$2,Data!BU:BU),0)</f>
        <v>1676099</v>
      </c>
      <c r="F115" s="49">
        <f t="shared" si="7"/>
        <v>2893686</v>
      </c>
    </row>
    <row r="116" spans="1:6" x14ac:dyDescent="0.2">
      <c r="B116" s="43" t="s">
        <v>33</v>
      </c>
      <c r="C116" s="51">
        <f>IF(F3="1",SUMIF(Data!A:A,$A$2,Data!X:X),0)</f>
        <v>0</v>
      </c>
      <c r="D116" s="51"/>
      <c r="E116" s="51">
        <f>E102</f>
        <v>2883</v>
      </c>
      <c r="F116" s="49">
        <f t="shared" si="7"/>
        <v>2883</v>
      </c>
    </row>
    <row r="117" spans="1:6" ht="15" thickBot="1" x14ac:dyDescent="0.25">
      <c r="B117" s="44" t="s">
        <v>941</v>
      </c>
      <c r="C117" s="53"/>
      <c r="D117" s="53">
        <f>IF(F3="1",SUMIF(Data!A:A,$A$2,Data!Q:Q),0)</f>
        <v>651457</v>
      </c>
      <c r="E117" s="53"/>
      <c r="F117" s="50">
        <f>SUM(C117:E117)</f>
        <v>651457</v>
      </c>
    </row>
    <row r="118" spans="1:6" x14ac:dyDescent="0.2">
      <c r="B118" s="14" t="s">
        <v>35</v>
      </c>
      <c r="C118" s="5">
        <f>SUM(C109:C116)</f>
        <v>14128316</v>
      </c>
      <c r="D118" s="5">
        <f>SUM(D109:D116)</f>
        <v>1310930</v>
      </c>
      <c r="E118" s="5">
        <f>SUM(E109:E116)</f>
        <v>4287888</v>
      </c>
      <c r="F118" s="5">
        <f>SUM(F109:F116)</f>
        <v>19727134</v>
      </c>
    </row>
    <row r="119" spans="1:6" ht="15" thickBot="1" x14ac:dyDescent="0.25"/>
    <row r="120" spans="1:6" ht="15" thickBot="1" x14ac:dyDescent="0.25">
      <c r="B120" s="57" t="s">
        <v>942</v>
      </c>
      <c r="C120" s="55"/>
      <c r="D120" s="55"/>
      <c r="E120" s="55">
        <f>IF(F3="1",SUMIF(Data!A:A,'44'!$A$2,Data!AM:AM),0)</f>
        <v>347941</v>
      </c>
      <c r="F120" s="56">
        <f>SUM(C120:E120)</f>
        <v>347941</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412</v>
      </c>
      <c r="B2" s="60" t="str">
        <f>VLOOKUP(A2,Data!A:G,7,0)</f>
        <v>Tyler Junior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37562</v>
      </c>
      <c r="E5" s="16">
        <f>E36+E67+IFERROR($E$105/$D$105*D5,0)</f>
        <v>193963.07899272488</v>
      </c>
      <c r="F5" s="21">
        <f>IF(OR(D5=0,E5=0),"",ROUND(E5/D5,2))</f>
        <v>5.16</v>
      </c>
    </row>
    <row r="6" spans="1:6" x14ac:dyDescent="0.2">
      <c r="A6" s="20">
        <v>2</v>
      </c>
      <c r="B6" s="172" t="s">
        <v>1</v>
      </c>
      <c r="C6" s="173"/>
      <c r="D6" s="15">
        <f t="shared" ref="D6:D32" si="0">D37</f>
        <v>28528</v>
      </c>
      <c r="E6" s="18">
        <f t="shared" ref="E6:E32" si="1">E37+E68+IFERROR($E$105/$D$105*D6,0)</f>
        <v>323773.71374006855</v>
      </c>
      <c r="F6" s="22">
        <f t="shared" ref="F6:F33" si="2">IF(OR(D6=0,E6=0),"",ROUND(E6/D6,2))</f>
        <v>11.35</v>
      </c>
    </row>
    <row r="7" spans="1:6" ht="14.25" customHeight="1" x14ac:dyDescent="0.2">
      <c r="A7" s="20">
        <v>3</v>
      </c>
      <c r="B7" s="172" t="s">
        <v>2</v>
      </c>
      <c r="C7" s="173"/>
      <c r="D7" s="15">
        <f t="shared" si="0"/>
        <v>622768</v>
      </c>
      <c r="E7" s="18">
        <f t="shared" si="1"/>
        <v>4161035.1188472733</v>
      </c>
      <c r="F7" s="22">
        <f t="shared" si="2"/>
        <v>6.68</v>
      </c>
    </row>
    <row r="8" spans="1:6" ht="14.25" customHeight="1" x14ac:dyDescent="0.2">
      <c r="A8" s="20">
        <v>4</v>
      </c>
      <c r="B8" s="172" t="s">
        <v>3</v>
      </c>
      <c r="C8" s="173"/>
      <c r="D8" s="15">
        <f t="shared" si="0"/>
        <v>449092</v>
      </c>
      <c r="E8" s="18">
        <f t="shared" si="1"/>
        <v>2340828.8266599439</v>
      </c>
      <c r="F8" s="22">
        <f t="shared" si="2"/>
        <v>5.21</v>
      </c>
    </row>
    <row r="9" spans="1:6" x14ac:dyDescent="0.2">
      <c r="A9" s="20">
        <v>5</v>
      </c>
      <c r="B9" s="172" t="s">
        <v>4</v>
      </c>
      <c r="C9" s="173"/>
      <c r="D9" s="15">
        <f t="shared" si="0"/>
        <v>90</v>
      </c>
      <c r="E9" s="18">
        <f t="shared" si="1"/>
        <v>296.48360335832064</v>
      </c>
      <c r="F9" s="22">
        <f t="shared" si="2"/>
        <v>3.29</v>
      </c>
    </row>
    <row r="10" spans="1:6" x14ac:dyDescent="0.2">
      <c r="A10" s="20">
        <v>6</v>
      </c>
      <c r="B10" s="172" t="s">
        <v>5</v>
      </c>
      <c r="C10" s="173"/>
      <c r="D10" s="15">
        <f t="shared" si="0"/>
        <v>37704</v>
      </c>
      <c r="E10" s="18">
        <f t="shared" si="1"/>
        <v>230035.86423357914</v>
      </c>
      <c r="F10" s="22">
        <f t="shared" si="2"/>
        <v>6.1</v>
      </c>
    </row>
    <row r="11" spans="1:6" x14ac:dyDescent="0.2">
      <c r="A11" s="20">
        <v>7</v>
      </c>
      <c r="B11" s="172" t="s">
        <v>6</v>
      </c>
      <c r="C11" s="173"/>
      <c r="D11" s="15">
        <f t="shared" si="0"/>
        <v>56411</v>
      </c>
      <c r="E11" s="18">
        <f t="shared" si="1"/>
        <v>1194826.6283227359</v>
      </c>
      <c r="F11" s="22">
        <f t="shared" si="2"/>
        <v>21.18</v>
      </c>
    </row>
    <row r="12" spans="1:6" x14ac:dyDescent="0.2">
      <c r="A12" s="20">
        <v>8</v>
      </c>
      <c r="B12" s="172" t="s">
        <v>7</v>
      </c>
      <c r="C12" s="173"/>
      <c r="D12" s="15">
        <f t="shared" si="0"/>
        <v>12960</v>
      </c>
      <c r="E12" s="18">
        <f t="shared" si="1"/>
        <v>104738.63888359818</v>
      </c>
      <c r="F12" s="22">
        <f t="shared" si="2"/>
        <v>8.08</v>
      </c>
    </row>
    <row r="13" spans="1:6" x14ac:dyDescent="0.2">
      <c r="A13" s="20">
        <v>9</v>
      </c>
      <c r="B13" s="172" t="s">
        <v>8</v>
      </c>
      <c r="C13" s="173"/>
      <c r="D13" s="15">
        <f t="shared" si="0"/>
        <v>78381</v>
      </c>
      <c r="E13" s="18">
        <f t="shared" si="1"/>
        <v>639344.57016476139</v>
      </c>
      <c r="F13" s="22">
        <f t="shared" si="2"/>
        <v>8.16</v>
      </c>
    </row>
    <row r="14" spans="1:6" x14ac:dyDescent="0.2">
      <c r="A14" s="20">
        <v>10</v>
      </c>
      <c r="B14" s="172" t="s">
        <v>9</v>
      </c>
      <c r="C14" s="173"/>
      <c r="D14" s="15">
        <f t="shared" si="0"/>
        <v>3232</v>
      </c>
      <c r="E14" s="18">
        <f t="shared" si="1"/>
        <v>12133.055622823247</v>
      </c>
      <c r="F14" s="22">
        <f t="shared" si="2"/>
        <v>3.75</v>
      </c>
    </row>
    <row r="15" spans="1:6" x14ac:dyDescent="0.2">
      <c r="A15" s="20">
        <v>11</v>
      </c>
      <c r="B15" s="172" t="s">
        <v>10</v>
      </c>
      <c r="C15" s="173"/>
      <c r="D15" s="15">
        <f t="shared" si="0"/>
        <v>188447</v>
      </c>
      <c r="E15" s="18">
        <f t="shared" si="1"/>
        <v>1495713.8400229495</v>
      </c>
      <c r="F15" s="22">
        <f t="shared" si="2"/>
        <v>7.94</v>
      </c>
    </row>
    <row r="16" spans="1:6" ht="14.25" customHeight="1" x14ac:dyDescent="0.2">
      <c r="A16" s="20">
        <v>12</v>
      </c>
      <c r="B16" s="172" t="s">
        <v>11</v>
      </c>
      <c r="C16" s="173"/>
      <c r="D16" s="15">
        <f t="shared" si="0"/>
        <v>494712</v>
      </c>
      <c r="E16" s="18">
        <f t="shared" si="1"/>
        <v>4237133.0709400168</v>
      </c>
      <c r="F16" s="22">
        <f t="shared" si="2"/>
        <v>8.56</v>
      </c>
    </row>
    <row r="17" spans="1:6" x14ac:dyDescent="0.2">
      <c r="A17" s="20">
        <v>13</v>
      </c>
      <c r="B17" s="172" t="s">
        <v>12</v>
      </c>
      <c r="C17" s="173"/>
      <c r="D17" s="15">
        <f t="shared" si="0"/>
        <v>175280</v>
      </c>
      <c r="E17" s="18">
        <f t="shared" si="1"/>
        <v>879734.28885162715</v>
      </c>
      <c r="F17" s="22">
        <f t="shared" si="2"/>
        <v>5.0199999999999996</v>
      </c>
    </row>
    <row r="18" spans="1:6" ht="14.25" customHeight="1" x14ac:dyDescent="0.2">
      <c r="A18" s="20">
        <v>14</v>
      </c>
      <c r="B18" s="172" t="s">
        <v>469</v>
      </c>
      <c r="C18" s="173"/>
      <c r="D18" s="15">
        <f t="shared" si="0"/>
        <v>174252</v>
      </c>
      <c r="E18" s="18">
        <f t="shared" si="1"/>
        <v>1780674.7872488233</v>
      </c>
      <c r="F18" s="22">
        <f t="shared" si="2"/>
        <v>10.220000000000001</v>
      </c>
    </row>
    <row r="19" spans="1:6" x14ac:dyDescent="0.2">
      <c r="A19" s="20">
        <v>15</v>
      </c>
      <c r="B19" s="172" t="s">
        <v>13</v>
      </c>
      <c r="C19" s="173"/>
      <c r="D19" s="15">
        <f t="shared" si="0"/>
        <v>34892</v>
      </c>
      <c r="E19" s="18">
        <f t="shared" si="1"/>
        <v>515366.39875976136</v>
      </c>
      <c r="F19" s="22">
        <f t="shared" si="2"/>
        <v>14.77</v>
      </c>
    </row>
    <row r="20" spans="1:6" x14ac:dyDescent="0.2">
      <c r="A20" s="20">
        <v>16</v>
      </c>
      <c r="B20" s="172" t="s">
        <v>14</v>
      </c>
      <c r="C20" s="173"/>
      <c r="D20" s="15">
        <f t="shared" si="0"/>
        <v>281212</v>
      </c>
      <c r="E20" s="18">
        <f t="shared" si="1"/>
        <v>2608426.0785288895</v>
      </c>
      <c r="F20" s="22">
        <f t="shared" si="2"/>
        <v>9.2799999999999994</v>
      </c>
    </row>
    <row r="21" spans="1:6" x14ac:dyDescent="0.2">
      <c r="A21" s="20">
        <v>17</v>
      </c>
      <c r="B21" s="172" t="s">
        <v>15</v>
      </c>
      <c r="C21" s="173"/>
      <c r="D21" s="15">
        <f t="shared" si="0"/>
        <v>38928</v>
      </c>
      <c r="E21" s="18">
        <f t="shared" si="1"/>
        <v>386440.04123925231</v>
      </c>
      <c r="F21" s="22">
        <f t="shared" si="2"/>
        <v>9.93</v>
      </c>
    </row>
    <row r="22" spans="1:6" x14ac:dyDescent="0.2">
      <c r="A22" s="20">
        <v>18</v>
      </c>
      <c r="B22" s="172" t="s">
        <v>16</v>
      </c>
      <c r="C22" s="173"/>
      <c r="D22" s="15">
        <f t="shared" si="0"/>
        <v>199157</v>
      </c>
      <c r="E22" s="18">
        <f t="shared" si="1"/>
        <v>1418833.3888225895</v>
      </c>
      <c r="F22" s="22">
        <f t="shared" si="2"/>
        <v>7.12</v>
      </c>
    </row>
    <row r="23" spans="1:6" x14ac:dyDescent="0.2">
      <c r="A23" s="20">
        <v>19</v>
      </c>
      <c r="B23" s="172" t="s">
        <v>17</v>
      </c>
      <c r="C23" s="173"/>
      <c r="D23" s="15">
        <f t="shared" si="0"/>
        <v>508464</v>
      </c>
      <c r="E23" s="18">
        <f t="shared" si="1"/>
        <v>3505527.7655331679</v>
      </c>
      <c r="F23" s="22">
        <f t="shared" si="2"/>
        <v>6.89</v>
      </c>
    </row>
    <row r="24" spans="1:6" x14ac:dyDescent="0.2">
      <c r="A24" s="20">
        <v>20</v>
      </c>
      <c r="B24" s="172" t="s">
        <v>18</v>
      </c>
      <c r="C24" s="173"/>
      <c r="D24" s="15">
        <f t="shared" si="0"/>
        <v>52147</v>
      </c>
      <c r="E24" s="18">
        <f t="shared" si="1"/>
        <v>801725.89404807054</v>
      </c>
      <c r="F24" s="22">
        <f t="shared" si="2"/>
        <v>15.37</v>
      </c>
    </row>
    <row r="25" spans="1:6" ht="14.25" customHeight="1" x14ac:dyDescent="0.2">
      <c r="A25" s="20">
        <v>21</v>
      </c>
      <c r="B25" s="172" t="s">
        <v>466</v>
      </c>
      <c r="C25" s="173"/>
      <c r="D25" s="15">
        <f t="shared" si="0"/>
        <v>8000</v>
      </c>
      <c r="E25" s="18">
        <f t="shared" si="1"/>
        <v>64652.098076295166</v>
      </c>
      <c r="F25" s="22">
        <f t="shared" si="2"/>
        <v>8.08</v>
      </c>
    </row>
    <row r="26" spans="1:6" x14ac:dyDescent="0.2">
      <c r="A26" s="20">
        <v>22</v>
      </c>
      <c r="B26" s="172" t="s">
        <v>19</v>
      </c>
      <c r="C26" s="173"/>
      <c r="D26" s="15">
        <f t="shared" si="0"/>
        <v>19967</v>
      </c>
      <c r="E26" s="18">
        <f t="shared" si="1"/>
        <v>113313.5345361732</v>
      </c>
      <c r="F26" s="22">
        <f t="shared" si="2"/>
        <v>5.68</v>
      </c>
    </row>
    <row r="27" spans="1:6" x14ac:dyDescent="0.2">
      <c r="A27" s="20">
        <v>23</v>
      </c>
      <c r="B27" s="172" t="s">
        <v>20</v>
      </c>
      <c r="C27" s="173"/>
      <c r="D27" s="15">
        <f t="shared" si="0"/>
        <v>104801</v>
      </c>
      <c r="E27" s="18">
        <f t="shared" si="1"/>
        <v>1304176.9790617262</v>
      </c>
      <c r="F27" s="22">
        <f t="shared" si="2"/>
        <v>12.44</v>
      </c>
    </row>
    <row r="28" spans="1:6" x14ac:dyDescent="0.2">
      <c r="A28" s="20">
        <v>24</v>
      </c>
      <c r="B28" s="172" t="s">
        <v>21</v>
      </c>
      <c r="C28" s="173"/>
      <c r="D28" s="15">
        <f t="shared" si="0"/>
        <v>54970</v>
      </c>
      <c r="E28" s="18">
        <f t="shared" si="1"/>
        <v>489606.59640674316</v>
      </c>
      <c r="F28" s="22">
        <f t="shared" si="2"/>
        <v>8.91</v>
      </c>
    </row>
    <row r="29" spans="1:6" x14ac:dyDescent="0.2">
      <c r="A29" s="20">
        <v>25</v>
      </c>
      <c r="B29" s="172" t="s">
        <v>22</v>
      </c>
      <c r="C29" s="173"/>
      <c r="D29" s="15">
        <f t="shared" si="0"/>
        <v>729184</v>
      </c>
      <c r="E29" s="18">
        <f t="shared" si="1"/>
        <v>4399288.3314581513</v>
      </c>
      <c r="F29" s="22">
        <f t="shared" si="2"/>
        <v>6.03</v>
      </c>
    </row>
    <row r="30" spans="1:6" x14ac:dyDescent="0.2">
      <c r="A30" s="20">
        <v>26</v>
      </c>
      <c r="B30" s="172" t="s">
        <v>23</v>
      </c>
      <c r="C30" s="173"/>
      <c r="D30" s="15">
        <f t="shared" si="0"/>
        <v>313115</v>
      </c>
      <c r="E30" s="18">
        <f t="shared" si="1"/>
        <v>2367872.9273948949</v>
      </c>
      <c r="F30" s="22">
        <f t="shared" si="2"/>
        <v>7.56</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4704256</v>
      </c>
      <c r="E33" s="32">
        <f>SUM(E5:E32)</f>
        <v>35569461.999999993</v>
      </c>
      <c r="F33" s="33">
        <f t="shared" si="2"/>
        <v>7.56</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IF(F3="1",SUMIF(Data!A:A,'45'!$A$2,Data!CU:CU),0)</f>
        <v>37562</v>
      </c>
      <c r="E36" s="16">
        <f>IF(F3="1",SUMIF(Data!$A:$A,'45'!$A$2,Data!IO:IO),0)</f>
        <v>26365</v>
      </c>
      <c r="F36" s="21">
        <f>IF(D36=0,"",ROUND(E36/D36,2))</f>
        <v>0.7</v>
      </c>
    </row>
    <row r="37" spans="1:6" x14ac:dyDescent="0.2">
      <c r="A37" s="20">
        <v>2</v>
      </c>
      <c r="B37" s="172" t="s">
        <v>1</v>
      </c>
      <c r="C37" s="173"/>
      <c r="D37" s="15">
        <f>IF(F3="1",SUMIF(Data!A:A,'45'!$A$2,Data!CV:CV),0)</f>
        <v>28528</v>
      </c>
      <c r="E37" s="18">
        <f>IF(F3="1",SUMIF(Data!$A:$A,'45'!$A$2,Data!IP:IP),0)</f>
        <v>89109</v>
      </c>
      <c r="F37" s="22">
        <f t="shared" ref="F37:F64" si="3">IF(D37=0,"",ROUND(E37/D37,2))</f>
        <v>3.12</v>
      </c>
    </row>
    <row r="38" spans="1:6" ht="14.25" customHeight="1" x14ac:dyDescent="0.2">
      <c r="A38" s="20">
        <v>3</v>
      </c>
      <c r="B38" s="172" t="s">
        <v>2</v>
      </c>
      <c r="C38" s="173"/>
      <c r="D38" s="15">
        <f>IF(F3="1",SUMIF(Data!A:A,'45'!$A$2,Data!CW:CW),0)</f>
        <v>622768</v>
      </c>
      <c r="E38" s="18">
        <f>IF(F3="1",SUMIF(Data!$A:$A,'45'!$A$2,Data!IQ:IQ),0)</f>
        <v>790808</v>
      </c>
      <c r="F38" s="22">
        <f t="shared" si="3"/>
        <v>1.27</v>
      </c>
    </row>
    <row r="39" spans="1:6" ht="14.25" customHeight="1" x14ac:dyDescent="0.2">
      <c r="A39" s="20">
        <v>4</v>
      </c>
      <c r="B39" s="172" t="s">
        <v>3</v>
      </c>
      <c r="C39" s="173"/>
      <c r="D39" s="15">
        <f>IF(F3="1",SUMIF(Data!A:A,'45'!$A$2,Data!CX:CX),0)</f>
        <v>449092</v>
      </c>
      <c r="E39" s="18">
        <f>IF(F3="1",SUMIF(Data!$A:$A,'45'!$A$2,Data!IR:IR),0)</f>
        <v>319008</v>
      </c>
      <c r="F39" s="22">
        <f t="shared" si="3"/>
        <v>0.71</v>
      </c>
    </row>
    <row r="40" spans="1:6" x14ac:dyDescent="0.2">
      <c r="A40" s="20">
        <v>5</v>
      </c>
      <c r="B40" s="172" t="s">
        <v>4</v>
      </c>
      <c r="C40" s="173"/>
      <c r="D40" s="15">
        <f>IF(F3="1",SUMIF(Data!A:A,'45'!$A$2,Data!CY:CY),0)</f>
        <v>90</v>
      </c>
      <c r="E40" s="18">
        <f>IF(F3="1",SUMIF(Data!$A:$A,'45'!$A$2,Data!IS:IS),0)</f>
        <v>0</v>
      </c>
      <c r="F40" s="22" t="str">
        <f>IF(E40=0,"",ROUND(E40/D40,2))</f>
        <v/>
      </c>
    </row>
    <row r="41" spans="1:6" x14ac:dyDescent="0.2">
      <c r="A41" s="20">
        <v>6</v>
      </c>
      <c r="B41" s="172" t="s">
        <v>5</v>
      </c>
      <c r="C41" s="173"/>
      <c r="D41" s="15">
        <f>IF(F3="1",SUMIF(Data!A:A,'45'!$A$2,Data!CZ:CZ),0)</f>
        <v>37704</v>
      </c>
      <c r="E41" s="18">
        <f>IF(F3="1",SUMIF(Data!$A:$A,'45'!$A$2,Data!IT:IT),0)</f>
        <v>28126</v>
      </c>
      <c r="F41" s="22">
        <f t="shared" si="3"/>
        <v>0.75</v>
      </c>
    </row>
    <row r="42" spans="1:6" x14ac:dyDescent="0.2">
      <c r="A42" s="20">
        <v>7</v>
      </c>
      <c r="B42" s="172" t="s">
        <v>6</v>
      </c>
      <c r="C42" s="173"/>
      <c r="D42" s="15">
        <f>IF(F3="1",SUMIF(Data!A:A,'45'!$A$2,Data!DA:DA),0)</f>
        <v>56411</v>
      </c>
      <c r="E42" s="18">
        <f>IF(F3="1",SUMIF(Data!$A:$A,'45'!$A$2,Data!IU:IU),0)</f>
        <v>125422</v>
      </c>
      <c r="F42" s="22">
        <f t="shared" si="3"/>
        <v>2.2200000000000002</v>
      </c>
    </row>
    <row r="43" spans="1:6" x14ac:dyDescent="0.2">
      <c r="A43" s="20">
        <v>8</v>
      </c>
      <c r="B43" s="172" t="s">
        <v>7</v>
      </c>
      <c r="C43" s="173"/>
      <c r="D43" s="15">
        <f>IF(F3="1",SUMIF(Data!A:A,'45'!$A$2,Data!DB:DB),0)</f>
        <v>12960</v>
      </c>
      <c r="E43" s="18">
        <f>IF(F3="1",SUMIF(Data!$A:$A,'45'!$A$2,Data!IV:IV),0)</f>
        <v>45521</v>
      </c>
      <c r="F43" s="22">
        <f t="shared" si="3"/>
        <v>3.51</v>
      </c>
    </row>
    <row r="44" spans="1:6" x14ac:dyDescent="0.2">
      <c r="A44" s="20">
        <v>9</v>
      </c>
      <c r="B44" s="172" t="s">
        <v>8</v>
      </c>
      <c r="C44" s="173"/>
      <c r="D44" s="15">
        <f>IF(F3="1",SUMIF(Data!A:A,'45'!$A$2,Data!DC:DC),0)</f>
        <v>78381</v>
      </c>
      <c r="E44" s="18">
        <f>IF(F3="1",SUMIF(Data!$A:$A,'45'!$A$2,Data!IW:IW),0)</f>
        <v>240441</v>
      </c>
      <c r="F44" s="22">
        <f t="shared" si="3"/>
        <v>3.07</v>
      </c>
    </row>
    <row r="45" spans="1:6" x14ac:dyDescent="0.2">
      <c r="A45" s="20">
        <v>10</v>
      </c>
      <c r="B45" s="172" t="s">
        <v>9</v>
      </c>
      <c r="C45" s="173"/>
      <c r="D45" s="15">
        <f>IF(F3="1",SUMIF(Data!A:A,'45'!$A$2,Data!DD:DD),0)</f>
        <v>3232</v>
      </c>
      <c r="E45" s="18">
        <f>IF(F3="1",SUMIF(Data!$A:$A,'45'!$A$2,Data!IX:IX),0)</f>
        <v>1399</v>
      </c>
      <c r="F45" s="22">
        <f t="shared" si="3"/>
        <v>0.43</v>
      </c>
    </row>
    <row r="46" spans="1:6" x14ac:dyDescent="0.2">
      <c r="A46" s="20">
        <v>11</v>
      </c>
      <c r="B46" s="172" t="s">
        <v>10</v>
      </c>
      <c r="C46" s="173"/>
      <c r="D46" s="15">
        <f>IF(F3="1",SUMIF(Data!A:A,'45'!$A$2,Data!DE:DE),0)</f>
        <v>188447</v>
      </c>
      <c r="E46" s="18">
        <f>IF(F3="1",SUMIF(Data!$A:$A,'45'!$A$2,Data!IY:IY),0)</f>
        <v>437739</v>
      </c>
      <c r="F46" s="22">
        <f t="shared" si="3"/>
        <v>2.3199999999999998</v>
      </c>
    </row>
    <row r="47" spans="1:6" ht="14.25" customHeight="1" x14ac:dyDescent="0.2">
      <c r="A47" s="20">
        <v>12</v>
      </c>
      <c r="B47" s="172" t="s">
        <v>11</v>
      </c>
      <c r="C47" s="173"/>
      <c r="D47" s="15">
        <f>IF(F3="1",SUMIF(Data!A:A,'45'!$A$2,Data!DF:DF),0)</f>
        <v>494712</v>
      </c>
      <c r="E47" s="18">
        <f>IF(F3="1",SUMIF(Data!$A:$A,'45'!$A$2,Data!IZ:IZ),0)</f>
        <v>510522</v>
      </c>
      <c r="F47" s="22">
        <f t="shared" si="3"/>
        <v>1.03</v>
      </c>
    </row>
    <row r="48" spans="1:6" x14ac:dyDescent="0.2">
      <c r="A48" s="20">
        <v>13</v>
      </c>
      <c r="B48" s="172" t="s">
        <v>12</v>
      </c>
      <c r="C48" s="173"/>
      <c r="D48" s="15">
        <f>IF(F3="1",SUMIF(Data!A:A,'45'!$A$2,Data!DG:DG),0)</f>
        <v>175280</v>
      </c>
      <c r="E48" s="18">
        <f>IF(F3="1",SUMIF(Data!$A:$A,'45'!$A$2,Data!JA:JA),0)</f>
        <v>112447</v>
      </c>
      <c r="F48" s="22">
        <f t="shared" si="3"/>
        <v>0.64</v>
      </c>
    </row>
    <row r="49" spans="1:6" ht="14.25" customHeight="1" x14ac:dyDescent="0.2">
      <c r="A49" s="20">
        <v>14</v>
      </c>
      <c r="B49" s="172" t="s">
        <v>469</v>
      </c>
      <c r="C49" s="173"/>
      <c r="D49" s="15">
        <f>IF(F3="1",SUMIF(Data!A:A,'45'!$A$2,Data!DH:DH),0)</f>
        <v>174252</v>
      </c>
      <c r="E49" s="18">
        <f>IF(F3="1",SUMIF(Data!$A:$A,'45'!$A$2,Data!JB:JB),0)</f>
        <v>291791</v>
      </c>
      <c r="F49" s="22">
        <f t="shared" si="3"/>
        <v>1.67</v>
      </c>
    </row>
    <row r="50" spans="1:6" x14ac:dyDescent="0.2">
      <c r="A50" s="20">
        <v>15</v>
      </c>
      <c r="B50" s="172" t="s">
        <v>13</v>
      </c>
      <c r="C50" s="173"/>
      <c r="D50" s="15">
        <f>IF(F3="1",SUMIF(Data!A:A,'45'!$A$2,Data!DI:DI),0)</f>
        <v>34892</v>
      </c>
      <c r="E50" s="18">
        <f>IF(F3="1",SUMIF(Data!$A:$A,'45'!$A$2,Data!JC:JC),0)</f>
        <v>112418</v>
      </c>
      <c r="F50" s="22">
        <f t="shared" si="3"/>
        <v>3.22</v>
      </c>
    </row>
    <row r="51" spans="1:6" x14ac:dyDescent="0.2">
      <c r="A51" s="20">
        <v>16</v>
      </c>
      <c r="B51" s="172" t="s">
        <v>14</v>
      </c>
      <c r="C51" s="173"/>
      <c r="D51" s="15">
        <f>IF(F3="1",SUMIF(Data!A:A,'45'!$A$2,Data!DJ:DJ),0)</f>
        <v>281212</v>
      </c>
      <c r="E51" s="18">
        <f>IF(F3="1",SUMIF(Data!$A:$A,'45'!$A$2,Data!JD:JD),0)</f>
        <v>458461</v>
      </c>
      <c r="F51" s="22">
        <f t="shared" si="3"/>
        <v>1.63</v>
      </c>
    </row>
    <row r="52" spans="1:6" x14ac:dyDescent="0.2">
      <c r="A52" s="20">
        <v>17</v>
      </c>
      <c r="B52" s="172" t="s">
        <v>15</v>
      </c>
      <c r="C52" s="173"/>
      <c r="D52" s="15">
        <f>IF(F3="1",SUMIF(Data!A:A,'45'!$A$2,Data!DK:DK),0)</f>
        <v>38928</v>
      </c>
      <c r="E52" s="18">
        <f>IF(F3="1",SUMIF(Data!$A:$A,'45'!$A$2,Data!JE:JE),0)</f>
        <v>44845</v>
      </c>
      <c r="F52" s="22">
        <f t="shared" si="3"/>
        <v>1.1499999999999999</v>
      </c>
    </row>
    <row r="53" spans="1:6" x14ac:dyDescent="0.2">
      <c r="A53" s="20">
        <v>18</v>
      </c>
      <c r="B53" s="172" t="s">
        <v>16</v>
      </c>
      <c r="C53" s="173"/>
      <c r="D53" s="15">
        <f>IF(F3="1",SUMIF(Data!A:A,'45'!$A$2,Data!DL:DL),0)</f>
        <v>199157</v>
      </c>
      <c r="E53" s="18">
        <f>IF(F3="1",SUMIF(Data!$A:$A,'45'!$A$2,Data!JF:JF),0)</f>
        <v>170990</v>
      </c>
      <c r="F53" s="22">
        <f t="shared" si="3"/>
        <v>0.86</v>
      </c>
    </row>
    <row r="54" spans="1:6" x14ac:dyDescent="0.2">
      <c r="A54" s="20">
        <v>19</v>
      </c>
      <c r="B54" s="172" t="s">
        <v>17</v>
      </c>
      <c r="C54" s="173"/>
      <c r="D54" s="15">
        <f>IF(F3="1",SUMIF(Data!A:A,'45'!$A$2,Data!DM:DM),0)</f>
        <v>508464</v>
      </c>
      <c r="E54" s="18">
        <f>IF(F3="1",SUMIF(Data!$A:$A,'45'!$A$2,Data!JG:JG),0)</f>
        <v>476193</v>
      </c>
      <c r="F54" s="22">
        <f t="shared" si="3"/>
        <v>0.94</v>
      </c>
    </row>
    <row r="55" spans="1:6" x14ac:dyDescent="0.2">
      <c r="A55" s="20">
        <v>20</v>
      </c>
      <c r="B55" s="172" t="s">
        <v>18</v>
      </c>
      <c r="C55" s="173"/>
      <c r="D55" s="15">
        <f>IF(F3="1",SUMIF(Data!A:A,'45'!$A$2,Data!DN:DN),0)</f>
        <v>52147</v>
      </c>
      <c r="E55" s="18">
        <f>IF(F3="1",SUMIF(Data!$A:$A,'45'!$A$2,Data!JH:JH),0)</f>
        <v>218728</v>
      </c>
      <c r="F55" s="22">
        <f t="shared" si="3"/>
        <v>4.1900000000000004</v>
      </c>
    </row>
    <row r="56" spans="1:6" ht="14.25" customHeight="1" x14ac:dyDescent="0.2">
      <c r="A56" s="20">
        <v>21</v>
      </c>
      <c r="B56" s="172" t="s">
        <v>466</v>
      </c>
      <c r="C56" s="173"/>
      <c r="D56" s="15">
        <f>IF(F3="1",SUMIF(Data!A:A,'45'!$A$2,Data!DO:DO),0)</f>
        <v>8000</v>
      </c>
      <c r="E56" s="18">
        <f>IF(F3="1",SUMIF(Data!$A:$A,'45'!$A$2,Data!JI:JI),0)</f>
        <v>28098</v>
      </c>
      <c r="F56" s="22">
        <f t="shared" si="3"/>
        <v>3.51</v>
      </c>
    </row>
    <row r="57" spans="1:6" x14ac:dyDescent="0.2">
      <c r="A57" s="20">
        <v>22</v>
      </c>
      <c r="B57" s="172" t="s">
        <v>19</v>
      </c>
      <c r="C57" s="173"/>
      <c r="D57" s="15">
        <f>IF(F3="1",SUMIF(Data!A:A,'45'!$A$2,Data!DP:DP),0)</f>
        <v>19967</v>
      </c>
      <c r="E57" s="18">
        <f>IF(F3="1",SUMIF(Data!$A:$A,'45'!$A$2,Data!JJ:JJ),0)</f>
        <v>35937</v>
      </c>
      <c r="F57" s="22">
        <f t="shared" si="3"/>
        <v>1.8</v>
      </c>
    </row>
    <row r="58" spans="1:6" x14ac:dyDescent="0.2">
      <c r="A58" s="20">
        <v>23</v>
      </c>
      <c r="B58" s="172" t="s">
        <v>20</v>
      </c>
      <c r="C58" s="173"/>
      <c r="D58" s="15">
        <f>IF(F3="1",SUMIF(Data!A:A,'45'!$A$2,Data!DQ:DQ),0)</f>
        <v>104801</v>
      </c>
      <c r="E58" s="18">
        <f>IF(F3="1",SUMIF(Data!$A:$A,'45'!$A$2,Data!JK:JK),0)</f>
        <v>120494</v>
      </c>
      <c r="F58" s="22">
        <f t="shared" si="3"/>
        <v>1.1499999999999999</v>
      </c>
    </row>
    <row r="59" spans="1:6" x14ac:dyDescent="0.2">
      <c r="A59" s="20">
        <v>24</v>
      </c>
      <c r="B59" s="172" t="s">
        <v>21</v>
      </c>
      <c r="C59" s="173"/>
      <c r="D59" s="15">
        <f>IF(F3="1",SUMIF(Data!A:A,'45'!$A$2,Data!DR:DR),0)</f>
        <v>54970</v>
      </c>
      <c r="E59" s="18">
        <f>IF(F3="1",SUMIF(Data!$A:$A,'45'!$A$2,Data!JL:JL),0)</f>
        <v>111625</v>
      </c>
      <c r="F59" s="22">
        <f t="shared" si="3"/>
        <v>2.0299999999999998</v>
      </c>
    </row>
    <row r="60" spans="1:6" x14ac:dyDescent="0.2">
      <c r="A60" s="20">
        <v>25</v>
      </c>
      <c r="B60" s="172" t="s">
        <v>22</v>
      </c>
      <c r="C60" s="173"/>
      <c r="D60" s="15">
        <f>IF(F3="1",SUMIF(Data!A:A,'45'!$A$2,Data!DS:DS),0)</f>
        <v>729184</v>
      </c>
      <c r="E60" s="18">
        <f>IF(F3="1",SUMIF(Data!$A:$A,'45'!$A$2,Data!JM:JM),0)</f>
        <v>423652</v>
      </c>
      <c r="F60" s="22">
        <f t="shared" si="3"/>
        <v>0.57999999999999996</v>
      </c>
    </row>
    <row r="61" spans="1:6" x14ac:dyDescent="0.2">
      <c r="A61" s="20">
        <v>26</v>
      </c>
      <c r="B61" s="172" t="s">
        <v>23</v>
      </c>
      <c r="C61" s="173"/>
      <c r="D61" s="15">
        <f>IF(F3="1",SUMIF(Data!A:A,'45'!$A$2,Data!DT:DT),0)</f>
        <v>313115</v>
      </c>
      <c r="E61" s="18">
        <f>IF(F3="1",SUMIF(Data!$A:$A,'45'!$A$2,Data!JN:JN),0)</f>
        <v>383703</v>
      </c>
      <c r="F61" s="22">
        <f t="shared" si="3"/>
        <v>1.23</v>
      </c>
    </row>
    <row r="62" spans="1:6" x14ac:dyDescent="0.2">
      <c r="A62" s="20">
        <v>28</v>
      </c>
      <c r="B62" s="172" t="s">
        <v>24</v>
      </c>
      <c r="C62" s="173"/>
      <c r="D62" s="15">
        <f>IF(F3="1",SUMIF(Data!A:A,'45'!$A$2,Data!DV:DV),0)</f>
        <v>0</v>
      </c>
      <c r="E62" s="18">
        <f>IF(F3="1",SUMIF(Data!$A:$A,'45'!$A$2,Data!JP:JP),0)</f>
        <v>0</v>
      </c>
      <c r="F62" s="22" t="str">
        <f t="shared" si="3"/>
        <v/>
      </c>
    </row>
    <row r="63" spans="1:6" ht="15.75" customHeight="1" thickBot="1" x14ac:dyDescent="0.25">
      <c r="A63" s="23">
        <v>29</v>
      </c>
      <c r="B63" s="174" t="s">
        <v>25</v>
      </c>
      <c r="C63" s="175"/>
      <c r="D63" s="24">
        <f>IF(F3="1",SUMIF(Data!A:A,'45'!$A$2,Data!DW:DW),0)</f>
        <v>0</v>
      </c>
      <c r="E63" s="25">
        <f>IF(F3="1",SUMIF(Data!$A:$A,'45'!$A$2,Data!JQ:JQ),0)</f>
        <v>0</v>
      </c>
      <c r="F63" s="26" t="str">
        <f t="shared" si="3"/>
        <v/>
      </c>
    </row>
    <row r="64" spans="1:6" x14ac:dyDescent="0.2">
      <c r="B64" s="31" t="s">
        <v>35</v>
      </c>
      <c r="C64" s="31"/>
      <c r="D64" s="61">
        <f>SUM(D36:D63)</f>
        <v>4704256</v>
      </c>
      <c r="E64" s="32">
        <f>SUM(E36:E63)</f>
        <v>5603842</v>
      </c>
      <c r="F64" s="33">
        <f t="shared" si="3"/>
        <v>1.19</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37562</v>
      </c>
      <c r="E67" s="16">
        <f>IF(F3="1",SUMIF(Data!A:A,'45'!$A$2,Data!DY:DY),0)</f>
        <v>43859</v>
      </c>
      <c r="F67" s="21">
        <f t="shared" ref="F67:F95" si="4">IF(D67=0,"",ROUND(E67/D67,2))</f>
        <v>1.17</v>
      </c>
    </row>
    <row r="68" spans="1:6" x14ac:dyDescent="0.2">
      <c r="A68" s="20">
        <v>2</v>
      </c>
      <c r="B68" s="172" t="s">
        <v>1</v>
      </c>
      <c r="C68" s="173"/>
      <c r="D68" s="15">
        <f t="shared" ref="D68:D94" si="5">D37</f>
        <v>28528</v>
      </c>
      <c r="E68" s="18">
        <f>IF(F3="1",SUMIF(Data!A:A,'45'!$A$2,Data!DZ:DZ),0)</f>
        <v>140686</v>
      </c>
      <c r="F68" s="22">
        <f t="shared" si="4"/>
        <v>4.93</v>
      </c>
    </row>
    <row r="69" spans="1:6" ht="14.25" customHeight="1" x14ac:dyDescent="0.2">
      <c r="A69" s="20">
        <v>3</v>
      </c>
      <c r="B69" s="172" t="s">
        <v>2</v>
      </c>
      <c r="C69" s="173"/>
      <c r="D69" s="15">
        <f t="shared" si="5"/>
        <v>622768</v>
      </c>
      <c r="E69" s="18">
        <f>IF(F3="1",SUMIF(Data!A:A,'45'!$A$2,Data!EA:EA),0)</f>
        <v>1318666</v>
      </c>
      <c r="F69" s="22">
        <f t="shared" si="4"/>
        <v>2.12</v>
      </c>
    </row>
    <row r="70" spans="1:6" ht="14.25" customHeight="1" x14ac:dyDescent="0.2">
      <c r="A70" s="20">
        <v>4</v>
      </c>
      <c r="B70" s="172" t="s">
        <v>3</v>
      </c>
      <c r="C70" s="173"/>
      <c r="D70" s="15">
        <f t="shared" si="5"/>
        <v>449092</v>
      </c>
      <c r="E70" s="18">
        <f>IF(F3="1",SUMIF(Data!A:A,'45'!$A$2,Data!EB:EB),0)</f>
        <v>542394</v>
      </c>
      <c r="F70" s="22">
        <f t="shared" si="4"/>
        <v>1.21</v>
      </c>
    </row>
    <row r="71" spans="1:6" x14ac:dyDescent="0.2">
      <c r="A71" s="20">
        <v>5</v>
      </c>
      <c r="B71" s="172" t="s">
        <v>4</v>
      </c>
      <c r="C71" s="173"/>
      <c r="D71" s="15">
        <f t="shared" si="5"/>
        <v>90</v>
      </c>
      <c r="E71" s="18">
        <f>IF(F3="1",SUMIF(Data!A:A,'45'!$A$2,Data!EC:EC),0)</f>
        <v>0</v>
      </c>
      <c r="F71" s="22" t="str">
        <f>IF(E71=0,"",ROUND(E71/D71,2))</f>
        <v/>
      </c>
    </row>
    <row r="72" spans="1:6" x14ac:dyDescent="0.2">
      <c r="A72" s="20">
        <v>6</v>
      </c>
      <c r="B72" s="172" t="s">
        <v>5</v>
      </c>
      <c r="C72" s="173"/>
      <c r="D72" s="15">
        <f t="shared" si="5"/>
        <v>37704</v>
      </c>
      <c r="E72" s="18">
        <f>IF(F3="1",SUMIF(Data!A:A,'45'!$A$2,Data!ED:ED),0)</f>
        <v>77703</v>
      </c>
      <c r="F72" s="22">
        <f t="shared" si="4"/>
        <v>2.06</v>
      </c>
    </row>
    <row r="73" spans="1:6" x14ac:dyDescent="0.2">
      <c r="A73" s="20">
        <v>7</v>
      </c>
      <c r="B73" s="172" t="s">
        <v>6</v>
      </c>
      <c r="C73" s="173"/>
      <c r="D73" s="15">
        <f t="shared" si="5"/>
        <v>56411</v>
      </c>
      <c r="E73" s="18">
        <f>IF(F3="1",SUMIF(Data!A:A,'45'!$A$2,Data!EE:EE),0)</f>
        <v>883572</v>
      </c>
      <c r="F73" s="22">
        <f t="shared" si="4"/>
        <v>15.66</v>
      </c>
    </row>
    <row r="74" spans="1:6" x14ac:dyDescent="0.2">
      <c r="A74" s="20">
        <v>8</v>
      </c>
      <c r="B74" s="172" t="s">
        <v>7</v>
      </c>
      <c r="C74" s="173"/>
      <c r="D74" s="15">
        <f t="shared" si="5"/>
        <v>12960</v>
      </c>
      <c r="E74" s="18">
        <f>IF(F3="1",SUMIF(Data!A:A,'45'!$A$2,Data!EF:EF),0)</f>
        <v>16524</v>
      </c>
      <c r="F74" s="22">
        <f t="shared" si="4"/>
        <v>1.28</v>
      </c>
    </row>
    <row r="75" spans="1:6" x14ac:dyDescent="0.2">
      <c r="A75" s="20">
        <v>9</v>
      </c>
      <c r="B75" s="172" t="s">
        <v>8</v>
      </c>
      <c r="C75" s="173"/>
      <c r="D75" s="15">
        <f t="shared" si="5"/>
        <v>78381</v>
      </c>
      <c r="E75" s="18">
        <f>IF(F3="1",SUMIF(Data!A:A,'45'!$A$2,Data!EG:EG),0)</f>
        <v>140696</v>
      </c>
      <c r="F75" s="22">
        <f t="shared" si="4"/>
        <v>1.8</v>
      </c>
    </row>
    <row r="76" spans="1:6" x14ac:dyDescent="0.2">
      <c r="A76" s="20">
        <v>10</v>
      </c>
      <c r="B76" s="172" t="s">
        <v>9</v>
      </c>
      <c r="C76" s="173"/>
      <c r="D76" s="15">
        <f t="shared" si="5"/>
        <v>3232</v>
      </c>
      <c r="E76" s="18">
        <f>IF(F3="1",SUMIF(Data!A:A,'45'!$A$2,Data!EH:EH),0)</f>
        <v>87</v>
      </c>
      <c r="F76" s="22">
        <f t="shared" si="4"/>
        <v>0.03</v>
      </c>
    </row>
    <row r="77" spans="1:6" x14ac:dyDescent="0.2">
      <c r="A77" s="20">
        <v>11</v>
      </c>
      <c r="B77" s="172" t="s">
        <v>10</v>
      </c>
      <c r="C77" s="173"/>
      <c r="D77" s="15">
        <f t="shared" si="5"/>
        <v>188447</v>
      </c>
      <c r="E77" s="18">
        <f>IF(F3="1",SUMIF(Data!A:A,'45'!$A$2,Data!EI:EI),0)</f>
        <v>437181</v>
      </c>
      <c r="F77" s="22">
        <f t="shared" si="4"/>
        <v>2.3199999999999998</v>
      </c>
    </row>
    <row r="78" spans="1:6" ht="14.25" customHeight="1" x14ac:dyDescent="0.2">
      <c r="A78" s="20">
        <v>12</v>
      </c>
      <c r="B78" s="172" t="s">
        <v>11</v>
      </c>
      <c r="C78" s="173"/>
      <c r="D78" s="15">
        <f t="shared" si="5"/>
        <v>494712</v>
      </c>
      <c r="E78" s="18">
        <f>IF(F3="1",SUMIF(Data!A:A,'45'!$A$2,Data!EJ:EJ),0)</f>
        <v>2096900</v>
      </c>
      <c r="F78" s="22">
        <f t="shared" si="4"/>
        <v>4.24</v>
      </c>
    </row>
    <row r="79" spans="1:6" x14ac:dyDescent="0.2">
      <c r="A79" s="20">
        <v>13</v>
      </c>
      <c r="B79" s="172" t="s">
        <v>12</v>
      </c>
      <c r="C79" s="173"/>
      <c r="D79" s="15">
        <f t="shared" si="5"/>
        <v>175280</v>
      </c>
      <c r="E79" s="18">
        <f>IF(F3="1",SUMIF(Data!A:A,'45'!$A$2,Data!EK:EK),0)</f>
        <v>189869</v>
      </c>
      <c r="F79" s="22">
        <f t="shared" si="4"/>
        <v>1.08</v>
      </c>
    </row>
    <row r="80" spans="1:6" ht="14.25" customHeight="1" x14ac:dyDescent="0.2">
      <c r="A80" s="20">
        <v>14</v>
      </c>
      <c r="B80" s="172" t="s">
        <v>469</v>
      </c>
      <c r="C80" s="173"/>
      <c r="D80" s="15">
        <f t="shared" si="5"/>
        <v>174252</v>
      </c>
      <c r="E80" s="18">
        <f>IF(F3="1",SUMIF(Data!A:A,'45'!$A$2,Data!EL:EL),0)</f>
        <v>914852</v>
      </c>
      <c r="F80" s="22">
        <f t="shared" si="4"/>
        <v>5.25</v>
      </c>
    </row>
    <row r="81" spans="1:6" x14ac:dyDescent="0.2">
      <c r="A81" s="20">
        <v>15</v>
      </c>
      <c r="B81" s="172" t="s">
        <v>13</v>
      </c>
      <c r="C81" s="173"/>
      <c r="D81" s="15">
        <f t="shared" si="5"/>
        <v>34892</v>
      </c>
      <c r="E81" s="18">
        <f>IF(F3="1",SUMIF(Data!A:A,'45'!$A$2,Data!EM:EM),0)</f>
        <v>288005</v>
      </c>
      <c r="F81" s="22">
        <f t="shared" si="4"/>
        <v>8.25</v>
      </c>
    </row>
    <row r="82" spans="1:6" x14ac:dyDescent="0.2">
      <c r="A82" s="20">
        <v>16</v>
      </c>
      <c r="B82" s="172" t="s">
        <v>14</v>
      </c>
      <c r="C82" s="173"/>
      <c r="D82" s="15">
        <f t="shared" si="5"/>
        <v>281212</v>
      </c>
      <c r="E82" s="18">
        <f>IF(F3="1",SUMIF(Data!A:A,'45'!$A$2,Data!EN:EN),0)</f>
        <v>1223579</v>
      </c>
      <c r="F82" s="22">
        <f t="shared" si="4"/>
        <v>4.3499999999999996</v>
      </c>
    </row>
    <row r="83" spans="1:6" x14ac:dyDescent="0.2">
      <c r="A83" s="20">
        <v>17</v>
      </c>
      <c r="B83" s="172" t="s">
        <v>15</v>
      </c>
      <c r="C83" s="173"/>
      <c r="D83" s="15">
        <f t="shared" si="5"/>
        <v>38928</v>
      </c>
      <c r="E83" s="18">
        <f>IF(F3="1",SUMIF(Data!A:A,'45'!$A$2,Data!EO:EO),0)</f>
        <v>213356</v>
      </c>
      <c r="F83" s="22">
        <f t="shared" si="4"/>
        <v>5.48</v>
      </c>
    </row>
    <row r="84" spans="1:6" x14ac:dyDescent="0.2">
      <c r="A84" s="20">
        <v>18</v>
      </c>
      <c r="B84" s="172" t="s">
        <v>16</v>
      </c>
      <c r="C84" s="173"/>
      <c r="D84" s="15">
        <f t="shared" si="5"/>
        <v>199157</v>
      </c>
      <c r="E84" s="18">
        <f>IF(F3="1",SUMIF(Data!A:A,'45'!$A$2,Data!EP:EP),0)</f>
        <v>591768</v>
      </c>
      <c r="F84" s="22">
        <f t="shared" si="4"/>
        <v>2.97</v>
      </c>
    </row>
    <row r="85" spans="1:6" x14ac:dyDescent="0.2">
      <c r="A85" s="20">
        <v>19</v>
      </c>
      <c r="B85" s="172" t="s">
        <v>17</v>
      </c>
      <c r="C85" s="173"/>
      <c r="D85" s="15">
        <f t="shared" si="5"/>
        <v>508464</v>
      </c>
      <c r="E85" s="18">
        <f>IF(F3="1",SUMIF(Data!A:A,'45'!$A$2,Data!EQ:EQ),0)</f>
        <v>1354321</v>
      </c>
      <c r="F85" s="22">
        <f t="shared" si="4"/>
        <v>2.66</v>
      </c>
    </row>
    <row r="86" spans="1:6" x14ac:dyDescent="0.2">
      <c r="A86" s="20">
        <v>20</v>
      </c>
      <c r="B86" s="172" t="s">
        <v>18</v>
      </c>
      <c r="C86" s="173"/>
      <c r="D86" s="15">
        <f t="shared" si="5"/>
        <v>52147</v>
      </c>
      <c r="E86" s="18">
        <f>IF(F3="1",SUMIF(Data!A:A,'45'!$A$2,Data!ER:ER),0)</f>
        <v>411212</v>
      </c>
      <c r="F86" s="22">
        <f t="shared" si="4"/>
        <v>7.89</v>
      </c>
    </row>
    <row r="87" spans="1:6" ht="14.25" customHeight="1" x14ac:dyDescent="0.2">
      <c r="A87" s="20">
        <v>21</v>
      </c>
      <c r="B87" s="172" t="s">
        <v>466</v>
      </c>
      <c r="C87" s="173"/>
      <c r="D87" s="15">
        <f t="shared" si="5"/>
        <v>8000</v>
      </c>
      <c r="E87" s="18">
        <f>IF(F3="1",SUMIF(Data!A:A,'45'!$A$2,Data!ES:ES),0)</f>
        <v>10200</v>
      </c>
      <c r="F87" s="22">
        <f t="shared" si="4"/>
        <v>1.28</v>
      </c>
    </row>
    <row r="88" spans="1:6" x14ac:dyDescent="0.2">
      <c r="A88" s="20">
        <v>22</v>
      </c>
      <c r="B88" s="172" t="s">
        <v>19</v>
      </c>
      <c r="C88" s="173"/>
      <c r="D88" s="15">
        <f t="shared" si="5"/>
        <v>19967</v>
      </c>
      <c r="E88" s="18">
        <f>IF(F3="1",SUMIF(Data!A:A,'45'!$A$2,Data!ET:ET),0)</f>
        <v>11600</v>
      </c>
      <c r="F88" s="22">
        <f t="shared" si="4"/>
        <v>0.57999999999999996</v>
      </c>
    </row>
    <row r="89" spans="1:6" x14ac:dyDescent="0.2">
      <c r="A89" s="20">
        <v>23</v>
      </c>
      <c r="B89" s="172" t="s">
        <v>20</v>
      </c>
      <c r="C89" s="173"/>
      <c r="D89" s="15">
        <f t="shared" si="5"/>
        <v>104801</v>
      </c>
      <c r="E89" s="18">
        <f>IF(F3="1",SUMIF(Data!A:A,'45'!$A$2,Data!EU:EU),0)</f>
        <v>838441</v>
      </c>
      <c r="F89" s="22">
        <f t="shared" si="4"/>
        <v>8</v>
      </c>
    </row>
    <row r="90" spans="1:6" x14ac:dyDescent="0.2">
      <c r="A90" s="20">
        <v>24</v>
      </c>
      <c r="B90" s="172" t="s">
        <v>21</v>
      </c>
      <c r="C90" s="173"/>
      <c r="D90" s="15">
        <f t="shared" si="5"/>
        <v>54970</v>
      </c>
      <c r="E90" s="18">
        <f>IF(F3="1",SUMIF(Data!A:A,'45'!$A$2,Data!EV:EV),0)</f>
        <v>196896</v>
      </c>
      <c r="F90" s="22">
        <f t="shared" si="4"/>
        <v>3.58</v>
      </c>
    </row>
    <row r="91" spans="1:6" x14ac:dyDescent="0.2">
      <c r="A91" s="20">
        <v>25</v>
      </c>
      <c r="B91" s="172" t="s">
        <v>22</v>
      </c>
      <c r="C91" s="173"/>
      <c r="D91" s="15">
        <f t="shared" si="5"/>
        <v>729184</v>
      </c>
      <c r="E91" s="18">
        <f>IF(F3="1",SUMIF(Data!A:A,'45'!$A$2,Data!EW:EW),0)</f>
        <v>1573513</v>
      </c>
      <c r="F91" s="22">
        <f t="shared" si="4"/>
        <v>2.16</v>
      </c>
    </row>
    <row r="92" spans="1:6" x14ac:dyDescent="0.2">
      <c r="A92" s="20">
        <v>26</v>
      </c>
      <c r="B92" s="172" t="s">
        <v>23</v>
      </c>
      <c r="C92" s="173"/>
      <c r="D92" s="15">
        <f t="shared" si="5"/>
        <v>313115</v>
      </c>
      <c r="E92" s="18">
        <f>IF(F3="1",SUMIF(Data!A:A,'45'!$A$2,Data!EX:EX),0)</f>
        <v>952687</v>
      </c>
      <c r="F92" s="22">
        <f t="shared" si="4"/>
        <v>3.04</v>
      </c>
    </row>
    <row r="93" spans="1:6" x14ac:dyDescent="0.2">
      <c r="A93" s="20">
        <v>28</v>
      </c>
      <c r="B93" s="172" t="s">
        <v>24</v>
      </c>
      <c r="C93" s="173"/>
      <c r="D93" s="15">
        <f t="shared" si="5"/>
        <v>0</v>
      </c>
      <c r="E93" s="18">
        <f>IF(F3="1",SUMIF(Data!A:A,'45'!$A$2,Data!EZ:EZ),0)</f>
        <v>0</v>
      </c>
      <c r="F93" s="22" t="str">
        <f t="shared" si="4"/>
        <v/>
      </c>
    </row>
    <row r="94" spans="1:6" ht="15.75" customHeight="1" thickBot="1" x14ac:dyDescent="0.25">
      <c r="A94" s="23">
        <v>29</v>
      </c>
      <c r="B94" s="174" t="s">
        <v>25</v>
      </c>
      <c r="C94" s="175"/>
      <c r="D94" s="24">
        <f t="shared" si="5"/>
        <v>0</v>
      </c>
      <c r="E94" s="25">
        <f>IF(F3="1",SUMIF(Data!A:A,'45'!$A$2,Data!FA:FA),0)</f>
        <v>0</v>
      </c>
      <c r="F94" s="26" t="str">
        <f t="shared" si="4"/>
        <v/>
      </c>
    </row>
    <row r="95" spans="1:6" x14ac:dyDescent="0.2">
      <c r="B95" s="31" t="s">
        <v>35</v>
      </c>
      <c r="C95" s="31"/>
      <c r="D95" s="61">
        <f>SUM(D67:D94)</f>
        <v>4704256</v>
      </c>
      <c r="E95" s="32">
        <f>SUM(E67:E94)</f>
        <v>14468567</v>
      </c>
      <c r="F95" s="33">
        <f t="shared" si="4"/>
        <v>3.08</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IF(F3="1",SUMIF(Data!A:A,'45'!$A$2,Data!AH:AH),0)</f>
        <v>5740035</v>
      </c>
      <c r="F98" s="21">
        <f>IF($D$105=0,"",ROUND(E98/$D$105,2))</f>
        <v>1.22</v>
      </c>
    </row>
    <row r="99" spans="2:6" x14ac:dyDescent="0.2">
      <c r="B99" s="178" t="s">
        <v>31</v>
      </c>
      <c r="C99" s="179"/>
      <c r="D99" s="37"/>
      <c r="E99" s="18">
        <f>IF(F3="1",SUMIF(Data!A:A,'45'!$A$2,Data!AI:AI),0)</f>
        <v>4569587</v>
      </c>
      <c r="F99" s="22">
        <f t="shared" ref="F99:F105" si="6">IF($D$105=0,"",ROUND(E99/$D$105,2))</f>
        <v>0.97</v>
      </c>
    </row>
    <row r="100" spans="2:6" x14ac:dyDescent="0.2">
      <c r="B100" s="178" t="s">
        <v>32</v>
      </c>
      <c r="C100" s="179"/>
      <c r="D100" s="37"/>
      <c r="E100" s="18">
        <f>IF(F3="1",SUMIF(Data!A:A,'45'!$A$2,Data!AJ:AJ),0)</f>
        <v>2359615</v>
      </c>
      <c r="F100" s="22">
        <f t="shared" si="6"/>
        <v>0.5</v>
      </c>
    </row>
    <row r="101" spans="2:6" x14ac:dyDescent="0.2">
      <c r="B101" s="178" t="s">
        <v>28</v>
      </c>
      <c r="C101" s="179"/>
      <c r="D101" s="37"/>
      <c r="E101" s="18">
        <f>IF(F3="1",SUMIF(Data!A:A,'45'!$A$2,Data!AK:AK),0)</f>
        <v>0</v>
      </c>
      <c r="F101" s="22">
        <f t="shared" si="6"/>
        <v>0</v>
      </c>
    </row>
    <row r="102" spans="2:6" x14ac:dyDescent="0.2">
      <c r="B102" s="178" t="s">
        <v>33</v>
      </c>
      <c r="C102" s="179"/>
      <c r="D102" s="37"/>
      <c r="E102" s="18">
        <f>IF(F3="1",SUMIF(Data!A:A,'45'!$A$2,Data!AL:AL),0)</f>
        <v>875403</v>
      </c>
      <c r="F102" s="22">
        <f t="shared" si="6"/>
        <v>0.19</v>
      </c>
    </row>
    <row r="103" spans="2:6" x14ac:dyDescent="0.2">
      <c r="B103" s="180" t="s">
        <v>34</v>
      </c>
      <c r="C103" s="181"/>
      <c r="D103" s="37"/>
      <c r="E103" s="18">
        <f>IF(F3="1",SUMIF(Data!A:A,'45'!$A$2,Data!AM:AM),0)</f>
        <v>693266</v>
      </c>
      <c r="F103" s="22">
        <f t="shared" si="6"/>
        <v>0.15</v>
      </c>
    </row>
    <row r="104" spans="2:6" ht="15.75" customHeight="1" thickBot="1" x14ac:dyDescent="0.25">
      <c r="B104" s="170" t="s">
        <v>29</v>
      </c>
      <c r="C104" s="171"/>
      <c r="D104" s="38"/>
      <c r="E104" s="25">
        <f>IF(F3="1",SUMIF(Data!A:A,'45'!$A$2,Data!Q:Q),0)</f>
        <v>1259147</v>
      </c>
      <c r="F104" s="26">
        <f t="shared" si="6"/>
        <v>0.27</v>
      </c>
    </row>
    <row r="105" spans="2:6" x14ac:dyDescent="0.2">
      <c r="B105" s="31" t="s">
        <v>35</v>
      </c>
      <c r="C105" s="31"/>
      <c r="D105" s="35">
        <f>D95</f>
        <v>4704256</v>
      </c>
      <c r="E105" s="32">
        <f>SUM(E98:E104)</f>
        <v>15497053</v>
      </c>
      <c r="F105" s="33">
        <f t="shared" si="6"/>
        <v>3.29</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15720540</v>
      </c>
      <c r="D109" s="16">
        <f>IF(F3="1",SUMIF(Data!$A:$A,$A$2,Data!HJ:HJ),0)</f>
        <v>660721</v>
      </c>
      <c r="E109" s="16">
        <f>IF(F3="1",SUMIF(Data!$A:$A,$A$2,Data!IN:IN),0)</f>
        <v>3691465</v>
      </c>
      <c r="F109" s="48">
        <f>SUM(C109:E109)</f>
        <v>20072726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40106</v>
      </c>
      <c r="D111" s="52"/>
      <c r="E111" s="51">
        <f>IF(F3="1",SUMIF(Data!A:A,$A$2,Data!AX:AX),0)</f>
        <v>34190</v>
      </c>
      <c r="F111" s="49">
        <f t="shared" si="7"/>
        <v>74296</v>
      </c>
    </row>
    <row r="112" spans="2:6" x14ac:dyDescent="0.2">
      <c r="B112" s="43" t="s">
        <v>32</v>
      </c>
      <c r="C112" s="51">
        <f>IF(F3="1",SUMIF(Data!A:A,$A$2,Data!V:V),0)</f>
        <v>1356670</v>
      </c>
      <c r="D112" s="52"/>
      <c r="E112" s="51">
        <f>IF(F3="1",SUMIF(Data!A:A,$A$2,Data!AC:AC),0)</f>
        <v>1002945</v>
      </c>
      <c r="F112" s="49">
        <f t="shared" si="7"/>
        <v>2359615</v>
      </c>
    </row>
    <row r="113" spans="1:6" x14ac:dyDescent="0.2">
      <c r="B113" s="43" t="s">
        <v>31</v>
      </c>
      <c r="C113" s="51">
        <f>IF(F3="1",SUMIF(Data!A:A,$A$2,Data!U:U),0)</f>
        <v>2798416</v>
      </c>
      <c r="D113" s="52"/>
      <c r="E113" s="51">
        <f>IF(F3="1",SUMIF(Data!A:A,$A$2,Data!AB:AB),0)</f>
        <v>1771171</v>
      </c>
      <c r="F113" s="49">
        <f t="shared" si="7"/>
        <v>4569587</v>
      </c>
    </row>
    <row r="114" spans="1:6" x14ac:dyDescent="0.2">
      <c r="B114" s="43" t="s">
        <v>1021</v>
      </c>
      <c r="C114" s="51">
        <f>IF(F3="1",SUMIF(Data!A:A,$A$2,Data!T:T),0)</f>
        <v>3361701</v>
      </c>
      <c r="D114" s="52"/>
      <c r="E114" s="51">
        <f>IF(F3="1",SUMIF(Data!A:A,$A$2,Data!AA:AA),0)</f>
        <v>2378334</v>
      </c>
      <c r="F114" s="49">
        <f t="shared" si="7"/>
        <v>5740035</v>
      </c>
    </row>
    <row r="115" spans="1:6" x14ac:dyDescent="0.2">
      <c r="B115" s="43" t="s">
        <v>937</v>
      </c>
      <c r="C115" s="51">
        <f>IF(F3="1",SUMIF(Data!A:A,$A$2,Data!BI:BI),0)</f>
        <v>692471</v>
      </c>
      <c r="D115" s="51">
        <f>IF(F3="1",SUMIF(Data!A:A,$A$2,Data!BL:BL),0)</f>
        <v>198189</v>
      </c>
      <c r="E115" s="51">
        <f>IF(F3="1",SUMIF(Data!A:A,$A$2,Data!BU:BU),0)</f>
        <v>3734898</v>
      </c>
      <c r="F115" s="49">
        <f t="shared" si="7"/>
        <v>4625558</v>
      </c>
    </row>
    <row r="116" spans="1:6" x14ac:dyDescent="0.2">
      <c r="B116" s="43" t="s">
        <v>33</v>
      </c>
      <c r="C116" s="51">
        <f>IF(F3="1",SUMIF(Data!A:A,$A$2,Data!X:X),0)</f>
        <v>0</v>
      </c>
      <c r="D116" s="51"/>
      <c r="E116" s="51">
        <f>E102</f>
        <v>875403</v>
      </c>
      <c r="F116" s="49">
        <f t="shared" si="7"/>
        <v>875403</v>
      </c>
    </row>
    <row r="117" spans="1:6" ht="15" thickBot="1" x14ac:dyDescent="0.25">
      <c r="B117" s="44" t="s">
        <v>941</v>
      </c>
      <c r="C117" s="53"/>
      <c r="D117" s="53">
        <f>IF(F3="1",SUMIF(Data!A:A,$A$2,Data!Q:Q),0)</f>
        <v>1259147</v>
      </c>
      <c r="E117" s="53"/>
      <c r="F117" s="50">
        <f>SUM(C117:E117)</f>
        <v>1259147</v>
      </c>
    </row>
    <row r="118" spans="1:6" x14ac:dyDescent="0.2">
      <c r="B118" s="14" t="s">
        <v>35</v>
      </c>
      <c r="C118" s="5">
        <f>SUM(C109:C116)</f>
        <v>23969904</v>
      </c>
      <c r="D118" s="5">
        <f>SUM(D109:D116)</f>
        <v>858910</v>
      </c>
      <c r="E118" s="5">
        <f>SUM(E109:E116)</f>
        <v>13488406</v>
      </c>
      <c r="F118" s="5">
        <f>SUM(F109:F116)</f>
        <v>38317220</v>
      </c>
    </row>
    <row r="119" spans="1:6" ht="15" thickBot="1" x14ac:dyDescent="0.25"/>
    <row r="120" spans="1:6" ht="15" thickBot="1" x14ac:dyDescent="0.25">
      <c r="B120" s="57" t="s">
        <v>942</v>
      </c>
      <c r="C120" s="55"/>
      <c r="D120" s="55"/>
      <c r="E120" s="55">
        <f>IF(F3="1",SUMIF(Data!A:A,'45'!$A$2,Data!AM:AM),0)</f>
        <v>693266</v>
      </c>
      <c r="F120" s="56">
        <f>SUM(C120:E120)</f>
        <v>693266</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140625" style="11" bestFit="1" customWidth="1"/>
    <col min="13" max="13" width="10.57031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438</v>
      </c>
      <c r="B2" s="60" t="str">
        <f>VLOOKUP(A2,Data!A:G,7,0)</f>
        <v>Vernon College</v>
      </c>
      <c r="C2" s="60"/>
    </row>
    <row r="3" spans="1:6" ht="15" thickBot="1" x14ac:dyDescent="0.25">
      <c r="A3" s="4"/>
      <c r="F3" s="58">
        <f>IFERROR(VLOOKUP(A2,Data!A:C,3,0),"0")</f>
        <v>0</v>
      </c>
    </row>
    <row r="4" spans="1:6" ht="29.25" customHeight="1" x14ac:dyDescent="0.2">
      <c r="A4" s="27" t="s">
        <v>26</v>
      </c>
      <c r="B4" s="182" t="s">
        <v>470</v>
      </c>
      <c r="C4" s="183"/>
      <c r="D4" s="29" t="s">
        <v>27</v>
      </c>
      <c r="E4" s="29" t="s">
        <v>467</v>
      </c>
      <c r="F4" s="30" t="s">
        <v>468</v>
      </c>
    </row>
    <row r="5" spans="1:6" x14ac:dyDescent="0.2">
      <c r="A5" s="20">
        <v>1</v>
      </c>
      <c r="B5" s="172" t="s">
        <v>0</v>
      </c>
      <c r="C5" s="173"/>
      <c r="D5" s="15">
        <f>D36</f>
        <v>0</v>
      </c>
      <c r="E5" s="16">
        <f>E36+E67+IFERROR($E$105/$D$105*D5,0)</f>
        <v>0</v>
      </c>
      <c r="F5" s="21" t="str">
        <f>IF(OR(D5=0,E5=0),"",ROUND(E5/D5,2))</f>
        <v/>
      </c>
    </row>
    <row r="6" spans="1:6" x14ac:dyDescent="0.2">
      <c r="A6" s="20">
        <v>2</v>
      </c>
      <c r="B6" s="172" t="s">
        <v>1</v>
      </c>
      <c r="C6" s="173"/>
      <c r="D6" s="15">
        <f t="shared" ref="D6:D32" si="0">D37</f>
        <v>0</v>
      </c>
      <c r="E6" s="18">
        <f t="shared" ref="E6:E32" si="1">E37+E68+IFERROR($E$105/$D$105*D6,0)</f>
        <v>0</v>
      </c>
      <c r="F6" s="22" t="str">
        <f t="shared" ref="F6:F33" si="2">IF(OR(D6=0,E6=0),"",ROUND(E6/D6,2))</f>
        <v/>
      </c>
    </row>
    <row r="7" spans="1:6" ht="14.25" customHeight="1" x14ac:dyDescent="0.2">
      <c r="A7" s="20">
        <v>3</v>
      </c>
      <c r="B7" s="172" t="s">
        <v>2</v>
      </c>
      <c r="C7" s="173"/>
      <c r="D7" s="15">
        <f t="shared" si="0"/>
        <v>0</v>
      </c>
      <c r="E7" s="18">
        <f t="shared" si="1"/>
        <v>0</v>
      </c>
      <c r="F7" s="22" t="str">
        <f t="shared" si="2"/>
        <v/>
      </c>
    </row>
    <row r="8" spans="1:6" ht="14.25" customHeight="1" x14ac:dyDescent="0.2">
      <c r="A8" s="20">
        <v>4</v>
      </c>
      <c r="B8" s="172" t="s">
        <v>3</v>
      </c>
      <c r="C8" s="173"/>
      <c r="D8" s="15">
        <f t="shared" si="0"/>
        <v>0</v>
      </c>
      <c r="E8" s="18">
        <f t="shared" si="1"/>
        <v>0</v>
      </c>
      <c r="F8" s="22" t="str">
        <f t="shared" si="2"/>
        <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0</v>
      </c>
      <c r="E10" s="18">
        <f t="shared" si="1"/>
        <v>0</v>
      </c>
      <c r="F10" s="22" t="str">
        <f t="shared" si="2"/>
        <v/>
      </c>
    </row>
    <row r="11" spans="1:6" x14ac:dyDescent="0.2">
      <c r="A11" s="20">
        <v>7</v>
      </c>
      <c r="B11" s="172" t="s">
        <v>6</v>
      </c>
      <c r="C11" s="173"/>
      <c r="D11" s="15">
        <f t="shared" si="0"/>
        <v>0</v>
      </c>
      <c r="E11" s="18">
        <f t="shared" si="1"/>
        <v>0</v>
      </c>
      <c r="F11" s="22" t="str">
        <f t="shared" si="2"/>
        <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0</v>
      </c>
      <c r="E13" s="18">
        <f t="shared" si="1"/>
        <v>0</v>
      </c>
      <c r="F13" s="22" t="str">
        <f t="shared" si="2"/>
        <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0</v>
      </c>
      <c r="E15" s="18">
        <f t="shared" si="1"/>
        <v>0</v>
      </c>
      <c r="F15" s="22" t="str">
        <f t="shared" si="2"/>
        <v/>
      </c>
    </row>
    <row r="16" spans="1:6" ht="14.25" customHeight="1" x14ac:dyDescent="0.2">
      <c r="A16" s="20">
        <v>12</v>
      </c>
      <c r="B16" s="172" t="s">
        <v>11</v>
      </c>
      <c r="C16" s="173"/>
      <c r="D16" s="15">
        <f t="shared" si="0"/>
        <v>0</v>
      </c>
      <c r="E16" s="18">
        <f t="shared" si="1"/>
        <v>0</v>
      </c>
      <c r="F16" s="22" t="str">
        <f t="shared" si="2"/>
        <v/>
      </c>
    </row>
    <row r="17" spans="1:6" x14ac:dyDescent="0.2">
      <c r="A17" s="20">
        <v>13</v>
      </c>
      <c r="B17" s="172" t="s">
        <v>12</v>
      </c>
      <c r="C17" s="173"/>
      <c r="D17" s="15">
        <f t="shared" si="0"/>
        <v>0</v>
      </c>
      <c r="E17" s="18">
        <f t="shared" si="1"/>
        <v>0</v>
      </c>
      <c r="F17" s="22" t="str">
        <f t="shared" si="2"/>
        <v/>
      </c>
    </row>
    <row r="18" spans="1:6" ht="14.25" customHeight="1" x14ac:dyDescent="0.2">
      <c r="A18" s="20">
        <v>14</v>
      </c>
      <c r="B18" s="172" t="s">
        <v>469</v>
      </c>
      <c r="C18" s="173"/>
      <c r="D18" s="15">
        <f t="shared" si="0"/>
        <v>0</v>
      </c>
      <c r="E18" s="18">
        <f t="shared" si="1"/>
        <v>0</v>
      </c>
      <c r="F18" s="22" t="str">
        <f t="shared" si="2"/>
        <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0</v>
      </c>
      <c r="E20" s="18">
        <f t="shared" si="1"/>
        <v>0</v>
      </c>
      <c r="F20" s="22" t="str">
        <f t="shared" si="2"/>
        <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0</v>
      </c>
      <c r="E23" s="18">
        <f t="shared" si="1"/>
        <v>0</v>
      </c>
      <c r="F23" s="22" t="str">
        <f t="shared" si="2"/>
        <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0</v>
      </c>
      <c r="E26" s="18">
        <f t="shared" si="1"/>
        <v>0</v>
      </c>
      <c r="F26" s="22" t="str">
        <f t="shared" si="2"/>
        <v/>
      </c>
    </row>
    <row r="27" spans="1:6" x14ac:dyDescent="0.2">
      <c r="A27" s="20">
        <v>23</v>
      </c>
      <c r="B27" s="172" t="s">
        <v>20</v>
      </c>
      <c r="C27" s="173"/>
      <c r="D27" s="15">
        <f t="shared" si="0"/>
        <v>0</v>
      </c>
      <c r="E27" s="18">
        <f t="shared" si="1"/>
        <v>0</v>
      </c>
      <c r="F27" s="22" t="str">
        <f t="shared" si="2"/>
        <v/>
      </c>
    </row>
    <row r="28" spans="1:6" x14ac:dyDescent="0.2">
      <c r="A28" s="20">
        <v>24</v>
      </c>
      <c r="B28" s="172" t="s">
        <v>21</v>
      </c>
      <c r="C28" s="173"/>
      <c r="D28" s="15">
        <f t="shared" si="0"/>
        <v>0</v>
      </c>
      <c r="E28" s="18">
        <f t="shared" si="1"/>
        <v>0</v>
      </c>
      <c r="F28" s="22" t="str">
        <f t="shared" si="2"/>
        <v/>
      </c>
    </row>
    <row r="29" spans="1:6" x14ac:dyDescent="0.2">
      <c r="A29" s="20">
        <v>25</v>
      </c>
      <c r="B29" s="172" t="s">
        <v>22</v>
      </c>
      <c r="C29" s="173"/>
      <c r="D29" s="15">
        <f t="shared" si="0"/>
        <v>0</v>
      </c>
      <c r="E29" s="18">
        <f t="shared" si="1"/>
        <v>0</v>
      </c>
      <c r="F29" s="22" t="str">
        <f t="shared" si="2"/>
        <v/>
      </c>
    </row>
    <row r="30" spans="1:6" x14ac:dyDescent="0.2">
      <c r="A30" s="20">
        <v>26</v>
      </c>
      <c r="B30" s="172" t="s">
        <v>23</v>
      </c>
      <c r="C30" s="173"/>
      <c r="D30" s="15">
        <f t="shared" si="0"/>
        <v>0</v>
      </c>
      <c r="E30" s="18">
        <f t="shared" si="1"/>
        <v>0</v>
      </c>
      <c r="F30" s="22" t="str">
        <f t="shared" si="2"/>
        <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IF(F3="1",SUMIF(Data!A:A,'46'!$A$2,Data!CU:CU),0)</f>
        <v>0</v>
      </c>
      <c r="E36" s="16">
        <f>IF(F3="1",SUMIF(Data!$A:$A,'46'!$A$2,Data!IO:IO),0)</f>
        <v>0</v>
      </c>
      <c r="F36" s="21" t="str">
        <f>IF(D36=0,"",ROUND(E36/D36,2))</f>
        <v/>
      </c>
    </row>
    <row r="37" spans="1:6" x14ac:dyDescent="0.2">
      <c r="A37" s="20">
        <v>2</v>
      </c>
      <c r="B37" s="172" t="s">
        <v>1</v>
      </c>
      <c r="C37" s="173"/>
      <c r="D37" s="15">
        <f>IF(F3="1",SUMIF(Data!A:A,'46'!$A$2,Data!CV:CV),0)</f>
        <v>0</v>
      </c>
      <c r="E37" s="18">
        <f>IF(F3="1",SUMIF(Data!$A:$A,'46'!$A$2,Data!IP:IP),0)</f>
        <v>0</v>
      </c>
      <c r="F37" s="22" t="str">
        <f t="shared" ref="F37:F64" si="3">IF(D37=0,"",ROUND(E37/D37,2))</f>
        <v/>
      </c>
    </row>
    <row r="38" spans="1:6" ht="14.25" customHeight="1" x14ac:dyDescent="0.2">
      <c r="A38" s="20">
        <v>3</v>
      </c>
      <c r="B38" s="172" t="s">
        <v>2</v>
      </c>
      <c r="C38" s="173"/>
      <c r="D38" s="15">
        <f>IF(F3="1",SUMIF(Data!A:A,'46'!$A$2,Data!CW:CW),0)</f>
        <v>0</v>
      </c>
      <c r="E38" s="18">
        <f>IF(F3="1",SUMIF(Data!$A:$A,'46'!$A$2,Data!IQ:IQ),0)</f>
        <v>0</v>
      </c>
      <c r="F38" s="22" t="str">
        <f t="shared" si="3"/>
        <v/>
      </c>
    </row>
    <row r="39" spans="1:6" ht="14.25" customHeight="1" x14ac:dyDescent="0.2">
      <c r="A39" s="20">
        <v>4</v>
      </c>
      <c r="B39" s="172" t="s">
        <v>3</v>
      </c>
      <c r="C39" s="173"/>
      <c r="D39" s="15">
        <f>IF(F3="1",SUMIF(Data!A:A,'46'!$A$2,Data!CX:CX),0)</f>
        <v>0</v>
      </c>
      <c r="E39" s="18">
        <f>IF(F3="1",SUMIF(Data!$A:$A,'46'!$A$2,Data!IR:IR),0)</f>
        <v>0</v>
      </c>
      <c r="F39" s="22" t="str">
        <f t="shared" si="3"/>
        <v/>
      </c>
    </row>
    <row r="40" spans="1:6" x14ac:dyDescent="0.2">
      <c r="A40" s="20">
        <v>5</v>
      </c>
      <c r="B40" s="172" t="s">
        <v>4</v>
      </c>
      <c r="C40" s="173"/>
      <c r="D40" s="15">
        <f>IF(F3="1",SUMIF(Data!A:A,'46'!$A$2,Data!CY:CY),0)</f>
        <v>0</v>
      </c>
      <c r="E40" s="18">
        <f>IF(F3="1",SUMIF(Data!$A:$A,'46'!$A$2,Data!IS:IS),0)</f>
        <v>0</v>
      </c>
      <c r="F40" s="22" t="str">
        <f t="shared" si="3"/>
        <v/>
      </c>
    </row>
    <row r="41" spans="1:6" x14ac:dyDescent="0.2">
      <c r="A41" s="20">
        <v>6</v>
      </c>
      <c r="B41" s="172" t="s">
        <v>5</v>
      </c>
      <c r="C41" s="173"/>
      <c r="D41" s="15">
        <f>IF(F3="1",SUMIF(Data!A:A,'46'!$A$2,Data!CZ:CZ),0)</f>
        <v>0</v>
      </c>
      <c r="E41" s="18">
        <f>IF(F3="1",SUMIF(Data!$A:$A,'46'!$A$2,Data!IT:IT),0)</f>
        <v>0</v>
      </c>
      <c r="F41" s="22" t="str">
        <f t="shared" si="3"/>
        <v/>
      </c>
    </row>
    <row r="42" spans="1:6" x14ac:dyDescent="0.2">
      <c r="A42" s="20">
        <v>7</v>
      </c>
      <c r="B42" s="172" t="s">
        <v>6</v>
      </c>
      <c r="C42" s="173"/>
      <c r="D42" s="15">
        <f>IF(F3="1",SUMIF(Data!A:A,'46'!$A$2,Data!DA:DA),0)</f>
        <v>0</v>
      </c>
      <c r="E42" s="18">
        <f>IF(F3="1",SUMIF(Data!$A:$A,'46'!$A$2,Data!IU:IU),0)</f>
        <v>0</v>
      </c>
      <c r="F42" s="22" t="str">
        <f t="shared" si="3"/>
        <v/>
      </c>
    </row>
    <row r="43" spans="1:6" x14ac:dyDescent="0.2">
      <c r="A43" s="20">
        <v>8</v>
      </c>
      <c r="B43" s="172" t="s">
        <v>7</v>
      </c>
      <c r="C43" s="173"/>
      <c r="D43" s="15">
        <f>IF(F3="1",SUMIF(Data!A:A,'46'!$A$2,Data!DB:DB),0)</f>
        <v>0</v>
      </c>
      <c r="E43" s="18">
        <f>IF(F3="1",SUMIF(Data!$A:$A,'46'!$A$2,Data!IV:IV),0)</f>
        <v>0</v>
      </c>
      <c r="F43" s="22" t="str">
        <f t="shared" si="3"/>
        <v/>
      </c>
    </row>
    <row r="44" spans="1:6" x14ac:dyDescent="0.2">
      <c r="A44" s="20">
        <v>9</v>
      </c>
      <c r="B44" s="172" t="s">
        <v>8</v>
      </c>
      <c r="C44" s="173"/>
      <c r="D44" s="15">
        <f>IF(F3="1",SUMIF(Data!A:A,'46'!$A$2,Data!DC:DC),0)</f>
        <v>0</v>
      </c>
      <c r="E44" s="18">
        <f>IF(F3="1",SUMIF(Data!$A:$A,'46'!$A$2,Data!IW:IW),0)</f>
        <v>0</v>
      </c>
      <c r="F44" s="22" t="str">
        <f t="shared" si="3"/>
        <v/>
      </c>
    </row>
    <row r="45" spans="1:6" x14ac:dyDescent="0.2">
      <c r="A45" s="20">
        <v>10</v>
      </c>
      <c r="B45" s="172" t="s">
        <v>9</v>
      </c>
      <c r="C45" s="173"/>
      <c r="D45" s="15">
        <f>IF(F3="1",SUMIF(Data!A:A,'46'!$A$2,Data!DD:DD),0)</f>
        <v>0</v>
      </c>
      <c r="E45" s="18">
        <f>IF(F3="1",SUMIF(Data!$A:$A,'46'!$A$2,Data!IX:IX),0)</f>
        <v>0</v>
      </c>
      <c r="F45" s="22" t="str">
        <f t="shared" si="3"/>
        <v/>
      </c>
    </row>
    <row r="46" spans="1:6" x14ac:dyDescent="0.2">
      <c r="A46" s="20">
        <v>11</v>
      </c>
      <c r="B46" s="172" t="s">
        <v>10</v>
      </c>
      <c r="C46" s="173"/>
      <c r="D46" s="15">
        <f>IF(F3="1",SUMIF(Data!A:A,'46'!$A$2,Data!DE:DE),0)</f>
        <v>0</v>
      </c>
      <c r="E46" s="18">
        <f>IF(F3="1",SUMIF(Data!$A:$A,'46'!$A$2,Data!IY:IY),0)</f>
        <v>0</v>
      </c>
      <c r="F46" s="22" t="str">
        <f t="shared" si="3"/>
        <v/>
      </c>
    </row>
    <row r="47" spans="1:6" ht="14.25" customHeight="1" x14ac:dyDescent="0.2">
      <c r="A47" s="20">
        <v>12</v>
      </c>
      <c r="B47" s="172" t="s">
        <v>11</v>
      </c>
      <c r="C47" s="173"/>
      <c r="D47" s="15">
        <f>IF(F3="1",SUMIF(Data!A:A,'46'!$A$2,Data!DF:DF),0)</f>
        <v>0</v>
      </c>
      <c r="E47" s="18">
        <f>IF(F3="1",SUMIF(Data!$A:$A,'46'!$A$2,Data!IZ:IZ),0)</f>
        <v>0</v>
      </c>
      <c r="F47" s="22" t="str">
        <f t="shared" si="3"/>
        <v/>
      </c>
    </row>
    <row r="48" spans="1:6" x14ac:dyDescent="0.2">
      <c r="A48" s="20">
        <v>13</v>
      </c>
      <c r="B48" s="172" t="s">
        <v>12</v>
      </c>
      <c r="C48" s="173"/>
      <c r="D48" s="15">
        <f>IF(F3="1",SUMIF(Data!A:A,'46'!$A$2,Data!DG:DG),0)</f>
        <v>0</v>
      </c>
      <c r="E48" s="18">
        <f>IF(F3="1",SUMIF(Data!$A:$A,'46'!$A$2,Data!JA:JA),0)</f>
        <v>0</v>
      </c>
      <c r="F48" s="22" t="str">
        <f t="shared" si="3"/>
        <v/>
      </c>
    </row>
    <row r="49" spans="1:6" ht="14.25" customHeight="1" x14ac:dyDescent="0.2">
      <c r="A49" s="20">
        <v>14</v>
      </c>
      <c r="B49" s="172" t="s">
        <v>469</v>
      </c>
      <c r="C49" s="173"/>
      <c r="D49" s="15">
        <f>IF(F3="1",SUMIF(Data!A:A,'46'!$A$2,Data!DH:DH),0)</f>
        <v>0</v>
      </c>
      <c r="E49" s="18">
        <f>IF(F3="1",SUMIF(Data!$A:$A,'46'!$A$2,Data!JB:JB),0)</f>
        <v>0</v>
      </c>
      <c r="F49" s="22" t="str">
        <f t="shared" si="3"/>
        <v/>
      </c>
    </row>
    <row r="50" spans="1:6" x14ac:dyDescent="0.2">
      <c r="A50" s="20">
        <v>15</v>
      </c>
      <c r="B50" s="172" t="s">
        <v>13</v>
      </c>
      <c r="C50" s="173"/>
      <c r="D50" s="15">
        <f>IF(F3="1",SUMIF(Data!A:A,'46'!$A$2,Data!DI:DI),0)</f>
        <v>0</v>
      </c>
      <c r="E50" s="18">
        <f>IF(F3="1",SUMIF(Data!$A:$A,'46'!$A$2,Data!JC:JC),0)</f>
        <v>0</v>
      </c>
      <c r="F50" s="22" t="str">
        <f t="shared" si="3"/>
        <v/>
      </c>
    </row>
    <row r="51" spans="1:6" x14ac:dyDescent="0.2">
      <c r="A51" s="20">
        <v>16</v>
      </c>
      <c r="B51" s="172" t="s">
        <v>14</v>
      </c>
      <c r="C51" s="173"/>
      <c r="D51" s="15">
        <f>IF(F3="1",SUMIF(Data!A:A,'46'!$A$2,Data!DJ:DJ),0)</f>
        <v>0</v>
      </c>
      <c r="E51" s="18">
        <f>IF(F3="1",SUMIF(Data!$A:$A,'46'!$A$2,Data!JD:JD),0)</f>
        <v>0</v>
      </c>
      <c r="F51" s="22" t="str">
        <f t="shared" si="3"/>
        <v/>
      </c>
    </row>
    <row r="52" spans="1:6" x14ac:dyDescent="0.2">
      <c r="A52" s="20">
        <v>17</v>
      </c>
      <c r="B52" s="172" t="s">
        <v>15</v>
      </c>
      <c r="C52" s="173"/>
      <c r="D52" s="15">
        <f>IF(F3="1",SUMIF(Data!A:A,'46'!$A$2,Data!DK:DK),0)</f>
        <v>0</v>
      </c>
      <c r="E52" s="18">
        <f>IF(F3="1",SUMIF(Data!$A:$A,'46'!$A$2,Data!JE:JE),0)</f>
        <v>0</v>
      </c>
      <c r="F52" s="22" t="str">
        <f t="shared" si="3"/>
        <v/>
      </c>
    </row>
    <row r="53" spans="1:6" x14ac:dyDescent="0.2">
      <c r="A53" s="20">
        <v>18</v>
      </c>
      <c r="B53" s="172" t="s">
        <v>16</v>
      </c>
      <c r="C53" s="173"/>
      <c r="D53" s="15">
        <f>IF(F3="1",SUMIF(Data!A:A,'46'!$A$2,Data!DL:DL),0)</f>
        <v>0</v>
      </c>
      <c r="E53" s="18">
        <f>IF(F3="1",SUMIF(Data!$A:$A,'46'!$A$2,Data!JF:JF),0)</f>
        <v>0</v>
      </c>
      <c r="F53" s="22" t="str">
        <f t="shared" si="3"/>
        <v/>
      </c>
    </row>
    <row r="54" spans="1:6" x14ac:dyDescent="0.2">
      <c r="A54" s="20">
        <v>19</v>
      </c>
      <c r="B54" s="172" t="s">
        <v>17</v>
      </c>
      <c r="C54" s="173"/>
      <c r="D54" s="15">
        <f>IF(F3="1",SUMIF(Data!A:A,'46'!$A$2,Data!DM:DM),0)</f>
        <v>0</v>
      </c>
      <c r="E54" s="18">
        <f>IF(F3="1",SUMIF(Data!$A:$A,'46'!$A$2,Data!JG:JG),0)</f>
        <v>0</v>
      </c>
      <c r="F54" s="22" t="str">
        <f t="shared" si="3"/>
        <v/>
      </c>
    </row>
    <row r="55" spans="1:6" x14ac:dyDescent="0.2">
      <c r="A55" s="20">
        <v>20</v>
      </c>
      <c r="B55" s="172" t="s">
        <v>18</v>
      </c>
      <c r="C55" s="173"/>
      <c r="D55" s="15">
        <f>IF(F3="1",SUMIF(Data!A:A,'46'!$A$2,Data!DN:DN),0)</f>
        <v>0</v>
      </c>
      <c r="E55" s="18">
        <f>IF(F3="1",SUMIF(Data!$A:$A,'46'!$A$2,Data!JH:JH),0)</f>
        <v>0</v>
      </c>
      <c r="F55" s="22" t="str">
        <f t="shared" si="3"/>
        <v/>
      </c>
    </row>
    <row r="56" spans="1:6" ht="14.25" customHeight="1" x14ac:dyDescent="0.2">
      <c r="A56" s="20">
        <v>21</v>
      </c>
      <c r="B56" s="172" t="s">
        <v>466</v>
      </c>
      <c r="C56" s="173"/>
      <c r="D56" s="15">
        <f>IF(F3="1",SUMIF(Data!A:A,'46'!$A$2,Data!DO:DO),0)</f>
        <v>0</v>
      </c>
      <c r="E56" s="18">
        <f>IF(F3="1",SUMIF(Data!$A:$A,'46'!$A$2,Data!JI:JI),0)</f>
        <v>0</v>
      </c>
      <c r="F56" s="22" t="str">
        <f t="shared" si="3"/>
        <v/>
      </c>
    </row>
    <row r="57" spans="1:6" x14ac:dyDescent="0.2">
      <c r="A57" s="20">
        <v>22</v>
      </c>
      <c r="B57" s="172" t="s">
        <v>19</v>
      </c>
      <c r="C57" s="173"/>
      <c r="D57" s="15">
        <f>IF(F3="1",SUMIF(Data!A:A,'46'!$A$2,Data!DP:DP),0)</f>
        <v>0</v>
      </c>
      <c r="E57" s="18">
        <f>IF(F3="1",SUMIF(Data!$A:$A,'46'!$A$2,Data!JJ:JJ),0)</f>
        <v>0</v>
      </c>
      <c r="F57" s="22" t="str">
        <f t="shared" si="3"/>
        <v/>
      </c>
    </row>
    <row r="58" spans="1:6" x14ac:dyDescent="0.2">
      <c r="A58" s="20">
        <v>23</v>
      </c>
      <c r="B58" s="172" t="s">
        <v>20</v>
      </c>
      <c r="C58" s="173"/>
      <c r="D58" s="15">
        <f>IF(F3="1",SUMIF(Data!A:A,'46'!$A$2,Data!DQ:DQ),0)</f>
        <v>0</v>
      </c>
      <c r="E58" s="18">
        <f>IF(F3="1",SUMIF(Data!$A:$A,'46'!$A$2,Data!JK:JK),0)</f>
        <v>0</v>
      </c>
      <c r="F58" s="22" t="str">
        <f t="shared" si="3"/>
        <v/>
      </c>
    </row>
    <row r="59" spans="1:6" x14ac:dyDescent="0.2">
      <c r="A59" s="20">
        <v>24</v>
      </c>
      <c r="B59" s="172" t="s">
        <v>21</v>
      </c>
      <c r="C59" s="173"/>
      <c r="D59" s="15">
        <f>IF(F3="1",SUMIF(Data!A:A,'46'!$A$2,Data!DR:DR),0)</f>
        <v>0</v>
      </c>
      <c r="E59" s="18">
        <f>IF(F3="1",SUMIF(Data!$A:$A,'46'!$A$2,Data!JL:JL),0)</f>
        <v>0</v>
      </c>
      <c r="F59" s="22" t="str">
        <f t="shared" si="3"/>
        <v/>
      </c>
    </row>
    <row r="60" spans="1:6" x14ac:dyDescent="0.2">
      <c r="A60" s="20">
        <v>25</v>
      </c>
      <c r="B60" s="172" t="s">
        <v>22</v>
      </c>
      <c r="C60" s="173"/>
      <c r="D60" s="15">
        <f>IF(F3="1",SUMIF(Data!A:A,'46'!$A$2,Data!DS:DS),0)</f>
        <v>0</v>
      </c>
      <c r="E60" s="18">
        <f>IF(F3="1",SUMIF(Data!$A:$A,'46'!$A$2,Data!JM:JM),0)</f>
        <v>0</v>
      </c>
      <c r="F60" s="22" t="str">
        <f t="shared" si="3"/>
        <v/>
      </c>
    </row>
    <row r="61" spans="1:6" x14ac:dyDescent="0.2">
      <c r="A61" s="20">
        <v>26</v>
      </c>
      <c r="B61" s="172" t="s">
        <v>23</v>
      </c>
      <c r="C61" s="173"/>
      <c r="D61" s="15">
        <f>IF(F3="1",SUMIF(Data!A:A,'46'!$A$2,Data!DT:DT),0)</f>
        <v>0</v>
      </c>
      <c r="E61" s="18">
        <f>IF(F3="1",SUMIF(Data!$A:$A,'46'!$A$2,Data!JN:JN),0)</f>
        <v>0</v>
      </c>
      <c r="F61" s="22" t="str">
        <f t="shared" si="3"/>
        <v/>
      </c>
    </row>
    <row r="62" spans="1:6" x14ac:dyDescent="0.2">
      <c r="A62" s="20">
        <v>28</v>
      </c>
      <c r="B62" s="172" t="s">
        <v>24</v>
      </c>
      <c r="C62" s="173"/>
      <c r="D62" s="15">
        <f>IF(F3="1",SUMIF(Data!A:A,'46'!$A$2,Data!DV:DV),0)</f>
        <v>0</v>
      </c>
      <c r="E62" s="18">
        <f>IF(F3="1",SUMIF(Data!$A:$A,'46'!$A$2,Data!JP:JP),0)</f>
        <v>0</v>
      </c>
      <c r="F62" s="22" t="str">
        <f t="shared" si="3"/>
        <v/>
      </c>
    </row>
    <row r="63" spans="1:6" ht="15.75" customHeight="1" thickBot="1" x14ac:dyDescent="0.25">
      <c r="A63" s="23">
        <v>29</v>
      </c>
      <c r="B63" s="174" t="s">
        <v>25</v>
      </c>
      <c r="C63" s="175"/>
      <c r="D63" s="24">
        <f>IF(F3="1",SUMIF(Data!A:A,'46'!$A$2,Data!DW:DW),0)</f>
        <v>0</v>
      </c>
      <c r="E63" s="25">
        <f>IF(F3="1",SUMIF(Data!$A:$A,'46'!$A$2,Data!JQ:JQ),0)</f>
        <v>0</v>
      </c>
      <c r="F63" s="26" t="str">
        <f t="shared" si="3"/>
        <v/>
      </c>
    </row>
    <row r="64" spans="1:6" x14ac:dyDescent="0.2">
      <c r="B64" s="31" t="s">
        <v>35</v>
      </c>
      <c r="C64" s="31"/>
      <c r="D64" s="61">
        <f>SUM(D36:D63)</f>
        <v>0</v>
      </c>
      <c r="E64" s="32">
        <f>SUM(E36:E63)</f>
        <v>0</v>
      </c>
      <c r="F64" s="33" t="str">
        <f t="shared" si="3"/>
        <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0</v>
      </c>
      <c r="E67" s="16">
        <f>IF(F3="1",SUMIF(Data!A:A,'46'!$A$2,Data!DY:DY),0)</f>
        <v>0</v>
      </c>
      <c r="F67" s="21" t="str">
        <f t="shared" ref="F67:F95" si="4">IF(D67=0,"",ROUND(E67/D67,2))</f>
        <v/>
      </c>
    </row>
    <row r="68" spans="1:6" x14ac:dyDescent="0.2">
      <c r="A68" s="20">
        <v>2</v>
      </c>
      <c r="B68" s="172" t="s">
        <v>1</v>
      </c>
      <c r="C68" s="173"/>
      <c r="D68" s="15">
        <f t="shared" ref="D68:D94" si="5">D37</f>
        <v>0</v>
      </c>
      <c r="E68" s="18">
        <f>IF(F3="1",SUMIF(Data!A:A,'46'!$A$2,Data!DZ:DZ),0)</f>
        <v>0</v>
      </c>
      <c r="F68" s="22" t="str">
        <f t="shared" si="4"/>
        <v/>
      </c>
    </row>
    <row r="69" spans="1:6" ht="14.25" customHeight="1" x14ac:dyDescent="0.2">
      <c r="A69" s="20">
        <v>3</v>
      </c>
      <c r="B69" s="172" t="s">
        <v>2</v>
      </c>
      <c r="C69" s="173"/>
      <c r="D69" s="15">
        <f t="shared" si="5"/>
        <v>0</v>
      </c>
      <c r="E69" s="18">
        <f>IF(F3="1",SUMIF(Data!A:A,'46'!$A$2,Data!EA:EA),0)</f>
        <v>0</v>
      </c>
      <c r="F69" s="22" t="str">
        <f t="shared" si="4"/>
        <v/>
      </c>
    </row>
    <row r="70" spans="1:6" ht="14.25" customHeight="1" x14ac:dyDescent="0.2">
      <c r="A70" s="20">
        <v>4</v>
      </c>
      <c r="B70" s="172" t="s">
        <v>3</v>
      </c>
      <c r="C70" s="173"/>
      <c r="D70" s="15">
        <f t="shared" si="5"/>
        <v>0</v>
      </c>
      <c r="E70" s="18">
        <f>IF(F3="1",SUMIF(Data!A:A,'46'!$A$2,Data!EB:EB),0)</f>
        <v>0</v>
      </c>
      <c r="F70" s="22" t="str">
        <f t="shared" si="4"/>
        <v/>
      </c>
    </row>
    <row r="71" spans="1:6" x14ac:dyDescent="0.2">
      <c r="A71" s="20">
        <v>5</v>
      </c>
      <c r="B71" s="172" t="s">
        <v>4</v>
      </c>
      <c r="C71" s="173"/>
      <c r="D71" s="15">
        <f t="shared" si="5"/>
        <v>0</v>
      </c>
      <c r="E71" s="18">
        <f>IF(F3="1",SUMIF(Data!A:A,'46'!$A$2,Data!EC:EC),0)</f>
        <v>0</v>
      </c>
      <c r="F71" s="22" t="str">
        <f t="shared" si="4"/>
        <v/>
      </c>
    </row>
    <row r="72" spans="1:6" x14ac:dyDescent="0.2">
      <c r="A72" s="20">
        <v>6</v>
      </c>
      <c r="B72" s="172" t="s">
        <v>5</v>
      </c>
      <c r="C72" s="173"/>
      <c r="D72" s="15">
        <f t="shared" si="5"/>
        <v>0</v>
      </c>
      <c r="E72" s="18">
        <f>IF(F3="1",SUMIF(Data!A:A,'46'!$A$2,Data!ED:ED),0)</f>
        <v>0</v>
      </c>
      <c r="F72" s="22" t="str">
        <f t="shared" si="4"/>
        <v/>
      </c>
    </row>
    <row r="73" spans="1:6" x14ac:dyDescent="0.2">
      <c r="A73" s="20">
        <v>7</v>
      </c>
      <c r="B73" s="172" t="s">
        <v>6</v>
      </c>
      <c r="C73" s="173"/>
      <c r="D73" s="15">
        <f t="shared" si="5"/>
        <v>0</v>
      </c>
      <c r="E73" s="18">
        <f>IF(F3="1",SUMIF(Data!A:A,'46'!$A$2,Data!EE:EE),0)</f>
        <v>0</v>
      </c>
      <c r="F73" s="22" t="str">
        <f t="shared" si="4"/>
        <v/>
      </c>
    </row>
    <row r="74" spans="1:6" x14ac:dyDescent="0.2">
      <c r="A74" s="20">
        <v>8</v>
      </c>
      <c r="B74" s="172" t="s">
        <v>7</v>
      </c>
      <c r="C74" s="173"/>
      <c r="D74" s="15">
        <f t="shared" si="5"/>
        <v>0</v>
      </c>
      <c r="E74" s="18">
        <f>IF(F3="1",SUMIF(Data!A:A,'46'!$A$2,Data!EF:EF),0)</f>
        <v>0</v>
      </c>
      <c r="F74" s="22" t="str">
        <f t="shared" si="4"/>
        <v/>
      </c>
    </row>
    <row r="75" spans="1:6" x14ac:dyDescent="0.2">
      <c r="A75" s="20">
        <v>9</v>
      </c>
      <c r="B75" s="172" t="s">
        <v>8</v>
      </c>
      <c r="C75" s="173"/>
      <c r="D75" s="15">
        <f t="shared" si="5"/>
        <v>0</v>
      </c>
      <c r="E75" s="18">
        <f>IF(F3="1",SUMIF(Data!A:A,'46'!$A$2,Data!EG:EG),0)</f>
        <v>0</v>
      </c>
      <c r="F75" s="22" t="str">
        <f t="shared" si="4"/>
        <v/>
      </c>
    </row>
    <row r="76" spans="1:6" x14ac:dyDescent="0.2">
      <c r="A76" s="20">
        <v>10</v>
      </c>
      <c r="B76" s="172" t="s">
        <v>9</v>
      </c>
      <c r="C76" s="173"/>
      <c r="D76" s="15">
        <f t="shared" si="5"/>
        <v>0</v>
      </c>
      <c r="E76" s="18">
        <f>IF(F3="1",SUMIF(Data!A:A,'46'!$A$2,Data!EH:EH),0)</f>
        <v>0</v>
      </c>
      <c r="F76" s="22" t="str">
        <f t="shared" si="4"/>
        <v/>
      </c>
    </row>
    <row r="77" spans="1:6" x14ac:dyDescent="0.2">
      <c r="A77" s="20">
        <v>11</v>
      </c>
      <c r="B77" s="172" t="s">
        <v>10</v>
      </c>
      <c r="C77" s="173"/>
      <c r="D77" s="15">
        <f t="shared" si="5"/>
        <v>0</v>
      </c>
      <c r="E77" s="18">
        <f>IF(F3="1",SUMIF(Data!A:A,'46'!$A$2,Data!EI:EI),0)</f>
        <v>0</v>
      </c>
      <c r="F77" s="22" t="str">
        <f t="shared" si="4"/>
        <v/>
      </c>
    </row>
    <row r="78" spans="1:6" ht="14.25" customHeight="1" x14ac:dyDescent="0.2">
      <c r="A78" s="20">
        <v>12</v>
      </c>
      <c r="B78" s="172" t="s">
        <v>11</v>
      </c>
      <c r="C78" s="173"/>
      <c r="D78" s="15">
        <f t="shared" si="5"/>
        <v>0</v>
      </c>
      <c r="E78" s="18">
        <f>IF(F3="1",SUMIF(Data!A:A,'46'!$A$2,Data!EJ:EJ),0)</f>
        <v>0</v>
      </c>
      <c r="F78" s="22" t="str">
        <f t="shared" si="4"/>
        <v/>
      </c>
    </row>
    <row r="79" spans="1:6" x14ac:dyDescent="0.2">
      <c r="A79" s="20">
        <v>13</v>
      </c>
      <c r="B79" s="172" t="s">
        <v>12</v>
      </c>
      <c r="C79" s="173"/>
      <c r="D79" s="15">
        <f t="shared" si="5"/>
        <v>0</v>
      </c>
      <c r="E79" s="18">
        <f>IF(F3="1",SUMIF(Data!A:A,'46'!$A$2,Data!EK:EK),0)</f>
        <v>0</v>
      </c>
      <c r="F79" s="22" t="str">
        <f t="shared" si="4"/>
        <v/>
      </c>
    </row>
    <row r="80" spans="1:6" ht="14.25" customHeight="1" x14ac:dyDescent="0.2">
      <c r="A80" s="20">
        <v>14</v>
      </c>
      <c r="B80" s="172" t="s">
        <v>469</v>
      </c>
      <c r="C80" s="173"/>
      <c r="D80" s="15">
        <f t="shared" si="5"/>
        <v>0</v>
      </c>
      <c r="E80" s="18">
        <f>IF(F3="1",SUMIF(Data!A:A,'46'!$A$2,Data!EL:EL),0)</f>
        <v>0</v>
      </c>
      <c r="F80" s="22" t="str">
        <f t="shared" si="4"/>
        <v/>
      </c>
    </row>
    <row r="81" spans="1:6" x14ac:dyDescent="0.2">
      <c r="A81" s="20">
        <v>15</v>
      </c>
      <c r="B81" s="172" t="s">
        <v>13</v>
      </c>
      <c r="C81" s="173"/>
      <c r="D81" s="15">
        <f t="shared" si="5"/>
        <v>0</v>
      </c>
      <c r="E81" s="18">
        <f>IF(F3="1",SUMIF(Data!A:A,'46'!$A$2,Data!EM:EM),0)</f>
        <v>0</v>
      </c>
      <c r="F81" s="22" t="str">
        <f t="shared" si="4"/>
        <v/>
      </c>
    </row>
    <row r="82" spans="1:6" x14ac:dyDescent="0.2">
      <c r="A82" s="20">
        <v>16</v>
      </c>
      <c r="B82" s="172" t="s">
        <v>14</v>
      </c>
      <c r="C82" s="173"/>
      <c r="D82" s="15">
        <f t="shared" si="5"/>
        <v>0</v>
      </c>
      <c r="E82" s="18">
        <f>IF(F3="1",SUMIF(Data!A:A,'46'!$A$2,Data!EN:EN),0)</f>
        <v>0</v>
      </c>
      <c r="F82" s="22" t="str">
        <f t="shared" si="4"/>
        <v/>
      </c>
    </row>
    <row r="83" spans="1:6" x14ac:dyDescent="0.2">
      <c r="A83" s="20">
        <v>17</v>
      </c>
      <c r="B83" s="172" t="s">
        <v>15</v>
      </c>
      <c r="C83" s="173"/>
      <c r="D83" s="15">
        <f t="shared" si="5"/>
        <v>0</v>
      </c>
      <c r="E83" s="18">
        <f>IF(F3="1",SUMIF(Data!A:A,'46'!$A$2,Data!EO:EO),0)</f>
        <v>0</v>
      </c>
      <c r="F83" s="22" t="str">
        <f t="shared" si="4"/>
        <v/>
      </c>
    </row>
    <row r="84" spans="1:6" x14ac:dyDescent="0.2">
      <c r="A84" s="20">
        <v>18</v>
      </c>
      <c r="B84" s="172" t="s">
        <v>16</v>
      </c>
      <c r="C84" s="173"/>
      <c r="D84" s="15">
        <f t="shared" si="5"/>
        <v>0</v>
      </c>
      <c r="E84" s="18">
        <f>IF(F3="1",SUMIF(Data!A:A,'46'!$A$2,Data!EP:EP),0)</f>
        <v>0</v>
      </c>
      <c r="F84" s="22" t="str">
        <f t="shared" si="4"/>
        <v/>
      </c>
    </row>
    <row r="85" spans="1:6" x14ac:dyDescent="0.2">
      <c r="A85" s="20">
        <v>19</v>
      </c>
      <c r="B85" s="172" t="s">
        <v>17</v>
      </c>
      <c r="C85" s="173"/>
      <c r="D85" s="15">
        <f t="shared" si="5"/>
        <v>0</v>
      </c>
      <c r="E85" s="18">
        <f>IF(F3="1",SUMIF(Data!A:A,'46'!$A$2,Data!EQ:EQ),0)</f>
        <v>0</v>
      </c>
      <c r="F85" s="22" t="str">
        <f t="shared" si="4"/>
        <v/>
      </c>
    </row>
    <row r="86" spans="1:6" x14ac:dyDescent="0.2">
      <c r="A86" s="20">
        <v>20</v>
      </c>
      <c r="B86" s="172" t="s">
        <v>18</v>
      </c>
      <c r="C86" s="173"/>
      <c r="D86" s="15">
        <f t="shared" si="5"/>
        <v>0</v>
      </c>
      <c r="E86" s="18">
        <f>IF(F3="1",SUMIF(Data!A:A,'46'!$A$2,Data!ER:ER),0)</f>
        <v>0</v>
      </c>
      <c r="F86" s="22" t="str">
        <f t="shared" si="4"/>
        <v/>
      </c>
    </row>
    <row r="87" spans="1:6" ht="14.25" customHeight="1" x14ac:dyDescent="0.2">
      <c r="A87" s="20">
        <v>21</v>
      </c>
      <c r="B87" s="172" t="s">
        <v>466</v>
      </c>
      <c r="C87" s="173"/>
      <c r="D87" s="15">
        <f t="shared" si="5"/>
        <v>0</v>
      </c>
      <c r="E87" s="18">
        <f>IF(F3="1",SUMIF(Data!A:A,'46'!$A$2,Data!ES:ES),0)</f>
        <v>0</v>
      </c>
      <c r="F87" s="22" t="str">
        <f t="shared" si="4"/>
        <v/>
      </c>
    </row>
    <row r="88" spans="1:6" x14ac:dyDescent="0.2">
      <c r="A88" s="20">
        <v>22</v>
      </c>
      <c r="B88" s="172" t="s">
        <v>19</v>
      </c>
      <c r="C88" s="173"/>
      <c r="D88" s="15">
        <f t="shared" si="5"/>
        <v>0</v>
      </c>
      <c r="E88" s="18">
        <f>IF(F3="1",SUMIF(Data!A:A,'46'!$A$2,Data!ET:ET),0)</f>
        <v>0</v>
      </c>
      <c r="F88" s="22" t="str">
        <f t="shared" si="4"/>
        <v/>
      </c>
    </row>
    <row r="89" spans="1:6" x14ac:dyDescent="0.2">
      <c r="A89" s="20">
        <v>23</v>
      </c>
      <c r="B89" s="172" t="s">
        <v>20</v>
      </c>
      <c r="C89" s="173"/>
      <c r="D89" s="15">
        <f t="shared" si="5"/>
        <v>0</v>
      </c>
      <c r="E89" s="18">
        <f>IF(F3="1",SUMIF(Data!A:A,'46'!$A$2,Data!EU:EU),0)</f>
        <v>0</v>
      </c>
      <c r="F89" s="22" t="str">
        <f t="shared" si="4"/>
        <v/>
      </c>
    </row>
    <row r="90" spans="1:6" x14ac:dyDescent="0.2">
      <c r="A90" s="20">
        <v>24</v>
      </c>
      <c r="B90" s="172" t="s">
        <v>21</v>
      </c>
      <c r="C90" s="173"/>
      <c r="D90" s="15">
        <f t="shared" si="5"/>
        <v>0</v>
      </c>
      <c r="E90" s="18">
        <f>IF(F3="1",SUMIF(Data!A:A,'46'!$A$2,Data!EV:EV),0)</f>
        <v>0</v>
      </c>
      <c r="F90" s="22" t="str">
        <f t="shared" si="4"/>
        <v/>
      </c>
    </row>
    <row r="91" spans="1:6" x14ac:dyDescent="0.2">
      <c r="A91" s="20">
        <v>25</v>
      </c>
      <c r="B91" s="172" t="s">
        <v>22</v>
      </c>
      <c r="C91" s="173"/>
      <c r="D91" s="15">
        <f t="shared" si="5"/>
        <v>0</v>
      </c>
      <c r="E91" s="18">
        <f>IF(F3="1",SUMIF(Data!A:A,'46'!$A$2,Data!EW:EW),0)</f>
        <v>0</v>
      </c>
      <c r="F91" s="22" t="str">
        <f t="shared" si="4"/>
        <v/>
      </c>
    </row>
    <row r="92" spans="1:6" x14ac:dyDescent="0.2">
      <c r="A92" s="20">
        <v>26</v>
      </c>
      <c r="B92" s="172" t="s">
        <v>23</v>
      </c>
      <c r="C92" s="173"/>
      <c r="D92" s="15">
        <f t="shared" si="5"/>
        <v>0</v>
      </c>
      <c r="E92" s="18">
        <f>IF(F3="1",SUMIF(Data!A:A,'46'!$A$2,Data!EX:EX),0)</f>
        <v>0</v>
      </c>
      <c r="F92" s="22" t="str">
        <f t="shared" si="4"/>
        <v/>
      </c>
    </row>
    <row r="93" spans="1:6" x14ac:dyDescent="0.2">
      <c r="A93" s="20">
        <v>28</v>
      </c>
      <c r="B93" s="172" t="s">
        <v>24</v>
      </c>
      <c r="C93" s="173"/>
      <c r="D93" s="15">
        <f t="shared" si="5"/>
        <v>0</v>
      </c>
      <c r="E93" s="18">
        <f>IF(F3="1",SUMIF(Data!A:A,'46'!$A$2,Data!EZ:EZ),0)</f>
        <v>0</v>
      </c>
      <c r="F93" s="22" t="str">
        <f t="shared" si="4"/>
        <v/>
      </c>
    </row>
    <row r="94" spans="1:6" ht="15.75" customHeight="1" thickBot="1" x14ac:dyDescent="0.25">
      <c r="A94" s="23">
        <v>29</v>
      </c>
      <c r="B94" s="174" t="s">
        <v>25</v>
      </c>
      <c r="C94" s="175"/>
      <c r="D94" s="24">
        <f t="shared" si="5"/>
        <v>0</v>
      </c>
      <c r="E94" s="25">
        <f>IF(F3="1",SUMIF(Data!A:A,'46'!$A$2,Data!FA:FA),0)</f>
        <v>0</v>
      </c>
      <c r="F94" s="26" t="str">
        <f t="shared" si="4"/>
        <v/>
      </c>
    </row>
    <row r="95" spans="1:6" x14ac:dyDescent="0.2">
      <c r="B95" s="31" t="s">
        <v>35</v>
      </c>
      <c r="C95" s="31"/>
      <c r="D95" s="61">
        <f>SUM(D67:D94)</f>
        <v>0</v>
      </c>
      <c r="E95" s="32">
        <f>SUM(E67:E94)</f>
        <v>0</v>
      </c>
      <c r="F95" s="33" t="str">
        <f t="shared" si="4"/>
        <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IF(F3="1",SUMIF(Data!A:A,'46'!$A$2,Data!AH:AH),0)</f>
        <v>0</v>
      </c>
      <c r="F98" s="21" t="str">
        <f>IF($D$105=0,"",ROUND(E98/$D$105,2))</f>
        <v/>
      </c>
    </row>
    <row r="99" spans="2:6" x14ac:dyDescent="0.2">
      <c r="B99" s="178" t="s">
        <v>31</v>
      </c>
      <c r="C99" s="179"/>
      <c r="D99" s="37"/>
      <c r="E99" s="18">
        <f>IF(F3="1",SUMIF(Data!A:A,'46'!$A$2,Data!AI:AI),0)</f>
        <v>0</v>
      </c>
      <c r="F99" s="22" t="str">
        <f t="shared" ref="F99:F105" si="6">IF($D$105=0,"",ROUND(E99/$D$105,2))</f>
        <v/>
      </c>
    </row>
    <row r="100" spans="2:6" x14ac:dyDescent="0.2">
      <c r="B100" s="178" t="s">
        <v>32</v>
      </c>
      <c r="C100" s="179"/>
      <c r="D100" s="37"/>
      <c r="E100" s="18">
        <f>IF(F3="1",SUMIF(Data!A:A,'46'!$A$2,Data!AJ:AJ),0)</f>
        <v>0</v>
      </c>
      <c r="F100" s="22" t="str">
        <f t="shared" si="6"/>
        <v/>
      </c>
    </row>
    <row r="101" spans="2:6" x14ac:dyDescent="0.2">
      <c r="B101" s="178" t="s">
        <v>28</v>
      </c>
      <c r="C101" s="179"/>
      <c r="D101" s="37"/>
      <c r="E101" s="18">
        <f>IF(F3="1",SUMIF(Data!A:A,'46'!$A$2,Data!AK:AK),0)</f>
        <v>0</v>
      </c>
      <c r="F101" s="22" t="str">
        <f t="shared" si="6"/>
        <v/>
      </c>
    </row>
    <row r="102" spans="2:6" x14ac:dyDescent="0.2">
      <c r="B102" s="178" t="s">
        <v>33</v>
      </c>
      <c r="C102" s="179"/>
      <c r="D102" s="37"/>
      <c r="E102" s="18">
        <f>IF(F3="1",SUMIF(Data!A:A,'46'!$A$2,Data!AL:AL),0)</f>
        <v>0</v>
      </c>
      <c r="F102" s="22" t="str">
        <f t="shared" si="6"/>
        <v/>
      </c>
    </row>
    <row r="103" spans="2:6" x14ac:dyDescent="0.2">
      <c r="B103" s="180" t="s">
        <v>34</v>
      </c>
      <c r="C103" s="181"/>
      <c r="D103" s="37"/>
      <c r="E103" s="18">
        <f>IF(F3="1",SUMIF(Data!A:A,'46'!$A$2,Data!AM:AM),0)</f>
        <v>0</v>
      </c>
      <c r="F103" s="22" t="str">
        <f t="shared" si="6"/>
        <v/>
      </c>
    </row>
    <row r="104" spans="2:6" ht="15.75" customHeight="1" thickBot="1" x14ac:dyDescent="0.25">
      <c r="B104" s="170" t="s">
        <v>29</v>
      </c>
      <c r="C104" s="171"/>
      <c r="D104" s="38"/>
      <c r="E104" s="25">
        <f>IF(F3="1",SUMIF(Data!A:A,'46'!$A$2,Data!Q:Q),0)</f>
        <v>0</v>
      </c>
      <c r="F104" s="26" t="str">
        <f t="shared" si="6"/>
        <v/>
      </c>
    </row>
    <row r="105" spans="2:6" x14ac:dyDescent="0.2">
      <c r="B105" s="31" t="s">
        <v>35</v>
      </c>
      <c r="C105" s="31"/>
      <c r="D105" s="35">
        <f>D95</f>
        <v>0</v>
      </c>
      <c r="E105" s="32">
        <f>SUM(E98:E104)</f>
        <v>0</v>
      </c>
      <c r="F105" s="33" t="str">
        <f t="shared" si="6"/>
        <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942</v>
      </c>
      <c r="C120" s="55"/>
      <c r="D120" s="55"/>
      <c r="E120" s="55">
        <f>IF(F3="1",SUMIF(Data!A:A,'46'!$A$2,Data!AM:AM),0)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3" width="12.42578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414</v>
      </c>
      <c r="B2" s="60" t="str">
        <f>VLOOKUP(A2,Data!A:G,7,0)</f>
        <v>Victoria College, The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10752</v>
      </c>
      <c r="E5" s="16">
        <f>E36+E67+IFERROR($E$105/$D$105*D5,0)</f>
        <v>81038.498024388624</v>
      </c>
      <c r="F5" s="21">
        <f>IF(OR(D5=0,E5=0),"",ROUND(E5/D5,2))</f>
        <v>7.54</v>
      </c>
    </row>
    <row r="6" spans="1:6" x14ac:dyDescent="0.2">
      <c r="A6" s="20">
        <v>2</v>
      </c>
      <c r="B6" s="172" t="s">
        <v>1</v>
      </c>
      <c r="C6" s="173"/>
      <c r="D6" s="15">
        <f t="shared" ref="D6:D32" si="0">D37</f>
        <v>24724</v>
      </c>
      <c r="E6" s="18">
        <f t="shared" ref="E6:E32" si="1">E37+E68+IFERROR($E$105/$D$105*D6,0)</f>
        <v>181420.65821753946</v>
      </c>
      <c r="F6" s="22">
        <f t="shared" ref="F6:F33" si="2">IF(OR(D6=0,E6=0),"",ROUND(E6/D6,2))</f>
        <v>7.34</v>
      </c>
    </row>
    <row r="7" spans="1:6" ht="14.25" customHeight="1" x14ac:dyDescent="0.2">
      <c r="A7" s="20">
        <v>3</v>
      </c>
      <c r="B7" s="172" t="s">
        <v>2</v>
      </c>
      <c r="C7" s="173"/>
      <c r="D7" s="15">
        <f t="shared" si="0"/>
        <v>224022</v>
      </c>
      <c r="E7" s="18">
        <f t="shared" si="1"/>
        <v>1862623.1348976551</v>
      </c>
      <c r="F7" s="22">
        <f t="shared" si="2"/>
        <v>8.31</v>
      </c>
    </row>
    <row r="8" spans="1:6" ht="14.25" customHeight="1" x14ac:dyDescent="0.2">
      <c r="A8" s="20">
        <v>4</v>
      </c>
      <c r="B8" s="172" t="s">
        <v>3</v>
      </c>
      <c r="C8" s="173"/>
      <c r="D8" s="15">
        <f t="shared" si="0"/>
        <v>109771</v>
      </c>
      <c r="E8" s="18">
        <f t="shared" si="1"/>
        <v>761453.17202707985</v>
      </c>
      <c r="F8" s="22">
        <f t="shared" si="2"/>
        <v>6.94</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1160</v>
      </c>
      <c r="E10" s="18">
        <f t="shared" si="1"/>
        <v>10909.070843405023</v>
      </c>
      <c r="F10" s="22">
        <f t="shared" si="2"/>
        <v>9.4</v>
      </c>
    </row>
    <row r="11" spans="1:6" x14ac:dyDescent="0.2">
      <c r="A11" s="20">
        <v>7</v>
      </c>
      <c r="B11" s="172" t="s">
        <v>6</v>
      </c>
      <c r="C11" s="173"/>
      <c r="D11" s="15">
        <f t="shared" si="0"/>
        <v>87132</v>
      </c>
      <c r="E11" s="18">
        <f t="shared" si="1"/>
        <v>800688.86959272972</v>
      </c>
      <c r="F11" s="22">
        <f t="shared" si="2"/>
        <v>9.19</v>
      </c>
    </row>
    <row r="12" spans="1:6" x14ac:dyDescent="0.2">
      <c r="A12" s="20">
        <v>8</v>
      </c>
      <c r="B12" s="172" t="s">
        <v>7</v>
      </c>
      <c r="C12" s="173"/>
      <c r="D12" s="15">
        <f t="shared" si="0"/>
        <v>7054</v>
      </c>
      <c r="E12" s="18">
        <f t="shared" si="1"/>
        <v>125349.13942187847</v>
      </c>
      <c r="F12" s="22">
        <f t="shared" si="2"/>
        <v>17.77</v>
      </c>
    </row>
    <row r="13" spans="1:6" x14ac:dyDescent="0.2">
      <c r="A13" s="20">
        <v>9</v>
      </c>
      <c r="B13" s="172" t="s">
        <v>8</v>
      </c>
      <c r="C13" s="173"/>
      <c r="D13" s="15">
        <f t="shared" si="0"/>
        <v>36322</v>
      </c>
      <c r="E13" s="18">
        <f t="shared" si="1"/>
        <v>189269.5854949631</v>
      </c>
      <c r="F13" s="22">
        <f t="shared" si="2"/>
        <v>5.21</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40197</v>
      </c>
      <c r="E15" s="18">
        <f t="shared" si="1"/>
        <v>405529.07645892387</v>
      </c>
      <c r="F15" s="22">
        <f t="shared" si="2"/>
        <v>10.09</v>
      </c>
    </row>
    <row r="16" spans="1:6" ht="14.25" customHeight="1" x14ac:dyDescent="0.2">
      <c r="A16" s="20">
        <v>12</v>
      </c>
      <c r="B16" s="172" t="s">
        <v>11</v>
      </c>
      <c r="C16" s="173"/>
      <c r="D16" s="15">
        <f t="shared" si="0"/>
        <v>197393</v>
      </c>
      <c r="E16" s="18">
        <f t="shared" si="1"/>
        <v>1579799.4249933169</v>
      </c>
      <c r="F16" s="22">
        <f t="shared" si="2"/>
        <v>8</v>
      </c>
    </row>
    <row r="17" spans="1:6" x14ac:dyDescent="0.2">
      <c r="A17" s="20">
        <v>13</v>
      </c>
      <c r="B17" s="172" t="s">
        <v>12</v>
      </c>
      <c r="C17" s="173"/>
      <c r="D17" s="15">
        <f t="shared" si="0"/>
        <v>12591</v>
      </c>
      <c r="E17" s="18">
        <f t="shared" si="1"/>
        <v>129503.77154251089</v>
      </c>
      <c r="F17" s="22">
        <f t="shared" si="2"/>
        <v>10.29</v>
      </c>
    </row>
    <row r="18" spans="1:6" ht="14.25" customHeight="1" x14ac:dyDescent="0.2">
      <c r="A18" s="20">
        <v>14</v>
      </c>
      <c r="B18" s="172" t="s">
        <v>469</v>
      </c>
      <c r="C18" s="173"/>
      <c r="D18" s="15">
        <f t="shared" si="0"/>
        <v>131275</v>
      </c>
      <c r="E18" s="18">
        <f t="shared" si="1"/>
        <v>1651464.1680758572</v>
      </c>
      <c r="F18" s="22">
        <f t="shared" si="2"/>
        <v>12.58</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100190</v>
      </c>
      <c r="E20" s="18">
        <f t="shared" si="1"/>
        <v>743509.04120754241</v>
      </c>
      <c r="F20" s="22">
        <f t="shared" si="2"/>
        <v>7.42</v>
      </c>
    </row>
    <row r="21" spans="1:6" x14ac:dyDescent="0.2">
      <c r="A21" s="20">
        <v>17</v>
      </c>
      <c r="B21" s="172" t="s">
        <v>15</v>
      </c>
      <c r="C21" s="173"/>
      <c r="D21" s="15">
        <f t="shared" si="0"/>
        <v>31456</v>
      </c>
      <c r="E21" s="18">
        <f t="shared" si="1"/>
        <v>354951.03142254171</v>
      </c>
      <c r="F21" s="22">
        <f t="shared" si="2"/>
        <v>11.28</v>
      </c>
    </row>
    <row r="22" spans="1:6" x14ac:dyDescent="0.2">
      <c r="A22" s="20">
        <v>18</v>
      </c>
      <c r="B22" s="172" t="s">
        <v>16</v>
      </c>
      <c r="C22" s="173"/>
      <c r="D22" s="15">
        <f t="shared" si="0"/>
        <v>197472</v>
      </c>
      <c r="E22" s="18">
        <f t="shared" si="1"/>
        <v>1718338.280680066</v>
      </c>
      <c r="F22" s="22">
        <f t="shared" si="2"/>
        <v>8.6999999999999993</v>
      </c>
    </row>
    <row r="23" spans="1:6" x14ac:dyDescent="0.2">
      <c r="A23" s="20">
        <v>19</v>
      </c>
      <c r="B23" s="172" t="s">
        <v>17</v>
      </c>
      <c r="C23" s="173"/>
      <c r="D23" s="15">
        <f t="shared" si="0"/>
        <v>120192</v>
      </c>
      <c r="E23" s="18">
        <f t="shared" si="1"/>
        <v>1124753.3886297727</v>
      </c>
      <c r="F23" s="22">
        <f t="shared" si="2"/>
        <v>9.36</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66</v>
      </c>
      <c r="E25" s="18">
        <f t="shared" si="1"/>
        <v>1225.7781686764927</v>
      </c>
      <c r="F25" s="22">
        <f t="shared" si="2"/>
        <v>18.57</v>
      </c>
    </row>
    <row r="26" spans="1:6" x14ac:dyDescent="0.2">
      <c r="A26" s="20">
        <v>22</v>
      </c>
      <c r="B26" s="172" t="s">
        <v>19</v>
      </c>
      <c r="C26" s="173"/>
      <c r="D26" s="15">
        <f t="shared" si="0"/>
        <v>1632</v>
      </c>
      <c r="E26" s="18">
        <f t="shared" si="1"/>
        <v>5885.4238072732724</v>
      </c>
      <c r="F26" s="22">
        <f t="shared" si="2"/>
        <v>3.61</v>
      </c>
    </row>
    <row r="27" spans="1:6" x14ac:dyDescent="0.2">
      <c r="A27" s="20">
        <v>23</v>
      </c>
      <c r="B27" s="172" t="s">
        <v>20</v>
      </c>
      <c r="C27" s="173"/>
      <c r="D27" s="15">
        <f t="shared" si="0"/>
        <v>48816</v>
      </c>
      <c r="E27" s="18">
        <f t="shared" si="1"/>
        <v>391647.47094108583</v>
      </c>
      <c r="F27" s="22">
        <f t="shared" si="2"/>
        <v>8.02</v>
      </c>
    </row>
    <row r="28" spans="1:6" x14ac:dyDescent="0.2">
      <c r="A28" s="20">
        <v>24</v>
      </c>
      <c r="B28" s="172" t="s">
        <v>21</v>
      </c>
      <c r="C28" s="173"/>
      <c r="D28" s="15">
        <f t="shared" si="0"/>
        <v>53881</v>
      </c>
      <c r="E28" s="18">
        <f t="shared" si="1"/>
        <v>677921.75009784999</v>
      </c>
      <c r="F28" s="22">
        <f t="shared" si="2"/>
        <v>12.58</v>
      </c>
    </row>
    <row r="29" spans="1:6" x14ac:dyDescent="0.2">
      <c r="A29" s="20">
        <v>25</v>
      </c>
      <c r="B29" s="172" t="s">
        <v>22</v>
      </c>
      <c r="C29" s="173"/>
      <c r="D29" s="15">
        <f t="shared" si="0"/>
        <v>272736</v>
      </c>
      <c r="E29" s="18">
        <f t="shared" si="1"/>
        <v>1881732.7668507863</v>
      </c>
      <c r="F29" s="22">
        <f t="shared" si="2"/>
        <v>6.9</v>
      </c>
    </row>
    <row r="30" spans="1:6" x14ac:dyDescent="0.2">
      <c r="A30" s="20">
        <v>26</v>
      </c>
      <c r="B30" s="172" t="s">
        <v>23</v>
      </c>
      <c r="C30" s="173"/>
      <c r="D30" s="15">
        <f t="shared" si="0"/>
        <v>64288</v>
      </c>
      <c r="E30" s="18">
        <f t="shared" si="1"/>
        <v>707466.49860415701</v>
      </c>
      <c r="F30" s="22">
        <f t="shared" si="2"/>
        <v>11</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1773122</v>
      </c>
      <c r="E33" s="32">
        <f>SUM(E5:E32)</f>
        <v>15386480</v>
      </c>
      <c r="F33" s="33">
        <f t="shared" si="2"/>
        <v>8.68</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IF(F3="1",SUMIF(Data!A:A,'47'!$A$2,Data!CU:CU),0)</f>
        <v>10752</v>
      </c>
      <c r="E36" s="16">
        <f>IF(F3="1",SUMIF(Data!$A:$A,'47'!$A$2,Data!IO:IO),0)</f>
        <v>42483</v>
      </c>
      <c r="F36" s="21">
        <f>IF(D36=0,"",ROUND(E36/D36,2))</f>
        <v>3.95</v>
      </c>
    </row>
    <row r="37" spans="1:6" x14ac:dyDescent="0.2">
      <c r="A37" s="20">
        <v>2</v>
      </c>
      <c r="B37" s="172" t="s">
        <v>1</v>
      </c>
      <c r="C37" s="173"/>
      <c r="D37" s="15">
        <f>IF(F3="1",SUMIF(Data!A:A,'47'!$A$2,Data!CV:CV),0)</f>
        <v>24724</v>
      </c>
      <c r="E37" s="18">
        <f>IF(F3="1",SUMIF(Data!$A:$A,'47'!$A$2,Data!IP:IP),0)</f>
        <v>28207</v>
      </c>
      <c r="F37" s="22">
        <f t="shared" ref="F37:F64" si="3">IF(D37=0,"",ROUND(E37/D37,2))</f>
        <v>1.1399999999999999</v>
      </c>
    </row>
    <row r="38" spans="1:6" ht="14.25" customHeight="1" x14ac:dyDescent="0.2">
      <c r="A38" s="20">
        <v>3</v>
      </c>
      <c r="B38" s="172" t="s">
        <v>2</v>
      </c>
      <c r="C38" s="173"/>
      <c r="D38" s="15">
        <f>IF(F3="1",SUMIF(Data!A:A,'47'!$A$2,Data!CW:CW),0)</f>
        <v>224022</v>
      </c>
      <c r="E38" s="18">
        <f>IF(F3="1",SUMIF(Data!$A:$A,'47'!$A$2,Data!IQ:IQ),0)</f>
        <v>366237</v>
      </c>
      <c r="F38" s="22">
        <f t="shared" si="3"/>
        <v>1.63</v>
      </c>
    </row>
    <row r="39" spans="1:6" ht="14.25" customHeight="1" x14ac:dyDescent="0.2">
      <c r="A39" s="20">
        <v>4</v>
      </c>
      <c r="B39" s="172" t="s">
        <v>3</v>
      </c>
      <c r="C39" s="173"/>
      <c r="D39" s="15">
        <f>IF(F3="1",SUMIF(Data!A:A,'47'!$A$2,Data!CX:CX),0)</f>
        <v>109771</v>
      </c>
      <c r="E39" s="18">
        <f>IF(F3="1",SUMIF(Data!$A:$A,'47'!$A$2,Data!IR:IR),0)</f>
        <v>151322</v>
      </c>
      <c r="F39" s="22">
        <f t="shared" si="3"/>
        <v>1.38</v>
      </c>
    </row>
    <row r="40" spans="1:6" x14ac:dyDescent="0.2">
      <c r="A40" s="20">
        <v>5</v>
      </c>
      <c r="B40" s="172" t="s">
        <v>4</v>
      </c>
      <c r="C40" s="173"/>
      <c r="D40" s="15">
        <f>IF(F3="1",SUMIF(Data!A:A,'47'!$A$2,Data!CY:CY),0)</f>
        <v>0</v>
      </c>
      <c r="E40" s="18">
        <f>IF(F3="1",SUMIF(Data!$A:$A,'47'!$A$2,Data!IS:IS),0)</f>
        <v>0</v>
      </c>
      <c r="F40" s="22" t="str">
        <f t="shared" si="3"/>
        <v/>
      </c>
    </row>
    <row r="41" spans="1:6" x14ac:dyDescent="0.2">
      <c r="A41" s="20">
        <v>6</v>
      </c>
      <c r="B41" s="172" t="s">
        <v>5</v>
      </c>
      <c r="C41" s="173"/>
      <c r="D41" s="15">
        <f>IF(F3="1",SUMIF(Data!A:A,'47'!$A$2,Data!CZ:CZ),0)</f>
        <v>1160</v>
      </c>
      <c r="E41" s="18">
        <f>IF(F3="1",SUMIF(Data!$A:$A,'47'!$A$2,Data!IT:IT),0)</f>
        <v>666</v>
      </c>
      <c r="F41" s="22">
        <f t="shared" si="3"/>
        <v>0.56999999999999995</v>
      </c>
    </row>
    <row r="42" spans="1:6" x14ac:dyDescent="0.2">
      <c r="A42" s="20">
        <v>7</v>
      </c>
      <c r="B42" s="172" t="s">
        <v>6</v>
      </c>
      <c r="C42" s="173"/>
      <c r="D42" s="15">
        <f>IF(F3="1",SUMIF(Data!A:A,'47'!$A$2,Data!DA:DA),0)</f>
        <v>87132</v>
      </c>
      <c r="E42" s="18">
        <f>IF(F3="1",SUMIF(Data!$A:$A,'47'!$A$2,Data!IU:IU),0)</f>
        <v>160992</v>
      </c>
      <c r="F42" s="22">
        <f t="shared" si="3"/>
        <v>1.85</v>
      </c>
    </row>
    <row r="43" spans="1:6" x14ac:dyDescent="0.2">
      <c r="A43" s="20">
        <v>8</v>
      </c>
      <c r="B43" s="172" t="s">
        <v>7</v>
      </c>
      <c r="C43" s="173"/>
      <c r="D43" s="15">
        <f>IF(F3="1",SUMIF(Data!A:A,'47'!$A$2,Data!DB:DB),0)</f>
        <v>7054</v>
      </c>
      <c r="E43" s="18">
        <f>IF(F3="1",SUMIF(Data!$A:$A,'47'!$A$2,Data!IV:IV),0)</f>
        <v>49637</v>
      </c>
      <c r="F43" s="22">
        <f t="shared" si="3"/>
        <v>7.04</v>
      </c>
    </row>
    <row r="44" spans="1:6" x14ac:dyDescent="0.2">
      <c r="A44" s="20">
        <v>9</v>
      </c>
      <c r="B44" s="172" t="s">
        <v>8</v>
      </c>
      <c r="C44" s="173"/>
      <c r="D44" s="15">
        <f>IF(F3="1",SUMIF(Data!A:A,'47'!$A$2,Data!DC:DC),0)</f>
        <v>36322</v>
      </c>
      <c r="E44" s="18">
        <f>IF(F3="1",SUMIF(Data!$A:$A,'47'!$A$2,Data!IW:IW),0)</f>
        <v>18148</v>
      </c>
      <c r="F44" s="22">
        <f t="shared" si="3"/>
        <v>0.5</v>
      </c>
    </row>
    <row r="45" spans="1:6" x14ac:dyDescent="0.2">
      <c r="A45" s="20">
        <v>10</v>
      </c>
      <c r="B45" s="172" t="s">
        <v>9</v>
      </c>
      <c r="C45" s="173"/>
      <c r="D45" s="15">
        <f>IF(F3="1",SUMIF(Data!A:A,'47'!$A$2,Data!DD:DD),0)</f>
        <v>0</v>
      </c>
      <c r="E45" s="18">
        <f>IF(F3="1",SUMIF(Data!$A:$A,'47'!$A$2,Data!IX:IX),0)</f>
        <v>0</v>
      </c>
      <c r="F45" s="22" t="str">
        <f t="shared" si="3"/>
        <v/>
      </c>
    </row>
    <row r="46" spans="1:6" x14ac:dyDescent="0.2">
      <c r="A46" s="20">
        <v>11</v>
      </c>
      <c r="B46" s="172" t="s">
        <v>10</v>
      </c>
      <c r="C46" s="173"/>
      <c r="D46" s="15">
        <f>IF(F3="1",SUMIF(Data!A:A,'47'!$A$2,Data!DE:DE),0)</f>
        <v>40197</v>
      </c>
      <c r="E46" s="18">
        <f>IF(F3="1",SUMIF(Data!$A:$A,'47'!$A$2,Data!IY:IY),0)</f>
        <v>191601</v>
      </c>
      <c r="F46" s="22">
        <f t="shared" si="3"/>
        <v>4.7699999999999996</v>
      </c>
    </row>
    <row r="47" spans="1:6" ht="14.25" customHeight="1" x14ac:dyDescent="0.2">
      <c r="A47" s="20">
        <v>12</v>
      </c>
      <c r="B47" s="172" t="s">
        <v>11</v>
      </c>
      <c r="C47" s="173"/>
      <c r="D47" s="15">
        <f>IF(F3="1",SUMIF(Data!A:A,'47'!$A$2,Data!DF:DF),0)</f>
        <v>197393</v>
      </c>
      <c r="E47" s="18">
        <f>IF(F3="1",SUMIF(Data!$A:$A,'47'!$A$2,Data!IZ:IZ),0)</f>
        <v>164476</v>
      </c>
      <c r="F47" s="22">
        <f t="shared" si="3"/>
        <v>0.83</v>
      </c>
    </row>
    <row r="48" spans="1:6" x14ac:dyDescent="0.2">
      <c r="A48" s="20">
        <v>13</v>
      </c>
      <c r="B48" s="172" t="s">
        <v>12</v>
      </c>
      <c r="C48" s="173"/>
      <c r="D48" s="15">
        <f>IF(F3="1",SUMIF(Data!A:A,'47'!$A$2,Data!DG:DG),0)</f>
        <v>12591</v>
      </c>
      <c r="E48" s="18">
        <f>IF(F3="1",SUMIF(Data!$A:$A,'47'!$A$2,Data!JA:JA),0)</f>
        <v>24374</v>
      </c>
      <c r="F48" s="22">
        <f t="shared" si="3"/>
        <v>1.94</v>
      </c>
    </row>
    <row r="49" spans="1:6" ht="14.25" customHeight="1" x14ac:dyDescent="0.2">
      <c r="A49" s="20">
        <v>14</v>
      </c>
      <c r="B49" s="172" t="s">
        <v>469</v>
      </c>
      <c r="C49" s="173"/>
      <c r="D49" s="15">
        <f>IF(F3="1",SUMIF(Data!A:A,'47'!$A$2,Data!DH:DH),0)</f>
        <v>131275</v>
      </c>
      <c r="E49" s="18">
        <f>IF(F3="1",SUMIF(Data!$A:$A,'47'!$A$2,Data!JB:JB),0)</f>
        <v>265138</v>
      </c>
      <c r="F49" s="22">
        <f t="shared" si="3"/>
        <v>2.02</v>
      </c>
    </row>
    <row r="50" spans="1:6" x14ac:dyDescent="0.2">
      <c r="A50" s="20">
        <v>15</v>
      </c>
      <c r="B50" s="172" t="s">
        <v>13</v>
      </c>
      <c r="C50" s="173"/>
      <c r="D50" s="15">
        <f>IF(F3="1",SUMIF(Data!A:A,'47'!$A$2,Data!DI:DI),0)</f>
        <v>0</v>
      </c>
      <c r="E50" s="18">
        <f>IF(F3="1",SUMIF(Data!$A:$A,'47'!$A$2,Data!JC:JC),0)</f>
        <v>0</v>
      </c>
      <c r="F50" s="22" t="str">
        <f t="shared" si="3"/>
        <v/>
      </c>
    </row>
    <row r="51" spans="1:6" x14ac:dyDescent="0.2">
      <c r="A51" s="20">
        <v>16</v>
      </c>
      <c r="B51" s="172" t="s">
        <v>14</v>
      </c>
      <c r="C51" s="173"/>
      <c r="D51" s="15">
        <f>IF(F3="1",SUMIF(Data!A:A,'47'!$A$2,Data!DJ:DJ),0)</f>
        <v>100190</v>
      </c>
      <c r="E51" s="18">
        <f>IF(F3="1",SUMIF(Data!$A:$A,'47'!$A$2,Data!JD:JD),0)</f>
        <v>88243</v>
      </c>
      <c r="F51" s="22">
        <f t="shared" si="3"/>
        <v>0.88</v>
      </c>
    </row>
    <row r="52" spans="1:6" x14ac:dyDescent="0.2">
      <c r="A52" s="20">
        <v>17</v>
      </c>
      <c r="B52" s="172" t="s">
        <v>15</v>
      </c>
      <c r="C52" s="173"/>
      <c r="D52" s="15">
        <f>IF(F3="1",SUMIF(Data!A:A,'47'!$A$2,Data!DK:DK),0)</f>
        <v>31456</v>
      </c>
      <c r="E52" s="18">
        <f>IF(F3="1",SUMIF(Data!$A:$A,'47'!$A$2,Data!JE:JE),0)</f>
        <v>52418</v>
      </c>
      <c r="F52" s="22">
        <f t="shared" si="3"/>
        <v>1.67</v>
      </c>
    </row>
    <row r="53" spans="1:6" x14ac:dyDescent="0.2">
      <c r="A53" s="20">
        <v>18</v>
      </c>
      <c r="B53" s="172" t="s">
        <v>16</v>
      </c>
      <c r="C53" s="173"/>
      <c r="D53" s="15">
        <f>IF(F3="1",SUMIF(Data!A:A,'47'!$A$2,Data!DL:DL),0)</f>
        <v>197472</v>
      </c>
      <c r="E53" s="18">
        <f>IF(F3="1",SUMIF(Data!$A:$A,'47'!$A$2,Data!JF:JF),0)</f>
        <v>306499</v>
      </c>
      <c r="F53" s="22">
        <f t="shared" si="3"/>
        <v>1.55</v>
      </c>
    </row>
    <row r="54" spans="1:6" x14ac:dyDescent="0.2">
      <c r="A54" s="20">
        <v>19</v>
      </c>
      <c r="B54" s="172" t="s">
        <v>17</v>
      </c>
      <c r="C54" s="173"/>
      <c r="D54" s="15">
        <f>IF(F3="1",SUMIF(Data!A:A,'47'!$A$2,Data!DM:DM),0)</f>
        <v>120192</v>
      </c>
      <c r="E54" s="18">
        <f>IF(F3="1",SUMIF(Data!$A:$A,'47'!$A$2,Data!JG:JG),0)</f>
        <v>236190</v>
      </c>
      <c r="F54" s="22">
        <f t="shared" si="3"/>
        <v>1.97</v>
      </c>
    </row>
    <row r="55" spans="1:6" x14ac:dyDescent="0.2">
      <c r="A55" s="20">
        <v>20</v>
      </c>
      <c r="B55" s="172" t="s">
        <v>18</v>
      </c>
      <c r="C55" s="173"/>
      <c r="D55" s="15">
        <f>IF(F3="1",SUMIF(Data!A:A,'47'!$A$2,Data!DN:DN),0)</f>
        <v>0</v>
      </c>
      <c r="E55" s="18">
        <f>IF(F3="1",SUMIF(Data!$A:$A,'47'!$A$2,Data!JH:JH),0)</f>
        <v>0</v>
      </c>
      <c r="F55" s="22" t="str">
        <f t="shared" si="3"/>
        <v/>
      </c>
    </row>
    <row r="56" spans="1:6" ht="14.25" customHeight="1" x14ac:dyDescent="0.2">
      <c r="A56" s="20">
        <v>21</v>
      </c>
      <c r="B56" s="172" t="s">
        <v>466</v>
      </c>
      <c r="C56" s="173"/>
      <c r="D56" s="15">
        <f>IF(F3="1",SUMIF(Data!A:A,'47'!$A$2,Data!DO:DO),0)</f>
        <v>66</v>
      </c>
      <c r="E56" s="18">
        <f>IF(F3="1",SUMIF(Data!$A:$A,'47'!$A$2,Data!JI:JI),0)</f>
        <v>96</v>
      </c>
      <c r="F56" s="22">
        <f t="shared" si="3"/>
        <v>1.45</v>
      </c>
    </row>
    <row r="57" spans="1:6" x14ac:dyDescent="0.2">
      <c r="A57" s="20">
        <v>22</v>
      </c>
      <c r="B57" s="172" t="s">
        <v>19</v>
      </c>
      <c r="C57" s="173"/>
      <c r="D57" s="15">
        <f>IF(F3="1",SUMIF(Data!A:A,'47'!$A$2,Data!DP:DP),0)</f>
        <v>1632</v>
      </c>
      <c r="E57" s="18">
        <f>IF(F3="1",SUMIF(Data!$A:$A,'47'!$A$2,Data!JJ:JJ),0)</f>
        <v>52</v>
      </c>
      <c r="F57" s="22">
        <f t="shared" si="3"/>
        <v>0.03</v>
      </c>
    </row>
    <row r="58" spans="1:6" x14ac:dyDescent="0.2">
      <c r="A58" s="20">
        <v>23</v>
      </c>
      <c r="B58" s="172" t="s">
        <v>20</v>
      </c>
      <c r="C58" s="173"/>
      <c r="D58" s="15">
        <f>IF(F3="1",SUMIF(Data!A:A,'47'!$A$2,Data!DQ:DQ),0)</f>
        <v>48816</v>
      </c>
      <c r="E58" s="18">
        <f>IF(F3="1",SUMIF(Data!$A:$A,'47'!$A$2,Data!JK:JK),0)</f>
        <v>50060</v>
      </c>
      <c r="F58" s="22">
        <f t="shared" si="3"/>
        <v>1.03</v>
      </c>
    </row>
    <row r="59" spans="1:6" x14ac:dyDescent="0.2">
      <c r="A59" s="20">
        <v>24</v>
      </c>
      <c r="B59" s="172" t="s">
        <v>21</v>
      </c>
      <c r="C59" s="173"/>
      <c r="D59" s="15">
        <f>IF(F3="1",SUMIF(Data!A:A,'47'!$A$2,Data!DR:DR),0)</f>
        <v>53881</v>
      </c>
      <c r="E59" s="18">
        <f>IF(F3="1",SUMIF(Data!$A:$A,'47'!$A$2,Data!JL:JL),0)</f>
        <v>330990</v>
      </c>
      <c r="F59" s="22">
        <f t="shared" si="3"/>
        <v>6.14</v>
      </c>
    </row>
    <row r="60" spans="1:6" x14ac:dyDescent="0.2">
      <c r="A60" s="20">
        <v>25</v>
      </c>
      <c r="B60" s="172" t="s">
        <v>22</v>
      </c>
      <c r="C60" s="173"/>
      <c r="D60" s="15">
        <f>IF(F3="1",SUMIF(Data!A:A,'47'!$A$2,Data!DS:DS),0)</f>
        <v>272736</v>
      </c>
      <c r="E60" s="18">
        <f>IF(F3="1",SUMIF(Data!$A:$A,'47'!$A$2,Data!JM:JM),0)</f>
        <v>157920</v>
      </c>
      <c r="F60" s="22">
        <f t="shared" si="3"/>
        <v>0.57999999999999996</v>
      </c>
    </row>
    <row r="61" spans="1:6" x14ac:dyDescent="0.2">
      <c r="A61" s="20">
        <v>26</v>
      </c>
      <c r="B61" s="172" t="s">
        <v>23</v>
      </c>
      <c r="C61" s="173"/>
      <c r="D61" s="15">
        <f>IF(F3="1",SUMIF(Data!A:A,'47'!$A$2,Data!DT:DT),0)</f>
        <v>64288</v>
      </c>
      <c r="E61" s="18">
        <f>IF(F3="1",SUMIF(Data!$A:$A,'47'!$A$2,Data!JN:JN),0)</f>
        <v>146731</v>
      </c>
      <c r="F61" s="22">
        <f t="shared" si="3"/>
        <v>2.2799999999999998</v>
      </c>
    </row>
    <row r="62" spans="1:6" x14ac:dyDescent="0.2">
      <c r="A62" s="20">
        <v>28</v>
      </c>
      <c r="B62" s="172" t="s">
        <v>24</v>
      </c>
      <c r="C62" s="173"/>
      <c r="D62" s="15">
        <f>IF(F3="1",SUMIF(Data!A:A,'47'!$A$2,Data!DV:DV),0)</f>
        <v>0</v>
      </c>
      <c r="E62" s="18">
        <f>IF(F3="1",SUMIF(Data!$A:$A,'47'!$A$2,Data!JP:JP),0)</f>
        <v>0</v>
      </c>
      <c r="F62" s="22" t="str">
        <f t="shared" si="3"/>
        <v/>
      </c>
    </row>
    <row r="63" spans="1:6" ht="15.75" customHeight="1" thickBot="1" x14ac:dyDescent="0.25">
      <c r="A63" s="23">
        <v>29</v>
      </c>
      <c r="B63" s="174" t="s">
        <v>25</v>
      </c>
      <c r="C63" s="175"/>
      <c r="D63" s="24">
        <f>IF(F3="1",SUMIF(Data!A:A,'47'!$A$2,Data!DW:DW),0)</f>
        <v>0</v>
      </c>
      <c r="E63" s="25">
        <f>IF(F3="1",SUMIF(Data!$A:$A,'47'!$A$2,Data!JQ:JQ),0)</f>
        <v>0</v>
      </c>
      <c r="F63" s="26" t="str">
        <f t="shared" si="3"/>
        <v/>
      </c>
    </row>
    <row r="64" spans="1:6" x14ac:dyDescent="0.2">
      <c r="B64" s="31" t="s">
        <v>35</v>
      </c>
      <c r="C64" s="31"/>
      <c r="D64" s="61">
        <f>SUM(D36:D63)</f>
        <v>1773122</v>
      </c>
      <c r="E64" s="32">
        <f>SUM(E36:E63)</f>
        <v>2832480</v>
      </c>
      <c r="F64" s="33">
        <f t="shared" si="3"/>
        <v>1.6</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10752</v>
      </c>
      <c r="E67" s="16">
        <f>IF(F3="1",SUMIF(Data!A:A,'47'!$A$2,Data!DY:DY),0)</f>
        <v>2100</v>
      </c>
      <c r="F67" s="21">
        <f t="shared" ref="F67:F95" si="4">IF(D67=0,"",ROUND(E67/D67,2))</f>
        <v>0.2</v>
      </c>
    </row>
    <row r="68" spans="1:6" x14ac:dyDescent="0.2">
      <c r="A68" s="20">
        <v>2</v>
      </c>
      <c r="B68" s="172" t="s">
        <v>1</v>
      </c>
      <c r="C68" s="173"/>
      <c r="D68" s="15">
        <f t="shared" ref="D68:D94" si="5">D37</f>
        <v>24724</v>
      </c>
      <c r="E68" s="18">
        <f>IF(F3="1",SUMIF(Data!A:A,'47'!$A$2,Data!DZ:DZ),0)</f>
        <v>69385</v>
      </c>
      <c r="F68" s="22">
        <f t="shared" si="4"/>
        <v>2.81</v>
      </c>
    </row>
    <row r="69" spans="1:6" ht="14.25" customHeight="1" x14ac:dyDescent="0.2">
      <c r="A69" s="20">
        <v>3</v>
      </c>
      <c r="B69" s="172" t="s">
        <v>2</v>
      </c>
      <c r="C69" s="173"/>
      <c r="D69" s="15">
        <f t="shared" si="5"/>
        <v>224022</v>
      </c>
      <c r="E69" s="18">
        <f>IF(F3="1",SUMIF(Data!A:A,'47'!$A$2,Data!EA:EA),0)</f>
        <v>736822</v>
      </c>
      <c r="F69" s="22">
        <f t="shared" si="4"/>
        <v>3.29</v>
      </c>
    </row>
    <row r="70" spans="1:6" ht="14.25" customHeight="1" x14ac:dyDescent="0.2">
      <c r="A70" s="20">
        <v>4</v>
      </c>
      <c r="B70" s="172" t="s">
        <v>3</v>
      </c>
      <c r="C70" s="173"/>
      <c r="D70" s="15">
        <f t="shared" si="5"/>
        <v>109771</v>
      </c>
      <c r="E70" s="18">
        <f>IF(F3="1",SUMIF(Data!A:A,'47'!$A$2,Data!EB:EB),0)</f>
        <v>237944</v>
      </c>
      <c r="F70" s="22">
        <f t="shared" si="4"/>
        <v>2.17</v>
      </c>
    </row>
    <row r="71" spans="1:6" x14ac:dyDescent="0.2">
      <c r="A71" s="20">
        <v>5</v>
      </c>
      <c r="B71" s="172" t="s">
        <v>4</v>
      </c>
      <c r="C71" s="173"/>
      <c r="D71" s="15">
        <f t="shared" si="5"/>
        <v>0</v>
      </c>
      <c r="E71" s="18">
        <f>IF(F3="1",SUMIF(Data!A:A,'47'!$A$2,Data!EC:EC),0)</f>
        <v>0</v>
      </c>
      <c r="F71" s="22" t="str">
        <f t="shared" si="4"/>
        <v/>
      </c>
    </row>
    <row r="72" spans="1:6" x14ac:dyDescent="0.2">
      <c r="A72" s="20">
        <v>6</v>
      </c>
      <c r="B72" s="172" t="s">
        <v>5</v>
      </c>
      <c r="C72" s="173"/>
      <c r="D72" s="15">
        <f t="shared" si="5"/>
        <v>1160</v>
      </c>
      <c r="E72" s="18">
        <f>IF(F3="1",SUMIF(Data!A:A,'47'!$A$2,Data!ED:ED),0)</f>
        <v>6310</v>
      </c>
      <c r="F72" s="22">
        <f t="shared" si="4"/>
        <v>5.44</v>
      </c>
    </row>
    <row r="73" spans="1:6" x14ac:dyDescent="0.2">
      <c r="A73" s="20">
        <v>7</v>
      </c>
      <c r="B73" s="172" t="s">
        <v>6</v>
      </c>
      <c r="C73" s="173"/>
      <c r="D73" s="15">
        <f t="shared" si="5"/>
        <v>87132</v>
      </c>
      <c r="E73" s="18">
        <f>IF(F3="1",SUMIF(Data!A:A,'47'!$A$2,Data!EE:EE),0)</f>
        <v>344269</v>
      </c>
      <c r="F73" s="22">
        <f t="shared" si="4"/>
        <v>3.95</v>
      </c>
    </row>
    <row r="74" spans="1:6" x14ac:dyDescent="0.2">
      <c r="A74" s="20">
        <v>8</v>
      </c>
      <c r="B74" s="172" t="s">
        <v>7</v>
      </c>
      <c r="C74" s="173"/>
      <c r="D74" s="15">
        <f t="shared" si="5"/>
        <v>7054</v>
      </c>
      <c r="E74" s="18">
        <f>IF(F3="1",SUMIF(Data!A:A,'47'!$A$2,Data!EF:EF),0)</f>
        <v>51795</v>
      </c>
      <c r="F74" s="22">
        <f t="shared" si="4"/>
        <v>7.34</v>
      </c>
    </row>
    <row r="75" spans="1:6" x14ac:dyDescent="0.2">
      <c r="A75" s="20">
        <v>9</v>
      </c>
      <c r="B75" s="172" t="s">
        <v>8</v>
      </c>
      <c r="C75" s="173"/>
      <c r="D75" s="15">
        <f t="shared" si="5"/>
        <v>36322</v>
      </c>
      <c r="E75" s="18">
        <f>IF(F3="1",SUMIF(Data!A:A,'47'!$A$2,Data!EG:EG),0)</f>
        <v>47969</v>
      </c>
      <c r="F75" s="22">
        <f t="shared" si="4"/>
        <v>1.32</v>
      </c>
    </row>
    <row r="76" spans="1:6" x14ac:dyDescent="0.2">
      <c r="A76" s="20">
        <v>10</v>
      </c>
      <c r="B76" s="172" t="s">
        <v>9</v>
      </c>
      <c r="C76" s="173"/>
      <c r="D76" s="15">
        <f t="shared" si="5"/>
        <v>0</v>
      </c>
      <c r="E76" s="18">
        <f>IF(F3="1",SUMIF(Data!A:A,'47'!$A$2,Data!EH:EH),0)</f>
        <v>0</v>
      </c>
      <c r="F76" s="22" t="str">
        <f t="shared" si="4"/>
        <v/>
      </c>
    </row>
    <row r="77" spans="1:6" x14ac:dyDescent="0.2">
      <c r="A77" s="20">
        <v>11</v>
      </c>
      <c r="B77" s="172" t="s">
        <v>10</v>
      </c>
      <c r="C77" s="173"/>
      <c r="D77" s="15">
        <f t="shared" si="5"/>
        <v>40197</v>
      </c>
      <c r="E77" s="18">
        <f>IF(F3="1",SUMIF(Data!A:A,'47'!$A$2,Data!EI:EI),0)</f>
        <v>77637</v>
      </c>
      <c r="F77" s="22">
        <f t="shared" si="4"/>
        <v>1.93</v>
      </c>
    </row>
    <row r="78" spans="1:6" ht="14.25" customHeight="1" x14ac:dyDescent="0.2">
      <c r="A78" s="20">
        <v>12</v>
      </c>
      <c r="B78" s="172" t="s">
        <v>11</v>
      </c>
      <c r="C78" s="173"/>
      <c r="D78" s="15">
        <f t="shared" si="5"/>
        <v>197393</v>
      </c>
      <c r="E78" s="18">
        <f>IF(F3="1",SUMIF(Data!A:A,'47'!$A$2,Data!EJ:EJ),0)</f>
        <v>746047</v>
      </c>
      <c r="F78" s="22">
        <f t="shared" si="4"/>
        <v>3.78</v>
      </c>
    </row>
    <row r="79" spans="1:6" x14ac:dyDescent="0.2">
      <c r="A79" s="20">
        <v>13</v>
      </c>
      <c r="B79" s="172" t="s">
        <v>12</v>
      </c>
      <c r="C79" s="173"/>
      <c r="D79" s="15">
        <f t="shared" si="5"/>
        <v>12591</v>
      </c>
      <c r="E79" s="18">
        <f>IF(F3="1",SUMIF(Data!A:A,'47'!$A$2,Data!EK:EK),0)</f>
        <v>62439</v>
      </c>
      <c r="F79" s="22">
        <f t="shared" si="4"/>
        <v>4.96</v>
      </c>
    </row>
    <row r="80" spans="1:6" ht="14.25" customHeight="1" x14ac:dyDescent="0.2">
      <c r="A80" s="20">
        <v>14</v>
      </c>
      <c r="B80" s="172" t="s">
        <v>469</v>
      </c>
      <c r="C80" s="173"/>
      <c r="D80" s="15">
        <f t="shared" si="5"/>
        <v>131275</v>
      </c>
      <c r="E80" s="18">
        <f>IF(F3="1",SUMIF(Data!A:A,'47'!$A$2,Data!EL:EL),0)</f>
        <v>941228</v>
      </c>
      <c r="F80" s="22">
        <f t="shared" si="4"/>
        <v>7.17</v>
      </c>
    </row>
    <row r="81" spans="1:6" x14ac:dyDescent="0.2">
      <c r="A81" s="20">
        <v>15</v>
      </c>
      <c r="B81" s="172" t="s">
        <v>13</v>
      </c>
      <c r="C81" s="173"/>
      <c r="D81" s="15">
        <f t="shared" si="5"/>
        <v>0</v>
      </c>
      <c r="E81" s="18">
        <f>IF(F3="1",SUMIF(Data!A:A,'47'!$A$2,Data!EM:EM),0)</f>
        <v>0</v>
      </c>
      <c r="F81" s="22" t="str">
        <f t="shared" si="4"/>
        <v/>
      </c>
    </row>
    <row r="82" spans="1:6" x14ac:dyDescent="0.2">
      <c r="A82" s="20">
        <v>16</v>
      </c>
      <c r="B82" s="172" t="s">
        <v>14</v>
      </c>
      <c r="C82" s="173"/>
      <c r="D82" s="15">
        <f t="shared" si="5"/>
        <v>100190</v>
      </c>
      <c r="E82" s="18">
        <f>IF(F3="1",SUMIF(Data!A:A,'47'!$A$2,Data!EN:EN),0)</f>
        <v>315564</v>
      </c>
      <c r="F82" s="22">
        <f t="shared" si="4"/>
        <v>3.15</v>
      </c>
    </row>
    <row r="83" spans="1:6" x14ac:dyDescent="0.2">
      <c r="A83" s="20">
        <v>17</v>
      </c>
      <c r="B83" s="172" t="s">
        <v>15</v>
      </c>
      <c r="C83" s="173"/>
      <c r="D83" s="15">
        <f t="shared" si="5"/>
        <v>31456</v>
      </c>
      <c r="E83" s="18">
        <f>IF(F3="1",SUMIF(Data!A:A,'47'!$A$2,Data!EO:EO),0)</f>
        <v>195879</v>
      </c>
      <c r="F83" s="22">
        <f t="shared" si="4"/>
        <v>6.23</v>
      </c>
    </row>
    <row r="84" spans="1:6" x14ac:dyDescent="0.2">
      <c r="A84" s="20">
        <v>18</v>
      </c>
      <c r="B84" s="172" t="s">
        <v>16</v>
      </c>
      <c r="C84" s="173"/>
      <c r="D84" s="15">
        <f t="shared" si="5"/>
        <v>197472</v>
      </c>
      <c r="E84" s="18">
        <f>IF(F3="1",SUMIF(Data!A:A,'47'!$A$2,Data!EP:EP),0)</f>
        <v>742295</v>
      </c>
      <c r="F84" s="22">
        <f t="shared" si="4"/>
        <v>3.76</v>
      </c>
    </row>
    <row r="85" spans="1:6" x14ac:dyDescent="0.2">
      <c r="A85" s="20">
        <v>19</v>
      </c>
      <c r="B85" s="172" t="s">
        <v>17</v>
      </c>
      <c r="C85" s="173"/>
      <c r="D85" s="15">
        <f t="shared" si="5"/>
        <v>120192</v>
      </c>
      <c r="E85" s="18">
        <f>IF(F3="1",SUMIF(Data!A:A,'47'!$A$2,Data!EQ:EQ),0)</f>
        <v>481043</v>
      </c>
      <c r="F85" s="22">
        <f t="shared" si="4"/>
        <v>4</v>
      </c>
    </row>
    <row r="86" spans="1:6" x14ac:dyDescent="0.2">
      <c r="A86" s="20">
        <v>20</v>
      </c>
      <c r="B86" s="172" t="s">
        <v>18</v>
      </c>
      <c r="C86" s="173"/>
      <c r="D86" s="15">
        <f t="shared" si="5"/>
        <v>0</v>
      </c>
      <c r="E86" s="18">
        <f>IF(F3="1",SUMIF(Data!A:A,'47'!$A$2,Data!ER:ER),0)</f>
        <v>0</v>
      </c>
      <c r="F86" s="22" t="str">
        <f t="shared" si="4"/>
        <v/>
      </c>
    </row>
    <row r="87" spans="1:6" ht="14.25" customHeight="1" x14ac:dyDescent="0.2">
      <c r="A87" s="20">
        <v>21</v>
      </c>
      <c r="B87" s="172" t="s">
        <v>466</v>
      </c>
      <c r="C87" s="173"/>
      <c r="D87" s="15">
        <f t="shared" si="5"/>
        <v>66</v>
      </c>
      <c r="E87" s="18">
        <f>IF(F3="1",SUMIF(Data!A:A,'47'!$A$2,Data!ES:ES),0)</f>
        <v>906</v>
      </c>
      <c r="F87" s="22">
        <f t="shared" si="4"/>
        <v>13.73</v>
      </c>
    </row>
    <row r="88" spans="1:6" x14ac:dyDescent="0.2">
      <c r="A88" s="20">
        <v>22</v>
      </c>
      <c r="B88" s="172" t="s">
        <v>19</v>
      </c>
      <c r="C88" s="173"/>
      <c r="D88" s="15">
        <f t="shared" si="5"/>
        <v>1632</v>
      </c>
      <c r="E88" s="18">
        <f>IF(F3="1",SUMIF(Data!A:A,'47'!$A$2,Data!ET:ET),0)</f>
        <v>300</v>
      </c>
      <c r="F88" s="22">
        <f t="shared" si="4"/>
        <v>0.18</v>
      </c>
    </row>
    <row r="89" spans="1:6" x14ac:dyDescent="0.2">
      <c r="A89" s="20">
        <v>23</v>
      </c>
      <c r="B89" s="172" t="s">
        <v>20</v>
      </c>
      <c r="C89" s="173"/>
      <c r="D89" s="15">
        <f t="shared" si="5"/>
        <v>48816</v>
      </c>
      <c r="E89" s="18">
        <f>IF(F3="1",SUMIF(Data!A:A,'47'!$A$2,Data!EU:EU),0)</f>
        <v>176073</v>
      </c>
      <c r="F89" s="22">
        <f t="shared" si="4"/>
        <v>3.61</v>
      </c>
    </row>
    <row r="90" spans="1:6" x14ac:dyDescent="0.2">
      <c r="A90" s="20">
        <v>24</v>
      </c>
      <c r="B90" s="172" t="s">
        <v>21</v>
      </c>
      <c r="C90" s="173"/>
      <c r="D90" s="15">
        <f t="shared" si="5"/>
        <v>53881</v>
      </c>
      <c r="E90" s="18">
        <f>IF(F3="1",SUMIF(Data!A:A,'47'!$A$2,Data!EV:EV),0)</f>
        <v>164244</v>
      </c>
      <c r="F90" s="22">
        <f t="shared" si="4"/>
        <v>3.05</v>
      </c>
    </row>
    <row r="91" spans="1:6" x14ac:dyDescent="0.2">
      <c r="A91" s="20">
        <v>25</v>
      </c>
      <c r="B91" s="172" t="s">
        <v>22</v>
      </c>
      <c r="C91" s="173"/>
      <c r="D91" s="15">
        <f t="shared" si="5"/>
        <v>272736</v>
      </c>
      <c r="E91" s="18">
        <f>IF(F3="1",SUMIF(Data!A:A,'47'!$A$2,Data!EW:EW),0)</f>
        <v>799080</v>
      </c>
      <c r="F91" s="22">
        <f t="shared" si="4"/>
        <v>2.93</v>
      </c>
    </row>
    <row r="92" spans="1:6" x14ac:dyDescent="0.2">
      <c r="A92" s="20">
        <v>26</v>
      </c>
      <c r="B92" s="172" t="s">
        <v>23</v>
      </c>
      <c r="C92" s="173"/>
      <c r="D92" s="15">
        <f t="shared" si="5"/>
        <v>64288</v>
      </c>
      <c r="E92" s="18">
        <f>IF(F3="1",SUMIF(Data!A:A,'47'!$A$2,Data!EX:EX),0)</f>
        <v>342762</v>
      </c>
      <c r="F92" s="22">
        <f t="shared" si="4"/>
        <v>5.33</v>
      </c>
    </row>
    <row r="93" spans="1:6" x14ac:dyDescent="0.2">
      <c r="A93" s="20">
        <v>28</v>
      </c>
      <c r="B93" s="172" t="s">
        <v>24</v>
      </c>
      <c r="C93" s="173"/>
      <c r="D93" s="15">
        <f t="shared" si="5"/>
        <v>0</v>
      </c>
      <c r="E93" s="18">
        <f>IF(F3="1",SUMIF(Data!A:A,'47'!$A$2,Data!EZ:EZ),0)</f>
        <v>0</v>
      </c>
      <c r="F93" s="22" t="str">
        <f t="shared" si="4"/>
        <v/>
      </c>
    </row>
    <row r="94" spans="1:6" ht="15.75" customHeight="1" thickBot="1" x14ac:dyDescent="0.25">
      <c r="A94" s="23">
        <v>29</v>
      </c>
      <c r="B94" s="174" t="s">
        <v>25</v>
      </c>
      <c r="C94" s="175"/>
      <c r="D94" s="24">
        <f t="shared" si="5"/>
        <v>0</v>
      </c>
      <c r="E94" s="25">
        <f>IF(F3="1",SUMIF(Data!A:A,'47'!$A$2,Data!FA:FA),0)</f>
        <v>0</v>
      </c>
      <c r="F94" s="26" t="str">
        <f t="shared" si="4"/>
        <v/>
      </c>
    </row>
    <row r="95" spans="1:6" x14ac:dyDescent="0.2">
      <c r="B95" s="31" t="s">
        <v>35</v>
      </c>
      <c r="C95" s="31"/>
      <c r="D95" s="61">
        <f>SUM(D67:D94)</f>
        <v>1773122</v>
      </c>
      <c r="E95" s="32">
        <f>SUM(E67:E94)</f>
        <v>6542091</v>
      </c>
      <c r="F95" s="33">
        <f t="shared" si="4"/>
        <v>3.69</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IF(F3="1",SUMIF(Data!A:A,'47'!$A$2,Data!AH:AH),0)</f>
        <v>2477687</v>
      </c>
      <c r="F98" s="21">
        <f>IF($D$105=0,"",ROUND(E98/$D$105,2))</f>
        <v>1.4</v>
      </c>
    </row>
    <row r="99" spans="2:6" x14ac:dyDescent="0.2">
      <c r="B99" s="178" t="s">
        <v>31</v>
      </c>
      <c r="C99" s="179"/>
      <c r="D99" s="37"/>
      <c r="E99" s="18">
        <f>IF(F3="1",SUMIF(Data!A:A,'47'!$A$2,Data!AI:AI),0)</f>
        <v>1398220</v>
      </c>
      <c r="F99" s="22">
        <f t="shared" ref="F99:F105" si="6">IF($D$105=0,"",ROUND(E99/$D$105,2))</f>
        <v>0.79</v>
      </c>
    </row>
    <row r="100" spans="2:6" x14ac:dyDescent="0.2">
      <c r="B100" s="178" t="s">
        <v>32</v>
      </c>
      <c r="C100" s="179"/>
      <c r="D100" s="37"/>
      <c r="E100" s="18">
        <f>IF(F3="1",SUMIF(Data!A:A,'47'!$A$2,Data!AJ:AJ),0)</f>
        <v>1404756</v>
      </c>
      <c r="F100" s="22">
        <f t="shared" si="6"/>
        <v>0.79</v>
      </c>
    </row>
    <row r="101" spans="2:6" x14ac:dyDescent="0.2">
      <c r="B101" s="178" t="s">
        <v>28</v>
      </c>
      <c r="C101" s="179"/>
      <c r="D101" s="37"/>
      <c r="E101" s="18">
        <f>IF(F3="1",SUMIF(Data!A:A,'47'!$A$2,Data!AK:AK),0)</f>
        <v>0</v>
      </c>
      <c r="F101" s="22">
        <f t="shared" si="6"/>
        <v>0</v>
      </c>
    </row>
    <row r="102" spans="2:6" x14ac:dyDescent="0.2">
      <c r="B102" s="178" t="s">
        <v>33</v>
      </c>
      <c r="C102" s="179"/>
      <c r="D102" s="37"/>
      <c r="E102" s="18">
        <f>IF(F3="1",SUMIF(Data!A:A,'47'!$A$2,Data!AL:AL),0)</f>
        <v>72205</v>
      </c>
      <c r="F102" s="22">
        <f t="shared" si="6"/>
        <v>0.04</v>
      </c>
    </row>
    <row r="103" spans="2:6" x14ac:dyDescent="0.2">
      <c r="B103" s="180" t="s">
        <v>34</v>
      </c>
      <c r="C103" s="181"/>
      <c r="D103" s="37"/>
      <c r="E103" s="18">
        <f>IF(F3="1",SUMIF(Data!A:A,'47'!$A$2,Data!AM:AM),0)</f>
        <v>208101</v>
      </c>
      <c r="F103" s="22">
        <f t="shared" si="6"/>
        <v>0.12</v>
      </c>
    </row>
    <row r="104" spans="2:6" ht="15.75" customHeight="1" thickBot="1" x14ac:dyDescent="0.25">
      <c r="B104" s="170" t="s">
        <v>29</v>
      </c>
      <c r="C104" s="171"/>
      <c r="D104" s="38"/>
      <c r="E104" s="25">
        <f>IF(F3="1",SUMIF(Data!A:A,'47'!$A$2,Data!Q:Q),0)</f>
        <v>450940</v>
      </c>
      <c r="F104" s="26">
        <f t="shared" si="6"/>
        <v>0.25</v>
      </c>
    </row>
    <row r="105" spans="2:6" x14ac:dyDescent="0.2">
      <c r="B105" s="31" t="s">
        <v>35</v>
      </c>
      <c r="C105" s="31"/>
      <c r="D105" s="35">
        <f>D95</f>
        <v>1773122</v>
      </c>
      <c r="E105" s="32">
        <f>SUM(E98:E104)</f>
        <v>6011909</v>
      </c>
      <c r="F105" s="33">
        <f t="shared" si="6"/>
        <v>3.39</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6866829</v>
      </c>
      <c r="D109" s="16">
        <f>IF(F3="1",SUMIF(Data!$A:$A,$A$2,Data!HJ:HJ),0)</f>
        <v>724689</v>
      </c>
      <c r="E109" s="16">
        <f>IF(F3="1",SUMIF(Data!$A:$A,$A$2,Data!IN:IN),0)</f>
        <v>1783054</v>
      </c>
      <c r="F109" s="48">
        <f>SUM(C109:E109)</f>
        <v>9374572</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28925</v>
      </c>
      <c r="D111" s="52"/>
      <c r="E111" s="51">
        <f>IF(F3="1",SUMIF(Data!A:A,$A$2,Data!AX:AX),0)</f>
        <v>93516</v>
      </c>
      <c r="F111" s="49">
        <f t="shared" si="7"/>
        <v>122441</v>
      </c>
    </row>
    <row r="112" spans="2:6" x14ac:dyDescent="0.2">
      <c r="B112" s="43" t="s">
        <v>32</v>
      </c>
      <c r="C112" s="51">
        <f>IF(F3="1",SUMIF(Data!A:A,$A$2,Data!V:V),0)</f>
        <v>1106309</v>
      </c>
      <c r="D112" s="52"/>
      <c r="E112" s="51">
        <f>IF(F3="1",SUMIF(Data!A:A,$A$2,Data!AC:AC),0)</f>
        <v>298447</v>
      </c>
      <c r="F112" s="49">
        <f t="shared" si="7"/>
        <v>1404756</v>
      </c>
    </row>
    <row r="113" spans="1:6" x14ac:dyDescent="0.2">
      <c r="B113" s="43" t="s">
        <v>31</v>
      </c>
      <c r="C113" s="51">
        <f>IF(F3="1",SUMIF(Data!A:A,$A$2,Data!U:U),0)</f>
        <v>1107239</v>
      </c>
      <c r="D113" s="52"/>
      <c r="E113" s="51">
        <f>IF(F3="1",SUMIF(Data!A:A,$A$2,Data!AB:AB),0)</f>
        <v>290981</v>
      </c>
      <c r="F113" s="49">
        <f t="shared" si="7"/>
        <v>1398220</v>
      </c>
    </row>
    <row r="114" spans="1:6" x14ac:dyDescent="0.2">
      <c r="B114" s="43" t="s">
        <v>1021</v>
      </c>
      <c r="C114" s="51">
        <f>IF(F3="1",SUMIF(Data!A:A,$A$2,Data!T:T),0)</f>
        <v>1724513</v>
      </c>
      <c r="D114" s="52"/>
      <c r="E114" s="51">
        <f>IF(F3="1",SUMIF(Data!A:A,$A$2,Data!AA:AA),0)</f>
        <v>753174</v>
      </c>
      <c r="F114" s="49">
        <f t="shared" si="7"/>
        <v>2477687</v>
      </c>
    </row>
    <row r="115" spans="1:6" x14ac:dyDescent="0.2">
      <c r="B115" s="43" t="s">
        <v>937</v>
      </c>
      <c r="C115" s="51">
        <f>IF(F3="1",SUMIF(Data!A:A,$A$2,Data!BI:BI),0)</f>
        <v>765319</v>
      </c>
      <c r="D115" s="51">
        <f>IF(F3="1",SUMIF(Data!A:A,$A$2,Data!BL:BL),0)</f>
        <v>151750</v>
      </c>
      <c r="E115" s="51">
        <f>IF(F3="1",SUMIF(Data!A:A,$A$2,Data!BU:BU),0)</f>
        <v>1609350</v>
      </c>
      <c r="F115" s="49">
        <f t="shared" si="7"/>
        <v>2526419</v>
      </c>
    </row>
    <row r="116" spans="1:6" x14ac:dyDescent="0.2">
      <c r="B116" s="43" t="s">
        <v>33</v>
      </c>
      <c r="C116" s="51">
        <f>IF(F3="1",SUMIF(Data!A:A,$A$2,Data!X:X),0)</f>
        <v>0</v>
      </c>
      <c r="D116" s="51"/>
      <c r="E116" s="51">
        <f>E102</f>
        <v>72205</v>
      </c>
      <c r="F116" s="49">
        <f t="shared" si="7"/>
        <v>72205</v>
      </c>
    </row>
    <row r="117" spans="1:6" ht="15" thickBot="1" x14ac:dyDescent="0.25">
      <c r="B117" s="44" t="s">
        <v>941</v>
      </c>
      <c r="C117" s="53"/>
      <c r="D117" s="53">
        <f>IF(F3="1",SUMIF(Data!A:A,$A$2,Data!Q:Q),0)</f>
        <v>450940</v>
      </c>
      <c r="E117" s="53"/>
      <c r="F117" s="50">
        <f>SUM(C117:E117)</f>
        <v>450940</v>
      </c>
    </row>
    <row r="118" spans="1:6" x14ac:dyDescent="0.2">
      <c r="B118" s="14" t="s">
        <v>35</v>
      </c>
      <c r="C118" s="5">
        <f>SUM(C109:C116)</f>
        <v>11599134</v>
      </c>
      <c r="D118" s="5">
        <f>SUM(D109:D116)</f>
        <v>876439</v>
      </c>
      <c r="E118" s="5">
        <f>SUM(E109:E116)</f>
        <v>4900727</v>
      </c>
      <c r="F118" s="5">
        <f>SUM(F109:F116)</f>
        <v>17376300</v>
      </c>
    </row>
    <row r="119" spans="1:6" ht="15" thickBot="1" x14ac:dyDescent="0.25"/>
    <row r="120" spans="1:6" ht="15" thickBot="1" x14ac:dyDescent="0.25">
      <c r="B120" s="57" t="s">
        <v>942</v>
      </c>
      <c r="C120" s="55"/>
      <c r="D120" s="55"/>
      <c r="E120" s="55">
        <f>IF(F3="1",SUMIF(Data!A:A,'47'!$A$2,Data!AM:AM),0)</f>
        <v>208101</v>
      </c>
      <c r="F120" s="56">
        <f>SUM(C120:E120)</f>
        <v>208101</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140625" style="11" bestFit="1" customWidth="1"/>
    <col min="13"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416</v>
      </c>
      <c r="B2" s="60" t="str">
        <f>VLOOKUP(A2,Data!A:G,7,0)</f>
        <v>Weatherford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19216</v>
      </c>
      <c r="E5" s="16">
        <f>E36+E67+IFERROR($E$105/$D$105*D5,0)</f>
        <v>244034.90631156112</v>
      </c>
      <c r="F5" s="21">
        <f>IF(OR(D5=0,E5=0),"",ROUND(E5/D5,2))</f>
        <v>12.7</v>
      </c>
    </row>
    <row r="6" spans="1:6" x14ac:dyDescent="0.2">
      <c r="A6" s="20">
        <v>2</v>
      </c>
      <c r="B6" s="172" t="s">
        <v>1</v>
      </c>
      <c r="C6" s="173"/>
      <c r="D6" s="15">
        <f t="shared" ref="D6:D32" si="0">D37</f>
        <v>4640</v>
      </c>
      <c r="E6" s="18">
        <f t="shared" ref="E6:E32" si="1">E37+E68+IFERROR($E$105/$D$105*D6,0)</f>
        <v>39697.084787970627</v>
      </c>
      <c r="F6" s="22">
        <f t="shared" ref="F6:F33" si="2">IF(OR(D6=0,E6=0),"",ROUND(E6/D6,2))</f>
        <v>8.56</v>
      </c>
    </row>
    <row r="7" spans="1:6" ht="14.25" customHeight="1" x14ac:dyDescent="0.2">
      <c r="A7" s="20">
        <v>3</v>
      </c>
      <c r="B7" s="172" t="s">
        <v>2</v>
      </c>
      <c r="C7" s="173"/>
      <c r="D7" s="15">
        <f t="shared" si="0"/>
        <v>221280</v>
      </c>
      <c r="E7" s="18">
        <f t="shared" si="1"/>
        <v>1631637.6297159784</v>
      </c>
      <c r="F7" s="22">
        <f t="shared" si="2"/>
        <v>7.37</v>
      </c>
    </row>
    <row r="8" spans="1:6" ht="14.25" customHeight="1" x14ac:dyDescent="0.2">
      <c r="A8" s="20">
        <v>4</v>
      </c>
      <c r="B8" s="172" t="s">
        <v>3</v>
      </c>
      <c r="C8" s="173"/>
      <c r="D8" s="15">
        <f t="shared" si="0"/>
        <v>69999</v>
      </c>
      <c r="E8" s="18">
        <f t="shared" si="1"/>
        <v>633457.22501576634</v>
      </c>
      <c r="F8" s="22">
        <f t="shared" si="2"/>
        <v>9.0500000000000007</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8554</v>
      </c>
      <c r="E10" s="18">
        <f t="shared" si="1"/>
        <v>89675.435188857911</v>
      </c>
      <c r="F10" s="22">
        <f t="shared" si="2"/>
        <v>10.48</v>
      </c>
    </row>
    <row r="11" spans="1:6" x14ac:dyDescent="0.2">
      <c r="A11" s="20">
        <v>7</v>
      </c>
      <c r="B11" s="172" t="s">
        <v>6</v>
      </c>
      <c r="C11" s="173"/>
      <c r="D11" s="15">
        <f t="shared" si="0"/>
        <v>97082</v>
      </c>
      <c r="E11" s="18">
        <f t="shared" si="1"/>
        <v>768110.9252986561</v>
      </c>
      <c r="F11" s="22">
        <f t="shared" si="2"/>
        <v>7.91</v>
      </c>
    </row>
    <row r="12" spans="1:6" x14ac:dyDescent="0.2">
      <c r="A12" s="20">
        <v>8</v>
      </c>
      <c r="B12" s="172" t="s">
        <v>7</v>
      </c>
      <c r="C12" s="173"/>
      <c r="D12" s="15">
        <f t="shared" si="0"/>
        <v>21496</v>
      </c>
      <c r="E12" s="18">
        <f t="shared" si="1"/>
        <v>183961.35314702941</v>
      </c>
      <c r="F12" s="22">
        <f t="shared" si="2"/>
        <v>8.56</v>
      </c>
    </row>
    <row r="13" spans="1:6" x14ac:dyDescent="0.2">
      <c r="A13" s="20">
        <v>9</v>
      </c>
      <c r="B13" s="172" t="s">
        <v>8</v>
      </c>
      <c r="C13" s="173"/>
      <c r="D13" s="15">
        <f t="shared" si="0"/>
        <v>121427</v>
      </c>
      <c r="E13" s="18">
        <f t="shared" si="1"/>
        <v>935140.08460105793</v>
      </c>
      <c r="F13" s="22">
        <f t="shared" si="2"/>
        <v>7.7</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19968</v>
      </c>
      <c r="E15" s="18">
        <f t="shared" si="1"/>
        <v>164172.70281168047</v>
      </c>
      <c r="F15" s="22">
        <f t="shared" si="2"/>
        <v>8.2200000000000006</v>
      </c>
    </row>
    <row r="16" spans="1:6" ht="14.25" customHeight="1" x14ac:dyDescent="0.2">
      <c r="A16" s="20">
        <v>12</v>
      </c>
      <c r="B16" s="172" t="s">
        <v>11</v>
      </c>
      <c r="C16" s="173"/>
      <c r="D16" s="15">
        <f t="shared" si="0"/>
        <v>289104</v>
      </c>
      <c r="E16" s="18">
        <f t="shared" si="1"/>
        <v>2354464.6587373838</v>
      </c>
      <c r="F16" s="22">
        <f t="shared" si="2"/>
        <v>8.14</v>
      </c>
    </row>
    <row r="17" spans="1:6" x14ac:dyDescent="0.2">
      <c r="A17" s="20">
        <v>13</v>
      </c>
      <c r="B17" s="172" t="s">
        <v>12</v>
      </c>
      <c r="C17" s="173"/>
      <c r="D17" s="15">
        <f t="shared" si="0"/>
        <v>12272</v>
      </c>
      <c r="E17" s="18">
        <f t="shared" si="1"/>
        <v>96968.317353011953</v>
      </c>
      <c r="F17" s="22">
        <f t="shared" si="2"/>
        <v>7.9</v>
      </c>
    </row>
    <row r="18" spans="1:6" ht="14.25" customHeight="1" x14ac:dyDescent="0.2">
      <c r="A18" s="20">
        <v>14</v>
      </c>
      <c r="B18" s="172" t="s">
        <v>469</v>
      </c>
      <c r="C18" s="173"/>
      <c r="D18" s="15">
        <f t="shared" si="0"/>
        <v>90288</v>
      </c>
      <c r="E18" s="18">
        <f t="shared" si="1"/>
        <v>1006281.6946845456</v>
      </c>
      <c r="F18" s="22">
        <f t="shared" si="2"/>
        <v>11.15</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138216</v>
      </c>
      <c r="E20" s="18">
        <f t="shared" si="1"/>
        <v>1274979.1928996008</v>
      </c>
      <c r="F20" s="22">
        <f t="shared" si="2"/>
        <v>9.2200000000000006</v>
      </c>
    </row>
    <row r="21" spans="1:6" x14ac:dyDescent="0.2">
      <c r="A21" s="20">
        <v>17</v>
      </c>
      <c r="B21" s="172" t="s">
        <v>15</v>
      </c>
      <c r="C21" s="173"/>
      <c r="D21" s="15">
        <f t="shared" si="0"/>
        <v>34752</v>
      </c>
      <c r="E21" s="18">
        <f t="shared" si="1"/>
        <v>382925.02123955928</v>
      </c>
      <c r="F21" s="22">
        <f t="shared" si="2"/>
        <v>11.02</v>
      </c>
    </row>
    <row r="22" spans="1:6" x14ac:dyDescent="0.2">
      <c r="A22" s="20">
        <v>18</v>
      </c>
      <c r="B22" s="172" t="s">
        <v>16</v>
      </c>
      <c r="C22" s="173"/>
      <c r="D22" s="15">
        <f t="shared" si="0"/>
        <v>87616</v>
      </c>
      <c r="E22" s="18">
        <f t="shared" si="1"/>
        <v>715647.31137561076</v>
      </c>
      <c r="F22" s="22">
        <f t="shared" si="2"/>
        <v>8.17</v>
      </c>
    </row>
    <row r="23" spans="1:6" x14ac:dyDescent="0.2">
      <c r="A23" s="20">
        <v>19</v>
      </c>
      <c r="B23" s="172" t="s">
        <v>17</v>
      </c>
      <c r="C23" s="173"/>
      <c r="D23" s="15">
        <f t="shared" si="0"/>
        <v>233776</v>
      </c>
      <c r="E23" s="18">
        <f t="shared" si="1"/>
        <v>2007384.4821966854</v>
      </c>
      <c r="F23" s="22">
        <f t="shared" si="2"/>
        <v>8.59</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19026</v>
      </c>
      <c r="E25" s="18">
        <f t="shared" si="1"/>
        <v>474484.45240860537</v>
      </c>
      <c r="F25" s="22">
        <f t="shared" si="2"/>
        <v>24.94</v>
      </c>
    </row>
    <row r="26" spans="1:6" x14ac:dyDescent="0.2">
      <c r="A26" s="20">
        <v>22</v>
      </c>
      <c r="B26" s="172" t="s">
        <v>19</v>
      </c>
      <c r="C26" s="173"/>
      <c r="D26" s="15">
        <f t="shared" si="0"/>
        <v>1544</v>
      </c>
      <c r="E26" s="18">
        <f t="shared" si="1"/>
        <v>12785.688558755741</v>
      </c>
      <c r="F26" s="22">
        <f t="shared" si="2"/>
        <v>8.2799999999999994</v>
      </c>
    </row>
    <row r="27" spans="1:6" x14ac:dyDescent="0.2">
      <c r="A27" s="20">
        <v>23</v>
      </c>
      <c r="B27" s="172" t="s">
        <v>20</v>
      </c>
      <c r="C27" s="173"/>
      <c r="D27" s="15">
        <f t="shared" si="0"/>
        <v>98912</v>
      </c>
      <c r="E27" s="18">
        <f t="shared" si="1"/>
        <v>799255.29710080824</v>
      </c>
      <c r="F27" s="22">
        <f t="shared" si="2"/>
        <v>8.08</v>
      </c>
    </row>
    <row r="28" spans="1:6" x14ac:dyDescent="0.2">
      <c r="A28" s="20">
        <v>24</v>
      </c>
      <c r="B28" s="172" t="s">
        <v>21</v>
      </c>
      <c r="C28" s="173"/>
      <c r="D28" s="15">
        <f t="shared" si="0"/>
        <v>98432</v>
      </c>
      <c r="E28" s="18">
        <f t="shared" si="1"/>
        <v>960662.15039860434</v>
      </c>
      <c r="F28" s="22">
        <f t="shared" si="2"/>
        <v>9.76</v>
      </c>
    </row>
    <row r="29" spans="1:6" x14ac:dyDescent="0.2">
      <c r="A29" s="20">
        <v>25</v>
      </c>
      <c r="B29" s="172" t="s">
        <v>22</v>
      </c>
      <c r="C29" s="173"/>
      <c r="D29" s="15">
        <f t="shared" si="0"/>
        <v>333648</v>
      </c>
      <c r="E29" s="18">
        <f t="shared" si="1"/>
        <v>2403941.0727019012</v>
      </c>
      <c r="F29" s="22">
        <f t="shared" si="2"/>
        <v>7.21</v>
      </c>
    </row>
    <row r="30" spans="1:6" x14ac:dyDescent="0.2">
      <c r="A30" s="20">
        <v>26</v>
      </c>
      <c r="B30" s="172" t="s">
        <v>23</v>
      </c>
      <c r="C30" s="173"/>
      <c r="D30" s="15">
        <f t="shared" si="0"/>
        <v>81338</v>
      </c>
      <c r="E30" s="18">
        <f t="shared" si="1"/>
        <v>831579.31346636952</v>
      </c>
      <c r="F30" s="22">
        <f t="shared" si="2"/>
        <v>10.220000000000001</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2102586</v>
      </c>
      <c r="E33" s="32">
        <f>SUM(E5:E32)</f>
        <v>18011246</v>
      </c>
      <c r="F33" s="33">
        <f t="shared" si="2"/>
        <v>8.57</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IF(F3="1",SUMIF(Data!A:A,'48'!$A$2,Data!CU:CU),0)</f>
        <v>19216</v>
      </c>
      <c r="E36" s="16">
        <f>IF(F3="1",SUMIF(Data!$A:$A,'48'!$A$2,Data!IO:IO),0)</f>
        <v>95429</v>
      </c>
      <c r="F36" s="21">
        <f>IF(D36=0,"",ROUND(E36/D36,2))</f>
        <v>4.97</v>
      </c>
    </row>
    <row r="37" spans="1:6" x14ac:dyDescent="0.2">
      <c r="A37" s="20">
        <v>2</v>
      </c>
      <c r="B37" s="172" t="s">
        <v>1</v>
      </c>
      <c r="C37" s="173"/>
      <c r="D37" s="15">
        <f>IF(F3="1",SUMIF(Data!A:A,'48'!$A$2,Data!CV:CV),0)</f>
        <v>4640</v>
      </c>
      <c r="E37" s="18">
        <f>IF(F3="1",SUMIF(Data!$A:$A,'48'!$A$2,Data!IP:IP),0)</f>
        <v>14760</v>
      </c>
      <c r="F37" s="22">
        <f t="shared" ref="F37:F64" si="3">IF(D37=0,"",ROUND(E37/D37,2))</f>
        <v>3.18</v>
      </c>
    </row>
    <row r="38" spans="1:6" ht="14.25" customHeight="1" x14ac:dyDescent="0.2">
      <c r="A38" s="20">
        <v>3</v>
      </c>
      <c r="B38" s="172" t="s">
        <v>2</v>
      </c>
      <c r="C38" s="173"/>
      <c r="D38" s="15">
        <f>IF(F3="1",SUMIF(Data!A:A,'48'!$A$2,Data!CW:CW),0)</f>
        <v>221280</v>
      </c>
      <c r="E38" s="18">
        <f>IF(F3="1",SUMIF(Data!$A:$A,'48'!$A$2,Data!IQ:IQ),0)</f>
        <v>191835</v>
      </c>
      <c r="F38" s="22">
        <f t="shared" si="3"/>
        <v>0.87</v>
      </c>
    </row>
    <row r="39" spans="1:6" ht="14.25" customHeight="1" x14ac:dyDescent="0.2">
      <c r="A39" s="20">
        <v>4</v>
      </c>
      <c r="B39" s="172" t="s">
        <v>3</v>
      </c>
      <c r="C39" s="173"/>
      <c r="D39" s="15">
        <f>IF(F3="1",SUMIF(Data!A:A,'48'!$A$2,Data!CX:CX),0)</f>
        <v>69999</v>
      </c>
      <c r="E39" s="18">
        <f>IF(F3="1",SUMIF(Data!$A:$A,'48'!$A$2,Data!IR:IR),0)</f>
        <v>98112</v>
      </c>
      <c r="F39" s="22">
        <f t="shared" si="3"/>
        <v>1.4</v>
      </c>
    </row>
    <row r="40" spans="1:6" x14ac:dyDescent="0.2">
      <c r="A40" s="20">
        <v>5</v>
      </c>
      <c r="B40" s="172" t="s">
        <v>4</v>
      </c>
      <c r="C40" s="173"/>
      <c r="D40" s="15">
        <f>IF(F3="1",SUMIF(Data!A:A,'48'!$A$2,Data!CY:CY),0)</f>
        <v>0</v>
      </c>
      <c r="E40" s="18">
        <f>IF(F3="1",SUMIF(Data!$A:$A,'48'!$A$2,Data!IS:IS),0)</f>
        <v>0</v>
      </c>
      <c r="F40" s="22" t="str">
        <f t="shared" si="3"/>
        <v/>
      </c>
    </row>
    <row r="41" spans="1:6" x14ac:dyDescent="0.2">
      <c r="A41" s="20">
        <v>6</v>
      </c>
      <c r="B41" s="172" t="s">
        <v>5</v>
      </c>
      <c r="C41" s="173"/>
      <c r="D41" s="15">
        <f>IF(F3="1",SUMIF(Data!A:A,'48'!$A$2,Data!CZ:CZ),0)</f>
        <v>8554</v>
      </c>
      <c r="E41" s="18">
        <f>IF(F3="1",SUMIF(Data!$A:$A,'48'!$A$2,Data!IT:IT),0)</f>
        <v>13197</v>
      </c>
      <c r="F41" s="22">
        <f t="shared" si="3"/>
        <v>1.54</v>
      </c>
    </row>
    <row r="42" spans="1:6" x14ac:dyDescent="0.2">
      <c r="A42" s="20">
        <v>7</v>
      </c>
      <c r="B42" s="172" t="s">
        <v>6</v>
      </c>
      <c r="C42" s="173"/>
      <c r="D42" s="15">
        <f>IF(F3="1",SUMIF(Data!A:A,'48'!$A$2,Data!DA:DA),0)</f>
        <v>97082</v>
      </c>
      <c r="E42" s="18">
        <f>IF(F3="1",SUMIF(Data!$A:$A,'48'!$A$2,Data!IU:IU),0)</f>
        <v>62896</v>
      </c>
      <c r="F42" s="22">
        <f t="shared" si="3"/>
        <v>0.65</v>
      </c>
    </row>
    <row r="43" spans="1:6" x14ac:dyDescent="0.2">
      <c r="A43" s="20">
        <v>8</v>
      </c>
      <c r="B43" s="172" t="s">
        <v>7</v>
      </c>
      <c r="C43" s="173"/>
      <c r="D43" s="15">
        <f>IF(F3="1",SUMIF(Data!A:A,'48'!$A$2,Data!DB:DB),0)</f>
        <v>21496</v>
      </c>
      <c r="E43" s="18">
        <f>IF(F3="1",SUMIF(Data!$A:$A,'48'!$A$2,Data!IV:IV),0)</f>
        <v>68419</v>
      </c>
      <c r="F43" s="22">
        <f t="shared" si="3"/>
        <v>3.18</v>
      </c>
    </row>
    <row r="44" spans="1:6" x14ac:dyDescent="0.2">
      <c r="A44" s="20">
        <v>9</v>
      </c>
      <c r="B44" s="172" t="s">
        <v>8</v>
      </c>
      <c r="C44" s="173"/>
      <c r="D44" s="15">
        <f>IF(F3="1",SUMIF(Data!A:A,'48'!$A$2,Data!DC:DC),0)</f>
        <v>121427</v>
      </c>
      <c r="E44" s="18">
        <f>IF(F3="1",SUMIF(Data!$A:$A,'48'!$A$2,Data!IW:IW),0)</f>
        <v>195003</v>
      </c>
      <c r="F44" s="22">
        <f t="shared" si="3"/>
        <v>1.61</v>
      </c>
    </row>
    <row r="45" spans="1:6" x14ac:dyDescent="0.2">
      <c r="A45" s="20">
        <v>10</v>
      </c>
      <c r="B45" s="172" t="s">
        <v>9</v>
      </c>
      <c r="C45" s="173"/>
      <c r="D45" s="15">
        <f>IF(F3="1",SUMIF(Data!A:A,'48'!$A$2,Data!DD:DD),0)</f>
        <v>0</v>
      </c>
      <c r="E45" s="18">
        <f>IF(F3="1",SUMIF(Data!$A:$A,'48'!$A$2,Data!IX:IX),0)</f>
        <v>0</v>
      </c>
      <c r="F45" s="22" t="str">
        <f t="shared" si="3"/>
        <v/>
      </c>
    </row>
    <row r="46" spans="1:6" x14ac:dyDescent="0.2">
      <c r="A46" s="20">
        <v>11</v>
      </c>
      <c r="B46" s="172" t="s">
        <v>10</v>
      </c>
      <c r="C46" s="173"/>
      <c r="D46" s="15">
        <f>IF(F3="1",SUMIF(Data!A:A,'48'!$A$2,Data!DE:DE),0)</f>
        <v>19968</v>
      </c>
      <c r="E46" s="18">
        <f>IF(F3="1",SUMIF(Data!$A:$A,'48'!$A$2,Data!IY:IY),0)</f>
        <v>51275</v>
      </c>
      <c r="F46" s="22">
        <f t="shared" si="3"/>
        <v>2.57</v>
      </c>
    </row>
    <row r="47" spans="1:6" ht="14.25" customHeight="1" x14ac:dyDescent="0.2">
      <c r="A47" s="20">
        <v>12</v>
      </c>
      <c r="B47" s="172" t="s">
        <v>11</v>
      </c>
      <c r="C47" s="173"/>
      <c r="D47" s="15">
        <f>IF(F3="1",SUMIF(Data!A:A,'48'!$A$2,Data!DF:DF),0)</f>
        <v>289104</v>
      </c>
      <c r="E47" s="18">
        <f>IF(F3="1",SUMIF(Data!$A:$A,'48'!$A$2,Data!IZ:IZ),0)</f>
        <v>319131</v>
      </c>
      <c r="F47" s="22">
        <f t="shared" si="3"/>
        <v>1.1000000000000001</v>
      </c>
    </row>
    <row r="48" spans="1:6" x14ac:dyDescent="0.2">
      <c r="A48" s="20">
        <v>13</v>
      </c>
      <c r="B48" s="172" t="s">
        <v>12</v>
      </c>
      <c r="C48" s="173"/>
      <c r="D48" s="15">
        <f>IF(F3="1",SUMIF(Data!A:A,'48'!$A$2,Data!DG:DG),0)</f>
        <v>12272</v>
      </c>
      <c r="E48" s="18">
        <f>IF(F3="1",SUMIF(Data!$A:$A,'48'!$A$2,Data!JA:JA),0)</f>
        <v>9779</v>
      </c>
      <c r="F48" s="22">
        <f t="shared" si="3"/>
        <v>0.8</v>
      </c>
    </row>
    <row r="49" spans="1:6" ht="14.25" customHeight="1" x14ac:dyDescent="0.2">
      <c r="A49" s="20">
        <v>14</v>
      </c>
      <c r="B49" s="172" t="s">
        <v>469</v>
      </c>
      <c r="C49" s="173"/>
      <c r="D49" s="15">
        <f>IF(F3="1",SUMIF(Data!A:A,'48'!$A$2,Data!DH:DH),0)</f>
        <v>90288</v>
      </c>
      <c r="E49" s="18">
        <f>IF(F3="1",SUMIF(Data!$A:$A,'48'!$A$2,Data!JB:JB),0)</f>
        <v>134003</v>
      </c>
      <c r="F49" s="22">
        <f t="shared" si="3"/>
        <v>1.48</v>
      </c>
    </row>
    <row r="50" spans="1:6" x14ac:dyDescent="0.2">
      <c r="A50" s="20">
        <v>15</v>
      </c>
      <c r="B50" s="172" t="s">
        <v>13</v>
      </c>
      <c r="C50" s="173"/>
      <c r="D50" s="15">
        <f>IF(F3="1",SUMIF(Data!A:A,'48'!$A$2,Data!DI:DI),0)</f>
        <v>0</v>
      </c>
      <c r="E50" s="18">
        <f>IF(F3="1",SUMIF(Data!$A:$A,'48'!$A$2,Data!JC:JC),0)</f>
        <v>0</v>
      </c>
      <c r="F50" s="22" t="str">
        <f t="shared" si="3"/>
        <v/>
      </c>
    </row>
    <row r="51" spans="1:6" x14ac:dyDescent="0.2">
      <c r="A51" s="20">
        <v>16</v>
      </c>
      <c r="B51" s="172" t="s">
        <v>14</v>
      </c>
      <c r="C51" s="173"/>
      <c r="D51" s="15">
        <f>IF(F3="1",SUMIF(Data!A:A,'48'!$A$2,Data!DJ:DJ),0)</f>
        <v>138216</v>
      </c>
      <c r="E51" s="18">
        <f>IF(F3="1",SUMIF(Data!$A:$A,'48'!$A$2,Data!JD:JD),0)</f>
        <v>180584</v>
      </c>
      <c r="F51" s="22">
        <f t="shared" si="3"/>
        <v>1.31</v>
      </c>
    </row>
    <row r="52" spans="1:6" x14ac:dyDescent="0.2">
      <c r="A52" s="20">
        <v>17</v>
      </c>
      <c r="B52" s="172" t="s">
        <v>15</v>
      </c>
      <c r="C52" s="173"/>
      <c r="D52" s="15">
        <f>IF(F3="1",SUMIF(Data!A:A,'48'!$A$2,Data!DK:DK),0)</f>
        <v>34752</v>
      </c>
      <c r="E52" s="18">
        <f>IF(F3="1",SUMIF(Data!$A:$A,'48'!$A$2,Data!JE:JE),0)</f>
        <v>42682</v>
      </c>
      <c r="F52" s="22">
        <f t="shared" si="3"/>
        <v>1.23</v>
      </c>
    </row>
    <row r="53" spans="1:6" x14ac:dyDescent="0.2">
      <c r="A53" s="20">
        <v>18</v>
      </c>
      <c r="B53" s="172" t="s">
        <v>16</v>
      </c>
      <c r="C53" s="173"/>
      <c r="D53" s="15">
        <f>IF(F3="1",SUMIF(Data!A:A,'48'!$A$2,Data!DL:DL),0)</f>
        <v>87616</v>
      </c>
      <c r="E53" s="18">
        <f>IF(F3="1",SUMIF(Data!$A:$A,'48'!$A$2,Data!JF:JF),0)</f>
        <v>78235</v>
      </c>
      <c r="F53" s="22">
        <f t="shared" si="3"/>
        <v>0.89</v>
      </c>
    </row>
    <row r="54" spans="1:6" x14ac:dyDescent="0.2">
      <c r="A54" s="20">
        <v>19</v>
      </c>
      <c r="B54" s="172" t="s">
        <v>17</v>
      </c>
      <c r="C54" s="173"/>
      <c r="D54" s="15">
        <f>IF(F3="1",SUMIF(Data!A:A,'48'!$A$2,Data!DM:DM),0)</f>
        <v>233776</v>
      </c>
      <c r="E54" s="18">
        <f>IF(F3="1",SUMIF(Data!$A:$A,'48'!$A$2,Data!JG:JG),0)</f>
        <v>281829</v>
      </c>
      <c r="F54" s="22">
        <f t="shared" si="3"/>
        <v>1.21</v>
      </c>
    </row>
    <row r="55" spans="1:6" x14ac:dyDescent="0.2">
      <c r="A55" s="20">
        <v>20</v>
      </c>
      <c r="B55" s="172" t="s">
        <v>18</v>
      </c>
      <c r="C55" s="173"/>
      <c r="D55" s="15">
        <f>IF(F3="1",SUMIF(Data!A:A,'48'!$A$2,Data!DN:DN),0)</f>
        <v>0</v>
      </c>
      <c r="E55" s="18">
        <f>IF(F3="1",SUMIF(Data!$A:$A,'48'!$A$2,Data!JH:JH),0)</f>
        <v>0</v>
      </c>
      <c r="F55" s="22" t="str">
        <f t="shared" si="3"/>
        <v/>
      </c>
    </row>
    <row r="56" spans="1:6" ht="14.25" customHeight="1" x14ac:dyDescent="0.2">
      <c r="A56" s="20">
        <v>21</v>
      </c>
      <c r="B56" s="172" t="s">
        <v>466</v>
      </c>
      <c r="C56" s="173"/>
      <c r="D56" s="15">
        <f>IF(F3="1",SUMIF(Data!A:A,'48'!$A$2,Data!DO:DO),0)</f>
        <v>19026</v>
      </c>
      <c r="E56" s="18">
        <f>IF(F3="1",SUMIF(Data!$A:$A,'48'!$A$2,Data!JI:JI),0)</f>
        <v>115585</v>
      </c>
      <c r="F56" s="22">
        <f t="shared" si="3"/>
        <v>6.08</v>
      </c>
    </row>
    <row r="57" spans="1:6" x14ac:dyDescent="0.2">
      <c r="A57" s="20">
        <v>22</v>
      </c>
      <c r="B57" s="172" t="s">
        <v>19</v>
      </c>
      <c r="C57" s="173"/>
      <c r="D57" s="15">
        <f>IF(F3="1",SUMIF(Data!A:A,'48'!$A$2,Data!DP:DP),0)</f>
        <v>1544</v>
      </c>
      <c r="E57" s="18">
        <f>IF(F3="1",SUMIF(Data!$A:$A,'48'!$A$2,Data!JJ:JJ),0)</f>
        <v>1677</v>
      </c>
      <c r="F57" s="22">
        <f t="shared" si="3"/>
        <v>1.0900000000000001</v>
      </c>
    </row>
    <row r="58" spans="1:6" x14ac:dyDescent="0.2">
      <c r="A58" s="20">
        <v>23</v>
      </c>
      <c r="B58" s="172" t="s">
        <v>20</v>
      </c>
      <c r="C58" s="173"/>
      <c r="D58" s="15">
        <f>IF(F3="1",SUMIF(Data!A:A,'48'!$A$2,Data!DQ:DQ),0)</f>
        <v>98912</v>
      </c>
      <c r="E58" s="18">
        <f>IF(F3="1",SUMIF(Data!$A:$A,'48'!$A$2,Data!JK:JK),0)</f>
        <v>68057</v>
      </c>
      <c r="F58" s="22">
        <f t="shared" si="3"/>
        <v>0.69</v>
      </c>
    </row>
    <row r="59" spans="1:6" x14ac:dyDescent="0.2">
      <c r="A59" s="20">
        <v>24</v>
      </c>
      <c r="B59" s="172" t="s">
        <v>21</v>
      </c>
      <c r="C59" s="173"/>
      <c r="D59" s="15">
        <f>IF(F3="1",SUMIF(Data!A:A,'48'!$A$2,Data!DR:DR),0)</f>
        <v>98432</v>
      </c>
      <c r="E59" s="18">
        <f>IF(F3="1",SUMIF(Data!$A:$A,'48'!$A$2,Data!JL:JL),0)</f>
        <v>133799</v>
      </c>
      <c r="F59" s="22">
        <f t="shared" si="3"/>
        <v>1.36</v>
      </c>
    </row>
    <row r="60" spans="1:6" x14ac:dyDescent="0.2">
      <c r="A60" s="20">
        <v>25</v>
      </c>
      <c r="B60" s="172" t="s">
        <v>22</v>
      </c>
      <c r="C60" s="173"/>
      <c r="D60" s="15">
        <f>IF(F3="1",SUMIF(Data!A:A,'48'!$A$2,Data!DS:DS),0)</f>
        <v>333648</v>
      </c>
      <c r="E60" s="18">
        <f>IF(F3="1",SUMIF(Data!$A:$A,'48'!$A$2,Data!JM:JM),0)</f>
        <v>191143</v>
      </c>
      <c r="F60" s="22">
        <f t="shared" si="3"/>
        <v>0.56999999999999995</v>
      </c>
    </row>
    <row r="61" spans="1:6" x14ac:dyDescent="0.2">
      <c r="A61" s="20">
        <v>26</v>
      </c>
      <c r="B61" s="172" t="s">
        <v>23</v>
      </c>
      <c r="C61" s="173"/>
      <c r="D61" s="15">
        <f>IF(F3="1",SUMIF(Data!A:A,'48'!$A$2,Data!DT:DT),0)</f>
        <v>81338</v>
      </c>
      <c r="E61" s="18">
        <f>IF(F3="1",SUMIF(Data!$A:$A,'48'!$A$2,Data!JN:JN),0)</f>
        <v>169912</v>
      </c>
      <c r="F61" s="22">
        <f t="shared" si="3"/>
        <v>2.09</v>
      </c>
    </row>
    <row r="62" spans="1:6" x14ac:dyDescent="0.2">
      <c r="A62" s="20">
        <v>28</v>
      </c>
      <c r="B62" s="172" t="s">
        <v>24</v>
      </c>
      <c r="C62" s="173"/>
      <c r="D62" s="15">
        <f>IF(F3="1",SUMIF(Data!A:A,'48'!$A$2,Data!DV:DV),0)</f>
        <v>0</v>
      </c>
      <c r="E62" s="18">
        <f>IF(F3="1",SUMIF(Data!$A:$A,'48'!$A$2,Data!JP:JP),0)</f>
        <v>0</v>
      </c>
      <c r="F62" s="22" t="str">
        <f t="shared" si="3"/>
        <v/>
      </c>
    </row>
    <row r="63" spans="1:6" ht="15.75" customHeight="1" thickBot="1" x14ac:dyDescent="0.25">
      <c r="A63" s="23">
        <v>29</v>
      </c>
      <c r="B63" s="174" t="s">
        <v>25</v>
      </c>
      <c r="C63" s="175"/>
      <c r="D63" s="24">
        <f>IF(F3="1",SUMIF(Data!A:A,'48'!$A$2,Data!DW:DW),0)</f>
        <v>0</v>
      </c>
      <c r="E63" s="25">
        <f>IF(F3="1",SUMIF(Data!$A:$A,'48'!$A$2,Data!JQ:JQ),0)</f>
        <v>0</v>
      </c>
      <c r="F63" s="26" t="str">
        <f t="shared" si="3"/>
        <v/>
      </c>
    </row>
    <row r="64" spans="1:6" x14ac:dyDescent="0.2">
      <c r="B64" s="31" t="s">
        <v>35</v>
      </c>
      <c r="C64" s="31"/>
      <c r="D64" s="61">
        <f>SUM(D36:D63)</f>
        <v>2102586</v>
      </c>
      <c r="E64" s="32">
        <f>SUM(E36:E63)</f>
        <v>2517342</v>
      </c>
      <c r="F64" s="33">
        <f t="shared" si="3"/>
        <v>1.2</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19216</v>
      </c>
      <c r="E67" s="16">
        <f>IF(F3="1",SUMIF(Data!A:A,'48'!$A$2,Data!DY:DY),0)</f>
        <v>71696</v>
      </c>
      <c r="F67" s="21">
        <f t="shared" ref="F67:F95" si="4">IF(D67=0,"",ROUND(E67/D67,2))</f>
        <v>3.73</v>
      </c>
    </row>
    <row r="68" spans="1:6" x14ac:dyDescent="0.2">
      <c r="A68" s="20">
        <v>2</v>
      </c>
      <c r="B68" s="172" t="s">
        <v>1</v>
      </c>
      <c r="C68" s="173"/>
      <c r="D68" s="15">
        <f t="shared" ref="D68:D94" si="5">D37</f>
        <v>4640</v>
      </c>
      <c r="E68" s="18">
        <f>IF(F3="1",SUMIF(Data!A:A,'48'!$A$2,Data!DZ:DZ),0)</f>
        <v>6366</v>
      </c>
      <c r="F68" s="22">
        <f t="shared" si="4"/>
        <v>1.37</v>
      </c>
    </row>
    <row r="69" spans="1:6" ht="14.25" customHeight="1" x14ac:dyDescent="0.2">
      <c r="A69" s="20">
        <v>3</v>
      </c>
      <c r="B69" s="172" t="s">
        <v>2</v>
      </c>
      <c r="C69" s="173"/>
      <c r="D69" s="15">
        <f t="shared" si="5"/>
        <v>221280</v>
      </c>
      <c r="E69" s="18">
        <f>IF(F3="1",SUMIF(Data!A:A,'48'!$A$2,Data!EA:EA),0)</f>
        <v>554154</v>
      </c>
      <c r="F69" s="22">
        <f t="shared" si="4"/>
        <v>2.5</v>
      </c>
    </row>
    <row r="70" spans="1:6" ht="14.25" customHeight="1" x14ac:dyDescent="0.2">
      <c r="A70" s="20">
        <v>4</v>
      </c>
      <c r="B70" s="172" t="s">
        <v>3</v>
      </c>
      <c r="C70" s="173"/>
      <c r="D70" s="15">
        <f t="shared" si="5"/>
        <v>69999</v>
      </c>
      <c r="E70" s="18">
        <f>IF(F3="1",SUMIF(Data!A:A,'48'!$A$2,Data!EB:EB),0)</f>
        <v>255182</v>
      </c>
      <c r="F70" s="22">
        <f t="shared" si="4"/>
        <v>3.65</v>
      </c>
    </row>
    <row r="71" spans="1:6" x14ac:dyDescent="0.2">
      <c r="A71" s="20">
        <v>5</v>
      </c>
      <c r="B71" s="172" t="s">
        <v>4</v>
      </c>
      <c r="C71" s="173"/>
      <c r="D71" s="15">
        <f t="shared" si="5"/>
        <v>0</v>
      </c>
      <c r="E71" s="18">
        <f>IF(F3="1",SUMIF(Data!A:A,'48'!$A$2,Data!EC:EC),0)</f>
        <v>0</v>
      </c>
      <c r="F71" s="22" t="str">
        <f t="shared" si="4"/>
        <v/>
      </c>
    </row>
    <row r="72" spans="1:6" x14ac:dyDescent="0.2">
      <c r="A72" s="20">
        <v>6</v>
      </c>
      <c r="B72" s="172" t="s">
        <v>5</v>
      </c>
      <c r="C72" s="173"/>
      <c r="D72" s="15">
        <f t="shared" si="5"/>
        <v>8554</v>
      </c>
      <c r="E72" s="18">
        <f>IF(F3="1",SUMIF(Data!A:A,'48'!$A$2,Data!ED:ED),0)</f>
        <v>42242</v>
      </c>
      <c r="F72" s="22">
        <f t="shared" si="4"/>
        <v>4.9400000000000004</v>
      </c>
    </row>
    <row r="73" spans="1:6" x14ac:dyDescent="0.2">
      <c r="A73" s="20">
        <v>7</v>
      </c>
      <c r="B73" s="172" t="s">
        <v>6</v>
      </c>
      <c r="C73" s="173"/>
      <c r="D73" s="15">
        <f t="shared" si="5"/>
        <v>97082</v>
      </c>
      <c r="E73" s="18">
        <f>IF(F3="1",SUMIF(Data!A:A,'48'!$A$2,Data!EE:EE),0)</f>
        <v>316655</v>
      </c>
      <c r="F73" s="22">
        <f t="shared" si="4"/>
        <v>3.26</v>
      </c>
    </row>
    <row r="74" spans="1:6" x14ac:dyDescent="0.2">
      <c r="A74" s="20">
        <v>8</v>
      </c>
      <c r="B74" s="172" t="s">
        <v>7</v>
      </c>
      <c r="C74" s="173"/>
      <c r="D74" s="15">
        <f t="shared" si="5"/>
        <v>21496</v>
      </c>
      <c r="E74" s="18">
        <f>IF(F3="1",SUMIF(Data!A:A,'48'!$A$2,Data!EF:EF),0)</f>
        <v>29507</v>
      </c>
      <c r="F74" s="22">
        <f t="shared" si="4"/>
        <v>1.37</v>
      </c>
    </row>
    <row r="75" spans="1:6" x14ac:dyDescent="0.2">
      <c r="A75" s="20">
        <v>9</v>
      </c>
      <c r="B75" s="172" t="s">
        <v>8</v>
      </c>
      <c r="C75" s="173"/>
      <c r="D75" s="15">
        <f t="shared" si="5"/>
        <v>121427</v>
      </c>
      <c r="E75" s="18">
        <f>IF(F3="1",SUMIF(Data!A:A,'48'!$A$2,Data!EG:EG),0)</f>
        <v>254139</v>
      </c>
      <c r="F75" s="22">
        <f t="shared" si="4"/>
        <v>2.09</v>
      </c>
    </row>
    <row r="76" spans="1:6" x14ac:dyDescent="0.2">
      <c r="A76" s="20">
        <v>10</v>
      </c>
      <c r="B76" s="172" t="s">
        <v>9</v>
      </c>
      <c r="C76" s="173"/>
      <c r="D76" s="15">
        <f t="shared" si="5"/>
        <v>0</v>
      </c>
      <c r="E76" s="18">
        <f>IF(F3="1",SUMIF(Data!A:A,'48'!$A$2,Data!EH:EH),0)</f>
        <v>0</v>
      </c>
      <c r="F76" s="22" t="str">
        <f t="shared" si="4"/>
        <v/>
      </c>
    </row>
    <row r="77" spans="1:6" x14ac:dyDescent="0.2">
      <c r="A77" s="20">
        <v>11</v>
      </c>
      <c r="B77" s="172" t="s">
        <v>10</v>
      </c>
      <c r="C77" s="173"/>
      <c r="D77" s="15">
        <f t="shared" si="5"/>
        <v>19968</v>
      </c>
      <c r="E77" s="18">
        <f>IF(F3="1",SUMIF(Data!A:A,'48'!$A$2,Data!EI:EI),0)</f>
        <v>32978</v>
      </c>
      <c r="F77" s="22">
        <f t="shared" si="4"/>
        <v>1.65</v>
      </c>
    </row>
    <row r="78" spans="1:6" ht="14.25" customHeight="1" x14ac:dyDescent="0.2">
      <c r="A78" s="20">
        <v>12</v>
      </c>
      <c r="B78" s="172" t="s">
        <v>11</v>
      </c>
      <c r="C78" s="173"/>
      <c r="D78" s="15">
        <f t="shared" si="5"/>
        <v>289104</v>
      </c>
      <c r="E78" s="18">
        <f>IF(F3="1",SUMIF(Data!A:A,'48'!$A$2,Data!EJ:EJ),0)</f>
        <v>878227</v>
      </c>
      <c r="F78" s="22">
        <f t="shared" si="4"/>
        <v>3.04</v>
      </c>
    </row>
    <row r="79" spans="1:6" x14ac:dyDescent="0.2">
      <c r="A79" s="20">
        <v>13</v>
      </c>
      <c r="B79" s="172" t="s">
        <v>12</v>
      </c>
      <c r="C79" s="173"/>
      <c r="D79" s="15">
        <f t="shared" si="5"/>
        <v>12272</v>
      </c>
      <c r="E79" s="18">
        <f>IF(F3="1",SUMIF(Data!A:A,'48'!$A$2,Data!EK:EK),0)</f>
        <v>38072</v>
      </c>
      <c r="F79" s="22">
        <f t="shared" si="4"/>
        <v>3.1</v>
      </c>
    </row>
    <row r="80" spans="1:6" ht="14.25" customHeight="1" x14ac:dyDescent="0.2">
      <c r="A80" s="20">
        <v>14</v>
      </c>
      <c r="B80" s="172" t="s">
        <v>469</v>
      </c>
      <c r="C80" s="173"/>
      <c r="D80" s="15">
        <f t="shared" si="5"/>
        <v>90288</v>
      </c>
      <c r="E80" s="18">
        <f>IF(F3="1",SUMIF(Data!A:A,'48'!$A$2,Data!EL:EL),0)</f>
        <v>510911</v>
      </c>
      <c r="F80" s="22">
        <f t="shared" si="4"/>
        <v>5.66</v>
      </c>
    </row>
    <row r="81" spans="1:6" x14ac:dyDescent="0.2">
      <c r="A81" s="20">
        <v>15</v>
      </c>
      <c r="B81" s="172" t="s">
        <v>13</v>
      </c>
      <c r="C81" s="173"/>
      <c r="D81" s="15">
        <f t="shared" si="5"/>
        <v>0</v>
      </c>
      <c r="E81" s="18">
        <f>IF(F3="1",SUMIF(Data!A:A,'48'!$A$2,Data!EM:EM),0)</f>
        <v>0</v>
      </c>
      <c r="F81" s="22" t="str">
        <f t="shared" si="4"/>
        <v/>
      </c>
    </row>
    <row r="82" spans="1:6" x14ac:dyDescent="0.2">
      <c r="A82" s="20">
        <v>16</v>
      </c>
      <c r="B82" s="172" t="s">
        <v>14</v>
      </c>
      <c r="C82" s="173"/>
      <c r="D82" s="15">
        <f t="shared" si="5"/>
        <v>138216</v>
      </c>
      <c r="E82" s="18">
        <f>IF(F3="1",SUMIF(Data!A:A,'48'!$A$2,Data!EN:EN),0)</f>
        <v>541201</v>
      </c>
      <c r="F82" s="22">
        <f t="shared" si="4"/>
        <v>3.92</v>
      </c>
    </row>
    <row r="83" spans="1:6" x14ac:dyDescent="0.2">
      <c r="A83" s="20">
        <v>17</v>
      </c>
      <c r="B83" s="172" t="s">
        <v>15</v>
      </c>
      <c r="C83" s="173"/>
      <c r="D83" s="15">
        <f t="shared" si="5"/>
        <v>34752</v>
      </c>
      <c r="E83" s="18">
        <f>IF(F3="1",SUMIF(Data!A:A,'48'!$A$2,Data!EO:EO),0)</f>
        <v>201152</v>
      </c>
      <c r="F83" s="22">
        <f t="shared" si="4"/>
        <v>5.79</v>
      </c>
    </row>
    <row r="84" spans="1:6" x14ac:dyDescent="0.2">
      <c r="A84" s="20">
        <v>18</v>
      </c>
      <c r="B84" s="172" t="s">
        <v>16</v>
      </c>
      <c r="C84" s="173"/>
      <c r="D84" s="15">
        <f t="shared" si="5"/>
        <v>87616</v>
      </c>
      <c r="E84" s="18">
        <f>IF(F3="1",SUMIF(Data!A:A,'48'!$A$2,Data!EP:EP),0)</f>
        <v>286739</v>
      </c>
      <c r="F84" s="22">
        <f t="shared" si="4"/>
        <v>3.27</v>
      </c>
    </row>
    <row r="85" spans="1:6" x14ac:dyDescent="0.2">
      <c r="A85" s="20">
        <v>19</v>
      </c>
      <c r="B85" s="172" t="s">
        <v>17</v>
      </c>
      <c r="C85" s="173"/>
      <c r="D85" s="15">
        <f t="shared" si="5"/>
        <v>233776</v>
      </c>
      <c r="E85" s="18">
        <f>IF(F3="1",SUMIF(Data!A:A,'48'!$A$2,Data!EQ:EQ),0)</f>
        <v>789893</v>
      </c>
      <c r="F85" s="22">
        <f t="shared" si="4"/>
        <v>3.38</v>
      </c>
    </row>
    <row r="86" spans="1:6" x14ac:dyDescent="0.2">
      <c r="A86" s="20">
        <v>20</v>
      </c>
      <c r="B86" s="172" t="s">
        <v>18</v>
      </c>
      <c r="C86" s="173"/>
      <c r="D86" s="15">
        <f t="shared" si="5"/>
        <v>0</v>
      </c>
      <c r="E86" s="18">
        <f>IF(F3="1",SUMIF(Data!A:A,'48'!$A$2,Data!ER:ER),0)</f>
        <v>0</v>
      </c>
      <c r="F86" s="22" t="str">
        <f t="shared" si="4"/>
        <v/>
      </c>
    </row>
    <row r="87" spans="1:6" ht="14.25" customHeight="1" x14ac:dyDescent="0.2">
      <c r="A87" s="20">
        <v>21</v>
      </c>
      <c r="B87" s="172" t="s">
        <v>466</v>
      </c>
      <c r="C87" s="173"/>
      <c r="D87" s="15">
        <f t="shared" si="5"/>
        <v>19026</v>
      </c>
      <c r="E87" s="18">
        <f>IF(F3="1",SUMIF(Data!A:A,'48'!$A$2,Data!ES:ES),0)</f>
        <v>282750</v>
      </c>
      <c r="F87" s="22">
        <f t="shared" si="4"/>
        <v>14.86</v>
      </c>
    </row>
    <row r="88" spans="1:6" x14ac:dyDescent="0.2">
      <c r="A88" s="20">
        <v>22</v>
      </c>
      <c r="B88" s="172" t="s">
        <v>19</v>
      </c>
      <c r="C88" s="173"/>
      <c r="D88" s="15">
        <f t="shared" si="5"/>
        <v>1544</v>
      </c>
      <c r="E88" s="18">
        <f>IF(F3="1",SUMIF(Data!A:A,'48'!$A$2,Data!ET:ET),0)</f>
        <v>4929</v>
      </c>
      <c r="F88" s="22">
        <f t="shared" si="4"/>
        <v>3.19</v>
      </c>
    </row>
    <row r="89" spans="1:6" x14ac:dyDescent="0.2">
      <c r="A89" s="20">
        <v>23</v>
      </c>
      <c r="B89" s="172" t="s">
        <v>20</v>
      </c>
      <c r="C89" s="173"/>
      <c r="D89" s="15">
        <f t="shared" si="5"/>
        <v>98912</v>
      </c>
      <c r="E89" s="18">
        <f>IF(F3="1",SUMIF(Data!A:A,'48'!$A$2,Data!EU:EU),0)</f>
        <v>335314</v>
      </c>
      <c r="F89" s="22">
        <f t="shared" si="4"/>
        <v>3.39</v>
      </c>
    </row>
    <row r="90" spans="1:6" x14ac:dyDescent="0.2">
      <c r="A90" s="20">
        <v>24</v>
      </c>
      <c r="B90" s="172" t="s">
        <v>21</v>
      </c>
      <c r="C90" s="173"/>
      <c r="D90" s="15">
        <f t="shared" si="5"/>
        <v>98432</v>
      </c>
      <c r="E90" s="18">
        <f>IF(F3="1",SUMIF(Data!A:A,'48'!$A$2,Data!EV:EV),0)</f>
        <v>432900</v>
      </c>
      <c r="F90" s="22">
        <f t="shared" si="4"/>
        <v>4.4000000000000004</v>
      </c>
    </row>
    <row r="91" spans="1:6" x14ac:dyDescent="0.2">
      <c r="A91" s="20">
        <v>25</v>
      </c>
      <c r="B91" s="172" t="s">
        <v>22</v>
      </c>
      <c r="C91" s="173"/>
      <c r="D91" s="15">
        <f t="shared" si="5"/>
        <v>333648</v>
      </c>
      <c r="E91" s="18">
        <f>IF(F3="1",SUMIF(Data!A:A,'48'!$A$2,Data!EW:EW),0)</f>
        <v>877409</v>
      </c>
      <c r="F91" s="22">
        <f t="shared" si="4"/>
        <v>2.63</v>
      </c>
    </row>
    <row r="92" spans="1:6" x14ac:dyDescent="0.2">
      <c r="A92" s="20">
        <v>26</v>
      </c>
      <c r="B92" s="172" t="s">
        <v>23</v>
      </c>
      <c r="C92" s="173"/>
      <c r="D92" s="15">
        <f t="shared" si="5"/>
        <v>81338</v>
      </c>
      <c r="E92" s="18">
        <f>IF(F3="1",SUMIF(Data!A:A,'48'!$A$2,Data!EX:EX),0)</f>
        <v>336121</v>
      </c>
      <c r="F92" s="22">
        <f t="shared" si="4"/>
        <v>4.13</v>
      </c>
    </row>
    <row r="93" spans="1:6" x14ac:dyDescent="0.2">
      <c r="A93" s="20">
        <v>28</v>
      </c>
      <c r="B93" s="172" t="s">
        <v>24</v>
      </c>
      <c r="C93" s="173"/>
      <c r="D93" s="15">
        <f t="shared" si="5"/>
        <v>0</v>
      </c>
      <c r="E93" s="18">
        <f>IF(F3="1",SUMIF(Data!A:A,'48'!$A$2,Data!EZ:EZ),0)</f>
        <v>0</v>
      </c>
      <c r="F93" s="22" t="str">
        <f t="shared" si="4"/>
        <v/>
      </c>
    </row>
    <row r="94" spans="1:6" ht="15.75" customHeight="1" thickBot="1" x14ac:dyDescent="0.25">
      <c r="A94" s="23">
        <v>29</v>
      </c>
      <c r="B94" s="174" t="s">
        <v>25</v>
      </c>
      <c r="C94" s="175"/>
      <c r="D94" s="24">
        <f t="shared" si="5"/>
        <v>0</v>
      </c>
      <c r="E94" s="25">
        <f>IF(F3="1",SUMIF(Data!A:A,'48'!$A$2,Data!FA:FA),0)</f>
        <v>0</v>
      </c>
      <c r="F94" s="26" t="str">
        <f t="shared" si="4"/>
        <v/>
      </c>
    </row>
    <row r="95" spans="1:6" x14ac:dyDescent="0.2">
      <c r="B95" s="31" t="s">
        <v>35</v>
      </c>
      <c r="C95" s="31"/>
      <c r="D95" s="61">
        <f>SUM(D67:D94)</f>
        <v>2102586</v>
      </c>
      <c r="E95" s="32">
        <f>SUM(E67:E94)</f>
        <v>7078537</v>
      </c>
      <c r="F95" s="33">
        <f t="shared" si="4"/>
        <v>3.37</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IF(F3="1",SUMIF(Data!A:A,'48'!$A$2,Data!AH:AH),0)</f>
        <v>5352430</v>
      </c>
      <c r="F98" s="21">
        <f>IF($D$105=0,"",ROUND(E98/$D$105,2))</f>
        <v>2.5499999999999998</v>
      </c>
    </row>
    <row r="99" spans="2:6" x14ac:dyDescent="0.2">
      <c r="B99" s="178" t="s">
        <v>31</v>
      </c>
      <c r="C99" s="179"/>
      <c r="D99" s="37"/>
      <c r="E99" s="18">
        <f>IF(F3="1",SUMIF(Data!A:A,'48'!$A$2,Data!AI:AI),0)</f>
        <v>1454822</v>
      </c>
      <c r="F99" s="22">
        <f t="shared" ref="F99:F105" si="6">IF($D$105=0,"",ROUND(E99/$D$105,2))</f>
        <v>0.69</v>
      </c>
    </row>
    <row r="100" spans="2:6" x14ac:dyDescent="0.2">
      <c r="B100" s="178" t="s">
        <v>32</v>
      </c>
      <c r="C100" s="179"/>
      <c r="D100" s="37"/>
      <c r="E100" s="18">
        <f>IF(F3="1",SUMIF(Data!A:A,'48'!$A$2,Data!AJ:AJ),0)</f>
        <v>1152860</v>
      </c>
      <c r="F100" s="22">
        <f t="shared" si="6"/>
        <v>0.55000000000000004</v>
      </c>
    </row>
    <row r="101" spans="2:6" x14ac:dyDescent="0.2">
      <c r="B101" s="178" t="s">
        <v>28</v>
      </c>
      <c r="C101" s="179"/>
      <c r="D101" s="37"/>
      <c r="E101" s="18">
        <f>IF(F3="1",SUMIF(Data!A:A,'48'!$A$2,Data!AK:AK),0)</f>
        <v>0</v>
      </c>
      <c r="F101" s="22">
        <f t="shared" si="6"/>
        <v>0</v>
      </c>
    </row>
    <row r="102" spans="2:6" x14ac:dyDescent="0.2">
      <c r="B102" s="178" t="s">
        <v>33</v>
      </c>
      <c r="C102" s="179"/>
      <c r="D102" s="37"/>
      <c r="E102" s="18">
        <f>IF(F3="1",SUMIF(Data!A:A,'48'!$A$2,Data!AL:AL),0)</f>
        <v>0</v>
      </c>
      <c r="F102" s="22">
        <f t="shared" si="6"/>
        <v>0</v>
      </c>
    </row>
    <row r="103" spans="2:6" x14ac:dyDescent="0.2">
      <c r="B103" s="180" t="s">
        <v>34</v>
      </c>
      <c r="C103" s="181"/>
      <c r="D103" s="37"/>
      <c r="E103" s="18">
        <f>IF(F3="1",SUMIF(Data!A:A,'48'!$A$2,Data!AM:AM),0)</f>
        <v>274073</v>
      </c>
      <c r="F103" s="22">
        <f t="shared" si="6"/>
        <v>0.13</v>
      </c>
    </row>
    <row r="104" spans="2:6" ht="15.75" customHeight="1" thickBot="1" x14ac:dyDescent="0.25">
      <c r="B104" s="170" t="s">
        <v>29</v>
      </c>
      <c r="C104" s="171"/>
      <c r="D104" s="38"/>
      <c r="E104" s="25">
        <f>IF(F3="1",SUMIF(Data!A:A,'48'!$A$2,Data!Q:Q),0)</f>
        <v>181182</v>
      </c>
      <c r="F104" s="26">
        <f t="shared" si="6"/>
        <v>0.09</v>
      </c>
    </row>
    <row r="105" spans="2:6" x14ac:dyDescent="0.2">
      <c r="B105" s="31" t="s">
        <v>35</v>
      </c>
      <c r="C105" s="31"/>
      <c r="D105" s="35">
        <f>D95</f>
        <v>2102586</v>
      </c>
      <c r="E105" s="32">
        <f>SUM(E98:E104)</f>
        <v>8415367</v>
      </c>
      <c r="F105" s="33">
        <f t="shared" si="6"/>
        <v>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7948544</v>
      </c>
      <c r="D109" s="16">
        <f>IF(F3="1",SUMIF(Data!$A:$A,$A$2,Data!HJ:HJ),0)</f>
        <v>290529</v>
      </c>
      <c r="E109" s="16">
        <f>IF(F3="1",SUMIF(Data!$A:$A,$A$2,Data!IN:IN),0)</f>
        <v>1356807</v>
      </c>
      <c r="F109" s="48">
        <f>SUM(C109:E109)</f>
        <v>9595880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16609</v>
      </c>
      <c r="D111" s="52"/>
      <c r="E111" s="51">
        <f>IF(F3="1",SUMIF(Data!A:A,$A$2,Data!AX:AX),0)</f>
        <v>43690</v>
      </c>
      <c r="F111" s="49">
        <f t="shared" si="7"/>
        <v>60299</v>
      </c>
    </row>
    <row r="112" spans="2:6" x14ac:dyDescent="0.2">
      <c r="B112" s="43" t="s">
        <v>32</v>
      </c>
      <c r="C112" s="51">
        <f>IF(F3="1",SUMIF(Data!A:A,$A$2,Data!V:V),0)</f>
        <v>949339</v>
      </c>
      <c r="D112" s="52"/>
      <c r="E112" s="51">
        <f>IF(F3="1",SUMIF(Data!A:A,$A$2,Data!AC:AC),0)</f>
        <v>203521</v>
      </c>
      <c r="F112" s="49">
        <f t="shared" si="7"/>
        <v>1152860</v>
      </c>
    </row>
    <row r="113" spans="1:6" x14ac:dyDescent="0.2">
      <c r="B113" s="43" t="s">
        <v>31</v>
      </c>
      <c r="C113" s="51">
        <f>IF(F3="1",SUMIF(Data!A:A,$A$2,Data!U:U),0)</f>
        <v>1250352</v>
      </c>
      <c r="D113" s="52"/>
      <c r="E113" s="51">
        <f>IF(F3="1",SUMIF(Data!A:A,$A$2,Data!AB:AB),0)</f>
        <v>204470</v>
      </c>
      <c r="F113" s="49">
        <f t="shared" si="7"/>
        <v>1454822</v>
      </c>
    </row>
    <row r="114" spans="1:6" x14ac:dyDescent="0.2">
      <c r="B114" s="43" t="s">
        <v>1021</v>
      </c>
      <c r="C114" s="51">
        <f>IF(F3="1",SUMIF(Data!A:A,$A$2,Data!T:T),0)</f>
        <v>2727401</v>
      </c>
      <c r="D114" s="52"/>
      <c r="E114" s="51">
        <f>IF(F3="1",SUMIF(Data!A:A,$A$2,Data!AA:AA),0)</f>
        <v>2625029</v>
      </c>
      <c r="F114" s="49">
        <f t="shared" si="7"/>
        <v>5352430</v>
      </c>
    </row>
    <row r="115" spans="1:6" x14ac:dyDescent="0.2">
      <c r="B115" s="43" t="s">
        <v>937</v>
      </c>
      <c r="C115" s="51">
        <f>IF(F3="1",SUMIF(Data!A:A,$A$2,Data!BI:BI),0)</f>
        <v>0</v>
      </c>
      <c r="D115" s="51">
        <f>IF(F3="1",SUMIF(Data!A:A,$A$2,Data!BL:BL),0)</f>
        <v>0</v>
      </c>
      <c r="E115" s="51">
        <f>IF(F3="1",SUMIF(Data!A:A,$A$2,Data!BU:BU),0)</f>
        <v>2436315</v>
      </c>
      <c r="F115" s="49">
        <f t="shared" si="7"/>
        <v>2436315</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181182</v>
      </c>
      <c r="E117" s="53"/>
      <c r="F117" s="50">
        <f>SUM(C117:E117)</f>
        <v>181182</v>
      </c>
    </row>
    <row r="118" spans="1:6" x14ac:dyDescent="0.2">
      <c r="B118" s="14" t="s">
        <v>35</v>
      </c>
      <c r="C118" s="5">
        <f>SUM(C109:C116)</f>
        <v>12892245</v>
      </c>
      <c r="D118" s="5">
        <f>SUM(D109:D116)</f>
        <v>290529</v>
      </c>
      <c r="E118" s="5">
        <f>SUM(E109:E116)</f>
        <v>6869832</v>
      </c>
      <c r="F118" s="5">
        <f>SUM(F109:F116)</f>
        <v>20052606</v>
      </c>
    </row>
    <row r="119" spans="1:6" ht="15" thickBot="1" x14ac:dyDescent="0.25"/>
    <row r="120" spans="1:6" ht="15" thickBot="1" x14ac:dyDescent="0.25">
      <c r="B120" s="57" t="s">
        <v>942</v>
      </c>
      <c r="C120" s="55"/>
      <c r="D120" s="55"/>
      <c r="E120" s="55">
        <f>IF(F3="1",SUMIF(Data!A:A,'48'!$A$2,Data!AM:AM),0)</f>
        <v>274073</v>
      </c>
      <c r="F120" s="56">
        <f>SUM(C120:E120)</f>
        <v>274073</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2.140625" style="11" bestFit="1" customWidth="1"/>
    <col min="13" max="13" width="10.5703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432</v>
      </c>
      <c r="B2" s="60" t="str">
        <f>VLOOKUP(A2,Data!A:G,7,0)</f>
        <v>Western Texas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75073</v>
      </c>
      <c r="E5" s="16">
        <f>E36+E67+IFERROR($E$105/$D$105*D5,0)</f>
        <v>580967.30727625452</v>
      </c>
      <c r="F5" s="21">
        <f>IF(OR(D5=0,E5=0),"",ROUND(E5/D5,2))</f>
        <v>7.74</v>
      </c>
    </row>
    <row r="6" spans="1:6" x14ac:dyDescent="0.2">
      <c r="A6" s="20">
        <v>2</v>
      </c>
      <c r="B6" s="172" t="s">
        <v>1</v>
      </c>
      <c r="C6" s="173"/>
      <c r="D6" s="15">
        <f t="shared" ref="D6:D32" si="0">D37</f>
        <v>26304</v>
      </c>
      <c r="E6" s="18">
        <f t="shared" ref="E6:E32" si="1">E37+E68+IFERROR($E$105/$D$105*D6,0)</f>
        <v>198639.01757748591</v>
      </c>
      <c r="F6" s="22">
        <f t="shared" ref="F6:F33" si="2">IF(OR(D6=0,E6=0),"",ROUND(E6/D6,2))</f>
        <v>7.55</v>
      </c>
    </row>
    <row r="7" spans="1:6" ht="14.25" customHeight="1" x14ac:dyDescent="0.2">
      <c r="A7" s="20">
        <v>3</v>
      </c>
      <c r="B7" s="172" t="s">
        <v>2</v>
      </c>
      <c r="C7" s="173"/>
      <c r="D7" s="15">
        <f t="shared" si="0"/>
        <v>108640</v>
      </c>
      <c r="E7" s="18">
        <f t="shared" si="1"/>
        <v>620454.18087051669</v>
      </c>
      <c r="F7" s="22">
        <f t="shared" si="2"/>
        <v>5.71</v>
      </c>
    </row>
    <row r="8" spans="1:6" ht="14.25" customHeight="1" x14ac:dyDescent="0.2">
      <c r="A8" s="20">
        <v>4</v>
      </c>
      <c r="B8" s="172" t="s">
        <v>3</v>
      </c>
      <c r="C8" s="173"/>
      <c r="D8" s="15">
        <f t="shared" si="0"/>
        <v>13564</v>
      </c>
      <c r="E8" s="18">
        <f t="shared" si="1"/>
        <v>107199.67162488666</v>
      </c>
      <c r="F8" s="22">
        <f t="shared" si="2"/>
        <v>7.9</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864</v>
      </c>
      <c r="E10" s="18">
        <f t="shared" si="1"/>
        <v>134256.95313210721</v>
      </c>
      <c r="F10" s="22">
        <f t="shared" si="2"/>
        <v>155.38999999999999</v>
      </c>
    </row>
    <row r="11" spans="1:6" x14ac:dyDescent="0.2">
      <c r="A11" s="20">
        <v>7</v>
      </c>
      <c r="B11" s="172" t="s">
        <v>6</v>
      </c>
      <c r="C11" s="173"/>
      <c r="D11" s="15">
        <f t="shared" si="0"/>
        <v>34024</v>
      </c>
      <c r="E11" s="18">
        <f t="shared" si="1"/>
        <v>181068.11732270304</v>
      </c>
      <c r="F11" s="22">
        <f t="shared" si="2"/>
        <v>5.32</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13802</v>
      </c>
      <c r="E13" s="18">
        <f t="shared" si="1"/>
        <v>105834.45501081434</v>
      </c>
      <c r="F13" s="22">
        <f t="shared" si="2"/>
        <v>7.67</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9429</v>
      </c>
      <c r="E15" s="18">
        <f t="shared" si="1"/>
        <v>71977.682966017135</v>
      </c>
      <c r="F15" s="22">
        <f t="shared" si="2"/>
        <v>7.63</v>
      </c>
    </row>
    <row r="16" spans="1:6" ht="14.25" customHeight="1" x14ac:dyDescent="0.2">
      <c r="A16" s="20">
        <v>12</v>
      </c>
      <c r="B16" s="172" t="s">
        <v>11</v>
      </c>
      <c r="C16" s="173"/>
      <c r="D16" s="15">
        <f t="shared" si="0"/>
        <v>135344</v>
      </c>
      <c r="E16" s="18">
        <f t="shared" si="1"/>
        <v>870430.47304620035</v>
      </c>
      <c r="F16" s="22">
        <f t="shared" si="2"/>
        <v>6.43</v>
      </c>
    </row>
    <row r="17" spans="1:6" x14ac:dyDescent="0.2">
      <c r="A17" s="20">
        <v>13</v>
      </c>
      <c r="B17" s="172" t="s">
        <v>12</v>
      </c>
      <c r="C17" s="173"/>
      <c r="D17" s="15">
        <f t="shared" si="0"/>
        <v>32304</v>
      </c>
      <c r="E17" s="18">
        <f t="shared" si="1"/>
        <v>172644.13655045259</v>
      </c>
      <c r="F17" s="22">
        <f t="shared" si="2"/>
        <v>5.34</v>
      </c>
    </row>
    <row r="18" spans="1:6" ht="14.25" customHeight="1" x14ac:dyDescent="0.2">
      <c r="A18" s="20">
        <v>14</v>
      </c>
      <c r="B18" s="172" t="s">
        <v>469</v>
      </c>
      <c r="C18" s="173"/>
      <c r="D18" s="15">
        <f t="shared" si="0"/>
        <v>0</v>
      </c>
      <c r="E18" s="18">
        <f t="shared" si="1"/>
        <v>0</v>
      </c>
      <c r="F18" s="22" t="str">
        <f t="shared" si="2"/>
        <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12931</v>
      </c>
      <c r="E20" s="18">
        <f t="shared" si="1"/>
        <v>95876.067073238679</v>
      </c>
      <c r="F20" s="22">
        <f t="shared" si="2"/>
        <v>7.41</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29888</v>
      </c>
      <c r="E22" s="18">
        <f t="shared" si="1"/>
        <v>216267.63797733799</v>
      </c>
      <c r="F22" s="22">
        <f t="shared" si="2"/>
        <v>7.24</v>
      </c>
    </row>
    <row r="23" spans="1:6" x14ac:dyDescent="0.2">
      <c r="A23" s="20">
        <v>19</v>
      </c>
      <c r="B23" s="172" t="s">
        <v>17</v>
      </c>
      <c r="C23" s="173"/>
      <c r="D23" s="15">
        <f t="shared" si="0"/>
        <v>215072</v>
      </c>
      <c r="E23" s="18">
        <f t="shared" si="1"/>
        <v>1114068.9259589815</v>
      </c>
      <c r="F23" s="22">
        <f t="shared" si="2"/>
        <v>5.18</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11760</v>
      </c>
      <c r="E26" s="18">
        <f t="shared" si="1"/>
        <v>88982.473187014693</v>
      </c>
      <c r="F26" s="22">
        <f t="shared" si="2"/>
        <v>7.57</v>
      </c>
    </row>
    <row r="27" spans="1:6" x14ac:dyDescent="0.2">
      <c r="A27" s="20">
        <v>23</v>
      </c>
      <c r="B27" s="172" t="s">
        <v>20</v>
      </c>
      <c r="C27" s="173"/>
      <c r="D27" s="15">
        <f t="shared" si="0"/>
        <v>43168</v>
      </c>
      <c r="E27" s="18">
        <f t="shared" si="1"/>
        <v>366706.95463750424</v>
      </c>
      <c r="F27" s="22">
        <f t="shared" si="2"/>
        <v>8.49</v>
      </c>
    </row>
    <row r="28" spans="1:6" x14ac:dyDescent="0.2">
      <c r="A28" s="20">
        <v>24</v>
      </c>
      <c r="B28" s="172" t="s">
        <v>21</v>
      </c>
      <c r="C28" s="173"/>
      <c r="D28" s="15">
        <f t="shared" si="0"/>
        <v>62900</v>
      </c>
      <c r="E28" s="18">
        <f t="shared" si="1"/>
        <v>345105.18056660064</v>
      </c>
      <c r="F28" s="22">
        <f t="shared" si="2"/>
        <v>5.49</v>
      </c>
    </row>
    <row r="29" spans="1:6" x14ac:dyDescent="0.2">
      <c r="A29" s="20">
        <v>25</v>
      </c>
      <c r="B29" s="172" t="s">
        <v>22</v>
      </c>
      <c r="C29" s="173"/>
      <c r="D29" s="15">
        <f t="shared" si="0"/>
        <v>120816</v>
      </c>
      <c r="E29" s="18">
        <f t="shared" si="1"/>
        <v>793411.779639657</v>
      </c>
      <c r="F29" s="22">
        <f t="shared" si="2"/>
        <v>6.57</v>
      </c>
    </row>
    <row r="30" spans="1:6" x14ac:dyDescent="0.2">
      <c r="A30" s="20">
        <v>26</v>
      </c>
      <c r="B30" s="172" t="s">
        <v>23</v>
      </c>
      <c r="C30" s="173"/>
      <c r="D30" s="15">
        <f t="shared" si="0"/>
        <v>41232</v>
      </c>
      <c r="E30" s="18">
        <f t="shared" si="1"/>
        <v>333683.985582227</v>
      </c>
      <c r="F30" s="22">
        <f t="shared" si="2"/>
        <v>8.09</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987115</v>
      </c>
      <c r="E33" s="32">
        <f>SUM(E5:E32)</f>
        <v>6397574.9999999991</v>
      </c>
      <c r="F33" s="33">
        <f t="shared" si="2"/>
        <v>6.48</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IF(F3="1",SUMIF(Data!A:A,'49'!$A$2,Data!CU:CU),0)</f>
        <v>75073</v>
      </c>
      <c r="E36" s="16">
        <f>IF(F3="1",SUMIF(Data!$A:$A,'49'!$A$2,Data!IO:IO),0)</f>
        <v>73932</v>
      </c>
      <c r="F36" s="21">
        <f>IF(D36=0,"",ROUND(E36/D36,2))</f>
        <v>0.98</v>
      </c>
    </row>
    <row r="37" spans="1:6" x14ac:dyDescent="0.2">
      <c r="A37" s="20">
        <v>2</v>
      </c>
      <c r="B37" s="172" t="s">
        <v>1</v>
      </c>
      <c r="C37" s="173"/>
      <c r="D37" s="15">
        <f>IF(F3="1",SUMIF(Data!A:A,'49'!$A$2,Data!CV:CV),0)</f>
        <v>26304</v>
      </c>
      <c r="E37" s="18">
        <f>IF(F3="1",SUMIF(Data!$A:$A,'49'!$A$2,Data!IP:IP),0)</f>
        <v>25437</v>
      </c>
      <c r="F37" s="22">
        <f t="shared" ref="F37:F64" si="3">IF(D37=0,"",ROUND(E37/D37,2))</f>
        <v>0.97</v>
      </c>
    </row>
    <row r="38" spans="1:6" ht="14.25" customHeight="1" x14ac:dyDescent="0.2">
      <c r="A38" s="20">
        <v>3</v>
      </c>
      <c r="B38" s="172" t="s">
        <v>2</v>
      </c>
      <c r="C38" s="173"/>
      <c r="D38" s="15">
        <f>IF(F3="1",SUMIF(Data!A:A,'49'!$A$2,Data!CW:CW),0)</f>
        <v>108640</v>
      </c>
      <c r="E38" s="18">
        <f>IF(F3="1",SUMIF(Data!$A:$A,'49'!$A$2,Data!IQ:IQ),0)</f>
        <v>13676</v>
      </c>
      <c r="F38" s="22">
        <f t="shared" si="3"/>
        <v>0.13</v>
      </c>
    </row>
    <row r="39" spans="1:6" ht="14.25" customHeight="1" x14ac:dyDescent="0.2">
      <c r="A39" s="20">
        <v>4</v>
      </c>
      <c r="B39" s="172" t="s">
        <v>3</v>
      </c>
      <c r="C39" s="173"/>
      <c r="D39" s="15">
        <f>IF(F3="1",SUMIF(Data!A:A,'49'!$A$2,Data!CX:CX),0)</f>
        <v>13564</v>
      </c>
      <c r="E39" s="18">
        <f>IF(F3="1",SUMIF(Data!$A:$A,'49'!$A$2,Data!IR:IR),0)</f>
        <v>7628</v>
      </c>
      <c r="F39" s="22">
        <f t="shared" si="3"/>
        <v>0.56000000000000005</v>
      </c>
    </row>
    <row r="40" spans="1:6" x14ac:dyDescent="0.2">
      <c r="A40" s="20">
        <v>5</v>
      </c>
      <c r="B40" s="172" t="s">
        <v>4</v>
      </c>
      <c r="C40" s="173"/>
      <c r="D40" s="15">
        <f>IF(F3="1",SUMIF(Data!A:A,'49'!$A$2,Data!CY:CY),0)</f>
        <v>0</v>
      </c>
      <c r="E40" s="18">
        <f>IF(F3="1",SUMIF(Data!$A:$A,'49'!$A$2,Data!IS:IS),0)</f>
        <v>0</v>
      </c>
      <c r="F40" s="22" t="str">
        <f t="shared" si="3"/>
        <v/>
      </c>
    </row>
    <row r="41" spans="1:6" x14ac:dyDescent="0.2">
      <c r="A41" s="20">
        <v>6</v>
      </c>
      <c r="B41" s="172" t="s">
        <v>5</v>
      </c>
      <c r="C41" s="173"/>
      <c r="D41" s="15">
        <f>IF(F3="1",SUMIF(Data!A:A,'49'!$A$2,Data!CZ:CZ),0)</f>
        <v>864</v>
      </c>
      <c r="E41" s="18">
        <f>IF(F3="1",SUMIF(Data!$A:$A,'49'!$A$2,Data!IT:IT),0)</f>
        <v>119390</v>
      </c>
      <c r="F41" s="22">
        <f t="shared" si="3"/>
        <v>138.18</v>
      </c>
    </row>
    <row r="42" spans="1:6" x14ac:dyDescent="0.2">
      <c r="A42" s="20">
        <v>7</v>
      </c>
      <c r="B42" s="172" t="s">
        <v>6</v>
      </c>
      <c r="C42" s="173"/>
      <c r="D42" s="15">
        <f>IF(F3="1",SUMIF(Data!A:A,'49'!$A$2,Data!DA:DA),0)</f>
        <v>34024</v>
      </c>
      <c r="E42" s="18">
        <f>IF(F3="1",SUMIF(Data!$A:$A,'49'!$A$2,Data!IU:IU),0)</f>
        <v>8920</v>
      </c>
      <c r="F42" s="22">
        <f t="shared" si="3"/>
        <v>0.26</v>
      </c>
    </row>
    <row r="43" spans="1:6" x14ac:dyDescent="0.2">
      <c r="A43" s="20">
        <v>8</v>
      </c>
      <c r="B43" s="172" t="s">
        <v>7</v>
      </c>
      <c r="C43" s="173"/>
      <c r="D43" s="15">
        <f>IF(F3="1",SUMIF(Data!A:A,'49'!$A$2,Data!DB:DB),0)</f>
        <v>0</v>
      </c>
      <c r="E43" s="18">
        <f>IF(F3="1",SUMIF(Data!$A:$A,'49'!$A$2,Data!IV:IV),0)</f>
        <v>0</v>
      </c>
      <c r="F43" s="22" t="str">
        <f t="shared" si="3"/>
        <v/>
      </c>
    </row>
    <row r="44" spans="1:6" x14ac:dyDescent="0.2">
      <c r="A44" s="20">
        <v>9</v>
      </c>
      <c r="B44" s="172" t="s">
        <v>8</v>
      </c>
      <c r="C44" s="173"/>
      <c r="D44" s="15">
        <f>IF(F3="1",SUMIF(Data!A:A,'49'!$A$2,Data!DC:DC),0)</f>
        <v>13802</v>
      </c>
      <c r="E44" s="18">
        <f>IF(F3="1",SUMIF(Data!$A:$A,'49'!$A$2,Data!IW:IW),0)</f>
        <v>2471</v>
      </c>
      <c r="F44" s="22">
        <f t="shared" si="3"/>
        <v>0.18</v>
      </c>
    </row>
    <row r="45" spans="1:6" x14ac:dyDescent="0.2">
      <c r="A45" s="20">
        <v>10</v>
      </c>
      <c r="B45" s="172" t="s">
        <v>9</v>
      </c>
      <c r="C45" s="173"/>
      <c r="D45" s="15">
        <f>IF(F3="1",SUMIF(Data!A:A,'49'!$A$2,Data!DD:DD),0)</f>
        <v>0</v>
      </c>
      <c r="E45" s="18">
        <f>IF(F3="1",SUMIF(Data!$A:$A,'49'!$A$2,Data!IX:IX),0)</f>
        <v>0</v>
      </c>
      <c r="F45" s="22" t="str">
        <f t="shared" si="3"/>
        <v/>
      </c>
    </row>
    <row r="46" spans="1:6" x14ac:dyDescent="0.2">
      <c r="A46" s="20">
        <v>11</v>
      </c>
      <c r="B46" s="172" t="s">
        <v>10</v>
      </c>
      <c r="C46" s="173"/>
      <c r="D46" s="15">
        <f>IF(F3="1",SUMIF(Data!A:A,'49'!$A$2,Data!DE:DE),0)</f>
        <v>9429</v>
      </c>
      <c r="E46" s="18">
        <f>IF(F3="1",SUMIF(Data!$A:$A,'49'!$A$2,Data!IY:IY),0)</f>
        <v>4128</v>
      </c>
      <c r="F46" s="22">
        <f t="shared" si="3"/>
        <v>0.44</v>
      </c>
    </row>
    <row r="47" spans="1:6" ht="14.25" customHeight="1" x14ac:dyDescent="0.2">
      <c r="A47" s="20">
        <v>12</v>
      </c>
      <c r="B47" s="172" t="s">
        <v>11</v>
      </c>
      <c r="C47" s="173"/>
      <c r="D47" s="15">
        <f>IF(F3="1",SUMIF(Data!A:A,'49'!$A$2,Data!DF:DF),0)</f>
        <v>135344</v>
      </c>
      <c r="E47" s="18">
        <f>IF(F3="1",SUMIF(Data!$A:$A,'49'!$A$2,Data!IZ:IZ),0)</f>
        <v>17016</v>
      </c>
      <c r="F47" s="22">
        <f t="shared" si="3"/>
        <v>0.13</v>
      </c>
    </row>
    <row r="48" spans="1:6" x14ac:dyDescent="0.2">
      <c r="A48" s="20">
        <v>13</v>
      </c>
      <c r="B48" s="172" t="s">
        <v>12</v>
      </c>
      <c r="C48" s="173"/>
      <c r="D48" s="15">
        <f>IF(F3="1",SUMIF(Data!A:A,'49'!$A$2,Data!DG:DG),0)</f>
        <v>32304</v>
      </c>
      <c r="E48" s="18">
        <f>IF(F3="1",SUMIF(Data!$A:$A,'49'!$A$2,Data!JA:JA),0)</f>
        <v>1795</v>
      </c>
      <c r="F48" s="22">
        <f t="shared" si="3"/>
        <v>0.06</v>
      </c>
    </row>
    <row r="49" spans="1:6" ht="14.25" customHeight="1" x14ac:dyDescent="0.2">
      <c r="A49" s="20">
        <v>14</v>
      </c>
      <c r="B49" s="172" t="s">
        <v>469</v>
      </c>
      <c r="C49" s="173"/>
      <c r="D49" s="15">
        <f>IF(F3="1",SUMIF(Data!A:A,'49'!$A$2,Data!DH:DH),0)</f>
        <v>0</v>
      </c>
      <c r="E49" s="18">
        <f>IF(F3="1",SUMIF(Data!$A:$A,'49'!$A$2,Data!JB:JB),0)</f>
        <v>0</v>
      </c>
      <c r="F49" s="22" t="str">
        <f t="shared" si="3"/>
        <v/>
      </c>
    </row>
    <row r="50" spans="1:6" x14ac:dyDescent="0.2">
      <c r="A50" s="20">
        <v>15</v>
      </c>
      <c r="B50" s="172" t="s">
        <v>13</v>
      </c>
      <c r="C50" s="173"/>
      <c r="D50" s="15">
        <f>IF(F3="1",SUMIF(Data!A:A,'49'!$A$2,Data!DI:DI),0)</f>
        <v>0</v>
      </c>
      <c r="E50" s="18">
        <f>IF(F3="1",SUMIF(Data!$A:$A,'49'!$A$2,Data!JC:JC),0)</f>
        <v>0</v>
      </c>
      <c r="F50" s="22" t="str">
        <f t="shared" si="3"/>
        <v/>
      </c>
    </row>
    <row r="51" spans="1:6" x14ac:dyDescent="0.2">
      <c r="A51" s="20">
        <v>16</v>
      </c>
      <c r="B51" s="172" t="s">
        <v>14</v>
      </c>
      <c r="C51" s="173"/>
      <c r="D51" s="15">
        <f>IF(F3="1",SUMIF(Data!A:A,'49'!$A$2,Data!DJ:DJ),0)</f>
        <v>12931</v>
      </c>
      <c r="E51" s="18">
        <f>IF(F3="1",SUMIF(Data!$A:$A,'49'!$A$2,Data!JD:JD),0)</f>
        <v>19870</v>
      </c>
      <c r="F51" s="22">
        <f t="shared" si="3"/>
        <v>1.54</v>
      </c>
    </row>
    <row r="52" spans="1:6" x14ac:dyDescent="0.2">
      <c r="A52" s="20">
        <v>17</v>
      </c>
      <c r="B52" s="172" t="s">
        <v>15</v>
      </c>
      <c r="C52" s="173"/>
      <c r="D52" s="15">
        <f>IF(F3="1",SUMIF(Data!A:A,'49'!$A$2,Data!DK:DK),0)</f>
        <v>0</v>
      </c>
      <c r="E52" s="18">
        <f>IF(F3="1",SUMIF(Data!$A:$A,'49'!$A$2,Data!JE:JE),0)</f>
        <v>0</v>
      </c>
      <c r="F52" s="22" t="str">
        <f t="shared" si="3"/>
        <v/>
      </c>
    </row>
    <row r="53" spans="1:6" x14ac:dyDescent="0.2">
      <c r="A53" s="20">
        <v>18</v>
      </c>
      <c r="B53" s="172" t="s">
        <v>16</v>
      </c>
      <c r="C53" s="173"/>
      <c r="D53" s="15">
        <f>IF(F3="1",SUMIF(Data!A:A,'49'!$A$2,Data!DL:DL),0)</f>
        <v>29888</v>
      </c>
      <c r="E53" s="18">
        <f>IF(F3="1",SUMIF(Data!$A:$A,'49'!$A$2,Data!JF:JF),0)</f>
        <v>6118</v>
      </c>
      <c r="F53" s="22">
        <f t="shared" si="3"/>
        <v>0.2</v>
      </c>
    </row>
    <row r="54" spans="1:6" x14ac:dyDescent="0.2">
      <c r="A54" s="20">
        <v>19</v>
      </c>
      <c r="B54" s="172" t="s">
        <v>17</v>
      </c>
      <c r="C54" s="173"/>
      <c r="D54" s="15">
        <f>IF(F3="1",SUMIF(Data!A:A,'49'!$A$2,Data!DM:DM),0)</f>
        <v>215072</v>
      </c>
      <c r="E54" s="18">
        <f>IF(F3="1",SUMIF(Data!$A:$A,'49'!$A$2,Data!JG:JG),0)</f>
        <v>15456</v>
      </c>
      <c r="F54" s="22">
        <f t="shared" si="3"/>
        <v>7.0000000000000007E-2</v>
      </c>
    </row>
    <row r="55" spans="1:6" x14ac:dyDescent="0.2">
      <c r="A55" s="20">
        <v>20</v>
      </c>
      <c r="B55" s="172" t="s">
        <v>18</v>
      </c>
      <c r="C55" s="173"/>
      <c r="D55" s="15">
        <f>IF(F3="1",SUMIF(Data!A:A,'49'!$A$2,Data!DN:DN),0)</f>
        <v>0</v>
      </c>
      <c r="E55" s="18">
        <f>IF(F3="1",SUMIF(Data!$A:$A,'49'!$A$2,Data!JH:JH),0)</f>
        <v>0</v>
      </c>
      <c r="F55" s="22" t="str">
        <f t="shared" si="3"/>
        <v/>
      </c>
    </row>
    <row r="56" spans="1:6" ht="14.25" customHeight="1" x14ac:dyDescent="0.2">
      <c r="A56" s="20">
        <v>21</v>
      </c>
      <c r="B56" s="172" t="s">
        <v>466</v>
      </c>
      <c r="C56" s="173"/>
      <c r="D56" s="15">
        <f>IF(F3="1",SUMIF(Data!A:A,'49'!$A$2,Data!DO:DO),0)</f>
        <v>0</v>
      </c>
      <c r="E56" s="18">
        <f>IF(F3="1",SUMIF(Data!$A:$A,'49'!$A$2,Data!JI:JI),0)</f>
        <v>0</v>
      </c>
      <c r="F56" s="22" t="str">
        <f t="shared" si="3"/>
        <v/>
      </c>
    </row>
    <row r="57" spans="1:6" x14ac:dyDescent="0.2">
      <c r="A57" s="20">
        <v>22</v>
      </c>
      <c r="B57" s="172" t="s">
        <v>19</v>
      </c>
      <c r="C57" s="173"/>
      <c r="D57" s="15">
        <f>IF(F3="1",SUMIF(Data!A:A,'49'!$A$2,Data!DP:DP),0)</f>
        <v>11760</v>
      </c>
      <c r="E57" s="18">
        <f>IF(F3="1",SUMIF(Data!$A:$A,'49'!$A$2,Data!JJ:JJ),0)</f>
        <v>5529</v>
      </c>
      <c r="F57" s="22">
        <f t="shared" si="3"/>
        <v>0.47</v>
      </c>
    </row>
    <row r="58" spans="1:6" x14ac:dyDescent="0.2">
      <c r="A58" s="20">
        <v>23</v>
      </c>
      <c r="B58" s="172" t="s">
        <v>20</v>
      </c>
      <c r="C58" s="173"/>
      <c r="D58" s="15">
        <f>IF(F3="1",SUMIF(Data!A:A,'49'!$A$2,Data!DQ:DQ),0)</f>
        <v>43168</v>
      </c>
      <c r="E58" s="18">
        <f>IF(F3="1",SUMIF(Data!$A:$A,'49'!$A$2,Data!JK:JK),0)</f>
        <v>67220</v>
      </c>
      <c r="F58" s="22">
        <f t="shared" si="3"/>
        <v>1.56</v>
      </c>
    </row>
    <row r="59" spans="1:6" x14ac:dyDescent="0.2">
      <c r="A59" s="20">
        <v>24</v>
      </c>
      <c r="B59" s="172" t="s">
        <v>21</v>
      </c>
      <c r="C59" s="173"/>
      <c r="D59" s="15">
        <f>IF(F3="1",SUMIF(Data!A:A,'49'!$A$2,Data!DR:DR),0)</f>
        <v>62900</v>
      </c>
      <c r="E59" s="18">
        <f>IF(F3="1",SUMIF(Data!$A:$A,'49'!$A$2,Data!JL:JL),0)</f>
        <v>28565</v>
      </c>
      <c r="F59" s="22">
        <f t="shared" si="3"/>
        <v>0.45</v>
      </c>
    </row>
    <row r="60" spans="1:6" x14ac:dyDescent="0.2">
      <c r="A60" s="20">
        <v>25</v>
      </c>
      <c r="B60" s="172" t="s">
        <v>22</v>
      </c>
      <c r="C60" s="173"/>
      <c r="D60" s="15">
        <f>IF(F3="1",SUMIF(Data!A:A,'49'!$A$2,Data!DS:DS),0)</f>
        <v>120816</v>
      </c>
      <c r="E60" s="18">
        <f>IF(F3="1",SUMIF(Data!$A:$A,'49'!$A$2,Data!JM:JM),0)</f>
        <v>16600</v>
      </c>
      <c r="F60" s="22">
        <f t="shared" si="3"/>
        <v>0.14000000000000001</v>
      </c>
    </row>
    <row r="61" spans="1:6" x14ac:dyDescent="0.2">
      <c r="A61" s="20">
        <v>26</v>
      </c>
      <c r="B61" s="172" t="s">
        <v>23</v>
      </c>
      <c r="C61" s="173"/>
      <c r="D61" s="15">
        <f>IF(F3="1",SUMIF(Data!A:A,'49'!$A$2,Data!DT:DT),0)</f>
        <v>41232</v>
      </c>
      <c r="E61" s="18">
        <f>IF(F3="1",SUMIF(Data!$A:$A,'49'!$A$2,Data!JN:JN),0)</f>
        <v>40137</v>
      </c>
      <c r="F61" s="22">
        <f t="shared" si="3"/>
        <v>0.97</v>
      </c>
    </row>
    <row r="62" spans="1:6" x14ac:dyDescent="0.2">
      <c r="A62" s="20">
        <v>28</v>
      </c>
      <c r="B62" s="172" t="s">
        <v>24</v>
      </c>
      <c r="C62" s="173"/>
      <c r="D62" s="15">
        <f>IF(F3="1",SUMIF(Data!A:A,'49'!$A$2,Data!DV:DV),0)</f>
        <v>0</v>
      </c>
      <c r="E62" s="18">
        <f>IF(F3="1",SUMIF(Data!$A:$A,'49'!$A$2,Data!JP:JP),0)</f>
        <v>0</v>
      </c>
      <c r="F62" s="22" t="str">
        <f t="shared" si="3"/>
        <v/>
      </c>
    </row>
    <row r="63" spans="1:6" ht="15.75" customHeight="1" thickBot="1" x14ac:dyDescent="0.25">
      <c r="A63" s="23">
        <v>29</v>
      </c>
      <c r="B63" s="174" t="s">
        <v>25</v>
      </c>
      <c r="C63" s="175"/>
      <c r="D63" s="24">
        <f>IF(F3="1",SUMIF(Data!A:A,'49'!$A$2,Data!DW:DW),0)</f>
        <v>0</v>
      </c>
      <c r="E63" s="25">
        <f>IF(F3="1",SUMIF(Data!$A:$A,'49'!$A$2,Data!JQ:JQ),0)</f>
        <v>0</v>
      </c>
      <c r="F63" s="26" t="str">
        <f t="shared" si="3"/>
        <v/>
      </c>
    </row>
    <row r="64" spans="1:6" x14ac:dyDescent="0.2">
      <c r="B64" s="31" t="s">
        <v>35</v>
      </c>
      <c r="C64" s="31"/>
      <c r="D64" s="61">
        <f>SUM(D36:D63)</f>
        <v>987115</v>
      </c>
      <c r="E64" s="32">
        <f>SUM(E36:E63)</f>
        <v>473888</v>
      </c>
      <c r="F64" s="33">
        <f t="shared" si="3"/>
        <v>0.48</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75073</v>
      </c>
      <c r="E67" s="16">
        <f>IF(F3="1",SUMIF(Data!A:A,'49'!$A$2,Data!DY:DY),0)</f>
        <v>244979</v>
      </c>
      <c r="F67" s="21">
        <f t="shared" ref="F67:F95" si="4">IF(D67=0,"",ROUND(E67/D67,2))</f>
        <v>3.26</v>
      </c>
    </row>
    <row r="68" spans="1:6" x14ac:dyDescent="0.2">
      <c r="A68" s="20">
        <v>2</v>
      </c>
      <c r="B68" s="172" t="s">
        <v>1</v>
      </c>
      <c r="C68" s="173"/>
      <c r="D68" s="15">
        <f t="shared" ref="D68:D94" si="5">D37</f>
        <v>26304</v>
      </c>
      <c r="E68" s="18">
        <f>IF(F3="1",SUMIF(Data!A:A,'49'!$A$2,Data!DZ:DZ),0)</f>
        <v>81383</v>
      </c>
      <c r="F68" s="22">
        <f t="shared" si="4"/>
        <v>3.09</v>
      </c>
    </row>
    <row r="69" spans="1:6" ht="14.25" customHeight="1" x14ac:dyDescent="0.2">
      <c r="A69" s="20">
        <v>3</v>
      </c>
      <c r="B69" s="172" t="s">
        <v>2</v>
      </c>
      <c r="C69" s="173"/>
      <c r="D69" s="15">
        <f t="shared" si="5"/>
        <v>108640</v>
      </c>
      <c r="E69" s="18">
        <f>IF(F3="1",SUMIF(Data!A:A,'49'!$A$2,Data!EA:EA),0)</f>
        <v>227550</v>
      </c>
      <c r="F69" s="22">
        <f t="shared" si="4"/>
        <v>2.09</v>
      </c>
    </row>
    <row r="70" spans="1:6" ht="14.25" customHeight="1" x14ac:dyDescent="0.2">
      <c r="A70" s="20">
        <v>4</v>
      </c>
      <c r="B70" s="172" t="s">
        <v>3</v>
      </c>
      <c r="C70" s="173"/>
      <c r="D70" s="15">
        <f t="shared" si="5"/>
        <v>13564</v>
      </c>
      <c r="E70" s="18">
        <f>IF(F3="1",SUMIF(Data!A:A,'49'!$A$2,Data!EB:EB),0)</f>
        <v>52224</v>
      </c>
      <c r="F70" s="22">
        <f t="shared" si="4"/>
        <v>3.85</v>
      </c>
    </row>
    <row r="71" spans="1:6" x14ac:dyDescent="0.2">
      <c r="A71" s="20">
        <v>5</v>
      </c>
      <c r="B71" s="172" t="s">
        <v>4</v>
      </c>
      <c r="C71" s="173"/>
      <c r="D71" s="15">
        <f t="shared" si="5"/>
        <v>0</v>
      </c>
      <c r="E71" s="18">
        <f>IF(F3="1",SUMIF(Data!A:A,'49'!$A$2,Data!EC:EC),0)</f>
        <v>0</v>
      </c>
      <c r="F71" s="22" t="str">
        <f t="shared" si="4"/>
        <v/>
      </c>
    </row>
    <row r="72" spans="1:6" x14ac:dyDescent="0.2">
      <c r="A72" s="20">
        <v>6</v>
      </c>
      <c r="B72" s="172" t="s">
        <v>5</v>
      </c>
      <c r="C72" s="173"/>
      <c r="D72" s="15">
        <f t="shared" si="5"/>
        <v>864</v>
      </c>
      <c r="E72" s="18">
        <f>IF(F3="1",SUMIF(Data!A:A,'49'!$A$2,Data!ED:ED),0)</f>
        <v>11851</v>
      </c>
      <c r="F72" s="22">
        <f t="shared" si="4"/>
        <v>13.72</v>
      </c>
    </row>
    <row r="73" spans="1:6" x14ac:dyDescent="0.2">
      <c r="A73" s="20">
        <v>7</v>
      </c>
      <c r="B73" s="172" t="s">
        <v>6</v>
      </c>
      <c r="C73" s="173"/>
      <c r="D73" s="15">
        <f t="shared" si="5"/>
        <v>34024</v>
      </c>
      <c r="E73" s="18">
        <f>IF(F3="1",SUMIF(Data!A:A,'49'!$A$2,Data!EE:EE),0)</f>
        <v>53381</v>
      </c>
      <c r="F73" s="22">
        <f t="shared" si="4"/>
        <v>1.57</v>
      </c>
    </row>
    <row r="74" spans="1:6" x14ac:dyDescent="0.2">
      <c r="A74" s="20">
        <v>8</v>
      </c>
      <c r="B74" s="172" t="s">
        <v>7</v>
      </c>
      <c r="C74" s="173"/>
      <c r="D74" s="15">
        <f t="shared" si="5"/>
        <v>0</v>
      </c>
      <c r="E74" s="18">
        <f>IF(F3="1",SUMIF(Data!A:A,'49'!$A$2,Data!EF:EF),0)</f>
        <v>0</v>
      </c>
      <c r="F74" s="22" t="str">
        <f t="shared" si="4"/>
        <v/>
      </c>
    </row>
    <row r="75" spans="1:6" x14ac:dyDescent="0.2">
      <c r="A75" s="20">
        <v>9</v>
      </c>
      <c r="B75" s="172" t="s">
        <v>8</v>
      </c>
      <c r="C75" s="173"/>
      <c r="D75" s="15">
        <f t="shared" si="5"/>
        <v>13802</v>
      </c>
      <c r="E75" s="18">
        <f>IF(F3="1",SUMIF(Data!A:A,'49'!$A$2,Data!EG:EG),0)</f>
        <v>55185</v>
      </c>
      <c r="F75" s="22">
        <f t="shared" si="4"/>
        <v>4</v>
      </c>
    </row>
    <row r="76" spans="1:6" x14ac:dyDescent="0.2">
      <c r="A76" s="20">
        <v>10</v>
      </c>
      <c r="B76" s="172" t="s">
        <v>9</v>
      </c>
      <c r="C76" s="173"/>
      <c r="D76" s="15">
        <f t="shared" si="5"/>
        <v>0</v>
      </c>
      <c r="E76" s="18">
        <f>IF(F3="1",SUMIF(Data!A:A,'49'!$A$2,Data!EH:EH),0)</f>
        <v>0</v>
      </c>
      <c r="F76" s="22" t="str">
        <f t="shared" si="4"/>
        <v/>
      </c>
    </row>
    <row r="77" spans="1:6" x14ac:dyDescent="0.2">
      <c r="A77" s="20">
        <v>11</v>
      </c>
      <c r="B77" s="172" t="s">
        <v>10</v>
      </c>
      <c r="C77" s="173"/>
      <c r="D77" s="15">
        <f t="shared" si="5"/>
        <v>9429</v>
      </c>
      <c r="E77" s="18">
        <f>IF(F3="1",SUMIF(Data!A:A,'49'!$A$2,Data!EI:EI),0)</f>
        <v>34936</v>
      </c>
      <c r="F77" s="22">
        <f t="shared" si="4"/>
        <v>3.71</v>
      </c>
    </row>
    <row r="78" spans="1:6" ht="14.25" customHeight="1" x14ac:dyDescent="0.2">
      <c r="A78" s="20">
        <v>12</v>
      </c>
      <c r="B78" s="172" t="s">
        <v>11</v>
      </c>
      <c r="C78" s="173"/>
      <c r="D78" s="15">
        <f t="shared" si="5"/>
        <v>135344</v>
      </c>
      <c r="E78" s="18">
        <f>IF(F3="1",SUMIF(Data!A:A,'49'!$A$2,Data!EJ:EJ),0)</f>
        <v>380971</v>
      </c>
      <c r="F78" s="22">
        <f t="shared" si="4"/>
        <v>2.81</v>
      </c>
    </row>
    <row r="79" spans="1:6" x14ac:dyDescent="0.2">
      <c r="A79" s="20">
        <v>13</v>
      </c>
      <c r="B79" s="172" t="s">
        <v>12</v>
      </c>
      <c r="C79" s="173"/>
      <c r="D79" s="15">
        <f t="shared" si="5"/>
        <v>32304</v>
      </c>
      <c r="E79" s="18">
        <f>IF(F3="1",SUMIF(Data!A:A,'49'!$A$2,Data!EK:EK),0)</f>
        <v>58086</v>
      </c>
      <c r="F79" s="22">
        <f t="shared" si="4"/>
        <v>1.8</v>
      </c>
    </row>
    <row r="80" spans="1:6" ht="14.25" customHeight="1" x14ac:dyDescent="0.2">
      <c r="A80" s="20">
        <v>14</v>
      </c>
      <c r="B80" s="172" t="s">
        <v>469</v>
      </c>
      <c r="C80" s="173"/>
      <c r="D80" s="15">
        <f t="shared" si="5"/>
        <v>0</v>
      </c>
      <c r="E80" s="18">
        <f>IF(F3="1",SUMIF(Data!A:A,'49'!$A$2,Data!EL:EL),0)</f>
        <v>0</v>
      </c>
      <c r="F80" s="22" t="str">
        <f t="shared" si="4"/>
        <v/>
      </c>
    </row>
    <row r="81" spans="1:6" x14ac:dyDescent="0.2">
      <c r="A81" s="20">
        <v>15</v>
      </c>
      <c r="B81" s="172" t="s">
        <v>13</v>
      </c>
      <c r="C81" s="173"/>
      <c r="D81" s="15">
        <f t="shared" si="5"/>
        <v>0</v>
      </c>
      <c r="E81" s="18">
        <f>IF(F3="1",SUMIF(Data!A:A,'49'!$A$2,Data!EM:EM),0)</f>
        <v>0</v>
      </c>
      <c r="F81" s="22" t="str">
        <f t="shared" si="4"/>
        <v/>
      </c>
    </row>
    <row r="82" spans="1:6" x14ac:dyDescent="0.2">
      <c r="A82" s="20">
        <v>16</v>
      </c>
      <c r="B82" s="172" t="s">
        <v>14</v>
      </c>
      <c r="C82" s="173"/>
      <c r="D82" s="15">
        <f t="shared" si="5"/>
        <v>12931</v>
      </c>
      <c r="E82" s="18">
        <f>IF(F3="1",SUMIF(Data!A:A,'49'!$A$2,Data!EN:EN),0)</f>
        <v>30868</v>
      </c>
      <c r="F82" s="22">
        <f t="shared" si="4"/>
        <v>2.39</v>
      </c>
    </row>
    <row r="83" spans="1:6" x14ac:dyDescent="0.2">
      <c r="A83" s="20">
        <v>17</v>
      </c>
      <c r="B83" s="172" t="s">
        <v>15</v>
      </c>
      <c r="C83" s="173"/>
      <c r="D83" s="15">
        <f t="shared" si="5"/>
        <v>0</v>
      </c>
      <c r="E83" s="18">
        <f>IF(F3="1",SUMIF(Data!A:A,'49'!$A$2,Data!EO:EO),0)</f>
        <v>0</v>
      </c>
      <c r="F83" s="22" t="str">
        <f t="shared" si="4"/>
        <v/>
      </c>
    </row>
    <row r="84" spans="1:6" x14ac:dyDescent="0.2">
      <c r="A84" s="20">
        <v>18</v>
      </c>
      <c r="B84" s="172" t="s">
        <v>16</v>
      </c>
      <c r="C84" s="173"/>
      <c r="D84" s="15">
        <f t="shared" si="5"/>
        <v>29888</v>
      </c>
      <c r="E84" s="18">
        <f>IF(F3="1",SUMIF(Data!A:A,'49'!$A$2,Data!EP:EP),0)</f>
        <v>105820</v>
      </c>
      <c r="F84" s="22">
        <f t="shared" si="4"/>
        <v>3.54</v>
      </c>
    </row>
    <row r="85" spans="1:6" x14ac:dyDescent="0.2">
      <c r="A85" s="20">
        <v>19</v>
      </c>
      <c r="B85" s="172" t="s">
        <v>17</v>
      </c>
      <c r="C85" s="173"/>
      <c r="D85" s="15">
        <f t="shared" si="5"/>
        <v>215072</v>
      </c>
      <c r="E85" s="18">
        <f>IF(F3="1",SUMIF(Data!A:A,'49'!$A$2,Data!EQ:EQ),0)</f>
        <v>347864</v>
      </c>
      <c r="F85" s="22">
        <f t="shared" si="4"/>
        <v>1.62</v>
      </c>
    </row>
    <row r="86" spans="1:6" x14ac:dyDescent="0.2">
      <c r="A86" s="20">
        <v>20</v>
      </c>
      <c r="B86" s="172" t="s">
        <v>18</v>
      </c>
      <c r="C86" s="173"/>
      <c r="D86" s="15">
        <f t="shared" si="5"/>
        <v>0</v>
      </c>
      <c r="E86" s="18">
        <f>IF(F3="1",SUMIF(Data!A:A,'49'!$A$2,Data!ER:ER),0)</f>
        <v>0</v>
      </c>
      <c r="F86" s="22" t="str">
        <f t="shared" si="4"/>
        <v/>
      </c>
    </row>
    <row r="87" spans="1:6" ht="14.25" customHeight="1" x14ac:dyDescent="0.2">
      <c r="A87" s="20">
        <v>21</v>
      </c>
      <c r="B87" s="172" t="s">
        <v>466</v>
      </c>
      <c r="C87" s="173"/>
      <c r="D87" s="15">
        <f t="shared" si="5"/>
        <v>0</v>
      </c>
      <c r="E87" s="18">
        <f>IF(F3="1",SUMIF(Data!A:A,'49'!$A$2,Data!ES:ES),0)</f>
        <v>0</v>
      </c>
      <c r="F87" s="22" t="str">
        <f t="shared" si="4"/>
        <v/>
      </c>
    </row>
    <row r="88" spans="1:6" x14ac:dyDescent="0.2">
      <c r="A88" s="20">
        <v>22</v>
      </c>
      <c r="B88" s="172" t="s">
        <v>19</v>
      </c>
      <c r="C88" s="173"/>
      <c r="D88" s="15">
        <f t="shared" si="5"/>
        <v>11760</v>
      </c>
      <c r="E88" s="18">
        <f>IF(F3="1",SUMIF(Data!A:A,'49'!$A$2,Data!ET:ET),0)</f>
        <v>42403</v>
      </c>
      <c r="F88" s="22">
        <f t="shared" si="4"/>
        <v>3.61</v>
      </c>
    </row>
    <row r="89" spans="1:6" x14ac:dyDescent="0.2">
      <c r="A89" s="20">
        <v>23</v>
      </c>
      <c r="B89" s="172" t="s">
        <v>20</v>
      </c>
      <c r="C89" s="173"/>
      <c r="D89" s="15">
        <f t="shared" si="5"/>
        <v>43168</v>
      </c>
      <c r="E89" s="18">
        <f>IF(F3="1",SUMIF(Data!A:A,'49'!$A$2,Data!EU:EU),0)</f>
        <v>148801</v>
      </c>
      <c r="F89" s="22">
        <f t="shared" si="4"/>
        <v>3.45</v>
      </c>
    </row>
    <row r="90" spans="1:6" x14ac:dyDescent="0.2">
      <c r="A90" s="20">
        <v>24</v>
      </c>
      <c r="B90" s="172" t="s">
        <v>21</v>
      </c>
      <c r="C90" s="173"/>
      <c r="D90" s="15">
        <f t="shared" si="5"/>
        <v>62900</v>
      </c>
      <c r="E90" s="18">
        <f>IF(F3="1",SUMIF(Data!A:A,'49'!$A$2,Data!EV:EV),0)</f>
        <v>96976</v>
      </c>
      <c r="F90" s="22">
        <f t="shared" si="4"/>
        <v>1.54</v>
      </c>
    </row>
    <row r="91" spans="1:6" x14ac:dyDescent="0.2">
      <c r="A91" s="20">
        <v>25</v>
      </c>
      <c r="B91" s="172" t="s">
        <v>22</v>
      </c>
      <c r="C91" s="173"/>
      <c r="D91" s="15">
        <f t="shared" si="5"/>
        <v>120816</v>
      </c>
      <c r="E91" s="18">
        <f>IF(F3="1",SUMIF(Data!A:A,'49'!$A$2,Data!EW:EW),0)</f>
        <v>355081</v>
      </c>
      <c r="F91" s="22">
        <f t="shared" si="4"/>
        <v>2.94</v>
      </c>
    </row>
    <row r="92" spans="1:6" x14ac:dyDescent="0.2">
      <c r="A92" s="20">
        <v>26</v>
      </c>
      <c r="B92" s="172" t="s">
        <v>23</v>
      </c>
      <c r="C92" s="173"/>
      <c r="D92" s="15">
        <f t="shared" si="5"/>
        <v>41232</v>
      </c>
      <c r="E92" s="18">
        <f>IF(F3="1",SUMIF(Data!A:A,'49'!$A$2,Data!EX:EX),0)</f>
        <v>149619</v>
      </c>
      <c r="F92" s="22">
        <f t="shared" si="4"/>
        <v>3.63</v>
      </c>
    </row>
    <row r="93" spans="1:6" x14ac:dyDescent="0.2">
      <c r="A93" s="20">
        <v>28</v>
      </c>
      <c r="B93" s="172" t="s">
        <v>24</v>
      </c>
      <c r="C93" s="173"/>
      <c r="D93" s="15">
        <f t="shared" si="5"/>
        <v>0</v>
      </c>
      <c r="E93" s="18">
        <f>IF(F3="1",SUMIF(Data!A:A,'49'!$A$2,Data!EZ:EZ),0)</f>
        <v>0</v>
      </c>
      <c r="F93" s="22" t="str">
        <f t="shared" si="4"/>
        <v/>
      </c>
    </row>
    <row r="94" spans="1:6" ht="15.75" customHeight="1" thickBot="1" x14ac:dyDescent="0.25">
      <c r="A94" s="23">
        <v>29</v>
      </c>
      <c r="B94" s="174" t="s">
        <v>25</v>
      </c>
      <c r="C94" s="175"/>
      <c r="D94" s="24">
        <f t="shared" si="5"/>
        <v>0</v>
      </c>
      <c r="E94" s="25">
        <f>IF(F3="1",SUMIF(Data!A:A,'49'!$A$2,Data!FA:FA),0)</f>
        <v>0</v>
      </c>
      <c r="F94" s="26" t="str">
        <f t="shared" si="4"/>
        <v/>
      </c>
    </row>
    <row r="95" spans="1:6" x14ac:dyDescent="0.2">
      <c r="B95" s="31" t="s">
        <v>35</v>
      </c>
      <c r="C95" s="31"/>
      <c r="D95" s="61">
        <f>SUM(D67:D94)</f>
        <v>987115</v>
      </c>
      <c r="E95" s="32">
        <f>SUM(E67:E94)</f>
        <v>2477978</v>
      </c>
      <c r="F95" s="33">
        <f t="shared" si="4"/>
        <v>2.5099999999999998</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IF(F3="1",SUMIF(Data!A:A,'49'!$A$2,Data!AH:AH),0)</f>
        <v>1977307</v>
      </c>
      <c r="F98" s="21">
        <f>IF($D$105=0,"",ROUND(E98/$D$105,2))</f>
        <v>2</v>
      </c>
    </row>
    <row r="99" spans="2:6" x14ac:dyDescent="0.2">
      <c r="B99" s="178" t="s">
        <v>31</v>
      </c>
      <c r="C99" s="179"/>
      <c r="D99" s="37"/>
      <c r="E99" s="18">
        <f>IF(F3="1",SUMIF(Data!A:A,'49'!$A$2,Data!AI:AI),0)</f>
        <v>376647</v>
      </c>
      <c r="F99" s="22">
        <f t="shared" ref="F99:F105" si="6">IF($D$105=0,"",ROUND(E99/$D$105,2))</f>
        <v>0.38</v>
      </c>
    </row>
    <row r="100" spans="2:6" x14ac:dyDescent="0.2">
      <c r="B100" s="178" t="s">
        <v>32</v>
      </c>
      <c r="C100" s="179"/>
      <c r="D100" s="37"/>
      <c r="E100" s="18">
        <f>IF(F3="1",SUMIF(Data!A:A,'49'!$A$2,Data!AJ:AJ),0)</f>
        <v>746001</v>
      </c>
      <c r="F100" s="22">
        <f t="shared" si="6"/>
        <v>0.76</v>
      </c>
    </row>
    <row r="101" spans="2:6" x14ac:dyDescent="0.2">
      <c r="B101" s="178" t="s">
        <v>28</v>
      </c>
      <c r="C101" s="179"/>
      <c r="D101" s="37"/>
      <c r="E101" s="18">
        <f>IF(F3="1",SUMIF(Data!A:A,'49'!$A$2,Data!AK:AK),0)</f>
        <v>0</v>
      </c>
      <c r="F101" s="22">
        <f t="shared" si="6"/>
        <v>0</v>
      </c>
    </row>
    <row r="102" spans="2:6" x14ac:dyDescent="0.2">
      <c r="B102" s="178" t="s">
        <v>33</v>
      </c>
      <c r="C102" s="179"/>
      <c r="D102" s="37"/>
      <c r="E102" s="18">
        <f>IF(F3="1",SUMIF(Data!A:A,'49'!$A$2,Data!AL:AL),0)</f>
        <v>73896</v>
      </c>
      <c r="F102" s="22">
        <f t="shared" si="6"/>
        <v>7.0000000000000007E-2</v>
      </c>
    </row>
    <row r="103" spans="2:6" x14ac:dyDescent="0.2">
      <c r="B103" s="180" t="s">
        <v>34</v>
      </c>
      <c r="C103" s="181"/>
      <c r="D103" s="37"/>
      <c r="E103" s="18">
        <f>IF(F3="1",SUMIF(Data!A:A,'49'!$A$2,Data!AM:AM),0)</f>
        <v>197160</v>
      </c>
      <c r="F103" s="22">
        <f t="shared" si="6"/>
        <v>0.2</v>
      </c>
    </row>
    <row r="104" spans="2:6" ht="15.75" customHeight="1" thickBot="1" x14ac:dyDescent="0.25">
      <c r="B104" s="170" t="s">
        <v>29</v>
      </c>
      <c r="C104" s="171"/>
      <c r="D104" s="38"/>
      <c r="E104" s="25">
        <f>IF(F3="1",SUMIF(Data!A:A,'49'!$A$2,Data!Q:Q),0)</f>
        <v>74698</v>
      </c>
      <c r="F104" s="26">
        <f t="shared" si="6"/>
        <v>0.08</v>
      </c>
    </row>
    <row r="105" spans="2:6" x14ac:dyDescent="0.2">
      <c r="B105" s="31" t="s">
        <v>35</v>
      </c>
      <c r="C105" s="31"/>
      <c r="D105" s="35">
        <f>D95</f>
        <v>987115</v>
      </c>
      <c r="E105" s="32">
        <f>SUM(E98:E104)</f>
        <v>3445709</v>
      </c>
      <c r="F105" s="33">
        <f t="shared" si="6"/>
        <v>3.49</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2516173</v>
      </c>
      <c r="D109" s="16">
        <f>IF(F3="1",SUMIF(Data!$A:$A,$A$2,Data!HJ:HJ),0)</f>
        <v>76333</v>
      </c>
      <c r="E109" s="16">
        <f>IF(F3="1",SUMIF(Data!$A:$A,$A$2,Data!IN:IN),0)</f>
        <v>359362</v>
      </c>
      <c r="F109" s="48">
        <f>SUM(C109:E109)</f>
        <v>2951868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32841</v>
      </c>
      <c r="D111" s="52"/>
      <c r="E111" s="51">
        <f>IF(F3="1",SUMIF(Data!A:A,$A$2,Data!AX:AX),0)</f>
        <v>68834</v>
      </c>
      <c r="F111" s="49">
        <f t="shared" si="7"/>
        <v>101675</v>
      </c>
    </row>
    <row r="112" spans="2:6" x14ac:dyDescent="0.2">
      <c r="B112" s="43" t="s">
        <v>32</v>
      </c>
      <c r="C112" s="51">
        <f>IF(F3="1",SUMIF(Data!A:A,$A$2,Data!V:V),0)</f>
        <v>587261</v>
      </c>
      <c r="D112" s="52"/>
      <c r="E112" s="51">
        <f>IF(F3="1",SUMIF(Data!A:A,$A$2,Data!AC:AC),0)</f>
        <v>158740</v>
      </c>
      <c r="F112" s="49">
        <f t="shared" si="7"/>
        <v>746001</v>
      </c>
    </row>
    <row r="113" spans="1:6" x14ac:dyDescent="0.2">
      <c r="B113" s="43" t="s">
        <v>31</v>
      </c>
      <c r="C113" s="51">
        <f>IF(F3="1",SUMIF(Data!A:A,$A$2,Data!U:U),0)</f>
        <v>341397</v>
      </c>
      <c r="D113" s="52"/>
      <c r="E113" s="51">
        <f>IF(F3="1",SUMIF(Data!A:A,$A$2,Data!AB:AB),0)</f>
        <v>35250</v>
      </c>
      <c r="F113" s="49">
        <f t="shared" si="7"/>
        <v>376647</v>
      </c>
    </row>
    <row r="114" spans="1:6" x14ac:dyDescent="0.2">
      <c r="B114" s="43" t="s">
        <v>1021</v>
      </c>
      <c r="C114" s="51">
        <f>IF(F3="1",SUMIF(Data!A:A,$A$2,Data!T:T),0)</f>
        <v>1010458</v>
      </c>
      <c r="D114" s="52"/>
      <c r="E114" s="51">
        <f>IF(F3="1",SUMIF(Data!A:A,$A$2,Data!AA:AA),0)</f>
        <v>966849</v>
      </c>
      <c r="F114" s="49">
        <f t="shared" si="7"/>
        <v>1977307</v>
      </c>
    </row>
    <row r="115" spans="1:6" x14ac:dyDescent="0.2">
      <c r="B115" s="43" t="s">
        <v>937</v>
      </c>
      <c r="C115" s="51">
        <f>IF(F3="1",SUMIF(Data!A:A,$A$2,Data!BI:BI),0)</f>
        <v>72787</v>
      </c>
      <c r="D115" s="51">
        <f>IF(F3="1",SUMIF(Data!A:A,$A$2,Data!BL:BL),0)</f>
        <v>16010</v>
      </c>
      <c r="E115" s="51">
        <f>IF(F3="1",SUMIF(Data!A:A,$A$2,Data!BU:BU),0)</f>
        <v>1821909</v>
      </c>
      <c r="F115" s="49">
        <f t="shared" si="7"/>
        <v>1910706</v>
      </c>
    </row>
    <row r="116" spans="1:6" x14ac:dyDescent="0.2">
      <c r="B116" s="43" t="s">
        <v>33</v>
      </c>
      <c r="C116" s="51">
        <f>IF(F3="1",SUMIF(Data!A:A,$A$2,Data!X:X),0)</f>
        <v>0</v>
      </c>
      <c r="D116" s="51"/>
      <c r="E116" s="51">
        <f>E102</f>
        <v>73896</v>
      </c>
      <c r="F116" s="49">
        <f t="shared" si="7"/>
        <v>73896</v>
      </c>
    </row>
    <row r="117" spans="1:6" ht="15" thickBot="1" x14ac:dyDescent="0.25">
      <c r="B117" s="44" t="s">
        <v>941</v>
      </c>
      <c r="C117" s="53"/>
      <c r="D117" s="53">
        <f>IF(F3="1",SUMIF(Data!A:A,$A$2,Data!Q:Q),0)</f>
        <v>74698</v>
      </c>
      <c r="E117" s="53"/>
      <c r="F117" s="50">
        <f>SUM(C117:E117)</f>
        <v>74698</v>
      </c>
    </row>
    <row r="118" spans="1:6" x14ac:dyDescent="0.2">
      <c r="B118" s="14" t="s">
        <v>35</v>
      </c>
      <c r="C118" s="5">
        <f>SUM(C109:C116)</f>
        <v>4560917</v>
      </c>
      <c r="D118" s="5">
        <f>SUM(D109:D116)</f>
        <v>92343</v>
      </c>
      <c r="E118" s="5">
        <f>SUM(E109:E116)</f>
        <v>3484840</v>
      </c>
      <c r="F118" s="5">
        <f>SUM(F109:F116)</f>
        <v>8138100</v>
      </c>
    </row>
    <row r="119" spans="1:6" ht="15" thickBot="1" x14ac:dyDescent="0.25"/>
    <row r="120" spans="1:6" ht="15" thickBot="1" x14ac:dyDescent="0.25">
      <c r="B120" s="57" t="s">
        <v>942</v>
      </c>
      <c r="C120" s="55"/>
      <c r="D120" s="55"/>
      <c r="E120" s="55">
        <f>IF(F3="1",SUMIF(Data!A:A,'49'!$A$2,Data!AM:AM),0)</f>
        <v>197160</v>
      </c>
      <c r="F120" s="56">
        <f>SUM(C120:E120)</f>
        <v>197160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418</v>
      </c>
      <c r="B2" s="60" t="str">
        <f>VLOOKUP(A2,Data!A:G,7,0)</f>
        <v>Wharton County Junior College</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9760</v>
      </c>
      <c r="E5" s="16">
        <f>E36+E67+IFERROR($E$105/$D$105*D5,0)</f>
        <v>132856.17569238404</v>
      </c>
      <c r="F5" s="21">
        <f>IF(OR(D5=0,E5=0),"",ROUND(E5/D5,2))</f>
        <v>13.61</v>
      </c>
    </row>
    <row r="6" spans="1:6" x14ac:dyDescent="0.2">
      <c r="A6" s="20">
        <v>2</v>
      </c>
      <c r="B6" s="172" t="s">
        <v>1</v>
      </c>
      <c r="C6" s="173"/>
      <c r="D6" s="15">
        <f t="shared" ref="D6:D32" si="0">D37</f>
        <v>16960</v>
      </c>
      <c r="E6" s="18">
        <f t="shared" ref="E6:E32" si="1">E37+E68+IFERROR($E$105/$D$105*D6,0)</f>
        <v>283877.61677692964</v>
      </c>
      <c r="F6" s="22">
        <f t="shared" ref="F6:F33" si="2">IF(OR(D6=0,E6=0),"",ROUND(E6/D6,2))</f>
        <v>16.739999999999998</v>
      </c>
    </row>
    <row r="7" spans="1:6" ht="14.25" customHeight="1" x14ac:dyDescent="0.2">
      <c r="A7" s="20">
        <v>3</v>
      </c>
      <c r="B7" s="172" t="s">
        <v>2</v>
      </c>
      <c r="C7" s="173"/>
      <c r="D7" s="15">
        <f t="shared" si="0"/>
        <v>365456</v>
      </c>
      <c r="E7" s="18">
        <f t="shared" si="1"/>
        <v>2910623.2573602358</v>
      </c>
      <c r="F7" s="22">
        <f t="shared" si="2"/>
        <v>7.96</v>
      </c>
    </row>
    <row r="8" spans="1:6" ht="14.25" customHeight="1" x14ac:dyDescent="0.2">
      <c r="A8" s="20">
        <v>4</v>
      </c>
      <c r="B8" s="172" t="s">
        <v>3</v>
      </c>
      <c r="C8" s="173"/>
      <c r="D8" s="15">
        <f t="shared" si="0"/>
        <v>113034</v>
      </c>
      <c r="E8" s="18">
        <f t="shared" si="1"/>
        <v>758419.79049312882</v>
      </c>
      <c r="F8" s="22">
        <f t="shared" si="2"/>
        <v>6.71</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0</v>
      </c>
      <c r="E10" s="18">
        <f t="shared" si="1"/>
        <v>0</v>
      </c>
      <c r="F10" s="22" t="str">
        <f t="shared" si="2"/>
        <v/>
      </c>
    </row>
    <row r="11" spans="1:6" x14ac:dyDescent="0.2">
      <c r="A11" s="20">
        <v>7</v>
      </c>
      <c r="B11" s="172" t="s">
        <v>6</v>
      </c>
      <c r="C11" s="173"/>
      <c r="D11" s="15">
        <f t="shared" si="0"/>
        <v>79370</v>
      </c>
      <c r="E11" s="18">
        <f t="shared" si="1"/>
        <v>882291.83040005341</v>
      </c>
      <c r="F11" s="22">
        <f t="shared" si="2"/>
        <v>11.12</v>
      </c>
    </row>
    <row r="12" spans="1:6" x14ac:dyDescent="0.2">
      <c r="A12" s="20">
        <v>8</v>
      </c>
      <c r="B12" s="172" t="s">
        <v>7</v>
      </c>
      <c r="C12" s="173"/>
      <c r="D12" s="15">
        <f t="shared" si="0"/>
        <v>1056</v>
      </c>
      <c r="E12" s="18">
        <f t="shared" si="1"/>
        <v>4546.8780257333547</v>
      </c>
      <c r="F12" s="22">
        <f t="shared" si="2"/>
        <v>4.3099999999999996</v>
      </c>
    </row>
    <row r="13" spans="1:6" x14ac:dyDescent="0.2">
      <c r="A13" s="20">
        <v>9</v>
      </c>
      <c r="B13" s="172" t="s">
        <v>8</v>
      </c>
      <c r="C13" s="173"/>
      <c r="D13" s="15">
        <f t="shared" si="0"/>
        <v>97268</v>
      </c>
      <c r="E13" s="18">
        <f t="shared" si="1"/>
        <v>911015.2460293863</v>
      </c>
      <c r="F13" s="22">
        <f t="shared" si="2"/>
        <v>9.3699999999999992</v>
      </c>
    </row>
    <row r="14" spans="1:6" x14ac:dyDescent="0.2">
      <c r="A14" s="20">
        <v>10</v>
      </c>
      <c r="B14" s="172" t="s">
        <v>9</v>
      </c>
      <c r="C14" s="173"/>
      <c r="D14" s="15">
        <f t="shared" si="0"/>
        <v>432</v>
      </c>
      <c r="E14" s="18">
        <f t="shared" si="1"/>
        <v>1860.086465072736</v>
      </c>
      <c r="F14" s="22">
        <f t="shared" si="2"/>
        <v>4.3099999999999996</v>
      </c>
    </row>
    <row r="15" spans="1:6" x14ac:dyDescent="0.2">
      <c r="A15" s="20">
        <v>11</v>
      </c>
      <c r="B15" s="172" t="s">
        <v>10</v>
      </c>
      <c r="C15" s="173"/>
      <c r="D15" s="15">
        <f t="shared" si="0"/>
        <v>56896</v>
      </c>
      <c r="E15" s="18">
        <f t="shared" si="1"/>
        <v>444096.27665920922</v>
      </c>
      <c r="F15" s="22">
        <f t="shared" si="2"/>
        <v>7.81</v>
      </c>
    </row>
    <row r="16" spans="1:6" ht="14.25" customHeight="1" x14ac:dyDescent="0.2">
      <c r="A16" s="20">
        <v>12</v>
      </c>
      <c r="B16" s="172" t="s">
        <v>11</v>
      </c>
      <c r="C16" s="173"/>
      <c r="D16" s="15">
        <f t="shared" si="0"/>
        <v>399728</v>
      </c>
      <c r="E16" s="18">
        <f t="shared" si="1"/>
        <v>3171860.1169226728</v>
      </c>
      <c r="F16" s="22">
        <f t="shared" si="2"/>
        <v>7.94</v>
      </c>
    </row>
    <row r="17" spans="1:6" x14ac:dyDescent="0.2">
      <c r="A17" s="20">
        <v>13</v>
      </c>
      <c r="B17" s="172" t="s">
        <v>12</v>
      </c>
      <c r="C17" s="173"/>
      <c r="D17" s="15">
        <f t="shared" si="0"/>
        <v>12216</v>
      </c>
      <c r="E17" s="18">
        <f t="shared" si="1"/>
        <v>110545.11170677903</v>
      </c>
      <c r="F17" s="22">
        <f t="shared" si="2"/>
        <v>9.0500000000000007</v>
      </c>
    </row>
    <row r="18" spans="1:6" ht="14.25" customHeight="1" x14ac:dyDescent="0.2">
      <c r="A18" s="20">
        <v>14</v>
      </c>
      <c r="B18" s="172" t="s">
        <v>469</v>
      </c>
      <c r="C18" s="173"/>
      <c r="D18" s="15">
        <f t="shared" si="0"/>
        <v>49688</v>
      </c>
      <c r="E18" s="18">
        <f t="shared" si="1"/>
        <v>785263.38952901412</v>
      </c>
      <c r="F18" s="22">
        <f t="shared" si="2"/>
        <v>15.8</v>
      </c>
    </row>
    <row r="19" spans="1:6" x14ac:dyDescent="0.2">
      <c r="A19" s="20">
        <v>15</v>
      </c>
      <c r="B19" s="172" t="s">
        <v>13</v>
      </c>
      <c r="C19" s="173"/>
      <c r="D19" s="15">
        <f t="shared" si="0"/>
        <v>31456</v>
      </c>
      <c r="E19" s="18">
        <f t="shared" si="1"/>
        <v>635211.85149381473</v>
      </c>
      <c r="F19" s="22">
        <f t="shared" si="2"/>
        <v>20.190000000000001</v>
      </c>
    </row>
    <row r="20" spans="1:6" x14ac:dyDescent="0.2">
      <c r="A20" s="20">
        <v>16</v>
      </c>
      <c r="B20" s="172" t="s">
        <v>14</v>
      </c>
      <c r="C20" s="173"/>
      <c r="D20" s="15">
        <f t="shared" si="0"/>
        <v>140351</v>
      </c>
      <c r="E20" s="18">
        <f t="shared" si="1"/>
        <v>1385895.119119036</v>
      </c>
      <c r="F20" s="22">
        <f t="shared" si="2"/>
        <v>9.8699999999999992</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51248</v>
      </c>
      <c r="E22" s="18">
        <f t="shared" si="1"/>
        <v>522986.36843066569</v>
      </c>
      <c r="F22" s="22">
        <f t="shared" si="2"/>
        <v>10.210000000000001</v>
      </c>
    </row>
    <row r="23" spans="1:6" x14ac:dyDescent="0.2">
      <c r="A23" s="20">
        <v>19</v>
      </c>
      <c r="B23" s="172" t="s">
        <v>17</v>
      </c>
      <c r="C23" s="173"/>
      <c r="D23" s="15">
        <f t="shared" si="0"/>
        <v>220336</v>
      </c>
      <c r="E23" s="18">
        <f t="shared" si="1"/>
        <v>1705463.9892783943</v>
      </c>
      <c r="F23" s="22">
        <f t="shared" si="2"/>
        <v>7.74</v>
      </c>
    </row>
    <row r="24" spans="1:6" x14ac:dyDescent="0.2">
      <c r="A24" s="20">
        <v>20</v>
      </c>
      <c r="B24" s="172" t="s">
        <v>18</v>
      </c>
      <c r="C24" s="173"/>
      <c r="D24" s="15">
        <f t="shared" si="0"/>
        <v>15792</v>
      </c>
      <c r="E24" s="18">
        <f t="shared" si="1"/>
        <v>211651.49411210336</v>
      </c>
      <c r="F24" s="22">
        <f t="shared" si="2"/>
        <v>13.4</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2904</v>
      </c>
      <c r="E26" s="18">
        <f t="shared" si="1"/>
        <v>21710.914570766727</v>
      </c>
      <c r="F26" s="22">
        <f t="shared" si="2"/>
        <v>7.48</v>
      </c>
    </row>
    <row r="27" spans="1:6" x14ac:dyDescent="0.2">
      <c r="A27" s="20">
        <v>23</v>
      </c>
      <c r="B27" s="172" t="s">
        <v>20</v>
      </c>
      <c r="C27" s="173"/>
      <c r="D27" s="15">
        <f t="shared" si="0"/>
        <v>42240</v>
      </c>
      <c r="E27" s="18">
        <f t="shared" si="1"/>
        <v>371018.1210293342</v>
      </c>
      <c r="F27" s="22">
        <f t="shared" si="2"/>
        <v>8.7799999999999994</v>
      </c>
    </row>
    <row r="28" spans="1:6" x14ac:dyDescent="0.2">
      <c r="A28" s="20">
        <v>24</v>
      </c>
      <c r="B28" s="172" t="s">
        <v>21</v>
      </c>
      <c r="C28" s="173"/>
      <c r="D28" s="15">
        <f t="shared" si="0"/>
        <v>64194</v>
      </c>
      <c r="E28" s="18">
        <f t="shared" si="1"/>
        <v>843799.68180296116</v>
      </c>
      <c r="F28" s="22">
        <f t="shared" si="2"/>
        <v>13.14</v>
      </c>
    </row>
    <row r="29" spans="1:6" x14ac:dyDescent="0.2">
      <c r="A29" s="20">
        <v>25</v>
      </c>
      <c r="B29" s="172" t="s">
        <v>22</v>
      </c>
      <c r="C29" s="173"/>
      <c r="D29" s="15">
        <f t="shared" si="0"/>
        <v>536016</v>
      </c>
      <c r="E29" s="18">
        <f t="shared" si="1"/>
        <v>3815383.9506074716</v>
      </c>
      <c r="F29" s="22">
        <f t="shared" si="2"/>
        <v>7.12</v>
      </c>
    </row>
    <row r="30" spans="1:6" x14ac:dyDescent="0.2">
      <c r="A30" s="20">
        <v>26</v>
      </c>
      <c r="B30" s="172" t="s">
        <v>23</v>
      </c>
      <c r="C30" s="173"/>
      <c r="D30" s="15">
        <f t="shared" si="0"/>
        <v>91654</v>
      </c>
      <c r="E30" s="18">
        <f t="shared" si="1"/>
        <v>838199.73349485314</v>
      </c>
      <c r="F30" s="22">
        <f t="shared" si="2"/>
        <v>9.15</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2398055</v>
      </c>
      <c r="E33" s="32">
        <f>SUM(E5:E32)</f>
        <v>20748577.000000004</v>
      </c>
      <c r="F33" s="33">
        <f t="shared" si="2"/>
        <v>8.65</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IF(F3="1",SUMIF(Data!A:A,'50'!$A$2,Data!CU:CU),0)</f>
        <v>9760</v>
      </c>
      <c r="E36" s="16">
        <f>IF(F3="1",SUMIF(Data!$A:$A,'50'!$A$2,Data!IO:IO),0)</f>
        <v>13163</v>
      </c>
      <c r="F36" s="21">
        <f>IF(D36=0,"",ROUND(E36/D36,2))</f>
        <v>1.35</v>
      </c>
    </row>
    <row r="37" spans="1:6" x14ac:dyDescent="0.2">
      <c r="A37" s="20">
        <v>2</v>
      </c>
      <c r="B37" s="172" t="s">
        <v>1</v>
      </c>
      <c r="C37" s="173"/>
      <c r="D37" s="15">
        <f>IF(F3="1",SUMIF(Data!A:A,'50'!$A$2,Data!CV:CV),0)</f>
        <v>16960</v>
      </c>
      <c r="E37" s="18">
        <f>IF(F3="1",SUMIF(Data!$A:$A,'50'!$A$2,Data!IP:IP),0)</f>
        <v>48819</v>
      </c>
      <c r="F37" s="22">
        <f t="shared" ref="F37:F64" si="3">IF(D37=0,"",ROUND(E37/D37,2))</f>
        <v>2.88</v>
      </c>
    </row>
    <row r="38" spans="1:6" ht="14.25" customHeight="1" x14ac:dyDescent="0.2">
      <c r="A38" s="20">
        <v>3</v>
      </c>
      <c r="B38" s="172" t="s">
        <v>2</v>
      </c>
      <c r="C38" s="173"/>
      <c r="D38" s="15">
        <f>IF(F3="1",SUMIF(Data!A:A,'50'!$A$2,Data!CW:CW),0)</f>
        <v>365456</v>
      </c>
      <c r="E38" s="18">
        <f>IF(F3="1",SUMIF(Data!$A:$A,'50'!$A$2,Data!IQ:IQ),0)</f>
        <v>247617</v>
      </c>
      <c r="F38" s="22">
        <f t="shared" si="3"/>
        <v>0.68</v>
      </c>
    </row>
    <row r="39" spans="1:6" ht="14.25" customHeight="1" x14ac:dyDescent="0.2">
      <c r="A39" s="20">
        <v>4</v>
      </c>
      <c r="B39" s="172" t="s">
        <v>3</v>
      </c>
      <c r="C39" s="173"/>
      <c r="D39" s="15">
        <f>IF(F3="1",SUMIF(Data!A:A,'50'!$A$2,Data!CX:CX),0)</f>
        <v>113034</v>
      </c>
      <c r="E39" s="18">
        <f>IF(F3="1",SUMIF(Data!$A:$A,'50'!$A$2,Data!IR:IR),0)</f>
        <v>39789</v>
      </c>
      <c r="F39" s="22">
        <f t="shared" si="3"/>
        <v>0.35</v>
      </c>
    </row>
    <row r="40" spans="1:6" x14ac:dyDescent="0.2">
      <c r="A40" s="20">
        <v>5</v>
      </c>
      <c r="B40" s="172" t="s">
        <v>4</v>
      </c>
      <c r="C40" s="173"/>
      <c r="D40" s="15">
        <f>IF(F3="1",SUMIF(Data!A:A,'50'!$A$2,Data!CY:CY),0)</f>
        <v>0</v>
      </c>
      <c r="E40" s="18">
        <f>IF(F3="1",SUMIF(Data!$A:$A,'50'!$A$2,Data!IS:IS),0)</f>
        <v>0</v>
      </c>
      <c r="F40" s="22" t="str">
        <f t="shared" si="3"/>
        <v/>
      </c>
    </row>
    <row r="41" spans="1:6" x14ac:dyDescent="0.2">
      <c r="A41" s="20">
        <v>6</v>
      </c>
      <c r="B41" s="172" t="s">
        <v>5</v>
      </c>
      <c r="C41" s="173"/>
      <c r="D41" s="15">
        <f>IF(F3="1",SUMIF(Data!A:A,'50'!$A$2,Data!CZ:CZ),0)</f>
        <v>0</v>
      </c>
      <c r="E41" s="18">
        <f>IF(F3="1",SUMIF(Data!$A:$A,'50'!$A$2,Data!IT:IT),0)</f>
        <v>0</v>
      </c>
      <c r="F41" s="22" t="str">
        <f t="shared" si="3"/>
        <v/>
      </c>
    </row>
    <row r="42" spans="1:6" x14ac:dyDescent="0.2">
      <c r="A42" s="20">
        <v>7</v>
      </c>
      <c r="B42" s="172" t="s">
        <v>6</v>
      </c>
      <c r="C42" s="173"/>
      <c r="D42" s="15">
        <f>IF(F3="1",SUMIF(Data!A:A,'50'!$A$2,Data!DA:DA),0)</f>
        <v>79370</v>
      </c>
      <c r="E42" s="18">
        <f>IF(F3="1",SUMIF(Data!$A:$A,'50'!$A$2,Data!IU:IU),0)</f>
        <v>124985</v>
      </c>
      <c r="F42" s="22">
        <f t="shared" si="3"/>
        <v>1.57</v>
      </c>
    </row>
    <row r="43" spans="1:6" x14ac:dyDescent="0.2">
      <c r="A43" s="20">
        <v>8</v>
      </c>
      <c r="B43" s="172" t="s">
        <v>7</v>
      </c>
      <c r="C43" s="173"/>
      <c r="D43" s="15">
        <f>IF(F3="1",SUMIF(Data!A:A,'50'!$A$2,Data!DB:DB),0)</f>
        <v>1056</v>
      </c>
      <c r="E43" s="18">
        <f>IF(F3="1",SUMIF(Data!$A:$A,'50'!$A$2,Data!IV:IV),0)</f>
        <v>0</v>
      </c>
      <c r="F43" s="22">
        <f>IF(43=0,"",ROUND(E43/D43,2))</f>
        <v>0</v>
      </c>
    </row>
    <row r="44" spans="1:6" x14ac:dyDescent="0.2">
      <c r="A44" s="20">
        <v>9</v>
      </c>
      <c r="B44" s="172" t="s">
        <v>8</v>
      </c>
      <c r="C44" s="173"/>
      <c r="D44" s="15">
        <f>IF(F3="1",SUMIF(Data!A:A,'50'!$A$2,Data!DC:DC),0)</f>
        <v>97268</v>
      </c>
      <c r="E44" s="18">
        <f>IF(F3="1",SUMIF(Data!$A:$A,'50'!$A$2,Data!IW:IW),0)</f>
        <v>84508</v>
      </c>
      <c r="F44" s="22">
        <f t="shared" si="3"/>
        <v>0.87</v>
      </c>
    </row>
    <row r="45" spans="1:6" x14ac:dyDescent="0.2">
      <c r="A45" s="20">
        <v>10</v>
      </c>
      <c r="B45" s="172" t="s">
        <v>9</v>
      </c>
      <c r="C45" s="173"/>
      <c r="D45" s="15">
        <f>IF(F3="1",SUMIF(Data!A:A,'50'!$A$2,Data!DD:DD),0)</f>
        <v>432</v>
      </c>
      <c r="E45" s="18">
        <f>IF(F3="1",SUMIF(Data!$A:$A,'50'!$A$2,Data!IX:IX),0)</f>
        <v>0</v>
      </c>
      <c r="F45" s="22">
        <f t="shared" si="3"/>
        <v>0</v>
      </c>
    </row>
    <row r="46" spans="1:6" x14ac:dyDescent="0.2">
      <c r="A46" s="20">
        <v>11</v>
      </c>
      <c r="B46" s="172" t="s">
        <v>10</v>
      </c>
      <c r="C46" s="173"/>
      <c r="D46" s="15">
        <f>IF(F3="1",SUMIF(Data!A:A,'50'!$A$2,Data!DE:DE),0)</f>
        <v>56896</v>
      </c>
      <c r="E46" s="18">
        <f>IF(F3="1",SUMIF(Data!$A:$A,'50'!$A$2,Data!IY:IY),0)</f>
        <v>35195</v>
      </c>
      <c r="F46" s="22">
        <f t="shared" si="3"/>
        <v>0.62</v>
      </c>
    </row>
    <row r="47" spans="1:6" ht="14.25" customHeight="1" x14ac:dyDescent="0.2">
      <c r="A47" s="20">
        <v>12</v>
      </c>
      <c r="B47" s="172" t="s">
        <v>11</v>
      </c>
      <c r="C47" s="173"/>
      <c r="D47" s="15">
        <f>IF(F3="1",SUMIF(Data!A:A,'50'!$A$2,Data!DF:DF),0)</f>
        <v>399728</v>
      </c>
      <c r="E47" s="18">
        <f>IF(F3="1",SUMIF(Data!$A:$A,'50'!$A$2,Data!IZ:IZ),0)</f>
        <v>178537</v>
      </c>
      <c r="F47" s="22">
        <f t="shared" si="3"/>
        <v>0.45</v>
      </c>
    </row>
    <row r="48" spans="1:6" x14ac:dyDescent="0.2">
      <c r="A48" s="20">
        <v>13</v>
      </c>
      <c r="B48" s="172" t="s">
        <v>12</v>
      </c>
      <c r="C48" s="173"/>
      <c r="D48" s="15">
        <f>IF(F3="1",SUMIF(Data!A:A,'50'!$A$2,Data!DG:DG),0)</f>
        <v>12216</v>
      </c>
      <c r="E48" s="18">
        <f>IF(F3="1",SUMIF(Data!$A:$A,'50'!$A$2,Data!JA:JA),0)</f>
        <v>6957</v>
      </c>
      <c r="F48" s="22">
        <f t="shared" si="3"/>
        <v>0.56999999999999995</v>
      </c>
    </row>
    <row r="49" spans="1:6" ht="14.25" customHeight="1" x14ac:dyDescent="0.2">
      <c r="A49" s="20">
        <v>14</v>
      </c>
      <c r="B49" s="172" t="s">
        <v>469</v>
      </c>
      <c r="C49" s="173"/>
      <c r="D49" s="15">
        <f>IF(F3="1",SUMIF(Data!A:A,'50'!$A$2,Data!DH:DH),0)</f>
        <v>49688</v>
      </c>
      <c r="E49" s="18">
        <f>IF(F3="1",SUMIF(Data!$A:$A,'50'!$A$2,Data!JB:JB),0)</f>
        <v>107330</v>
      </c>
      <c r="F49" s="22">
        <f t="shared" si="3"/>
        <v>2.16</v>
      </c>
    </row>
    <row r="50" spans="1:6" x14ac:dyDescent="0.2">
      <c r="A50" s="20">
        <v>15</v>
      </c>
      <c r="B50" s="172" t="s">
        <v>13</v>
      </c>
      <c r="C50" s="173"/>
      <c r="D50" s="15">
        <f>IF(F3="1",SUMIF(Data!A:A,'50'!$A$2,Data!DI:DI),0)</f>
        <v>31456</v>
      </c>
      <c r="E50" s="18">
        <f>IF(F3="1",SUMIF(Data!$A:$A,'50'!$A$2,Data!JC:JC),0)</f>
        <v>187296</v>
      </c>
      <c r="F50" s="22">
        <f t="shared" si="3"/>
        <v>5.95</v>
      </c>
    </row>
    <row r="51" spans="1:6" x14ac:dyDescent="0.2">
      <c r="A51" s="20">
        <v>16</v>
      </c>
      <c r="B51" s="172" t="s">
        <v>14</v>
      </c>
      <c r="C51" s="173"/>
      <c r="D51" s="15">
        <f>IF(F3="1",SUMIF(Data!A:A,'50'!$A$2,Data!DJ:DJ),0)</f>
        <v>140351</v>
      </c>
      <c r="E51" s="18">
        <f>IF(F3="1",SUMIF(Data!$A:$A,'50'!$A$2,Data!JD:JD),0)</f>
        <v>252484</v>
      </c>
      <c r="F51" s="22">
        <f t="shared" si="3"/>
        <v>1.8</v>
      </c>
    </row>
    <row r="52" spans="1:6" x14ac:dyDescent="0.2">
      <c r="A52" s="20">
        <v>17</v>
      </c>
      <c r="B52" s="172" t="s">
        <v>15</v>
      </c>
      <c r="C52" s="173"/>
      <c r="D52" s="15">
        <f>IF(F3="1",SUMIF(Data!A:A,'50'!$A$2,Data!DK:DK),0)</f>
        <v>0</v>
      </c>
      <c r="E52" s="18">
        <f>IF(F3="1",SUMIF(Data!$A:$A,'50'!$A$2,Data!JE:JE),0)</f>
        <v>0</v>
      </c>
      <c r="F52" s="22" t="str">
        <f t="shared" si="3"/>
        <v/>
      </c>
    </row>
    <row r="53" spans="1:6" x14ac:dyDescent="0.2">
      <c r="A53" s="20">
        <v>18</v>
      </c>
      <c r="B53" s="172" t="s">
        <v>16</v>
      </c>
      <c r="C53" s="173"/>
      <c r="D53" s="15">
        <f>IF(F3="1",SUMIF(Data!A:A,'50'!$A$2,Data!DL:DL),0)</f>
        <v>51248</v>
      </c>
      <c r="E53" s="18">
        <f>IF(F3="1",SUMIF(Data!$A:$A,'50'!$A$2,Data!JF:JF),0)</f>
        <v>62080</v>
      </c>
      <c r="F53" s="22">
        <f t="shared" si="3"/>
        <v>1.21</v>
      </c>
    </row>
    <row r="54" spans="1:6" x14ac:dyDescent="0.2">
      <c r="A54" s="20">
        <v>19</v>
      </c>
      <c r="B54" s="172" t="s">
        <v>17</v>
      </c>
      <c r="C54" s="173"/>
      <c r="D54" s="15">
        <f>IF(F3="1",SUMIF(Data!A:A,'50'!$A$2,Data!DM:DM),0)</f>
        <v>220336</v>
      </c>
      <c r="E54" s="18">
        <f>IF(F3="1",SUMIF(Data!$A:$A,'50'!$A$2,Data!JG:JG),0)</f>
        <v>92449</v>
      </c>
      <c r="F54" s="22">
        <f t="shared" si="3"/>
        <v>0.42</v>
      </c>
    </row>
    <row r="55" spans="1:6" x14ac:dyDescent="0.2">
      <c r="A55" s="20">
        <v>20</v>
      </c>
      <c r="B55" s="172" t="s">
        <v>18</v>
      </c>
      <c r="C55" s="173"/>
      <c r="D55" s="15">
        <f>IF(F3="1",SUMIF(Data!A:A,'50'!$A$2,Data!DN:DN),0)</f>
        <v>15792</v>
      </c>
      <c r="E55" s="18">
        <f>IF(F3="1",SUMIF(Data!$A:$A,'50'!$A$2,Data!JH:JH),0)</f>
        <v>31678</v>
      </c>
      <c r="F55" s="22">
        <f t="shared" si="3"/>
        <v>2.0099999999999998</v>
      </c>
    </row>
    <row r="56" spans="1:6" ht="14.25" customHeight="1" x14ac:dyDescent="0.2">
      <c r="A56" s="20">
        <v>21</v>
      </c>
      <c r="B56" s="172" t="s">
        <v>466</v>
      </c>
      <c r="C56" s="173"/>
      <c r="D56" s="15">
        <f>IF(F3="1",SUMIF(Data!A:A,'50'!$A$2,Data!DO:DO),0)</f>
        <v>0</v>
      </c>
      <c r="E56" s="18">
        <f>IF(F3="1",SUMIF(Data!$A:$A,'50'!$A$2,Data!JI:JI),0)</f>
        <v>0</v>
      </c>
      <c r="F56" s="22" t="str">
        <f t="shared" si="3"/>
        <v/>
      </c>
    </row>
    <row r="57" spans="1:6" x14ac:dyDescent="0.2">
      <c r="A57" s="20">
        <v>22</v>
      </c>
      <c r="B57" s="172" t="s">
        <v>19</v>
      </c>
      <c r="C57" s="173"/>
      <c r="D57" s="15">
        <f>IF(F3="1",SUMIF(Data!A:A,'50'!$A$2,Data!DP:DP),0)</f>
        <v>2904</v>
      </c>
      <c r="E57" s="18">
        <f>IF(F3="1",SUMIF(Data!$A:$A,'50'!$A$2,Data!JJ:JJ),0)</f>
        <v>940</v>
      </c>
      <c r="F57" s="22">
        <f t="shared" si="3"/>
        <v>0.32</v>
      </c>
    </row>
    <row r="58" spans="1:6" x14ac:dyDescent="0.2">
      <c r="A58" s="20">
        <v>23</v>
      </c>
      <c r="B58" s="172" t="s">
        <v>20</v>
      </c>
      <c r="C58" s="173"/>
      <c r="D58" s="15">
        <f>IF(F3="1",SUMIF(Data!A:A,'50'!$A$2,Data!DQ:DQ),0)</f>
        <v>42240</v>
      </c>
      <c r="E58" s="18">
        <f>IF(F3="1",SUMIF(Data!$A:$A,'50'!$A$2,Data!JK:JK),0)</f>
        <v>23164</v>
      </c>
      <c r="F58" s="22">
        <f t="shared" si="3"/>
        <v>0.55000000000000004</v>
      </c>
    </row>
    <row r="59" spans="1:6" x14ac:dyDescent="0.2">
      <c r="A59" s="20">
        <v>24</v>
      </c>
      <c r="B59" s="172" t="s">
        <v>21</v>
      </c>
      <c r="C59" s="173"/>
      <c r="D59" s="15">
        <f>IF(F3="1",SUMIF(Data!A:A,'50'!$A$2,Data!DR:DR),0)</f>
        <v>64194</v>
      </c>
      <c r="E59" s="18">
        <f>IF(F3="1",SUMIF(Data!$A:$A,'50'!$A$2,Data!JL:JL),0)</f>
        <v>116464</v>
      </c>
      <c r="F59" s="22">
        <f t="shared" si="3"/>
        <v>1.81</v>
      </c>
    </row>
    <row r="60" spans="1:6" x14ac:dyDescent="0.2">
      <c r="A60" s="20">
        <v>25</v>
      </c>
      <c r="B60" s="172" t="s">
        <v>22</v>
      </c>
      <c r="C60" s="173"/>
      <c r="D60" s="15">
        <f>IF(F3="1",SUMIF(Data!A:A,'50'!$A$2,Data!DS:DS),0)</f>
        <v>536016</v>
      </c>
      <c r="E60" s="18">
        <f>IF(F3="1",SUMIF(Data!$A:$A,'50'!$A$2,Data!JM:JM),0)</f>
        <v>222742</v>
      </c>
      <c r="F60" s="22">
        <f t="shared" si="3"/>
        <v>0.42</v>
      </c>
    </row>
    <row r="61" spans="1:6" x14ac:dyDescent="0.2">
      <c r="A61" s="20">
        <v>26</v>
      </c>
      <c r="B61" s="172" t="s">
        <v>23</v>
      </c>
      <c r="C61" s="173"/>
      <c r="D61" s="15">
        <f>IF(F3="1",SUMIF(Data!A:A,'50'!$A$2,Data!DT:DT),0)</f>
        <v>91654</v>
      </c>
      <c r="E61" s="18">
        <f>IF(F3="1",SUMIF(Data!$A:$A,'50'!$A$2,Data!JN:JN),0)</f>
        <v>92443</v>
      </c>
      <c r="F61" s="22">
        <f t="shared" si="3"/>
        <v>1.01</v>
      </c>
    </row>
    <row r="62" spans="1:6" x14ac:dyDescent="0.2">
      <c r="A62" s="20">
        <v>28</v>
      </c>
      <c r="B62" s="172" t="s">
        <v>24</v>
      </c>
      <c r="C62" s="173"/>
      <c r="D62" s="15">
        <f>IF(F3="1",SUMIF(Data!A:A,'50'!$A$2,Data!DV:DV),0)</f>
        <v>0</v>
      </c>
      <c r="E62" s="18">
        <f>IF(F3="1",SUMIF(Data!$A:$A,'50'!$A$2,Data!JP:JP),0)</f>
        <v>0</v>
      </c>
      <c r="F62" s="22" t="str">
        <f t="shared" si="3"/>
        <v/>
      </c>
    </row>
    <row r="63" spans="1:6" ht="15.75" customHeight="1" thickBot="1" x14ac:dyDescent="0.25">
      <c r="A63" s="23">
        <v>29</v>
      </c>
      <c r="B63" s="174" t="s">
        <v>25</v>
      </c>
      <c r="C63" s="175"/>
      <c r="D63" s="24">
        <f>IF(F3="1",SUMIF(Data!A:A,'50'!$A$2,Data!DW:DW),0)</f>
        <v>0</v>
      </c>
      <c r="E63" s="25">
        <f>IF(F3="1",SUMIF(Data!$A:$A,'50'!$A$2,Data!JQ:JQ),0)</f>
        <v>0</v>
      </c>
      <c r="F63" s="26" t="str">
        <f t="shared" si="3"/>
        <v/>
      </c>
    </row>
    <row r="64" spans="1:6" x14ac:dyDescent="0.2">
      <c r="B64" s="31" t="s">
        <v>35</v>
      </c>
      <c r="C64" s="31"/>
      <c r="D64" s="61">
        <f>SUM(D36:D63)</f>
        <v>2398055</v>
      </c>
      <c r="E64" s="32">
        <f>SUM(E36:E63)</f>
        <v>1968640</v>
      </c>
      <c r="F64" s="33">
        <f t="shared" si="3"/>
        <v>0.82</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9760</v>
      </c>
      <c r="E67" s="16">
        <f>IF(F3="1",SUMIF(Data!A:A,'50'!$A$2,Data!DY:DY),0)</f>
        <v>77669</v>
      </c>
      <c r="F67" s="21">
        <f t="shared" ref="F67:F95" si="4">IF(D67=0,"",ROUND(E67/D67,2))</f>
        <v>7.96</v>
      </c>
    </row>
    <row r="68" spans="1:6" x14ac:dyDescent="0.2">
      <c r="A68" s="20">
        <v>2</v>
      </c>
      <c r="B68" s="172" t="s">
        <v>1</v>
      </c>
      <c r="C68" s="173"/>
      <c r="D68" s="15">
        <f t="shared" ref="D68:D94" si="5">D37</f>
        <v>16960</v>
      </c>
      <c r="E68" s="18">
        <f>IF(F3="1",SUMIF(Data!A:A,'50'!$A$2,Data!DZ:DZ),0)</f>
        <v>162033</v>
      </c>
      <c r="F68" s="22">
        <f t="shared" si="4"/>
        <v>9.5500000000000007</v>
      </c>
    </row>
    <row r="69" spans="1:6" ht="14.25" customHeight="1" x14ac:dyDescent="0.2">
      <c r="A69" s="20">
        <v>3</v>
      </c>
      <c r="B69" s="172" t="s">
        <v>2</v>
      </c>
      <c r="C69" s="173"/>
      <c r="D69" s="15">
        <f t="shared" si="5"/>
        <v>365456</v>
      </c>
      <c r="E69" s="18">
        <f>IF(F3="1",SUMIF(Data!A:A,'50'!$A$2,Data!EA:EA),0)</f>
        <v>1089442</v>
      </c>
      <c r="F69" s="22">
        <f t="shared" si="4"/>
        <v>2.98</v>
      </c>
    </row>
    <row r="70" spans="1:6" ht="14.25" customHeight="1" x14ac:dyDescent="0.2">
      <c r="A70" s="20">
        <v>4</v>
      </c>
      <c r="B70" s="172" t="s">
        <v>3</v>
      </c>
      <c r="C70" s="173"/>
      <c r="D70" s="15">
        <f t="shared" si="5"/>
        <v>113034</v>
      </c>
      <c r="E70" s="18">
        <f>IF(F3="1",SUMIF(Data!A:A,'50'!$A$2,Data!EB:EB),0)</f>
        <v>231934</v>
      </c>
      <c r="F70" s="22">
        <f t="shared" si="4"/>
        <v>2.0499999999999998</v>
      </c>
    </row>
    <row r="71" spans="1:6" x14ac:dyDescent="0.2">
      <c r="A71" s="20">
        <v>5</v>
      </c>
      <c r="B71" s="172" t="s">
        <v>4</v>
      </c>
      <c r="C71" s="173"/>
      <c r="D71" s="15">
        <f t="shared" si="5"/>
        <v>0</v>
      </c>
      <c r="E71" s="18">
        <f>IF(F3="1",SUMIF(Data!A:A,'50'!$A$2,Data!EC:EC),0)</f>
        <v>0</v>
      </c>
      <c r="F71" s="22" t="str">
        <f t="shared" si="4"/>
        <v/>
      </c>
    </row>
    <row r="72" spans="1:6" x14ac:dyDescent="0.2">
      <c r="A72" s="20">
        <v>6</v>
      </c>
      <c r="B72" s="172" t="s">
        <v>5</v>
      </c>
      <c r="C72" s="173"/>
      <c r="D72" s="15">
        <f t="shared" si="5"/>
        <v>0</v>
      </c>
      <c r="E72" s="18">
        <f>IF(F3="1",SUMIF(Data!A:A,'50'!$A$2,Data!ED:ED),0)</f>
        <v>0</v>
      </c>
      <c r="F72" s="22" t="str">
        <f t="shared" si="4"/>
        <v/>
      </c>
    </row>
    <row r="73" spans="1:6" x14ac:dyDescent="0.2">
      <c r="A73" s="20">
        <v>7</v>
      </c>
      <c r="B73" s="172" t="s">
        <v>6</v>
      </c>
      <c r="C73" s="173"/>
      <c r="D73" s="15">
        <f t="shared" si="5"/>
        <v>79370</v>
      </c>
      <c r="E73" s="18">
        <f>IF(F3="1",SUMIF(Data!A:A,'50'!$A$2,Data!EE:EE),0)</f>
        <v>415559</v>
      </c>
      <c r="F73" s="22">
        <f t="shared" si="4"/>
        <v>5.24</v>
      </c>
    </row>
    <row r="74" spans="1:6" x14ac:dyDescent="0.2">
      <c r="A74" s="20">
        <v>8</v>
      </c>
      <c r="B74" s="172" t="s">
        <v>7</v>
      </c>
      <c r="C74" s="173"/>
      <c r="D74" s="15">
        <f t="shared" si="5"/>
        <v>1056</v>
      </c>
      <c r="E74" s="18">
        <f>IF(F3="1",SUMIF(Data!A:A,'50'!$A$2,Data!EF:EF),0)</f>
        <v>0</v>
      </c>
      <c r="F74" s="22" t="str">
        <f>IF(E74=0,"",ROUND(E74/D74,2))</f>
        <v/>
      </c>
    </row>
    <row r="75" spans="1:6" x14ac:dyDescent="0.2">
      <c r="A75" s="20">
        <v>9</v>
      </c>
      <c r="B75" s="172" t="s">
        <v>8</v>
      </c>
      <c r="C75" s="173"/>
      <c r="D75" s="15">
        <f t="shared" si="5"/>
        <v>97268</v>
      </c>
      <c r="E75" s="18">
        <f>IF(F3="1",SUMIF(Data!A:A,'50'!$A$2,Data!EG:EG),0)</f>
        <v>407695</v>
      </c>
      <c r="F75" s="22">
        <f t="shared" si="4"/>
        <v>4.1900000000000004</v>
      </c>
    </row>
    <row r="76" spans="1:6" x14ac:dyDescent="0.2">
      <c r="A76" s="20">
        <v>10</v>
      </c>
      <c r="B76" s="172" t="s">
        <v>9</v>
      </c>
      <c r="C76" s="173"/>
      <c r="D76" s="15">
        <f t="shared" si="5"/>
        <v>432</v>
      </c>
      <c r="E76" s="18">
        <f>IF(F3="1",SUMIF(Data!A:A,'50'!$A$2,Data!EH:EH),0)</f>
        <v>0</v>
      </c>
      <c r="F76" s="22">
        <f t="shared" si="4"/>
        <v>0</v>
      </c>
    </row>
    <row r="77" spans="1:6" x14ac:dyDescent="0.2">
      <c r="A77" s="20">
        <v>11</v>
      </c>
      <c r="B77" s="172" t="s">
        <v>10</v>
      </c>
      <c r="C77" s="173"/>
      <c r="D77" s="15">
        <f t="shared" si="5"/>
        <v>56896</v>
      </c>
      <c r="E77" s="18">
        <f>IF(F3="1",SUMIF(Data!A:A,'50'!$A$2,Data!EI:EI),0)</f>
        <v>163921</v>
      </c>
      <c r="F77" s="22">
        <f t="shared" si="4"/>
        <v>2.88</v>
      </c>
    </row>
    <row r="78" spans="1:6" ht="14.25" customHeight="1" x14ac:dyDescent="0.2">
      <c r="A78" s="20">
        <v>12</v>
      </c>
      <c r="B78" s="172" t="s">
        <v>11</v>
      </c>
      <c r="C78" s="173"/>
      <c r="D78" s="15">
        <f t="shared" si="5"/>
        <v>399728</v>
      </c>
      <c r="E78" s="18">
        <f>IF(F3="1",SUMIF(Data!A:A,'50'!$A$2,Data!EJ:EJ),0)</f>
        <v>1272192</v>
      </c>
      <c r="F78" s="22">
        <f t="shared" si="4"/>
        <v>3.18</v>
      </c>
    </row>
    <row r="79" spans="1:6" x14ac:dyDescent="0.2">
      <c r="A79" s="20">
        <v>13</v>
      </c>
      <c r="B79" s="172" t="s">
        <v>12</v>
      </c>
      <c r="C79" s="173"/>
      <c r="D79" s="15">
        <f t="shared" si="5"/>
        <v>12216</v>
      </c>
      <c r="E79" s="18">
        <f>IF(F3="1",SUMIF(Data!A:A,'50'!$A$2,Data!EK:EK),0)</f>
        <v>50989</v>
      </c>
      <c r="F79" s="22">
        <f t="shared" si="4"/>
        <v>4.17</v>
      </c>
    </row>
    <row r="80" spans="1:6" ht="14.25" customHeight="1" x14ac:dyDescent="0.2">
      <c r="A80" s="20">
        <v>14</v>
      </c>
      <c r="B80" s="172" t="s">
        <v>469</v>
      </c>
      <c r="C80" s="173"/>
      <c r="D80" s="15">
        <f t="shared" si="5"/>
        <v>49688</v>
      </c>
      <c r="E80" s="18">
        <f>IF(F3="1",SUMIF(Data!A:A,'50'!$A$2,Data!EL:EL),0)</f>
        <v>463989</v>
      </c>
      <c r="F80" s="22">
        <f t="shared" si="4"/>
        <v>9.34</v>
      </c>
    </row>
    <row r="81" spans="1:6" x14ac:dyDescent="0.2">
      <c r="A81" s="20">
        <v>15</v>
      </c>
      <c r="B81" s="172" t="s">
        <v>13</v>
      </c>
      <c r="C81" s="173"/>
      <c r="D81" s="15">
        <f t="shared" si="5"/>
        <v>31456</v>
      </c>
      <c r="E81" s="18">
        <f>IF(F3="1",SUMIF(Data!A:A,'50'!$A$2,Data!EM:EM),0)</f>
        <v>312474</v>
      </c>
      <c r="F81" s="22">
        <f t="shared" si="4"/>
        <v>9.93</v>
      </c>
    </row>
    <row r="82" spans="1:6" x14ac:dyDescent="0.2">
      <c r="A82" s="20">
        <v>16</v>
      </c>
      <c r="B82" s="172" t="s">
        <v>14</v>
      </c>
      <c r="C82" s="173"/>
      <c r="D82" s="15">
        <f t="shared" si="5"/>
        <v>140351</v>
      </c>
      <c r="E82" s="18">
        <f>IF(F3="1",SUMIF(Data!A:A,'50'!$A$2,Data!EN:EN),0)</f>
        <v>529094</v>
      </c>
      <c r="F82" s="22">
        <f t="shared" si="4"/>
        <v>3.77</v>
      </c>
    </row>
    <row r="83" spans="1:6" x14ac:dyDescent="0.2">
      <c r="A83" s="20">
        <v>17</v>
      </c>
      <c r="B83" s="172" t="s">
        <v>15</v>
      </c>
      <c r="C83" s="173"/>
      <c r="D83" s="15">
        <f t="shared" si="5"/>
        <v>0</v>
      </c>
      <c r="E83" s="18">
        <f>IF(F3="1",SUMIF(Data!A:A,'50'!$A$2,Data!EO:EO),0)</f>
        <v>0</v>
      </c>
      <c r="F83" s="22" t="str">
        <f t="shared" si="4"/>
        <v/>
      </c>
    </row>
    <row r="84" spans="1:6" x14ac:dyDescent="0.2">
      <c r="A84" s="20">
        <v>18</v>
      </c>
      <c r="B84" s="172" t="s">
        <v>16</v>
      </c>
      <c r="C84" s="173"/>
      <c r="D84" s="15">
        <f t="shared" si="5"/>
        <v>51248</v>
      </c>
      <c r="E84" s="18">
        <f>IF(F3="1",SUMIF(Data!A:A,'50'!$A$2,Data!EP:EP),0)</f>
        <v>240245</v>
      </c>
      <c r="F84" s="22">
        <f t="shared" si="4"/>
        <v>4.6900000000000004</v>
      </c>
    </row>
    <row r="85" spans="1:6" x14ac:dyDescent="0.2">
      <c r="A85" s="20">
        <v>19</v>
      </c>
      <c r="B85" s="172" t="s">
        <v>17</v>
      </c>
      <c r="C85" s="173"/>
      <c r="D85" s="15">
        <f t="shared" si="5"/>
        <v>220336</v>
      </c>
      <c r="E85" s="18">
        <f>IF(F3="1",SUMIF(Data!A:A,'50'!$A$2,Data!EQ:EQ),0)</f>
        <v>664302</v>
      </c>
      <c r="F85" s="22">
        <f t="shared" si="4"/>
        <v>3.01</v>
      </c>
    </row>
    <row r="86" spans="1:6" x14ac:dyDescent="0.2">
      <c r="A86" s="20">
        <v>20</v>
      </c>
      <c r="B86" s="172" t="s">
        <v>18</v>
      </c>
      <c r="C86" s="173"/>
      <c r="D86" s="15">
        <f t="shared" si="5"/>
        <v>15792</v>
      </c>
      <c r="E86" s="18">
        <f>IF(F3="1",SUMIF(Data!A:A,'50'!$A$2,Data!ER:ER),0)</f>
        <v>111977</v>
      </c>
      <c r="F86" s="22">
        <f t="shared" si="4"/>
        <v>7.09</v>
      </c>
    </row>
    <row r="87" spans="1:6" ht="14.25" customHeight="1" x14ac:dyDescent="0.2">
      <c r="A87" s="20">
        <v>21</v>
      </c>
      <c r="B87" s="172" t="s">
        <v>466</v>
      </c>
      <c r="C87" s="173"/>
      <c r="D87" s="15">
        <f t="shared" si="5"/>
        <v>0</v>
      </c>
      <c r="E87" s="18">
        <f>IF(F3="1",SUMIF(Data!A:A,'50'!$A$2,Data!ES:ES),0)</f>
        <v>0</v>
      </c>
      <c r="F87" s="22" t="str">
        <f t="shared" si="4"/>
        <v/>
      </c>
    </row>
    <row r="88" spans="1:6" x14ac:dyDescent="0.2">
      <c r="A88" s="20">
        <v>22</v>
      </c>
      <c r="B88" s="172" t="s">
        <v>19</v>
      </c>
      <c r="C88" s="173"/>
      <c r="D88" s="15">
        <f t="shared" si="5"/>
        <v>2904</v>
      </c>
      <c r="E88" s="18">
        <f>IF(F3="1",SUMIF(Data!A:A,'50'!$A$2,Data!ET:ET),0)</f>
        <v>8267</v>
      </c>
      <c r="F88" s="22">
        <f t="shared" si="4"/>
        <v>2.85</v>
      </c>
    </row>
    <row r="89" spans="1:6" x14ac:dyDescent="0.2">
      <c r="A89" s="20">
        <v>23</v>
      </c>
      <c r="B89" s="172" t="s">
        <v>20</v>
      </c>
      <c r="C89" s="173"/>
      <c r="D89" s="15">
        <f t="shared" si="5"/>
        <v>42240</v>
      </c>
      <c r="E89" s="18">
        <f>IF(F3="1",SUMIF(Data!A:A,'50'!$A$2,Data!EU:EU),0)</f>
        <v>165979</v>
      </c>
      <c r="F89" s="22">
        <f t="shared" si="4"/>
        <v>3.93</v>
      </c>
    </row>
    <row r="90" spans="1:6" x14ac:dyDescent="0.2">
      <c r="A90" s="20">
        <v>24</v>
      </c>
      <c r="B90" s="172" t="s">
        <v>21</v>
      </c>
      <c r="C90" s="173"/>
      <c r="D90" s="15">
        <f t="shared" si="5"/>
        <v>64194</v>
      </c>
      <c r="E90" s="18">
        <f>IF(F3="1",SUMIF(Data!A:A,'50'!$A$2,Data!EV:EV),0)</f>
        <v>450932</v>
      </c>
      <c r="F90" s="22">
        <f t="shared" si="4"/>
        <v>7.02</v>
      </c>
    </row>
    <row r="91" spans="1:6" x14ac:dyDescent="0.2">
      <c r="A91" s="20">
        <v>25</v>
      </c>
      <c r="B91" s="172" t="s">
        <v>22</v>
      </c>
      <c r="C91" s="173"/>
      <c r="D91" s="15">
        <f t="shared" si="5"/>
        <v>536016</v>
      </c>
      <c r="E91" s="18">
        <f>IF(F3="1",SUMIF(Data!A:A,'50'!$A$2,Data!EW:EW),0)</f>
        <v>1284688</v>
      </c>
      <c r="F91" s="22">
        <f t="shared" si="4"/>
        <v>2.4</v>
      </c>
    </row>
    <row r="92" spans="1:6" x14ac:dyDescent="0.2">
      <c r="A92" s="20">
        <v>26</v>
      </c>
      <c r="B92" s="172" t="s">
        <v>23</v>
      </c>
      <c r="C92" s="173"/>
      <c r="D92" s="15">
        <f t="shared" si="5"/>
        <v>91654</v>
      </c>
      <c r="E92" s="18">
        <f>IF(F3="1",SUMIF(Data!A:A,'50'!$A$2,Data!EX:EX),0)</f>
        <v>351117</v>
      </c>
      <c r="F92" s="22">
        <f t="shared" si="4"/>
        <v>3.83</v>
      </c>
    </row>
    <row r="93" spans="1:6" x14ac:dyDescent="0.2">
      <c r="A93" s="20">
        <v>28</v>
      </c>
      <c r="B93" s="172" t="s">
        <v>24</v>
      </c>
      <c r="C93" s="173"/>
      <c r="D93" s="15">
        <f t="shared" si="5"/>
        <v>0</v>
      </c>
      <c r="E93" s="18">
        <f>IF(F3="1",SUMIF(Data!A:A,'50'!$A$2,Data!EZ:EZ),0)</f>
        <v>0</v>
      </c>
      <c r="F93" s="22" t="str">
        <f t="shared" si="4"/>
        <v/>
      </c>
    </row>
    <row r="94" spans="1:6" ht="15.75" customHeight="1" thickBot="1" x14ac:dyDescent="0.25">
      <c r="A94" s="23">
        <v>29</v>
      </c>
      <c r="B94" s="174" t="s">
        <v>25</v>
      </c>
      <c r="C94" s="175"/>
      <c r="D94" s="24">
        <f t="shared" si="5"/>
        <v>0</v>
      </c>
      <c r="E94" s="25">
        <f>IF(F3="1",SUMIF(Data!A:A,'50'!$A$2,Data!FA:FA),0)</f>
        <v>0</v>
      </c>
      <c r="F94" s="26" t="str">
        <f t="shared" si="4"/>
        <v/>
      </c>
    </row>
    <row r="95" spans="1:6" x14ac:dyDescent="0.2">
      <c r="B95" s="31" t="s">
        <v>35</v>
      </c>
      <c r="C95" s="31"/>
      <c r="D95" s="61">
        <f>SUM(D67:D94)</f>
        <v>2398055</v>
      </c>
      <c r="E95" s="32">
        <f>SUM(E67:E94)</f>
        <v>8454498</v>
      </c>
      <c r="F95" s="33">
        <f t="shared" si="4"/>
        <v>3.53</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IF(F3="1",SUMIF(Data!A:A,'50'!$A$2,Data!AH:AH),0)</f>
        <v>4797963</v>
      </c>
      <c r="F98" s="21">
        <f>IF($D$105=0,"",ROUND(E98/$D$105,2))</f>
        <v>2</v>
      </c>
    </row>
    <row r="99" spans="2:6" x14ac:dyDescent="0.2">
      <c r="B99" s="178" t="s">
        <v>31</v>
      </c>
      <c r="C99" s="179"/>
      <c r="D99" s="37"/>
      <c r="E99" s="18">
        <f>IF(F3="1",SUMIF(Data!A:A,'50'!$A$2,Data!AI:AI),0)</f>
        <v>1554260</v>
      </c>
      <c r="F99" s="22">
        <f t="shared" ref="F99:F105" si="6">IF($D$105=0,"",ROUND(E99/$D$105,2))</f>
        <v>0.65</v>
      </c>
    </row>
    <row r="100" spans="2:6" x14ac:dyDescent="0.2">
      <c r="B100" s="178" t="s">
        <v>32</v>
      </c>
      <c r="C100" s="179"/>
      <c r="D100" s="37"/>
      <c r="E100" s="18">
        <f>IF(F3="1",SUMIF(Data!A:A,'50'!$A$2,Data!AJ:AJ),0)</f>
        <v>2189234</v>
      </c>
      <c r="F100" s="22">
        <f t="shared" si="6"/>
        <v>0.91</v>
      </c>
    </row>
    <row r="101" spans="2:6" x14ac:dyDescent="0.2">
      <c r="B101" s="178" t="s">
        <v>28</v>
      </c>
      <c r="C101" s="179"/>
      <c r="D101" s="37"/>
      <c r="E101" s="18">
        <f>IF(F3="1",SUMIF(Data!A:A,'50'!$A$2,Data!AK:AK),0)</f>
        <v>0</v>
      </c>
      <c r="F101" s="22">
        <f t="shared" si="6"/>
        <v>0</v>
      </c>
    </row>
    <row r="102" spans="2:6" x14ac:dyDescent="0.2">
      <c r="B102" s="178" t="s">
        <v>33</v>
      </c>
      <c r="C102" s="179"/>
      <c r="D102" s="37"/>
      <c r="E102" s="18">
        <f>IF(F3="1",SUMIF(Data!A:A,'50'!$A$2,Data!AL:AL),0)</f>
        <v>570364</v>
      </c>
      <c r="F102" s="22">
        <f t="shared" si="6"/>
        <v>0.24</v>
      </c>
    </row>
    <row r="103" spans="2:6" x14ac:dyDescent="0.2">
      <c r="B103" s="180" t="s">
        <v>34</v>
      </c>
      <c r="C103" s="181"/>
      <c r="D103" s="37"/>
      <c r="E103" s="18">
        <f>IF(F3="1",SUMIF(Data!A:A,'50'!$A$2,Data!AM:AM),0)</f>
        <v>590110</v>
      </c>
      <c r="F103" s="22">
        <f t="shared" si="6"/>
        <v>0.25</v>
      </c>
    </row>
    <row r="104" spans="2:6" ht="15.75" customHeight="1" thickBot="1" x14ac:dyDescent="0.25">
      <c r="B104" s="170" t="s">
        <v>29</v>
      </c>
      <c r="C104" s="171"/>
      <c r="D104" s="38"/>
      <c r="E104" s="25">
        <f>IF(F3="1",SUMIF(Data!A:A,'50'!$A$2,Data!Q:Q),0)</f>
        <v>623508</v>
      </c>
      <c r="F104" s="26">
        <f t="shared" si="6"/>
        <v>0.26</v>
      </c>
    </row>
    <row r="105" spans="2:6" x14ac:dyDescent="0.2">
      <c r="B105" s="31" t="s">
        <v>35</v>
      </c>
      <c r="C105" s="31"/>
      <c r="D105" s="35">
        <f>D95</f>
        <v>2398055</v>
      </c>
      <c r="E105" s="32">
        <f>SUM(E98:E104)</f>
        <v>10325439</v>
      </c>
      <c r="F105" s="33">
        <f t="shared" si="6"/>
        <v>4.3099999999999996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8563747</v>
      </c>
      <c r="D109" s="16">
        <f>IF(F3="1",SUMIF(Data!$A:$A,$A$2,Data!HJ:HJ),0)</f>
        <v>982496</v>
      </c>
      <c r="E109" s="16">
        <f>IF(F3="1",SUMIF(Data!$A:$A,$A$2,Data!IN:IN),0)</f>
        <v>915410</v>
      </c>
      <c r="F109" s="48">
        <f>SUM(C109:E109)</f>
        <v>10461653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481702</v>
      </c>
      <c r="D111" s="52"/>
      <c r="E111" s="51">
        <f>IF(F3="1",SUMIF(Data!A:A,$A$2,Data!AX:AX),0)</f>
        <v>235169</v>
      </c>
      <c r="F111" s="49">
        <f t="shared" si="7"/>
        <v>716871</v>
      </c>
    </row>
    <row r="112" spans="2:6" x14ac:dyDescent="0.2">
      <c r="B112" s="43" t="s">
        <v>32</v>
      </c>
      <c r="C112" s="51">
        <f>IF(F3="1",SUMIF(Data!A:A,$A$2,Data!V:V),0)</f>
        <v>1523847</v>
      </c>
      <c r="D112" s="52"/>
      <c r="E112" s="51">
        <f>IF(F3="1",SUMIF(Data!A:A,$A$2,Data!AC:AC),0)</f>
        <v>665387</v>
      </c>
      <c r="F112" s="49">
        <f t="shared" si="7"/>
        <v>2189234</v>
      </c>
    </row>
    <row r="113" spans="1:6" x14ac:dyDescent="0.2">
      <c r="B113" s="43" t="s">
        <v>31</v>
      </c>
      <c r="C113" s="51">
        <f>IF(F3="1",SUMIF(Data!A:A,$A$2,Data!U:U),0)</f>
        <v>1372347</v>
      </c>
      <c r="D113" s="52"/>
      <c r="E113" s="51">
        <f>IF(F3="1",SUMIF(Data!A:A,$A$2,Data!AB:AB),0)</f>
        <v>181913</v>
      </c>
      <c r="F113" s="49">
        <f t="shared" si="7"/>
        <v>1554260</v>
      </c>
    </row>
    <row r="114" spans="1:6" x14ac:dyDescent="0.2">
      <c r="B114" s="43" t="s">
        <v>1021</v>
      </c>
      <c r="C114" s="51">
        <f>IF(F3="1",SUMIF(Data!A:A,$A$2,Data!T:T),0)</f>
        <v>2471743</v>
      </c>
      <c r="D114" s="52"/>
      <c r="E114" s="51">
        <f>IF(F3="1",SUMIF(Data!A:A,$A$2,Data!AA:AA),0)</f>
        <v>2326220</v>
      </c>
      <c r="F114" s="49">
        <f t="shared" si="7"/>
        <v>4797963</v>
      </c>
    </row>
    <row r="115" spans="1:6" x14ac:dyDescent="0.2">
      <c r="B115" s="43" t="s">
        <v>937</v>
      </c>
      <c r="C115" s="51">
        <f>IF(F3="1",SUMIF(Data!A:A,$A$2,Data!BI:BI),0)</f>
        <v>1140261</v>
      </c>
      <c r="D115" s="51">
        <f>IF(F3="1",SUMIF(Data!A:A,$A$2,Data!BL:BL),0)</f>
        <v>128062</v>
      </c>
      <c r="E115" s="51">
        <f>IF(F3="1",SUMIF(Data!A:A,$A$2,Data!BU:BU),0)</f>
        <v>2824679</v>
      </c>
      <c r="F115" s="49">
        <f t="shared" si="7"/>
        <v>4093002</v>
      </c>
    </row>
    <row r="116" spans="1:6" x14ac:dyDescent="0.2">
      <c r="B116" s="43" t="s">
        <v>33</v>
      </c>
      <c r="C116" s="51">
        <f>IF(F3="1",SUMIF(Data!A:A,$A$2,Data!X:X),0)</f>
        <v>0</v>
      </c>
      <c r="D116" s="51"/>
      <c r="E116" s="51">
        <f>E102</f>
        <v>570364</v>
      </c>
      <c r="F116" s="49">
        <f t="shared" si="7"/>
        <v>570364</v>
      </c>
    </row>
    <row r="117" spans="1:6" ht="15" thickBot="1" x14ac:dyDescent="0.25">
      <c r="B117" s="44" t="s">
        <v>941</v>
      </c>
      <c r="C117" s="53"/>
      <c r="D117" s="53">
        <f>IF(F3="1",SUMIF(Data!A:A,$A$2,Data!Q:Q),0)</f>
        <v>623508</v>
      </c>
      <c r="E117" s="53"/>
      <c r="F117" s="50">
        <f>SUM(C117:E117)</f>
        <v>623508</v>
      </c>
    </row>
    <row r="118" spans="1:6" x14ac:dyDescent="0.2">
      <c r="B118" s="14" t="s">
        <v>35</v>
      </c>
      <c r="C118" s="5">
        <f>SUM(C109:C116)</f>
        <v>15553647</v>
      </c>
      <c r="D118" s="5">
        <f>SUM(D109:D116)</f>
        <v>1110558</v>
      </c>
      <c r="E118" s="5">
        <f>SUM(E109:E116)</f>
        <v>7719142</v>
      </c>
      <c r="F118" s="5">
        <f>SUM(F109:F116)</f>
        <v>24383347</v>
      </c>
    </row>
    <row r="119" spans="1:6" ht="15" thickBot="1" x14ac:dyDescent="0.25"/>
    <row r="120" spans="1:6" ht="15" thickBot="1" x14ac:dyDescent="0.25">
      <c r="B120" s="57" t="s">
        <v>942</v>
      </c>
      <c r="C120" s="55"/>
      <c r="D120" s="55"/>
      <c r="E120" s="55">
        <f>IF(F3="1",SUMIF(Data!A:A,'50'!$A$2,Data!AM:AM),0)</f>
        <v>590110</v>
      </c>
      <c r="F120" s="56">
        <f>SUM(C120:E120)</f>
        <v>590110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3.42578125" style="11" bestFit="1" customWidth="1"/>
    <col min="13" max="13" width="12.1406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430</v>
      </c>
      <c r="B2" s="60" t="str">
        <f>VLOOKUP(A2,Data!A:G,7,0)</f>
        <v>Texas State Technical College-Harlingen</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33280</v>
      </c>
      <c r="E5" s="16">
        <f>E36+E67+IFERROR($E$105/$D$105*D5,0)</f>
        <v>363543.52072035812</v>
      </c>
      <c r="F5" s="21">
        <f>IF(OR(D5=0,E5=0),"",ROUND(E5/D5,2))</f>
        <v>10.92</v>
      </c>
    </row>
    <row r="6" spans="1:6" x14ac:dyDescent="0.2">
      <c r="A6" s="20">
        <v>2</v>
      </c>
      <c r="B6" s="172" t="s">
        <v>1</v>
      </c>
      <c r="C6" s="173"/>
      <c r="D6" s="15">
        <f t="shared" ref="D6:D32" si="0">D37</f>
        <v>94720</v>
      </c>
      <c r="E6" s="18">
        <f t="shared" ref="E6:E32" si="1">E37+E68+IFERROR($E$105/$D$105*D6,0)</f>
        <v>1109564.1743579423</v>
      </c>
      <c r="F6" s="22">
        <f t="shared" ref="F6:F33" si="2">IF(OR(D6=0,E6=0),"",ROUND(E6/D6,2))</f>
        <v>11.71</v>
      </c>
    </row>
    <row r="7" spans="1:6" ht="14.25" customHeight="1" x14ac:dyDescent="0.2">
      <c r="A7" s="20">
        <v>3</v>
      </c>
      <c r="B7" s="172" t="s">
        <v>2</v>
      </c>
      <c r="C7" s="173"/>
      <c r="D7" s="15">
        <f t="shared" si="0"/>
        <v>262816</v>
      </c>
      <c r="E7" s="18">
        <f t="shared" si="1"/>
        <v>1704231.0814195205</v>
      </c>
      <c r="F7" s="22">
        <f t="shared" si="2"/>
        <v>6.48</v>
      </c>
    </row>
    <row r="8" spans="1:6" ht="14.25" customHeight="1" x14ac:dyDescent="0.2">
      <c r="A8" s="20">
        <v>4</v>
      </c>
      <c r="B8" s="172" t="s">
        <v>3</v>
      </c>
      <c r="C8" s="173"/>
      <c r="D8" s="15">
        <f t="shared" si="0"/>
        <v>186680</v>
      </c>
      <c r="E8" s="18">
        <f t="shared" si="1"/>
        <v>1023733.6709157589</v>
      </c>
      <c r="F8" s="22">
        <f t="shared" si="2"/>
        <v>5.48</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44224</v>
      </c>
      <c r="E10" s="18">
        <f t="shared" si="1"/>
        <v>517265.79964955279</v>
      </c>
      <c r="F10" s="22">
        <f t="shared" si="2"/>
        <v>11.7</v>
      </c>
    </row>
    <row r="11" spans="1:6" x14ac:dyDescent="0.2">
      <c r="A11" s="20">
        <v>7</v>
      </c>
      <c r="B11" s="172" t="s">
        <v>6</v>
      </c>
      <c r="C11" s="173"/>
      <c r="D11" s="15">
        <f t="shared" si="0"/>
        <v>96056</v>
      </c>
      <c r="E11" s="18">
        <f t="shared" si="1"/>
        <v>1163894.6068003222</v>
      </c>
      <c r="F11" s="22">
        <f t="shared" si="2"/>
        <v>12.12</v>
      </c>
    </row>
    <row r="12" spans="1:6" x14ac:dyDescent="0.2">
      <c r="A12" s="20">
        <v>8</v>
      </c>
      <c r="B12" s="172" t="s">
        <v>7</v>
      </c>
      <c r="C12" s="173"/>
      <c r="D12" s="15">
        <f t="shared" si="0"/>
        <v>16960</v>
      </c>
      <c r="E12" s="18">
        <f t="shared" si="1"/>
        <v>263180.03459787479</v>
      </c>
      <c r="F12" s="22">
        <f t="shared" si="2"/>
        <v>15.52</v>
      </c>
    </row>
    <row r="13" spans="1:6" x14ac:dyDescent="0.2">
      <c r="A13" s="20">
        <v>9</v>
      </c>
      <c r="B13" s="172" t="s">
        <v>8</v>
      </c>
      <c r="C13" s="173"/>
      <c r="D13" s="15">
        <f t="shared" si="0"/>
        <v>127621</v>
      </c>
      <c r="E13" s="18">
        <f t="shared" si="1"/>
        <v>1037120.1030905296</v>
      </c>
      <c r="F13" s="22">
        <f t="shared" si="2"/>
        <v>8.1300000000000008</v>
      </c>
    </row>
    <row r="14" spans="1:6" x14ac:dyDescent="0.2">
      <c r="A14" s="20">
        <v>10</v>
      </c>
      <c r="B14" s="172" t="s">
        <v>9</v>
      </c>
      <c r="C14" s="173"/>
      <c r="D14" s="15">
        <f t="shared" si="0"/>
        <v>432</v>
      </c>
      <c r="E14" s="18">
        <f t="shared" si="1"/>
        <v>1688.4452208892642</v>
      </c>
      <c r="F14" s="22">
        <f t="shared" si="2"/>
        <v>3.91</v>
      </c>
    </row>
    <row r="15" spans="1:6" x14ac:dyDescent="0.2">
      <c r="A15" s="20">
        <v>11</v>
      </c>
      <c r="B15" s="172" t="s">
        <v>10</v>
      </c>
      <c r="C15" s="173"/>
      <c r="D15" s="15">
        <f t="shared" si="0"/>
        <v>194296</v>
      </c>
      <c r="E15" s="18">
        <f t="shared" si="1"/>
        <v>1595269.2977729179</v>
      </c>
      <c r="F15" s="22">
        <f t="shared" si="2"/>
        <v>8.2100000000000009</v>
      </c>
    </row>
    <row r="16" spans="1:6" ht="14.25" customHeight="1" x14ac:dyDescent="0.2">
      <c r="A16" s="20">
        <v>12</v>
      </c>
      <c r="B16" s="172" t="s">
        <v>11</v>
      </c>
      <c r="C16" s="173"/>
      <c r="D16" s="15">
        <f t="shared" si="0"/>
        <v>327065</v>
      </c>
      <c r="E16" s="18">
        <f t="shared" si="1"/>
        <v>2203161.9564123778</v>
      </c>
      <c r="F16" s="22">
        <f t="shared" si="2"/>
        <v>6.74</v>
      </c>
    </row>
    <row r="17" spans="1:6" x14ac:dyDescent="0.2">
      <c r="A17" s="20">
        <v>13</v>
      </c>
      <c r="B17" s="172" t="s">
        <v>12</v>
      </c>
      <c r="C17" s="173"/>
      <c r="D17" s="15">
        <f t="shared" si="0"/>
        <v>71396</v>
      </c>
      <c r="E17" s="18">
        <f t="shared" si="1"/>
        <v>438968.44210789329</v>
      </c>
      <c r="F17" s="22">
        <f t="shared" si="2"/>
        <v>6.15</v>
      </c>
    </row>
    <row r="18" spans="1:6" ht="14.25" customHeight="1" x14ac:dyDescent="0.2">
      <c r="A18" s="20">
        <v>14</v>
      </c>
      <c r="B18" s="172" t="s">
        <v>469</v>
      </c>
      <c r="C18" s="173"/>
      <c r="D18" s="15">
        <f t="shared" si="0"/>
        <v>38736</v>
      </c>
      <c r="E18" s="18">
        <f t="shared" si="1"/>
        <v>283134.92147307069</v>
      </c>
      <c r="F18" s="22">
        <f t="shared" si="2"/>
        <v>7.31</v>
      </c>
    </row>
    <row r="19" spans="1:6" x14ac:dyDescent="0.2">
      <c r="A19" s="20">
        <v>15</v>
      </c>
      <c r="B19" s="172" t="s">
        <v>13</v>
      </c>
      <c r="C19" s="173"/>
      <c r="D19" s="15">
        <f t="shared" si="0"/>
        <v>44644</v>
      </c>
      <c r="E19" s="18">
        <f t="shared" si="1"/>
        <v>556607.31583652855</v>
      </c>
      <c r="F19" s="22">
        <f t="shared" si="2"/>
        <v>12.47</v>
      </c>
    </row>
    <row r="20" spans="1:6" x14ac:dyDescent="0.2">
      <c r="A20" s="20">
        <v>16</v>
      </c>
      <c r="B20" s="172" t="s">
        <v>14</v>
      </c>
      <c r="C20" s="173"/>
      <c r="D20" s="15">
        <f t="shared" si="0"/>
        <v>187497</v>
      </c>
      <c r="E20" s="18">
        <f t="shared" si="1"/>
        <v>2068674.6726413758</v>
      </c>
      <c r="F20" s="22">
        <f t="shared" si="2"/>
        <v>11.03</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247040</v>
      </c>
      <c r="E23" s="18">
        <f t="shared" si="1"/>
        <v>1975945.7115011201</v>
      </c>
      <c r="F23" s="22">
        <f t="shared" si="2"/>
        <v>8</v>
      </c>
    </row>
    <row r="24" spans="1:6" x14ac:dyDescent="0.2">
      <c r="A24" s="20">
        <v>20</v>
      </c>
      <c r="B24" s="172" t="s">
        <v>18</v>
      </c>
      <c r="C24" s="173"/>
      <c r="D24" s="15">
        <f t="shared" si="0"/>
        <v>130704</v>
      </c>
      <c r="E24" s="18">
        <f t="shared" si="1"/>
        <v>1050101.0373868295</v>
      </c>
      <c r="F24" s="22">
        <f t="shared" si="2"/>
        <v>8.0299999999999994</v>
      </c>
    </row>
    <row r="25" spans="1:6" ht="14.25" customHeight="1" x14ac:dyDescent="0.2">
      <c r="A25" s="20">
        <v>21</v>
      </c>
      <c r="B25" s="172" t="s">
        <v>466</v>
      </c>
      <c r="C25" s="173"/>
      <c r="D25" s="15">
        <f t="shared" si="0"/>
        <v>71528</v>
      </c>
      <c r="E25" s="18">
        <f t="shared" si="1"/>
        <v>470634.6614809428</v>
      </c>
      <c r="F25" s="22">
        <f t="shared" si="2"/>
        <v>6.58</v>
      </c>
    </row>
    <row r="26" spans="1:6" x14ac:dyDescent="0.2">
      <c r="A26" s="20">
        <v>22</v>
      </c>
      <c r="B26" s="172" t="s">
        <v>19</v>
      </c>
      <c r="C26" s="173"/>
      <c r="D26" s="15">
        <f t="shared" si="0"/>
        <v>82032</v>
      </c>
      <c r="E26" s="18">
        <f t="shared" si="1"/>
        <v>345750.87583330582</v>
      </c>
      <c r="F26" s="22">
        <f t="shared" si="2"/>
        <v>4.21</v>
      </c>
    </row>
    <row r="27" spans="1:6" x14ac:dyDescent="0.2">
      <c r="A27" s="20">
        <v>23</v>
      </c>
      <c r="B27" s="172" t="s">
        <v>20</v>
      </c>
      <c r="C27" s="173"/>
      <c r="D27" s="15">
        <f t="shared" si="0"/>
        <v>6480</v>
      </c>
      <c r="E27" s="18">
        <f t="shared" si="1"/>
        <v>25325.678313338962</v>
      </c>
      <c r="F27" s="22">
        <f t="shared" si="2"/>
        <v>3.91</v>
      </c>
    </row>
    <row r="28" spans="1:6" x14ac:dyDescent="0.2">
      <c r="A28" s="20">
        <v>24</v>
      </c>
      <c r="B28" s="172" t="s">
        <v>21</v>
      </c>
      <c r="C28" s="173"/>
      <c r="D28" s="15">
        <f t="shared" si="0"/>
        <v>98680</v>
      </c>
      <c r="E28" s="18">
        <f t="shared" si="1"/>
        <v>600227.75554942735</v>
      </c>
      <c r="F28" s="22">
        <f t="shared" si="2"/>
        <v>6.08</v>
      </c>
    </row>
    <row r="29" spans="1:6" x14ac:dyDescent="0.2">
      <c r="A29" s="20">
        <v>25</v>
      </c>
      <c r="B29" s="172" t="s">
        <v>22</v>
      </c>
      <c r="C29" s="173"/>
      <c r="D29" s="15">
        <f t="shared" si="0"/>
        <v>338928</v>
      </c>
      <c r="E29" s="18">
        <f t="shared" si="1"/>
        <v>1910745.6338554551</v>
      </c>
      <c r="F29" s="22">
        <f t="shared" si="2"/>
        <v>5.64</v>
      </c>
    </row>
    <row r="30" spans="1:6" x14ac:dyDescent="0.2">
      <c r="A30" s="20">
        <v>26</v>
      </c>
      <c r="B30" s="172" t="s">
        <v>23</v>
      </c>
      <c r="C30" s="173"/>
      <c r="D30" s="15">
        <f t="shared" si="0"/>
        <v>115728</v>
      </c>
      <c r="E30" s="18">
        <f t="shared" si="1"/>
        <v>602815.60306266847</v>
      </c>
      <c r="F30" s="22">
        <f t="shared" si="2"/>
        <v>5.21</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2817543</v>
      </c>
      <c r="E33" s="32">
        <f>SUM(E5:E32)</f>
        <v>21311585</v>
      </c>
      <c r="F33" s="33">
        <f t="shared" si="2"/>
        <v>7.56</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IF(F3="1",SUMIF(Data!A:A,'51'!$A$2,Data!CU:CU),0)</f>
        <v>33280</v>
      </c>
      <c r="E36" s="16">
        <f>IF(F3="1",SUMIF(Data!$A:$A,'51'!$A$2,Data!IO:IO),0)</f>
        <v>183980</v>
      </c>
      <c r="F36" s="21">
        <f>IF(D36=0,"",ROUND(E36/D36,2))</f>
        <v>5.53</v>
      </c>
    </row>
    <row r="37" spans="1:6" x14ac:dyDescent="0.2">
      <c r="A37" s="20">
        <v>2</v>
      </c>
      <c r="B37" s="172" t="s">
        <v>1</v>
      </c>
      <c r="C37" s="173"/>
      <c r="D37" s="15">
        <f>IF(F3="1",SUMIF(Data!A:A,'51'!$A$2,Data!CV:CV),0)</f>
        <v>94720</v>
      </c>
      <c r="E37" s="18">
        <f>IF(F3="1",SUMIF(Data!$A:$A,'51'!$A$2,Data!IP:IP),0)</f>
        <v>353376</v>
      </c>
      <c r="F37" s="22">
        <f t="shared" ref="F37:F64" si="3">IF(D37=0,"",ROUND(E37/D37,2))</f>
        <v>3.73</v>
      </c>
    </row>
    <row r="38" spans="1:6" ht="14.25" customHeight="1" x14ac:dyDescent="0.2">
      <c r="A38" s="20">
        <v>3</v>
      </c>
      <c r="B38" s="172" t="s">
        <v>2</v>
      </c>
      <c r="C38" s="173"/>
      <c r="D38" s="15">
        <f>IF(F3="1",SUMIF(Data!A:A,'51'!$A$2,Data!CW:CW),0)</f>
        <v>262816</v>
      </c>
      <c r="E38" s="18">
        <f>IF(F3="1",SUMIF(Data!$A:$A,'51'!$A$2,Data!IQ:IQ),0)</f>
        <v>405422</v>
      </c>
      <c r="F38" s="22">
        <f t="shared" si="3"/>
        <v>1.54</v>
      </c>
    </row>
    <row r="39" spans="1:6" ht="14.25" customHeight="1" x14ac:dyDescent="0.2">
      <c r="A39" s="20">
        <v>4</v>
      </c>
      <c r="B39" s="172" t="s">
        <v>3</v>
      </c>
      <c r="C39" s="173"/>
      <c r="D39" s="15">
        <f>IF(F3="1",SUMIF(Data!A:A,'51'!$A$2,Data!CX:CX),0)</f>
        <v>186680</v>
      </c>
      <c r="E39" s="18">
        <f>IF(F3="1",SUMIF(Data!$A:$A,'51'!$A$2,Data!IR:IR),0)</f>
        <v>254643</v>
      </c>
      <c r="F39" s="22">
        <f t="shared" si="3"/>
        <v>1.36</v>
      </c>
    </row>
    <row r="40" spans="1:6" x14ac:dyDescent="0.2">
      <c r="A40" s="20">
        <v>5</v>
      </c>
      <c r="B40" s="172" t="s">
        <v>4</v>
      </c>
      <c r="C40" s="173"/>
      <c r="D40" s="15">
        <f>IF(F3="1",SUMIF(Data!A:A,'51'!$A$2,Data!CY:CY),0)</f>
        <v>0</v>
      </c>
      <c r="E40" s="18">
        <f>IF(F3="1",SUMIF(Data!$A:$A,'51'!$A$2,Data!IS:IS),0)</f>
        <v>0</v>
      </c>
      <c r="F40" s="22" t="str">
        <f t="shared" si="3"/>
        <v/>
      </c>
    </row>
    <row r="41" spans="1:6" x14ac:dyDescent="0.2">
      <c r="A41" s="20">
        <v>6</v>
      </c>
      <c r="B41" s="172" t="s">
        <v>5</v>
      </c>
      <c r="C41" s="173"/>
      <c r="D41" s="15">
        <f>IF(F3="1",SUMIF(Data!A:A,'51'!$A$2,Data!CZ:CZ),0)</f>
        <v>44224</v>
      </c>
      <c r="E41" s="18">
        <f>IF(F3="1",SUMIF(Data!$A:$A,'51'!$A$2,Data!IT:IT),0)</f>
        <v>71325</v>
      </c>
      <c r="F41" s="22">
        <f t="shared" si="3"/>
        <v>1.61</v>
      </c>
    </row>
    <row r="42" spans="1:6" x14ac:dyDescent="0.2">
      <c r="A42" s="20">
        <v>7</v>
      </c>
      <c r="B42" s="172" t="s">
        <v>6</v>
      </c>
      <c r="C42" s="173"/>
      <c r="D42" s="15">
        <f>IF(F3="1",SUMIF(Data!A:A,'51'!$A$2,Data!DA:DA),0)</f>
        <v>96056</v>
      </c>
      <c r="E42" s="18">
        <f>IF(F3="1",SUMIF(Data!$A:$A,'51'!$A$2,Data!IU:IU),0)</f>
        <v>290934</v>
      </c>
      <c r="F42" s="22">
        <f t="shared" si="3"/>
        <v>3.03</v>
      </c>
    </row>
    <row r="43" spans="1:6" x14ac:dyDescent="0.2">
      <c r="A43" s="20">
        <v>8</v>
      </c>
      <c r="B43" s="172" t="s">
        <v>7</v>
      </c>
      <c r="C43" s="173"/>
      <c r="D43" s="15">
        <f>IF(F3="1",SUMIF(Data!A:A,'51'!$A$2,Data!DB:DB),0)</f>
        <v>16960</v>
      </c>
      <c r="E43" s="18">
        <f>IF(F3="1",SUMIF(Data!$A:$A,'51'!$A$2,Data!IV:IV),0)</f>
        <v>80102</v>
      </c>
      <c r="F43" s="22">
        <f t="shared" si="3"/>
        <v>4.72</v>
      </c>
    </row>
    <row r="44" spans="1:6" x14ac:dyDescent="0.2">
      <c r="A44" s="20">
        <v>9</v>
      </c>
      <c r="B44" s="172" t="s">
        <v>8</v>
      </c>
      <c r="C44" s="173"/>
      <c r="D44" s="15">
        <f>IF(F3="1",SUMIF(Data!A:A,'51'!$A$2,Data!DC:DC),0)</f>
        <v>127621</v>
      </c>
      <c r="E44" s="18">
        <f>IF(F3="1",SUMIF(Data!$A:$A,'51'!$A$2,Data!IW:IW),0)</f>
        <v>333734</v>
      </c>
      <c r="F44" s="22">
        <f t="shared" si="3"/>
        <v>2.62</v>
      </c>
    </row>
    <row r="45" spans="1:6" x14ac:dyDescent="0.2">
      <c r="A45" s="20">
        <v>10</v>
      </c>
      <c r="B45" s="172" t="s">
        <v>9</v>
      </c>
      <c r="C45" s="173"/>
      <c r="D45" s="15">
        <f>IF(F3="1",SUMIF(Data!A:A,'51'!$A$2,Data!DD:DD),0)</f>
        <v>432</v>
      </c>
      <c r="E45" s="18">
        <f>IF(F3="1",SUMIF(Data!$A:$A,'51'!$A$2,Data!IX:IX),0)</f>
        <v>456</v>
      </c>
      <c r="F45" s="22">
        <f t="shared" si="3"/>
        <v>1.06</v>
      </c>
    </row>
    <row r="46" spans="1:6" x14ac:dyDescent="0.2">
      <c r="A46" s="20">
        <v>11</v>
      </c>
      <c r="B46" s="172" t="s">
        <v>10</v>
      </c>
      <c r="C46" s="173"/>
      <c r="D46" s="15">
        <f>IF(F3="1",SUMIF(Data!A:A,'51'!$A$2,Data!DE:DE),0)</f>
        <v>194296</v>
      </c>
      <c r="E46" s="18">
        <f>IF(F3="1",SUMIF(Data!$A:$A,'51'!$A$2,Data!IY:IY),0)</f>
        <v>388597</v>
      </c>
      <c r="F46" s="22">
        <f t="shared" si="3"/>
        <v>2</v>
      </c>
    </row>
    <row r="47" spans="1:6" ht="14.25" customHeight="1" x14ac:dyDescent="0.2">
      <c r="A47" s="20">
        <v>12</v>
      </c>
      <c r="B47" s="172" t="s">
        <v>11</v>
      </c>
      <c r="C47" s="173"/>
      <c r="D47" s="15">
        <f>IF(F3="1",SUMIF(Data!A:A,'51'!$A$2,Data!DF:DF),0)</f>
        <v>327065</v>
      </c>
      <c r="E47" s="18">
        <f>IF(F3="1",SUMIF(Data!$A:$A,'51'!$A$2,Data!IZ:IZ),0)</f>
        <v>618527</v>
      </c>
      <c r="F47" s="22">
        <f t="shared" si="3"/>
        <v>1.89</v>
      </c>
    </row>
    <row r="48" spans="1:6" x14ac:dyDescent="0.2">
      <c r="A48" s="20">
        <v>13</v>
      </c>
      <c r="B48" s="172" t="s">
        <v>12</v>
      </c>
      <c r="C48" s="173"/>
      <c r="D48" s="15">
        <f>IF(F3="1",SUMIF(Data!A:A,'51'!$A$2,Data!DG:DG),0)</f>
        <v>71396</v>
      </c>
      <c r="E48" s="18">
        <f>IF(F3="1",SUMIF(Data!$A:$A,'51'!$A$2,Data!JA:JA),0)</f>
        <v>90097</v>
      </c>
      <c r="F48" s="22">
        <f t="shared" si="3"/>
        <v>1.26</v>
      </c>
    </row>
    <row r="49" spans="1:6" ht="14.25" customHeight="1" x14ac:dyDescent="0.2">
      <c r="A49" s="20">
        <v>14</v>
      </c>
      <c r="B49" s="172" t="s">
        <v>469</v>
      </c>
      <c r="C49" s="173"/>
      <c r="D49" s="15">
        <f>IF(F3="1",SUMIF(Data!A:A,'51'!$A$2,Data!DH:DH),0)</f>
        <v>38736</v>
      </c>
      <c r="E49" s="18">
        <f>IF(F3="1",SUMIF(Data!$A:$A,'51'!$A$2,Data!JB:JB),0)</f>
        <v>59906</v>
      </c>
      <c r="F49" s="22">
        <f t="shared" si="3"/>
        <v>1.55</v>
      </c>
    </row>
    <row r="50" spans="1:6" x14ac:dyDescent="0.2">
      <c r="A50" s="20">
        <v>15</v>
      </c>
      <c r="B50" s="172" t="s">
        <v>13</v>
      </c>
      <c r="C50" s="173"/>
      <c r="D50" s="15">
        <f>IF(F3="1",SUMIF(Data!A:A,'51'!$A$2,Data!DI:DI),0)</f>
        <v>44644</v>
      </c>
      <c r="E50" s="18">
        <f>IF(F3="1",SUMIF(Data!$A:$A,'51'!$A$2,Data!JC:JC),0)</f>
        <v>173851</v>
      </c>
      <c r="F50" s="22">
        <f t="shared" si="3"/>
        <v>3.89</v>
      </c>
    </row>
    <row r="51" spans="1:6" x14ac:dyDescent="0.2">
      <c r="A51" s="20">
        <v>16</v>
      </c>
      <c r="B51" s="172" t="s">
        <v>14</v>
      </c>
      <c r="C51" s="173"/>
      <c r="D51" s="15">
        <f>IF(F3="1",SUMIF(Data!A:A,'51'!$A$2,Data!DJ:DJ),0)</f>
        <v>187497</v>
      </c>
      <c r="E51" s="18">
        <f>IF(F3="1",SUMIF(Data!$A:$A,'51'!$A$2,Data!JD:JD),0)</f>
        <v>629068</v>
      </c>
      <c r="F51" s="22">
        <f t="shared" si="3"/>
        <v>3.36</v>
      </c>
    </row>
    <row r="52" spans="1:6" x14ac:dyDescent="0.2">
      <c r="A52" s="20">
        <v>17</v>
      </c>
      <c r="B52" s="172" t="s">
        <v>15</v>
      </c>
      <c r="C52" s="173"/>
      <c r="D52" s="15">
        <f>IF(F3="1",SUMIF(Data!A:A,'51'!$A$2,Data!DK:DK),0)</f>
        <v>0</v>
      </c>
      <c r="E52" s="18">
        <f>IF(F3="1",SUMIF(Data!$A:$A,'51'!$A$2,Data!JE:JE),0)</f>
        <v>0</v>
      </c>
      <c r="F52" s="22" t="str">
        <f t="shared" si="3"/>
        <v/>
      </c>
    </row>
    <row r="53" spans="1:6" x14ac:dyDescent="0.2">
      <c r="A53" s="20">
        <v>18</v>
      </c>
      <c r="B53" s="172" t="s">
        <v>16</v>
      </c>
      <c r="C53" s="173"/>
      <c r="D53" s="15">
        <f>IF(F3="1",SUMIF(Data!A:A,'51'!$A$2,Data!DL:DL),0)</f>
        <v>0</v>
      </c>
      <c r="E53" s="18">
        <f>IF(F3="1",SUMIF(Data!$A:$A,'51'!$A$2,Data!JF:JF),0)</f>
        <v>0</v>
      </c>
      <c r="F53" s="22" t="str">
        <f t="shared" si="3"/>
        <v/>
      </c>
    </row>
    <row r="54" spans="1:6" x14ac:dyDescent="0.2">
      <c r="A54" s="20">
        <v>19</v>
      </c>
      <c r="B54" s="172" t="s">
        <v>17</v>
      </c>
      <c r="C54" s="173"/>
      <c r="D54" s="15">
        <f>IF(F3="1",SUMIF(Data!A:A,'51'!$A$2,Data!DM:DM),0)</f>
        <v>247040</v>
      </c>
      <c r="E54" s="18">
        <f>IF(F3="1",SUMIF(Data!$A:$A,'51'!$A$2,Data!JG:JG),0)</f>
        <v>409649</v>
      </c>
      <c r="F54" s="22">
        <f t="shared" si="3"/>
        <v>1.66</v>
      </c>
    </row>
    <row r="55" spans="1:6" x14ac:dyDescent="0.2">
      <c r="A55" s="20">
        <v>20</v>
      </c>
      <c r="B55" s="172" t="s">
        <v>18</v>
      </c>
      <c r="C55" s="173"/>
      <c r="D55" s="15">
        <f>IF(F3="1",SUMIF(Data!A:A,'51'!$A$2,Data!DN:DN),0)</f>
        <v>130704</v>
      </c>
      <c r="E55" s="18">
        <f>IF(F3="1",SUMIF(Data!$A:$A,'51'!$A$2,Data!JH:JH),0)</f>
        <v>314134</v>
      </c>
      <c r="F55" s="22">
        <f t="shared" si="3"/>
        <v>2.4</v>
      </c>
    </row>
    <row r="56" spans="1:6" ht="14.25" customHeight="1" x14ac:dyDescent="0.2">
      <c r="A56" s="20">
        <v>21</v>
      </c>
      <c r="B56" s="172" t="s">
        <v>466</v>
      </c>
      <c r="C56" s="173"/>
      <c r="D56" s="15">
        <f>IF(F3="1",SUMIF(Data!A:A,'51'!$A$2,Data!DO:DO),0)</f>
        <v>71528</v>
      </c>
      <c r="E56" s="18">
        <f>IF(F3="1",SUMIF(Data!$A:$A,'51'!$A$2,Data!JI:JI),0)</f>
        <v>129070</v>
      </c>
      <c r="F56" s="22">
        <f t="shared" si="3"/>
        <v>1.8</v>
      </c>
    </row>
    <row r="57" spans="1:6" x14ac:dyDescent="0.2">
      <c r="A57" s="20">
        <v>22</v>
      </c>
      <c r="B57" s="172" t="s">
        <v>19</v>
      </c>
      <c r="C57" s="173"/>
      <c r="D57" s="15">
        <f>IF(F3="1",SUMIF(Data!A:A,'51'!$A$2,Data!DP:DP),0)</f>
        <v>82032</v>
      </c>
      <c r="E57" s="18">
        <f>IF(F3="1",SUMIF(Data!$A:$A,'51'!$A$2,Data!JJ:JJ),0)</f>
        <v>94845</v>
      </c>
      <c r="F57" s="22">
        <f t="shared" si="3"/>
        <v>1.1599999999999999</v>
      </c>
    </row>
    <row r="58" spans="1:6" x14ac:dyDescent="0.2">
      <c r="A58" s="20">
        <v>23</v>
      </c>
      <c r="B58" s="172" t="s">
        <v>20</v>
      </c>
      <c r="C58" s="173"/>
      <c r="D58" s="15">
        <f>IF(F3="1",SUMIF(Data!A:A,'51'!$A$2,Data!DQ:DQ),0)</f>
        <v>6480</v>
      </c>
      <c r="E58" s="18">
        <f>IF(F3="1",SUMIF(Data!$A:$A,'51'!$A$2,Data!JK:JK),0)</f>
        <v>6845</v>
      </c>
      <c r="F58" s="22">
        <f t="shared" si="3"/>
        <v>1.06</v>
      </c>
    </row>
    <row r="59" spans="1:6" x14ac:dyDescent="0.2">
      <c r="A59" s="20">
        <v>24</v>
      </c>
      <c r="B59" s="172" t="s">
        <v>21</v>
      </c>
      <c r="C59" s="173"/>
      <c r="D59" s="15">
        <f>IF(F3="1",SUMIF(Data!A:A,'51'!$A$2,Data!DR:DR),0)</f>
        <v>98680</v>
      </c>
      <c r="E59" s="18">
        <f>IF(F3="1",SUMIF(Data!$A:$A,'51'!$A$2,Data!JL:JL),0)</f>
        <v>230883</v>
      </c>
      <c r="F59" s="22">
        <f t="shared" si="3"/>
        <v>2.34</v>
      </c>
    </row>
    <row r="60" spans="1:6" x14ac:dyDescent="0.2">
      <c r="A60" s="20">
        <v>25</v>
      </c>
      <c r="B60" s="172" t="s">
        <v>22</v>
      </c>
      <c r="C60" s="173"/>
      <c r="D60" s="15">
        <f>IF(F3="1",SUMIF(Data!A:A,'51'!$A$2,Data!DS:DS),0)</f>
        <v>338928</v>
      </c>
      <c r="E60" s="18">
        <f>IF(F3="1",SUMIF(Data!$A:$A,'51'!$A$2,Data!JM:JM),0)</f>
        <v>444781</v>
      </c>
      <c r="F60" s="22">
        <f t="shared" si="3"/>
        <v>1.31</v>
      </c>
    </row>
    <row r="61" spans="1:6" x14ac:dyDescent="0.2">
      <c r="A61" s="20">
        <v>26</v>
      </c>
      <c r="B61" s="172" t="s">
        <v>23</v>
      </c>
      <c r="C61" s="173"/>
      <c r="D61" s="15">
        <f>IF(F3="1",SUMIF(Data!A:A,'51'!$A$2,Data!DT:DT),0)</f>
        <v>115728</v>
      </c>
      <c r="E61" s="18">
        <f>IF(F3="1",SUMIF(Data!$A:$A,'51'!$A$2,Data!JN:JN),0)</f>
        <v>154967</v>
      </c>
      <c r="F61" s="22">
        <f t="shared" si="3"/>
        <v>1.34</v>
      </c>
    </row>
    <row r="62" spans="1:6" x14ac:dyDescent="0.2">
      <c r="A62" s="20">
        <v>28</v>
      </c>
      <c r="B62" s="172" t="s">
        <v>24</v>
      </c>
      <c r="C62" s="173"/>
      <c r="D62" s="15">
        <f>IF(F3="1",SUMIF(Data!A:A,'51'!$A$2,Data!DV:DV),0)</f>
        <v>0</v>
      </c>
      <c r="E62" s="18">
        <f>IF(F3="1",SUMIF(Data!$A:$A,'51'!$A$2,Data!JP:JP),0)</f>
        <v>0</v>
      </c>
      <c r="F62" s="22" t="str">
        <f t="shared" si="3"/>
        <v/>
      </c>
    </row>
    <row r="63" spans="1:6" ht="15.75" customHeight="1" thickBot="1" x14ac:dyDescent="0.25">
      <c r="A63" s="23">
        <v>29</v>
      </c>
      <c r="B63" s="174" t="s">
        <v>25</v>
      </c>
      <c r="C63" s="175"/>
      <c r="D63" s="24">
        <f>IF(F3="1",SUMIF(Data!A:A,'51'!$A$2,Data!DW:DW),0)</f>
        <v>0</v>
      </c>
      <c r="E63" s="25">
        <f>IF(F3="1",SUMIF(Data!$A:$A,'51'!$A$2,Data!JQ:JQ),0)</f>
        <v>0</v>
      </c>
      <c r="F63" s="26" t="str">
        <f t="shared" si="3"/>
        <v/>
      </c>
    </row>
    <row r="64" spans="1:6" x14ac:dyDescent="0.2">
      <c r="B64" s="31" t="s">
        <v>35</v>
      </c>
      <c r="C64" s="31"/>
      <c r="D64" s="61">
        <f>SUM(D36:D63)</f>
        <v>2817543</v>
      </c>
      <c r="E64" s="32">
        <f>SUM(E36:E63)</f>
        <v>5719192</v>
      </c>
      <c r="F64" s="33">
        <f t="shared" si="3"/>
        <v>2.0299999999999998</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33280</v>
      </c>
      <c r="E67" s="16">
        <f>IF(F3="1",SUMIF(Data!A:A,'51'!$A$2,Data!DY:DY),0)</f>
        <v>85467</v>
      </c>
      <c r="F67" s="21">
        <f t="shared" ref="F67:F95" si="4">IF(D67=0,"",ROUND(E67/D67,2))</f>
        <v>2.57</v>
      </c>
    </row>
    <row r="68" spans="1:6" x14ac:dyDescent="0.2">
      <c r="A68" s="20">
        <v>2</v>
      </c>
      <c r="B68" s="172" t="s">
        <v>1</v>
      </c>
      <c r="C68" s="173"/>
      <c r="D68" s="15">
        <f t="shared" ref="D68:D94" si="5">D37</f>
        <v>94720</v>
      </c>
      <c r="E68" s="18">
        <f>IF(F3="1",SUMIF(Data!A:A,'51'!$A$2,Data!DZ:DZ),0)</f>
        <v>488375</v>
      </c>
      <c r="F68" s="22">
        <f t="shared" si="4"/>
        <v>5.16</v>
      </c>
    </row>
    <row r="69" spans="1:6" ht="14.25" customHeight="1" x14ac:dyDescent="0.2">
      <c r="A69" s="20">
        <v>3</v>
      </c>
      <c r="B69" s="172" t="s">
        <v>2</v>
      </c>
      <c r="C69" s="173"/>
      <c r="D69" s="15">
        <f t="shared" si="5"/>
        <v>262816</v>
      </c>
      <c r="E69" s="18">
        <f>IF(F3="1",SUMIF(Data!A:A,'51'!$A$2,Data!EA:EA),0)</f>
        <v>555718</v>
      </c>
      <c r="F69" s="22">
        <f t="shared" si="4"/>
        <v>2.11</v>
      </c>
    </row>
    <row r="70" spans="1:6" ht="14.25" customHeight="1" x14ac:dyDescent="0.2">
      <c r="A70" s="20">
        <v>4</v>
      </c>
      <c r="B70" s="172" t="s">
        <v>3</v>
      </c>
      <c r="C70" s="173"/>
      <c r="D70" s="15">
        <f t="shared" si="5"/>
        <v>186680</v>
      </c>
      <c r="E70" s="18">
        <f>IF(F3="1",SUMIF(Data!A:A,'51'!$A$2,Data!EB:EB),0)</f>
        <v>241268</v>
      </c>
      <c r="F70" s="22">
        <f t="shared" si="4"/>
        <v>1.29</v>
      </c>
    </row>
    <row r="71" spans="1:6" x14ac:dyDescent="0.2">
      <c r="A71" s="20">
        <v>5</v>
      </c>
      <c r="B71" s="172" t="s">
        <v>4</v>
      </c>
      <c r="C71" s="173"/>
      <c r="D71" s="15">
        <f t="shared" si="5"/>
        <v>0</v>
      </c>
      <c r="E71" s="18">
        <f>IF(F3="1",SUMIF(Data!A:A,'51'!$A$2,Data!EC:EC),0)</f>
        <v>0</v>
      </c>
      <c r="F71" s="22" t="str">
        <f t="shared" si="4"/>
        <v/>
      </c>
    </row>
    <row r="72" spans="1:6" x14ac:dyDescent="0.2">
      <c r="A72" s="20">
        <v>6</v>
      </c>
      <c r="B72" s="172" t="s">
        <v>5</v>
      </c>
      <c r="C72" s="173"/>
      <c r="D72" s="15">
        <f t="shared" si="5"/>
        <v>44224</v>
      </c>
      <c r="E72" s="18">
        <f>IF(F3="1",SUMIF(Data!A:A,'51'!$A$2,Data!ED:ED),0)</f>
        <v>320901</v>
      </c>
      <c r="F72" s="22">
        <f t="shared" si="4"/>
        <v>7.26</v>
      </c>
    </row>
    <row r="73" spans="1:6" x14ac:dyDescent="0.2">
      <c r="A73" s="20">
        <v>7</v>
      </c>
      <c r="B73" s="172" t="s">
        <v>6</v>
      </c>
      <c r="C73" s="173"/>
      <c r="D73" s="15">
        <f t="shared" si="5"/>
        <v>96056</v>
      </c>
      <c r="E73" s="18">
        <f>IF(F3="1",SUMIF(Data!A:A,'51'!$A$2,Data!EE:EE),0)</f>
        <v>601370</v>
      </c>
      <c r="F73" s="22">
        <f t="shared" si="4"/>
        <v>6.26</v>
      </c>
    </row>
    <row r="74" spans="1:6" x14ac:dyDescent="0.2">
      <c r="A74" s="20">
        <v>8</v>
      </c>
      <c r="B74" s="172" t="s">
        <v>7</v>
      </c>
      <c r="C74" s="173"/>
      <c r="D74" s="15">
        <f t="shared" si="5"/>
        <v>16960</v>
      </c>
      <c r="E74" s="18">
        <f>IF(F3="1",SUMIF(Data!A:A,'51'!$A$2,Data!EF:EF),0)</f>
        <v>135125</v>
      </c>
      <c r="F74" s="22">
        <f t="shared" si="4"/>
        <v>7.97</v>
      </c>
    </row>
    <row r="75" spans="1:6" x14ac:dyDescent="0.2">
      <c r="A75" s="20">
        <v>9</v>
      </c>
      <c r="B75" s="172" t="s">
        <v>8</v>
      </c>
      <c r="C75" s="173"/>
      <c r="D75" s="15">
        <f t="shared" si="5"/>
        <v>127621</v>
      </c>
      <c r="E75" s="18">
        <f>IF(F3="1",SUMIF(Data!A:A,'51'!$A$2,Data!EG:EG),0)</f>
        <v>342548</v>
      </c>
      <c r="F75" s="22">
        <f t="shared" si="4"/>
        <v>2.68</v>
      </c>
    </row>
    <row r="76" spans="1:6" x14ac:dyDescent="0.2">
      <c r="A76" s="20">
        <v>10</v>
      </c>
      <c r="B76" s="172" t="s">
        <v>9</v>
      </c>
      <c r="C76" s="173"/>
      <c r="D76" s="15">
        <f t="shared" si="5"/>
        <v>432</v>
      </c>
      <c r="E76" s="18">
        <f>IF(F3="1",SUMIF(Data!A:A,'51'!$A$2,Data!EH:EH),0)</f>
        <v>11</v>
      </c>
      <c r="F76" s="22">
        <f t="shared" si="4"/>
        <v>0.03</v>
      </c>
    </row>
    <row r="77" spans="1:6" x14ac:dyDescent="0.2">
      <c r="A77" s="20">
        <v>11</v>
      </c>
      <c r="B77" s="172" t="s">
        <v>10</v>
      </c>
      <c r="C77" s="173"/>
      <c r="D77" s="15">
        <f t="shared" si="5"/>
        <v>194296</v>
      </c>
      <c r="E77" s="18">
        <f>IF(F3="1",SUMIF(Data!A:A,'51'!$A$2,Data!EI:EI),0)</f>
        <v>657316</v>
      </c>
      <c r="F77" s="22">
        <f t="shared" si="4"/>
        <v>3.38</v>
      </c>
    </row>
    <row r="78" spans="1:6" ht="14.25" customHeight="1" x14ac:dyDescent="0.2">
      <c r="A78" s="20">
        <v>12</v>
      </c>
      <c r="B78" s="172" t="s">
        <v>11</v>
      </c>
      <c r="C78" s="173"/>
      <c r="D78" s="15">
        <f t="shared" si="5"/>
        <v>327065</v>
      </c>
      <c r="E78" s="18">
        <f>IF(F3="1",SUMIF(Data!A:A,'51'!$A$2,Data!EJ:EJ),0)</f>
        <v>659885</v>
      </c>
      <c r="F78" s="22">
        <f t="shared" si="4"/>
        <v>2.02</v>
      </c>
    </row>
    <row r="79" spans="1:6" x14ac:dyDescent="0.2">
      <c r="A79" s="20">
        <v>13</v>
      </c>
      <c r="B79" s="172" t="s">
        <v>12</v>
      </c>
      <c r="C79" s="173"/>
      <c r="D79" s="15">
        <f t="shared" si="5"/>
        <v>71396</v>
      </c>
      <c r="E79" s="18">
        <f>IF(F3="1",SUMIF(Data!A:A,'51'!$A$2,Data!EK:EK),0)</f>
        <v>147005</v>
      </c>
      <c r="F79" s="22">
        <f t="shared" si="4"/>
        <v>2.06</v>
      </c>
    </row>
    <row r="80" spans="1:6" ht="14.25" customHeight="1" x14ac:dyDescent="0.2">
      <c r="A80" s="20">
        <v>14</v>
      </c>
      <c r="B80" s="172" t="s">
        <v>469</v>
      </c>
      <c r="C80" s="173"/>
      <c r="D80" s="15">
        <f t="shared" si="5"/>
        <v>38736</v>
      </c>
      <c r="E80" s="18">
        <f>IF(F3="1",SUMIF(Data!A:A,'51'!$A$2,Data!EL:EL),0)</f>
        <v>113706</v>
      </c>
      <c r="F80" s="22">
        <f t="shared" si="4"/>
        <v>2.94</v>
      </c>
    </row>
    <row r="81" spans="1:6" x14ac:dyDescent="0.2">
      <c r="A81" s="20">
        <v>15</v>
      </c>
      <c r="B81" s="172" t="s">
        <v>13</v>
      </c>
      <c r="C81" s="173"/>
      <c r="D81" s="15">
        <f t="shared" si="5"/>
        <v>44644</v>
      </c>
      <c r="E81" s="18">
        <f>IF(F3="1",SUMIF(Data!A:A,'51'!$A$2,Data!EM:EM),0)</f>
        <v>256529</v>
      </c>
      <c r="F81" s="22">
        <f t="shared" si="4"/>
        <v>5.75</v>
      </c>
    </row>
    <row r="82" spans="1:6" x14ac:dyDescent="0.2">
      <c r="A82" s="20">
        <v>16</v>
      </c>
      <c r="B82" s="172" t="s">
        <v>14</v>
      </c>
      <c r="C82" s="173"/>
      <c r="D82" s="15">
        <f t="shared" si="5"/>
        <v>187497</v>
      </c>
      <c r="E82" s="18">
        <f>IF(F3="1",SUMIF(Data!A:A,'51'!$A$2,Data!EN:EN),0)</f>
        <v>909474</v>
      </c>
      <c r="F82" s="22">
        <f t="shared" si="4"/>
        <v>4.8499999999999996</v>
      </c>
    </row>
    <row r="83" spans="1:6" x14ac:dyDescent="0.2">
      <c r="A83" s="20">
        <v>17</v>
      </c>
      <c r="B83" s="172" t="s">
        <v>15</v>
      </c>
      <c r="C83" s="173"/>
      <c r="D83" s="15">
        <f t="shared" si="5"/>
        <v>0</v>
      </c>
      <c r="E83" s="18">
        <f>IF(F3="1",SUMIF(Data!A:A,'51'!$A$2,Data!EO:EO),0)</f>
        <v>0</v>
      </c>
      <c r="F83" s="22" t="str">
        <f t="shared" si="4"/>
        <v/>
      </c>
    </row>
    <row r="84" spans="1:6" x14ac:dyDescent="0.2">
      <c r="A84" s="20">
        <v>18</v>
      </c>
      <c r="B84" s="172" t="s">
        <v>16</v>
      </c>
      <c r="C84" s="173"/>
      <c r="D84" s="15">
        <f t="shared" si="5"/>
        <v>0</v>
      </c>
      <c r="E84" s="18">
        <f>IF(F3="1",SUMIF(Data!A:A,'51'!$A$2,Data!EP:EP),0)</f>
        <v>0</v>
      </c>
      <c r="F84" s="22" t="str">
        <f t="shared" si="4"/>
        <v/>
      </c>
    </row>
    <row r="85" spans="1:6" x14ac:dyDescent="0.2">
      <c r="A85" s="20">
        <v>19</v>
      </c>
      <c r="B85" s="172" t="s">
        <v>17</v>
      </c>
      <c r="C85" s="173"/>
      <c r="D85" s="15">
        <f t="shared" si="5"/>
        <v>247040</v>
      </c>
      <c r="E85" s="18">
        <f>IF(F3="1",SUMIF(Data!A:A,'51'!$A$2,Data!EQ:EQ),0)</f>
        <v>867811</v>
      </c>
      <c r="F85" s="22">
        <f t="shared" si="4"/>
        <v>3.51</v>
      </c>
    </row>
    <row r="86" spans="1:6" x14ac:dyDescent="0.2">
      <c r="A86" s="20">
        <v>20</v>
      </c>
      <c r="B86" s="172" t="s">
        <v>18</v>
      </c>
      <c r="C86" s="173"/>
      <c r="D86" s="15">
        <f t="shared" si="5"/>
        <v>130704</v>
      </c>
      <c r="E86" s="18">
        <f>IF(F3="1",SUMIF(Data!A:A,'51'!$A$2,Data!ER:ER),0)</f>
        <v>366412</v>
      </c>
      <c r="F86" s="22">
        <f t="shared" si="4"/>
        <v>2.8</v>
      </c>
    </row>
    <row r="87" spans="1:6" ht="14.25" customHeight="1" x14ac:dyDescent="0.2">
      <c r="A87" s="20">
        <v>21</v>
      </c>
      <c r="B87" s="172" t="s">
        <v>466</v>
      </c>
      <c r="C87" s="173"/>
      <c r="D87" s="15">
        <f t="shared" si="5"/>
        <v>71528</v>
      </c>
      <c r="E87" s="18">
        <f>IF(F3="1",SUMIF(Data!A:A,'51'!$A$2,Data!ES:ES),0)</f>
        <v>139325</v>
      </c>
      <c r="F87" s="22">
        <f t="shared" si="4"/>
        <v>1.95</v>
      </c>
    </row>
    <row r="88" spans="1:6" x14ac:dyDescent="0.2">
      <c r="A88" s="20">
        <v>22</v>
      </c>
      <c r="B88" s="172" t="s">
        <v>19</v>
      </c>
      <c r="C88" s="173"/>
      <c r="D88" s="15">
        <f t="shared" si="5"/>
        <v>82032</v>
      </c>
      <c r="E88" s="18">
        <f>IF(F3="1",SUMIF(Data!A:A,'51'!$A$2,Data!ET:ET),0)</f>
        <v>18967</v>
      </c>
      <c r="F88" s="22">
        <f t="shared" si="4"/>
        <v>0.23</v>
      </c>
    </row>
    <row r="89" spans="1:6" x14ac:dyDescent="0.2">
      <c r="A89" s="20">
        <v>23</v>
      </c>
      <c r="B89" s="172" t="s">
        <v>20</v>
      </c>
      <c r="C89" s="173"/>
      <c r="D89" s="15">
        <f t="shared" si="5"/>
        <v>6480</v>
      </c>
      <c r="E89" s="18">
        <f>IF(F3="1",SUMIF(Data!A:A,'51'!$A$2,Data!EU:EU),0)</f>
        <v>159</v>
      </c>
      <c r="F89" s="22">
        <f t="shared" si="4"/>
        <v>0.02</v>
      </c>
    </row>
    <row r="90" spans="1:6" x14ac:dyDescent="0.2">
      <c r="A90" s="20">
        <v>24</v>
      </c>
      <c r="B90" s="172" t="s">
        <v>21</v>
      </c>
      <c r="C90" s="173"/>
      <c r="D90" s="15">
        <f t="shared" si="5"/>
        <v>98680</v>
      </c>
      <c r="E90" s="18">
        <f>IF(F3="1",SUMIF(Data!A:A,'51'!$A$2,Data!EV:EV),0)</f>
        <v>90335</v>
      </c>
      <c r="F90" s="22">
        <f t="shared" si="4"/>
        <v>0.92</v>
      </c>
    </row>
    <row r="91" spans="1:6" x14ac:dyDescent="0.2">
      <c r="A91" s="20">
        <v>25</v>
      </c>
      <c r="B91" s="172" t="s">
        <v>22</v>
      </c>
      <c r="C91" s="173"/>
      <c r="D91" s="15">
        <f t="shared" si="5"/>
        <v>338928</v>
      </c>
      <c r="E91" s="18">
        <f>IF(F3="1",SUMIF(Data!A:A,'51'!$A$2,Data!EW:EW),0)</f>
        <v>507673</v>
      </c>
      <c r="F91" s="22">
        <f t="shared" si="4"/>
        <v>1.5</v>
      </c>
    </row>
    <row r="92" spans="1:6" x14ac:dyDescent="0.2">
      <c r="A92" s="20">
        <v>26</v>
      </c>
      <c r="B92" s="172" t="s">
        <v>23</v>
      </c>
      <c r="C92" s="173"/>
      <c r="D92" s="15">
        <f t="shared" si="5"/>
        <v>115728</v>
      </c>
      <c r="E92" s="18">
        <f>IF(F3="1",SUMIF(Data!A:A,'51'!$A$2,Data!EX:EX),0)</f>
        <v>120637</v>
      </c>
      <c r="F92" s="22">
        <f t="shared" si="4"/>
        <v>1.04</v>
      </c>
    </row>
    <row r="93" spans="1:6" x14ac:dyDescent="0.2">
      <c r="A93" s="20">
        <v>28</v>
      </c>
      <c r="B93" s="172" t="s">
        <v>24</v>
      </c>
      <c r="C93" s="173"/>
      <c r="D93" s="15">
        <f t="shared" si="5"/>
        <v>0</v>
      </c>
      <c r="E93" s="18">
        <f>IF(F3="1",SUMIF(Data!A:A,'51'!$A$2,Data!EZ:EZ),0)</f>
        <v>0</v>
      </c>
      <c r="F93" s="22" t="str">
        <f t="shared" si="4"/>
        <v/>
      </c>
    </row>
    <row r="94" spans="1:6" ht="15.75" customHeight="1" thickBot="1" x14ac:dyDescent="0.25">
      <c r="A94" s="23">
        <v>29</v>
      </c>
      <c r="B94" s="174" t="s">
        <v>25</v>
      </c>
      <c r="C94" s="175"/>
      <c r="D94" s="24">
        <f t="shared" si="5"/>
        <v>0</v>
      </c>
      <c r="E94" s="25">
        <f>IF(F3="1",SUMIF(Data!A:A,'51'!$A$2,Data!FA:FA),0)</f>
        <v>0</v>
      </c>
      <c r="F94" s="26" t="str">
        <f t="shared" si="4"/>
        <v/>
      </c>
    </row>
    <row r="95" spans="1:6" x14ac:dyDescent="0.2">
      <c r="B95" s="31" t="s">
        <v>35</v>
      </c>
      <c r="C95" s="31"/>
      <c r="D95" s="61">
        <f>SUM(D67:D94)</f>
        <v>2817543</v>
      </c>
      <c r="E95" s="32">
        <f>SUM(E67:E94)</f>
        <v>7626017</v>
      </c>
      <c r="F95" s="33">
        <f t="shared" si="4"/>
        <v>2.71</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IF(F3="1",SUMIF(Data!A:A,'51'!$A$2,Data!AH:AH),0)</f>
        <v>2789181</v>
      </c>
      <c r="F98" s="21">
        <f>IF($D$105=0,"",ROUND(E98/$D$105,2))</f>
        <v>0.99</v>
      </c>
    </row>
    <row r="99" spans="2:6" x14ac:dyDescent="0.2">
      <c r="B99" s="178" t="s">
        <v>31</v>
      </c>
      <c r="C99" s="179"/>
      <c r="D99" s="37"/>
      <c r="E99" s="18">
        <f>IF(F3="1",SUMIF(Data!A:A,'51'!$A$2,Data!AI:AI),0)</f>
        <v>2337358</v>
      </c>
      <c r="F99" s="22">
        <f t="shared" ref="F99:F105" si="6">IF($D$105=0,"",ROUND(E99/$D$105,2))</f>
        <v>0.83</v>
      </c>
    </row>
    <row r="100" spans="2:6" x14ac:dyDescent="0.2">
      <c r="B100" s="178" t="s">
        <v>32</v>
      </c>
      <c r="C100" s="179"/>
      <c r="D100" s="37"/>
      <c r="E100" s="18">
        <f>IF(F3="1",SUMIF(Data!A:A,'51'!$A$2,Data!AJ:AJ),0)</f>
        <v>1094031</v>
      </c>
      <c r="F100" s="22">
        <f t="shared" si="6"/>
        <v>0.39</v>
      </c>
    </row>
    <row r="101" spans="2:6" x14ac:dyDescent="0.2">
      <c r="B101" s="178" t="s">
        <v>28</v>
      </c>
      <c r="C101" s="179"/>
      <c r="D101" s="37"/>
      <c r="E101" s="18">
        <f>IF(F3="1",SUMIF(Data!A:A,'51'!$A$2,Data!AK:AK),0)</f>
        <v>136998</v>
      </c>
      <c r="F101" s="22">
        <f t="shared" si="6"/>
        <v>0.05</v>
      </c>
    </row>
    <row r="102" spans="2:6" x14ac:dyDescent="0.2">
      <c r="B102" s="178" t="s">
        <v>33</v>
      </c>
      <c r="C102" s="179"/>
      <c r="D102" s="37"/>
      <c r="E102" s="18">
        <f>IF(F3="1",SUMIF(Data!A:A,'51'!$A$2,Data!AL:AL),0)</f>
        <v>1027463</v>
      </c>
      <c r="F102" s="22">
        <f t="shared" si="6"/>
        <v>0.36</v>
      </c>
    </row>
    <row r="103" spans="2:6" x14ac:dyDescent="0.2">
      <c r="B103" s="180" t="s">
        <v>34</v>
      </c>
      <c r="C103" s="181"/>
      <c r="D103" s="37"/>
      <c r="E103" s="18">
        <f>IF(F3="1",SUMIF(Data!A:A,'51'!$A$2,Data!AM:AM),0)</f>
        <v>378244</v>
      </c>
      <c r="F103" s="22">
        <f t="shared" si="6"/>
        <v>0.13</v>
      </c>
    </row>
    <row r="104" spans="2:6" ht="15.75" customHeight="1" thickBot="1" x14ac:dyDescent="0.25">
      <c r="B104" s="170" t="s">
        <v>29</v>
      </c>
      <c r="C104" s="171"/>
      <c r="D104" s="38"/>
      <c r="E104" s="25">
        <f>IF(F3="1",SUMIF(Data!A:A,'51'!$A$2,Data!Q:Q),0)</f>
        <v>203101</v>
      </c>
      <c r="F104" s="26">
        <f t="shared" si="6"/>
        <v>7.0000000000000007E-2</v>
      </c>
    </row>
    <row r="105" spans="2:6" x14ac:dyDescent="0.2">
      <c r="B105" s="31" t="s">
        <v>35</v>
      </c>
      <c r="C105" s="31"/>
      <c r="D105" s="35">
        <f>D95</f>
        <v>2817543</v>
      </c>
      <c r="E105" s="32">
        <f>SUM(E98:E104)</f>
        <v>7966376</v>
      </c>
      <c r="F105" s="33">
        <f t="shared" si="6"/>
        <v>2.83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10645836</v>
      </c>
      <c r="D109" s="16">
        <f>IF(F3="1",SUMIF(Data!$A:$A,$A$2,Data!HJ:HJ),0)</f>
        <v>622323</v>
      </c>
      <c r="E109" s="16">
        <f>IF(F3="1",SUMIF(Data!$A:$A,$A$2,Data!IN:IN),0)</f>
        <v>2077050</v>
      </c>
      <c r="F109" s="48">
        <f>SUM(C109:E109)</f>
        <v>13345209</v>
      </c>
    </row>
    <row r="110" spans="2:6" x14ac:dyDescent="0.2">
      <c r="B110" s="43" t="s">
        <v>28</v>
      </c>
      <c r="C110" s="51">
        <f>IF(F3="1",SUMIF(Data!A:A,$A$2,Data!W:W),0)</f>
        <v>124032</v>
      </c>
      <c r="D110" s="52"/>
      <c r="E110" s="51">
        <f>IF(F3="1",SUMIF(Data!A:A,$A$2,Data!W:W),0)</f>
        <v>124032</v>
      </c>
      <c r="F110" s="49">
        <f t="shared" ref="F110:F116" si="7">SUM(C110:E110)</f>
        <v>248064</v>
      </c>
    </row>
    <row r="111" spans="2:6" x14ac:dyDescent="0.2">
      <c r="B111" s="43" t="s">
        <v>936</v>
      </c>
      <c r="C111" s="51">
        <f>IF(F3="1",SUMIF(Data!A:A,$A$2,Data!AS:AS),0)</f>
        <v>343501</v>
      </c>
      <c r="D111" s="52"/>
      <c r="E111" s="51">
        <f>IF(F3="1",SUMIF(Data!A:A,$A$2,Data!AX:AX),0)</f>
        <v>411097</v>
      </c>
      <c r="F111" s="49">
        <f t="shared" si="7"/>
        <v>754598</v>
      </c>
    </row>
    <row r="112" spans="2:6" x14ac:dyDescent="0.2">
      <c r="B112" s="43" t="s">
        <v>32</v>
      </c>
      <c r="C112" s="51">
        <f>IF(F3="1",SUMIF(Data!A:A,$A$2,Data!V:V),0)</f>
        <v>883102</v>
      </c>
      <c r="D112" s="52"/>
      <c r="E112" s="51">
        <f>IF(F3="1",SUMIF(Data!A:A,$A$2,Data!AC:AC),0)</f>
        <v>210929</v>
      </c>
      <c r="F112" s="49">
        <f t="shared" si="7"/>
        <v>1094031</v>
      </c>
    </row>
    <row r="113" spans="1:6" x14ac:dyDescent="0.2">
      <c r="B113" s="43" t="s">
        <v>31</v>
      </c>
      <c r="C113" s="51">
        <f>IF(F3="1",SUMIF(Data!A:A,$A$2,Data!U:U),0)</f>
        <v>1832961</v>
      </c>
      <c r="D113" s="52"/>
      <c r="E113" s="51">
        <f>IF(F3="1",SUMIF(Data!A:A,$A$2,Data!AB:AB),0)</f>
        <v>504397</v>
      </c>
      <c r="F113" s="49">
        <f t="shared" si="7"/>
        <v>2337358</v>
      </c>
    </row>
    <row r="114" spans="1:6" x14ac:dyDescent="0.2">
      <c r="B114" s="43" t="s">
        <v>1021</v>
      </c>
      <c r="C114" s="51">
        <f>IF(F3="1",SUMIF(Data!A:A,$A$2,Data!T:T),0)</f>
        <v>1952439</v>
      </c>
      <c r="D114" s="52"/>
      <c r="E114" s="51">
        <f>IF(F3="1",SUMIF(Data!A:A,$A$2,Data!AA:AA),0)</f>
        <v>836742</v>
      </c>
      <c r="F114" s="49">
        <f t="shared" si="7"/>
        <v>2789181</v>
      </c>
    </row>
    <row r="115" spans="1:6" x14ac:dyDescent="0.2">
      <c r="B115" s="43" t="s">
        <v>937</v>
      </c>
      <c r="C115" s="51">
        <f>IF(F3="1",SUMIF(Data!A:A,$A$2,Data!BI:BI),0)</f>
        <v>1152061</v>
      </c>
      <c r="D115" s="51">
        <f>IF(F3="1",SUMIF(Data!A:A,$A$2,Data!BL:BL),0)</f>
        <v>620417</v>
      </c>
      <c r="E115" s="51">
        <f>IF(F3="1",SUMIF(Data!A:A,$A$2,Data!BU:BU),0)</f>
        <v>2349625</v>
      </c>
      <c r="F115" s="49">
        <f t="shared" si="7"/>
        <v>4122103</v>
      </c>
    </row>
    <row r="116" spans="1:6" x14ac:dyDescent="0.2">
      <c r="B116" s="43" t="s">
        <v>33</v>
      </c>
      <c r="C116" s="51">
        <f>IF(F3="1",SUMIF(Data!A:A,$A$2,Data!X:X),0)</f>
        <v>0</v>
      </c>
      <c r="D116" s="51"/>
      <c r="E116" s="51">
        <f>E102</f>
        <v>1027463</v>
      </c>
      <c r="F116" s="49">
        <f t="shared" si="7"/>
        <v>1027463</v>
      </c>
    </row>
    <row r="117" spans="1:6" ht="15" thickBot="1" x14ac:dyDescent="0.25">
      <c r="B117" s="44" t="s">
        <v>941</v>
      </c>
      <c r="C117" s="53"/>
      <c r="D117" s="53">
        <f>IF(F3="1",SUMIF(Data!A:A,$A$2,Data!Q:Q),0)</f>
        <v>203101</v>
      </c>
      <c r="E117" s="53"/>
      <c r="F117" s="50">
        <f>SUM(C117:E117)</f>
        <v>203101</v>
      </c>
    </row>
    <row r="118" spans="1:6" x14ac:dyDescent="0.2">
      <c r="B118" s="14" t="s">
        <v>35</v>
      </c>
      <c r="C118" s="5">
        <f>SUM(C109:C116)</f>
        <v>16933932</v>
      </c>
      <c r="D118" s="5">
        <f>SUM(D109:D116)</f>
        <v>1242740</v>
      </c>
      <c r="E118" s="5">
        <f>SUM(E109:E116)</f>
        <v>7541335</v>
      </c>
      <c r="F118" s="5">
        <f>SUM(F109:F116)</f>
        <v>25718007</v>
      </c>
    </row>
    <row r="119" spans="1:6" ht="15" thickBot="1" x14ac:dyDescent="0.25"/>
    <row r="120" spans="1:6" ht="15" thickBot="1" x14ac:dyDescent="0.25">
      <c r="B120" s="57" t="s">
        <v>942</v>
      </c>
      <c r="C120" s="55"/>
      <c r="D120" s="55"/>
      <c r="E120" s="55">
        <f>IF(F3="1",SUMIF(Data!A:A,'51'!$A$2,Data!AM:AM),0)</f>
        <v>378244</v>
      </c>
      <c r="F120" s="56">
        <f>SUM(C120:E120)</f>
        <v>378244</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436</v>
      </c>
      <c r="B2" s="60" t="str">
        <f>VLOOKUP(A2,Data!A:G,7,0)</f>
        <v>Texas State Technical College-West Texas</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0</v>
      </c>
      <c r="E5" s="16">
        <f>E36+E67+IFERROR($E$105/$D$105*D5,0)</f>
        <v>0</v>
      </c>
      <c r="F5" s="21" t="str">
        <f>IF(OR(D5=0,E5=0),"",ROUND(E5/D5,2))</f>
        <v/>
      </c>
    </row>
    <row r="6" spans="1:6" x14ac:dyDescent="0.2">
      <c r="A6" s="20">
        <v>2</v>
      </c>
      <c r="B6" s="172" t="s">
        <v>1</v>
      </c>
      <c r="C6" s="173"/>
      <c r="D6" s="15">
        <f t="shared" ref="D6:D32" si="0">D37</f>
        <v>32505</v>
      </c>
      <c r="E6" s="18">
        <f t="shared" ref="E6:E32" si="1">E37+E68+IFERROR($E$105/$D$105*D6,0)</f>
        <v>367710.25738493353</v>
      </c>
      <c r="F6" s="22">
        <f t="shared" ref="F6:F33" si="2">IF(OR(D6=0,E6=0),"",ROUND(E6/D6,2))</f>
        <v>11.31</v>
      </c>
    </row>
    <row r="7" spans="1:6" ht="14.25" customHeight="1" x14ac:dyDescent="0.2">
      <c r="A7" s="20">
        <v>3</v>
      </c>
      <c r="B7" s="172" t="s">
        <v>2</v>
      </c>
      <c r="C7" s="173"/>
      <c r="D7" s="15">
        <f t="shared" si="0"/>
        <v>864</v>
      </c>
      <c r="E7" s="18">
        <f t="shared" si="1"/>
        <v>8148.3336526867433</v>
      </c>
      <c r="F7" s="22">
        <f t="shared" si="2"/>
        <v>9.43</v>
      </c>
    </row>
    <row r="8" spans="1:6" ht="14.25" customHeight="1" x14ac:dyDescent="0.2">
      <c r="A8" s="20">
        <v>4</v>
      </c>
      <c r="B8" s="172" t="s">
        <v>3</v>
      </c>
      <c r="C8" s="173"/>
      <c r="D8" s="15">
        <f t="shared" si="0"/>
        <v>368610</v>
      </c>
      <c r="E8" s="18">
        <f t="shared" si="1"/>
        <v>3077642.8121722923</v>
      </c>
      <c r="F8" s="22">
        <f t="shared" si="2"/>
        <v>8.35</v>
      </c>
    </row>
    <row r="9" spans="1:6" x14ac:dyDescent="0.2">
      <c r="A9" s="20">
        <v>5</v>
      </c>
      <c r="B9" s="172" t="s">
        <v>4</v>
      </c>
      <c r="C9" s="173"/>
      <c r="D9" s="15">
        <f t="shared" si="0"/>
        <v>1208</v>
      </c>
      <c r="E9" s="18">
        <f t="shared" si="1"/>
        <v>5605.642421812021</v>
      </c>
      <c r="F9" s="22">
        <f t="shared" si="2"/>
        <v>4.6399999999999997</v>
      </c>
    </row>
    <row r="10" spans="1:6" x14ac:dyDescent="0.2">
      <c r="A10" s="20">
        <v>6</v>
      </c>
      <c r="B10" s="172" t="s">
        <v>5</v>
      </c>
      <c r="C10" s="173"/>
      <c r="D10" s="15">
        <f t="shared" si="0"/>
        <v>9136</v>
      </c>
      <c r="E10" s="18">
        <f t="shared" si="1"/>
        <v>103348.9910311876</v>
      </c>
      <c r="F10" s="22">
        <f t="shared" si="2"/>
        <v>11.31</v>
      </c>
    </row>
    <row r="11" spans="1:6" x14ac:dyDescent="0.2">
      <c r="A11" s="20">
        <v>7</v>
      </c>
      <c r="B11" s="172" t="s">
        <v>6</v>
      </c>
      <c r="C11" s="173"/>
      <c r="D11" s="15">
        <f t="shared" si="0"/>
        <v>125194</v>
      </c>
      <c r="E11" s="18">
        <f t="shared" si="1"/>
        <v>1045286.3024472964</v>
      </c>
      <c r="F11" s="22">
        <f t="shared" si="2"/>
        <v>8.35</v>
      </c>
    </row>
    <row r="12" spans="1:6" x14ac:dyDescent="0.2">
      <c r="A12" s="20">
        <v>8</v>
      </c>
      <c r="B12" s="172" t="s">
        <v>7</v>
      </c>
      <c r="C12" s="173"/>
      <c r="D12" s="15">
        <f t="shared" si="0"/>
        <v>11440</v>
      </c>
      <c r="E12" s="18">
        <f t="shared" si="1"/>
        <v>129414.54743835225</v>
      </c>
      <c r="F12" s="22">
        <f t="shared" si="2"/>
        <v>11.31</v>
      </c>
    </row>
    <row r="13" spans="1:6" x14ac:dyDescent="0.2">
      <c r="A13" s="20">
        <v>9</v>
      </c>
      <c r="B13" s="172" t="s">
        <v>8</v>
      </c>
      <c r="C13" s="173"/>
      <c r="D13" s="15">
        <f t="shared" si="0"/>
        <v>19184</v>
      </c>
      <c r="E13" s="18">
        <f t="shared" si="1"/>
        <v>217018.05647354454</v>
      </c>
      <c r="F13" s="22">
        <f t="shared" si="2"/>
        <v>11.31</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104548</v>
      </c>
      <c r="E15" s="18">
        <f t="shared" si="1"/>
        <v>1455627.9337049695</v>
      </c>
      <c r="F15" s="22">
        <f t="shared" si="2"/>
        <v>13.92</v>
      </c>
    </row>
    <row r="16" spans="1:6" ht="14.25" customHeight="1" x14ac:dyDescent="0.2">
      <c r="A16" s="20">
        <v>12</v>
      </c>
      <c r="B16" s="172" t="s">
        <v>11</v>
      </c>
      <c r="C16" s="173"/>
      <c r="D16" s="15">
        <f t="shared" si="0"/>
        <v>74792</v>
      </c>
      <c r="E16" s="18">
        <f t="shared" si="1"/>
        <v>705246.22517563298</v>
      </c>
      <c r="F16" s="22">
        <f t="shared" si="2"/>
        <v>9.43</v>
      </c>
    </row>
    <row r="17" spans="1:6" x14ac:dyDescent="0.2">
      <c r="A17" s="20">
        <v>13</v>
      </c>
      <c r="B17" s="172" t="s">
        <v>12</v>
      </c>
      <c r="C17" s="173"/>
      <c r="D17" s="15">
        <f t="shared" si="0"/>
        <v>4328</v>
      </c>
      <c r="E17" s="18">
        <f t="shared" si="1"/>
        <v>40811.791723180817</v>
      </c>
      <c r="F17" s="22">
        <f t="shared" si="2"/>
        <v>9.43</v>
      </c>
    </row>
    <row r="18" spans="1:6" ht="14.25" customHeight="1" x14ac:dyDescent="0.2">
      <c r="A18" s="20">
        <v>14</v>
      </c>
      <c r="B18" s="172" t="s">
        <v>469</v>
      </c>
      <c r="C18" s="173"/>
      <c r="D18" s="15">
        <f t="shared" si="0"/>
        <v>30048</v>
      </c>
      <c r="E18" s="18">
        <f t="shared" si="1"/>
        <v>276943.71481010562</v>
      </c>
      <c r="F18" s="22">
        <f t="shared" si="2"/>
        <v>9.2200000000000006</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122839</v>
      </c>
      <c r="E20" s="18">
        <f t="shared" si="1"/>
        <v>1132173.0839842441</v>
      </c>
      <c r="F20" s="22">
        <f t="shared" si="2"/>
        <v>9.2200000000000006</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249032</v>
      </c>
      <c r="E22" s="18">
        <f t="shared" si="1"/>
        <v>2295260.1784674595</v>
      </c>
      <c r="F22" s="22">
        <f t="shared" si="2"/>
        <v>9.2200000000000006</v>
      </c>
    </row>
    <row r="23" spans="1:6" x14ac:dyDescent="0.2">
      <c r="A23" s="20">
        <v>19</v>
      </c>
      <c r="B23" s="172" t="s">
        <v>17</v>
      </c>
      <c r="C23" s="173"/>
      <c r="D23" s="15">
        <f t="shared" si="0"/>
        <v>66304</v>
      </c>
      <c r="E23" s="18">
        <f t="shared" si="1"/>
        <v>625210.23438396049</v>
      </c>
      <c r="F23" s="22">
        <f t="shared" si="2"/>
        <v>9.43</v>
      </c>
    </row>
    <row r="24" spans="1:6" x14ac:dyDescent="0.2">
      <c r="A24" s="20">
        <v>20</v>
      </c>
      <c r="B24" s="172" t="s">
        <v>18</v>
      </c>
      <c r="C24" s="173"/>
      <c r="D24" s="15">
        <f t="shared" si="0"/>
        <v>48544</v>
      </c>
      <c r="E24" s="18">
        <f t="shared" si="1"/>
        <v>474350.15374539961</v>
      </c>
      <c r="F24" s="22">
        <f t="shared" si="2"/>
        <v>9.77</v>
      </c>
    </row>
    <row r="25" spans="1:6" ht="14.25" customHeight="1" x14ac:dyDescent="0.2">
      <c r="A25" s="20">
        <v>21</v>
      </c>
      <c r="B25" s="172" t="s">
        <v>466</v>
      </c>
      <c r="C25" s="173"/>
      <c r="D25" s="15">
        <f t="shared" si="0"/>
        <v>85492</v>
      </c>
      <c r="E25" s="18">
        <f t="shared" si="1"/>
        <v>835388.85258737858</v>
      </c>
      <c r="F25" s="22">
        <f t="shared" si="2"/>
        <v>9.77</v>
      </c>
    </row>
    <row r="26" spans="1:6" x14ac:dyDescent="0.2">
      <c r="A26" s="20">
        <v>22</v>
      </c>
      <c r="B26" s="172" t="s">
        <v>19</v>
      </c>
      <c r="C26" s="173"/>
      <c r="D26" s="15">
        <f t="shared" si="0"/>
        <v>384</v>
      </c>
      <c r="E26" s="18">
        <f t="shared" si="1"/>
        <v>4342.9260678607752</v>
      </c>
      <c r="F26" s="22">
        <f t="shared" si="2"/>
        <v>11.31</v>
      </c>
    </row>
    <row r="27" spans="1:6" x14ac:dyDescent="0.2">
      <c r="A27" s="20">
        <v>23</v>
      </c>
      <c r="B27" s="172" t="s">
        <v>20</v>
      </c>
      <c r="C27" s="173"/>
      <c r="D27" s="15">
        <f t="shared" si="0"/>
        <v>0</v>
      </c>
      <c r="E27" s="18">
        <f t="shared" si="1"/>
        <v>0</v>
      </c>
      <c r="F27" s="22" t="str">
        <f t="shared" si="2"/>
        <v/>
      </c>
    </row>
    <row r="28" spans="1:6" x14ac:dyDescent="0.2">
      <c r="A28" s="20">
        <v>24</v>
      </c>
      <c r="B28" s="172" t="s">
        <v>21</v>
      </c>
      <c r="C28" s="173"/>
      <c r="D28" s="15">
        <f t="shared" si="0"/>
        <v>47490</v>
      </c>
      <c r="E28" s="18">
        <f t="shared" si="1"/>
        <v>396507.13792371925</v>
      </c>
      <c r="F28" s="22">
        <f t="shared" si="2"/>
        <v>8.35</v>
      </c>
    </row>
    <row r="29" spans="1:6" x14ac:dyDescent="0.2">
      <c r="A29" s="20">
        <v>25</v>
      </c>
      <c r="B29" s="172" t="s">
        <v>22</v>
      </c>
      <c r="C29" s="173"/>
      <c r="D29" s="15">
        <f t="shared" si="0"/>
        <v>26976</v>
      </c>
      <c r="E29" s="18">
        <f t="shared" si="1"/>
        <v>254367.30626721942</v>
      </c>
      <c r="F29" s="22">
        <f t="shared" si="2"/>
        <v>9.43</v>
      </c>
    </row>
    <row r="30" spans="1:6" x14ac:dyDescent="0.2">
      <c r="A30" s="20">
        <v>26</v>
      </c>
      <c r="B30" s="172" t="s">
        <v>23</v>
      </c>
      <c r="C30" s="173"/>
      <c r="D30" s="15">
        <f t="shared" si="0"/>
        <v>32368</v>
      </c>
      <c r="E30" s="18">
        <f t="shared" si="1"/>
        <v>270252.51813676447</v>
      </c>
      <c r="F30" s="22">
        <f t="shared" si="2"/>
        <v>8.35</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1461286</v>
      </c>
      <c r="E33" s="32">
        <f>SUM(E5:E32)</f>
        <v>13720657</v>
      </c>
      <c r="F33" s="33">
        <f t="shared" si="2"/>
        <v>9.39</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IF(F3="1",SUMIF(Data!A:A,'52'!$A$2,Data!CU:CU),0)</f>
        <v>0</v>
      </c>
      <c r="E36" s="16">
        <f>IF(F3="1",SUMIF(Data!$A:$A,'52'!$A$2,Data!IO:IO),0)</f>
        <v>0</v>
      </c>
      <c r="F36" s="21" t="str">
        <f>IF(D36=0,"",ROUND(E36/D36,2))</f>
        <v/>
      </c>
    </row>
    <row r="37" spans="1:6" x14ac:dyDescent="0.2">
      <c r="A37" s="20">
        <v>2</v>
      </c>
      <c r="B37" s="172" t="s">
        <v>1</v>
      </c>
      <c r="C37" s="173"/>
      <c r="D37" s="15">
        <f>IF(F3="1",SUMIF(Data!A:A,'52'!$A$2,Data!CV:CV),0)</f>
        <v>32505</v>
      </c>
      <c r="E37" s="18">
        <f>IF(F3="1",SUMIF(Data!$A:$A,'52'!$A$2,Data!IP:IP),0)</f>
        <v>129646</v>
      </c>
      <c r="F37" s="22">
        <f t="shared" ref="F37:F64" si="3">IF(D37=0,"",ROUND(E37/D37,2))</f>
        <v>3.99</v>
      </c>
    </row>
    <row r="38" spans="1:6" ht="14.25" customHeight="1" x14ac:dyDescent="0.2">
      <c r="A38" s="20">
        <v>3</v>
      </c>
      <c r="B38" s="172" t="s">
        <v>2</v>
      </c>
      <c r="C38" s="173"/>
      <c r="D38" s="15">
        <f>IF(F3="1",SUMIF(Data!A:A,'52'!$A$2,Data!CW:CW),0)</f>
        <v>864</v>
      </c>
      <c r="E38" s="18">
        <f>IF(F3="1",SUMIF(Data!$A:$A,'52'!$A$2,Data!IQ:IQ),0)</f>
        <v>1262</v>
      </c>
      <c r="F38" s="22">
        <f t="shared" si="3"/>
        <v>1.46</v>
      </c>
    </row>
    <row r="39" spans="1:6" ht="14.25" customHeight="1" x14ac:dyDescent="0.2">
      <c r="A39" s="20">
        <v>4</v>
      </c>
      <c r="B39" s="172" t="s">
        <v>3</v>
      </c>
      <c r="C39" s="173"/>
      <c r="D39" s="15">
        <f>IF(F3="1",SUMIF(Data!A:A,'52'!$A$2,Data!CX:CX),0)</f>
        <v>368610</v>
      </c>
      <c r="E39" s="18">
        <f>IF(F3="1",SUMIF(Data!$A:$A,'52'!$A$2,Data!IR:IR),0)</f>
        <v>431030</v>
      </c>
      <c r="F39" s="22">
        <f t="shared" si="3"/>
        <v>1.17</v>
      </c>
    </row>
    <row r="40" spans="1:6" x14ac:dyDescent="0.2">
      <c r="A40" s="20">
        <v>5</v>
      </c>
      <c r="B40" s="172" t="s">
        <v>4</v>
      </c>
      <c r="C40" s="173"/>
      <c r="D40" s="15">
        <f>IF(F3="1",SUMIF(Data!A:A,'52'!$A$2,Data!CY:CY),0)</f>
        <v>1208</v>
      </c>
      <c r="E40" s="18">
        <f>IF(F3="1",SUMIF(Data!$A:$A,'52'!$A$2,Data!IS:IS),0)</f>
        <v>0</v>
      </c>
      <c r="F40" s="22" t="str">
        <f>IF(E40=0,"",ROUND(E40/D40,2))</f>
        <v/>
      </c>
    </row>
    <row r="41" spans="1:6" x14ac:dyDescent="0.2">
      <c r="A41" s="20">
        <v>6</v>
      </c>
      <c r="B41" s="172" t="s">
        <v>5</v>
      </c>
      <c r="C41" s="173"/>
      <c r="D41" s="15">
        <f>IF(F3="1",SUMIF(Data!A:A,'52'!$A$2,Data!CZ:CZ),0)</f>
        <v>9136</v>
      </c>
      <c r="E41" s="18">
        <f>IF(F3="1",SUMIF(Data!$A:$A,'52'!$A$2,Data!IT:IT),0)</f>
        <v>36438</v>
      </c>
      <c r="F41" s="22">
        <f t="shared" si="3"/>
        <v>3.99</v>
      </c>
    </row>
    <row r="42" spans="1:6" x14ac:dyDescent="0.2">
      <c r="A42" s="20">
        <v>7</v>
      </c>
      <c r="B42" s="172" t="s">
        <v>6</v>
      </c>
      <c r="C42" s="173"/>
      <c r="D42" s="15">
        <f>IF(F3="1",SUMIF(Data!A:A,'52'!$A$2,Data!DA:DA),0)</f>
        <v>125194</v>
      </c>
      <c r="E42" s="18">
        <f>IF(F3="1",SUMIF(Data!$A:$A,'52'!$A$2,Data!IU:IU),0)</f>
        <v>146395</v>
      </c>
      <c r="F42" s="22">
        <f t="shared" si="3"/>
        <v>1.17</v>
      </c>
    </row>
    <row r="43" spans="1:6" x14ac:dyDescent="0.2">
      <c r="A43" s="20">
        <v>8</v>
      </c>
      <c r="B43" s="172" t="s">
        <v>7</v>
      </c>
      <c r="C43" s="173"/>
      <c r="D43" s="15">
        <f>IF(F3="1",SUMIF(Data!A:A,'52'!$A$2,Data!DB:DB),0)</f>
        <v>11440</v>
      </c>
      <c r="E43" s="18">
        <f>IF(F3="1",SUMIF(Data!$A:$A,'52'!$A$2,Data!IV:IV),0)</f>
        <v>45629</v>
      </c>
      <c r="F43" s="22">
        <f t="shared" si="3"/>
        <v>3.99</v>
      </c>
    </row>
    <row r="44" spans="1:6" x14ac:dyDescent="0.2">
      <c r="A44" s="20">
        <v>9</v>
      </c>
      <c r="B44" s="172" t="s">
        <v>8</v>
      </c>
      <c r="C44" s="173"/>
      <c r="D44" s="15">
        <f>IF(F3="1",SUMIF(Data!A:A,'52'!$A$2,Data!DC:DC),0)</f>
        <v>19184</v>
      </c>
      <c r="E44" s="18">
        <f>IF(F3="1",SUMIF(Data!$A:$A,'52'!$A$2,Data!IW:IW),0)</f>
        <v>76516</v>
      </c>
      <c r="F44" s="22">
        <f t="shared" si="3"/>
        <v>3.99</v>
      </c>
    </row>
    <row r="45" spans="1:6" x14ac:dyDescent="0.2">
      <c r="A45" s="20">
        <v>10</v>
      </c>
      <c r="B45" s="172" t="s">
        <v>9</v>
      </c>
      <c r="C45" s="173"/>
      <c r="D45" s="15">
        <f>IF(F3="1",SUMIF(Data!A:A,'52'!$A$2,Data!DD:DD),0)</f>
        <v>0</v>
      </c>
      <c r="E45" s="18">
        <f>IF(F3="1",SUMIF(Data!$A:$A,'52'!$A$2,Data!IX:IX),0)</f>
        <v>0</v>
      </c>
      <c r="F45" s="22" t="str">
        <f t="shared" si="3"/>
        <v/>
      </c>
    </row>
    <row r="46" spans="1:6" x14ac:dyDescent="0.2">
      <c r="A46" s="20">
        <v>11</v>
      </c>
      <c r="B46" s="172" t="s">
        <v>10</v>
      </c>
      <c r="C46" s="173"/>
      <c r="D46" s="15">
        <f>IF(F3="1",SUMIF(Data!A:A,'52'!$A$2,Data!DE:DE),0)</f>
        <v>104548</v>
      </c>
      <c r="E46" s="18">
        <f>IF(F3="1",SUMIF(Data!$A:$A,'52'!$A$2,Data!IY:IY),0)</f>
        <v>288305</v>
      </c>
      <c r="F46" s="22">
        <f t="shared" si="3"/>
        <v>2.76</v>
      </c>
    </row>
    <row r="47" spans="1:6" ht="14.25" customHeight="1" x14ac:dyDescent="0.2">
      <c r="A47" s="20">
        <v>12</v>
      </c>
      <c r="B47" s="172" t="s">
        <v>11</v>
      </c>
      <c r="C47" s="173"/>
      <c r="D47" s="15">
        <f>IF(F3="1",SUMIF(Data!A:A,'52'!$A$2,Data!DF:DF),0)</f>
        <v>74792</v>
      </c>
      <c r="E47" s="18">
        <f>IF(F3="1",SUMIF(Data!$A:$A,'52'!$A$2,Data!IZ:IZ),0)</f>
        <v>109162</v>
      </c>
      <c r="F47" s="22">
        <f t="shared" si="3"/>
        <v>1.46</v>
      </c>
    </row>
    <row r="48" spans="1:6" x14ac:dyDescent="0.2">
      <c r="A48" s="20">
        <v>13</v>
      </c>
      <c r="B48" s="172" t="s">
        <v>12</v>
      </c>
      <c r="C48" s="173"/>
      <c r="D48" s="15">
        <f>IF(F3="1",SUMIF(Data!A:A,'52'!$A$2,Data!DG:DG),0)</f>
        <v>4328</v>
      </c>
      <c r="E48" s="18">
        <f>IF(F3="1",SUMIF(Data!$A:$A,'52'!$A$2,Data!JA:JA),0)</f>
        <v>6318</v>
      </c>
      <c r="F48" s="22">
        <f t="shared" si="3"/>
        <v>1.46</v>
      </c>
    </row>
    <row r="49" spans="1:6" ht="14.25" customHeight="1" x14ac:dyDescent="0.2">
      <c r="A49" s="20">
        <v>14</v>
      </c>
      <c r="B49" s="172" t="s">
        <v>469</v>
      </c>
      <c r="C49" s="173"/>
      <c r="D49" s="15">
        <f>IF(F3="1",SUMIF(Data!A:A,'52'!$A$2,Data!DH:DH),0)</f>
        <v>30048</v>
      </c>
      <c r="E49" s="18">
        <f>IF(F3="1",SUMIF(Data!$A:$A,'52'!$A$2,Data!JB:JB),0)</f>
        <v>44702</v>
      </c>
      <c r="F49" s="22">
        <f t="shared" si="3"/>
        <v>1.49</v>
      </c>
    </row>
    <row r="50" spans="1:6" x14ac:dyDescent="0.2">
      <c r="A50" s="20">
        <v>15</v>
      </c>
      <c r="B50" s="172" t="s">
        <v>13</v>
      </c>
      <c r="C50" s="173"/>
      <c r="D50" s="15">
        <f>IF(F3="1",SUMIF(Data!A:A,'52'!$A$2,Data!DI:DI),0)</f>
        <v>0</v>
      </c>
      <c r="E50" s="18">
        <f>IF(F3="1",SUMIF(Data!$A:$A,'52'!$A$2,Data!JC:JC),0)</f>
        <v>0</v>
      </c>
      <c r="F50" s="22" t="str">
        <f t="shared" si="3"/>
        <v/>
      </c>
    </row>
    <row r="51" spans="1:6" x14ac:dyDescent="0.2">
      <c r="A51" s="20">
        <v>16</v>
      </c>
      <c r="B51" s="172" t="s">
        <v>14</v>
      </c>
      <c r="C51" s="173"/>
      <c r="D51" s="15">
        <f>IF(F3="1",SUMIF(Data!A:A,'52'!$A$2,Data!DJ:DJ),0)</f>
        <v>122839</v>
      </c>
      <c r="E51" s="18">
        <f>IF(F3="1",SUMIF(Data!$A:$A,'52'!$A$2,Data!JD:JD),0)</f>
        <v>182745</v>
      </c>
      <c r="F51" s="22">
        <f t="shared" si="3"/>
        <v>1.49</v>
      </c>
    </row>
    <row r="52" spans="1:6" x14ac:dyDescent="0.2">
      <c r="A52" s="20">
        <v>17</v>
      </c>
      <c r="B52" s="172" t="s">
        <v>15</v>
      </c>
      <c r="C52" s="173"/>
      <c r="D52" s="15">
        <f>IF(F3="1",SUMIF(Data!A:A,'52'!$A$2,Data!DK:DK),0)</f>
        <v>0</v>
      </c>
      <c r="E52" s="18">
        <f>IF(F3="1",SUMIF(Data!$A:$A,'52'!$A$2,Data!JE:JE),0)</f>
        <v>0</v>
      </c>
      <c r="F52" s="22" t="str">
        <f t="shared" si="3"/>
        <v/>
      </c>
    </row>
    <row r="53" spans="1:6" x14ac:dyDescent="0.2">
      <c r="A53" s="20">
        <v>18</v>
      </c>
      <c r="B53" s="172" t="s">
        <v>16</v>
      </c>
      <c r="C53" s="173"/>
      <c r="D53" s="15">
        <f>IF(F3="1",SUMIF(Data!A:A,'52'!$A$2,Data!DL:DL),0)</f>
        <v>249032</v>
      </c>
      <c r="E53" s="18">
        <f>IF(F3="1",SUMIF(Data!$A:$A,'52'!$A$2,Data!JF:JF),0)</f>
        <v>370481</v>
      </c>
      <c r="F53" s="22">
        <f t="shared" si="3"/>
        <v>1.49</v>
      </c>
    </row>
    <row r="54" spans="1:6" x14ac:dyDescent="0.2">
      <c r="A54" s="20">
        <v>19</v>
      </c>
      <c r="B54" s="172" t="s">
        <v>17</v>
      </c>
      <c r="C54" s="173"/>
      <c r="D54" s="15">
        <f>IF(F3="1",SUMIF(Data!A:A,'52'!$A$2,Data!DM:DM),0)</f>
        <v>66304</v>
      </c>
      <c r="E54" s="18">
        <f>IF(F3="1",SUMIF(Data!$A:$A,'52'!$A$2,Data!JG:JG),0)</f>
        <v>96775</v>
      </c>
      <c r="F54" s="22">
        <f t="shared" si="3"/>
        <v>1.46</v>
      </c>
    </row>
    <row r="55" spans="1:6" x14ac:dyDescent="0.2">
      <c r="A55" s="20">
        <v>20</v>
      </c>
      <c r="B55" s="172" t="s">
        <v>18</v>
      </c>
      <c r="C55" s="173"/>
      <c r="D55" s="15">
        <f>IF(F3="1",SUMIF(Data!A:A,'52'!$A$2,Data!DN:DN),0)</f>
        <v>48544</v>
      </c>
      <c r="E55" s="18">
        <f>IF(F3="1",SUMIF(Data!$A:$A,'52'!$A$2,Data!JH:JH),0)</f>
        <v>75362</v>
      </c>
      <c r="F55" s="22">
        <f t="shared" si="3"/>
        <v>1.55</v>
      </c>
    </row>
    <row r="56" spans="1:6" ht="14.25" customHeight="1" x14ac:dyDescent="0.2">
      <c r="A56" s="20">
        <v>21</v>
      </c>
      <c r="B56" s="172" t="s">
        <v>466</v>
      </c>
      <c r="C56" s="173"/>
      <c r="D56" s="15">
        <f>IF(F3="1",SUMIF(Data!A:A,'52'!$A$2,Data!DO:DO),0)</f>
        <v>85492</v>
      </c>
      <c r="E56" s="18">
        <f>IF(F3="1",SUMIF(Data!$A:$A,'52'!$A$2,Data!JI:JI),0)</f>
        <v>132721</v>
      </c>
      <c r="F56" s="22">
        <f t="shared" si="3"/>
        <v>1.55</v>
      </c>
    </row>
    <row r="57" spans="1:6" x14ac:dyDescent="0.2">
      <c r="A57" s="20">
        <v>22</v>
      </c>
      <c r="B57" s="172" t="s">
        <v>19</v>
      </c>
      <c r="C57" s="173"/>
      <c r="D57" s="15">
        <f>IF(F3="1",SUMIF(Data!A:A,'52'!$A$2,Data!DP:DP),0)</f>
        <v>384</v>
      </c>
      <c r="E57" s="18">
        <f>IF(F3="1",SUMIF(Data!$A:$A,'52'!$A$2,Data!JJ:JJ),0)</f>
        <v>1530</v>
      </c>
      <c r="F57" s="22">
        <f t="shared" si="3"/>
        <v>3.98</v>
      </c>
    </row>
    <row r="58" spans="1:6" x14ac:dyDescent="0.2">
      <c r="A58" s="20">
        <v>23</v>
      </c>
      <c r="B58" s="172" t="s">
        <v>20</v>
      </c>
      <c r="C58" s="173"/>
      <c r="D58" s="15">
        <f>IF(F3="1",SUMIF(Data!A:A,'52'!$A$2,Data!DQ:DQ),0)</f>
        <v>0</v>
      </c>
      <c r="E58" s="18">
        <f>IF(F3="1",SUMIF(Data!$A:$A,'52'!$A$2,Data!JK:JK),0)</f>
        <v>0</v>
      </c>
      <c r="F58" s="22" t="str">
        <f t="shared" si="3"/>
        <v/>
      </c>
    </row>
    <row r="59" spans="1:6" x14ac:dyDescent="0.2">
      <c r="A59" s="20">
        <v>24</v>
      </c>
      <c r="B59" s="172" t="s">
        <v>21</v>
      </c>
      <c r="C59" s="173"/>
      <c r="D59" s="15">
        <f>IF(F3="1",SUMIF(Data!A:A,'52'!$A$2,Data!DR:DR),0)</f>
        <v>47490</v>
      </c>
      <c r="E59" s="18">
        <f>IF(F3="1",SUMIF(Data!$A:$A,'52'!$A$2,Data!JL:JL),0)</f>
        <v>55531</v>
      </c>
      <c r="F59" s="22">
        <f t="shared" si="3"/>
        <v>1.17</v>
      </c>
    </row>
    <row r="60" spans="1:6" x14ac:dyDescent="0.2">
      <c r="A60" s="20">
        <v>25</v>
      </c>
      <c r="B60" s="172" t="s">
        <v>22</v>
      </c>
      <c r="C60" s="173"/>
      <c r="D60" s="15">
        <f>IF(F3="1",SUMIF(Data!A:A,'52'!$A$2,Data!DS:DS),0)</f>
        <v>26976</v>
      </c>
      <c r="E60" s="18">
        <f>IF(F3="1",SUMIF(Data!$A:$A,'52'!$A$2,Data!JM:JM),0)</f>
        <v>39372</v>
      </c>
      <c r="F60" s="22">
        <f t="shared" si="3"/>
        <v>1.46</v>
      </c>
    </row>
    <row r="61" spans="1:6" x14ac:dyDescent="0.2">
      <c r="A61" s="20">
        <v>26</v>
      </c>
      <c r="B61" s="172" t="s">
        <v>23</v>
      </c>
      <c r="C61" s="173"/>
      <c r="D61" s="15">
        <f>IF(F3="1",SUMIF(Data!A:A,'52'!$A$2,Data!DT:DT),0)</f>
        <v>32368</v>
      </c>
      <c r="E61" s="18">
        <f>IF(F3="1",SUMIF(Data!$A:$A,'52'!$A$2,Data!JN:JN),0)</f>
        <v>37850</v>
      </c>
      <c r="F61" s="22">
        <f t="shared" si="3"/>
        <v>1.17</v>
      </c>
    </row>
    <row r="62" spans="1:6" x14ac:dyDescent="0.2">
      <c r="A62" s="20">
        <v>28</v>
      </c>
      <c r="B62" s="172" t="s">
        <v>24</v>
      </c>
      <c r="C62" s="173"/>
      <c r="D62" s="15">
        <f>IF(F3="1",SUMIF(Data!A:A,'52'!$A$2,Data!DV:DV),0)</f>
        <v>0</v>
      </c>
      <c r="E62" s="18">
        <f>IF(F3="1",SUMIF(Data!$A:$A,'52'!$A$2,Data!JP:JP),0)</f>
        <v>0</v>
      </c>
      <c r="F62" s="22" t="str">
        <f t="shared" si="3"/>
        <v/>
      </c>
    </row>
    <row r="63" spans="1:6" ht="15.75" customHeight="1" thickBot="1" x14ac:dyDescent="0.25">
      <c r="A63" s="23">
        <v>29</v>
      </c>
      <c r="B63" s="174" t="s">
        <v>25</v>
      </c>
      <c r="C63" s="175"/>
      <c r="D63" s="24">
        <f>IF(F3="1",SUMIF(Data!A:A,'52'!$A$2,Data!DW:DW),0)</f>
        <v>0</v>
      </c>
      <c r="E63" s="25">
        <f>IF(F3="1",SUMIF(Data!$A:$A,'52'!$A$2,Data!JQ:JQ),0)</f>
        <v>0</v>
      </c>
      <c r="F63" s="26" t="str">
        <f t="shared" si="3"/>
        <v/>
      </c>
    </row>
    <row r="64" spans="1:6" x14ac:dyDescent="0.2">
      <c r="B64" s="31" t="s">
        <v>35</v>
      </c>
      <c r="C64" s="31"/>
      <c r="D64" s="61">
        <f>SUM(D36:D63)</f>
        <v>1461286</v>
      </c>
      <c r="E64" s="32">
        <f>SUM(E36:E63)</f>
        <v>2307770</v>
      </c>
      <c r="F64" s="33">
        <f t="shared" si="3"/>
        <v>1.58</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0</v>
      </c>
      <c r="E67" s="16">
        <f>IF(F3="1",SUMIF(Data!A:A,'52'!$A$2,Data!DY:DY),0)</f>
        <v>0</v>
      </c>
      <c r="F67" s="21" t="str">
        <f t="shared" ref="F67:F95" si="4">IF(D67=0,"",ROUND(E67/D67,2))</f>
        <v/>
      </c>
    </row>
    <row r="68" spans="1:6" x14ac:dyDescent="0.2">
      <c r="A68" s="20">
        <v>2</v>
      </c>
      <c r="B68" s="172" t="s">
        <v>1</v>
      </c>
      <c r="C68" s="173"/>
      <c r="D68" s="15">
        <f t="shared" ref="D68:D94" si="5">D37</f>
        <v>32505</v>
      </c>
      <c r="E68" s="18">
        <f>IF(F3="1",SUMIF(Data!A:A,'52'!$A$2,Data!DZ:DZ),0)</f>
        <v>87227</v>
      </c>
      <c r="F68" s="22">
        <f t="shared" si="4"/>
        <v>2.68</v>
      </c>
    </row>
    <row r="69" spans="1:6" ht="14.25" customHeight="1" x14ac:dyDescent="0.2">
      <c r="A69" s="20">
        <v>3</v>
      </c>
      <c r="B69" s="172" t="s">
        <v>2</v>
      </c>
      <c r="C69" s="173"/>
      <c r="D69" s="15">
        <f t="shared" si="5"/>
        <v>864</v>
      </c>
      <c r="E69" s="18">
        <f>IF(F3="1",SUMIF(Data!A:A,'52'!$A$2,Data!EA:EA),0)</f>
        <v>2877</v>
      </c>
      <c r="F69" s="22">
        <f t="shared" si="4"/>
        <v>3.33</v>
      </c>
    </row>
    <row r="70" spans="1:6" ht="14.25" customHeight="1" x14ac:dyDescent="0.2">
      <c r="A70" s="20">
        <v>4</v>
      </c>
      <c r="B70" s="172" t="s">
        <v>3</v>
      </c>
      <c r="C70" s="173"/>
      <c r="D70" s="15">
        <f t="shared" si="5"/>
        <v>368610</v>
      </c>
      <c r="E70" s="18">
        <f>IF(F3="1",SUMIF(Data!A:A,'52'!$A$2,Data!EB:EB),0)</f>
        <v>936103</v>
      </c>
      <c r="F70" s="22">
        <f t="shared" si="4"/>
        <v>2.54</v>
      </c>
    </row>
    <row r="71" spans="1:6" x14ac:dyDescent="0.2">
      <c r="A71" s="20">
        <v>5</v>
      </c>
      <c r="B71" s="172" t="s">
        <v>4</v>
      </c>
      <c r="C71" s="173"/>
      <c r="D71" s="15">
        <f t="shared" si="5"/>
        <v>1208</v>
      </c>
      <c r="E71" s="18">
        <f>IF(F3="1",SUMIF(Data!A:A,'52'!$A$2,Data!EC:EC),0)</f>
        <v>0</v>
      </c>
      <c r="F71" s="22" t="str">
        <f>IF(E71=0,"",ROUND(E71/D71,2))</f>
        <v/>
      </c>
    </row>
    <row r="72" spans="1:6" x14ac:dyDescent="0.2">
      <c r="A72" s="20">
        <v>6</v>
      </c>
      <c r="B72" s="172" t="s">
        <v>5</v>
      </c>
      <c r="C72" s="173"/>
      <c r="D72" s="15">
        <f t="shared" si="5"/>
        <v>9136</v>
      </c>
      <c r="E72" s="18">
        <f>IF(F3="1",SUMIF(Data!A:A,'52'!$A$2,Data!ED:ED),0)</f>
        <v>24516</v>
      </c>
      <c r="F72" s="22">
        <f t="shared" si="4"/>
        <v>2.68</v>
      </c>
    </row>
    <row r="73" spans="1:6" x14ac:dyDescent="0.2">
      <c r="A73" s="20">
        <v>7</v>
      </c>
      <c r="B73" s="172" t="s">
        <v>6</v>
      </c>
      <c r="C73" s="173"/>
      <c r="D73" s="15">
        <f t="shared" si="5"/>
        <v>125194</v>
      </c>
      <c r="E73" s="18">
        <f>IF(F3="1",SUMIF(Data!A:A,'52'!$A$2,Data!EE:EE),0)</f>
        <v>317937</v>
      </c>
      <c r="F73" s="22">
        <f t="shared" si="4"/>
        <v>2.54</v>
      </c>
    </row>
    <row r="74" spans="1:6" x14ac:dyDescent="0.2">
      <c r="A74" s="20">
        <v>8</v>
      </c>
      <c r="B74" s="172" t="s">
        <v>7</v>
      </c>
      <c r="C74" s="173"/>
      <c r="D74" s="15">
        <f t="shared" si="5"/>
        <v>11440</v>
      </c>
      <c r="E74" s="18">
        <f>IF(F3="1",SUMIF(Data!A:A,'52'!$A$2,Data!EF:EF),0)</f>
        <v>30699</v>
      </c>
      <c r="F74" s="22">
        <f t="shared" si="4"/>
        <v>2.68</v>
      </c>
    </row>
    <row r="75" spans="1:6" x14ac:dyDescent="0.2">
      <c r="A75" s="20">
        <v>9</v>
      </c>
      <c r="B75" s="172" t="s">
        <v>8</v>
      </c>
      <c r="C75" s="173"/>
      <c r="D75" s="15">
        <f t="shared" si="5"/>
        <v>19184</v>
      </c>
      <c r="E75" s="18">
        <f>IF(F3="1",SUMIF(Data!A:A,'52'!$A$2,Data!EG:EG),0)</f>
        <v>51480</v>
      </c>
      <c r="F75" s="22">
        <f t="shared" si="4"/>
        <v>2.68</v>
      </c>
    </row>
    <row r="76" spans="1:6" x14ac:dyDescent="0.2">
      <c r="A76" s="20">
        <v>10</v>
      </c>
      <c r="B76" s="172" t="s">
        <v>9</v>
      </c>
      <c r="C76" s="173"/>
      <c r="D76" s="15">
        <f t="shared" si="5"/>
        <v>0</v>
      </c>
      <c r="E76" s="18">
        <f>IF(F3="1",SUMIF(Data!A:A,'52'!$A$2,Data!EH:EH),0)</f>
        <v>0</v>
      </c>
      <c r="F76" s="22" t="str">
        <f t="shared" si="4"/>
        <v/>
      </c>
    </row>
    <row r="77" spans="1:6" x14ac:dyDescent="0.2">
      <c r="A77" s="20">
        <v>11</v>
      </c>
      <c r="B77" s="172" t="s">
        <v>10</v>
      </c>
      <c r="C77" s="173"/>
      <c r="D77" s="15">
        <f t="shared" si="5"/>
        <v>104548</v>
      </c>
      <c r="E77" s="18">
        <f>IF(F3="1",SUMIF(Data!A:A,'52'!$A$2,Data!EI:EI),0)</f>
        <v>682175</v>
      </c>
      <c r="F77" s="22">
        <f t="shared" si="4"/>
        <v>6.52</v>
      </c>
    </row>
    <row r="78" spans="1:6" ht="14.25" customHeight="1" x14ac:dyDescent="0.2">
      <c r="A78" s="20">
        <v>12</v>
      </c>
      <c r="B78" s="172" t="s">
        <v>11</v>
      </c>
      <c r="C78" s="173"/>
      <c r="D78" s="15">
        <f t="shared" si="5"/>
        <v>74792</v>
      </c>
      <c r="E78" s="18">
        <f>IF(F3="1",SUMIF(Data!A:A,'52'!$A$2,Data!EJ:EJ),0)</f>
        <v>249017</v>
      </c>
      <c r="F78" s="22">
        <f t="shared" si="4"/>
        <v>3.33</v>
      </c>
    </row>
    <row r="79" spans="1:6" x14ac:dyDescent="0.2">
      <c r="A79" s="20">
        <v>13</v>
      </c>
      <c r="B79" s="172" t="s">
        <v>12</v>
      </c>
      <c r="C79" s="173"/>
      <c r="D79" s="15">
        <f t="shared" si="5"/>
        <v>4328</v>
      </c>
      <c r="E79" s="18">
        <f>IF(F3="1",SUMIF(Data!A:A,'52'!$A$2,Data!EK:EK),0)</f>
        <v>14410</v>
      </c>
      <c r="F79" s="22">
        <f t="shared" si="4"/>
        <v>3.33</v>
      </c>
    </row>
    <row r="80" spans="1:6" ht="14.25" customHeight="1" x14ac:dyDescent="0.2">
      <c r="A80" s="20">
        <v>14</v>
      </c>
      <c r="B80" s="172" t="s">
        <v>469</v>
      </c>
      <c r="C80" s="173"/>
      <c r="D80" s="15">
        <f t="shared" si="5"/>
        <v>30048</v>
      </c>
      <c r="E80" s="18">
        <f>IF(F3="1",SUMIF(Data!A:A,'52'!$A$2,Data!EL:EL),0)</f>
        <v>92806</v>
      </c>
      <c r="F80" s="22">
        <f t="shared" si="4"/>
        <v>3.09</v>
      </c>
    </row>
    <row r="81" spans="1:6" x14ac:dyDescent="0.2">
      <c r="A81" s="20">
        <v>15</v>
      </c>
      <c r="B81" s="172" t="s">
        <v>13</v>
      </c>
      <c r="C81" s="173"/>
      <c r="D81" s="15">
        <f t="shared" si="5"/>
        <v>0</v>
      </c>
      <c r="E81" s="18">
        <f>IF(F3="1",SUMIF(Data!A:A,'52'!$A$2,Data!EM:EM),0)</f>
        <v>0</v>
      </c>
      <c r="F81" s="22" t="str">
        <f t="shared" si="4"/>
        <v/>
      </c>
    </row>
    <row r="82" spans="1:6" x14ac:dyDescent="0.2">
      <c r="A82" s="20">
        <v>16</v>
      </c>
      <c r="B82" s="172" t="s">
        <v>14</v>
      </c>
      <c r="C82" s="173"/>
      <c r="D82" s="15">
        <f t="shared" si="5"/>
        <v>122839</v>
      </c>
      <c r="E82" s="18">
        <f>IF(F3="1",SUMIF(Data!A:A,'52'!$A$2,Data!EN:EN),0)</f>
        <v>379402</v>
      </c>
      <c r="F82" s="22">
        <f t="shared" si="4"/>
        <v>3.09</v>
      </c>
    </row>
    <row r="83" spans="1:6" x14ac:dyDescent="0.2">
      <c r="A83" s="20">
        <v>17</v>
      </c>
      <c r="B83" s="172" t="s">
        <v>15</v>
      </c>
      <c r="C83" s="173"/>
      <c r="D83" s="15">
        <f t="shared" si="5"/>
        <v>0</v>
      </c>
      <c r="E83" s="18">
        <f>IF(F3="1",SUMIF(Data!A:A,'52'!$A$2,Data!EO:EO),0)</f>
        <v>0</v>
      </c>
      <c r="F83" s="22" t="str">
        <f t="shared" si="4"/>
        <v/>
      </c>
    </row>
    <row r="84" spans="1:6" x14ac:dyDescent="0.2">
      <c r="A84" s="20">
        <v>18</v>
      </c>
      <c r="B84" s="172" t="s">
        <v>16</v>
      </c>
      <c r="C84" s="173"/>
      <c r="D84" s="15">
        <f t="shared" si="5"/>
        <v>249032</v>
      </c>
      <c r="E84" s="18">
        <f>IF(F3="1",SUMIF(Data!A:A,'52'!$A$2,Data!EP:EP),0)</f>
        <v>769163</v>
      </c>
      <c r="F84" s="22">
        <f t="shared" si="4"/>
        <v>3.09</v>
      </c>
    </row>
    <row r="85" spans="1:6" x14ac:dyDescent="0.2">
      <c r="A85" s="20">
        <v>19</v>
      </c>
      <c r="B85" s="172" t="s">
        <v>17</v>
      </c>
      <c r="C85" s="173"/>
      <c r="D85" s="15">
        <f t="shared" si="5"/>
        <v>66304</v>
      </c>
      <c r="E85" s="18">
        <f>IF(F3="1",SUMIF(Data!A:A,'52'!$A$2,Data!EQ:EQ),0)</f>
        <v>220756</v>
      </c>
      <c r="F85" s="22">
        <f t="shared" si="4"/>
        <v>3.33</v>
      </c>
    </row>
    <row r="86" spans="1:6" x14ac:dyDescent="0.2">
      <c r="A86" s="20">
        <v>20</v>
      </c>
      <c r="B86" s="172" t="s">
        <v>18</v>
      </c>
      <c r="C86" s="173"/>
      <c r="D86" s="15">
        <f t="shared" si="5"/>
        <v>48544</v>
      </c>
      <c r="E86" s="18">
        <f>IF(F3="1",SUMIF(Data!A:A,'52'!$A$2,Data!ER:ER),0)</f>
        <v>173723</v>
      </c>
      <c r="F86" s="22">
        <f t="shared" si="4"/>
        <v>3.58</v>
      </c>
    </row>
    <row r="87" spans="1:6" ht="14.25" customHeight="1" x14ac:dyDescent="0.2">
      <c r="A87" s="20">
        <v>21</v>
      </c>
      <c r="B87" s="172" t="s">
        <v>466</v>
      </c>
      <c r="C87" s="173"/>
      <c r="D87" s="15">
        <f t="shared" si="5"/>
        <v>85492</v>
      </c>
      <c r="E87" s="18">
        <f>IF(F3="1",SUMIF(Data!A:A,'52'!$A$2,Data!ES:ES),0)</f>
        <v>305948</v>
      </c>
      <c r="F87" s="22">
        <f t="shared" si="4"/>
        <v>3.58</v>
      </c>
    </row>
    <row r="88" spans="1:6" x14ac:dyDescent="0.2">
      <c r="A88" s="20">
        <v>22</v>
      </c>
      <c r="B88" s="172" t="s">
        <v>19</v>
      </c>
      <c r="C88" s="173"/>
      <c r="D88" s="15">
        <f t="shared" si="5"/>
        <v>384</v>
      </c>
      <c r="E88" s="18">
        <f>IF(F3="1",SUMIF(Data!A:A,'52'!$A$2,Data!ET:ET),0)</f>
        <v>1031</v>
      </c>
      <c r="F88" s="22">
        <f t="shared" si="4"/>
        <v>2.68</v>
      </c>
    </row>
    <row r="89" spans="1:6" x14ac:dyDescent="0.2">
      <c r="A89" s="20">
        <v>23</v>
      </c>
      <c r="B89" s="172" t="s">
        <v>20</v>
      </c>
      <c r="C89" s="173"/>
      <c r="D89" s="15">
        <f t="shared" si="5"/>
        <v>0</v>
      </c>
      <c r="E89" s="18">
        <f>IF(F3="1",SUMIF(Data!A:A,'52'!$A$2,Data!EU:EU),0)</f>
        <v>0</v>
      </c>
      <c r="F89" s="22" t="str">
        <f t="shared" si="4"/>
        <v/>
      </c>
    </row>
    <row r="90" spans="1:6" x14ac:dyDescent="0.2">
      <c r="A90" s="20">
        <v>24</v>
      </c>
      <c r="B90" s="172" t="s">
        <v>21</v>
      </c>
      <c r="C90" s="173"/>
      <c r="D90" s="15">
        <f t="shared" si="5"/>
        <v>47490</v>
      </c>
      <c r="E90" s="18">
        <f>IF(F3="1",SUMIF(Data!A:A,'52'!$A$2,Data!EV:EV),0)</f>
        <v>120602</v>
      </c>
      <c r="F90" s="22">
        <f t="shared" si="4"/>
        <v>2.54</v>
      </c>
    </row>
    <row r="91" spans="1:6" x14ac:dyDescent="0.2">
      <c r="A91" s="20">
        <v>25</v>
      </c>
      <c r="B91" s="172" t="s">
        <v>22</v>
      </c>
      <c r="C91" s="173"/>
      <c r="D91" s="15">
        <f t="shared" si="5"/>
        <v>26976</v>
      </c>
      <c r="E91" s="18">
        <f>IF(F3="1",SUMIF(Data!A:A,'52'!$A$2,Data!EW:EW),0)</f>
        <v>89815</v>
      </c>
      <c r="F91" s="22">
        <f t="shared" si="4"/>
        <v>3.33</v>
      </c>
    </row>
    <row r="92" spans="1:6" x14ac:dyDescent="0.2">
      <c r="A92" s="20">
        <v>26</v>
      </c>
      <c r="B92" s="172" t="s">
        <v>23</v>
      </c>
      <c r="C92" s="173"/>
      <c r="D92" s="15">
        <f t="shared" si="5"/>
        <v>32368</v>
      </c>
      <c r="E92" s="18">
        <f>IF(F3="1",SUMIF(Data!A:A,'52'!$A$2,Data!EX:EX),0)</f>
        <v>82201</v>
      </c>
      <c r="F92" s="22">
        <f t="shared" si="4"/>
        <v>2.54</v>
      </c>
    </row>
    <row r="93" spans="1:6" x14ac:dyDescent="0.2">
      <c r="A93" s="20">
        <v>28</v>
      </c>
      <c r="B93" s="172" t="s">
        <v>24</v>
      </c>
      <c r="C93" s="173"/>
      <c r="D93" s="15">
        <f t="shared" si="5"/>
        <v>0</v>
      </c>
      <c r="E93" s="18">
        <f>IF(F3="1",SUMIF(Data!A:A,'52'!$A$2,Data!EZ:EZ),0)</f>
        <v>0</v>
      </c>
      <c r="F93" s="22" t="str">
        <f t="shared" si="4"/>
        <v/>
      </c>
    </row>
    <row r="94" spans="1:6" ht="15.75" customHeight="1" thickBot="1" x14ac:dyDescent="0.25">
      <c r="A94" s="23">
        <v>29</v>
      </c>
      <c r="B94" s="174" t="s">
        <v>25</v>
      </c>
      <c r="C94" s="175"/>
      <c r="D94" s="24">
        <f t="shared" si="5"/>
        <v>0</v>
      </c>
      <c r="E94" s="25">
        <f>IF(F3="1",SUMIF(Data!A:A,'52'!$A$2,Data!FA:FA),0)</f>
        <v>0</v>
      </c>
      <c r="F94" s="26" t="str">
        <f t="shared" si="4"/>
        <v/>
      </c>
    </row>
    <row r="95" spans="1:6" x14ac:dyDescent="0.2">
      <c r="B95" s="31" t="s">
        <v>35</v>
      </c>
      <c r="C95" s="31"/>
      <c r="D95" s="61">
        <f>SUM(D67:D94)</f>
        <v>1461286</v>
      </c>
      <c r="E95" s="32">
        <f>SUM(E67:E94)</f>
        <v>4631888</v>
      </c>
      <c r="F95" s="33">
        <f t="shared" si="4"/>
        <v>3.17</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IF(F3="1",SUMIF(Data!A:A,'52'!$A$2,Data!AH:AH),0)</f>
        <v>1676070</v>
      </c>
      <c r="F98" s="21">
        <f>IF($D$105=0,"",ROUND(E98/$D$105,2))</f>
        <v>1.1499999999999999</v>
      </c>
    </row>
    <row r="99" spans="2:6" x14ac:dyDescent="0.2">
      <c r="B99" s="178" t="s">
        <v>31</v>
      </c>
      <c r="C99" s="179"/>
      <c r="D99" s="37"/>
      <c r="E99" s="18">
        <f>IF(F3="1",SUMIF(Data!A:A,'52'!$A$2,Data!AI:AI),0)</f>
        <v>2072608</v>
      </c>
      <c r="F99" s="22">
        <f t="shared" ref="F99:F105" si="6">IF($D$105=0,"",ROUND(E99/$D$105,2))</f>
        <v>1.42</v>
      </c>
    </row>
    <row r="100" spans="2:6" x14ac:dyDescent="0.2">
      <c r="B100" s="178" t="s">
        <v>32</v>
      </c>
      <c r="C100" s="179"/>
      <c r="D100" s="37"/>
      <c r="E100" s="18">
        <f>IF(F3="1",SUMIF(Data!A:A,'52'!$A$2,Data!AJ:AJ),0)</f>
        <v>1874590</v>
      </c>
      <c r="F100" s="22">
        <f t="shared" si="6"/>
        <v>1.28</v>
      </c>
    </row>
    <row r="101" spans="2:6" x14ac:dyDescent="0.2">
      <c r="B101" s="178" t="s">
        <v>28</v>
      </c>
      <c r="C101" s="179"/>
      <c r="D101" s="37"/>
      <c r="E101" s="18">
        <f>IF(F3="1",SUMIF(Data!A:A,'52'!$A$2,Data!AK:AK),0)</f>
        <v>65009</v>
      </c>
      <c r="F101" s="22">
        <f t="shared" si="6"/>
        <v>0.04</v>
      </c>
    </row>
    <row r="102" spans="2:6" x14ac:dyDescent="0.2">
      <c r="B102" s="178" t="s">
        <v>33</v>
      </c>
      <c r="C102" s="179"/>
      <c r="D102" s="37"/>
      <c r="E102" s="18">
        <f>IF(F3="1",SUMIF(Data!A:A,'52'!$A$2,Data!AL:AL),0)</f>
        <v>803842</v>
      </c>
      <c r="F102" s="22">
        <f t="shared" si="6"/>
        <v>0.55000000000000004</v>
      </c>
    </row>
    <row r="103" spans="2:6" x14ac:dyDescent="0.2">
      <c r="B103" s="180" t="s">
        <v>34</v>
      </c>
      <c r="C103" s="181"/>
      <c r="D103" s="37"/>
      <c r="E103" s="18">
        <f>IF(F3="1",SUMIF(Data!A:A,'52'!$A$2,Data!AM:AM),0)</f>
        <v>181970</v>
      </c>
      <c r="F103" s="22">
        <f t="shared" si="6"/>
        <v>0.12</v>
      </c>
    </row>
    <row r="104" spans="2:6" ht="15.75" customHeight="1" thickBot="1" x14ac:dyDescent="0.25">
      <c r="B104" s="170" t="s">
        <v>29</v>
      </c>
      <c r="C104" s="171"/>
      <c r="D104" s="38"/>
      <c r="E104" s="25">
        <f>IF(F3="1",SUMIF(Data!A:A,'52'!$A$2,Data!Q:Q),0)</f>
        <v>106910</v>
      </c>
      <c r="F104" s="26">
        <f t="shared" si="6"/>
        <v>7.0000000000000007E-2</v>
      </c>
    </row>
    <row r="105" spans="2:6" x14ac:dyDescent="0.2">
      <c r="B105" s="31" t="s">
        <v>35</v>
      </c>
      <c r="C105" s="31"/>
      <c r="D105" s="35">
        <f>D95</f>
        <v>1461286</v>
      </c>
      <c r="E105" s="32">
        <f>SUM(E98:E104)</f>
        <v>6780999</v>
      </c>
      <c r="F105" s="33">
        <f t="shared" si="6"/>
        <v>4.6399999999999997</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5436190</v>
      </c>
      <c r="D109" s="16">
        <f>IF(F3="1",SUMIF(Data!$A:$A,$A$2,Data!HJ:HJ),0)</f>
        <v>274478</v>
      </c>
      <c r="E109" s="16">
        <f>IF(F3="1",SUMIF(Data!$A:$A,$A$2,Data!IN:IN),0)</f>
        <v>1233808</v>
      </c>
      <c r="F109" s="48">
        <f>SUM(C109:E109)</f>
        <v>6944476</v>
      </c>
    </row>
    <row r="110" spans="2:6" x14ac:dyDescent="0.2">
      <c r="B110" s="43" t="s">
        <v>28</v>
      </c>
      <c r="C110" s="51">
        <f>IF(F3="1",SUMIF(Data!A:A,$A$2,Data!W:W),0)</f>
        <v>62854</v>
      </c>
      <c r="D110" s="52"/>
      <c r="E110" s="51">
        <f>IF(F3="1",SUMIF(Data!A:A,$A$2,Data!W:W),0)</f>
        <v>62854</v>
      </c>
      <c r="F110" s="49">
        <f t="shared" ref="F110:F116" si="7">SUM(C110:E110)</f>
        <v>125708</v>
      </c>
    </row>
    <row r="111" spans="2:6" x14ac:dyDescent="0.2">
      <c r="B111" s="43" t="s">
        <v>936</v>
      </c>
      <c r="C111" s="51">
        <f>IF(F3="1",SUMIF(Data!A:A,$A$2,Data!AS:AS),0)</f>
        <v>680700</v>
      </c>
      <c r="D111" s="52"/>
      <c r="E111" s="51">
        <f>IF(F3="1",SUMIF(Data!A:A,$A$2,Data!AX:AX),0)</f>
        <v>505377</v>
      </c>
      <c r="F111" s="49">
        <f t="shared" si="7"/>
        <v>1186077</v>
      </c>
    </row>
    <row r="112" spans="2:6" x14ac:dyDescent="0.2">
      <c r="B112" s="43" t="s">
        <v>32</v>
      </c>
      <c r="C112" s="51">
        <f>IF(F3="1",SUMIF(Data!A:A,$A$2,Data!V:V),0)</f>
        <v>918001</v>
      </c>
      <c r="D112" s="52"/>
      <c r="E112" s="51">
        <f>IF(F3="1",SUMIF(Data!A:A,$A$2,Data!AC:AC),0)</f>
        <v>956589</v>
      </c>
      <c r="F112" s="49">
        <f t="shared" si="7"/>
        <v>1874590</v>
      </c>
    </row>
    <row r="113" spans="1:6" x14ac:dyDescent="0.2">
      <c r="B113" s="43" t="s">
        <v>31</v>
      </c>
      <c r="C113" s="51">
        <f>IF(F3="1",SUMIF(Data!A:A,$A$2,Data!U:U),0)</f>
        <v>1579490</v>
      </c>
      <c r="D113" s="52"/>
      <c r="E113" s="51">
        <f>IF(F3="1",SUMIF(Data!A:A,$A$2,Data!AB:AB),0)</f>
        <v>493118</v>
      </c>
      <c r="F113" s="49">
        <f t="shared" si="7"/>
        <v>2072608</v>
      </c>
    </row>
    <row r="114" spans="1:6" x14ac:dyDescent="0.2">
      <c r="B114" s="43" t="s">
        <v>1021</v>
      </c>
      <c r="C114" s="51">
        <f>IF(F3="1",SUMIF(Data!A:A,$A$2,Data!T:T),0)</f>
        <v>1456195</v>
      </c>
      <c r="D114" s="52"/>
      <c r="E114" s="51">
        <f>IF(F3="1",SUMIF(Data!A:A,$A$2,Data!AA:AA),0)</f>
        <v>219875</v>
      </c>
      <c r="F114" s="49">
        <f t="shared" si="7"/>
        <v>1676070</v>
      </c>
    </row>
    <row r="115" spans="1:6" x14ac:dyDescent="0.2">
      <c r="B115" s="43" t="s">
        <v>937</v>
      </c>
      <c r="C115" s="51">
        <f>IF(F3="1",SUMIF(Data!A:A,$A$2,Data!BI:BI),0)</f>
        <v>943304</v>
      </c>
      <c r="D115" s="51">
        <f>IF(F3="1",SUMIF(Data!A:A,$A$2,Data!BL:BL),0)</f>
        <v>29692</v>
      </c>
      <c r="E115" s="51">
        <f>IF(F3="1",SUMIF(Data!A:A,$A$2,Data!BU:BU),0)</f>
        <v>1535892</v>
      </c>
      <c r="F115" s="49">
        <f t="shared" si="7"/>
        <v>2508888</v>
      </c>
    </row>
    <row r="116" spans="1:6" x14ac:dyDescent="0.2">
      <c r="B116" s="43" t="s">
        <v>33</v>
      </c>
      <c r="C116" s="51">
        <f>IF(F3="1",SUMIF(Data!A:A,$A$2,Data!X:X),0)</f>
        <v>0</v>
      </c>
      <c r="D116" s="51"/>
      <c r="E116" s="51">
        <f>E102</f>
        <v>803842</v>
      </c>
      <c r="F116" s="49">
        <f t="shared" si="7"/>
        <v>803842</v>
      </c>
    </row>
    <row r="117" spans="1:6" ht="15" thickBot="1" x14ac:dyDescent="0.25">
      <c r="B117" s="44" t="s">
        <v>941</v>
      </c>
      <c r="C117" s="53"/>
      <c r="D117" s="53">
        <f>IF(F3="1",SUMIF(Data!A:A,$A$2,Data!Q:Q),0)</f>
        <v>106910</v>
      </c>
      <c r="E117" s="53"/>
      <c r="F117" s="50">
        <f>SUM(C117:E117)</f>
        <v>106910</v>
      </c>
    </row>
    <row r="118" spans="1:6" x14ac:dyDescent="0.2">
      <c r="B118" s="14" t="s">
        <v>35</v>
      </c>
      <c r="C118" s="5">
        <f>SUM(C109:C116)</f>
        <v>11076734</v>
      </c>
      <c r="D118" s="5">
        <f>SUM(D109:D116)</f>
        <v>304170</v>
      </c>
      <c r="E118" s="5">
        <f>SUM(E109:E116)</f>
        <v>5811355</v>
      </c>
      <c r="F118" s="5">
        <f>SUM(F109:F116)</f>
        <v>17192259</v>
      </c>
    </row>
    <row r="119" spans="1:6" ht="15" thickBot="1" x14ac:dyDescent="0.25"/>
    <row r="120" spans="1:6" ht="15" thickBot="1" x14ac:dyDescent="0.25">
      <c r="B120" s="57" t="s">
        <v>942</v>
      </c>
      <c r="C120" s="55"/>
      <c r="D120" s="55"/>
      <c r="E120" s="55">
        <f>IF(F3="1",SUMIF(Data!A:A,'52'!$A$2,Data!AM:AM),0)</f>
        <v>181970</v>
      </c>
      <c r="F120" s="56">
        <f>SUM(C120:E120)</f>
        <v>181970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28515625" style="11" bestFit="1" customWidth="1"/>
    <col min="12" max="12" width="12.42578125" style="11" bestFit="1" customWidth="1"/>
    <col min="13" max="13" width="10.5703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460</v>
      </c>
      <c r="B2" s="60" t="str">
        <f>VLOOKUP(A2,Data!A:G,7,0)</f>
        <v>Texas State Technical Collage-Marshall</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672</v>
      </c>
      <c r="E5" s="16">
        <f>E36+E67+IFERROR($E$105/$D$105*D5,0)</f>
        <v>7435.7239544121085</v>
      </c>
      <c r="F5" s="21">
        <f>IF(OR(D5=0,E5=0),"",ROUND(E5/D5,2))</f>
        <v>11.07</v>
      </c>
    </row>
    <row r="6" spans="1:6" x14ac:dyDescent="0.2">
      <c r="A6" s="20">
        <v>2</v>
      </c>
      <c r="B6" s="172" t="s">
        <v>1</v>
      </c>
      <c r="C6" s="173"/>
      <c r="D6" s="15">
        <f t="shared" ref="D6:D32" si="0">D37</f>
        <v>44426</v>
      </c>
      <c r="E6" s="18">
        <f t="shared" ref="E6:E32" si="1">E37+E68+IFERROR($E$105/$D$105*D6,0)</f>
        <v>630255.02142665524</v>
      </c>
      <c r="F6" s="22">
        <f t="shared" ref="F6:F33" si="2">IF(OR(D6=0,E6=0),"",ROUND(E6/D6,2))</f>
        <v>14.19</v>
      </c>
    </row>
    <row r="7" spans="1:6" ht="14.25" customHeight="1" x14ac:dyDescent="0.2">
      <c r="A7" s="20">
        <v>3</v>
      </c>
      <c r="B7" s="172" t="s">
        <v>2</v>
      </c>
      <c r="C7" s="173"/>
      <c r="D7" s="15">
        <f t="shared" si="0"/>
        <v>17458</v>
      </c>
      <c r="E7" s="18">
        <f t="shared" si="1"/>
        <v>152061.18273233122</v>
      </c>
      <c r="F7" s="22">
        <f t="shared" si="2"/>
        <v>8.7100000000000009</v>
      </c>
    </row>
    <row r="8" spans="1:6" ht="14.25" customHeight="1" x14ac:dyDescent="0.2">
      <c r="A8" s="20">
        <v>4</v>
      </c>
      <c r="B8" s="172" t="s">
        <v>3</v>
      </c>
      <c r="C8" s="173"/>
      <c r="D8" s="15">
        <f t="shared" si="0"/>
        <v>31192</v>
      </c>
      <c r="E8" s="18">
        <f t="shared" si="1"/>
        <v>264504.1035506287</v>
      </c>
      <c r="F8" s="22">
        <f t="shared" si="2"/>
        <v>8.48</v>
      </c>
    </row>
    <row r="9" spans="1:6" x14ac:dyDescent="0.2">
      <c r="A9" s="20">
        <v>5</v>
      </c>
      <c r="B9" s="172" t="s">
        <v>4</v>
      </c>
      <c r="C9" s="173"/>
      <c r="D9" s="15">
        <f t="shared" si="0"/>
        <v>96</v>
      </c>
      <c r="E9" s="18">
        <f t="shared" si="1"/>
        <v>552.96056491601553</v>
      </c>
      <c r="F9" s="22">
        <f t="shared" si="2"/>
        <v>5.76</v>
      </c>
    </row>
    <row r="10" spans="1:6" x14ac:dyDescent="0.2">
      <c r="A10" s="20">
        <v>6</v>
      </c>
      <c r="B10" s="172" t="s">
        <v>5</v>
      </c>
      <c r="C10" s="173"/>
      <c r="D10" s="15">
        <f t="shared" si="0"/>
        <v>5528</v>
      </c>
      <c r="E10" s="18">
        <f t="shared" si="1"/>
        <v>61171.312529747229</v>
      </c>
      <c r="F10" s="22">
        <f t="shared" si="2"/>
        <v>11.07</v>
      </c>
    </row>
    <row r="11" spans="1:6" x14ac:dyDescent="0.2">
      <c r="A11" s="20">
        <v>7</v>
      </c>
      <c r="B11" s="172" t="s">
        <v>6</v>
      </c>
      <c r="C11" s="173"/>
      <c r="D11" s="15">
        <f t="shared" si="0"/>
        <v>71328</v>
      </c>
      <c r="E11" s="18">
        <f t="shared" si="1"/>
        <v>604853.69973259955</v>
      </c>
      <c r="F11" s="22">
        <f t="shared" si="2"/>
        <v>8.48</v>
      </c>
    </row>
    <row r="12" spans="1:6" x14ac:dyDescent="0.2">
      <c r="A12" s="20">
        <v>8</v>
      </c>
      <c r="B12" s="172" t="s">
        <v>7</v>
      </c>
      <c r="C12" s="173"/>
      <c r="D12" s="15">
        <f t="shared" si="0"/>
        <v>15584</v>
      </c>
      <c r="E12" s="18">
        <f t="shared" si="1"/>
        <v>172445.93170469985</v>
      </c>
      <c r="F12" s="22">
        <f t="shared" si="2"/>
        <v>11.07</v>
      </c>
    </row>
    <row r="13" spans="1:6" x14ac:dyDescent="0.2">
      <c r="A13" s="20">
        <v>9</v>
      </c>
      <c r="B13" s="172" t="s">
        <v>8</v>
      </c>
      <c r="C13" s="173"/>
      <c r="D13" s="15">
        <f t="shared" si="0"/>
        <v>48</v>
      </c>
      <c r="E13" s="18">
        <f t="shared" si="1"/>
        <v>531.48028245800776</v>
      </c>
      <c r="F13" s="22">
        <f t="shared" si="2"/>
        <v>11.07</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129104</v>
      </c>
      <c r="E15" s="18">
        <f t="shared" si="1"/>
        <v>1483907.7997178882</v>
      </c>
      <c r="F15" s="22">
        <f t="shared" si="2"/>
        <v>11.49</v>
      </c>
    </row>
    <row r="16" spans="1:6" ht="14.25" customHeight="1" x14ac:dyDescent="0.2">
      <c r="A16" s="20">
        <v>12</v>
      </c>
      <c r="B16" s="172" t="s">
        <v>11</v>
      </c>
      <c r="C16" s="173"/>
      <c r="D16" s="15">
        <f t="shared" si="0"/>
        <v>46152</v>
      </c>
      <c r="E16" s="18">
        <f t="shared" si="1"/>
        <v>448301.79158337443</v>
      </c>
      <c r="F16" s="22">
        <f t="shared" si="2"/>
        <v>9.7100000000000009</v>
      </c>
    </row>
    <row r="17" spans="1:6" x14ac:dyDescent="0.2">
      <c r="A17" s="20">
        <v>13</v>
      </c>
      <c r="B17" s="172" t="s">
        <v>12</v>
      </c>
      <c r="C17" s="173"/>
      <c r="D17" s="15">
        <f t="shared" si="0"/>
        <v>80</v>
      </c>
      <c r="E17" s="18">
        <f t="shared" si="1"/>
        <v>663.8004707633462</v>
      </c>
      <c r="F17" s="22">
        <f t="shared" si="2"/>
        <v>8.3000000000000007</v>
      </c>
    </row>
    <row r="18" spans="1:6" ht="14.25" customHeight="1" x14ac:dyDescent="0.2">
      <c r="A18" s="20">
        <v>14</v>
      </c>
      <c r="B18" s="172" t="s">
        <v>469</v>
      </c>
      <c r="C18" s="173"/>
      <c r="D18" s="15">
        <f t="shared" si="0"/>
        <v>0</v>
      </c>
      <c r="E18" s="18">
        <f t="shared" si="1"/>
        <v>0</v>
      </c>
      <c r="F18" s="22" t="str">
        <f t="shared" si="2"/>
        <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120</v>
      </c>
      <c r="E20" s="18">
        <f t="shared" si="1"/>
        <v>1326.2007061450195</v>
      </c>
      <c r="F20" s="22">
        <f t="shared" si="2"/>
        <v>11.05</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38800</v>
      </c>
      <c r="E23" s="18">
        <f t="shared" si="1"/>
        <v>399112.22832022293</v>
      </c>
      <c r="F23" s="22">
        <f t="shared" si="2"/>
        <v>10.29</v>
      </c>
    </row>
    <row r="24" spans="1:6" x14ac:dyDescent="0.2">
      <c r="A24" s="20">
        <v>20</v>
      </c>
      <c r="B24" s="172" t="s">
        <v>18</v>
      </c>
      <c r="C24" s="173"/>
      <c r="D24" s="15">
        <f t="shared" si="0"/>
        <v>2160</v>
      </c>
      <c r="E24" s="18">
        <f t="shared" si="1"/>
        <v>26537.612710610349</v>
      </c>
      <c r="F24" s="22">
        <f t="shared" si="2"/>
        <v>12.29</v>
      </c>
    </row>
    <row r="25" spans="1:6" ht="14.25" customHeight="1" x14ac:dyDescent="0.2">
      <c r="A25" s="20">
        <v>21</v>
      </c>
      <c r="B25" s="172" t="s">
        <v>466</v>
      </c>
      <c r="C25" s="173"/>
      <c r="D25" s="15">
        <f t="shared" si="0"/>
        <v>27976</v>
      </c>
      <c r="E25" s="18">
        <f t="shared" si="1"/>
        <v>343705.92462594213</v>
      </c>
      <c r="F25" s="22">
        <f t="shared" si="2"/>
        <v>12.29</v>
      </c>
    </row>
    <row r="26" spans="1:6" x14ac:dyDescent="0.2">
      <c r="A26" s="20">
        <v>22</v>
      </c>
      <c r="B26" s="172" t="s">
        <v>19</v>
      </c>
      <c r="C26" s="173"/>
      <c r="D26" s="15">
        <f t="shared" si="0"/>
        <v>9152</v>
      </c>
      <c r="E26" s="18">
        <f t="shared" si="1"/>
        <v>101272.5738553268</v>
      </c>
      <c r="F26" s="22">
        <f t="shared" si="2"/>
        <v>11.07</v>
      </c>
    </row>
    <row r="27" spans="1:6" x14ac:dyDescent="0.2">
      <c r="A27" s="20">
        <v>23</v>
      </c>
      <c r="B27" s="172" t="s">
        <v>20</v>
      </c>
      <c r="C27" s="173"/>
      <c r="D27" s="15">
        <f t="shared" si="0"/>
        <v>0</v>
      </c>
      <c r="E27" s="18">
        <f t="shared" si="1"/>
        <v>0</v>
      </c>
      <c r="F27" s="22" t="str">
        <f t="shared" si="2"/>
        <v/>
      </c>
    </row>
    <row r="28" spans="1:6" x14ac:dyDescent="0.2">
      <c r="A28" s="20">
        <v>24</v>
      </c>
      <c r="B28" s="172" t="s">
        <v>21</v>
      </c>
      <c r="C28" s="173"/>
      <c r="D28" s="15">
        <f t="shared" si="0"/>
        <v>48</v>
      </c>
      <c r="E28" s="18">
        <f t="shared" si="1"/>
        <v>406.48028245800776</v>
      </c>
      <c r="F28" s="22">
        <f t="shared" si="2"/>
        <v>8.4700000000000006</v>
      </c>
    </row>
    <row r="29" spans="1:6" x14ac:dyDescent="0.2">
      <c r="A29" s="20">
        <v>25</v>
      </c>
      <c r="B29" s="172" t="s">
        <v>22</v>
      </c>
      <c r="C29" s="173"/>
      <c r="D29" s="15">
        <f t="shared" si="0"/>
        <v>16544</v>
      </c>
      <c r="E29" s="18">
        <f t="shared" si="1"/>
        <v>118056.53735386</v>
      </c>
      <c r="F29" s="22">
        <f t="shared" si="2"/>
        <v>7.14</v>
      </c>
    </row>
    <row r="30" spans="1:6" x14ac:dyDescent="0.2">
      <c r="A30" s="20">
        <v>26</v>
      </c>
      <c r="B30" s="172" t="s">
        <v>23</v>
      </c>
      <c r="C30" s="173"/>
      <c r="D30" s="15">
        <f t="shared" si="0"/>
        <v>5760</v>
      </c>
      <c r="E30" s="18">
        <f t="shared" si="1"/>
        <v>48843.633894960927</v>
      </c>
      <c r="F30" s="22">
        <f t="shared" si="2"/>
        <v>8.48</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462228</v>
      </c>
      <c r="E33" s="32">
        <f>SUM(E5:E32)</f>
        <v>4865946</v>
      </c>
      <c r="F33" s="33">
        <f t="shared" si="2"/>
        <v>10.53</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IF(F3="1",SUMIF(Data!A:A,'53'!$A$2,Data!CU:CU),0)</f>
        <v>672</v>
      </c>
      <c r="E36" s="16">
        <f>IF(F3="1",SUMIF(Data!$A:$A,'53'!$A$2,Data!IO:IO),0)</f>
        <v>474</v>
      </c>
      <c r="F36" s="21">
        <f>IF(D36=0,"",ROUND(E36/D36,2))</f>
        <v>0.71</v>
      </c>
    </row>
    <row r="37" spans="1:6" x14ac:dyDescent="0.2">
      <c r="A37" s="20">
        <v>2</v>
      </c>
      <c r="B37" s="172" t="s">
        <v>1</v>
      </c>
      <c r="C37" s="173"/>
      <c r="D37" s="15">
        <f>IF(F3="1",SUMIF(Data!A:A,'53'!$A$2,Data!CV:CV),0)</f>
        <v>44426</v>
      </c>
      <c r="E37" s="18">
        <f>IF(F3="1",SUMIF(Data!$A:$A,'53'!$A$2,Data!IP:IP),0)</f>
        <v>83309</v>
      </c>
      <c r="F37" s="22">
        <f t="shared" ref="F37:F64" si="3">IF(D37=0,"",ROUND(E37/D37,2))</f>
        <v>1.88</v>
      </c>
    </row>
    <row r="38" spans="1:6" ht="14.25" customHeight="1" x14ac:dyDescent="0.2">
      <c r="A38" s="20">
        <v>3</v>
      </c>
      <c r="B38" s="172" t="s">
        <v>2</v>
      </c>
      <c r="C38" s="173"/>
      <c r="D38" s="15">
        <f>IF(F3="1",SUMIF(Data!A:A,'53'!$A$2,Data!CW:CW),0)</f>
        <v>17458</v>
      </c>
      <c r="E38" s="18">
        <f>IF(F3="1",SUMIF(Data!$A:$A,'53'!$A$2,Data!IQ:IQ),0)</f>
        <v>10719</v>
      </c>
      <c r="F38" s="22">
        <f t="shared" si="3"/>
        <v>0.61</v>
      </c>
    </row>
    <row r="39" spans="1:6" ht="14.25" customHeight="1" x14ac:dyDescent="0.2">
      <c r="A39" s="20">
        <v>4</v>
      </c>
      <c r="B39" s="172" t="s">
        <v>3</v>
      </c>
      <c r="C39" s="173"/>
      <c r="D39" s="15">
        <f>IF(F3="1",SUMIF(Data!A:A,'53'!$A$2,Data!CX:CX),0)</f>
        <v>31192</v>
      </c>
      <c r="E39" s="18">
        <f>IF(F3="1",SUMIF(Data!$A:$A,'53'!$A$2,Data!IR:IR),0)</f>
        <v>35622</v>
      </c>
      <c r="F39" s="22">
        <f t="shared" si="3"/>
        <v>1.1399999999999999</v>
      </c>
    </row>
    <row r="40" spans="1:6" x14ac:dyDescent="0.2">
      <c r="A40" s="20">
        <v>5</v>
      </c>
      <c r="B40" s="172" t="s">
        <v>4</v>
      </c>
      <c r="C40" s="173"/>
      <c r="D40" s="15">
        <f>IF(F3="1",SUMIF(Data!A:A,'53'!$A$2,Data!CY:CY),0)</f>
        <v>96</v>
      </c>
      <c r="E40" s="18">
        <f>IF(F3="1",SUMIF(Data!$A:$A,'53'!$A$2,Data!IS:IS),0)</f>
        <v>0</v>
      </c>
      <c r="F40" s="22" t="str">
        <f>IF(E40=0,"",ROUND(E40/D40,2))</f>
        <v/>
      </c>
    </row>
    <row r="41" spans="1:6" x14ac:dyDescent="0.2">
      <c r="A41" s="20">
        <v>6</v>
      </c>
      <c r="B41" s="172" t="s">
        <v>5</v>
      </c>
      <c r="C41" s="173"/>
      <c r="D41" s="15">
        <f>IF(F3="1",SUMIF(Data!A:A,'53'!$A$2,Data!CZ:CZ),0)</f>
        <v>5528</v>
      </c>
      <c r="E41" s="18">
        <f>IF(F3="1",SUMIF(Data!$A:$A,'53'!$A$2,Data!IT:IT),0)</f>
        <v>3899</v>
      </c>
      <c r="F41" s="22">
        <f t="shared" si="3"/>
        <v>0.71</v>
      </c>
    </row>
    <row r="42" spans="1:6" x14ac:dyDescent="0.2">
      <c r="A42" s="20">
        <v>7</v>
      </c>
      <c r="B42" s="172" t="s">
        <v>6</v>
      </c>
      <c r="C42" s="173"/>
      <c r="D42" s="15">
        <f>IF(F3="1",SUMIF(Data!A:A,'53'!$A$2,Data!DA:DA),0)</f>
        <v>71328</v>
      </c>
      <c r="E42" s="18">
        <f>IF(F3="1",SUMIF(Data!$A:$A,'53'!$A$2,Data!IU:IU),0)</f>
        <v>81461</v>
      </c>
      <c r="F42" s="22">
        <f t="shared" si="3"/>
        <v>1.1399999999999999</v>
      </c>
    </row>
    <row r="43" spans="1:6" x14ac:dyDescent="0.2">
      <c r="A43" s="20">
        <v>8</v>
      </c>
      <c r="B43" s="172" t="s">
        <v>7</v>
      </c>
      <c r="C43" s="173"/>
      <c r="D43" s="15">
        <f>IF(F3="1",SUMIF(Data!A:A,'53'!$A$2,Data!DB:DB),0)</f>
        <v>15584</v>
      </c>
      <c r="E43" s="18">
        <f>IF(F3="1",SUMIF(Data!$A:$A,'53'!$A$2,Data!IV:IV),0)</f>
        <v>10991</v>
      </c>
      <c r="F43" s="22">
        <f t="shared" si="3"/>
        <v>0.71</v>
      </c>
    </row>
    <row r="44" spans="1:6" x14ac:dyDescent="0.2">
      <c r="A44" s="20">
        <v>9</v>
      </c>
      <c r="B44" s="172" t="s">
        <v>8</v>
      </c>
      <c r="C44" s="173"/>
      <c r="D44" s="15">
        <f>IF(F3="1",SUMIF(Data!A:A,'53'!$A$2,Data!DC:DC),0)</f>
        <v>48</v>
      </c>
      <c r="E44" s="18">
        <f>IF(F3="1",SUMIF(Data!$A:$A,'53'!$A$2,Data!IW:IW),0)</f>
        <v>34</v>
      </c>
      <c r="F44" s="22">
        <f t="shared" si="3"/>
        <v>0.71</v>
      </c>
    </row>
    <row r="45" spans="1:6" x14ac:dyDescent="0.2">
      <c r="A45" s="20">
        <v>10</v>
      </c>
      <c r="B45" s="172" t="s">
        <v>9</v>
      </c>
      <c r="C45" s="173"/>
      <c r="D45" s="15">
        <f>IF(F3="1",SUMIF(Data!A:A,'53'!$A$2,Data!DD:DD),0)</f>
        <v>0</v>
      </c>
      <c r="E45" s="18">
        <f>IF(F3="1",SUMIF(Data!$A:$A,'53'!$A$2,Data!IX:IX),0)</f>
        <v>0</v>
      </c>
      <c r="F45" s="22" t="str">
        <f t="shared" si="3"/>
        <v/>
      </c>
    </row>
    <row r="46" spans="1:6" x14ac:dyDescent="0.2">
      <c r="A46" s="20">
        <v>11</v>
      </c>
      <c r="B46" s="172" t="s">
        <v>10</v>
      </c>
      <c r="C46" s="173"/>
      <c r="D46" s="15">
        <f>IF(F3="1",SUMIF(Data!A:A,'53'!$A$2,Data!DE:DE),0)</f>
        <v>129104</v>
      </c>
      <c r="E46" s="18">
        <f>IF(F3="1",SUMIF(Data!$A:$A,'53'!$A$2,Data!IY:IY),0)</f>
        <v>163238</v>
      </c>
      <c r="F46" s="22">
        <f t="shared" si="3"/>
        <v>1.26</v>
      </c>
    </row>
    <row r="47" spans="1:6" ht="14.25" customHeight="1" x14ac:dyDescent="0.2">
      <c r="A47" s="20">
        <v>12</v>
      </c>
      <c r="B47" s="172" t="s">
        <v>11</v>
      </c>
      <c r="C47" s="173"/>
      <c r="D47" s="15">
        <f>IF(F3="1",SUMIF(Data!A:A,'53'!$A$2,Data!DF:DF),0)</f>
        <v>46152</v>
      </c>
      <c r="E47" s="18">
        <f>IF(F3="1",SUMIF(Data!$A:$A,'53'!$A$2,Data!IZ:IZ),0)</f>
        <v>32152</v>
      </c>
      <c r="F47" s="22">
        <f t="shared" si="3"/>
        <v>0.7</v>
      </c>
    </row>
    <row r="48" spans="1:6" x14ac:dyDescent="0.2">
      <c r="A48" s="20">
        <v>13</v>
      </c>
      <c r="B48" s="172" t="s">
        <v>12</v>
      </c>
      <c r="C48" s="173"/>
      <c r="D48" s="15">
        <f>IF(F3="1",SUMIF(Data!A:A,'53'!$A$2,Data!DG:DG),0)</f>
        <v>80</v>
      </c>
      <c r="E48" s="18">
        <f>IF(F3="1",SUMIF(Data!$A:$A,'53'!$A$2,Data!JA:JA),0)</f>
        <v>48</v>
      </c>
      <c r="F48" s="22">
        <f t="shared" si="3"/>
        <v>0.6</v>
      </c>
    </row>
    <row r="49" spans="1:6" ht="14.25" customHeight="1" x14ac:dyDescent="0.2">
      <c r="A49" s="20">
        <v>14</v>
      </c>
      <c r="B49" s="172" t="s">
        <v>469</v>
      </c>
      <c r="C49" s="173"/>
      <c r="D49" s="15">
        <f>IF(F3="1",SUMIF(Data!A:A,'53'!$A$2,Data!DH:DH),0)</f>
        <v>0</v>
      </c>
      <c r="E49" s="18">
        <f>IF(F3="1",SUMIF(Data!$A:$A,'53'!$A$2,Data!JB:JB),0)</f>
        <v>0</v>
      </c>
      <c r="F49" s="22" t="str">
        <f t="shared" si="3"/>
        <v/>
      </c>
    </row>
    <row r="50" spans="1:6" x14ac:dyDescent="0.2">
      <c r="A50" s="20">
        <v>15</v>
      </c>
      <c r="B50" s="172" t="s">
        <v>13</v>
      </c>
      <c r="C50" s="173"/>
      <c r="D50" s="15">
        <f>IF(F3="1",SUMIF(Data!A:A,'53'!$A$2,Data!DI:DI),0)</f>
        <v>0</v>
      </c>
      <c r="E50" s="18">
        <f>IF(F3="1",SUMIF(Data!$A:$A,'53'!$A$2,Data!JC:JC),0)</f>
        <v>0</v>
      </c>
      <c r="F50" s="22" t="str">
        <f t="shared" si="3"/>
        <v/>
      </c>
    </row>
    <row r="51" spans="1:6" x14ac:dyDescent="0.2">
      <c r="A51" s="20">
        <v>16</v>
      </c>
      <c r="B51" s="172" t="s">
        <v>14</v>
      </c>
      <c r="C51" s="173"/>
      <c r="D51" s="15">
        <f>IF(F3="1",SUMIF(Data!A:A,'53'!$A$2,Data!DJ:DJ),0)</f>
        <v>120</v>
      </c>
      <c r="E51" s="18">
        <f>IF(F3="1",SUMIF(Data!$A:$A,'53'!$A$2,Data!JD:JD),0)</f>
        <v>85</v>
      </c>
      <c r="F51" s="22">
        <f t="shared" si="3"/>
        <v>0.71</v>
      </c>
    </row>
    <row r="52" spans="1:6" x14ac:dyDescent="0.2">
      <c r="A52" s="20">
        <v>17</v>
      </c>
      <c r="B52" s="172" t="s">
        <v>15</v>
      </c>
      <c r="C52" s="173"/>
      <c r="D52" s="15">
        <f>IF(F3="1",SUMIF(Data!A:A,'53'!$A$2,Data!DK:DK),0)</f>
        <v>0</v>
      </c>
      <c r="E52" s="18">
        <f>IF(F3="1",SUMIF(Data!$A:$A,'53'!$A$2,Data!JE:JE),0)</f>
        <v>0</v>
      </c>
      <c r="F52" s="22" t="str">
        <f t="shared" si="3"/>
        <v/>
      </c>
    </row>
    <row r="53" spans="1:6" x14ac:dyDescent="0.2">
      <c r="A53" s="20">
        <v>18</v>
      </c>
      <c r="B53" s="172" t="s">
        <v>16</v>
      </c>
      <c r="C53" s="173"/>
      <c r="D53" s="15">
        <f>IF(F3="1",SUMIF(Data!A:A,'53'!$A$2,Data!DL:DL),0)</f>
        <v>0</v>
      </c>
      <c r="E53" s="18">
        <f>IF(F3="1",SUMIF(Data!$A:$A,'53'!$A$2,Data!JF:JF),0)</f>
        <v>0</v>
      </c>
      <c r="F53" s="22" t="str">
        <f t="shared" si="3"/>
        <v/>
      </c>
    </row>
    <row r="54" spans="1:6" x14ac:dyDescent="0.2">
      <c r="A54" s="20">
        <v>19</v>
      </c>
      <c r="B54" s="172" t="s">
        <v>17</v>
      </c>
      <c r="C54" s="173"/>
      <c r="D54" s="15">
        <f>IF(F3="1",SUMIF(Data!A:A,'53'!$A$2,Data!DM:DM),0)</f>
        <v>38800</v>
      </c>
      <c r="E54" s="18">
        <f>IF(F3="1",SUMIF(Data!$A:$A,'53'!$A$2,Data!JG:JG),0)</f>
        <v>28055</v>
      </c>
      <c r="F54" s="22">
        <f t="shared" si="3"/>
        <v>0.72</v>
      </c>
    </row>
    <row r="55" spans="1:6" x14ac:dyDescent="0.2">
      <c r="A55" s="20">
        <v>20</v>
      </c>
      <c r="B55" s="172" t="s">
        <v>18</v>
      </c>
      <c r="C55" s="173"/>
      <c r="D55" s="15">
        <f>IF(F3="1",SUMIF(Data!A:A,'53'!$A$2,Data!DN:DN),0)</f>
        <v>2160</v>
      </c>
      <c r="E55" s="18">
        <f>IF(F3="1",SUMIF(Data!$A:$A,'53'!$A$2,Data!JH:JH),0)</f>
        <v>6779</v>
      </c>
      <c r="F55" s="22">
        <f t="shared" si="3"/>
        <v>3.14</v>
      </c>
    </row>
    <row r="56" spans="1:6" ht="14.25" customHeight="1" x14ac:dyDescent="0.2">
      <c r="A56" s="20">
        <v>21</v>
      </c>
      <c r="B56" s="172" t="s">
        <v>466</v>
      </c>
      <c r="C56" s="173"/>
      <c r="D56" s="15">
        <f>IF(F3="1",SUMIF(Data!A:A,'53'!$A$2,Data!DO:DO),0)</f>
        <v>27976</v>
      </c>
      <c r="E56" s="18">
        <f>IF(F3="1",SUMIF(Data!$A:$A,'53'!$A$2,Data!JI:JI),0)</f>
        <v>87802</v>
      </c>
      <c r="F56" s="22">
        <f t="shared" si="3"/>
        <v>3.14</v>
      </c>
    </row>
    <row r="57" spans="1:6" x14ac:dyDescent="0.2">
      <c r="A57" s="20">
        <v>22</v>
      </c>
      <c r="B57" s="172" t="s">
        <v>19</v>
      </c>
      <c r="C57" s="173"/>
      <c r="D57" s="15">
        <f>IF(F3="1",SUMIF(Data!A:A,'53'!$A$2,Data!DP:DP),0)</f>
        <v>9152</v>
      </c>
      <c r="E57" s="18">
        <f>IF(F3="1",SUMIF(Data!$A:$A,'53'!$A$2,Data!JJ:JJ),0)</f>
        <v>6455</v>
      </c>
      <c r="F57" s="22">
        <f t="shared" si="3"/>
        <v>0.71</v>
      </c>
    </row>
    <row r="58" spans="1:6" x14ac:dyDescent="0.2">
      <c r="A58" s="20">
        <v>23</v>
      </c>
      <c r="B58" s="172" t="s">
        <v>20</v>
      </c>
      <c r="C58" s="173"/>
      <c r="D58" s="15">
        <f>IF(F3="1",SUMIF(Data!A:A,'53'!$A$2,Data!DQ:DQ),0)</f>
        <v>0</v>
      </c>
      <c r="E58" s="18">
        <f>IF(F3="1",SUMIF(Data!$A:$A,'53'!$A$2,Data!JK:JK),0)</f>
        <v>0</v>
      </c>
      <c r="F58" s="22" t="str">
        <f t="shared" si="3"/>
        <v/>
      </c>
    </row>
    <row r="59" spans="1:6" x14ac:dyDescent="0.2">
      <c r="A59" s="20">
        <v>24</v>
      </c>
      <c r="B59" s="172" t="s">
        <v>21</v>
      </c>
      <c r="C59" s="173"/>
      <c r="D59" s="15">
        <f>IF(F3="1",SUMIF(Data!A:A,'53'!$A$2,Data!DR:DR),0)</f>
        <v>48</v>
      </c>
      <c r="E59" s="18">
        <f>IF(F3="1",SUMIF(Data!$A:$A,'53'!$A$2,Data!JL:JL),0)</f>
        <v>54</v>
      </c>
      <c r="F59" s="22">
        <f t="shared" si="3"/>
        <v>1.1299999999999999</v>
      </c>
    </row>
    <row r="60" spans="1:6" x14ac:dyDescent="0.2">
      <c r="A60" s="20">
        <v>25</v>
      </c>
      <c r="B60" s="172" t="s">
        <v>22</v>
      </c>
      <c r="C60" s="173"/>
      <c r="D60" s="15">
        <f>IF(F3="1",SUMIF(Data!A:A,'53'!$A$2,Data!DS:DS),0)</f>
        <v>16544</v>
      </c>
      <c r="E60" s="18">
        <f>IF(F3="1",SUMIF(Data!$A:$A,'53'!$A$2,Data!JM:JM),0)</f>
        <v>4621</v>
      </c>
      <c r="F60" s="22">
        <f t="shared" si="3"/>
        <v>0.28000000000000003</v>
      </c>
    </row>
    <row r="61" spans="1:6" x14ac:dyDescent="0.2">
      <c r="A61" s="20">
        <v>26</v>
      </c>
      <c r="B61" s="172" t="s">
        <v>23</v>
      </c>
      <c r="C61" s="173"/>
      <c r="D61" s="15">
        <f>IF(F3="1",SUMIF(Data!A:A,'53'!$A$2,Data!DT:DT),0)</f>
        <v>5760</v>
      </c>
      <c r="E61" s="18">
        <f>IF(F3="1",SUMIF(Data!$A:$A,'53'!$A$2,Data!JN:JN),0)</f>
        <v>6578</v>
      </c>
      <c r="F61" s="22">
        <f t="shared" si="3"/>
        <v>1.1399999999999999</v>
      </c>
    </row>
    <row r="62" spans="1:6" x14ac:dyDescent="0.2">
      <c r="A62" s="20">
        <v>28</v>
      </c>
      <c r="B62" s="172" t="s">
        <v>24</v>
      </c>
      <c r="C62" s="173"/>
      <c r="D62" s="15">
        <f>IF(F3="1",SUMIF(Data!A:A,'53'!$A$2,Data!DV:DV),0)</f>
        <v>0</v>
      </c>
      <c r="E62" s="18">
        <f>IF(F3="1",SUMIF(Data!$A:$A,'53'!$A$2,Data!JP:JP),0)</f>
        <v>0</v>
      </c>
      <c r="F62" s="22" t="str">
        <f t="shared" si="3"/>
        <v/>
      </c>
    </row>
    <row r="63" spans="1:6" ht="15.75" customHeight="1" thickBot="1" x14ac:dyDescent="0.25">
      <c r="A63" s="23">
        <v>29</v>
      </c>
      <c r="B63" s="174" t="s">
        <v>25</v>
      </c>
      <c r="C63" s="175"/>
      <c r="D63" s="24">
        <f>IF(F3="1",SUMIF(Data!A:A,'53'!$A$2,Data!DW:DW),0)</f>
        <v>0</v>
      </c>
      <c r="E63" s="25">
        <f>IF(F3="1",SUMIF(Data!$A:$A,'53'!$A$2,Data!JQ:JQ),0)</f>
        <v>0</v>
      </c>
      <c r="F63" s="26" t="str">
        <f t="shared" si="3"/>
        <v/>
      </c>
    </row>
    <row r="64" spans="1:6" x14ac:dyDescent="0.2">
      <c r="B64" s="31" t="s">
        <v>35</v>
      </c>
      <c r="C64" s="31"/>
      <c r="D64" s="61">
        <f>SUM(D36:D63)</f>
        <v>462228</v>
      </c>
      <c r="E64" s="32">
        <f>SUM(E36:E63)</f>
        <v>562376</v>
      </c>
      <c r="F64" s="33">
        <f t="shared" si="3"/>
        <v>1.22</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672</v>
      </c>
      <c r="E67" s="16">
        <f>IF(F3="1",SUMIF(Data!A:A,'53'!$A$2,Data!DY:DY),0)</f>
        <v>3091</v>
      </c>
      <c r="F67" s="21">
        <f t="shared" ref="F67:F95" si="4">IF(D67=0,"",ROUND(E67/D67,2))</f>
        <v>4.5999999999999996</v>
      </c>
    </row>
    <row r="68" spans="1:6" x14ac:dyDescent="0.2">
      <c r="A68" s="20">
        <v>2</v>
      </c>
      <c r="B68" s="172" t="s">
        <v>1</v>
      </c>
      <c r="C68" s="173"/>
      <c r="D68" s="15">
        <f t="shared" ref="D68:D94" si="5">D37</f>
        <v>44426</v>
      </c>
      <c r="E68" s="18">
        <f>IF(F3="1",SUMIF(Data!A:A,'53'!$A$2,Data!DZ:DZ),0)</f>
        <v>291052</v>
      </c>
      <c r="F68" s="22">
        <f t="shared" si="4"/>
        <v>6.55</v>
      </c>
    </row>
    <row r="69" spans="1:6" ht="14.25" customHeight="1" x14ac:dyDescent="0.2">
      <c r="A69" s="20">
        <v>3</v>
      </c>
      <c r="B69" s="172" t="s">
        <v>2</v>
      </c>
      <c r="C69" s="173"/>
      <c r="D69" s="15">
        <f t="shared" si="5"/>
        <v>17458</v>
      </c>
      <c r="E69" s="18">
        <f>IF(F3="1",SUMIF(Data!A:A,'53'!$A$2,Data!EA:EA),0)</f>
        <v>40784</v>
      </c>
      <c r="F69" s="22">
        <f t="shared" si="4"/>
        <v>2.34</v>
      </c>
    </row>
    <row r="70" spans="1:6" ht="14.25" customHeight="1" x14ac:dyDescent="0.2">
      <c r="A70" s="20">
        <v>4</v>
      </c>
      <c r="B70" s="172" t="s">
        <v>3</v>
      </c>
      <c r="C70" s="173"/>
      <c r="D70" s="15">
        <f t="shared" si="5"/>
        <v>31192</v>
      </c>
      <c r="E70" s="18">
        <f>IF(F3="1",SUMIF(Data!A:A,'53'!$A$2,Data!EB:EB),0)</f>
        <v>49216</v>
      </c>
      <c r="F70" s="22">
        <f t="shared" si="4"/>
        <v>1.58</v>
      </c>
    </row>
    <row r="71" spans="1:6" x14ac:dyDescent="0.2">
      <c r="A71" s="20">
        <v>5</v>
      </c>
      <c r="B71" s="172" t="s">
        <v>4</v>
      </c>
      <c r="C71" s="173"/>
      <c r="D71" s="15">
        <f t="shared" si="5"/>
        <v>96</v>
      </c>
      <c r="E71" s="18">
        <f>IF(F3="1",SUMIF(Data!A:A,'53'!$A$2,Data!EC:EC),0)</f>
        <v>0</v>
      </c>
      <c r="F71" s="22" t="str">
        <f>IF(E71=0,"",ROUND(E71/D71,2))</f>
        <v/>
      </c>
    </row>
    <row r="72" spans="1:6" x14ac:dyDescent="0.2">
      <c r="A72" s="20">
        <v>6</v>
      </c>
      <c r="B72" s="172" t="s">
        <v>5</v>
      </c>
      <c r="C72" s="173"/>
      <c r="D72" s="15">
        <f t="shared" si="5"/>
        <v>5528</v>
      </c>
      <c r="E72" s="18">
        <f>IF(F3="1",SUMIF(Data!A:A,'53'!$A$2,Data!ED:ED),0)</f>
        <v>25431</v>
      </c>
      <c r="F72" s="22">
        <f t="shared" si="4"/>
        <v>4.5999999999999996</v>
      </c>
    </row>
    <row r="73" spans="1:6" x14ac:dyDescent="0.2">
      <c r="A73" s="20">
        <v>7</v>
      </c>
      <c r="B73" s="172" t="s">
        <v>6</v>
      </c>
      <c r="C73" s="173"/>
      <c r="D73" s="15">
        <f t="shared" si="5"/>
        <v>71328</v>
      </c>
      <c r="E73" s="18">
        <f>IF(F3="1",SUMIF(Data!A:A,'53'!$A$2,Data!EE:EE),0)</f>
        <v>112543</v>
      </c>
      <c r="F73" s="22">
        <f t="shared" si="4"/>
        <v>1.58</v>
      </c>
    </row>
    <row r="74" spans="1:6" x14ac:dyDescent="0.2">
      <c r="A74" s="20">
        <v>8</v>
      </c>
      <c r="B74" s="172" t="s">
        <v>7</v>
      </c>
      <c r="C74" s="173"/>
      <c r="D74" s="15">
        <f t="shared" si="5"/>
        <v>15584</v>
      </c>
      <c r="E74" s="18">
        <f>IF(F3="1",SUMIF(Data!A:A,'53'!$A$2,Data!EF:EF),0)</f>
        <v>71691</v>
      </c>
      <c r="F74" s="22">
        <f t="shared" si="4"/>
        <v>4.5999999999999996</v>
      </c>
    </row>
    <row r="75" spans="1:6" x14ac:dyDescent="0.2">
      <c r="A75" s="20">
        <v>9</v>
      </c>
      <c r="B75" s="172" t="s">
        <v>8</v>
      </c>
      <c r="C75" s="173"/>
      <c r="D75" s="15">
        <f t="shared" si="5"/>
        <v>48</v>
      </c>
      <c r="E75" s="18">
        <f>IF(F3="1",SUMIF(Data!A:A,'53'!$A$2,Data!EG:EG),0)</f>
        <v>221</v>
      </c>
      <c r="F75" s="22">
        <f t="shared" si="4"/>
        <v>4.5999999999999996</v>
      </c>
    </row>
    <row r="76" spans="1:6" x14ac:dyDescent="0.2">
      <c r="A76" s="20">
        <v>10</v>
      </c>
      <c r="B76" s="172" t="s">
        <v>9</v>
      </c>
      <c r="C76" s="173"/>
      <c r="D76" s="15">
        <f t="shared" si="5"/>
        <v>0</v>
      </c>
      <c r="E76" s="18">
        <f>IF(F3="1",SUMIF(Data!A:A,'53'!$A$2,Data!EH:EH),0)</f>
        <v>0</v>
      </c>
      <c r="F76" s="22" t="str">
        <f t="shared" si="4"/>
        <v/>
      </c>
    </row>
    <row r="77" spans="1:6" x14ac:dyDescent="0.2">
      <c r="A77" s="20">
        <v>11</v>
      </c>
      <c r="B77" s="172" t="s">
        <v>10</v>
      </c>
      <c r="C77" s="173"/>
      <c r="D77" s="15">
        <f t="shared" si="5"/>
        <v>129104</v>
      </c>
      <c r="E77" s="18">
        <f>IF(F3="1",SUMIF(Data!A:A,'53'!$A$2,Data!EI:EI),0)</f>
        <v>577030</v>
      </c>
      <c r="F77" s="22">
        <f t="shared" si="4"/>
        <v>4.47</v>
      </c>
    </row>
    <row r="78" spans="1:6" ht="14.25" customHeight="1" x14ac:dyDescent="0.2">
      <c r="A78" s="20">
        <v>12</v>
      </c>
      <c r="B78" s="172" t="s">
        <v>11</v>
      </c>
      <c r="C78" s="173"/>
      <c r="D78" s="15">
        <f t="shared" si="5"/>
        <v>46152</v>
      </c>
      <c r="E78" s="18">
        <f>IF(F3="1",SUMIF(Data!A:A,'53'!$A$2,Data!EJ:EJ),0)</f>
        <v>150314</v>
      </c>
      <c r="F78" s="22">
        <f t="shared" si="4"/>
        <v>3.26</v>
      </c>
    </row>
    <row r="79" spans="1:6" x14ac:dyDescent="0.2">
      <c r="A79" s="20">
        <v>13</v>
      </c>
      <c r="B79" s="172" t="s">
        <v>12</v>
      </c>
      <c r="C79" s="173"/>
      <c r="D79" s="15">
        <f t="shared" si="5"/>
        <v>80</v>
      </c>
      <c r="E79" s="18">
        <f>IF(F3="1",SUMIF(Data!A:A,'53'!$A$2,Data!EK:EK),0)</f>
        <v>155</v>
      </c>
      <c r="F79" s="22">
        <f t="shared" si="4"/>
        <v>1.94</v>
      </c>
    </row>
    <row r="80" spans="1:6" ht="14.25" customHeight="1" x14ac:dyDescent="0.2">
      <c r="A80" s="20">
        <v>14</v>
      </c>
      <c r="B80" s="172" t="s">
        <v>469</v>
      </c>
      <c r="C80" s="173"/>
      <c r="D80" s="15">
        <f t="shared" si="5"/>
        <v>0</v>
      </c>
      <c r="E80" s="18">
        <f>IF(F3="1",SUMIF(Data!A:A,'53'!$A$2,Data!EL:EL),0)</f>
        <v>0</v>
      </c>
      <c r="F80" s="22" t="str">
        <f t="shared" si="4"/>
        <v/>
      </c>
    </row>
    <row r="81" spans="1:6" x14ac:dyDescent="0.2">
      <c r="A81" s="20">
        <v>15</v>
      </c>
      <c r="B81" s="172" t="s">
        <v>13</v>
      </c>
      <c r="C81" s="173"/>
      <c r="D81" s="15">
        <f t="shared" si="5"/>
        <v>0</v>
      </c>
      <c r="E81" s="18">
        <f>IF(F3="1",SUMIF(Data!A:A,'53'!$A$2,Data!EM:EM),0)</f>
        <v>0</v>
      </c>
      <c r="F81" s="22" t="str">
        <f t="shared" si="4"/>
        <v/>
      </c>
    </row>
    <row r="82" spans="1:6" x14ac:dyDescent="0.2">
      <c r="A82" s="20">
        <v>16</v>
      </c>
      <c r="B82" s="172" t="s">
        <v>14</v>
      </c>
      <c r="C82" s="173"/>
      <c r="D82" s="15">
        <f t="shared" si="5"/>
        <v>120</v>
      </c>
      <c r="E82" s="18">
        <f>IF(F3="1",SUMIF(Data!A:A,'53'!$A$2,Data!EN:EN),0)</f>
        <v>550</v>
      </c>
      <c r="F82" s="22">
        <f t="shared" si="4"/>
        <v>4.58</v>
      </c>
    </row>
    <row r="83" spans="1:6" x14ac:dyDescent="0.2">
      <c r="A83" s="20">
        <v>17</v>
      </c>
      <c r="B83" s="172" t="s">
        <v>15</v>
      </c>
      <c r="C83" s="173"/>
      <c r="D83" s="15">
        <f t="shared" si="5"/>
        <v>0</v>
      </c>
      <c r="E83" s="18">
        <f>IF(F3="1",SUMIF(Data!A:A,'53'!$A$2,Data!EO:EO),0)</f>
        <v>0</v>
      </c>
      <c r="F83" s="22" t="str">
        <f t="shared" si="4"/>
        <v/>
      </c>
    </row>
    <row r="84" spans="1:6" x14ac:dyDescent="0.2">
      <c r="A84" s="20">
        <v>18</v>
      </c>
      <c r="B84" s="172" t="s">
        <v>16</v>
      </c>
      <c r="C84" s="173"/>
      <c r="D84" s="15">
        <f t="shared" si="5"/>
        <v>0</v>
      </c>
      <c r="E84" s="18">
        <f>IF(F3="1",SUMIF(Data!A:A,'53'!$A$2,Data!EP:EP),0)</f>
        <v>0</v>
      </c>
      <c r="F84" s="22" t="str">
        <f t="shared" si="4"/>
        <v/>
      </c>
    </row>
    <row r="85" spans="1:6" x14ac:dyDescent="0.2">
      <c r="A85" s="20">
        <v>19</v>
      </c>
      <c r="B85" s="172" t="s">
        <v>17</v>
      </c>
      <c r="C85" s="173"/>
      <c r="D85" s="15">
        <f t="shared" si="5"/>
        <v>38800</v>
      </c>
      <c r="E85" s="18">
        <f>IF(F3="1",SUMIF(Data!A:A,'53'!$A$2,Data!EQ:EQ),0)</f>
        <v>147569</v>
      </c>
      <c r="F85" s="22">
        <f t="shared" si="4"/>
        <v>3.8</v>
      </c>
    </row>
    <row r="86" spans="1:6" x14ac:dyDescent="0.2">
      <c r="A86" s="20">
        <v>20</v>
      </c>
      <c r="B86" s="172" t="s">
        <v>18</v>
      </c>
      <c r="C86" s="173"/>
      <c r="D86" s="15">
        <f t="shared" si="5"/>
        <v>2160</v>
      </c>
      <c r="E86" s="18">
        <f>IF(F3="1",SUMIF(Data!A:A,'53'!$A$2,Data!ER:ER),0)</f>
        <v>7317</v>
      </c>
      <c r="F86" s="22">
        <f t="shared" si="4"/>
        <v>3.39</v>
      </c>
    </row>
    <row r="87" spans="1:6" ht="14.25" customHeight="1" x14ac:dyDescent="0.2">
      <c r="A87" s="20">
        <v>21</v>
      </c>
      <c r="B87" s="172" t="s">
        <v>466</v>
      </c>
      <c r="C87" s="173"/>
      <c r="D87" s="15">
        <f t="shared" si="5"/>
        <v>27976</v>
      </c>
      <c r="E87" s="18">
        <f>IF(F3="1",SUMIF(Data!A:A,'53'!$A$2,Data!ES:ES),0)</f>
        <v>94762</v>
      </c>
      <c r="F87" s="22">
        <f t="shared" si="4"/>
        <v>3.39</v>
      </c>
    </row>
    <row r="88" spans="1:6" x14ac:dyDescent="0.2">
      <c r="A88" s="20">
        <v>22</v>
      </c>
      <c r="B88" s="172" t="s">
        <v>19</v>
      </c>
      <c r="C88" s="173"/>
      <c r="D88" s="15">
        <f t="shared" si="5"/>
        <v>9152</v>
      </c>
      <c r="E88" s="18">
        <f>IF(F3="1",SUMIF(Data!A:A,'53'!$A$2,Data!ET:ET),0)</f>
        <v>42102</v>
      </c>
      <c r="F88" s="22">
        <f t="shared" si="4"/>
        <v>4.5999999999999996</v>
      </c>
    </row>
    <row r="89" spans="1:6" x14ac:dyDescent="0.2">
      <c r="A89" s="20">
        <v>23</v>
      </c>
      <c r="B89" s="172" t="s">
        <v>20</v>
      </c>
      <c r="C89" s="173"/>
      <c r="D89" s="15">
        <f t="shared" si="5"/>
        <v>0</v>
      </c>
      <c r="E89" s="18">
        <f>IF(F3="1",SUMIF(Data!A:A,'53'!$A$2,Data!EU:EU),0)</f>
        <v>0</v>
      </c>
      <c r="F89" s="22" t="str">
        <f t="shared" si="4"/>
        <v/>
      </c>
    </row>
    <row r="90" spans="1:6" x14ac:dyDescent="0.2">
      <c r="A90" s="20">
        <v>24</v>
      </c>
      <c r="B90" s="172" t="s">
        <v>21</v>
      </c>
      <c r="C90" s="173"/>
      <c r="D90" s="15">
        <f t="shared" si="5"/>
        <v>48</v>
      </c>
      <c r="E90" s="18">
        <f>IF(F3="1",SUMIF(Data!A:A,'53'!$A$2,Data!EV:EV),0)</f>
        <v>76</v>
      </c>
      <c r="F90" s="22">
        <f t="shared" si="4"/>
        <v>1.58</v>
      </c>
    </row>
    <row r="91" spans="1:6" x14ac:dyDescent="0.2">
      <c r="A91" s="20">
        <v>25</v>
      </c>
      <c r="B91" s="172" t="s">
        <v>22</v>
      </c>
      <c r="C91" s="173"/>
      <c r="D91" s="15">
        <f t="shared" si="5"/>
        <v>16544</v>
      </c>
      <c r="E91" s="18">
        <f>IF(F3="1",SUMIF(Data!A:A,'53'!$A$2,Data!EW:EW),0)</f>
        <v>18142</v>
      </c>
      <c r="F91" s="22">
        <f t="shared" si="4"/>
        <v>1.1000000000000001</v>
      </c>
    </row>
    <row r="92" spans="1:6" x14ac:dyDescent="0.2">
      <c r="A92" s="20">
        <v>26</v>
      </c>
      <c r="B92" s="172" t="s">
        <v>23</v>
      </c>
      <c r="C92" s="173"/>
      <c r="D92" s="15">
        <f t="shared" si="5"/>
        <v>5760</v>
      </c>
      <c r="E92" s="18">
        <f>IF(F3="1",SUMIF(Data!A:A,'53'!$A$2,Data!EX:EX),0)</f>
        <v>9088</v>
      </c>
      <c r="F92" s="22">
        <f t="shared" si="4"/>
        <v>1.58</v>
      </c>
    </row>
    <row r="93" spans="1:6" x14ac:dyDescent="0.2">
      <c r="A93" s="20">
        <v>28</v>
      </c>
      <c r="B93" s="172" t="s">
        <v>24</v>
      </c>
      <c r="C93" s="173"/>
      <c r="D93" s="15">
        <f t="shared" si="5"/>
        <v>0</v>
      </c>
      <c r="E93" s="18">
        <f>IF(F3="1",SUMIF(Data!A:A,'53'!$A$2,Data!EZ:EZ),0)</f>
        <v>0</v>
      </c>
      <c r="F93" s="22" t="str">
        <f t="shared" si="4"/>
        <v/>
      </c>
    </row>
    <row r="94" spans="1:6" ht="15.75" customHeight="1" thickBot="1" x14ac:dyDescent="0.25">
      <c r="A94" s="23">
        <v>29</v>
      </c>
      <c r="B94" s="174" t="s">
        <v>25</v>
      </c>
      <c r="C94" s="175"/>
      <c r="D94" s="24">
        <f t="shared" si="5"/>
        <v>0</v>
      </c>
      <c r="E94" s="25">
        <f>IF(F3="1",SUMIF(Data!A:A,'53'!$A$2,Data!FA:FA),0)</f>
        <v>0</v>
      </c>
      <c r="F94" s="26" t="str">
        <f t="shared" si="4"/>
        <v/>
      </c>
    </row>
    <row r="95" spans="1:6" x14ac:dyDescent="0.2">
      <c r="B95" s="31" t="s">
        <v>35</v>
      </c>
      <c r="C95" s="31"/>
      <c r="D95" s="61">
        <f>SUM(D67:D94)</f>
        <v>462228</v>
      </c>
      <c r="E95" s="32">
        <f>SUM(E67:E94)</f>
        <v>1641134</v>
      </c>
      <c r="F95" s="33">
        <f t="shared" si="4"/>
        <v>3.55</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IF(F3="1",SUMIF(Data!A:A,'53'!$A$2,Data!AH:AH),0)</f>
        <v>698939</v>
      </c>
      <c r="F98" s="21">
        <f>IF($D$105=0,"",ROUND(E98/$D$105,2))</f>
        <v>1.51</v>
      </c>
    </row>
    <row r="99" spans="2:6" x14ac:dyDescent="0.2">
      <c r="B99" s="178" t="s">
        <v>31</v>
      </c>
      <c r="C99" s="179"/>
      <c r="D99" s="37"/>
      <c r="E99" s="18">
        <f>IF(F3="1",SUMIF(Data!A:A,'53'!$A$2,Data!AI:AI),0)</f>
        <v>736916</v>
      </c>
      <c r="F99" s="22">
        <f t="shared" ref="F99:F105" si="6">IF($D$105=0,"",ROUND(E99/$D$105,2))</f>
        <v>1.59</v>
      </c>
    </row>
    <row r="100" spans="2:6" x14ac:dyDescent="0.2">
      <c r="B100" s="178" t="s">
        <v>32</v>
      </c>
      <c r="C100" s="179"/>
      <c r="D100" s="37"/>
      <c r="E100" s="18">
        <f>IF(F3="1",SUMIF(Data!A:A,'53'!$A$2,Data!AJ:AJ),0)</f>
        <v>579376</v>
      </c>
      <c r="F100" s="22">
        <f t="shared" si="6"/>
        <v>1.25</v>
      </c>
    </row>
    <row r="101" spans="2:6" x14ac:dyDescent="0.2">
      <c r="B101" s="178" t="s">
        <v>28</v>
      </c>
      <c r="C101" s="179"/>
      <c r="D101" s="37"/>
      <c r="E101" s="18">
        <f>IF(F3="1",SUMIF(Data!A:A,'53'!$A$2,Data!AK:AK),0)</f>
        <v>161240</v>
      </c>
      <c r="F101" s="22">
        <f t="shared" si="6"/>
        <v>0.35</v>
      </c>
    </row>
    <row r="102" spans="2:6" x14ac:dyDescent="0.2">
      <c r="B102" s="178" t="s">
        <v>33</v>
      </c>
      <c r="C102" s="179"/>
      <c r="D102" s="37"/>
      <c r="E102" s="18">
        <f>IF(F3="1",SUMIF(Data!A:A,'53'!$A$2,Data!AL:AL),0)</f>
        <v>289490</v>
      </c>
      <c r="F102" s="22">
        <f t="shared" si="6"/>
        <v>0.63</v>
      </c>
    </row>
    <row r="103" spans="2:6" x14ac:dyDescent="0.2">
      <c r="B103" s="180" t="s">
        <v>34</v>
      </c>
      <c r="C103" s="181"/>
      <c r="D103" s="37"/>
      <c r="E103" s="18">
        <f>IF(F3="1",SUMIF(Data!A:A,'53'!$A$2,Data!AM:AM),0)</f>
        <v>136422</v>
      </c>
      <c r="F103" s="22">
        <f t="shared" si="6"/>
        <v>0.3</v>
      </c>
    </row>
    <row r="104" spans="2:6" ht="15.75" customHeight="1" thickBot="1" x14ac:dyDescent="0.25">
      <c r="B104" s="170" t="s">
        <v>29</v>
      </c>
      <c r="C104" s="171"/>
      <c r="D104" s="38"/>
      <c r="E104" s="25">
        <f>IF(F3="1",SUMIF(Data!A:A,'53'!$A$2,Data!Q:Q),0)</f>
        <v>60053</v>
      </c>
      <c r="F104" s="26">
        <f t="shared" si="6"/>
        <v>0.13</v>
      </c>
    </row>
    <row r="105" spans="2:6" x14ac:dyDescent="0.2">
      <c r="B105" s="31" t="s">
        <v>35</v>
      </c>
      <c r="C105" s="31"/>
      <c r="D105" s="35">
        <f>D95</f>
        <v>462228</v>
      </c>
      <c r="E105" s="32">
        <f>SUM(E98:E104)</f>
        <v>2662436</v>
      </c>
      <c r="F105" s="33">
        <f t="shared" si="6"/>
        <v>5.76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1689890</v>
      </c>
      <c r="D109" s="16">
        <f>IF(F3="1",SUMIF(Data!$A:$A,$A$2,Data!HJ:HJ),0)</f>
        <v>44800</v>
      </c>
      <c r="E109" s="16">
        <f>IF(F3="1",SUMIF(Data!$A:$A,$A$2,Data!IN:IN),0)</f>
        <v>468887</v>
      </c>
      <c r="F109" s="48">
        <f>SUM(C109:E109)</f>
        <v>2203577</v>
      </c>
    </row>
    <row r="110" spans="2:6" x14ac:dyDescent="0.2">
      <c r="B110" s="43" t="s">
        <v>28</v>
      </c>
      <c r="C110" s="51">
        <f>IF(F3="1",SUMIF(Data!A:A,$A$2,Data!W:W),0)</f>
        <v>142444</v>
      </c>
      <c r="D110" s="52"/>
      <c r="E110" s="51">
        <f>IF(F3="1",SUMIF(Data!A:A,$A$2,Data!W:W),0)</f>
        <v>142444</v>
      </c>
      <c r="F110" s="49">
        <f t="shared" ref="F110:F116" si="7">SUM(C110:E110)</f>
        <v>284888</v>
      </c>
    </row>
    <row r="111" spans="2:6" x14ac:dyDescent="0.2">
      <c r="B111" s="43" t="s">
        <v>936</v>
      </c>
      <c r="C111" s="51">
        <f>IF(F3="1",SUMIF(Data!A:A,$A$2,Data!AS:AS),0)</f>
        <v>242096</v>
      </c>
      <c r="D111" s="52"/>
      <c r="E111" s="51">
        <f>IF(F3="1",SUMIF(Data!A:A,$A$2,Data!AX:AX),0)</f>
        <v>193921</v>
      </c>
      <c r="F111" s="49">
        <f t="shared" si="7"/>
        <v>436017</v>
      </c>
    </row>
    <row r="112" spans="2:6" x14ac:dyDescent="0.2">
      <c r="B112" s="43" t="s">
        <v>32</v>
      </c>
      <c r="C112" s="51">
        <f>IF(F3="1",SUMIF(Data!A:A,$A$2,Data!V:V),0)</f>
        <v>489081</v>
      </c>
      <c r="D112" s="52"/>
      <c r="E112" s="51">
        <f>IF(F3="1",SUMIF(Data!A:A,$A$2,Data!AC:AC),0)</f>
        <v>90295</v>
      </c>
      <c r="F112" s="49">
        <f t="shared" si="7"/>
        <v>579376</v>
      </c>
    </row>
    <row r="113" spans="1:6" x14ac:dyDescent="0.2">
      <c r="B113" s="43" t="s">
        <v>31</v>
      </c>
      <c r="C113" s="51">
        <f>IF(F3="1",SUMIF(Data!A:A,$A$2,Data!U:U),0)</f>
        <v>508131</v>
      </c>
      <c r="D113" s="52"/>
      <c r="E113" s="51">
        <f>IF(F3="1",SUMIF(Data!A:A,$A$2,Data!AB:AB),0)</f>
        <v>228785</v>
      </c>
      <c r="F113" s="49">
        <f t="shared" si="7"/>
        <v>736916</v>
      </c>
    </row>
    <row r="114" spans="1:6" x14ac:dyDescent="0.2">
      <c r="B114" s="43" t="s">
        <v>1021</v>
      </c>
      <c r="C114" s="51">
        <f>IF(F3="1",SUMIF(Data!A:A,$A$2,Data!T:T),0)</f>
        <v>622468</v>
      </c>
      <c r="D114" s="52"/>
      <c r="E114" s="51">
        <f>IF(F3="1",SUMIF(Data!A:A,$A$2,Data!AA:AA),0)</f>
        <v>76471</v>
      </c>
      <c r="F114" s="49">
        <f t="shared" si="7"/>
        <v>698939</v>
      </c>
    </row>
    <row r="115" spans="1:6" x14ac:dyDescent="0.2">
      <c r="B115" s="43" t="s">
        <v>937</v>
      </c>
      <c r="C115" s="51">
        <f>IF(F3="1",SUMIF(Data!A:A,$A$2,Data!BI:BI),0)</f>
        <v>376863</v>
      </c>
      <c r="D115" s="51">
        <f>IF(F3="1",SUMIF(Data!A:A,$A$2,Data!BL:BL),0)</f>
        <v>26420</v>
      </c>
      <c r="E115" s="51">
        <f>IF(F3="1",SUMIF(Data!A:A,$A$2,Data!BU:BU),0)</f>
        <v>347893</v>
      </c>
      <c r="F115" s="49">
        <f t="shared" si="7"/>
        <v>751176</v>
      </c>
    </row>
    <row r="116" spans="1:6" x14ac:dyDescent="0.2">
      <c r="B116" s="43" t="s">
        <v>33</v>
      </c>
      <c r="C116" s="51">
        <f>IF(F3="1",SUMIF(Data!A:A,$A$2,Data!X:X),0)</f>
        <v>0</v>
      </c>
      <c r="D116" s="51"/>
      <c r="E116" s="51">
        <f>E102</f>
        <v>289490</v>
      </c>
      <c r="F116" s="49">
        <f t="shared" si="7"/>
        <v>289490</v>
      </c>
    </row>
    <row r="117" spans="1:6" ht="15" thickBot="1" x14ac:dyDescent="0.25">
      <c r="B117" s="44" t="s">
        <v>941</v>
      </c>
      <c r="C117" s="53"/>
      <c r="D117" s="53">
        <f>IF(F3="1",SUMIF(Data!A:A,$A$2,Data!Q:Q),0)</f>
        <v>60053</v>
      </c>
      <c r="E117" s="53"/>
      <c r="F117" s="50">
        <f>SUM(C117:E117)</f>
        <v>60053</v>
      </c>
    </row>
    <row r="118" spans="1:6" x14ac:dyDescent="0.2">
      <c r="B118" s="14" t="s">
        <v>35</v>
      </c>
      <c r="C118" s="5">
        <f>SUM(C109:C116)</f>
        <v>4070973</v>
      </c>
      <c r="D118" s="5">
        <f>SUM(D109:D116)</f>
        <v>71220</v>
      </c>
      <c r="E118" s="5">
        <f>SUM(E109:E116)</f>
        <v>1838186</v>
      </c>
      <c r="F118" s="5">
        <f>SUM(F109:F116)</f>
        <v>5980379</v>
      </c>
    </row>
    <row r="119" spans="1:6" ht="15" thickBot="1" x14ac:dyDescent="0.25"/>
    <row r="120" spans="1:6" ht="15" thickBot="1" x14ac:dyDescent="0.25">
      <c r="B120" s="57" t="s">
        <v>942</v>
      </c>
      <c r="C120" s="55"/>
      <c r="D120" s="55"/>
      <c r="E120" s="55">
        <f>IF(F3="1",SUMIF(Data!A:A,'53'!$A$2,Data!AM:AM),0)</f>
        <v>136422</v>
      </c>
      <c r="F120" s="56">
        <f>SUM(C120:E120)</f>
        <v>136422</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408</v>
      </c>
      <c r="B2" s="60" t="str">
        <f>VLOOKUP(A2,Data!A:G,7,0)</f>
        <v>Texas State Technical College-Waco</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54256</v>
      </c>
      <c r="E5" s="16">
        <f>E36+E67+IFERROR($E$105/$D$105*D5,0)</f>
        <v>522023.74784365692</v>
      </c>
      <c r="F5" s="21">
        <f>IF(OR(D5=0,E5=0),"",ROUND(E5/D5,2))</f>
        <v>9.6199999999999992</v>
      </c>
    </row>
    <row r="6" spans="1:6" x14ac:dyDescent="0.2">
      <c r="A6" s="20">
        <v>2</v>
      </c>
      <c r="B6" s="172" t="s">
        <v>1</v>
      </c>
      <c r="C6" s="173"/>
      <c r="D6" s="15">
        <f t="shared" ref="D6:D32" si="0">D37</f>
        <v>346176</v>
      </c>
      <c r="E6" s="18">
        <f t="shared" ref="E6:E32" si="1">E37+E68+IFERROR($E$105/$D$105*D6,0)</f>
        <v>2798973.9741507992</v>
      </c>
      <c r="F6" s="22">
        <f t="shared" ref="F6:F33" si="2">IF(OR(D6=0,E6=0),"",ROUND(E6/D6,2))</f>
        <v>8.09</v>
      </c>
    </row>
    <row r="7" spans="1:6" ht="14.25" customHeight="1" x14ac:dyDescent="0.2">
      <c r="A7" s="20">
        <v>3</v>
      </c>
      <c r="B7" s="172" t="s">
        <v>2</v>
      </c>
      <c r="C7" s="173"/>
      <c r="D7" s="15">
        <f t="shared" si="0"/>
        <v>77792</v>
      </c>
      <c r="E7" s="18">
        <f t="shared" si="1"/>
        <v>765505.35211319965</v>
      </c>
      <c r="F7" s="22">
        <f t="shared" si="2"/>
        <v>9.84</v>
      </c>
    </row>
    <row r="8" spans="1:6" ht="14.25" customHeight="1" x14ac:dyDescent="0.2">
      <c r="A8" s="20">
        <v>4</v>
      </c>
      <c r="B8" s="172" t="s">
        <v>3</v>
      </c>
      <c r="C8" s="173"/>
      <c r="D8" s="15">
        <f t="shared" si="0"/>
        <v>122438</v>
      </c>
      <c r="E8" s="18">
        <f t="shared" si="1"/>
        <v>828925.44729581359</v>
      </c>
      <c r="F8" s="22">
        <f t="shared" si="2"/>
        <v>6.77</v>
      </c>
    </row>
    <row r="9" spans="1:6" x14ac:dyDescent="0.2">
      <c r="A9" s="20">
        <v>5</v>
      </c>
      <c r="B9" s="172" t="s">
        <v>4</v>
      </c>
      <c r="C9" s="173"/>
      <c r="D9" s="15">
        <f t="shared" si="0"/>
        <v>47136</v>
      </c>
      <c r="E9" s="18">
        <f t="shared" si="1"/>
        <v>1311134.4984215314</v>
      </c>
      <c r="F9" s="22">
        <f t="shared" si="2"/>
        <v>27.82</v>
      </c>
    </row>
    <row r="10" spans="1:6" x14ac:dyDescent="0.2">
      <c r="A10" s="20">
        <v>6</v>
      </c>
      <c r="B10" s="172" t="s">
        <v>5</v>
      </c>
      <c r="C10" s="173"/>
      <c r="D10" s="15">
        <f t="shared" si="0"/>
        <v>163600</v>
      </c>
      <c r="E10" s="18">
        <f t="shared" si="1"/>
        <v>1390296.0120027696</v>
      </c>
      <c r="F10" s="22">
        <f t="shared" si="2"/>
        <v>8.5</v>
      </c>
    </row>
    <row r="11" spans="1:6" x14ac:dyDescent="0.2">
      <c r="A11" s="20">
        <v>7</v>
      </c>
      <c r="B11" s="172" t="s">
        <v>6</v>
      </c>
      <c r="C11" s="173"/>
      <c r="D11" s="15">
        <f t="shared" si="0"/>
        <v>323376</v>
      </c>
      <c r="E11" s="18">
        <f t="shared" si="1"/>
        <v>2856213.7035293863</v>
      </c>
      <c r="F11" s="22">
        <f t="shared" si="2"/>
        <v>8.83</v>
      </c>
    </row>
    <row r="12" spans="1:6" x14ac:dyDescent="0.2">
      <c r="A12" s="20">
        <v>8</v>
      </c>
      <c r="B12" s="172" t="s">
        <v>7</v>
      </c>
      <c r="C12" s="173"/>
      <c r="D12" s="15">
        <f t="shared" si="0"/>
        <v>107841</v>
      </c>
      <c r="E12" s="18">
        <f t="shared" si="1"/>
        <v>848882.26895104325</v>
      </c>
      <c r="F12" s="22">
        <f t="shared" si="2"/>
        <v>7.87</v>
      </c>
    </row>
    <row r="13" spans="1:6" x14ac:dyDescent="0.2">
      <c r="A13" s="20">
        <v>9</v>
      </c>
      <c r="B13" s="172" t="s">
        <v>8</v>
      </c>
      <c r="C13" s="173"/>
      <c r="D13" s="15">
        <f t="shared" si="0"/>
        <v>82291</v>
      </c>
      <c r="E13" s="18">
        <f t="shared" si="1"/>
        <v>701633.16744327568</v>
      </c>
      <c r="F13" s="22">
        <f t="shared" si="2"/>
        <v>8.5299999999999994</v>
      </c>
    </row>
    <row r="14" spans="1:6" x14ac:dyDescent="0.2">
      <c r="A14" s="20">
        <v>10</v>
      </c>
      <c r="B14" s="172" t="s">
        <v>9</v>
      </c>
      <c r="C14" s="173"/>
      <c r="D14" s="15">
        <f t="shared" si="0"/>
        <v>2800</v>
      </c>
      <c r="E14" s="18">
        <f t="shared" si="1"/>
        <v>37179.682357015619</v>
      </c>
      <c r="F14" s="22">
        <f t="shared" si="2"/>
        <v>13.28</v>
      </c>
    </row>
    <row r="15" spans="1:6" x14ac:dyDescent="0.2">
      <c r="A15" s="20">
        <v>11</v>
      </c>
      <c r="B15" s="172" t="s">
        <v>10</v>
      </c>
      <c r="C15" s="173"/>
      <c r="D15" s="15">
        <f t="shared" si="0"/>
        <v>642835</v>
      </c>
      <c r="E15" s="18">
        <f t="shared" si="1"/>
        <v>5709922.1028471906</v>
      </c>
      <c r="F15" s="22">
        <f t="shared" si="2"/>
        <v>8.8800000000000008</v>
      </c>
    </row>
    <row r="16" spans="1:6" ht="14.25" customHeight="1" x14ac:dyDescent="0.2">
      <c r="A16" s="20">
        <v>12</v>
      </c>
      <c r="B16" s="172" t="s">
        <v>11</v>
      </c>
      <c r="C16" s="173"/>
      <c r="D16" s="15">
        <f t="shared" si="0"/>
        <v>317680</v>
      </c>
      <c r="E16" s="18">
        <f t="shared" si="1"/>
        <v>2246123.9039916862</v>
      </c>
      <c r="F16" s="22">
        <f t="shared" si="2"/>
        <v>7.07</v>
      </c>
    </row>
    <row r="17" spans="1:6" x14ac:dyDescent="0.2">
      <c r="A17" s="20">
        <v>13</v>
      </c>
      <c r="B17" s="172" t="s">
        <v>12</v>
      </c>
      <c r="C17" s="173"/>
      <c r="D17" s="15">
        <f t="shared" si="0"/>
        <v>7776</v>
      </c>
      <c r="E17" s="18">
        <f t="shared" si="1"/>
        <v>64370.220717197655</v>
      </c>
      <c r="F17" s="22">
        <f t="shared" si="2"/>
        <v>8.2799999999999994</v>
      </c>
    </row>
    <row r="18" spans="1:6" ht="14.25" customHeight="1" x14ac:dyDescent="0.2">
      <c r="A18" s="20">
        <v>14</v>
      </c>
      <c r="B18" s="172" t="s">
        <v>469</v>
      </c>
      <c r="C18" s="173"/>
      <c r="D18" s="15">
        <f t="shared" si="0"/>
        <v>167419</v>
      </c>
      <c r="E18" s="18">
        <f t="shared" si="1"/>
        <v>1036663.2473318563</v>
      </c>
      <c r="F18" s="22">
        <f t="shared" si="2"/>
        <v>6.19</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47088</v>
      </c>
      <c r="E20" s="18">
        <f t="shared" si="1"/>
        <v>175363.28100969692</v>
      </c>
      <c r="F20" s="22">
        <f t="shared" si="2"/>
        <v>3.72</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206832</v>
      </c>
      <c r="E23" s="18">
        <f t="shared" si="1"/>
        <v>1739045.8275950907</v>
      </c>
      <c r="F23" s="22">
        <f t="shared" si="2"/>
        <v>8.41</v>
      </c>
    </row>
    <row r="24" spans="1:6" x14ac:dyDescent="0.2">
      <c r="A24" s="20">
        <v>20</v>
      </c>
      <c r="B24" s="172" t="s">
        <v>18</v>
      </c>
      <c r="C24" s="173"/>
      <c r="D24" s="15">
        <f t="shared" si="0"/>
        <v>417280</v>
      </c>
      <c r="E24" s="18">
        <f t="shared" si="1"/>
        <v>3128179.0335483844</v>
      </c>
      <c r="F24" s="22">
        <f t="shared" si="2"/>
        <v>7.5</v>
      </c>
    </row>
    <row r="25" spans="1:6" ht="14.25" customHeight="1" x14ac:dyDescent="0.2">
      <c r="A25" s="20">
        <v>21</v>
      </c>
      <c r="B25" s="172" t="s">
        <v>466</v>
      </c>
      <c r="C25" s="173"/>
      <c r="D25" s="15">
        <f t="shared" si="0"/>
        <v>312512</v>
      </c>
      <c r="E25" s="18">
        <f t="shared" si="1"/>
        <v>2490753.4959841659</v>
      </c>
      <c r="F25" s="22">
        <f t="shared" si="2"/>
        <v>7.97</v>
      </c>
    </row>
    <row r="26" spans="1:6" x14ac:dyDescent="0.2">
      <c r="A26" s="20">
        <v>22</v>
      </c>
      <c r="B26" s="172" t="s">
        <v>19</v>
      </c>
      <c r="C26" s="173"/>
      <c r="D26" s="15">
        <f t="shared" si="0"/>
        <v>214753</v>
      </c>
      <c r="E26" s="18">
        <f t="shared" si="1"/>
        <v>2205634.5175772053</v>
      </c>
      <c r="F26" s="22">
        <f t="shared" si="2"/>
        <v>10.27</v>
      </c>
    </row>
    <row r="27" spans="1:6" x14ac:dyDescent="0.2">
      <c r="A27" s="20">
        <v>23</v>
      </c>
      <c r="B27" s="172" t="s">
        <v>20</v>
      </c>
      <c r="C27" s="173"/>
      <c r="D27" s="15">
        <f t="shared" si="0"/>
        <v>0</v>
      </c>
      <c r="E27" s="18">
        <f t="shared" si="1"/>
        <v>0</v>
      </c>
      <c r="F27" s="22" t="str">
        <f t="shared" si="2"/>
        <v/>
      </c>
    </row>
    <row r="28" spans="1:6" x14ac:dyDescent="0.2">
      <c r="A28" s="20">
        <v>24</v>
      </c>
      <c r="B28" s="172" t="s">
        <v>21</v>
      </c>
      <c r="C28" s="173"/>
      <c r="D28" s="15">
        <f t="shared" si="0"/>
        <v>23408</v>
      </c>
      <c r="E28" s="18">
        <f t="shared" si="1"/>
        <v>215992.02450465056</v>
      </c>
      <c r="F28" s="22">
        <f t="shared" si="2"/>
        <v>9.23</v>
      </c>
    </row>
    <row r="29" spans="1:6" x14ac:dyDescent="0.2">
      <c r="A29" s="20">
        <v>25</v>
      </c>
      <c r="B29" s="172" t="s">
        <v>22</v>
      </c>
      <c r="C29" s="173"/>
      <c r="D29" s="15">
        <f t="shared" si="0"/>
        <v>66880</v>
      </c>
      <c r="E29" s="18">
        <f t="shared" si="1"/>
        <v>525113.9271561444</v>
      </c>
      <c r="F29" s="22">
        <f t="shared" si="2"/>
        <v>7.85</v>
      </c>
    </row>
    <row r="30" spans="1:6" x14ac:dyDescent="0.2">
      <c r="A30" s="20">
        <v>26</v>
      </c>
      <c r="B30" s="172" t="s">
        <v>23</v>
      </c>
      <c r="C30" s="173"/>
      <c r="D30" s="15">
        <f t="shared" si="0"/>
        <v>148764</v>
      </c>
      <c r="E30" s="18">
        <f t="shared" si="1"/>
        <v>939736.56362823967</v>
      </c>
      <c r="F30" s="22">
        <f t="shared" si="2"/>
        <v>6.32</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3900933</v>
      </c>
      <c r="E33" s="32">
        <f>SUM(E5:E32)</f>
        <v>32537666</v>
      </c>
      <c r="F33" s="33">
        <f t="shared" si="2"/>
        <v>8.34</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IF(F3="1",SUMIF(Data!A:A,'54'!$A$2,Data!CU:CU),0)</f>
        <v>54256</v>
      </c>
      <c r="E36" s="16">
        <f>IF(F3="1",SUMIF(Data!$A:$A,'54'!$A$2,Data!IO:IO),0)</f>
        <v>163963</v>
      </c>
      <c r="F36" s="21">
        <f>IF(D36=0,"",ROUND(E36/D36,2))</f>
        <v>3.02</v>
      </c>
    </row>
    <row r="37" spans="1:6" x14ac:dyDescent="0.2">
      <c r="A37" s="20">
        <v>2</v>
      </c>
      <c r="B37" s="172" t="s">
        <v>1</v>
      </c>
      <c r="C37" s="173"/>
      <c r="D37" s="15">
        <f>IF(F3="1",SUMIF(Data!A:A,'54'!$A$2,Data!CV:CV),0)</f>
        <v>346176</v>
      </c>
      <c r="E37" s="18">
        <f>IF(F3="1",SUMIF(Data!$A:$A,'54'!$A$2,Data!IP:IP),0)</f>
        <v>946711</v>
      </c>
      <c r="F37" s="22">
        <f t="shared" ref="F37:F64" si="3">IF(D37=0,"",ROUND(E37/D37,2))</f>
        <v>2.73</v>
      </c>
    </row>
    <row r="38" spans="1:6" ht="14.25" customHeight="1" x14ac:dyDescent="0.2">
      <c r="A38" s="20">
        <v>3</v>
      </c>
      <c r="B38" s="172" t="s">
        <v>2</v>
      </c>
      <c r="C38" s="173"/>
      <c r="D38" s="15">
        <f>IF(F3="1",SUMIF(Data!A:A,'54'!$A$2,Data!CW:CW),0)</f>
        <v>77792</v>
      </c>
      <c r="E38" s="18">
        <f>IF(F3="1",SUMIF(Data!$A:$A,'54'!$A$2,Data!IQ:IQ),0)</f>
        <v>178639</v>
      </c>
      <c r="F38" s="22">
        <f t="shared" si="3"/>
        <v>2.2999999999999998</v>
      </c>
    </row>
    <row r="39" spans="1:6" ht="14.25" customHeight="1" x14ac:dyDescent="0.2">
      <c r="A39" s="20">
        <v>4</v>
      </c>
      <c r="B39" s="172" t="s">
        <v>3</v>
      </c>
      <c r="C39" s="173"/>
      <c r="D39" s="15">
        <f>IF(F3="1",SUMIF(Data!A:A,'54'!$A$2,Data!CX:CX),0)</f>
        <v>122438</v>
      </c>
      <c r="E39" s="18">
        <f>IF(F3="1",SUMIF(Data!$A:$A,'54'!$A$2,Data!IR:IR),0)</f>
        <v>191075</v>
      </c>
      <c r="F39" s="22">
        <f t="shared" si="3"/>
        <v>1.56</v>
      </c>
    </row>
    <row r="40" spans="1:6" x14ac:dyDescent="0.2">
      <c r="A40" s="20">
        <v>5</v>
      </c>
      <c r="B40" s="172" t="s">
        <v>4</v>
      </c>
      <c r="C40" s="173"/>
      <c r="D40" s="15">
        <f>IF(F3="1",SUMIF(Data!A:A,'54'!$A$2,Data!CY:CY),0)</f>
        <v>47136</v>
      </c>
      <c r="E40" s="18">
        <f>IF(F3="1",SUMIF(Data!$A:$A,'54'!$A$2,Data!IS:IS),0)</f>
        <v>883599</v>
      </c>
      <c r="F40" s="22">
        <f t="shared" si="3"/>
        <v>18.75</v>
      </c>
    </row>
    <row r="41" spans="1:6" x14ac:dyDescent="0.2">
      <c r="A41" s="20">
        <v>6</v>
      </c>
      <c r="B41" s="172" t="s">
        <v>5</v>
      </c>
      <c r="C41" s="173"/>
      <c r="D41" s="15">
        <f>IF(F3="1",SUMIF(Data!A:A,'54'!$A$2,Data!CZ:CZ),0)</f>
        <v>163600</v>
      </c>
      <c r="E41" s="18">
        <f>IF(F3="1",SUMIF(Data!$A:$A,'54'!$A$2,Data!IT:IT),0)</f>
        <v>390958</v>
      </c>
      <c r="F41" s="22">
        <f t="shared" si="3"/>
        <v>2.39</v>
      </c>
    </row>
    <row r="42" spans="1:6" x14ac:dyDescent="0.2">
      <c r="A42" s="20">
        <v>7</v>
      </c>
      <c r="B42" s="172" t="s">
        <v>6</v>
      </c>
      <c r="C42" s="173"/>
      <c r="D42" s="15">
        <f>IF(F3="1",SUMIF(Data!A:A,'54'!$A$2,Data!DA:DA),0)</f>
        <v>323376</v>
      </c>
      <c r="E42" s="18">
        <f>IF(F3="1",SUMIF(Data!$A:$A,'54'!$A$2,Data!IU:IU),0)</f>
        <v>740889</v>
      </c>
      <c r="F42" s="22">
        <f t="shared" si="3"/>
        <v>2.29</v>
      </c>
    </row>
    <row r="43" spans="1:6" x14ac:dyDescent="0.2">
      <c r="A43" s="20">
        <v>8</v>
      </c>
      <c r="B43" s="172" t="s">
        <v>7</v>
      </c>
      <c r="C43" s="173"/>
      <c r="D43" s="15">
        <f>IF(F3="1",SUMIF(Data!A:A,'54'!$A$2,Data!DB:DB),0)</f>
        <v>107841</v>
      </c>
      <c r="E43" s="18">
        <f>IF(F3="1",SUMIF(Data!$A:$A,'54'!$A$2,Data!IV:IV),0)</f>
        <v>182702</v>
      </c>
      <c r="F43" s="22">
        <f t="shared" si="3"/>
        <v>1.69</v>
      </c>
    </row>
    <row r="44" spans="1:6" x14ac:dyDescent="0.2">
      <c r="A44" s="20">
        <v>9</v>
      </c>
      <c r="B44" s="172" t="s">
        <v>8</v>
      </c>
      <c r="C44" s="173"/>
      <c r="D44" s="15">
        <f>IF(F3="1",SUMIF(Data!A:A,'54'!$A$2,Data!DC:DC),0)</f>
        <v>82291</v>
      </c>
      <c r="E44" s="18">
        <f>IF(F3="1",SUMIF(Data!$A:$A,'54'!$A$2,Data!IW:IW),0)</f>
        <v>199669</v>
      </c>
      <c r="F44" s="22">
        <f t="shared" si="3"/>
        <v>2.4300000000000002</v>
      </c>
    </row>
    <row r="45" spans="1:6" x14ac:dyDescent="0.2">
      <c r="A45" s="20">
        <v>10</v>
      </c>
      <c r="B45" s="172" t="s">
        <v>9</v>
      </c>
      <c r="C45" s="173"/>
      <c r="D45" s="15">
        <f>IF(F3="1",SUMIF(Data!A:A,'54'!$A$2,Data!DD:DD),0)</f>
        <v>2800</v>
      </c>
      <c r="E45" s="18">
        <f>IF(F3="1",SUMIF(Data!$A:$A,'54'!$A$2,Data!IX:IX),0)</f>
        <v>3970</v>
      </c>
      <c r="F45" s="22">
        <f t="shared" si="3"/>
        <v>1.42</v>
      </c>
    </row>
    <row r="46" spans="1:6" x14ac:dyDescent="0.2">
      <c r="A46" s="20">
        <v>11</v>
      </c>
      <c r="B46" s="172" t="s">
        <v>10</v>
      </c>
      <c r="C46" s="173"/>
      <c r="D46" s="15">
        <f>IF(F3="1",SUMIF(Data!A:A,'54'!$A$2,Data!DE:DE),0)</f>
        <v>642835</v>
      </c>
      <c r="E46" s="18">
        <f>IF(F3="1",SUMIF(Data!$A:$A,'54'!$A$2,Data!IY:IY),0)</f>
        <v>1613002</v>
      </c>
      <c r="F46" s="22">
        <f t="shared" si="3"/>
        <v>2.5099999999999998</v>
      </c>
    </row>
    <row r="47" spans="1:6" ht="14.25" customHeight="1" x14ac:dyDescent="0.2">
      <c r="A47" s="20">
        <v>12</v>
      </c>
      <c r="B47" s="172" t="s">
        <v>11</v>
      </c>
      <c r="C47" s="173"/>
      <c r="D47" s="15">
        <f>IF(F3="1",SUMIF(Data!A:A,'54'!$A$2,Data!DF:DF),0)</f>
        <v>317680</v>
      </c>
      <c r="E47" s="18">
        <f>IF(F3="1",SUMIF(Data!$A:$A,'54'!$A$2,Data!IZ:IZ),0)</f>
        <v>511125</v>
      </c>
      <c r="F47" s="22">
        <f t="shared" si="3"/>
        <v>1.61</v>
      </c>
    </row>
    <row r="48" spans="1:6" x14ac:dyDescent="0.2">
      <c r="A48" s="20">
        <v>13</v>
      </c>
      <c r="B48" s="172" t="s">
        <v>12</v>
      </c>
      <c r="C48" s="173"/>
      <c r="D48" s="15">
        <f>IF(F3="1",SUMIF(Data!A:A,'54'!$A$2,Data!DG:DG),0)</f>
        <v>7776</v>
      </c>
      <c r="E48" s="18">
        <f>IF(F3="1",SUMIF(Data!$A:$A,'54'!$A$2,Data!JA:JA),0)</f>
        <v>18248</v>
      </c>
      <c r="F48" s="22">
        <f t="shared" si="3"/>
        <v>2.35</v>
      </c>
    </row>
    <row r="49" spans="1:6" ht="14.25" customHeight="1" x14ac:dyDescent="0.2">
      <c r="A49" s="20">
        <v>14</v>
      </c>
      <c r="B49" s="172" t="s">
        <v>469</v>
      </c>
      <c r="C49" s="173"/>
      <c r="D49" s="15">
        <f>IF(F3="1",SUMIF(Data!A:A,'54'!$A$2,Data!DH:DH),0)</f>
        <v>167419</v>
      </c>
      <c r="E49" s="18">
        <f>IF(F3="1",SUMIF(Data!$A:$A,'54'!$A$2,Data!JB:JB),0)</f>
        <v>263366</v>
      </c>
      <c r="F49" s="22">
        <f t="shared" si="3"/>
        <v>1.57</v>
      </c>
    </row>
    <row r="50" spans="1:6" x14ac:dyDescent="0.2">
      <c r="A50" s="20">
        <v>15</v>
      </c>
      <c r="B50" s="172" t="s">
        <v>13</v>
      </c>
      <c r="C50" s="173"/>
      <c r="D50" s="15">
        <f>IF(F3="1",SUMIF(Data!A:A,'54'!$A$2,Data!DI:DI),0)</f>
        <v>0</v>
      </c>
      <c r="E50" s="18">
        <f>IF(F3="1",SUMIF(Data!$A:$A,'54'!$A$2,Data!JC:JC),0)</f>
        <v>0</v>
      </c>
      <c r="F50" s="22" t="str">
        <f t="shared" si="3"/>
        <v/>
      </c>
    </row>
    <row r="51" spans="1:6" x14ac:dyDescent="0.2">
      <c r="A51" s="20">
        <v>16</v>
      </c>
      <c r="B51" s="172" t="s">
        <v>14</v>
      </c>
      <c r="C51" s="173"/>
      <c r="D51" s="15">
        <f>IF(F3="1",SUMIF(Data!A:A,'54'!$A$2,Data!DJ:DJ),0)</f>
        <v>47088</v>
      </c>
      <c r="E51" s="18">
        <f>IF(F3="1",SUMIF(Data!$A:$A,'54'!$A$2,Data!JD:JD),0)</f>
        <v>38973</v>
      </c>
      <c r="F51" s="22">
        <f t="shared" si="3"/>
        <v>0.83</v>
      </c>
    </row>
    <row r="52" spans="1:6" x14ac:dyDescent="0.2">
      <c r="A52" s="20">
        <v>17</v>
      </c>
      <c r="B52" s="172" t="s">
        <v>15</v>
      </c>
      <c r="C52" s="173"/>
      <c r="D52" s="15">
        <f>IF(F3="1",SUMIF(Data!A:A,'54'!$A$2,Data!DK:DK),0)</f>
        <v>0</v>
      </c>
      <c r="E52" s="18">
        <f>IF(F3="1",SUMIF(Data!$A:$A,'54'!$A$2,Data!JE:JE),0)</f>
        <v>0</v>
      </c>
      <c r="F52" s="22" t="str">
        <f t="shared" si="3"/>
        <v/>
      </c>
    </row>
    <row r="53" spans="1:6" x14ac:dyDescent="0.2">
      <c r="A53" s="20">
        <v>18</v>
      </c>
      <c r="B53" s="172" t="s">
        <v>16</v>
      </c>
      <c r="C53" s="173"/>
      <c r="D53" s="15">
        <f>IF(F3="1",SUMIF(Data!A:A,'54'!$A$2,Data!DL:DL),0)</f>
        <v>0</v>
      </c>
      <c r="E53" s="18">
        <f>IF(F3="1",SUMIF(Data!$A:$A,'54'!$A$2,Data!JF:JF),0)</f>
        <v>0</v>
      </c>
      <c r="F53" s="22" t="str">
        <f t="shared" si="3"/>
        <v/>
      </c>
    </row>
    <row r="54" spans="1:6" x14ac:dyDescent="0.2">
      <c r="A54" s="20">
        <v>19</v>
      </c>
      <c r="B54" s="172" t="s">
        <v>17</v>
      </c>
      <c r="C54" s="173"/>
      <c r="D54" s="15">
        <f>IF(F3="1",SUMIF(Data!A:A,'54'!$A$2,Data!DM:DM),0)</f>
        <v>206832</v>
      </c>
      <c r="E54" s="18">
        <f>IF(F3="1",SUMIF(Data!$A:$A,'54'!$A$2,Data!JG:JG),0)</f>
        <v>435435</v>
      </c>
      <c r="F54" s="22">
        <f t="shared" si="3"/>
        <v>2.11</v>
      </c>
    </row>
    <row r="55" spans="1:6" x14ac:dyDescent="0.2">
      <c r="A55" s="20">
        <v>20</v>
      </c>
      <c r="B55" s="172" t="s">
        <v>18</v>
      </c>
      <c r="C55" s="173"/>
      <c r="D55" s="15">
        <f>IF(F3="1",SUMIF(Data!A:A,'54'!$A$2,Data!DN:DN),0)</f>
        <v>417280</v>
      </c>
      <c r="E55" s="18">
        <f>IF(F3="1",SUMIF(Data!$A:$A,'54'!$A$2,Data!JH:JH),0)</f>
        <v>709137</v>
      </c>
      <c r="F55" s="22">
        <f t="shared" si="3"/>
        <v>1.7</v>
      </c>
    </row>
    <row r="56" spans="1:6" ht="14.25" customHeight="1" x14ac:dyDescent="0.2">
      <c r="A56" s="20">
        <v>21</v>
      </c>
      <c r="B56" s="172" t="s">
        <v>466</v>
      </c>
      <c r="C56" s="173"/>
      <c r="D56" s="15">
        <f>IF(F3="1",SUMIF(Data!A:A,'54'!$A$2,Data!DO:DO),0)</f>
        <v>312512</v>
      </c>
      <c r="E56" s="18">
        <f>IF(F3="1",SUMIF(Data!$A:$A,'54'!$A$2,Data!JI:JI),0)</f>
        <v>640477</v>
      </c>
      <c r="F56" s="22">
        <f t="shared" si="3"/>
        <v>2.0499999999999998</v>
      </c>
    </row>
    <row r="57" spans="1:6" x14ac:dyDescent="0.2">
      <c r="A57" s="20">
        <v>22</v>
      </c>
      <c r="B57" s="172" t="s">
        <v>19</v>
      </c>
      <c r="C57" s="173"/>
      <c r="D57" s="15">
        <f>IF(F3="1",SUMIF(Data!A:A,'54'!$A$2,Data!DP:DP),0)</f>
        <v>214753</v>
      </c>
      <c r="E57" s="18">
        <f>IF(F3="1",SUMIF(Data!$A:$A,'54'!$A$2,Data!JJ:JJ),0)</f>
        <v>422523</v>
      </c>
      <c r="F57" s="22">
        <f t="shared" si="3"/>
        <v>1.97</v>
      </c>
    </row>
    <row r="58" spans="1:6" x14ac:dyDescent="0.2">
      <c r="A58" s="20">
        <v>23</v>
      </c>
      <c r="B58" s="172" t="s">
        <v>20</v>
      </c>
      <c r="C58" s="173"/>
      <c r="D58" s="15">
        <f>IF(F3="1",SUMIF(Data!A:A,'54'!$A$2,Data!DQ:DQ),0)</f>
        <v>0</v>
      </c>
      <c r="E58" s="18">
        <f>IF(F3="1",SUMIF(Data!$A:$A,'54'!$A$2,Data!JK:JK),0)</f>
        <v>0</v>
      </c>
      <c r="F58" s="22" t="str">
        <f t="shared" si="3"/>
        <v/>
      </c>
    </row>
    <row r="59" spans="1:6" x14ac:dyDescent="0.2">
      <c r="A59" s="20">
        <v>24</v>
      </c>
      <c r="B59" s="172" t="s">
        <v>21</v>
      </c>
      <c r="C59" s="173"/>
      <c r="D59" s="15">
        <f>IF(F3="1",SUMIF(Data!A:A,'54'!$A$2,Data!DR:DR),0)</f>
        <v>23408</v>
      </c>
      <c r="E59" s="18">
        <f>IF(F3="1",SUMIF(Data!$A:$A,'54'!$A$2,Data!JL:JL),0)</f>
        <v>27331</v>
      </c>
      <c r="F59" s="22">
        <f t="shared" si="3"/>
        <v>1.17</v>
      </c>
    </row>
    <row r="60" spans="1:6" x14ac:dyDescent="0.2">
      <c r="A60" s="20">
        <v>25</v>
      </c>
      <c r="B60" s="172" t="s">
        <v>22</v>
      </c>
      <c r="C60" s="173"/>
      <c r="D60" s="15">
        <f>IF(F3="1",SUMIF(Data!A:A,'54'!$A$2,Data!DS:DS),0)</f>
        <v>66880</v>
      </c>
      <c r="E60" s="18">
        <f>IF(F3="1",SUMIF(Data!$A:$A,'54'!$A$2,Data!JM:JM),0)</f>
        <v>153810</v>
      </c>
      <c r="F60" s="22">
        <f t="shared" si="3"/>
        <v>2.2999999999999998</v>
      </c>
    </row>
    <row r="61" spans="1:6" x14ac:dyDescent="0.2">
      <c r="A61" s="20">
        <v>26</v>
      </c>
      <c r="B61" s="172" t="s">
        <v>23</v>
      </c>
      <c r="C61" s="173"/>
      <c r="D61" s="15">
        <f>IF(F3="1",SUMIF(Data!A:A,'54'!$A$2,Data!DT:DT),0)</f>
        <v>148764</v>
      </c>
      <c r="E61" s="18">
        <f>IF(F3="1",SUMIF(Data!$A:$A,'54'!$A$2,Data!JN:JN),0)</f>
        <v>239313</v>
      </c>
      <c r="F61" s="22">
        <f t="shared" si="3"/>
        <v>1.61</v>
      </c>
    </row>
    <row r="62" spans="1:6" x14ac:dyDescent="0.2">
      <c r="A62" s="20">
        <v>28</v>
      </c>
      <c r="B62" s="172" t="s">
        <v>24</v>
      </c>
      <c r="C62" s="173"/>
      <c r="D62" s="15">
        <f>IF(F3="1",SUMIF(Data!A:A,'54'!$A$2,Data!DV:DV),0)</f>
        <v>0</v>
      </c>
      <c r="E62" s="18">
        <f>IF(F3="1",SUMIF(Data!$A:$A,'54'!$A$2,Data!JP:JP),0)</f>
        <v>0</v>
      </c>
      <c r="F62" s="22" t="str">
        <f t="shared" si="3"/>
        <v/>
      </c>
    </row>
    <row r="63" spans="1:6" ht="15.75" customHeight="1" thickBot="1" x14ac:dyDescent="0.25">
      <c r="A63" s="23">
        <v>29</v>
      </c>
      <c r="B63" s="174" t="s">
        <v>25</v>
      </c>
      <c r="C63" s="175"/>
      <c r="D63" s="24">
        <f>IF(F3="1",SUMIF(Data!A:A,'54'!$A$2,Data!DW:DW),0)</f>
        <v>0</v>
      </c>
      <c r="E63" s="25">
        <f>IF(F3="1",SUMIF(Data!$A:$A,'54'!$A$2,Data!JQ:JQ),0)</f>
        <v>0</v>
      </c>
      <c r="F63" s="26" t="str">
        <f t="shared" si="3"/>
        <v/>
      </c>
    </row>
    <row r="64" spans="1:6" x14ac:dyDescent="0.2">
      <c r="B64" s="31" t="s">
        <v>35</v>
      </c>
      <c r="C64" s="31"/>
      <c r="D64" s="61">
        <f>SUM(D36:D63)</f>
        <v>3900933</v>
      </c>
      <c r="E64" s="32">
        <f>SUM(E36:E63)</f>
        <v>8954915</v>
      </c>
      <c r="F64" s="33">
        <f t="shared" si="3"/>
        <v>2.2999999999999998</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54256</v>
      </c>
      <c r="E67" s="16">
        <f>IF(F3="1",SUMIF(Data!A:A,'54'!$A$2,Data!DY:DY),0)</f>
        <v>205220</v>
      </c>
      <c r="F67" s="21">
        <f t="shared" ref="F67:F95" si="4">IF(D67=0,"",ROUND(E67/D67,2))</f>
        <v>3.78</v>
      </c>
    </row>
    <row r="68" spans="1:6" x14ac:dyDescent="0.2">
      <c r="A68" s="20">
        <v>2</v>
      </c>
      <c r="B68" s="172" t="s">
        <v>1</v>
      </c>
      <c r="C68" s="173"/>
      <c r="D68" s="15">
        <f t="shared" ref="D68:D94" si="5">D37</f>
        <v>346176</v>
      </c>
      <c r="E68" s="18">
        <f>IF(F3="1",SUMIF(Data!A:A,'54'!$A$2,Data!DZ:DZ),0)</f>
        <v>877075</v>
      </c>
      <c r="F68" s="22">
        <f t="shared" si="4"/>
        <v>2.5299999999999998</v>
      </c>
    </row>
    <row r="69" spans="1:6" ht="14.25" customHeight="1" x14ac:dyDescent="0.2">
      <c r="A69" s="20">
        <v>3</v>
      </c>
      <c r="B69" s="172" t="s">
        <v>2</v>
      </c>
      <c r="C69" s="173"/>
      <c r="D69" s="15">
        <f t="shared" si="5"/>
        <v>77792</v>
      </c>
      <c r="E69" s="18">
        <f>IF(F3="1",SUMIF(Data!A:A,'54'!$A$2,Data!EA:EA),0)</f>
        <v>367724</v>
      </c>
      <c r="F69" s="22">
        <f t="shared" si="4"/>
        <v>4.7300000000000004</v>
      </c>
    </row>
    <row r="70" spans="1:6" ht="14.25" customHeight="1" x14ac:dyDescent="0.2">
      <c r="A70" s="20">
        <v>4</v>
      </c>
      <c r="B70" s="172" t="s">
        <v>3</v>
      </c>
      <c r="C70" s="173"/>
      <c r="D70" s="15">
        <f t="shared" si="5"/>
        <v>122438</v>
      </c>
      <c r="E70" s="18">
        <f>IF(F3="1",SUMIF(Data!A:A,'54'!$A$2,Data!EB:EB),0)</f>
        <v>292939</v>
      </c>
      <c r="F70" s="22">
        <f t="shared" si="4"/>
        <v>2.39</v>
      </c>
    </row>
    <row r="71" spans="1:6" x14ac:dyDescent="0.2">
      <c r="A71" s="20">
        <v>5</v>
      </c>
      <c r="B71" s="172" t="s">
        <v>4</v>
      </c>
      <c r="C71" s="173"/>
      <c r="D71" s="15">
        <f t="shared" si="5"/>
        <v>47136</v>
      </c>
      <c r="E71" s="18">
        <f>IF(F3="1",SUMIF(Data!A:A,'54'!$A$2,Data!EC:EC),0)</f>
        <v>294752</v>
      </c>
      <c r="F71" s="22">
        <f t="shared" si="4"/>
        <v>6.25</v>
      </c>
    </row>
    <row r="72" spans="1:6" x14ac:dyDescent="0.2">
      <c r="A72" s="20">
        <v>6</v>
      </c>
      <c r="B72" s="172" t="s">
        <v>5</v>
      </c>
      <c r="C72" s="173"/>
      <c r="D72" s="15">
        <f t="shared" si="5"/>
        <v>163600</v>
      </c>
      <c r="E72" s="18">
        <f>IF(F3="1",SUMIF(Data!A:A,'54'!$A$2,Data!ED:ED),0)</f>
        <v>538472</v>
      </c>
      <c r="F72" s="22">
        <f t="shared" si="4"/>
        <v>3.29</v>
      </c>
    </row>
    <row r="73" spans="1:6" x14ac:dyDescent="0.2">
      <c r="A73" s="20">
        <v>7</v>
      </c>
      <c r="B73" s="172" t="s">
        <v>6</v>
      </c>
      <c r="C73" s="173"/>
      <c r="D73" s="15">
        <f t="shared" si="5"/>
        <v>323376</v>
      </c>
      <c r="E73" s="18">
        <f>IF(F3="1",SUMIF(Data!A:A,'54'!$A$2,Data!EE:EE),0)</f>
        <v>1204365</v>
      </c>
      <c r="F73" s="22">
        <f t="shared" si="4"/>
        <v>3.72</v>
      </c>
    </row>
    <row r="74" spans="1:6" x14ac:dyDescent="0.2">
      <c r="A74" s="20">
        <v>8</v>
      </c>
      <c r="B74" s="172" t="s">
        <v>7</v>
      </c>
      <c r="C74" s="173"/>
      <c r="D74" s="15">
        <f t="shared" si="5"/>
        <v>107841</v>
      </c>
      <c r="E74" s="18">
        <f>IF(F3="1",SUMIF(Data!A:A,'54'!$A$2,Data!EF:EF),0)</f>
        <v>362389</v>
      </c>
      <c r="F74" s="22">
        <f t="shared" si="4"/>
        <v>3.36</v>
      </c>
    </row>
    <row r="75" spans="1:6" x14ac:dyDescent="0.2">
      <c r="A75" s="20">
        <v>9</v>
      </c>
      <c r="B75" s="172" t="s">
        <v>8</v>
      </c>
      <c r="C75" s="173"/>
      <c r="D75" s="15">
        <f t="shared" si="5"/>
        <v>82291</v>
      </c>
      <c r="E75" s="18">
        <f>IF(F3="1",SUMIF(Data!A:A,'54'!$A$2,Data!EG:EG),0)</f>
        <v>270148</v>
      </c>
      <c r="F75" s="22">
        <f t="shared" si="4"/>
        <v>3.28</v>
      </c>
    </row>
    <row r="76" spans="1:6" x14ac:dyDescent="0.2">
      <c r="A76" s="20">
        <v>10</v>
      </c>
      <c r="B76" s="172" t="s">
        <v>9</v>
      </c>
      <c r="C76" s="173"/>
      <c r="D76" s="15">
        <f t="shared" si="5"/>
        <v>2800</v>
      </c>
      <c r="E76" s="18">
        <f>IF(F3="1",SUMIF(Data!A:A,'54'!$A$2,Data!EH:EH),0)</f>
        <v>25322</v>
      </c>
      <c r="F76" s="22">
        <f t="shared" si="4"/>
        <v>9.0399999999999991</v>
      </c>
    </row>
    <row r="77" spans="1:6" x14ac:dyDescent="0.2">
      <c r="A77" s="20">
        <v>11</v>
      </c>
      <c r="B77" s="172" t="s">
        <v>10</v>
      </c>
      <c r="C77" s="173"/>
      <c r="D77" s="15">
        <f t="shared" si="5"/>
        <v>642835</v>
      </c>
      <c r="E77" s="18">
        <f>IF(F3="1",SUMIF(Data!A:A,'54'!$A$2,Data!EI:EI),0)</f>
        <v>2286035</v>
      </c>
      <c r="F77" s="22">
        <f t="shared" si="4"/>
        <v>3.56</v>
      </c>
    </row>
    <row r="78" spans="1:6" ht="14.25" customHeight="1" x14ac:dyDescent="0.2">
      <c r="A78" s="20">
        <v>12</v>
      </c>
      <c r="B78" s="172" t="s">
        <v>11</v>
      </c>
      <c r="C78" s="173"/>
      <c r="D78" s="15">
        <f t="shared" si="5"/>
        <v>317680</v>
      </c>
      <c r="E78" s="18">
        <f>IF(F3="1",SUMIF(Data!A:A,'54'!$A$2,Data!EJ:EJ),0)</f>
        <v>840085</v>
      </c>
      <c r="F78" s="22">
        <f t="shared" si="4"/>
        <v>2.64</v>
      </c>
    </row>
    <row r="79" spans="1:6" x14ac:dyDescent="0.2">
      <c r="A79" s="20">
        <v>13</v>
      </c>
      <c r="B79" s="172" t="s">
        <v>12</v>
      </c>
      <c r="C79" s="173"/>
      <c r="D79" s="15">
        <f t="shared" si="5"/>
        <v>7776</v>
      </c>
      <c r="E79" s="18">
        <f>IF(F3="1",SUMIF(Data!A:A,'54'!$A$2,Data!EK:EK),0)</f>
        <v>24217</v>
      </c>
      <c r="F79" s="22">
        <f t="shared" si="4"/>
        <v>3.11</v>
      </c>
    </row>
    <row r="80" spans="1:6" ht="14.25" customHeight="1" x14ac:dyDescent="0.2">
      <c r="A80" s="20">
        <v>14</v>
      </c>
      <c r="B80" s="172" t="s">
        <v>469</v>
      </c>
      <c r="C80" s="173"/>
      <c r="D80" s="15">
        <f t="shared" si="5"/>
        <v>167419</v>
      </c>
      <c r="E80" s="18">
        <f>IF(F3="1",SUMIF(Data!A:A,'54'!$A$2,Data!EL:EL),0)</f>
        <v>301673</v>
      </c>
      <c r="F80" s="22">
        <f t="shared" si="4"/>
        <v>1.8</v>
      </c>
    </row>
    <row r="81" spans="1:6" x14ac:dyDescent="0.2">
      <c r="A81" s="20">
        <v>15</v>
      </c>
      <c r="B81" s="172" t="s">
        <v>13</v>
      </c>
      <c r="C81" s="173"/>
      <c r="D81" s="15">
        <f t="shared" si="5"/>
        <v>0</v>
      </c>
      <c r="E81" s="18">
        <f>IF(F3="1",SUMIF(Data!A:A,'54'!$A$2,Data!EM:EM),0)</f>
        <v>0</v>
      </c>
      <c r="F81" s="22" t="str">
        <f t="shared" si="4"/>
        <v/>
      </c>
    </row>
    <row r="82" spans="1:6" x14ac:dyDescent="0.2">
      <c r="A82" s="20">
        <v>16</v>
      </c>
      <c r="B82" s="172" t="s">
        <v>14</v>
      </c>
      <c r="C82" s="173"/>
      <c r="D82" s="15">
        <f t="shared" si="5"/>
        <v>47088</v>
      </c>
      <c r="E82" s="18">
        <f>IF(F3="1",SUMIF(Data!A:A,'54'!$A$2,Data!EN:EN),0)</f>
        <v>3742</v>
      </c>
      <c r="F82" s="22">
        <f t="shared" si="4"/>
        <v>0.08</v>
      </c>
    </row>
    <row r="83" spans="1:6" x14ac:dyDescent="0.2">
      <c r="A83" s="20">
        <v>17</v>
      </c>
      <c r="B83" s="172" t="s">
        <v>15</v>
      </c>
      <c r="C83" s="173"/>
      <c r="D83" s="15">
        <f t="shared" si="5"/>
        <v>0</v>
      </c>
      <c r="E83" s="18">
        <f>IF(F3="1",SUMIF(Data!A:A,'54'!$A$2,Data!EO:EO),0)</f>
        <v>0</v>
      </c>
      <c r="F83" s="22" t="str">
        <f t="shared" si="4"/>
        <v/>
      </c>
    </row>
    <row r="84" spans="1:6" x14ac:dyDescent="0.2">
      <c r="A84" s="20">
        <v>18</v>
      </c>
      <c r="B84" s="172" t="s">
        <v>16</v>
      </c>
      <c r="C84" s="173"/>
      <c r="D84" s="15">
        <f t="shared" si="5"/>
        <v>0</v>
      </c>
      <c r="E84" s="18">
        <f>IF(F3="1",SUMIF(Data!A:A,'54'!$A$2,Data!EP:EP),0)</f>
        <v>0</v>
      </c>
      <c r="F84" s="22" t="str">
        <f t="shared" si="4"/>
        <v/>
      </c>
    </row>
    <row r="85" spans="1:6" x14ac:dyDescent="0.2">
      <c r="A85" s="20">
        <v>19</v>
      </c>
      <c r="B85" s="172" t="s">
        <v>17</v>
      </c>
      <c r="C85" s="173"/>
      <c r="D85" s="15">
        <f t="shared" si="5"/>
        <v>206832</v>
      </c>
      <c r="E85" s="18">
        <f>IF(F3="1",SUMIF(Data!A:A,'54'!$A$2,Data!EQ:EQ),0)</f>
        <v>720959</v>
      </c>
      <c r="F85" s="22">
        <f t="shared" si="4"/>
        <v>3.49</v>
      </c>
    </row>
    <row r="86" spans="1:6" x14ac:dyDescent="0.2">
      <c r="A86" s="20">
        <v>20</v>
      </c>
      <c r="B86" s="172" t="s">
        <v>18</v>
      </c>
      <c r="C86" s="173"/>
      <c r="D86" s="15">
        <f t="shared" si="5"/>
        <v>417280</v>
      </c>
      <c r="E86" s="18">
        <f>IF(F3="1",SUMIF(Data!A:A,'54'!$A$2,Data!ER:ER),0)</f>
        <v>1243552</v>
      </c>
      <c r="F86" s="22">
        <f t="shared" si="4"/>
        <v>2.98</v>
      </c>
    </row>
    <row r="87" spans="1:6" ht="14.25" customHeight="1" x14ac:dyDescent="0.2">
      <c r="A87" s="20">
        <v>21</v>
      </c>
      <c r="B87" s="172" t="s">
        <v>466</v>
      </c>
      <c r="C87" s="173"/>
      <c r="D87" s="15">
        <f t="shared" si="5"/>
        <v>312512</v>
      </c>
      <c r="E87" s="18">
        <f>IF(F3="1",SUMIF(Data!A:A,'54'!$A$2,Data!ES:ES),0)</f>
        <v>969921</v>
      </c>
      <c r="F87" s="22">
        <f t="shared" si="4"/>
        <v>3.1</v>
      </c>
    </row>
    <row r="88" spans="1:6" x14ac:dyDescent="0.2">
      <c r="A88" s="20">
        <v>22</v>
      </c>
      <c r="B88" s="172" t="s">
        <v>19</v>
      </c>
      <c r="C88" s="173"/>
      <c r="D88" s="15">
        <f t="shared" si="5"/>
        <v>214753</v>
      </c>
      <c r="E88" s="18">
        <f>IF(F3="1",SUMIF(Data!A:A,'54'!$A$2,Data!ET:ET),0)</f>
        <v>1178146</v>
      </c>
      <c r="F88" s="22">
        <f t="shared" si="4"/>
        <v>5.49</v>
      </c>
    </row>
    <row r="89" spans="1:6" x14ac:dyDescent="0.2">
      <c r="A89" s="20">
        <v>23</v>
      </c>
      <c r="B89" s="172" t="s">
        <v>20</v>
      </c>
      <c r="C89" s="173"/>
      <c r="D89" s="15">
        <f t="shared" si="5"/>
        <v>0</v>
      </c>
      <c r="E89" s="18">
        <f>IF(F3="1",SUMIF(Data!A:A,'54'!$A$2,Data!EU:EU),0)</f>
        <v>0</v>
      </c>
      <c r="F89" s="22" t="str">
        <f t="shared" si="4"/>
        <v/>
      </c>
    </row>
    <row r="90" spans="1:6" x14ac:dyDescent="0.2">
      <c r="A90" s="20">
        <v>24</v>
      </c>
      <c r="B90" s="172" t="s">
        <v>21</v>
      </c>
      <c r="C90" s="173"/>
      <c r="D90" s="15">
        <f t="shared" si="5"/>
        <v>23408</v>
      </c>
      <c r="E90" s="18">
        <f>IF(F3="1",SUMIF(Data!A:A,'54'!$A$2,Data!EV:EV),0)</f>
        <v>122720</v>
      </c>
      <c r="F90" s="22">
        <f t="shared" si="4"/>
        <v>5.24</v>
      </c>
    </row>
    <row r="91" spans="1:6" x14ac:dyDescent="0.2">
      <c r="A91" s="20">
        <v>25</v>
      </c>
      <c r="B91" s="172" t="s">
        <v>22</v>
      </c>
      <c r="C91" s="173"/>
      <c r="D91" s="15">
        <f t="shared" si="5"/>
        <v>66880</v>
      </c>
      <c r="E91" s="18">
        <f>IF(F3="1",SUMIF(Data!A:A,'54'!$A$2,Data!EW:EW),0)</f>
        <v>182901</v>
      </c>
      <c r="F91" s="22">
        <f t="shared" si="4"/>
        <v>2.73</v>
      </c>
    </row>
    <row r="92" spans="1:6" x14ac:dyDescent="0.2">
      <c r="A92" s="20">
        <v>26</v>
      </c>
      <c r="B92" s="172" t="s">
        <v>23</v>
      </c>
      <c r="C92" s="173"/>
      <c r="D92" s="15">
        <f t="shared" si="5"/>
        <v>148764</v>
      </c>
      <c r="E92" s="18">
        <f>IF(F3="1",SUMIF(Data!A:A,'54'!$A$2,Data!EX:EX),0)</f>
        <v>281351</v>
      </c>
      <c r="F92" s="22">
        <f t="shared" si="4"/>
        <v>1.89</v>
      </c>
    </row>
    <row r="93" spans="1:6" x14ac:dyDescent="0.2">
      <c r="A93" s="20">
        <v>28</v>
      </c>
      <c r="B93" s="172" t="s">
        <v>24</v>
      </c>
      <c r="C93" s="173"/>
      <c r="D93" s="15">
        <f t="shared" si="5"/>
        <v>0</v>
      </c>
      <c r="E93" s="18">
        <f>IF(F3="1",SUMIF(Data!A:A,'54'!$A$2,Data!EZ:EZ),0)</f>
        <v>0</v>
      </c>
      <c r="F93" s="22" t="str">
        <f t="shared" si="4"/>
        <v/>
      </c>
    </row>
    <row r="94" spans="1:6" ht="15.75" customHeight="1" thickBot="1" x14ac:dyDescent="0.25">
      <c r="A94" s="23">
        <v>29</v>
      </c>
      <c r="B94" s="174" t="s">
        <v>25</v>
      </c>
      <c r="C94" s="175"/>
      <c r="D94" s="24">
        <f t="shared" si="5"/>
        <v>0</v>
      </c>
      <c r="E94" s="25">
        <f>IF(F3="1",SUMIF(Data!A:A,'54'!$A$2,Data!FA:FA),0)</f>
        <v>0</v>
      </c>
      <c r="F94" s="26" t="str">
        <f t="shared" si="4"/>
        <v/>
      </c>
    </row>
    <row r="95" spans="1:6" x14ac:dyDescent="0.2">
      <c r="B95" s="31" t="s">
        <v>35</v>
      </c>
      <c r="C95" s="31"/>
      <c r="D95" s="61">
        <f>SUM(D67:D94)</f>
        <v>3900933</v>
      </c>
      <c r="E95" s="32">
        <f>SUM(E67:E94)</f>
        <v>12593708</v>
      </c>
      <c r="F95" s="33">
        <f t="shared" si="4"/>
        <v>3.23</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IF(F3="1",SUMIF(Data!A:A,'54'!$A$2,Data!AH:AH),0)</f>
        <v>3668885</v>
      </c>
      <c r="F98" s="21">
        <f>IF($D$105=0,"",ROUND(E98/$D$105,2))</f>
        <v>0.94</v>
      </c>
    </row>
    <row r="99" spans="2:6" x14ac:dyDescent="0.2">
      <c r="B99" s="178" t="s">
        <v>31</v>
      </c>
      <c r="C99" s="179"/>
      <c r="D99" s="37"/>
      <c r="E99" s="18">
        <f>IF(F3="1",SUMIF(Data!A:A,'54'!$A$2,Data!AI:AI),0)</f>
        <v>2132481</v>
      </c>
      <c r="F99" s="22">
        <f t="shared" ref="F99:F105" si="6">IF($D$105=0,"",ROUND(E99/$D$105,2))</f>
        <v>0.55000000000000004</v>
      </c>
    </row>
    <row r="100" spans="2:6" x14ac:dyDescent="0.2">
      <c r="B100" s="178" t="s">
        <v>32</v>
      </c>
      <c r="C100" s="179"/>
      <c r="D100" s="37"/>
      <c r="E100" s="18">
        <f>IF(F3="1",SUMIF(Data!A:A,'54'!$A$2,Data!AJ:AJ),0)</f>
        <v>1452864</v>
      </c>
      <c r="F100" s="22">
        <f t="shared" si="6"/>
        <v>0.37</v>
      </c>
    </row>
    <row r="101" spans="2:6" x14ac:dyDescent="0.2">
      <c r="B101" s="178" t="s">
        <v>28</v>
      </c>
      <c r="C101" s="179"/>
      <c r="D101" s="37"/>
      <c r="E101" s="18">
        <f>IF(F3="1",SUMIF(Data!A:A,'54'!$A$2,Data!AK:AK),0)</f>
        <v>260233</v>
      </c>
      <c r="F101" s="22">
        <f t="shared" si="6"/>
        <v>7.0000000000000007E-2</v>
      </c>
    </row>
    <row r="102" spans="2:6" x14ac:dyDescent="0.2">
      <c r="B102" s="178" t="s">
        <v>33</v>
      </c>
      <c r="C102" s="179"/>
      <c r="D102" s="37"/>
      <c r="E102" s="18">
        <f>IF(F3="1",SUMIF(Data!A:A,'54'!$A$2,Data!AL:AL),0)</f>
        <v>2491561</v>
      </c>
      <c r="F102" s="22">
        <f t="shared" si="6"/>
        <v>0.64</v>
      </c>
    </row>
    <row r="103" spans="2:6" x14ac:dyDescent="0.2">
      <c r="B103" s="180" t="s">
        <v>34</v>
      </c>
      <c r="C103" s="181"/>
      <c r="D103" s="37"/>
      <c r="E103" s="18">
        <f>IF(F3="1",SUMIF(Data!A:A,'54'!$A$2,Data!AM:AM),0)</f>
        <v>797073</v>
      </c>
      <c r="F103" s="22">
        <f t="shared" si="6"/>
        <v>0.2</v>
      </c>
    </row>
    <row r="104" spans="2:6" ht="15.75" customHeight="1" thickBot="1" x14ac:dyDescent="0.25">
      <c r="B104" s="170" t="s">
        <v>29</v>
      </c>
      <c r="C104" s="171"/>
      <c r="D104" s="38"/>
      <c r="E104" s="25">
        <f>IF(F3="1",SUMIF(Data!A:A,'54'!$A$2,Data!Q:Q),0)</f>
        <v>185946</v>
      </c>
      <c r="F104" s="26">
        <f t="shared" si="6"/>
        <v>0.05</v>
      </c>
    </row>
    <row r="105" spans="2:6" x14ac:dyDescent="0.2">
      <c r="B105" s="31" t="s">
        <v>35</v>
      </c>
      <c r="C105" s="31"/>
      <c r="D105" s="35">
        <f>D95</f>
        <v>3900933</v>
      </c>
      <c r="E105" s="32">
        <f>SUM(E98:E104)</f>
        <v>10989043</v>
      </c>
      <c r="F105" s="33">
        <f t="shared" si="6"/>
        <v>2.82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16573614</v>
      </c>
      <c r="D109" s="16">
        <f>IF(F3="1",SUMIF(Data!$A:$A,$A$2,Data!HJ:HJ),0)</f>
        <v>1091202</v>
      </c>
      <c r="E109" s="16">
        <f>IF(F3="1",SUMIF(Data!$A:$A,$A$2,Data!IN:IN),0)</f>
        <v>4118197</v>
      </c>
      <c r="F109" s="48">
        <f>SUM(C109:E109)</f>
        <v>21783013</v>
      </c>
    </row>
    <row r="110" spans="2:6" x14ac:dyDescent="0.2">
      <c r="B110" s="43" t="s">
        <v>28</v>
      </c>
      <c r="C110" s="51">
        <f>IF(F3="1",SUMIF(Data!A:A,$A$2,Data!W:W),0)</f>
        <v>209160</v>
      </c>
      <c r="D110" s="52"/>
      <c r="E110" s="51">
        <f>IF(F3="1",SUMIF(Data!A:A,$A$2,Data!W:W),0)</f>
        <v>209160</v>
      </c>
      <c r="F110" s="49">
        <f t="shared" ref="F110:F116" si="7">SUM(C110:E110)</f>
        <v>418320</v>
      </c>
    </row>
    <row r="111" spans="2:6" x14ac:dyDescent="0.2">
      <c r="B111" s="43" t="s">
        <v>936</v>
      </c>
      <c r="C111" s="51">
        <f>IF(F3="1",SUMIF(Data!A:A,$A$2,Data!AS:AS),0)</f>
        <v>521085</v>
      </c>
      <c r="D111" s="52"/>
      <c r="E111" s="51">
        <f>IF(F3="1",SUMIF(Data!A:A,$A$2,Data!AX:AX),0)</f>
        <v>929564</v>
      </c>
      <c r="F111" s="49">
        <f t="shared" si="7"/>
        <v>1450649</v>
      </c>
    </row>
    <row r="112" spans="2:6" x14ac:dyDescent="0.2">
      <c r="B112" s="43" t="s">
        <v>32</v>
      </c>
      <c r="C112" s="51">
        <f>IF(F3="1",SUMIF(Data!A:A,$A$2,Data!V:V),0)</f>
        <v>942708</v>
      </c>
      <c r="D112" s="52"/>
      <c r="E112" s="51">
        <f>IF(F3="1",SUMIF(Data!A:A,$A$2,Data!AC:AC),0)</f>
        <v>510156</v>
      </c>
      <c r="F112" s="49">
        <f t="shared" si="7"/>
        <v>1452864</v>
      </c>
    </row>
    <row r="113" spans="1:6" x14ac:dyDescent="0.2">
      <c r="B113" s="43" t="s">
        <v>31</v>
      </c>
      <c r="C113" s="51">
        <f>IF(F3="1",SUMIF(Data!A:A,$A$2,Data!U:U),0)</f>
        <v>1754345</v>
      </c>
      <c r="D113" s="52"/>
      <c r="E113" s="51">
        <f>IF(F3="1",SUMIF(Data!A:A,$A$2,Data!AB:AB),0)</f>
        <v>378136</v>
      </c>
      <c r="F113" s="49">
        <f t="shared" si="7"/>
        <v>2132481</v>
      </c>
    </row>
    <row r="114" spans="1:6" x14ac:dyDescent="0.2">
      <c r="B114" s="43" t="s">
        <v>1021</v>
      </c>
      <c r="C114" s="51">
        <f>IF(F3="1",SUMIF(Data!A:A,$A$2,Data!T:T),0)</f>
        <v>2498041</v>
      </c>
      <c r="D114" s="52"/>
      <c r="E114" s="51">
        <f>IF(F3="1",SUMIF(Data!A:A,$A$2,Data!AA:AA),0)</f>
        <v>1170844</v>
      </c>
      <c r="F114" s="49">
        <f t="shared" si="7"/>
        <v>3668885</v>
      </c>
    </row>
    <row r="115" spans="1:6" x14ac:dyDescent="0.2">
      <c r="B115" s="43" t="s">
        <v>937</v>
      </c>
      <c r="C115" s="51">
        <f>IF(F3="1",SUMIF(Data!A:A,$A$2,Data!BI:BI),0)</f>
        <v>1693293</v>
      </c>
      <c r="D115" s="51">
        <f>IF(F3="1",SUMIF(Data!A:A,$A$2,Data!BL:BL),0)</f>
        <v>931751</v>
      </c>
      <c r="E115" s="51">
        <f>IF(F3="1",SUMIF(Data!A:A,$A$2,Data!BU:BU),0)</f>
        <v>3148937</v>
      </c>
      <c r="F115" s="49">
        <f t="shared" si="7"/>
        <v>5773981</v>
      </c>
    </row>
    <row r="116" spans="1:6" x14ac:dyDescent="0.2">
      <c r="B116" s="43" t="s">
        <v>33</v>
      </c>
      <c r="C116" s="51">
        <f>IF(F3="1",SUMIF(Data!A:A,$A$2,Data!X:X),0)</f>
        <v>0</v>
      </c>
      <c r="D116" s="51"/>
      <c r="E116" s="51">
        <f>E102</f>
        <v>2491561</v>
      </c>
      <c r="F116" s="49">
        <f t="shared" si="7"/>
        <v>2491561</v>
      </c>
    </row>
    <row r="117" spans="1:6" ht="15" thickBot="1" x14ac:dyDescent="0.25">
      <c r="B117" s="44" t="s">
        <v>941</v>
      </c>
      <c r="C117" s="53"/>
      <c r="D117" s="53">
        <f>IF(F3="1",SUMIF(Data!A:A,$A$2,Data!Q:Q),0)</f>
        <v>185946</v>
      </c>
      <c r="E117" s="53"/>
      <c r="F117" s="50">
        <f>SUM(C117:E117)</f>
        <v>185946</v>
      </c>
    </row>
    <row r="118" spans="1:6" x14ac:dyDescent="0.2">
      <c r="B118" s="14" t="s">
        <v>35</v>
      </c>
      <c r="C118" s="5">
        <f>SUM(C109:C116)</f>
        <v>24192246</v>
      </c>
      <c r="D118" s="5">
        <f>SUM(D109:D116)</f>
        <v>2022953</v>
      </c>
      <c r="E118" s="5">
        <f>SUM(E109:E116)</f>
        <v>12956555</v>
      </c>
      <c r="F118" s="5">
        <f>SUM(F109:F116)</f>
        <v>39171754</v>
      </c>
    </row>
    <row r="119" spans="1:6" ht="15" thickBot="1" x14ac:dyDescent="0.25"/>
    <row r="120" spans="1:6" ht="15" thickBot="1" x14ac:dyDescent="0.25">
      <c r="B120" s="57" t="s">
        <v>942</v>
      </c>
      <c r="C120" s="55"/>
      <c r="D120" s="55"/>
      <c r="E120" s="55">
        <f>IF(F3="1",SUMIF(Data!A:A,'54'!$A$2,Data!AM:AM),0)</f>
        <v>797073</v>
      </c>
      <c r="F120" s="56">
        <f>SUM(C120:E120)</f>
        <v>797073</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3.42578125" style="11" bestFit="1" customWidth="1"/>
    <col min="13"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462</v>
      </c>
      <c r="B2" s="60" t="str">
        <f>VLOOKUP(A2,Data!A:G,7,0)</f>
        <v>Lamar Institute of Technology</v>
      </c>
      <c r="C2" s="60"/>
    </row>
    <row r="3" spans="1:6" ht="15" thickBot="1" x14ac:dyDescent="0.25">
      <c r="A3" s="4"/>
      <c r="F3" s="58" t="str">
        <f>IFERROR(VLOOKUP(A2,Data!A:C,3,0),"0")</f>
        <v>1</v>
      </c>
    </row>
    <row r="4" spans="1:6" ht="29.25" customHeight="1" x14ac:dyDescent="0.2">
      <c r="A4" s="27" t="s">
        <v>26</v>
      </c>
      <c r="B4" s="182" t="s">
        <v>470</v>
      </c>
      <c r="C4" s="183"/>
      <c r="D4" s="29" t="s">
        <v>27</v>
      </c>
      <c r="E4" s="29" t="s">
        <v>467</v>
      </c>
      <c r="F4" s="30" t="s">
        <v>468</v>
      </c>
    </row>
    <row r="5" spans="1:6" x14ac:dyDescent="0.2">
      <c r="A5" s="20">
        <v>1</v>
      </c>
      <c r="B5" s="172" t="s">
        <v>0</v>
      </c>
      <c r="C5" s="173"/>
      <c r="D5" s="15">
        <f>D36</f>
        <v>0</v>
      </c>
      <c r="E5" s="16">
        <f>E36+E67+IFERROR($E$105/$D$105*D5,0)</f>
        <v>0</v>
      </c>
      <c r="F5" s="21" t="str">
        <f>IF(OR(D5=0,E5=0),"",ROUND(E5/D5,2))</f>
        <v/>
      </c>
    </row>
    <row r="6" spans="1:6" x14ac:dyDescent="0.2">
      <c r="A6" s="20">
        <v>2</v>
      </c>
      <c r="B6" s="172" t="s">
        <v>1</v>
      </c>
      <c r="C6" s="173"/>
      <c r="D6" s="15">
        <f t="shared" ref="D6:D32" si="0">D37</f>
        <v>61064</v>
      </c>
      <c r="E6" s="18">
        <f t="shared" ref="E6:E32" si="1">E37+E68+IFERROR($E$105/$D$105*D6,0)</f>
        <v>759967.21606485895</v>
      </c>
      <c r="F6" s="22">
        <f t="shared" ref="F6:F33" si="2">IF(OR(D6=0,E6=0),"",ROUND(E6/D6,2))</f>
        <v>12.45</v>
      </c>
    </row>
    <row r="7" spans="1:6" ht="14.25" customHeight="1" x14ac:dyDescent="0.2">
      <c r="A7" s="20">
        <v>3</v>
      </c>
      <c r="B7" s="172" t="s">
        <v>2</v>
      </c>
      <c r="C7" s="173"/>
      <c r="D7" s="15">
        <f t="shared" si="0"/>
        <v>213100</v>
      </c>
      <c r="E7" s="18">
        <f t="shared" si="1"/>
        <v>2652118.2619451955</v>
      </c>
      <c r="F7" s="22">
        <f t="shared" si="2"/>
        <v>12.45</v>
      </c>
    </row>
    <row r="8" spans="1:6" ht="14.25" customHeight="1" x14ac:dyDescent="0.2">
      <c r="A8" s="20">
        <v>4</v>
      </c>
      <c r="B8" s="172" t="s">
        <v>3</v>
      </c>
      <c r="C8" s="173"/>
      <c r="D8" s="15">
        <f t="shared" si="0"/>
        <v>126736</v>
      </c>
      <c r="E8" s="18">
        <f t="shared" si="1"/>
        <v>1577281.7745184717</v>
      </c>
      <c r="F8" s="22">
        <f t="shared" si="2"/>
        <v>12.45</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0</v>
      </c>
      <c r="E10" s="18">
        <f t="shared" si="1"/>
        <v>0</v>
      </c>
      <c r="F10" s="22" t="str">
        <f t="shared" si="2"/>
        <v/>
      </c>
    </row>
    <row r="11" spans="1:6" x14ac:dyDescent="0.2">
      <c r="A11" s="20">
        <v>7</v>
      </c>
      <c r="B11" s="172" t="s">
        <v>6</v>
      </c>
      <c r="C11" s="173"/>
      <c r="D11" s="15">
        <f t="shared" si="0"/>
        <v>76255</v>
      </c>
      <c r="E11" s="18">
        <f t="shared" si="1"/>
        <v>949025.0568260483</v>
      </c>
      <c r="F11" s="22">
        <f t="shared" si="2"/>
        <v>12.45</v>
      </c>
    </row>
    <row r="12" spans="1:6" x14ac:dyDescent="0.2">
      <c r="A12" s="20">
        <v>8</v>
      </c>
      <c r="B12" s="172" t="s">
        <v>7</v>
      </c>
      <c r="C12" s="173"/>
      <c r="D12" s="15">
        <f t="shared" si="0"/>
        <v>25008</v>
      </c>
      <c r="E12" s="18">
        <f t="shared" si="1"/>
        <v>311235.34775563329</v>
      </c>
      <c r="F12" s="22">
        <f t="shared" si="2"/>
        <v>12.45</v>
      </c>
    </row>
    <row r="13" spans="1:6" x14ac:dyDescent="0.2">
      <c r="A13" s="20">
        <v>9</v>
      </c>
      <c r="B13" s="172" t="s">
        <v>8</v>
      </c>
      <c r="C13" s="173"/>
      <c r="D13" s="15">
        <f t="shared" si="0"/>
        <v>13517</v>
      </c>
      <c r="E13" s="18">
        <f t="shared" si="1"/>
        <v>168224.36090902489</v>
      </c>
      <c r="F13" s="22">
        <f t="shared" si="2"/>
        <v>12.45</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230408</v>
      </c>
      <c r="E15" s="18">
        <f t="shared" si="1"/>
        <v>2867522.0488515655</v>
      </c>
      <c r="F15" s="22">
        <f t="shared" si="2"/>
        <v>12.45</v>
      </c>
    </row>
    <row r="16" spans="1:6" ht="14.25" customHeight="1" x14ac:dyDescent="0.2">
      <c r="A16" s="20">
        <v>12</v>
      </c>
      <c r="B16" s="172" t="s">
        <v>11</v>
      </c>
      <c r="C16" s="173"/>
      <c r="D16" s="15">
        <f t="shared" si="0"/>
        <v>97824</v>
      </c>
      <c r="E16" s="18">
        <f t="shared" si="1"/>
        <v>1217459.8727945886</v>
      </c>
      <c r="F16" s="22">
        <f t="shared" si="2"/>
        <v>12.45</v>
      </c>
    </row>
    <row r="17" spans="1:6" x14ac:dyDescent="0.2">
      <c r="A17" s="20">
        <v>13</v>
      </c>
      <c r="B17" s="172" t="s">
        <v>12</v>
      </c>
      <c r="C17" s="173"/>
      <c r="D17" s="15">
        <f t="shared" si="0"/>
        <v>0</v>
      </c>
      <c r="E17" s="18">
        <f t="shared" si="1"/>
        <v>0</v>
      </c>
      <c r="F17" s="22" t="str">
        <f t="shared" si="2"/>
        <v/>
      </c>
    </row>
    <row r="18" spans="1:6" ht="14.25" customHeight="1" x14ac:dyDescent="0.2">
      <c r="A18" s="20">
        <v>14</v>
      </c>
      <c r="B18" s="172" t="s">
        <v>469</v>
      </c>
      <c r="C18" s="173"/>
      <c r="D18" s="15">
        <f t="shared" si="0"/>
        <v>0</v>
      </c>
      <c r="E18" s="18">
        <f t="shared" si="1"/>
        <v>0</v>
      </c>
      <c r="F18" s="22" t="str">
        <f t="shared" si="2"/>
        <v/>
      </c>
    </row>
    <row r="19" spans="1:6" x14ac:dyDescent="0.2">
      <c r="A19" s="20">
        <v>15</v>
      </c>
      <c r="B19" s="172" t="s">
        <v>13</v>
      </c>
      <c r="C19" s="173"/>
      <c r="D19" s="15">
        <f t="shared" si="0"/>
        <v>36944</v>
      </c>
      <c r="E19" s="18">
        <f t="shared" si="1"/>
        <v>459783.03324872506</v>
      </c>
      <c r="F19" s="22">
        <f t="shared" si="2"/>
        <v>12.45</v>
      </c>
    </row>
    <row r="20" spans="1:6" x14ac:dyDescent="0.2">
      <c r="A20" s="20">
        <v>16</v>
      </c>
      <c r="B20" s="172" t="s">
        <v>14</v>
      </c>
      <c r="C20" s="173"/>
      <c r="D20" s="15">
        <f t="shared" si="0"/>
        <v>139089</v>
      </c>
      <c r="E20" s="18">
        <f t="shared" si="1"/>
        <v>1731018.9057095041</v>
      </c>
      <c r="F20" s="22">
        <f t="shared" si="2"/>
        <v>12.45</v>
      </c>
    </row>
    <row r="21" spans="1:6" x14ac:dyDescent="0.2">
      <c r="A21" s="20">
        <v>17</v>
      </c>
      <c r="B21" s="172" t="s">
        <v>15</v>
      </c>
      <c r="C21" s="173"/>
      <c r="D21" s="15">
        <f t="shared" si="0"/>
        <v>53264</v>
      </c>
      <c r="E21" s="18">
        <f t="shared" si="1"/>
        <v>662892.03754222859</v>
      </c>
      <c r="F21" s="22">
        <f t="shared" si="2"/>
        <v>12.45</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89808</v>
      </c>
      <c r="E23" s="18">
        <f t="shared" si="1"/>
        <v>1117697.6000974854</v>
      </c>
      <c r="F23" s="22">
        <f t="shared" si="2"/>
        <v>12.45</v>
      </c>
    </row>
    <row r="24" spans="1:6" x14ac:dyDescent="0.2">
      <c r="A24" s="20">
        <v>20</v>
      </c>
      <c r="B24" s="172" t="s">
        <v>18</v>
      </c>
      <c r="C24" s="173"/>
      <c r="D24" s="15">
        <f t="shared" si="0"/>
        <v>1008</v>
      </c>
      <c r="E24" s="18">
        <f t="shared" si="1"/>
        <v>12544.106147539922</v>
      </c>
      <c r="F24" s="22">
        <f t="shared" si="2"/>
        <v>12.44</v>
      </c>
    </row>
    <row r="25" spans="1:6" ht="14.25" customHeight="1" x14ac:dyDescent="0.2">
      <c r="A25" s="20">
        <v>21</v>
      </c>
      <c r="B25" s="172" t="s">
        <v>466</v>
      </c>
      <c r="C25" s="173"/>
      <c r="D25" s="15">
        <f t="shared" si="0"/>
        <v>49148</v>
      </c>
      <c r="E25" s="18">
        <f t="shared" si="1"/>
        <v>611666.85410644056</v>
      </c>
      <c r="F25" s="22">
        <f t="shared" si="2"/>
        <v>12.45</v>
      </c>
    </row>
    <row r="26" spans="1:6" x14ac:dyDescent="0.2">
      <c r="A26" s="20">
        <v>22</v>
      </c>
      <c r="B26" s="172" t="s">
        <v>19</v>
      </c>
      <c r="C26" s="173"/>
      <c r="D26" s="15">
        <f t="shared" si="0"/>
        <v>35136</v>
      </c>
      <c r="E26" s="18">
        <f t="shared" si="1"/>
        <v>437280.98571424867</v>
      </c>
      <c r="F26" s="22">
        <f t="shared" si="2"/>
        <v>12.45</v>
      </c>
    </row>
    <row r="27" spans="1:6" x14ac:dyDescent="0.2">
      <c r="A27" s="20">
        <v>23</v>
      </c>
      <c r="B27" s="172" t="s">
        <v>20</v>
      </c>
      <c r="C27" s="173"/>
      <c r="D27" s="15">
        <f t="shared" si="0"/>
        <v>0</v>
      </c>
      <c r="E27" s="18">
        <f t="shared" si="1"/>
        <v>0</v>
      </c>
      <c r="F27" s="22" t="str">
        <f t="shared" si="2"/>
        <v/>
      </c>
    </row>
    <row r="28" spans="1:6" x14ac:dyDescent="0.2">
      <c r="A28" s="20">
        <v>24</v>
      </c>
      <c r="B28" s="172" t="s">
        <v>21</v>
      </c>
      <c r="C28" s="173"/>
      <c r="D28" s="15">
        <f t="shared" si="0"/>
        <v>210071</v>
      </c>
      <c r="E28" s="18">
        <f t="shared" si="1"/>
        <v>2614419.3626189074</v>
      </c>
      <c r="F28" s="22">
        <f t="shared" si="2"/>
        <v>12.45</v>
      </c>
    </row>
    <row r="29" spans="1:6" x14ac:dyDescent="0.2">
      <c r="A29" s="20">
        <v>25</v>
      </c>
      <c r="B29" s="172" t="s">
        <v>22</v>
      </c>
      <c r="C29" s="173"/>
      <c r="D29" s="15">
        <f t="shared" si="0"/>
        <v>42176</v>
      </c>
      <c r="E29" s="18">
        <f t="shared" si="1"/>
        <v>524897.86991928937</v>
      </c>
      <c r="F29" s="22">
        <f t="shared" si="2"/>
        <v>12.45</v>
      </c>
    </row>
    <row r="30" spans="1:6" x14ac:dyDescent="0.2">
      <c r="A30" s="20">
        <v>26</v>
      </c>
      <c r="B30" s="172" t="s">
        <v>23</v>
      </c>
      <c r="C30" s="173"/>
      <c r="D30" s="15">
        <f t="shared" si="0"/>
        <v>42240</v>
      </c>
      <c r="E30" s="18">
        <f t="shared" si="1"/>
        <v>525694.3052302443</v>
      </c>
      <c r="F30" s="22">
        <f t="shared" si="2"/>
        <v>12.45</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1542796</v>
      </c>
      <c r="E33" s="32">
        <f>SUM(E5:E32)</f>
        <v>19200729</v>
      </c>
      <c r="F33" s="33">
        <f t="shared" si="2"/>
        <v>12.45</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IF(F3="1",SUMIF(Data!A:A,'55'!$A$2,Data!CU:CU),0)</f>
        <v>0</v>
      </c>
      <c r="E36" s="16">
        <f>IF(F3="1",SUMIF(Data!$A:$A,'55'!$A$2,Data!IO:IO),0)</f>
        <v>0</v>
      </c>
      <c r="F36" s="21" t="str">
        <f>IF(D36=0,"",ROUND(E36/D36,2))</f>
        <v/>
      </c>
    </row>
    <row r="37" spans="1:6" x14ac:dyDescent="0.2">
      <c r="A37" s="20">
        <v>2</v>
      </c>
      <c r="B37" s="172" t="s">
        <v>1</v>
      </c>
      <c r="C37" s="173"/>
      <c r="D37" s="15">
        <f>IF(F3="1",SUMIF(Data!A:A,'55'!$A$2,Data!CV:CV),0)</f>
        <v>61064</v>
      </c>
      <c r="E37" s="18">
        <f>IF(F3="1",SUMIF(Data!$A:$A,'55'!$A$2,Data!IP:IP),0)</f>
        <v>228359</v>
      </c>
      <c r="F37" s="22">
        <f t="shared" ref="F37:F64" si="3">IF(D37=0,"",ROUND(E37/D37,2))</f>
        <v>3.74</v>
      </c>
    </row>
    <row r="38" spans="1:6" ht="14.25" customHeight="1" x14ac:dyDescent="0.2">
      <c r="A38" s="20">
        <v>3</v>
      </c>
      <c r="B38" s="172" t="s">
        <v>2</v>
      </c>
      <c r="C38" s="173"/>
      <c r="D38" s="15">
        <f>IF(F3="1",SUMIF(Data!A:A,'55'!$A$2,Data!CW:CW),0)</f>
        <v>213100</v>
      </c>
      <c r="E38" s="18">
        <f>IF(F3="1",SUMIF(Data!$A:$A,'55'!$A$2,Data!IQ:IQ),0)</f>
        <v>796922</v>
      </c>
      <c r="F38" s="22">
        <f t="shared" si="3"/>
        <v>3.74</v>
      </c>
    </row>
    <row r="39" spans="1:6" ht="14.25" customHeight="1" x14ac:dyDescent="0.2">
      <c r="A39" s="20">
        <v>4</v>
      </c>
      <c r="B39" s="172" t="s">
        <v>3</v>
      </c>
      <c r="C39" s="173"/>
      <c r="D39" s="15">
        <f>IF(F3="1",SUMIF(Data!A:A,'55'!$A$2,Data!CX:CX),0)</f>
        <v>126736</v>
      </c>
      <c r="E39" s="18">
        <f>IF(F3="1",SUMIF(Data!$A:$A,'55'!$A$2,Data!IR:IR),0)</f>
        <v>473950</v>
      </c>
      <c r="F39" s="22">
        <f t="shared" si="3"/>
        <v>3.74</v>
      </c>
    </row>
    <row r="40" spans="1:6" x14ac:dyDescent="0.2">
      <c r="A40" s="20">
        <v>5</v>
      </c>
      <c r="B40" s="172" t="s">
        <v>4</v>
      </c>
      <c r="C40" s="173"/>
      <c r="D40" s="15">
        <f>IF(F3="1",SUMIF(Data!A:A,'55'!$A$2,Data!CY:CY),0)</f>
        <v>0</v>
      </c>
      <c r="E40" s="18">
        <f>IF(F3="1",SUMIF(Data!$A:$A,'55'!$A$2,Data!IS:IS),0)</f>
        <v>0</v>
      </c>
      <c r="F40" s="22" t="str">
        <f t="shared" si="3"/>
        <v/>
      </c>
    </row>
    <row r="41" spans="1:6" x14ac:dyDescent="0.2">
      <c r="A41" s="20">
        <v>6</v>
      </c>
      <c r="B41" s="172" t="s">
        <v>5</v>
      </c>
      <c r="C41" s="173"/>
      <c r="D41" s="15">
        <f>IF(F3="1",SUMIF(Data!A:A,'55'!$A$2,Data!CZ:CZ),0)</f>
        <v>0</v>
      </c>
      <c r="E41" s="18">
        <f>IF(F3="1",SUMIF(Data!$A:$A,'55'!$A$2,Data!IT:IT),0)</f>
        <v>0</v>
      </c>
      <c r="F41" s="22" t="str">
        <f t="shared" si="3"/>
        <v/>
      </c>
    </row>
    <row r="42" spans="1:6" x14ac:dyDescent="0.2">
      <c r="A42" s="20">
        <v>7</v>
      </c>
      <c r="B42" s="172" t="s">
        <v>6</v>
      </c>
      <c r="C42" s="173"/>
      <c r="D42" s="15">
        <f>IF(F3="1",SUMIF(Data!A:A,'55'!$A$2,Data!DA:DA),0)</f>
        <v>76255</v>
      </c>
      <c r="E42" s="18">
        <f>IF(F3="1",SUMIF(Data!$A:$A,'55'!$A$2,Data!IU:IU),0)</f>
        <v>285168</v>
      </c>
      <c r="F42" s="22">
        <f t="shared" si="3"/>
        <v>3.74</v>
      </c>
    </row>
    <row r="43" spans="1:6" x14ac:dyDescent="0.2">
      <c r="A43" s="20">
        <v>8</v>
      </c>
      <c r="B43" s="172" t="s">
        <v>7</v>
      </c>
      <c r="C43" s="173"/>
      <c r="D43" s="15">
        <f>IF(F3="1",SUMIF(Data!A:A,'55'!$A$2,Data!DB:DB),0)</f>
        <v>25008</v>
      </c>
      <c r="E43" s="18">
        <f>IF(F3="1",SUMIF(Data!$A:$A,'55'!$A$2,Data!IV:IV),0)</f>
        <v>93522</v>
      </c>
      <c r="F43" s="22">
        <f t="shared" si="3"/>
        <v>3.74</v>
      </c>
    </row>
    <row r="44" spans="1:6" x14ac:dyDescent="0.2">
      <c r="A44" s="20">
        <v>9</v>
      </c>
      <c r="B44" s="172" t="s">
        <v>8</v>
      </c>
      <c r="C44" s="173"/>
      <c r="D44" s="15">
        <f>IF(F3="1",SUMIF(Data!A:A,'55'!$A$2,Data!DC:DC),0)</f>
        <v>13517</v>
      </c>
      <c r="E44" s="18">
        <f>IF(F3="1",SUMIF(Data!$A:$A,'55'!$A$2,Data!IW:IW),0)</f>
        <v>50549</v>
      </c>
      <c r="F44" s="22">
        <f t="shared" si="3"/>
        <v>3.74</v>
      </c>
    </row>
    <row r="45" spans="1:6" x14ac:dyDescent="0.2">
      <c r="A45" s="20">
        <v>10</v>
      </c>
      <c r="B45" s="172" t="s">
        <v>9</v>
      </c>
      <c r="C45" s="173"/>
      <c r="D45" s="15">
        <f>IF(F3="1",SUMIF(Data!A:A,'55'!$A$2,Data!DD:DD),0)</f>
        <v>0</v>
      </c>
      <c r="E45" s="18">
        <f>IF(F3="1",SUMIF(Data!$A:$A,'55'!$A$2,Data!IX:IX),0)</f>
        <v>0</v>
      </c>
      <c r="F45" s="22" t="str">
        <f t="shared" si="3"/>
        <v/>
      </c>
    </row>
    <row r="46" spans="1:6" x14ac:dyDescent="0.2">
      <c r="A46" s="20">
        <v>11</v>
      </c>
      <c r="B46" s="172" t="s">
        <v>10</v>
      </c>
      <c r="C46" s="173"/>
      <c r="D46" s="15">
        <f>IF(F3="1",SUMIF(Data!A:A,'55'!$A$2,Data!DE:DE),0)</f>
        <v>230408</v>
      </c>
      <c r="E46" s="18">
        <f>IF(F3="1",SUMIF(Data!$A:$A,'55'!$A$2,Data!IY:IY),0)</f>
        <v>861647</v>
      </c>
      <c r="F46" s="22">
        <f t="shared" si="3"/>
        <v>3.74</v>
      </c>
    </row>
    <row r="47" spans="1:6" ht="14.25" customHeight="1" x14ac:dyDescent="0.2">
      <c r="A47" s="20">
        <v>12</v>
      </c>
      <c r="B47" s="172" t="s">
        <v>11</v>
      </c>
      <c r="C47" s="173"/>
      <c r="D47" s="15">
        <f>IF(F3="1",SUMIF(Data!A:A,'55'!$A$2,Data!DF:DF),0)</f>
        <v>97824</v>
      </c>
      <c r="E47" s="18">
        <f>IF(F3="1",SUMIF(Data!$A:$A,'55'!$A$2,Data!IZ:IZ),0)</f>
        <v>365828</v>
      </c>
      <c r="F47" s="22">
        <f t="shared" si="3"/>
        <v>3.74</v>
      </c>
    </row>
    <row r="48" spans="1:6" x14ac:dyDescent="0.2">
      <c r="A48" s="20">
        <v>13</v>
      </c>
      <c r="B48" s="172" t="s">
        <v>12</v>
      </c>
      <c r="C48" s="173"/>
      <c r="D48" s="15">
        <f>IF(F3="1",SUMIF(Data!A:A,'55'!$A$2,Data!DG:DG),0)</f>
        <v>0</v>
      </c>
      <c r="E48" s="18">
        <f>IF(F3="1",SUMIF(Data!$A:$A,'55'!$A$2,Data!JA:JA),0)</f>
        <v>0</v>
      </c>
      <c r="F48" s="22" t="str">
        <f t="shared" si="3"/>
        <v/>
      </c>
    </row>
    <row r="49" spans="1:6" ht="14.25" customHeight="1" x14ac:dyDescent="0.2">
      <c r="A49" s="20">
        <v>14</v>
      </c>
      <c r="B49" s="172" t="s">
        <v>469</v>
      </c>
      <c r="C49" s="173"/>
      <c r="D49" s="15">
        <f>IF(F3="1",SUMIF(Data!A:A,'55'!$A$2,Data!DH:DH),0)</f>
        <v>0</v>
      </c>
      <c r="E49" s="18">
        <f>IF(F3="1",SUMIF(Data!$A:$A,'55'!$A$2,Data!JB:JB),0)</f>
        <v>0</v>
      </c>
      <c r="F49" s="22" t="str">
        <f t="shared" si="3"/>
        <v/>
      </c>
    </row>
    <row r="50" spans="1:6" x14ac:dyDescent="0.2">
      <c r="A50" s="20">
        <v>15</v>
      </c>
      <c r="B50" s="172" t="s">
        <v>13</v>
      </c>
      <c r="C50" s="173"/>
      <c r="D50" s="15">
        <f>IF(F3="1",SUMIF(Data!A:A,'55'!$A$2,Data!DI:DI),0)</f>
        <v>36944</v>
      </c>
      <c r="E50" s="18">
        <f>IF(F3="1",SUMIF(Data!$A:$A,'55'!$A$2,Data!JC:JC),0)</f>
        <v>138158</v>
      </c>
      <c r="F50" s="22">
        <f t="shared" si="3"/>
        <v>3.74</v>
      </c>
    </row>
    <row r="51" spans="1:6" x14ac:dyDescent="0.2">
      <c r="A51" s="20">
        <v>16</v>
      </c>
      <c r="B51" s="172" t="s">
        <v>14</v>
      </c>
      <c r="C51" s="173"/>
      <c r="D51" s="15">
        <f>IF(F3="1",SUMIF(Data!A:A,'55'!$A$2,Data!DJ:DJ),0)</f>
        <v>139089</v>
      </c>
      <c r="E51" s="18">
        <f>IF(F3="1",SUMIF(Data!$A:$A,'55'!$A$2,Data!JD:JD),0)</f>
        <v>520145</v>
      </c>
      <c r="F51" s="22">
        <f t="shared" si="3"/>
        <v>3.74</v>
      </c>
    </row>
    <row r="52" spans="1:6" x14ac:dyDescent="0.2">
      <c r="A52" s="20">
        <v>17</v>
      </c>
      <c r="B52" s="172" t="s">
        <v>15</v>
      </c>
      <c r="C52" s="173"/>
      <c r="D52" s="15">
        <f>IF(F3="1",SUMIF(Data!A:A,'55'!$A$2,Data!DK:DK),0)</f>
        <v>53264</v>
      </c>
      <c r="E52" s="18">
        <f>IF(F3="1",SUMIF(Data!$A:$A,'55'!$A$2,Data!JE:JE),0)</f>
        <v>199189</v>
      </c>
      <c r="F52" s="22">
        <f t="shared" si="3"/>
        <v>3.74</v>
      </c>
    </row>
    <row r="53" spans="1:6" x14ac:dyDescent="0.2">
      <c r="A53" s="20">
        <v>18</v>
      </c>
      <c r="B53" s="172" t="s">
        <v>16</v>
      </c>
      <c r="C53" s="173"/>
      <c r="D53" s="15">
        <f>IF(F3="1",SUMIF(Data!A:A,'55'!$A$2,Data!DL:DL),0)</f>
        <v>0</v>
      </c>
      <c r="E53" s="18">
        <f>IF(F3="1",SUMIF(Data!$A:$A,'55'!$A$2,Data!JF:JF),0)</f>
        <v>0</v>
      </c>
      <c r="F53" s="22" t="str">
        <f t="shared" si="3"/>
        <v/>
      </c>
    </row>
    <row r="54" spans="1:6" x14ac:dyDescent="0.2">
      <c r="A54" s="20">
        <v>19</v>
      </c>
      <c r="B54" s="172" t="s">
        <v>17</v>
      </c>
      <c r="C54" s="173"/>
      <c r="D54" s="15">
        <f>IF(F3="1",SUMIF(Data!A:A,'55'!$A$2,Data!DM:DM),0)</f>
        <v>89808</v>
      </c>
      <c r="E54" s="18">
        <f>IF(F3="1",SUMIF(Data!$A:$A,'55'!$A$2,Data!JG:JG),0)</f>
        <v>335851</v>
      </c>
      <c r="F54" s="22">
        <f t="shared" si="3"/>
        <v>3.74</v>
      </c>
    </row>
    <row r="55" spans="1:6" x14ac:dyDescent="0.2">
      <c r="A55" s="20">
        <v>20</v>
      </c>
      <c r="B55" s="172" t="s">
        <v>18</v>
      </c>
      <c r="C55" s="173"/>
      <c r="D55" s="15">
        <f>IF(F3="1",SUMIF(Data!A:A,'55'!$A$2,Data!DN:DN),0)</f>
        <v>1008</v>
      </c>
      <c r="E55" s="18">
        <f>IF(F3="1",SUMIF(Data!$A:$A,'55'!$A$2,Data!JH:JH),0)</f>
        <v>3769</v>
      </c>
      <c r="F55" s="22">
        <f t="shared" si="3"/>
        <v>3.74</v>
      </c>
    </row>
    <row r="56" spans="1:6" ht="14.25" customHeight="1" x14ac:dyDescent="0.2">
      <c r="A56" s="20">
        <v>21</v>
      </c>
      <c r="B56" s="172" t="s">
        <v>466</v>
      </c>
      <c r="C56" s="173"/>
      <c r="D56" s="15">
        <f>IF(F3="1",SUMIF(Data!A:A,'55'!$A$2,Data!DO:DO),0)</f>
        <v>49148</v>
      </c>
      <c r="E56" s="18">
        <f>IF(F3="1",SUMIF(Data!$A:$A,'55'!$A$2,Data!JI:JI),0)</f>
        <v>183797</v>
      </c>
      <c r="F56" s="22">
        <f t="shared" si="3"/>
        <v>3.74</v>
      </c>
    </row>
    <row r="57" spans="1:6" x14ac:dyDescent="0.2">
      <c r="A57" s="20">
        <v>22</v>
      </c>
      <c r="B57" s="172" t="s">
        <v>19</v>
      </c>
      <c r="C57" s="173"/>
      <c r="D57" s="15">
        <f>IF(F3="1",SUMIF(Data!A:A,'55'!$A$2,Data!DP:DP),0)</f>
        <v>35136</v>
      </c>
      <c r="E57" s="18">
        <f>IF(F3="1",SUMIF(Data!$A:$A,'55'!$A$2,Data!JJ:JJ),0)</f>
        <v>131396</v>
      </c>
      <c r="F57" s="22">
        <f t="shared" si="3"/>
        <v>3.74</v>
      </c>
    </row>
    <row r="58" spans="1:6" x14ac:dyDescent="0.2">
      <c r="A58" s="20">
        <v>23</v>
      </c>
      <c r="B58" s="172" t="s">
        <v>20</v>
      </c>
      <c r="C58" s="173"/>
      <c r="D58" s="15">
        <f>IF(F3="1",SUMIF(Data!A:A,'55'!$A$2,Data!DQ:DQ),0)</f>
        <v>0</v>
      </c>
      <c r="E58" s="18">
        <f>IF(F3="1",SUMIF(Data!$A:$A,'55'!$A$2,Data!JK:JK),0)</f>
        <v>0</v>
      </c>
      <c r="F58" s="22" t="str">
        <f t="shared" si="3"/>
        <v/>
      </c>
    </row>
    <row r="59" spans="1:6" x14ac:dyDescent="0.2">
      <c r="A59" s="20">
        <v>24</v>
      </c>
      <c r="B59" s="172" t="s">
        <v>21</v>
      </c>
      <c r="C59" s="173"/>
      <c r="D59" s="15">
        <f>IF(F3="1",SUMIF(Data!A:A,'55'!$A$2,Data!DR:DR),0)</f>
        <v>210071</v>
      </c>
      <c r="E59" s="18">
        <f>IF(F3="1",SUMIF(Data!$A:$A,'55'!$A$2,Data!JL:JL),0)</f>
        <v>785593</v>
      </c>
      <c r="F59" s="22">
        <f t="shared" si="3"/>
        <v>3.74</v>
      </c>
    </row>
    <row r="60" spans="1:6" x14ac:dyDescent="0.2">
      <c r="A60" s="20">
        <v>25</v>
      </c>
      <c r="B60" s="172" t="s">
        <v>22</v>
      </c>
      <c r="C60" s="173"/>
      <c r="D60" s="15">
        <f>IF(F3="1",SUMIF(Data!A:A,'55'!$A$2,Data!DS:DS),0)</f>
        <v>42176</v>
      </c>
      <c r="E60" s="18">
        <f>IF(F3="1",SUMIF(Data!$A:$A,'55'!$A$2,Data!JM:JM),0)</f>
        <v>157724</v>
      </c>
      <c r="F60" s="22">
        <f t="shared" si="3"/>
        <v>3.74</v>
      </c>
    </row>
    <row r="61" spans="1:6" x14ac:dyDescent="0.2">
      <c r="A61" s="20">
        <v>26</v>
      </c>
      <c r="B61" s="172" t="s">
        <v>23</v>
      </c>
      <c r="C61" s="173"/>
      <c r="D61" s="15">
        <f>IF(F3="1",SUMIF(Data!A:A,'55'!$A$2,Data!DT:DT),0)</f>
        <v>42240</v>
      </c>
      <c r="E61" s="18">
        <f>IF(F3="1",SUMIF(Data!$A:$A,'55'!$A$2,Data!JN:JN),0)</f>
        <v>157963</v>
      </c>
      <c r="F61" s="22">
        <f t="shared" si="3"/>
        <v>3.74</v>
      </c>
    </row>
    <row r="62" spans="1:6" x14ac:dyDescent="0.2">
      <c r="A62" s="20">
        <v>28</v>
      </c>
      <c r="B62" s="172" t="s">
        <v>24</v>
      </c>
      <c r="C62" s="173"/>
      <c r="D62" s="15">
        <f>IF(F3="1",SUMIF(Data!A:A,'55'!$A$2,Data!DV:DV),0)</f>
        <v>0</v>
      </c>
      <c r="E62" s="18">
        <f>IF(F3="1",SUMIF(Data!$A:$A,'55'!$A$2,Data!JP:JP),0)</f>
        <v>0</v>
      </c>
      <c r="F62" s="22" t="str">
        <f t="shared" si="3"/>
        <v/>
      </c>
    </row>
    <row r="63" spans="1:6" ht="15.75" customHeight="1" thickBot="1" x14ac:dyDescent="0.25">
      <c r="A63" s="23">
        <v>29</v>
      </c>
      <c r="B63" s="174" t="s">
        <v>25</v>
      </c>
      <c r="C63" s="175"/>
      <c r="D63" s="24">
        <f>IF(F3="1",SUMIF(Data!A:A,'55'!$A$2,Data!DW:DW),0)</f>
        <v>0</v>
      </c>
      <c r="E63" s="25">
        <f>IF(F3="1",SUMIF(Data!$A:$A,'55'!$A$2,Data!JQ:JQ),0)</f>
        <v>0</v>
      </c>
      <c r="F63" s="26" t="str">
        <f t="shared" si="3"/>
        <v/>
      </c>
    </row>
    <row r="64" spans="1:6" x14ac:dyDescent="0.2">
      <c r="B64" s="31" t="s">
        <v>35</v>
      </c>
      <c r="C64" s="31"/>
      <c r="D64" s="61">
        <f>SUM(D36:D63)</f>
        <v>1542796</v>
      </c>
      <c r="E64" s="32">
        <f>SUM(E36:E63)</f>
        <v>5769530</v>
      </c>
      <c r="F64" s="33">
        <f t="shared" si="3"/>
        <v>3.74</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0</v>
      </c>
      <c r="E67" s="16">
        <f>IF(F3="1",SUMIF(Data!A:A,'55'!$A$2,Data!DY:DY),0)</f>
        <v>0</v>
      </c>
      <c r="F67" s="21" t="str">
        <f t="shared" ref="F67:F95" si="4">IF(D67=0,"",ROUND(E67/D67,2))</f>
        <v/>
      </c>
    </row>
    <row r="68" spans="1:6" x14ac:dyDescent="0.2">
      <c r="A68" s="20">
        <v>2</v>
      </c>
      <c r="B68" s="172" t="s">
        <v>1</v>
      </c>
      <c r="C68" s="173"/>
      <c r="D68" s="15">
        <f t="shared" ref="D68:D94" si="5">D37</f>
        <v>61064</v>
      </c>
      <c r="E68" s="18">
        <f>IF(F3="1",SUMIF(Data!A:A,'55'!$A$2,Data!DZ:DZ),0)</f>
        <v>219194</v>
      </c>
      <c r="F68" s="22">
        <f t="shared" si="4"/>
        <v>3.59</v>
      </c>
    </row>
    <row r="69" spans="1:6" ht="14.25" customHeight="1" x14ac:dyDescent="0.2">
      <c r="A69" s="20">
        <v>3</v>
      </c>
      <c r="B69" s="172" t="s">
        <v>2</v>
      </c>
      <c r="C69" s="173"/>
      <c r="D69" s="15">
        <f t="shared" si="5"/>
        <v>213100</v>
      </c>
      <c r="E69" s="18">
        <f>IF(F3="1",SUMIF(Data!A:A,'55'!$A$2,Data!EA:EA),0)</f>
        <v>764939</v>
      </c>
      <c r="F69" s="22">
        <f t="shared" si="4"/>
        <v>3.59</v>
      </c>
    </row>
    <row r="70" spans="1:6" ht="14.25" customHeight="1" x14ac:dyDescent="0.2">
      <c r="A70" s="20">
        <v>4</v>
      </c>
      <c r="B70" s="172" t="s">
        <v>3</v>
      </c>
      <c r="C70" s="173"/>
      <c r="D70" s="15">
        <f t="shared" si="5"/>
        <v>126736</v>
      </c>
      <c r="E70" s="18">
        <f>IF(F3="1",SUMIF(Data!A:A,'55'!$A$2,Data!EB:EB),0)</f>
        <v>454928</v>
      </c>
      <c r="F70" s="22">
        <f t="shared" si="4"/>
        <v>3.59</v>
      </c>
    </row>
    <row r="71" spans="1:6" x14ac:dyDescent="0.2">
      <c r="A71" s="20">
        <v>5</v>
      </c>
      <c r="B71" s="172" t="s">
        <v>4</v>
      </c>
      <c r="C71" s="173"/>
      <c r="D71" s="15">
        <f t="shared" si="5"/>
        <v>0</v>
      </c>
      <c r="E71" s="18">
        <f>IF(F3="1",SUMIF(Data!A:A,'55'!$A$2,Data!EC:EC),0)</f>
        <v>0</v>
      </c>
      <c r="F71" s="22" t="str">
        <f t="shared" si="4"/>
        <v/>
      </c>
    </row>
    <row r="72" spans="1:6" x14ac:dyDescent="0.2">
      <c r="A72" s="20">
        <v>6</v>
      </c>
      <c r="B72" s="172" t="s">
        <v>5</v>
      </c>
      <c r="C72" s="173"/>
      <c r="D72" s="15">
        <f t="shared" si="5"/>
        <v>0</v>
      </c>
      <c r="E72" s="18">
        <f>IF(F3="1",SUMIF(Data!A:A,'55'!$A$2,Data!ED:ED),0)</f>
        <v>0</v>
      </c>
      <c r="F72" s="22" t="str">
        <f t="shared" si="4"/>
        <v/>
      </c>
    </row>
    <row r="73" spans="1:6" x14ac:dyDescent="0.2">
      <c r="A73" s="20">
        <v>7</v>
      </c>
      <c r="B73" s="172" t="s">
        <v>6</v>
      </c>
      <c r="C73" s="173"/>
      <c r="D73" s="15">
        <f t="shared" si="5"/>
        <v>76255</v>
      </c>
      <c r="E73" s="18">
        <f>IF(F3="1",SUMIF(Data!A:A,'55'!$A$2,Data!EE:EE),0)</f>
        <v>273723</v>
      </c>
      <c r="F73" s="22">
        <f t="shared" si="4"/>
        <v>3.59</v>
      </c>
    </row>
    <row r="74" spans="1:6" x14ac:dyDescent="0.2">
      <c r="A74" s="20">
        <v>8</v>
      </c>
      <c r="B74" s="172" t="s">
        <v>7</v>
      </c>
      <c r="C74" s="173"/>
      <c r="D74" s="15">
        <f t="shared" si="5"/>
        <v>25008</v>
      </c>
      <c r="E74" s="18">
        <f>IF(F3="1",SUMIF(Data!A:A,'55'!$A$2,Data!EF:EF),0)</f>
        <v>89768</v>
      </c>
      <c r="F74" s="22">
        <f t="shared" si="4"/>
        <v>3.59</v>
      </c>
    </row>
    <row r="75" spans="1:6" x14ac:dyDescent="0.2">
      <c r="A75" s="20">
        <v>9</v>
      </c>
      <c r="B75" s="172" t="s">
        <v>8</v>
      </c>
      <c r="C75" s="173"/>
      <c r="D75" s="15">
        <f t="shared" si="5"/>
        <v>13517</v>
      </c>
      <c r="E75" s="18">
        <f>IF(F3="1",SUMIF(Data!A:A,'55'!$A$2,Data!EG:EG),0)</f>
        <v>48520</v>
      </c>
      <c r="F75" s="22">
        <f t="shared" si="4"/>
        <v>3.59</v>
      </c>
    </row>
    <row r="76" spans="1:6" x14ac:dyDescent="0.2">
      <c r="A76" s="20">
        <v>10</v>
      </c>
      <c r="B76" s="172" t="s">
        <v>9</v>
      </c>
      <c r="C76" s="173"/>
      <c r="D76" s="15">
        <f t="shared" si="5"/>
        <v>0</v>
      </c>
      <c r="E76" s="18">
        <f>IF(F3="1",SUMIF(Data!A:A,'55'!$A$2,Data!EH:EH),0)</f>
        <v>0</v>
      </c>
      <c r="F76" s="22" t="str">
        <f t="shared" si="4"/>
        <v/>
      </c>
    </row>
    <row r="77" spans="1:6" x14ac:dyDescent="0.2">
      <c r="A77" s="20">
        <v>11</v>
      </c>
      <c r="B77" s="172" t="s">
        <v>10</v>
      </c>
      <c r="C77" s="173"/>
      <c r="D77" s="15">
        <f t="shared" si="5"/>
        <v>230408</v>
      </c>
      <c r="E77" s="18">
        <f>IF(F3="1",SUMIF(Data!A:A,'55'!$A$2,Data!EI:EI),0)</f>
        <v>827067</v>
      </c>
      <c r="F77" s="22">
        <f t="shared" si="4"/>
        <v>3.59</v>
      </c>
    </row>
    <row r="78" spans="1:6" ht="14.25" customHeight="1" x14ac:dyDescent="0.2">
      <c r="A78" s="20">
        <v>12</v>
      </c>
      <c r="B78" s="172" t="s">
        <v>11</v>
      </c>
      <c r="C78" s="173"/>
      <c r="D78" s="15">
        <f t="shared" si="5"/>
        <v>97824</v>
      </c>
      <c r="E78" s="18">
        <f>IF(F3="1",SUMIF(Data!A:A,'55'!$A$2,Data!EJ:EJ),0)</f>
        <v>351147</v>
      </c>
      <c r="F78" s="22">
        <f t="shared" si="4"/>
        <v>3.59</v>
      </c>
    </row>
    <row r="79" spans="1:6" x14ac:dyDescent="0.2">
      <c r="A79" s="20">
        <v>13</v>
      </c>
      <c r="B79" s="172" t="s">
        <v>12</v>
      </c>
      <c r="C79" s="173"/>
      <c r="D79" s="15">
        <f t="shared" si="5"/>
        <v>0</v>
      </c>
      <c r="E79" s="18">
        <f>IF(F3="1",SUMIF(Data!A:A,'55'!$A$2,Data!EK:EK),0)</f>
        <v>0</v>
      </c>
      <c r="F79" s="22" t="str">
        <f t="shared" si="4"/>
        <v/>
      </c>
    </row>
    <row r="80" spans="1:6" ht="14.25" customHeight="1" x14ac:dyDescent="0.2">
      <c r="A80" s="20">
        <v>14</v>
      </c>
      <c r="B80" s="172" t="s">
        <v>469</v>
      </c>
      <c r="C80" s="173"/>
      <c r="D80" s="15">
        <f t="shared" si="5"/>
        <v>0</v>
      </c>
      <c r="E80" s="18">
        <f>IF(F3="1",SUMIF(Data!A:A,'55'!$A$2,Data!EL:EL),0)</f>
        <v>0</v>
      </c>
      <c r="F80" s="22" t="str">
        <f t="shared" si="4"/>
        <v/>
      </c>
    </row>
    <row r="81" spans="1:6" x14ac:dyDescent="0.2">
      <c r="A81" s="20">
        <v>15</v>
      </c>
      <c r="B81" s="172" t="s">
        <v>13</v>
      </c>
      <c r="C81" s="173"/>
      <c r="D81" s="15">
        <f t="shared" si="5"/>
        <v>36944</v>
      </c>
      <c r="E81" s="18">
        <f>IF(F3="1",SUMIF(Data!A:A,'55'!$A$2,Data!EM:EM),0)</f>
        <v>132613</v>
      </c>
      <c r="F81" s="22">
        <f t="shared" si="4"/>
        <v>3.59</v>
      </c>
    </row>
    <row r="82" spans="1:6" x14ac:dyDescent="0.2">
      <c r="A82" s="20">
        <v>16</v>
      </c>
      <c r="B82" s="172" t="s">
        <v>14</v>
      </c>
      <c r="C82" s="173"/>
      <c r="D82" s="15">
        <f t="shared" si="5"/>
        <v>139089</v>
      </c>
      <c r="E82" s="18">
        <f>IF(F3="1",SUMIF(Data!A:A,'55'!$A$2,Data!EN:EN),0)</f>
        <v>499270</v>
      </c>
      <c r="F82" s="22">
        <f t="shared" si="4"/>
        <v>3.59</v>
      </c>
    </row>
    <row r="83" spans="1:6" x14ac:dyDescent="0.2">
      <c r="A83" s="20">
        <v>17</v>
      </c>
      <c r="B83" s="172" t="s">
        <v>15</v>
      </c>
      <c r="C83" s="173"/>
      <c r="D83" s="15">
        <f t="shared" si="5"/>
        <v>53264</v>
      </c>
      <c r="E83" s="18">
        <f>IF(F3="1",SUMIF(Data!A:A,'55'!$A$2,Data!EO:EO),0)</f>
        <v>191195</v>
      </c>
      <c r="F83" s="22">
        <f t="shared" si="4"/>
        <v>3.59</v>
      </c>
    </row>
    <row r="84" spans="1:6" x14ac:dyDescent="0.2">
      <c r="A84" s="20">
        <v>18</v>
      </c>
      <c r="B84" s="172" t="s">
        <v>16</v>
      </c>
      <c r="C84" s="173"/>
      <c r="D84" s="15">
        <f t="shared" si="5"/>
        <v>0</v>
      </c>
      <c r="E84" s="18">
        <f>IF(F3="1",SUMIF(Data!A:A,'55'!$A$2,Data!EP:EP),0)</f>
        <v>0</v>
      </c>
      <c r="F84" s="22" t="str">
        <f t="shared" si="4"/>
        <v/>
      </c>
    </row>
    <row r="85" spans="1:6" x14ac:dyDescent="0.2">
      <c r="A85" s="20">
        <v>19</v>
      </c>
      <c r="B85" s="172" t="s">
        <v>17</v>
      </c>
      <c r="C85" s="173"/>
      <c r="D85" s="15">
        <f t="shared" si="5"/>
        <v>89808</v>
      </c>
      <c r="E85" s="18">
        <f>IF(F3="1",SUMIF(Data!A:A,'55'!$A$2,Data!EQ:EQ),0)</f>
        <v>322373</v>
      </c>
      <c r="F85" s="22">
        <f t="shared" si="4"/>
        <v>3.59</v>
      </c>
    </row>
    <row r="86" spans="1:6" x14ac:dyDescent="0.2">
      <c r="A86" s="20">
        <v>20</v>
      </c>
      <c r="B86" s="172" t="s">
        <v>18</v>
      </c>
      <c r="C86" s="173"/>
      <c r="D86" s="15">
        <f t="shared" si="5"/>
        <v>1008</v>
      </c>
      <c r="E86" s="18">
        <f>IF(F3="1",SUMIF(Data!A:A,'55'!$A$2,Data!ER:ER),0)</f>
        <v>3618</v>
      </c>
      <c r="F86" s="22">
        <f t="shared" si="4"/>
        <v>3.59</v>
      </c>
    </row>
    <row r="87" spans="1:6" ht="14.25" customHeight="1" x14ac:dyDescent="0.2">
      <c r="A87" s="20">
        <v>21</v>
      </c>
      <c r="B87" s="172" t="s">
        <v>466</v>
      </c>
      <c r="C87" s="173"/>
      <c r="D87" s="15">
        <f t="shared" si="5"/>
        <v>49148</v>
      </c>
      <c r="E87" s="18">
        <f>IF(F3="1",SUMIF(Data!A:A,'55'!$A$2,Data!ES:ES),0)</f>
        <v>176420</v>
      </c>
      <c r="F87" s="22">
        <f t="shared" si="4"/>
        <v>3.59</v>
      </c>
    </row>
    <row r="88" spans="1:6" x14ac:dyDescent="0.2">
      <c r="A88" s="20">
        <v>22</v>
      </c>
      <c r="B88" s="172" t="s">
        <v>19</v>
      </c>
      <c r="C88" s="173"/>
      <c r="D88" s="15">
        <f t="shared" si="5"/>
        <v>35136</v>
      </c>
      <c r="E88" s="18">
        <f>IF(F3="1",SUMIF(Data!A:A,'55'!$A$2,Data!ET:ET),0)</f>
        <v>126123</v>
      </c>
      <c r="F88" s="22">
        <f t="shared" si="4"/>
        <v>3.59</v>
      </c>
    </row>
    <row r="89" spans="1:6" x14ac:dyDescent="0.2">
      <c r="A89" s="20">
        <v>23</v>
      </c>
      <c r="B89" s="172" t="s">
        <v>20</v>
      </c>
      <c r="C89" s="173"/>
      <c r="D89" s="15">
        <f t="shared" si="5"/>
        <v>0</v>
      </c>
      <c r="E89" s="18">
        <f>IF(F3="1",SUMIF(Data!A:A,'55'!$A$2,Data!EU:EU),0)</f>
        <v>0</v>
      </c>
      <c r="F89" s="22" t="str">
        <f t="shared" si="4"/>
        <v/>
      </c>
    </row>
    <row r="90" spans="1:6" x14ac:dyDescent="0.2">
      <c r="A90" s="20">
        <v>24</v>
      </c>
      <c r="B90" s="172" t="s">
        <v>21</v>
      </c>
      <c r="C90" s="173"/>
      <c r="D90" s="15">
        <f t="shared" si="5"/>
        <v>210071</v>
      </c>
      <c r="E90" s="18">
        <f>IF(F3="1",SUMIF(Data!A:A,'55'!$A$2,Data!EV:EV),0)</f>
        <v>754066</v>
      </c>
      <c r="F90" s="22">
        <f t="shared" si="4"/>
        <v>3.59</v>
      </c>
    </row>
    <row r="91" spans="1:6" x14ac:dyDescent="0.2">
      <c r="A91" s="20">
        <v>25</v>
      </c>
      <c r="B91" s="172" t="s">
        <v>22</v>
      </c>
      <c r="C91" s="173"/>
      <c r="D91" s="15">
        <f t="shared" si="5"/>
        <v>42176</v>
      </c>
      <c r="E91" s="18">
        <f>IF(F3="1",SUMIF(Data!A:A,'55'!$A$2,Data!EW:EW),0)</f>
        <v>151394</v>
      </c>
      <c r="F91" s="22">
        <f t="shared" si="4"/>
        <v>3.59</v>
      </c>
    </row>
    <row r="92" spans="1:6" x14ac:dyDescent="0.2">
      <c r="A92" s="20">
        <v>26</v>
      </c>
      <c r="B92" s="172" t="s">
        <v>23</v>
      </c>
      <c r="C92" s="173"/>
      <c r="D92" s="15">
        <f t="shared" si="5"/>
        <v>42240</v>
      </c>
      <c r="E92" s="18">
        <f>IF(F3="1",SUMIF(Data!A:A,'55'!$A$2,Data!EX:EX),0)</f>
        <v>151624</v>
      </c>
      <c r="F92" s="22">
        <f t="shared" si="4"/>
        <v>3.59</v>
      </c>
    </row>
    <row r="93" spans="1:6" x14ac:dyDescent="0.2">
      <c r="A93" s="20">
        <v>28</v>
      </c>
      <c r="B93" s="172" t="s">
        <v>24</v>
      </c>
      <c r="C93" s="173"/>
      <c r="D93" s="15">
        <f t="shared" si="5"/>
        <v>0</v>
      </c>
      <c r="E93" s="18">
        <f>IF(F3="1",SUMIF(Data!A:A,'55'!$A$2,Data!EZ:EZ),0)</f>
        <v>0</v>
      </c>
      <c r="F93" s="22" t="str">
        <f t="shared" si="4"/>
        <v/>
      </c>
    </row>
    <row r="94" spans="1:6" ht="15.75" customHeight="1" thickBot="1" x14ac:dyDescent="0.25">
      <c r="A94" s="23">
        <v>29</v>
      </c>
      <c r="B94" s="174" t="s">
        <v>25</v>
      </c>
      <c r="C94" s="175"/>
      <c r="D94" s="24">
        <f t="shared" si="5"/>
        <v>0</v>
      </c>
      <c r="E94" s="25">
        <f>IF(F3="1",SUMIF(Data!A:A,'55'!$A$2,Data!FA:FA),0)</f>
        <v>0</v>
      </c>
      <c r="F94" s="26" t="str">
        <f t="shared" si="4"/>
        <v/>
      </c>
    </row>
    <row r="95" spans="1:6" x14ac:dyDescent="0.2">
      <c r="B95" s="31" t="s">
        <v>35</v>
      </c>
      <c r="C95" s="31"/>
      <c r="D95" s="61">
        <f>SUM(D67:D94)</f>
        <v>1542796</v>
      </c>
      <c r="E95" s="32">
        <f>SUM(E67:E94)</f>
        <v>5537982</v>
      </c>
      <c r="F95" s="33">
        <f t="shared" si="4"/>
        <v>3.59</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IF(F3="1",SUMIF(Data!A:A,'55'!$A$2,Data!AH:AH),0)</f>
        <v>2824050</v>
      </c>
      <c r="F98" s="21">
        <f>IF($D$105=0,"",ROUND(E98/$D$105,2))</f>
        <v>1.83</v>
      </c>
    </row>
    <row r="99" spans="2:6" x14ac:dyDescent="0.2">
      <c r="B99" s="178" t="s">
        <v>31</v>
      </c>
      <c r="C99" s="179"/>
      <c r="D99" s="37"/>
      <c r="E99" s="18">
        <f>IF(F3="1",SUMIF(Data!A:A,'55'!$A$2,Data!AI:AI),0)</f>
        <v>1160419</v>
      </c>
      <c r="F99" s="22">
        <f t="shared" ref="F99:F105" si="6">IF($D$105=0,"",ROUND(E99/$D$105,2))</f>
        <v>0.75</v>
      </c>
    </row>
    <row r="100" spans="2:6" x14ac:dyDescent="0.2">
      <c r="B100" s="178" t="s">
        <v>32</v>
      </c>
      <c r="C100" s="179"/>
      <c r="D100" s="37"/>
      <c r="E100" s="18">
        <f>IF(F3="1",SUMIF(Data!A:A,'55'!$A$2,Data!AJ:AJ),0)</f>
        <v>283067</v>
      </c>
      <c r="F100" s="22">
        <f t="shared" si="6"/>
        <v>0.18</v>
      </c>
    </row>
    <row r="101" spans="2:6" x14ac:dyDescent="0.2">
      <c r="B101" s="178" t="s">
        <v>28</v>
      </c>
      <c r="C101" s="179"/>
      <c r="D101" s="37"/>
      <c r="E101" s="18">
        <f>IF(F3="1",SUMIF(Data!A:A,'55'!$A$2,Data!AK:AK),0)</f>
        <v>0</v>
      </c>
      <c r="F101" s="22">
        <f t="shared" si="6"/>
        <v>0</v>
      </c>
    </row>
    <row r="102" spans="2:6" x14ac:dyDescent="0.2">
      <c r="B102" s="178" t="s">
        <v>33</v>
      </c>
      <c r="C102" s="179"/>
      <c r="D102" s="37"/>
      <c r="E102" s="18">
        <f>IF(F3="1",SUMIF(Data!A:A,'55'!$A$2,Data!AL:AL),0)</f>
        <v>2212496</v>
      </c>
      <c r="F102" s="22">
        <f t="shared" si="6"/>
        <v>1.43</v>
      </c>
    </row>
    <row r="103" spans="2:6" x14ac:dyDescent="0.2">
      <c r="B103" s="180" t="s">
        <v>34</v>
      </c>
      <c r="C103" s="181"/>
      <c r="D103" s="37"/>
      <c r="E103" s="18">
        <f>IF(F3="1",SUMIF(Data!A:A,'55'!$A$2,Data!AM:AM),0)</f>
        <v>940706</v>
      </c>
      <c r="F103" s="22">
        <f t="shared" si="6"/>
        <v>0.61</v>
      </c>
    </row>
    <row r="104" spans="2:6" ht="15.75" customHeight="1" thickBot="1" x14ac:dyDescent="0.25">
      <c r="B104" s="170" t="s">
        <v>29</v>
      </c>
      <c r="C104" s="171"/>
      <c r="D104" s="38"/>
      <c r="E104" s="25">
        <f>IF(F3="1",SUMIF(Data!A:A,'55'!$A$2,Data!Q:Q),0)</f>
        <v>472479</v>
      </c>
      <c r="F104" s="26">
        <f t="shared" si="6"/>
        <v>0.31</v>
      </c>
    </row>
    <row r="105" spans="2:6" x14ac:dyDescent="0.2">
      <c r="B105" s="31" t="s">
        <v>35</v>
      </c>
      <c r="C105" s="31"/>
      <c r="D105" s="35">
        <f>D95</f>
        <v>1542796</v>
      </c>
      <c r="E105" s="32">
        <f>SUM(E98:E104)</f>
        <v>7893217</v>
      </c>
      <c r="F105" s="33">
        <f t="shared" si="6"/>
        <v>5.12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6837015</v>
      </c>
      <c r="D109" s="16">
        <f>IF(F3="1",SUMIF(Data!$A:$A,$A$2,Data!HJ:HJ),0)</f>
        <v>1335851</v>
      </c>
      <c r="E109" s="16">
        <f>IF(F3="1",SUMIF(Data!$A:$A,$A$2,Data!IN:IN),0)</f>
        <v>3134646</v>
      </c>
      <c r="F109" s="48">
        <f>SUM(C109:E109)</f>
        <v>11307512</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312476</v>
      </c>
      <c r="D111" s="52"/>
      <c r="E111" s="51">
        <f>IF(F3="1",SUMIF(Data!A:A,$A$2,Data!AX:AX),0)</f>
        <v>844464</v>
      </c>
      <c r="F111" s="49">
        <f t="shared" si="7"/>
        <v>1156940</v>
      </c>
    </row>
    <row r="112" spans="2:6" x14ac:dyDescent="0.2">
      <c r="B112" s="43" t="s">
        <v>32</v>
      </c>
      <c r="C112" s="51">
        <f>IF(F3="1",SUMIF(Data!A:A,$A$2,Data!V:V),0)</f>
        <v>239590</v>
      </c>
      <c r="D112" s="52"/>
      <c r="E112" s="51">
        <f>IF(F3="1",SUMIF(Data!A:A,$A$2,Data!AC:AC),0)</f>
        <v>43477</v>
      </c>
      <c r="F112" s="49">
        <f t="shared" si="7"/>
        <v>283067</v>
      </c>
    </row>
    <row r="113" spans="1:6" x14ac:dyDescent="0.2">
      <c r="B113" s="43" t="s">
        <v>31</v>
      </c>
      <c r="C113" s="51">
        <f>IF(F3="1",SUMIF(Data!A:A,$A$2,Data!U:U),0)</f>
        <v>485903</v>
      </c>
      <c r="D113" s="52"/>
      <c r="E113" s="51">
        <f>IF(F3="1",SUMIF(Data!A:A,$A$2,Data!AB:AB),0)</f>
        <v>674516</v>
      </c>
      <c r="F113" s="49">
        <f t="shared" si="7"/>
        <v>1160419</v>
      </c>
    </row>
    <row r="114" spans="1:6" x14ac:dyDescent="0.2">
      <c r="B114" s="43" t="s">
        <v>1021</v>
      </c>
      <c r="C114" s="51">
        <f>IF(F3="1",SUMIF(Data!A:A,$A$2,Data!T:T),0)</f>
        <v>1370803</v>
      </c>
      <c r="D114" s="52"/>
      <c r="E114" s="51">
        <f>IF(F3="1",SUMIF(Data!A:A,$A$2,Data!AA:AA),0)</f>
        <v>1453247</v>
      </c>
      <c r="F114" s="49">
        <f t="shared" si="7"/>
        <v>2824050</v>
      </c>
    </row>
    <row r="115" spans="1:6" x14ac:dyDescent="0.2">
      <c r="B115" s="43" t="s">
        <v>937</v>
      </c>
      <c r="C115" s="51">
        <f>IF(F3="1",SUMIF(Data!A:A,$A$2,Data!BI:BI),0)</f>
        <v>314142</v>
      </c>
      <c r="D115" s="51">
        <f>IF(F3="1",SUMIF(Data!A:A,$A$2,Data!BL:BL),0)</f>
        <v>74398</v>
      </c>
      <c r="E115" s="51">
        <f>IF(F3="1",SUMIF(Data!A:A,$A$2,Data!BU:BU),0)</f>
        <v>1602749</v>
      </c>
      <c r="F115" s="49">
        <f t="shared" si="7"/>
        <v>1991289</v>
      </c>
    </row>
    <row r="116" spans="1:6" x14ac:dyDescent="0.2">
      <c r="B116" s="43" t="s">
        <v>33</v>
      </c>
      <c r="C116" s="51">
        <f>IF(F3="1",SUMIF(Data!A:A,$A$2,Data!X:X),0)</f>
        <v>51442</v>
      </c>
      <c r="D116" s="51"/>
      <c r="E116" s="51">
        <f>E102</f>
        <v>2212496</v>
      </c>
      <c r="F116" s="49">
        <f t="shared" si="7"/>
        <v>2263938</v>
      </c>
    </row>
    <row r="117" spans="1:6" ht="15" thickBot="1" x14ac:dyDescent="0.25">
      <c r="B117" s="44" t="s">
        <v>941</v>
      </c>
      <c r="C117" s="53"/>
      <c r="D117" s="53">
        <f>IF(F3="1",SUMIF(Data!A:A,$A$2,Data!Q:Q),0)</f>
        <v>472479</v>
      </c>
      <c r="E117" s="53"/>
      <c r="F117" s="50">
        <f>SUM(C117:E117)</f>
        <v>472479</v>
      </c>
    </row>
    <row r="118" spans="1:6" x14ac:dyDescent="0.2">
      <c r="B118" s="14" t="s">
        <v>35</v>
      </c>
      <c r="C118" s="5">
        <f>SUM(C109:C116)</f>
        <v>9611371</v>
      </c>
      <c r="D118" s="5">
        <f>SUM(D109:D116)</f>
        <v>1410249</v>
      </c>
      <c r="E118" s="5">
        <f>SUM(E109:E116)</f>
        <v>9965595</v>
      </c>
      <c r="F118" s="5">
        <f>SUM(F109:F116)</f>
        <v>20987215</v>
      </c>
    </row>
    <row r="119" spans="1:6" ht="15" thickBot="1" x14ac:dyDescent="0.25"/>
    <row r="120" spans="1:6" ht="15" thickBot="1" x14ac:dyDescent="0.25">
      <c r="B120" s="57" t="s">
        <v>942</v>
      </c>
      <c r="C120" s="55"/>
      <c r="D120" s="55"/>
      <c r="E120" s="55">
        <f>IF(F3="1",SUMIF(Data!A:A,'55'!$A$2,Data!AM:AM),0)</f>
        <v>940706</v>
      </c>
      <c r="F120" s="56">
        <f>SUM(C120:E120)</f>
        <v>940706</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2008</v>
      </c>
      <c r="B1" s="39"/>
      <c r="C1" s="39"/>
      <c r="D1" s="39"/>
      <c r="E1" s="39"/>
      <c r="F1" s="39"/>
    </row>
    <row r="2" spans="1:6" x14ac:dyDescent="0.2">
      <c r="A2" s="6" t="s">
        <v>452</v>
      </c>
      <c r="B2" s="60" t="str">
        <f>VLOOKUP(A2,Data!A:G,7,0)</f>
        <v>Lamar State College-Orange</v>
      </c>
      <c r="C2" s="60"/>
    </row>
    <row r="3" spans="1:6" ht="15" thickBot="1" x14ac:dyDescent="0.25">
      <c r="A3" s="4"/>
      <c r="F3" s="58">
        <f>IFERROR(VLOOKUP(A2,Data!A:C,3,0),"0")</f>
        <v>0</v>
      </c>
    </row>
    <row r="4" spans="1:6" ht="29.25" customHeight="1" x14ac:dyDescent="0.2">
      <c r="A4" s="27" t="s">
        <v>26</v>
      </c>
      <c r="B4" s="182" t="s">
        <v>470</v>
      </c>
      <c r="C4" s="183"/>
      <c r="D4" s="29" t="s">
        <v>27</v>
      </c>
      <c r="E4" s="29" t="s">
        <v>467</v>
      </c>
      <c r="F4" s="30" t="s">
        <v>468</v>
      </c>
    </row>
    <row r="5" spans="1:6" x14ac:dyDescent="0.2">
      <c r="A5" s="20">
        <v>1</v>
      </c>
      <c r="B5" s="172" t="s">
        <v>0</v>
      </c>
      <c r="C5" s="173"/>
      <c r="D5" s="15">
        <f>D36</f>
        <v>0</v>
      </c>
      <c r="E5" s="16">
        <f>E36+E67+IFERROR($E$105/$D$105*D5,0)</f>
        <v>0</v>
      </c>
      <c r="F5" s="21" t="str">
        <f>IF(OR(D5=0,E5=0),"",ROUND(E5/D5,2))</f>
        <v/>
      </c>
    </row>
    <row r="6" spans="1:6" x14ac:dyDescent="0.2">
      <c r="A6" s="20">
        <v>2</v>
      </c>
      <c r="B6" s="172" t="s">
        <v>1</v>
      </c>
      <c r="C6" s="173"/>
      <c r="D6" s="15">
        <f t="shared" ref="D6:D32" si="0">D37</f>
        <v>0</v>
      </c>
      <c r="E6" s="18">
        <f t="shared" ref="E6:E32" si="1">E37+E68+IFERROR($E$105/$D$105*D6,0)</f>
        <v>0</v>
      </c>
      <c r="F6" s="22" t="str">
        <f t="shared" ref="F6:F33" si="2">IF(OR(D6=0,E6=0),"",ROUND(E6/D6,2))</f>
        <v/>
      </c>
    </row>
    <row r="7" spans="1:6" ht="14.25" customHeight="1" x14ac:dyDescent="0.2">
      <c r="A7" s="20">
        <v>3</v>
      </c>
      <c r="B7" s="172" t="s">
        <v>2</v>
      </c>
      <c r="C7" s="173"/>
      <c r="D7" s="15">
        <f t="shared" si="0"/>
        <v>0</v>
      </c>
      <c r="E7" s="18">
        <f t="shared" si="1"/>
        <v>0</v>
      </c>
      <c r="F7" s="22" t="str">
        <f t="shared" si="2"/>
        <v/>
      </c>
    </row>
    <row r="8" spans="1:6" ht="14.25" customHeight="1" x14ac:dyDescent="0.2">
      <c r="A8" s="20">
        <v>4</v>
      </c>
      <c r="B8" s="172" t="s">
        <v>3</v>
      </c>
      <c r="C8" s="173"/>
      <c r="D8" s="15">
        <f t="shared" si="0"/>
        <v>0</v>
      </c>
      <c r="E8" s="18">
        <f t="shared" si="1"/>
        <v>0</v>
      </c>
      <c r="F8" s="22" t="str">
        <f t="shared" si="2"/>
        <v/>
      </c>
    </row>
    <row r="9" spans="1:6" x14ac:dyDescent="0.2">
      <c r="A9" s="20">
        <v>5</v>
      </c>
      <c r="B9" s="172" t="s">
        <v>4</v>
      </c>
      <c r="C9" s="173"/>
      <c r="D9" s="15">
        <f t="shared" si="0"/>
        <v>0</v>
      </c>
      <c r="E9" s="18">
        <f t="shared" si="1"/>
        <v>0</v>
      </c>
      <c r="F9" s="22" t="str">
        <f t="shared" si="2"/>
        <v/>
      </c>
    </row>
    <row r="10" spans="1:6" x14ac:dyDescent="0.2">
      <c r="A10" s="20">
        <v>6</v>
      </c>
      <c r="B10" s="172" t="s">
        <v>5</v>
      </c>
      <c r="C10" s="173"/>
      <c r="D10" s="15">
        <f t="shared" si="0"/>
        <v>0</v>
      </c>
      <c r="E10" s="18">
        <f t="shared" si="1"/>
        <v>0</v>
      </c>
      <c r="F10" s="22" t="str">
        <f t="shared" si="2"/>
        <v/>
      </c>
    </row>
    <row r="11" spans="1:6" x14ac:dyDescent="0.2">
      <c r="A11" s="20">
        <v>7</v>
      </c>
      <c r="B11" s="172" t="s">
        <v>6</v>
      </c>
      <c r="C11" s="173"/>
      <c r="D11" s="15">
        <f t="shared" si="0"/>
        <v>0</v>
      </c>
      <c r="E11" s="18">
        <f t="shared" si="1"/>
        <v>0</v>
      </c>
      <c r="F11" s="22" t="str">
        <f t="shared" si="2"/>
        <v/>
      </c>
    </row>
    <row r="12" spans="1:6" x14ac:dyDescent="0.2">
      <c r="A12" s="20">
        <v>8</v>
      </c>
      <c r="B12" s="172" t="s">
        <v>7</v>
      </c>
      <c r="C12" s="173"/>
      <c r="D12" s="15">
        <f t="shared" si="0"/>
        <v>0</v>
      </c>
      <c r="E12" s="18">
        <f t="shared" si="1"/>
        <v>0</v>
      </c>
      <c r="F12" s="22" t="str">
        <f t="shared" si="2"/>
        <v/>
      </c>
    </row>
    <row r="13" spans="1:6" x14ac:dyDescent="0.2">
      <c r="A13" s="20">
        <v>9</v>
      </c>
      <c r="B13" s="172" t="s">
        <v>8</v>
      </c>
      <c r="C13" s="173"/>
      <c r="D13" s="15">
        <f t="shared" si="0"/>
        <v>0</v>
      </c>
      <c r="E13" s="18">
        <f t="shared" si="1"/>
        <v>0</v>
      </c>
      <c r="F13" s="22" t="str">
        <f t="shared" si="2"/>
        <v/>
      </c>
    </row>
    <row r="14" spans="1:6" x14ac:dyDescent="0.2">
      <c r="A14" s="20">
        <v>10</v>
      </c>
      <c r="B14" s="172" t="s">
        <v>9</v>
      </c>
      <c r="C14" s="173"/>
      <c r="D14" s="15">
        <f t="shared" si="0"/>
        <v>0</v>
      </c>
      <c r="E14" s="18">
        <f t="shared" si="1"/>
        <v>0</v>
      </c>
      <c r="F14" s="22" t="str">
        <f t="shared" si="2"/>
        <v/>
      </c>
    </row>
    <row r="15" spans="1:6" x14ac:dyDescent="0.2">
      <c r="A15" s="20">
        <v>11</v>
      </c>
      <c r="B15" s="172" t="s">
        <v>10</v>
      </c>
      <c r="C15" s="173"/>
      <c r="D15" s="15">
        <f t="shared" si="0"/>
        <v>0</v>
      </c>
      <c r="E15" s="18">
        <f t="shared" si="1"/>
        <v>0</v>
      </c>
      <c r="F15" s="22" t="str">
        <f t="shared" si="2"/>
        <v/>
      </c>
    </row>
    <row r="16" spans="1:6" ht="14.25" customHeight="1" x14ac:dyDescent="0.2">
      <c r="A16" s="20">
        <v>12</v>
      </c>
      <c r="B16" s="172" t="s">
        <v>11</v>
      </c>
      <c r="C16" s="173"/>
      <c r="D16" s="15">
        <f t="shared" si="0"/>
        <v>0</v>
      </c>
      <c r="E16" s="18">
        <f t="shared" si="1"/>
        <v>0</v>
      </c>
      <c r="F16" s="22" t="str">
        <f t="shared" si="2"/>
        <v/>
      </c>
    </row>
    <row r="17" spans="1:6" x14ac:dyDescent="0.2">
      <c r="A17" s="20">
        <v>13</v>
      </c>
      <c r="B17" s="172" t="s">
        <v>12</v>
      </c>
      <c r="C17" s="173"/>
      <c r="D17" s="15">
        <f t="shared" si="0"/>
        <v>0</v>
      </c>
      <c r="E17" s="18">
        <f t="shared" si="1"/>
        <v>0</v>
      </c>
      <c r="F17" s="22" t="str">
        <f t="shared" si="2"/>
        <v/>
      </c>
    </row>
    <row r="18" spans="1:6" ht="14.25" customHeight="1" x14ac:dyDescent="0.2">
      <c r="A18" s="20">
        <v>14</v>
      </c>
      <c r="B18" s="172" t="s">
        <v>469</v>
      </c>
      <c r="C18" s="173"/>
      <c r="D18" s="15">
        <f t="shared" si="0"/>
        <v>0</v>
      </c>
      <c r="E18" s="18">
        <f t="shared" si="1"/>
        <v>0</v>
      </c>
      <c r="F18" s="22" t="str">
        <f t="shared" si="2"/>
        <v/>
      </c>
    </row>
    <row r="19" spans="1:6" x14ac:dyDescent="0.2">
      <c r="A19" s="20">
        <v>15</v>
      </c>
      <c r="B19" s="172" t="s">
        <v>13</v>
      </c>
      <c r="C19" s="173"/>
      <c r="D19" s="15">
        <f t="shared" si="0"/>
        <v>0</v>
      </c>
      <c r="E19" s="18">
        <f t="shared" si="1"/>
        <v>0</v>
      </c>
      <c r="F19" s="22" t="str">
        <f t="shared" si="2"/>
        <v/>
      </c>
    </row>
    <row r="20" spans="1:6" x14ac:dyDescent="0.2">
      <c r="A20" s="20">
        <v>16</v>
      </c>
      <c r="B20" s="172" t="s">
        <v>14</v>
      </c>
      <c r="C20" s="173"/>
      <c r="D20" s="15">
        <f t="shared" si="0"/>
        <v>0</v>
      </c>
      <c r="E20" s="18">
        <f t="shared" si="1"/>
        <v>0</v>
      </c>
      <c r="F20" s="22" t="str">
        <f t="shared" si="2"/>
        <v/>
      </c>
    </row>
    <row r="21" spans="1:6" x14ac:dyDescent="0.2">
      <c r="A21" s="20">
        <v>17</v>
      </c>
      <c r="B21" s="172" t="s">
        <v>15</v>
      </c>
      <c r="C21" s="173"/>
      <c r="D21" s="15">
        <f t="shared" si="0"/>
        <v>0</v>
      </c>
      <c r="E21" s="18">
        <f t="shared" si="1"/>
        <v>0</v>
      </c>
      <c r="F21" s="22" t="str">
        <f t="shared" si="2"/>
        <v/>
      </c>
    </row>
    <row r="22" spans="1:6" x14ac:dyDescent="0.2">
      <c r="A22" s="20">
        <v>18</v>
      </c>
      <c r="B22" s="172" t="s">
        <v>16</v>
      </c>
      <c r="C22" s="173"/>
      <c r="D22" s="15">
        <f t="shared" si="0"/>
        <v>0</v>
      </c>
      <c r="E22" s="18">
        <f t="shared" si="1"/>
        <v>0</v>
      </c>
      <c r="F22" s="22" t="str">
        <f t="shared" si="2"/>
        <v/>
      </c>
    </row>
    <row r="23" spans="1:6" x14ac:dyDescent="0.2">
      <c r="A23" s="20">
        <v>19</v>
      </c>
      <c r="B23" s="172" t="s">
        <v>17</v>
      </c>
      <c r="C23" s="173"/>
      <c r="D23" s="15">
        <f t="shared" si="0"/>
        <v>0</v>
      </c>
      <c r="E23" s="18">
        <f t="shared" si="1"/>
        <v>0</v>
      </c>
      <c r="F23" s="22" t="str">
        <f t="shared" si="2"/>
        <v/>
      </c>
    </row>
    <row r="24" spans="1:6" x14ac:dyDescent="0.2">
      <c r="A24" s="20">
        <v>20</v>
      </c>
      <c r="B24" s="172" t="s">
        <v>18</v>
      </c>
      <c r="C24" s="173"/>
      <c r="D24" s="15">
        <f t="shared" si="0"/>
        <v>0</v>
      </c>
      <c r="E24" s="18">
        <f t="shared" si="1"/>
        <v>0</v>
      </c>
      <c r="F24" s="22" t="str">
        <f t="shared" si="2"/>
        <v/>
      </c>
    </row>
    <row r="25" spans="1:6" ht="14.25" customHeight="1" x14ac:dyDescent="0.2">
      <c r="A25" s="20">
        <v>21</v>
      </c>
      <c r="B25" s="172" t="s">
        <v>466</v>
      </c>
      <c r="C25" s="173"/>
      <c r="D25" s="15">
        <f t="shared" si="0"/>
        <v>0</v>
      </c>
      <c r="E25" s="18">
        <f t="shared" si="1"/>
        <v>0</v>
      </c>
      <c r="F25" s="22" t="str">
        <f t="shared" si="2"/>
        <v/>
      </c>
    </row>
    <row r="26" spans="1:6" x14ac:dyDescent="0.2">
      <c r="A26" s="20">
        <v>22</v>
      </c>
      <c r="B26" s="172" t="s">
        <v>19</v>
      </c>
      <c r="C26" s="173"/>
      <c r="D26" s="15">
        <f t="shared" si="0"/>
        <v>0</v>
      </c>
      <c r="E26" s="18">
        <f t="shared" si="1"/>
        <v>0</v>
      </c>
      <c r="F26" s="22" t="str">
        <f t="shared" si="2"/>
        <v/>
      </c>
    </row>
    <row r="27" spans="1:6" x14ac:dyDescent="0.2">
      <c r="A27" s="20">
        <v>23</v>
      </c>
      <c r="B27" s="172" t="s">
        <v>20</v>
      </c>
      <c r="C27" s="173"/>
      <c r="D27" s="15">
        <f t="shared" si="0"/>
        <v>0</v>
      </c>
      <c r="E27" s="18">
        <f t="shared" si="1"/>
        <v>0</v>
      </c>
      <c r="F27" s="22" t="str">
        <f t="shared" si="2"/>
        <v/>
      </c>
    </row>
    <row r="28" spans="1:6" x14ac:dyDescent="0.2">
      <c r="A28" s="20">
        <v>24</v>
      </c>
      <c r="B28" s="172" t="s">
        <v>21</v>
      </c>
      <c r="C28" s="173"/>
      <c r="D28" s="15">
        <f t="shared" si="0"/>
        <v>0</v>
      </c>
      <c r="E28" s="18">
        <f t="shared" si="1"/>
        <v>0</v>
      </c>
      <c r="F28" s="22" t="str">
        <f t="shared" si="2"/>
        <v/>
      </c>
    </row>
    <row r="29" spans="1:6" x14ac:dyDescent="0.2">
      <c r="A29" s="20">
        <v>25</v>
      </c>
      <c r="B29" s="172" t="s">
        <v>22</v>
      </c>
      <c r="C29" s="173"/>
      <c r="D29" s="15">
        <f t="shared" si="0"/>
        <v>0</v>
      </c>
      <c r="E29" s="18">
        <f t="shared" si="1"/>
        <v>0</v>
      </c>
      <c r="F29" s="22" t="str">
        <f t="shared" si="2"/>
        <v/>
      </c>
    </row>
    <row r="30" spans="1:6" x14ac:dyDescent="0.2">
      <c r="A30" s="20">
        <v>26</v>
      </c>
      <c r="B30" s="172" t="s">
        <v>23</v>
      </c>
      <c r="C30" s="173"/>
      <c r="D30" s="15">
        <f t="shared" si="0"/>
        <v>0</v>
      </c>
      <c r="E30" s="18">
        <f t="shared" si="1"/>
        <v>0</v>
      </c>
      <c r="F30" s="22" t="str">
        <f t="shared" si="2"/>
        <v/>
      </c>
    </row>
    <row r="31" spans="1:6" x14ac:dyDescent="0.2">
      <c r="A31" s="20">
        <v>28</v>
      </c>
      <c r="B31" s="172" t="s">
        <v>24</v>
      </c>
      <c r="C31" s="173"/>
      <c r="D31" s="15">
        <f t="shared" si="0"/>
        <v>0</v>
      </c>
      <c r="E31" s="18">
        <f t="shared" si="1"/>
        <v>0</v>
      </c>
      <c r="F31" s="22" t="str">
        <f t="shared" si="2"/>
        <v/>
      </c>
    </row>
    <row r="32" spans="1:6" ht="15.75" customHeight="1" thickBot="1" x14ac:dyDescent="0.25">
      <c r="A32" s="23">
        <v>29</v>
      </c>
      <c r="B32" s="174" t="s">
        <v>25</v>
      </c>
      <c r="C32" s="175"/>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c r="F34" s="70"/>
    </row>
    <row r="35" spans="1:6" ht="29.25" customHeight="1" x14ac:dyDescent="0.2">
      <c r="A35" s="27" t="s">
        <v>26</v>
      </c>
      <c r="B35" s="182" t="s">
        <v>471</v>
      </c>
      <c r="C35" s="183"/>
      <c r="D35" s="29" t="s">
        <v>27</v>
      </c>
      <c r="E35" s="29" t="s">
        <v>467</v>
      </c>
      <c r="F35" s="30" t="s">
        <v>468</v>
      </c>
    </row>
    <row r="36" spans="1:6" x14ac:dyDescent="0.2">
      <c r="A36" s="20">
        <v>1</v>
      </c>
      <c r="B36" s="172" t="s">
        <v>0</v>
      </c>
      <c r="C36" s="173"/>
      <c r="D36" s="15">
        <f>IF(F3="1",SUMIF(Data!A:A,'56'!$A$2,Data!CU:CU),0)</f>
        <v>0</v>
      </c>
      <c r="E36" s="16">
        <f>IF(F3="1",SUMIF(Data!$A:$A,'56'!$A$2,Data!IO:IO),0)</f>
        <v>0</v>
      </c>
      <c r="F36" s="21" t="str">
        <f>IF(D36=0,"",ROUND(E36/D36,2))</f>
        <v/>
      </c>
    </row>
    <row r="37" spans="1:6" x14ac:dyDescent="0.2">
      <c r="A37" s="20">
        <v>2</v>
      </c>
      <c r="B37" s="172" t="s">
        <v>1</v>
      </c>
      <c r="C37" s="173"/>
      <c r="D37" s="15">
        <f>IF(F3="1",SUMIF(Data!A:A,'56'!$A$2,Data!CV:CV),0)</f>
        <v>0</v>
      </c>
      <c r="E37" s="18">
        <f>IF(F3="1",SUMIF(Data!$A:$A,'56'!$A$2,Data!IP:IP),0)</f>
        <v>0</v>
      </c>
      <c r="F37" s="22" t="str">
        <f t="shared" ref="F37:F64" si="3">IF(D37=0,"",ROUND(E37/D37,2))</f>
        <v/>
      </c>
    </row>
    <row r="38" spans="1:6" ht="14.25" customHeight="1" x14ac:dyDescent="0.2">
      <c r="A38" s="20">
        <v>3</v>
      </c>
      <c r="B38" s="172" t="s">
        <v>2</v>
      </c>
      <c r="C38" s="173"/>
      <c r="D38" s="15">
        <f>IF(F3="1",SUMIF(Data!A:A,'56'!$A$2,Data!CW:CW),0)</f>
        <v>0</v>
      </c>
      <c r="E38" s="18">
        <f>IF(F3="1",SUMIF(Data!$A:$A,'56'!$A$2,Data!IQ:IQ),0)</f>
        <v>0</v>
      </c>
      <c r="F38" s="22" t="str">
        <f t="shared" si="3"/>
        <v/>
      </c>
    </row>
    <row r="39" spans="1:6" ht="14.25" customHeight="1" x14ac:dyDescent="0.2">
      <c r="A39" s="20">
        <v>4</v>
      </c>
      <c r="B39" s="172" t="s">
        <v>3</v>
      </c>
      <c r="C39" s="173"/>
      <c r="D39" s="15">
        <f>IF(F3="1",SUMIF(Data!A:A,'56'!$A$2,Data!CX:CX),0)</f>
        <v>0</v>
      </c>
      <c r="E39" s="18">
        <f>IF(F3="1",SUMIF(Data!$A:$A,'56'!$A$2,Data!IR:IR),0)</f>
        <v>0</v>
      </c>
      <c r="F39" s="22" t="str">
        <f t="shared" si="3"/>
        <v/>
      </c>
    </row>
    <row r="40" spans="1:6" x14ac:dyDescent="0.2">
      <c r="A40" s="20">
        <v>5</v>
      </c>
      <c r="B40" s="172" t="s">
        <v>4</v>
      </c>
      <c r="C40" s="173"/>
      <c r="D40" s="15">
        <f>IF(F3="1",SUMIF(Data!A:A,'56'!$A$2,Data!CY:CY),0)</f>
        <v>0</v>
      </c>
      <c r="E40" s="18">
        <f>IF(F3="1",SUMIF(Data!$A:$A,'56'!$A$2,Data!IS:IS),0)</f>
        <v>0</v>
      </c>
      <c r="F40" s="22" t="str">
        <f t="shared" si="3"/>
        <v/>
      </c>
    </row>
    <row r="41" spans="1:6" x14ac:dyDescent="0.2">
      <c r="A41" s="20">
        <v>6</v>
      </c>
      <c r="B41" s="172" t="s">
        <v>5</v>
      </c>
      <c r="C41" s="173"/>
      <c r="D41" s="15">
        <f>IF(F3="1",SUMIF(Data!A:A,'56'!$A$2,Data!CZ:CZ),0)</f>
        <v>0</v>
      </c>
      <c r="E41" s="18">
        <f>IF(F3="1",SUMIF(Data!$A:$A,'56'!$A$2,Data!IT:IT),0)</f>
        <v>0</v>
      </c>
      <c r="F41" s="22" t="str">
        <f t="shared" si="3"/>
        <v/>
      </c>
    </row>
    <row r="42" spans="1:6" x14ac:dyDescent="0.2">
      <c r="A42" s="20">
        <v>7</v>
      </c>
      <c r="B42" s="172" t="s">
        <v>6</v>
      </c>
      <c r="C42" s="173"/>
      <c r="D42" s="15">
        <f>IF(F3="1",SUMIF(Data!A:A,'56'!$A$2,Data!DA:DA),0)</f>
        <v>0</v>
      </c>
      <c r="E42" s="18">
        <f>IF(F3="1",SUMIF(Data!$A:$A,'56'!$A$2,Data!IU:IU),0)</f>
        <v>0</v>
      </c>
      <c r="F42" s="22" t="str">
        <f t="shared" si="3"/>
        <v/>
      </c>
    </row>
    <row r="43" spans="1:6" x14ac:dyDescent="0.2">
      <c r="A43" s="20">
        <v>8</v>
      </c>
      <c r="B43" s="172" t="s">
        <v>7</v>
      </c>
      <c r="C43" s="173"/>
      <c r="D43" s="15">
        <f>IF(F3="1",SUMIF(Data!A:A,'56'!$A$2,Data!DB:DB),0)</f>
        <v>0</v>
      </c>
      <c r="E43" s="18">
        <f>IF(F3="1",SUMIF(Data!$A:$A,'56'!$A$2,Data!IV:IV),0)</f>
        <v>0</v>
      </c>
      <c r="F43" s="22" t="str">
        <f t="shared" si="3"/>
        <v/>
      </c>
    </row>
    <row r="44" spans="1:6" x14ac:dyDescent="0.2">
      <c r="A44" s="20">
        <v>9</v>
      </c>
      <c r="B44" s="172" t="s">
        <v>8</v>
      </c>
      <c r="C44" s="173"/>
      <c r="D44" s="15">
        <f>IF(F3="1",SUMIF(Data!A:A,'56'!$A$2,Data!DC:DC),0)</f>
        <v>0</v>
      </c>
      <c r="E44" s="18">
        <f>IF(F3="1",SUMIF(Data!$A:$A,'56'!$A$2,Data!IW:IW),0)</f>
        <v>0</v>
      </c>
      <c r="F44" s="22" t="str">
        <f t="shared" si="3"/>
        <v/>
      </c>
    </row>
    <row r="45" spans="1:6" x14ac:dyDescent="0.2">
      <c r="A45" s="20">
        <v>10</v>
      </c>
      <c r="B45" s="172" t="s">
        <v>9</v>
      </c>
      <c r="C45" s="173"/>
      <c r="D45" s="15">
        <f>IF(F3="1",SUMIF(Data!A:A,'56'!$A$2,Data!DD:DD),0)</f>
        <v>0</v>
      </c>
      <c r="E45" s="18">
        <f>IF(F3="1",SUMIF(Data!$A:$A,'56'!$A$2,Data!IX:IX),0)</f>
        <v>0</v>
      </c>
      <c r="F45" s="22" t="str">
        <f t="shared" si="3"/>
        <v/>
      </c>
    </row>
    <row r="46" spans="1:6" x14ac:dyDescent="0.2">
      <c r="A46" s="20">
        <v>11</v>
      </c>
      <c r="B46" s="172" t="s">
        <v>10</v>
      </c>
      <c r="C46" s="173"/>
      <c r="D46" s="15">
        <f>IF(F3="1",SUMIF(Data!A:A,'56'!$A$2,Data!DE:DE),0)</f>
        <v>0</v>
      </c>
      <c r="E46" s="18">
        <f>IF(F3="1",SUMIF(Data!$A:$A,'56'!$A$2,Data!IY:IY),0)</f>
        <v>0</v>
      </c>
      <c r="F46" s="22" t="str">
        <f t="shared" si="3"/>
        <v/>
      </c>
    </row>
    <row r="47" spans="1:6" ht="14.25" customHeight="1" x14ac:dyDescent="0.2">
      <c r="A47" s="20">
        <v>12</v>
      </c>
      <c r="B47" s="172" t="s">
        <v>11</v>
      </c>
      <c r="C47" s="173"/>
      <c r="D47" s="15">
        <f>IF(F3="1",SUMIF(Data!A:A,'56'!$A$2,Data!DF:DF),0)</f>
        <v>0</v>
      </c>
      <c r="E47" s="18">
        <f>IF(F3="1",SUMIF(Data!$A:$A,'56'!$A$2,Data!IZ:IZ),0)</f>
        <v>0</v>
      </c>
      <c r="F47" s="22" t="str">
        <f t="shared" si="3"/>
        <v/>
      </c>
    </row>
    <row r="48" spans="1:6" x14ac:dyDescent="0.2">
      <c r="A48" s="20">
        <v>13</v>
      </c>
      <c r="B48" s="172" t="s">
        <v>12</v>
      </c>
      <c r="C48" s="173"/>
      <c r="D48" s="15">
        <f>IF(F3="1",SUMIF(Data!A:A,'56'!$A$2,Data!DG:DG),0)</f>
        <v>0</v>
      </c>
      <c r="E48" s="18">
        <f>IF(F3="1",SUMIF(Data!$A:$A,'56'!$A$2,Data!JA:JA),0)</f>
        <v>0</v>
      </c>
      <c r="F48" s="22" t="str">
        <f t="shared" si="3"/>
        <v/>
      </c>
    </row>
    <row r="49" spans="1:6" ht="14.25" customHeight="1" x14ac:dyDescent="0.2">
      <c r="A49" s="20">
        <v>14</v>
      </c>
      <c r="B49" s="172" t="s">
        <v>469</v>
      </c>
      <c r="C49" s="173"/>
      <c r="D49" s="15">
        <f>IF(F3="1",SUMIF(Data!A:A,'56'!$A$2,Data!DH:DH),0)</f>
        <v>0</v>
      </c>
      <c r="E49" s="18">
        <f>IF(F3="1",SUMIF(Data!$A:$A,'56'!$A$2,Data!JB:JB),0)</f>
        <v>0</v>
      </c>
      <c r="F49" s="22" t="str">
        <f t="shared" si="3"/>
        <v/>
      </c>
    </row>
    <row r="50" spans="1:6" x14ac:dyDescent="0.2">
      <c r="A50" s="20">
        <v>15</v>
      </c>
      <c r="B50" s="172" t="s">
        <v>13</v>
      </c>
      <c r="C50" s="173"/>
      <c r="D50" s="15">
        <f>IF(F3="1",SUMIF(Data!A:A,'56'!$A$2,Data!DI:DI),0)</f>
        <v>0</v>
      </c>
      <c r="E50" s="18">
        <f>IF(F3="1",SUMIF(Data!$A:$A,'56'!$A$2,Data!JC:JC),0)</f>
        <v>0</v>
      </c>
      <c r="F50" s="22" t="str">
        <f t="shared" si="3"/>
        <v/>
      </c>
    </row>
    <row r="51" spans="1:6" x14ac:dyDescent="0.2">
      <c r="A51" s="20">
        <v>16</v>
      </c>
      <c r="B51" s="172" t="s">
        <v>14</v>
      </c>
      <c r="C51" s="173"/>
      <c r="D51" s="15">
        <f>IF(F3="1",SUMIF(Data!A:A,'56'!$A$2,Data!DJ:DJ),0)</f>
        <v>0</v>
      </c>
      <c r="E51" s="18">
        <f>IF(F3="1",SUMIF(Data!$A:$A,'56'!$A$2,Data!JD:JD),0)</f>
        <v>0</v>
      </c>
      <c r="F51" s="22" t="str">
        <f t="shared" si="3"/>
        <v/>
      </c>
    </row>
    <row r="52" spans="1:6" x14ac:dyDescent="0.2">
      <c r="A52" s="20">
        <v>17</v>
      </c>
      <c r="B52" s="172" t="s">
        <v>15</v>
      </c>
      <c r="C52" s="173"/>
      <c r="D52" s="15">
        <f>IF(F3="1",SUMIF(Data!A:A,'56'!$A$2,Data!DK:DK),0)</f>
        <v>0</v>
      </c>
      <c r="E52" s="18">
        <f>IF(F3="1",SUMIF(Data!$A:$A,'56'!$A$2,Data!JE:JE),0)</f>
        <v>0</v>
      </c>
      <c r="F52" s="22" t="str">
        <f t="shared" si="3"/>
        <v/>
      </c>
    </row>
    <row r="53" spans="1:6" x14ac:dyDescent="0.2">
      <c r="A53" s="20">
        <v>18</v>
      </c>
      <c r="B53" s="172" t="s">
        <v>16</v>
      </c>
      <c r="C53" s="173"/>
      <c r="D53" s="15">
        <f>IF(F3="1",SUMIF(Data!A:A,'56'!$A$2,Data!DL:DL),0)</f>
        <v>0</v>
      </c>
      <c r="E53" s="18">
        <f>IF(F3="1",SUMIF(Data!$A:$A,'56'!$A$2,Data!JF:JF),0)</f>
        <v>0</v>
      </c>
      <c r="F53" s="22" t="str">
        <f t="shared" si="3"/>
        <v/>
      </c>
    </row>
    <row r="54" spans="1:6" x14ac:dyDescent="0.2">
      <c r="A54" s="20">
        <v>19</v>
      </c>
      <c r="B54" s="172" t="s">
        <v>17</v>
      </c>
      <c r="C54" s="173"/>
      <c r="D54" s="15">
        <f>IF(F3="1",SUMIF(Data!A:A,'56'!$A$2,Data!DM:DM),0)</f>
        <v>0</v>
      </c>
      <c r="E54" s="18">
        <f>IF(F3="1",SUMIF(Data!$A:$A,'56'!$A$2,Data!JG:JG),0)</f>
        <v>0</v>
      </c>
      <c r="F54" s="22" t="str">
        <f t="shared" si="3"/>
        <v/>
      </c>
    </row>
    <row r="55" spans="1:6" x14ac:dyDescent="0.2">
      <c r="A55" s="20">
        <v>20</v>
      </c>
      <c r="B55" s="172" t="s">
        <v>18</v>
      </c>
      <c r="C55" s="173"/>
      <c r="D55" s="15">
        <f>IF(F3="1",SUMIF(Data!A:A,'56'!$A$2,Data!DN:DN),0)</f>
        <v>0</v>
      </c>
      <c r="E55" s="18">
        <f>IF(F3="1",SUMIF(Data!$A:$A,'56'!$A$2,Data!JH:JH),0)</f>
        <v>0</v>
      </c>
      <c r="F55" s="22" t="str">
        <f t="shared" si="3"/>
        <v/>
      </c>
    </row>
    <row r="56" spans="1:6" ht="14.25" customHeight="1" x14ac:dyDescent="0.2">
      <c r="A56" s="20">
        <v>21</v>
      </c>
      <c r="B56" s="172" t="s">
        <v>466</v>
      </c>
      <c r="C56" s="173"/>
      <c r="D56" s="15">
        <f>IF(F3="1",SUMIF(Data!A:A,'56'!$A$2,Data!DO:DO),0)</f>
        <v>0</v>
      </c>
      <c r="E56" s="18">
        <f>IF(F3="1",SUMIF(Data!$A:$A,'56'!$A$2,Data!JI:JI),0)</f>
        <v>0</v>
      </c>
      <c r="F56" s="22" t="str">
        <f t="shared" si="3"/>
        <v/>
      </c>
    </row>
    <row r="57" spans="1:6" x14ac:dyDescent="0.2">
      <c r="A57" s="20">
        <v>22</v>
      </c>
      <c r="B57" s="172" t="s">
        <v>19</v>
      </c>
      <c r="C57" s="173"/>
      <c r="D57" s="15">
        <f>IF(F3="1",SUMIF(Data!A:A,'56'!$A$2,Data!DP:DP),0)</f>
        <v>0</v>
      </c>
      <c r="E57" s="18">
        <f>IF(F3="1",SUMIF(Data!$A:$A,'56'!$A$2,Data!JJ:JJ),0)</f>
        <v>0</v>
      </c>
      <c r="F57" s="22" t="str">
        <f t="shared" si="3"/>
        <v/>
      </c>
    </row>
    <row r="58" spans="1:6" x14ac:dyDescent="0.2">
      <c r="A58" s="20">
        <v>23</v>
      </c>
      <c r="B58" s="172" t="s">
        <v>20</v>
      </c>
      <c r="C58" s="173"/>
      <c r="D58" s="15">
        <f>IF(F3="1",SUMIF(Data!A:A,'56'!$A$2,Data!DQ:DQ),0)</f>
        <v>0</v>
      </c>
      <c r="E58" s="18">
        <f>IF(F3="1",SUMIF(Data!$A:$A,'56'!$A$2,Data!JK:JK),0)</f>
        <v>0</v>
      </c>
      <c r="F58" s="22" t="str">
        <f t="shared" si="3"/>
        <v/>
      </c>
    </row>
    <row r="59" spans="1:6" x14ac:dyDescent="0.2">
      <c r="A59" s="20">
        <v>24</v>
      </c>
      <c r="B59" s="172" t="s">
        <v>21</v>
      </c>
      <c r="C59" s="173"/>
      <c r="D59" s="15">
        <f>IF(F3="1",SUMIF(Data!A:A,'56'!$A$2,Data!DR:DR),0)</f>
        <v>0</v>
      </c>
      <c r="E59" s="18">
        <f>IF(F3="1",SUMIF(Data!$A:$A,'56'!$A$2,Data!JL:JL),0)</f>
        <v>0</v>
      </c>
      <c r="F59" s="22" t="str">
        <f t="shared" si="3"/>
        <v/>
      </c>
    </row>
    <row r="60" spans="1:6" x14ac:dyDescent="0.2">
      <c r="A60" s="20">
        <v>25</v>
      </c>
      <c r="B60" s="172" t="s">
        <v>22</v>
      </c>
      <c r="C60" s="173"/>
      <c r="D60" s="15">
        <f>IF(F3="1",SUMIF(Data!A:A,'56'!$A$2,Data!DS:DS),0)</f>
        <v>0</v>
      </c>
      <c r="E60" s="18">
        <f>IF(F3="1",SUMIF(Data!$A:$A,'56'!$A$2,Data!JM:JM),0)</f>
        <v>0</v>
      </c>
      <c r="F60" s="22" t="str">
        <f t="shared" si="3"/>
        <v/>
      </c>
    </row>
    <row r="61" spans="1:6" x14ac:dyDescent="0.2">
      <c r="A61" s="20">
        <v>26</v>
      </c>
      <c r="B61" s="172" t="s">
        <v>23</v>
      </c>
      <c r="C61" s="173"/>
      <c r="D61" s="15">
        <f>IF(F3="1",SUMIF(Data!A:A,'56'!$A$2,Data!DT:DT),0)</f>
        <v>0</v>
      </c>
      <c r="E61" s="18">
        <f>IF(F3="1",SUMIF(Data!$A:$A,'56'!$A$2,Data!JN:JN),0)</f>
        <v>0</v>
      </c>
      <c r="F61" s="22" t="str">
        <f t="shared" si="3"/>
        <v/>
      </c>
    </row>
    <row r="62" spans="1:6" x14ac:dyDescent="0.2">
      <c r="A62" s="20">
        <v>28</v>
      </c>
      <c r="B62" s="172" t="s">
        <v>24</v>
      </c>
      <c r="C62" s="173"/>
      <c r="D62" s="15">
        <f>IF(F3="1",SUMIF(Data!A:A,'56'!$A$2,Data!DV:DV),0)</f>
        <v>0</v>
      </c>
      <c r="E62" s="18">
        <f>IF(F3="1",SUMIF(Data!$A:$A,'56'!$A$2,Data!JP:JP),0)</f>
        <v>0</v>
      </c>
      <c r="F62" s="22" t="str">
        <f t="shared" si="3"/>
        <v/>
      </c>
    </row>
    <row r="63" spans="1:6" ht="15.75" customHeight="1" thickBot="1" x14ac:dyDescent="0.25">
      <c r="A63" s="23">
        <v>29</v>
      </c>
      <c r="B63" s="174" t="s">
        <v>25</v>
      </c>
      <c r="C63" s="175"/>
      <c r="D63" s="24">
        <f>IF(F3="1",SUMIF(Data!A:A,'56'!$A$2,Data!DW:DW),0)</f>
        <v>0</v>
      </c>
      <c r="E63" s="25">
        <f>IF(F3="1",SUMIF(Data!$A:$A,'56'!$A$2,Data!JQ:JQ),0)</f>
        <v>0</v>
      </c>
      <c r="F63" s="26" t="str">
        <f t="shared" si="3"/>
        <v/>
      </c>
    </row>
    <row r="64" spans="1:6" x14ac:dyDescent="0.2">
      <c r="B64" s="31" t="s">
        <v>35</v>
      </c>
      <c r="C64" s="31"/>
      <c r="D64" s="61">
        <f>SUM(D36:D63)</f>
        <v>0</v>
      </c>
      <c r="E64" s="32">
        <f>SUM(E36:E63)</f>
        <v>0</v>
      </c>
      <c r="F64" s="33" t="str">
        <f t="shared" si="3"/>
        <v/>
      </c>
    </row>
    <row r="65" spans="1:6" ht="15" thickBot="1" x14ac:dyDescent="0.25">
      <c r="F65" s="70"/>
    </row>
    <row r="66" spans="1:6" ht="29.25" customHeight="1" x14ac:dyDescent="0.2">
      <c r="A66" s="27" t="s">
        <v>26</v>
      </c>
      <c r="B66" s="182" t="s">
        <v>472</v>
      </c>
      <c r="C66" s="183"/>
      <c r="D66" s="29" t="s">
        <v>27</v>
      </c>
      <c r="E66" s="29" t="s">
        <v>467</v>
      </c>
      <c r="F66" s="30" t="s">
        <v>468</v>
      </c>
    </row>
    <row r="67" spans="1:6" x14ac:dyDescent="0.2">
      <c r="A67" s="20">
        <v>1</v>
      </c>
      <c r="B67" s="172" t="s">
        <v>0</v>
      </c>
      <c r="C67" s="173"/>
      <c r="D67" s="15">
        <f>D36</f>
        <v>0</v>
      </c>
      <c r="E67" s="16">
        <f>IF(F3="1",SUMIF(Data!A:A,'56'!$A$2,Data!DY:DY),0)</f>
        <v>0</v>
      </c>
      <c r="F67" s="21" t="str">
        <f t="shared" ref="F67:F95" si="4">IF(D67=0,"",ROUND(E67/D67,2))</f>
        <v/>
      </c>
    </row>
    <row r="68" spans="1:6" x14ac:dyDescent="0.2">
      <c r="A68" s="20">
        <v>2</v>
      </c>
      <c r="B68" s="172" t="s">
        <v>1</v>
      </c>
      <c r="C68" s="173"/>
      <c r="D68" s="15">
        <f t="shared" ref="D68:D94" si="5">D37</f>
        <v>0</v>
      </c>
      <c r="E68" s="18">
        <f>IF(F3="1",SUMIF(Data!A:A,'56'!$A$2,Data!DZ:DZ),0)</f>
        <v>0</v>
      </c>
      <c r="F68" s="22" t="str">
        <f t="shared" si="4"/>
        <v/>
      </c>
    </row>
    <row r="69" spans="1:6" ht="14.25" customHeight="1" x14ac:dyDescent="0.2">
      <c r="A69" s="20">
        <v>3</v>
      </c>
      <c r="B69" s="172" t="s">
        <v>2</v>
      </c>
      <c r="C69" s="173"/>
      <c r="D69" s="15">
        <f t="shared" si="5"/>
        <v>0</v>
      </c>
      <c r="E69" s="18">
        <f>IF(F3="1",SUMIF(Data!A:A,'56'!$A$2,Data!EA:EA),0)</f>
        <v>0</v>
      </c>
      <c r="F69" s="22" t="str">
        <f t="shared" si="4"/>
        <v/>
      </c>
    </row>
    <row r="70" spans="1:6" ht="14.25" customHeight="1" x14ac:dyDescent="0.2">
      <c r="A70" s="20">
        <v>4</v>
      </c>
      <c r="B70" s="172" t="s">
        <v>3</v>
      </c>
      <c r="C70" s="173"/>
      <c r="D70" s="15">
        <f t="shared" si="5"/>
        <v>0</v>
      </c>
      <c r="E70" s="18">
        <f>IF(F3="1",SUMIF(Data!A:A,'56'!$A$2,Data!EB:EB),0)</f>
        <v>0</v>
      </c>
      <c r="F70" s="22" t="str">
        <f t="shared" si="4"/>
        <v/>
      </c>
    </row>
    <row r="71" spans="1:6" x14ac:dyDescent="0.2">
      <c r="A71" s="20">
        <v>5</v>
      </c>
      <c r="B71" s="172" t="s">
        <v>4</v>
      </c>
      <c r="C71" s="173"/>
      <c r="D71" s="15">
        <f t="shared" si="5"/>
        <v>0</v>
      </c>
      <c r="E71" s="18">
        <f>IF(F3="1",SUMIF(Data!A:A,'56'!$A$2,Data!EC:EC),0)</f>
        <v>0</v>
      </c>
      <c r="F71" s="22" t="str">
        <f t="shared" si="4"/>
        <v/>
      </c>
    </row>
    <row r="72" spans="1:6" x14ac:dyDescent="0.2">
      <c r="A72" s="20">
        <v>6</v>
      </c>
      <c r="B72" s="172" t="s">
        <v>5</v>
      </c>
      <c r="C72" s="173"/>
      <c r="D72" s="15">
        <f t="shared" si="5"/>
        <v>0</v>
      </c>
      <c r="E72" s="18">
        <f>IF(F3="1",SUMIF(Data!A:A,'56'!$A$2,Data!ED:ED),0)</f>
        <v>0</v>
      </c>
      <c r="F72" s="22" t="str">
        <f t="shared" si="4"/>
        <v/>
      </c>
    </row>
    <row r="73" spans="1:6" x14ac:dyDescent="0.2">
      <c r="A73" s="20">
        <v>7</v>
      </c>
      <c r="B73" s="172" t="s">
        <v>6</v>
      </c>
      <c r="C73" s="173"/>
      <c r="D73" s="15">
        <f t="shared" si="5"/>
        <v>0</v>
      </c>
      <c r="E73" s="18">
        <f>IF(F3="1",SUMIF(Data!A:A,'56'!$A$2,Data!EE:EE),0)</f>
        <v>0</v>
      </c>
      <c r="F73" s="22" t="str">
        <f t="shared" si="4"/>
        <v/>
      </c>
    </row>
    <row r="74" spans="1:6" x14ac:dyDescent="0.2">
      <c r="A74" s="20">
        <v>8</v>
      </c>
      <c r="B74" s="172" t="s">
        <v>7</v>
      </c>
      <c r="C74" s="173"/>
      <c r="D74" s="15">
        <f t="shared" si="5"/>
        <v>0</v>
      </c>
      <c r="E74" s="18">
        <f>IF(F3="1",SUMIF(Data!A:A,'56'!$A$2,Data!EF:EF),0)</f>
        <v>0</v>
      </c>
      <c r="F74" s="22" t="str">
        <f t="shared" si="4"/>
        <v/>
      </c>
    </row>
    <row r="75" spans="1:6" x14ac:dyDescent="0.2">
      <c r="A75" s="20">
        <v>9</v>
      </c>
      <c r="B75" s="172" t="s">
        <v>8</v>
      </c>
      <c r="C75" s="173"/>
      <c r="D75" s="15">
        <f t="shared" si="5"/>
        <v>0</v>
      </c>
      <c r="E75" s="18">
        <f>IF(F3="1",SUMIF(Data!A:A,'56'!$A$2,Data!EG:EG),0)</f>
        <v>0</v>
      </c>
      <c r="F75" s="22" t="str">
        <f t="shared" si="4"/>
        <v/>
      </c>
    </row>
    <row r="76" spans="1:6" x14ac:dyDescent="0.2">
      <c r="A76" s="20">
        <v>10</v>
      </c>
      <c r="B76" s="172" t="s">
        <v>9</v>
      </c>
      <c r="C76" s="173"/>
      <c r="D76" s="15">
        <f t="shared" si="5"/>
        <v>0</v>
      </c>
      <c r="E76" s="18">
        <f>IF(F3="1",SUMIF(Data!A:A,'56'!$A$2,Data!EH:EH),0)</f>
        <v>0</v>
      </c>
      <c r="F76" s="22" t="str">
        <f t="shared" si="4"/>
        <v/>
      </c>
    </row>
    <row r="77" spans="1:6" x14ac:dyDescent="0.2">
      <c r="A77" s="20">
        <v>11</v>
      </c>
      <c r="B77" s="172" t="s">
        <v>10</v>
      </c>
      <c r="C77" s="173"/>
      <c r="D77" s="15">
        <f t="shared" si="5"/>
        <v>0</v>
      </c>
      <c r="E77" s="18">
        <f>IF(F3="1",SUMIF(Data!A:A,'56'!$A$2,Data!EI:EI),0)</f>
        <v>0</v>
      </c>
      <c r="F77" s="22" t="str">
        <f t="shared" si="4"/>
        <v/>
      </c>
    </row>
    <row r="78" spans="1:6" ht="14.25" customHeight="1" x14ac:dyDescent="0.2">
      <c r="A78" s="20">
        <v>12</v>
      </c>
      <c r="B78" s="172" t="s">
        <v>11</v>
      </c>
      <c r="C78" s="173"/>
      <c r="D78" s="15">
        <f t="shared" si="5"/>
        <v>0</v>
      </c>
      <c r="E78" s="18">
        <f>IF(F3="1",SUMIF(Data!A:A,'56'!$A$2,Data!EJ:EJ),0)</f>
        <v>0</v>
      </c>
      <c r="F78" s="22" t="str">
        <f t="shared" si="4"/>
        <v/>
      </c>
    </row>
    <row r="79" spans="1:6" x14ac:dyDescent="0.2">
      <c r="A79" s="20">
        <v>13</v>
      </c>
      <c r="B79" s="172" t="s">
        <v>12</v>
      </c>
      <c r="C79" s="173"/>
      <c r="D79" s="15">
        <f t="shared" si="5"/>
        <v>0</v>
      </c>
      <c r="E79" s="18">
        <f>IF(F3="1",SUMIF(Data!A:A,'56'!$A$2,Data!EK:EK),0)</f>
        <v>0</v>
      </c>
      <c r="F79" s="22" t="str">
        <f t="shared" si="4"/>
        <v/>
      </c>
    </row>
    <row r="80" spans="1:6" ht="14.25" customHeight="1" x14ac:dyDescent="0.2">
      <c r="A80" s="20">
        <v>14</v>
      </c>
      <c r="B80" s="172" t="s">
        <v>469</v>
      </c>
      <c r="C80" s="173"/>
      <c r="D80" s="15">
        <f t="shared" si="5"/>
        <v>0</v>
      </c>
      <c r="E80" s="18">
        <f>IF(F3="1",SUMIF(Data!A:A,'56'!$A$2,Data!EL:EL),0)</f>
        <v>0</v>
      </c>
      <c r="F80" s="22" t="str">
        <f t="shared" si="4"/>
        <v/>
      </c>
    </row>
    <row r="81" spans="1:6" x14ac:dyDescent="0.2">
      <c r="A81" s="20">
        <v>15</v>
      </c>
      <c r="B81" s="172" t="s">
        <v>13</v>
      </c>
      <c r="C81" s="173"/>
      <c r="D81" s="15">
        <f t="shared" si="5"/>
        <v>0</v>
      </c>
      <c r="E81" s="18">
        <f>IF(F3="1",SUMIF(Data!A:A,'56'!$A$2,Data!EM:EM),0)</f>
        <v>0</v>
      </c>
      <c r="F81" s="22" t="str">
        <f t="shared" si="4"/>
        <v/>
      </c>
    </row>
    <row r="82" spans="1:6" x14ac:dyDescent="0.2">
      <c r="A82" s="20">
        <v>16</v>
      </c>
      <c r="B82" s="172" t="s">
        <v>14</v>
      </c>
      <c r="C82" s="173"/>
      <c r="D82" s="15">
        <f t="shared" si="5"/>
        <v>0</v>
      </c>
      <c r="E82" s="18">
        <f>IF(F3="1",SUMIF(Data!A:A,'56'!$A$2,Data!EN:EN),0)</f>
        <v>0</v>
      </c>
      <c r="F82" s="22" t="str">
        <f t="shared" si="4"/>
        <v/>
      </c>
    </row>
    <row r="83" spans="1:6" x14ac:dyDescent="0.2">
      <c r="A83" s="20">
        <v>17</v>
      </c>
      <c r="B83" s="172" t="s">
        <v>15</v>
      </c>
      <c r="C83" s="173"/>
      <c r="D83" s="15">
        <f t="shared" si="5"/>
        <v>0</v>
      </c>
      <c r="E83" s="18">
        <f>IF(F3="1",SUMIF(Data!A:A,'56'!$A$2,Data!EO:EO),0)</f>
        <v>0</v>
      </c>
      <c r="F83" s="22" t="str">
        <f t="shared" si="4"/>
        <v/>
      </c>
    </row>
    <row r="84" spans="1:6" x14ac:dyDescent="0.2">
      <c r="A84" s="20">
        <v>18</v>
      </c>
      <c r="B84" s="172" t="s">
        <v>16</v>
      </c>
      <c r="C84" s="173"/>
      <c r="D84" s="15">
        <f t="shared" si="5"/>
        <v>0</v>
      </c>
      <c r="E84" s="18">
        <f>IF(F3="1",SUMIF(Data!A:A,'56'!$A$2,Data!EP:EP),0)</f>
        <v>0</v>
      </c>
      <c r="F84" s="22" t="str">
        <f t="shared" si="4"/>
        <v/>
      </c>
    </row>
    <row r="85" spans="1:6" x14ac:dyDescent="0.2">
      <c r="A85" s="20">
        <v>19</v>
      </c>
      <c r="B85" s="172" t="s">
        <v>17</v>
      </c>
      <c r="C85" s="173"/>
      <c r="D85" s="15">
        <f t="shared" si="5"/>
        <v>0</v>
      </c>
      <c r="E85" s="18">
        <f>IF(F3="1",SUMIF(Data!A:A,'56'!$A$2,Data!EQ:EQ),0)</f>
        <v>0</v>
      </c>
      <c r="F85" s="22" t="str">
        <f t="shared" si="4"/>
        <v/>
      </c>
    </row>
    <row r="86" spans="1:6" x14ac:dyDescent="0.2">
      <c r="A86" s="20">
        <v>20</v>
      </c>
      <c r="B86" s="172" t="s">
        <v>18</v>
      </c>
      <c r="C86" s="173"/>
      <c r="D86" s="15">
        <f t="shared" si="5"/>
        <v>0</v>
      </c>
      <c r="E86" s="18">
        <f>IF(F3="1",SUMIF(Data!A:A,'56'!$A$2,Data!ER:ER),0)</f>
        <v>0</v>
      </c>
      <c r="F86" s="22" t="str">
        <f t="shared" si="4"/>
        <v/>
      </c>
    </row>
    <row r="87" spans="1:6" ht="14.25" customHeight="1" x14ac:dyDescent="0.2">
      <c r="A87" s="20">
        <v>21</v>
      </c>
      <c r="B87" s="172" t="s">
        <v>466</v>
      </c>
      <c r="C87" s="173"/>
      <c r="D87" s="15">
        <f t="shared" si="5"/>
        <v>0</v>
      </c>
      <c r="E87" s="18">
        <f>IF(F3="1",SUMIF(Data!A:A,'56'!$A$2,Data!ES:ES),0)</f>
        <v>0</v>
      </c>
      <c r="F87" s="22" t="str">
        <f t="shared" si="4"/>
        <v/>
      </c>
    </row>
    <row r="88" spans="1:6" x14ac:dyDescent="0.2">
      <c r="A88" s="20">
        <v>22</v>
      </c>
      <c r="B88" s="172" t="s">
        <v>19</v>
      </c>
      <c r="C88" s="173"/>
      <c r="D88" s="15">
        <f t="shared" si="5"/>
        <v>0</v>
      </c>
      <c r="E88" s="18">
        <f>IF(F3="1",SUMIF(Data!A:A,'56'!$A$2,Data!ET:ET),0)</f>
        <v>0</v>
      </c>
      <c r="F88" s="22" t="str">
        <f t="shared" si="4"/>
        <v/>
      </c>
    </row>
    <row r="89" spans="1:6" x14ac:dyDescent="0.2">
      <c r="A89" s="20">
        <v>23</v>
      </c>
      <c r="B89" s="172" t="s">
        <v>20</v>
      </c>
      <c r="C89" s="173"/>
      <c r="D89" s="15">
        <f t="shared" si="5"/>
        <v>0</v>
      </c>
      <c r="E89" s="18">
        <f>IF(F3="1",SUMIF(Data!A:A,'56'!$A$2,Data!EU:EU),0)</f>
        <v>0</v>
      </c>
      <c r="F89" s="22" t="str">
        <f t="shared" si="4"/>
        <v/>
      </c>
    </row>
    <row r="90" spans="1:6" x14ac:dyDescent="0.2">
      <c r="A90" s="20">
        <v>24</v>
      </c>
      <c r="B90" s="172" t="s">
        <v>21</v>
      </c>
      <c r="C90" s="173"/>
      <c r="D90" s="15">
        <f t="shared" si="5"/>
        <v>0</v>
      </c>
      <c r="E90" s="18">
        <f>IF(F3="1",SUMIF(Data!A:A,'56'!$A$2,Data!EV:EV),0)</f>
        <v>0</v>
      </c>
      <c r="F90" s="22" t="str">
        <f t="shared" si="4"/>
        <v/>
      </c>
    </row>
    <row r="91" spans="1:6" x14ac:dyDescent="0.2">
      <c r="A91" s="20">
        <v>25</v>
      </c>
      <c r="B91" s="172" t="s">
        <v>22</v>
      </c>
      <c r="C91" s="173"/>
      <c r="D91" s="15">
        <f t="shared" si="5"/>
        <v>0</v>
      </c>
      <c r="E91" s="18">
        <f>IF(F3="1",SUMIF(Data!A:A,'56'!$A$2,Data!EW:EW),0)</f>
        <v>0</v>
      </c>
      <c r="F91" s="22" t="str">
        <f t="shared" si="4"/>
        <v/>
      </c>
    </row>
    <row r="92" spans="1:6" x14ac:dyDescent="0.2">
      <c r="A92" s="20">
        <v>26</v>
      </c>
      <c r="B92" s="172" t="s">
        <v>23</v>
      </c>
      <c r="C92" s="173"/>
      <c r="D92" s="15">
        <f t="shared" si="5"/>
        <v>0</v>
      </c>
      <c r="E92" s="18">
        <f>IF(F3="1",SUMIF(Data!A:A,'56'!$A$2,Data!EX:EX),0)</f>
        <v>0</v>
      </c>
      <c r="F92" s="22" t="str">
        <f t="shared" si="4"/>
        <v/>
      </c>
    </row>
    <row r="93" spans="1:6" x14ac:dyDescent="0.2">
      <c r="A93" s="20">
        <v>28</v>
      </c>
      <c r="B93" s="172" t="s">
        <v>24</v>
      </c>
      <c r="C93" s="173"/>
      <c r="D93" s="15">
        <f t="shared" si="5"/>
        <v>0</v>
      </c>
      <c r="E93" s="18">
        <f>IF(F3="1",SUMIF(Data!A:A,'56'!$A$2,Data!EZ:EZ),0)</f>
        <v>0</v>
      </c>
      <c r="F93" s="22" t="str">
        <f t="shared" si="4"/>
        <v/>
      </c>
    </row>
    <row r="94" spans="1:6" ht="15.75" customHeight="1" thickBot="1" x14ac:dyDescent="0.25">
      <c r="A94" s="23">
        <v>29</v>
      </c>
      <c r="B94" s="174" t="s">
        <v>25</v>
      </c>
      <c r="C94" s="175"/>
      <c r="D94" s="24">
        <f t="shared" si="5"/>
        <v>0</v>
      </c>
      <c r="E94" s="25">
        <f>IF(F3="1",SUMIF(Data!A:A,'56'!$A$2,Data!FA:FA),0)</f>
        <v>0</v>
      </c>
      <c r="F94" s="26" t="str">
        <f t="shared" si="4"/>
        <v/>
      </c>
    </row>
    <row r="95" spans="1:6" x14ac:dyDescent="0.2">
      <c r="B95" s="31" t="s">
        <v>35</v>
      </c>
      <c r="C95" s="31"/>
      <c r="D95" s="61">
        <f>SUM(D67:D94)</f>
        <v>0</v>
      </c>
      <c r="E95" s="32">
        <f>SUM(E67:E94)</f>
        <v>0</v>
      </c>
      <c r="F95" s="33" t="str">
        <f t="shared" si="4"/>
        <v/>
      </c>
    </row>
    <row r="96" spans="1:6" ht="15" thickBot="1" x14ac:dyDescent="0.25">
      <c r="F96" s="70"/>
    </row>
    <row r="97" spans="2:6" ht="29.25" customHeight="1" x14ac:dyDescent="0.2">
      <c r="B97" s="176" t="s">
        <v>473</v>
      </c>
      <c r="C97" s="177"/>
      <c r="D97" s="29" t="s">
        <v>27</v>
      </c>
      <c r="E97" s="34" t="s">
        <v>467</v>
      </c>
      <c r="F97" s="30" t="s">
        <v>468</v>
      </c>
    </row>
    <row r="98" spans="2:6" x14ac:dyDescent="0.2">
      <c r="B98" s="178" t="s">
        <v>30</v>
      </c>
      <c r="C98" s="179"/>
      <c r="D98" s="36"/>
      <c r="E98" s="16">
        <f>IF(F3="1",SUMIF(Data!A:A,'56'!$A$2,Data!AH:AH),0)</f>
        <v>0</v>
      </c>
      <c r="F98" s="21" t="str">
        <f>IF($D$105=0,"",ROUND(E98/$D$105,2))</f>
        <v/>
      </c>
    </row>
    <row r="99" spans="2:6" x14ac:dyDescent="0.2">
      <c r="B99" s="178" t="s">
        <v>31</v>
      </c>
      <c r="C99" s="179"/>
      <c r="D99" s="37"/>
      <c r="E99" s="18">
        <f>IF(F3="1",SUMIF(Data!A:A,'56'!$A$2,Data!AI:AI),0)</f>
        <v>0</v>
      </c>
      <c r="F99" s="22" t="str">
        <f t="shared" ref="F99:F105" si="6">IF($D$105=0,"",ROUND(E99/$D$105,2))</f>
        <v/>
      </c>
    </row>
    <row r="100" spans="2:6" x14ac:dyDescent="0.2">
      <c r="B100" s="178" t="s">
        <v>32</v>
      </c>
      <c r="C100" s="179"/>
      <c r="D100" s="37"/>
      <c r="E100" s="18">
        <f>IF(F3="1",SUMIF(Data!A:A,'56'!$A$2,Data!AJ:AJ),0)</f>
        <v>0</v>
      </c>
      <c r="F100" s="22" t="str">
        <f t="shared" si="6"/>
        <v/>
      </c>
    </row>
    <row r="101" spans="2:6" x14ac:dyDescent="0.2">
      <c r="B101" s="178" t="s">
        <v>28</v>
      </c>
      <c r="C101" s="179"/>
      <c r="D101" s="37"/>
      <c r="E101" s="18">
        <f>IF(F3="1",SUMIF(Data!A:A,'56'!$A$2,Data!AK:AK),0)</f>
        <v>0</v>
      </c>
      <c r="F101" s="22" t="str">
        <f t="shared" si="6"/>
        <v/>
      </c>
    </row>
    <row r="102" spans="2:6" x14ac:dyDescent="0.2">
      <c r="B102" s="178" t="s">
        <v>33</v>
      </c>
      <c r="C102" s="179"/>
      <c r="D102" s="37"/>
      <c r="E102" s="18">
        <f>IF(F3="1",SUMIF(Data!A:A,'56'!$A$2,Data!AL:AL),0)</f>
        <v>0</v>
      </c>
      <c r="F102" s="22" t="str">
        <f t="shared" si="6"/>
        <v/>
      </c>
    </row>
    <row r="103" spans="2:6" x14ac:dyDescent="0.2">
      <c r="B103" s="180" t="s">
        <v>34</v>
      </c>
      <c r="C103" s="181"/>
      <c r="D103" s="37"/>
      <c r="E103" s="18">
        <f>IF(F3="1",SUMIF(Data!A:A,'56'!$A$2,Data!AM:AM),0)</f>
        <v>0</v>
      </c>
      <c r="F103" s="22" t="str">
        <f t="shared" si="6"/>
        <v/>
      </c>
    </row>
    <row r="104" spans="2:6" ht="15.75" customHeight="1" thickBot="1" x14ac:dyDescent="0.25">
      <c r="B104" s="170" t="s">
        <v>29</v>
      </c>
      <c r="C104" s="171"/>
      <c r="D104" s="38"/>
      <c r="E104" s="25">
        <f>IF(F3="1",SUMIF(Data!A:A,'56'!$A$2,Data!Q:Q),0)</f>
        <v>0</v>
      </c>
      <c r="F104" s="26" t="str">
        <f t="shared" si="6"/>
        <v/>
      </c>
    </row>
    <row r="105" spans="2:6" x14ac:dyDescent="0.2">
      <c r="B105" s="31" t="s">
        <v>35</v>
      </c>
      <c r="C105" s="31"/>
      <c r="D105" s="35">
        <f>D95</f>
        <v>0</v>
      </c>
      <c r="E105" s="32">
        <f>SUM(E98:E104)</f>
        <v>0</v>
      </c>
      <c r="F105" s="33" t="str">
        <f t="shared" si="6"/>
        <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942</v>
      </c>
      <c r="C120" s="55"/>
      <c r="D120" s="55"/>
      <c r="E120" s="55">
        <f>IF(F3="1",SUMIF(Data!A:A,'56'!$A$2,Data!AM:AM),0)</f>
        <v>0</v>
      </c>
      <c r="F120" s="56">
        <f>SUM(C120:E120)</f>
        <v>0</v>
      </c>
    </row>
    <row r="122" spans="1:6" s="63" customFormat="1" ht="101.25" customHeight="1" x14ac:dyDescent="0.2">
      <c r="A122" s="184" t="s">
        <v>943</v>
      </c>
      <c r="B122" s="184"/>
      <c r="C122" s="184"/>
      <c r="D122" s="184"/>
      <c r="E122" s="184"/>
      <c r="F122" s="184"/>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 bestFit="1" customWidth="1"/>
    <col min="9" max="9" width="16.42578125" style="1" bestFit="1" customWidth="1"/>
    <col min="10" max="10" width="13.42578125" style="1" bestFit="1" customWidth="1"/>
    <col min="11" max="12" width="12.140625" style="1" bestFit="1" customWidth="1"/>
    <col min="13" max="13" width="12.42578125" style="1" bestFit="1" customWidth="1"/>
    <col min="14" max="14" width="12.140625" style="1" bestFit="1" customWidth="1"/>
    <col min="15" max="31" width="9.140625" style="1"/>
    <col min="32" max="32" width="17.85546875" style="1" bestFit="1" customWidth="1"/>
    <col min="33" max="35" width="9.140625" style="1"/>
    <col min="36" max="36" width="17.85546875" style="1" bestFit="1" customWidth="1"/>
    <col min="37" max="16384" width="9.140625" style="1"/>
  </cols>
  <sheetData>
    <row r="1" spans="1:7" s="7" customFormat="1" x14ac:dyDescent="0.2">
      <c r="A1" s="39" t="str">
        <f>Summary!A1</f>
        <v>Community and Technical Colleges, Report of Fundable Operating Expenses, Fiscal Year (FY) 2008</v>
      </c>
      <c r="B1" s="39"/>
      <c r="C1" s="39"/>
      <c r="D1" s="39"/>
      <c r="E1" s="39"/>
      <c r="F1" s="39"/>
      <c r="G1" s="59"/>
    </row>
    <row r="2" spans="1:7" s="7" customFormat="1" x14ac:dyDescent="0.2">
      <c r="A2" s="6" t="s">
        <v>450</v>
      </c>
      <c r="B2" s="60" t="str">
        <f>VLOOKUP(A2,Data!A:G,7,0)</f>
        <v>Lamar State College-Port Arthur</v>
      </c>
      <c r="C2" s="60"/>
      <c r="D2" s="59"/>
      <c r="E2" s="59"/>
      <c r="F2" s="59"/>
      <c r="G2" s="59"/>
    </row>
    <row r="3" spans="1:7" s="7" customFormat="1" ht="15" thickBot="1" x14ac:dyDescent="0.25">
      <c r="A3" s="4"/>
      <c r="B3" s="59"/>
      <c r="C3" s="59"/>
      <c r="D3" s="59"/>
      <c r="E3" s="59"/>
      <c r="F3" s="58" t="str">
        <f>IFERROR(VLOOKUP(A2,Data!A:C,3,0),"0")</f>
        <v>1</v>
      </c>
      <c r="G3" s="59"/>
    </row>
    <row r="4" spans="1:7" s="7" customFormat="1" ht="29.25" customHeight="1" x14ac:dyDescent="0.2">
      <c r="A4" s="27" t="s">
        <v>26</v>
      </c>
      <c r="B4" s="182" t="s">
        <v>470</v>
      </c>
      <c r="C4" s="183"/>
      <c r="D4" s="29" t="s">
        <v>27</v>
      </c>
      <c r="E4" s="29" t="s">
        <v>467</v>
      </c>
      <c r="F4" s="30" t="s">
        <v>468</v>
      </c>
      <c r="G4" s="59"/>
    </row>
    <row r="5" spans="1:7" s="7" customFormat="1" x14ac:dyDescent="0.2">
      <c r="A5" s="20">
        <v>1</v>
      </c>
      <c r="B5" s="172" t="s">
        <v>0</v>
      </c>
      <c r="C5" s="173"/>
      <c r="D5" s="15">
        <f>D36</f>
        <v>0</v>
      </c>
      <c r="E5" s="16">
        <f>E36+E67+IFERROR($E$105/$D$105*D5,0)</f>
        <v>0</v>
      </c>
      <c r="F5" s="21" t="str">
        <f>IF(OR(D5=0,E5=0),"",ROUND(E5/D5,2))</f>
        <v/>
      </c>
      <c r="G5" s="59"/>
    </row>
    <row r="6" spans="1:7" s="7" customFormat="1" x14ac:dyDescent="0.2">
      <c r="A6" s="20">
        <v>2</v>
      </c>
      <c r="B6" s="172" t="s">
        <v>1</v>
      </c>
      <c r="C6" s="173"/>
      <c r="D6" s="15">
        <f t="shared" ref="D6:D32" si="0">D37</f>
        <v>10368</v>
      </c>
      <c r="E6" s="18">
        <f t="shared" ref="E6:E32" si="1">E37+E68+IFERROR($E$105/$D$105*D6,0)</f>
        <v>131252.13703361875</v>
      </c>
      <c r="F6" s="22">
        <f t="shared" ref="F6:F33" si="2">IF(OR(D6=0,E6=0),"",ROUND(E6/D6,2))</f>
        <v>12.66</v>
      </c>
      <c r="G6" s="59"/>
    </row>
    <row r="7" spans="1:7" s="8" customFormat="1" ht="14.25" customHeight="1" x14ac:dyDescent="0.2">
      <c r="A7" s="20">
        <v>3</v>
      </c>
      <c r="B7" s="172" t="s">
        <v>2</v>
      </c>
      <c r="C7" s="173"/>
      <c r="D7" s="15">
        <f t="shared" si="0"/>
        <v>102304</v>
      </c>
      <c r="E7" s="18">
        <f t="shared" si="1"/>
        <v>1295100.9570878986</v>
      </c>
      <c r="F7" s="22">
        <f t="shared" si="2"/>
        <v>12.66</v>
      </c>
      <c r="G7" s="59"/>
    </row>
    <row r="8" spans="1:7" s="11" customFormat="1" ht="14.25" customHeight="1" x14ac:dyDescent="0.2">
      <c r="A8" s="20">
        <v>4</v>
      </c>
      <c r="B8" s="172" t="s">
        <v>3</v>
      </c>
      <c r="C8" s="173"/>
      <c r="D8" s="15">
        <f t="shared" si="0"/>
        <v>96856</v>
      </c>
      <c r="E8" s="18">
        <f t="shared" si="1"/>
        <v>1226133.4313781033</v>
      </c>
      <c r="F8" s="22">
        <f t="shared" si="2"/>
        <v>12.66</v>
      </c>
      <c r="G8" s="59"/>
    </row>
    <row r="9" spans="1:7" s="11" customFormat="1" x14ac:dyDescent="0.2">
      <c r="A9" s="20">
        <v>5</v>
      </c>
      <c r="B9" s="172" t="s">
        <v>4</v>
      </c>
      <c r="C9" s="173"/>
      <c r="D9" s="15">
        <f t="shared" si="0"/>
        <v>0</v>
      </c>
      <c r="E9" s="18">
        <f t="shared" si="1"/>
        <v>0</v>
      </c>
      <c r="F9" s="22" t="str">
        <f t="shared" si="2"/>
        <v/>
      </c>
      <c r="G9" s="59"/>
    </row>
    <row r="10" spans="1:7" s="11" customFormat="1" x14ac:dyDescent="0.2">
      <c r="A10" s="20">
        <v>6</v>
      </c>
      <c r="B10" s="172" t="s">
        <v>5</v>
      </c>
      <c r="C10" s="173"/>
      <c r="D10" s="15">
        <f t="shared" si="0"/>
        <v>15077</v>
      </c>
      <c r="E10" s="18">
        <f t="shared" si="1"/>
        <v>190865.32234335164</v>
      </c>
      <c r="F10" s="22">
        <f t="shared" si="2"/>
        <v>12.66</v>
      </c>
      <c r="G10" s="59"/>
    </row>
    <row r="11" spans="1:7" s="11" customFormat="1" x14ac:dyDescent="0.2">
      <c r="A11" s="20">
        <v>7</v>
      </c>
      <c r="B11" s="172" t="s">
        <v>6</v>
      </c>
      <c r="C11" s="173"/>
      <c r="D11" s="15">
        <f t="shared" si="0"/>
        <v>125779</v>
      </c>
      <c r="E11" s="18">
        <f t="shared" si="1"/>
        <v>1592278.9745323621</v>
      </c>
      <c r="F11" s="22">
        <f t="shared" si="2"/>
        <v>12.66</v>
      </c>
      <c r="G11" s="59"/>
    </row>
    <row r="12" spans="1:7" s="11" customFormat="1" x14ac:dyDescent="0.2">
      <c r="A12" s="20">
        <v>8</v>
      </c>
      <c r="B12" s="172" t="s">
        <v>7</v>
      </c>
      <c r="C12" s="173"/>
      <c r="D12" s="15">
        <f t="shared" si="0"/>
        <v>38160</v>
      </c>
      <c r="E12" s="18">
        <f t="shared" si="1"/>
        <v>483080.4488042912</v>
      </c>
      <c r="F12" s="22">
        <f t="shared" si="2"/>
        <v>12.66</v>
      </c>
      <c r="G12" s="59"/>
    </row>
    <row r="13" spans="1:7" s="11" customFormat="1" x14ac:dyDescent="0.2">
      <c r="A13" s="20">
        <v>9</v>
      </c>
      <c r="B13" s="172" t="s">
        <v>8</v>
      </c>
      <c r="C13" s="173"/>
      <c r="D13" s="15">
        <f t="shared" si="0"/>
        <v>115624</v>
      </c>
      <c r="E13" s="18">
        <f t="shared" si="1"/>
        <v>1463723.6609158115</v>
      </c>
      <c r="F13" s="22">
        <f t="shared" si="2"/>
        <v>12.66</v>
      </c>
      <c r="G13" s="59"/>
    </row>
    <row r="14" spans="1:7" s="11" customFormat="1" x14ac:dyDescent="0.2">
      <c r="A14" s="20">
        <v>10</v>
      </c>
      <c r="B14" s="172" t="s">
        <v>9</v>
      </c>
      <c r="C14" s="173"/>
      <c r="D14" s="15">
        <f t="shared" si="0"/>
        <v>0</v>
      </c>
      <c r="E14" s="18">
        <f t="shared" si="1"/>
        <v>0</v>
      </c>
      <c r="F14" s="22" t="str">
        <f t="shared" si="2"/>
        <v/>
      </c>
      <c r="G14" s="59"/>
    </row>
    <row r="15" spans="1:7" s="11" customFormat="1" x14ac:dyDescent="0.2">
      <c r="A15" s="20">
        <v>11</v>
      </c>
      <c r="B15" s="172" t="s">
        <v>10</v>
      </c>
      <c r="C15" s="173"/>
      <c r="D15" s="15">
        <f t="shared" si="0"/>
        <v>109768</v>
      </c>
      <c r="E15" s="18">
        <f t="shared" si="1"/>
        <v>1389588.0649986751</v>
      </c>
      <c r="F15" s="22">
        <f t="shared" si="2"/>
        <v>12.66</v>
      </c>
      <c r="G15" s="59"/>
    </row>
    <row r="16" spans="1:7" s="11" customFormat="1" ht="14.25" customHeight="1" x14ac:dyDescent="0.2">
      <c r="A16" s="20">
        <v>12</v>
      </c>
      <c r="B16" s="172" t="s">
        <v>11</v>
      </c>
      <c r="C16" s="173"/>
      <c r="D16" s="15">
        <f t="shared" si="0"/>
        <v>98880</v>
      </c>
      <c r="E16" s="18">
        <f t="shared" si="1"/>
        <v>1251754.6031909934</v>
      </c>
      <c r="F16" s="22">
        <f t="shared" si="2"/>
        <v>12.66</v>
      </c>
      <c r="G16" s="59"/>
    </row>
    <row r="17" spans="1:7" s="11" customFormat="1" x14ac:dyDescent="0.2">
      <c r="A17" s="20">
        <v>13</v>
      </c>
      <c r="B17" s="172" t="s">
        <v>12</v>
      </c>
      <c r="C17" s="173"/>
      <c r="D17" s="15">
        <f t="shared" si="0"/>
        <v>4176</v>
      </c>
      <c r="E17" s="18">
        <f t="shared" si="1"/>
        <v>52864.777416318655</v>
      </c>
      <c r="F17" s="22">
        <f t="shared" si="2"/>
        <v>12.66</v>
      </c>
      <c r="G17" s="59"/>
    </row>
    <row r="18" spans="1:7" s="11" customFormat="1" ht="14.25" customHeight="1" x14ac:dyDescent="0.2">
      <c r="A18" s="20">
        <v>14</v>
      </c>
      <c r="B18" s="172" t="s">
        <v>469</v>
      </c>
      <c r="C18" s="173"/>
      <c r="D18" s="15">
        <f t="shared" si="0"/>
        <v>52080</v>
      </c>
      <c r="E18" s="18">
        <f t="shared" si="1"/>
        <v>659298.37352535338</v>
      </c>
      <c r="F18" s="22">
        <f t="shared" si="2"/>
        <v>12.66</v>
      </c>
      <c r="G18" s="59"/>
    </row>
    <row r="19" spans="1:7" s="11" customFormat="1" x14ac:dyDescent="0.2">
      <c r="A19" s="20">
        <v>15</v>
      </c>
      <c r="B19" s="172" t="s">
        <v>13</v>
      </c>
      <c r="C19" s="173"/>
      <c r="D19" s="15">
        <f t="shared" si="0"/>
        <v>0</v>
      </c>
      <c r="E19" s="18">
        <f t="shared" si="1"/>
        <v>0</v>
      </c>
      <c r="F19" s="22" t="str">
        <f t="shared" si="2"/>
        <v/>
      </c>
      <c r="G19" s="59"/>
    </row>
    <row r="20" spans="1:7" s="11" customFormat="1" x14ac:dyDescent="0.2">
      <c r="A20" s="20">
        <v>16</v>
      </c>
      <c r="B20" s="172" t="s">
        <v>14</v>
      </c>
      <c r="C20" s="173"/>
      <c r="D20" s="15">
        <f t="shared" si="0"/>
        <v>62152</v>
      </c>
      <c r="E20" s="18">
        <f t="shared" si="1"/>
        <v>786803.69491835183</v>
      </c>
      <c r="F20" s="22">
        <f t="shared" si="2"/>
        <v>12.66</v>
      </c>
      <c r="G20" s="59"/>
    </row>
    <row r="21" spans="1:7" s="11" customFormat="1" x14ac:dyDescent="0.2">
      <c r="A21" s="20">
        <v>17</v>
      </c>
      <c r="B21" s="172" t="s">
        <v>15</v>
      </c>
      <c r="C21" s="173"/>
      <c r="D21" s="15">
        <f t="shared" si="0"/>
        <v>0</v>
      </c>
      <c r="E21" s="18">
        <f t="shared" si="1"/>
        <v>0</v>
      </c>
      <c r="F21" s="22" t="str">
        <f t="shared" si="2"/>
        <v/>
      </c>
      <c r="G21" s="59"/>
    </row>
    <row r="22" spans="1:7" s="11" customFormat="1" x14ac:dyDescent="0.2">
      <c r="A22" s="20">
        <v>18</v>
      </c>
      <c r="B22" s="172" t="s">
        <v>16</v>
      </c>
      <c r="C22" s="173"/>
      <c r="D22" s="15">
        <f t="shared" si="0"/>
        <v>132480</v>
      </c>
      <c r="E22" s="18">
        <f t="shared" si="1"/>
        <v>1677108.9732073506</v>
      </c>
      <c r="F22" s="22">
        <f t="shared" si="2"/>
        <v>12.66</v>
      </c>
      <c r="G22" s="59"/>
    </row>
    <row r="23" spans="1:7" s="11" customFormat="1" x14ac:dyDescent="0.2">
      <c r="A23" s="20">
        <v>19</v>
      </c>
      <c r="B23" s="172" t="s">
        <v>17</v>
      </c>
      <c r="C23" s="173"/>
      <c r="D23" s="15">
        <f t="shared" si="0"/>
        <v>86352</v>
      </c>
      <c r="E23" s="18">
        <f t="shared" si="1"/>
        <v>1093158.2709420375</v>
      </c>
      <c r="F23" s="22">
        <f t="shared" si="2"/>
        <v>12.66</v>
      </c>
      <c r="G23" s="59"/>
    </row>
    <row r="24" spans="1:7" s="11" customFormat="1" x14ac:dyDescent="0.2">
      <c r="A24" s="20">
        <v>20</v>
      </c>
      <c r="B24" s="172" t="s">
        <v>18</v>
      </c>
      <c r="C24" s="173"/>
      <c r="D24" s="15">
        <f t="shared" si="0"/>
        <v>30960</v>
      </c>
      <c r="E24" s="18">
        <f t="shared" si="1"/>
        <v>391932.79808650038</v>
      </c>
      <c r="F24" s="22">
        <f t="shared" si="2"/>
        <v>12.66</v>
      </c>
      <c r="G24" s="59"/>
    </row>
    <row r="25" spans="1:7" s="11" customFormat="1" ht="14.25" customHeight="1" x14ac:dyDescent="0.2">
      <c r="A25" s="20">
        <v>21</v>
      </c>
      <c r="B25" s="172" t="s">
        <v>466</v>
      </c>
      <c r="C25" s="173"/>
      <c r="D25" s="15">
        <f t="shared" si="0"/>
        <v>37556</v>
      </c>
      <c r="E25" s="18">
        <f t="shared" si="1"/>
        <v>475433.43310518761</v>
      </c>
      <c r="F25" s="22">
        <f t="shared" si="2"/>
        <v>12.66</v>
      </c>
      <c r="G25" s="59"/>
    </row>
    <row r="26" spans="1:7" s="11" customFormat="1" x14ac:dyDescent="0.2">
      <c r="A26" s="20">
        <v>22</v>
      </c>
      <c r="B26" s="172" t="s">
        <v>19</v>
      </c>
      <c r="C26" s="173"/>
      <c r="D26" s="15">
        <f t="shared" si="0"/>
        <v>8544</v>
      </c>
      <c r="E26" s="18">
        <f t="shared" si="1"/>
        <v>108160.70551844507</v>
      </c>
      <c r="F26" s="22">
        <f t="shared" si="2"/>
        <v>12.66</v>
      </c>
      <c r="G26" s="59"/>
    </row>
    <row r="27" spans="1:7" s="11" customFormat="1" x14ac:dyDescent="0.2">
      <c r="A27" s="20">
        <v>23</v>
      </c>
      <c r="B27" s="172" t="s">
        <v>20</v>
      </c>
      <c r="C27" s="173"/>
      <c r="D27" s="15">
        <f t="shared" si="0"/>
        <v>12352</v>
      </c>
      <c r="E27" s="18">
        <f t="shared" si="1"/>
        <v>156368.36078696552</v>
      </c>
      <c r="F27" s="22">
        <f t="shared" si="2"/>
        <v>12.66</v>
      </c>
      <c r="G27" s="59"/>
    </row>
    <row r="28" spans="1:7" s="11" customFormat="1" x14ac:dyDescent="0.2">
      <c r="A28" s="20">
        <v>24</v>
      </c>
      <c r="B28" s="172" t="s">
        <v>21</v>
      </c>
      <c r="C28" s="173"/>
      <c r="D28" s="15">
        <f t="shared" si="0"/>
        <v>2592</v>
      </c>
      <c r="E28" s="18">
        <f t="shared" si="1"/>
        <v>32814.034258404688</v>
      </c>
      <c r="F28" s="22">
        <f t="shared" si="2"/>
        <v>12.66</v>
      </c>
      <c r="G28" s="59"/>
    </row>
    <row r="29" spans="1:7" s="11" customFormat="1" x14ac:dyDescent="0.2">
      <c r="A29" s="20">
        <v>25</v>
      </c>
      <c r="B29" s="172" t="s">
        <v>22</v>
      </c>
      <c r="C29" s="173"/>
      <c r="D29" s="15">
        <f t="shared" si="0"/>
        <v>119744</v>
      </c>
      <c r="E29" s="18">
        <f t="shared" si="1"/>
        <v>1515878.3110487694</v>
      </c>
      <c r="F29" s="22">
        <f t="shared" si="2"/>
        <v>12.66</v>
      </c>
      <c r="G29" s="59"/>
    </row>
    <row r="30" spans="1:7" s="11" customFormat="1" x14ac:dyDescent="0.2">
      <c r="A30" s="20">
        <v>26</v>
      </c>
      <c r="B30" s="172" t="s">
        <v>23</v>
      </c>
      <c r="C30" s="173"/>
      <c r="D30" s="15">
        <f t="shared" si="0"/>
        <v>51392</v>
      </c>
      <c r="E30" s="18">
        <f t="shared" si="1"/>
        <v>650588.66690120893</v>
      </c>
      <c r="F30" s="22">
        <f t="shared" si="2"/>
        <v>12.66</v>
      </c>
      <c r="G30" s="59"/>
    </row>
    <row r="31" spans="1:7" s="11" customFormat="1" x14ac:dyDescent="0.2">
      <c r="A31" s="20">
        <v>28</v>
      </c>
      <c r="B31" s="172" t="s">
        <v>24</v>
      </c>
      <c r="C31" s="173"/>
      <c r="D31" s="15">
        <f t="shared" si="0"/>
        <v>0</v>
      </c>
      <c r="E31" s="18">
        <f t="shared" si="1"/>
        <v>0</v>
      </c>
      <c r="F31" s="22" t="str">
        <f t="shared" si="2"/>
        <v/>
      </c>
      <c r="G31" s="59"/>
    </row>
    <row r="32" spans="1:7" s="11" customFormat="1" ht="15.75" customHeight="1" thickBot="1" x14ac:dyDescent="0.25">
      <c r="A32" s="23">
        <v>29</v>
      </c>
      <c r="B32" s="174" t="s">
        <v>25</v>
      </c>
      <c r="C32" s="175"/>
      <c r="D32" s="24">
        <f t="shared" si="0"/>
        <v>0</v>
      </c>
      <c r="E32" s="25">
        <f t="shared" si="1"/>
        <v>0</v>
      </c>
      <c r="F32" s="26" t="str">
        <f t="shared" si="2"/>
        <v/>
      </c>
      <c r="G32" s="59"/>
    </row>
    <row r="33" spans="1:7" s="11" customFormat="1" x14ac:dyDescent="0.2">
      <c r="B33" s="31" t="s">
        <v>35</v>
      </c>
      <c r="C33" s="31"/>
      <c r="D33" s="61">
        <f>SUM(D5:D32)</f>
        <v>1313196</v>
      </c>
      <c r="E33" s="32">
        <f>SUM(E5:E32)</f>
        <v>16624187.999999996</v>
      </c>
      <c r="F33" s="33">
        <f t="shared" si="2"/>
        <v>12.66</v>
      </c>
      <c r="G33" s="59"/>
    </row>
    <row r="34" spans="1:7" s="11" customFormat="1" ht="15" thickBot="1" x14ac:dyDescent="0.25">
      <c r="A34" s="1"/>
      <c r="B34" s="59"/>
      <c r="C34" s="59"/>
      <c r="D34" s="59"/>
      <c r="E34" s="59"/>
      <c r="F34" s="70"/>
      <c r="G34" s="59"/>
    </row>
    <row r="35" spans="1:7" s="11" customFormat="1" ht="29.25" customHeight="1" x14ac:dyDescent="0.2">
      <c r="A35" s="27" t="s">
        <v>26</v>
      </c>
      <c r="B35" s="182" t="s">
        <v>471</v>
      </c>
      <c r="C35" s="183"/>
      <c r="D35" s="29" t="s">
        <v>27</v>
      </c>
      <c r="E35" s="29" t="s">
        <v>467</v>
      </c>
      <c r="F35" s="30" t="s">
        <v>468</v>
      </c>
      <c r="G35" s="59"/>
    </row>
    <row r="36" spans="1:7" s="11" customFormat="1" x14ac:dyDescent="0.2">
      <c r="A36" s="20">
        <v>1</v>
      </c>
      <c r="B36" s="172" t="s">
        <v>0</v>
      </c>
      <c r="C36" s="173"/>
      <c r="D36" s="15">
        <f>IF(F3="1",SUMIF(Data!A:A,'57'!$A$2,Data!CU:CU),0)</f>
        <v>0</v>
      </c>
      <c r="E36" s="16">
        <f>IF(F3="1",SUMIF(Data!$A:$A,'57'!$A$2,Data!IO:IO),0)</f>
        <v>0</v>
      </c>
      <c r="F36" s="21" t="str">
        <f>IF(D36=0,"",ROUND(E36/D36,2))</f>
        <v/>
      </c>
      <c r="G36" s="59"/>
    </row>
    <row r="37" spans="1:7" s="11" customFormat="1" x14ac:dyDescent="0.2">
      <c r="A37" s="20">
        <v>2</v>
      </c>
      <c r="B37" s="172" t="s">
        <v>1</v>
      </c>
      <c r="C37" s="173"/>
      <c r="D37" s="15">
        <f>IF(F3="1",SUMIF(Data!A:A,'57'!$A$2,Data!CV:CV),0)</f>
        <v>10368</v>
      </c>
      <c r="E37" s="18">
        <f>IF(F3="1",SUMIF(Data!$A:$A,'57'!$A$2,Data!IP:IP),0)</f>
        <v>26752</v>
      </c>
      <c r="F37" s="22">
        <f t="shared" ref="F37:F64" si="3">IF(D37=0,"",ROUND(E37/D37,2))</f>
        <v>2.58</v>
      </c>
      <c r="G37" s="59"/>
    </row>
    <row r="38" spans="1:7" ht="14.25" customHeight="1" x14ac:dyDescent="0.2">
      <c r="A38" s="20">
        <v>3</v>
      </c>
      <c r="B38" s="172" t="s">
        <v>2</v>
      </c>
      <c r="C38" s="173"/>
      <c r="D38" s="15">
        <f>IF(F3="1",SUMIF(Data!A:A,'57'!$A$2,Data!CW:CW),0)</f>
        <v>102304</v>
      </c>
      <c r="E38" s="18">
        <f>IF(F3="1",SUMIF(Data!$A:$A,'57'!$A$2,Data!IQ:IQ),0)</f>
        <v>263969</v>
      </c>
      <c r="F38" s="22">
        <f t="shared" si="3"/>
        <v>2.58</v>
      </c>
    </row>
    <row r="39" spans="1:7" s="11" customFormat="1" ht="14.25" customHeight="1" x14ac:dyDescent="0.2">
      <c r="A39" s="20">
        <v>4</v>
      </c>
      <c r="B39" s="172" t="s">
        <v>3</v>
      </c>
      <c r="C39" s="173"/>
      <c r="D39" s="15">
        <f>IF(F3="1",SUMIF(Data!A:A,'57'!$A$2,Data!CX:CX),0)</f>
        <v>96856</v>
      </c>
      <c r="E39" s="18">
        <f>IF(F3="1",SUMIF(Data!$A:$A,'57'!$A$2,Data!IR:IR),0)</f>
        <v>249912</v>
      </c>
      <c r="F39" s="22">
        <f t="shared" si="3"/>
        <v>2.58</v>
      </c>
      <c r="G39" s="59"/>
    </row>
    <row r="40" spans="1:7" s="11" customFormat="1" x14ac:dyDescent="0.2">
      <c r="A40" s="20">
        <v>5</v>
      </c>
      <c r="B40" s="172" t="s">
        <v>4</v>
      </c>
      <c r="C40" s="173"/>
      <c r="D40" s="15">
        <f>IF(F3="1",SUMIF(Data!A:A,'57'!$A$2,Data!CY:CY),0)</f>
        <v>0</v>
      </c>
      <c r="E40" s="18">
        <f>IF(F3="1",SUMIF(Data!$A:$A,'57'!$A$2,Data!IS:IS),0)</f>
        <v>0</v>
      </c>
      <c r="F40" s="22" t="str">
        <f t="shared" si="3"/>
        <v/>
      </c>
      <c r="G40" s="59"/>
    </row>
    <row r="41" spans="1:7" s="11" customFormat="1" x14ac:dyDescent="0.2">
      <c r="A41" s="20">
        <v>6</v>
      </c>
      <c r="B41" s="172" t="s">
        <v>5</v>
      </c>
      <c r="C41" s="173"/>
      <c r="D41" s="15">
        <f>IF(F3="1",SUMIF(Data!A:A,'57'!$A$2,Data!CZ:CZ),0)</f>
        <v>15077</v>
      </c>
      <c r="E41" s="18">
        <f>IF(F3="1",SUMIF(Data!$A:$A,'57'!$A$2,Data!IT:IT),0)</f>
        <v>38903</v>
      </c>
      <c r="F41" s="22">
        <f t="shared" si="3"/>
        <v>2.58</v>
      </c>
      <c r="G41" s="59"/>
    </row>
    <row r="42" spans="1:7" s="11" customFormat="1" x14ac:dyDescent="0.2">
      <c r="A42" s="20">
        <v>7</v>
      </c>
      <c r="B42" s="172" t="s">
        <v>6</v>
      </c>
      <c r="C42" s="173"/>
      <c r="D42" s="15">
        <f>IF(F3="1",SUMIF(Data!A:A,'57'!$A$2,Data!DA:DA),0)</f>
        <v>125779</v>
      </c>
      <c r="E42" s="18">
        <f>IF(F3="1",SUMIF(Data!$A:$A,'57'!$A$2,Data!IU:IU),0)</f>
        <v>324540</v>
      </c>
      <c r="F42" s="22">
        <f t="shared" si="3"/>
        <v>2.58</v>
      </c>
      <c r="G42" s="59"/>
    </row>
    <row r="43" spans="1:7" s="11" customFormat="1" x14ac:dyDescent="0.2">
      <c r="A43" s="20">
        <v>8</v>
      </c>
      <c r="B43" s="172" t="s">
        <v>7</v>
      </c>
      <c r="C43" s="173"/>
      <c r="D43" s="15">
        <f>IF(F3="1",SUMIF(Data!A:A,'57'!$A$2,Data!DB:DB),0)</f>
        <v>38160</v>
      </c>
      <c r="E43" s="18">
        <f>IF(F3="1",SUMIF(Data!$A:$A,'57'!$A$2,Data!IV:IV),0)</f>
        <v>98462</v>
      </c>
      <c r="F43" s="22">
        <f t="shared" si="3"/>
        <v>2.58</v>
      </c>
      <c r="G43" s="59"/>
    </row>
    <row r="44" spans="1:7" s="11" customFormat="1" x14ac:dyDescent="0.2">
      <c r="A44" s="20">
        <v>9</v>
      </c>
      <c r="B44" s="172" t="s">
        <v>8</v>
      </c>
      <c r="C44" s="173"/>
      <c r="D44" s="15">
        <f>IF(F3="1",SUMIF(Data!A:A,'57'!$A$2,Data!DC:DC),0)</f>
        <v>115624</v>
      </c>
      <c r="E44" s="18">
        <f>IF(F3="1",SUMIF(Data!$A:$A,'57'!$A$2,Data!IW:IW),0)</f>
        <v>298338</v>
      </c>
      <c r="F44" s="22">
        <f t="shared" si="3"/>
        <v>2.58</v>
      </c>
      <c r="G44" s="59"/>
    </row>
    <row r="45" spans="1:7" s="11" customFormat="1" x14ac:dyDescent="0.2">
      <c r="A45" s="20">
        <v>10</v>
      </c>
      <c r="B45" s="172" t="s">
        <v>9</v>
      </c>
      <c r="C45" s="173"/>
      <c r="D45" s="15">
        <f>IF(F3="1",SUMIF(Data!A:A,'57'!$A$2,Data!DD:DD),0)</f>
        <v>0</v>
      </c>
      <c r="E45" s="18">
        <f>IF(F3="1",SUMIF(Data!$A:$A,'57'!$A$2,Data!IX:IX),0)</f>
        <v>0</v>
      </c>
      <c r="F45" s="22" t="str">
        <f t="shared" si="3"/>
        <v/>
      </c>
      <c r="G45" s="59"/>
    </row>
    <row r="46" spans="1:7" s="11" customFormat="1" x14ac:dyDescent="0.2">
      <c r="A46" s="20">
        <v>11</v>
      </c>
      <c r="B46" s="172" t="s">
        <v>10</v>
      </c>
      <c r="C46" s="173"/>
      <c r="D46" s="15">
        <f>IF(F3="1",SUMIF(Data!A:A,'57'!$A$2,Data!DE:DE),0)</f>
        <v>109768</v>
      </c>
      <c r="E46" s="18">
        <f>IF(F3="1",SUMIF(Data!$A:$A,'57'!$A$2,Data!IY:IY),0)</f>
        <v>283226</v>
      </c>
      <c r="F46" s="22">
        <f t="shared" si="3"/>
        <v>2.58</v>
      </c>
      <c r="G46" s="59"/>
    </row>
    <row r="47" spans="1:7" s="11" customFormat="1" ht="14.25" customHeight="1" x14ac:dyDescent="0.2">
      <c r="A47" s="20">
        <v>12</v>
      </c>
      <c r="B47" s="172" t="s">
        <v>11</v>
      </c>
      <c r="C47" s="173"/>
      <c r="D47" s="15">
        <f>IF(F3="1",SUMIF(Data!A:A,'57'!$A$2,Data!DF:DF),0)</f>
        <v>98880</v>
      </c>
      <c r="E47" s="18">
        <f>IF(F3="1",SUMIF(Data!$A:$A,'57'!$A$2,Data!IZ:IZ),0)</f>
        <v>255133</v>
      </c>
      <c r="F47" s="22">
        <f t="shared" si="3"/>
        <v>2.58</v>
      </c>
      <c r="G47" s="59"/>
    </row>
    <row r="48" spans="1:7" s="11" customFormat="1" x14ac:dyDescent="0.2">
      <c r="A48" s="20">
        <v>13</v>
      </c>
      <c r="B48" s="172" t="s">
        <v>12</v>
      </c>
      <c r="C48" s="173"/>
      <c r="D48" s="15">
        <f>IF(F3="1",SUMIF(Data!A:A,'57'!$A$2,Data!DG:DG),0)</f>
        <v>4176</v>
      </c>
      <c r="E48" s="18">
        <f>IF(F3="1",SUMIF(Data!$A:$A,'57'!$A$2,Data!JA:JA),0)</f>
        <v>10774</v>
      </c>
      <c r="F48" s="22">
        <f t="shared" si="3"/>
        <v>2.58</v>
      </c>
      <c r="G48" s="59"/>
    </row>
    <row r="49" spans="1:7" s="11" customFormat="1" ht="14.25" customHeight="1" x14ac:dyDescent="0.2">
      <c r="A49" s="20">
        <v>14</v>
      </c>
      <c r="B49" s="172" t="s">
        <v>469</v>
      </c>
      <c r="C49" s="173"/>
      <c r="D49" s="15">
        <f>IF(F3="1",SUMIF(Data!A:A,'57'!$A$2,Data!DH:DH),0)</f>
        <v>52080</v>
      </c>
      <c r="E49" s="18">
        <f>IF(F3="1",SUMIF(Data!$A:$A,'57'!$A$2,Data!JB:JB),0)</f>
        <v>134379</v>
      </c>
      <c r="F49" s="22">
        <f t="shared" si="3"/>
        <v>2.58</v>
      </c>
      <c r="G49" s="59"/>
    </row>
    <row r="50" spans="1:7" s="11" customFormat="1" x14ac:dyDescent="0.2">
      <c r="A50" s="20">
        <v>15</v>
      </c>
      <c r="B50" s="172" t="s">
        <v>13</v>
      </c>
      <c r="C50" s="173"/>
      <c r="D50" s="15">
        <f>IF(F3="1",SUMIF(Data!A:A,'57'!$A$2,Data!DI:DI),0)</f>
        <v>0</v>
      </c>
      <c r="E50" s="18">
        <f>IF(F3="1",SUMIF(Data!$A:$A,'57'!$A$2,Data!JC:JC),0)</f>
        <v>0</v>
      </c>
      <c r="F50" s="22" t="str">
        <f t="shared" si="3"/>
        <v/>
      </c>
      <c r="G50" s="59"/>
    </row>
    <row r="51" spans="1:7" s="11" customFormat="1" x14ac:dyDescent="0.2">
      <c r="A51" s="20">
        <v>16</v>
      </c>
      <c r="B51" s="172" t="s">
        <v>14</v>
      </c>
      <c r="C51" s="173"/>
      <c r="D51" s="15">
        <f>IF(F3="1",SUMIF(Data!A:A,'57'!$A$2,Data!DJ:DJ),0)</f>
        <v>62152</v>
      </c>
      <c r="E51" s="18">
        <f>IF(F3="1",SUMIF(Data!$A:$A,'57'!$A$2,Data!JD:JD),0)</f>
        <v>160368</v>
      </c>
      <c r="F51" s="22">
        <f t="shared" si="3"/>
        <v>2.58</v>
      </c>
      <c r="G51" s="59"/>
    </row>
    <row r="52" spans="1:7" s="11" customFormat="1" x14ac:dyDescent="0.2">
      <c r="A52" s="20">
        <v>17</v>
      </c>
      <c r="B52" s="172" t="s">
        <v>15</v>
      </c>
      <c r="C52" s="173"/>
      <c r="D52" s="15">
        <f>IF(F3="1",SUMIF(Data!A:A,'57'!$A$2,Data!DK:DK),0)</f>
        <v>0</v>
      </c>
      <c r="E52" s="18">
        <f>IF(F3="1",SUMIF(Data!$A:$A,'57'!$A$2,Data!JE:JE),0)</f>
        <v>0</v>
      </c>
      <c r="F52" s="22" t="str">
        <f t="shared" si="3"/>
        <v/>
      </c>
      <c r="G52" s="59"/>
    </row>
    <row r="53" spans="1:7" s="11" customFormat="1" x14ac:dyDescent="0.2">
      <c r="A53" s="20">
        <v>18</v>
      </c>
      <c r="B53" s="172" t="s">
        <v>16</v>
      </c>
      <c r="C53" s="173"/>
      <c r="D53" s="15">
        <f>IF(F3="1",SUMIF(Data!A:A,'57'!$A$2,Data!DL:DL),0)</f>
        <v>132480</v>
      </c>
      <c r="E53" s="18">
        <f>IF(F3="1",SUMIF(Data!$A:$A,'57'!$A$2,Data!JF:JF),0)</f>
        <v>341830</v>
      </c>
      <c r="F53" s="22">
        <f t="shared" si="3"/>
        <v>2.58</v>
      </c>
      <c r="G53" s="59"/>
    </row>
    <row r="54" spans="1:7" s="11" customFormat="1" x14ac:dyDescent="0.2">
      <c r="A54" s="20">
        <v>19</v>
      </c>
      <c r="B54" s="172" t="s">
        <v>17</v>
      </c>
      <c r="C54" s="173"/>
      <c r="D54" s="15">
        <f>IF(F3="1",SUMIF(Data!A:A,'57'!$A$2,Data!DM:DM),0)</f>
        <v>86352</v>
      </c>
      <c r="E54" s="18">
        <f>IF(F3="1",SUMIF(Data!$A:$A,'57'!$A$2,Data!JG:JG),0)</f>
        <v>222808</v>
      </c>
      <c r="F54" s="22">
        <f t="shared" si="3"/>
        <v>2.58</v>
      </c>
      <c r="G54" s="59"/>
    </row>
    <row r="55" spans="1:7" s="11" customFormat="1" x14ac:dyDescent="0.2">
      <c r="A55" s="20">
        <v>20</v>
      </c>
      <c r="B55" s="172" t="s">
        <v>18</v>
      </c>
      <c r="C55" s="173"/>
      <c r="D55" s="15">
        <f>IF(F3="1",SUMIF(Data!A:A,'57'!$A$2,Data!DN:DN),0)</f>
        <v>30960</v>
      </c>
      <c r="E55" s="18">
        <f>IF(F3="1",SUMIF(Data!$A:$A,'57'!$A$2,Data!JH:JH),0)</f>
        <v>79884</v>
      </c>
      <c r="F55" s="22">
        <f t="shared" si="3"/>
        <v>2.58</v>
      </c>
      <c r="G55" s="59"/>
    </row>
    <row r="56" spans="1:7" s="11" customFormat="1" ht="14.25" customHeight="1" x14ac:dyDescent="0.2">
      <c r="A56" s="20">
        <v>21</v>
      </c>
      <c r="B56" s="172" t="s">
        <v>466</v>
      </c>
      <c r="C56" s="173"/>
      <c r="D56" s="15">
        <f>IF(F3="1",SUMIF(Data!A:A,'57'!$A$2,Data!DO:DO),0)</f>
        <v>37556</v>
      </c>
      <c r="E56" s="18">
        <f>IF(F3="1",SUMIF(Data!$A:$A,'57'!$A$2,Data!JI:JI),0)</f>
        <v>96903</v>
      </c>
      <c r="F56" s="22">
        <f t="shared" si="3"/>
        <v>2.58</v>
      </c>
      <c r="G56" s="59"/>
    </row>
    <row r="57" spans="1:7" s="11" customFormat="1" x14ac:dyDescent="0.2">
      <c r="A57" s="20">
        <v>22</v>
      </c>
      <c r="B57" s="172" t="s">
        <v>19</v>
      </c>
      <c r="C57" s="173"/>
      <c r="D57" s="15">
        <f>IF(F3="1",SUMIF(Data!A:A,'57'!$A$2,Data!DP:DP),0)</f>
        <v>8544</v>
      </c>
      <c r="E57" s="18">
        <f>IF(F3="1",SUMIF(Data!$A:$A,'57'!$A$2,Data!JJ:JJ),0)</f>
        <v>22045</v>
      </c>
      <c r="F57" s="22">
        <f t="shared" si="3"/>
        <v>2.58</v>
      </c>
      <c r="G57" s="59"/>
    </row>
    <row r="58" spans="1:7" s="11" customFormat="1" x14ac:dyDescent="0.2">
      <c r="A58" s="20">
        <v>23</v>
      </c>
      <c r="B58" s="172" t="s">
        <v>20</v>
      </c>
      <c r="C58" s="173"/>
      <c r="D58" s="15">
        <f>IF(F3="1",SUMIF(Data!A:A,'57'!$A$2,Data!DQ:DQ),0)</f>
        <v>12352</v>
      </c>
      <c r="E58" s="18">
        <f>IF(F3="1",SUMIF(Data!$A:$A,'57'!$A$2,Data!JK:JK),0)</f>
        <v>31871</v>
      </c>
      <c r="F58" s="22">
        <f t="shared" si="3"/>
        <v>2.58</v>
      </c>
      <c r="G58" s="59"/>
    </row>
    <row r="59" spans="1:7" s="11" customFormat="1" x14ac:dyDescent="0.2">
      <c r="A59" s="20">
        <v>24</v>
      </c>
      <c r="B59" s="172" t="s">
        <v>21</v>
      </c>
      <c r="C59" s="173"/>
      <c r="D59" s="15">
        <f>IF(F3="1",SUMIF(Data!A:A,'57'!$A$2,Data!DR:DR),0)</f>
        <v>2592</v>
      </c>
      <c r="E59" s="18">
        <f>IF(F3="1",SUMIF(Data!$A:$A,'57'!$A$2,Data!JL:JL),0)</f>
        <v>6689</v>
      </c>
      <c r="F59" s="22">
        <f t="shared" si="3"/>
        <v>2.58</v>
      </c>
      <c r="G59" s="59"/>
    </row>
    <row r="60" spans="1:7" s="11" customFormat="1" x14ac:dyDescent="0.2">
      <c r="A60" s="20">
        <v>25</v>
      </c>
      <c r="B60" s="172" t="s">
        <v>22</v>
      </c>
      <c r="C60" s="173"/>
      <c r="D60" s="15">
        <f>IF(F3="1",SUMIF(Data!A:A,'57'!$A$2,Data!DS:DS),0)</f>
        <v>119744</v>
      </c>
      <c r="E60" s="18">
        <f>IF(F3="1",SUMIF(Data!$A:$A,'57'!$A$2,Data!JM:JM),0)</f>
        <v>308967</v>
      </c>
      <c r="F60" s="22">
        <f t="shared" si="3"/>
        <v>2.58</v>
      </c>
      <c r="G60" s="59"/>
    </row>
    <row r="61" spans="1:7" s="11" customFormat="1" x14ac:dyDescent="0.2">
      <c r="A61" s="20">
        <v>26</v>
      </c>
      <c r="B61" s="172" t="s">
        <v>23</v>
      </c>
      <c r="C61" s="173"/>
      <c r="D61" s="15">
        <f>IF(F3="1",SUMIF(Data!A:A,'57'!$A$2,Data!DT:DT),0)</f>
        <v>51392</v>
      </c>
      <c r="E61" s="18">
        <f>IF(F3="1",SUMIF(Data!$A:$A,'57'!$A$2,Data!JN:JN),0)</f>
        <v>132604</v>
      </c>
      <c r="F61" s="22">
        <f t="shared" si="3"/>
        <v>2.58</v>
      </c>
      <c r="G61" s="59"/>
    </row>
    <row r="62" spans="1:7" s="11" customFormat="1" x14ac:dyDescent="0.2">
      <c r="A62" s="20">
        <v>28</v>
      </c>
      <c r="B62" s="172" t="s">
        <v>24</v>
      </c>
      <c r="C62" s="173"/>
      <c r="D62" s="15">
        <f>IF(F3="1",SUMIF(Data!A:A,'57'!$A$2,Data!DV:DV),0)</f>
        <v>0</v>
      </c>
      <c r="E62" s="18">
        <f>IF(F3="1",SUMIF(Data!$A:$A,'57'!$A$2,Data!JP:JP),0)</f>
        <v>0</v>
      </c>
      <c r="F62" s="22" t="str">
        <f t="shared" si="3"/>
        <v/>
      </c>
      <c r="G62" s="59"/>
    </row>
    <row r="63" spans="1:7" s="11" customFormat="1" ht="15.75" customHeight="1" thickBot="1" x14ac:dyDescent="0.25">
      <c r="A63" s="23">
        <v>29</v>
      </c>
      <c r="B63" s="174" t="s">
        <v>25</v>
      </c>
      <c r="C63" s="175"/>
      <c r="D63" s="24">
        <f>IF(F3="1",SUMIF(Data!A:A,'57'!$A$2,Data!DW:DW),0)</f>
        <v>0</v>
      </c>
      <c r="E63" s="25">
        <f>IF(F3="1",SUMIF(Data!$A:$A,'57'!$A$2,Data!JQ:JQ),0)</f>
        <v>0</v>
      </c>
      <c r="F63" s="26" t="str">
        <f t="shared" si="3"/>
        <v/>
      </c>
      <c r="G63" s="59"/>
    </row>
    <row r="64" spans="1:7" s="11" customFormat="1" x14ac:dyDescent="0.2">
      <c r="B64" s="31" t="s">
        <v>35</v>
      </c>
      <c r="C64" s="31"/>
      <c r="D64" s="61">
        <f>SUM(D36:D63)</f>
        <v>1313196</v>
      </c>
      <c r="E64" s="32">
        <f>SUM(E36:E63)</f>
        <v>3388357</v>
      </c>
      <c r="F64" s="33">
        <f t="shared" si="3"/>
        <v>2.58</v>
      </c>
      <c r="G64" s="59"/>
    </row>
    <row r="65" spans="1:7" s="11" customFormat="1" ht="15" thickBot="1" x14ac:dyDescent="0.25">
      <c r="B65" s="59"/>
      <c r="C65" s="59"/>
      <c r="D65" s="59"/>
      <c r="E65" s="59"/>
      <c r="F65" s="70"/>
      <c r="G65" s="59"/>
    </row>
    <row r="66" spans="1:7" s="11" customFormat="1" ht="29.25" customHeight="1" x14ac:dyDescent="0.2">
      <c r="A66" s="27" t="s">
        <v>26</v>
      </c>
      <c r="B66" s="182" t="s">
        <v>472</v>
      </c>
      <c r="C66" s="183"/>
      <c r="D66" s="29" t="s">
        <v>27</v>
      </c>
      <c r="E66" s="29" t="s">
        <v>467</v>
      </c>
      <c r="F66" s="30" t="s">
        <v>468</v>
      </c>
      <c r="G66" s="59"/>
    </row>
    <row r="67" spans="1:7" s="11" customFormat="1" x14ac:dyDescent="0.2">
      <c r="A67" s="20">
        <v>1</v>
      </c>
      <c r="B67" s="172" t="s">
        <v>0</v>
      </c>
      <c r="C67" s="173"/>
      <c r="D67" s="15">
        <f>D36</f>
        <v>0</v>
      </c>
      <c r="E67" s="16">
        <f>IF(F3="1",SUMIF(Data!A:A,'57'!$A$2,Data!DY:DY),0)</f>
        <v>0</v>
      </c>
      <c r="F67" s="21" t="str">
        <f t="shared" ref="F67:F95" si="4">IF(D67=0,"",ROUND(E67/D67,2))</f>
        <v/>
      </c>
      <c r="G67" s="59"/>
    </row>
    <row r="68" spans="1:7" s="11" customFormat="1" x14ac:dyDescent="0.2">
      <c r="A68" s="20">
        <v>2</v>
      </c>
      <c r="B68" s="172" t="s">
        <v>1</v>
      </c>
      <c r="C68" s="173"/>
      <c r="D68" s="15">
        <f t="shared" ref="D68:D94" si="5">D37</f>
        <v>10368</v>
      </c>
      <c r="E68" s="18">
        <f>IF(F3="1",SUMIF(Data!A:A,'57'!$A$2,Data!DZ:DZ),0)</f>
        <v>35048</v>
      </c>
      <c r="F68" s="22">
        <f t="shared" si="4"/>
        <v>3.38</v>
      </c>
      <c r="G68" s="59"/>
    </row>
    <row r="69" spans="1:7" s="11" customFormat="1" ht="14.25" customHeight="1" x14ac:dyDescent="0.2">
      <c r="A69" s="20">
        <v>3</v>
      </c>
      <c r="B69" s="172" t="s">
        <v>2</v>
      </c>
      <c r="C69" s="173"/>
      <c r="D69" s="15">
        <f t="shared" si="5"/>
        <v>102304</v>
      </c>
      <c r="E69" s="18">
        <f>IF(F3="1",SUMIF(Data!A:A,'57'!$A$2,Data!EA:EA),0)</f>
        <v>345828</v>
      </c>
      <c r="F69" s="22">
        <f t="shared" si="4"/>
        <v>3.38</v>
      </c>
      <c r="G69" s="59"/>
    </row>
    <row r="70" spans="1:7" ht="14.25" customHeight="1" x14ac:dyDescent="0.2">
      <c r="A70" s="20">
        <v>4</v>
      </c>
      <c r="B70" s="172" t="s">
        <v>3</v>
      </c>
      <c r="C70" s="173"/>
      <c r="D70" s="15">
        <f t="shared" si="5"/>
        <v>96856</v>
      </c>
      <c r="E70" s="18">
        <f>IF(F3="1",SUMIF(Data!A:A,'57'!$A$2,Data!EB:EB),0)</f>
        <v>327412</v>
      </c>
      <c r="F70" s="22">
        <f t="shared" si="4"/>
        <v>3.38</v>
      </c>
    </row>
    <row r="71" spans="1:7" x14ac:dyDescent="0.2">
      <c r="A71" s="20">
        <v>5</v>
      </c>
      <c r="B71" s="172" t="s">
        <v>4</v>
      </c>
      <c r="C71" s="173"/>
      <c r="D71" s="15">
        <f t="shared" si="5"/>
        <v>0</v>
      </c>
      <c r="E71" s="18">
        <f>IF(F3="1",SUMIF(Data!A:A,'57'!$A$2,Data!EC:EC),0)</f>
        <v>0</v>
      </c>
      <c r="F71" s="22" t="str">
        <f t="shared" si="4"/>
        <v/>
      </c>
    </row>
    <row r="72" spans="1:7" x14ac:dyDescent="0.2">
      <c r="A72" s="20">
        <v>6</v>
      </c>
      <c r="B72" s="172" t="s">
        <v>5</v>
      </c>
      <c r="C72" s="173"/>
      <c r="D72" s="15">
        <f t="shared" si="5"/>
        <v>15077</v>
      </c>
      <c r="E72" s="18">
        <f>IF(F3="1",SUMIF(Data!A:A,'57'!$A$2,Data!ED:ED),0)</f>
        <v>50966</v>
      </c>
      <c r="F72" s="22">
        <f t="shared" si="4"/>
        <v>3.38</v>
      </c>
    </row>
    <row r="73" spans="1:7" x14ac:dyDescent="0.2">
      <c r="A73" s="20">
        <v>7</v>
      </c>
      <c r="B73" s="172" t="s">
        <v>6</v>
      </c>
      <c r="C73" s="173"/>
      <c r="D73" s="15">
        <f t="shared" si="5"/>
        <v>125779</v>
      </c>
      <c r="E73" s="18">
        <f>IF(F3="1",SUMIF(Data!A:A,'57'!$A$2,Data!EE:EE),0)</f>
        <v>425183</v>
      </c>
      <c r="F73" s="22">
        <f t="shared" si="4"/>
        <v>3.38</v>
      </c>
    </row>
    <row r="74" spans="1:7" x14ac:dyDescent="0.2">
      <c r="A74" s="20">
        <v>8</v>
      </c>
      <c r="B74" s="172" t="s">
        <v>7</v>
      </c>
      <c r="C74" s="173"/>
      <c r="D74" s="15">
        <f t="shared" si="5"/>
        <v>38160</v>
      </c>
      <c r="E74" s="18">
        <f>IF(F3="1",SUMIF(Data!A:A,'57'!$A$2,Data!EF:EF),0)</f>
        <v>128996</v>
      </c>
      <c r="F74" s="22">
        <f t="shared" si="4"/>
        <v>3.38</v>
      </c>
    </row>
    <row r="75" spans="1:7" x14ac:dyDescent="0.2">
      <c r="A75" s="20">
        <v>9</v>
      </c>
      <c r="B75" s="172" t="s">
        <v>8</v>
      </c>
      <c r="C75" s="173"/>
      <c r="D75" s="15">
        <f t="shared" si="5"/>
        <v>115624</v>
      </c>
      <c r="E75" s="18">
        <f>IF(F3="1",SUMIF(Data!A:A,'57'!$A$2,Data!EG:EG),0)</f>
        <v>390855</v>
      </c>
      <c r="F75" s="22">
        <f t="shared" si="4"/>
        <v>3.38</v>
      </c>
    </row>
    <row r="76" spans="1:7" x14ac:dyDescent="0.2">
      <c r="A76" s="20">
        <v>10</v>
      </c>
      <c r="B76" s="172" t="s">
        <v>9</v>
      </c>
      <c r="C76" s="173"/>
      <c r="D76" s="15">
        <f t="shared" si="5"/>
        <v>0</v>
      </c>
      <c r="E76" s="18">
        <f>IF(F3="1",SUMIF(Data!A:A,'57'!$A$2,Data!EH:EH),0)</f>
        <v>0</v>
      </c>
      <c r="F76" s="22" t="str">
        <f t="shared" si="4"/>
        <v/>
      </c>
    </row>
    <row r="77" spans="1:7" x14ac:dyDescent="0.2">
      <c r="A77" s="20">
        <v>11</v>
      </c>
      <c r="B77" s="172" t="s">
        <v>10</v>
      </c>
      <c r="C77" s="173"/>
      <c r="D77" s="15">
        <f t="shared" si="5"/>
        <v>109768</v>
      </c>
      <c r="E77" s="18">
        <f>IF(F3="1",SUMIF(Data!A:A,'57'!$A$2,Data!EI:EI),0)</f>
        <v>371059</v>
      </c>
      <c r="F77" s="22">
        <f t="shared" si="4"/>
        <v>3.38</v>
      </c>
    </row>
    <row r="78" spans="1:7" ht="14.25" customHeight="1" x14ac:dyDescent="0.2">
      <c r="A78" s="20">
        <v>12</v>
      </c>
      <c r="B78" s="172" t="s">
        <v>11</v>
      </c>
      <c r="C78" s="173"/>
      <c r="D78" s="15">
        <f t="shared" si="5"/>
        <v>98880</v>
      </c>
      <c r="E78" s="18">
        <f>IF(F3="1",SUMIF(Data!A:A,'57'!$A$2,Data!EJ:EJ),0)</f>
        <v>334254</v>
      </c>
      <c r="F78" s="22">
        <f t="shared" si="4"/>
        <v>3.38</v>
      </c>
    </row>
    <row r="79" spans="1:7" x14ac:dyDescent="0.2">
      <c r="A79" s="20">
        <v>13</v>
      </c>
      <c r="B79" s="172" t="s">
        <v>12</v>
      </c>
      <c r="C79" s="173"/>
      <c r="D79" s="15">
        <f t="shared" si="5"/>
        <v>4176</v>
      </c>
      <c r="E79" s="18">
        <f>IF(F3="1",SUMIF(Data!A:A,'57'!$A$2,Data!EK:EK),0)</f>
        <v>14117</v>
      </c>
      <c r="F79" s="22">
        <f t="shared" si="4"/>
        <v>3.38</v>
      </c>
    </row>
    <row r="80" spans="1:7" ht="14.25" customHeight="1" x14ac:dyDescent="0.2">
      <c r="A80" s="20">
        <v>14</v>
      </c>
      <c r="B80" s="172" t="s">
        <v>469</v>
      </c>
      <c r="C80" s="173"/>
      <c r="D80" s="15">
        <f t="shared" si="5"/>
        <v>52080</v>
      </c>
      <c r="E80" s="18">
        <f>IF(F3="1",SUMIF(Data!A:A,'57'!$A$2,Data!EL:EL),0)</f>
        <v>176051</v>
      </c>
      <c r="F80" s="22">
        <f t="shared" si="4"/>
        <v>3.38</v>
      </c>
    </row>
    <row r="81" spans="1:6" x14ac:dyDescent="0.2">
      <c r="A81" s="20">
        <v>15</v>
      </c>
      <c r="B81" s="172" t="s">
        <v>13</v>
      </c>
      <c r="C81" s="173"/>
      <c r="D81" s="15">
        <f t="shared" si="5"/>
        <v>0</v>
      </c>
      <c r="E81" s="18">
        <f>IF(F3="1",SUMIF(Data!A:A,'57'!$A$2,Data!EM:EM),0)</f>
        <v>0</v>
      </c>
      <c r="F81" s="22" t="str">
        <f t="shared" si="4"/>
        <v/>
      </c>
    </row>
    <row r="82" spans="1:6" x14ac:dyDescent="0.2">
      <c r="A82" s="20">
        <v>16</v>
      </c>
      <c r="B82" s="172" t="s">
        <v>14</v>
      </c>
      <c r="C82" s="173"/>
      <c r="D82" s="15">
        <f t="shared" si="5"/>
        <v>62152</v>
      </c>
      <c r="E82" s="18">
        <f>IF(F3="1",SUMIF(Data!A:A,'57'!$A$2,Data!EN:EN),0)</f>
        <v>210098</v>
      </c>
      <c r="F82" s="22">
        <f t="shared" si="4"/>
        <v>3.38</v>
      </c>
    </row>
    <row r="83" spans="1:6" x14ac:dyDescent="0.2">
      <c r="A83" s="20">
        <v>17</v>
      </c>
      <c r="B83" s="172" t="s">
        <v>15</v>
      </c>
      <c r="C83" s="173"/>
      <c r="D83" s="15">
        <f t="shared" si="5"/>
        <v>0</v>
      </c>
      <c r="E83" s="18">
        <f>IF(F3="1",SUMIF(Data!A:A,'57'!$A$2,Data!EO:EO),0)</f>
        <v>0</v>
      </c>
      <c r="F83" s="22" t="str">
        <f t="shared" si="4"/>
        <v/>
      </c>
    </row>
    <row r="84" spans="1:6" x14ac:dyDescent="0.2">
      <c r="A84" s="20">
        <v>18</v>
      </c>
      <c r="B84" s="172" t="s">
        <v>16</v>
      </c>
      <c r="C84" s="173"/>
      <c r="D84" s="15">
        <f t="shared" si="5"/>
        <v>132480</v>
      </c>
      <c r="E84" s="18">
        <f>IF(F3="1",SUMIF(Data!A:A,'57'!$A$2,Data!EP:EP),0)</f>
        <v>447835</v>
      </c>
      <c r="F84" s="22">
        <f t="shared" si="4"/>
        <v>3.38</v>
      </c>
    </row>
    <row r="85" spans="1:6" x14ac:dyDescent="0.2">
      <c r="A85" s="20">
        <v>19</v>
      </c>
      <c r="B85" s="172" t="s">
        <v>17</v>
      </c>
      <c r="C85" s="173"/>
      <c r="D85" s="15">
        <f t="shared" si="5"/>
        <v>86352</v>
      </c>
      <c r="E85" s="18">
        <f>IF(F3="1",SUMIF(Data!A:A,'57'!$A$2,Data!EQ:EQ),0)</f>
        <v>291904</v>
      </c>
      <c r="F85" s="22">
        <f t="shared" si="4"/>
        <v>3.38</v>
      </c>
    </row>
    <row r="86" spans="1:6" x14ac:dyDescent="0.2">
      <c r="A86" s="20">
        <v>20</v>
      </c>
      <c r="B86" s="172" t="s">
        <v>18</v>
      </c>
      <c r="C86" s="173"/>
      <c r="D86" s="15">
        <f t="shared" si="5"/>
        <v>30960</v>
      </c>
      <c r="E86" s="18">
        <f>IF(F3="1",SUMIF(Data!A:A,'57'!$A$2,Data!ER:ER),0)</f>
        <v>104657</v>
      </c>
      <c r="F86" s="22">
        <f t="shared" si="4"/>
        <v>3.38</v>
      </c>
    </row>
    <row r="87" spans="1:6" ht="14.25" customHeight="1" x14ac:dyDescent="0.2">
      <c r="A87" s="20">
        <v>21</v>
      </c>
      <c r="B87" s="172" t="s">
        <v>466</v>
      </c>
      <c r="C87" s="173"/>
      <c r="D87" s="15">
        <f t="shared" si="5"/>
        <v>37556</v>
      </c>
      <c r="E87" s="18">
        <f>IF(F3="1",SUMIF(Data!A:A,'57'!$A$2,Data!ES:ES),0)</f>
        <v>126954</v>
      </c>
      <c r="F87" s="22">
        <f t="shared" si="4"/>
        <v>3.38</v>
      </c>
    </row>
    <row r="88" spans="1:6" x14ac:dyDescent="0.2">
      <c r="A88" s="20">
        <v>22</v>
      </c>
      <c r="B88" s="172" t="s">
        <v>19</v>
      </c>
      <c r="C88" s="173"/>
      <c r="D88" s="15">
        <f t="shared" si="5"/>
        <v>8544</v>
      </c>
      <c r="E88" s="18">
        <f>IF(F3="1",SUMIF(Data!A:A,'57'!$A$2,Data!ET:ET),0)</f>
        <v>28882</v>
      </c>
      <c r="F88" s="22">
        <f t="shared" si="4"/>
        <v>3.38</v>
      </c>
    </row>
    <row r="89" spans="1:6" x14ac:dyDescent="0.2">
      <c r="A89" s="20">
        <v>23</v>
      </c>
      <c r="B89" s="172" t="s">
        <v>20</v>
      </c>
      <c r="C89" s="173"/>
      <c r="D89" s="15">
        <f t="shared" si="5"/>
        <v>12352</v>
      </c>
      <c r="E89" s="18">
        <f>IF(F3="1",SUMIF(Data!A:A,'57'!$A$2,Data!EU:EU),0)</f>
        <v>41755</v>
      </c>
      <c r="F89" s="22">
        <f t="shared" si="4"/>
        <v>3.38</v>
      </c>
    </row>
    <row r="90" spans="1:6" x14ac:dyDescent="0.2">
      <c r="A90" s="20">
        <v>24</v>
      </c>
      <c r="B90" s="172" t="s">
        <v>21</v>
      </c>
      <c r="C90" s="173"/>
      <c r="D90" s="15">
        <f t="shared" si="5"/>
        <v>2592</v>
      </c>
      <c r="E90" s="18">
        <f>IF(F3="1",SUMIF(Data!A:A,'57'!$A$2,Data!EV:EV),0)</f>
        <v>8762</v>
      </c>
      <c r="F90" s="22">
        <f t="shared" si="4"/>
        <v>3.38</v>
      </c>
    </row>
    <row r="91" spans="1:6" x14ac:dyDescent="0.2">
      <c r="A91" s="20">
        <v>25</v>
      </c>
      <c r="B91" s="172" t="s">
        <v>22</v>
      </c>
      <c r="C91" s="173"/>
      <c r="D91" s="15">
        <f t="shared" si="5"/>
        <v>119744</v>
      </c>
      <c r="E91" s="18">
        <f>IF(F3="1",SUMIF(Data!A:A,'57'!$A$2,Data!EW:EW),0)</f>
        <v>404782</v>
      </c>
      <c r="F91" s="22">
        <f t="shared" si="4"/>
        <v>3.38</v>
      </c>
    </row>
    <row r="92" spans="1:6" x14ac:dyDescent="0.2">
      <c r="A92" s="20">
        <v>26</v>
      </c>
      <c r="B92" s="172" t="s">
        <v>23</v>
      </c>
      <c r="C92" s="173"/>
      <c r="D92" s="15">
        <f t="shared" si="5"/>
        <v>51392</v>
      </c>
      <c r="E92" s="18">
        <f>IF(F3="1",SUMIF(Data!A:A,'57'!$A$2,Data!EX:EX),0)</f>
        <v>173725</v>
      </c>
      <c r="F92" s="22">
        <f t="shared" si="4"/>
        <v>3.38</v>
      </c>
    </row>
    <row r="93" spans="1:6" x14ac:dyDescent="0.2">
      <c r="A93" s="20">
        <v>28</v>
      </c>
      <c r="B93" s="172" t="s">
        <v>24</v>
      </c>
      <c r="C93" s="173"/>
      <c r="D93" s="15">
        <f t="shared" si="5"/>
        <v>0</v>
      </c>
      <c r="E93" s="18">
        <f>IF(F3="1",SUMIF(Data!A:A,'57'!$A$2,Data!EZ:EZ),0)</f>
        <v>0</v>
      </c>
      <c r="F93" s="22" t="str">
        <f t="shared" si="4"/>
        <v/>
      </c>
    </row>
    <row r="94" spans="1:6" ht="15.75" customHeight="1" thickBot="1" x14ac:dyDescent="0.25">
      <c r="A94" s="23">
        <v>29</v>
      </c>
      <c r="B94" s="174" t="s">
        <v>25</v>
      </c>
      <c r="C94" s="175"/>
      <c r="D94" s="24">
        <f t="shared" si="5"/>
        <v>0</v>
      </c>
      <c r="E94" s="25">
        <f>IF(F3="1",SUMIF(Data!A:A,'57'!$A$2,Data!FA:FA),0)</f>
        <v>0</v>
      </c>
      <c r="F94" s="26" t="str">
        <f t="shared" si="4"/>
        <v/>
      </c>
    </row>
    <row r="95" spans="1:6" x14ac:dyDescent="0.2">
      <c r="B95" s="31" t="s">
        <v>35</v>
      </c>
      <c r="C95" s="31"/>
      <c r="D95" s="61">
        <f>SUM(D67:D94)</f>
        <v>1313196</v>
      </c>
      <c r="E95" s="32">
        <f>SUM(E67:E94)</f>
        <v>4439123</v>
      </c>
      <c r="F95" s="33">
        <f t="shared" si="4"/>
        <v>3.38</v>
      </c>
    </row>
    <row r="96" spans="1:6" ht="15" thickBot="1" x14ac:dyDescent="0.25">
      <c r="F96" s="70"/>
    </row>
    <row r="97" spans="2:7" ht="29.25" customHeight="1" x14ac:dyDescent="0.2">
      <c r="B97" s="176" t="s">
        <v>473</v>
      </c>
      <c r="C97" s="177"/>
      <c r="D97" s="29" t="s">
        <v>27</v>
      </c>
      <c r="E97" s="34" t="s">
        <v>467</v>
      </c>
      <c r="F97" s="30" t="s">
        <v>468</v>
      </c>
    </row>
    <row r="98" spans="2:7" x14ac:dyDescent="0.2">
      <c r="B98" s="178" t="s">
        <v>30</v>
      </c>
      <c r="C98" s="179"/>
      <c r="D98" s="36"/>
      <c r="E98" s="16">
        <f>IF(F3="1",SUMIF(Data!A:A,'57'!$A$2,Data!AH:AH),0)</f>
        <v>2302397</v>
      </c>
      <c r="F98" s="21">
        <f>IF($D$105=0,"",ROUND(E98/$D$105,2))</f>
        <v>1.75</v>
      </c>
    </row>
    <row r="99" spans="2:7" x14ac:dyDescent="0.2">
      <c r="B99" s="178" t="s">
        <v>31</v>
      </c>
      <c r="C99" s="179"/>
      <c r="D99" s="37"/>
      <c r="E99" s="18">
        <f>IF(F3="1",SUMIF(Data!A:A,'57'!$A$2,Data!AI:AI),0)</f>
        <v>764966</v>
      </c>
      <c r="F99" s="22">
        <f t="shared" ref="F99:F105" si="6">IF($D$105=0,"",ROUND(E99/$D$105,2))</f>
        <v>0.57999999999999996</v>
      </c>
    </row>
    <row r="100" spans="2:7" x14ac:dyDescent="0.2">
      <c r="B100" s="178" t="s">
        <v>32</v>
      </c>
      <c r="C100" s="179"/>
      <c r="D100" s="37"/>
      <c r="E100" s="18">
        <f>IF(F3="1",SUMIF(Data!A:A,'57'!$A$2,Data!AJ:AJ),0)</f>
        <v>1667388</v>
      </c>
      <c r="F100" s="22">
        <f t="shared" si="6"/>
        <v>1.27</v>
      </c>
    </row>
    <row r="101" spans="2:7" x14ac:dyDescent="0.2">
      <c r="B101" s="178" t="s">
        <v>28</v>
      </c>
      <c r="C101" s="179"/>
      <c r="D101" s="37"/>
      <c r="E101" s="18">
        <f>IF(F3="1",SUMIF(Data!A:A,'57'!$A$2,Data!AK:AK),0)</f>
        <v>0</v>
      </c>
      <c r="F101" s="22">
        <f t="shared" si="6"/>
        <v>0</v>
      </c>
    </row>
    <row r="102" spans="2:7" x14ac:dyDescent="0.2">
      <c r="B102" s="178" t="s">
        <v>33</v>
      </c>
      <c r="C102" s="179"/>
      <c r="D102" s="37"/>
      <c r="E102" s="18">
        <f>IF(F3="1",SUMIF(Data!A:A,'57'!$A$2,Data!AL:AL),0)</f>
        <v>1772968</v>
      </c>
      <c r="F102" s="22">
        <f t="shared" si="6"/>
        <v>1.35</v>
      </c>
    </row>
    <row r="103" spans="2:7" x14ac:dyDescent="0.2">
      <c r="B103" s="180" t="s">
        <v>34</v>
      </c>
      <c r="C103" s="181"/>
      <c r="D103" s="37"/>
      <c r="E103" s="18">
        <f>IF(F3="1",SUMIF(Data!A:A,'57'!$A$2,Data!AM:AM),0)</f>
        <v>1279594</v>
      </c>
      <c r="F103" s="22">
        <f t="shared" si="6"/>
        <v>0.97</v>
      </c>
    </row>
    <row r="104" spans="2:7" ht="15.75" customHeight="1" thickBot="1" x14ac:dyDescent="0.25">
      <c r="B104" s="170" t="s">
        <v>29</v>
      </c>
      <c r="C104" s="171"/>
      <c r="D104" s="38"/>
      <c r="E104" s="25">
        <f>IF(F3="1",SUMIF(Data!A:A,'57'!$A$2,Data!Q:Q),0)</f>
        <v>1009395</v>
      </c>
      <c r="F104" s="26">
        <f t="shared" si="6"/>
        <v>0.77</v>
      </c>
    </row>
    <row r="105" spans="2:7" x14ac:dyDescent="0.2">
      <c r="B105" s="31" t="s">
        <v>35</v>
      </c>
      <c r="C105" s="31"/>
      <c r="D105" s="35">
        <f>D95</f>
        <v>1313196</v>
      </c>
      <c r="E105" s="32">
        <f>SUM(E98:E104)</f>
        <v>8796708</v>
      </c>
      <c r="F105" s="33">
        <f t="shared" si="6"/>
        <v>6.7</v>
      </c>
    </row>
    <row r="107" spans="2:7" ht="15" thickBot="1" x14ac:dyDescent="0.25">
      <c r="B107" s="60" t="s">
        <v>940</v>
      </c>
    </row>
    <row r="108" spans="2:7" ht="28.5" x14ac:dyDescent="0.2">
      <c r="B108" s="46" t="s">
        <v>934</v>
      </c>
      <c r="C108" s="28" t="s">
        <v>938</v>
      </c>
      <c r="D108" s="28" t="s">
        <v>29</v>
      </c>
      <c r="E108" s="28" t="s">
        <v>939</v>
      </c>
      <c r="F108" s="47" t="s">
        <v>35</v>
      </c>
    </row>
    <row r="109" spans="2:7" x14ac:dyDescent="0.2">
      <c r="B109" s="43" t="s">
        <v>935</v>
      </c>
      <c r="C109" s="16">
        <f>E95+IF(F3="1",SUMIF(Data!$A:$A,$A$2,Data!GF:GF),0)</f>
        <v>5201039</v>
      </c>
      <c r="D109" s="16">
        <f>IF(F3="1",SUMIF(Data!$A:$A,$A$2,Data!HJ:HJ),0)</f>
        <v>1568802</v>
      </c>
      <c r="E109" s="16">
        <f>IF(F3="1",SUMIF(Data!$A:$A,$A$2,Data!IN:IN),0)</f>
        <v>1057638</v>
      </c>
      <c r="F109" s="48">
        <f>SUM(C109:E109)</f>
        <v>7827479</v>
      </c>
    </row>
    <row r="110" spans="2:7" s="11" customFormat="1" x14ac:dyDescent="0.2">
      <c r="B110" s="43" t="s">
        <v>28</v>
      </c>
      <c r="C110" s="51">
        <f>IF(F3="1",SUMIF(Data!A:A,$A$2,Data!W:W),0)</f>
        <v>0</v>
      </c>
      <c r="D110" s="52"/>
      <c r="E110" s="51">
        <f>IF(F3="1",SUMIF(Data!A:A,$A$2,Data!W:W),0)</f>
        <v>0</v>
      </c>
      <c r="F110" s="49">
        <f t="shared" ref="F110:F116" si="7">SUM(C110:E110)</f>
        <v>0</v>
      </c>
      <c r="G110" s="59"/>
    </row>
    <row r="111" spans="2:7" x14ac:dyDescent="0.2">
      <c r="B111" s="43" t="s">
        <v>936</v>
      </c>
      <c r="C111" s="51">
        <f>IF(F3="1",SUMIF(Data!A:A,$A$2,Data!AS:AS),0)</f>
        <v>1229153</v>
      </c>
      <c r="D111" s="52"/>
      <c r="E111" s="51">
        <f>IF(F3="1",SUMIF(Data!A:A,$A$2,Data!AX:AX),0)</f>
        <v>1828828</v>
      </c>
      <c r="F111" s="49">
        <f t="shared" si="7"/>
        <v>3057981</v>
      </c>
    </row>
    <row r="112" spans="2:7" x14ac:dyDescent="0.2">
      <c r="B112" s="43" t="s">
        <v>32</v>
      </c>
      <c r="C112" s="51">
        <f>IF(F3="1",SUMIF(Data!A:A,$A$2,Data!V:V),0)</f>
        <v>903553</v>
      </c>
      <c r="D112" s="52"/>
      <c r="E112" s="51">
        <f>IF(F3="1",SUMIF(Data!A:A,$A$2,Data!AC:AC),0)</f>
        <v>763835</v>
      </c>
      <c r="F112" s="49">
        <f t="shared" si="7"/>
        <v>1667388</v>
      </c>
    </row>
    <row r="113" spans="1:7" x14ac:dyDescent="0.2">
      <c r="B113" s="43" t="s">
        <v>31</v>
      </c>
      <c r="C113" s="51">
        <f>IF(F3="1",SUMIF(Data!A:A,$A$2,Data!U:U),0)</f>
        <v>756495</v>
      </c>
      <c r="D113" s="52"/>
      <c r="E113" s="51">
        <f>IF(F3="1",SUMIF(Data!A:A,$A$2,Data!AB:AB),0)</f>
        <v>8471</v>
      </c>
      <c r="F113" s="49">
        <f t="shared" si="7"/>
        <v>764966</v>
      </c>
    </row>
    <row r="114" spans="1:7" x14ac:dyDescent="0.2">
      <c r="B114" s="43" t="s">
        <v>1021</v>
      </c>
      <c r="C114" s="51">
        <f>IF(F3="1",SUMIF(Data!A:A,$A$2,Data!T:T),0)</f>
        <v>1612817</v>
      </c>
      <c r="D114" s="52"/>
      <c r="E114" s="51">
        <f>IF(F3="1",SUMIF(Data!A:A,$A$2,Data!AA:AA),0)</f>
        <v>689580</v>
      </c>
      <c r="F114" s="49">
        <f t="shared" si="7"/>
        <v>2302397</v>
      </c>
    </row>
    <row r="115" spans="1:7" x14ac:dyDescent="0.2">
      <c r="B115" s="43" t="s">
        <v>937</v>
      </c>
      <c r="C115" s="51">
        <f>IF(F3="1",SUMIF(Data!A:A,$A$2,Data!BI:BI),0)</f>
        <v>875552</v>
      </c>
      <c r="D115" s="51">
        <f>IF(F3="1",SUMIF(Data!A:A,$A$2,Data!BL:BL),0)</f>
        <v>264095</v>
      </c>
      <c r="E115" s="51">
        <f>IF(F3="1",SUMIF(Data!A:A,$A$2,Data!BU:BU),0)</f>
        <v>986050</v>
      </c>
      <c r="F115" s="49">
        <f t="shared" si="7"/>
        <v>2125697</v>
      </c>
    </row>
    <row r="116" spans="1:7" s="11" customFormat="1" x14ac:dyDescent="0.2">
      <c r="B116" s="43" t="s">
        <v>33</v>
      </c>
      <c r="C116" s="51">
        <f>IF(F3="1",SUMIF(Data!A:A,$A$2,Data!X:X),0)</f>
        <v>0</v>
      </c>
      <c r="D116" s="51"/>
      <c r="E116" s="51">
        <f>E102</f>
        <v>1772968</v>
      </c>
      <c r="F116" s="49">
        <f t="shared" si="7"/>
        <v>1772968</v>
      </c>
      <c r="G116" s="59"/>
    </row>
    <row r="117" spans="1:7" s="11" customFormat="1" ht="15" thickBot="1" x14ac:dyDescent="0.25">
      <c r="B117" s="44" t="s">
        <v>941</v>
      </c>
      <c r="C117" s="53"/>
      <c r="D117" s="53">
        <f>IF(F3="1",SUMIF(Data!A:A,$A$2,Data!Q:Q),0)</f>
        <v>1009395</v>
      </c>
      <c r="E117" s="53"/>
      <c r="F117" s="50">
        <f>SUM(C117:E117)</f>
        <v>1009395</v>
      </c>
      <c r="G117" s="59"/>
    </row>
    <row r="118" spans="1:7" x14ac:dyDescent="0.2">
      <c r="B118" s="14" t="s">
        <v>35</v>
      </c>
      <c r="C118" s="5">
        <f>SUM(C109:C116)</f>
        <v>10578609</v>
      </c>
      <c r="D118" s="5">
        <f>SUM(D109:D116)</f>
        <v>1832897</v>
      </c>
      <c r="E118" s="5">
        <f>SUM(E109:E116)</f>
        <v>7107370</v>
      </c>
      <c r="F118" s="5">
        <f>SUM(F109:F116)</f>
        <v>19518876</v>
      </c>
    </row>
    <row r="119" spans="1:7" ht="15" thickBot="1" x14ac:dyDescent="0.25"/>
    <row r="120" spans="1:7" s="11" customFormat="1" ht="15" thickBot="1" x14ac:dyDescent="0.25">
      <c r="B120" s="57" t="s">
        <v>942</v>
      </c>
      <c r="C120" s="55"/>
      <c r="D120" s="55"/>
      <c r="E120" s="55">
        <f>IF(F3="1",SUMIF(Data!A:A,'57'!$A$2,Data!AM:AM),0)</f>
        <v>1279594</v>
      </c>
      <c r="F120" s="56">
        <f>SUM(C120:E120)</f>
        <v>1279594</v>
      </c>
      <c r="G120" s="59"/>
    </row>
    <row r="122" spans="1:7" s="63" customFormat="1" ht="101.25" customHeight="1" x14ac:dyDescent="0.2">
      <c r="A122" s="184" t="s">
        <v>943</v>
      </c>
      <c r="B122" s="184"/>
      <c r="C122" s="184"/>
      <c r="D122" s="184"/>
      <c r="E122" s="184"/>
      <c r="F122" s="184"/>
    </row>
  </sheetData>
  <mergeCells count="96">
    <mergeCell ref="B10:C10"/>
    <mergeCell ref="B4:C4"/>
    <mergeCell ref="B5:C5"/>
    <mergeCell ref="B6:C6"/>
    <mergeCell ref="B7:C7"/>
    <mergeCell ref="B8:C8"/>
    <mergeCell ref="B9:C9"/>
    <mergeCell ref="B22:C22"/>
    <mergeCell ref="B11:C11"/>
    <mergeCell ref="B12:C12"/>
    <mergeCell ref="B13:C13"/>
    <mergeCell ref="B14:C14"/>
    <mergeCell ref="B15:C15"/>
    <mergeCell ref="B16:C16"/>
    <mergeCell ref="B17:C17"/>
    <mergeCell ref="B18:C18"/>
    <mergeCell ref="B19:C19"/>
    <mergeCell ref="B20:C20"/>
    <mergeCell ref="B21:C21"/>
    <mergeCell ref="B36:C36"/>
    <mergeCell ref="B23:C23"/>
    <mergeCell ref="B24:C24"/>
    <mergeCell ref="B25:C25"/>
    <mergeCell ref="B26:C26"/>
    <mergeCell ref="B27:C27"/>
    <mergeCell ref="B28:C28"/>
    <mergeCell ref="B29:C29"/>
    <mergeCell ref="B30:C30"/>
    <mergeCell ref="B31:C31"/>
    <mergeCell ref="B32:C32"/>
    <mergeCell ref="B35:C35"/>
    <mergeCell ref="B48:C48"/>
    <mergeCell ref="B37:C37"/>
    <mergeCell ref="B38:C38"/>
    <mergeCell ref="B39:C39"/>
    <mergeCell ref="B40:C40"/>
    <mergeCell ref="B41:C41"/>
    <mergeCell ref="B42:C42"/>
    <mergeCell ref="B43:C43"/>
    <mergeCell ref="B44:C44"/>
    <mergeCell ref="B45:C45"/>
    <mergeCell ref="B46:C46"/>
    <mergeCell ref="B47:C47"/>
    <mergeCell ref="B60:C60"/>
    <mergeCell ref="B61:C61"/>
    <mergeCell ref="B62:C62"/>
    <mergeCell ref="B66:C66"/>
    <mergeCell ref="B73:C73"/>
    <mergeCell ref="B86:C86"/>
    <mergeCell ref="B85:C85"/>
    <mergeCell ref="B84:C84"/>
    <mergeCell ref="B49:C49"/>
    <mergeCell ref="B50:C50"/>
    <mergeCell ref="B51:C51"/>
    <mergeCell ref="B52:C52"/>
    <mergeCell ref="B53:C53"/>
    <mergeCell ref="B54:C54"/>
    <mergeCell ref="B82:C82"/>
    <mergeCell ref="B55:C55"/>
    <mergeCell ref="B56:C56"/>
    <mergeCell ref="B57:C57"/>
    <mergeCell ref="B58:C58"/>
    <mergeCell ref="B67:C67"/>
    <mergeCell ref="B59:C59"/>
    <mergeCell ref="B102:C102"/>
    <mergeCell ref="B103:C103"/>
    <mergeCell ref="B69:C69"/>
    <mergeCell ref="B68:C68"/>
    <mergeCell ref="B99:C99"/>
    <mergeCell ref="B83:C83"/>
    <mergeCell ref="B94:C94"/>
    <mergeCell ref="B97:C97"/>
    <mergeCell ref="B98:C98"/>
    <mergeCell ref="B93:C93"/>
    <mergeCell ref="B92:C92"/>
    <mergeCell ref="B91:C91"/>
    <mergeCell ref="B90:C90"/>
    <mergeCell ref="B89:C89"/>
    <mergeCell ref="B88:C88"/>
    <mergeCell ref="B87:C87"/>
    <mergeCell ref="B104:C104"/>
    <mergeCell ref="B63:C63"/>
    <mergeCell ref="A122:F122"/>
    <mergeCell ref="B100:C100"/>
    <mergeCell ref="B101:C101"/>
    <mergeCell ref="B72:C72"/>
    <mergeCell ref="B71:C71"/>
    <mergeCell ref="B70:C70"/>
    <mergeCell ref="B81:C81"/>
    <mergeCell ref="B80:C80"/>
    <mergeCell ref="B79:C79"/>
    <mergeCell ref="B78:C78"/>
    <mergeCell ref="B77:C77"/>
    <mergeCell ref="B76:C76"/>
    <mergeCell ref="B75:C75"/>
    <mergeCell ref="B74:C74"/>
  </mergeCells>
  <pageMargins left="0.25" right="0.25" top="0.75" bottom="0.75" header="0.3" footer="0.3"/>
  <pageSetup orientation="landscape" r:id="rId1"/>
  <rowBreaks count="2" manualBreakCount="2">
    <brk id="64" max="16383" man="1"/>
    <brk id="95"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183"/>
  <sheetViews>
    <sheetView showGridLines="0" zoomScale="70" zoomScaleNormal="70" workbookViewId="0">
      <pane xSplit="1" ySplit="4" topLeftCell="B5" activePane="bottomRight" state="frozen"/>
      <selection pane="topRight" activeCell="B1" sqref="B1"/>
      <selection pane="bottomLeft" activeCell="A2" sqref="A2"/>
      <selection pane="bottomRight" activeCell="B5" sqref="B5"/>
    </sheetView>
  </sheetViews>
  <sheetFormatPr defaultColWidth="27.7109375" defaultRowHeight="15" outlineLevelCol="1" x14ac:dyDescent="0.25"/>
  <cols>
    <col min="1" max="1" width="17.28515625" bestFit="1" customWidth="1"/>
    <col min="2" max="4" width="27.7109375" customWidth="1" outlineLevel="1"/>
    <col min="5" max="5" width="17.28515625" customWidth="1" outlineLevel="1"/>
    <col min="6" max="11" width="27.7109375" customWidth="1" outlineLevel="1"/>
    <col min="12" max="12" width="17.7109375" customWidth="1" outlineLevel="1" collapsed="1"/>
    <col min="13" max="13" width="16.85546875" customWidth="1" outlineLevel="1"/>
    <col min="14" max="14" width="16.85546875" customWidth="1" outlineLevel="1" collapsed="1"/>
    <col min="15" max="15" width="18.42578125" customWidth="1"/>
    <col min="16" max="16" width="15" customWidth="1"/>
    <col min="17" max="17" width="27.7109375" hidden="1" customWidth="1" outlineLevel="1"/>
    <col min="18" max="18" width="17.140625" hidden="1" customWidth="1" outlineLevel="1"/>
    <col min="19" max="19" width="18.28515625" customWidth="1" collapsed="1"/>
    <col min="20" max="25" width="27.7109375" hidden="1" customWidth="1" outlineLevel="1"/>
    <col min="26" max="26" width="27.7109375" customWidth="1" collapsed="1"/>
    <col min="27" max="32" width="27.7109375" hidden="1" customWidth="1" outlineLevel="1"/>
    <col min="33" max="33" width="27.7109375" customWidth="1" collapsed="1"/>
    <col min="34" max="39" width="27.7109375" hidden="1" customWidth="1" outlineLevel="1"/>
    <col min="40" max="40" width="27.7109375" customWidth="1" collapsed="1"/>
    <col min="41" max="44" width="27.7109375" hidden="1" customWidth="1" outlineLevel="1"/>
    <col min="45" max="45" width="27.7109375" customWidth="1" collapsed="1"/>
    <col min="46" max="49" width="27.7109375" hidden="1" customWidth="1" outlineLevel="1"/>
    <col min="50" max="50" width="27.7109375" customWidth="1" collapsed="1"/>
    <col min="51" max="54" width="27.7109375" hidden="1" customWidth="1" outlineLevel="1"/>
    <col min="55" max="55" width="27.7109375" customWidth="1" collapsed="1"/>
    <col min="56" max="56" width="27.7109375" hidden="1" customWidth="1" outlineLevel="1"/>
    <col min="57" max="57" width="28.7109375" hidden="1" customWidth="1" outlineLevel="1"/>
    <col min="58" max="60" width="27.7109375" hidden="1" customWidth="1" outlineLevel="1"/>
    <col min="61" max="61" width="27.7109375" customWidth="1" collapsed="1"/>
    <col min="62" max="66" width="27.7109375" hidden="1" customWidth="1" outlineLevel="1"/>
    <col min="67" max="67" width="27.7109375" customWidth="1" collapsed="1"/>
    <col min="68" max="72" width="27.7109375" hidden="1" customWidth="1" outlineLevel="1"/>
    <col min="73" max="73" width="27.7109375" customWidth="1" collapsed="1"/>
    <col min="74" max="78" width="27.7109375" hidden="1" customWidth="1" outlineLevel="1"/>
    <col min="79" max="79" width="27.7109375" customWidth="1" collapsed="1"/>
    <col min="80" max="94" width="27.7109375" hidden="1" customWidth="1" outlineLevel="1"/>
    <col min="95" max="95" width="27.7109375" customWidth="1" collapsed="1"/>
    <col min="96" max="96" width="27.7109375" hidden="1" customWidth="1" outlineLevel="1"/>
    <col min="97" max="97" width="27.7109375" customWidth="1" collapsed="1"/>
    <col min="98" max="98" width="27.7109375" customWidth="1"/>
    <col min="99" max="127" width="27.7109375" customWidth="1" outlineLevel="1"/>
    <col min="128" max="128" width="27.7109375" customWidth="1"/>
    <col min="129" max="157" width="27.7109375" customWidth="1" outlineLevel="1"/>
    <col min="158" max="158" width="27.7109375" customWidth="1"/>
    <col min="159" max="187" width="27.7109375" hidden="1" customWidth="1" outlineLevel="1"/>
    <col min="188" max="188" width="27.7109375" customWidth="1" collapsed="1"/>
    <col min="189" max="217" width="27.7109375" hidden="1" customWidth="1" outlineLevel="1"/>
    <col min="218" max="218" width="27.7109375" customWidth="1" collapsed="1"/>
    <col min="219" max="247" width="27.7109375" hidden="1" customWidth="1" outlineLevel="1"/>
    <col min="248" max="248" width="27.7109375" customWidth="1" collapsed="1"/>
    <col min="249" max="277" width="27.7109375" customWidth="1" outlineLevel="1"/>
    <col min="279" max="307" width="27.7109375" hidden="1" customWidth="1" outlineLevel="1"/>
    <col min="308" max="308" width="27.7109375" collapsed="1"/>
  </cols>
  <sheetData>
    <row r="1" spans="1:314" s="41" customFormat="1" ht="120" x14ac:dyDescent="0.25">
      <c r="A1" s="41" t="s">
        <v>721</v>
      </c>
      <c r="B1" s="41" t="s">
        <v>911</v>
      </c>
      <c r="C1" s="41" t="s">
        <v>912</v>
      </c>
      <c r="D1" s="41" t="s">
        <v>913</v>
      </c>
      <c r="E1" s="41" t="s">
        <v>914</v>
      </c>
      <c r="F1" s="41" t="s">
        <v>915</v>
      </c>
      <c r="G1" s="41" t="s">
        <v>916</v>
      </c>
      <c r="H1" s="41" t="s">
        <v>917</v>
      </c>
      <c r="I1" s="41" t="s">
        <v>918</v>
      </c>
      <c r="J1" s="41" t="s">
        <v>919</v>
      </c>
      <c r="K1" s="41" t="s">
        <v>920</v>
      </c>
      <c r="L1" s="41" t="s">
        <v>474</v>
      </c>
      <c r="M1" s="41" t="s">
        <v>474</v>
      </c>
      <c r="N1" s="41" t="s">
        <v>474</v>
      </c>
      <c r="O1" s="41" t="s">
        <v>720</v>
      </c>
      <c r="P1" s="41" t="s">
        <v>474</v>
      </c>
      <c r="Q1" s="41" t="s">
        <v>909</v>
      </c>
      <c r="R1" s="41" t="s">
        <v>474</v>
      </c>
      <c r="S1" s="41" t="s">
        <v>474</v>
      </c>
      <c r="T1" s="41" t="s">
        <v>475</v>
      </c>
      <c r="U1" s="41" t="s">
        <v>476</v>
      </c>
      <c r="V1" s="41" t="s">
        <v>477</v>
      </c>
      <c r="W1" s="41" t="s">
        <v>483</v>
      </c>
      <c r="X1" s="41" t="s">
        <v>478</v>
      </c>
      <c r="Y1" s="41" t="s">
        <v>474</v>
      </c>
      <c r="Z1" s="41" t="s">
        <v>479</v>
      </c>
      <c r="AA1" s="41" t="s">
        <v>480</v>
      </c>
      <c r="AB1" s="41" t="s">
        <v>481</v>
      </c>
      <c r="AC1" s="41" t="s">
        <v>482</v>
      </c>
      <c r="AD1" s="41" t="s">
        <v>483</v>
      </c>
      <c r="AE1" s="41" t="s">
        <v>484</v>
      </c>
      <c r="AF1" s="41" t="s">
        <v>485</v>
      </c>
      <c r="AG1" s="41" t="s">
        <v>486</v>
      </c>
      <c r="AH1" s="41" t="s">
        <v>903</v>
      </c>
      <c r="AI1" s="41" t="s">
        <v>904</v>
      </c>
      <c r="AJ1" s="41" t="s">
        <v>905</v>
      </c>
      <c r="AK1" s="41" t="s">
        <v>906</v>
      </c>
      <c r="AL1" s="41" t="s">
        <v>907</v>
      </c>
      <c r="AM1" s="41" t="s">
        <v>908</v>
      </c>
      <c r="AN1" s="41" t="s">
        <v>910</v>
      </c>
      <c r="AO1" s="41" t="s">
        <v>488</v>
      </c>
      <c r="AP1" s="41" t="s">
        <v>487</v>
      </c>
      <c r="AQ1" s="41" t="s">
        <v>489</v>
      </c>
      <c r="AR1" s="41" t="s">
        <v>474</v>
      </c>
      <c r="AS1" s="41" t="s">
        <v>490</v>
      </c>
      <c r="AT1" s="41" t="s">
        <v>491</v>
      </c>
      <c r="AU1" s="41" t="s">
        <v>492</v>
      </c>
      <c r="AV1" s="41" t="s">
        <v>493</v>
      </c>
      <c r="AW1" s="41" t="s">
        <v>494</v>
      </c>
      <c r="AX1" s="41" t="s">
        <v>495</v>
      </c>
      <c r="AY1" s="41" t="s">
        <v>496</v>
      </c>
      <c r="AZ1" s="41" t="s">
        <v>497</v>
      </c>
      <c r="BA1" s="41" t="s">
        <v>498</v>
      </c>
      <c r="BB1" s="41" t="s">
        <v>499</v>
      </c>
      <c r="BC1" s="41" t="s">
        <v>500</v>
      </c>
      <c r="BD1" s="41" t="s">
        <v>501</v>
      </c>
      <c r="BE1" s="41" t="s">
        <v>502</v>
      </c>
      <c r="BF1" s="41" t="s">
        <v>474</v>
      </c>
      <c r="BG1" s="41" t="s">
        <v>474</v>
      </c>
      <c r="BH1" s="41" t="s">
        <v>474</v>
      </c>
      <c r="BI1" s="41" t="s">
        <v>503</v>
      </c>
      <c r="BJ1" s="41" t="s">
        <v>474</v>
      </c>
      <c r="BK1" s="41" t="s">
        <v>474</v>
      </c>
      <c r="BL1" s="41" t="s">
        <v>504</v>
      </c>
      <c r="BM1" s="41" t="s">
        <v>474</v>
      </c>
      <c r="BN1" s="41" t="s">
        <v>474</v>
      </c>
      <c r="BO1" s="41" t="s">
        <v>504</v>
      </c>
      <c r="BP1" s="41" t="s">
        <v>505</v>
      </c>
      <c r="BQ1" s="41" t="s">
        <v>506</v>
      </c>
      <c r="BR1" s="41" t="s">
        <v>474</v>
      </c>
      <c r="BS1" s="41" t="s">
        <v>474</v>
      </c>
      <c r="BT1" s="41" t="s">
        <v>507</v>
      </c>
      <c r="BU1" s="41" t="s">
        <v>508</v>
      </c>
      <c r="BV1" s="41" t="s">
        <v>509</v>
      </c>
      <c r="BW1" s="41" t="s">
        <v>510</v>
      </c>
      <c r="BX1" s="41" t="s">
        <v>511</v>
      </c>
      <c r="BY1" s="41" t="s">
        <v>474</v>
      </c>
      <c r="BZ1" s="41" t="s">
        <v>512</v>
      </c>
      <c r="CA1" s="41" t="s">
        <v>513</v>
      </c>
      <c r="CB1" s="41" t="s">
        <v>474</v>
      </c>
      <c r="CC1" s="41" t="s">
        <v>474</v>
      </c>
      <c r="CD1" s="41" t="s">
        <v>474</v>
      </c>
      <c r="CE1" s="41" t="s">
        <v>474</v>
      </c>
      <c r="CF1" s="41" t="s">
        <v>474</v>
      </c>
      <c r="CG1" s="41" t="s">
        <v>474</v>
      </c>
      <c r="CH1" s="41" t="s">
        <v>474</v>
      </c>
      <c r="CI1" s="41" t="s">
        <v>474</v>
      </c>
      <c r="CJ1" s="41" t="s">
        <v>474</v>
      </c>
      <c r="CK1" s="41" t="s">
        <v>474</v>
      </c>
      <c r="CL1" s="41" t="s">
        <v>474</v>
      </c>
      <c r="CM1" s="41" t="s">
        <v>474</v>
      </c>
      <c r="CN1" s="41" t="s">
        <v>474</v>
      </c>
      <c r="CO1" s="41" t="s">
        <v>474</v>
      </c>
      <c r="CP1" s="41" t="s">
        <v>474</v>
      </c>
      <c r="CQ1" s="41" t="s">
        <v>474</v>
      </c>
      <c r="CR1" s="41" t="s">
        <v>921</v>
      </c>
      <c r="CS1" s="41" t="s">
        <v>514</v>
      </c>
      <c r="CT1" s="41" t="s">
        <v>474</v>
      </c>
      <c r="CU1" s="41" t="s">
        <v>515</v>
      </c>
      <c r="CV1" s="41" t="s">
        <v>516</v>
      </c>
      <c r="CW1" s="41" t="s">
        <v>517</v>
      </c>
      <c r="CX1" s="41" t="s">
        <v>518</v>
      </c>
      <c r="CY1" s="41" t="s">
        <v>519</v>
      </c>
      <c r="CZ1" s="41" t="s">
        <v>520</v>
      </c>
      <c r="DA1" s="41" t="s">
        <v>521</v>
      </c>
      <c r="DB1" s="41" t="s">
        <v>522</v>
      </c>
      <c r="DC1" s="41" t="s">
        <v>523</v>
      </c>
      <c r="DD1" s="41" t="s">
        <v>524</v>
      </c>
      <c r="DE1" s="41" t="s">
        <v>525</v>
      </c>
      <c r="DF1" s="41" t="s">
        <v>526</v>
      </c>
      <c r="DG1" s="41" t="s">
        <v>527</v>
      </c>
      <c r="DH1" s="41" t="s">
        <v>528</v>
      </c>
      <c r="DI1" s="41" t="s">
        <v>529</v>
      </c>
      <c r="DJ1" s="41" t="s">
        <v>530</v>
      </c>
      <c r="DK1" s="41" t="s">
        <v>531</v>
      </c>
      <c r="DL1" s="41" t="s">
        <v>532</v>
      </c>
      <c r="DM1" s="41" t="s">
        <v>533</v>
      </c>
      <c r="DN1" s="41" t="s">
        <v>534</v>
      </c>
      <c r="DO1" s="41" t="s">
        <v>535</v>
      </c>
      <c r="DP1" s="41" t="s">
        <v>536</v>
      </c>
      <c r="DQ1" s="41" t="s">
        <v>537</v>
      </c>
      <c r="DR1" s="41" t="s">
        <v>538</v>
      </c>
      <c r="DS1" s="41" t="s">
        <v>539</v>
      </c>
      <c r="DT1" s="41" t="s">
        <v>540</v>
      </c>
      <c r="DU1" s="41" t="s">
        <v>474</v>
      </c>
      <c r="DV1" s="41" t="s">
        <v>541</v>
      </c>
      <c r="DW1" s="41" t="s">
        <v>542</v>
      </c>
      <c r="DX1" s="41" t="s">
        <v>543</v>
      </c>
      <c r="DY1" s="41" t="s">
        <v>544</v>
      </c>
      <c r="DZ1" s="41" t="s">
        <v>545</v>
      </c>
      <c r="EA1" s="41" t="s">
        <v>546</v>
      </c>
      <c r="EB1" s="41" t="s">
        <v>547</v>
      </c>
      <c r="EC1" s="41" t="s">
        <v>548</v>
      </c>
      <c r="ED1" s="41" t="s">
        <v>549</v>
      </c>
      <c r="EE1" s="41" t="s">
        <v>550</v>
      </c>
      <c r="EF1" s="41" t="s">
        <v>551</v>
      </c>
      <c r="EG1" s="41" t="s">
        <v>552</v>
      </c>
      <c r="EH1" s="41" t="s">
        <v>553</v>
      </c>
      <c r="EI1" s="41" t="s">
        <v>554</v>
      </c>
      <c r="EJ1" s="41" t="s">
        <v>555</v>
      </c>
      <c r="EK1" s="41" t="s">
        <v>556</v>
      </c>
      <c r="EL1" s="41" t="s">
        <v>557</v>
      </c>
      <c r="EM1" s="41" t="s">
        <v>558</v>
      </c>
      <c r="EN1" s="41" t="s">
        <v>559</v>
      </c>
      <c r="EO1" s="41" t="s">
        <v>560</v>
      </c>
      <c r="EP1" s="41" t="s">
        <v>561</v>
      </c>
      <c r="EQ1" s="41" t="s">
        <v>562</v>
      </c>
      <c r="ER1" s="41" t="s">
        <v>563</v>
      </c>
      <c r="ES1" s="41" t="s">
        <v>564</v>
      </c>
      <c r="ET1" s="41" t="s">
        <v>565</v>
      </c>
      <c r="EU1" s="41" t="s">
        <v>566</v>
      </c>
      <c r="EV1" s="41" t="s">
        <v>567</v>
      </c>
      <c r="EW1" s="41" t="s">
        <v>568</v>
      </c>
      <c r="EX1" s="41" t="s">
        <v>569</v>
      </c>
      <c r="EY1" s="41" t="s">
        <v>474</v>
      </c>
      <c r="EZ1" s="41" t="s">
        <v>570</v>
      </c>
      <c r="FA1" s="41" t="s">
        <v>571</v>
      </c>
      <c r="FB1" s="41" t="s">
        <v>572</v>
      </c>
      <c r="FC1" s="41" t="s">
        <v>573</v>
      </c>
      <c r="FD1" s="41" t="s">
        <v>574</v>
      </c>
      <c r="FE1" s="41" t="s">
        <v>575</v>
      </c>
      <c r="FF1" s="41" t="s">
        <v>576</v>
      </c>
      <c r="FG1" s="41" t="s">
        <v>577</v>
      </c>
      <c r="FH1" s="41" t="s">
        <v>578</v>
      </c>
      <c r="FI1" s="41" t="s">
        <v>579</v>
      </c>
      <c r="FJ1" s="41" t="s">
        <v>580</v>
      </c>
      <c r="FK1" s="41" t="s">
        <v>581</v>
      </c>
      <c r="FL1" s="41" t="s">
        <v>582</v>
      </c>
      <c r="FM1" s="41" t="s">
        <v>583</v>
      </c>
      <c r="FN1" s="41" t="s">
        <v>584</v>
      </c>
      <c r="FO1" s="41" t="s">
        <v>585</v>
      </c>
      <c r="FP1" s="41" t="s">
        <v>586</v>
      </c>
      <c r="FQ1" s="41" t="s">
        <v>587</v>
      </c>
      <c r="FR1" s="41" t="s">
        <v>588</v>
      </c>
      <c r="FS1" s="41" t="s">
        <v>589</v>
      </c>
      <c r="FT1" s="41" t="s">
        <v>590</v>
      </c>
      <c r="FU1" s="41" t="s">
        <v>591</v>
      </c>
      <c r="FV1" s="41" t="s">
        <v>592</v>
      </c>
      <c r="FW1" s="41" t="s">
        <v>593</v>
      </c>
      <c r="FX1" s="41" t="s">
        <v>594</v>
      </c>
      <c r="FY1" s="41" t="s">
        <v>595</v>
      </c>
      <c r="FZ1" s="41" t="s">
        <v>596</v>
      </c>
      <c r="GA1" s="41" t="s">
        <v>597</v>
      </c>
      <c r="GB1" s="41" t="s">
        <v>598</v>
      </c>
      <c r="GC1" s="41" t="s">
        <v>474</v>
      </c>
      <c r="GD1" s="41" t="s">
        <v>599</v>
      </c>
      <c r="GE1" s="41" t="s">
        <v>600</v>
      </c>
      <c r="GF1" s="41" t="s">
        <v>601</v>
      </c>
      <c r="GG1" s="41" t="s">
        <v>602</v>
      </c>
      <c r="GH1" s="41" t="s">
        <v>603</v>
      </c>
      <c r="GI1" s="41" t="s">
        <v>604</v>
      </c>
      <c r="GJ1" s="41" t="s">
        <v>605</v>
      </c>
      <c r="GK1" s="41" t="s">
        <v>606</v>
      </c>
      <c r="GL1" s="41" t="s">
        <v>607</v>
      </c>
      <c r="GM1" s="41" t="s">
        <v>608</v>
      </c>
      <c r="GN1" s="41" t="s">
        <v>609</v>
      </c>
      <c r="GO1" s="41" t="s">
        <v>610</v>
      </c>
      <c r="GP1" s="41" t="s">
        <v>611</v>
      </c>
      <c r="GQ1" s="41" t="s">
        <v>612</v>
      </c>
      <c r="GR1" s="41" t="s">
        <v>613</v>
      </c>
      <c r="GS1" s="41" t="s">
        <v>614</v>
      </c>
      <c r="GT1" s="41" t="s">
        <v>615</v>
      </c>
      <c r="GU1" s="41" t="s">
        <v>616</v>
      </c>
      <c r="GV1" s="41" t="s">
        <v>617</v>
      </c>
      <c r="GW1" s="41" t="s">
        <v>618</v>
      </c>
      <c r="GX1" s="41" t="s">
        <v>619</v>
      </c>
      <c r="GY1" s="41" t="s">
        <v>620</v>
      </c>
      <c r="GZ1" s="41" t="s">
        <v>621</v>
      </c>
      <c r="HA1" s="41" t="s">
        <v>622</v>
      </c>
      <c r="HB1" s="41" t="s">
        <v>623</v>
      </c>
      <c r="HC1" s="41" t="s">
        <v>624</v>
      </c>
      <c r="HD1" s="41" t="s">
        <v>625</v>
      </c>
      <c r="HE1" s="41" t="s">
        <v>626</v>
      </c>
      <c r="HF1" s="41" t="s">
        <v>627</v>
      </c>
      <c r="HG1" s="41" t="s">
        <v>474</v>
      </c>
      <c r="HH1" s="41" t="s">
        <v>628</v>
      </c>
      <c r="HI1" s="41" t="s">
        <v>629</v>
      </c>
      <c r="HJ1" s="41" t="s">
        <v>630</v>
      </c>
      <c r="HK1" s="41" t="s">
        <v>631</v>
      </c>
      <c r="HL1" s="41" t="s">
        <v>632</v>
      </c>
      <c r="HM1" s="41" t="s">
        <v>633</v>
      </c>
      <c r="HN1" s="41" t="s">
        <v>634</v>
      </c>
      <c r="HO1" s="41" t="s">
        <v>635</v>
      </c>
      <c r="HP1" s="41" t="s">
        <v>636</v>
      </c>
      <c r="HQ1" s="41" t="s">
        <v>637</v>
      </c>
      <c r="HR1" s="41" t="s">
        <v>638</v>
      </c>
      <c r="HS1" s="41" t="s">
        <v>639</v>
      </c>
      <c r="HT1" s="41" t="s">
        <v>640</v>
      </c>
      <c r="HU1" s="41" t="s">
        <v>641</v>
      </c>
      <c r="HV1" s="41" t="s">
        <v>642</v>
      </c>
      <c r="HW1" s="41" t="s">
        <v>643</v>
      </c>
      <c r="HX1" s="41" t="s">
        <v>644</v>
      </c>
      <c r="HY1" s="41" t="s">
        <v>645</v>
      </c>
      <c r="HZ1" s="41" t="s">
        <v>646</v>
      </c>
      <c r="IA1" s="41" t="s">
        <v>647</v>
      </c>
      <c r="IB1" s="41" t="s">
        <v>648</v>
      </c>
      <c r="IC1" s="41" t="s">
        <v>649</v>
      </c>
      <c r="ID1" s="41" t="s">
        <v>650</v>
      </c>
      <c r="IE1" s="41" t="s">
        <v>651</v>
      </c>
      <c r="IF1" s="41" t="s">
        <v>652</v>
      </c>
      <c r="IG1" s="41" t="s">
        <v>653</v>
      </c>
      <c r="IH1" s="41" t="s">
        <v>654</v>
      </c>
      <c r="II1" s="41" t="s">
        <v>655</v>
      </c>
      <c r="IJ1" s="41" t="s">
        <v>656</v>
      </c>
      <c r="IK1" s="41" t="s">
        <v>474</v>
      </c>
      <c r="IL1" s="41" t="s">
        <v>657</v>
      </c>
      <c r="IM1" s="41" t="s">
        <v>658</v>
      </c>
      <c r="IN1" s="41" t="s">
        <v>659</v>
      </c>
      <c r="IO1" s="41" t="s">
        <v>660</v>
      </c>
      <c r="IP1" s="41" t="s">
        <v>661</v>
      </c>
      <c r="IQ1" s="41" t="s">
        <v>662</v>
      </c>
      <c r="IR1" s="41" t="s">
        <v>663</v>
      </c>
      <c r="IS1" s="41" t="s">
        <v>664</v>
      </c>
      <c r="IT1" s="41" t="s">
        <v>665</v>
      </c>
      <c r="IU1" s="41" t="s">
        <v>666</v>
      </c>
      <c r="IV1" s="41" t="s">
        <v>667</v>
      </c>
      <c r="IW1" s="41" t="s">
        <v>668</v>
      </c>
      <c r="IX1" s="41" t="s">
        <v>669</v>
      </c>
      <c r="IY1" s="41" t="s">
        <v>670</v>
      </c>
      <c r="IZ1" s="41" t="s">
        <v>671</v>
      </c>
      <c r="JA1" s="41" t="s">
        <v>672</v>
      </c>
      <c r="JB1" s="41" t="s">
        <v>673</v>
      </c>
      <c r="JC1" s="41" t="s">
        <v>674</v>
      </c>
      <c r="JD1" s="41" t="s">
        <v>675</v>
      </c>
      <c r="JE1" s="41" t="s">
        <v>676</v>
      </c>
      <c r="JF1" s="41" t="s">
        <v>677</v>
      </c>
      <c r="JG1" s="41" t="s">
        <v>678</v>
      </c>
      <c r="JH1" s="41" t="s">
        <v>679</v>
      </c>
      <c r="JI1" s="41" t="s">
        <v>680</v>
      </c>
      <c r="JJ1" s="41" t="s">
        <v>681</v>
      </c>
      <c r="JK1" s="41" t="s">
        <v>682</v>
      </c>
      <c r="JL1" s="41" t="s">
        <v>683</v>
      </c>
      <c r="JM1" s="41" t="s">
        <v>684</v>
      </c>
      <c r="JN1" s="41" t="s">
        <v>685</v>
      </c>
      <c r="JO1" s="41" t="s">
        <v>474</v>
      </c>
      <c r="JP1" s="41" t="s">
        <v>686</v>
      </c>
      <c r="JQ1" s="41" t="s">
        <v>687</v>
      </c>
      <c r="JR1" s="41" t="s">
        <v>688</v>
      </c>
      <c r="JS1" s="41" t="s">
        <v>689</v>
      </c>
      <c r="JT1" s="41" t="s">
        <v>690</v>
      </c>
      <c r="JU1" s="41" t="s">
        <v>691</v>
      </c>
      <c r="JV1" s="41" t="s">
        <v>692</v>
      </c>
      <c r="JW1" s="41" t="s">
        <v>693</v>
      </c>
      <c r="JX1" s="41" t="s">
        <v>694</v>
      </c>
      <c r="JY1" s="41" t="s">
        <v>695</v>
      </c>
      <c r="JZ1" s="41" t="s">
        <v>696</v>
      </c>
      <c r="KA1" s="41" t="s">
        <v>697</v>
      </c>
      <c r="KB1" s="41" t="s">
        <v>698</v>
      </c>
      <c r="KC1" s="41" t="s">
        <v>699</v>
      </c>
      <c r="KD1" s="41" t="s">
        <v>700</v>
      </c>
      <c r="KE1" s="41" t="s">
        <v>701</v>
      </c>
      <c r="KF1" s="41" t="s">
        <v>702</v>
      </c>
      <c r="KG1" s="41" t="s">
        <v>703</v>
      </c>
      <c r="KH1" s="41" t="s">
        <v>704</v>
      </c>
      <c r="KI1" s="41" t="s">
        <v>705</v>
      </c>
      <c r="KJ1" s="41" t="s">
        <v>706</v>
      </c>
      <c r="KK1" s="41" t="s">
        <v>707</v>
      </c>
      <c r="KL1" s="41" t="s">
        <v>708</v>
      </c>
      <c r="KM1" s="41" t="s">
        <v>709</v>
      </c>
      <c r="KN1" s="41" t="s">
        <v>710</v>
      </c>
      <c r="KO1" s="41" t="s">
        <v>711</v>
      </c>
      <c r="KP1" s="41" t="s">
        <v>712</v>
      </c>
      <c r="KQ1" s="41" t="s">
        <v>713</v>
      </c>
      <c r="KR1" s="41" t="s">
        <v>714</v>
      </c>
      <c r="KS1" s="41" t="s">
        <v>474</v>
      </c>
      <c r="KT1" s="41" t="s">
        <v>715</v>
      </c>
      <c r="KU1" s="41" t="s">
        <v>716</v>
      </c>
      <c r="KV1" s="41" t="s">
        <v>717</v>
      </c>
      <c r="KW1" s="41" t="s">
        <v>902</v>
      </c>
      <c r="KX1" s="41" t="s">
        <v>901</v>
      </c>
      <c r="KY1" s="41" t="s">
        <v>1022</v>
      </c>
      <c r="KZ1" s="41" t="s">
        <v>900</v>
      </c>
      <c r="LA1" s="41" t="s">
        <v>719</v>
      </c>
      <c r="LB1" s="41" t="s">
        <v>718</v>
      </c>
    </row>
    <row r="2" spans="1:314" s="41" customFormat="1" x14ac:dyDescent="0.25">
      <c r="A2" s="41" t="s">
        <v>722</v>
      </c>
      <c r="B2" s="41" t="s">
        <v>922</v>
      </c>
      <c r="C2" s="41" t="s">
        <v>923</v>
      </c>
      <c r="D2" s="41" t="s">
        <v>923</v>
      </c>
      <c r="E2" s="41" t="s">
        <v>923</v>
      </c>
      <c r="F2" s="41" t="s">
        <v>924</v>
      </c>
      <c r="G2" s="41" t="s">
        <v>923</v>
      </c>
      <c r="H2" s="41" t="s">
        <v>925</v>
      </c>
      <c r="I2" s="41" t="s">
        <v>925</v>
      </c>
      <c r="J2" s="41" t="s">
        <v>925</v>
      </c>
      <c r="K2" s="41" t="s">
        <v>925</v>
      </c>
      <c r="L2" s="41" t="s">
        <v>474</v>
      </c>
      <c r="M2" s="41" t="s">
        <v>474</v>
      </c>
      <c r="N2" s="41" t="s">
        <v>474</v>
      </c>
      <c r="O2" s="41" t="s">
        <v>926</v>
      </c>
      <c r="P2" s="41" t="s">
        <v>474</v>
      </c>
      <c r="Q2" s="41" t="s">
        <v>927</v>
      </c>
      <c r="R2" s="41" t="s">
        <v>474</v>
      </c>
      <c r="S2" s="41" t="s">
        <v>927</v>
      </c>
      <c r="T2" s="41" t="s">
        <v>928</v>
      </c>
      <c r="U2" s="41" t="s">
        <v>928</v>
      </c>
      <c r="V2" s="41" t="s">
        <v>928</v>
      </c>
      <c r="W2" s="41" t="s">
        <v>928</v>
      </c>
      <c r="X2" s="41" t="s">
        <v>928</v>
      </c>
      <c r="Y2" s="41" t="s">
        <v>928</v>
      </c>
      <c r="Z2" s="41" t="s">
        <v>928</v>
      </c>
      <c r="AA2" s="41" t="s">
        <v>928</v>
      </c>
      <c r="AB2" s="41" t="s">
        <v>928</v>
      </c>
      <c r="AC2" s="41" t="s">
        <v>928</v>
      </c>
      <c r="AD2" s="41" t="s">
        <v>928</v>
      </c>
      <c r="AE2" s="41" t="s">
        <v>928</v>
      </c>
      <c r="AF2" s="41" t="s">
        <v>928</v>
      </c>
      <c r="AG2" s="41" t="s">
        <v>928</v>
      </c>
      <c r="AH2" s="41" t="s">
        <v>928</v>
      </c>
      <c r="AI2" s="41" t="s">
        <v>928</v>
      </c>
      <c r="AJ2" s="41" t="s">
        <v>928</v>
      </c>
      <c r="AK2" s="41" t="s">
        <v>928</v>
      </c>
      <c r="AL2" s="41" t="s">
        <v>928</v>
      </c>
      <c r="AM2" s="41" t="s">
        <v>928</v>
      </c>
      <c r="AN2" s="41" t="s">
        <v>928</v>
      </c>
      <c r="AO2" s="41" t="s">
        <v>929</v>
      </c>
      <c r="AP2" s="41" t="s">
        <v>929</v>
      </c>
      <c r="AQ2" s="41" t="s">
        <v>929</v>
      </c>
      <c r="AR2" s="41" t="s">
        <v>929</v>
      </c>
      <c r="AS2" s="41" t="s">
        <v>929</v>
      </c>
      <c r="AT2" s="41" t="s">
        <v>929</v>
      </c>
      <c r="AU2" s="41" t="s">
        <v>929</v>
      </c>
      <c r="AV2" s="41" t="s">
        <v>929</v>
      </c>
      <c r="AW2" s="41" t="s">
        <v>929</v>
      </c>
      <c r="AX2" s="41" t="s">
        <v>929</v>
      </c>
      <c r="AY2" s="41" t="s">
        <v>929</v>
      </c>
      <c r="AZ2" s="41" t="s">
        <v>929</v>
      </c>
      <c r="BA2" s="41" t="s">
        <v>929</v>
      </c>
      <c r="BB2" s="41" t="s">
        <v>929</v>
      </c>
      <c r="BC2" s="41" t="s">
        <v>929</v>
      </c>
      <c r="BD2" s="41" t="s">
        <v>930</v>
      </c>
      <c r="BE2" s="41" t="s">
        <v>930</v>
      </c>
      <c r="BF2" s="41" t="s">
        <v>930</v>
      </c>
      <c r="BG2" s="41" t="s">
        <v>930</v>
      </c>
      <c r="BH2" s="41" t="s">
        <v>930</v>
      </c>
      <c r="BI2" s="41" t="s">
        <v>930</v>
      </c>
      <c r="BJ2" s="41" t="s">
        <v>930</v>
      </c>
      <c r="BK2" s="41" t="s">
        <v>930</v>
      </c>
      <c r="BL2" s="41" t="s">
        <v>930</v>
      </c>
      <c r="BM2" s="41" t="s">
        <v>930</v>
      </c>
      <c r="BN2" s="41" t="s">
        <v>930</v>
      </c>
      <c r="BO2" s="41" t="s">
        <v>930</v>
      </c>
      <c r="BP2" s="41" t="s">
        <v>930</v>
      </c>
      <c r="BQ2" s="41" t="s">
        <v>930</v>
      </c>
      <c r="BR2" s="41" t="s">
        <v>930</v>
      </c>
      <c r="BS2" s="41" t="s">
        <v>930</v>
      </c>
      <c r="BT2" s="41" t="s">
        <v>930</v>
      </c>
      <c r="BU2" s="41" t="s">
        <v>930</v>
      </c>
      <c r="BV2" s="41" t="s">
        <v>930</v>
      </c>
      <c r="BW2" s="41" t="s">
        <v>930</v>
      </c>
      <c r="BX2" s="41" t="s">
        <v>930</v>
      </c>
      <c r="BY2" s="41" t="s">
        <v>930</v>
      </c>
      <c r="BZ2" s="41" t="s">
        <v>930</v>
      </c>
      <c r="CA2" s="41" t="s">
        <v>930</v>
      </c>
      <c r="CB2" s="41" t="s">
        <v>474</v>
      </c>
      <c r="CC2" s="41" t="s">
        <v>474</v>
      </c>
      <c r="CD2" s="41" t="s">
        <v>474</v>
      </c>
      <c r="CE2" s="41" t="s">
        <v>474</v>
      </c>
      <c r="CF2" s="41" t="s">
        <v>474</v>
      </c>
      <c r="CG2" s="41" t="s">
        <v>474</v>
      </c>
      <c r="CH2" s="41" t="s">
        <v>474</v>
      </c>
      <c r="CI2" s="41" t="s">
        <v>474</v>
      </c>
      <c r="CJ2" s="41" t="s">
        <v>474</v>
      </c>
      <c r="CK2" s="41" t="s">
        <v>474</v>
      </c>
      <c r="CL2" s="41" t="s">
        <v>474</v>
      </c>
      <c r="CM2" s="41" t="s">
        <v>474</v>
      </c>
      <c r="CN2" s="41" t="s">
        <v>474</v>
      </c>
      <c r="CO2" s="41" t="s">
        <v>474</v>
      </c>
      <c r="CP2" s="41" t="s">
        <v>474</v>
      </c>
      <c r="CQ2" s="41" t="s">
        <v>474</v>
      </c>
      <c r="CR2" s="41" t="s">
        <v>923</v>
      </c>
      <c r="CS2" s="41" t="s">
        <v>926</v>
      </c>
      <c r="CT2" s="41" t="s">
        <v>474</v>
      </c>
      <c r="CU2" s="41" t="s">
        <v>926</v>
      </c>
      <c r="CV2" s="41" t="s">
        <v>926</v>
      </c>
      <c r="CW2" s="41" t="s">
        <v>926</v>
      </c>
      <c r="CX2" s="41" t="s">
        <v>926</v>
      </c>
      <c r="CY2" s="41" t="s">
        <v>926</v>
      </c>
      <c r="CZ2" s="41" t="s">
        <v>926</v>
      </c>
      <c r="DA2" s="41" t="s">
        <v>926</v>
      </c>
      <c r="DB2" s="41" t="s">
        <v>926</v>
      </c>
      <c r="DC2" s="41" t="s">
        <v>926</v>
      </c>
      <c r="DD2" s="41" t="s">
        <v>926</v>
      </c>
      <c r="DE2" s="41" t="s">
        <v>926</v>
      </c>
      <c r="DF2" s="41" t="s">
        <v>926</v>
      </c>
      <c r="DG2" s="41" t="s">
        <v>926</v>
      </c>
      <c r="DH2" s="41" t="s">
        <v>926</v>
      </c>
      <c r="DI2" s="41" t="s">
        <v>926</v>
      </c>
      <c r="DJ2" s="41" t="s">
        <v>926</v>
      </c>
      <c r="DK2" s="41" t="s">
        <v>926</v>
      </c>
      <c r="DL2" s="41" t="s">
        <v>926</v>
      </c>
      <c r="DM2" s="41" t="s">
        <v>926</v>
      </c>
      <c r="DN2" s="41" t="s">
        <v>926</v>
      </c>
      <c r="DO2" s="41" t="s">
        <v>926</v>
      </c>
      <c r="DP2" s="41" t="s">
        <v>926</v>
      </c>
      <c r="DQ2" s="41" t="s">
        <v>926</v>
      </c>
      <c r="DR2" s="41" t="s">
        <v>926</v>
      </c>
      <c r="DS2" s="41" t="s">
        <v>926</v>
      </c>
      <c r="DT2" s="41" t="s">
        <v>926</v>
      </c>
      <c r="DU2" s="41" t="s">
        <v>926</v>
      </c>
      <c r="DV2" s="41" t="s">
        <v>926</v>
      </c>
      <c r="DW2" s="41" t="s">
        <v>926</v>
      </c>
      <c r="DX2" s="41" t="s">
        <v>926</v>
      </c>
      <c r="DY2" s="41" t="s">
        <v>926</v>
      </c>
      <c r="DZ2" s="41" t="s">
        <v>926</v>
      </c>
      <c r="EA2" s="41" t="s">
        <v>926</v>
      </c>
      <c r="EB2" s="41" t="s">
        <v>926</v>
      </c>
      <c r="EC2" s="41" t="s">
        <v>926</v>
      </c>
      <c r="ED2" s="41" t="s">
        <v>926</v>
      </c>
      <c r="EE2" s="41" t="s">
        <v>926</v>
      </c>
      <c r="EF2" s="41" t="s">
        <v>926</v>
      </c>
      <c r="EG2" s="41" t="s">
        <v>926</v>
      </c>
      <c r="EH2" s="41" t="s">
        <v>926</v>
      </c>
      <c r="EI2" s="41" t="s">
        <v>926</v>
      </c>
      <c r="EJ2" s="41" t="s">
        <v>926</v>
      </c>
      <c r="EK2" s="41" t="s">
        <v>926</v>
      </c>
      <c r="EL2" s="41" t="s">
        <v>926</v>
      </c>
      <c r="EM2" s="41" t="s">
        <v>926</v>
      </c>
      <c r="EN2" s="41" t="s">
        <v>926</v>
      </c>
      <c r="EO2" s="41" t="s">
        <v>926</v>
      </c>
      <c r="EP2" s="41" t="s">
        <v>926</v>
      </c>
      <c r="EQ2" s="41" t="s">
        <v>926</v>
      </c>
      <c r="ER2" s="41" t="s">
        <v>926</v>
      </c>
      <c r="ES2" s="41" t="s">
        <v>926</v>
      </c>
      <c r="ET2" s="41" t="s">
        <v>926</v>
      </c>
      <c r="EU2" s="41" t="s">
        <v>926</v>
      </c>
      <c r="EV2" s="41" t="s">
        <v>926</v>
      </c>
      <c r="EW2" s="41" t="s">
        <v>926</v>
      </c>
      <c r="EX2" s="41" t="s">
        <v>926</v>
      </c>
      <c r="EY2" s="41" t="s">
        <v>926</v>
      </c>
      <c r="EZ2" s="41" t="s">
        <v>926</v>
      </c>
      <c r="FA2" s="41" t="s">
        <v>926</v>
      </c>
      <c r="FB2" s="41" t="s">
        <v>926</v>
      </c>
      <c r="FC2" s="41" t="s">
        <v>926</v>
      </c>
      <c r="FD2" s="41" t="s">
        <v>926</v>
      </c>
      <c r="FE2" s="41" t="s">
        <v>926</v>
      </c>
      <c r="FF2" s="41" t="s">
        <v>926</v>
      </c>
      <c r="FG2" s="41" t="s">
        <v>926</v>
      </c>
      <c r="FH2" s="41" t="s">
        <v>926</v>
      </c>
      <c r="FI2" s="41" t="s">
        <v>926</v>
      </c>
      <c r="FJ2" s="41" t="s">
        <v>926</v>
      </c>
      <c r="FK2" s="41" t="s">
        <v>926</v>
      </c>
      <c r="FL2" s="41" t="s">
        <v>926</v>
      </c>
      <c r="FM2" s="41" t="s">
        <v>926</v>
      </c>
      <c r="FN2" s="41" t="s">
        <v>926</v>
      </c>
      <c r="FO2" s="41" t="s">
        <v>926</v>
      </c>
      <c r="FP2" s="41" t="s">
        <v>926</v>
      </c>
      <c r="FQ2" s="41" t="s">
        <v>926</v>
      </c>
      <c r="FR2" s="41" t="s">
        <v>926</v>
      </c>
      <c r="FS2" s="41" t="s">
        <v>926</v>
      </c>
      <c r="FT2" s="41" t="s">
        <v>926</v>
      </c>
      <c r="FU2" s="41" t="s">
        <v>926</v>
      </c>
      <c r="FV2" s="41" t="s">
        <v>926</v>
      </c>
      <c r="FW2" s="41" t="s">
        <v>926</v>
      </c>
      <c r="FX2" s="41" t="s">
        <v>926</v>
      </c>
      <c r="FY2" s="41" t="s">
        <v>926</v>
      </c>
      <c r="FZ2" s="41" t="s">
        <v>926</v>
      </c>
      <c r="GA2" s="41" t="s">
        <v>926</v>
      </c>
      <c r="GB2" s="41" t="s">
        <v>926</v>
      </c>
      <c r="GC2" s="41" t="s">
        <v>926</v>
      </c>
      <c r="GD2" s="41" t="s">
        <v>926</v>
      </c>
      <c r="GE2" s="41" t="s">
        <v>926</v>
      </c>
      <c r="GF2" s="41" t="s">
        <v>926</v>
      </c>
      <c r="GG2" s="41" t="s">
        <v>926</v>
      </c>
      <c r="GH2" s="41" t="s">
        <v>926</v>
      </c>
      <c r="GI2" s="41" t="s">
        <v>926</v>
      </c>
      <c r="GJ2" s="41" t="s">
        <v>926</v>
      </c>
      <c r="GK2" s="41" t="s">
        <v>926</v>
      </c>
      <c r="GL2" s="41" t="s">
        <v>926</v>
      </c>
      <c r="GM2" s="41" t="s">
        <v>926</v>
      </c>
      <c r="GN2" s="41" t="s">
        <v>926</v>
      </c>
      <c r="GO2" s="41" t="s">
        <v>926</v>
      </c>
      <c r="GP2" s="41" t="s">
        <v>926</v>
      </c>
      <c r="GQ2" s="41" t="s">
        <v>926</v>
      </c>
      <c r="GR2" s="41" t="s">
        <v>926</v>
      </c>
      <c r="GS2" s="41" t="s">
        <v>926</v>
      </c>
      <c r="GT2" s="41" t="s">
        <v>926</v>
      </c>
      <c r="GU2" s="41" t="s">
        <v>926</v>
      </c>
      <c r="GV2" s="41" t="s">
        <v>926</v>
      </c>
      <c r="GW2" s="41" t="s">
        <v>926</v>
      </c>
      <c r="GX2" s="41" t="s">
        <v>926</v>
      </c>
      <c r="GY2" s="41" t="s">
        <v>926</v>
      </c>
      <c r="GZ2" s="41" t="s">
        <v>926</v>
      </c>
      <c r="HA2" s="41" t="s">
        <v>926</v>
      </c>
      <c r="HB2" s="41" t="s">
        <v>926</v>
      </c>
      <c r="HC2" s="41" t="s">
        <v>926</v>
      </c>
      <c r="HD2" s="41" t="s">
        <v>926</v>
      </c>
      <c r="HE2" s="41" t="s">
        <v>926</v>
      </c>
      <c r="HF2" s="41" t="s">
        <v>926</v>
      </c>
      <c r="HG2" s="41" t="s">
        <v>926</v>
      </c>
      <c r="HH2" s="41" t="s">
        <v>926</v>
      </c>
      <c r="HI2" s="41" t="s">
        <v>926</v>
      </c>
      <c r="HJ2" s="41" t="s">
        <v>926</v>
      </c>
      <c r="HK2" s="41" t="s">
        <v>926</v>
      </c>
      <c r="HL2" s="41" t="s">
        <v>926</v>
      </c>
      <c r="HM2" s="41" t="s">
        <v>926</v>
      </c>
      <c r="HN2" s="41" t="s">
        <v>926</v>
      </c>
      <c r="HO2" s="41" t="s">
        <v>926</v>
      </c>
      <c r="HP2" s="41" t="s">
        <v>926</v>
      </c>
      <c r="HQ2" s="41" t="s">
        <v>926</v>
      </c>
      <c r="HR2" s="41" t="s">
        <v>926</v>
      </c>
      <c r="HS2" s="41" t="s">
        <v>926</v>
      </c>
      <c r="HT2" s="41" t="s">
        <v>926</v>
      </c>
      <c r="HU2" s="41" t="s">
        <v>926</v>
      </c>
      <c r="HV2" s="41" t="s">
        <v>926</v>
      </c>
      <c r="HW2" s="41" t="s">
        <v>926</v>
      </c>
      <c r="HX2" s="41" t="s">
        <v>926</v>
      </c>
      <c r="HY2" s="41" t="s">
        <v>926</v>
      </c>
      <c r="HZ2" s="41" t="s">
        <v>926</v>
      </c>
      <c r="IA2" s="41" t="s">
        <v>926</v>
      </c>
      <c r="IB2" s="41" t="s">
        <v>926</v>
      </c>
      <c r="IC2" s="41" t="s">
        <v>926</v>
      </c>
      <c r="ID2" s="41" t="s">
        <v>926</v>
      </c>
      <c r="IE2" s="41" t="s">
        <v>926</v>
      </c>
      <c r="IF2" s="41" t="s">
        <v>926</v>
      </c>
      <c r="IG2" s="41" t="s">
        <v>926</v>
      </c>
      <c r="IH2" s="41" t="s">
        <v>926</v>
      </c>
      <c r="II2" s="41" t="s">
        <v>926</v>
      </c>
      <c r="IJ2" s="41" t="s">
        <v>926</v>
      </c>
      <c r="IK2" s="41" t="s">
        <v>926</v>
      </c>
      <c r="IL2" s="41" t="s">
        <v>926</v>
      </c>
      <c r="IM2" s="41" t="s">
        <v>926</v>
      </c>
      <c r="IN2" s="41" t="s">
        <v>926</v>
      </c>
      <c r="IO2" s="41" t="s">
        <v>926</v>
      </c>
      <c r="IP2" s="41" t="s">
        <v>926</v>
      </c>
      <c r="IQ2" s="41" t="s">
        <v>926</v>
      </c>
      <c r="IR2" s="41" t="s">
        <v>926</v>
      </c>
      <c r="IS2" s="41" t="s">
        <v>926</v>
      </c>
      <c r="IT2" s="41" t="s">
        <v>926</v>
      </c>
      <c r="IU2" s="41" t="s">
        <v>926</v>
      </c>
      <c r="IV2" s="41" t="s">
        <v>926</v>
      </c>
      <c r="IW2" s="41" t="s">
        <v>926</v>
      </c>
      <c r="IX2" s="41" t="s">
        <v>926</v>
      </c>
      <c r="IY2" s="41" t="s">
        <v>926</v>
      </c>
      <c r="IZ2" s="41" t="s">
        <v>926</v>
      </c>
      <c r="JA2" s="41" t="s">
        <v>926</v>
      </c>
      <c r="JB2" s="41" t="s">
        <v>926</v>
      </c>
      <c r="JC2" s="41" t="s">
        <v>926</v>
      </c>
      <c r="JD2" s="41" t="s">
        <v>926</v>
      </c>
      <c r="JE2" s="41" t="s">
        <v>926</v>
      </c>
      <c r="JF2" s="41" t="s">
        <v>926</v>
      </c>
      <c r="JG2" s="41" t="s">
        <v>926</v>
      </c>
      <c r="JH2" s="41" t="s">
        <v>926</v>
      </c>
      <c r="JI2" s="41" t="s">
        <v>926</v>
      </c>
      <c r="JJ2" s="41" t="s">
        <v>926</v>
      </c>
      <c r="JK2" s="41" t="s">
        <v>926</v>
      </c>
      <c r="JL2" s="41" t="s">
        <v>926</v>
      </c>
      <c r="JM2" s="41" t="s">
        <v>926</v>
      </c>
      <c r="JN2" s="41" t="s">
        <v>926</v>
      </c>
      <c r="JO2" s="41" t="s">
        <v>926</v>
      </c>
      <c r="JP2" s="41" t="s">
        <v>926</v>
      </c>
      <c r="JQ2" s="41" t="s">
        <v>926</v>
      </c>
      <c r="JR2" s="41" t="s">
        <v>926</v>
      </c>
      <c r="JS2" s="41" t="s">
        <v>926</v>
      </c>
      <c r="JT2" s="41" t="s">
        <v>926</v>
      </c>
      <c r="JU2" s="41" t="s">
        <v>926</v>
      </c>
      <c r="JV2" s="41" t="s">
        <v>926</v>
      </c>
      <c r="JW2" s="41" t="s">
        <v>926</v>
      </c>
      <c r="JX2" s="41" t="s">
        <v>926</v>
      </c>
      <c r="JY2" s="41" t="s">
        <v>926</v>
      </c>
      <c r="JZ2" s="41" t="s">
        <v>926</v>
      </c>
      <c r="KA2" s="41" t="s">
        <v>926</v>
      </c>
      <c r="KB2" s="41" t="s">
        <v>926</v>
      </c>
      <c r="KC2" s="41" t="s">
        <v>926</v>
      </c>
      <c r="KD2" s="41" t="s">
        <v>926</v>
      </c>
      <c r="KE2" s="41" t="s">
        <v>926</v>
      </c>
      <c r="KF2" s="41" t="s">
        <v>926</v>
      </c>
      <c r="KG2" s="41" t="s">
        <v>926</v>
      </c>
      <c r="KH2" s="41" t="s">
        <v>926</v>
      </c>
      <c r="KI2" s="41" t="s">
        <v>926</v>
      </c>
      <c r="KJ2" s="41" t="s">
        <v>926</v>
      </c>
      <c r="KK2" s="41" t="s">
        <v>926</v>
      </c>
      <c r="KL2" s="41" t="s">
        <v>926</v>
      </c>
      <c r="KM2" s="41" t="s">
        <v>926</v>
      </c>
      <c r="KN2" s="41" t="s">
        <v>926</v>
      </c>
      <c r="KO2" s="41" t="s">
        <v>926</v>
      </c>
      <c r="KP2" s="41" t="s">
        <v>926</v>
      </c>
      <c r="KQ2" s="41" t="s">
        <v>926</v>
      </c>
      <c r="KR2" s="41" t="s">
        <v>926</v>
      </c>
      <c r="KS2" s="41" t="s">
        <v>926</v>
      </c>
      <c r="KT2" s="41" t="s">
        <v>926</v>
      </c>
      <c r="KU2" s="41" t="s">
        <v>926</v>
      </c>
      <c r="KV2" s="41" t="s">
        <v>926</v>
      </c>
      <c r="KW2" s="41" t="s">
        <v>926</v>
      </c>
      <c r="KX2" s="41" t="s">
        <v>931</v>
      </c>
      <c r="KY2" s="41" t="s">
        <v>932</v>
      </c>
      <c r="KZ2" s="41" t="s">
        <v>933</v>
      </c>
      <c r="LA2" s="41" t="s">
        <v>933</v>
      </c>
      <c r="LB2" s="41" t="s">
        <v>933</v>
      </c>
    </row>
    <row r="3" spans="1:314" s="41" customFormat="1" x14ac:dyDescent="0.25">
      <c r="A3" s="41" t="s">
        <v>723</v>
      </c>
      <c r="B3" s="41" t="s">
        <v>474</v>
      </c>
      <c r="C3" s="41" t="s">
        <v>474</v>
      </c>
      <c r="D3" s="41" t="s">
        <v>474</v>
      </c>
      <c r="E3" s="41" t="s">
        <v>474</v>
      </c>
      <c r="F3" s="41" t="s">
        <v>474</v>
      </c>
      <c r="G3" s="41" t="s">
        <v>474</v>
      </c>
      <c r="H3" s="41" t="s">
        <v>474</v>
      </c>
      <c r="I3" s="41" t="s">
        <v>474</v>
      </c>
      <c r="J3" s="41" t="s">
        <v>474</v>
      </c>
      <c r="K3" s="41" t="s">
        <v>474</v>
      </c>
      <c r="L3" s="41" t="s">
        <v>474</v>
      </c>
      <c r="M3" s="41" t="s">
        <v>474</v>
      </c>
      <c r="N3" s="41" t="s">
        <v>474</v>
      </c>
      <c r="O3" s="41" t="s">
        <v>474</v>
      </c>
      <c r="P3" s="41" t="s">
        <v>474</v>
      </c>
      <c r="Q3" s="41" t="s">
        <v>724</v>
      </c>
      <c r="R3" s="41" t="s">
        <v>474</v>
      </c>
      <c r="S3" s="41" t="s">
        <v>474</v>
      </c>
      <c r="T3" s="41" t="s">
        <v>474</v>
      </c>
      <c r="U3" s="41" t="s">
        <v>474</v>
      </c>
      <c r="V3" s="41" t="s">
        <v>474</v>
      </c>
      <c r="W3" s="41" t="s">
        <v>474</v>
      </c>
      <c r="X3" s="41" t="s">
        <v>474</v>
      </c>
      <c r="Y3" s="41" t="s">
        <v>474</v>
      </c>
      <c r="Z3" s="41" t="s">
        <v>474</v>
      </c>
      <c r="AA3" s="41" t="s">
        <v>474</v>
      </c>
      <c r="AB3" s="41" t="s">
        <v>474</v>
      </c>
      <c r="AC3" s="41" t="s">
        <v>474</v>
      </c>
      <c r="AD3" s="41" t="s">
        <v>474</v>
      </c>
      <c r="AE3" s="41" t="s">
        <v>474</v>
      </c>
      <c r="AF3" s="41" t="s">
        <v>474</v>
      </c>
      <c r="AG3" s="41" t="s">
        <v>474</v>
      </c>
      <c r="AH3" s="41" t="s">
        <v>725</v>
      </c>
      <c r="AI3" s="41" t="s">
        <v>726</v>
      </c>
      <c r="AJ3" s="41" t="s">
        <v>727</v>
      </c>
      <c r="AK3" s="41" t="s">
        <v>728</v>
      </c>
      <c r="AL3" s="41" t="s">
        <v>729</v>
      </c>
      <c r="AM3" s="41" t="s">
        <v>730</v>
      </c>
      <c r="AN3" s="41" t="s">
        <v>474</v>
      </c>
      <c r="AO3" s="41" t="s">
        <v>474</v>
      </c>
      <c r="AP3" s="41" t="s">
        <v>474</v>
      </c>
      <c r="AQ3" s="41" t="s">
        <v>474</v>
      </c>
      <c r="AR3" s="41" t="s">
        <v>474</v>
      </c>
      <c r="AS3" s="41" t="s">
        <v>474</v>
      </c>
      <c r="AT3" s="41" t="s">
        <v>474</v>
      </c>
      <c r="AU3" s="41" t="s">
        <v>474</v>
      </c>
      <c r="AV3" s="41" t="s">
        <v>474</v>
      </c>
      <c r="AW3" s="41" t="s">
        <v>474</v>
      </c>
      <c r="AX3" s="41" t="s">
        <v>474</v>
      </c>
      <c r="AY3" s="41" t="s">
        <v>474</v>
      </c>
      <c r="AZ3" s="41" t="s">
        <v>474</v>
      </c>
      <c r="BA3" s="41" t="s">
        <v>474</v>
      </c>
      <c r="BB3" s="41" t="s">
        <v>474</v>
      </c>
      <c r="BC3" s="41" t="s">
        <v>474</v>
      </c>
      <c r="BD3" s="41" t="s">
        <v>474</v>
      </c>
      <c r="BE3" s="41" t="s">
        <v>474</v>
      </c>
      <c r="BF3" s="41" t="s">
        <v>474</v>
      </c>
      <c r="BG3" s="41" t="s">
        <v>474</v>
      </c>
      <c r="BH3" s="41" t="s">
        <v>474</v>
      </c>
      <c r="BI3" s="41" t="s">
        <v>474</v>
      </c>
      <c r="BJ3" s="41" t="s">
        <v>474</v>
      </c>
      <c r="BK3" s="41" t="s">
        <v>474</v>
      </c>
      <c r="BL3" s="41" t="s">
        <v>474</v>
      </c>
      <c r="BM3" s="41" t="s">
        <v>474</v>
      </c>
      <c r="BN3" s="41" t="s">
        <v>474</v>
      </c>
      <c r="BO3" s="41" t="s">
        <v>474</v>
      </c>
      <c r="BP3" s="41" t="s">
        <v>474</v>
      </c>
      <c r="BQ3" s="41" t="s">
        <v>474</v>
      </c>
      <c r="BR3" s="41" t="s">
        <v>474</v>
      </c>
      <c r="BS3" s="41" t="s">
        <v>474</v>
      </c>
      <c r="BT3" s="41" t="s">
        <v>474</v>
      </c>
      <c r="BU3" s="41" t="s">
        <v>474</v>
      </c>
      <c r="BV3" s="41" t="s">
        <v>474</v>
      </c>
      <c r="BW3" s="41" t="s">
        <v>474</v>
      </c>
      <c r="BX3" s="41" t="s">
        <v>474</v>
      </c>
      <c r="BY3" s="41" t="s">
        <v>474</v>
      </c>
      <c r="BZ3" s="41" t="s">
        <v>474</v>
      </c>
      <c r="CA3" s="41" t="s">
        <v>474</v>
      </c>
      <c r="CB3" s="41" t="s">
        <v>474</v>
      </c>
      <c r="CC3" s="41" t="s">
        <v>474</v>
      </c>
      <c r="CD3" s="41" t="s">
        <v>474</v>
      </c>
      <c r="CE3" s="41" t="s">
        <v>474</v>
      </c>
      <c r="CF3" s="41" t="s">
        <v>474</v>
      </c>
      <c r="CG3" s="41" t="s">
        <v>474</v>
      </c>
      <c r="CH3" s="41" t="s">
        <v>474</v>
      </c>
      <c r="CI3" s="41" t="s">
        <v>474</v>
      </c>
      <c r="CJ3" s="41" t="s">
        <v>474</v>
      </c>
      <c r="CK3" s="41" t="s">
        <v>474</v>
      </c>
      <c r="CL3" s="41" t="s">
        <v>474</v>
      </c>
      <c r="CM3" s="41" t="s">
        <v>474</v>
      </c>
      <c r="CN3" s="41" t="s">
        <v>474</v>
      </c>
      <c r="CO3" s="41" t="s">
        <v>474</v>
      </c>
      <c r="CP3" s="41" t="s">
        <v>474</v>
      </c>
      <c r="CQ3" s="41" t="s">
        <v>474</v>
      </c>
      <c r="CR3" s="41" t="s">
        <v>474</v>
      </c>
      <c r="CS3" s="41" t="s">
        <v>474</v>
      </c>
      <c r="CT3" s="41" t="s">
        <v>474</v>
      </c>
      <c r="CU3" s="41" t="s">
        <v>731</v>
      </c>
      <c r="CV3" s="41" t="s">
        <v>732</v>
      </c>
      <c r="CW3" s="41" t="s">
        <v>733</v>
      </c>
      <c r="CX3" s="41" t="s">
        <v>734</v>
      </c>
      <c r="CY3" s="41" t="s">
        <v>735</v>
      </c>
      <c r="CZ3" s="41" t="s">
        <v>736</v>
      </c>
      <c r="DA3" s="41" t="s">
        <v>737</v>
      </c>
      <c r="DB3" s="41" t="s">
        <v>738</v>
      </c>
      <c r="DC3" s="41" t="s">
        <v>739</v>
      </c>
      <c r="DD3" s="41" t="s">
        <v>740</v>
      </c>
      <c r="DE3" s="41" t="s">
        <v>741</v>
      </c>
      <c r="DF3" s="41" t="s">
        <v>742</v>
      </c>
      <c r="DG3" s="41" t="s">
        <v>743</v>
      </c>
      <c r="DH3" s="41" t="s">
        <v>744</v>
      </c>
      <c r="DI3" s="41" t="s">
        <v>745</v>
      </c>
      <c r="DJ3" s="41" t="s">
        <v>746</v>
      </c>
      <c r="DK3" s="41" t="s">
        <v>747</v>
      </c>
      <c r="DL3" s="41" t="s">
        <v>748</v>
      </c>
      <c r="DM3" s="41" t="s">
        <v>749</v>
      </c>
      <c r="DN3" s="41" t="s">
        <v>750</v>
      </c>
      <c r="DO3" s="41" t="s">
        <v>751</v>
      </c>
      <c r="DP3" s="41" t="s">
        <v>752</v>
      </c>
      <c r="DQ3" s="41" t="s">
        <v>753</v>
      </c>
      <c r="DR3" s="41" t="s">
        <v>754</v>
      </c>
      <c r="DS3" s="41" t="s">
        <v>755</v>
      </c>
      <c r="DT3" s="41" t="s">
        <v>756</v>
      </c>
      <c r="DU3" s="41" t="s">
        <v>474</v>
      </c>
      <c r="DV3" s="41" t="s">
        <v>757</v>
      </c>
      <c r="DW3" s="41" t="s">
        <v>758</v>
      </c>
      <c r="DX3" s="41" t="s">
        <v>474</v>
      </c>
      <c r="DY3" s="41" t="s">
        <v>759</v>
      </c>
      <c r="DZ3" s="41" t="s">
        <v>760</v>
      </c>
      <c r="EA3" s="41" t="s">
        <v>761</v>
      </c>
      <c r="EB3" s="41" t="s">
        <v>762</v>
      </c>
      <c r="EC3" s="41" t="s">
        <v>763</v>
      </c>
      <c r="ED3" s="41" t="s">
        <v>764</v>
      </c>
      <c r="EE3" s="41" t="s">
        <v>765</v>
      </c>
      <c r="EF3" s="41" t="s">
        <v>766</v>
      </c>
      <c r="EG3" s="41" t="s">
        <v>767</v>
      </c>
      <c r="EH3" s="41" t="s">
        <v>768</v>
      </c>
      <c r="EI3" s="41" t="s">
        <v>769</v>
      </c>
      <c r="EJ3" s="41" t="s">
        <v>770</v>
      </c>
      <c r="EK3" s="41" t="s">
        <v>771</v>
      </c>
      <c r="EL3" s="41" t="s">
        <v>772</v>
      </c>
      <c r="EM3" s="41" t="s">
        <v>773</v>
      </c>
      <c r="EN3" s="41" t="s">
        <v>774</v>
      </c>
      <c r="EO3" s="41" t="s">
        <v>775</v>
      </c>
      <c r="EP3" s="41" t="s">
        <v>776</v>
      </c>
      <c r="EQ3" s="41" t="s">
        <v>777</v>
      </c>
      <c r="ER3" s="41" t="s">
        <v>778</v>
      </c>
      <c r="ES3" s="41" t="s">
        <v>779</v>
      </c>
      <c r="ET3" s="41" t="s">
        <v>780</v>
      </c>
      <c r="EU3" s="41" t="s">
        <v>781</v>
      </c>
      <c r="EV3" s="41" t="s">
        <v>782</v>
      </c>
      <c r="EW3" s="41" t="s">
        <v>783</v>
      </c>
      <c r="EX3" s="41" t="s">
        <v>784</v>
      </c>
      <c r="EY3" s="41" t="s">
        <v>474</v>
      </c>
      <c r="EZ3" s="41" t="s">
        <v>785</v>
      </c>
      <c r="FA3" s="41" t="s">
        <v>786</v>
      </c>
      <c r="FB3" s="41" t="s">
        <v>474</v>
      </c>
      <c r="FC3" s="41" t="s">
        <v>787</v>
      </c>
      <c r="FD3" s="41" t="s">
        <v>788</v>
      </c>
      <c r="FE3" s="41" t="s">
        <v>789</v>
      </c>
      <c r="FF3" s="41" t="s">
        <v>790</v>
      </c>
      <c r="FG3" s="41" t="s">
        <v>791</v>
      </c>
      <c r="FH3" s="41" t="s">
        <v>792</v>
      </c>
      <c r="FI3" s="41" t="s">
        <v>793</v>
      </c>
      <c r="FJ3" s="41" t="s">
        <v>794</v>
      </c>
      <c r="FK3" s="41" t="s">
        <v>795</v>
      </c>
      <c r="FL3" s="41" t="s">
        <v>796</v>
      </c>
      <c r="FM3" s="41" t="s">
        <v>797</v>
      </c>
      <c r="FN3" s="41" t="s">
        <v>798</v>
      </c>
      <c r="FO3" s="41" t="s">
        <v>799</v>
      </c>
      <c r="FP3" s="41" t="s">
        <v>800</v>
      </c>
      <c r="FQ3" s="41" t="s">
        <v>801</v>
      </c>
      <c r="FR3" s="41" t="s">
        <v>802</v>
      </c>
      <c r="FS3" s="41" t="s">
        <v>803</v>
      </c>
      <c r="FT3" s="41" t="s">
        <v>804</v>
      </c>
      <c r="FU3" s="41" t="s">
        <v>805</v>
      </c>
      <c r="FV3" s="41" t="s">
        <v>806</v>
      </c>
      <c r="FW3" s="41" t="s">
        <v>807</v>
      </c>
      <c r="FX3" s="41" t="s">
        <v>808</v>
      </c>
      <c r="FY3" s="41" t="s">
        <v>809</v>
      </c>
      <c r="FZ3" s="41" t="s">
        <v>810</v>
      </c>
      <c r="GA3" s="41" t="s">
        <v>811</v>
      </c>
      <c r="GB3" s="41" t="s">
        <v>812</v>
      </c>
      <c r="GC3" s="41" t="s">
        <v>474</v>
      </c>
      <c r="GD3" s="41" t="s">
        <v>813</v>
      </c>
      <c r="GE3" s="41" t="s">
        <v>814</v>
      </c>
      <c r="GF3" s="41" t="s">
        <v>474</v>
      </c>
      <c r="GG3" s="41" t="s">
        <v>815</v>
      </c>
      <c r="GH3" s="41" t="s">
        <v>816</v>
      </c>
      <c r="GI3" s="41" t="s">
        <v>817</v>
      </c>
      <c r="GJ3" s="41" t="s">
        <v>818</v>
      </c>
      <c r="GK3" s="41" t="s">
        <v>819</v>
      </c>
      <c r="GL3" s="41" t="s">
        <v>820</v>
      </c>
      <c r="GM3" s="41" t="s">
        <v>821</v>
      </c>
      <c r="GN3" s="41" t="s">
        <v>822</v>
      </c>
      <c r="GO3" s="41" t="s">
        <v>823</v>
      </c>
      <c r="GP3" s="41" t="s">
        <v>824</v>
      </c>
      <c r="GQ3" s="41" t="s">
        <v>825</v>
      </c>
      <c r="GR3" s="41" t="s">
        <v>826</v>
      </c>
      <c r="GS3" s="41" t="s">
        <v>827</v>
      </c>
      <c r="GT3" s="41" t="s">
        <v>828</v>
      </c>
      <c r="GU3" s="41" t="s">
        <v>829</v>
      </c>
      <c r="GV3" s="41" t="s">
        <v>830</v>
      </c>
      <c r="GW3" s="41" t="s">
        <v>831</v>
      </c>
      <c r="GX3" s="41" t="s">
        <v>832</v>
      </c>
      <c r="GY3" s="41" t="s">
        <v>833</v>
      </c>
      <c r="GZ3" s="41" t="s">
        <v>834</v>
      </c>
      <c r="HA3" s="41" t="s">
        <v>835</v>
      </c>
      <c r="HB3" s="41" t="s">
        <v>836</v>
      </c>
      <c r="HC3" s="41" t="s">
        <v>837</v>
      </c>
      <c r="HD3" s="41" t="s">
        <v>838</v>
      </c>
      <c r="HE3" s="41" t="s">
        <v>839</v>
      </c>
      <c r="HF3" s="41" t="s">
        <v>840</v>
      </c>
      <c r="HG3" s="41" t="s">
        <v>841</v>
      </c>
      <c r="HH3" s="41" t="s">
        <v>842</v>
      </c>
      <c r="HI3" s="41" t="s">
        <v>843</v>
      </c>
      <c r="HJ3" s="41" t="s">
        <v>474</v>
      </c>
      <c r="HK3" s="41" t="s">
        <v>844</v>
      </c>
      <c r="HL3" s="41" t="s">
        <v>845</v>
      </c>
      <c r="HM3" s="41" t="s">
        <v>846</v>
      </c>
      <c r="HN3" s="41" t="s">
        <v>847</v>
      </c>
      <c r="HO3" s="41" t="s">
        <v>848</v>
      </c>
      <c r="HP3" s="41" t="s">
        <v>849</v>
      </c>
      <c r="HQ3" s="41" t="s">
        <v>850</v>
      </c>
      <c r="HR3" s="41" t="s">
        <v>851</v>
      </c>
      <c r="HS3" s="41" t="s">
        <v>852</v>
      </c>
      <c r="HT3" s="41" t="s">
        <v>853</v>
      </c>
      <c r="HU3" s="41" t="s">
        <v>854</v>
      </c>
      <c r="HV3" s="41" t="s">
        <v>855</v>
      </c>
      <c r="HW3" s="41" t="s">
        <v>856</v>
      </c>
      <c r="HX3" s="41" t="s">
        <v>857</v>
      </c>
      <c r="HY3" s="41" t="s">
        <v>858</v>
      </c>
      <c r="HZ3" s="41" t="s">
        <v>859</v>
      </c>
      <c r="IA3" s="41" t="s">
        <v>860</v>
      </c>
      <c r="IB3" s="41" t="s">
        <v>861</v>
      </c>
      <c r="IC3" s="41" t="s">
        <v>862</v>
      </c>
      <c r="ID3" s="41" t="s">
        <v>863</v>
      </c>
      <c r="IE3" s="41" t="s">
        <v>864</v>
      </c>
      <c r="IF3" s="41" t="s">
        <v>865</v>
      </c>
      <c r="IG3" s="41" t="s">
        <v>866</v>
      </c>
      <c r="IH3" s="41" t="s">
        <v>867</v>
      </c>
      <c r="II3" s="41" t="s">
        <v>868</v>
      </c>
      <c r="IJ3" s="41" t="s">
        <v>869</v>
      </c>
      <c r="IK3" s="41" t="s">
        <v>474</v>
      </c>
      <c r="IL3" s="41" t="s">
        <v>870</v>
      </c>
      <c r="IM3" s="41" t="s">
        <v>871</v>
      </c>
      <c r="IN3" s="41" t="s">
        <v>474</v>
      </c>
      <c r="IO3" s="41" t="s">
        <v>872</v>
      </c>
      <c r="IP3" s="41" t="s">
        <v>873</v>
      </c>
      <c r="IQ3" s="41" t="s">
        <v>874</v>
      </c>
      <c r="IR3" s="41" t="s">
        <v>875</v>
      </c>
      <c r="IS3" s="41" t="s">
        <v>876</v>
      </c>
      <c r="IT3" s="41" t="s">
        <v>877</v>
      </c>
      <c r="IU3" s="41" t="s">
        <v>878</v>
      </c>
      <c r="IV3" s="41" t="s">
        <v>879</v>
      </c>
      <c r="IW3" s="41" t="s">
        <v>880</v>
      </c>
      <c r="IX3" s="41" t="s">
        <v>881</v>
      </c>
      <c r="IY3" s="41" t="s">
        <v>882</v>
      </c>
      <c r="IZ3" s="41" t="s">
        <v>883</v>
      </c>
      <c r="JA3" s="41" t="s">
        <v>884</v>
      </c>
      <c r="JB3" s="41" t="s">
        <v>885</v>
      </c>
      <c r="JC3" s="41" t="s">
        <v>886</v>
      </c>
      <c r="JD3" s="41" t="s">
        <v>887</v>
      </c>
      <c r="JE3" s="41" t="s">
        <v>888</v>
      </c>
      <c r="JF3" s="41" t="s">
        <v>889</v>
      </c>
      <c r="JG3" s="41" t="s">
        <v>890</v>
      </c>
      <c r="JH3" s="41" t="s">
        <v>891</v>
      </c>
      <c r="JI3" s="41" t="s">
        <v>892</v>
      </c>
      <c r="JJ3" s="41" t="s">
        <v>893</v>
      </c>
      <c r="JK3" s="41" t="s">
        <v>894</v>
      </c>
      <c r="JL3" s="41" t="s">
        <v>895</v>
      </c>
      <c r="JM3" s="41" t="s">
        <v>896</v>
      </c>
      <c r="JN3" s="41" t="s">
        <v>897</v>
      </c>
      <c r="JO3" s="41" t="s">
        <v>474</v>
      </c>
      <c r="JP3" s="41" t="s">
        <v>898</v>
      </c>
      <c r="JQ3" s="41" t="s">
        <v>899</v>
      </c>
      <c r="JR3" s="41" t="s">
        <v>474</v>
      </c>
      <c r="JS3" s="41" t="s">
        <v>474</v>
      </c>
      <c r="JT3" s="41" t="s">
        <v>474</v>
      </c>
      <c r="JU3" s="41" t="s">
        <v>474</v>
      </c>
      <c r="JV3" s="41" t="s">
        <v>474</v>
      </c>
      <c r="JW3" s="41" t="s">
        <v>474</v>
      </c>
      <c r="JX3" s="41" t="s">
        <v>474</v>
      </c>
      <c r="JY3" s="41" t="s">
        <v>474</v>
      </c>
      <c r="JZ3" s="41" t="s">
        <v>474</v>
      </c>
      <c r="KA3" s="41" t="s">
        <v>474</v>
      </c>
      <c r="KB3" s="41" t="s">
        <v>474</v>
      </c>
      <c r="KC3" s="41" t="s">
        <v>474</v>
      </c>
      <c r="KD3" s="41" t="s">
        <v>474</v>
      </c>
      <c r="KE3" s="41" t="s">
        <v>474</v>
      </c>
      <c r="KF3" s="41" t="s">
        <v>474</v>
      </c>
      <c r="KG3" s="41" t="s">
        <v>474</v>
      </c>
      <c r="KH3" s="41" t="s">
        <v>474</v>
      </c>
      <c r="KI3" s="41" t="s">
        <v>474</v>
      </c>
      <c r="KJ3" s="41" t="s">
        <v>474</v>
      </c>
      <c r="KK3" s="41" t="s">
        <v>474</v>
      </c>
      <c r="KL3" s="41" t="s">
        <v>474</v>
      </c>
      <c r="KM3" s="41" t="s">
        <v>474</v>
      </c>
      <c r="KN3" s="41" t="s">
        <v>474</v>
      </c>
      <c r="KO3" s="41" t="s">
        <v>474</v>
      </c>
      <c r="KP3" s="41" t="s">
        <v>474</v>
      </c>
      <c r="KQ3" s="41" t="s">
        <v>474</v>
      </c>
      <c r="KR3" s="41" t="s">
        <v>474</v>
      </c>
      <c r="KS3" s="41" t="s">
        <v>474</v>
      </c>
      <c r="KT3" s="41" t="s">
        <v>474</v>
      </c>
      <c r="KU3" s="41" t="s">
        <v>474</v>
      </c>
      <c r="KV3" s="41" t="s">
        <v>474</v>
      </c>
      <c r="KW3" s="41" t="s">
        <v>474</v>
      </c>
      <c r="KX3" s="41" t="s">
        <v>474</v>
      </c>
      <c r="KY3" s="41" t="s">
        <v>474</v>
      </c>
      <c r="KZ3" s="41" t="s">
        <v>474</v>
      </c>
      <c r="LA3" s="41" t="s">
        <v>474</v>
      </c>
      <c r="LB3" s="41" t="s">
        <v>474</v>
      </c>
    </row>
    <row r="4" spans="1:314" x14ac:dyDescent="0.25">
      <c r="A4" t="s">
        <v>36</v>
      </c>
      <c r="B4" t="s">
        <v>37</v>
      </c>
      <c r="C4" t="s">
        <v>38</v>
      </c>
      <c r="D4" t="s">
        <v>39</v>
      </c>
      <c r="E4" t="s">
        <v>40</v>
      </c>
      <c r="F4" t="s">
        <v>41</v>
      </c>
      <c r="G4" t="s">
        <v>42</v>
      </c>
      <c r="H4" t="s">
        <v>43</v>
      </c>
      <c r="I4" t="s">
        <v>44</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70</v>
      </c>
      <c r="AJ4" t="s">
        <v>71</v>
      </c>
      <c r="AK4" t="s">
        <v>72</v>
      </c>
      <c r="AL4" t="s">
        <v>73</v>
      </c>
      <c r="AM4" t="s">
        <v>74</v>
      </c>
      <c r="AN4" t="s">
        <v>75</v>
      </c>
      <c r="AO4" t="s">
        <v>76</v>
      </c>
      <c r="AP4" t="s">
        <v>77</v>
      </c>
      <c r="AQ4" t="s">
        <v>78</v>
      </c>
      <c r="AR4" t="s">
        <v>79</v>
      </c>
      <c r="AS4" t="s">
        <v>80</v>
      </c>
      <c r="AT4" t="s">
        <v>81</v>
      </c>
      <c r="AU4" t="s">
        <v>82</v>
      </c>
      <c r="AV4" t="s">
        <v>83</v>
      </c>
      <c r="AW4" t="s">
        <v>84</v>
      </c>
      <c r="AX4" t="s">
        <v>85</v>
      </c>
      <c r="AY4" t="s">
        <v>86</v>
      </c>
      <c r="AZ4" t="s">
        <v>87</v>
      </c>
      <c r="BA4" t="s">
        <v>88</v>
      </c>
      <c r="BB4" t="s">
        <v>89</v>
      </c>
      <c r="BC4" t="s">
        <v>90</v>
      </c>
      <c r="BD4" t="s">
        <v>91</v>
      </c>
      <c r="BE4" t="s">
        <v>92</v>
      </c>
      <c r="BF4" t="s">
        <v>93</v>
      </c>
      <c r="BG4" t="s">
        <v>94</v>
      </c>
      <c r="BH4" t="s">
        <v>95</v>
      </c>
      <c r="BI4" t="s">
        <v>96</v>
      </c>
      <c r="BJ4" t="s">
        <v>97</v>
      </c>
      <c r="BK4" t="s">
        <v>98</v>
      </c>
      <c r="BL4" t="s">
        <v>99</v>
      </c>
      <c r="BM4" t="s">
        <v>100</v>
      </c>
      <c r="BN4" t="s">
        <v>101</v>
      </c>
      <c r="BO4" t="s">
        <v>102</v>
      </c>
      <c r="BP4" t="s">
        <v>103</v>
      </c>
      <c r="BQ4" t="s">
        <v>104</v>
      </c>
      <c r="BR4" t="s">
        <v>105</v>
      </c>
      <c r="BS4" t="s">
        <v>106</v>
      </c>
      <c r="BT4" t="s">
        <v>107</v>
      </c>
      <c r="BU4" t="s">
        <v>108</v>
      </c>
      <c r="BV4" t="s">
        <v>109</v>
      </c>
      <c r="BW4" t="s">
        <v>110</v>
      </c>
      <c r="BX4" t="s">
        <v>111</v>
      </c>
      <c r="BY4" t="s">
        <v>112</v>
      </c>
      <c r="BZ4" t="s">
        <v>113</v>
      </c>
      <c r="CA4" t="s">
        <v>114</v>
      </c>
      <c r="CB4" t="s">
        <v>115</v>
      </c>
      <c r="CC4" t="s">
        <v>116</v>
      </c>
      <c r="CD4" t="s">
        <v>117</v>
      </c>
      <c r="CE4" t="s">
        <v>118</v>
      </c>
      <c r="CF4" t="s">
        <v>119</v>
      </c>
      <c r="CG4" t="s">
        <v>120</v>
      </c>
      <c r="CH4" t="s">
        <v>121</v>
      </c>
      <c r="CI4" t="s">
        <v>122</v>
      </c>
      <c r="CJ4" t="s">
        <v>123</v>
      </c>
      <c r="CK4" t="s">
        <v>124</v>
      </c>
      <c r="CL4" t="s">
        <v>125</v>
      </c>
      <c r="CM4" t="s">
        <v>126</v>
      </c>
      <c r="CN4" t="s">
        <v>127</v>
      </c>
      <c r="CO4" t="s">
        <v>128</v>
      </c>
      <c r="CP4" t="s">
        <v>129</v>
      </c>
      <c r="CQ4" t="s">
        <v>130</v>
      </c>
      <c r="CR4" t="s">
        <v>131</v>
      </c>
      <c r="CS4" t="s">
        <v>132</v>
      </c>
      <c r="CT4" t="s">
        <v>133</v>
      </c>
      <c r="CU4" t="s">
        <v>134</v>
      </c>
      <c r="CV4" t="s">
        <v>135</v>
      </c>
      <c r="CW4" t="s">
        <v>136</v>
      </c>
      <c r="CX4" t="s">
        <v>137</v>
      </c>
      <c r="CY4" t="s">
        <v>138</v>
      </c>
      <c r="CZ4" t="s">
        <v>139</v>
      </c>
      <c r="DA4" t="s">
        <v>140</v>
      </c>
      <c r="DB4" t="s">
        <v>141</v>
      </c>
      <c r="DC4" t="s">
        <v>142</v>
      </c>
      <c r="DD4" t="s">
        <v>143</v>
      </c>
      <c r="DE4" t="s">
        <v>144</v>
      </c>
      <c r="DF4" t="s">
        <v>145</v>
      </c>
      <c r="DG4" t="s">
        <v>146</v>
      </c>
      <c r="DH4" t="s">
        <v>147</v>
      </c>
      <c r="DI4" t="s">
        <v>148</v>
      </c>
      <c r="DJ4" t="s">
        <v>149</v>
      </c>
      <c r="DK4" t="s">
        <v>150</v>
      </c>
      <c r="DL4" t="s">
        <v>151</v>
      </c>
      <c r="DM4" t="s">
        <v>152</v>
      </c>
      <c r="DN4" t="s">
        <v>153</v>
      </c>
      <c r="DO4" t="s">
        <v>154</v>
      </c>
      <c r="DP4" t="s">
        <v>155</v>
      </c>
      <c r="DQ4" t="s">
        <v>156</v>
      </c>
      <c r="DR4" t="s">
        <v>157</v>
      </c>
      <c r="DS4" t="s">
        <v>158</v>
      </c>
      <c r="DT4" t="s">
        <v>159</v>
      </c>
      <c r="DU4" t="s">
        <v>160</v>
      </c>
      <c r="DV4" t="s">
        <v>161</v>
      </c>
      <c r="DW4" t="s">
        <v>162</v>
      </c>
      <c r="DX4" t="s">
        <v>163</v>
      </c>
      <c r="DY4" t="s">
        <v>164</v>
      </c>
      <c r="DZ4" t="s">
        <v>165</v>
      </c>
      <c r="EA4" t="s">
        <v>166</v>
      </c>
      <c r="EB4" t="s">
        <v>167</v>
      </c>
      <c r="EC4" t="s">
        <v>168</v>
      </c>
      <c r="ED4" t="s">
        <v>169</v>
      </c>
      <c r="EE4" t="s">
        <v>170</v>
      </c>
      <c r="EF4" t="s">
        <v>171</v>
      </c>
      <c r="EG4" t="s">
        <v>172</v>
      </c>
      <c r="EH4" t="s">
        <v>173</v>
      </c>
      <c r="EI4" t="s">
        <v>174</v>
      </c>
      <c r="EJ4" t="s">
        <v>175</v>
      </c>
      <c r="EK4" t="s">
        <v>176</v>
      </c>
      <c r="EL4" t="s">
        <v>177</v>
      </c>
      <c r="EM4" t="s">
        <v>178</v>
      </c>
      <c r="EN4" t="s">
        <v>179</v>
      </c>
      <c r="EO4" t="s">
        <v>180</v>
      </c>
      <c r="EP4" t="s">
        <v>181</v>
      </c>
      <c r="EQ4" t="s">
        <v>182</v>
      </c>
      <c r="ER4" t="s">
        <v>183</v>
      </c>
      <c r="ES4" t="s">
        <v>184</v>
      </c>
      <c r="ET4" t="s">
        <v>185</v>
      </c>
      <c r="EU4" t="s">
        <v>186</v>
      </c>
      <c r="EV4" t="s">
        <v>187</v>
      </c>
      <c r="EW4" t="s">
        <v>188</v>
      </c>
      <c r="EX4" t="s">
        <v>189</v>
      </c>
      <c r="EY4" t="s">
        <v>190</v>
      </c>
      <c r="EZ4" t="s">
        <v>191</v>
      </c>
      <c r="FA4" t="s">
        <v>192</v>
      </c>
      <c r="FB4" t="s">
        <v>193</v>
      </c>
      <c r="FC4" t="s">
        <v>194</v>
      </c>
      <c r="FD4" t="s">
        <v>195</v>
      </c>
      <c r="FE4" t="s">
        <v>196</v>
      </c>
      <c r="FF4" t="s">
        <v>197</v>
      </c>
      <c r="FG4" t="s">
        <v>198</v>
      </c>
      <c r="FH4" t="s">
        <v>199</v>
      </c>
      <c r="FI4" t="s">
        <v>200</v>
      </c>
      <c r="FJ4" t="s">
        <v>201</v>
      </c>
      <c r="FK4" t="s">
        <v>202</v>
      </c>
      <c r="FL4" t="s">
        <v>203</v>
      </c>
      <c r="FM4" t="s">
        <v>204</v>
      </c>
      <c r="FN4" t="s">
        <v>205</v>
      </c>
      <c r="FO4" t="s">
        <v>206</v>
      </c>
      <c r="FP4" t="s">
        <v>207</v>
      </c>
      <c r="FQ4" t="s">
        <v>208</v>
      </c>
      <c r="FR4" t="s">
        <v>209</v>
      </c>
      <c r="FS4" t="s">
        <v>210</v>
      </c>
      <c r="FT4" t="s">
        <v>211</v>
      </c>
      <c r="FU4" t="s">
        <v>212</v>
      </c>
      <c r="FV4" t="s">
        <v>213</v>
      </c>
      <c r="FW4" t="s">
        <v>214</v>
      </c>
      <c r="FX4" t="s">
        <v>215</v>
      </c>
      <c r="FY4" t="s">
        <v>216</v>
      </c>
      <c r="FZ4" t="s">
        <v>217</v>
      </c>
      <c r="GA4" t="s">
        <v>218</v>
      </c>
      <c r="GB4" t="s">
        <v>219</v>
      </c>
      <c r="GC4" t="s">
        <v>220</v>
      </c>
      <c r="GD4" t="s">
        <v>221</v>
      </c>
      <c r="GE4" t="s">
        <v>222</v>
      </c>
      <c r="GF4" t="s">
        <v>223</v>
      </c>
      <c r="GG4" t="s">
        <v>224</v>
      </c>
      <c r="GH4" t="s">
        <v>225</v>
      </c>
      <c r="GI4" t="s">
        <v>226</v>
      </c>
      <c r="GJ4" t="s">
        <v>227</v>
      </c>
      <c r="GK4" t="s">
        <v>228</v>
      </c>
      <c r="GL4" t="s">
        <v>229</v>
      </c>
      <c r="GM4" t="s">
        <v>230</v>
      </c>
      <c r="GN4" t="s">
        <v>231</v>
      </c>
      <c r="GO4" t="s">
        <v>232</v>
      </c>
      <c r="GP4" t="s">
        <v>233</v>
      </c>
      <c r="GQ4" t="s">
        <v>234</v>
      </c>
      <c r="GR4" t="s">
        <v>235</v>
      </c>
      <c r="GS4" t="s">
        <v>236</v>
      </c>
      <c r="GT4" t="s">
        <v>237</v>
      </c>
      <c r="GU4" t="s">
        <v>238</v>
      </c>
      <c r="GV4" t="s">
        <v>239</v>
      </c>
      <c r="GW4" t="s">
        <v>240</v>
      </c>
      <c r="GX4" t="s">
        <v>241</v>
      </c>
      <c r="GY4" t="s">
        <v>242</v>
      </c>
      <c r="GZ4" t="s">
        <v>243</v>
      </c>
      <c r="HA4" t="s">
        <v>244</v>
      </c>
      <c r="HB4" t="s">
        <v>245</v>
      </c>
      <c r="HC4" t="s">
        <v>246</v>
      </c>
      <c r="HD4" t="s">
        <v>247</v>
      </c>
      <c r="HE4" t="s">
        <v>248</v>
      </c>
      <c r="HF4" t="s">
        <v>249</v>
      </c>
      <c r="HG4" t="s">
        <v>250</v>
      </c>
      <c r="HH4" t="s">
        <v>251</v>
      </c>
      <c r="HI4" t="s">
        <v>252</v>
      </c>
      <c r="HJ4" t="s">
        <v>253</v>
      </c>
      <c r="HK4" t="s">
        <v>254</v>
      </c>
      <c r="HL4" t="s">
        <v>255</v>
      </c>
      <c r="HM4" t="s">
        <v>256</v>
      </c>
      <c r="HN4" t="s">
        <v>257</v>
      </c>
      <c r="HO4" t="s">
        <v>258</v>
      </c>
      <c r="HP4" t="s">
        <v>259</v>
      </c>
      <c r="HQ4" t="s">
        <v>260</v>
      </c>
      <c r="HR4" t="s">
        <v>261</v>
      </c>
      <c r="HS4" t="s">
        <v>262</v>
      </c>
      <c r="HT4" t="s">
        <v>263</v>
      </c>
      <c r="HU4" t="s">
        <v>264</v>
      </c>
      <c r="HV4" t="s">
        <v>265</v>
      </c>
      <c r="HW4" t="s">
        <v>266</v>
      </c>
      <c r="HX4" t="s">
        <v>267</v>
      </c>
      <c r="HY4" t="s">
        <v>268</v>
      </c>
      <c r="HZ4" t="s">
        <v>269</v>
      </c>
      <c r="IA4" t="s">
        <v>270</v>
      </c>
      <c r="IB4" t="s">
        <v>271</v>
      </c>
      <c r="IC4" t="s">
        <v>272</v>
      </c>
      <c r="ID4" t="s">
        <v>273</v>
      </c>
      <c r="IE4" t="s">
        <v>274</v>
      </c>
      <c r="IF4" t="s">
        <v>275</v>
      </c>
      <c r="IG4" t="s">
        <v>276</v>
      </c>
      <c r="IH4" t="s">
        <v>277</v>
      </c>
      <c r="II4" t="s">
        <v>278</v>
      </c>
      <c r="IJ4" t="s">
        <v>279</v>
      </c>
      <c r="IK4" t="s">
        <v>280</v>
      </c>
      <c r="IL4" t="s">
        <v>281</v>
      </c>
      <c r="IM4" t="s">
        <v>282</v>
      </c>
      <c r="IN4" t="s">
        <v>283</v>
      </c>
      <c r="IO4" t="s">
        <v>284</v>
      </c>
      <c r="IP4" t="s">
        <v>285</v>
      </c>
      <c r="IQ4" t="s">
        <v>286</v>
      </c>
      <c r="IR4" t="s">
        <v>287</v>
      </c>
      <c r="IS4" t="s">
        <v>288</v>
      </c>
      <c r="IT4" t="s">
        <v>289</v>
      </c>
      <c r="IU4" t="s">
        <v>290</v>
      </c>
      <c r="IV4" t="s">
        <v>291</v>
      </c>
      <c r="IW4" t="s">
        <v>292</v>
      </c>
      <c r="IX4" t="s">
        <v>293</v>
      </c>
      <c r="IY4" t="s">
        <v>294</v>
      </c>
      <c r="IZ4" t="s">
        <v>295</v>
      </c>
      <c r="JA4" t="s">
        <v>296</v>
      </c>
      <c r="JB4" t="s">
        <v>297</v>
      </c>
      <c r="JC4" t="s">
        <v>298</v>
      </c>
      <c r="JD4" t="s">
        <v>299</v>
      </c>
      <c r="JE4" t="s">
        <v>300</v>
      </c>
      <c r="JF4" t="s">
        <v>301</v>
      </c>
      <c r="JG4" t="s">
        <v>302</v>
      </c>
      <c r="JH4" t="s">
        <v>303</v>
      </c>
      <c r="JI4" t="s">
        <v>304</v>
      </c>
      <c r="JJ4" t="s">
        <v>305</v>
      </c>
      <c r="JK4" t="s">
        <v>306</v>
      </c>
      <c r="JL4" t="s">
        <v>307</v>
      </c>
      <c r="JM4" t="s">
        <v>308</v>
      </c>
      <c r="JN4" t="s">
        <v>309</v>
      </c>
      <c r="JO4" t="s">
        <v>310</v>
      </c>
      <c r="JP4" t="s">
        <v>311</v>
      </c>
      <c r="JQ4" t="s">
        <v>312</v>
      </c>
      <c r="JR4" t="s">
        <v>313</v>
      </c>
      <c r="JS4" t="s">
        <v>314</v>
      </c>
      <c r="JT4" t="s">
        <v>315</v>
      </c>
      <c r="JU4" t="s">
        <v>316</v>
      </c>
      <c r="JV4" t="s">
        <v>317</v>
      </c>
      <c r="JW4" t="s">
        <v>318</v>
      </c>
      <c r="JX4" t="s">
        <v>319</v>
      </c>
      <c r="JY4" t="s">
        <v>320</v>
      </c>
      <c r="JZ4" t="s">
        <v>321</v>
      </c>
      <c r="KA4" t="s">
        <v>322</v>
      </c>
      <c r="KB4" t="s">
        <v>323</v>
      </c>
      <c r="KC4" t="s">
        <v>324</v>
      </c>
      <c r="KD4" t="s">
        <v>325</v>
      </c>
      <c r="KE4" t="s">
        <v>326</v>
      </c>
      <c r="KF4" t="s">
        <v>327</v>
      </c>
      <c r="KG4" t="s">
        <v>328</v>
      </c>
      <c r="KH4" t="s">
        <v>329</v>
      </c>
      <c r="KI4" t="s">
        <v>330</v>
      </c>
      <c r="KJ4" t="s">
        <v>331</v>
      </c>
      <c r="KK4" t="s">
        <v>332</v>
      </c>
      <c r="KL4" t="s">
        <v>333</v>
      </c>
      <c r="KM4" t="s">
        <v>334</v>
      </c>
      <c r="KN4" t="s">
        <v>335</v>
      </c>
      <c r="KO4" t="s">
        <v>336</v>
      </c>
      <c r="KP4" t="s">
        <v>337</v>
      </c>
      <c r="KQ4" t="s">
        <v>338</v>
      </c>
      <c r="KR4" t="s">
        <v>339</v>
      </c>
      <c r="KS4" t="s">
        <v>340</v>
      </c>
      <c r="KT4" t="s">
        <v>341</v>
      </c>
      <c r="KU4" t="s">
        <v>342</v>
      </c>
      <c r="KV4" t="s">
        <v>343</v>
      </c>
      <c r="KW4" t="s">
        <v>344</v>
      </c>
      <c r="KX4" t="s">
        <v>345</v>
      </c>
      <c r="KY4" t="s">
        <v>346</v>
      </c>
      <c r="KZ4" t="s">
        <v>347</v>
      </c>
      <c r="LA4" t="s">
        <v>348</v>
      </c>
      <c r="LB4" t="s">
        <v>349</v>
      </c>
    </row>
    <row r="5" spans="1:314" x14ac:dyDescent="0.25">
      <c r="A5" t="s">
        <v>394</v>
      </c>
      <c r="C5" t="s">
        <v>1088</v>
      </c>
      <c r="D5" t="s">
        <v>1108</v>
      </c>
      <c r="E5" s="2">
        <v>39797.591562499998</v>
      </c>
      <c r="G5" t="s">
        <v>395</v>
      </c>
      <c r="L5">
        <v>0</v>
      </c>
      <c r="M5">
        <v>0</v>
      </c>
      <c r="N5">
        <v>0</v>
      </c>
      <c r="O5">
        <v>208755618</v>
      </c>
      <c r="P5" s="69">
        <v>0</v>
      </c>
      <c r="Q5" s="69">
        <v>7312138</v>
      </c>
      <c r="R5">
        <v>0</v>
      </c>
      <c r="S5">
        <v>7312138</v>
      </c>
      <c r="T5">
        <v>21810752</v>
      </c>
      <c r="U5">
        <v>16129130</v>
      </c>
      <c r="V5">
        <v>13259962</v>
      </c>
      <c r="W5">
        <v>0</v>
      </c>
      <c r="X5">
        <v>0</v>
      </c>
      <c r="Y5">
        <v>0</v>
      </c>
      <c r="Z5">
        <v>51199844</v>
      </c>
      <c r="AA5">
        <v>15956322</v>
      </c>
      <c r="AB5">
        <v>4222185</v>
      </c>
      <c r="AC5">
        <v>5327728</v>
      </c>
      <c r="AD5">
        <v>0</v>
      </c>
      <c r="AE5">
        <v>546574</v>
      </c>
      <c r="AF5">
        <v>3293903</v>
      </c>
      <c r="AG5">
        <v>29346712</v>
      </c>
      <c r="AH5">
        <v>37767074</v>
      </c>
      <c r="AI5">
        <v>20351315</v>
      </c>
      <c r="AJ5">
        <v>18587690</v>
      </c>
      <c r="AK5">
        <v>0</v>
      </c>
      <c r="AL5">
        <v>546574</v>
      </c>
      <c r="AM5">
        <v>3293903</v>
      </c>
      <c r="AN5">
        <v>80546556</v>
      </c>
      <c r="AO5">
        <v>0</v>
      </c>
      <c r="AP5">
        <v>0</v>
      </c>
      <c r="AQ5">
        <v>223310</v>
      </c>
      <c r="AR5">
        <v>0</v>
      </c>
      <c r="AS5">
        <v>223310</v>
      </c>
      <c r="AT5">
        <v>0</v>
      </c>
      <c r="AU5">
        <v>0</v>
      </c>
      <c r="AV5">
        <v>206173</v>
      </c>
      <c r="AW5">
        <v>0</v>
      </c>
      <c r="AX5">
        <v>206173</v>
      </c>
      <c r="AY5">
        <v>0</v>
      </c>
      <c r="AZ5">
        <v>0</v>
      </c>
      <c r="BA5">
        <v>429483</v>
      </c>
      <c r="BB5">
        <v>0</v>
      </c>
      <c r="BC5">
        <v>429483</v>
      </c>
      <c r="BD5">
        <v>7958726</v>
      </c>
      <c r="BE5">
        <v>0</v>
      </c>
      <c r="BF5">
        <v>0</v>
      </c>
      <c r="BG5">
        <v>0</v>
      </c>
      <c r="BH5">
        <v>0</v>
      </c>
      <c r="BI5">
        <v>7958726</v>
      </c>
      <c r="BJ5">
        <v>0</v>
      </c>
      <c r="BK5">
        <v>0</v>
      </c>
      <c r="BL5">
        <v>2727171</v>
      </c>
      <c r="BM5">
        <v>0</v>
      </c>
      <c r="BN5">
        <v>0</v>
      </c>
      <c r="BO5">
        <v>2727171</v>
      </c>
      <c r="BP5">
        <v>8153492</v>
      </c>
      <c r="BQ5">
        <v>1541178</v>
      </c>
      <c r="BR5">
        <v>0</v>
      </c>
      <c r="BS5">
        <v>0</v>
      </c>
      <c r="BT5">
        <v>0</v>
      </c>
      <c r="BU5">
        <v>9694670</v>
      </c>
      <c r="BV5">
        <v>16112218</v>
      </c>
      <c r="BW5">
        <v>1541178</v>
      </c>
      <c r="BX5">
        <v>2727171</v>
      </c>
      <c r="BY5">
        <v>0</v>
      </c>
      <c r="BZ5">
        <v>0</v>
      </c>
      <c r="CA5">
        <v>20380567</v>
      </c>
      <c r="CB5">
        <v>0</v>
      </c>
      <c r="CC5">
        <v>0</v>
      </c>
      <c r="CD5">
        <v>0</v>
      </c>
      <c r="CE5">
        <v>0</v>
      </c>
      <c r="CF5">
        <v>0</v>
      </c>
      <c r="CG5">
        <v>0</v>
      </c>
      <c r="CH5">
        <v>0</v>
      </c>
      <c r="CI5">
        <v>0</v>
      </c>
      <c r="CJ5">
        <v>0</v>
      </c>
      <c r="CK5">
        <v>0</v>
      </c>
      <c r="CL5">
        <v>0</v>
      </c>
      <c r="CM5">
        <v>0</v>
      </c>
      <c r="CN5">
        <v>0</v>
      </c>
      <c r="CO5">
        <v>0</v>
      </c>
      <c r="CP5">
        <v>0</v>
      </c>
      <c r="CQ5">
        <v>0</v>
      </c>
      <c r="CR5">
        <v>3607</v>
      </c>
      <c r="CS5">
        <v>8378007</v>
      </c>
      <c r="CT5">
        <v>0</v>
      </c>
      <c r="CU5">
        <v>71760</v>
      </c>
      <c r="CV5">
        <v>170428</v>
      </c>
      <c r="CW5">
        <v>2158384</v>
      </c>
      <c r="CX5">
        <v>1108981</v>
      </c>
      <c r="CY5">
        <v>3568</v>
      </c>
      <c r="CZ5">
        <v>314561</v>
      </c>
      <c r="DA5">
        <v>766228</v>
      </c>
      <c r="DB5">
        <v>75468</v>
      </c>
      <c r="DC5">
        <v>748495</v>
      </c>
      <c r="DD5">
        <v>23472</v>
      </c>
      <c r="DE5">
        <v>358676</v>
      </c>
      <c r="DF5">
        <v>3806778</v>
      </c>
      <c r="DG5">
        <v>696204</v>
      </c>
      <c r="DH5">
        <v>452026</v>
      </c>
      <c r="DI5">
        <v>0</v>
      </c>
      <c r="DJ5">
        <v>656649</v>
      </c>
      <c r="DK5">
        <v>47936</v>
      </c>
      <c r="DL5">
        <v>267616</v>
      </c>
      <c r="DM5">
        <v>2606552</v>
      </c>
      <c r="DN5">
        <v>283561</v>
      </c>
      <c r="DO5">
        <v>181310</v>
      </c>
      <c r="DP5">
        <v>26326</v>
      </c>
      <c r="DQ5">
        <v>553824</v>
      </c>
      <c r="DR5">
        <v>475864</v>
      </c>
      <c r="DS5">
        <v>3414220</v>
      </c>
      <c r="DT5">
        <v>1013568</v>
      </c>
      <c r="DU5">
        <v>0</v>
      </c>
      <c r="DX5" s="69">
        <v>20282455</v>
      </c>
      <c r="DY5" s="69">
        <v>109155</v>
      </c>
      <c r="DZ5" s="69">
        <v>903364</v>
      </c>
      <c r="EA5" s="69">
        <v>7631745</v>
      </c>
      <c r="EB5" s="69">
        <v>4195619</v>
      </c>
      <c r="EC5" s="69">
        <v>58234</v>
      </c>
      <c r="ED5" s="69">
        <v>908502</v>
      </c>
      <c r="EE5" s="69">
        <v>3479222</v>
      </c>
      <c r="EF5" s="69">
        <v>336852</v>
      </c>
      <c r="EG5" s="69">
        <v>1771999</v>
      </c>
      <c r="EH5" s="69">
        <v>173391</v>
      </c>
      <c r="EI5" s="69">
        <v>1791633</v>
      </c>
      <c r="EJ5" s="69">
        <v>14330673</v>
      </c>
      <c r="EK5" s="69">
        <v>1666817</v>
      </c>
      <c r="EL5" s="69">
        <v>3295854</v>
      </c>
      <c r="EM5" s="69">
        <v>0</v>
      </c>
      <c r="EN5" s="69">
        <v>2352776</v>
      </c>
      <c r="EO5" s="69">
        <v>414215</v>
      </c>
      <c r="EP5" s="69">
        <v>1167033</v>
      </c>
      <c r="EQ5" s="69">
        <v>9045562</v>
      </c>
      <c r="ER5" s="69">
        <v>1014047</v>
      </c>
      <c r="ES5" s="69">
        <v>875214</v>
      </c>
      <c r="ET5" s="69">
        <v>7859</v>
      </c>
      <c r="EU5" s="69">
        <v>2286452</v>
      </c>
      <c r="EV5" s="69">
        <v>1465868</v>
      </c>
      <c r="EW5" s="69">
        <v>11198342</v>
      </c>
      <c r="EX5" s="69">
        <v>4320557</v>
      </c>
      <c r="EY5" s="69">
        <v>0</v>
      </c>
      <c r="EZ5" s="69"/>
      <c r="FA5" s="69"/>
      <c r="FB5" s="69">
        <v>74800985</v>
      </c>
      <c r="FC5" s="69">
        <v>35304</v>
      </c>
      <c r="FD5" s="69">
        <v>216795</v>
      </c>
      <c r="FE5" s="69">
        <v>1048847</v>
      </c>
      <c r="FF5" s="69">
        <v>1024296</v>
      </c>
      <c r="FG5" s="69">
        <v>0</v>
      </c>
      <c r="FH5" s="69">
        <v>599293</v>
      </c>
      <c r="FI5" s="69">
        <v>696810</v>
      </c>
      <c r="FJ5" s="69">
        <v>85063</v>
      </c>
      <c r="FK5" s="69">
        <v>1065902</v>
      </c>
      <c r="FL5" s="69">
        <v>53262</v>
      </c>
      <c r="FM5" s="69">
        <v>641727</v>
      </c>
      <c r="FN5" s="69">
        <v>2492036</v>
      </c>
      <c r="FO5" s="69">
        <v>386681</v>
      </c>
      <c r="FP5" s="69">
        <v>1024391</v>
      </c>
      <c r="FQ5" s="69">
        <v>0</v>
      </c>
      <c r="FR5" s="69">
        <v>523058</v>
      </c>
      <c r="FS5" s="69">
        <v>36070</v>
      </c>
      <c r="FT5" s="69">
        <v>265017</v>
      </c>
      <c r="FU5" s="69">
        <v>1016326</v>
      </c>
      <c r="FV5" s="69">
        <v>343962</v>
      </c>
      <c r="FW5" s="69">
        <v>300500</v>
      </c>
      <c r="FX5" s="69">
        <v>3603</v>
      </c>
      <c r="FY5" s="69">
        <v>348791</v>
      </c>
      <c r="FZ5" s="69">
        <v>285338</v>
      </c>
      <c r="GA5" s="69">
        <v>829513</v>
      </c>
      <c r="GB5" s="69">
        <v>715643</v>
      </c>
      <c r="GC5" s="69">
        <v>0</v>
      </c>
      <c r="GD5" s="69"/>
      <c r="GE5" s="69"/>
      <c r="GF5" s="69">
        <v>14038228</v>
      </c>
      <c r="GG5" s="69">
        <v>13623</v>
      </c>
      <c r="GH5" s="69">
        <v>105637</v>
      </c>
      <c r="GI5" s="69">
        <v>818626</v>
      </c>
      <c r="GJ5" s="69">
        <v>492266</v>
      </c>
      <c r="GK5" s="69">
        <v>5492</v>
      </c>
      <c r="GL5" s="69">
        <v>142193</v>
      </c>
      <c r="GM5" s="69">
        <v>393822</v>
      </c>
      <c r="GN5" s="69">
        <v>39789</v>
      </c>
      <c r="GO5" s="69">
        <v>267629</v>
      </c>
      <c r="GP5" s="69">
        <v>21375</v>
      </c>
      <c r="GQ5" s="69">
        <v>229479</v>
      </c>
      <c r="GR5" s="69">
        <v>1586470</v>
      </c>
      <c r="GS5" s="69">
        <v>193656</v>
      </c>
      <c r="GT5" s="69">
        <v>407422</v>
      </c>
      <c r="GU5" s="69">
        <v>0</v>
      </c>
      <c r="GV5" s="69">
        <v>271206</v>
      </c>
      <c r="GW5" s="69">
        <v>42464</v>
      </c>
      <c r="GX5" s="69">
        <v>135050</v>
      </c>
      <c r="GY5" s="69">
        <v>948889</v>
      </c>
      <c r="GZ5" s="69">
        <v>128067</v>
      </c>
      <c r="HA5" s="69">
        <v>110876</v>
      </c>
      <c r="HB5" s="69">
        <v>1081</v>
      </c>
      <c r="HC5" s="69">
        <v>248517</v>
      </c>
      <c r="HD5" s="69">
        <v>165148</v>
      </c>
      <c r="HE5" s="69">
        <v>1134290</v>
      </c>
      <c r="HF5" s="69">
        <v>474940</v>
      </c>
      <c r="HG5" s="69">
        <v>0</v>
      </c>
      <c r="HH5" s="69"/>
      <c r="HI5" s="69"/>
      <c r="HJ5" s="69">
        <v>8378007</v>
      </c>
      <c r="HK5" s="69">
        <v>28057</v>
      </c>
      <c r="HL5" s="69">
        <v>163611</v>
      </c>
      <c r="HM5" s="69">
        <v>641595</v>
      </c>
      <c r="HN5" s="69">
        <v>385089</v>
      </c>
      <c r="HO5" s="69">
        <v>49507</v>
      </c>
      <c r="HP5" s="69">
        <v>291807</v>
      </c>
      <c r="HQ5" s="69">
        <v>377766</v>
      </c>
      <c r="HR5" s="69">
        <v>99245</v>
      </c>
      <c r="HS5" s="69">
        <v>208074</v>
      </c>
      <c r="HT5" s="69">
        <v>7908</v>
      </c>
      <c r="HU5" s="69">
        <v>572582</v>
      </c>
      <c r="HV5" s="69">
        <v>487437</v>
      </c>
      <c r="HW5" s="69">
        <v>95060</v>
      </c>
      <c r="HX5" s="69">
        <v>268945</v>
      </c>
      <c r="HY5" s="69">
        <v>0</v>
      </c>
      <c r="HZ5" s="69">
        <v>496499</v>
      </c>
      <c r="IA5" s="69">
        <v>23519</v>
      </c>
      <c r="IB5" s="69">
        <v>75015</v>
      </c>
      <c r="IC5" s="69">
        <v>242348</v>
      </c>
      <c r="ID5" s="69">
        <v>226024</v>
      </c>
      <c r="IE5" s="69">
        <v>216090</v>
      </c>
      <c r="IF5" s="69">
        <v>3848</v>
      </c>
      <c r="IG5" s="69">
        <v>153200</v>
      </c>
      <c r="IH5" s="69">
        <v>306765</v>
      </c>
      <c r="II5" s="69">
        <v>330526</v>
      </c>
      <c r="IJ5" s="69">
        <v>413040</v>
      </c>
      <c r="IK5" s="69">
        <v>0</v>
      </c>
      <c r="IL5" s="69"/>
      <c r="IM5" s="69"/>
      <c r="IN5" s="69">
        <v>6163557</v>
      </c>
      <c r="IO5" s="69">
        <v>76984</v>
      </c>
      <c r="IP5" s="69">
        <v>486043</v>
      </c>
      <c r="IQ5" s="69">
        <v>2509068</v>
      </c>
      <c r="IR5" s="69">
        <v>1901651</v>
      </c>
      <c r="IS5" s="69">
        <v>54999</v>
      </c>
      <c r="IT5" s="69">
        <v>1033293</v>
      </c>
      <c r="IU5" s="69">
        <v>1468398</v>
      </c>
      <c r="IV5" s="69">
        <v>224097</v>
      </c>
      <c r="IW5" s="69">
        <v>1541605</v>
      </c>
      <c r="IX5" s="69">
        <v>82545</v>
      </c>
      <c r="IY5" s="69">
        <v>1443788</v>
      </c>
      <c r="IZ5" s="69">
        <v>4565943</v>
      </c>
      <c r="JA5" s="69">
        <v>675397</v>
      </c>
      <c r="JB5" s="69">
        <v>1700758</v>
      </c>
      <c r="JC5" s="69">
        <v>0</v>
      </c>
      <c r="JD5" s="69">
        <v>1290763</v>
      </c>
      <c r="JE5" s="69">
        <v>102053</v>
      </c>
      <c r="JF5" s="69">
        <v>475082</v>
      </c>
      <c r="JG5" s="69">
        <v>2207563</v>
      </c>
      <c r="JH5" s="69">
        <v>698053</v>
      </c>
      <c r="JI5" s="69">
        <v>627466</v>
      </c>
      <c r="JJ5" s="69">
        <v>8532</v>
      </c>
      <c r="JK5" s="69">
        <v>750508</v>
      </c>
      <c r="JL5" s="69">
        <v>757251</v>
      </c>
      <c r="JM5" s="69">
        <v>2294329</v>
      </c>
      <c r="JN5" s="69">
        <v>1603623</v>
      </c>
      <c r="JO5" s="69">
        <v>0</v>
      </c>
      <c r="JP5" s="69"/>
      <c r="JQ5" s="69"/>
      <c r="JR5" s="69">
        <v>28579792</v>
      </c>
      <c r="JS5" s="69">
        <v>186139</v>
      </c>
      <c r="JT5" s="69">
        <v>1389407</v>
      </c>
      <c r="JU5" s="69">
        <v>10140813</v>
      </c>
      <c r="JV5" s="69">
        <v>6097270</v>
      </c>
      <c r="JW5" s="69">
        <v>113233</v>
      </c>
      <c r="JX5" s="69">
        <v>1941795</v>
      </c>
      <c r="JY5" s="69">
        <v>4947620</v>
      </c>
      <c r="JZ5" s="69">
        <v>560949</v>
      </c>
      <c r="KA5" s="69">
        <v>3313604</v>
      </c>
      <c r="KB5" s="69">
        <v>255936</v>
      </c>
      <c r="KC5" s="69">
        <v>3235421</v>
      </c>
      <c r="KD5" s="69">
        <v>18896616</v>
      </c>
      <c r="KE5" s="69">
        <v>2342214</v>
      </c>
      <c r="KF5" s="69">
        <v>4996612</v>
      </c>
      <c r="KG5" s="69">
        <v>0</v>
      </c>
      <c r="KH5" s="69">
        <v>3643539</v>
      </c>
      <c r="KI5" s="69">
        <v>516268</v>
      </c>
      <c r="KJ5" s="69">
        <v>1642115</v>
      </c>
      <c r="KK5" s="69">
        <v>11253125</v>
      </c>
      <c r="KL5" s="69">
        <v>1712100</v>
      </c>
      <c r="KM5" s="69">
        <v>1502680</v>
      </c>
      <c r="KN5" s="69">
        <v>16391</v>
      </c>
      <c r="KO5" s="69">
        <v>3036960</v>
      </c>
      <c r="KP5" s="69">
        <v>2223119</v>
      </c>
      <c r="KQ5" s="69">
        <v>13492671</v>
      </c>
      <c r="KR5" s="69">
        <v>5924180</v>
      </c>
      <c r="KS5" s="69">
        <v>0</v>
      </c>
      <c r="KT5" s="69"/>
      <c r="KU5" s="69"/>
      <c r="KV5" s="69">
        <v>103380777</v>
      </c>
      <c r="KW5" s="69"/>
    </row>
    <row r="6" spans="1:314" x14ac:dyDescent="0.25">
      <c r="A6" t="s">
        <v>350</v>
      </c>
      <c r="C6" t="s">
        <v>1088</v>
      </c>
      <c r="D6" t="s">
        <v>1117</v>
      </c>
      <c r="E6" s="2">
        <v>39797.6398611111</v>
      </c>
      <c r="G6" t="s">
        <v>351</v>
      </c>
      <c r="L6">
        <v>0</v>
      </c>
      <c r="M6">
        <v>0</v>
      </c>
      <c r="N6">
        <v>0</v>
      </c>
      <c r="O6">
        <v>24285098</v>
      </c>
      <c r="P6" s="69">
        <v>0</v>
      </c>
      <c r="Q6" s="69">
        <v>294560</v>
      </c>
      <c r="R6">
        <v>0</v>
      </c>
      <c r="S6">
        <v>294560</v>
      </c>
      <c r="T6">
        <v>2093164</v>
      </c>
      <c r="U6">
        <v>1424581</v>
      </c>
      <c r="V6">
        <v>1698504</v>
      </c>
      <c r="W6">
        <v>0</v>
      </c>
      <c r="X6">
        <v>0</v>
      </c>
      <c r="Y6">
        <v>0</v>
      </c>
      <c r="Z6">
        <v>5216249</v>
      </c>
      <c r="AA6">
        <v>1102689</v>
      </c>
      <c r="AB6">
        <v>251728</v>
      </c>
      <c r="AC6">
        <v>767150</v>
      </c>
      <c r="AD6">
        <v>0</v>
      </c>
      <c r="AE6">
        <v>0</v>
      </c>
      <c r="AF6">
        <v>311112</v>
      </c>
      <c r="AG6">
        <v>2432679</v>
      </c>
      <c r="AH6">
        <v>3195853</v>
      </c>
      <c r="AI6">
        <v>1676309</v>
      </c>
      <c r="AJ6">
        <v>2465654</v>
      </c>
      <c r="AK6">
        <v>0</v>
      </c>
      <c r="AL6">
        <v>0</v>
      </c>
      <c r="AM6">
        <v>311112</v>
      </c>
      <c r="AN6">
        <v>7648928</v>
      </c>
      <c r="AO6">
        <v>0</v>
      </c>
      <c r="AP6">
        <v>0</v>
      </c>
      <c r="AQ6">
        <v>85261</v>
      </c>
      <c r="AR6">
        <v>0</v>
      </c>
      <c r="AS6">
        <v>85261</v>
      </c>
      <c r="AT6">
        <v>0</v>
      </c>
      <c r="AU6">
        <v>0</v>
      </c>
      <c r="AV6">
        <v>43638</v>
      </c>
      <c r="AW6">
        <v>0</v>
      </c>
      <c r="AX6">
        <v>43638</v>
      </c>
      <c r="AY6">
        <v>0</v>
      </c>
      <c r="AZ6">
        <v>0</v>
      </c>
      <c r="BA6">
        <v>128899</v>
      </c>
      <c r="BB6">
        <v>0</v>
      </c>
      <c r="BC6">
        <v>128899</v>
      </c>
      <c r="BD6">
        <v>1185965</v>
      </c>
      <c r="BE6">
        <v>0</v>
      </c>
      <c r="BF6">
        <v>0</v>
      </c>
      <c r="BG6">
        <v>0</v>
      </c>
      <c r="BH6">
        <v>0</v>
      </c>
      <c r="BI6">
        <v>1185965</v>
      </c>
      <c r="BJ6">
        <v>0</v>
      </c>
      <c r="BK6">
        <v>0</v>
      </c>
      <c r="BL6">
        <v>242390</v>
      </c>
      <c r="BM6">
        <v>0</v>
      </c>
      <c r="BN6">
        <v>0</v>
      </c>
      <c r="BO6">
        <v>242390</v>
      </c>
      <c r="BP6">
        <v>2929194</v>
      </c>
      <c r="BQ6">
        <v>0</v>
      </c>
      <c r="BR6">
        <v>0</v>
      </c>
      <c r="BS6">
        <v>0</v>
      </c>
      <c r="BT6">
        <v>0</v>
      </c>
      <c r="BU6">
        <v>2929194</v>
      </c>
      <c r="BV6">
        <v>4115159</v>
      </c>
      <c r="BW6">
        <v>0</v>
      </c>
      <c r="BX6">
        <v>242390</v>
      </c>
      <c r="BY6">
        <v>0</v>
      </c>
      <c r="BZ6">
        <v>0</v>
      </c>
      <c r="CA6">
        <v>4357549</v>
      </c>
      <c r="CB6">
        <v>0</v>
      </c>
      <c r="CC6">
        <v>0</v>
      </c>
      <c r="CD6">
        <v>0</v>
      </c>
      <c r="CE6">
        <v>0</v>
      </c>
      <c r="CF6">
        <v>0</v>
      </c>
      <c r="CG6">
        <v>0</v>
      </c>
      <c r="CH6">
        <v>0</v>
      </c>
      <c r="CI6">
        <v>0</v>
      </c>
      <c r="CJ6">
        <v>0</v>
      </c>
      <c r="CK6">
        <v>0</v>
      </c>
      <c r="CL6">
        <v>0</v>
      </c>
      <c r="CM6">
        <v>0</v>
      </c>
      <c r="CN6">
        <v>0</v>
      </c>
      <c r="CO6">
        <v>0</v>
      </c>
      <c r="CP6">
        <v>0</v>
      </c>
      <c r="CQ6">
        <v>0</v>
      </c>
      <c r="CR6">
        <v>3539</v>
      </c>
      <c r="CS6">
        <v>567714</v>
      </c>
      <c r="CT6">
        <v>0</v>
      </c>
      <c r="CU6">
        <v>39312</v>
      </c>
      <c r="CV6">
        <v>21728</v>
      </c>
      <c r="CW6">
        <v>254728</v>
      </c>
      <c r="CX6">
        <v>280555</v>
      </c>
      <c r="CY6">
        <v>0</v>
      </c>
      <c r="CZ6">
        <v>56986</v>
      </c>
      <c r="DA6">
        <v>157836</v>
      </c>
      <c r="DB6">
        <v>3072</v>
      </c>
      <c r="DC6">
        <v>68504</v>
      </c>
      <c r="DD6">
        <v>0</v>
      </c>
      <c r="DE6">
        <v>110494</v>
      </c>
      <c r="DF6">
        <v>222416</v>
      </c>
      <c r="DG6">
        <v>26984</v>
      </c>
      <c r="DH6">
        <v>99852</v>
      </c>
      <c r="DI6">
        <v>0</v>
      </c>
      <c r="DJ6">
        <v>129249</v>
      </c>
      <c r="DK6">
        <v>41584</v>
      </c>
      <c r="DL6">
        <v>52720</v>
      </c>
      <c r="DM6">
        <v>201588</v>
      </c>
      <c r="DN6">
        <v>35576</v>
      </c>
      <c r="DO6">
        <v>232</v>
      </c>
      <c r="DP6">
        <v>27832</v>
      </c>
      <c r="DQ6">
        <v>63936</v>
      </c>
      <c r="DR6">
        <v>78032</v>
      </c>
      <c r="DS6">
        <v>242304</v>
      </c>
      <c r="DT6">
        <v>100496</v>
      </c>
      <c r="DU6">
        <v>0</v>
      </c>
      <c r="DX6" s="69">
        <v>2316016</v>
      </c>
      <c r="DY6" s="69">
        <v>67356</v>
      </c>
      <c r="DZ6" s="69">
        <v>91439</v>
      </c>
      <c r="EA6" s="69">
        <v>608579</v>
      </c>
      <c r="EB6" s="69">
        <v>1260300</v>
      </c>
      <c r="EC6" s="69">
        <v>0</v>
      </c>
      <c r="ED6" s="69">
        <v>227765</v>
      </c>
      <c r="EE6" s="69">
        <v>796123</v>
      </c>
      <c r="EF6" s="69">
        <v>32966</v>
      </c>
      <c r="EG6" s="69">
        <v>272290</v>
      </c>
      <c r="EH6" s="69">
        <v>0</v>
      </c>
      <c r="EI6" s="69">
        <v>355278</v>
      </c>
      <c r="EJ6" s="69">
        <v>885446</v>
      </c>
      <c r="EK6" s="69">
        <v>112513</v>
      </c>
      <c r="EL6" s="69">
        <v>665562</v>
      </c>
      <c r="EM6" s="69">
        <v>0</v>
      </c>
      <c r="EN6" s="69">
        <v>791272</v>
      </c>
      <c r="EO6" s="69">
        <v>327426</v>
      </c>
      <c r="EP6" s="69">
        <v>309336</v>
      </c>
      <c r="EQ6" s="69">
        <v>720110</v>
      </c>
      <c r="ER6" s="69">
        <v>59724</v>
      </c>
      <c r="ES6" s="69">
        <v>2665</v>
      </c>
      <c r="ET6" s="69">
        <v>196779</v>
      </c>
      <c r="EU6" s="69">
        <v>381040</v>
      </c>
      <c r="EV6" s="69">
        <v>259629</v>
      </c>
      <c r="EW6" s="69">
        <v>915674</v>
      </c>
      <c r="EX6" s="69">
        <v>812409</v>
      </c>
      <c r="EY6" s="69">
        <v>0</v>
      </c>
      <c r="EZ6" s="69"/>
      <c r="FA6" s="69"/>
      <c r="FB6" s="69">
        <v>10151681</v>
      </c>
      <c r="FC6" s="69">
        <v>0</v>
      </c>
      <c r="FD6" s="69">
        <v>357</v>
      </c>
      <c r="FE6" s="69">
        <v>2400</v>
      </c>
      <c r="FF6" s="69">
        <v>10988</v>
      </c>
      <c r="FG6" s="69">
        <v>0</v>
      </c>
      <c r="FH6" s="69">
        <v>2794</v>
      </c>
      <c r="FI6" s="69">
        <v>0</v>
      </c>
      <c r="FJ6" s="69">
        <v>0</v>
      </c>
      <c r="FK6" s="69">
        <v>0</v>
      </c>
      <c r="FL6" s="69">
        <v>0</v>
      </c>
      <c r="FM6" s="69">
        <v>13309</v>
      </c>
      <c r="FN6" s="69">
        <v>4839</v>
      </c>
      <c r="FO6" s="69">
        <v>155</v>
      </c>
      <c r="FP6" s="69">
        <v>1160</v>
      </c>
      <c r="FQ6" s="69">
        <v>0</v>
      </c>
      <c r="FR6" s="69">
        <v>462</v>
      </c>
      <c r="FS6" s="69">
        <v>0</v>
      </c>
      <c r="FT6" s="69">
        <v>0</v>
      </c>
      <c r="FU6" s="69">
        <v>0</v>
      </c>
      <c r="FV6" s="69">
        <v>0</v>
      </c>
      <c r="FW6" s="69">
        <v>0</v>
      </c>
      <c r="FX6" s="69">
        <v>8817</v>
      </c>
      <c r="FY6" s="69">
        <v>115</v>
      </c>
      <c r="FZ6" s="69">
        <v>0</v>
      </c>
      <c r="GA6" s="69">
        <v>0</v>
      </c>
      <c r="GB6" s="69">
        <v>8065</v>
      </c>
      <c r="GC6" s="69">
        <v>0</v>
      </c>
      <c r="GD6" s="69"/>
      <c r="GE6" s="69"/>
      <c r="GF6" s="69">
        <v>53461</v>
      </c>
      <c r="GG6" s="69">
        <v>3747</v>
      </c>
      <c r="GH6" s="69">
        <v>5107</v>
      </c>
      <c r="GI6" s="69">
        <v>33989</v>
      </c>
      <c r="GJ6" s="69">
        <v>70722</v>
      </c>
      <c r="GK6" s="69">
        <v>0</v>
      </c>
      <c r="GL6" s="69">
        <v>12826</v>
      </c>
      <c r="GM6" s="69">
        <v>44288</v>
      </c>
      <c r="GN6" s="69">
        <v>1834</v>
      </c>
      <c r="GO6" s="69">
        <v>15148</v>
      </c>
      <c r="GP6" s="69">
        <v>0</v>
      </c>
      <c r="GQ6" s="69">
        <v>20505</v>
      </c>
      <c r="GR6" s="69">
        <v>49527</v>
      </c>
      <c r="GS6" s="69">
        <v>6268</v>
      </c>
      <c r="GT6" s="69">
        <v>37090</v>
      </c>
      <c r="GU6" s="69">
        <v>0</v>
      </c>
      <c r="GV6" s="69">
        <v>44044</v>
      </c>
      <c r="GW6" s="69">
        <v>18215</v>
      </c>
      <c r="GX6" s="69">
        <v>17208</v>
      </c>
      <c r="GY6" s="69">
        <v>40060</v>
      </c>
      <c r="GZ6" s="69">
        <v>3322</v>
      </c>
      <c r="HA6" s="69">
        <v>148</v>
      </c>
      <c r="HB6" s="69">
        <v>11437</v>
      </c>
      <c r="HC6" s="69">
        <v>21204</v>
      </c>
      <c r="HD6" s="69">
        <v>14443</v>
      </c>
      <c r="HE6" s="69">
        <v>50939</v>
      </c>
      <c r="HF6" s="69">
        <v>45643</v>
      </c>
      <c r="HG6" s="69">
        <v>0</v>
      </c>
      <c r="HH6" s="69"/>
      <c r="HI6" s="69"/>
      <c r="HJ6" s="69">
        <v>567714</v>
      </c>
      <c r="HK6" s="69">
        <v>3444</v>
      </c>
      <c r="HL6" s="69">
        <v>35621</v>
      </c>
      <c r="HM6" s="69">
        <v>25156</v>
      </c>
      <c r="HN6" s="69">
        <v>377512</v>
      </c>
      <c r="HO6" s="69">
        <v>0</v>
      </c>
      <c r="HP6" s="69">
        <v>68040</v>
      </c>
      <c r="HQ6" s="69">
        <v>309698</v>
      </c>
      <c r="HR6" s="69">
        <v>0</v>
      </c>
      <c r="HS6" s="69">
        <v>13946</v>
      </c>
      <c r="HT6" s="69">
        <v>0</v>
      </c>
      <c r="HU6" s="69">
        <v>69874</v>
      </c>
      <c r="HV6" s="69">
        <v>8881</v>
      </c>
      <c r="HW6" s="69">
        <v>23268</v>
      </c>
      <c r="HX6" s="69">
        <v>23817</v>
      </c>
      <c r="HY6" s="69">
        <v>0</v>
      </c>
      <c r="HZ6" s="69">
        <v>83529</v>
      </c>
      <c r="IA6" s="69">
        <v>26209</v>
      </c>
      <c r="IB6" s="69">
        <v>22913</v>
      </c>
      <c r="IC6" s="69">
        <v>7405</v>
      </c>
      <c r="ID6" s="69">
        <v>85726</v>
      </c>
      <c r="IE6" s="69">
        <v>562</v>
      </c>
      <c r="IF6" s="69">
        <v>36940</v>
      </c>
      <c r="IG6" s="69">
        <v>27697</v>
      </c>
      <c r="IH6" s="69">
        <v>51153</v>
      </c>
      <c r="II6" s="69">
        <v>15231</v>
      </c>
      <c r="IJ6" s="69">
        <v>76796</v>
      </c>
      <c r="IK6" s="69">
        <v>0</v>
      </c>
      <c r="IL6" s="69"/>
      <c r="IM6" s="69"/>
      <c r="IN6" s="69">
        <v>1393418</v>
      </c>
      <c r="IO6" s="69">
        <v>7191</v>
      </c>
      <c r="IP6" s="69">
        <v>41085</v>
      </c>
      <c r="IQ6" s="69">
        <v>61545</v>
      </c>
      <c r="IR6" s="69">
        <v>459222</v>
      </c>
      <c r="IS6" s="69">
        <v>0</v>
      </c>
      <c r="IT6" s="69">
        <v>83660</v>
      </c>
      <c r="IU6" s="69">
        <v>353986</v>
      </c>
      <c r="IV6" s="69">
        <v>1834</v>
      </c>
      <c r="IW6" s="69">
        <v>29094</v>
      </c>
      <c r="IX6" s="69">
        <v>0</v>
      </c>
      <c r="IY6" s="69">
        <v>103688</v>
      </c>
      <c r="IZ6" s="69">
        <v>63247</v>
      </c>
      <c r="JA6" s="69">
        <v>29691</v>
      </c>
      <c r="JB6" s="69">
        <v>62067</v>
      </c>
      <c r="JC6" s="69">
        <v>0</v>
      </c>
      <c r="JD6" s="69">
        <v>128035</v>
      </c>
      <c r="JE6" s="69">
        <v>44424</v>
      </c>
      <c r="JF6" s="69">
        <v>40121</v>
      </c>
      <c r="JG6" s="69">
        <v>47465</v>
      </c>
      <c r="JH6" s="69">
        <v>89048</v>
      </c>
      <c r="JI6" s="69">
        <v>710</v>
      </c>
      <c r="JJ6" s="69">
        <v>57194</v>
      </c>
      <c r="JK6" s="69">
        <v>49016</v>
      </c>
      <c r="JL6" s="69">
        <v>65596</v>
      </c>
      <c r="JM6" s="69">
        <v>66170</v>
      </c>
      <c r="JN6" s="69">
        <v>130504</v>
      </c>
      <c r="JO6" s="69">
        <v>0</v>
      </c>
      <c r="JP6" s="69"/>
      <c r="JQ6" s="69"/>
      <c r="JR6" s="69">
        <v>2014593</v>
      </c>
      <c r="JS6" s="69">
        <v>74547</v>
      </c>
      <c r="JT6" s="69">
        <v>132524</v>
      </c>
      <c r="JU6" s="69">
        <v>670124</v>
      </c>
      <c r="JV6" s="69">
        <v>1719522</v>
      </c>
      <c r="JW6" s="69">
        <v>0</v>
      </c>
      <c r="JX6" s="69">
        <v>311425</v>
      </c>
      <c r="JY6" s="69">
        <v>1150109</v>
      </c>
      <c r="JZ6" s="69">
        <v>34800</v>
      </c>
      <c r="KA6" s="69">
        <v>301384</v>
      </c>
      <c r="KB6" s="69">
        <v>0</v>
      </c>
      <c r="KC6" s="69">
        <v>458966</v>
      </c>
      <c r="KD6" s="69">
        <v>948693</v>
      </c>
      <c r="KE6" s="69">
        <v>142204</v>
      </c>
      <c r="KF6" s="69">
        <v>727629</v>
      </c>
      <c r="KG6" s="69">
        <v>0</v>
      </c>
      <c r="KH6" s="69">
        <v>919307</v>
      </c>
      <c r="KI6" s="69">
        <v>371850</v>
      </c>
      <c r="KJ6" s="69">
        <v>349457</v>
      </c>
      <c r="KK6" s="69">
        <v>767575</v>
      </c>
      <c r="KL6" s="69">
        <v>148772</v>
      </c>
      <c r="KM6" s="69">
        <v>3375</v>
      </c>
      <c r="KN6" s="69">
        <v>253973</v>
      </c>
      <c r="KO6" s="69">
        <v>430056</v>
      </c>
      <c r="KP6" s="69">
        <v>325225</v>
      </c>
      <c r="KQ6" s="69">
        <v>981844</v>
      </c>
      <c r="KR6" s="69">
        <v>942913</v>
      </c>
      <c r="KS6" s="69">
        <v>0</v>
      </c>
      <c r="KT6" s="69"/>
      <c r="KU6" s="69"/>
      <c r="KV6" s="69">
        <v>12166274</v>
      </c>
      <c r="KW6" s="69"/>
    </row>
    <row r="7" spans="1:314" x14ac:dyDescent="0.25">
      <c r="A7" t="s">
        <v>352</v>
      </c>
      <c r="C7" t="s">
        <v>1088</v>
      </c>
      <c r="D7" t="s">
        <v>1089</v>
      </c>
      <c r="E7" s="2">
        <v>39797.556736111103</v>
      </c>
      <c r="G7" t="s">
        <v>353</v>
      </c>
      <c r="L7">
        <v>0</v>
      </c>
      <c r="M7">
        <v>0</v>
      </c>
      <c r="N7">
        <v>0</v>
      </c>
      <c r="O7">
        <v>42120463</v>
      </c>
      <c r="P7" s="69">
        <v>0</v>
      </c>
      <c r="Q7" s="69">
        <v>1603992</v>
      </c>
      <c r="R7">
        <v>0</v>
      </c>
      <c r="S7">
        <v>1603992</v>
      </c>
      <c r="T7">
        <v>4860174</v>
      </c>
      <c r="U7">
        <v>2143779</v>
      </c>
      <c r="V7">
        <v>2148130</v>
      </c>
      <c r="W7">
        <v>0</v>
      </c>
      <c r="X7">
        <v>0</v>
      </c>
      <c r="Y7">
        <v>0</v>
      </c>
      <c r="Z7">
        <v>9152083</v>
      </c>
      <c r="AA7">
        <v>3777393</v>
      </c>
      <c r="AB7">
        <v>306237</v>
      </c>
      <c r="AC7">
        <v>293115</v>
      </c>
      <c r="AD7">
        <v>0</v>
      </c>
      <c r="AE7">
        <v>0</v>
      </c>
      <c r="AF7">
        <v>684155</v>
      </c>
      <c r="AG7">
        <v>5060900</v>
      </c>
      <c r="AH7">
        <v>8637567</v>
      </c>
      <c r="AI7">
        <v>2450016</v>
      </c>
      <c r="AJ7">
        <v>2441245</v>
      </c>
      <c r="AK7">
        <v>0</v>
      </c>
      <c r="AL7">
        <v>0</v>
      </c>
      <c r="AM7">
        <v>684155</v>
      </c>
      <c r="AN7">
        <v>14212983</v>
      </c>
      <c r="AO7">
        <v>969695</v>
      </c>
      <c r="AP7">
        <v>0</v>
      </c>
      <c r="AQ7">
        <v>687775</v>
      </c>
      <c r="AR7">
        <v>0</v>
      </c>
      <c r="AS7">
        <v>1657470</v>
      </c>
      <c r="AT7">
        <v>196137</v>
      </c>
      <c r="AU7">
        <v>0</v>
      </c>
      <c r="AV7">
        <v>78135</v>
      </c>
      <c r="AW7">
        <v>373612</v>
      </c>
      <c r="AX7">
        <v>647884</v>
      </c>
      <c r="AY7">
        <v>1165832</v>
      </c>
      <c r="AZ7">
        <v>0</v>
      </c>
      <c r="BA7">
        <v>765910</v>
      </c>
      <c r="BB7">
        <v>373612</v>
      </c>
      <c r="BC7">
        <v>2305354</v>
      </c>
      <c r="BD7">
        <v>2226716</v>
      </c>
      <c r="BE7">
        <v>0</v>
      </c>
      <c r="BF7">
        <v>0</v>
      </c>
      <c r="BG7">
        <v>0</v>
      </c>
      <c r="BH7">
        <v>0</v>
      </c>
      <c r="BI7">
        <v>2226716</v>
      </c>
      <c r="BJ7">
        <v>0</v>
      </c>
      <c r="BK7">
        <v>0</v>
      </c>
      <c r="BL7">
        <v>819728</v>
      </c>
      <c r="BM7">
        <v>0</v>
      </c>
      <c r="BN7">
        <v>0</v>
      </c>
      <c r="BO7">
        <v>819728</v>
      </c>
      <c r="BP7">
        <v>2672491</v>
      </c>
      <c r="BQ7">
        <v>63689</v>
      </c>
      <c r="BR7">
        <v>0</v>
      </c>
      <c r="BS7">
        <v>0</v>
      </c>
      <c r="BT7">
        <v>193248</v>
      </c>
      <c r="BU7">
        <v>2929428</v>
      </c>
      <c r="BV7">
        <v>4899207</v>
      </c>
      <c r="BW7">
        <v>63689</v>
      </c>
      <c r="BX7">
        <v>819728</v>
      </c>
      <c r="BY7">
        <v>0</v>
      </c>
      <c r="BZ7">
        <v>193248</v>
      </c>
      <c r="CA7">
        <v>5975872</v>
      </c>
      <c r="CB7">
        <v>0</v>
      </c>
      <c r="CC7">
        <v>0</v>
      </c>
      <c r="CD7">
        <v>0</v>
      </c>
      <c r="CE7">
        <v>0</v>
      </c>
      <c r="CF7">
        <v>0</v>
      </c>
      <c r="CG7">
        <v>0</v>
      </c>
      <c r="CH7">
        <v>0</v>
      </c>
      <c r="CI7">
        <v>0</v>
      </c>
      <c r="CJ7">
        <v>0</v>
      </c>
      <c r="CK7">
        <v>0</v>
      </c>
      <c r="CL7">
        <v>0</v>
      </c>
      <c r="CM7">
        <v>0</v>
      </c>
      <c r="CN7">
        <v>0</v>
      </c>
      <c r="CO7">
        <v>0</v>
      </c>
      <c r="CP7">
        <v>0</v>
      </c>
      <c r="CQ7">
        <v>0</v>
      </c>
      <c r="CR7">
        <v>3540</v>
      </c>
      <c r="CS7">
        <v>1680936</v>
      </c>
      <c r="CT7">
        <v>0</v>
      </c>
      <c r="CU7">
        <v>10184</v>
      </c>
      <c r="CV7">
        <v>36887</v>
      </c>
      <c r="CW7">
        <v>460304</v>
      </c>
      <c r="CX7">
        <v>402514</v>
      </c>
      <c r="CY7">
        <v>0</v>
      </c>
      <c r="CZ7">
        <v>41856</v>
      </c>
      <c r="DA7">
        <v>73443</v>
      </c>
      <c r="DB7">
        <v>4518</v>
      </c>
      <c r="DC7">
        <v>179293</v>
      </c>
      <c r="DD7">
        <v>2400</v>
      </c>
      <c r="DE7">
        <v>135552</v>
      </c>
      <c r="DF7">
        <v>596951</v>
      </c>
      <c r="DG7">
        <v>51647</v>
      </c>
      <c r="DH7">
        <v>271372</v>
      </c>
      <c r="DI7">
        <v>51779</v>
      </c>
      <c r="DJ7">
        <v>316056</v>
      </c>
      <c r="DK7">
        <v>32800</v>
      </c>
      <c r="DL7">
        <v>106288</v>
      </c>
      <c r="DM7">
        <v>517872</v>
      </c>
      <c r="DN7">
        <v>55885</v>
      </c>
      <c r="DO7">
        <v>160552</v>
      </c>
      <c r="DP7">
        <v>10048</v>
      </c>
      <c r="DQ7">
        <v>91872</v>
      </c>
      <c r="DR7">
        <v>239137</v>
      </c>
      <c r="DS7">
        <v>557214</v>
      </c>
      <c r="DT7">
        <v>229168</v>
      </c>
      <c r="DU7">
        <v>0</v>
      </c>
      <c r="DX7" s="69">
        <v>4635592</v>
      </c>
      <c r="DY7" s="69">
        <v>29498</v>
      </c>
      <c r="DZ7" s="69">
        <v>118767</v>
      </c>
      <c r="EA7" s="69">
        <v>1272068</v>
      </c>
      <c r="EB7" s="69">
        <v>1220383</v>
      </c>
      <c r="EC7" s="69">
        <v>0</v>
      </c>
      <c r="ED7" s="69">
        <v>130174</v>
      </c>
      <c r="EE7" s="69">
        <v>234242</v>
      </c>
      <c r="EF7" s="69">
        <v>13299</v>
      </c>
      <c r="EG7" s="69">
        <v>436103</v>
      </c>
      <c r="EH7" s="69">
        <v>6644</v>
      </c>
      <c r="EI7" s="69">
        <v>392344</v>
      </c>
      <c r="EJ7" s="69">
        <v>1943460</v>
      </c>
      <c r="EK7" s="69">
        <v>161352</v>
      </c>
      <c r="EL7" s="69">
        <v>1026784</v>
      </c>
      <c r="EM7" s="69">
        <v>175670</v>
      </c>
      <c r="EN7" s="69">
        <v>1031131</v>
      </c>
      <c r="EO7" s="69">
        <v>121820</v>
      </c>
      <c r="EP7" s="69">
        <v>439916</v>
      </c>
      <c r="EQ7" s="69">
        <v>1452662</v>
      </c>
      <c r="ER7" s="69">
        <v>179656</v>
      </c>
      <c r="ES7" s="69">
        <v>516936</v>
      </c>
      <c r="ET7" s="69">
        <v>30829</v>
      </c>
      <c r="EU7" s="69">
        <v>162974</v>
      </c>
      <c r="EV7" s="69">
        <v>338886</v>
      </c>
      <c r="EW7" s="69">
        <v>1061761</v>
      </c>
      <c r="EX7" s="69">
        <v>725566</v>
      </c>
      <c r="EY7" s="69">
        <v>14880</v>
      </c>
      <c r="EZ7" s="69"/>
      <c r="FA7" s="69"/>
      <c r="FB7" s="69">
        <v>13237805</v>
      </c>
      <c r="FC7" s="69">
        <v>4266</v>
      </c>
      <c r="FD7" s="69">
        <v>12816</v>
      </c>
      <c r="FE7" s="69">
        <v>188932</v>
      </c>
      <c r="FF7" s="69">
        <v>292885</v>
      </c>
      <c r="FG7" s="69">
        <v>0</v>
      </c>
      <c r="FH7" s="69">
        <v>18083</v>
      </c>
      <c r="FI7" s="69">
        <v>41204</v>
      </c>
      <c r="FJ7" s="69">
        <v>3207</v>
      </c>
      <c r="FK7" s="69">
        <v>63027</v>
      </c>
      <c r="FL7" s="69">
        <v>964</v>
      </c>
      <c r="FM7" s="69">
        <v>75930</v>
      </c>
      <c r="FN7" s="69">
        <v>550621</v>
      </c>
      <c r="FO7" s="69">
        <v>18364</v>
      </c>
      <c r="FP7" s="69">
        <v>142679</v>
      </c>
      <c r="FQ7" s="69">
        <v>29616</v>
      </c>
      <c r="FR7" s="69">
        <v>184390</v>
      </c>
      <c r="FS7" s="69">
        <v>12015</v>
      </c>
      <c r="FT7" s="69">
        <v>36982</v>
      </c>
      <c r="FU7" s="69">
        <v>259558</v>
      </c>
      <c r="FV7" s="69">
        <v>19783</v>
      </c>
      <c r="FW7" s="69">
        <v>55781</v>
      </c>
      <c r="FX7" s="69">
        <v>3907</v>
      </c>
      <c r="FY7" s="69">
        <v>13468</v>
      </c>
      <c r="FZ7" s="69">
        <v>424583</v>
      </c>
      <c r="GA7" s="69">
        <v>101226</v>
      </c>
      <c r="GB7" s="69">
        <v>73924</v>
      </c>
      <c r="GC7" s="69">
        <v>302585</v>
      </c>
      <c r="GD7" s="69"/>
      <c r="GE7" s="69"/>
      <c r="GF7" s="69">
        <v>2930796</v>
      </c>
      <c r="GG7" s="69">
        <v>3510</v>
      </c>
      <c r="GH7" s="69">
        <v>13680</v>
      </c>
      <c r="GI7" s="69">
        <v>151890</v>
      </c>
      <c r="GJ7" s="69">
        <v>157324</v>
      </c>
      <c r="GK7" s="69">
        <v>0</v>
      </c>
      <c r="GL7" s="69">
        <v>15413</v>
      </c>
      <c r="GM7" s="69">
        <v>28636</v>
      </c>
      <c r="GN7" s="69">
        <v>1716</v>
      </c>
      <c r="GO7" s="69">
        <v>51891</v>
      </c>
      <c r="GP7" s="69">
        <v>791</v>
      </c>
      <c r="GQ7" s="69">
        <v>48683</v>
      </c>
      <c r="GR7" s="69">
        <v>259292</v>
      </c>
      <c r="GS7" s="69">
        <v>18684</v>
      </c>
      <c r="GT7" s="69">
        <v>121581</v>
      </c>
      <c r="GU7" s="69">
        <v>21342</v>
      </c>
      <c r="GV7" s="69">
        <v>126369</v>
      </c>
      <c r="GW7" s="69">
        <v>13914</v>
      </c>
      <c r="GX7" s="69">
        <v>49580</v>
      </c>
      <c r="GY7" s="69">
        <v>178007</v>
      </c>
      <c r="GZ7" s="69">
        <v>20734</v>
      </c>
      <c r="HA7" s="69">
        <v>59541</v>
      </c>
      <c r="HB7" s="69">
        <v>3611</v>
      </c>
      <c r="HC7" s="69">
        <v>18343</v>
      </c>
      <c r="HD7" s="69">
        <v>79373</v>
      </c>
      <c r="HE7" s="69">
        <v>120908</v>
      </c>
      <c r="HF7" s="69">
        <v>83117</v>
      </c>
      <c r="HG7" s="69">
        <v>33005</v>
      </c>
      <c r="HH7" s="69"/>
      <c r="HI7" s="69"/>
      <c r="HJ7" s="69">
        <v>1680936</v>
      </c>
      <c r="HK7" s="69">
        <v>3748</v>
      </c>
      <c r="HL7" s="69">
        <v>22348</v>
      </c>
      <c r="HM7" s="69">
        <v>99928</v>
      </c>
      <c r="HN7" s="69">
        <v>85925</v>
      </c>
      <c r="HO7" s="69">
        <v>0</v>
      </c>
      <c r="HP7" s="69">
        <v>17679</v>
      </c>
      <c r="HQ7" s="69">
        <v>14079</v>
      </c>
      <c r="HR7" s="69">
        <v>3724</v>
      </c>
      <c r="HS7" s="69">
        <v>45696</v>
      </c>
      <c r="HT7" s="69">
        <v>503</v>
      </c>
      <c r="HU7" s="69">
        <v>69038</v>
      </c>
      <c r="HV7" s="69">
        <v>191059</v>
      </c>
      <c r="HW7" s="69">
        <v>12791</v>
      </c>
      <c r="HX7" s="69">
        <v>40773</v>
      </c>
      <c r="HY7" s="69">
        <v>14005</v>
      </c>
      <c r="HZ7" s="69">
        <v>86300</v>
      </c>
      <c r="IA7" s="69">
        <v>8099</v>
      </c>
      <c r="IB7" s="69">
        <v>10839</v>
      </c>
      <c r="IC7" s="69">
        <v>119515</v>
      </c>
      <c r="ID7" s="69">
        <v>34079</v>
      </c>
      <c r="IE7" s="69">
        <v>97270</v>
      </c>
      <c r="IF7" s="69">
        <v>3569</v>
      </c>
      <c r="IG7" s="69">
        <v>6582</v>
      </c>
      <c r="IH7" s="69">
        <v>114642</v>
      </c>
      <c r="II7" s="69">
        <v>43744</v>
      </c>
      <c r="IJ7" s="69">
        <v>50300</v>
      </c>
      <c r="IK7" s="69">
        <v>227505</v>
      </c>
      <c r="IL7" s="69"/>
      <c r="IM7" s="69"/>
      <c r="IN7" s="69">
        <v>1423740</v>
      </c>
      <c r="IO7" s="69">
        <v>11524</v>
      </c>
      <c r="IP7" s="69">
        <v>48844</v>
      </c>
      <c r="IQ7" s="69">
        <v>440750</v>
      </c>
      <c r="IR7" s="69">
        <v>536134</v>
      </c>
      <c r="IS7" s="69">
        <v>0</v>
      </c>
      <c r="IT7" s="69">
        <v>51175</v>
      </c>
      <c r="IU7" s="69">
        <v>83919</v>
      </c>
      <c r="IV7" s="69">
        <v>8647</v>
      </c>
      <c r="IW7" s="69">
        <v>160614</v>
      </c>
      <c r="IX7" s="69">
        <v>2258</v>
      </c>
      <c r="IY7" s="69">
        <v>193651</v>
      </c>
      <c r="IZ7" s="69">
        <v>1000972</v>
      </c>
      <c r="JA7" s="69">
        <v>49839</v>
      </c>
      <c r="JB7" s="69">
        <v>305033</v>
      </c>
      <c r="JC7" s="69">
        <v>64963</v>
      </c>
      <c r="JD7" s="69">
        <v>397059</v>
      </c>
      <c r="JE7" s="69">
        <v>34028</v>
      </c>
      <c r="JF7" s="69">
        <v>97401</v>
      </c>
      <c r="JG7" s="69">
        <v>557080</v>
      </c>
      <c r="JH7" s="69">
        <v>74596</v>
      </c>
      <c r="JI7" s="69">
        <v>212592</v>
      </c>
      <c r="JJ7" s="69">
        <v>11087</v>
      </c>
      <c r="JK7" s="69">
        <v>38393</v>
      </c>
      <c r="JL7" s="69">
        <v>618598</v>
      </c>
      <c r="JM7" s="69">
        <v>265878</v>
      </c>
      <c r="JN7" s="69">
        <v>207341</v>
      </c>
      <c r="JO7" s="69">
        <v>563095</v>
      </c>
      <c r="JP7" s="69"/>
      <c r="JQ7" s="69"/>
      <c r="JR7" s="69">
        <v>6035472</v>
      </c>
      <c r="JS7" s="69">
        <v>41022</v>
      </c>
      <c r="JT7" s="69">
        <v>167611</v>
      </c>
      <c r="JU7" s="69">
        <v>1712818</v>
      </c>
      <c r="JV7" s="69">
        <v>1756517</v>
      </c>
      <c r="JW7" s="69">
        <v>0</v>
      </c>
      <c r="JX7" s="69">
        <v>181349</v>
      </c>
      <c r="JY7" s="69">
        <v>318161</v>
      </c>
      <c r="JZ7" s="69">
        <v>21946</v>
      </c>
      <c r="KA7" s="69">
        <v>596717</v>
      </c>
      <c r="KB7" s="69">
        <v>8902</v>
      </c>
      <c r="KC7" s="69">
        <v>585995</v>
      </c>
      <c r="KD7" s="69">
        <v>2944432</v>
      </c>
      <c r="KE7" s="69">
        <v>211191</v>
      </c>
      <c r="KF7" s="69">
        <v>1331817</v>
      </c>
      <c r="KG7" s="69">
        <v>240633</v>
      </c>
      <c r="KH7" s="69">
        <v>1428190</v>
      </c>
      <c r="KI7" s="69">
        <v>155848</v>
      </c>
      <c r="KJ7" s="69">
        <v>537317</v>
      </c>
      <c r="KK7" s="69">
        <v>2009742</v>
      </c>
      <c r="KL7" s="69">
        <v>254252</v>
      </c>
      <c r="KM7" s="69">
        <v>729528</v>
      </c>
      <c r="KN7" s="69">
        <v>41916</v>
      </c>
      <c r="KO7" s="69">
        <v>201367</v>
      </c>
      <c r="KP7" s="69">
        <v>957484</v>
      </c>
      <c r="KQ7" s="69">
        <v>1327639</v>
      </c>
      <c r="KR7" s="69">
        <v>932907</v>
      </c>
      <c r="KS7" s="69">
        <v>577975</v>
      </c>
      <c r="KT7" s="69"/>
      <c r="KU7" s="69"/>
      <c r="KV7" s="69">
        <v>19273277</v>
      </c>
      <c r="KW7" s="69" t="s">
        <v>1141</v>
      </c>
    </row>
    <row r="8" spans="1:314" x14ac:dyDescent="0.25">
      <c r="A8" t="s">
        <v>422</v>
      </c>
      <c r="C8" t="s">
        <v>1088</v>
      </c>
      <c r="D8" t="s">
        <v>1123</v>
      </c>
      <c r="E8" s="2">
        <v>39797.464074074102</v>
      </c>
      <c r="G8" t="s">
        <v>423</v>
      </c>
      <c r="L8">
        <v>0</v>
      </c>
      <c r="M8">
        <v>0</v>
      </c>
      <c r="N8">
        <v>0</v>
      </c>
      <c r="O8">
        <v>15326806</v>
      </c>
      <c r="P8" s="69">
        <v>0</v>
      </c>
      <c r="Q8" s="69">
        <v>166851</v>
      </c>
      <c r="R8">
        <v>0</v>
      </c>
      <c r="S8">
        <v>166851</v>
      </c>
      <c r="T8">
        <v>1024321</v>
      </c>
      <c r="U8">
        <v>741116</v>
      </c>
      <c r="V8">
        <v>1306197</v>
      </c>
      <c r="W8">
        <v>0</v>
      </c>
      <c r="X8">
        <v>0</v>
      </c>
      <c r="Y8">
        <v>0</v>
      </c>
      <c r="Z8">
        <v>3071634</v>
      </c>
      <c r="AA8">
        <v>962267</v>
      </c>
      <c r="AB8">
        <v>130311</v>
      </c>
      <c r="AC8">
        <v>531941</v>
      </c>
      <c r="AD8">
        <v>0</v>
      </c>
      <c r="AE8">
        <v>0</v>
      </c>
      <c r="AF8">
        <v>282410</v>
      </c>
      <c r="AG8">
        <v>1906929</v>
      </c>
      <c r="AH8">
        <v>1986588</v>
      </c>
      <c r="AI8">
        <v>871427</v>
      </c>
      <c r="AJ8">
        <v>1838138</v>
      </c>
      <c r="AK8">
        <v>0</v>
      </c>
      <c r="AL8">
        <v>0</v>
      </c>
      <c r="AM8">
        <v>282410</v>
      </c>
      <c r="AN8">
        <v>4978563</v>
      </c>
      <c r="AO8">
        <v>73410</v>
      </c>
      <c r="AP8">
        <v>0</v>
      </c>
      <c r="AQ8">
        <v>0</v>
      </c>
      <c r="AR8">
        <v>0</v>
      </c>
      <c r="AS8">
        <v>73410</v>
      </c>
      <c r="AT8">
        <v>45053</v>
      </c>
      <c r="AU8">
        <v>0</v>
      </c>
      <c r="AV8">
        <v>0</v>
      </c>
      <c r="AW8">
        <v>0</v>
      </c>
      <c r="AX8">
        <v>45053</v>
      </c>
      <c r="AY8">
        <v>118463</v>
      </c>
      <c r="AZ8">
        <v>0</v>
      </c>
      <c r="BA8">
        <v>0</v>
      </c>
      <c r="BB8">
        <v>0</v>
      </c>
      <c r="BC8">
        <v>118463</v>
      </c>
      <c r="BD8">
        <v>738369</v>
      </c>
      <c r="BE8">
        <v>0</v>
      </c>
      <c r="BF8">
        <v>0</v>
      </c>
      <c r="BG8">
        <v>0</v>
      </c>
      <c r="BH8">
        <v>0</v>
      </c>
      <c r="BI8">
        <v>738369</v>
      </c>
      <c r="BJ8">
        <v>0</v>
      </c>
      <c r="BK8">
        <v>0</v>
      </c>
      <c r="BL8">
        <v>32543</v>
      </c>
      <c r="BM8">
        <v>0</v>
      </c>
      <c r="BN8">
        <v>0</v>
      </c>
      <c r="BO8">
        <v>32543</v>
      </c>
      <c r="BP8">
        <v>1210525</v>
      </c>
      <c r="BQ8">
        <v>0</v>
      </c>
      <c r="BR8">
        <v>0</v>
      </c>
      <c r="BS8">
        <v>0</v>
      </c>
      <c r="BT8">
        <v>0</v>
      </c>
      <c r="BU8">
        <v>1210525</v>
      </c>
      <c r="BV8">
        <v>1948894</v>
      </c>
      <c r="BW8">
        <v>0</v>
      </c>
      <c r="BX8">
        <v>32543</v>
      </c>
      <c r="BY8">
        <v>0</v>
      </c>
      <c r="BZ8">
        <v>0</v>
      </c>
      <c r="CA8">
        <v>1981437</v>
      </c>
      <c r="CB8">
        <v>0</v>
      </c>
      <c r="CC8">
        <v>0</v>
      </c>
      <c r="CD8">
        <v>0</v>
      </c>
      <c r="CE8">
        <v>0</v>
      </c>
      <c r="CF8">
        <v>0</v>
      </c>
      <c r="CG8">
        <v>0</v>
      </c>
      <c r="CH8">
        <v>0</v>
      </c>
      <c r="CI8">
        <v>0</v>
      </c>
      <c r="CJ8">
        <v>0</v>
      </c>
      <c r="CK8">
        <v>0</v>
      </c>
      <c r="CL8">
        <v>0</v>
      </c>
      <c r="CM8">
        <v>0</v>
      </c>
      <c r="CN8">
        <v>0</v>
      </c>
      <c r="CO8">
        <v>0</v>
      </c>
      <c r="CP8">
        <v>0</v>
      </c>
      <c r="CQ8">
        <v>0</v>
      </c>
      <c r="CR8">
        <v>6661</v>
      </c>
      <c r="CS8">
        <v>327355</v>
      </c>
      <c r="CT8">
        <v>0</v>
      </c>
      <c r="CU8">
        <v>0</v>
      </c>
      <c r="CV8">
        <v>31194</v>
      </c>
      <c r="CW8">
        <v>185024</v>
      </c>
      <c r="CX8">
        <v>132303</v>
      </c>
      <c r="CY8">
        <v>0</v>
      </c>
      <c r="CZ8">
        <v>5104</v>
      </c>
      <c r="DA8">
        <v>44459</v>
      </c>
      <c r="DB8">
        <v>13296</v>
      </c>
      <c r="DC8">
        <v>55247</v>
      </c>
      <c r="DD8">
        <v>896</v>
      </c>
      <c r="DE8">
        <v>41464</v>
      </c>
      <c r="DF8">
        <v>372632</v>
      </c>
      <c r="DG8">
        <v>26496</v>
      </c>
      <c r="DH8">
        <v>143234</v>
      </c>
      <c r="DI8">
        <v>0</v>
      </c>
      <c r="DJ8">
        <v>177646</v>
      </c>
      <c r="DK8">
        <v>39040</v>
      </c>
      <c r="DL8">
        <v>80896</v>
      </c>
      <c r="DM8">
        <v>201952</v>
      </c>
      <c r="DN8">
        <v>10688</v>
      </c>
      <c r="DO8">
        <v>8664</v>
      </c>
      <c r="DP8">
        <v>1426</v>
      </c>
      <c r="DQ8">
        <v>50016</v>
      </c>
      <c r="DR8">
        <v>117606</v>
      </c>
      <c r="DS8">
        <v>308880</v>
      </c>
      <c r="DT8">
        <v>96248</v>
      </c>
      <c r="DU8">
        <v>0</v>
      </c>
      <c r="DX8" s="69">
        <v>2144411</v>
      </c>
      <c r="DY8" s="69">
        <v>0</v>
      </c>
      <c r="DZ8" s="69">
        <v>153985</v>
      </c>
      <c r="EA8" s="69">
        <v>465281</v>
      </c>
      <c r="EB8" s="69">
        <v>386647</v>
      </c>
      <c r="EC8" s="69">
        <v>0</v>
      </c>
      <c r="ED8" s="69">
        <v>47212</v>
      </c>
      <c r="EE8" s="69">
        <v>271539</v>
      </c>
      <c r="EF8" s="69">
        <v>38703</v>
      </c>
      <c r="EG8" s="69">
        <v>166597</v>
      </c>
      <c r="EH8" s="69">
        <v>5869</v>
      </c>
      <c r="EI8" s="69">
        <v>120697</v>
      </c>
      <c r="EJ8" s="69">
        <v>1004652</v>
      </c>
      <c r="EK8" s="69">
        <v>72802</v>
      </c>
      <c r="EL8" s="69">
        <v>874756</v>
      </c>
      <c r="EM8" s="69">
        <v>0</v>
      </c>
      <c r="EN8" s="69">
        <v>545409</v>
      </c>
      <c r="EO8" s="69">
        <v>197950</v>
      </c>
      <c r="EP8" s="69">
        <v>275921</v>
      </c>
      <c r="EQ8" s="69">
        <v>810571</v>
      </c>
      <c r="ER8" s="69">
        <v>62231</v>
      </c>
      <c r="ES8" s="69">
        <v>40676</v>
      </c>
      <c r="ET8" s="69">
        <v>4180</v>
      </c>
      <c r="EU8" s="69">
        <v>167154</v>
      </c>
      <c r="EV8" s="69">
        <v>290809</v>
      </c>
      <c r="EW8" s="69">
        <v>816946</v>
      </c>
      <c r="EX8" s="69">
        <v>371598</v>
      </c>
      <c r="EY8" s="69">
        <v>0</v>
      </c>
      <c r="EZ8" s="69"/>
      <c r="FA8" s="69"/>
      <c r="FB8" s="69">
        <v>7192185</v>
      </c>
      <c r="FC8" s="69">
        <v>0</v>
      </c>
      <c r="FD8" s="69">
        <v>0</v>
      </c>
      <c r="FE8" s="69">
        <v>15291</v>
      </c>
      <c r="FF8" s="69">
        <v>0</v>
      </c>
      <c r="FG8" s="69">
        <v>0</v>
      </c>
      <c r="FH8" s="69">
        <v>0</v>
      </c>
      <c r="FI8" s="69">
        <v>45075</v>
      </c>
      <c r="FJ8" s="69">
        <v>0</v>
      </c>
      <c r="FK8" s="69">
        <v>0</v>
      </c>
      <c r="FL8" s="69">
        <v>0</v>
      </c>
      <c r="FM8" s="69">
        <v>0</v>
      </c>
      <c r="FN8" s="69">
        <v>11793</v>
      </c>
      <c r="FO8" s="69">
        <v>0</v>
      </c>
      <c r="FP8" s="69">
        <v>47717</v>
      </c>
      <c r="FQ8" s="69">
        <v>0</v>
      </c>
      <c r="FR8" s="69">
        <v>0</v>
      </c>
      <c r="FS8" s="69">
        <v>0</v>
      </c>
      <c r="FT8" s="69">
        <v>12596</v>
      </c>
      <c r="FU8" s="69">
        <v>16817</v>
      </c>
      <c r="FV8" s="69">
        <v>0</v>
      </c>
      <c r="FW8" s="69">
        <v>0</v>
      </c>
      <c r="FX8" s="69">
        <v>0</v>
      </c>
      <c r="FY8" s="69">
        <v>4264</v>
      </c>
      <c r="FZ8" s="69">
        <v>48120</v>
      </c>
      <c r="GA8" s="69">
        <v>0</v>
      </c>
      <c r="GB8" s="69">
        <v>19662</v>
      </c>
      <c r="GC8" s="69">
        <v>0</v>
      </c>
      <c r="GD8" s="69"/>
      <c r="GE8" s="69"/>
      <c r="GF8" s="69">
        <v>221335</v>
      </c>
      <c r="GG8" s="69">
        <v>0</v>
      </c>
      <c r="GH8" s="69">
        <v>6799</v>
      </c>
      <c r="GI8" s="69">
        <v>21220</v>
      </c>
      <c r="GJ8" s="69">
        <v>17073</v>
      </c>
      <c r="GK8" s="69">
        <v>0</v>
      </c>
      <c r="GL8" s="69">
        <v>2085</v>
      </c>
      <c r="GM8" s="69">
        <v>13981</v>
      </c>
      <c r="GN8" s="69">
        <v>1709</v>
      </c>
      <c r="GO8" s="69">
        <v>7356</v>
      </c>
      <c r="GP8" s="69">
        <v>259</v>
      </c>
      <c r="GQ8" s="69">
        <v>5330</v>
      </c>
      <c r="GR8" s="69">
        <v>44883</v>
      </c>
      <c r="GS8" s="69">
        <v>3215</v>
      </c>
      <c r="GT8" s="69">
        <v>40733</v>
      </c>
      <c r="GU8" s="69">
        <v>0</v>
      </c>
      <c r="GV8" s="69">
        <v>24083</v>
      </c>
      <c r="GW8" s="69">
        <v>8741</v>
      </c>
      <c r="GX8" s="69">
        <v>12740</v>
      </c>
      <c r="GY8" s="69">
        <v>36535</v>
      </c>
      <c r="GZ8" s="69">
        <v>2748</v>
      </c>
      <c r="HA8" s="69">
        <v>1796</v>
      </c>
      <c r="HB8" s="69">
        <v>185</v>
      </c>
      <c r="HC8" s="69">
        <v>7569</v>
      </c>
      <c r="HD8" s="69">
        <v>14966</v>
      </c>
      <c r="HE8" s="69">
        <v>36073</v>
      </c>
      <c r="HF8" s="69">
        <v>17277</v>
      </c>
      <c r="HG8" s="69">
        <v>0</v>
      </c>
      <c r="HH8" s="69"/>
      <c r="HI8" s="69"/>
      <c r="HJ8" s="69">
        <v>327355</v>
      </c>
      <c r="HK8" s="69">
        <v>0</v>
      </c>
      <c r="HL8" s="69">
        <v>28389</v>
      </c>
      <c r="HM8" s="69">
        <v>51366</v>
      </c>
      <c r="HN8" s="69">
        <v>26581</v>
      </c>
      <c r="HO8" s="69">
        <v>0</v>
      </c>
      <c r="HP8" s="69">
        <v>2708</v>
      </c>
      <c r="HQ8" s="69">
        <v>16726</v>
      </c>
      <c r="HR8" s="69">
        <v>2221</v>
      </c>
      <c r="HS8" s="69">
        <v>61555</v>
      </c>
      <c r="HT8" s="69">
        <v>2750</v>
      </c>
      <c r="HU8" s="69">
        <v>6925</v>
      </c>
      <c r="HV8" s="69">
        <v>46499</v>
      </c>
      <c r="HW8" s="69">
        <v>5033</v>
      </c>
      <c r="HX8" s="69">
        <v>65640</v>
      </c>
      <c r="HY8" s="69">
        <v>0</v>
      </c>
      <c r="HZ8" s="69">
        <v>42729</v>
      </c>
      <c r="IA8" s="69">
        <v>10992</v>
      </c>
      <c r="IB8" s="69">
        <v>9153</v>
      </c>
      <c r="IC8" s="69">
        <v>30068</v>
      </c>
      <c r="ID8" s="69">
        <v>7750</v>
      </c>
      <c r="IE8" s="69">
        <v>5850</v>
      </c>
      <c r="IF8" s="69">
        <v>280</v>
      </c>
      <c r="IG8" s="69">
        <v>20647</v>
      </c>
      <c r="IH8" s="69">
        <v>61337</v>
      </c>
      <c r="II8" s="69">
        <v>36827</v>
      </c>
      <c r="IJ8" s="69">
        <v>81001</v>
      </c>
      <c r="IK8" s="69">
        <v>0</v>
      </c>
      <c r="IL8" s="69"/>
      <c r="IM8" s="69"/>
      <c r="IN8" s="69">
        <v>623027</v>
      </c>
      <c r="IO8" s="69">
        <v>0</v>
      </c>
      <c r="IP8" s="69">
        <v>35188</v>
      </c>
      <c r="IQ8" s="69">
        <v>87877</v>
      </c>
      <c r="IR8" s="69">
        <v>43654</v>
      </c>
      <c r="IS8" s="69">
        <v>0</v>
      </c>
      <c r="IT8" s="69">
        <v>4793</v>
      </c>
      <c r="IU8" s="69">
        <v>75782</v>
      </c>
      <c r="IV8" s="69">
        <v>3930</v>
      </c>
      <c r="IW8" s="69">
        <v>68911</v>
      </c>
      <c r="IX8" s="69">
        <v>3009</v>
      </c>
      <c r="IY8" s="69">
        <v>12255</v>
      </c>
      <c r="IZ8" s="69">
        <v>103175</v>
      </c>
      <c r="JA8" s="69">
        <v>8248</v>
      </c>
      <c r="JB8" s="69">
        <v>154090</v>
      </c>
      <c r="JC8" s="69">
        <v>0</v>
      </c>
      <c r="JD8" s="69">
        <v>66812</v>
      </c>
      <c r="JE8" s="69">
        <v>19733</v>
      </c>
      <c r="JF8" s="69">
        <v>34489</v>
      </c>
      <c r="JG8" s="69">
        <v>83420</v>
      </c>
      <c r="JH8" s="69">
        <v>10498</v>
      </c>
      <c r="JI8" s="69">
        <v>7646</v>
      </c>
      <c r="JJ8" s="69">
        <v>465</v>
      </c>
      <c r="JK8" s="69">
        <v>32480</v>
      </c>
      <c r="JL8" s="69">
        <v>124423</v>
      </c>
      <c r="JM8" s="69">
        <v>72900</v>
      </c>
      <c r="JN8" s="69">
        <v>117940</v>
      </c>
      <c r="JO8" s="69">
        <v>0</v>
      </c>
      <c r="JP8" s="69"/>
      <c r="JQ8" s="69"/>
      <c r="JR8" s="69">
        <v>1171717</v>
      </c>
      <c r="JS8" s="69">
        <v>0</v>
      </c>
      <c r="JT8" s="69">
        <v>189173</v>
      </c>
      <c r="JU8" s="69">
        <v>553158</v>
      </c>
      <c r="JV8" s="69">
        <v>430301</v>
      </c>
      <c r="JW8" s="69">
        <v>0</v>
      </c>
      <c r="JX8" s="69">
        <v>52005</v>
      </c>
      <c r="JY8" s="69">
        <v>347321</v>
      </c>
      <c r="JZ8" s="69">
        <v>42633</v>
      </c>
      <c r="KA8" s="69">
        <v>235508</v>
      </c>
      <c r="KB8" s="69">
        <v>8878</v>
      </c>
      <c r="KC8" s="69">
        <v>132952</v>
      </c>
      <c r="KD8" s="69">
        <v>1107827</v>
      </c>
      <c r="KE8" s="69">
        <v>81050</v>
      </c>
      <c r="KF8" s="69">
        <v>1028846</v>
      </c>
      <c r="KG8" s="69">
        <v>0</v>
      </c>
      <c r="KH8" s="69">
        <v>612221</v>
      </c>
      <c r="KI8" s="69">
        <v>217683</v>
      </c>
      <c r="KJ8" s="69">
        <v>310410</v>
      </c>
      <c r="KK8" s="69">
        <v>893991</v>
      </c>
      <c r="KL8" s="69">
        <v>72729</v>
      </c>
      <c r="KM8" s="69">
        <v>48322</v>
      </c>
      <c r="KN8" s="69">
        <v>4645</v>
      </c>
      <c r="KO8" s="69">
        <v>199634</v>
      </c>
      <c r="KP8" s="69">
        <v>415232</v>
      </c>
      <c r="KQ8" s="69">
        <v>889846</v>
      </c>
      <c r="KR8" s="69">
        <v>489538</v>
      </c>
      <c r="KS8" s="69">
        <v>0</v>
      </c>
      <c r="KT8" s="69"/>
      <c r="KU8" s="69"/>
      <c r="KV8" s="69">
        <v>8363902</v>
      </c>
      <c r="KW8" s="69"/>
    </row>
    <row r="9" spans="1:314" x14ac:dyDescent="0.25">
      <c r="A9" t="s">
        <v>446</v>
      </c>
      <c r="C9" t="s">
        <v>1088</v>
      </c>
      <c r="D9" t="s">
        <v>1133</v>
      </c>
      <c r="E9" s="2">
        <v>39801.668425925898</v>
      </c>
      <c r="G9" t="s">
        <v>447</v>
      </c>
      <c r="L9">
        <v>0</v>
      </c>
      <c r="M9">
        <v>0</v>
      </c>
      <c r="N9">
        <v>0</v>
      </c>
      <c r="O9">
        <v>158237580</v>
      </c>
      <c r="P9" s="69">
        <v>0</v>
      </c>
      <c r="Q9" s="69">
        <v>4227266</v>
      </c>
      <c r="R9">
        <v>0</v>
      </c>
      <c r="S9">
        <v>4227266</v>
      </c>
      <c r="T9">
        <v>13398577</v>
      </c>
      <c r="U9">
        <v>13407932</v>
      </c>
      <c r="V9">
        <v>15029344</v>
      </c>
      <c r="W9">
        <v>0</v>
      </c>
      <c r="X9">
        <v>0</v>
      </c>
      <c r="Y9">
        <v>0</v>
      </c>
      <c r="Z9">
        <v>41835853</v>
      </c>
      <c r="AA9">
        <v>11940680</v>
      </c>
      <c r="AB9">
        <v>1410719</v>
      </c>
      <c r="AC9">
        <v>2474724</v>
      </c>
      <c r="AD9">
        <v>0</v>
      </c>
      <c r="AE9">
        <v>0</v>
      </c>
      <c r="AF9">
        <v>1778114</v>
      </c>
      <c r="AG9">
        <v>17604237</v>
      </c>
      <c r="AH9">
        <v>25339257</v>
      </c>
      <c r="AI9">
        <v>14818651</v>
      </c>
      <c r="AJ9">
        <v>17504068</v>
      </c>
      <c r="AK9">
        <v>0</v>
      </c>
      <c r="AL9">
        <v>0</v>
      </c>
      <c r="AM9">
        <v>1778114</v>
      </c>
      <c r="AN9">
        <v>59440090</v>
      </c>
      <c r="AO9">
        <v>1495755</v>
      </c>
      <c r="AP9">
        <v>0</v>
      </c>
      <c r="AQ9">
        <v>1802919</v>
      </c>
      <c r="AR9">
        <v>0</v>
      </c>
      <c r="AS9">
        <v>3298674</v>
      </c>
      <c r="AT9">
        <v>518195</v>
      </c>
      <c r="AU9">
        <v>0</v>
      </c>
      <c r="AV9">
        <v>845850</v>
      </c>
      <c r="AW9">
        <v>0</v>
      </c>
      <c r="AX9">
        <v>1364045</v>
      </c>
      <c r="AY9">
        <v>2013950</v>
      </c>
      <c r="AZ9">
        <v>0</v>
      </c>
      <c r="BA9">
        <v>2648769</v>
      </c>
      <c r="BB9">
        <v>0</v>
      </c>
      <c r="BC9">
        <v>4662719</v>
      </c>
      <c r="BD9">
        <v>5741565</v>
      </c>
      <c r="BE9">
        <v>0</v>
      </c>
      <c r="BF9">
        <v>0</v>
      </c>
      <c r="BG9">
        <v>0</v>
      </c>
      <c r="BH9">
        <v>0</v>
      </c>
      <c r="BI9">
        <v>5741565</v>
      </c>
      <c r="BJ9">
        <v>0</v>
      </c>
      <c r="BK9">
        <v>0</v>
      </c>
      <c r="BL9">
        <v>148489</v>
      </c>
      <c r="BM9">
        <v>0</v>
      </c>
      <c r="BN9">
        <v>0</v>
      </c>
      <c r="BO9">
        <v>148489</v>
      </c>
      <c r="BP9">
        <v>7708255</v>
      </c>
      <c r="BQ9">
        <v>4159092</v>
      </c>
      <c r="BR9">
        <v>0</v>
      </c>
      <c r="BS9">
        <v>0</v>
      </c>
      <c r="BT9">
        <v>0</v>
      </c>
      <c r="BU9">
        <v>11867347</v>
      </c>
      <c r="BV9">
        <v>13449820</v>
      </c>
      <c r="BW9">
        <v>4159092</v>
      </c>
      <c r="BX9">
        <v>148489</v>
      </c>
      <c r="BY9">
        <v>0</v>
      </c>
      <c r="BZ9">
        <v>0</v>
      </c>
      <c r="CA9">
        <v>17757401</v>
      </c>
      <c r="CB9">
        <v>0</v>
      </c>
      <c r="CC9">
        <v>0</v>
      </c>
      <c r="CD9">
        <v>0</v>
      </c>
      <c r="CE9">
        <v>0</v>
      </c>
      <c r="CF9">
        <v>0</v>
      </c>
      <c r="CG9">
        <v>0</v>
      </c>
      <c r="CH9">
        <v>0</v>
      </c>
      <c r="CI9">
        <v>0</v>
      </c>
      <c r="CJ9">
        <v>0</v>
      </c>
      <c r="CK9">
        <v>0</v>
      </c>
      <c r="CL9">
        <v>0</v>
      </c>
      <c r="CM9">
        <v>0</v>
      </c>
      <c r="CN9">
        <v>0</v>
      </c>
      <c r="CO9">
        <v>0</v>
      </c>
      <c r="CP9">
        <v>0</v>
      </c>
      <c r="CQ9">
        <v>0</v>
      </c>
      <c r="CR9">
        <v>12015</v>
      </c>
      <c r="CS9">
        <v>1687059</v>
      </c>
      <c r="CT9">
        <v>0</v>
      </c>
      <c r="CU9">
        <v>85570</v>
      </c>
      <c r="CV9">
        <v>125800</v>
      </c>
      <c r="CW9">
        <v>1441584</v>
      </c>
      <c r="CX9">
        <v>736593</v>
      </c>
      <c r="CY9">
        <v>0</v>
      </c>
      <c r="CZ9">
        <v>157442</v>
      </c>
      <c r="DA9">
        <v>381843</v>
      </c>
      <c r="DB9">
        <v>12840</v>
      </c>
      <c r="DC9">
        <v>166068</v>
      </c>
      <c r="DD9">
        <v>9408</v>
      </c>
      <c r="DE9">
        <v>314936</v>
      </c>
      <c r="DF9">
        <v>1919728</v>
      </c>
      <c r="DG9">
        <v>728177</v>
      </c>
      <c r="DH9">
        <v>385228</v>
      </c>
      <c r="DI9">
        <v>22688</v>
      </c>
      <c r="DJ9">
        <v>459058</v>
      </c>
      <c r="DK9">
        <v>0</v>
      </c>
      <c r="DL9">
        <v>103560</v>
      </c>
      <c r="DM9">
        <v>1698356</v>
      </c>
      <c r="DN9">
        <v>110288</v>
      </c>
      <c r="DO9">
        <v>23804</v>
      </c>
      <c r="DP9">
        <v>23072</v>
      </c>
      <c r="DQ9">
        <v>256896</v>
      </c>
      <c r="DR9">
        <v>300920</v>
      </c>
      <c r="DS9">
        <v>2679582</v>
      </c>
      <c r="DT9">
        <v>761614</v>
      </c>
      <c r="DU9">
        <v>0</v>
      </c>
      <c r="DX9" s="69">
        <v>12905055</v>
      </c>
      <c r="DY9" s="69">
        <v>113776</v>
      </c>
      <c r="DZ9" s="69">
        <v>979052</v>
      </c>
      <c r="EA9" s="69">
        <v>6355444</v>
      </c>
      <c r="EB9" s="69">
        <v>3097617</v>
      </c>
      <c r="EC9" s="69">
        <v>0</v>
      </c>
      <c r="ED9" s="69">
        <v>420198</v>
      </c>
      <c r="EE9" s="69">
        <v>2898713</v>
      </c>
      <c r="EF9" s="69">
        <v>0</v>
      </c>
      <c r="EG9" s="69">
        <v>793222</v>
      </c>
      <c r="EH9" s="69">
        <v>108070</v>
      </c>
      <c r="EI9" s="69">
        <v>1721638</v>
      </c>
      <c r="EJ9" s="69">
        <v>8986546</v>
      </c>
      <c r="EK9" s="69">
        <v>3101240</v>
      </c>
      <c r="EL9" s="69">
        <v>3342031</v>
      </c>
      <c r="EM9" s="69">
        <v>428618</v>
      </c>
      <c r="EN9" s="69">
        <v>3770084</v>
      </c>
      <c r="EO9" s="69">
        <v>0</v>
      </c>
      <c r="EP9" s="69">
        <v>1078585</v>
      </c>
      <c r="EQ9" s="69">
        <v>6613426</v>
      </c>
      <c r="ER9" s="69">
        <v>740422</v>
      </c>
      <c r="ES9" s="69">
        <v>80637</v>
      </c>
      <c r="ET9" s="69"/>
      <c r="EU9" s="69">
        <v>1050213</v>
      </c>
      <c r="EV9" s="69">
        <v>880421</v>
      </c>
      <c r="EW9" s="69">
        <v>8884316</v>
      </c>
      <c r="EX9" s="69">
        <v>5261064</v>
      </c>
      <c r="EY9" s="69">
        <v>0</v>
      </c>
      <c r="EZ9" s="69"/>
      <c r="FA9" s="69"/>
      <c r="FB9" s="69">
        <v>61333903</v>
      </c>
      <c r="FC9" s="69">
        <v>13510</v>
      </c>
      <c r="FD9" s="69">
        <v>158586</v>
      </c>
      <c r="FE9" s="69">
        <v>1405656</v>
      </c>
      <c r="FF9" s="69">
        <v>199301</v>
      </c>
      <c r="FG9" s="69">
        <v>0</v>
      </c>
      <c r="FH9" s="69">
        <v>114681</v>
      </c>
      <c r="FI9" s="69">
        <v>1237754</v>
      </c>
      <c r="FJ9" s="69">
        <v>0</v>
      </c>
      <c r="FK9" s="69">
        <v>619474</v>
      </c>
      <c r="FL9" s="69">
        <v>0</v>
      </c>
      <c r="FM9" s="69">
        <v>372280</v>
      </c>
      <c r="FN9" s="69">
        <v>175038</v>
      </c>
      <c r="FO9" s="69">
        <v>98329</v>
      </c>
      <c r="FP9" s="69">
        <v>277299</v>
      </c>
      <c r="FQ9" s="69">
        <v>92909</v>
      </c>
      <c r="FR9" s="69">
        <v>455720</v>
      </c>
      <c r="FS9" s="69">
        <v>0</v>
      </c>
      <c r="FT9" s="69">
        <v>87993</v>
      </c>
      <c r="FU9" s="69">
        <v>61360</v>
      </c>
      <c r="FV9" s="69">
        <v>117446</v>
      </c>
      <c r="FW9" s="69">
        <v>85793</v>
      </c>
      <c r="FX9" s="69">
        <v>146463</v>
      </c>
      <c r="FY9" s="69">
        <v>137097</v>
      </c>
      <c r="FZ9" s="69">
        <v>190580</v>
      </c>
      <c r="GA9" s="69">
        <v>262633</v>
      </c>
      <c r="GB9" s="69">
        <v>868271</v>
      </c>
      <c r="GC9" s="69">
        <v>0</v>
      </c>
      <c r="GD9" s="69"/>
      <c r="GE9" s="69"/>
      <c r="GF9" s="69">
        <v>7178173</v>
      </c>
      <c r="GG9" s="69">
        <v>3134</v>
      </c>
      <c r="GH9" s="69">
        <v>28013</v>
      </c>
      <c r="GI9" s="69">
        <v>191111</v>
      </c>
      <c r="GJ9" s="69">
        <v>81184</v>
      </c>
      <c r="GK9" s="69">
        <v>0</v>
      </c>
      <c r="GL9" s="69">
        <v>13171</v>
      </c>
      <c r="GM9" s="69">
        <v>101857</v>
      </c>
      <c r="GN9" s="69">
        <v>0</v>
      </c>
      <c r="GO9" s="69">
        <v>34787</v>
      </c>
      <c r="GP9" s="69">
        <v>2661</v>
      </c>
      <c r="GQ9" s="69">
        <v>51561</v>
      </c>
      <c r="GR9" s="69">
        <v>225597</v>
      </c>
      <c r="GS9" s="69">
        <v>78787</v>
      </c>
      <c r="GT9" s="69">
        <v>89123</v>
      </c>
      <c r="GU9" s="69">
        <v>12842</v>
      </c>
      <c r="GV9" s="69">
        <v>104057</v>
      </c>
      <c r="GW9" s="69">
        <v>0</v>
      </c>
      <c r="GX9" s="69">
        <v>28726</v>
      </c>
      <c r="GY9" s="69">
        <v>164362</v>
      </c>
      <c r="GZ9" s="69">
        <v>21124</v>
      </c>
      <c r="HA9" s="69">
        <v>4098</v>
      </c>
      <c r="HB9" s="69">
        <v>19085</v>
      </c>
      <c r="HC9" s="69">
        <v>29237</v>
      </c>
      <c r="HD9" s="69">
        <v>26373</v>
      </c>
      <c r="HE9" s="69">
        <v>225237</v>
      </c>
      <c r="HF9" s="69">
        <v>150930</v>
      </c>
      <c r="HG9" s="69">
        <v>0</v>
      </c>
      <c r="HH9" s="69"/>
      <c r="HI9" s="69"/>
      <c r="HJ9" s="69">
        <v>1687059</v>
      </c>
      <c r="HK9" s="69">
        <v>6564</v>
      </c>
      <c r="HL9" s="69">
        <v>195275</v>
      </c>
      <c r="HM9" s="69">
        <v>638654</v>
      </c>
      <c r="HN9" s="69">
        <v>124306</v>
      </c>
      <c r="HO9" s="69">
        <v>0</v>
      </c>
      <c r="HP9" s="69">
        <v>148295</v>
      </c>
      <c r="HQ9" s="69">
        <v>227486</v>
      </c>
      <c r="HR9" s="69">
        <v>11682</v>
      </c>
      <c r="HS9" s="69">
        <v>172254</v>
      </c>
      <c r="HT9" s="69">
        <v>2712</v>
      </c>
      <c r="HU9" s="69">
        <v>182566</v>
      </c>
      <c r="HV9" s="69">
        <v>96637</v>
      </c>
      <c r="HW9" s="69">
        <v>45529</v>
      </c>
      <c r="HX9" s="69">
        <v>214440</v>
      </c>
      <c r="HY9" s="69">
        <v>91897</v>
      </c>
      <c r="HZ9" s="69">
        <v>294162</v>
      </c>
      <c r="IA9" s="69">
        <v>0</v>
      </c>
      <c r="IB9" s="69">
        <v>40828</v>
      </c>
      <c r="IC9" s="69">
        <v>43391</v>
      </c>
      <c r="ID9" s="69">
        <v>178764</v>
      </c>
      <c r="IE9" s="69">
        <v>12962</v>
      </c>
      <c r="IF9" s="69">
        <v>50980</v>
      </c>
      <c r="IG9" s="69">
        <v>43787</v>
      </c>
      <c r="IH9" s="69">
        <v>155600</v>
      </c>
      <c r="II9" s="69">
        <v>101392</v>
      </c>
      <c r="IJ9" s="69">
        <v>648920</v>
      </c>
      <c r="IK9" s="69">
        <v>0</v>
      </c>
      <c r="IL9" s="69"/>
      <c r="IM9" s="69"/>
      <c r="IN9" s="69">
        <v>3729083</v>
      </c>
      <c r="IO9" s="69">
        <v>23208</v>
      </c>
      <c r="IP9" s="69">
        <v>381874</v>
      </c>
      <c r="IQ9" s="69">
        <v>2235421</v>
      </c>
      <c r="IR9" s="69">
        <v>404791</v>
      </c>
      <c r="IS9" s="69">
        <v>0</v>
      </c>
      <c r="IT9" s="69">
        <v>276147</v>
      </c>
      <c r="IU9" s="69">
        <v>1567097</v>
      </c>
      <c r="IV9" s="69">
        <v>11682</v>
      </c>
      <c r="IW9" s="69">
        <v>826515</v>
      </c>
      <c r="IX9" s="69">
        <v>5373</v>
      </c>
      <c r="IY9" s="69">
        <v>606407</v>
      </c>
      <c r="IZ9" s="69">
        <v>497272</v>
      </c>
      <c r="JA9" s="69">
        <v>222645</v>
      </c>
      <c r="JB9" s="69">
        <v>580862</v>
      </c>
      <c r="JC9" s="69">
        <v>197648</v>
      </c>
      <c r="JD9" s="69">
        <v>853939</v>
      </c>
      <c r="JE9" s="69">
        <v>0</v>
      </c>
      <c r="JF9" s="69">
        <v>157547</v>
      </c>
      <c r="JG9" s="69">
        <v>269113</v>
      </c>
      <c r="JH9" s="69">
        <v>317334</v>
      </c>
      <c r="JI9" s="69">
        <v>102853</v>
      </c>
      <c r="JJ9" s="69"/>
      <c r="JK9" s="69">
        <v>210121</v>
      </c>
      <c r="JL9" s="69">
        <v>372553</v>
      </c>
      <c r="JM9" s="69">
        <v>589262</v>
      </c>
      <c r="JN9" s="69">
        <v>1668121</v>
      </c>
      <c r="JO9" s="69">
        <v>0</v>
      </c>
      <c r="JP9" s="69"/>
      <c r="JQ9" s="69"/>
      <c r="JR9" s="69">
        <v>12594315</v>
      </c>
      <c r="JS9" s="69">
        <v>136984</v>
      </c>
      <c r="JT9" s="69">
        <v>1360926</v>
      </c>
      <c r="JU9" s="69">
        <v>8590865</v>
      </c>
      <c r="JV9" s="69">
        <v>3502408</v>
      </c>
      <c r="JW9" s="69">
        <v>0</v>
      </c>
      <c r="JX9" s="69">
        <v>696345</v>
      </c>
      <c r="JY9" s="69">
        <v>4465810</v>
      </c>
      <c r="JZ9" s="69">
        <v>11682</v>
      </c>
      <c r="KA9" s="69">
        <v>1619737</v>
      </c>
      <c r="KB9" s="69">
        <v>113443</v>
      </c>
      <c r="KC9" s="69">
        <v>2328045</v>
      </c>
      <c r="KD9" s="69">
        <v>9483818</v>
      </c>
      <c r="KE9" s="69">
        <v>3323885</v>
      </c>
      <c r="KF9" s="69">
        <v>3922893</v>
      </c>
      <c r="KG9" s="69">
        <v>626266</v>
      </c>
      <c r="KH9" s="69">
        <v>4624023</v>
      </c>
      <c r="KI9" s="69">
        <v>0</v>
      </c>
      <c r="KJ9" s="69">
        <v>1236132</v>
      </c>
      <c r="KK9" s="69">
        <v>6882539</v>
      </c>
      <c r="KL9" s="69">
        <v>1057756</v>
      </c>
      <c r="KM9" s="69">
        <v>183490</v>
      </c>
      <c r="KN9" s="69">
        <v>845098</v>
      </c>
      <c r="KO9" s="69">
        <v>1260334</v>
      </c>
      <c r="KP9" s="69">
        <v>1252974</v>
      </c>
      <c r="KQ9" s="69">
        <v>9473578</v>
      </c>
      <c r="KR9" s="69">
        <v>6929185</v>
      </c>
      <c r="KS9" s="69">
        <v>0</v>
      </c>
      <c r="KT9" s="69"/>
      <c r="KU9" s="69"/>
      <c r="KV9" s="69">
        <v>73928218</v>
      </c>
      <c r="KW9" s="69"/>
    </row>
    <row r="10" spans="1:314" x14ac:dyDescent="0.25">
      <c r="A10" t="s">
        <v>356</v>
      </c>
      <c r="C10" t="s">
        <v>1088</v>
      </c>
      <c r="D10" t="s">
        <v>1090</v>
      </c>
      <c r="E10" s="2">
        <v>39787.466273148202</v>
      </c>
      <c r="G10" t="s">
        <v>357</v>
      </c>
      <c r="L10">
        <v>0</v>
      </c>
      <c r="M10">
        <v>0</v>
      </c>
      <c r="N10">
        <v>0</v>
      </c>
      <c r="O10">
        <v>45579165</v>
      </c>
      <c r="P10" s="69">
        <v>0</v>
      </c>
      <c r="Q10" s="69">
        <v>590364</v>
      </c>
      <c r="R10">
        <v>0</v>
      </c>
      <c r="S10">
        <v>590364</v>
      </c>
      <c r="T10">
        <v>3124767</v>
      </c>
      <c r="U10">
        <v>2846818</v>
      </c>
      <c r="V10">
        <v>2306144</v>
      </c>
      <c r="W10">
        <v>0</v>
      </c>
      <c r="X10">
        <v>0</v>
      </c>
      <c r="Y10">
        <v>0</v>
      </c>
      <c r="Z10">
        <v>8277729</v>
      </c>
      <c r="AA10">
        <v>3226580</v>
      </c>
      <c r="AB10">
        <v>604921</v>
      </c>
      <c r="AC10">
        <v>565570</v>
      </c>
      <c r="AD10">
        <v>0</v>
      </c>
      <c r="AE10">
        <v>420858</v>
      </c>
      <c r="AF10">
        <v>292359</v>
      </c>
      <c r="AG10">
        <v>5110288</v>
      </c>
      <c r="AH10">
        <v>6351347</v>
      </c>
      <c r="AI10">
        <v>3451739</v>
      </c>
      <c r="AJ10">
        <v>2871714</v>
      </c>
      <c r="AK10">
        <v>0</v>
      </c>
      <c r="AL10">
        <v>420858</v>
      </c>
      <c r="AM10">
        <v>292359</v>
      </c>
      <c r="AN10">
        <v>13388017</v>
      </c>
      <c r="AO10">
        <v>0</v>
      </c>
      <c r="AP10">
        <v>264614</v>
      </c>
      <c r="AQ10">
        <v>0</v>
      </c>
      <c r="AR10">
        <v>0</v>
      </c>
      <c r="AS10">
        <v>264614</v>
      </c>
      <c r="AT10">
        <v>0</v>
      </c>
      <c r="AU10">
        <v>144962</v>
      </c>
      <c r="AV10">
        <v>42342</v>
      </c>
      <c r="AW10">
        <v>0</v>
      </c>
      <c r="AX10">
        <v>187304</v>
      </c>
      <c r="AY10">
        <v>0</v>
      </c>
      <c r="AZ10">
        <v>409576</v>
      </c>
      <c r="BA10">
        <v>42342</v>
      </c>
      <c r="BB10">
        <v>0</v>
      </c>
      <c r="BC10">
        <v>451918</v>
      </c>
      <c r="BD10">
        <v>1265340</v>
      </c>
      <c r="BE10">
        <v>0</v>
      </c>
      <c r="BF10">
        <v>0</v>
      </c>
      <c r="BG10">
        <v>0</v>
      </c>
      <c r="BH10">
        <v>0</v>
      </c>
      <c r="BI10">
        <v>1265340</v>
      </c>
      <c r="BJ10">
        <v>0</v>
      </c>
      <c r="BK10">
        <v>0</v>
      </c>
      <c r="BL10">
        <v>471820</v>
      </c>
      <c r="BM10">
        <v>0</v>
      </c>
      <c r="BN10">
        <v>0</v>
      </c>
      <c r="BO10">
        <v>471820</v>
      </c>
      <c r="BP10">
        <v>3693020</v>
      </c>
      <c r="BQ10">
        <v>865688</v>
      </c>
      <c r="BR10">
        <v>0</v>
      </c>
      <c r="BS10">
        <v>0</v>
      </c>
      <c r="BT10">
        <v>210204</v>
      </c>
      <c r="BU10">
        <v>4768912</v>
      </c>
      <c r="BV10">
        <v>4958360</v>
      </c>
      <c r="BW10">
        <v>865688</v>
      </c>
      <c r="BX10">
        <v>471820</v>
      </c>
      <c r="BY10">
        <v>0</v>
      </c>
      <c r="BZ10">
        <v>210204</v>
      </c>
      <c r="CA10">
        <v>6506072</v>
      </c>
      <c r="CB10">
        <v>0</v>
      </c>
      <c r="CC10">
        <v>0</v>
      </c>
      <c r="CD10">
        <v>0</v>
      </c>
      <c r="CE10">
        <v>0</v>
      </c>
      <c r="CF10">
        <v>0</v>
      </c>
      <c r="CG10">
        <v>0</v>
      </c>
      <c r="CH10">
        <v>0</v>
      </c>
      <c r="CI10">
        <v>0</v>
      </c>
      <c r="CJ10">
        <v>0</v>
      </c>
      <c r="CK10">
        <v>0</v>
      </c>
      <c r="CL10">
        <v>0</v>
      </c>
      <c r="CM10">
        <v>0</v>
      </c>
      <c r="CN10">
        <v>0</v>
      </c>
      <c r="CO10">
        <v>0</v>
      </c>
      <c r="CP10">
        <v>0</v>
      </c>
      <c r="CQ10">
        <v>0</v>
      </c>
      <c r="CR10">
        <v>3549</v>
      </c>
      <c r="CS10">
        <v>1803521</v>
      </c>
      <c r="CT10">
        <v>0</v>
      </c>
      <c r="CU10">
        <v>59744</v>
      </c>
      <c r="CV10">
        <v>23456</v>
      </c>
      <c r="CW10">
        <v>1240016</v>
      </c>
      <c r="CX10">
        <v>333464</v>
      </c>
      <c r="CY10">
        <v>0</v>
      </c>
      <c r="CZ10">
        <v>4752</v>
      </c>
      <c r="DA10">
        <v>121288</v>
      </c>
      <c r="DB10">
        <v>12411</v>
      </c>
      <c r="DC10">
        <v>83381</v>
      </c>
      <c r="DD10">
        <v>0</v>
      </c>
      <c r="DE10">
        <v>18998</v>
      </c>
      <c r="DF10">
        <v>969400</v>
      </c>
      <c r="DG10">
        <v>136122</v>
      </c>
      <c r="DH10">
        <v>98024</v>
      </c>
      <c r="DI10">
        <v>18112</v>
      </c>
      <c r="DJ10">
        <v>256357</v>
      </c>
      <c r="DK10">
        <v>0</v>
      </c>
      <c r="DL10">
        <v>74244</v>
      </c>
      <c r="DM10">
        <v>805440</v>
      </c>
      <c r="DN10">
        <v>288</v>
      </c>
      <c r="DO10">
        <v>8000</v>
      </c>
      <c r="DP10">
        <v>3072</v>
      </c>
      <c r="DQ10">
        <v>228288</v>
      </c>
      <c r="DR10">
        <v>132488</v>
      </c>
      <c r="DS10">
        <v>1574016</v>
      </c>
      <c r="DT10">
        <v>277592</v>
      </c>
      <c r="DU10">
        <v>0</v>
      </c>
      <c r="DX10" s="69">
        <v>6478953</v>
      </c>
      <c r="DY10" s="69">
        <v>221421</v>
      </c>
      <c r="DZ10" s="69">
        <v>63646</v>
      </c>
      <c r="EA10" s="69">
        <v>2656858</v>
      </c>
      <c r="EB10" s="69">
        <v>1404841</v>
      </c>
      <c r="EC10" s="69">
        <v>0</v>
      </c>
      <c r="ED10" s="69">
        <v>8507</v>
      </c>
      <c r="EE10" s="69">
        <v>328283</v>
      </c>
      <c r="EF10" s="69">
        <v>33676</v>
      </c>
      <c r="EG10" s="69">
        <v>112568</v>
      </c>
      <c r="EH10" s="69">
        <v>0</v>
      </c>
      <c r="EI10" s="69">
        <v>85949</v>
      </c>
      <c r="EJ10" s="69">
        <v>3268926</v>
      </c>
      <c r="EK10" s="69">
        <v>477531</v>
      </c>
      <c r="EL10" s="69">
        <v>895129</v>
      </c>
      <c r="EM10" s="69">
        <v>218466</v>
      </c>
      <c r="EN10" s="69">
        <v>561495</v>
      </c>
      <c r="EO10" s="69">
        <v>0</v>
      </c>
      <c r="EP10" s="69">
        <v>271054</v>
      </c>
      <c r="EQ10" s="69">
        <v>2562096</v>
      </c>
      <c r="ER10" s="69">
        <v>781</v>
      </c>
      <c r="ES10" s="69">
        <v>21707</v>
      </c>
      <c r="ET10" s="69">
        <v>8336</v>
      </c>
      <c r="EU10" s="69">
        <v>825387</v>
      </c>
      <c r="EV10" s="69">
        <v>240661</v>
      </c>
      <c r="EW10" s="69">
        <v>3738570</v>
      </c>
      <c r="EX10" s="69">
        <v>895245</v>
      </c>
      <c r="EY10" s="69">
        <v>0</v>
      </c>
      <c r="EZ10" s="69"/>
      <c r="FA10" s="69"/>
      <c r="FB10" s="69">
        <v>18901133</v>
      </c>
      <c r="FC10" s="69">
        <v>648</v>
      </c>
      <c r="FD10" s="69">
        <v>160308</v>
      </c>
      <c r="FE10" s="69">
        <v>96499</v>
      </c>
      <c r="FF10" s="69">
        <v>8517</v>
      </c>
      <c r="FG10" s="69">
        <v>0</v>
      </c>
      <c r="FH10" s="69">
        <v>0</v>
      </c>
      <c r="FI10" s="69">
        <v>75242</v>
      </c>
      <c r="FJ10" s="69">
        <v>84822</v>
      </c>
      <c r="FK10" s="69">
        <v>1202</v>
      </c>
      <c r="FL10" s="69">
        <v>0</v>
      </c>
      <c r="FM10" s="69">
        <v>3019</v>
      </c>
      <c r="FN10" s="69">
        <v>484998</v>
      </c>
      <c r="FO10" s="69">
        <v>4019</v>
      </c>
      <c r="FP10" s="69">
        <v>39508</v>
      </c>
      <c r="FQ10" s="69">
        <v>68369</v>
      </c>
      <c r="FR10" s="69">
        <v>328266</v>
      </c>
      <c r="FS10" s="69">
        <v>0</v>
      </c>
      <c r="FT10" s="69">
        <v>46149</v>
      </c>
      <c r="FU10" s="69">
        <v>8760</v>
      </c>
      <c r="FV10" s="69">
        <v>1968</v>
      </c>
      <c r="FW10" s="69">
        <v>54675</v>
      </c>
      <c r="FX10" s="69">
        <v>20995</v>
      </c>
      <c r="FY10" s="69">
        <v>36062</v>
      </c>
      <c r="FZ10" s="69">
        <v>3962</v>
      </c>
      <c r="GA10" s="69">
        <v>7451</v>
      </c>
      <c r="GB10" s="69">
        <v>35995</v>
      </c>
      <c r="GC10" s="69">
        <v>0</v>
      </c>
      <c r="GD10" s="69"/>
      <c r="GE10" s="69"/>
      <c r="GF10" s="69">
        <v>1571434</v>
      </c>
      <c r="GG10" s="69">
        <v>19563</v>
      </c>
      <c r="GH10" s="69">
        <v>19729</v>
      </c>
      <c r="GI10" s="69">
        <v>242556</v>
      </c>
      <c r="GJ10" s="69">
        <v>124509</v>
      </c>
      <c r="GK10" s="69">
        <v>0</v>
      </c>
      <c r="GL10" s="69">
        <v>749</v>
      </c>
      <c r="GM10" s="69">
        <v>35548</v>
      </c>
      <c r="GN10" s="69">
        <v>10439</v>
      </c>
      <c r="GO10" s="69">
        <v>10023</v>
      </c>
      <c r="GP10" s="69">
        <v>0</v>
      </c>
      <c r="GQ10" s="69">
        <v>7838</v>
      </c>
      <c r="GR10" s="69">
        <v>330700</v>
      </c>
      <c r="GS10" s="69">
        <v>42422</v>
      </c>
      <c r="GT10" s="69">
        <v>82336</v>
      </c>
      <c r="GU10" s="69">
        <v>25269</v>
      </c>
      <c r="GV10" s="69">
        <v>78383</v>
      </c>
      <c r="GW10" s="69">
        <v>0</v>
      </c>
      <c r="GX10" s="69">
        <v>27944</v>
      </c>
      <c r="GY10" s="69">
        <v>226478</v>
      </c>
      <c r="GZ10" s="69">
        <v>242</v>
      </c>
      <c r="HA10" s="69">
        <v>6729</v>
      </c>
      <c r="HB10" s="69">
        <v>2584</v>
      </c>
      <c r="HC10" s="69">
        <v>75889</v>
      </c>
      <c r="HD10" s="69">
        <v>21550</v>
      </c>
      <c r="HE10" s="69">
        <v>330004</v>
      </c>
      <c r="HF10" s="69">
        <v>82037</v>
      </c>
      <c r="HG10" s="69">
        <v>0</v>
      </c>
      <c r="HH10" s="69"/>
      <c r="HI10" s="69"/>
      <c r="HJ10" s="69">
        <v>1803521</v>
      </c>
      <c r="HK10" s="69">
        <v>19308</v>
      </c>
      <c r="HL10" s="69">
        <v>6660</v>
      </c>
      <c r="HM10" s="69">
        <v>251057</v>
      </c>
      <c r="HN10" s="69">
        <v>84000</v>
      </c>
      <c r="HO10" s="69">
        <v>0</v>
      </c>
      <c r="HP10" s="69">
        <v>1654</v>
      </c>
      <c r="HQ10" s="69">
        <v>1333355</v>
      </c>
      <c r="HR10" s="69">
        <v>3524</v>
      </c>
      <c r="HS10" s="69">
        <v>18614</v>
      </c>
      <c r="HT10" s="69">
        <v>0</v>
      </c>
      <c r="HU10" s="69">
        <v>33870</v>
      </c>
      <c r="HV10" s="69">
        <v>116573</v>
      </c>
      <c r="HW10" s="69">
        <v>15992</v>
      </c>
      <c r="HX10" s="69">
        <v>91501</v>
      </c>
      <c r="HY10" s="69">
        <v>40293</v>
      </c>
      <c r="HZ10" s="69">
        <v>239454</v>
      </c>
      <c r="IA10" s="69">
        <v>0</v>
      </c>
      <c r="IB10" s="69">
        <v>34632</v>
      </c>
      <c r="IC10" s="69">
        <v>62223</v>
      </c>
      <c r="ID10" s="69">
        <v>82</v>
      </c>
      <c r="IE10" s="69">
        <v>2271</v>
      </c>
      <c r="IF10" s="69">
        <v>872</v>
      </c>
      <c r="IG10" s="69">
        <v>113635</v>
      </c>
      <c r="IH10" s="69">
        <v>119476</v>
      </c>
      <c r="II10" s="69">
        <v>85574</v>
      </c>
      <c r="IJ10" s="69">
        <v>194649</v>
      </c>
      <c r="IK10" s="69">
        <v>0</v>
      </c>
      <c r="IL10" s="69"/>
      <c r="IM10" s="69"/>
      <c r="IN10" s="69">
        <v>2869269</v>
      </c>
      <c r="IO10" s="69">
        <v>39519</v>
      </c>
      <c r="IP10" s="69">
        <v>186697</v>
      </c>
      <c r="IQ10" s="69">
        <v>590112</v>
      </c>
      <c r="IR10" s="69">
        <v>217026</v>
      </c>
      <c r="IS10" s="69">
        <v>0</v>
      </c>
      <c r="IT10" s="69">
        <v>2403</v>
      </c>
      <c r="IU10" s="69">
        <v>1444145</v>
      </c>
      <c r="IV10" s="69">
        <v>98785</v>
      </c>
      <c r="IW10" s="69">
        <v>29839</v>
      </c>
      <c r="IX10" s="69">
        <v>0</v>
      </c>
      <c r="IY10" s="69">
        <v>44727</v>
      </c>
      <c r="IZ10" s="69">
        <v>932271</v>
      </c>
      <c r="JA10" s="69">
        <v>62433</v>
      </c>
      <c r="JB10" s="69">
        <v>213345</v>
      </c>
      <c r="JC10" s="69">
        <v>133931</v>
      </c>
      <c r="JD10" s="69">
        <v>646103</v>
      </c>
      <c r="JE10" s="69">
        <v>0</v>
      </c>
      <c r="JF10" s="69">
        <v>108725</v>
      </c>
      <c r="JG10" s="69">
        <v>297461</v>
      </c>
      <c r="JH10" s="69">
        <v>2292</v>
      </c>
      <c r="JI10" s="69">
        <v>63675</v>
      </c>
      <c r="JJ10" s="69">
        <v>24451</v>
      </c>
      <c r="JK10" s="69">
        <v>225586</v>
      </c>
      <c r="JL10" s="69">
        <v>144988</v>
      </c>
      <c r="JM10" s="69">
        <v>423029</v>
      </c>
      <c r="JN10" s="69">
        <v>312681</v>
      </c>
      <c r="JO10" s="69">
        <v>0</v>
      </c>
      <c r="JP10" s="69"/>
      <c r="JQ10" s="69"/>
      <c r="JR10" s="69">
        <v>6244224</v>
      </c>
      <c r="JS10" s="69">
        <v>260940</v>
      </c>
      <c r="JT10" s="69">
        <v>250343</v>
      </c>
      <c r="JU10" s="69">
        <v>3246970</v>
      </c>
      <c r="JV10" s="69">
        <v>1621867</v>
      </c>
      <c r="JW10" s="69">
        <v>0</v>
      </c>
      <c r="JX10" s="69">
        <v>10910</v>
      </c>
      <c r="JY10" s="69">
        <v>1772428</v>
      </c>
      <c r="JZ10" s="69">
        <v>132461</v>
      </c>
      <c r="KA10" s="69">
        <v>142407</v>
      </c>
      <c r="KB10" s="69">
        <v>0</v>
      </c>
      <c r="KC10" s="69">
        <v>130676</v>
      </c>
      <c r="KD10" s="69">
        <v>4201197</v>
      </c>
      <c r="KE10" s="69">
        <v>539964</v>
      </c>
      <c r="KF10" s="69">
        <v>1108474</v>
      </c>
      <c r="KG10" s="69">
        <v>352397</v>
      </c>
      <c r="KH10" s="69">
        <v>1207598</v>
      </c>
      <c r="KI10" s="69">
        <v>0</v>
      </c>
      <c r="KJ10" s="69">
        <v>379779</v>
      </c>
      <c r="KK10" s="69">
        <v>2859557</v>
      </c>
      <c r="KL10" s="69">
        <v>3073</v>
      </c>
      <c r="KM10" s="69">
        <v>85382</v>
      </c>
      <c r="KN10" s="69">
        <v>32787</v>
      </c>
      <c r="KO10" s="69">
        <v>1050973</v>
      </c>
      <c r="KP10" s="69">
        <v>385649</v>
      </c>
      <c r="KQ10" s="69">
        <v>4161599</v>
      </c>
      <c r="KR10" s="69">
        <v>1207926</v>
      </c>
      <c r="KS10" s="69">
        <v>0</v>
      </c>
      <c r="KT10" s="69"/>
      <c r="KU10" s="69"/>
      <c r="KV10" s="69">
        <v>25145357</v>
      </c>
      <c r="KW10" s="69"/>
    </row>
    <row r="11" spans="1:314" x14ac:dyDescent="0.25">
      <c r="A11" t="s">
        <v>428</v>
      </c>
      <c r="C11" t="s">
        <v>1088</v>
      </c>
      <c r="D11" t="s">
        <v>1125</v>
      </c>
      <c r="E11" s="2">
        <v>39798.449444444399</v>
      </c>
      <c r="G11" t="s">
        <v>429</v>
      </c>
      <c r="L11">
        <v>0</v>
      </c>
      <c r="M11">
        <v>0</v>
      </c>
      <c r="N11">
        <v>0</v>
      </c>
      <c r="O11">
        <v>20419556</v>
      </c>
      <c r="P11" s="69">
        <v>0</v>
      </c>
      <c r="Q11" s="69">
        <v>192103</v>
      </c>
      <c r="R11">
        <v>0</v>
      </c>
      <c r="S11">
        <v>192103</v>
      </c>
      <c r="T11">
        <v>2556098</v>
      </c>
      <c r="U11">
        <v>1388455</v>
      </c>
      <c r="V11">
        <v>881785</v>
      </c>
      <c r="W11">
        <v>0</v>
      </c>
      <c r="X11">
        <v>0</v>
      </c>
      <c r="Y11">
        <v>0</v>
      </c>
      <c r="Z11">
        <v>4826338</v>
      </c>
      <c r="AA11">
        <v>1314857</v>
      </c>
      <c r="AB11">
        <v>255515</v>
      </c>
      <c r="AC11">
        <v>490238</v>
      </c>
      <c r="AD11">
        <v>0</v>
      </c>
      <c r="AE11">
        <v>267054</v>
      </c>
      <c r="AF11">
        <v>344521</v>
      </c>
      <c r="AG11">
        <v>2672185</v>
      </c>
      <c r="AH11">
        <v>3870955</v>
      </c>
      <c r="AI11">
        <v>1643970</v>
      </c>
      <c r="AJ11">
        <v>1372023</v>
      </c>
      <c r="AK11">
        <v>0</v>
      </c>
      <c r="AL11">
        <v>267054</v>
      </c>
      <c r="AM11">
        <v>344521</v>
      </c>
      <c r="AN11">
        <v>7498523</v>
      </c>
      <c r="AO11">
        <v>5875</v>
      </c>
      <c r="AP11">
        <v>0</v>
      </c>
      <c r="AQ11">
        <v>50476</v>
      </c>
      <c r="AR11">
        <v>0</v>
      </c>
      <c r="AS11">
        <v>56351</v>
      </c>
      <c r="AT11">
        <v>2677</v>
      </c>
      <c r="AU11">
        <v>0</v>
      </c>
      <c r="AV11">
        <v>1010</v>
      </c>
      <c r="AW11">
        <v>0</v>
      </c>
      <c r="AX11">
        <v>3687</v>
      </c>
      <c r="AY11">
        <v>8552</v>
      </c>
      <c r="AZ11">
        <v>0</v>
      </c>
      <c r="BA11">
        <v>51486</v>
      </c>
      <c r="BB11">
        <v>0</v>
      </c>
      <c r="BC11">
        <v>60038</v>
      </c>
      <c r="BD11">
        <v>408650</v>
      </c>
      <c r="BE11">
        <v>0</v>
      </c>
      <c r="BF11">
        <v>0</v>
      </c>
      <c r="BG11">
        <v>0</v>
      </c>
      <c r="BH11">
        <v>0</v>
      </c>
      <c r="BI11">
        <v>408650</v>
      </c>
      <c r="BJ11">
        <v>0</v>
      </c>
      <c r="BK11">
        <v>0</v>
      </c>
      <c r="BL11">
        <v>152006</v>
      </c>
      <c r="BM11">
        <v>0</v>
      </c>
      <c r="BN11">
        <v>0</v>
      </c>
      <c r="BO11">
        <v>152006</v>
      </c>
      <c r="BP11">
        <v>2011128</v>
      </c>
      <c r="BQ11">
        <v>0</v>
      </c>
      <c r="BR11">
        <v>0</v>
      </c>
      <c r="BS11">
        <v>0</v>
      </c>
      <c r="BT11">
        <v>5711</v>
      </c>
      <c r="BU11">
        <v>2016839</v>
      </c>
      <c r="BV11">
        <v>2419778</v>
      </c>
      <c r="BW11">
        <v>0</v>
      </c>
      <c r="BX11">
        <v>152006</v>
      </c>
      <c r="BY11">
        <v>0</v>
      </c>
      <c r="BZ11">
        <v>5711</v>
      </c>
      <c r="CA11">
        <v>2577495</v>
      </c>
      <c r="CB11">
        <v>0</v>
      </c>
      <c r="CC11">
        <v>0</v>
      </c>
      <c r="CD11">
        <v>0</v>
      </c>
      <c r="CE11">
        <v>0</v>
      </c>
      <c r="CF11">
        <v>0</v>
      </c>
      <c r="CG11">
        <v>0</v>
      </c>
      <c r="CH11">
        <v>0</v>
      </c>
      <c r="CI11">
        <v>0</v>
      </c>
      <c r="CJ11">
        <v>0</v>
      </c>
      <c r="CK11">
        <v>0</v>
      </c>
      <c r="CL11">
        <v>0</v>
      </c>
      <c r="CM11">
        <v>0</v>
      </c>
      <c r="CN11">
        <v>0</v>
      </c>
      <c r="CO11">
        <v>0</v>
      </c>
      <c r="CP11">
        <v>0</v>
      </c>
      <c r="CQ11">
        <v>0</v>
      </c>
      <c r="CR11">
        <v>7857</v>
      </c>
      <c r="CS11">
        <v>281309</v>
      </c>
      <c r="CT11">
        <v>0</v>
      </c>
      <c r="CU11">
        <v>0</v>
      </c>
      <c r="CV11">
        <v>87184</v>
      </c>
      <c r="CW11">
        <v>233184</v>
      </c>
      <c r="CX11">
        <v>134278</v>
      </c>
      <c r="CY11">
        <v>0</v>
      </c>
      <c r="CZ11">
        <v>289</v>
      </c>
      <c r="DA11">
        <v>22768</v>
      </c>
      <c r="DB11">
        <v>92816</v>
      </c>
      <c r="DC11">
        <v>17517</v>
      </c>
      <c r="DD11">
        <v>0</v>
      </c>
      <c r="DE11">
        <v>125024</v>
      </c>
      <c r="DF11">
        <v>171840</v>
      </c>
      <c r="DG11">
        <v>14148</v>
      </c>
      <c r="DH11">
        <v>6596</v>
      </c>
      <c r="DI11">
        <v>0</v>
      </c>
      <c r="DJ11">
        <v>36587</v>
      </c>
      <c r="DK11">
        <v>0</v>
      </c>
      <c r="DL11">
        <v>16704</v>
      </c>
      <c r="DM11">
        <v>160320</v>
      </c>
      <c r="DN11">
        <v>24944</v>
      </c>
      <c r="DO11">
        <v>0</v>
      </c>
      <c r="DP11">
        <v>800</v>
      </c>
      <c r="DQ11">
        <v>27712</v>
      </c>
      <c r="DR11">
        <v>33804</v>
      </c>
      <c r="DS11">
        <v>237648</v>
      </c>
      <c r="DT11">
        <v>53280</v>
      </c>
      <c r="DU11">
        <v>0</v>
      </c>
      <c r="DX11" s="69">
        <v>1497443</v>
      </c>
      <c r="DY11" s="69">
        <v>0</v>
      </c>
      <c r="DZ11" s="69">
        <v>276447</v>
      </c>
      <c r="EA11" s="69">
        <v>843092</v>
      </c>
      <c r="EB11" s="69">
        <v>628937</v>
      </c>
      <c r="EC11" s="69">
        <v>0</v>
      </c>
      <c r="ED11" s="69"/>
      <c r="EE11" s="69">
        <v>216839</v>
      </c>
      <c r="EF11" s="69">
        <v>292214</v>
      </c>
      <c r="EG11" s="69">
        <v>49863</v>
      </c>
      <c r="EH11" s="69">
        <v>0</v>
      </c>
      <c r="EI11" s="69">
        <v>177189</v>
      </c>
      <c r="EJ11" s="69">
        <v>674914</v>
      </c>
      <c r="EK11" s="69">
        <v>54392</v>
      </c>
      <c r="EL11" s="69">
        <v>170156</v>
      </c>
      <c r="EM11" s="69">
        <v>0</v>
      </c>
      <c r="EN11" s="69">
        <v>266820</v>
      </c>
      <c r="EO11" s="69">
        <v>0</v>
      </c>
      <c r="EP11" s="69">
        <v>105693</v>
      </c>
      <c r="EQ11" s="69">
        <v>532806</v>
      </c>
      <c r="ER11" s="69">
        <v>91558</v>
      </c>
      <c r="ES11" s="69">
        <v>0</v>
      </c>
      <c r="ET11" s="69">
        <v>6443</v>
      </c>
      <c r="EU11" s="69">
        <v>140774</v>
      </c>
      <c r="EV11" s="69">
        <v>96067</v>
      </c>
      <c r="EW11" s="69">
        <v>729317</v>
      </c>
      <c r="EX11" s="69">
        <v>334280</v>
      </c>
      <c r="EY11" s="69">
        <v>655637</v>
      </c>
      <c r="EZ11" s="69"/>
      <c r="FA11" s="69"/>
      <c r="FB11" s="69">
        <v>6352552</v>
      </c>
      <c r="FC11" s="69">
        <v>0</v>
      </c>
      <c r="FD11" s="69">
        <v>0</v>
      </c>
      <c r="FE11" s="69">
        <v>44149</v>
      </c>
      <c r="FF11" s="69">
        <v>0</v>
      </c>
      <c r="FG11" s="69">
        <v>0</v>
      </c>
      <c r="FH11" s="69">
        <v>0</v>
      </c>
      <c r="FI11" s="69">
        <v>0</v>
      </c>
      <c r="FJ11" s="69">
        <v>0</v>
      </c>
      <c r="FK11" s="69">
        <v>0</v>
      </c>
      <c r="FL11" s="69">
        <v>0</v>
      </c>
      <c r="FM11" s="69">
        <v>0</v>
      </c>
      <c r="FN11" s="69">
        <v>0</v>
      </c>
      <c r="FO11" s="69">
        <v>0</v>
      </c>
      <c r="FP11" s="69">
        <v>20832</v>
      </c>
      <c r="FQ11" s="69">
        <v>0</v>
      </c>
      <c r="FR11" s="69">
        <v>0</v>
      </c>
      <c r="FS11" s="69">
        <v>0</v>
      </c>
      <c r="FT11" s="69">
        <v>0</v>
      </c>
      <c r="FU11" s="69">
        <v>0</v>
      </c>
      <c r="FV11" s="69">
        <v>0</v>
      </c>
      <c r="FW11" s="69">
        <v>0</v>
      </c>
      <c r="FX11" s="69">
        <v>0</v>
      </c>
      <c r="FY11" s="69">
        <v>0</v>
      </c>
      <c r="FZ11" s="69">
        <v>0</v>
      </c>
      <c r="GA11" s="69">
        <v>0</v>
      </c>
      <c r="GB11" s="69">
        <v>13982</v>
      </c>
      <c r="GC11" s="69">
        <v>1441623</v>
      </c>
      <c r="GD11" s="69"/>
      <c r="GE11" s="69"/>
      <c r="GF11" s="69">
        <v>1520586</v>
      </c>
      <c r="GG11" s="69">
        <v>0</v>
      </c>
      <c r="GH11" s="69">
        <v>9878</v>
      </c>
      <c r="GI11" s="69">
        <v>31701</v>
      </c>
      <c r="GJ11" s="69">
        <v>22472</v>
      </c>
      <c r="GK11" s="69">
        <v>0</v>
      </c>
      <c r="GL11" s="69">
        <v>326</v>
      </c>
      <c r="GM11" s="69">
        <v>7748</v>
      </c>
      <c r="GN11" s="69">
        <v>10441</v>
      </c>
      <c r="GO11" s="69">
        <v>1782</v>
      </c>
      <c r="GP11" s="69">
        <v>0</v>
      </c>
      <c r="GQ11" s="69">
        <v>6331</v>
      </c>
      <c r="GR11" s="69">
        <v>24115</v>
      </c>
      <c r="GS11" s="69">
        <v>1943</v>
      </c>
      <c r="GT11" s="69">
        <v>6824</v>
      </c>
      <c r="GU11" s="69">
        <v>0</v>
      </c>
      <c r="GV11" s="69">
        <v>9534</v>
      </c>
      <c r="GW11" s="69">
        <v>0</v>
      </c>
      <c r="GX11" s="69">
        <v>3776</v>
      </c>
      <c r="GY11" s="69">
        <v>19037</v>
      </c>
      <c r="GZ11" s="69">
        <v>3271</v>
      </c>
      <c r="HA11" s="69">
        <v>0</v>
      </c>
      <c r="HB11" s="69">
        <v>230</v>
      </c>
      <c r="HC11" s="69">
        <v>5030</v>
      </c>
      <c r="HD11" s="69">
        <v>3432</v>
      </c>
      <c r="HE11" s="69">
        <v>26059</v>
      </c>
      <c r="HF11" s="69">
        <v>12443</v>
      </c>
      <c r="HG11" s="69">
        <v>74936</v>
      </c>
      <c r="HH11" s="69"/>
      <c r="HI11" s="69"/>
      <c r="HJ11" s="69">
        <v>281309</v>
      </c>
      <c r="HK11" s="69">
        <v>0</v>
      </c>
      <c r="HL11" s="69">
        <v>91009</v>
      </c>
      <c r="HM11" s="69">
        <v>114052</v>
      </c>
      <c r="HN11" s="69">
        <v>22977</v>
      </c>
      <c r="HO11" s="69">
        <v>0</v>
      </c>
      <c r="HP11" s="69">
        <v>1562</v>
      </c>
      <c r="HQ11" s="69">
        <v>13658</v>
      </c>
      <c r="HR11" s="69">
        <v>38372</v>
      </c>
      <c r="HS11" s="69">
        <v>5653</v>
      </c>
      <c r="HT11" s="69">
        <v>0</v>
      </c>
      <c r="HU11" s="69">
        <v>15091</v>
      </c>
      <c r="HV11" s="69">
        <v>5607</v>
      </c>
      <c r="HW11" s="69">
        <v>1334</v>
      </c>
      <c r="HX11" s="69">
        <v>14941</v>
      </c>
      <c r="HY11" s="69">
        <v>0</v>
      </c>
      <c r="HZ11" s="69">
        <v>107090</v>
      </c>
      <c r="IA11" s="69">
        <v>0</v>
      </c>
      <c r="IB11" s="69">
        <v>35687</v>
      </c>
      <c r="IC11" s="69">
        <v>12690</v>
      </c>
      <c r="ID11" s="69">
        <v>7094</v>
      </c>
      <c r="IE11" s="69">
        <v>1957</v>
      </c>
      <c r="IF11" s="69">
        <v>0</v>
      </c>
      <c r="IG11" s="69">
        <v>7732</v>
      </c>
      <c r="IH11" s="69">
        <v>7455</v>
      </c>
      <c r="II11" s="69">
        <v>4734</v>
      </c>
      <c r="IJ11" s="69">
        <v>117289</v>
      </c>
      <c r="IK11" s="69">
        <v>1661198</v>
      </c>
      <c r="IL11" s="69"/>
      <c r="IM11" s="69"/>
      <c r="IN11" s="69">
        <v>2287182</v>
      </c>
      <c r="IO11" s="69">
        <v>0</v>
      </c>
      <c r="IP11" s="69">
        <v>100887</v>
      </c>
      <c r="IQ11" s="69">
        <v>189902</v>
      </c>
      <c r="IR11" s="69">
        <v>45449</v>
      </c>
      <c r="IS11" s="69">
        <v>0</v>
      </c>
      <c r="IT11" s="69"/>
      <c r="IU11" s="69">
        <v>21406</v>
      </c>
      <c r="IV11" s="69">
        <v>48813</v>
      </c>
      <c r="IW11" s="69">
        <v>7435</v>
      </c>
      <c r="IX11" s="69">
        <v>0</v>
      </c>
      <c r="IY11" s="69">
        <v>21422</v>
      </c>
      <c r="IZ11" s="69">
        <v>29722</v>
      </c>
      <c r="JA11" s="69">
        <v>3277</v>
      </c>
      <c r="JB11" s="69">
        <v>42597</v>
      </c>
      <c r="JC11" s="69">
        <v>0</v>
      </c>
      <c r="JD11" s="69">
        <v>116624</v>
      </c>
      <c r="JE11" s="69">
        <v>0</v>
      </c>
      <c r="JF11" s="69">
        <v>39463</v>
      </c>
      <c r="JG11" s="69">
        <v>31727</v>
      </c>
      <c r="JH11" s="69">
        <v>10365</v>
      </c>
      <c r="JI11" s="69">
        <v>1957</v>
      </c>
      <c r="JJ11" s="69">
        <v>230</v>
      </c>
      <c r="JK11" s="69">
        <v>12762</v>
      </c>
      <c r="JL11" s="69">
        <v>10887</v>
      </c>
      <c r="JM11" s="69">
        <v>30793</v>
      </c>
      <c r="JN11" s="69">
        <v>143714</v>
      </c>
      <c r="JO11" s="69">
        <v>3177757</v>
      </c>
      <c r="JP11" s="69"/>
      <c r="JQ11" s="69"/>
      <c r="JR11" s="69">
        <v>4089077</v>
      </c>
      <c r="JS11" s="69">
        <v>0</v>
      </c>
      <c r="JT11" s="69">
        <v>377334</v>
      </c>
      <c r="JU11" s="69">
        <v>1032994</v>
      </c>
      <c r="JV11" s="69">
        <v>674386</v>
      </c>
      <c r="JW11" s="69">
        <v>0</v>
      </c>
      <c r="JX11" s="69">
        <v>11002</v>
      </c>
      <c r="JY11" s="69">
        <v>238245</v>
      </c>
      <c r="JZ11" s="69">
        <v>341027</v>
      </c>
      <c r="KA11" s="69">
        <v>57298</v>
      </c>
      <c r="KB11" s="69">
        <v>0</v>
      </c>
      <c r="KC11" s="69">
        <v>198611</v>
      </c>
      <c r="KD11" s="69">
        <v>704636</v>
      </c>
      <c r="KE11" s="69">
        <v>57669</v>
      </c>
      <c r="KF11" s="69">
        <v>212753</v>
      </c>
      <c r="KG11" s="69">
        <v>0</v>
      </c>
      <c r="KH11" s="69">
        <v>383444</v>
      </c>
      <c r="KI11" s="69">
        <v>0</v>
      </c>
      <c r="KJ11" s="69">
        <v>145156</v>
      </c>
      <c r="KK11" s="69">
        <v>564533</v>
      </c>
      <c r="KL11" s="69">
        <v>101923</v>
      </c>
      <c r="KM11" s="69">
        <v>1957</v>
      </c>
      <c r="KN11" s="69">
        <v>6673</v>
      </c>
      <c r="KO11" s="69">
        <v>153536</v>
      </c>
      <c r="KP11" s="69">
        <v>106954</v>
      </c>
      <c r="KQ11" s="69">
        <v>760110</v>
      </c>
      <c r="KR11" s="69">
        <v>477994</v>
      </c>
      <c r="KS11" s="69">
        <v>3833394</v>
      </c>
      <c r="KT11" s="69"/>
      <c r="KU11" s="69"/>
      <c r="KV11" s="69">
        <v>10441629</v>
      </c>
      <c r="KW11" s="69"/>
    </row>
    <row r="12" spans="1:314" x14ac:dyDescent="0.25">
      <c r="A12" t="s">
        <v>420</v>
      </c>
      <c r="C12" t="s">
        <v>1088</v>
      </c>
      <c r="D12" t="s">
        <v>1122</v>
      </c>
      <c r="E12" s="2">
        <v>39797.673113425903</v>
      </c>
      <c r="G12" t="s">
        <v>421</v>
      </c>
      <c r="L12">
        <v>0</v>
      </c>
      <c r="M12">
        <v>0</v>
      </c>
      <c r="N12">
        <v>0</v>
      </c>
      <c r="O12">
        <v>99408598</v>
      </c>
      <c r="P12" s="69">
        <v>0</v>
      </c>
      <c r="Q12" s="69">
        <v>1537892</v>
      </c>
      <c r="R12">
        <v>0</v>
      </c>
      <c r="S12">
        <v>1537892</v>
      </c>
      <c r="T12">
        <v>5385646</v>
      </c>
      <c r="U12">
        <v>3294261</v>
      </c>
      <c r="V12">
        <v>1621718</v>
      </c>
      <c r="W12">
        <v>0</v>
      </c>
      <c r="X12">
        <v>0</v>
      </c>
      <c r="Y12">
        <v>0</v>
      </c>
      <c r="Z12">
        <v>10301625</v>
      </c>
      <c r="AA12">
        <v>3506840</v>
      </c>
      <c r="AB12">
        <v>476687</v>
      </c>
      <c r="AC12">
        <v>477850</v>
      </c>
      <c r="AD12">
        <v>0</v>
      </c>
      <c r="AE12">
        <v>0</v>
      </c>
      <c r="AF12">
        <v>889961</v>
      </c>
      <c r="AG12">
        <v>5351338</v>
      </c>
      <c r="AH12">
        <v>8892486</v>
      </c>
      <c r="AI12">
        <v>3770948</v>
      </c>
      <c r="AJ12">
        <v>2099568</v>
      </c>
      <c r="AK12">
        <v>0</v>
      </c>
      <c r="AL12">
        <v>0</v>
      </c>
      <c r="AM12">
        <v>889961</v>
      </c>
      <c r="AN12">
        <v>15652963</v>
      </c>
      <c r="AO12">
        <v>28945918</v>
      </c>
      <c r="AP12">
        <v>0</v>
      </c>
      <c r="AQ12">
        <v>504801</v>
      </c>
      <c r="AR12">
        <v>0</v>
      </c>
      <c r="AS12">
        <v>29450719</v>
      </c>
      <c r="AT12">
        <v>17185279</v>
      </c>
      <c r="AU12">
        <v>0</v>
      </c>
      <c r="AV12">
        <v>1327189</v>
      </c>
      <c r="AW12">
        <v>446968</v>
      </c>
      <c r="AX12">
        <v>18959436</v>
      </c>
      <c r="AY12">
        <v>46131197</v>
      </c>
      <c r="AZ12">
        <v>0</v>
      </c>
      <c r="BA12">
        <v>1831990</v>
      </c>
      <c r="BB12">
        <v>446968</v>
      </c>
      <c r="BC12">
        <v>48410155</v>
      </c>
      <c r="BD12">
        <v>2393161</v>
      </c>
      <c r="BE12">
        <v>0</v>
      </c>
      <c r="BF12">
        <v>0</v>
      </c>
      <c r="BG12">
        <v>0</v>
      </c>
      <c r="BH12">
        <v>0</v>
      </c>
      <c r="BI12">
        <v>2393161</v>
      </c>
      <c r="BJ12">
        <v>0</v>
      </c>
      <c r="BK12">
        <v>0</v>
      </c>
      <c r="BL12">
        <v>791231</v>
      </c>
      <c r="BM12">
        <v>0</v>
      </c>
      <c r="BN12">
        <v>0</v>
      </c>
      <c r="BO12">
        <v>791231</v>
      </c>
      <c r="BP12">
        <v>4513239</v>
      </c>
      <c r="BQ12">
        <v>0</v>
      </c>
      <c r="BR12">
        <v>0</v>
      </c>
      <c r="BS12">
        <v>0</v>
      </c>
      <c r="BT12">
        <v>53414</v>
      </c>
      <c r="BU12">
        <v>4566653</v>
      </c>
      <c r="BV12">
        <v>6906400</v>
      </c>
      <c r="BW12">
        <v>0</v>
      </c>
      <c r="BX12">
        <v>791231</v>
      </c>
      <c r="BY12">
        <v>0</v>
      </c>
      <c r="BZ12">
        <v>53414</v>
      </c>
      <c r="CA12">
        <v>7751045</v>
      </c>
      <c r="CB12">
        <v>0</v>
      </c>
      <c r="CC12">
        <v>0</v>
      </c>
      <c r="CD12">
        <v>0</v>
      </c>
      <c r="CE12">
        <v>0</v>
      </c>
      <c r="CF12">
        <v>0</v>
      </c>
      <c r="CG12">
        <v>0</v>
      </c>
      <c r="CH12">
        <v>0</v>
      </c>
      <c r="CI12">
        <v>0</v>
      </c>
      <c r="CJ12">
        <v>0</v>
      </c>
      <c r="CK12">
        <v>0</v>
      </c>
      <c r="CL12">
        <v>0</v>
      </c>
      <c r="CM12">
        <v>0</v>
      </c>
      <c r="CN12">
        <v>0</v>
      </c>
      <c r="CO12">
        <v>0</v>
      </c>
      <c r="CP12">
        <v>0</v>
      </c>
      <c r="CQ12">
        <v>0</v>
      </c>
      <c r="CR12">
        <v>4003</v>
      </c>
      <c r="CS12">
        <v>1994188</v>
      </c>
      <c r="CT12">
        <v>0</v>
      </c>
      <c r="CU12">
        <v>72622</v>
      </c>
      <c r="CV12">
        <v>107378</v>
      </c>
      <c r="CW12">
        <v>266400</v>
      </c>
      <c r="CX12">
        <v>695973</v>
      </c>
      <c r="CY12">
        <v>18416</v>
      </c>
      <c r="CZ12">
        <v>42592</v>
      </c>
      <c r="DA12">
        <v>520772</v>
      </c>
      <c r="DB12">
        <v>17520</v>
      </c>
      <c r="DC12">
        <v>293058</v>
      </c>
      <c r="DD12">
        <v>256</v>
      </c>
      <c r="DE12">
        <v>133206</v>
      </c>
      <c r="DF12">
        <v>792352</v>
      </c>
      <c r="DG12">
        <v>75616</v>
      </c>
      <c r="DH12">
        <v>200300</v>
      </c>
      <c r="DI12">
        <v>0</v>
      </c>
      <c r="DJ12">
        <v>134728</v>
      </c>
      <c r="DK12">
        <v>0</v>
      </c>
      <c r="DL12">
        <v>110096</v>
      </c>
      <c r="DM12">
        <v>557969</v>
      </c>
      <c r="DN12">
        <v>52376</v>
      </c>
      <c r="DO12">
        <v>42668</v>
      </c>
      <c r="DP12">
        <v>10864</v>
      </c>
      <c r="DQ12">
        <v>146488</v>
      </c>
      <c r="DR12">
        <v>183720</v>
      </c>
      <c r="DS12">
        <v>1103712</v>
      </c>
      <c r="DT12">
        <v>183808</v>
      </c>
      <c r="DU12">
        <v>0</v>
      </c>
      <c r="DX12" s="69">
        <v>5762890</v>
      </c>
      <c r="DY12" s="69">
        <v>87639</v>
      </c>
      <c r="DZ12" s="69">
        <v>444523</v>
      </c>
      <c r="EA12" s="69">
        <v>882846</v>
      </c>
      <c r="EB12" s="69">
        <v>1917759</v>
      </c>
      <c r="EC12" s="69">
        <v>205661</v>
      </c>
      <c r="ED12" s="69">
        <v>163458</v>
      </c>
      <c r="EE12" s="69">
        <v>1602308</v>
      </c>
      <c r="EF12" s="69">
        <v>60653</v>
      </c>
      <c r="EG12" s="69">
        <v>280725</v>
      </c>
      <c r="EH12" s="69"/>
      <c r="EI12" s="69">
        <v>36138</v>
      </c>
      <c r="EJ12" s="69">
        <v>2560844</v>
      </c>
      <c r="EK12" s="69">
        <v>299174</v>
      </c>
      <c r="EL12" s="69">
        <v>1387851</v>
      </c>
      <c r="EM12" s="69">
        <v>0</v>
      </c>
      <c r="EN12" s="69">
        <v>614957</v>
      </c>
      <c r="EO12" s="69">
        <v>0</v>
      </c>
      <c r="EP12" s="69">
        <v>512352</v>
      </c>
      <c r="EQ12" s="69">
        <v>1312540</v>
      </c>
      <c r="ER12" s="69">
        <v>172645</v>
      </c>
      <c r="ES12" s="69">
        <v>112203</v>
      </c>
      <c r="ET12" s="69">
        <v>98310</v>
      </c>
      <c r="EU12" s="69">
        <v>429511</v>
      </c>
      <c r="EV12" s="69">
        <v>754839</v>
      </c>
      <c r="EW12" s="69">
        <v>2755523</v>
      </c>
      <c r="EX12" s="69">
        <v>528306</v>
      </c>
      <c r="EY12" s="69">
        <v>0</v>
      </c>
      <c r="EZ12" s="69"/>
      <c r="FA12" s="69"/>
      <c r="FB12" s="69">
        <v>17254048</v>
      </c>
      <c r="FC12" s="69">
        <v>25699</v>
      </c>
      <c r="FD12" s="69">
        <v>85847</v>
      </c>
      <c r="FE12" s="69">
        <v>42818</v>
      </c>
      <c r="FF12" s="69">
        <v>207370</v>
      </c>
      <c r="FG12" s="69">
        <v>300643</v>
      </c>
      <c r="FH12" s="69">
        <v>4561</v>
      </c>
      <c r="FI12" s="69">
        <v>169411</v>
      </c>
      <c r="FJ12" s="69">
        <v>20938</v>
      </c>
      <c r="FK12" s="69">
        <v>138779</v>
      </c>
      <c r="FL12" s="69">
        <v>1315</v>
      </c>
      <c r="FM12" s="69">
        <v>0</v>
      </c>
      <c r="FN12" s="69">
        <v>71462</v>
      </c>
      <c r="FO12" s="69">
        <v>0</v>
      </c>
      <c r="FP12" s="69">
        <v>78444</v>
      </c>
      <c r="FQ12" s="69">
        <v>0</v>
      </c>
      <c r="FR12" s="69">
        <v>129777</v>
      </c>
      <c r="FS12" s="69">
        <v>0</v>
      </c>
      <c r="FT12" s="69">
        <v>54742</v>
      </c>
      <c r="FU12" s="69">
        <v>120109</v>
      </c>
      <c r="FV12" s="69">
        <v>92419</v>
      </c>
      <c r="FW12" s="69">
        <v>23214</v>
      </c>
      <c r="FX12" s="69">
        <v>33840</v>
      </c>
      <c r="FY12" s="69">
        <v>141473</v>
      </c>
      <c r="FZ12" s="69">
        <v>85664</v>
      </c>
      <c r="GA12" s="69">
        <v>34831</v>
      </c>
      <c r="GB12" s="69">
        <v>39254</v>
      </c>
      <c r="GC12" s="69">
        <v>0</v>
      </c>
      <c r="GD12" s="69"/>
      <c r="GE12" s="69"/>
      <c r="GF12" s="69">
        <v>1902610</v>
      </c>
      <c r="GG12" s="69">
        <v>11798</v>
      </c>
      <c r="GH12" s="69">
        <v>55211</v>
      </c>
      <c r="GI12" s="69">
        <v>96361</v>
      </c>
      <c r="GJ12" s="69">
        <v>221224</v>
      </c>
      <c r="GK12" s="69">
        <v>52706</v>
      </c>
      <c r="GL12" s="69">
        <v>17491</v>
      </c>
      <c r="GM12" s="69">
        <v>184434</v>
      </c>
      <c r="GN12" s="69">
        <v>8494</v>
      </c>
      <c r="GO12" s="69">
        <v>43670</v>
      </c>
      <c r="GP12" s="69">
        <v>3602</v>
      </c>
      <c r="GQ12" s="69">
        <v>3762</v>
      </c>
      <c r="GR12" s="69">
        <v>274020</v>
      </c>
      <c r="GS12" s="69">
        <v>31144</v>
      </c>
      <c r="GT12" s="69">
        <v>152640</v>
      </c>
      <c r="GU12" s="69">
        <v>0</v>
      </c>
      <c r="GV12" s="69">
        <v>77526</v>
      </c>
      <c r="GW12" s="69">
        <v>0</v>
      </c>
      <c r="GX12" s="69">
        <v>59034</v>
      </c>
      <c r="GY12" s="69">
        <v>149137</v>
      </c>
      <c r="GZ12" s="69">
        <v>27593</v>
      </c>
      <c r="HA12" s="69">
        <v>14097</v>
      </c>
      <c r="HB12" s="69">
        <v>13757</v>
      </c>
      <c r="HC12" s="69">
        <v>59439</v>
      </c>
      <c r="HD12" s="69">
        <v>87495</v>
      </c>
      <c r="HE12" s="69">
        <v>290473</v>
      </c>
      <c r="HF12" s="69">
        <v>59082</v>
      </c>
      <c r="HG12" s="69">
        <v>0</v>
      </c>
      <c r="HH12" s="69"/>
      <c r="HI12" s="69"/>
      <c r="HJ12" s="69">
        <v>1994188</v>
      </c>
      <c r="HK12" s="69">
        <v>35731</v>
      </c>
      <c r="HL12" s="69">
        <v>434890</v>
      </c>
      <c r="HM12" s="69">
        <v>101548</v>
      </c>
      <c r="HN12" s="69">
        <v>299795</v>
      </c>
      <c r="HO12" s="69">
        <v>421610</v>
      </c>
      <c r="HP12" s="69">
        <v>2838</v>
      </c>
      <c r="HQ12" s="69">
        <v>4135682</v>
      </c>
      <c r="HR12" s="69">
        <v>15008</v>
      </c>
      <c r="HS12" s="69">
        <v>262626</v>
      </c>
      <c r="HT12" s="69">
        <v>0</v>
      </c>
      <c r="HU12" s="69">
        <v>23640</v>
      </c>
      <c r="HV12" s="69">
        <v>44465</v>
      </c>
      <c r="HW12" s="69">
        <v>1733</v>
      </c>
      <c r="HX12" s="69">
        <v>131915</v>
      </c>
      <c r="HY12" s="69">
        <v>0</v>
      </c>
      <c r="HZ12" s="69">
        <v>61600</v>
      </c>
      <c r="IA12" s="69">
        <v>0</v>
      </c>
      <c r="IB12" s="69">
        <v>48509</v>
      </c>
      <c r="IC12" s="69">
        <v>34123</v>
      </c>
      <c r="ID12" s="69">
        <v>59824</v>
      </c>
      <c r="IE12" s="69">
        <v>16424</v>
      </c>
      <c r="IF12" s="69">
        <v>16100</v>
      </c>
      <c r="IG12" s="69">
        <v>56893</v>
      </c>
      <c r="IH12" s="69">
        <v>30606</v>
      </c>
      <c r="II12" s="69">
        <v>19272</v>
      </c>
      <c r="IJ12" s="69">
        <v>41208</v>
      </c>
      <c r="IK12" s="69">
        <v>0</v>
      </c>
      <c r="IL12" s="69"/>
      <c r="IM12" s="69"/>
      <c r="IN12" s="69">
        <v>6296040</v>
      </c>
      <c r="IO12" s="69">
        <v>73228</v>
      </c>
      <c r="IP12" s="69">
        <v>575948</v>
      </c>
      <c r="IQ12" s="69">
        <v>240727</v>
      </c>
      <c r="IR12" s="69">
        <v>728389</v>
      </c>
      <c r="IS12" s="69">
        <v>774959</v>
      </c>
      <c r="IT12" s="69">
        <v>24890</v>
      </c>
      <c r="IU12" s="69">
        <v>4489527</v>
      </c>
      <c r="IV12" s="69">
        <v>44440</v>
      </c>
      <c r="IW12" s="69">
        <v>445075</v>
      </c>
      <c r="IX12" s="69"/>
      <c r="IY12" s="69">
        <v>27402</v>
      </c>
      <c r="IZ12" s="69">
        <v>389947</v>
      </c>
      <c r="JA12" s="69">
        <v>32877</v>
      </c>
      <c r="JB12" s="69">
        <v>362999</v>
      </c>
      <c r="JC12" s="69">
        <v>0</v>
      </c>
      <c r="JD12" s="69">
        <v>268903</v>
      </c>
      <c r="JE12" s="69">
        <v>0</v>
      </c>
      <c r="JF12" s="69">
        <v>162285</v>
      </c>
      <c r="JG12" s="69">
        <v>303369</v>
      </c>
      <c r="JH12" s="69">
        <v>179836</v>
      </c>
      <c r="JI12" s="69">
        <v>53735</v>
      </c>
      <c r="JJ12" s="69">
        <v>63697</v>
      </c>
      <c r="JK12" s="69">
        <v>257805</v>
      </c>
      <c r="JL12" s="69">
        <v>203765</v>
      </c>
      <c r="JM12" s="69">
        <v>344576</v>
      </c>
      <c r="JN12" s="69">
        <v>139544</v>
      </c>
      <c r="JO12" s="69">
        <v>0</v>
      </c>
      <c r="JP12" s="69"/>
      <c r="JQ12" s="69"/>
      <c r="JR12" s="69">
        <v>10192838</v>
      </c>
      <c r="JS12" s="69">
        <v>160867</v>
      </c>
      <c r="JT12" s="69">
        <v>1020471</v>
      </c>
      <c r="JU12" s="69">
        <v>1123573</v>
      </c>
      <c r="JV12" s="69">
        <v>2646148</v>
      </c>
      <c r="JW12" s="69">
        <v>980620</v>
      </c>
      <c r="JX12" s="69">
        <v>188348</v>
      </c>
      <c r="JY12" s="69">
        <v>6091835</v>
      </c>
      <c r="JZ12" s="69">
        <v>105093</v>
      </c>
      <c r="KA12" s="69">
        <v>725800</v>
      </c>
      <c r="KB12" s="69">
        <v>38200</v>
      </c>
      <c r="KC12" s="69">
        <v>63540</v>
      </c>
      <c r="KD12" s="69">
        <v>2950791</v>
      </c>
      <c r="KE12" s="69">
        <v>332051</v>
      </c>
      <c r="KF12" s="69">
        <v>1750850</v>
      </c>
      <c r="KG12" s="69">
        <v>0</v>
      </c>
      <c r="KH12" s="69">
        <v>883860</v>
      </c>
      <c r="KI12" s="69">
        <v>0</v>
      </c>
      <c r="KJ12" s="69">
        <v>674637</v>
      </c>
      <c r="KK12" s="69">
        <v>1615909</v>
      </c>
      <c r="KL12" s="69">
        <v>352481</v>
      </c>
      <c r="KM12" s="69">
        <v>165938</v>
      </c>
      <c r="KN12" s="69">
        <v>162007</v>
      </c>
      <c r="KO12" s="69">
        <v>687316</v>
      </c>
      <c r="KP12" s="69">
        <v>958604</v>
      </c>
      <c r="KQ12" s="69">
        <v>3100099</v>
      </c>
      <c r="KR12" s="69">
        <v>667850</v>
      </c>
      <c r="KS12" s="69">
        <v>0</v>
      </c>
      <c r="KT12" s="69"/>
      <c r="KU12" s="69"/>
      <c r="KV12" s="69">
        <v>27446886</v>
      </c>
      <c r="KW12" s="69"/>
    </row>
    <row r="13" spans="1:314" x14ac:dyDescent="0.25">
      <c r="A13" t="s">
        <v>358</v>
      </c>
      <c r="C13" t="s">
        <v>1088</v>
      </c>
      <c r="D13" t="s">
        <v>1091</v>
      </c>
      <c r="E13" s="2">
        <v>39797.641782407401</v>
      </c>
      <c r="G13" t="s">
        <v>359</v>
      </c>
      <c r="L13">
        <v>0</v>
      </c>
      <c r="M13">
        <v>0</v>
      </c>
      <c r="N13">
        <v>0</v>
      </c>
      <c r="O13">
        <v>10641065</v>
      </c>
      <c r="P13" s="69">
        <v>0</v>
      </c>
      <c r="Q13" s="69">
        <v>116704</v>
      </c>
      <c r="R13">
        <v>0</v>
      </c>
      <c r="S13">
        <v>116704</v>
      </c>
      <c r="T13">
        <v>943396</v>
      </c>
      <c r="U13">
        <v>688484</v>
      </c>
      <c r="V13">
        <v>589646</v>
      </c>
      <c r="W13">
        <v>0</v>
      </c>
      <c r="X13">
        <v>0</v>
      </c>
      <c r="Y13">
        <v>0</v>
      </c>
      <c r="Z13">
        <v>2221526</v>
      </c>
      <c r="AA13">
        <v>893380</v>
      </c>
      <c r="AB13">
        <v>166464</v>
      </c>
      <c r="AC13">
        <v>208614</v>
      </c>
      <c r="AD13">
        <v>0</v>
      </c>
      <c r="AE13">
        <v>0</v>
      </c>
      <c r="AF13">
        <v>295744</v>
      </c>
      <c r="AG13">
        <v>1564202</v>
      </c>
      <c r="AH13">
        <v>1836776</v>
      </c>
      <c r="AI13">
        <v>854948</v>
      </c>
      <c r="AJ13">
        <v>798260</v>
      </c>
      <c r="AK13">
        <v>0</v>
      </c>
      <c r="AL13">
        <v>0</v>
      </c>
      <c r="AM13">
        <v>295744</v>
      </c>
      <c r="AN13">
        <v>3785728</v>
      </c>
      <c r="AO13">
        <v>0</v>
      </c>
      <c r="AP13">
        <v>0</v>
      </c>
      <c r="AQ13">
        <v>0</v>
      </c>
      <c r="AR13">
        <v>0</v>
      </c>
      <c r="AS13">
        <v>0</v>
      </c>
      <c r="AT13">
        <v>0</v>
      </c>
      <c r="AU13">
        <v>0</v>
      </c>
      <c r="AV13">
        <v>2227</v>
      </c>
      <c r="AW13">
        <v>0</v>
      </c>
      <c r="AX13">
        <v>2227</v>
      </c>
      <c r="AY13">
        <v>0</v>
      </c>
      <c r="AZ13">
        <v>0</v>
      </c>
      <c r="BA13">
        <v>2227</v>
      </c>
      <c r="BB13">
        <v>0</v>
      </c>
      <c r="BC13">
        <v>2227</v>
      </c>
      <c r="BD13">
        <v>403653</v>
      </c>
      <c r="BE13">
        <v>0</v>
      </c>
      <c r="BF13">
        <v>0</v>
      </c>
      <c r="BG13">
        <v>0</v>
      </c>
      <c r="BH13">
        <v>0</v>
      </c>
      <c r="BI13">
        <v>403653</v>
      </c>
      <c r="BJ13">
        <v>0</v>
      </c>
      <c r="BK13">
        <v>0</v>
      </c>
      <c r="BL13">
        <v>29088</v>
      </c>
      <c r="BM13">
        <v>0</v>
      </c>
      <c r="BN13">
        <v>0</v>
      </c>
      <c r="BO13">
        <v>29088</v>
      </c>
      <c r="BP13">
        <v>1365499</v>
      </c>
      <c r="BQ13">
        <v>0</v>
      </c>
      <c r="BR13">
        <v>0</v>
      </c>
      <c r="BS13">
        <v>0</v>
      </c>
      <c r="BT13">
        <v>0</v>
      </c>
      <c r="BU13">
        <v>1365499</v>
      </c>
      <c r="BV13">
        <v>1769152</v>
      </c>
      <c r="BW13">
        <v>0</v>
      </c>
      <c r="BX13">
        <v>29088</v>
      </c>
      <c r="BY13">
        <v>0</v>
      </c>
      <c r="BZ13">
        <v>0</v>
      </c>
      <c r="CA13">
        <v>1798240</v>
      </c>
      <c r="CB13">
        <v>0</v>
      </c>
      <c r="CC13">
        <v>0</v>
      </c>
      <c r="CD13">
        <v>0</v>
      </c>
      <c r="CE13">
        <v>0</v>
      </c>
      <c r="CF13">
        <v>0</v>
      </c>
      <c r="CG13">
        <v>0</v>
      </c>
      <c r="CH13">
        <v>0</v>
      </c>
      <c r="CI13">
        <v>0</v>
      </c>
      <c r="CJ13">
        <v>0</v>
      </c>
      <c r="CK13">
        <v>0</v>
      </c>
      <c r="CL13">
        <v>0</v>
      </c>
      <c r="CM13">
        <v>0</v>
      </c>
      <c r="CN13">
        <v>0</v>
      </c>
      <c r="CO13">
        <v>0</v>
      </c>
      <c r="CP13">
        <v>0</v>
      </c>
      <c r="CQ13">
        <v>0</v>
      </c>
      <c r="CR13">
        <v>3553</v>
      </c>
      <c r="CS13">
        <v>351730</v>
      </c>
      <c r="CT13">
        <v>0</v>
      </c>
      <c r="CU13">
        <v>7360</v>
      </c>
      <c r="CV13">
        <v>18256</v>
      </c>
      <c r="CW13">
        <v>186544</v>
      </c>
      <c r="CX13">
        <v>110768</v>
      </c>
      <c r="CY13">
        <v>0</v>
      </c>
      <c r="CZ13">
        <v>0</v>
      </c>
      <c r="DA13">
        <v>11143</v>
      </c>
      <c r="DB13">
        <v>3360</v>
      </c>
      <c r="DC13">
        <v>61061</v>
      </c>
      <c r="DD13">
        <v>0</v>
      </c>
      <c r="DE13">
        <v>3632</v>
      </c>
      <c r="DF13">
        <v>230640</v>
      </c>
      <c r="DG13">
        <v>24528</v>
      </c>
      <c r="DH13">
        <v>57776</v>
      </c>
      <c r="DI13">
        <v>0</v>
      </c>
      <c r="DJ13">
        <v>78688</v>
      </c>
      <c r="DK13">
        <v>8944</v>
      </c>
      <c r="DL13">
        <v>97248</v>
      </c>
      <c r="DM13">
        <v>148064</v>
      </c>
      <c r="DN13">
        <v>23808</v>
      </c>
      <c r="DO13">
        <v>0</v>
      </c>
      <c r="DP13">
        <v>0</v>
      </c>
      <c r="DQ13">
        <v>67840</v>
      </c>
      <c r="DR13">
        <v>22704</v>
      </c>
      <c r="DS13">
        <v>275904</v>
      </c>
      <c r="DT13">
        <v>69024</v>
      </c>
      <c r="DU13">
        <v>0</v>
      </c>
      <c r="DX13" s="69">
        <v>1507292</v>
      </c>
      <c r="DY13" s="69">
        <v>46166</v>
      </c>
      <c r="DZ13" s="69">
        <v>48560</v>
      </c>
      <c r="EA13" s="69">
        <v>360079</v>
      </c>
      <c r="EB13" s="69">
        <v>219459</v>
      </c>
      <c r="EC13" s="69">
        <v>0</v>
      </c>
      <c r="ED13" s="69">
        <v>0</v>
      </c>
      <c r="EE13" s="69">
        <v>151929</v>
      </c>
      <c r="EF13" s="69">
        <v>8768</v>
      </c>
      <c r="EG13" s="69">
        <v>137048</v>
      </c>
      <c r="EH13" s="69">
        <v>0</v>
      </c>
      <c r="EI13" s="69">
        <v>10117</v>
      </c>
      <c r="EJ13" s="69">
        <v>660188</v>
      </c>
      <c r="EK13" s="69">
        <v>57115</v>
      </c>
      <c r="EL13" s="69">
        <v>161362</v>
      </c>
      <c r="EM13" s="69">
        <v>0</v>
      </c>
      <c r="EN13" s="69">
        <v>121177</v>
      </c>
      <c r="EO13" s="69">
        <v>133446</v>
      </c>
      <c r="EP13" s="69">
        <v>380669</v>
      </c>
      <c r="EQ13" s="69">
        <v>446010</v>
      </c>
      <c r="ER13" s="69">
        <v>101136</v>
      </c>
      <c r="ES13" s="69">
        <v>0</v>
      </c>
      <c r="ET13" s="69">
        <v>0</v>
      </c>
      <c r="EU13" s="69">
        <v>439400</v>
      </c>
      <c r="EV13" s="69">
        <v>126436</v>
      </c>
      <c r="EW13" s="69">
        <v>730352</v>
      </c>
      <c r="EX13" s="69">
        <v>248853</v>
      </c>
      <c r="EY13" s="69">
        <v>0</v>
      </c>
      <c r="EZ13" s="69"/>
      <c r="FA13" s="69"/>
      <c r="FB13" s="69">
        <v>4588270</v>
      </c>
      <c r="FC13" s="69">
        <v>0</v>
      </c>
      <c r="FD13" s="69">
        <v>0</v>
      </c>
      <c r="FE13" s="69">
        <v>1562</v>
      </c>
      <c r="FF13" s="69">
        <v>0</v>
      </c>
      <c r="FG13" s="69">
        <v>0</v>
      </c>
      <c r="FH13" s="69">
        <v>0</v>
      </c>
      <c r="FI13" s="69">
        <v>0</v>
      </c>
      <c r="FJ13" s="69">
        <v>0</v>
      </c>
      <c r="FK13" s="69">
        <v>0</v>
      </c>
      <c r="FL13" s="69">
        <v>0</v>
      </c>
      <c r="FM13" s="69">
        <v>0</v>
      </c>
      <c r="FN13" s="69">
        <v>0</v>
      </c>
      <c r="FO13" s="69">
        <v>0</v>
      </c>
      <c r="FP13" s="69">
        <v>22218</v>
      </c>
      <c r="FQ13" s="69">
        <v>0</v>
      </c>
      <c r="FR13" s="69">
        <v>1568</v>
      </c>
      <c r="FS13" s="69">
        <v>0</v>
      </c>
      <c r="FT13" s="69">
        <v>0</v>
      </c>
      <c r="FU13" s="69">
        <v>0</v>
      </c>
      <c r="FV13" s="69">
        <v>140</v>
      </c>
      <c r="FW13" s="69">
        <v>0</v>
      </c>
      <c r="FX13" s="69">
        <v>0</v>
      </c>
      <c r="FY13" s="69">
        <v>0</v>
      </c>
      <c r="FZ13" s="69">
        <v>0</v>
      </c>
      <c r="GA13" s="69">
        <v>0</v>
      </c>
      <c r="GB13" s="69">
        <v>2756</v>
      </c>
      <c r="GC13" s="69">
        <v>0</v>
      </c>
      <c r="GD13" s="69"/>
      <c r="GE13" s="69"/>
      <c r="GF13" s="69">
        <v>28244</v>
      </c>
      <c r="GG13" s="69">
        <v>3517</v>
      </c>
      <c r="GH13" s="69">
        <v>3700</v>
      </c>
      <c r="GI13" s="69">
        <v>27553</v>
      </c>
      <c r="GJ13" s="69">
        <v>16720</v>
      </c>
      <c r="GK13" s="69">
        <v>0</v>
      </c>
      <c r="GL13" s="69">
        <v>0</v>
      </c>
      <c r="GM13" s="69">
        <v>11575</v>
      </c>
      <c r="GN13" s="69">
        <v>668</v>
      </c>
      <c r="GO13" s="69">
        <v>10442</v>
      </c>
      <c r="GP13" s="69">
        <v>0</v>
      </c>
      <c r="GQ13" s="69">
        <v>771</v>
      </c>
      <c r="GR13" s="69">
        <v>50299</v>
      </c>
      <c r="GS13" s="69">
        <v>4352</v>
      </c>
      <c r="GT13" s="69">
        <v>13987</v>
      </c>
      <c r="GU13" s="69">
        <v>0</v>
      </c>
      <c r="GV13" s="69">
        <v>9352</v>
      </c>
      <c r="GW13" s="69">
        <v>10167</v>
      </c>
      <c r="GX13" s="69">
        <v>29003</v>
      </c>
      <c r="GY13" s="69">
        <v>33981</v>
      </c>
      <c r="GZ13" s="69">
        <v>7716</v>
      </c>
      <c r="HA13" s="69">
        <v>0</v>
      </c>
      <c r="HB13" s="69">
        <v>0</v>
      </c>
      <c r="HC13" s="69">
        <v>33478</v>
      </c>
      <c r="HD13" s="69">
        <v>9633</v>
      </c>
      <c r="HE13" s="69">
        <v>55645</v>
      </c>
      <c r="HF13" s="69">
        <v>19170</v>
      </c>
      <c r="HG13" s="69">
        <v>0</v>
      </c>
      <c r="HH13" s="69"/>
      <c r="HI13" s="69"/>
      <c r="HJ13" s="69">
        <v>351730</v>
      </c>
      <c r="HK13" s="69">
        <v>4035</v>
      </c>
      <c r="HL13" s="69">
        <v>10850</v>
      </c>
      <c r="HM13" s="69">
        <v>21019</v>
      </c>
      <c r="HN13" s="69">
        <v>11623</v>
      </c>
      <c r="HO13" s="69">
        <v>0</v>
      </c>
      <c r="HP13" s="69">
        <v>0</v>
      </c>
      <c r="HQ13" s="69">
        <v>3787</v>
      </c>
      <c r="HR13" s="69">
        <v>1959</v>
      </c>
      <c r="HS13" s="69">
        <v>18226</v>
      </c>
      <c r="HT13" s="69">
        <v>0</v>
      </c>
      <c r="HU13" s="69">
        <v>2261</v>
      </c>
      <c r="HV13" s="69">
        <v>32320</v>
      </c>
      <c r="HW13" s="69">
        <v>2680</v>
      </c>
      <c r="HX13" s="69">
        <v>30068</v>
      </c>
      <c r="HY13" s="69">
        <v>0</v>
      </c>
      <c r="HZ13" s="69">
        <v>10807</v>
      </c>
      <c r="IA13" s="69">
        <v>2587</v>
      </c>
      <c r="IB13" s="69">
        <v>44276</v>
      </c>
      <c r="IC13" s="69">
        <v>17246</v>
      </c>
      <c r="ID13" s="69">
        <v>14253</v>
      </c>
      <c r="IE13" s="69">
        <v>0</v>
      </c>
      <c r="IF13" s="69">
        <v>0</v>
      </c>
      <c r="IG13" s="69">
        <v>49107</v>
      </c>
      <c r="IH13" s="69">
        <v>3113</v>
      </c>
      <c r="II13" s="69">
        <v>33829</v>
      </c>
      <c r="IJ13" s="69">
        <v>63965</v>
      </c>
      <c r="IK13" s="69">
        <v>0</v>
      </c>
      <c r="IL13" s="69"/>
      <c r="IM13" s="69"/>
      <c r="IN13" s="69">
        <v>378011</v>
      </c>
      <c r="IO13" s="69">
        <v>7552</v>
      </c>
      <c r="IP13" s="69">
        <v>14550</v>
      </c>
      <c r="IQ13" s="69">
        <v>50134</v>
      </c>
      <c r="IR13" s="69">
        <v>28343</v>
      </c>
      <c r="IS13" s="69">
        <v>0</v>
      </c>
      <c r="IT13" s="69">
        <v>0</v>
      </c>
      <c r="IU13" s="69">
        <v>15362</v>
      </c>
      <c r="IV13" s="69">
        <v>2627</v>
      </c>
      <c r="IW13" s="69">
        <v>28668</v>
      </c>
      <c r="IX13" s="69">
        <v>0</v>
      </c>
      <c r="IY13" s="69">
        <v>3032</v>
      </c>
      <c r="IZ13" s="69">
        <v>82619</v>
      </c>
      <c r="JA13" s="69">
        <v>7032</v>
      </c>
      <c r="JB13" s="69">
        <v>66273</v>
      </c>
      <c r="JC13" s="69">
        <v>0</v>
      </c>
      <c r="JD13" s="69">
        <v>21727</v>
      </c>
      <c r="JE13" s="69">
        <v>12754</v>
      </c>
      <c r="JF13" s="69">
        <v>73279</v>
      </c>
      <c r="JG13" s="69">
        <v>51227</v>
      </c>
      <c r="JH13" s="69">
        <v>22109</v>
      </c>
      <c r="JI13" s="69">
        <v>0</v>
      </c>
      <c r="JJ13" s="69">
        <v>0</v>
      </c>
      <c r="JK13" s="69">
        <v>82585</v>
      </c>
      <c r="JL13" s="69">
        <v>12746</v>
      </c>
      <c r="JM13" s="69">
        <v>89474</v>
      </c>
      <c r="JN13" s="69">
        <v>85891</v>
      </c>
      <c r="JO13" s="69">
        <v>0</v>
      </c>
      <c r="JP13" s="69"/>
      <c r="JQ13" s="69"/>
      <c r="JR13" s="69">
        <v>757985</v>
      </c>
      <c r="JS13" s="69">
        <v>53718</v>
      </c>
      <c r="JT13" s="69">
        <v>63110</v>
      </c>
      <c r="JU13" s="69">
        <v>410213</v>
      </c>
      <c r="JV13" s="69">
        <v>247802</v>
      </c>
      <c r="JW13" s="69">
        <v>0</v>
      </c>
      <c r="JX13" s="69">
        <v>0</v>
      </c>
      <c r="JY13" s="69">
        <v>167291</v>
      </c>
      <c r="JZ13" s="69">
        <v>11395</v>
      </c>
      <c r="KA13" s="69">
        <v>165716</v>
      </c>
      <c r="KB13" s="69">
        <v>0</v>
      </c>
      <c r="KC13" s="69">
        <v>13149</v>
      </c>
      <c r="KD13" s="69">
        <v>742807</v>
      </c>
      <c r="KE13" s="69">
        <v>64147</v>
      </c>
      <c r="KF13" s="69">
        <v>227635</v>
      </c>
      <c r="KG13" s="69">
        <v>0</v>
      </c>
      <c r="KH13" s="69">
        <v>142904</v>
      </c>
      <c r="KI13" s="69">
        <v>146200</v>
      </c>
      <c r="KJ13" s="69">
        <v>453948</v>
      </c>
      <c r="KK13" s="69">
        <v>497237</v>
      </c>
      <c r="KL13" s="69">
        <v>123245</v>
      </c>
      <c r="KM13" s="69">
        <v>0</v>
      </c>
      <c r="KN13" s="69">
        <v>0</v>
      </c>
      <c r="KO13" s="69">
        <v>521985</v>
      </c>
      <c r="KP13" s="69">
        <v>139182</v>
      </c>
      <c r="KQ13" s="69">
        <v>819826</v>
      </c>
      <c r="KR13" s="69">
        <v>334744</v>
      </c>
      <c r="KS13" s="69">
        <v>0</v>
      </c>
      <c r="KT13" s="69"/>
      <c r="KU13" s="69"/>
      <c r="KV13" s="69">
        <v>5346255</v>
      </c>
      <c r="KW13" s="69"/>
    </row>
    <row r="14" spans="1:314" x14ac:dyDescent="0.25">
      <c r="A14" t="s">
        <v>360</v>
      </c>
      <c r="C14" t="s">
        <v>1088</v>
      </c>
      <c r="D14" t="s">
        <v>1092</v>
      </c>
      <c r="E14" s="2">
        <v>39797.703206018501</v>
      </c>
      <c r="G14" t="s">
        <v>361</v>
      </c>
      <c r="L14">
        <v>0</v>
      </c>
      <c r="M14">
        <v>0</v>
      </c>
      <c r="N14">
        <v>0</v>
      </c>
      <c r="O14">
        <v>4493069</v>
      </c>
      <c r="P14" s="69">
        <v>0</v>
      </c>
      <c r="Q14" s="69">
        <v>42060</v>
      </c>
      <c r="R14">
        <v>0</v>
      </c>
      <c r="S14">
        <v>42060</v>
      </c>
      <c r="T14">
        <v>424615</v>
      </c>
      <c r="U14">
        <v>257038</v>
      </c>
      <c r="V14">
        <v>321486</v>
      </c>
      <c r="W14">
        <v>0</v>
      </c>
      <c r="X14">
        <v>0</v>
      </c>
      <c r="Y14">
        <v>0</v>
      </c>
      <c r="Z14">
        <v>1003139</v>
      </c>
      <c r="AA14">
        <v>313943</v>
      </c>
      <c r="AB14">
        <v>76407</v>
      </c>
      <c r="AC14">
        <v>37964</v>
      </c>
      <c r="AD14">
        <v>0</v>
      </c>
      <c r="AE14">
        <v>0</v>
      </c>
      <c r="AF14">
        <v>276031</v>
      </c>
      <c r="AG14">
        <v>704345</v>
      </c>
      <c r="AH14">
        <v>738558</v>
      </c>
      <c r="AI14">
        <v>333445</v>
      </c>
      <c r="AJ14">
        <v>359450</v>
      </c>
      <c r="AK14">
        <v>0</v>
      </c>
      <c r="AL14">
        <v>0</v>
      </c>
      <c r="AM14">
        <v>276031</v>
      </c>
      <c r="AN14">
        <v>1707484</v>
      </c>
      <c r="AO14">
        <v>0</v>
      </c>
      <c r="AP14">
        <v>0</v>
      </c>
      <c r="AQ14">
        <v>0</v>
      </c>
      <c r="AR14">
        <v>0</v>
      </c>
      <c r="AS14">
        <v>0</v>
      </c>
      <c r="AT14">
        <v>0</v>
      </c>
      <c r="AU14">
        <v>0</v>
      </c>
      <c r="AV14">
        <v>0</v>
      </c>
      <c r="AW14">
        <v>0</v>
      </c>
      <c r="AX14">
        <v>0</v>
      </c>
      <c r="AY14">
        <v>0</v>
      </c>
      <c r="AZ14">
        <v>0</v>
      </c>
      <c r="BA14">
        <v>0</v>
      </c>
      <c r="BB14">
        <v>0</v>
      </c>
      <c r="BC14">
        <v>0</v>
      </c>
      <c r="BD14">
        <v>230705</v>
      </c>
      <c r="BE14">
        <v>0</v>
      </c>
      <c r="BF14">
        <v>0</v>
      </c>
      <c r="BG14">
        <v>0</v>
      </c>
      <c r="BH14">
        <v>0</v>
      </c>
      <c r="BI14">
        <v>230705</v>
      </c>
      <c r="BJ14">
        <v>0</v>
      </c>
      <c r="BK14">
        <v>0</v>
      </c>
      <c r="BL14">
        <v>77422</v>
      </c>
      <c r="BM14">
        <v>0</v>
      </c>
      <c r="BN14">
        <v>0</v>
      </c>
      <c r="BO14">
        <v>77422</v>
      </c>
      <c r="BP14">
        <v>792338</v>
      </c>
      <c r="BQ14">
        <v>0</v>
      </c>
      <c r="BR14">
        <v>0</v>
      </c>
      <c r="BS14">
        <v>0</v>
      </c>
      <c r="BT14">
        <v>0</v>
      </c>
      <c r="BU14">
        <v>792338</v>
      </c>
      <c r="BV14">
        <v>1023043</v>
      </c>
      <c r="BW14">
        <v>0</v>
      </c>
      <c r="BX14">
        <v>77422</v>
      </c>
      <c r="BY14">
        <v>0</v>
      </c>
      <c r="BZ14">
        <v>0</v>
      </c>
      <c r="CA14">
        <v>1100465</v>
      </c>
      <c r="CB14">
        <v>0</v>
      </c>
      <c r="CC14">
        <v>0</v>
      </c>
      <c r="CD14">
        <v>0</v>
      </c>
      <c r="CE14">
        <v>0</v>
      </c>
      <c r="CF14">
        <v>0</v>
      </c>
      <c r="CG14">
        <v>0</v>
      </c>
      <c r="CH14">
        <v>0</v>
      </c>
      <c r="CI14">
        <v>0</v>
      </c>
      <c r="CJ14">
        <v>0</v>
      </c>
      <c r="CK14">
        <v>0</v>
      </c>
      <c r="CL14">
        <v>0</v>
      </c>
      <c r="CM14">
        <v>0</v>
      </c>
      <c r="CN14">
        <v>0</v>
      </c>
      <c r="CO14">
        <v>0</v>
      </c>
      <c r="CP14">
        <v>0</v>
      </c>
      <c r="CQ14">
        <v>0</v>
      </c>
      <c r="CR14">
        <v>3554</v>
      </c>
      <c r="CS14">
        <v>38398</v>
      </c>
      <c r="CT14">
        <v>0</v>
      </c>
      <c r="CU14">
        <v>34368</v>
      </c>
      <c r="CV14">
        <v>0</v>
      </c>
      <c r="CW14">
        <v>61360</v>
      </c>
      <c r="CX14">
        <v>33752</v>
      </c>
      <c r="CY14">
        <v>0</v>
      </c>
      <c r="CZ14">
        <v>0</v>
      </c>
      <c r="DA14">
        <v>25456</v>
      </c>
      <c r="DB14">
        <v>0</v>
      </c>
      <c r="DC14">
        <v>3424</v>
      </c>
      <c r="DD14">
        <v>0</v>
      </c>
      <c r="DE14">
        <v>25450</v>
      </c>
      <c r="DF14">
        <v>83776</v>
      </c>
      <c r="DG14">
        <v>12360</v>
      </c>
      <c r="DH14">
        <v>0</v>
      </c>
      <c r="DI14">
        <v>0</v>
      </c>
      <c r="DJ14">
        <v>3752</v>
      </c>
      <c r="DK14">
        <v>0</v>
      </c>
      <c r="DL14">
        <v>47664</v>
      </c>
      <c r="DM14">
        <v>48128</v>
      </c>
      <c r="DN14">
        <v>0</v>
      </c>
      <c r="DO14">
        <v>0</v>
      </c>
      <c r="DP14">
        <v>1088</v>
      </c>
      <c r="DQ14">
        <v>40080</v>
      </c>
      <c r="DR14">
        <v>12024</v>
      </c>
      <c r="DS14">
        <v>88848</v>
      </c>
      <c r="DT14">
        <v>33040</v>
      </c>
      <c r="DU14">
        <v>0</v>
      </c>
      <c r="DX14" s="69">
        <v>554570</v>
      </c>
      <c r="DY14" s="69">
        <v>173229</v>
      </c>
      <c r="DZ14" s="69">
        <v>0</v>
      </c>
      <c r="EA14" s="69">
        <v>115905</v>
      </c>
      <c r="EB14" s="69">
        <v>79480</v>
      </c>
      <c r="EC14" s="69">
        <v>0</v>
      </c>
      <c r="ED14" s="69">
        <v>0</v>
      </c>
      <c r="EE14" s="69">
        <v>144466</v>
      </c>
      <c r="EF14" s="69">
        <v>0</v>
      </c>
      <c r="EG14" s="69">
        <v>0</v>
      </c>
      <c r="EH14" s="69">
        <v>0</v>
      </c>
      <c r="EI14" s="69">
        <v>40315</v>
      </c>
      <c r="EJ14" s="69">
        <v>145321</v>
      </c>
      <c r="EK14" s="69">
        <v>35772</v>
      </c>
      <c r="EL14" s="69">
        <v>0</v>
      </c>
      <c r="EM14" s="69">
        <v>0</v>
      </c>
      <c r="EN14" s="69">
        <v>0</v>
      </c>
      <c r="EO14" s="69">
        <v>0</v>
      </c>
      <c r="EP14" s="69">
        <v>149243</v>
      </c>
      <c r="EQ14" s="69">
        <v>76538</v>
      </c>
      <c r="ER14" s="69">
        <v>0</v>
      </c>
      <c r="ES14" s="69">
        <v>0</v>
      </c>
      <c r="ET14" s="69">
        <v>0</v>
      </c>
      <c r="EU14" s="69">
        <v>187854</v>
      </c>
      <c r="EV14" s="69">
        <v>0</v>
      </c>
      <c r="EW14" s="69">
        <v>135756</v>
      </c>
      <c r="EX14" s="69">
        <v>70945</v>
      </c>
      <c r="EY14" s="69">
        <v>0</v>
      </c>
      <c r="EZ14" s="69"/>
      <c r="FA14" s="69"/>
      <c r="FB14" s="69">
        <v>1354824</v>
      </c>
      <c r="FC14" s="69">
        <v>30222</v>
      </c>
      <c r="FD14" s="69">
        <v>0</v>
      </c>
      <c r="FE14" s="69">
        <v>48862</v>
      </c>
      <c r="FF14" s="69">
        <v>6300</v>
      </c>
      <c r="FG14" s="69">
        <v>0</v>
      </c>
      <c r="FH14" s="69">
        <v>0</v>
      </c>
      <c r="FI14" s="69">
        <v>28191</v>
      </c>
      <c r="FJ14" s="69">
        <v>0</v>
      </c>
      <c r="FK14" s="69">
        <v>2700</v>
      </c>
      <c r="FL14" s="69">
        <v>0</v>
      </c>
      <c r="FM14" s="69">
        <v>5500</v>
      </c>
      <c r="FN14" s="69">
        <v>90404</v>
      </c>
      <c r="FO14" s="69">
        <v>12560</v>
      </c>
      <c r="FP14" s="69">
        <v>0</v>
      </c>
      <c r="FQ14" s="69">
        <v>0</v>
      </c>
      <c r="FR14" s="69">
        <v>1199</v>
      </c>
      <c r="FS14" s="69">
        <v>0</v>
      </c>
      <c r="FT14" s="69">
        <v>7771</v>
      </c>
      <c r="FU14" s="69">
        <v>46349</v>
      </c>
      <c r="FV14" s="69">
        <v>0</v>
      </c>
      <c r="FW14" s="69">
        <v>0</v>
      </c>
      <c r="FX14" s="69">
        <v>1000</v>
      </c>
      <c r="FY14" s="69">
        <v>53831</v>
      </c>
      <c r="FZ14" s="69">
        <v>0</v>
      </c>
      <c r="GA14" s="69">
        <v>85050</v>
      </c>
      <c r="GB14" s="69">
        <v>15680</v>
      </c>
      <c r="GC14" s="69">
        <v>0</v>
      </c>
      <c r="GD14" s="69"/>
      <c r="GE14" s="69"/>
      <c r="GF14" s="69">
        <v>435619</v>
      </c>
      <c r="GG14" s="69">
        <v>4363</v>
      </c>
      <c r="GH14" s="69">
        <v>0</v>
      </c>
      <c r="GI14" s="69">
        <v>3534</v>
      </c>
      <c r="GJ14" s="69">
        <v>1840</v>
      </c>
      <c r="GK14" s="69">
        <v>0</v>
      </c>
      <c r="GL14" s="69">
        <v>0</v>
      </c>
      <c r="GM14" s="69">
        <v>3703</v>
      </c>
      <c r="GN14" s="69">
        <v>0</v>
      </c>
      <c r="GO14" s="69">
        <v>58</v>
      </c>
      <c r="GP14" s="69">
        <v>0</v>
      </c>
      <c r="GQ14" s="69">
        <v>983</v>
      </c>
      <c r="GR14" s="69">
        <v>5055</v>
      </c>
      <c r="GS14" s="69">
        <v>1037</v>
      </c>
      <c r="GT14" s="69">
        <v>0</v>
      </c>
      <c r="GU14" s="69">
        <v>0</v>
      </c>
      <c r="GV14" s="69">
        <v>26</v>
      </c>
      <c r="GW14" s="69">
        <v>0</v>
      </c>
      <c r="GX14" s="69">
        <v>3367</v>
      </c>
      <c r="GY14" s="69">
        <v>2635</v>
      </c>
      <c r="GZ14" s="69">
        <v>0</v>
      </c>
      <c r="HA14" s="69">
        <v>0</v>
      </c>
      <c r="HB14" s="69">
        <v>21</v>
      </c>
      <c r="HC14" s="69">
        <v>5183</v>
      </c>
      <c r="HD14" s="69">
        <v>0</v>
      </c>
      <c r="HE14" s="69">
        <v>4735</v>
      </c>
      <c r="HF14" s="69">
        <v>1858</v>
      </c>
      <c r="HG14" s="69">
        <v>0</v>
      </c>
      <c r="HH14" s="69"/>
      <c r="HI14" s="69"/>
      <c r="HJ14" s="69">
        <v>38398</v>
      </c>
      <c r="HK14" s="69">
        <v>35926</v>
      </c>
      <c r="HL14" s="69">
        <v>0</v>
      </c>
      <c r="HM14" s="69">
        <v>8571</v>
      </c>
      <c r="HN14" s="69">
        <v>2948</v>
      </c>
      <c r="HO14" s="69">
        <v>0</v>
      </c>
      <c r="HP14" s="69">
        <v>0</v>
      </c>
      <c r="HQ14" s="69">
        <v>2768</v>
      </c>
      <c r="HR14" s="69">
        <v>0</v>
      </c>
      <c r="HS14" s="69">
        <v>0</v>
      </c>
      <c r="HT14" s="69">
        <v>0</v>
      </c>
      <c r="HU14" s="69">
        <v>1510</v>
      </c>
      <c r="HV14" s="69">
        <v>4412</v>
      </c>
      <c r="HW14" s="69">
        <v>0</v>
      </c>
      <c r="HX14" s="69">
        <v>0</v>
      </c>
      <c r="HY14" s="69">
        <v>0</v>
      </c>
      <c r="HZ14" s="69">
        <v>0</v>
      </c>
      <c r="IA14" s="69">
        <v>0</v>
      </c>
      <c r="IB14" s="69">
        <v>21075</v>
      </c>
      <c r="IC14" s="69">
        <v>1513</v>
      </c>
      <c r="ID14" s="69">
        <v>0</v>
      </c>
      <c r="IE14" s="69">
        <v>0</v>
      </c>
      <c r="IF14" s="69">
        <v>0</v>
      </c>
      <c r="IG14" s="69">
        <v>1518</v>
      </c>
      <c r="IH14" s="69">
        <v>0</v>
      </c>
      <c r="II14" s="69">
        <v>3516</v>
      </c>
      <c r="IJ14" s="69">
        <v>6493</v>
      </c>
      <c r="IK14" s="69">
        <v>0</v>
      </c>
      <c r="IL14" s="69"/>
      <c r="IM14" s="69"/>
      <c r="IN14" s="69">
        <v>90250</v>
      </c>
      <c r="IO14" s="69">
        <v>70511</v>
      </c>
      <c r="IP14" s="69">
        <v>0</v>
      </c>
      <c r="IQ14" s="69">
        <v>60967</v>
      </c>
      <c r="IR14" s="69">
        <v>11088</v>
      </c>
      <c r="IS14" s="69">
        <v>0</v>
      </c>
      <c r="IT14" s="69">
        <v>0</v>
      </c>
      <c r="IU14" s="69">
        <v>34662</v>
      </c>
      <c r="IV14" s="69">
        <v>0</v>
      </c>
      <c r="IW14" s="69">
        <v>2758</v>
      </c>
      <c r="IX14" s="69">
        <v>0</v>
      </c>
      <c r="IY14" s="69">
        <v>7993</v>
      </c>
      <c r="IZ14" s="69">
        <v>99871</v>
      </c>
      <c r="JA14" s="69">
        <v>13597</v>
      </c>
      <c r="JB14" s="69">
        <v>0</v>
      </c>
      <c r="JC14" s="69">
        <v>0</v>
      </c>
      <c r="JD14" s="69">
        <v>1225</v>
      </c>
      <c r="JE14" s="69">
        <v>0</v>
      </c>
      <c r="JF14" s="69">
        <v>32213</v>
      </c>
      <c r="JG14" s="69">
        <v>50497</v>
      </c>
      <c r="JH14" s="69">
        <v>0</v>
      </c>
      <c r="JI14" s="69">
        <v>0</v>
      </c>
      <c r="JJ14" s="69">
        <v>1021</v>
      </c>
      <c r="JK14" s="69">
        <v>60532</v>
      </c>
      <c r="JL14" s="69">
        <v>0</v>
      </c>
      <c r="JM14" s="69">
        <v>93301</v>
      </c>
      <c r="JN14" s="69">
        <v>24031</v>
      </c>
      <c r="JO14" s="69">
        <v>0</v>
      </c>
      <c r="JP14" s="69"/>
      <c r="JQ14" s="69"/>
      <c r="JR14" s="69">
        <v>564267</v>
      </c>
      <c r="JS14" s="69">
        <v>243740</v>
      </c>
      <c r="JT14" s="69">
        <v>0</v>
      </c>
      <c r="JU14" s="69">
        <v>176872</v>
      </c>
      <c r="JV14" s="69">
        <v>90568</v>
      </c>
      <c r="JW14" s="69">
        <v>0</v>
      </c>
      <c r="JX14" s="69">
        <v>0</v>
      </c>
      <c r="JY14" s="69">
        <v>179128</v>
      </c>
      <c r="JZ14" s="69">
        <v>0</v>
      </c>
      <c r="KA14" s="69">
        <v>2758</v>
      </c>
      <c r="KB14" s="69">
        <v>0</v>
      </c>
      <c r="KC14" s="69">
        <v>48308</v>
      </c>
      <c r="KD14" s="69">
        <v>245192</v>
      </c>
      <c r="KE14" s="69">
        <v>49369</v>
      </c>
      <c r="KF14" s="69">
        <v>0</v>
      </c>
      <c r="KG14" s="69">
        <v>0</v>
      </c>
      <c r="KH14" s="69">
        <v>1225</v>
      </c>
      <c r="KI14" s="69">
        <v>0</v>
      </c>
      <c r="KJ14" s="69">
        <v>181456</v>
      </c>
      <c r="KK14" s="69">
        <v>127035</v>
      </c>
      <c r="KL14" s="69">
        <v>0</v>
      </c>
      <c r="KM14" s="69">
        <v>0</v>
      </c>
      <c r="KN14" s="69">
        <v>1021</v>
      </c>
      <c r="KO14" s="69">
        <v>248386</v>
      </c>
      <c r="KP14" s="69">
        <v>0</v>
      </c>
      <c r="KQ14" s="69">
        <v>229057</v>
      </c>
      <c r="KR14" s="69">
        <v>94976</v>
      </c>
      <c r="KS14" s="69">
        <v>0</v>
      </c>
      <c r="KT14" s="69"/>
      <c r="KU14" s="69"/>
      <c r="KV14" s="69">
        <v>1919091</v>
      </c>
      <c r="KW14" s="69" t="s">
        <v>1142</v>
      </c>
    </row>
    <row r="15" spans="1:314" x14ac:dyDescent="0.25">
      <c r="A15" t="s">
        <v>354</v>
      </c>
      <c r="E15" s="2">
        <v>39786.725104166697</v>
      </c>
      <c r="G15" t="s">
        <v>355</v>
      </c>
      <c r="L15">
        <v>0</v>
      </c>
      <c r="M15">
        <v>0</v>
      </c>
      <c r="N15">
        <v>0</v>
      </c>
      <c r="O15">
        <v>14901172</v>
      </c>
      <c r="P15" s="69">
        <v>0</v>
      </c>
      <c r="Q15" s="69">
        <v>0</v>
      </c>
      <c r="R15">
        <v>0</v>
      </c>
      <c r="S15">
        <v>0</v>
      </c>
      <c r="T15">
        <v>1330852</v>
      </c>
      <c r="U15">
        <v>667217</v>
      </c>
      <c r="V15">
        <v>1035356</v>
      </c>
      <c r="W15">
        <v>0</v>
      </c>
      <c r="X15">
        <v>0</v>
      </c>
      <c r="Y15">
        <v>0</v>
      </c>
      <c r="Z15">
        <v>3033425</v>
      </c>
      <c r="AA15">
        <v>1528116</v>
      </c>
      <c r="AB15">
        <v>244616</v>
      </c>
      <c r="AC15">
        <v>95699</v>
      </c>
      <c r="AD15">
        <v>0</v>
      </c>
      <c r="AE15">
        <v>75339</v>
      </c>
      <c r="AF15">
        <v>0</v>
      </c>
      <c r="AG15">
        <v>1943770</v>
      </c>
      <c r="AH15">
        <v>2858968</v>
      </c>
      <c r="AI15">
        <v>911833</v>
      </c>
      <c r="AJ15">
        <v>1131055</v>
      </c>
      <c r="AK15">
        <v>0</v>
      </c>
      <c r="AL15">
        <v>75339</v>
      </c>
      <c r="AM15">
        <v>0</v>
      </c>
      <c r="AN15">
        <v>4977195</v>
      </c>
      <c r="AO15">
        <v>0</v>
      </c>
      <c r="AP15">
        <v>0</v>
      </c>
      <c r="AQ15">
        <v>0</v>
      </c>
      <c r="AR15">
        <v>0</v>
      </c>
      <c r="AS15">
        <v>0</v>
      </c>
      <c r="AT15">
        <v>0</v>
      </c>
      <c r="AU15">
        <v>0</v>
      </c>
      <c r="AV15">
        <v>216868</v>
      </c>
      <c r="AW15">
        <v>0</v>
      </c>
      <c r="AX15">
        <v>216868</v>
      </c>
      <c r="AY15">
        <v>0</v>
      </c>
      <c r="AZ15">
        <v>0</v>
      </c>
      <c r="BA15">
        <v>216868</v>
      </c>
      <c r="BB15">
        <v>0</v>
      </c>
      <c r="BC15">
        <v>216868</v>
      </c>
      <c r="BD15">
        <v>723519</v>
      </c>
      <c r="BE15">
        <v>0</v>
      </c>
      <c r="BF15">
        <v>0</v>
      </c>
      <c r="BG15">
        <v>0</v>
      </c>
      <c r="BH15">
        <v>0</v>
      </c>
      <c r="BI15">
        <v>723519</v>
      </c>
      <c r="BJ15">
        <v>0</v>
      </c>
      <c r="BK15">
        <v>0</v>
      </c>
      <c r="BL15">
        <v>1205817</v>
      </c>
      <c r="BM15">
        <v>0</v>
      </c>
      <c r="BN15">
        <v>0</v>
      </c>
      <c r="BO15">
        <v>1205817</v>
      </c>
      <c r="BP15">
        <v>1293663</v>
      </c>
      <c r="BQ15">
        <v>0</v>
      </c>
      <c r="BR15">
        <v>0</v>
      </c>
      <c r="BS15">
        <v>0</v>
      </c>
      <c r="BT15">
        <v>0</v>
      </c>
      <c r="BU15">
        <v>1293663</v>
      </c>
      <c r="BV15">
        <v>2017182</v>
      </c>
      <c r="BW15">
        <v>0</v>
      </c>
      <c r="BX15">
        <v>1205817</v>
      </c>
      <c r="BY15">
        <v>0</v>
      </c>
      <c r="BZ15">
        <v>0</v>
      </c>
      <c r="CA15">
        <v>3222999</v>
      </c>
      <c r="CB15">
        <v>0</v>
      </c>
      <c r="CC15">
        <v>0</v>
      </c>
      <c r="CD15">
        <v>0</v>
      </c>
      <c r="CE15">
        <v>0</v>
      </c>
      <c r="CF15">
        <v>0</v>
      </c>
      <c r="CG15">
        <v>0</v>
      </c>
      <c r="CH15">
        <v>0</v>
      </c>
      <c r="CI15">
        <v>0</v>
      </c>
      <c r="CJ15">
        <v>0</v>
      </c>
      <c r="CK15">
        <v>0</v>
      </c>
      <c r="CL15">
        <v>0</v>
      </c>
      <c r="CM15">
        <v>0</v>
      </c>
      <c r="CN15">
        <v>0</v>
      </c>
      <c r="CO15">
        <v>0</v>
      </c>
      <c r="CP15">
        <v>0</v>
      </c>
      <c r="CQ15">
        <v>0</v>
      </c>
      <c r="CR15">
        <v>3546</v>
      </c>
      <c r="CS15">
        <v>152368</v>
      </c>
      <c r="CT15">
        <v>0</v>
      </c>
      <c r="CU15">
        <v>19128</v>
      </c>
      <c r="CV15">
        <v>42888</v>
      </c>
      <c r="CW15">
        <v>116880</v>
      </c>
      <c r="CX15">
        <v>112251</v>
      </c>
      <c r="CY15">
        <v>0</v>
      </c>
      <c r="CZ15">
        <v>10568</v>
      </c>
      <c r="DA15">
        <v>111028</v>
      </c>
      <c r="DB15">
        <v>12672</v>
      </c>
      <c r="DC15">
        <v>137193</v>
      </c>
      <c r="DD15">
        <v>0</v>
      </c>
      <c r="DE15">
        <v>79252</v>
      </c>
      <c r="DF15">
        <v>269592</v>
      </c>
      <c r="DG15">
        <v>9493</v>
      </c>
      <c r="DH15">
        <v>3680</v>
      </c>
      <c r="DI15">
        <v>33376</v>
      </c>
      <c r="DJ15">
        <v>35773</v>
      </c>
      <c r="DK15">
        <v>0</v>
      </c>
      <c r="DL15">
        <v>169757</v>
      </c>
      <c r="DM15">
        <v>130944</v>
      </c>
      <c r="DN15">
        <v>27008</v>
      </c>
      <c r="DO15">
        <v>6200</v>
      </c>
      <c r="DP15">
        <v>3168</v>
      </c>
      <c r="DQ15">
        <v>27984</v>
      </c>
      <c r="DR15">
        <v>24320</v>
      </c>
      <c r="DS15">
        <v>214848</v>
      </c>
      <c r="DT15">
        <v>39685</v>
      </c>
      <c r="DU15">
        <v>0</v>
      </c>
      <c r="DX15" s="69">
        <v>1637688</v>
      </c>
      <c r="DY15" s="69"/>
      <c r="DZ15" s="69"/>
      <c r="EA15" s="69"/>
      <c r="EB15" s="69"/>
      <c r="EC15" s="69"/>
      <c r="ED15" s="69"/>
      <c r="EE15" s="69"/>
      <c r="EF15" s="69"/>
      <c r="EG15" s="69"/>
      <c r="EH15" s="69"/>
      <c r="EI15" s="69"/>
      <c r="EJ15" s="69"/>
      <c r="EK15" s="69"/>
      <c r="EL15" s="69"/>
      <c r="EM15" s="69"/>
      <c r="EN15" s="69"/>
      <c r="EO15" s="69"/>
      <c r="EP15" s="69"/>
      <c r="EQ15" s="69"/>
      <c r="ER15" s="69"/>
      <c r="ES15" s="69"/>
      <c r="ET15" s="69"/>
      <c r="EU15" s="69"/>
      <c r="EV15" s="69"/>
      <c r="EW15" s="69"/>
      <c r="EX15" s="69"/>
      <c r="EY15" s="69">
        <v>0</v>
      </c>
      <c r="EZ15" s="69"/>
      <c r="FA15" s="69"/>
      <c r="FB15" s="69">
        <v>0</v>
      </c>
      <c r="FC15" s="69">
        <v>0</v>
      </c>
      <c r="FD15" s="69">
        <v>0</v>
      </c>
      <c r="FE15" s="69">
        <v>0</v>
      </c>
      <c r="FF15" s="69">
        <v>0</v>
      </c>
      <c r="FG15" s="69">
        <v>0</v>
      </c>
      <c r="FH15" s="69">
        <v>0</v>
      </c>
      <c r="FI15" s="69">
        <v>0</v>
      </c>
      <c r="FJ15" s="69">
        <v>0</v>
      </c>
      <c r="FK15" s="69">
        <v>0</v>
      </c>
      <c r="FL15" s="69">
        <v>0</v>
      </c>
      <c r="FM15" s="69">
        <v>0</v>
      </c>
      <c r="FN15" s="69">
        <v>0</v>
      </c>
      <c r="FO15" s="69">
        <v>0</v>
      </c>
      <c r="FP15" s="69">
        <v>0</v>
      </c>
      <c r="FQ15" s="69">
        <v>0</v>
      </c>
      <c r="FR15" s="69">
        <v>0</v>
      </c>
      <c r="FS15" s="69">
        <v>0</v>
      </c>
      <c r="FT15" s="69">
        <v>0</v>
      </c>
      <c r="FU15" s="69">
        <v>0</v>
      </c>
      <c r="FV15" s="69">
        <v>0</v>
      </c>
      <c r="FW15" s="69">
        <v>0</v>
      </c>
      <c r="FX15" s="69">
        <v>0</v>
      </c>
      <c r="FY15" s="69">
        <v>0</v>
      </c>
      <c r="FZ15" s="69">
        <v>0</v>
      </c>
      <c r="GA15" s="69">
        <v>0</v>
      </c>
      <c r="GB15" s="69">
        <v>0</v>
      </c>
      <c r="GC15" s="69">
        <v>0</v>
      </c>
      <c r="GD15" s="69"/>
      <c r="GE15" s="69"/>
      <c r="GF15" s="69">
        <v>0</v>
      </c>
      <c r="GG15" s="69">
        <v>0</v>
      </c>
      <c r="GH15" s="69">
        <v>0</v>
      </c>
      <c r="GI15" s="69">
        <v>0</v>
      </c>
      <c r="GJ15" s="69">
        <v>0</v>
      </c>
      <c r="GK15" s="69">
        <v>0</v>
      </c>
      <c r="GL15" s="69">
        <v>0</v>
      </c>
      <c r="GM15" s="69">
        <v>0</v>
      </c>
      <c r="GN15" s="69">
        <v>0</v>
      </c>
      <c r="GO15" s="69">
        <v>0</v>
      </c>
      <c r="GP15" s="69">
        <v>0</v>
      </c>
      <c r="GQ15" s="69">
        <v>0</v>
      </c>
      <c r="GR15" s="69">
        <v>0</v>
      </c>
      <c r="GS15" s="69">
        <v>0</v>
      </c>
      <c r="GT15" s="69">
        <v>0</v>
      </c>
      <c r="GU15" s="69">
        <v>0</v>
      </c>
      <c r="GV15" s="69">
        <v>0</v>
      </c>
      <c r="GW15" s="69">
        <v>0</v>
      </c>
      <c r="GX15" s="69">
        <v>0</v>
      </c>
      <c r="GY15" s="69">
        <v>0</v>
      </c>
      <c r="GZ15" s="69">
        <v>0</v>
      </c>
      <c r="HA15" s="69">
        <v>0</v>
      </c>
      <c r="HB15" s="69">
        <v>0</v>
      </c>
      <c r="HC15" s="69">
        <v>0</v>
      </c>
      <c r="HD15" s="69">
        <v>0</v>
      </c>
      <c r="HE15" s="69">
        <v>0</v>
      </c>
      <c r="HF15" s="69">
        <v>0</v>
      </c>
      <c r="HG15" s="69">
        <v>0</v>
      </c>
      <c r="HH15" s="69"/>
      <c r="HI15" s="69"/>
      <c r="HJ15" s="69">
        <v>152368</v>
      </c>
      <c r="HK15" s="69">
        <v>0</v>
      </c>
      <c r="HL15" s="69">
        <v>0</v>
      </c>
      <c r="HM15" s="69">
        <v>0</v>
      </c>
      <c r="HN15" s="69">
        <v>0</v>
      </c>
      <c r="HO15" s="69">
        <v>0</v>
      </c>
      <c r="HP15" s="69">
        <v>0</v>
      </c>
      <c r="HQ15" s="69">
        <v>0</v>
      </c>
      <c r="HR15" s="69">
        <v>0</v>
      </c>
      <c r="HS15" s="69">
        <v>0</v>
      </c>
      <c r="HT15" s="69">
        <v>0</v>
      </c>
      <c r="HU15" s="69">
        <v>0</v>
      </c>
      <c r="HV15" s="69">
        <v>0</v>
      </c>
      <c r="HW15" s="69">
        <v>0</v>
      </c>
      <c r="HX15" s="69">
        <v>0</v>
      </c>
      <c r="HY15" s="69">
        <v>0</v>
      </c>
      <c r="HZ15" s="69">
        <v>0</v>
      </c>
      <c r="IA15" s="69">
        <v>0</v>
      </c>
      <c r="IB15" s="69">
        <v>0</v>
      </c>
      <c r="IC15" s="69">
        <v>0</v>
      </c>
      <c r="ID15" s="69">
        <v>0</v>
      </c>
      <c r="IE15" s="69">
        <v>0</v>
      </c>
      <c r="IF15" s="69">
        <v>0</v>
      </c>
      <c r="IG15" s="69">
        <v>0</v>
      </c>
      <c r="IH15" s="69">
        <v>0</v>
      </c>
      <c r="II15" s="69">
        <v>0</v>
      </c>
      <c r="IJ15" s="69">
        <v>0</v>
      </c>
      <c r="IK15" s="69">
        <v>0</v>
      </c>
      <c r="IL15" s="69"/>
      <c r="IM15" s="69"/>
      <c r="IN15" s="69">
        <v>0</v>
      </c>
      <c r="IO15" s="69"/>
      <c r="IP15" s="69"/>
      <c r="IQ15" s="69"/>
      <c r="IR15" s="69"/>
      <c r="IS15" s="69"/>
      <c r="IT15" s="69"/>
      <c r="IU15" s="69"/>
      <c r="IV15" s="69"/>
      <c r="IW15" s="69"/>
      <c r="IX15" s="69"/>
      <c r="IY15" s="69"/>
      <c r="IZ15" s="69"/>
      <c r="JA15" s="69"/>
      <c r="JB15" s="69"/>
      <c r="JC15" s="69"/>
      <c r="JD15" s="69"/>
      <c r="JE15" s="69"/>
      <c r="JF15" s="69"/>
      <c r="JG15" s="69"/>
      <c r="JH15" s="69"/>
      <c r="JI15" s="69"/>
      <c r="JJ15" s="69"/>
      <c r="JK15" s="69"/>
      <c r="JL15" s="69"/>
      <c r="JM15" s="69"/>
      <c r="JN15" s="69"/>
      <c r="JO15" s="69">
        <v>0</v>
      </c>
      <c r="JP15" s="69"/>
      <c r="JQ15" s="69"/>
      <c r="JR15" s="69">
        <v>152368</v>
      </c>
      <c r="JS15" s="69">
        <v>0</v>
      </c>
      <c r="JT15" s="69">
        <v>0</v>
      </c>
      <c r="JU15" s="69">
        <v>0</v>
      </c>
      <c r="JV15" s="69">
        <v>0</v>
      </c>
      <c r="JW15" s="69">
        <v>0</v>
      </c>
      <c r="JX15" s="69">
        <v>0</v>
      </c>
      <c r="JY15" s="69">
        <v>0</v>
      </c>
      <c r="JZ15" s="69">
        <v>0</v>
      </c>
      <c r="KA15" s="69">
        <v>0</v>
      </c>
      <c r="KB15" s="69">
        <v>0</v>
      </c>
      <c r="KC15" s="69">
        <v>0</v>
      </c>
      <c r="KD15" s="69">
        <v>0</v>
      </c>
      <c r="KE15" s="69">
        <v>0</v>
      </c>
      <c r="KF15" s="69">
        <v>0</v>
      </c>
      <c r="KG15" s="69">
        <v>0</v>
      </c>
      <c r="KH15" s="69">
        <v>0</v>
      </c>
      <c r="KI15" s="69">
        <v>0</v>
      </c>
      <c r="KJ15" s="69">
        <v>0</v>
      </c>
      <c r="KK15" s="69">
        <v>0</v>
      </c>
      <c r="KL15" s="69">
        <v>0</v>
      </c>
      <c r="KM15" s="69">
        <v>0</v>
      </c>
      <c r="KN15" s="69">
        <v>0</v>
      </c>
      <c r="KO15" s="69">
        <v>0</v>
      </c>
      <c r="KP15" s="69">
        <v>0</v>
      </c>
      <c r="KQ15" s="69">
        <v>0</v>
      </c>
      <c r="KR15" s="69">
        <v>0</v>
      </c>
      <c r="KS15" s="69">
        <v>0</v>
      </c>
      <c r="KT15" s="69"/>
      <c r="KU15" s="69"/>
      <c r="KV15" s="69">
        <v>152368</v>
      </c>
      <c r="KW15" s="69"/>
    </row>
    <row r="16" spans="1:314" x14ac:dyDescent="0.25">
      <c r="A16" t="s">
        <v>426</v>
      </c>
      <c r="C16" t="s">
        <v>1088</v>
      </c>
      <c r="D16" t="s">
        <v>1124</v>
      </c>
      <c r="E16" s="2">
        <v>39797.629398148201</v>
      </c>
      <c r="G16" t="s">
        <v>427</v>
      </c>
      <c r="L16">
        <v>0</v>
      </c>
      <c r="M16">
        <v>0</v>
      </c>
      <c r="N16">
        <v>0</v>
      </c>
      <c r="O16">
        <v>28795923</v>
      </c>
      <c r="P16" s="69">
        <v>0</v>
      </c>
      <c r="Q16" s="69">
        <v>1146003</v>
      </c>
      <c r="R16">
        <v>0</v>
      </c>
      <c r="S16">
        <v>1146003</v>
      </c>
      <c r="T16">
        <v>3486919</v>
      </c>
      <c r="U16">
        <v>2601677</v>
      </c>
      <c r="V16">
        <v>2134272</v>
      </c>
      <c r="W16">
        <v>0</v>
      </c>
      <c r="X16">
        <v>0</v>
      </c>
      <c r="Y16">
        <v>0</v>
      </c>
      <c r="Z16">
        <v>8222868</v>
      </c>
      <c r="AA16">
        <v>2884058</v>
      </c>
      <c r="AB16">
        <v>377973</v>
      </c>
      <c r="AC16">
        <v>304669</v>
      </c>
      <c r="AD16">
        <v>0</v>
      </c>
      <c r="AE16">
        <v>-731773</v>
      </c>
      <c r="AF16">
        <v>532638</v>
      </c>
      <c r="AG16">
        <v>3367565</v>
      </c>
      <c r="AH16">
        <v>6370977</v>
      </c>
      <c r="AI16">
        <v>2979650</v>
      </c>
      <c r="AJ16">
        <v>2438941</v>
      </c>
      <c r="AK16">
        <v>0</v>
      </c>
      <c r="AL16">
        <v>0</v>
      </c>
      <c r="AM16">
        <v>532638</v>
      </c>
      <c r="AN16">
        <v>11590433</v>
      </c>
      <c r="AO16">
        <v>0</v>
      </c>
      <c r="AP16">
        <v>0</v>
      </c>
      <c r="AQ16">
        <v>1090347</v>
      </c>
      <c r="AR16">
        <v>0</v>
      </c>
      <c r="AS16">
        <v>1090347</v>
      </c>
      <c r="AT16">
        <v>0</v>
      </c>
      <c r="AU16">
        <v>0</v>
      </c>
      <c r="AV16">
        <v>241082</v>
      </c>
      <c r="AW16">
        <v>118798</v>
      </c>
      <c r="AX16">
        <v>273052</v>
      </c>
      <c r="AY16">
        <v>0</v>
      </c>
      <c r="AZ16">
        <v>0</v>
      </c>
      <c r="BA16">
        <v>1331429</v>
      </c>
      <c r="BB16">
        <v>31970</v>
      </c>
      <c r="BC16">
        <v>1363399</v>
      </c>
      <c r="BD16">
        <v>1398864</v>
      </c>
      <c r="BE16">
        <v>0</v>
      </c>
      <c r="BF16">
        <v>0</v>
      </c>
      <c r="BG16">
        <v>0</v>
      </c>
      <c r="BH16">
        <v>0</v>
      </c>
      <c r="BI16">
        <v>1398864</v>
      </c>
      <c r="BJ16">
        <v>0</v>
      </c>
      <c r="BK16">
        <v>0</v>
      </c>
      <c r="BL16">
        <v>88857</v>
      </c>
      <c r="BM16">
        <v>0</v>
      </c>
      <c r="BN16">
        <v>0</v>
      </c>
      <c r="BO16">
        <v>88857</v>
      </c>
      <c r="BP16">
        <v>2228632</v>
      </c>
      <c r="BQ16">
        <v>0</v>
      </c>
      <c r="BR16">
        <v>0</v>
      </c>
      <c r="BS16">
        <v>0</v>
      </c>
      <c r="BT16">
        <v>81249</v>
      </c>
      <c r="BU16">
        <v>2309881</v>
      </c>
      <c r="BV16">
        <v>3627496</v>
      </c>
      <c r="BW16">
        <v>0</v>
      </c>
      <c r="BX16">
        <v>88857</v>
      </c>
      <c r="BY16">
        <v>0</v>
      </c>
      <c r="BZ16">
        <v>81249</v>
      </c>
      <c r="CA16">
        <v>3797602</v>
      </c>
      <c r="CB16">
        <v>0</v>
      </c>
      <c r="CC16">
        <v>0</v>
      </c>
      <c r="CD16">
        <v>0</v>
      </c>
      <c r="CE16">
        <v>0</v>
      </c>
      <c r="CF16">
        <v>0</v>
      </c>
      <c r="CG16">
        <v>0</v>
      </c>
      <c r="CH16">
        <v>0</v>
      </c>
      <c r="CI16">
        <v>0</v>
      </c>
      <c r="CJ16">
        <v>0</v>
      </c>
      <c r="CK16">
        <v>0</v>
      </c>
      <c r="CL16">
        <v>0</v>
      </c>
      <c r="CM16">
        <v>0</v>
      </c>
      <c r="CN16">
        <v>0</v>
      </c>
      <c r="CO16">
        <v>0</v>
      </c>
      <c r="CP16">
        <v>0</v>
      </c>
      <c r="CQ16">
        <v>0</v>
      </c>
      <c r="CR16">
        <v>7096</v>
      </c>
      <c r="CS16">
        <v>1132801</v>
      </c>
      <c r="CT16">
        <v>0</v>
      </c>
      <c r="CU16">
        <v>3261</v>
      </c>
      <c r="CV16">
        <v>54274</v>
      </c>
      <c r="CW16">
        <v>307932</v>
      </c>
      <c r="CX16">
        <v>100912</v>
      </c>
      <c r="CY16">
        <v>0</v>
      </c>
      <c r="CZ16">
        <v>3936</v>
      </c>
      <c r="DA16">
        <v>50503</v>
      </c>
      <c r="DB16">
        <v>4192</v>
      </c>
      <c r="DC16">
        <v>73526</v>
      </c>
      <c r="DD16">
        <v>0</v>
      </c>
      <c r="DE16">
        <v>27717</v>
      </c>
      <c r="DF16">
        <v>226776</v>
      </c>
      <c r="DG16">
        <v>18560</v>
      </c>
      <c r="DH16">
        <v>78123</v>
      </c>
      <c r="DI16">
        <v>0</v>
      </c>
      <c r="DJ16">
        <v>100760</v>
      </c>
      <c r="DK16">
        <v>0</v>
      </c>
      <c r="DL16">
        <v>33888</v>
      </c>
      <c r="DM16">
        <v>230000</v>
      </c>
      <c r="DN16">
        <v>0</v>
      </c>
      <c r="DO16">
        <v>0</v>
      </c>
      <c r="DP16">
        <v>7608</v>
      </c>
      <c r="DQ16">
        <v>52800</v>
      </c>
      <c r="DR16">
        <v>75100</v>
      </c>
      <c r="DS16">
        <v>235232</v>
      </c>
      <c r="DT16">
        <v>81600</v>
      </c>
      <c r="DU16">
        <v>0</v>
      </c>
      <c r="DX16" s="69">
        <v>1766700</v>
      </c>
      <c r="DY16" s="69"/>
      <c r="DZ16" s="69">
        <v>560646</v>
      </c>
      <c r="EA16" s="69">
        <v>744833</v>
      </c>
      <c r="EB16" s="69">
        <v>362343</v>
      </c>
      <c r="EC16" s="69">
        <v>0</v>
      </c>
      <c r="ED16" s="69"/>
      <c r="EE16" s="69">
        <v>352165</v>
      </c>
      <c r="EF16" s="69">
        <v>5849</v>
      </c>
      <c r="EG16" s="69">
        <v>411647</v>
      </c>
      <c r="EH16" s="69">
        <v>0</v>
      </c>
      <c r="EI16" s="69">
        <v>12460</v>
      </c>
      <c r="EJ16" s="69">
        <v>778193</v>
      </c>
      <c r="EK16" s="69">
        <v>70743</v>
      </c>
      <c r="EL16" s="69">
        <v>600177</v>
      </c>
      <c r="EM16" s="69">
        <v>0</v>
      </c>
      <c r="EN16" s="69">
        <v>397071</v>
      </c>
      <c r="EO16" s="69">
        <v>0</v>
      </c>
      <c r="EP16" s="69">
        <v>236386</v>
      </c>
      <c r="EQ16" s="69">
        <v>604687</v>
      </c>
      <c r="ER16" s="69">
        <v>0</v>
      </c>
      <c r="ES16" s="69">
        <v>0</v>
      </c>
      <c r="ET16" s="69">
        <v>7281</v>
      </c>
      <c r="EU16" s="69">
        <v>203961</v>
      </c>
      <c r="EV16" s="69">
        <v>321003</v>
      </c>
      <c r="EW16" s="69">
        <v>1144125</v>
      </c>
      <c r="EX16" s="69">
        <v>610490</v>
      </c>
      <c r="EY16" s="69">
        <v>0</v>
      </c>
      <c r="EZ16" s="69"/>
      <c r="FA16" s="69"/>
      <c r="FB16" s="69">
        <v>7816728</v>
      </c>
      <c r="FC16" s="69">
        <v>7136</v>
      </c>
      <c r="FD16" s="69">
        <v>247732</v>
      </c>
      <c r="FE16" s="69">
        <v>43249</v>
      </c>
      <c r="FF16" s="69">
        <v>82288</v>
      </c>
      <c r="FG16" s="69">
        <v>0</v>
      </c>
      <c r="FH16" s="69">
        <v>134980</v>
      </c>
      <c r="FI16" s="69">
        <v>127077</v>
      </c>
      <c r="FJ16" s="69">
        <v>0</v>
      </c>
      <c r="FK16" s="69">
        <v>337832</v>
      </c>
      <c r="FL16" s="69">
        <v>0</v>
      </c>
      <c r="FM16" s="69">
        <v>137</v>
      </c>
      <c r="FN16" s="69">
        <v>45088</v>
      </c>
      <c r="FO16" s="69">
        <v>0</v>
      </c>
      <c r="FP16" s="69">
        <v>223265</v>
      </c>
      <c r="FQ16" s="69">
        <v>0</v>
      </c>
      <c r="FR16" s="69">
        <v>19704</v>
      </c>
      <c r="FS16" s="69">
        <v>0</v>
      </c>
      <c r="FT16" s="69">
        <v>59716</v>
      </c>
      <c r="FU16" s="69">
        <v>126385</v>
      </c>
      <c r="FV16" s="69">
        <v>0</v>
      </c>
      <c r="FW16" s="69">
        <v>0</v>
      </c>
      <c r="FX16" s="69">
        <v>0</v>
      </c>
      <c r="FY16" s="69">
        <v>40910</v>
      </c>
      <c r="FZ16" s="69">
        <v>112812</v>
      </c>
      <c r="GA16" s="69">
        <v>0</v>
      </c>
      <c r="GB16" s="69">
        <v>23186</v>
      </c>
      <c r="GC16" s="69">
        <v>0</v>
      </c>
      <c r="GD16" s="69"/>
      <c r="GE16" s="69"/>
      <c r="GF16" s="69">
        <v>1631497</v>
      </c>
      <c r="GG16" s="69">
        <v>8735</v>
      </c>
      <c r="GH16" s="69">
        <v>96921</v>
      </c>
      <c r="GI16" s="69">
        <v>94488</v>
      </c>
      <c r="GJ16" s="69">
        <v>53309</v>
      </c>
      <c r="GK16" s="69">
        <v>0</v>
      </c>
      <c r="GL16" s="69">
        <v>55383</v>
      </c>
      <c r="GM16" s="69">
        <v>57459</v>
      </c>
      <c r="GN16" s="69">
        <v>701</v>
      </c>
      <c r="GO16" s="69">
        <v>89859</v>
      </c>
      <c r="GP16" s="69">
        <v>0</v>
      </c>
      <c r="GQ16" s="69">
        <v>1510</v>
      </c>
      <c r="GR16" s="69">
        <v>98708</v>
      </c>
      <c r="GS16" s="69">
        <v>8482</v>
      </c>
      <c r="GT16" s="69">
        <v>98727</v>
      </c>
      <c r="GU16" s="69">
        <v>0</v>
      </c>
      <c r="GV16" s="69">
        <v>49970</v>
      </c>
      <c r="GW16" s="69">
        <v>0</v>
      </c>
      <c r="GX16" s="69">
        <v>35501</v>
      </c>
      <c r="GY16" s="69">
        <v>87652</v>
      </c>
      <c r="GZ16" s="69">
        <v>0</v>
      </c>
      <c r="HA16" s="69">
        <v>0</v>
      </c>
      <c r="HB16" s="69">
        <v>873</v>
      </c>
      <c r="HC16" s="69">
        <v>29359</v>
      </c>
      <c r="HD16" s="69">
        <v>52013</v>
      </c>
      <c r="HE16" s="69">
        <v>137176</v>
      </c>
      <c r="HF16" s="69">
        <v>75975</v>
      </c>
      <c r="HG16" s="69">
        <v>0</v>
      </c>
      <c r="HH16" s="69"/>
      <c r="HI16" s="69"/>
      <c r="HJ16" s="69">
        <v>1132801</v>
      </c>
      <c r="HK16" s="69">
        <v>11058</v>
      </c>
      <c r="HL16" s="69">
        <v>151615</v>
      </c>
      <c r="HM16" s="69">
        <v>109691</v>
      </c>
      <c r="HN16" s="69">
        <v>24667</v>
      </c>
      <c r="HO16" s="69">
        <v>0</v>
      </c>
      <c r="HP16" s="69">
        <v>11272</v>
      </c>
      <c r="HQ16" s="69">
        <v>146773</v>
      </c>
      <c r="HR16" s="69">
        <v>1760</v>
      </c>
      <c r="HS16" s="69">
        <v>85057</v>
      </c>
      <c r="HT16" s="69">
        <v>0</v>
      </c>
      <c r="HU16" s="69">
        <v>3164</v>
      </c>
      <c r="HV16" s="69">
        <v>51605</v>
      </c>
      <c r="HW16" s="69">
        <v>1484</v>
      </c>
      <c r="HX16" s="69">
        <v>67087</v>
      </c>
      <c r="HY16" s="69">
        <v>0</v>
      </c>
      <c r="HZ16" s="69">
        <v>36140</v>
      </c>
      <c r="IA16" s="69">
        <v>0</v>
      </c>
      <c r="IB16" s="69">
        <v>13329</v>
      </c>
      <c r="IC16" s="69">
        <v>25068</v>
      </c>
      <c r="ID16" s="69">
        <v>0</v>
      </c>
      <c r="IE16" s="69">
        <v>0</v>
      </c>
      <c r="IF16" s="69">
        <v>7153</v>
      </c>
      <c r="IG16" s="69">
        <v>3914</v>
      </c>
      <c r="IH16" s="69">
        <v>112349</v>
      </c>
      <c r="II16" s="69">
        <v>29822</v>
      </c>
      <c r="IJ16" s="69">
        <v>70309</v>
      </c>
      <c r="IK16" s="69">
        <v>0</v>
      </c>
      <c r="IL16" s="69"/>
      <c r="IM16" s="69"/>
      <c r="IN16" s="69">
        <v>963317</v>
      </c>
      <c r="IO16" s="69"/>
      <c r="IP16" s="69">
        <v>496268</v>
      </c>
      <c r="IQ16" s="69">
        <v>247428</v>
      </c>
      <c r="IR16" s="69">
        <v>160264</v>
      </c>
      <c r="IS16" s="69">
        <v>0</v>
      </c>
      <c r="IT16" s="69"/>
      <c r="IU16" s="69">
        <v>331309</v>
      </c>
      <c r="IV16" s="69">
        <v>2461</v>
      </c>
      <c r="IW16" s="69">
        <v>512748</v>
      </c>
      <c r="IX16" s="69">
        <v>0</v>
      </c>
      <c r="IY16" s="69">
        <v>4811</v>
      </c>
      <c r="IZ16" s="69">
        <v>195401</v>
      </c>
      <c r="JA16" s="69">
        <v>9966</v>
      </c>
      <c r="JB16" s="69">
        <v>389079</v>
      </c>
      <c r="JC16" s="69">
        <v>0</v>
      </c>
      <c r="JD16" s="69">
        <v>105814</v>
      </c>
      <c r="JE16" s="69">
        <v>0</v>
      </c>
      <c r="JF16" s="69">
        <v>108546</v>
      </c>
      <c r="JG16" s="69">
        <v>239105</v>
      </c>
      <c r="JH16" s="69">
        <v>0</v>
      </c>
      <c r="JI16" s="69">
        <v>0</v>
      </c>
      <c r="JJ16" s="69">
        <v>8026</v>
      </c>
      <c r="JK16" s="69">
        <v>74183</v>
      </c>
      <c r="JL16" s="69">
        <v>277174</v>
      </c>
      <c r="JM16" s="69">
        <v>166998</v>
      </c>
      <c r="JN16" s="69">
        <v>169470</v>
      </c>
      <c r="JO16" s="69">
        <v>0</v>
      </c>
      <c r="JP16" s="69"/>
      <c r="JQ16" s="69"/>
      <c r="JR16" s="69">
        <v>3727615</v>
      </c>
      <c r="JS16" s="69">
        <v>92650</v>
      </c>
      <c r="JT16" s="69">
        <v>1056914</v>
      </c>
      <c r="JU16" s="69">
        <v>992261</v>
      </c>
      <c r="JV16" s="69">
        <v>522607</v>
      </c>
      <c r="JW16" s="69">
        <v>0</v>
      </c>
      <c r="JX16" s="69">
        <v>528582</v>
      </c>
      <c r="JY16" s="69">
        <v>683474</v>
      </c>
      <c r="JZ16" s="69">
        <v>8310</v>
      </c>
      <c r="KA16" s="69">
        <v>924395</v>
      </c>
      <c r="KB16" s="69">
        <v>0</v>
      </c>
      <c r="KC16" s="69">
        <v>17271</v>
      </c>
      <c r="KD16" s="69">
        <v>973594</v>
      </c>
      <c r="KE16" s="69">
        <v>80709</v>
      </c>
      <c r="KF16" s="69">
        <v>989256</v>
      </c>
      <c r="KG16" s="69">
        <v>0</v>
      </c>
      <c r="KH16" s="69">
        <v>502885</v>
      </c>
      <c r="KI16" s="69">
        <v>0</v>
      </c>
      <c r="KJ16" s="69">
        <v>344932</v>
      </c>
      <c r="KK16" s="69">
        <v>843792</v>
      </c>
      <c r="KL16" s="69">
        <v>0</v>
      </c>
      <c r="KM16" s="69">
        <v>0</v>
      </c>
      <c r="KN16" s="69">
        <v>15307</v>
      </c>
      <c r="KO16" s="69">
        <v>278144</v>
      </c>
      <c r="KP16" s="69">
        <v>598177</v>
      </c>
      <c r="KQ16" s="69">
        <v>1311123</v>
      </c>
      <c r="KR16" s="69">
        <v>779960</v>
      </c>
      <c r="KS16" s="69">
        <v>0</v>
      </c>
      <c r="KT16" s="69"/>
      <c r="KU16" s="69"/>
      <c r="KV16" s="69">
        <v>11544343</v>
      </c>
      <c r="KW16" s="69"/>
    </row>
    <row r="17" spans="1:309" x14ac:dyDescent="0.25">
      <c r="A17" t="s">
        <v>454</v>
      </c>
      <c r="C17" t="s">
        <v>1088</v>
      </c>
      <c r="D17" t="s">
        <v>1136</v>
      </c>
      <c r="E17" s="2">
        <v>39804.633738425902</v>
      </c>
      <c r="G17" t="s">
        <v>455</v>
      </c>
      <c r="L17">
        <v>0</v>
      </c>
      <c r="M17">
        <v>0</v>
      </c>
      <c r="N17">
        <v>0</v>
      </c>
      <c r="O17">
        <v>73404793</v>
      </c>
      <c r="P17" s="69">
        <v>0</v>
      </c>
      <c r="Q17" s="69">
        <v>785697</v>
      </c>
      <c r="R17">
        <v>0</v>
      </c>
      <c r="S17">
        <v>785697</v>
      </c>
      <c r="T17">
        <v>5953011</v>
      </c>
      <c r="U17">
        <v>5997000</v>
      </c>
      <c r="V17">
        <v>5705380</v>
      </c>
      <c r="W17">
        <v>0</v>
      </c>
      <c r="X17">
        <v>0</v>
      </c>
      <c r="Y17">
        <v>0</v>
      </c>
      <c r="Z17">
        <v>17655391</v>
      </c>
      <c r="AA17">
        <v>4155646</v>
      </c>
      <c r="AB17">
        <v>804666</v>
      </c>
      <c r="AC17">
        <v>1760268</v>
      </c>
      <c r="AD17">
        <v>0</v>
      </c>
      <c r="AE17">
        <v>0</v>
      </c>
      <c r="AF17">
        <v>1982353</v>
      </c>
      <c r="AG17">
        <v>12928950</v>
      </c>
      <c r="AH17">
        <v>10108657</v>
      </c>
      <c r="AI17">
        <v>6801666</v>
      </c>
      <c r="AJ17">
        <v>7465648</v>
      </c>
      <c r="AK17">
        <v>0</v>
      </c>
      <c r="AL17">
        <v>4226017</v>
      </c>
      <c r="AM17">
        <v>1982353</v>
      </c>
      <c r="AN17">
        <v>30584341</v>
      </c>
      <c r="AO17">
        <v>0</v>
      </c>
      <c r="AP17">
        <v>0</v>
      </c>
      <c r="AQ17">
        <v>44294</v>
      </c>
      <c r="AR17">
        <v>0</v>
      </c>
      <c r="AS17">
        <v>44294</v>
      </c>
      <c r="AT17">
        <v>0</v>
      </c>
      <c r="AU17">
        <v>0</v>
      </c>
      <c r="AV17">
        <v>0</v>
      </c>
      <c r="AW17">
        <v>0</v>
      </c>
      <c r="AX17">
        <v>0</v>
      </c>
      <c r="AY17">
        <v>0</v>
      </c>
      <c r="AZ17">
        <v>0</v>
      </c>
      <c r="BA17">
        <v>427820</v>
      </c>
      <c r="BB17">
        <v>0</v>
      </c>
      <c r="BC17">
        <v>427820</v>
      </c>
      <c r="BD17">
        <v>2002617</v>
      </c>
      <c r="BE17">
        <v>0</v>
      </c>
      <c r="BF17">
        <v>0</v>
      </c>
      <c r="BG17">
        <v>0</v>
      </c>
      <c r="BH17">
        <v>0</v>
      </c>
      <c r="BI17">
        <v>2002617</v>
      </c>
      <c r="BJ17">
        <v>0</v>
      </c>
      <c r="BK17">
        <v>0</v>
      </c>
      <c r="BL17">
        <v>248282</v>
      </c>
      <c r="BM17">
        <v>0</v>
      </c>
      <c r="BN17">
        <v>0</v>
      </c>
      <c r="BO17">
        <v>248282</v>
      </c>
      <c r="BP17">
        <v>7275196</v>
      </c>
      <c r="BQ17">
        <v>0</v>
      </c>
      <c r="BR17">
        <v>0</v>
      </c>
      <c r="BS17">
        <v>0</v>
      </c>
      <c r="BT17">
        <v>3084245</v>
      </c>
      <c r="BU17">
        <v>10359441</v>
      </c>
      <c r="BV17">
        <v>9277813</v>
      </c>
      <c r="BW17">
        <v>0</v>
      </c>
      <c r="BX17">
        <v>248282</v>
      </c>
      <c r="BY17">
        <v>0</v>
      </c>
      <c r="BZ17">
        <v>3084245</v>
      </c>
      <c r="CA17">
        <v>12610340</v>
      </c>
      <c r="CB17">
        <v>0</v>
      </c>
      <c r="CC17">
        <v>0</v>
      </c>
      <c r="CD17">
        <v>0</v>
      </c>
      <c r="CE17">
        <v>0</v>
      </c>
      <c r="CF17">
        <v>0</v>
      </c>
      <c r="CG17">
        <v>0</v>
      </c>
      <c r="CH17">
        <v>0</v>
      </c>
      <c r="CI17">
        <v>0</v>
      </c>
      <c r="CJ17">
        <v>0</v>
      </c>
      <c r="CK17">
        <v>0</v>
      </c>
      <c r="CL17">
        <v>0</v>
      </c>
      <c r="CM17">
        <v>0</v>
      </c>
      <c r="CN17">
        <v>0</v>
      </c>
      <c r="CO17">
        <v>0</v>
      </c>
      <c r="CP17">
        <v>0</v>
      </c>
      <c r="CQ17">
        <v>0</v>
      </c>
      <c r="CR17">
        <v>23614</v>
      </c>
      <c r="CS17">
        <v>1460310</v>
      </c>
      <c r="CT17">
        <v>0</v>
      </c>
      <c r="CU17">
        <v>95914</v>
      </c>
      <c r="CV17">
        <v>960</v>
      </c>
      <c r="CW17">
        <v>1088816</v>
      </c>
      <c r="CX17">
        <v>655162</v>
      </c>
      <c r="CY17">
        <v>1200</v>
      </c>
      <c r="CZ17">
        <v>199422</v>
      </c>
      <c r="DA17">
        <v>377673</v>
      </c>
      <c r="DB17">
        <v>828</v>
      </c>
      <c r="DC17">
        <v>198886</v>
      </c>
      <c r="DD17">
        <v>5424</v>
      </c>
      <c r="DE17">
        <v>52848</v>
      </c>
      <c r="DF17">
        <v>1598689</v>
      </c>
      <c r="DG17">
        <v>308770</v>
      </c>
      <c r="DH17">
        <v>130628</v>
      </c>
      <c r="DI17">
        <v>24064</v>
      </c>
      <c r="DJ17">
        <v>127434</v>
      </c>
      <c r="DK17">
        <v>43408</v>
      </c>
      <c r="DL17">
        <v>0</v>
      </c>
      <c r="DM17">
        <v>1145610</v>
      </c>
      <c r="DN17">
        <v>0</v>
      </c>
      <c r="DO17">
        <v>0</v>
      </c>
      <c r="DP17">
        <v>4576</v>
      </c>
      <c r="DQ17">
        <v>218304</v>
      </c>
      <c r="DR17">
        <v>217939</v>
      </c>
      <c r="DS17">
        <v>1652784</v>
      </c>
      <c r="DT17">
        <v>705350</v>
      </c>
      <c r="DU17">
        <v>0</v>
      </c>
      <c r="DX17" s="69">
        <v>8854689</v>
      </c>
      <c r="DY17" s="69">
        <v>192392</v>
      </c>
      <c r="DZ17" s="69">
        <v>1741</v>
      </c>
      <c r="EA17" s="69">
        <v>2720193</v>
      </c>
      <c r="EB17" s="69">
        <v>1900295</v>
      </c>
      <c r="EC17" s="69"/>
      <c r="ED17" s="69">
        <v>486333</v>
      </c>
      <c r="EE17" s="69">
        <v>927054</v>
      </c>
      <c r="EF17" s="69">
        <v>1514</v>
      </c>
      <c r="EG17" s="69">
        <v>462639</v>
      </c>
      <c r="EH17" s="69">
        <v>13729</v>
      </c>
      <c r="EI17" s="69">
        <v>342554</v>
      </c>
      <c r="EJ17" s="69">
        <v>5004092</v>
      </c>
      <c r="EK17" s="69">
        <v>596069</v>
      </c>
      <c r="EL17" s="69">
        <v>1130828</v>
      </c>
      <c r="EM17" s="69">
        <v>225734</v>
      </c>
      <c r="EN17" s="69">
        <v>496787</v>
      </c>
      <c r="EO17" s="69">
        <v>264523</v>
      </c>
      <c r="EP17" s="69">
        <v>0</v>
      </c>
      <c r="EQ17" s="69">
        <v>2628072</v>
      </c>
      <c r="ER17" s="69">
        <v>0</v>
      </c>
      <c r="ES17" s="69">
        <v>0</v>
      </c>
      <c r="ET17" s="69">
        <v>1338</v>
      </c>
      <c r="EU17" s="69">
        <v>665831</v>
      </c>
      <c r="EV17" s="69">
        <v>682104</v>
      </c>
      <c r="EW17" s="69">
        <v>4090307</v>
      </c>
      <c r="EX17" s="69">
        <v>2941678</v>
      </c>
      <c r="EY17" s="69">
        <v>0</v>
      </c>
      <c r="EZ17" s="69"/>
      <c r="FA17" s="69"/>
      <c r="FB17" s="69">
        <v>25778043</v>
      </c>
      <c r="FC17" s="69">
        <v>60445</v>
      </c>
      <c r="FD17" s="69">
        <v>2048</v>
      </c>
      <c r="FE17" s="69">
        <v>754917</v>
      </c>
      <c r="FF17" s="69">
        <v>449334</v>
      </c>
      <c r="FG17" s="69">
        <v>2605</v>
      </c>
      <c r="FH17" s="69">
        <v>331556</v>
      </c>
      <c r="FI17" s="69">
        <v>211074</v>
      </c>
      <c r="FJ17" s="69">
        <v>1781</v>
      </c>
      <c r="FK17" s="69">
        <v>160641</v>
      </c>
      <c r="FL17" s="69">
        <v>39672</v>
      </c>
      <c r="FM17" s="69">
        <v>94890</v>
      </c>
      <c r="FN17" s="69">
        <v>618642</v>
      </c>
      <c r="FO17" s="69">
        <v>158647</v>
      </c>
      <c r="FP17" s="69">
        <v>234226</v>
      </c>
      <c r="FQ17" s="69">
        <v>175222</v>
      </c>
      <c r="FR17" s="69">
        <v>168512</v>
      </c>
      <c r="FS17" s="69">
        <v>59069</v>
      </c>
      <c r="FT17" s="69">
        <v>0</v>
      </c>
      <c r="FU17" s="69">
        <v>867264</v>
      </c>
      <c r="FV17" s="69">
        <v>0</v>
      </c>
      <c r="FW17" s="69">
        <v>0</v>
      </c>
      <c r="FX17" s="69">
        <v>2258</v>
      </c>
      <c r="FY17" s="69">
        <v>256782</v>
      </c>
      <c r="FZ17" s="69">
        <v>470632</v>
      </c>
      <c r="GA17" s="69">
        <v>357983</v>
      </c>
      <c r="GB17" s="69">
        <v>853305</v>
      </c>
      <c r="GC17" s="69">
        <v>0</v>
      </c>
      <c r="GD17" s="69"/>
      <c r="GE17" s="69"/>
      <c r="GF17" s="69">
        <v>6331505</v>
      </c>
      <c r="GG17" s="69">
        <v>11499</v>
      </c>
      <c r="GH17" s="69">
        <v>172</v>
      </c>
      <c r="GI17" s="69">
        <v>158045</v>
      </c>
      <c r="GJ17" s="69">
        <v>106859</v>
      </c>
      <c r="GK17" s="69">
        <v>220</v>
      </c>
      <c r="GL17" s="69">
        <v>37197</v>
      </c>
      <c r="GM17" s="69">
        <v>51761</v>
      </c>
      <c r="GN17" s="69">
        <v>150</v>
      </c>
      <c r="GO17" s="69">
        <v>28346</v>
      </c>
      <c r="GP17" s="69">
        <v>2429</v>
      </c>
      <c r="GQ17" s="69">
        <v>19895</v>
      </c>
      <c r="GR17" s="69">
        <v>255716</v>
      </c>
      <c r="GS17" s="69">
        <v>34324</v>
      </c>
      <c r="GT17" s="69">
        <v>62081</v>
      </c>
      <c r="GU17" s="69">
        <v>18235</v>
      </c>
      <c r="GV17" s="69">
        <v>30257</v>
      </c>
      <c r="GW17" s="69">
        <v>14717</v>
      </c>
      <c r="GX17" s="69">
        <v>0</v>
      </c>
      <c r="GY17" s="69">
        <v>158964</v>
      </c>
      <c r="GZ17" s="69">
        <v>0</v>
      </c>
      <c r="HA17" s="69">
        <v>0</v>
      </c>
      <c r="HB17" s="69">
        <v>164</v>
      </c>
      <c r="HC17" s="69">
        <v>41960</v>
      </c>
      <c r="HD17" s="69">
        <v>52425</v>
      </c>
      <c r="HE17" s="69">
        <v>202304</v>
      </c>
      <c r="HF17" s="69">
        <v>172592</v>
      </c>
      <c r="HG17" s="69">
        <v>0</v>
      </c>
      <c r="HH17" s="69"/>
      <c r="HI17" s="69"/>
      <c r="HJ17" s="69">
        <v>1460310</v>
      </c>
      <c r="HK17" s="69">
        <v>28057</v>
      </c>
      <c r="HL17" s="69">
        <v>2195</v>
      </c>
      <c r="HM17" s="69">
        <v>630339</v>
      </c>
      <c r="HN17" s="69">
        <v>410854</v>
      </c>
      <c r="HO17" s="69">
        <v>2793</v>
      </c>
      <c r="HP17" s="69">
        <v>326991</v>
      </c>
      <c r="HQ17" s="69">
        <v>215246</v>
      </c>
      <c r="HR17" s="69">
        <v>1909</v>
      </c>
      <c r="HS17" s="69">
        <v>118270</v>
      </c>
      <c r="HT17" s="69">
        <v>1345</v>
      </c>
      <c r="HU17" s="69">
        <v>210891</v>
      </c>
      <c r="HV17" s="69">
        <v>374974</v>
      </c>
      <c r="HW17" s="69">
        <v>174270</v>
      </c>
      <c r="HX17" s="69">
        <v>206543</v>
      </c>
      <c r="HY17" s="69">
        <v>205796</v>
      </c>
      <c r="HZ17" s="69">
        <v>197961</v>
      </c>
      <c r="IA17" s="69">
        <v>67071</v>
      </c>
      <c r="IB17" s="69">
        <v>0</v>
      </c>
      <c r="IC17" s="69">
        <v>210027</v>
      </c>
      <c r="ID17" s="69">
        <v>0</v>
      </c>
      <c r="IE17" s="69">
        <v>0</v>
      </c>
      <c r="IF17" s="69">
        <v>2382</v>
      </c>
      <c r="IG17" s="69">
        <v>117542</v>
      </c>
      <c r="IH17" s="69">
        <v>468324</v>
      </c>
      <c r="II17" s="69">
        <v>346259</v>
      </c>
      <c r="IJ17" s="69">
        <v>782839</v>
      </c>
      <c r="IK17" s="69">
        <v>0</v>
      </c>
      <c r="IL17" s="69"/>
      <c r="IM17" s="69"/>
      <c r="IN17" s="69">
        <v>5102878</v>
      </c>
      <c r="IO17" s="69">
        <v>100001</v>
      </c>
      <c r="IP17" s="69">
        <v>4415</v>
      </c>
      <c r="IQ17" s="69">
        <v>1543301</v>
      </c>
      <c r="IR17" s="69">
        <v>967047</v>
      </c>
      <c r="IS17" s="69"/>
      <c r="IT17" s="69">
        <v>695744</v>
      </c>
      <c r="IU17" s="69">
        <v>478081</v>
      </c>
      <c r="IV17" s="69">
        <v>3840</v>
      </c>
      <c r="IW17" s="69">
        <v>307257</v>
      </c>
      <c r="IX17" s="69">
        <v>43446</v>
      </c>
      <c r="IY17" s="69">
        <v>325676</v>
      </c>
      <c r="IZ17" s="69">
        <v>1249332</v>
      </c>
      <c r="JA17" s="69">
        <v>367241</v>
      </c>
      <c r="JB17" s="69">
        <v>502850</v>
      </c>
      <c r="JC17" s="69">
        <v>399253</v>
      </c>
      <c r="JD17" s="69">
        <v>396730</v>
      </c>
      <c r="JE17" s="69">
        <v>140857</v>
      </c>
      <c r="JF17" s="69">
        <v>0</v>
      </c>
      <c r="JG17" s="69">
        <v>1236255</v>
      </c>
      <c r="JH17" s="69">
        <v>0</v>
      </c>
      <c r="JI17" s="69">
        <v>0</v>
      </c>
      <c r="JJ17" s="69">
        <v>4804</v>
      </c>
      <c r="JK17" s="69">
        <v>416284</v>
      </c>
      <c r="JL17" s="69">
        <v>991381</v>
      </c>
      <c r="JM17" s="69">
        <v>906546</v>
      </c>
      <c r="JN17" s="69">
        <v>1808736</v>
      </c>
      <c r="JO17" s="69">
        <v>0</v>
      </c>
      <c r="JP17" s="69"/>
      <c r="JQ17" s="69"/>
      <c r="JR17" s="69">
        <v>12894693</v>
      </c>
      <c r="JS17" s="69">
        <v>292393</v>
      </c>
      <c r="JT17" s="69">
        <v>6156</v>
      </c>
      <c r="JU17" s="69">
        <v>4263494</v>
      </c>
      <c r="JV17" s="69">
        <v>2867342</v>
      </c>
      <c r="JW17" s="69">
        <v>7854</v>
      </c>
      <c r="JX17" s="69">
        <v>1182077</v>
      </c>
      <c r="JY17" s="69">
        <v>1405135</v>
      </c>
      <c r="JZ17" s="69">
        <v>5354</v>
      </c>
      <c r="KA17" s="69">
        <v>769896</v>
      </c>
      <c r="KB17" s="69">
        <v>57175</v>
      </c>
      <c r="KC17" s="69">
        <v>668230</v>
      </c>
      <c r="KD17" s="69">
        <v>6253424</v>
      </c>
      <c r="KE17" s="69">
        <v>963310</v>
      </c>
      <c r="KF17" s="69">
        <v>1633678</v>
      </c>
      <c r="KG17" s="69">
        <v>624987</v>
      </c>
      <c r="KH17" s="69">
        <v>893517</v>
      </c>
      <c r="KI17" s="69">
        <v>405380</v>
      </c>
      <c r="KJ17" s="69">
        <v>0</v>
      </c>
      <c r="KK17" s="69">
        <v>3864327</v>
      </c>
      <c r="KL17" s="69">
        <v>0</v>
      </c>
      <c r="KM17" s="69">
        <v>0</v>
      </c>
      <c r="KN17" s="69">
        <v>6142</v>
      </c>
      <c r="KO17" s="69">
        <v>1082115</v>
      </c>
      <c r="KP17" s="69">
        <v>1673485</v>
      </c>
      <c r="KQ17" s="69">
        <v>4996853</v>
      </c>
      <c r="KR17" s="69">
        <v>4750414</v>
      </c>
      <c r="KS17" s="69">
        <v>0</v>
      </c>
      <c r="KT17" s="69"/>
      <c r="KU17" s="69"/>
      <c r="KV17" s="69">
        <v>38672736</v>
      </c>
      <c r="KW17" s="69"/>
    </row>
    <row r="18" spans="1:309" x14ac:dyDescent="0.25">
      <c r="A18" t="s">
        <v>456</v>
      </c>
      <c r="C18" t="s">
        <v>1088</v>
      </c>
      <c r="D18" t="s">
        <v>1137</v>
      </c>
      <c r="E18" s="2">
        <v>39797.518877314797</v>
      </c>
      <c r="G18" t="s">
        <v>457</v>
      </c>
      <c r="L18">
        <v>0</v>
      </c>
      <c r="M18">
        <v>0</v>
      </c>
      <c r="N18">
        <v>0</v>
      </c>
      <c r="O18">
        <v>247453906</v>
      </c>
      <c r="P18" s="69">
        <v>0</v>
      </c>
      <c r="Q18" s="69">
        <v>3893762</v>
      </c>
      <c r="R18">
        <v>0</v>
      </c>
      <c r="S18">
        <v>3893762</v>
      </c>
      <c r="T18">
        <v>36037393</v>
      </c>
      <c r="U18">
        <v>20330441</v>
      </c>
      <c r="V18">
        <v>11670390</v>
      </c>
      <c r="W18">
        <v>0</v>
      </c>
      <c r="X18">
        <v>0</v>
      </c>
      <c r="Y18">
        <v>0</v>
      </c>
      <c r="Z18">
        <v>68038224</v>
      </c>
      <c r="AA18">
        <v>10057158</v>
      </c>
      <c r="AB18">
        <v>3825864</v>
      </c>
      <c r="AC18">
        <v>4320375</v>
      </c>
      <c r="AD18">
        <v>0</v>
      </c>
      <c r="AE18">
        <v>0</v>
      </c>
      <c r="AF18">
        <v>3207693</v>
      </c>
      <c r="AG18">
        <v>21411090</v>
      </c>
      <c r="AH18">
        <v>46094551</v>
      </c>
      <c r="AI18">
        <v>24156305</v>
      </c>
      <c r="AJ18">
        <v>15990765</v>
      </c>
      <c r="AK18">
        <v>0</v>
      </c>
      <c r="AL18">
        <v>0</v>
      </c>
      <c r="AM18">
        <v>3207693</v>
      </c>
      <c r="AN18">
        <v>89449314</v>
      </c>
      <c r="AO18">
        <v>3859801</v>
      </c>
      <c r="AP18">
        <v>0</v>
      </c>
      <c r="AQ18">
        <v>0</v>
      </c>
      <c r="AR18">
        <v>0</v>
      </c>
      <c r="AS18">
        <v>3859801</v>
      </c>
      <c r="AT18">
        <v>2181344</v>
      </c>
      <c r="AU18">
        <v>0</v>
      </c>
      <c r="AV18">
        <v>0</v>
      </c>
      <c r="AW18">
        <v>32193</v>
      </c>
      <c r="AX18">
        <v>2213537</v>
      </c>
      <c r="AY18">
        <v>6041145</v>
      </c>
      <c r="AZ18">
        <v>0</v>
      </c>
      <c r="BA18">
        <v>0</v>
      </c>
      <c r="BB18">
        <v>32193</v>
      </c>
      <c r="BC18">
        <v>6073338</v>
      </c>
      <c r="BD18">
        <v>7858209</v>
      </c>
      <c r="BE18">
        <v>0</v>
      </c>
      <c r="BF18">
        <v>0</v>
      </c>
      <c r="BG18">
        <v>0</v>
      </c>
      <c r="BH18">
        <v>0</v>
      </c>
      <c r="BI18">
        <v>7858209</v>
      </c>
      <c r="BJ18">
        <v>0</v>
      </c>
      <c r="BK18">
        <v>0</v>
      </c>
      <c r="BL18">
        <v>409884</v>
      </c>
      <c r="BM18">
        <v>0</v>
      </c>
      <c r="BN18">
        <v>0</v>
      </c>
      <c r="BO18">
        <v>409884</v>
      </c>
      <c r="BP18">
        <v>18028714</v>
      </c>
      <c r="BQ18">
        <v>3760835</v>
      </c>
      <c r="BR18">
        <v>0</v>
      </c>
      <c r="BS18">
        <v>0</v>
      </c>
      <c r="BT18">
        <v>356256</v>
      </c>
      <c r="BU18">
        <v>22145805</v>
      </c>
      <c r="BV18">
        <v>25886923</v>
      </c>
      <c r="BW18">
        <v>3760835</v>
      </c>
      <c r="BX18">
        <v>409884</v>
      </c>
      <c r="BY18">
        <v>0</v>
      </c>
      <c r="BZ18">
        <v>356256</v>
      </c>
      <c r="CA18">
        <v>30413898</v>
      </c>
      <c r="CB18">
        <v>0</v>
      </c>
      <c r="CC18">
        <v>0</v>
      </c>
      <c r="CD18">
        <v>0</v>
      </c>
      <c r="CE18">
        <v>0</v>
      </c>
      <c r="CF18">
        <v>0</v>
      </c>
      <c r="CG18">
        <v>0</v>
      </c>
      <c r="CH18">
        <v>0</v>
      </c>
      <c r="CI18">
        <v>0</v>
      </c>
      <c r="CJ18">
        <v>0</v>
      </c>
      <c r="CK18">
        <v>0</v>
      </c>
      <c r="CL18">
        <v>0</v>
      </c>
      <c r="CM18">
        <v>0</v>
      </c>
      <c r="CN18">
        <v>0</v>
      </c>
      <c r="CO18">
        <v>0</v>
      </c>
      <c r="CP18">
        <v>0</v>
      </c>
      <c r="CQ18">
        <v>0</v>
      </c>
      <c r="CR18">
        <v>29150</v>
      </c>
      <c r="CS18">
        <v>4825404</v>
      </c>
      <c r="CT18">
        <v>0</v>
      </c>
      <c r="CU18">
        <v>104261</v>
      </c>
      <c r="CV18">
        <v>114989</v>
      </c>
      <c r="CW18">
        <v>3049424</v>
      </c>
      <c r="CX18">
        <v>2309641</v>
      </c>
      <c r="CY18">
        <v>18960</v>
      </c>
      <c r="CZ18">
        <v>1173542</v>
      </c>
      <c r="DA18">
        <v>1706531</v>
      </c>
      <c r="DB18">
        <v>132151</v>
      </c>
      <c r="DC18">
        <v>648004</v>
      </c>
      <c r="DD18">
        <v>18656</v>
      </c>
      <c r="DE18">
        <v>552585</v>
      </c>
      <c r="DF18">
        <v>4556933</v>
      </c>
      <c r="DG18">
        <v>607196</v>
      </c>
      <c r="DH18">
        <v>462851</v>
      </c>
      <c r="DI18">
        <v>0</v>
      </c>
      <c r="DJ18">
        <v>931127</v>
      </c>
      <c r="DK18">
        <v>23372</v>
      </c>
      <c r="DL18">
        <v>32132</v>
      </c>
      <c r="DM18">
        <v>2535042</v>
      </c>
      <c r="DN18">
        <v>428026</v>
      </c>
      <c r="DO18">
        <v>87869</v>
      </c>
      <c r="DP18">
        <v>62144</v>
      </c>
      <c r="DQ18">
        <v>588382</v>
      </c>
      <c r="DR18">
        <v>932580</v>
      </c>
      <c r="DS18">
        <v>4200787</v>
      </c>
      <c r="DT18">
        <v>1551204</v>
      </c>
      <c r="DU18">
        <v>0</v>
      </c>
      <c r="DX18" s="69">
        <v>26828389</v>
      </c>
      <c r="DY18" s="69">
        <v>597793</v>
      </c>
      <c r="DZ18" s="69">
        <v>592016</v>
      </c>
      <c r="EA18" s="69">
        <v>8088252</v>
      </c>
      <c r="EB18" s="69">
        <v>6790593</v>
      </c>
      <c r="EC18" s="69">
        <v>152095</v>
      </c>
      <c r="ED18" s="69">
        <v>1690233</v>
      </c>
      <c r="EE18" s="69">
        <v>5646067</v>
      </c>
      <c r="EF18" s="69">
        <v>296365</v>
      </c>
      <c r="EG18" s="69">
        <v>1446158</v>
      </c>
      <c r="EH18" s="69">
        <v>100567</v>
      </c>
      <c r="EI18" s="69">
        <v>741880</v>
      </c>
      <c r="EJ18" s="69">
        <v>15828677</v>
      </c>
      <c r="EK18" s="69">
        <v>1779084</v>
      </c>
      <c r="EL18" s="69">
        <v>2579238</v>
      </c>
      <c r="EM18" s="69">
        <v>0</v>
      </c>
      <c r="EN18" s="69">
        <v>1872789</v>
      </c>
      <c r="EO18" s="69">
        <v>257160</v>
      </c>
      <c r="EP18" s="69">
        <v>213374</v>
      </c>
      <c r="EQ18" s="69">
        <v>7440387</v>
      </c>
      <c r="ER18" s="69">
        <v>1788899</v>
      </c>
      <c r="ES18" s="69">
        <v>122678</v>
      </c>
      <c r="ET18" s="69">
        <v>423592</v>
      </c>
      <c r="EU18" s="69">
        <v>2039337</v>
      </c>
      <c r="EV18" s="69">
        <v>1582314</v>
      </c>
      <c r="EW18" s="69">
        <v>11333070</v>
      </c>
      <c r="EX18" s="69">
        <v>5497624</v>
      </c>
      <c r="EY18" s="69">
        <v>0</v>
      </c>
      <c r="EZ18" s="69"/>
      <c r="FA18" s="69"/>
      <c r="FB18" s="69">
        <v>78900242</v>
      </c>
      <c r="FC18" s="69">
        <v>433640</v>
      </c>
      <c r="FD18" s="69">
        <v>140300</v>
      </c>
      <c r="FE18" s="69">
        <v>3386337</v>
      </c>
      <c r="FF18" s="69">
        <v>2714569</v>
      </c>
      <c r="FG18" s="69">
        <v>3301</v>
      </c>
      <c r="FH18" s="69">
        <v>2354328</v>
      </c>
      <c r="FI18" s="69">
        <v>1384847</v>
      </c>
      <c r="FJ18" s="69">
        <v>171901</v>
      </c>
      <c r="FK18" s="69">
        <v>617266</v>
      </c>
      <c r="FL18" s="69">
        <v>6272</v>
      </c>
      <c r="FM18" s="69">
        <v>420013</v>
      </c>
      <c r="FN18" s="69">
        <v>3857832</v>
      </c>
      <c r="FO18" s="69">
        <v>224525</v>
      </c>
      <c r="FP18" s="69">
        <v>981423</v>
      </c>
      <c r="FQ18" s="69">
        <v>0</v>
      </c>
      <c r="FR18" s="69">
        <v>939661</v>
      </c>
      <c r="FS18" s="69">
        <v>33166</v>
      </c>
      <c r="FT18" s="69">
        <v>43428</v>
      </c>
      <c r="FU18" s="69">
        <v>1332392</v>
      </c>
      <c r="FV18" s="69">
        <v>365733</v>
      </c>
      <c r="FW18" s="69">
        <v>53160</v>
      </c>
      <c r="FX18" s="69">
        <v>73978</v>
      </c>
      <c r="FY18" s="69">
        <v>831751</v>
      </c>
      <c r="FZ18" s="69">
        <v>617484</v>
      </c>
      <c r="GA18" s="69">
        <v>1571707</v>
      </c>
      <c r="GB18" s="69">
        <v>1817176</v>
      </c>
      <c r="GC18" s="69">
        <v>0</v>
      </c>
      <c r="GD18" s="69"/>
      <c r="GE18" s="69"/>
      <c r="GF18" s="69">
        <v>24376190</v>
      </c>
      <c r="GG18" s="69">
        <v>48192</v>
      </c>
      <c r="GH18" s="69">
        <v>34216</v>
      </c>
      <c r="GI18" s="69">
        <v>536129</v>
      </c>
      <c r="GJ18" s="69">
        <v>444111</v>
      </c>
      <c r="GK18" s="69">
        <v>7261</v>
      </c>
      <c r="GL18" s="69">
        <v>188975</v>
      </c>
      <c r="GM18" s="69">
        <v>328507</v>
      </c>
      <c r="GN18" s="69">
        <v>21879</v>
      </c>
      <c r="GO18" s="69">
        <v>96410</v>
      </c>
      <c r="GP18" s="69">
        <v>4992</v>
      </c>
      <c r="GQ18" s="69">
        <v>54287</v>
      </c>
      <c r="GR18" s="69">
        <v>919816</v>
      </c>
      <c r="GS18" s="69">
        <v>93615</v>
      </c>
      <c r="GT18" s="69">
        <v>166365</v>
      </c>
      <c r="GU18" s="69">
        <v>0</v>
      </c>
      <c r="GV18" s="69">
        <v>131407</v>
      </c>
      <c r="GW18" s="69">
        <v>13565</v>
      </c>
      <c r="GX18" s="69">
        <v>11999</v>
      </c>
      <c r="GY18" s="69">
        <v>409892</v>
      </c>
      <c r="GZ18" s="69">
        <v>100671</v>
      </c>
      <c r="HA18" s="69">
        <v>8216</v>
      </c>
      <c r="HB18" s="69">
        <v>23248</v>
      </c>
      <c r="HC18" s="69">
        <v>134146</v>
      </c>
      <c r="HD18" s="69">
        <v>102782</v>
      </c>
      <c r="HE18" s="69">
        <v>602952</v>
      </c>
      <c r="HF18" s="69">
        <v>341771</v>
      </c>
      <c r="HG18" s="69">
        <v>0</v>
      </c>
      <c r="HH18" s="69"/>
      <c r="HI18" s="69"/>
      <c r="HJ18" s="69">
        <v>4825404</v>
      </c>
      <c r="HK18" s="69">
        <v>149412</v>
      </c>
      <c r="HL18" s="69">
        <v>116423</v>
      </c>
      <c r="HM18" s="69">
        <v>1493361</v>
      </c>
      <c r="HN18" s="69">
        <v>1129129</v>
      </c>
      <c r="HO18" s="69">
        <v>18585</v>
      </c>
      <c r="HP18" s="69">
        <v>1027131</v>
      </c>
      <c r="HQ18" s="69">
        <v>760076</v>
      </c>
      <c r="HR18" s="69">
        <v>634796</v>
      </c>
      <c r="HS18" s="69">
        <v>310161</v>
      </c>
      <c r="HT18" s="69">
        <v>11842</v>
      </c>
      <c r="HU18" s="69">
        <v>194981</v>
      </c>
      <c r="HV18" s="69">
        <v>1525830</v>
      </c>
      <c r="HW18" s="69">
        <v>149870</v>
      </c>
      <c r="HX18" s="69">
        <v>340002</v>
      </c>
      <c r="HY18" s="69">
        <v>0</v>
      </c>
      <c r="HZ18" s="69">
        <v>1162008</v>
      </c>
      <c r="IA18" s="69">
        <v>24172</v>
      </c>
      <c r="IB18" s="69">
        <v>28435</v>
      </c>
      <c r="IC18" s="69">
        <v>575713</v>
      </c>
      <c r="ID18" s="69">
        <v>322762</v>
      </c>
      <c r="IE18" s="69">
        <v>44645</v>
      </c>
      <c r="IF18" s="69">
        <v>57356</v>
      </c>
      <c r="IG18" s="69">
        <v>311228</v>
      </c>
      <c r="IH18" s="69">
        <v>659681</v>
      </c>
      <c r="II18" s="69">
        <v>1018676</v>
      </c>
      <c r="IJ18" s="69">
        <v>1051625</v>
      </c>
      <c r="IK18" s="69">
        <v>0</v>
      </c>
      <c r="IL18" s="69"/>
      <c r="IM18" s="69"/>
      <c r="IN18" s="69">
        <v>13117900</v>
      </c>
      <c r="IO18" s="69">
        <v>631244</v>
      </c>
      <c r="IP18" s="69">
        <v>290939</v>
      </c>
      <c r="IQ18" s="69">
        <v>5415827</v>
      </c>
      <c r="IR18" s="69">
        <v>4287809</v>
      </c>
      <c r="IS18" s="69">
        <v>29147</v>
      </c>
      <c r="IT18" s="69">
        <v>3570434</v>
      </c>
      <c r="IU18" s="69">
        <v>2473430</v>
      </c>
      <c r="IV18" s="69">
        <v>828576</v>
      </c>
      <c r="IW18" s="69">
        <v>1023837</v>
      </c>
      <c r="IX18" s="69">
        <v>23106</v>
      </c>
      <c r="IY18" s="69">
        <v>669281</v>
      </c>
      <c r="IZ18" s="69">
        <v>6303478</v>
      </c>
      <c r="JA18" s="69">
        <v>468010</v>
      </c>
      <c r="JB18" s="69">
        <v>1487790</v>
      </c>
      <c r="JC18" s="69">
        <v>0</v>
      </c>
      <c r="JD18" s="69">
        <v>2233076</v>
      </c>
      <c r="JE18" s="69">
        <v>70903</v>
      </c>
      <c r="JF18" s="69">
        <v>83862</v>
      </c>
      <c r="JG18" s="69">
        <v>2317997</v>
      </c>
      <c r="JH18" s="69">
        <v>789166</v>
      </c>
      <c r="JI18" s="69">
        <v>106021</v>
      </c>
      <c r="JJ18" s="69">
        <v>154582</v>
      </c>
      <c r="JK18" s="69">
        <v>1277125</v>
      </c>
      <c r="JL18" s="69">
        <v>1379947</v>
      </c>
      <c r="JM18" s="69">
        <v>3193335</v>
      </c>
      <c r="JN18" s="69">
        <v>3210572</v>
      </c>
      <c r="JO18" s="69">
        <v>0</v>
      </c>
      <c r="JP18" s="69"/>
      <c r="JQ18" s="69"/>
      <c r="JR18" s="69">
        <v>42319494</v>
      </c>
      <c r="JS18" s="69">
        <v>1229037</v>
      </c>
      <c r="JT18" s="69">
        <v>882955</v>
      </c>
      <c r="JU18" s="69">
        <v>13504079</v>
      </c>
      <c r="JV18" s="69">
        <v>11078402</v>
      </c>
      <c r="JW18" s="69">
        <v>181242</v>
      </c>
      <c r="JX18" s="69">
        <v>5260667</v>
      </c>
      <c r="JY18" s="69">
        <v>8119497</v>
      </c>
      <c r="JZ18" s="69">
        <v>1124941</v>
      </c>
      <c r="KA18" s="69">
        <v>2469995</v>
      </c>
      <c r="KB18" s="69">
        <v>123673</v>
      </c>
      <c r="KC18" s="69">
        <v>1411161</v>
      </c>
      <c r="KD18" s="69">
        <v>22132155</v>
      </c>
      <c r="KE18" s="69">
        <v>2247094</v>
      </c>
      <c r="KF18" s="69">
        <v>4067028</v>
      </c>
      <c r="KG18" s="69">
        <v>0</v>
      </c>
      <c r="KH18" s="69">
        <v>4105865</v>
      </c>
      <c r="KI18" s="69">
        <v>328063</v>
      </c>
      <c r="KJ18" s="69">
        <v>297236</v>
      </c>
      <c r="KK18" s="69">
        <v>9758384</v>
      </c>
      <c r="KL18" s="69">
        <v>2578065</v>
      </c>
      <c r="KM18" s="69">
        <v>228699</v>
      </c>
      <c r="KN18" s="69">
        <v>578174</v>
      </c>
      <c r="KO18" s="69">
        <v>3316462</v>
      </c>
      <c r="KP18" s="69">
        <v>2962261</v>
      </c>
      <c r="KQ18" s="69">
        <v>14526405</v>
      </c>
      <c r="KR18" s="69">
        <v>8708196</v>
      </c>
      <c r="KS18" s="69">
        <v>0</v>
      </c>
      <c r="KT18" s="69"/>
      <c r="KU18" s="69"/>
      <c r="KV18" s="69">
        <v>121219736</v>
      </c>
      <c r="KW18" s="69" t="s">
        <v>1146</v>
      </c>
    </row>
    <row r="19" spans="1:309" x14ac:dyDescent="0.25">
      <c r="A19" t="s">
        <v>364</v>
      </c>
      <c r="C19" t="s">
        <v>1088</v>
      </c>
      <c r="D19" t="s">
        <v>1094</v>
      </c>
      <c r="E19" s="2">
        <v>39800.569039351903</v>
      </c>
      <c r="G19" t="s">
        <v>365</v>
      </c>
      <c r="L19">
        <v>0</v>
      </c>
      <c r="M19">
        <v>0</v>
      </c>
      <c r="N19">
        <v>0</v>
      </c>
      <c r="O19">
        <v>68723114</v>
      </c>
      <c r="P19" s="69">
        <v>0</v>
      </c>
      <c r="Q19" s="69">
        <v>2104119</v>
      </c>
      <c r="R19">
        <v>0</v>
      </c>
      <c r="S19">
        <v>2104119</v>
      </c>
      <c r="T19">
        <v>7344438</v>
      </c>
      <c r="U19">
        <v>4682673</v>
      </c>
      <c r="V19">
        <v>4129747</v>
      </c>
      <c r="W19">
        <v>0</v>
      </c>
      <c r="X19">
        <v>0</v>
      </c>
      <c r="Y19">
        <v>0</v>
      </c>
      <c r="Z19">
        <v>16156858</v>
      </c>
      <c r="AA19">
        <v>5157014</v>
      </c>
      <c r="AB19">
        <v>1274697</v>
      </c>
      <c r="AC19">
        <v>850287</v>
      </c>
      <c r="AD19">
        <v>0</v>
      </c>
      <c r="AE19">
        <v>0</v>
      </c>
      <c r="AF19">
        <v>0</v>
      </c>
      <c r="AG19">
        <v>7281998</v>
      </c>
      <c r="AH19">
        <v>12501452</v>
      </c>
      <c r="AI19">
        <v>5957370</v>
      </c>
      <c r="AJ19">
        <v>4980034</v>
      </c>
      <c r="AK19">
        <v>0</v>
      </c>
      <c r="AL19">
        <v>0</v>
      </c>
      <c r="AM19">
        <v>0</v>
      </c>
      <c r="AN19">
        <v>23438856</v>
      </c>
      <c r="AO19">
        <v>219281</v>
      </c>
      <c r="AP19">
        <v>0</v>
      </c>
      <c r="AQ19">
        <v>30345</v>
      </c>
      <c r="AR19">
        <v>0</v>
      </c>
      <c r="AS19">
        <v>249626</v>
      </c>
      <c r="AT19">
        <v>48920</v>
      </c>
      <c r="AU19">
        <v>0</v>
      </c>
      <c r="AV19">
        <v>1800</v>
      </c>
      <c r="AW19">
        <v>0</v>
      </c>
      <c r="AX19">
        <v>50720</v>
      </c>
      <c r="AY19">
        <v>268201</v>
      </c>
      <c r="AZ19">
        <v>0</v>
      </c>
      <c r="BA19">
        <v>32145</v>
      </c>
      <c r="BB19">
        <v>0</v>
      </c>
      <c r="BC19">
        <v>300346</v>
      </c>
      <c r="BD19">
        <v>2914731</v>
      </c>
      <c r="BE19">
        <v>0</v>
      </c>
      <c r="BF19">
        <v>0</v>
      </c>
      <c r="BG19">
        <v>0</v>
      </c>
      <c r="BH19">
        <v>0</v>
      </c>
      <c r="BI19">
        <v>2914731</v>
      </c>
      <c r="BJ19">
        <v>0</v>
      </c>
      <c r="BK19">
        <v>0</v>
      </c>
      <c r="BL19">
        <v>425945</v>
      </c>
      <c r="BM19">
        <v>0</v>
      </c>
      <c r="BN19">
        <v>0</v>
      </c>
      <c r="BO19">
        <v>425945</v>
      </c>
      <c r="BP19">
        <v>7487714</v>
      </c>
      <c r="BQ19">
        <v>0</v>
      </c>
      <c r="BR19">
        <v>0</v>
      </c>
      <c r="BS19">
        <v>0</v>
      </c>
      <c r="BT19">
        <v>2654609</v>
      </c>
      <c r="BU19">
        <v>10142323</v>
      </c>
      <c r="BV19">
        <v>10402445</v>
      </c>
      <c r="BW19">
        <v>0</v>
      </c>
      <c r="BX19">
        <v>425945</v>
      </c>
      <c r="BY19">
        <v>0</v>
      </c>
      <c r="BZ19">
        <v>2654609</v>
      </c>
      <c r="CA19">
        <v>13482999</v>
      </c>
      <c r="CB19">
        <v>0</v>
      </c>
      <c r="CC19">
        <v>0</v>
      </c>
      <c r="CD19">
        <v>0</v>
      </c>
      <c r="CE19">
        <v>0</v>
      </c>
      <c r="CF19">
        <v>0</v>
      </c>
      <c r="CG19">
        <v>0</v>
      </c>
      <c r="CH19">
        <v>0</v>
      </c>
      <c r="CI19">
        <v>0</v>
      </c>
      <c r="CJ19">
        <v>0</v>
      </c>
      <c r="CK19">
        <v>0</v>
      </c>
      <c r="CL19">
        <v>0</v>
      </c>
      <c r="CM19">
        <v>0</v>
      </c>
      <c r="CN19">
        <v>0</v>
      </c>
      <c r="CO19">
        <v>0</v>
      </c>
      <c r="CP19">
        <v>0</v>
      </c>
      <c r="CQ19">
        <v>0</v>
      </c>
      <c r="CR19">
        <v>3563</v>
      </c>
      <c r="CS19">
        <v>3303042</v>
      </c>
      <c r="CT19">
        <v>0</v>
      </c>
      <c r="CU19">
        <v>704</v>
      </c>
      <c r="CV19">
        <v>84416</v>
      </c>
      <c r="CW19">
        <v>511000</v>
      </c>
      <c r="CX19">
        <v>356426</v>
      </c>
      <c r="CY19">
        <v>0</v>
      </c>
      <c r="CZ19">
        <v>35463</v>
      </c>
      <c r="DA19">
        <v>223218</v>
      </c>
      <c r="DB19">
        <v>31312</v>
      </c>
      <c r="DC19">
        <v>221911</v>
      </c>
      <c r="DD19">
        <v>1888</v>
      </c>
      <c r="DE19">
        <v>144464</v>
      </c>
      <c r="DF19">
        <v>705328</v>
      </c>
      <c r="DG19">
        <v>94016</v>
      </c>
      <c r="DH19">
        <v>367200</v>
      </c>
      <c r="DI19">
        <v>32160</v>
      </c>
      <c r="DJ19">
        <v>417059</v>
      </c>
      <c r="DK19">
        <v>19792</v>
      </c>
      <c r="DL19">
        <v>48</v>
      </c>
      <c r="DM19">
        <v>361440</v>
      </c>
      <c r="DN19">
        <v>84522</v>
      </c>
      <c r="DO19">
        <v>112426</v>
      </c>
      <c r="DP19">
        <v>24965</v>
      </c>
      <c r="DQ19">
        <v>122208</v>
      </c>
      <c r="DR19">
        <v>164072</v>
      </c>
      <c r="DS19">
        <v>570144</v>
      </c>
      <c r="DT19">
        <v>262430</v>
      </c>
      <c r="DU19">
        <v>0</v>
      </c>
      <c r="DX19" s="69">
        <v>4948612</v>
      </c>
      <c r="DY19" s="69">
        <v>1000</v>
      </c>
      <c r="DZ19" s="69">
        <v>406783</v>
      </c>
      <c r="EA19" s="69">
        <v>1856947</v>
      </c>
      <c r="EB19" s="69">
        <v>1851519</v>
      </c>
      <c r="EC19" s="69">
        <v>0</v>
      </c>
      <c r="ED19" s="69">
        <v>210824</v>
      </c>
      <c r="EE19" s="69">
        <v>983905</v>
      </c>
      <c r="EF19" s="69">
        <v>79349</v>
      </c>
      <c r="EG19" s="69">
        <v>999727</v>
      </c>
      <c r="EH19" s="69">
        <v>11804</v>
      </c>
      <c r="EI19" s="69">
        <v>618538</v>
      </c>
      <c r="EJ19" s="69">
        <v>4109796</v>
      </c>
      <c r="EK19" s="69">
        <v>411556</v>
      </c>
      <c r="EL19" s="69">
        <v>3119401</v>
      </c>
      <c r="EM19" s="69">
        <v>434132</v>
      </c>
      <c r="EN19" s="69">
        <v>1979548</v>
      </c>
      <c r="EO19" s="69">
        <v>332223</v>
      </c>
      <c r="EP19" s="69">
        <v>370</v>
      </c>
      <c r="EQ19" s="69">
        <v>2033177</v>
      </c>
      <c r="ER19" s="69">
        <v>450097</v>
      </c>
      <c r="ES19" s="69">
        <v>365839</v>
      </c>
      <c r="ET19" s="69">
        <v>190348</v>
      </c>
      <c r="EU19" s="69">
        <v>509001</v>
      </c>
      <c r="EV19" s="69">
        <v>663751</v>
      </c>
      <c r="EW19" s="69">
        <v>2298831</v>
      </c>
      <c r="EX19" s="69">
        <v>1946303</v>
      </c>
      <c r="EY19" s="69">
        <v>0</v>
      </c>
      <c r="EZ19" s="69"/>
      <c r="FA19" s="69"/>
      <c r="FB19" s="69">
        <v>25864769</v>
      </c>
      <c r="FC19" s="69">
        <v>240</v>
      </c>
      <c r="FD19" s="69">
        <v>2555</v>
      </c>
      <c r="FE19" s="69">
        <v>67869</v>
      </c>
      <c r="FF19" s="69">
        <v>100365</v>
      </c>
      <c r="FG19" s="69">
        <v>0</v>
      </c>
      <c r="FH19" s="69">
        <v>13748</v>
      </c>
      <c r="FI19" s="69">
        <v>17746</v>
      </c>
      <c r="FJ19" s="69">
        <v>19643</v>
      </c>
      <c r="FK19" s="69">
        <v>87876</v>
      </c>
      <c r="FL19" s="69">
        <v>338</v>
      </c>
      <c r="FM19" s="69">
        <v>20770</v>
      </c>
      <c r="FN19" s="69">
        <v>102071</v>
      </c>
      <c r="FO19" s="69">
        <v>42710</v>
      </c>
      <c r="FP19" s="69">
        <v>15676</v>
      </c>
      <c r="FQ19" s="69">
        <v>0</v>
      </c>
      <c r="FR19" s="69">
        <v>49844</v>
      </c>
      <c r="FS19" s="69">
        <v>0</v>
      </c>
      <c r="FT19" s="69">
        <v>0</v>
      </c>
      <c r="FU19" s="69">
        <v>55548</v>
      </c>
      <c r="FV19" s="69">
        <v>2524</v>
      </c>
      <c r="FW19" s="69">
        <v>211269</v>
      </c>
      <c r="FX19" s="69">
        <v>340</v>
      </c>
      <c r="FY19" s="69">
        <v>899</v>
      </c>
      <c r="FZ19" s="69">
        <v>320886</v>
      </c>
      <c r="GA19" s="69">
        <v>543</v>
      </c>
      <c r="GB19" s="69">
        <v>52460</v>
      </c>
      <c r="GC19" s="69">
        <v>0</v>
      </c>
      <c r="GD19" s="69"/>
      <c r="GE19" s="69"/>
      <c r="GF19" s="69">
        <v>1185920</v>
      </c>
      <c r="GG19" s="69">
        <v>151</v>
      </c>
      <c r="GH19" s="69">
        <v>49982</v>
      </c>
      <c r="GI19" s="69">
        <v>235031</v>
      </c>
      <c r="GJ19" s="69">
        <v>238336</v>
      </c>
      <c r="GK19" s="69">
        <v>0</v>
      </c>
      <c r="GL19" s="69">
        <v>27422</v>
      </c>
      <c r="GM19" s="69">
        <v>122307</v>
      </c>
      <c r="GN19" s="69">
        <v>12087</v>
      </c>
      <c r="GO19" s="69">
        <v>132802</v>
      </c>
      <c r="GP19" s="69">
        <v>1483</v>
      </c>
      <c r="GQ19" s="69">
        <v>78063</v>
      </c>
      <c r="GR19" s="69">
        <v>514293</v>
      </c>
      <c r="GS19" s="69">
        <v>55468</v>
      </c>
      <c r="GT19" s="69">
        <v>382811</v>
      </c>
      <c r="GU19" s="69">
        <v>53010</v>
      </c>
      <c r="GV19" s="69">
        <v>247800</v>
      </c>
      <c r="GW19" s="69">
        <v>40566</v>
      </c>
      <c r="GX19" s="69">
        <v>45</v>
      </c>
      <c r="GY19" s="69">
        <v>255045</v>
      </c>
      <c r="GZ19" s="69">
        <v>55268</v>
      </c>
      <c r="HA19" s="69">
        <v>70468</v>
      </c>
      <c r="HB19" s="69">
        <v>23284</v>
      </c>
      <c r="HC19" s="69">
        <v>62262</v>
      </c>
      <c r="HD19" s="69">
        <v>120230</v>
      </c>
      <c r="HE19" s="69">
        <v>280767</v>
      </c>
      <c r="HF19" s="69">
        <v>244060</v>
      </c>
      <c r="HG19" s="69">
        <v>0</v>
      </c>
      <c r="HH19" s="69"/>
      <c r="HI19" s="69"/>
      <c r="HJ19" s="69">
        <v>3303042</v>
      </c>
      <c r="HK19" s="69">
        <v>1667</v>
      </c>
      <c r="HL19" s="69">
        <v>96766</v>
      </c>
      <c r="HM19" s="69">
        <v>126301</v>
      </c>
      <c r="HN19" s="69">
        <v>151762</v>
      </c>
      <c r="HO19" s="69">
        <v>0</v>
      </c>
      <c r="HP19" s="69">
        <v>23337</v>
      </c>
      <c r="HQ19" s="69">
        <v>100519</v>
      </c>
      <c r="HR19" s="69">
        <v>3350</v>
      </c>
      <c r="HS19" s="69">
        <v>98559</v>
      </c>
      <c r="HT19" s="69">
        <v>103</v>
      </c>
      <c r="HU19" s="69">
        <v>195047</v>
      </c>
      <c r="HV19" s="69">
        <v>113793</v>
      </c>
      <c r="HW19" s="69">
        <v>23836</v>
      </c>
      <c r="HX19" s="69">
        <v>96364</v>
      </c>
      <c r="HY19" s="69">
        <v>46604</v>
      </c>
      <c r="HZ19" s="69">
        <v>183229</v>
      </c>
      <c r="IA19" s="69">
        <v>11033</v>
      </c>
      <c r="IB19" s="69">
        <v>0</v>
      </c>
      <c r="IC19" s="69">
        <v>33183</v>
      </c>
      <c r="ID19" s="69">
        <v>48948</v>
      </c>
      <c r="IE19" s="69">
        <v>67621</v>
      </c>
      <c r="IF19" s="69">
        <v>13083</v>
      </c>
      <c r="IG19" s="69">
        <v>44526</v>
      </c>
      <c r="IH19" s="69">
        <v>46212</v>
      </c>
      <c r="II19" s="69">
        <v>21644</v>
      </c>
      <c r="IJ19" s="69">
        <v>150185</v>
      </c>
      <c r="IK19" s="69">
        <v>0</v>
      </c>
      <c r="IL19" s="69"/>
      <c r="IM19" s="69"/>
      <c r="IN19" s="69">
        <v>1697672</v>
      </c>
      <c r="IO19" s="69">
        <v>2058</v>
      </c>
      <c r="IP19" s="69">
        <v>149303</v>
      </c>
      <c r="IQ19" s="69">
        <v>429201</v>
      </c>
      <c r="IR19" s="69">
        <v>490463</v>
      </c>
      <c r="IS19" s="69">
        <v>0</v>
      </c>
      <c r="IT19" s="69">
        <v>64507</v>
      </c>
      <c r="IU19" s="69">
        <v>240572</v>
      </c>
      <c r="IV19" s="69">
        <v>35080</v>
      </c>
      <c r="IW19" s="69">
        <v>319237</v>
      </c>
      <c r="IX19" s="69">
        <v>1924</v>
      </c>
      <c r="IY19" s="69">
        <v>293880</v>
      </c>
      <c r="IZ19" s="69">
        <v>730157</v>
      </c>
      <c r="JA19" s="69">
        <v>122014</v>
      </c>
      <c r="JB19" s="69">
        <v>494851</v>
      </c>
      <c r="JC19" s="69">
        <v>99614</v>
      </c>
      <c r="JD19" s="69">
        <v>480873</v>
      </c>
      <c r="JE19" s="69">
        <v>51599</v>
      </c>
      <c r="JF19" s="69">
        <v>45</v>
      </c>
      <c r="JG19" s="69">
        <v>343776</v>
      </c>
      <c r="JH19" s="69">
        <v>106740</v>
      </c>
      <c r="JI19" s="69">
        <v>349358</v>
      </c>
      <c r="JJ19" s="69">
        <v>36707</v>
      </c>
      <c r="JK19" s="69">
        <v>107687</v>
      </c>
      <c r="JL19" s="69">
        <v>487328</v>
      </c>
      <c r="JM19" s="69">
        <v>302954</v>
      </c>
      <c r="JN19" s="69">
        <v>446705</v>
      </c>
      <c r="JO19" s="69">
        <v>0</v>
      </c>
      <c r="JP19" s="69"/>
      <c r="JQ19" s="69"/>
      <c r="JR19" s="69">
        <v>6186634</v>
      </c>
      <c r="JS19" s="69">
        <v>3058</v>
      </c>
      <c r="JT19" s="69">
        <v>556086</v>
      </c>
      <c r="JU19" s="69">
        <v>2286148</v>
      </c>
      <c r="JV19" s="69">
        <v>2341982</v>
      </c>
      <c r="JW19" s="69">
        <v>0</v>
      </c>
      <c r="JX19" s="69">
        <v>275331</v>
      </c>
      <c r="JY19" s="69">
        <v>1224477</v>
      </c>
      <c r="JZ19" s="69">
        <v>114429</v>
      </c>
      <c r="KA19" s="69">
        <v>1318964</v>
      </c>
      <c r="KB19" s="69">
        <v>13728</v>
      </c>
      <c r="KC19" s="69">
        <v>912418</v>
      </c>
      <c r="KD19" s="69">
        <v>4839953</v>
      </c>
      <c r="KE19" s="69">
        <v>533570</v>
      </c>
      <c r="KF19" s="69">
        <v>3614252</v>
      </c>
      <c r="KG19" s="69">
        <v>533746</v>
      </c>
      <c r="KH19" s="69">
        <v>2460421</v>
      </c>
      <c r="KI19" s="69">
        <v>383822</v>
      </c>
      <c r="KJ19" s="69">
        <v>415</v>
      </c>
      <c r="KK19" s="69">
        <v>2376953</v>
      </c>
      <c r="KL19" s="69">
        <v>556837</v>
      </c>
      <c r="KM19" s="69">
        <v>715197</v>
      </c>
      <c r="KN19" s="69">
        <v>227055</v>
      </c>
      <c r="KO19" s="69">
        <v>616688</v>
      </c>
      <c r="KP19" s="69">
        <v>1151079</v>
      </c>
      <c r="KQ19" s="69">
        <v>2601785</v>
      </c>
      <c r="KR19" s="69">
        <v>2393008</v>
      </c>
      <c r="KS19" s="69">
        <v>0</v>
      </c>
      <c r="KT19" s="69"/>
      <c r="KU19" s="69"/>
      <c r="KV19" s="69">
        <v>32051403</v>
      </c>
      <c r="KW19" s="69"/>
    </row>
    <row r="20" spans="1:309" x14ac:dyDescent="0.25">
      <c r="A20" t="s">
        <v>440</v>
      </c>
      <c r="C20" t="s">
        <v>1088</v>
      </c>
      <c r="D20" t="s">
        <v>1130</v>
      </c>
      <c r="E20" s="2">
        <v>39805.562106481499</v>
      </c>
      <c r="G20" t="s">
        <v>441</v>
      </c>
      <c r="L20">
        <v>0</v>
      </c>
      <c r="M20">
        <v>0</v>
      </c>
      <c r="N20">
        <v>0</v>
      </c>
      <c r="O20">
        <v>94178920</v>
      </c>
      <c r="P20" s="69">
        <v>0</v>
      </c>
      <c r="Q20" s="69">
        <v>1565621</v>
      </c>
      <c r="R20">
        <v>0</v>
      </c>
      <c r="S20">
        <v>1565621</v>
      </c>
      <c r="T20">
        <v>11493639</v>
      </c>
      <c r="U20">
        <v>6958219</v>
      </c>
      <c r="V20">
        <v>11070436</v>
      </c>
      <c r="W20">
        <v>12275</v>
      </c>
      <c r="X20">
        <v>0</v>
      </c>
      <c r="Y20">
        <v>0</v>
      </c>
      <c r="Z20">
        <v>29534569</v>
      </c>
      <c r="AA20">
        <v>6101690</v>
      </c>
      <c r="AB20">
        <v>824721</v>
      </c>
      <c r="AC20">
        <v>1834245</v>
      </c>
      <c r="AD20">
        <v>2259</v>
      </c>
      <c r="AE20">
        <v>1532656</v>
      </c>
      <c r="AF20">
        <v>1543384</v>
      </c>
      <c r="AG20">
        <v>11838955</v>
      </c>
      <c r="AH20">
        <v>17595329</v>
      </c>
      <c r="AI20">
        <v>7782940</v>
      </c>
      <c r="AJ20">
        <v>12904681</v>
      </c>
      <c r="AK20">
        <v>14534</v>
      </c>
      <c r="AL20">
        <v>1532656</v>
      </c>
      <c r="AM20">
        <v>1543384</v>
      </c>
      <c r="AN20">
        <v>41373524</v>
      </c>
      <c r="AO20">
        <v>2800833</v>
      </c>
      <c r="AP20">
        <v>0</v>
      </c>
      <c r="AQ20">
        <v>0</v>
      </c>
      <c r="AR20">
        <v>0</v>
      </c>
      <c r="AS20">
        <v>2800833</v>
      </c>
      <c r="AT20">
        <v>2400538</v>
      </c>
      <c r="AU20">
        <v>0</v>
      </c>
      <c r="AV20">
        <v>0</v>
      </c>
      <c r="AW20">
        <v>0</v>
      </c>
      <c r="AX20">
        <v>2580759</v>
      </c>
      <c r="AY20">
        <v>5381592</v>
      </c>
      <c r="AZ20">
        <v>0</v>
      </c>
      <c r="BA20">
        <v>0</v>
      </c>
      <c r="BB20">
        <v>0</v>
      </c>
      <c r="BC20">
        <v>5381592</v>
      </c>
      <c r="BD20">
        <v>2343935</v>
      </c>
      <c r="BE20">
        <v>0</v>
      </c>
      <c r="BF20">
        <v>0</v>
      </c>
      <c r="BG20">
        <v>0</v>
      </c>
      <c r="BH20">
        <v>0</v>
      </c>
      <c r="BI20">
        <v>2343935</v>
      </c>
      <c r="BJ20">
        <v>0</v>
      </c>
      <c r="BK20">
        <v>0</v>
      </c>
      <c r="BL20">
        <v>425195</v>
      </c>
      <c r="BM20">
        <v>0</v>
      </c>
      <c r="BN20">
        <v>0</v>
      </c>
      <c r="BO20">
        <v>425195</v>
      </c>
      <c r="BP20">
        <v>6184584</v>
      </c>
      <c r="BQ20">
        <v>0</v>
      </c>
      <c r="BR20">
        <v>0</v>
      </c>
      <c r="BS20">
        <v>0</v>
      </c>
      <c r="BT20">
        <v>1543384</v>
      </c>
      <c r="BU20">
        <v>7727968</v>
      </c>
      <c r="BV20">
        <v>8528519</v>
      </c>
      <c r="BW20">
        <v>0</v>
      </c>
      <c r="BX20">
        <v>425195</v>
      </c>
      <c r="BY20">
        <v>0</v>
      </c>
      <c r="BZ20">
        <v>1543384</v>
      </c>
      <c r="CA20">
        <v>10497098</v>
      </c>
      <c r="CB20">
        <v>0</v>
      </c>
      <c r="CC20">
        <v>0</v>
      </c>
      <c r="CD20">
        <v>0</v>
      </c>
      <c r="CE20">
        <v>0</v>
      </c>
      <c r="CF20">
        <v>0</v>
      </c>
      <c r="CG20">
        <v>0</v>
      </c>
      <c r="CH20">
        <v>0</v>
      </c>
      <c r="CI20">
        <v>0</v>
      </c>
      <c r="CJ20">
        <v>0</v>
      </c>
      <c r="CK20">
        <v>0</v>
      </c>
      <c r="CL20">
        <v>0</v>
      </c>
      <c r="CM20">
        <v>0</v>
      </c>
      <c r="CN20">
        <v>0</v>
      </c>
      <c r="CO20">
        <v>0</v>
      </c>
      <c r="CP20">
        <v>0</v>
      </c>
      <c r="CQ20">
        <v>0</v>
      </c>
      <c r="CR20">
        <v>10387</v>
      </c>
      <c r="CS20">
        <v>1859752</v>
      </c>
      <c r="CT20">
        <v>0</v>
      </c>
      <c r="CU20">
        <v>3168</v>
      </c>
      <c r="CV20">
        <v>62304</v>
      </c>
      <c r="CW20">
        <v>1222368</v>
      </c>
      <c r="CX20">
        <v>430419</v>
      </c>
      <c r="CY20">
        <v>0</v>
      </c>
      <c r="CZ20">
        <v>159270</v>
      </c>
      <c r="DA20">
        <v>282728</v>
      </c>
      <c r="DB20">
        <v>42390</v>
      </c>
      <c r="DC20">
        <v>364733</v>
      </c>
      <c r="DD20">
        <v>24160</v>
      </c>
      <c r="DE20">
        <v>170036</v>
      </c>
      <c r="DF20">
        <v>2139634</v>
      </c>
      <c r="DG20">
        <v>155712</v>
      </c>
      <c r="DH20">
        <v>241042</v>
      </c>
      <c r="DI20">
        <v>28168</v>
      </c>
      <c r="DJ20">
        <v>314313</v>
      </c>
      <c r="DK20">
        <v>27056</v>
      </c>
      <c r="DL20">
        <v>50768</v>
      </c>
      <c r="DM20">
        <v>1211488</v>
      </c>
      <c r="DN20">
        <v>96226</v>
      </c>
      <c r="DO20">
        <v>31548</v>
      </c>
      <c r="DP20">
        <v>8998</v>
      </c>
      <c r="DQ20">
        <v>27792</v>
      </c>
      <c r="DR20">
        <v>297910</v>
      </c>
      <c r="DS20">
        <v>1884528</v>
      </c>
      <c r="DT20">
        <v>351184</v>
      </c>
      <c r="DU20">
        <v>0</v>
      </c>
      <c r="DX20" s="69">
        <v>9627943</v>
      </c>
      <c r="DY20" s="69">
        <v>6704</v>
      </c>
      <c r="DZ20" s="69">
        <v>595893</v>
      </c>
      <c r="EA20" s="69">
        <v>2882610</v>
      </c>
      <c r="EB20" s="69">
        <v>1029849</v>
      </c>
      <c r="EC20" s="69">
        <v>0</v>
      </c>
      <c r="ED20" s="69">
        <v>364695</v>
      </c>
      <c r="EE20" s="69">
        <v>1381254</v>
      </c>
      <c r="EF20" s="69">
        <v>31699</v>
      </c>
      <c r="EG20" s="69">
        <v>375090</v>
      </c>
      <c r="EH20" s="69">
        <v>71759</v>
      </c>
      <c r="EI20" s="69">
        <v>113169</v>
      </c>
      <c r="EJ20" s="69">
        <v>9807037</v>
      </c>
      <c r="EK20" s="69">
        <v>288440</v>
      </c>
      <c r="EL20" s="69">
        <v>2069513</v>
      </c>
      <c r="EM20" s="69">
        <v>270647</v>
      </c>
      <c r="EN20" s="69">
        <v>2194086</v>
      </c>
      <c r="EO20" s="69">
        <v>289101</v>
      </c>
      <c r="EP20" s="69">
        <v>85937</v>
      </c>
      <c r="EQ20" s="69">
        <v>2799903</v>
      </c>
      <c r="ER20" s="69">
        <v>357465</v>
      </c>
      <c r="ES20" s="69">
        <v>78518</v>
      </c>
      <c r="ET20" s="69"/>
      <c r="EU20" s="69">
        <v>354026</v>
      </c>
      <c r="EV20" s="69">
        <v>1112441</v>
      </c>
      <c r="EW20" s="69">
        <v>3842905</v>
      </c>
      <c r="EX20" s="69">
        <v>996236</v>
      </c>
      <c r="EY20" s="69">
        <v>0</v>
      </c>
      <c r="EZ20" s="69"/>
      <c r="FA20" s="69"/>
      <c r="FB20" s="69">
        <v>31587212</v>
      </c>
      <c r="FC20" s="69">
        <v>3967</v>
      </c>
      <c r="FD20" s="69">
        <v>140849</v>
      </c>
      <c r="FE20" s="69">
        <v>329608</v>
      </c>
      <c r="FF20" s="69">
        <v>571257</v>
      </c>
      <c r="FG20" s="69">
        <v>0</v>
      </c>
      <c r="FH20" s="69">
        <v>60551</v>
      </c>
      <c r="FI20" s="69">
        <v>205710</v>
      </c>
      <c r="FJ20" s="69">
        <v>8983</v>
      </c>
      <c r="FK20" s="69">
        <v>66983</v>
      </c>
      <c r="FL20" s="69">
        <v>1425</v>
      </c>
      <c r="FM20" s="69">
        <v>41693</v>
      </c>
      <c r="FN20" s="69">
        <v>778413</v>
      </c>
      <c r="FO20" s="69">
        <v>30706</v>
      </c>
      <c r="FP20" s="69">
        <v>88901</v>
      </c>
      <c r="FQ20" s="69">
        <v>5830</v>
      </c>
      <c r="FR20" s="69">
        <v>130557</v>
      </c>
      <c r="FS20" s="69">
        <v>6003</v>
      </c>
      <c r="FT20" s="69">
        <v>31277</v>
      </c>
      <c r="FU20" s="69">
        <v>172408</v>
      </c>
      <c r="FV20" s="69">
        <v>89168</v>
      </c>
      <c r="FW20" s="69">
        <v>22808</v>
      </c>
      <c r="FX20" s="69">
        <v>38244</v>
      </c>
      <c r="FY20" s="69">
        <v>139226</v>
      </c>
      <c r="FZ20" s="69">
        <v>55385</v>
      </c>
      <c r="GA20" s="69">
        <v>49937</v>
      </c>
      <c r="GB20" s="69">
        <v>62210</v>
      </c>
      <c r="GC20" s="69">
        <v>8190</v>
      </c>
      <c r="GD20" s="69"/>
      <c r="GE20" s="69"/>
      <c r="GF20" s="69">
        <v>3140289</v>
      </c>
      <c r="GG20" s="69">
        <v>571</v>
      </c>
      <c r="GH20" s="69">
        <v>39455</v>
      </c>
      <c r="GI20" s="69">
        <v>172023</v>
      </c>
      <c r="GJ20" s="69">
        <v>85744</v>
      </c>
      <c r="GK20" s="69">
        <v>0</v>
      </c>
      <c r="GL20" s="69">
        <v>22773</v>
      </c>
      <c r="GM20" s="69">
        <v>84986</v>
      </c>
      <c r="GN20" s="69">
        <v>2179</v>
      </c>
      <c r="GO20" s="69">
        <v>23674</v>
      </c>
      <c r="GP20" s="69">
        <v>3919</v>
      </c>
      <c r="GQ20" s="69">
        <v>8293</v>
      </c>
      <c r="GR20" s="69">
        <v>566880</v>
      </c>
      <c r="GS20" s="69">
        <v>17091</v>
      </c>
      <c r="GT20" s="69">
        <v>115589</v>
      </c>
      <c r="GU20" s="69">
        <v>14806</v>
      </c>
      <c r="GV20" s="69">
        <v>124491</v>
      </c>
      <c r="GW20" s="69">
        <v>15804</v>
      </c>
      <c r="GX20" s="69">
        <v>6277</v>
      </c>
      <c r="GY20" s="69">
        <v>159175</v>
      </c>
      <c r="GZ20" s="69">
        <v>23918</v>
      </c>
      <c r="HA20" s="69">
        <v>5426</v>
      </c>
      <c r="HB20" s="69">
        <v>12129</v>
      </c>
      <c r="HC20" s="69">
        <v>26415</v>
      </c>
      <c r="HD20" s="69">
        <v>62540</v>
      </c>
      <c r="HE20" s="69">
        <v>208472</v>
      </c>
      <c r="HF20" s="69">
        <v>56683</v>
      </c>
      <c r="HG20" s="69">
        <v>439</v>
      </c>
      <c r="HH20" s="69"/>
      <c r="HI20" s="69"/>
      <c r="HJ20" s="69">
        <v>1859752</v>
      </c>
      <c r="HK20" s="69">
        <v>1958</v>
      </c>
      <c r="HL20" s="69">
        <v>94154</v>
      </c>
      <c r="HM20" s="69">
        <v>136590</v>
      </c>
      <c r="HN20" s="69">
        <v>136833</v>
      </c>
      <c r="HO20" s="69">
        <v>0</v>
      </c>
      <c r="HP20" s="69">
        <v>117803</v>
      </c>
      <c r="HQ20" s="69">
        <v>105477</v>
      </c>
      <c r="HR20" s="69">
        <v>3419</v>
      </c>
      <c r="HS20" s="69">
        <v>67873</v>
      </c>
      <c r="HT20" s="69">
        <v>509</v>
      </c>
      <c r="HU20" s="69">
        <v>10624</v>
      </c>
      <c r="HV20" s="69">
        <v>201360</v>
      </c>
      <c r="HW20" s="69">
        <v>2460</v>
      </c>
      <c r="HX20" s="69">
        <v>125000</v>
      </c>
      <c r="HY20" s="69">
        <v>10831</v>
      </c>
      <c r="HZ20" s="69">
        <v>184360</v>
      </c>
      <c r="IA20" s="69">
        <v>3308</v>
      </c>
      <c r="IB20" s="69">
        <v>5274</v>
      </c>
      <c r="IC20" s="69">
        <v>39110</v>
      </c>
      <c r="ID20" s="69">
        <v>33394</v>
      </c>
      <c r="IE20" s="69">
        <v>239607</v>
      </c>
      <c r="IF20" s="69">
        <v>4488</v>
      </c>
      <c r="IG20" s="69">
        <v>6551</v>
      </c>
      <c r="IH20" s="69">
        <v>139680</v>
      </c>
      <c r="II20" s="69">
        <v>97942</v>
      </c>
      <c r="IJ20" s="69">
        <v>42311</v>
      </c>
      <c r="IK20" s="69">
        <v>49684</v>
      </c>
      <c r="IL20" s="69"/>
      <c r="IM20" s="69"/>
      <c r="IN20" s="69">
        <v>1860600</v>
      </c>
      <c r="IO20" s="69">
        <v>6496</v>
      </c>
      <c r="IP20" s="69">
        <v>274458</v>
      </c>
      <c r="IQ20" s="69">
        <v>638221</v>
      </c>
      <c r="IR20" s="69">
        <v>793834</v>
      </c>
      <c r="IS20" s="69">
        <v>0</v>
      </c>
      <c r="IT20" s="69">
        <v>201127</v>
      </c>
      <c r="IU20" s="69">
        <v>396173</v>
      </c>
      <c r="IV20" s="69">
        <v>14581</v>
      </c>
      <c r="IW20" s="69">
        <v>158530</v>
      </c>
      <c r="IX20" s="69">
        <v>5853</v>
      </c>
      <c r="IY20" s="69">
        <v>60610</v>
      </c>
      <c r="IZ20" s="69">
        <v>1546653</v>
      </c>
      <c r="JA20" s="69">
        <v>50257</v>
      </c>
      <c r="JB20" s="69">
        <v>329490</v>
      </c>
      <c r="JC20" s="69">
        <v>31467</v>
      </c>
      <c r="JD20" s="69">
        <v>439408</v>
      </c>
      <c r="JE20" s="69">
        <v>25115</v>
      </c>
      <c r="JF20" s="69">
        <v>42828</v>
      </c>
      <c r="JG20" s="69">
        <v>370693</v>
      </c>
      <c r="JH20" s="69">
        <v>146480</v>
      </c>
      <c r="JI20" s="69">
        <v>267841</v>
      </c>
      <c r="JJ20" s="69"/>
      <c r="JK20" s="69">
        <v>172192</v>
      </c>
      <c r="JL20" s="69">
        <v>257605</v>
      </c>
      <c r="JM20" s="69">
        <v>356351</v>
      </c>
      <c r="JN20" s="69">
        <v>161204</v>
      </c>
      <c r="JO20" s="69">
        <v>58313</v>
      </c>
      <c r="JP20" s="69"/>
      <c r="JQ20" s="69"/>
      <c r="JR20" s="69">
        <v>6860641</v>
      </c>
      <c r="JS20" s="69">
        <v>13200</v>
      </c>
      <c r="JT20" s="69">
        <v>870351</v>
      </c>
      <c r="JU20" s="69">
        <v>3520831</v>
      </c>
      <c r="JV20" s="69">
        <v>1823683</v>
      </c>
      <c r="JW20" s="69">
        <v>0</v>
      </c>
      <c r="JX20" s="69">
        <v>565822</v>
      </c>
      <c r="JY20" s="69">
        <v>1777427</v>
      </c>
      <c r="JZ20" s="69">
        <v>46280</v>
      </c>
      <c r="KA20" s="69">
        <v>533620</v>
      </c>
      <c r="KB20" s="69">
        <v>77612</v>
      </c>
      <c r="KC20" s="69">
        <v>173779</v>
      </c>
      <c r="KD20" s="69">
        <v>11353690</v>
      </c>
      <c r="KE20" s="69">
        <v>338697</v>
      </c>
      <c r="KF20" s="69">
        <v>2399003</v>
      </c>
      <c r="KG20" s="69">
        <v>302114</v>
      </c>
      <c r="KH20" s="69">
        <v>2633494</v>
      </c>
      <c r="KI20" s="69">
        <v>314216</v>
      </c>
      <c r="KJ20" s="69">
        <v>128765</v>
      </c>
      <c r="KK20" s="69">
        <v>3170596</v>
      </c>
      <c r="KL20" s="69">
        <v>503945</v>
      </c>
      <c r="KM20" s="69">
        <v>346359</v>
      </c>
      <c r="KN20" s="69">
        <v>243096</v>
      </c>
      <c r="KO20" s="69">
        <v>526218</v>
      </c>
      <c r="KP20" s="69">
        <v>1370046</v>
      </c>
      <c r="KQ20" s="69">
        <v>4199256</v>
      </c>
      <c r="KR20" s="69">
        <v>1157440</v>
      </c>
      <c r="KS20" s="69">
        <v>58313</v>
      </c>
      <c r="KT20" s="69"/>
      <c r="KU20" s="69"/>
      <c r="KV20" s="69">
        <v>38447853</v>
      </c>
      <c r="KW20" s="69"/>
    </row>
    <row r="21" spans="1:309" x14ac:dyDescent="0.25">
      <c r="A21" t="s">
        <v>366</v>
      </c>
      <c r="C21" t="s">
        <v>1088</v>
      </c>
      <c r="D21" t="s">
        <v>1095</v>
      </c>
      <c r="E21" s="2">
        <v>39794.602835648097</v>
      </c>
      <c r="G21" t="s">
        <v>367</v>
      </c>
      <c r="L21">
        <v>0</v>
      </c>
      <c r="M21">
        <v>0</v>
      </c>
      <c r="N21">
        <v>0</v>
      </c>
      <c r="O21">
        <v>6664299</v>
      </c>
      <c r="P21" s="69">
        <v>0</v>
      </c>
      <c r="Q21" s="69">
        <v>119331</v>
      </c>
      <c r="R21">
        <v>0</v>
      </c>
      <c r="S21">
        <v>119331</v>
      </c>
      <c r="T21">
        <v>833275</v>
      </c>
      <c r="U21">
        <v>412701</v>
      </c>
      <c r="V21">
        <v>38098</v>
      </c>
      <c r="W21">
        <v>0</v>
      </c>
      <c r="X21">
        <v>0</v>
      </c>
      <c r="Y21">
        <v>0</v>
      </c>
      <c r="Z21">
        <v>1284074</v>
      </c>
      <c r="AA21">
        <v>802581</v>
      </c>
      <c r="AB21">
        <v>95086</v>
      </c>
      <c r="AC21">
        <v>102601</v>
      </c>
      <c r="AD21">
        <v>0</v>
      </c>
      <c r="AE21">
        <v>100617</v>
      </c>
      <c r="AF21">
        <v>0</v>
      </c>
      <c r="AG21">
        <v>1100885</v>
      </c>
      <c r="AH21">
        <v>1635856</v>
      </c>
      <c r="AI21">
        <v>507787</v>
      </c>
      <c r="AJ21">
        <v>140699</v>
      </c>
      <c r="AK21">
        <v>0</v>
      </c>
      <c r="AL21">
        <v>100617</v>
      </c>
      <c r="AM21">
        <v>0</v>
      </c>
      <c r="AN21">
        <v>2384959</v>
      </c>
      <c r="AO21">
        <v>0</v>
      </c>
      <c r="AP21">
        <v>0</v>
      </c>
      <c r="AQ21">
        <v>0</v>
      </c>
      <c r="AR21">
        <v>0</v>
      </c>
      <c r="AS21">
        <v>0</v>
      </c>
      <c r="AT21">
        <v>0</v>
      </c>
      <c r="AU21">
        <v>0</v>
      </c>
      <c r="AV21">
        <v>0</v>
      </c>
      <c r="AW21">
        <v>0</v>
      </c>
      <c r="AX21">
        <v>0</v>
      </c>
      <c r="AY21">
        <v>0</v>
      </c>
      <c r="AZ21">
        <v>0</v>
      </c>
      <c r="BA21">
        <v>0</v>
      </c>
      <c r="BB21">
        <v>0</v>
      </c>
      <c r="BC21">
        <v>0</v>
      </c>
      <c r="BD21">
        <v>262028</v>
      </c>
      <c r="BE21">
        <v>0</v>
      </c>
      <c r="BF21">
        <v>0</v>
      </c>
      <c r="BG21">
        <v>0</v>
      </c>
      <c r="BH21">
        <v>0</v>
      </c>
      <c r="BI21">
        <v>262028</v>
      </c>
      <c r="BJ21">
        <v>0</v>
      </c>
      <c r="BK21">
        <v>0</v>
      </c>
      <c r="BL21">
        <v>18281</v>
      </c>
      <c r="BM21">
        <v>0</v>
      </c>
      <c r="BN21">
        <v>0</v>
      </c>
      <c r="BO21">
        <v>18281</v>
      </c>
      <c r="BP21">
        <v>445321</v>
      </c>
      <c r="BQ21">
        <v>0</v>
      </c>
      <c r="BR21">
        <v>0</v>
      </c>
      <c r="BS21">
        <v>0</v>
      </c>
      <c r="BT21">
        <v>360443</v>
      </c>
      <c r="BU21">
        <v>805764</v>
      </c>
      <c r="BV21">
        <v>707349</v>
      </c>
      <c r="BW21">
        <v>0</v>
      </c>
      <c r="BX21">
        <v>18281</v>
      </c>
      <c r="BY21">
        <v>0</v>
      </c>
      <c r="BZ21">
        <v>360443</v>
      </c>
      <c r="CA21">
        <v>1086073</v>
      </c>
      <c r="CB21">
        <v>0</v>
      </c>
      <c r="CC21">
        <v>0</v>
      </c>
      <c r="CD21">
        <v>0</v>
      </c>
      <c r="CE21">
        <v>0</v>
      </c>
      <c r="CF21">
        <v>0</v>
      </c>
      <c r="CG21">
        <v>0</v>
      </c>
      <c r="CH21">
        <v>0</v>
      </c>
      <c r="CI21">
        <v>0</v>
      </c>
      <c r="CJ21">
        <v>0</v>
      </c>
      <c r="CK21">
        <v>0</v>
      </c>
      <c r="CL21">
        <v>0</v>
      </c>
      <c r="CM21">
        <v>0</v>
      </c>
      <c r="CN21">
        <v>0</v>
      </c>
      <c r="CO21">
        <v>0</v>
      </c>
      <c r="CP21">
        <v>0</v>
      </c>
      <c r="CQ21">
        <v>0</v>
      </c>
      <c r="CR21">
        <v>3568</v>
      </c>
      <c r="CS21">
        <v>171309</v>
      </c>
      <c r="CT21">
        <v>0</v>
      </c>
      <c r="CU21">
        <v>11064</v>
      </c>
      <c r="CV21">
        <v>65574</v>
      </c>
      <c r="CW21">
        <v>54800</v>
      </c>
      <c r="CX21">
        <v>34174</v>
      </c>
      <c r="CY21">
        <v>0</v>
      </c>
      <c r="CZ21">
        <v>48</v>
      </c>
      <c r="DA21">
        <v>54098</v>
      </c>
      <c r="DB21">
        <v>4732</v>
      </c>
      <c r="DC21">
        <v>39188</v>
      </c>
      <c r="DD21">
        <v>70</v>
      </c>
      <c r="DE21">
        <v>55267</v>
      </c>
      <c r="DF21">
        <v>68448</v>
      </c>
      <c r="DG21">
        <v>4512</v>
      </c>
      <c r="DH21">
        <v>1205</v>
      </c>
      <c r="DI21">
        <v>0</v>
      </c>
      <c r="DJ21">
        <v>28172</v>
      </c>
      <c r="DK21">
        <v>0</v>
      </c>
      <c r="DL21">
        <v>38152</v>
      </c>
      <c r="DM21">
        <v>67068</v>
      </c>
      <c r="DN21">
        <v>0</v>
      </c>
      <c r="DO21">
        <v>2500</v>
      </c>
      <c r="DP21">
        <v>1575</v>
      </c>
      <c r="DQ21">
        <v>45248</v>
      </c>
      <c r="DR21">
        <v>3640</v>
      </c>
      <c r="DS21">
        <v>97344</v>
      </c>
      <c r="DT21">
        <v>19136</v>
      </c>
      <c r="DU21">
        <v>0</v>
      </c>
      <c r="DX21" s="69">
        <v>696015</v>
      </c>
      <c r="DY21" s="69">
        <v>45645</v>
      </c>
      <c r="DZ21" s="69">
        <v>205403</v>
      </c>
      <c r="EA21" s="69">
        <v>182580</v>
      </c>
      <c r="EB21" s="69">
        <v>114113</v>
      </c>
      <c r="EC21" s="69">
        <v>0</v>
      </c>
      <c r="ED21" s="69"/>
      <c r="EE21" s="69">
        <v>180658</v>
      </c>
      <c r="EF21" s="69">
        <v>2285</v>
      </c>
      <c r="EG21" s="69">
        <v>136935</v>
      </c>
      <c r="EH21" s="69">
        <v>1000</v>
      </c>
      <c r="EI21" s="69">
        <v>180000</v>
      </c>
      <c r="EJ21" s="69">
        <v>228225</v>
      </c>
      <c r="EK21" s="69">
        <v>1000</v>
      </c>
      <c r="EL21" s="69">
        <v>500</v>
      </c>
      <c r="EM21" s="69">
        <v>0</v>
      </c>
      <c r="EN21" s="69">
        <v>91290</v>
      </c>
      <c r="EO21" s="69">
        <v>0</v>
      </c>
      <c r="EP21" s="69">
        <v>114112</v>
      </c>
      <c r="EQ21" s="69">
        <v>228000</v>
      </c>
      <c r="ER21" s="69">
        <v>0</v>
      </c>
      <c r="ES21" s="69">
        <v>1000</v>
      </c>
      <c r="ET21" s="69">
        <v>75</v>
      </c>
      <c r="EU21" s="69">
        <v>159757</v>
      </c>
      <c r="EV21" s="69">
        <v>1500</v>
      </c>
      <c r="EW21" s="69">
        <v>319515</v>
      </c>
      <c r="EX21" s="69">
        <v>87516</v>
      </c>
      <c r="EY21" s="69">
        <v>0</v>
      </c>
      <c r="EZ21" s="69"/>
      <c r="FA21" s="69"/>
      <c r="FB21" s="69">
        <v>2282250</v>
      </c>
      <c r="FC21" s="69">
        <v>0</v>
      </c>
      <c r="FD21" s="69">
        <v>0</v>
      </c>
      <c r="FE21" s="69">
        <v>0</v>
      </c>
      <c r="FF21" s="69">
        <v>0</v>
      </c>
      <c r="FG21" s="69">
        <v>0</v>
      </c>
      <c r="FH21" s="69">
        <v>0</v>
      </c>
      <c r="FI21" s="69">
        <v>0</v>
      </c>
      <c r="FJ21" s="69">
        <v>0</v>
      </c>
      <c r="FK21" s="69">
        <v>0</v>
      </c>
      <c r="FL21" s="69">
        <v>0</v>
      </c>
      <c r="FM21" s="69">
        <v>0</v>
      </c>
      <c r="FN21" s="69">
        <v>0</v>
      </c>
      <c r="FO21" s="69">
        <v>0</v>
      </c>
      <c r="FP21" s="69">
        <v>0</v>
      </c>
      <c r="FQ21" s="69">
        <v>0</v>
      </c>
      <c r="FR21" s="69">
        <v>0</v>
      </c>
      <c r="FS21" s="69">
        <v>0</v>
      </c>
      <c r="FT21" s="69">
        <v>0</v>
      </c>
      <c r="FU21" s="69">
        <v>0</v>
      </c>
      <c r="FV21" s="69">
        <v>0</v>
      </c>
      <c r="FW21" s="69">
        <v>0</v>
      </c>
      <c r="FX21" s="69">
        <v>0</v>
      </c>
      <c r="FY21" s="69">
        <v>0</v>
      </c>
      <c r="FZ21" s="69">
        <v>0</v>
      </c>
      <c r="GA21" s="69">
        <v>0</v>
      </c>
      <c r="GB21" s="69">
        <v>0</v>
      </c>
      <c r="GC21" s="69">
        <v>0</v>
      </c>
      <c r="GD21" s="69"/>
      <c r="GE21" s="69"/>
      <c r="GF21" s="69">
        <v>0</v>
      </c>
      <c r="GG21" s="69">
        <v>0</v>
      </c>
      <c r="GH21" s="69">
        <v>0</v>
      </c>
      <c r="GI21" s="69">
        <v>0</v>
      </c>
      <c r="GJ21" s="69">
        <v>0</v>
      </c>
      <c r="GK21" s="69">
        <v>0</v>
      </c>
      <c r="GL21" s="69">
        <v>0</v>
      </c>
      <c r="GM21" s="69">
        <v>0</v>
      </c>
      <c r="GN21" s="69">
        <v>0</v>
      </c>
      <c r="GO21" s="69">
        <v>0</v>
      </c>
      <c r="GP21" s="69">
        <v>0</v>
      </c>
      <c r="GQ21" s="69">
        <v>0</v>
      </c>
      <c r="GR21" s="69">
        <v>0</v>
      </c>
      <c r="GS21" s="69">
        <v>0</v>
      </c>
      <c r="GT21" s="69">
        <v>0</v>
      </c>
      <c r="GU21" s="69">
        <v>0</v>
      </c>
      <c r="GV21" s="69">
        <v>0</v>
      </c>
      <c r="GW21" s="69">
        <v>0</v>
      </c>
      <c r="GX21" s="69">
        <v>0</v>
      </c>
      <c r="GY21" s="69">
        <v>0</v>
      </c>
      <c r="GZ21" s="69">
        <v>0</v>
      </c>
      <c r="HA21" s="69">
        <v>0</v>
      </c>
      <c r="HB21" s="69">
        <v>0</v>
      </c>
      <c r="HC21" s="69">
        <v>0</v>
      </c>
      <c r="HD21" s="69">
        <v>0</v>
      </c>
      <c r="HE21" s="69">
        <v>0</v>
      </c>
      <c r="HF21" s="69">
        <v>0</v>
      </c>
      <c r="HG21" s="69">
        <v>0</v>
      </c>
      <c r="HH21" s="69"/>
      <c r="HI21" s="69"/>
      <c r="HJ21" s="69">
        <v>171309</v>
      </c>
      <c r="HK21" s="69">
        <v>22598</v>
      </c>
      <c r="HL21" s="69">
        <v>168736</v>
      </c>
      <c r="HM21" s="69">
        <v>10586</v>
      </c>
      <c r="HN21" s="69">
        <v>5288</v>
      </c>
      <c r="HO21" s="69">
        <v>0</v>
      </c>
      <c r="HP21" s="69">
        <v>2200</v>
      </c>
      <c r="HQ21" s="69">
        <v>440269</v>
      </c>
      <c r="HR21" s="69">
        <v>44430</v>
      </c>
      <c r="HS21" s="69">
        <v>21131</v>
      </c>
      <c r="HT21" s="69">
        <v>3495</v>
      </c>
      <c r="HU21" s="69">
        <v>160776</v>
      </c>
      <c r="HV21" s="69">
        <v>12854</v>
      </c>
      <c r="HW21" s="69">
        <v>6700</v>
      </c>
      <c r="HX21" s="69">
        <v>3556</v>
      </c>
      <c r="HY21" s="69">
        <v>0</v>
      </c>
      <c r="HZ21" s="69">
        <v>3556</v>
      </c>
      <c r="IA21" s="69">
        <v>0</v>
      </c>
      <c r="IB21" s="69">
        <v>27461</v>
      </c>
      <c r="IC21" s="69">
        <v>12984</v>
      </c>
      <c r="ID21" s="69">
        <v>0</v>
      </c>
      <c r="IE21" s="69">
        <v>3470</v>
      </c>
      <c r="IF21" s="69">
        <v>3470</v>
      </c>
      <c r="IG21" s="69">
        <v>5241</v>
      </c>
      <c r="IH21" s="69">
        <v>5500</v>
      </c>
      <c r="II21" s="69">
        <v>3873</v>
      </c>
      <c r="IJ21" s="69">
        <v>12646</v>
      </c>
      <c r="IK21" s="69">
        <v>0</v>
      </c>
      <c r="IL21" s="69"/>
      <c r="IM21" s="69"/>
      <c r="IN21" s="69">
        <v>980820</v>
      </c>
      <c r="IO21" s="69">
        <v>22598</v>
      </c>
      <c r="IP21" s="69">
        <v>168736</v>
      </c>
      <c r="IQ21" s="69">
        <v>10586</v>
      </c>
      <c r="IR21" s="69">
        <v>5288</v>
      </c>
      <c r="IS21" s="69">
        <v>0</v>
      </c>
      <c r="IT21" s="69"/>
      <c r="IU21" s="69">
        <v>440269</v>
      </c>
      <c r="IV21" s="69">
        <v>44430</v>
      </c>
      <c r="IW21" s="69">
        <v>21131</v>
      </c>
      <c r="IX21" s="69">
        <v>3495</v>
      </c>
      <c r="IY21" s="69">
        <v>160776</v>
      </c>
      <c r="IZ21" s="69">
        <v>12854</v>
      </c>
      <c r="JA21" s="69">
        <v>6700</v>
      </c>
      <c r="JB21" s="69">
        <v>3556</v>
      </c>
      <c r="JC21" s="69">
        <v>0</v>
      </c>
      <c r="JD21" s="69">
        <v>3556</v>
      </c>
      <c r="JE21" s="69">
        <v>0</v>
      </c>
      <c r="JF21" s="69">
        <v>27461</v>
      </c>
      <c r="JG21" s="69">
        <v>12984</v>
      </c>
      <c r="JH21" s="69">
        <v>0</v>
      </c>
      <c r="JI21" s="69">
        <v>3470</v>
      </c>
      <c r="JJ21" s="69">
        <v>3470</v>
      </c>
      <c r="JK21" s="69">
        <v>5241</v>
      </c>
      <c r="JL21" s="69">
        <v>5500</v>
      </c>
      <c r="JM21" s="69">
        <v>3873</v>
      </c>
      <c r="JN21" s="69">
        <v>12646</v>
      </c>
      <c r="JO21" s="69">
        <v>0</v>
      </c>
      <c r="JP21" s="69"/>
      <c r="JQ21" s="69"/>
      <c r="JR21" s="69">
        <v>1152129</v>
      </c>
      <c r="JS21" s="69">
        <v>68243</v>
      </c>
      <c r="JT21" s="69">
        <v>374139</v>
      </c>
      <c r="JU21" s="69">
        <v>193166</v>
      </c>
      <c r="JV21" s="69">
        <v>119401</v>
      </c>
      <c r="JW21" s="69">
        <v>0</v>
      </c>
      <c r="JX21" s="69">
        <v>3341</v>
      </c>
      <c r="JY21" s="69">
        <v>620927</v>
      </c>
      <c r="JZ21" s="69">
        <v>46715</v>
      </c>
      <c r="KA21" s="69">
        <v>158066</v>
      </c>
      <c r="KB21" s="69">
        <v>4495</v>
      </c>
      <c r="KC21" s="69">
        <v>340776</v>
      </c>
      <c r="KD21" s="69">
        <v>241079</v>
      </c>
      <c r="KE21" s="69">
        <v>7700</v>
      </c>
      <c r="KF21" s="69">
        <v>4056</v>
      </c>
      <c r="KG21" s="69">
        <v>0</v>
      </c>
      <c r="KH21" s="69">
        <v>94846</v>
      </c>
      <c r="KI21" s="69">
        <v>0</v>
      </c>
      <c r="KJ21" s="69">
        <v>141573</v>
      </c>
      <c r="KK21" s="69">
        <v>240984</v>
      </c>
      <c r="KL21" s="69">
        <v>0</v>
      </c>
      <c r="KM21" s="69">
        <v>4470</v>
      </c>
      <c r="KN21" s="69">
        <v>3545</v>
      </c>
      <c r="KO21" s="69">
        <v>164998</v>
      </c>
      <c r="KP21" s="69">
        <v>7000</v>
      </c>
      <c r="KQ21" s="69">
        <v>323388</v>
      </c>
      <c r="KR21" s="69">
        <v>100162</v>
      </c>
      <c r="KS21" s="69">
        <v>0</v>
      </c>
      <c r="KT21" s="69"/>
      <c r="KU21" s="69"/>
      <c r="KV21" s="69">
        <v>3434379</v>
      </c>
      <c r="KW21" s="69"/>
    </row>
    <row r="22" spans="1:309" x14ac:dyDescent="0.25">
      <c r="A22" t="s">
        <v>424</v>
      </c>
      <c r="E22" s="2">
        <v>39811.414189814801</v>
      </c>
      <c r="G22" t="s">
        <v>425</v>
      </c>
      <c r="L22">
        <v>0</v>
      </c>
      <c r="M22">
        <v>0</v>
      </c>
      <c r="N22">
        <v>0</v>
      </c>
      <c r="O22">
        <v>0</v>
      </c>
      <c r="P22" s="69">
        <v>0</v>
      </c>
      <c r="Q22" s="69">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6662</v>
      </c>
      <c r="CS22">
        <v>0</v>
      </c>
      <c r="CT22">
        <v>0</v>
      </c>
      <c r="CU22">
        <v>0</v>
      </c>
      <c r="CV22">
        <v>5018</v>
      </c>
      <c r="CW22">
        <v>121920</v>
      </c>
      <c r="CX22">
        <v>44481</v>
      </c>
      <c r="CY22">
        <v>0</v>
      </c>
      <c r="CZ22">
        <v>304</v>
      </c>
      <c r="DA22">
        <v>41208</v>
      </c>
      <c r="DB22">
        <v>0</v>
      </c>
      <c r="DC22">
        <v>16628</v>
      </c>
      <c r="DD22">
        <v>0</v>
      </c>
      <c r="DE22">
        <v>180</v>
      </c>
      <c r="DF22">
        <v>118032</v>
      </c>
      <c r="DG22">
        <v>9084</v>
      </c>
      <c r="DH22">
        <v>113228</v>
      </c>
      <c r="DI22">
        <v>0</v>
      </c>
      <c r="DJ22">
        <v>148138</v>
      </c>
      <c r="DK22">
        <v>144</v>
      </c>
      <c r="DL22">
        <v>40224</v>
      </c>
      <c r="DM22">
        <v>79184</v>
      </c>
      <c r="DN22">
        <v>0</v>
      </c>
      <c r="DO22">
        <v>1300</v>
      </c>
      <c r="DP22">
        <v>576</v>
      </c>
      <c r="DQ22">
        <v>21840</v>
      </c>
      <c r="DR22">
        <v>20816</v>
      </c>
      <c r="DS22">
        <v>116976</v>
      </c>
      <c r="DT22">
        <v>44640</v>
      </c>
      <c r="DU22">
        <v>0</v>
      </c>
      <c r="DX22" s="69">
        <v>943921</v>
      </c>
      <c r="DY22" s="69"/>
      <c r="DZ22" s="69"/>
      <c r="EA22" s="69"/>
      <c r="EB22" s="69"/>
      <c r="EC22" s="69"/>
      <c r="ED22" s="69"/>
      <c r="EE22" s="69"/>
      <c r="EF22" s="69"/>
      <c r="EG22" s="69"/>
      <c r="EH22" s="69"/>
      <c r="EI22" s="69"/>
      <c r="EJ22" s="69"/>
      <c r="EK22" s="69"/>
      <c r="EL22" s="69"/>
      <c r="EM22" s="69"/>
      <c r="EN22" s="69"/>
      <c r="EO22" s="69"/>
      <c r="EP22" s="69"/>
      <c r="EQ22" s="69"/>
      <c r="ER22" s="69"/>
      <c r="ES22" s="69"/>
      <c r="ET22" s="69"/>
      <c r="EU22" s="69"/>
      <c r="EV22" s="69"/>
      <c r="EW22" s="69"/>
      <c r="EX22" s="69"/>
      <c r="EY22" s="69">
        <v>0</v>
      </c>
      <c r="EZ22" s="69"/>
      <c r="FA22" s="69"/>
      <c r="FB22" s="69">
        <v>0</v>
      </c>
      <c r="FC22" s="69">
        <v>0</v>
      </c>
      <c r="FD22" s="69">
        <v>0</v>
      </c>
      <c r="FE22" s="69">
        <v>0</v>
      </c>
      <c r="FF22" s="69">
        <v>0</v>
      </c>
      <c r="FG22" s="69">
        <v>0</v>
      </c>
      <c r="FH22" s="69">
        <v>0</v>
      </c>
      <c r="FI22" s="69">
        <v>0</v>
      </c>
      <c r="FJ22" s="69">
        <v>0</v>
      </c>
      <c r="FK22" s="69">
        <v>0</v>
      </c>
      <c r="FL22" s="69">
        <v>0</v>
      </c>
      <c r="FM22" s="69">
        <v>0</v>
      </c>
      <c r="FN22" s="69">
        <v>0</v>
      </c>
      <c r="FO22" s="69">
        <v>0</v>
      </c>
      <c r="FP22" s="69">
        <v>0</v>
      </c>
      <c r="FQ22" s="69">
        <v>0</v>
      </c>
      <c r="FR22" s="69">
        <v>0</v>
      </c>
      <c r="FS22" s="69">
        <v>0</v>
      </c>
      <c r="FT22" s="69">
        <v>0</v>
      </c>
      <c r="FU22" s="69">
        <v>0</v>
      </c>
      <c r="FV22" s="69">
        <v>0</v>
      </c>
      <c r="FW22" s="69">
        <v>0</v>
      </c>
      <c r="FX22" s="69">
        <v>0</v>
      </c>
      <c r="FY22" s="69">
        <v>0</v>
      </c>
      <c r="FZ22" s="69">
        <v>0</v>
      </c>
      <c r="GA22" s="69">
        <v>0</v>
      </c>
      <c r="GB22" s="69">
        <v>0</v>
      </c>
      <c r="GC22" s="69">
        <v>0</v>
      </c>
      <c r="GD22" s="69"/>
      <c r="GE22" s="69"/>
      <c r="GF22" s="69">
        <v>0</v>
      </c>
      <c r="GG22" s="69">
        <v>0</v>
      </c>
      <c r="GH22" s="69">
        <v>0</v>
      </c>
      <c r="GI22" s="69">
        <v>0</v>
      </c>
      <c r="GJ22" s="69">
        <v>0</v>
      </c>
      <c r="GK22" s="69">
        <v>0</v>
      </c>
      <c r="GL22" s="69">
        <v>0</v>
      </c>
      <c r="GM22" s="69">
        <v>0</v>
      </c>
      <c r="GN22" s="69">
        <v>0</v>
      </c>
      <c r="GO22" s="69">
        <v>0</v>
      </c>
      <c r="GP22" s="69">
        <v>0</v>
      </c>
      <c r="GQ22" s="69">
        <v>0</v>
      </c>
      <c r="GR22" s="69">
        <v>0</v>
      </c>
      <c r="GS22" s="69">
        <v>0</v>
      </c>
      <c r="GT22" s="69">
        <v>0</v>
      </c>
      <c r="GU22" s="69">
        <v>0</v>
      </c>
      <c r="GV22" s="69">
        <v>0</v>
      </c>
      <c r="GW22" s="69">
        <v>0</v>
      </c>
      <c r="GX22" s="69">
        <v>0</v>
      </c>
      <c r="GY22" s="69">
        <v>0</v>
      </c>
      <c r="GZ22" s="69">
        <v>0</v>
      </c>
      <c r="HA22" s="69">
        <v>0</v>
      </c>
      <c r="HB22" s="69">
        <v>0</v>
      </c>
      <c r="HC22" s="69">
        <v>0</v>
      </c>
      <c r="HD22" s="69">
        <v>0</v>
      </c>
      <c r="HE22" s="69">
        <v>0</v>
      </c>
      <c r="HF22" s="69">
        <v>0</v>
      </c>
      <c r="HG22" s="69">
        <v>0</v>
      </c>
      <c r="HH22" s="69"/>
      <c r="HI22" s="69"/>
      <c r="HJ22" s="69">
        <v>0</v>
      </c>
      <c r="HK22" s="69">
        <v>0</v>
      </c>
      <c r="HL22" s="69">
        <v>0</v>
      </c>
      <c r="HM22" s="69">
        <v>0</v>
      </c>
      <c r="HN22" s="69">
        <v>0</v>
      </c>
      <c r="HO22" s="69">
        <v>0</v>
      </c>
      <c r="HP22" s="69">
        <v>0</v>
      </c>
      <c r="HQ22" s="69">
        <v>0</v>
      </c>
      <c r="HR22" s="69">
        <v>0</v>
      </c>
      <c r="HS22" s="69">
        <v>0</v>
      </c>
      <c r="HT22" s="69">
        <v>0</v>
      </c>
      <c r="HU22" s="69">
        <v>0</v>
      </c>
      <c r="HV22" s="69">
        <v>0</v>
      </c>
      <c r="HW22" s="69">
        <v>0</v>
      </c>
      <c r="HX22" s="69">
        <v>0</v>
      </c>
      <c r="HY22" s="69">
        <v>0</v>
      </c>
      <c r="HZ22" s="69">
        <v>0</v>
      </c>
      <c r="IA22" s="69">
        <v>0</v>
      </c>
      <c r="IB22" s="69">
        <v>0</v>
      </c>
      <c r="IC22" s="69">
        <v>0</v>
      </c>
      <c r="ID22" s="69">
        <v>0</v>
      </c>
      <c r="IE22" s="69">
        <v>0</v>
      </c>
      <c r="IF22" s="69">
        <v>0</v>
      </c>
      <c r="IG22" s="69">
        <v>0</v>
      </c>
      <c r="IH22" s="69">
        <v>0</v>
      </c>
      <c r="II22" s="69">
        <v>0</v>
      </c>
      <c r="IJ22" s="69">
        <v>0</v>
      </c>
      <c r="IK22" s="69">
        <v>0</v>
      </c>
      <c r="IL22" s="69"/>
      <c r="IM22" s="69"/>
      <c r="IN22" s="69">
        <v>0</v>
      </c>
      <c r="IO22" s="69"/>
      <c r="IP22" s="69"/>
      <c r="IQ22" s="69"/>
      <c r="IR22" s="69"/>
      <c r="IS22" s="69"/>
      <c r="IT22" s="69"/>
      <c r="IU22" s="69"/>
      <c r="IV22" s="69"/>
      <c r="IW22" s="69"/>
      <c r="IX22" s="69"/>
      <c r="IY22" s="69"/>
      <c r="IZ22" s="69"/>
      <c r="JA22" s="69"/>
      <c r="JB22" s="69"/>
      <c r="JC22" s="69"/>
      <c r="JD22" s="69"/>
      <c r="JE22" s="69"/>
      <c r="JF22" s="69"/>
      <c r="JG22" s="69"/>
      <c r="JH22" s="69"/>
      <c r="JI22" s="69"/>
      <c r="JJ22" s="69"/>
      <c r="JK22" s="69"/>
      <c r="JL22" s="69"/>
      <c r="JM22" s="69"/>
      <c r="JN22" s="69"/>
      <c r="JO22" s="69">
        <v>0</v>
      </c>
      <c r="JP22" s="69"/>
      <c r="JQ22" s="69"/>
      <c r="JR22" s="69">
        <v>0</v>
      </c>
      <c r="JS22" s="69">
        <v>0</v>
      </c>
      <c r="JT22" s="69">
        <v>0</v>
      </c>
      <c r="JU22" s="69">
        <v>0</v>
      </c>
      <c r="JV22" s="69">
        <v>0</v>
      </c>
      <c r="JW22" s="69">
        <v>0</v>
      </c>
      <c r="JX22" s="69">
        <v>0</v>
      </c>
      <c r="JY22" s="69">
        <v>0</v>
      </c>
      <c r="JZ22" s="69">
        <v>0</v>
      </c>
      <c r="KA22" s="69">
        <v>0</v>
      </c>
      <c r="KB22" s="69">
        <v>0</v>
      </c>
      <c r="KC22" s="69">
        <v>0</v>
      </c>
      <c r="KD22" s="69">
        <v>0</v>
      </c>
      <c r="KE22" s="69">
        <v>0</v>
      </c>
      <c r="KF22" s="69">
        <v>0</v>
      </c>
      <c r="KG22" s="69">
        <v>0</v>
      </c>
      <c r="KH22" s="69">
        <v>0</v>
      </c>
      <c r="KI22" s="69">
        <v>0</v>
      </c>
      <c r="KJ22" s="69">
        <v>0</v>
      </c>
      <c r="KK22" s="69">
        <v>0</v>
      </c>
      <c r="KL22" s="69">
        <v>0</v>
      </c>
      <c r="KM22" s="69">
        <v>0</v>
      </c>
      <c r="KN22" s="69">
        <v>0</v>
      </c>
      <c r="KO22" s="69">
        <v>0</v>
      </c>
      <c r="KP22" s="69">
        <v>0</v>
      </c>
      <c r="KQ22" s="69">
        <v>0</v>
      </c>
      <c r="KR22" s="69">
        <v>0</v>
      </c>
      <c r="KS22" s="69">
        <v>0</v>
      </c>
      <c r="KT22" s="69"/>
      <c r="KU22" s="69"/>
      <c r="KV22" s="69">
        <v>0</v>
      </c>
      <c r="KW22" s="69"/>
    </row>
    <row r="23" spans="1:309" x14ac:dyDescent="0.25">
      <c r="A23" t="s">
        <v>368</v>
      </c>
      <c r="C23" t="s">
        <v>1088</v>
      </c>
      <c r="D23" t="s">
        <v>1096</v>
      </c>
      <c r="E23" s="2">
        <v>39797.408726851798</v>
      </c>
      <c r="G23" t="s">
        <v>369</v>
      </c>
      <c r="L23">
        <v>0</v>
      </c>
      <c r="M23">
        <v>0</v>
      </c>
      <c r="N23">
        <v>0</v>
      </c>
      <c r="O23">
        <v>17122901</v>
      </c>
      <c r="P23" s="69">
        <v>0</v>
      </c>
      <c r="Q23" s="69">
        <v>353148</v>
      </c>
      <c r="R23">
        <v>0</v>
      </c>
      <c r="S23">
        <v>353148</v>
      </c>
      <c r="T23">
        <v>1335234</v>
      </c>
      <c r="U23">
        <v>1106555</v>
      </c>
      <c r="V23">
        <v>672215</v>
      </c>
      <c r="W23">
        <v>0</v>
      </c>
      <c r="X23">
        <v>0</v>
      </c>
      <c r="Y23">
        <v>0</v>
      </c>
      <c r="Z23">
        <v>3114004</v>
      </c>
      <c r="AA23">
        <v>1529385</v>
      </c>
      <c r="AB23">
        <v>313079</v>
      </c>
      <c r="AC23">
        <v>408214</v>
      </c>
      <c r="AD23">
        <v>0</v>
      </c>
      <c r="AE23">
        <v>0</v>
      </c>
      <c r="AF23">
        <v>245680</v>
      </c>
      <c r="AG23">
        <v>2496358</v>
      </c>
      <c r="AH23">
        <v>2864619</v>
      </c>
      <c r="AI23">
        <v>1419634</v>
      </c>
      <c r="AJ23">
        <v>1080429</v>
      </c>
      <c r="AK23">
        <v>0</v>
      </c>
      <c r="AL23">
        <v>0</v>
      </c>
      <c r="AM23">
        <v>245680</v>
      </c>
      <c r="AN23">
        <v>5610362</v>
      </c>
      <c r="AO23">
        <v>27673</v>
      </c>
      <c r="AP23">
        <v>0</v>
      </c>
      <c r="AQ23">
        <v>207456</v>
      </c>
      <c r="AR23">
        <v>0</v>
      </c>
      <c r="AS23">
        <v>235129</v>
      </c>
      <c r="AT23">
        <v>1225</v>
      </c>
      <c r="AU23">
        <v>0</v>
      </c>
      <c r="AV23">
        <v>74018</v>
      </c>
      <c r="AW23">
        <v>0</v>
      </c>
      <c r="AX23">
        <v>75243</v>
      </c>
      <c r="AY23">
        <v>28898</v>
      </c>
      <c r="AZ23">
        <v>0</v>
      </c>
      <c r="BA23">
        <v>281474</v>
      </c>
      <c r="BB23">
        <v>0</v>
      </c>
      <c r="BC23">
        <v>310372</v>
      </c>
      <c r="BD23">
        <v>650923</v>
      </c>
      <c r="BE23">
        <v>0</v>
      </c>
      <c r="BF23">
        <v>0</v>
      </c>
      <c r="BG23">
        <v>0</v>
      </c>
      <c r="BH23">
        <v>0</v>
      </c>
      <c r="BI23">
        <v>650923</v>
      </c>
      <c r="BJ23">
        <v>0</v>
      </c>
      <c r="BK23">
        <v>0</v>
      </c>
      <c r="BL23">
        <v>192867</v>
      </c>
      <c r="BM23">
        <v>0</v>
      </c>
      <c r="BN23">
        <v>0</v>
      </c>
      <c r="BO23">
        <v>192867</v>
      </c>
      <c r="BP23">
        <v>2318047</v>
      </c>
      <c r="BQ23">
        <v>232052</v>
      </c>
      <c r="BR23">
        <v>0</v>
      </c>
      <c r="BS23">
        <v>0</v>
      </c>
      <c r="BT23">
        <v>43971</v>
      </c>
      <c r="BU23">
        <v>2594070</v>
      </c>
      <c r="BV23">
        <v>2968970</v>
      </c>
      <c r="BW23">
        <v>232052</v>
      </c>
      <c r="BX23">
        <v>192867</v>
      </c>
      <c r="BY23">
        <v>0</v>
      </c>
      <c r="BZ23">
        <v>43971</v>
      </c>
      <c r="CA23">
        <v>3437860</v>
      </c>
      <c r="CB23">
        <v>0</v>
      </c>
      <c r="CC23">
        <v>0</v>
      </c>
      <c r="CD23">
        <v>0</v>
      </c>
      <c r="CE23">
        <v>0</v>
      </c>
      <c r="CF23">
        <v>0</v>
      </c>
      <c r="CG23">
        <v>0</v>
      </c>
      <c r="CH23">
        <v>0</v>
      </c>
      <c r="CI23">
        <v>0</v>
      </c>
      <c r="CJ23">
        <v>0</v>
      </c>
      <c r="CK23">
        <v>0</v>
      </c>
      <c r="CL23">
        <v>0</v>
      </c>
      <c r="CM23">
        <v>0</v>
      </c>
      <c r="CN23">
        <v>0</v>
      </c>
      <c r="CO23">
        <v>0</v>
      </c>
      <c r="CP23">
        <v>0</v>
      </c>
      <c r="CQ23">
        <v>0</v>
      </c>
      <c r="CR23">
        <v>3570</v>
      </c>
      <c r="CS23">
        <v>629411</v>
      </c>
      <c r="CT23">
        <v>0</v>
      </c>
      <c r="CU23">
        <v>14424</v>
      </c>
      <c r="CV23">
        <v>26516</v>
      </c>
      <c r="CW23">
        <v>229152</v>
      </c>
      <c r="CX23">
        <v>85494</v>
      </c>
      <c r="CY23">
        <v>0</v>
      </c>
      <c r="CZ23">
        <v>144</v>
      </c>
      <c r="DA23">
        <v>63804</v>
      </c>
      <c r="DB23">
        <v>576</v>
      </c>
      <c r="DC23">
        <v>108880</v>
      </c>
      <c r="DD23">
        <v>1248</v>
      </c>
      <c r="DE23">
        <v>74155</v>
      </c>
      <c r="DF23">
        <v>270352</v>
      </c>
      <c r="DG23">
        <v>27356</v>
      </c>
      <c r="DH23">
        <v>197242</v>
      </c>
      <c r="DI23">
        <v>0</v>
      </c>
      <c r="DJ23">
        <v>137090</v>
      </c>
      <c r="DK23">
        <v>0</v>
      </c>
      <c r="DL23">
        <v>66960</v>
      </c>
      <c r="DM23">
        <v>174624</v>
      </c>
      <c r="DN23">
        <v>18320</v>
      </c>
      <c r="DO23">
        <v>7600</v>
      </c>
      <c r="DP23">
        <v>10635</v>
      </c>
      <c r="DQ23">
        <v>17808</v>
      </c>
      <c r="DR23">
        <v>61350</v>
      </c>
      <c r="DS23">
        <v>279824</v>
      </c>
      <c r="DT23">
        <v>72944</v>
      </c>
      <c r="DU23">
        <v>0</v>
      </c>
      <c r="DX23" s="69">
        <v>1946498</v>
      </c>
      <c r="DY23" s="69">
        <v>0</v>
      </c>
      <c r="DZ23" s="69">
        <v>131985</v>
      </c>
      <c r="EA23" s="69">
        <v>364362</v>
      </c>
      <c r="EB23" s="69">
        <v>127350</v>
      </c>
      <c r="EC23" s="69">
        <v>0</v>
      </c>
      <c r="ED23" s="69">
        <v>0</v>
      </c>
      <c r="EE23" s="69">
        <v>167667</v>
      </c>
      <c r="EF23" s="69">
        <v>0</v>
      </c>
      <c r="EG23" s="69">
        <v>126065</v>
      </c>
      <c r="EH23" s="69">
        <v>0</v>
      </c>
      <c r="EI23" s="69">
        <v>128637</v>
      </c>
      <c r="EJ23" s="69">
        <v>289375</v>
      </c>
      <c r="EK23" s="69">
        <v>51176</v>
      </c>
      <c r="EL23" s="69">
        <v>980756</v>
      </c>
      <c r="EM23" s="69">
        <v>0</v>
      </c>
      <c r="EN23" s="69">
        <v>281120</v>
      </c>
      <c r="EO23" s="69">
        <v>0</v>
      </c>
      <c r="EP23" s="69">
        <v>259698</v>
      </c>
      <c r="EQ23" s="69">
        <v>244897</v>
      </c>
      <c r="ER23" s="69">
        <v>40164</v>
      </c>
      <c r="ES23" s="69">
        <v>0</v>
      </c>
      <c r="ET23" s="69">
        <v>0</v>
      </c>
      <c r="EU23" s="69">
        <v>240448</v>
      </c>
      <c r="EV23" s="69">
        <v>89261</v>
      </c>
      <c r="EW23" s="69">
        <v>390089</v>
      </c>
      <c r="EX23" s="69">
        <v>166863</v>
      </c>
      <c r="EY23" s="69">
        <v>0</v>
      </c>
      <c r="EZ23" s="69"/>
      <c r="FA23" s="69"/>
      <c r="FB23" s="69">
        <v>4079913</v>
      </c>
      <c r="FC23" s="69">
        <v>18043</v>
      </c>
      <c r="FD23" s="69">
        <v>41235</v>
      </c>
      <c r="FE23" s="69">
        <v>217031</v>
      </c>
      <c r="FF23" s="69">
        <v>90171</v>
      </c>
      <c r="FG23" s="69">
        <v>0</v>
      </c>
      <c r="FH23" s="69">
        <v>0</v>
      </c>
      <c r="FI23" s="69">
        <v>83376</v>
      </c>
      <c r="FJ23" s="69">
        <v>0</v>
      </c>
      <c r="FK23" s="69">
        <v>56219</v>
      </c>
      <c r="FL23" s="69">
        <v>0</v>
      </c>
      <c r="FM23" s="69">
        <v>43707</v>
      </c>
      <c r="FN23" s="69">
        <v>424734</v>
      </c>
      <c r="FO23" s="69">
        <v>23446</v>
      </c>
      <c r="FP23" s="69">
        <v>178537</v>
      </c>
      <c r="FQ23" s="69">
        <v>0</v>
      </c>
      <c r="FR23" s="69">
        <v>145267</v>
      </c>
      <c r="FS23" s="69">
        <v>0</v>
      </c>
      <c r="FT23" s="69">
        <v>55877</v>
      </c>
      <c r="FU23" s="69">
        <v>176312</v>
      </c>
      <c r="FV23" s="69">
        <v>16089</v>
      </c>
      <c r="FW23" s="69">
        <v>0</v>
      </c>
      <c r="FX23" s="69">
        <v>18980</v>
      </c>
      <c r="FY23" s="69">
        <v>10272</v>
      </c>
      <c r="FZ23" s="69">
        <v>98233</v>
      </c>
      <c r="GA23" s="69">
        <v>271150</v>
      </c>
      <c r="GB23" s="69">
        <v>83906</v>
      </c>
      <c r="GC23" s="69">
        <v>0</v>
      </c>
      <c r="GD23" s="69"/>
      <c r="GE23" s="69"/>
      <c r="GF23" s="69">
        <v>2052585</v>
      </c>
      <c r="GG23" s="69">
        <v>1852</v>
      </c>
      <c r="GH23" s="69">
        <v>17778</v>
      </c>
      <c r="GI23" s="69">
        <v>59671</v>
      </c>
      <c r="GJ23" s="69">
        <v>22325</v>
      </c>
      <c r="GK23" s="69">
        <v>0</v>
      </c>
      <c r="GL23" s="69">
        <v>0</v>
      </c>
      <c r="GM23" s="69">
        <v>25766</v>
      </c>
      <c r="GN23" s="69">
        <v>0</v>
      </c>
      <c r="GO23" s="69">
        <v>18709</v>
      </c>
      <c r="GP23" s="69">
        <v>0</v>
      </c>
      <c r="GQ23" s="69">
        <v>17689</v>
      </c>
      <c r="GR23" s="69">
        <v>73293</v>
      </c>
      <c r="GS23" s="69">
        <v>7659</v>
      </c>
      <c r="GT23" s="69">
        <v>118984</v>
      </c>
      <c r="GU23" s="69">
        <v>0</v>
      </c>
      <c r="GV23" s="69">
        <v>43762</v>
      </c>
      <c r="GW23" s="69">
        <v>0</v>
      </c>
      <c r="GX23" s="69">
        <v>32389</v>
      </c>
      <c r="GY23" s="69">
        <v>43231</v>
      </c>
      <c r="GZ23" s="69">
        <v>5774</v>
      </c>
      <c r="HA23" s="69">
        <v>0</v>
      </c>
      <c r="HB23" s="69">
        <v>1948</v>
      </c>
      <c r="HC23" s="69">
        <v>25733</v>
      </c>
      <c r="HD23" s="69">
        <v>19244</v>
      </c>
      <c r="HE23" s="69">
        <v>67866</v>
      </c>
      <c r="HF23" s="69">
        <v>25738</v>
      </c>
      <c r="HG23" s="69">
        <v>0</v>
      </c>
      <c r="HH23" s="69"/>
      <c r="HI23" s="69"/>
      <c r="HJ23" s="69">
        <v>629411</v>
      </c>
      <c r="HK23" s="69">
        <v>64741</v>
      </c>
      <c r="HL23" s="69">
        <v>41949</v>
      </c>
      <c r="HM23" s="69">
        <v>102619</v>
      </c>
      <c r="HN23" s="69">
        <v>142749</v>
      </c>
      <c r="HO23" s="69">
        <v>0</v>
      </c>
      <c r="HP23" s="69">
        <v>0</v>
      </c>
      <c r="HQ23" s="69">
        <v>56185</v>
      </c>
      <c r="HR23" s="69">
        <v>0</v>
      </c>
      <c r="HS23" s="69">
        <v>37811</v>
      </c>
      <c r="HT23" s="69">
        <v>0</v>
      </c>
      <c r="HU23" s="69">
        <v>28189</v>
      </c>
      <c r="HV23" s="69">
        <v>26885</v>
      </c>
      <c r="HW23" s="69">
        <v>4142</v>
      </c>
      <c r="HX23" s="69">
        <v>68097</v>
      </c>
      <c r="HY23" s="69">
        <v>0</v>
      </c>
      <c r="HZ23" s="69">
        <v>36328</v>
      </c>
      <c r="IA23" s="69">
        <v>0</v>
      </c>
      <c r="IB23" s="69">
        <v>8637</v>
      </c>
      <c r="IC23" s="69">
        <v>16464</v>
      </c>
      <c r="ID23" s="69">
        <v>16862</v>
      </c>
      <c r="IE23" s="69">
        <v>0</v>
      </c>
      <c r="IF23" s="69">
        <v>140996</v>
      </c>
      <c r="IG23" s="69">
        <v>5285</v>
      </c>
      <c r="IH23" s="69">
        <v>30595</v>
      </c>
      <c r="II23" s="69">
        <v>36820</v>
      </c>
      <c r="IJ23" s="69">
        <v>73547</v>
      </c>
      <c r="IK23" s="69">
        <v>0</v>
      </c>
      <c r="IL23" s="69"/>
      <c r="IM23" s="69"/>
      <c r="IN23" s="69">
        <v>938901</v>
      </c>
      <c r="IO23" s="69">
        <v>84636</v>
      </c>
      <c r="IP23" s="69">
        <v>100962</v>
      </c>
      <c r="IQ23" s="69">
        <v>379321</v>
      </c>
      <c r="IR23" s="69">
        <v>255245</v>
      </c>
      <c r="IS23" s="69">
        <v>0</v>
      </c>
      <c r="IT23" s="69">
        <v>0</v>
      </c>
      <c r="IU23" s="69">
        <v>165327</v>
      </c>
      <c r="IV23" s="69">
        <v>0</v>
      </c>
      <c r="IW23" s="69">
        <v>112739</v>
      </c>
      <c r="IX23" s="69">
        <v>0</v>
      </c>
      <c r="IY23" s="69">
        <v>89585</v>
      </c>
      <c r="IZ23" s="69">
        <v>524912</v>
      </c>
      <c r="JA23" s="69">
        <v>35247</v>
      </c>
      <c r="JB23" s="69">
        <v>365618</v>
      </c>
      <c r="JC23" s="69">
        <v>0</v>
      </c>
      <c r="JD23" s="69">
        <v>225357</v>
      </c>
      <c r="JE23" s="69">
        <v>0</v>
      </c>
      <c r="JF23" s="69">
        <v>96903</v>
      </c>
      <c r="JG23" s="69">
        <v>236007</v>
      </c>
      <c r="JH23" s="69">
        <v>38725</v>
      </c>
      <c r="JI23" s="69">
        <v>0</v>
      </c>
      <c r="JJ23" s="69">
        <v>161924</v>
      </c>
      <c r="JK23" s="69">
        <v>41290</v>
      </c>
      <c r="JL23" s="69">
        <v>148072</v>
      </c>
      <c r="JM23" s="69">
        <v>375836</v>
      </c>
      <c r="JN23" s="69">
        <v>183191</v>
      </c>
      <c r="JO23" s="69">
        <v>0</v>
      </c>
      <c r="JP23" s="69"/>
      <c r="JQ23" s="69"/>
      <c r="JR23" s="69">
        <v>3620897</v>
      </c>
      <c r="JS23" s="69">
        <v>84636</v>
      </c>
      <c r="JT23" s="69">
        <v>232947</v>
      </c>
      <c r="JU23" s="69">
        <v>743683</v>
      </c>
      <c r="JV23" s="69">
        <v>382595</v>
      </c>
      <c r="JW23" s="69">
        <v>0</v>
      </c>
      <c r="JX23" s="69">
        <v>0</v>
      </c>
      <c r="JY23" s="69">
        <v>332994</v>
      </c>
      <c r="JZ23" s="69">
        <v>0</v>
      </c>
      <c r="KA23" s="69">
        <v>238804</v>
      </c>
      <c r="KB23" s="69">
        <v>0</v>
      </c>
      <c r="KC23" s="69">
        <v>218222</v>
      </c>
      <c r="KD23" s="69">
        <v>814287</v>
      </c>
      <c r="KE23" s="69">
        <v>86423</v>
      </c>
      <c r="KF23" s="69">
        <v>1346374</v>
      </c>
      <c r="KG23" s="69">
        <v>0</v>
      </c>
      <c r="KH23" s="69">
        <v>506477</v>
      </c>
      <c r="KI23" s="69">
        <v>0</v>
      </c>
      <c r="KJ23" s="69">
        <v>356601</v>
      </c>
      <c r="KK23" s="69">
        <v>480904</v>
      </c>
      <c r="KL23" s="69">
        <v>78889</v>
      </c>
      <c r="KM23" s="69">
        <v>0</v>
      </c>
      <c r="KN23" s="69">
        <v>161924</v>
      </c>
      <c r="KO23" s="69">
        <v>281738</v>
      </c>
      <c r="KP23" s="69">
        <v>237333</v>
      </c>
      <c r="KQ23" s="69">
        <v>765925</v>
      </c>
      <c r="KR23" s="69">
        <v>350054</v>
      </c>
      <c r="KS23" s="69">
        <v>0</v>
      </c>
      <c r="KT23" s="69"/>
      <c r="KU23" s="69"/>
      <c r="KV23" s="69">
        <v>7700810</v>
      </c>
      <c r="KW23" s="69"/>
    </row>
    <row r="24" spans="1:309" x14ac:dyDescent="0.25">
      <c r="A24" t="s">
        <v>372</v>
      </c>
      <c r="C24" t="s">
        <v>1088</v>
      </c>
      <c r="D24" t="s">
        <v>1098</v>
      </c>
      <c r="E24" s="2">
        <v>39794.6168287037</v>
      </c>
      <c r="G24" t="s">
        <v>373</v>
      </c>
      <c r="L24">
        <v>0</v>
      </c>
      <c r="M24">
        <v>0</v>
      </c>
      <c r="N24">
        <v>0</v>
      </c>
      <c r="O24">
        <v>13218653</v>
      </c>
      <c r="P24" s="69">
        <v>0</v>
      </c>
      <c r="Q24" s="69">
        <v>0</v>
      </c>
      <c r="R24">
        <v>0</v>
      </c>
      <c r="S24">
        <v>0</v>
      </c>
      <c r="T24">
        <v>1195860</v>
      </c>
      <c r="U24">
        <v>1065854</v>
      </c>
      <c r="V24">
        <v>713797</v>
      </c>
      <c r="W24">
        <v>0</v>
      </c>
      <c r="X24">
        <v>0</v>
      </c>
      <c r="Y24">
        <v>0</v>
      </c>
      <c r="Z24">
        <v>2975511</v>
      </c>
      <c r="AA24">
        <v>1644637</v>
      </c>
      <c r="AB24">
        <v>124117</v>
      </c>
      <c r="AC24">
        <v>164733</v>
      </c>
      <c r="AD24">
        <v>0</v>
      </c>
      <c r="AE24">
        <v>0</v>
      </c>
      <c r="AF24">
        <v>0</v>
      </c>
      <c r="AG24">
        <v>1933487</v>
      </c>
      <c r="AH24">
        <v>2840497</v>
      </c>
      <c r="AI24">
        <v>1189971</v>
      </c>
      <c r="AJ24">
        <v>878530</v>
      </c>
      <c r="AK24">
        <v>0</v>
      </c>
      <c r="AL24">
        <v>0</v>
      </c>
      <c r="AM24">
        <v>0</v>
      </c>
      <c r="AN24">
        <v>4908998</v>
      </c>
      <c r="AO24">
        <v>0</v>
      </c>
      <c r="AP24">
        <v>210735</v>
      </c>
      <c r="AQ24">
        <v>26694</v>
      </c>
      <c r="AR24">
        <v>0</v>
      </c>
      <c r="AS24">
        <v>237429</v>
      </c>
      <c r="AT24">
        <v>0</v>
      </c>
      <c r="AU24">
        <v>143974</v>
      </c>
      <c r="AV24">
        <v>0</v>
      </c>
      <c r="AW24">
        <v>0</v>
      </c>
      <c r="AX24">
        <v>143974</v>
      </c>
      <c r="AY24">
        <v>0</v>
      </c>
      <c r="AZ24">
        <v>354709</v>
      </c>
      <c r="BA24">
        <v>26694</v>
      </c>
      <c r="BB24">
        <v>0</v>
      </c>
      <c r="BC24">
        <v>381403</v>
      </c>
      <c r="BD24">
        <v>178851</v>
      </c>
      <c r="BE24">
        <v>0</v>
      </c>
      <c r="BF24">
        <v>0</v>
      </c>
      <c r="BG24">
        <v>0</v>
      </c>
      <c r="BH24">
        <v>0</v>
      </c>
      <c r="BI24">
        <v>178851</v>
      </c>
      <c r="BJ24">
        <v>0</v>
      </c>
      <c r="BK24">
        <v>0</v>
      </c>
      <c r="BL24">
        <v>32533</v>
      </c>
      <c r="BM24">
        <v>0</v>
      </c>
      <c r="BN24">
        <v>0</v>
      </c>
      <c r="BO24">
        <v>337493</v>
      </c>
      <c r="BP24">
        <v>1888280</v>
      </c>
      <c r="BQ24">
        <v>0</v>
      </c>
      <c r="BR24">
        <v>0</v>
      </c>
      <c r="BS24">
        <v>0</v>
      </c>
      <c r="BT24">
        <v>208824</v>
      </c>
      <c r="BU24">
        <v>2097104</v>
      </c>
      <c r="BV24">
        <v>2067131</v>
      </c>
      <c r="BW24">
        <v>0</v>
      </c>
      <c r="BX24">
        <v>337493</v>
      </c>
      <c r="BY24">
        <v>0</v>
      </c>
      <c r="BZ24">
        <v>208824</v>
      </c>
      <c r="CA24">
        <v>2613448</v>
      </c>
      <c r="CB24">
        <v>0</v>
      </c>
      <c r="CC24">
        <v>0</v>
      </c>
      <c r="CD24">
        <v>0</v>
      </c>
      <c r="CE24">
        <v>0</v>
      </c>
      <c r="CF24">
        <v>0</v>
      </c>
      <c r="CG24">
        <v>0</v>
      </c>
      <c r="CH24">
        <v>0</v>
      </c>
      <c r="CI24">
        <v>0</v>
      </c>
      <c r="CJ24">
        <v>0</v>
      </c>
      <c r="CK24">
        <v>0</v>
      </c>
      <c r="CL24">
        <v>0</v>
      </c>
      <c r="CM24">
        <v>0</v>
      </c>
      <c r="CN24">
        <v>0</v>
      </c>
      <c r="CO24">
        <v>0</v>
      </c>
      <c r="CP24">
        <v>0</v>
      </c>
      <c r="CQ24">
        <v>0</v>
      </c>
      <c r="CR24">
        <v>3573</v>
      </c>
      <c r="CS24">
        <v>97556</v>
      </c>
      <c r="CT24">
        <v>0</v>
      </c>
      <c r="CU24">
        <v>7008</v>
      </c>
      <c r="CV24">
        <v>37322</v>
      </c>
      <c r="CW24">
        <v>191152</v>
      </c>
      <c r="CX24">
        <v>64417</v>
      </c>
      <c r="CY24">
        <v>0</v>
      </c>
      <c r="CZ24">
        <v>8640</v>
      </c>
      <c r="DA24">
        <v>95225</v>
      </c>
      <c r="DB24">
        <v>2504</v>
      </c>
      <c r="DC24">
        <v>196702</v>
      </c>
      <c r="DD24">
        <v>0</v>
      </c>
      <c r="DE24">
        <v>16472</v>
      </c>
      <c r="DF24">
        <v>243200</v>
      </c>
      <c r="DG24">
        <v>37952</v>
      </c>
      <c r="DH24">
        <v>15968</v>
      </c>
      <c r="DI24">
        <v>0</v>
      </c>
      <c r="DJ24">
        <v>102150</v>
      </c>
      <c r="DK24">
        <v>0</v>
      </c>
      <c r="DL24">
        <v>118096</v>
      </c>
      <c r="DM24">
        <v>182096</v>
      </c>
      <c r="DN24">
        <v>33007</v>
      </c>
      <c r="DO24">
        <v>7650</v>
      </c>
      <c r="DP24">
        <v>896</v>
      </c>
      <c r="DQ24">
        <v>69312</v>
      </c>
      <c r="DR24">
        <v>46256</v>
      </c>
      <c r="DS24">
        <v>224928</v>
      </c>
      <c r="DT24">
        <v>86400</v>
      </c>
      <c r="DU24">
        <v>0</v>
      </c>
      <c r="DX24" s="69">
        <v>1787353</v>
      </c>
      <c r="DY24" s="69">
        <v>56968</v>
      </c>
      <c r="DZ24" s="69">
        <v>119376</v>
      </c>
      <c r="EA24" s="69">
        <v>470862</v>
      </c>
      <c r="EB24" s="69">
        <v>88254</v>
      </c>
      <c r="EC24" s="69">
        <v>0</v>
      </c>
      <c r="ED24" s="69">
        <v>36338</v>
      </c>
      <c r="EE24" s="69">
        <v>322847</v>
      </c>
      <c r="EF24" s="69">
        <v>10531</v>
      </c>
      <c r="EG24" s="69">
        <v>465674</v>
      </c>
      <c r="EH24" s="69">
        <v>0</v>
      </c>
      <c r="EI24" s="69">
        <v>29897</v>
      </c>
      <c r="EJ24" s="69">
        <v>508314</v>
      </c>
      <c r="EK24" s="69">
        <v>71390</v>
      </c>
      <c r="EL24" s="69">
        <v>55296</v>
      </c>
      <c r="EM24" s="69">
        <v>0</v>
      </c>
      <c r="EN24" s="69">
        <v>133558</v>
      </c>
      <c r="EO24" s="69">
        <v>0</v>
      </c>
      <c r="EP24" s="69">
        <v>784470</v>
      </c>
      <c r="EQ24" s="69">
        <v>441124</v>
      </c>
      <c r="ER24" s="69">
        <v>56135</v>
      </c>
      <c r="ES24" s="69">
        <v>32175</v>
      </c>
      <c r="ET24" s="69">
        <v>3769</v>
      </c>
      <c r="EU24" s="69">
        <v>449416</v>
      </c>
      <c r="EV24" s="69">
        <v>154055</v>
      </c>
      <c r="EW24" s="69">
        <v>551664</v>
      </c>
      <c r="EX24" s="69">
        <v>284188</v>
      </c>
      <c r="EY24" s="69">
        <v>0</v>
      </c>
      <c r="EZ24" s="69"/>
      <c r="FA24" s="69"/>
      <c r="FB24" s="69">
        <v>5126301</v>
      </c>
      <c r="FC24" s="69">
        <v>0</v>
      </c>
      <c r="FD24" s="69">
        <v>0</v>
      </c>
      <c r="FE24" s="69">
        <v>0</v>
      </c>
      <c r="FF24" s="69">
        <v>0</v>
      </c>
      <c r="FG24" s="69">
        <v>0</v>
      </c>
      <c r="FH24" s="69">
        <v>0</v>
      </c>
      <c r="FI24" s="69">
        <v>0</v>
      </c>
      <c r="FJ24" s="69">
        <v>0</v>
      </c>
      <c r="FK24" s="69">
        <v>0</v>
      </c>
      <c r="FL24" s="69">
        <v>0</v>
      </c>
      <c r="FM24" s="69">
        <v>0</v>
      </c>
      <c r="FN24" s="69">
        <v>0</v>
      </c>
      <c r="FO24" s="69">
        <v>0</v>
      </c>
      <c r="FP24" s="69">
        <v>0</v>
      </c>
      <c r="FQ24" s="69">
        <v>0</v>
      </c>
      <c r="FR24" s="69">
        <v>0</v>
      </c>
      <c r="FS24" s="69">
        <v>0</v>
      </c>
      <c r="FT24" s="69">
        <v>0</v>
      </c>
      <c r="FU24" s="69">
        <v>0</v>
      </c>
      <c r="FV24" s="69">
        <v>0</v>
      </c>
      <c r="FW24" s="69">
        <v>0</v>
      </c>
      <c r="FX24" s="69">
        <v>0</v>
      </c>
      <c r="FY24" s="69">
        <v>0</v>
      </c>
      <c r="FZ24" s="69">
        <v>0</v>
      </c>
      <c r="GA24" s="69">
        <v>0</v>
      </c>
      <c r="GB24" s="69">
        <v>0</v>
      </c>
      <c r="GC24" s="69">
        <v>0</v>
      </c>
      <c r="GD24" s="69"/>
      <c r="GE24" s="69"/>
      <c r="GF24" s="69">
        <v>0</v>
      </c>
      <c r="GG24" s="69">
        <v>0</v>
      </c>
      <c r="GH24" s="69">
        <v>0</v>
      </c>
      <c r="GI24" s="69">
        <v>0</v>
      </c>
      <c r="GJ24" s="69">
        <v>0</v>
      </c>
      <c r="GK24" s="69">
        <v>0</v>
      </c>
      <c r="GL24" s="69">
        <v>0</v>
      </c>
      <c r="GM24" s="69">
        <v>0</v>
      </c>
      <c r="GN24" s="69">
        <v>0</v>
      </c>
      <c r="GO24" s="69">
        <v>0</v>
      </c>
      <c r="GP24" s="69">
        <v>0</v>
      </c>
      <c r="GQ24" s="69">
        <v>0</v>
      </c>
      <c r="GR24" s="69">
        <v>0</v>
      </c>
      <c r="GS24" s="69">
        <v>0</v>
      </c>
      <c r="GT24" s="69">
        <v>0</v>
      </c>
      <c r="GU24" s="69">
        <v>0</v>
      </c>
      <c r="GV24" s="69">
        <v>0</v>
      </c>
      <c r="GW24" s="69">
        <v>0</v>
      </c>
      <c r="GX24" s="69">
        <v>0</v>
      </c>
      <c r="GY24" s="69">
        <v>0</v>
      </c>
      <c r="GZ24" s="69">
        <v>0</v>
      </c>
      <c r="HA24" s="69">
        <v>0</v>
      </c>
      <c r="HB24" s="69">
        <v>0</v>
      </c>
      <c r="HC24" s="69">
        <v>0</v>
      </c>
      <c r="HD24" s="69">
        <v>0</v>
      </c>
      <c r="HE24" s="69">
        <v>0</v>
      </c>
      <c r="HF24" s="69">
        <v>0</v>
      </c>
      <c r="HG24" s="69">
        <v>0</v>
      </c>
      <c r="HH24" s="69"/>
      <c r="HI24" s="69"/>
      <c r="HJ24" s="69">
        <v>97556</v>
      </c>
      <c r="HK24" s="69">
        <v>10209</v>
      </c>
      <c r="HL24" s="69">
        <v>18911</v>
      </c>
      <c r="HM24" s="69">
        <v>24264</v>
      </c>
      <c r="HN24" s="69">
        <v>913</v>
      </c>
      <c r="HO24" s="69">
        <v>0</v>
      </c>
      <c r="HP24" s="69">
        <v>10067</v>
      </c>
      <c r="HQ24" s="69">
        <v>36227</v>
      </c>
      <c r="HR24" s="69">
        <v>3035</v>
      </c>
      <c r="HS24" s="69">
        <v>19361</v>
      </c>
      <c r="HT24" s="69">
        <v>0</v>
      </c>
      <c r="HU24" s="69">
        <v>1046</v>
      </c>
      <c r="HV24" s="69">
        <v>9327</v>
      </c>
      <c r="HW24" s="69">
        <v>959</v>
      </c>
      <c r="HX24" s="69">
        <v>4467</v>
      </c>
      <c r="HY24" s="69">
        <v>0</v>
      </c>
      <c r="HZ24" s="69">
        <v>17654</v>
      </c>
      <c r="IA24" s="69">
        <v>0</v>
      </c>
      <c r="IB24" s="69">
        <v>35778</v>
      </c>
      <c r="IC24" s="69">
        <v>3937</v>
      </c>
      <c r="ID24" s="69">
        <v>9118</v>
      </c>
      <c r="IE24" s="69">
        <v>8914</v>
      </c>
      <c r="IF24" s="69">
        <v>1044</v>
      </c>
      <c r="IG24" s="69">
        <v>18794</v>
      </c>
      <c r="IH24" s="69">
        <v>35402</v>
      </c>
      <c r="II24" s="69">
        <v>5768</v>
      </c>
      <c r="IJ24" s="69">
        <v>24576</v>
      </c>
      <c r="IK24" s="69">
        <v>0</v>
      </c>
      <c r="IL24" s="69"/>
      <c r="IM24" s="69"/>
      <c r="IN24" s="69">
        <v>299771</v>
      </c>
      <c r="IO24" s="69">
        <v>10209</v>
      </c>
      <c r="IP24" s="69">
        <v>18911</v>
      </c>
      <c r="IQ24" s="69">
        <v>24264</v>
      </c>
      <c r="IR24" s="69">
        <v>913</v>
      </c>
      <c r="IS24" s="69">
        <v>0</v>
      </c>
      <c r="IT24" s="69">
        <v>10067</v>
      </c>
      <c r="IU24" s="69">
        <v>36227</v>
      </c>
      <c r="IV24" s="69">
        <v>3035</v>
      </c>
      <c r="IW24" s="69">
        <v>19361</v>
      </c>
      <c r="IX24" s="69">
        <v>0</v>
      </c>
      <c r="IY24" s="69">
        <v>1046</v>
      </c>
      <c r="IZ24" s="69">
        <v>9327</v>
      </c>
      <c r="JA24" s="69">
        <v>959</v>
      </c>
      <c r="JB24" s="69">
        <v>4467</v>
      </c>
      <c r="JC24" s="69">
        <v>0</v>
      </c>
      <c r="JD24" s="69">
        <v>17654</v>
      </c>
      <c r="JE24" s="69">
        <v>0</v>
      </c>
      <c r="JF24" s="69">
        <v>35778</v>
      </c>
      <c r="JG24" s="69">
        <v>3937</v>
      </c>
      <c r="JH24" s="69">
        <v>9118</v>
      </c>
      <c r="JI24" s="69">
        <v>8914</v>
      </c>
      <c r="JJ24" s="69">
        <v>1044</v>
      </c>
      <c r="JK24" s="69">
        <v>18794</v>
      </c>
      <c r="JL24" s="69">
        <v>35402</v>
      </c>
      <c r="JM24" s="69">
        <v>5768</v>
      </c>
      <c r="JN24" s="69">
        <v>24576</v>
      </c>
      <c r="JO24" s="69">
        <v>0</v>
      </c>
      <c r="JP24" s="69"/>
      <c r="JQ24" s="69"/>
      <c r="JR24" s="69">
        <v>397327</v>
      </c>
      <c r="JS24" s="69">
        <v>67177</v>
      </c>
      <c r="JT24" s="69">
        <v>138287</v>
      </c>
      <c r="JU24" s="69">
        <v>495126</v>
      </c>
      <c r="JV24" s="69">
        <v>89167</v>
      </c>
      <c r="JW24" s="69">
        <v>0</v>
      </c>
      <c r="JX24" s="69">
        <v>46405</v>
      </c>
      <c r="JY24" s="69">
        <v>359074</v>
      </c>
      <c r="JZ24" s="69">
        <v>13566</v>
      </c>
      <c r="KA24" s="69">
        <v>485035</v>
      </c>
      <c r="KB24" s="69">
        <v>0</v>
      </c>
      <c r="KC24" s="69">
        <v>30943</v>
      </c>
      <c r="KD24" s="69">
        <v>517641</v>
      </c>
      <c r="KE24" s="69">
        <v>72349</v>
      </c>
      <c r="KF24" s="69">
        <v>59763</v>
      </c>
      <c r="KG24" s="69">
        <v>0</v>
      </c>
      <c r="KH24" s="69">
        <v>151212</v>
      </c>
      <c r="KI24" s="69">
        <v>0</v>
      </c>
      <c r="KJ24" s="69">
        <v>820248</v>
      </c>
      <c r="KK24" s="69">
        <v>445061</v>
      </c>
      <c r="KL24" s="69">
        <v>65253</v>
      </c>
      <c r="KM24" s="69">
        <v>41089</v>
      </c>
      <c r="KN24" s="69">
        <v>4813</v>
      </c>
      <c r="KO24" s="69">
        <v>468210</v>
      </c>
      <c r="KP24" s="69">
        <v>189457</v>
      </c>
      <c r="KQ24" s="69">
        <v>557432</v>
      </c>
      <c r="KR24" s="69">
        <v>308764</v>
      </c>
      <c r="KS24" s="69">
        <v>0</v>
      </c>
      <c r="KT24" s="69"/>
      <c r="KU24" s="69"/>
      <c r="KV24" s="69">
        <v>5523628</v>
      </c>
      <c r="KW24" s="69"/>
    </row>
    <row r="25" spans="1:309" x14ac:dyDescent="0.25">
      <c r="A25" t="s">
        <v>442</v>
      </c>
      <c r="C25" t="s">
        <v>1088</v>
      </c>
      <c r="D25" t="s">
        <v>1131</v>
      </c>
      <c r="E25" s="2">
        <v>39797.603819444397</v>
      </c>
      <c r="G25" t="s">
        <v>443</v>
      </c>
      <c r="L25">
        <v>0</v>
      </c>
      <c r="M25">
        <v>0</v>
      </c>
      <c r="N25">
        <v>0</v>
      </c>
      <c r="O25">
        <v>191043941</v>
      </c>
      <c r="P25" s="69">
        <v>0</v>
      </c>
      <c r="Q25" s="69">
        <v>2088592</v>
      </c>
      <c r="R25">
        <v>0</v>
      </c>
      <c r="S25">
        <v>2088592</v>
      </c>
      <c r="T25">
        <v>22329202</v>
      </c>
      <c r="U25">
        <v>17685062</v>
      </c>
      <c r="V25">
        <v>10923342</v>
      </c>
      <c r="W25">
        <v>0</v>
      </c>
      <c r="X25">
        <v>0</v>
      </c>
      <c r="Y25">
        <v>0</v>
      </c>
      <c r="Z25">
        <v>50937606</v>
      </c>
      <c r="AA25">
        <v>18088740</v>
      </c>
      <c r="AB25">
        <v>1733234</v>
      </c>
      <c r="AC25">
        <v>5855006</v>
      </c>
      <c r="AD25">
        <v>0</v>
      </c>
      <c r="AE25">
        <v>0</v>
      </c>
      <c r="AF25">
        <v>3945262</v>
      </c>
      <c r="AG25">
        <v>29622242</v>
      </c>
      <c r="AH25">
        <v>40417942</v>
      </c>
      <c r="AI25">
        <v>19418296</v>
      </c>
      <c r="AJ25">
        <v>16778348</v>
      </c>
      <c r="AK25">
        <v>0</v>
      </c>
      <c r="AL25">
        <v>0</v>
      </c>
      <c r="AM25">
        <v>3945262</v>
      </c>
      <c r="AN25">
        <v>80559848</v>
      </c>
      <c r="AO25">
        <v>29072</v>
      </c>
      <c r="AP25">
        <v>0</v>
      </c>
      <c r="AQ25">
        <v>589888</v>
      </c>
      <c r="AR25">
        <v>0</v>
      </c>
      <c r="AS25">
        <v>618960</v>
      </c>
      <c r="AT25">
        <v>20137</v>
      </c>
      <c r="AU25">
        <v>0</v>
      </c>
      <c r="AV25">
        <v>482581</v>
      </c>
      <c r="AW25">
        <v>643908</v>
      </c>
      <c r="AX25">
        <v>1146626</v>
      </c>
      <c r="AY25">
        <v>49209</v>
      </c>
      <c r="AZ25">
        <v>0</v>
      </c>
      <c r="BA25">
        <v>1072469</v>
      </c>
      <c r="BB25">
        <v>643908</v>
      </c>
      <c r="BC25">
        <v>1765586</v>
      </c>
      <c r="BD25">
        <v>1428801</v>
      </c>
      <c r="BE25">
        <v>0</v>
      </c>
      <c r="BF25">
        <v>0</v>
      </c>
      <c r="BG25">
        <v>0</v>
      </c>
      <c r="BH25">
        <v>0</v>
      </c>
      <c r="BI25">
        <v>1428801</v>
      </c>
      <c r="BJ25">
        <v>0</v>
      </c>
      <c r="BK25">
        <v>0</v>
      </c>
      <c r="BL25">
        <v>57882</v>
      </c>
      <c r="BM25">
        <v>0</v>
      </c>
      <c r="BN25">
        <v>0</v>
      </c>
      <c r="BO25">
        <v>57882</v>
      </c>
      <c r="BP25">
        <v>25430609</v>
      </c>
      <c r="BQ25">
        <v>0</v>
      </c>
      <c r="BR25">
        <v>0</v>
      </c>
      <c r="BS25">
        <v>0</v>
      </c>
      <c r="BT25">
        <v>569444</v>
      </c>
      <c r="BU25">
        <v>26000053</v>
      </c>
      <c r="BV25">
        <v>26859410</v>
      </c>
      <c r="BW25">
        <v>0</v>
      </c>
      <c r="BX25">
        <v>57882</v>
      </c>
      <c r="BY25">
        <v>0</v>
      </c>
      <c r="BZ25">
        <v>569444</v>
      </c>
      <c r="CA25">
        <v>27486736</v>
      </c>
      <c r="CB25">
        <v>0</v>
      </c>
      <c r="CC25">
        <v>0</v>
      </c>
      <c r="CD25">
        <v>0</v>
      </c>
      <c r="CE25">
        <v>0</v>
      </c>
      <c r="CF25">
        <v>0</v>
      </c>
      <c r="CG25">
        <v>0</v>
      </c>
      <c r="CH25">
        <v>0</v>
      </c>
      <c r="CI25">
        <v>0</v>
      </c>
      <c r="CJ25">
        <v>0</v>
      </c>
      <c r="CK25">
        <v>0</v>
      </c>
      <c r="CL25">
        <v>0</v>
      </c>
      <c r="CM25">
        <v>0</v>
      </c>
      <c r="CN25">
        <v>0</v>
      </c>
      <c r="CO25">
        <v>0</v>
      </c>
      <c r="CP25">
        <v>0</v>
      </c>
      <c r="CQ25">
        <v>0</v>
      </c>
      <c r="CR25">
        <v>10633</v>
      </c>
      <c r="CS25">
        <v>3069743</v>
      </c>
      <c r="CT25">
        <v>0</v>
      </c>
      <c r="CU25">
        <v>81920</v>
      </c>
      <c r="CV25">
        <v>236066</v>
      </c>
      <c r="CW25">
        <v>2506800</v>
      </c>
      <c r="CX25">
        <v>1703174</v>
      </c>
      <c r="CY25">
        <v>0</v>
      </c>
      <c r="CZ25">
        <v>496224</v>
      </c>
      <c r="DA25">
        <v>274116</v>
      </c>
      <c r="DB25">
        <v>329301</v>
      </c>
      <c r="DC25">
        <v>705814</v>
      </c>
      <c r="DD25">
        <v>15232</v>
      </c>
      <c r="DE25">
        <v>536526</v>
      </c>
      <c r="DF25">
        <v>3412552</v>
      </c>
      <c r="DG25">
        <v>398124</v>
      </c>
      <c r="DH25">
        <v>383198</v>
      </c>
      <c r="DI25">
        <v>0</v>
      </c>
      <c r="DJ25">
        <v>699887</v>
      </c>
      <c r="DK25">
        <v>51072</v>
      </c>
      <c r="DL25">
        <v>124848</v>
      </c>
      <c r="DM25">
        <v>2002740</v>
      </c>
      <c r="DN25">
        <v>235032</v>
      </c>
      <c r="DO25">
        <v>176362</v>
      </c>
      <c r="DP25">
        <v>109948</v>
      </c>
      <c r="DQ25">
        <v>41728</v>
      </c>
      <c r="DR25">
        <v>349424</v>
      </c>
      <c r="DS25">
        <v>3462752</v>
      </c>
      <c r="DT25">
        <v>982396</v>
      </c>
      <c r="DU25">
        <v>0</v>
      </c>
      <c r="DX25" s="69">
        <v>19315236</v>
      </c>
      <c r="DY25" s="69">
        <v>244844</v>
      </c>
      <c r="DZ25" s="69">
        <v>699465</v>
      </c>
      <c r="EA25" s="69">
        <v>7182699</v>
      </c>
      <c r="EB25" s="69">
        <v>5283590</v>
      </c>
      <c r="EC25" s="69">
        <v>0</v>
      </c>
      <c r="ED25" s="69">
        <v>976901</v>
      </c>
      <c r="EE25" s="69">
        <v>3041824</v>
      </c>
      <c r="EF25" s="69">
        <v>931536</v>
      </c>
      <c r="EG25" s="69">
        <v>1977568</v>
      </c>
      <c r="EH25" s="69">
        <v>54764</v>
      </c>
      <c r="EI25" s="69">
        <v>1893027</v>
      </c>
      <c r="EJ25" s="69">
        <v>13030059</v>
      </c>
      <c r="EK25" s="69">
        <v>1337204</v>
      </c>
      <c r="EL25" s="69">
        <v>2187019</v>
      </c>
      <c r="EM25" s="69">
        <v>0</v>
      </c>
      <c r="EN25" s="69">
        <v>3942128</v>
      </c>
      <c r="EO25" s="69">
        <v>419657</v>
      </c>
      <c r="EP25" s="69">
        <v>958842</v>
      </c>
      <c r="EQ25" s="69">
        <v>6134976</v>
      </c>
      <c r="ER25" s="69">
        <v>1099975</v>
      </c>
      <c r="ES25" s="69">
        <v>1142330</v>
      </c>
      <c r="ET25" s="69">
        <v>433039</v>
      </c>
      <c r="EU25" s="69">
        <v>189820</v>
      </c>
      <c r="EV25" s="69">
        <v>1253215</v>
      </c>
      <c r="EW25" s="69">
        <v>9966662</v>
      </c>
      <c r="EX25" s="69">
        <v>3848102</v>
      </c>
      <c r="EY25" s="69">
        <v>0</v>
      </c>
      <c r="EZ25" s="69"/>
      <c r="FA25" s="69"/>
      <c r="FB25" s="69">
        <v>68229246</v>
      </c>
      <c r="FC25" s="69">
        <v>32403</v>
      </c>
      <c r="FD25" s="69">
        <v>84472</v>
      </c>
      <c r="FE25" s="69">
        <v>731029</v>
      </c>
      <c r="FF25" s="69">
        <v>618824</v>
      </c>
      <c r="FG25" s="69">
        <v>0</v>
      </c>
      <c r="FH25" s="69">
        <v>357369</v>
      </c>
      <c r="FI25" s="69">
        <v>393354</v>
      </c>
      <c r="FJ25" s="69">
        <v>276574</v>
      </c>
      <c r="FK25" s="69">
        <v>152263</v>
      </c>
      <c r="FL25" s="69">
        <v>5874</v>
      </c>
      <c r="FM25" s="69">
        <v>203051</v>
      </c>
      <c r="FN25" s="69">
        <v>1228897</v>
      </c>
      <c r="FO25" s="69">
        <v>165116</v>
      </c>
      <c r="FP25" s="69">
        <v>78527</v>
      </c>
      <c r="FQ25" s="69">
        <v>0</v>
      </c>
      <c r="FR25" s="69">
        <v>532398</v>
      </c>
      <c r="FS25" s="69">
        <v>57125</v>
      </c>
      <c r="FT25" s="69">
        <v>77962</v>
      </c>
      <c r="FU25" s="69">
        <v>353792</v>
      </c>
      <c r="FV25" s="69">
        <v>141048</v>
      </c>
      <c r="FW25" s="69">
        <v>383641</v>
      </c>
      <c r="FX25" s="69">
        <v>4239</v>
      </c>
      <c r="FY25" s="69">
        <v>82849</v>
      </c>
      <c r="FZ25" s="69">
        <v>406791</v>
      </c>
      <c r="GA25" s="69">
        <v>428785</v>
      </c>
      <c r="GB25" s="69">
        <v>750549</v>
      </c>
      <c r="GC25" s="69">
        <v>0</v>
      </c>
      <c r="GD25" s="69"/>
      <c r="GE25" s="69"/>
      <c r="GF25" s="69">
        <v>7546932</v>
      </c>
      <c r="GG25" s="69">
        <v>11231</v>
      </c>
      <c r="GH25" s="69">
        <v>31758</v>
      </c>
      <c r="GI25" s="69">
        <v>320590</v>
      </c>
      <c r="GJ25" s="69">
        <v>239111</v>
      </c>
      <c r="GK25" s="69">
        <v>0</v>
      </c>
      <c r="GL25" s="69">
        <v>54052</v>
      </c>
      <c r="GM25" s="69">
        <v>139161</v>
      </c>
      <c r="GN25" s="69">
        <v>48941</v>
      </c>
      <c r="GO25" s="69">
        <v>86281</v>
      </c>
      <c r="GP25" s="69">
        <v>2456</v>
      </c>
      <c r="GQ25" s="69">
        <v>84914</v>
      </c>
      <c r="GR25" s="69">
        <v>577640</v>
      </c>
      <c r="GS25" s="69">
        <v>60860</v>
      </c>
      <c r="GT25" s="69">
        <v>91779</v>
      </c>
      <c r="GU25" s="69">
        <v>0</v>
      </c>
      <c r="GV25" s="69">
        <v>181266</v>
      </c>
      <c r="GW25" s="69">
        <v>19315</v>
      </c>
      <c r="GX25" s="69">
        <v>42002</v>
      </c>
      <c r="GY25" s="69">
        <v>262864</v>
      </c>
      <c r="GZ25" s="69">
        <v>50275</v>
      </c>
      <c r="HA25" s="69">
        <v>61818</v>
      </c>
      <c r="HB25" s="69">
        <v>17714</v>
      </c>
      <c r="HC25" s="69">
        <v>11046</v>
      </c>
      <c r="HD25" s="69">
        <v>67248</v>
      </c>
      <c r="HE25" s="69">
        <v>421126</v>
      </c>
      <c r="HF25" s="69">
        <v>186294</v>
      </c>
      <c r="HG25" s="69">
        <v>0</v>
      </c>
      <c r="HH25" s="69"/>
      <c r="HI25" s="69"/>
      <c r="HJ25" s="69">
        <v>3069743</v>
      </c>
      <c r="HK25" s="69">
        <v>46205</v>
      </c>
      <c r="HL25" s="69">
        <v>198765</v>
      </c>
      <c r="HM25" s="69">
        <v>444147</v>
      </c>
      <c r="HN25" s="69">
        <v>325946</v>
      </c>
      <c r="HO25" s="69">
        <v>0</v>
      </c>
      <c r="HP25" s="69">
        <v>118229</v>
      </c>
      <c r="HQ25" s="69">
        <v>683846</v>
      </c>
      <c r="HR25" s="69">
        <v>443257</v>
      </c>
      <c r="HS25" s="69">
        <v>320312</v>
      </c>
      <c r="HT25" s="69">
        <v>11922</v>
      </c>
      <c r="HU25" s="69">
        <v>412096</v>
      </c>
      <c r="HV25" s="69">
        <v>381385</v>
      </c>
      <c r="HW25" s="69">
        <v>23167</v>
      </c>
      <c r="HX25" s="69">
        <v>97570</v>
      </c>
      <c r="HY25" s="69">
        <v>0</v>
      </c>
      <c r="HZ25" s="69">
        <v>452350</v>
      </c>
      <c r="IA25" s="69">
        <v>22694</v>
      </c>
      <c r="IB25" s="69">
        <v>51273</v>
      </c>
      <c r="IC25" s="69">
        <v>137827</v>
      </c>
      <c r="ID25" s="69">
        <v>110996</v>
      </c>
      <c r="IE25" s="69">
        <v>330407</v>
      </c>
      <c r="IF25" s="69">
        <v>41998</v>
      </c>
      <c r="IG25" s="69">
        <v>16453</v>
      </c>
      <c r="IH25" s="69">
        <v>203743</v>
      </c>
      <c r="II25" s="69">
        <v>270353</v>
      </c>
      <c r="IJ25" s="69">
        <v>310931</v>
      </c>
      <c r="IK25" s="69">
        <v>0</v>
      </c>
      <c r="IL25" s="69"/>
      <c r="IM25" s="69"/>
      <c r="IN25" s="69">
        <v>5455872</v>
      </c>
      <c r="IO25" s="69">
        <v>89839</v>
      </c>
      <c r="IP25" s="69">
        <v>314995</v>
      </c>
      <c r="IQ25" s="69">
        <v>1495766</v>
      </c>
      <c r="IR25" s="69">
        <v>1183881</v>
      </c>
      <c r="IS25" s="69">
        <v>0</v>
      </c>
      <c r="IT25" s="69">
        <v>529650</v>
      </c>
      <c r="IU25" s="69">
        <v>1216361</v>
      </c>
      <c r="IV25" s="69">
        <v>768772</v>
      </c>
      <c r="IW25" s="69">
        <v>558856</v>
      </c>
      <c r="IX25" s="69">
        <v>20252</v>
      </c>
      <c r="IY25" s="69">
        <v>700061</v>
      </c>
      <c r="IZ25" s="69">
        <v>2187922</v>
      </c>
      <c r="JA25" s="69">
        <v>249143</v>
      </c>
      <c r="JB25" s="69">
        <v>267876</v>
      </c>
      <c r="JC25" s="69">
        <v>0</v>
      </c>
      <c r="JD25" s="69">
        <v>1166014</v>
      </c>
      <c r="JE25" s="69">
        <v>99134</v>
      </c>
      <c r="JF25" s="69">
        <v>171237</v>
      </c>
      <c r="JG25" s="69">
        <v>754483</v>
      </c>
      <c r="JH25" s="69">
        <v>302319</v>
      </c>
      <c r="JI25" s="69">
        <v>775866</v>
      </c>
      <c r="JJ25" s="69">
        <v>63951</v>
      </c>
      <c r="JK25" s="69">
        <v>110348</v>
      </c>
      <c r="JL25" s="69">
        <v>677782</v>
      </c>
      <c r="JM25" s="69">
        <v>1120264</v>
      </c>
      <c r="JN25" s="69">
        <v>1247774</v>
      </c>
      <c r="JO25" s="69">
        <v>0</v>
      </c>
      <c r="JP25" s="69"/>
      <c r="JQ25" s="69"/>
      <c r="JR25" s="69">
        <v>16072547</v>
      </c>
      <c r="JS25" s="69">
        <v>334683</v>
      </c>
      <c r="JT25" s="69">
        <v>1014460</v>
      </c>
      <c r="JU25" s="69">
        <v>8678465</v>
      </c>
      <c r="JV25" s="69">
        <v>6467471</v>
      </c>
      <c r="JW25" s="69">
        <v>0</v>
      </c>
      <c r="JX25" s="69">
        <v>1506551</v>
      </c>
      <c r="JY25" s="69">
        <v>4258185</v>
      </c>
      <c r="JZ25" s="69">
        <v>1700308</v>
      </c>
      <c r="KA25" s="69">
        <v>2536424</v>
      </c>
      <c r="KB25" s="69">
        <v>75016</v>
      </c>
      <c r="KC25" s="69">
        <v>2593088</v>
      </c>
      <c r="KD25" s="69">
        <v>15217981</v>
      </c>
      <c r="KE25" s="69">
        <v>1586347</v>
      </c>
      <c r="KF25" s="69">
        <v>2454895</v>
      </c>
      <c r="KG25" s="69">
        <v>0</v>
      </c>
      <c r="KH25" s="69">
        <v>5108142</v>
      </c>
      <c r="KI25" s="69">
        <v>518791</v>
      </c>
      <c r="KJ25" s="69">
        <v>1130079</v>
      </c>
      <c r="KK25" s="69">
        <v>6889459</v>
      </c>
      <c r="KL25" s="69">
        <v>1402294</v>
      </c>
      <c r="KM25" s="69">
        <v>1918196</v>
      </c>
      <c r="KN25" s="69">
        <v>496990</v>
      </c>
      <c r="KO25" s="69">
        <v>300168</v>
      </c>
      <c r="KP25" s="69">
        <v>1930997</v>
      </c>
      <c r="KQ25" s="69">
        <v>11086926</v>
      </c>
      <c r="KR25" s="69">
        <v>5095876</v>
      </c>
      <c r="KS25" s="69">
        <v>0</v>
      </c>
      <c r="KT25" s="69"/>
      <c r="KU25" s="69"/>
      <c r="KV25" s="69">
        <v>84301793</v>
      </c>
      <c r="KW25" s="69"/>
    </row>
    <row r="26" spans="1:309" ht="15" customHeight="1" x14ac:dyDescent="0.25">
      <c r="A26" t="s">
        <v>374</v>
      </c>
      <c r="C26" t="s">
        <v>1088</v>
      </c>
      <c r="D26" t="s">
        <v>1099</v>
      </c>
      <c r="E26" s="2">
        <v>39797.3695717593</v>
      </c>
      <c r="G26" t="s">
        <v>375</v>
      </c>
      <c r="L26">
        <v>0</v>
      </c>
      <c r="M26">
        <v>0</v>
      </c>
      <c r="N26">
        <v>0</v>
      </c>
      <c r="O26">
        <v>18223730</v>
      </c>
      <c r="P26" s="69">
        <v>0</v>
      </c>
      <c r="Q26" s="69">
        <v>331953</v>
      </c>
      <c r="R26">
        <v>0</v>
      </c>
      <c r="S26">
        <v>331953</v>
      </c>
      <c r="T26">
        <v>1833173</v>
      </c>
      <c r="U26">
        <v>1334608</v>
      </c>
      <c r="V26">
        <v>883799</v>
      </c>
      <c r="W26">
        <v>0</v>
      </c>
      <c r="X26">
        <v>0</v>
      </c>
      <c r="Y26">
        <v>0</v>
      </c>
      <c r="Z26">
        <v>4051580</v>
      </c>
      <c r="AA26">
        <v>1611654</v>
      </c>
      <c r="AB26">
        <v>219207</v>
      </c>
      <c r="AC26">
        <v>293733</v>
      </c>
      <c r="AD26">
        <v>0</v>
      </c>
      <c r="AE26">
        <v>0</v>
      </c>
      <c r="AF26">
        <v>381758</v>
      </c>
      <c r="AG26">
        <v>2506352</v>
      </c>
      <c r="AH26">
        <v>3444827</v>
      </c>
      <c r="AI26">
        <v>1553815</v>
      </c>
      <c r="AJ26">
        <v>1177532</v>
      </c>
      <c r="AK26">
        <v>0</v>
      </c>
      <c r="AL26">
        <v>0</v>
      </c>
      <c r="AM26">
        <v>381758</v>
      </c>
      <c r="AN26">
        <v>6557932</v>
      </c>
      <c r="AO26">
        <v>0</v>
      </c>
      <c r="AP26">
        <v>0</v>
      </c>
      <c r="AQ26">
        <v>0</v>
      </c>
      <c r="AR26">
        <v>0</v>
      </c>
      <c r="AS26">
        <v>0</v>
      </c>
      <c r="AT26">
        <v>0</v>
      </c>
      <c r="AU26">
        <v>0</v>
      </c>
      <c r="AV26">
        <v>0</v>
      </c>
      <c r="AW26">
        <v>0</v>
      </c>
      <c r="AX26">
        <v>0</v>
      </c>
      <c r="AY26">
        <v>0</v>
      </c>
      <c r="AZ26">
        <v>0</v>
      </c>
      <c r="BA26">
        <v>0</v>
      </c>
      <c r="BB26">
        <v>0</v>
      </c>
      <c r="BC26">
        <v>0</v>
      </c>
      <c r="BD26">
        <v>687447</v>
      </c>
      <c r="BE26">
        <v>0</v>
      </c>
      <c r="BF26">
        <v>0</v>
      </c>
      <c r="BG26">
        <v>0</v>
      </c>
      <c r="BH26">
        <v>0</v>
      </c>
      <c r="BI26">
        <v>687447</v>
      </c>
      <c r="BJ26">
        <v>0</v>
      </c>
      <c r="BK26">
        <v>0</v>
      </c>
      <c r="BL26">
        <v>228561</v>
      </c>
      <c r="BM26">
        <v>0</v>
      </c>
      <c r="BN26">
        <v>0</v>
      </c>
      <c r="BO26">
        <v>228561</v>
      </c>
      <c r="BP26">
        <v>2123580</v>
      </c>
      <c r="BQ26">
        <v>0</v>
      </c>
      <c r="BR26">
        <v>0</v>
      </c>
      <c r="BS26">
        <v>0</v>
      </c>
      <c r="BT26">
        <v>0</v>
      </c>
      <c r="BU26">
        <v>2123580</v>
      </c>
      <c r="BV26">
        <v>2811027</v>
      </c>
      <c r="BW26">
        <v>0</v>
      </c>
      <c r="BX26">
        <v>228561</v>
      </c>
      <c r="BY26">
        <v>0</v>
      </c>
      <c r="BZ26">
        <v>0</v>
      </c>
      <c r="CA26">
        <v>3039588</v>
      </c>
      <c r="CB26">
        <v>0</v>
      </c>
      <c r="CC26">
        <v>0</v>
      </c>
      <c r="CD26">
        <v>0</v>
      </c>
      <c r="CE26">
        <v>0</v>
      </c>
      <c r="CF26">
        <v>0</v>
      </c>
      <c r="CG26">
        <v>0</v>
      </c>
      <c r="CH26">
        <v>0</v>
      </c>
      <c r="CI26">
        <v>0</v>
      </c>
      <c r="CJ26">
        <v>0</v>
      </c>
      <c r="CK26">
        <v>0</v>
      </c>
      <c r="CL26">
        <v>0</v>
      </c>
      <c r="CM26">
        <v>0</v>
      </c>
      <c r="CN26">
        <v>0</v>
      </c>
      <c r="CO26">
        <v>0</v>
      </c>
      <c r="CP26">
        <v>0</v>
      </c>
      <c r="CQ26">
        <v>0</v>
      </c>
      <c r="CR26">
        <v>3574</v>
      </c>
      <c r="CS26">
        <v>592717</v>
      </c>
      <c r="CT26">
        <v>0</v>
      </c>
      <c r="CU26">
        <v>95694</v>
      </c>
      <c r="CV26">
        <v>11612</v>
      </c>
      <c r="CW26">
        <v>143066</v>
      </c>
      <c r="CX26">
        <v>297969</v>
      </c>
      <c r="CY26">
        <v>0</v>
      </c>
      <c r="CZ26">
        <v>89299</v>
      </c>
      <c r="DA26">
        <v>137556</v>
      </c>
      <c r="DB26">
        <v>142257</v>
      </c>
      <c r="DC26">
        <v>206588</v>
      </c>
      <c r="DD26">
        <v>0</v>
      </c>
      <c r="DE26">
        <v>135133</v>
      </c>
      <c r="DF26">
        <v>194864</v>
      </c>
      <c r="DG26">
        <v>35478</v>
      </c>
      <c r="DH26">
        <v>25124</v>
      </c>
      <c r="DI26">
        <v>22544</v>
      </c>
      <c r="DJ26">
        <v>109517</v>
      </c>
      <c r="DK26">
        <v>12352</v>
      </c>
      <c r="DL26">
        <v>81216</v>
      </c>
      <c r="DM26">
        <v>116920</v>
      </c>
      <c r="DN26">
        <v>1226</v>
      </c>
      <c r="DO26">
        <v>8376</v>
      </c>
      <c r="DP26">
        <v>12825</v>
      </c>
      <c r="DQ26">
        <v>29808</v>
      </c>
      <c r="DR26">
        <v>112498</v>
      </c>
      <c r="DS26">
        <v>213638</v>
      </c>
      <c r="DT26">
        <v>54310</v>
      </c>
      <c r="DU26">
        <v>0</v>
      </c>
      <c r="DX26" s="69">
        <v>2289870</v>
      </c>
      <c r="DY26" s="69">
        <v>220532</v>
      </c>
      <c r="DZ26" s="69">
        <v>38891</v>
      </c>
      <c r="EA26" s="69">
        <v>379103</v>
      </c>
      <c r="EB26" s="69">
        <v>388472</v>
      </c>
      <c r="EC26" s="69">
        <v>0</v>
      </c>
      <c r="ED26" s="69">
        <v>113068</v>
      </c>
      <c r="EE26" s="69">
        <v>392472</v>
      </c>
      <c r="EF26" s="69">
        <v>621648</v>
      </c>
      <c r="EG26" s="69">
        <v>212769</v>
      </c>
      <c r="EH26" s="69">
        <v>0</v>
      </c>
      <c r="EI26" s="69">
        <v>218805</v>
      </c>
      <c r="EJ26" s="69">
        <v>950775</v>
      </c>
      <c r="EK26" s="69">
        <v>133108</v>
      </c>
      <c r="EL26" s="69">
        <v>193152</v>
      </c>
      <c r="EM26" s="69">
        <v>181759</v>
      </c>
      <c r="EN26" s="69">
        <v>386249</v>
      </c>
      <c r="EO26" s="69">
        <v>92688</v>
      </c>
      <c r="EP26" s="69">
        <v>347911</v>
      </c>
      <c r="EQ26" s="69">
        <v>248483</v>
      </c>
      <c r="ER26" s="69">
        <v>43403</v>
      </c>
      <c r="ES26" s="69">
        <v>12053</v>
      </c>
      <c r="ET26" s="69">
        <v>22160</v>
      </c>
      <c r="EU26" s="69">
        <v>437744</v>
      </c>
      <c r="EV26" s="69">
        <v>142526</v>
      </c>
      <c r="EW26" s="69">
        <v>517575</v>
      </c>
      <c r="EX26" s="69">
        <v>174204</v>
      </c>
      <c r="EY26" s="69">
        <v>0</v>
      </c>
      <c r="EZ26" s="69"/>
      <c r="FA26" s="69"/>
      <c r="FB26" s="69">
        <v>6469550</v>
      </c>
      <c r="FC26" s="69">
        <v>4832</v>
      </c>
      <c r="FD26" s="69">
        <v>0</v>
      </c>
      <c r="FE26" s="69">
        <v>25091</v>
      </c>
      <c r="FF26" s="69">
        <v>0</v>
      </c>
      <c r="FG26" s="69">
        <v>0</v>
      </c>
      <c r="FH26" s="69">
        <v>0</v>
      </c>
      <c r="FI26" s="69">
        <v>0</v>
      </c>
      <c r="FJ26" s="69">
        <v>0</v>
      </c>
      <c r="FK26" s="69">
        <v>1853</v>
      </c>
      <c r="FL26" s="69">
        <v>0</v>
      </c>
      <c r="FM26" s="69">
        <v>145135</v>
      </c>
      <c r="FN26" s="69">
        <v>272364</v>
      </c>
      <c r="FO26" s="69">
        <v>0</v>
      </c>
      <c r="FP26" s="69">
        <v>37006</v>
      </c>
      <c r="FQ26" s="69">
        <v>23675</v>
      </c>
      <c r="FR26" s="69">
        <v>0</v>
      </c>
      <c r="FS26" s="69">
        <v>0</v>
      </c>
      <c r="FT26" s="69">
        <v>0</v>
      </c>
      <c r="FU26" s="69">
        <v>0</v>
      </c>
      <c r="FV26" s="69">
        <v>0</v>
      </c>
      <c r="FW26" s="69">
        <v>10278</v>
      </c>
      <c r="FX26" s="69">
        <v>11478</v>
      </c>
      <c r="FY26" s="69">
        <v>2500</v>
      </c>
      <c r="FZ26" s="69">
        <v>162230</v>
      </c>
      <c r="GA26" s="69">
        <v>0</v>
      </c>
      <c r="GB26" s="69">
        <v>510</v>
      </c>
      <c r="GC26" s="69">
        <v>0</v>
      </c>
      <c r="GD26" s="69"/>
      <c r="GE26" s="69"/>
      <c r="GF26" s="69">
        <v>696952</v>
      </c>
      <c r="GG26" s="69">
        <v>18639</v>
      </c>
      <c r="GH26" s="69">
        <v>3217</v>
      </c>
      <c r="GI26" s="69">
        <v>33430</v>
      </c>
      <c r="GJ26" s="69">
        <v>32129</v>
      </c>
      <c r="GK26" s="69">
        <v>0</v>
      </c>
      <c r="GL26" s="69">
        <v>9351</v>
      </c>
      <c r="GM26" s="69">
        <v>32460</v>
      </c>
      <c r="GN26" s="69">
        <v>51414</v>
      </c>
      <c r="GO26" s="69">
        <v>17751</v>
      </c>
      <c r="GP26" s="69">
        <v>0</v>
      </c>
      <c r="GQ26" s="69">
        <v>30100</v>
      </c>
      <c r="GR26" s="69">
        <v>101162</v>
      </c>
      <c r="GS26" s="69">
        <v>11009</v>
      </c>
      <c r="GT26" s="69">
        <v>19036</v>
      </c>
      <c r="GU26" s="69">
        <v>16991</v>
      </c>
      <c r="GV26" s="69">
        <v>31945</v>
      </c>
      <c r="GW26" s="69">
        <v>7666</v>
      </c>
      <c r="GX26" s="69">
        <v>28775</v>
      </c>
      <c r="GY26" s="69">
        <v>20551</v>
      </c>
      <c r="GZ26" s="69">
        <v>3590</v>
      </c>
      <c r="HA26" s="69">
        <v>1847</v>
      </c>
      <c r="HB26" s="69">
        <v>2782</v>
      </c>
      <c r="HC26" s="69">
        <v>36411</v>
      </c>
      <c r="HD26" s="69">
        <v>25205</v>
      </c>
      <c r="HE26" s="69">
        <v>42807</v>
      </c>
      <c r="HF26" s="69">
        <v>14450</v>
      </c>
      <c r="HG26" s="69">
        <v>0</v>
      </c>
      <c r="HH26" s="69"/>
      <c r="HI26" s="69"/>
      <c r="HJ26" s="69">
        <v>592717</v>
      </c>
      <c r="HK26" s="69">
        <v>39970</v>
      </c>
      <c r="HL26" s="69">
        <v>1785</v>
      </c>
      <c r="HM26" s="69">
        <v>27919</v>
      </c>
      <c r="HN26" s="69">
        <v>8470</v>
      </c>
      <c r="HO26" s="69">
        <v>0</v>
      </c>
      <c r="HP26" s="69">
        <v>9424</v>
      </c>
      <c r="HQ26" s="69">
        <v>51058</v>
      </c>
      <c r="HR26" s="69">
        <v>35731</v>
      </c>
      <c r="HS26" s="69">
        <v>57697</v>
      </c>
      <c r="HT26" s="69">
        <v>0</v>
      </c>
      <c r="HU26" s="69">
        <v>214899</v>
      </c>
      <c r="HV26" s="69">
        <v>68413</v>
      </c>
      <c r="HW26" s="69">
        <v>9438</v>
      </c>
      <c r="HX26" s="69">
        <v>30141</v>
      </c>
      <c r="HY26" s="69">
        <v>82983</v>
      </c>
      <c r="HZ26" s="69">
        <v>82882</v>
      </c>
      <c r="IA26" s="69">
        <v>20775</v>
      </c>
      <c r="IB26" s="69">
        <v>38500</v>
      </c>
      <c r="IC26" s="69">
        <v>3980</v>
      </c>
      <c r="ID26" s="69">
        <v>8547</v>
      </c>
      <c r="IE26" s="69">
        <v>15060</v>
      </c>
      <c r="IF26" s="69">
        <v>18134</v>
      </c>
      <c r="IG26" s="69">
        <v>3475</v>
      </c>
      <c r="IH26" s="69">
        <v>39360</v>
      </c>
      <c r="II26" s="69">
        <v>5886</v>
      </c>
      <c r="IJ26" s="69">
        <v>42269</v>
      </c>
      <c r="IK26" s="69">
        <v>0</v>
      </c>
      <c r="IL26" s="69"/>
      <c r="IM26" s="69"/>
      <c r="IN26" s="69">
        <v>916796</v>
      </c>
      <c r="IO26" s="69">
        <v>63441</v>
      </c>
      <c r="IP26" s="69">
        <v>5002</v>
      </c>
      <c r="IQ26" s="69">
        <v>86440</v>
      </c>
      <c r="IR26" s="69">
        <v>40599</v>
      </c>
      <c r="IS26" s="69">
        <v>0</v>
      </c>
      <c r="IT26" s="69">
        <v>18775</v>
      </c>
      <c r="IU26" s="69">
        <v>83518</v>
      </c>
      <c r="IV26" s="69">
        <v>87145</v>
      </c>
      <c r="IW26" s="69">
        <v>77301</v>
      </c>
      <c r="IX26" s="69">
        <v>0</v>
      </c>
      <c r="IY26" s="69">
        <v>390134</v>
      </c>
      <c r="IZ26" s="69">
        <v>441939</v>
      </c>
      <c r="JA26" s="69">
        <v>20447</v>
      </c>
      <c r="JB26" s="69">
        <v>86183</v>
      </c>
      <c r="JC26" s="69">
        <v>123649</v>
      </c>
      <c r="JD26" s="69">
        <v>114827</v>
      </c>
      <c r="JE26" s="69">
        <v>28441</v>
      </c>
      <c r="JF26" s="69">
        <v>67275</v>
      </c>
      <c r="JG26" s="69">
        <v>24531</v>
      </c>
      <c r="JH26" s="69">
        <v>12137</v>
      </c>
      <c r="JI26" s="69">
        <v>27185</v>
      </c>
      <c r="JJ26" s="69">
        <v>32394</v>
      </c>
      <c r="JK26" s="69">
        <v>42386</v>
      </c>
      <c r="JL26" s="69">
        <v>226795</v>
      </c>
      <c r="JM26" s="69">
        <v>48693</v>
      </c>
      <c r="JN26" s="69">
        <v>57229</v>
      </c>
      <c r="JO26" s="69">
        <v>0</v>
      </c>
      <c r="JP26" s="69"/>
      <c r="JQ26" s="69"/>
      <c r="JR26" s="69">
        <v>2206465</v>
      </c>
      <c r="JS26" s="69">
        <v>283973</v>
      </c>
      <c r="JT26" s="69">
        <v>43893</v>
      </c>
      <c r="JU26" s="69">
        <v>465543</v>
      </c>
      <c r="JV26" s="69">
        <v>429071</v>
      </c>
      <c r="JW26" s="69">
        <v>0</v>
      </c>
      <c r="JX26" s="69">
        <v>131843</v>
      </c>
      <c r="JY26" s="69">
        <v>475990</v>
      </c>
      <c r="JZ26" s="69">
        <v>708793</v>
      </c>
      <c r="KA26" s="69">
        <v>290070</v>
      </c>
      <c r="KB26" s="69">
        <v>0</v>
      </c>
      <c r="KC26" s="69">
        <v>608939</v>
      </c>
      <c r="KD26" s="69">
        <v>1392714</v>
      </c>
      <c r="KE26" s="69">
        <v>153555</v>
      </c>
      <c r="KF26" s="69">
        <v>279335</v>
      </c>
      <c r="KG26" s="69">
        <v>305408</v>
      </c>
      <c r="KH26" s="69">
        <v>501076</v>
      </c>
      <c r="KI26" s="69">
        <v>121129</v>
      </c>
      <c r="KJ26" s="69">
        <v>415186</v>
      </c>
      <c r="KK26" s="69">
        <v>273014</v>
      </c>
      <c r="KL26" s="69">
        <v>55540</v>
      </c>
      <c r="KM26" s="69">
        <v>39238</v>
      </c>
      <c r="KN26" s="69">
        <v>54554</v>
      </c>
      <c r="KO26" s="69">
        <v>480130</v>
      </c>
      <c r="KP26" s="69">
        <v>369321</v>
      </c>
      <c r="KQ26" s="69">
        <v>566268</v>
      </c>
      <c r="KR26" s="69">
        <v>231433</v>
      </c>
      <c r="KS26" s="69">
        <v>0</v>
      </c>
      <c r="KT26" s="69"/>
      <c r="KU26" s="69"/>
      <c r="KV26" s="69">
        <v>8676015</v>
      </c>
      <c r="KW26" s="69"/>
    </row>
    <row r="27" spans="1:309" x14ac:dyDescent="0.25">
      <c r="A27" t="s">
        <v>376</v>
      </c>
      <c r="C27" t="s">
        <v>1088</v>
      </c>
      <c r="D27" t="s">
        <v>1100</v>
      </c>
      <c r="E27" s="2">
        <v>39794.393784722197</v>
      </c>
      <c r="G27" t="s">
        <v>377</v>
      </c>
      <c r="L27">
        <v>0</v>
      </c>
      <c r="M27">
        <v>0</v>
      </c>
      <c r="N27">
        <v>0</v>
      </c>
      <c r="O27">
        <v>21665151</v>
      </c>
      <c r="P27" s="69">
        <v>0</v>
      </c>
      <c r="Q27" s="69">
        <v>481998</v>
      </c>
      <c r="R27">
        <v>0</v>
      </c>
      <c r="S27">
        <v>481998</v>
      </c>
      <c r="T27">
        <v>1936555</v>
      </c>
      <c r="U27">
        <v>989780</v>
      </c>
      <c r="V27">
        <v>1804366</v>
      </c>
      <c r="W27">
        <v>0</v>
      </c>
      <c r="X27">
        <v>0</v>
      </c>
      <c r="Y27">
        <v>0</v>
      </c>
      <c r="Z27">
        <v>4730701</v>
      </c>
      <c r="AA27">
        <v>1448706</v>
      </c>
      <c r="AB27">
        <v>333997</v>
      </c>
      <c r="AC27">
        <v>369924</v>
      </c>
      <c r="AD27">
        <v>0</v>
      </c>
      <c r="AE27">
        <v>37166</v>
      </c>
      <c r="AF27">
        <v>257084</v>
      </c>
      <c r="AG27">
        <v>2446877</v>
      </c>
      <c r="AH27">
        <v>3385261</v>
      </c>
      <c r="AI27">
        <v>1323777</v>
      </c>
      <c r="AJ27">
        <v>2174290</v>
      </c>
      <c r="AK27">
        <v>0</v>
      </c>
      <c r="AL27">
        <v>37166</v>
      </c>
      <c r="AM27">
        <v>257084</v>
      </c>
      <c r="AN27">
        <v>7177578</v>
      </c>
      <c r="AO27">
        <v>81357</v>
      </c>
      <c r="AP27">
        <v>0</v>
      </c>
      <c r="AQ27">
        <v>0</v>
      </c>
      <c r="AR27">
        <v>0</v>
      </c>
      <c r="AS27">
        <v>81357</v>
      </c>
      <c r="AT27">
        <v>114779</v>
      </c>
      <c r="AU27">
        <v>0</v>
      </c>
      <c r="AV27">
        <v>2429</v>
      </c>
      <c r="AW27">
        <v>79308</v>
      </c>
      <c r="AX27">
        <v>196516</v>
      </c>
      <c r="AY27">
        <v>196136</v>
      </c>
      <c r="AZ27">
        <v>0</v>
      </c>
      <c r="BA27">
        <v>2429</v>
      </c>
      <c r="BB27">
        <v>79308</v>
      </c>
      <c r="BC27">
        <v>277873</v>
      </c>
      <c r="BD27">
        <v>1028365</v>
      </c>
      <c r="BE27">
        <v>0</v>
      </c>
      <c r="BF27">
        <v>0</v>
      </c>
      <c r="BG27">
        <v>0</v>
      </c>
      <c r="BH27">
        <v>0</v>
      </c>
      <c r="BI27">
        <v>1028365</v>
      </c>
      <c r="BJ27">
        <v>0</v>
      </c>
      <c r="BK27">
        <v>0</v>
      </c>
      <c r="BL27">
        <v>294412</v>
      </c>
      <c r="BM27">
        <v>0</v>
      </c>
      <c r="BN27">
        <v>0</v>
      </c>
      <c r="BO27">
        <v>294412</v>
      </c>
      <c r="BP27">
        <v>1876016</v>
      </c>
      <c r="BQ27">
        <v>0</v>
      </c>
      <c r="BR27">
        <v>0</v>
      </c>
      <c r="BS27">
        <v>0</v>
      </c>
      <c r="BT27">
        <v>33167</v>
      </c>
      <c r="BU27">
        <v>1909183</v>
      </c>
      <c r="BV27">
        <v>2904381</v>
      </c>
      <c r="BW27">
        <v>0</v>
      </c>
      <c r="BX27">
        <v>294412</v>
      </c>
      <c r="BY27">
        <v>0</v>
      </c>
      <c r="BZ27">
        <v>33167</v>
      </c>
      <c r="CA27">
        <v>3231960</v>
      </c>
      <c r="CB27">
        <v>0</v>
      </c>
      <c r="CC27">
        <v>0</v>
      </c>
      <c r="CD27">
        <v>0</v>
      </c>
      <c r="CE27">
        <v>0</v>
      </c>
      <c r="CF27">
        <v>0</v>
      </c>
      <c r="CG27">
        <v>0</v>
      </c>
      <c r="CH27">
        <v>0</v>
      </c>
      <c r="CI27">
        <v>0</v>
      </c>
      <c r="CJ27">
        <v>0</v>
      </c>
      <c r="CK27">
        <v>0</v>
      </c>
      <c r="CL27">
        <v>0</v>
      </c>
      <c r="CM27">
        <v>0</v>
      </c>
      <c r="CN27">
        <v>0</v>
      </c>
      <c r="CO27">
        <v>0</v>
      </c>
      <c r="CP27">
        <v>0</v>
      </c>
      <c r="CQ27">
        <v>0</v>
      </c>
      <c r="CR27">
        <v>3580</v>
      </c>
      <c r="CS27">
        <v>318634</v>
      </c>
      <c r="CT27">
        <v>0</v>
      </c>
      <c r="CU27">
        <v>8276</v>
      </c>
      <c r="CV27">
        <v>30364</v>
      </c>
      <c r="CW27">
        <v>285238</v>
      </c>
      <c r="CX27">
        <v>256310</v>
      </c>
      <c r="CY27">
        <v>0</v>
      </c>
      <c r="CZ27">
        <v>11492</v>
      </c>
      <c r="DA27">
        <v>400383</v>
      </c>
      <c r="DB27">
        <v>3500</v>
      </c>
      <c r="DC27">
        <v>150638</v>
      </c>
      <c r="DD27">
        <v>608</v>
      </c>
      <c r="DE27">
        <v>155364</v>
      </c>
      <c r="DF27">
        <v>337312</v>
      </c>
      <c r="DG27">
        <v>22792</v>
      </c>
      <c r="DH27">
        <v>144792</v>
      </c>
      <c r="DI27">
        <v>0</v>
      </c>
      <c r="DJ27">
        <v>183857</v>
      </c>
      <c r="DK27">
        <v>0</v>
      </c>
      <c r="DL27">
        <v>89664</v>
      </c>
      <c r="DM27">
        <v>257008</v>
      </c>
      <c r="DN27">
        <v>42240</v>
      </c>
      <c r="DO27">
        <v>26400</v>
      </c>
      <c r="DP27">
        <v>12272</v>
      </c>
      <c r="DQ27">
        <v>125536</v>
      </c>
      <c r="DR27">
        <v>321660</v>
      </c>
      <c r="DS27">
        <v>385392</v>
      </c>
      <c r="DT27">
        <v>196768</v>
      </c>
      <c r="DU27">
        <v>0</v>
      </c>
      <c r="DX27" s="69">
        <v>3447866</v>
      </c>
      <c r="DY27" s="69">
        <v>60825</v>
      </c>
      <c r="DZ27" s="69">
        <v>145409</v>
      </c>
      <c r="EA27" s="69">
        <v>864828</v>
      </c>
      <c r="EB27" s="69">
        <v>608299</v>
      </c>
      <c r="EC27" s="69">
        <v>0</v>
      </c>
      <c r="ED27" s="69">
        <v>57713</v>
      </c>
      <c r="EE27" s="69">
        <v>340829</v>
      </c>
      <c r="EF27" s="69"/>
      <c r="EG27" s="69">
        <v>391640</v>
      </c>
      <c r="EH27" s="69">
        <v>11425</v>
      </c>
      <c r="EI27" s="69">
        <v>435891</v>
      </c>
      <c r="EJ27" s="69">
        <v>884880</v>
      </c>
      <c r="EK27" s="69">
        <v>154445</v>
      </c>
      <c r="EL27" s="69">
        <v>510407</v>
      </c>
      <c r="EM27" s="69">
        <v>0</v>
      </c>
      <c r="EN27" s="69">
        <v>616274</v>
      </c>
      <c r="EO27" s="69">
        <v>0</v>
      </c>
      <c r="EP27" s="69">
        <v>301407</v>
      </c>
      <c r="EQ27" s="69">
        <v>685969</v>
      </c>
      <c r="ER27" s="69">
        <v>163049</v>
      </c>
      <c r="ES27" s="69">
        <v>58207</v>
      </c>
      <c r="ET27" s="69">
        <v>0</v>
      </c>
      <c r="EU27" s="69">
        <v>546639</v>
      </c>
      <c r="EV27" s="69">
        <v>255517</v>
      </c>
      <c r="EW27" s="69">
        <v>750789</v>
      </c>
      <c r="EX27" s="69">
        <v>682920</v>
      </c>
      <c r="EY27" s="69">
        <v>1112</v>
      </c>
      <c r="EZ27" s="69"/>
      <c r="FA27" s="69"/>
      <c r="FB27" s="69">
        <v>8614967</v>
      </c>
      <c r="FC27" s="69">
        <v>11</v>
      </c>
      <c r="FD27" s="69">
        <v>774</v>
      </c>
      <c r="FE27" s="69">
        <v>44976</v>
      </c>
      <c r="FF27" s="69">
        <v>13106</v>
      </c>
      <c r="FG27" s="69">
        <v>0</v>
      </c>
      <c r="FH27" s="69">
        <v>6391</v>
      </c>
      <c r="FI27" s="69">
        <v>101792</v>
      </c>
      <c r="FJ27" s="69">
        <v>1156</v>
      </c>
      <c r="FK27" s="69">
        <v>4413</v>
      </c>
      <c r="FL27" s="69">
        <v>0</v>
      </c>
      <c r="FM27" s="69">
        <v>33892</v>
      </c>
      <c r="FN27" s="69">
        <v>2359</v>
      </c>
      <c r="FO27" s="69">
        <v>114</v>
      </c>
      <c r="FP27" s="69">
        <v>3028</v>
      </c>
      <c r="FQ27" s="69">
        <v>0</v>
      </c>
      <c r="FR27" s="69">
        <v>3331</v>
      </c>
      <c r="FS27" s="69">
        <v>0</v>
      </c>
      <c r="FT27" s="69">
        <v>0</v>
      </c>
      <c r="FU27" s="69">
        <v>4107</v>
      </c>
      <c r="FV27" s="69">
        <v>154</v>
      </c>
      <c r="FW27" s="69">
        <v>6448</v>
      </c>
      <c r="FX27" s="69">
        <v>312</v>
      </c>
      <c r="FY27" s="69">
        <v>1598</v>
      </c>
      <c r="FZ27" s="69">
        <v>160687</v>
      </c>
      <c r="GA27" s="69">
        <v>183</v>
      </c>
      <c r="GB27" s="69">
        <v>8858</v>
      </c>
      <c r="GC27" s="69">
        <v>480</v>
      </c>
      <c r="GD27" s="69"/>
      <c r="GE27" s="69"/>
      <c r="GF27" s="69">
        <v>398170</v>
      </c>
      <c r="GG27" s="69">
        <v>2151</v>
      </c>
      <c r="GH27" s="69">
        <v>5168</v>
      </c>
      <c r="GI27" s="69">
        <v>32164</v>
      </c>
      <c r="GJ27" s="69">
        <v>21968</v>
      </c>
      <c r="GK27" s="69">
        <v>0</v>
      </c>
      <c r="GL27" s="69">
        <v>2266</v>
      </c>
      <c r="GM27" s="69">
        <v>15648</v>
      </c>
      <c r="GN27" s="69">
        <v>3099</v>
      </c>
      <c r="GO27" s="69">
        <v>14001</v>
      </c>
      <c r="GP27" s="69">
        <v>404</v>
      </c>
      <c r="GQ27" s="69">
        <v>16608</v>
      </c>
      <c r="GR27" s="69">
        <v>31366</v>
      </c>
      <c r="GS27" s="69">
        <v>5464</v>
      </c>
      <c r="GT27" s="69">
        <v>18151</v>
      </c>
      <c r="GU27" s="69">
        <v>0</v>
      </c>
      <c r="GV27" s="69">
        <v>21904</v>
      </c>
      <c r="GW27" s="69">
        <v>0</v>
      </c>
      <c r="GX27" s="69">
        <v>10655</v>
      </c>
      <c r="GY27" s="69">
        <v>24396</v>
      </c>
      <c r="GZ27" s="69">
        <v>5770</v>
      </c>
      <c r="HA27" s="69">
        <v>2286</v>
      </c>
      <c r="HB27" s="69">
        <v>11</v>
      </c>
      <c r="HC27" s="69">
        <v>19381</v>
      </c>
      <c r="HD27" s="69">
        <v>14714</v>
      </c>
      <c r="HE27" s="69">
        <v>26548</v>
      </c>
      <c r="HF27" s="69">
        <v>24456</v>
      </c>
      <c r="HG27" s="69">
        <v>56</v>
      </c>
      <c r="HH27" s="69"/>
      <c r="HI27" s="69"/>
      <c r="HJ27" s="69">
        <v>318634</v>
      </c>
      <c r="HK27" s="69">
        <v>6690</v>
      </c>
      <c r="HL27" s="69">
        <v>22958</v>
      </c>
      <c r="HM27" s="69">
        <v>150780</v>
      </c>
      <c r="HN27" s="69">
        <v>85230</v>
      </c>
      <c r="HO27" s="69">
        <v>0</v>
      </c>
      <c r="HP27" s="69">
        <v>20828</v>
      </c>
      <c r="HQ27" s="69">
        <v>118241</v>
      </c>
      <c r="HR27" s="69">
        <v>46335</v>
      </c>
      <c r="HS27" s="69">
        <v>38800</v>
      </c>
      <c r="HT27" s="69">
        <v>1990</v>
      </c>
      <c r="HU27" s="69">
        <v>278544</v>
      </c>
      <c r="HV27" s="69">
        <v>39907</v>
      </c>
      <c r="HW27" s="69">
        <v>5958</v>
      </c>
      <c r="HX27" s="69">
        <v>67799</v>
      </c>
      <c r="HY27" s="69">
        <v>0</v>
      </c>
      <c r="HZ27" s="69">
        <v>88867</v>
      </c>
      <c r="IA27" s="69">
        <v>0</v>
      </c>
      <c r="IB27" s="69">
        <v>21114</v>
      </c>
      <c r="IC27" s="69">
        <v>28356</v>
      </c>
      <c r="ID27" s="69">
        <v>36539</v>
      </c>
      <c r="IE27" s="69">
        <v>28646</v>
      </c>
      <c r="IF27" s="69">
        <v>683</v>
      </c>
      <c r="IG27" s="69">
        <v>26025</v>
      </c>
      <c r="IH27" s="69">
        <v>265403</v>
      </c>
      <c r="II27" s="69">
        <v>25778</v>
      </c>
      <c r="IJ27" s="69">
        <v>126869</v>
      </c>
      <c r="IK27" s="69">
        <v>1190</v>
      </c>
      <c r="IL27" s="69"/>
      <c r="IM27" s="69"/>
      <c r="IN27" s="69">
        <v>1533530</v>
      </c>
      <c r="IO27" s="69">
        <v>8852</v>
      </c>
      <c r="IP27" s="69">
        <v>28900</v>
      </c>
      <c r="IQ27" s="69">
        <v>227920</v>
      </c>
      <c r="IR27" s="69">
        <v>120304</v>
      </c>
      <c r="IS27" s="69">
        <v>0</v>
      </c>
      <c r="IT27" s="69">
        <v>29485</v>
      </c>
      <c r="IU27" s="69">
        <v>235681</v>
      </c>
      <c r="IV27" s="69"/>
      <c r="IW27" s="69">
        <v>57214</v>
      </c>
      <c r="IX27" s="69">
        <v>2394</v>
      </c>
      <c r="IY27" s="69">
        <v>329044</v>
      </c>
      <c r="IZ27" s="69">
        <v>73632</v>
      </c>
      <c r="JA27" s="69">
        <v>11536</v>
      </c>
      <c r="JB27" s="69">
        <v>88978</v>
      </c>
      <c r="JC27" s="69">
        <v>0</v>
      </c>
      <c r="JD27" s="69">
        <v>114102</v>
      </c>
      <c r="JE27" s="69">
        <v>0</v>
      </c>
      <c r="JF27" s="69">
        <v>31769</v>
      </c>
      <c r="JG27" s="69">
        <v>56859</v>
      </c>
      <c r="JH27" s="69">
        <v>42463</v>
      </c>
      <c r="JI27" s="69">
        <v>37380</v>
      </c>
      <c r="JJ27" s="69">
        <v>1006</v>
      </c>
      <c r="JK27" s="69">
        <v>47004</v>
      </c>
      <c r="JL27" s="69">
        <v>440804</v>
      </c>
      <c r="JM27" s="69">
        <v>52509</v>
      </c>
      <c r="JN27" s="69">
        <v>160183</v>
      </c>
      <c r="JO27" s="69">
        <v>1726</v>
      </c>
      <c r="JP27" s="69"/>
      <c r="JQ27" s="69"/>
      <c r="JR27" s="69">
        <v>2250334</v>
      </c>
      <c r="JS27" s="69">
        <v>69677</v>
      </c>
      <c r="JT27" s="69">
        <v>174309</v>
      </c>
      <c r="JU27" s="69">
        <v>1092748</v>
      </c>
      <c r="JV27" s="69">
        <v>728603</v>
      </c>
      <c r="JW27" s="69">
        <v>0</v>
      </c>
      <c r="JX27" s="69">
        <v>87198</v>
      </c>
      <c r="JY27" s="69">
        <v>576510</v>
      </c>
      <c r="JZ27" s="69">
        <v>137083</v>
      </c>
      <c r="KA27" s="69">
        <v>448854</v>
      </c>
      <c r="KB27" s="69">
        <v>13819</v>
      </c>
      <c r="KC27" s="69">
        <v>764935</v>
      </c>
      <c r="KD27" s="69">
        <v>958512</v>
      </c>
      <c r="KE27" s="69">
        <v>165981</v>
      </c>
      <c r="KF27" s="69">
        <v>599385</v>
      </c>
      <c r="KG27" s="69">
        <v>0</v>
      </c>
      <c r="KH27" s="69">
        <v>730376</v>
      </c>
      <c r="KI27" s="69">
        <v>0</v>
      </c>
      <c r="KJ27" s="69">
        <v>333176</v>
      </c>
      <c r="KK27" s="69">
        <v>742828</v>
      </c>
      <c r="KL27" s="69">
        <v>205512</v>
      </c>
      <c r="KM27" s="69">
        <v>95587</v>
      </c>
      <c r="KN27" s="69">
        <v>1006</v>
      </c>
      <c r="KO27" s="69">
        <v>593643</v>
      </c>
      <c r="KP27" s="69">
        <v>696321</v>
      </c>
      <c r="KQ27" s="69">
        <v>803298</v>
      </c>
      <c r="KR27" s="69">
        <v>843103</v>
      </c>
      <c r="KS27" s="69">
        <v>2838</v>
      </c>
      <c r="KT27" s="69"/>
      <c r="KU27" s="69"/>
      <c r="KV27" s="69">
        <v>10865301</v>
      </c>
      <c r="KW27" s="69"/>
    </row>
    <row r="28" spans="1:309" x14ac:dyDescent="0.25">
      <c r="A28" t="s">
        <v>462</v>
      </c>
      <c r="C28" t="s">
        <v>1088</v>
      </c>
      <c r="D28" t="s">
        <v>1140</v>
      </c>
      <c r="E28" s="2">
        <v>39818.694293981498</v>
      </c>
      <c r="G28" t="s">
        <v>463</v>
      </c>
      <c r="L28">
        <v>0</v>
      </c>
      <c r="M28">
        <v>0</v>
      </c>
      <c r="N28">
        <v>0</v>
      </c>
      <c r="O28">
        <v>21408252</v>
      </c>
      <c r="P28" s="69">
        <v>0</v>
      </c>
      <c r="Q28" s="69">
        <v>472479</v>
      </c>
      <c r="R28">
        <v>0</v>
      </c>
      <c r="S28">
        <v>472479</v>
      </c>
      <c r="T28">
        <v>1370803</v>
      </c>
      <c r="U28">
        <v>485903</v>
      </c>
      <c r="V28">
        <v>239590</v>
      </c>
      <c r="W28">
        <v>0</v>
      </c>
      <c r="X28">
        <v>51442</v>
      </c>
      <c r="Y28">
        <v>0</v>
      </c>
      <c r="Z28">
        <v>2147738</v>
      </c>
      <c r="AA28">
        <v>1453247</v>
      </c>
      <c r="AB28">
        <v>674516</v>
      </c>
      <c r="AC28">
        <v>43477</v>
      </c>
      <c r="AD28">
        <v>0</v>
      </c>
      <c r="AE28">
        <v>2161054</v>
      </c>
      <c r="AF28">
        <v>940706</v>
      </c>
      <c r="AG28">
        <v>5273000</v>
      </c>
      <c r="AH28">
        <v>2824050</v>
      </c>
      <c r="AI28">
        <v>1160419</v>
      </c>
      <c r="AJ28">
        <v>283067</v>
      </c>
      <c r="AK28">
        <v>0</v>
      </c>
      <c r="AL28">
        <v>2212496</v>
      </c>
      <c r="AM28">
        <v>940706</v>
      </c>
      <c r="AN28">
        <v>7420738</v>
      </c>
      <c r="AO28">
        <v>312476</v>
      </c>
      <c r="AP28">
        <v>0</v>
      </c>
      <c r="AQ28">
        <v>0</v>
      </c>
      <c r="AR28">
        <v>0</v>
      </c>
      <c r="AS28">
        <v>312476</v>
      </c>
      <c r="AT28">
        <v>844464</v>
      </c>
      <c r="AU28">
        <v>0</v>
      </c>
      <c r="AV28">
        <v>0</v>
      </c>
      <c r="AW28">
        <v>0</v>
      </c>
      <c r="AX28">
        <v>844464</v>
      </c>
      <c r="AY28">
        <v>1156940</v>
      </c>
      <c r="AZ28">
        <v>0</v>
      </c>
      <c r="BA28">
        <v>0</v>
      </c>
      <c r="BB28">
        <v>0</v>
      </c>
      <c r="BC28">
        <v>1156940</v>
      </c>
      <c r="BD28">
        <v>314142</v>
      </c>
      <c r="BE28">
        <v>0</v>
      </c>
      <c r="BF28">
        <v>0</v>
      </c>
      <c r="BG28">
        <v>0</v>
      </c>
      <c r="BH28">
        <v>0</v>
      </c>
      <c r="BI28">
        <v>314142</v>
      </c>
      <c r="BJ28">
        <v>0</v>
      </c>
      <c r="BK28">
        <v>0</v>
      </c>
      <c r="BL28">
        <v>74398</v>
      </c>
      <c r="BM28">
        <v>0</v>
      </c>
      <c r="BN28">
        <v>0</v>
      </c>
      <c r="BO28">
        <v>74398</v>
      </c>
      <c r="BP28">
        <v>850242</v>
      </c>
      <c r="BQ28">
        <v>752507</v>
      </c>
      <c r="BR28">
        <v>0</v>
      </c>
      <c r="BS28">
        <v>0</v>
      </c>
      <c r="BT28">
        <v>0</v>
      </c>
      <c r="BU28">
        <v>1602749</v>
      </c>
      <c r="BV28">
        <v>1164384</v>
      </c>
      <c r="BW28">
        <v>752507</v>
      </c>
      <c r="BX28">
        <v>74398</v>
      </c>
      <c r="BY28">
        <v>0</v>
      </c>
      <c r="BZ28">
        <v>0</v>
      </c>
      <c r="CA28">
        <v>1991289</v>
      </c>
      <c r="CB28">
        <v>0</v>
      </c>
      <c r="CC28">
        <v>0</v>
      </c>
      <c r="CD28">
        <v>0</v>
      </c>
      <c r="CE28">
        <v>0</v>
      </c>
      <c r="CF28">
        <v>0</v>
      </c>
      <c r="CG28">
        <v>0</v>
      </c>
      <c r="CH28">
        <v>0</v>
      </c>
      <c r="CI28">
        <v>0</v>
      </c>
      <c r="CJ28">
        <v>0</v>
      </c>
      <c r="CK28">
        <v>0</v>
      </c>
      <c r="CL28">
        <v>0</v>
      </c>
      <c r="CM28">
        <v>0</v>
      </c>
      <c r="CN28">
        <v>0</v>
      </c>
      <c r="CO28">
        <v>0</v>
      </c>
      <c r="CP28">
        <v>0</v>
      </c>
      <c r="CQ28">
        <v>0</v>
      </c>
      <c r="CR28">
        <v>36273</v>
      </c>
      <c r="CS28">
        <v>1335851</v>
      </c>
      <c r="CT28">
        <v>0</v>
      </c>
      <c r="CU28">
        <v>0</v>
      </c>
      <c r="CV28">
        <v>61064</v>
      </c>
      <c r="CW28">
        <v>213100</v>
      </c>
      <c r="CX28">
        <v>126736</v>
      </c>
      <c r="CY28">
        <v>0</v>
      </c>
      <c r="CZ28">
        <v>0</v>
      </c>
      <c r="DA28">
        <v>76255</v>
      </c>
      <c r="DB28">
        <v>25008</v>
      </c>
      <c r="DC28">
        <v>13517</v>
      </c>
      <c r="DD28">
        <v>0</v>
      </c>
      <c r="DE28">
        <v>230408</v>
      </c>
      <c r="DF28">
        <v>97824</v>
      </c>
      <c r="DG28">
        <v>0</v>
      </c>
      <c r="DH28">
        <v>0</v>
      </c>
      <c r="DI28">
        <v>36944</v>
      </c>
      <c r="DJ28">
        <v>139089</v>
      </c>
      <c r="DK28">
        <v>53264</v>
      </c>
      <c r="DL28">
        <v>0</v>
      </c>
      <c r="DM28">
        <v>89808</v>
      </c>
      <c r="DN28">
        <v>1008</v>
      </c>
      <c r="DO28">
        <v>49148</v>
      </c>
      <c r="DP28">
        <v>35136</v>
      </c>
      <c r="DQ28">
        <v>0</v>
      </c>
      <c r="DR28">
        <v>210071</v>
      </c>
      <c r="DS28">
        <v>42176</v>
      </c>
      <c r="DT28">
        <v>42240</v>
      </c>
      <c r="DU28">
        <v>0</v>
      </c>
      <c r="DX28" s="69">
        <v>1542796</v>
      </c>
      <c r="DY28" s="69">
        <v>0</v>
      </c>
      <c r="DZ28" s="69">
        <v>219194</v>
      </c>
      <c r="EA28" s="69">
        <v>764939</v>
      </c>
      <c r="EB28" s="69">
        <v>454928</v>
      </c>
      <c r="EC28" s="69">
        <v>0</v>
      </c>
      <c r="ED28" s="69">
        <v>0</v>
      </c>
      <c r="EE28" s="69">
        <v>273723</v>
      </c>
      <c r="EF28" s="69">
        <v>89768</v>
      </c>
      <c r="EG28" s="69">
        <v>48520</v>
      </c>
      <c r="EH28" s="69">
        <v>0</v>
      </c>
      <c r="EI28" s="69">
        <v>827067</v>
      </c>
      <c r="EJ28" s="69">
        <v>351147</v>
      </c>
      <c r="EK28" s="69">
        <v>0</v>
      </c>
      <c r="EL28" s="69">
        <v>0</v>
      </c>
      <c r="EM28" s="69">
        <v>132613</v>
      </c>
      <c r="EN28" s="69">
        <v>499270</v>
      </c>
      <c r="EO28" s="69">
        <v>191195</v>
      </c>
      <c r="EP28" s="69">
        <v>0</v>
      </c>
      <c r="EQ28" s="69">
        <v>322373</v>
      </c>
      <c r="ER28" s="69">
        <v>3618</v>
      </c>
      <c r="ES28" s="69">
        <v>176420</v>
      </c>
      <c r="ET28" s="69">
        <v>126123</v>
      </c>
      <c r="EU28" s="69">
        <v>0</v>
      </c>
      <c r="EV28" s="69">
        <v>754066</v>
      </c>
      <c r="EW28" s="69">
        <v>151394</v>
      </c>
      <c r="EX28" s="69">
        <v>151624</v>
      </c>
      <c r="EY28" s="69">
        <v>0</v>
      </c>
      <c r="EZ28" s="69"/>
      <c r="FA28" s="69"/>
      <c r="FB28" s="69">
        <v>5537982</v>
      </c>
      <c r="FC28" s="69">
        <v>0</v>
      </c>
      <c r="FD28" s="69">
        <v>51416</v>
      </c>
      <c r="FE28" s="69">
        <v>179430</v>
      </c>
      <c r="FF28" s="69">
        <v>106712</v>
      </c>
      <c r="FG28" s="69">
        <v>0</v>
      </c>
      <c r="FH28" s="69">
        <v>0</v>
      </c>
      <c r="FI28" s="69">
        <v>64207</v>
      </c>
      <c r="FJ28" s="69">
        <v>21057</v>
      </c>
      <c r="FK28" s="69">
        <v>11381</v>
      </c>
      <c r="FL28" s="69">
        <v>0</v>
      </c>
      <c r="FM28" s="69">
        <v>194003</v>
      </c>
      <c r="FN28" s="69">
        <v>82368</v>
      </c>
      <c r="FO28" s="69">
        <v>0</v>
      </c>
      <c r="FP28" s="69">
        <v>0</v>
      </c>
      <c r="FQ28" s="69">
        <v>31107</v>
      </c>
      <c r="FR28" s="69">
        <v>117113</v>
      </c>
      <c r="FS28" s="69">
        <v>44848</v>
      </c>
      <c r="FT28" s="69">
        <v>0</v>
      </c>
      <c r="FU28" s="69">
        <v>75618</v>
      </c>
      <c r="FV28" s="69">
        <v>849</v>
      </c>
      <c r="FW28" s="69">
        <v>41383</v>
      </c>
      <c r="FX28" s="69">
        <v>29584</v>
      </c>
      <c r="FY28" s="69">
        <v>0</v>
      </c>
      <c r="FZ28" s="69">
        <v>176879</v>
      </c>
      <c r="GA28" s="69">
        <v>35512</v>
      </c>
      <c r="GB28" s="69">
        <v>35566</v>
      </c>
      <c r="GC28" s="69">
        <v>0</v>
      </c>
      <c r="GD28" s="69"/>
      <c r="GE28" s="69"/>
      <c r="GF28" s="69">
        <v>1299033</v>
      </c>
      <c r="GG28" s="69">
        <v>0</v>
      </c>
      <c r="GH28" s="69">
        <v>52873</v>
      </c>
      <c r="GI28" s="69">
        <v>184516</v>
      </c>
      <c r="GJ28" s="69">
        <v>109736</v>
      </c>
      <c r="GK28" s="69">
        <v>0</v>
      </c>
      <c r="GL28" s="69">
        <v>0</v>
      </c>
      <c r="GM28" s="69">
        <v>66026</v>
      </c>
      <c r="GN28" s="69">
        <v>21654</v>
      </c>
      <c r="GO28" s="69">
        <v>11704</v>
      </c>
      <c r="GP28" s="69">
        <v>0</v>
      </c>
      <c r="GQ28" s="69">
        <v>199502</v>
      </c>
      <c r="GR28" s="69">
        <v>84702</v>
      </c>
      <c r="GS28" s="69">
        <v>0</v>
      </c>
      <c r="GT28" s="69">
        <v>0</v>
      </c>
      <c r="GU28" s="69">
        <v>31988</v>
      </c>
      <c r="GV28" s="69">
        <v>120432</v>
      </c>
      <c r="GW28" s="69">
        <v>46119</v>
      </c>
      <c r="GX28" s="69">
        <v>0</v>
      </c>
      <c r="GY28" s="69">
        <v>77762</v>
      </c>
      <c r="GZ28" s="69">
        <v>873</v>
      </c>
      <c r="HA28" s="69">
        <v>42555</v>
      </c>
      <c r="HB28" s="69">
        <v>30423</v>
      </c>
      <c r="HC28" s="69">
        <v>0</v>
      </c>
      <c r="HD28" s="69">
        <v>181893</v>
      </c>
      <c r="HE28" s="69">
        <v>36519</v>
      </c>
      <c r="HF28" s="69">
        <v>36574</v>
      </c>
      <c r="HG28" s="69">
        <v>0</v>
      </c>
      <c r="HH28" s="69"/>
      <c r="HI28" s="69"/>
      <c r="HJ28" s="69">
        <v>1335851</v>
      </c>
      <c r="HK28" s="69">
        <v>0</v>
      </c>
      <c r="HL28" s="69">
        <v>124070</v>
      </c>
      <c r="HM28" s="69">
        <v>432976</v>
      </c>
      <c r="HN28" s="69">
        <v>257502</v>
      </c>
      <c r="HO28" s="69">
        <v>0</v>
      </c>
      <c r="HP28" s="69">
        <v>0</v>
      </c>
      <c r="HQ28" s="69">
        <v>154935</v>
      </c>
      <c r="HR28" s="69">
        <v>50811</v>
      </c>
      <c r="HS28" s="69">
        <v>27464</v>
      </c>
      <c r="HT28" s="69">
        <v>0</v>
      </c>
      <c r="HU28" s="69">
        <v>468142</v>
      </c>
      <c r="HV28" s="69">
        <v>198758</v>
      </c>
      <c r="HW28" s="69">
        <v>0</v>
      </c>
      <c r="HX28" s="69">
        <v>0</v>
      </c>
      <c r="HY28" s="69">
        <v>75063</v>
      </c>
      <c r="HZ28" s="69">
        <v>282600</v>
      </c>
      <c r="IA28" s="69">
        <v>108222</v>
      </c>
      <c r="IB28" s="69">
        <v>0</v>
      </c>
      <c r="IC28" s="69">
        <v>182471</v>
      </c>
      <c r="ID28" s="69">
        <v>2047</v>
      </c>
      <c r="IE28" s="69">
        <v>99859</v>
      </c>
      <c r="IF28" s="69">
        <v>71389</v>
      </c>
      <c r="IG28" s="69">
        <v>0</v>
      </c>
      <c r="IH28" s="69">
        <v>426821</v>
      </c>
      <c r="II28" s="69">
        <v>85693</v>
      </c>
      <c r="IJ28" s="69">
        <v>85823</v>
      </c>
      <c r="IK28" s="69">
        <v>0</v>
      </c>
      <c r="IL28" s="69"/>
      <c r="IM28" s="69"/>
      <c r="IN28" s="69">
        <v>3134646</v>
      </c>
      <c r="IO28" s="69">
        <v>0</v>
      </c>
      <c r="IP28" s="69">
        <v>228359</v>
      </c>
      <c r="IQ28" s="69">
        <v>796922</v>
      </c>
      <c r="IR28" s="69">
        <v>473950</v>
      </c>
      <c r="IS28" s="69">
        <v>0</v>
      </c>
      <c r="IT28" s="69">
        <v>0</v>
      </c>
      <c r="IU28" s="69">
        <v>285168</v>
      </c>
      <c r="IV28" s="69">
        <v>93522</v>
      </c>
      <c r="IW28" s="69">
        <v>50549</v>
      </c>
      <c r="IX28" s="69">
        <v>0</v>
      </c>
      <c r="IY28" s="69">
        <v>861647</v>
      </c>
      <c r="IZ28" s="69">
        <v>365828</v>
      </c>
      <c r="JA28" s="69">
        <v>0</v>
      </c>
      <c r="JB28" s="69">
        <v>0</v>
      </c>
      <c r="JC28" s="69">
        <v>138158</v>
      </c>
      <c r="JD28" s="69">
        <v>520145</v>
      </c>
      <c r="JE28" s="69">
        <v>199189</v>
      </c>
      <c r="JF28" s="69">
        <v>0</v>
      </c>
      <c r="JG28" s="69">
        <v>335851</v>
      </c>
      <c r="JH28" s="69">
        <v>3769</v>
      </c>
      <c r="JI28" s="69">
        <v>183797</v>
      </c>
      <c r="JJ28" s="69">
        <v>131396</v>
      </c>
      <c r="JK28" s="69">
        <v>0</v>
      </c>
      <c r="JL28" s="69">
        <v>785593</v>
      </c>
      <c r="JM28" s="69">
        <v>157724</v>
      </c>
      <c r="JN28" s="69">
        <v>157963</v>
      </c>
      <c r="JO28" s="69">
        <v>0</v>
      </c>
      <c r="JP28" s="69"/>
      <c r="JQ28" s="69"/>
      <c r="JR28" s="69">
        <v>5769530</v>
      </c>
      <c r="JS28" s="69">
        <v>0</v>
      </c>
      <c r="JT28" s="69">
        <v>447553</v>
      </c>
      <c r="JU28" s="69">
        <v>1561861</v>
      </c>
      <c r="JV28" s="69">
        <v>928878</v>
      </c>
      <c r="JW28" s="69">
        <v>0</v>
      </c>
      <c r="JX28" s="69">
        <v>0</v>
      </c>
      <c r="JY28" s="69">
        <v>558891</v>
      </c>
      <c r="JZ28" s="69">
        <v>183290</v>
      </c>
      <c r="KA28" s="69">
        <v>99069</v>
      </c>
      <c r="KB28" s="69">
        <v>0</v>
      </c>
      <c r="KC28" s="69">
        <v>1688714</v>
      </c>
      <c r="KD28" s="69">
        <v>716975</v>
      </c>
      <c r="KE28" s="69">
        <v>0</v>
      </c>
      <c r="KF28" s="69">
        <v>0</v>
      </c>
      <c r="KG28" s="69">
        <v>270771</v>
      </c>
      <c r="KH28" s="69">
        <v>1019415</v>
      </c>
      <c r="KI28" s="69">
        <v>390384</v>
      </c>
      <c r="KJ28" s="69">
        <v>0</v>
      </c>
      <c r="KK28" s="69">
        <v>658224</v>
      </c>
      <c r="KL28" s="69">
        <v>7387</v>
      </c>
      <c r="KM28" s="69">
        <v>360217</v>
      </c>
      <c r="KN28" s="69">
        <v>257519</v>
      </c>
      <c r="KO28" s="69">
        <v>0</v>
      </c>
      <c r="KP28" s="69">
        <v>1539659</v>
      </c>
      <c r="KQ28" s="69">
        <v>309118</v>
      </c>
      <c r="KR28" s="69">
        <v>309587</v>
      </c>
      <c r="KS28" s="69">
        <v>0</v>
      </c>
      <c r="KT28" s="69"/>
      <c r="KU28" s="69"/>
      <c r="KV28" s="69">
        <v>11307512</v>
      </c>
      <c r="KW28" s="69"/>
    </row>
    <row r="29" spans="1:309" x14ac:dyDescent="0.25">
      <c r="A29" t="s">
        <v>452</v>
      </c>
      <c r="E29" s="2">
        <v>39785.623460648101</v>
      </c>
      <c r="G29" t="s">
        <v>453</v>
      </c>
      <c r="L29">
        <v>0</v>
      </c>
      <c r="M29">
        <v>0</v>
      </c>
      <c r="N29">
        <v>0</v>
      </c>
      <c r="O29">
        <v>0</v>
      </c>
      <c r="P29" s="69">
        <v>0</v>
      </c>
      <c r="Q29" s="6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23582</v>
      </c>
      <c r="CS29">
        <v>0</v>
      </c>
      <c r="CT29">
        <v>0</v>
      </c>
      <c r="CU29">
        <v>1280</v>
      </c>
      <c r="CV29">
        <v>28320</v>
      </c>
      <c r="CW29">
        <v>134192</v>
      </c>
      <c r="CX29">
        <v>53232</v>
      </c>
      <c r="CY29">
        <v>0</v>
      </c>
      <c r="CZ29">
        <v>0</v>
      </c>
      <c r="DA29">
        <v>39680</v>
      </c>
      <c r="DB29">
        <v>1088</v>
      </c>
      <c r="DC29">
        <v>44582</v>
      </c>
      <c r="DD29">
        <v>0</v>
      </c>
      <c r="DE29">
        <v>10904</v>
      </c>
      <c r="DF29">
        <v>102304</v>
      </c>
      <c r="DG29">
        <v>6596</v>
      </c>
      <c r="DH29">
        <v>103120</v>
      </c>
      <c r="DI29">
        <v>0</v>
      </c>
      <c r="DJ29">
        <v>32576</v>
      </c>
      <c r="DK29">
        <v>0</v>
      </c>
      <c r="DL29">
        <v>217120</v>
      </c>
      <c r="DM29">
        <v>62128</v>
      </c>
      <c r="DN29">
        <v>0</v>
      </c>
      <c r="DO29">
        <v>182</v>
      </c>
      <c r="DP29">
        <v>1200</v>
      </c>
      <c r="DQ29">
        <v>7392</v>
      </c>
      <c r="DR29">
        <v>8160</v>
      </c>
      <c r="DS29">
        <v>95136</v>
      </c>
      <c r="DT29">
        <v>22784</v>
      </c>
      <c r="DU29">
        <v>0</v>
      </c>
      <c r="DX29" s="69">
        <v>971976</v>
      </c>
      <c r="DY29" s="69"/>
      <c r="DZ29" s="69"/>
      <c r="EA29" s="69"/>
      <c r="EB29" s="69"/>
      <c r="EC29" s="69"/>
      <c r="ED29" s="69"/>
      <c r="EE29" s="69"/>
      <c r="EF29" s="69"/>
      <c r="EG29" s="69"/>
      <c r="EH29" s="69"/>
      <c r="EI29" s="69"/>
      <c r="EJ29" s="69"/>
      <c r="EK29" s="69"/>
      <c r="EL29" s="69"/>
      <c r="EM29" s="69"/>
      <c r="EN29" s="69"/>
      <c r="EO29" s="69"/>
      <c r="EP29" s="69"/>
      <c r="EQ29" s="69"/>
      <c r="ER29" s="69"/>
      <c r="ES29" s="69"/>
      <c r="ET29" s="69"/>
      <c r="EU29" s="69"/>
      <c r="EV29" s="69"/>
      <c r="EW29" s="69"/>
      <c r="EX29" s="69"/>
      <c r="EY29" s="69">
        <v>0</v>
      </c>
      <c r="EZ29" s="69"/>
      <c r="FA29" s="69"/>
      <c r="FB29" s="69">
        <v>0</v>
      </c>
      <c r="FC29" s="69">
        <v>0</v>
      </c>
      <c r="FD29" s="69">
        <v>0</v>
      </c>
      <c r="FE29" s="69">
        <v>0</v>
      </c>
      <c r="FF29" s="69">
        <v>0</v>
      </c>
      <c r="FG29" s="69">
        <v>0</v>
      </c>
      <c r="FH29" s="69">
        <v>0</v>
      </c>
      <c r="FI29" s="69">
        <v>0</v>
      </c>
      <c r="FJ29" s="69">
        <v>0</v>
      </c>
      <c r="FK29" s="69">
        <v>0</v>
      </c>
      <c r="FL29" s="69">
        <v>0</v>
      </c>
      <c r="FM29" s="69">
        <v>0</v>
      </c>
      <c r="FN29" s="69">
        <v>0</v>
      </c>
      <c r="FO29" s="69">
        <v>0</v>
      </c>
      <c r="FP29" s="69">
        <v>0</v>
      </c>
      <c r="FQ29" s="69">
        <v>0</v>
      </c>
      <c r="FR29" s="69">
        <v>0</v>
      </c>
      <c r="FS29" s="69">
        <v>0</v>
      </c>
      <c r="FT29" s="69">
        <v>0</v>
      </c>
      <c r="FU29" s="69">
        <v>0</v>
      </c>
      <c r="FV29" s="69">
        <v>0</v>
      </c>
      <c r="FW29" s="69">
        <v>0</v>
      </c>
      <c r="FX29" s="69">
        <v>0</v>
      </c>
      <c r="FY29" s="69">
        <v>0</v>
      </c>
      <c r="FZ29" s="69">
        <v>0</v>
      </c>
      <c r="GA29" s="69">
        <v>0</v>
      </c>
      <c r="GB29" s="69">
        <v>0</v>
      </c>
      <c r="GC29" s="69">
        <v>0</v>
      </c>
      <c r="GD29" s="69"/>
      <c r="GE29" s="69"/>
      <c r="GF29" s="69">
        <v>0</v>
      </c>
      <c r="GG29" s="69">
        <v>0</v>
      </c>
      <c r="GH29" s="69">
        <v>0</v>
      </c>
      <c r="GI29" s="69">
        <v>0</v>
      </c>
      <c r="GJ29" s="69">
        <v>0</v>
      </c>
      <c r="GK29" s="69">
        <v>0</v>
      </c>
      <c r="GL29" s="69">
        <v>0</v>
      </c>
      <c r="GM29" s="69">
        <v>0</v>
      </c>
      <c r="GN29" s="69">
        <v>0</v>
      </c>
      <c r="GO29" s="69">
        <v>0</v>
      </c>
      <c r="GP29" s="69">
        <v>0</v>
      </c>
      <c r="GQ29" s="69">
        <v>0</v>
      </c>
      <c r="GR29" s="69">
        <v>0</v>
      </c>
      <c r="GS29" s="69">
        <v>0</v>
      </c>
      <c r="GT29" s="69">
        <v>0</v>
      </c>
      <c r="GU29" s="69">
        <v>0</v>
      </c>
      <c r="GV29" s="69">
        <v>0</v>
      </c>
      <c r="GW29" s="69">
        <v>0</v>
      </c>
      <c r="GX29" s="69">
        <v>0</v>
      </c>
      <c r="GY29" s="69">
        <v>0</v>
      </c>
      <c r="GZ29" s="69">
        <v>0</v>
      </c>
      <c r="HA29" s="69">
        <v>0</v>
      </c>
      <c r="HB29" s="69">
        <v>0</v>
      </c>
      <c r="HC29" s="69">
        <v>0</v>
      </c>
      <c r="HD29" s="69">
        <v>0</v>
      </c>
      <c r="HE29" s="69">
        <v>0</v>
      </c>
      <c r="HF29" s="69">
        <v>0</v>
      </c>
      <c r="HG29" s="69">
        <v>0</v>
      </c>
      <c r="HH29" s="69"/>
      <c r="HI29" s="69"/>
      <c r="HJ29" s="69">
        <v>0</v>
      </c>
      <c r="HK29" s="69">
        <v>0</v>
      </c>
      <c r="HL29" s="69">
        <v>0</v>
      </c>
      <c r="HM29" s="69">
        <v>0</v>
      </c>
      <c r="HN29" s="69">
        <v>0</v>
      </c>
      <c r="HO29" s="69">
        <v>0</v>
      </c>
      <c r="HP29" s="69">
        <v>0</v>
      </c>
      <c r="HQ29" s="69">
        <v>0</v>
      </c>
      <c r="HR29" s="69">
        <v>0</v>
      </c>
      <c r="HS29" s="69">
        <v>0</v>
      </c>
      <c r="HT29" s="69">
        <v>0</v>
      </c>
      <c r="HU29" s="69">
        <v>0</v>
      </c>
      <c r="HV29" s="69">
        <v>0</v>
      </c>
      <c r="HW29" s="69">
        <v>0</v>
      </c>
      <c r="HX29" s="69">
        <v>0</v>
      </c>
      <c r="HY29" s="69">
        <v>0</v>
      </c>
      <c r="HZ29" s="69">
        <v>0</v>
      </c>
      <c r="IA29" s="69">
        <v>0</v>
      </c>
      <c r="IB29" s="69">
        <v>0</v>
      </c>
      <c r="IC29" s="69">
        <v>0</v>
      </c>
      <c r="ID29" s="69">
        <v>0</v>
      </c>
      <c r="IE29" s="69">
        <v>0</v>
      </c>
      <c r="IF29" s="69">
        <v>0</v>
      </c>
      <c r="IG29" s="69">
        <v>0</v>
      </c>
      <c r="IH29" s="69">
        <v>0</v>
      </c>
      <c r="II29" s="69">
        <v>0</v>
      </c>
      <c r="IJ29" s="69">
        <v>0</v>
      </c>
      <c r="IK29" s="69">
        <v>0</v>
      </c>
      <c r="IL29" s="69"/>
      <c r="IM29" s="69"/>
      <c r="IN29" s="69">
        <v>0</v>
      </c>
      <c r="IO29" s="69"/>
      <c r="IP29" s="69"/>
      <c r="IQ29" s="69"/>
      <c r="IR29" s="69"/>
      <c r="IS29" s="69"/>
      <c r="IT29" s="69"/>
      <c r="IU29" s="69"/>
      <c r="IV29" s="69"/>
      <c r="IW29" s="69"/>
      <c r="IX29" s="69"/>
      <c r="IY29" s="69"/>
      <c r="IZ29" s="69"/>
      <c r="JA29" s="69"/>
      <c r="JB29" s="69"/>
      <c r="JC29" s="69"/>
      <c r="JD29" s="69"/>
      <c r="JE29" s="69"/>
      <c r="JF29" s="69"/>
      <c r="JG29" s="69"/>
      <c r="JH29" s="69"/>
      <c r="JI29" s="69"/>
      <c r="JJ29" s="69"/>
      <c r="JK29" s="69"/>
      <c r="JL29" s="69"/>
      <c r="JM29" s="69"/>
      <c r="JN29" s="69"/>
      <c r="JO29" s="69">
        <v>0</v>
      </c>
      <c r="JP29" s="69"/>
      <c r="JQ29" s="69"/>
      <c r="JR29" s="69">
        <v>0</v>
      </c>
      <c r="JS29" s="69">
        <v>0</v>
      </c>
      <c r="JT29" s="69">
        <v>0</v>
      </c>
      <c r="JU29" s="69">
        <v>0</v>
      </c>
      <c r="JV29" s="69">
        <v>0</v>
      </c>
      <c r="JW29" s="69">
        <v>0</v>
      </c>
      <c r="JX29" s="69">
        <v>0</v>
      </c>
      <c r="JY29" s="69">
        <v>0</v>
      </c>
      <c r="JZ29" s="69">
        <v>0</v>
      </c>
      <c r="KA29" s="69">
        <v>0</v>
      </c>
      <c r="KB29" s="69">
        <v>0</v>
      </c>
      <c r="KC29" s="69">
        <v>0</v>
      </c>
      <c r="KD29" s="69">
        <v>0</v>
      </c>
      <c r="KE29" s="69">
        <v>0</v>
      </c>
      <c r="KF29" s="69">
        <v>0</v>
      </c>
      <c r="KG29" s="69">
        <v>0</v>
      </c>
      <c r="KH29" s="69">
        <v>0</v>
      </c>
      <c r="KI29" s="69">
        <v>0</v>
      </c>
      <c r="KJ29" s="69">
        <v>0</v>
      </c>
      <c r="KK29" s="69">
        <v>0</v>
      </c>
      <c r="KL29" s="69">
        <v>0</v>
      </c>
      <c r="KM29" s="69">
        <v>0</v>
      </c>
      <c r="KN29" s="69">
        <v>0</v>
      </c>
      <c r="KO29" s="69">
        <v>0</v>
      </c>
      <c r="KP29" s="69">
        <v>0</v>
      </c>
      <c r="KQ29" s="69">
        <v>0</v>
      </c>
      <c r="KR29" s="69">
        <v>0</v>
      </c>
      <c r="KS29" s="69">
        <v>0</v>
      </c>
      <c r="KT29" s="69"/>
      <c r="KU29" s="69"/>
      <c r="KV29" s="69">
        <v>0</v>
      </c>
      <c r="KW29" s="69"/>
    </row>
    <row r="30" spans="1:309" x14ac:dyDescent="0.25">
      <c r="A30" t="s">
        <v>450</v>
      </c>
      <c r="C30" t="s">
        <v>1088</v>
      </c>
      <c r="D30" t="s">
        <v>1135</v>
      </c>
      <c r="E30" s="2">
        <v>39797.736956018503</v>
      </c>
      <c r="G30" t="s">
        <v>451</v>
      </c>
      <c r="L30">
        <v>0</v>
      </c>
      <c r="M30">
        <v>0</v>
      </c>
      <c r="N30">
        <v>0</v>
      </c>
      <c r="O30">
        <v>20528271</v>
      </c>
      <c r="P30" s="69">
        <v>0</v>
      </c>
      <c r="Q30" s="69">
        <v>1009395</v>
      </c>
      <c r="R30">
        <v>0</v>
      </c>
      <c r="S30">
        <v>1009395</v>
      </c>
      <c r="T30">
        <v>1612817</v>
      </c>
      <c r="U30">
        <v>756495</v>
      </c>
      <c r="V30">
        <v>903553</v>
      </c>
      <c r="W30">
        <v>0</v>
      </c>
      <c r="X30">
        <v>0</v>
      </c>
      <c r="Y30">
        <v>0</v>
      </c>
      <c r="Z30">
        <v>3272865</v>
      </c>
      <c r="AA30">
        <v>689580</v>
      </c>
      <c r="AB30">
        <v>8471</v>
      </c>
      <c r="AC30">
        <v>763835</v>
      </c>
      <c r="AD30">
        <v>0</v>
      </c>
      <c r="AE30">
        <v>1772968</v>
      </c>
      <c r="AF30">
        <v>1279594</v>
      </c>
      <c r="AG30">
        <v>4514448</v>
      </c>
      <c r="AH30">
        <v>2302397</v>
      </c>
      <c r="AI30">
        <v>764966</v>
      </c>
      <c r="AJ30">
        <v>1667388</v>
      </c>
      <c r="AK30">
        <v>0</v>
      </c>
      <c r="AL30">
        <v>1772968</v>
      </c>
      <c r="AM30">
        <v>1279594</v>
      </c>
      <c r="AN30">
        <v>7787313</v>
      </c>
      <c r="AO30">
        <v>219914</v>
      </c>
      <c r="AP30">
        <v>191927</v>
      </c>
      <c r="AQ30">
        <v>817312</v>
      </c>
      <c r="AR30">
        <v>0</v>
      </c>
      <c r="AS30">
        <v>1229153</v>
      </c>
      <c r="AT30">
        <v>610518</v>
      </c>
      <c r="AU30">
        <v>33317</v>
      </c>
      <c r="AV30">
        <v>1184993</v>
      </c>
      <c r="AW30">
        <v>0</v>
      </c>
      <c r="AX30">
        <v>1828828</v>
      </c>
      <c r="AY30">
        <v>830432</v>
      </c>
      <c r="AZ30">
        <v>225244</v>
      </c>
      <c r="BA30">
        <v>2002305</v>
      </c>
      <c r="BB30">
        <v>0</v>
      </c>
      <c r="BC30">
        <v>3057981</v>
      </c>
      <c r="BD30">
        <v>875552</v>
      </c>
      <c r="BE30">
        <v>0</v>
      </c>
      <c r="BF30">
        <v>0</v>
      </c>
      <c r="BG30">
        <v>0</v>
      </c>
      <c r="BH30">
        <v>0</v>
      </c>
      <c r="BI30">
        <v>875552</v>
      </c>
      <c r="BJ30">
        <v>0</v>
      </c>
      <c r="BK30">
        <v>0</v>
      </c>
      <c r="BL30">
        <v>264095</v>
      </c>
      <c r="BM30">
        <v>0</v>
      </c>
      <c r="BN30">
        <v>0</v>
      </c>
      <c r="BO30">
        <v>264095</v>
      </c>
      <c r="BP30">
        <v>986050</v>
      </c>
      <c r="BQ30">
        <v>0</v>
      </c>
      <c r="BR30">
        <v>0</v>
      </c>
      <c r="BS30">
        <v>0</v>
      </c>
      <c r="BT30">
        <v>0</v>
      </c>
      <c r="BU30">
        <v>986050</v>
      </c>
      <c r="BV30">
        <v>1861602</v>
      </c>
      <c r="BW30">
        <v>0</v>
      </c>
      <c r="BX30">
        <v>264095</v>
      </c>
      <c r="BY30">
        <v>0</v>
      </c>
      <c r="BZ30">
        <v>0</v>
      </c>
      <c r="CA30">
        <v>2125697</v>
      </c>
      <c r="CB30">
        <v>0</v>
      </c>
      <c r="CC30">
        <v>0</v>
      </c>
      <c r="CD30">
        <v>0</v>
      </c>
      <c r="CE30">
        <v>0</v>
      </c>
      <c r="CF30">
        <v>0</v>
      </c>
      <c r="CG30">
        <v>0</v>
      </c>
      <c r="CH30">
        <v>0</v>
      </c>
      <c r="CI30">
        <v>0</v>
      </c>
      <c r="CJ30">
        <v>0</v>
      </c>
      <c r="CK30">
        <v>0</v>
      </c>
      <c r="CL30">
        <v>0</v>
      </c>
      <c r="CM30">
        <v>0</v>
      </c>
      <c r="CN30">
        <v>0</v>
      </c>
      <c r="CO30">
        <v>0</v>
      </c>
      <c r="CP30">
        <v>0</v>
      </c>
      <c r="CQ30">
        <v>0</v>
      </c>
      <c r="CR30">
        <v>23485</v>
      </c>
      <c r="CS30">
        <v>1568802</v>
      </c>
      <c r="CT30">
        <v>0</v>
      </c>
      <c r="CU30">
        <v>0</v>
      </c>
      <c r="CV30">
        <v>10368</v>
      </c>
      <c r="CW30">
        <v>102304</v>
      </c>
      <c r="CX30">
        <v>96856</v>
      </c>
      <c r="CY30">
        <v>0</v>
      </c>
      <c r="CZ30">
        <v>15077</v>
      </c>
      <c r="DA30">
        <v>125779</v>
      </c>
      <c r="DB30">
        <v>38160</v>
      </c>
      <c r="DC30">
        <v>115624</v>
      </c>
      <c r="DD30">
        <v>0</v>
      </c>
      <c r="DE30">
        <v>109768</v>
      </c>
      <c r="DF30">
        <v>98880</v>
      </c>
      <c r="DG30">
        <v>4176</v>
      </c>
      <c r="DH30">
        <v>52080</v>
      </c>
      <c r="DI30">
        <v>0</v>
      </c>
      <c r="DJ30">
        <v>62152</v>
      </c>
      <c r="DK30">
        <v>0</v>
      </c>
      <c r="DL30">
        <v>132480</v>
      </c>
      <c r="DM30">
        <v>86352</v>
      </c>
      <c r="DN30">
        <v>30960</v>
      </c>
      <c r="DO30">
        <v>37556</v>
      </c>
      <c r="DP30">
        <v>8544</v>
      </c>
      <c r="DQ30">
        <v>12352</v>
      </c>
      <c r="DR30">
        <v>2592</v>
      </c>
      <c r="DS30">
        <v>119744</v>
      </c>
      <c r="DT30">
        <v>51392</v>
      </c>
      <c r="DU30">
        <v>0</v>
      </c>
      <c r="DX30" s="69">
        <v>1313196</v>
      </c>
      <c r="DY30" s="69">
        <v>0</v>
      </c>
      <c r="DZ30" s="69">
        <v>35048</v>
      </c>
      <c r="EA30" s="69">
        <v>345828</v>
      </c>
      <c r="EB30" s="69">
        <v>327412</v>
      </c>
      <c r="EC30" s="69">
        <v>0</v>
      </c>
      <c r="ED30" s="69">
        <v>50966</v>
      </c>
      <c r="EE30" s="69">
        <v>425183</v>
      </c>
      <c r="EF30" s="69">
        <v>128996</v>
      </c>
      <c r="EG30" s="69">
        <v>390855</v>
      </c>
      <c r="EH30" s="69">
        <v>0</v>
      </c>
      <c r="EI30" s="69">
        <v>371059</v>
      </c>
      <c r="EJ30" s="69">
        <v>334254</v>
      </c>
      <c r="EK30" s="69">
        <v>14117</v>
      </c>
      <c r="EL30" s="69">
        <v>176051</v>
      </c>
      <c r="EM30" s="69">
        <v>0</v>
      </c>
      <c r="EN30" s="69">
        <v>210098</v>
      </c>
      <c r="EO30" s="69">
        <v>0</v>
      </c>
      <c r="EP30" s="69">
        <v>447835</v>
      </c>
      <c r="EQ30" s="69">
        <v>291904</v>
      </c>
      <c r="ER30" s="69">
        <v>104657</v>
      </c>
      <c r="ES30" s="69">
        <v>126954</v>
      </c>
      <c r="ET30" s="69">
        <v>28882</v>
      </c>
      <c r="EU30" s="69">
        <v>41755</v>
      </c>
      <c r="EV30" s="69">
        <v>8762</v>
      </c>
      <c r="EW30" s="69">
        <v>404782</v>
      </c>
      <c r="EX30" s="69">
        <v>173725</v>
      </c>
      <c r="EY30" s="69">
        <v>0</v>
      </c>
      <c r="EZ30" s="69"/>
      <c r="FA30" s="69"/>
      <c r="FB30" s="69">
        <v>4439123</v>
      </c>
      <c r="FC30" s="69">
        <v>0</v>
      </c>
      <c r="FD30" s="69">
        <v>6016</v>
      </c>
      <c r="FE30" s="69">
        <v>59357</v>
      </c>
      <c r="FF30" s="69">
        <v>56196</v>
      </c>
      <c r="FG30" s="69">
        <v>0</v>
      </c>
      <c r="FH30" s="69">
        <v>8748</v>
      </c>
      <c r="FI30" s="69">
        <v>72977</v>
      </c>
      <c r="FJ30" s="69">
        <v>22140</v>
      </c>
      <c r="FK30" s="69">
        <v>67085</v>
      </c>
      <c r="FL30" s="69">
        <v>0</v>
      </c>
      <c r="FM30" s="69">
        <v>63687</v>
      </c>
      <c r="FN30" s="69">
        <v>57370</v>
      </c>
      <c r="FO30" s="69">
        <v>2422</v>
      </c>
      <c r="FP30" s="69">
        <v>30217</v>
      </c>
      <c r="FQ30" s="69">
        <v>0</v>
      </c>
      <c r="FR30" s="69">
        <v>36061</v>
      </c>
      <c r="FS30" s="69">
        <v>0</v>
      </c>
      <c r="FT30" s="69">
        <v>76865</v>
      </c>
      <c r="FU30" s="69">
        <v>50101</v>
      </c>
      <c r="FV30" s="69">
        <v>17963</v>
      </c>
      <c r="FW30" s="69">
        <v>21790</v>
      </c>
      <c r="FX30" s="69">
        <v>4957</v>
      </c>
      <c r="FY30" s="69">
        <v>7167</v>
      </c>
      <c r="FZ30" s="69">
        <v>1504</v>
      </c>
      <c r="GA30" s="69">
        <v>69475</v>
      </c>
      <c r="GB30" s="69">
        <v>29818</v>
      </c>
      <c r="GC30" s="69">
        <v>0</v>
      </c>
      <c r="GD30" s="69"/>
      <c r="GE30" s="69"/>
      <c r="GF30" s="69">
        <v>761916</v>
      </c>
      <c r="GG30" s="69">
        <v>0</v>
      </c>
      <c r="GH30" s="69">
        <v>12386</v>
      </c>
      <c r="GI30" s="69">
        <v>122217</v>
      </c>
      <c r="GJ30" s="69">
        <v>115709</v>
      </c>
      <c r="GK30" s="69">
        <v>0</v>
      </c>
      <c r="GL30" s="69">
        <v>18012</v>
      </c>
      <c r="GM30" s="69">
        <v>150261</v>
      </c>
      <c r="GN30" s="69">
        <v>45588</v>
      </c>
      <c r="GO30" s="69">
        <v>138130</v>
      </c>
      <c r="GP30" s="69">
        <v>0</v>
      </c>
      <c r="GQ30" s="69">
        <v>131133</v>
      </c>
      <c r="GR30" s="69">
        <v>118126</v>
      </c>
      <c r="GS30" s="69">
        <v>4989</v>
      </c>
      <c r="GT30" s="69">
        <v>62217</v>
      </c>
      <c r="GU30" s="69">
        <v>0</v>
      </c>
      <c r="GV30" s="69">
        <v>74250</v>
      </c>
      <c r="GW30" s="69">
        <v>0</v>
      </c>
      <c r="GX30" s="69">
        <v>158267</v>
      </c>
      <c r="GY30" s="69">
        <v>103160</v>
      </c>
      <c r="GZ30" s="69">
        <v>36986</v>
      </c>
      <c r="HA30" s="69">
        <v>44866</v>
      </c>
      <c r="HB30" s="69">
        <v>10207</v>
      </c>
      <c r="HC30" s="69">
        <v>14756</v>
      </c>
      <c r="HD30" s="69">
        <v>3097</v>
      </c>
      <c r="HE30" s="69">
        <v>143051</v>
      </c>
      <c r="HF30" s="69">
        <v>61395</v>
      </c>
      <c r="HG30" s="69">
        <v>0</v>
      </c>
      <c r="HH30" s="69"/>
      <c r="HI30" s="69"/>
      <c r="HJ30" s="69">
        <v>1568802</v>
      </c>
      <c r="HK30" s="69">
        <v>0</v>
      </c>
      <c r="HL30" s="69">
        <v>8350</v>
      </c>
      <c r="HM30" s="69">
        <v>82395</v>
      </c>
      <c r="HN30" s="69">
        <v>78007</v>
      </c>
      <c r="HO30" s="69">
        <v>0</v>
      </c>
      <c r="HP30" s="69">
        <v>12143</v>
      </c>
      <c r="HQ30" s="69">
        <v>101302</v>
      </c>
      <c r="HR30" s="69">
        <v>30734</v>
      </c>
      <c r="HS30" s="69">
        <v>93123</v>
      </c>
      <c r="HT30" s="69">
        <v>0</v>
      </c>
      <c r="HU30" s="69">
        <v>88406</v>
      </c>
      <c r="HV30" s="69">
        <v>79637</v>
      </c>
      <c r="HW30" s="69">
        <v>3363</v>
      </c>
      <c r="HX30" s="69">
        <v>41945</v>
      </c>
      <c r="HY30" s="69">
        <v>0</v>
      </c>
      <c r="HZ30" s="69">
        <v>50057</v>
      </c>
      <c r="IA30" s="69">
        <v>0</v>
      </c>
      <c r="IB30" s="69">
        <v>106698</v>
      </c>
      <c r="IC30" s="69">
        <v>69547</v>
      </c>
      <c r="ID30" s="69">
        <v>24935</v>
      </c>
      <c r="IE30" s="69">
        <v>30247</v>
      </c>
      <c r="IF30" s="69">
        <v>6881</v>
      </c>
      <c r="IG30" s="69">
        <v>9948</v>
      </c>
      <c r="IH30" s="69">
        <v>2088</v>
      </c>
      <c r="II30" s="69">
        <v>96441</v>
      </c>
      <c r="IJ30" s="69">
        <v>41391</v>
      </c>
      <c r="IK30" s="69">
        <v>0</v>
      </c>
      <c r="IL30" s="69"/>
      <c r="IM30" s="69"/>
      <c r="IN30" s="69">
        <v>1057638</v>
      </c>
      <c r="IO30" s="69">
        <v>0</v>
      </c>
      <c r="IP30" s="69">
        <v>26752</v>
      </c>
      <c r="IQ30" s="69">
        <v>263969</v>
      </c>
      <c r="IR30" s="69">
        <v>249912</v>
      </c>
      <c r="IS30" s="69">
        <v>0</v>
      </c>
      <c r="IT30" s="69">
        <v>38903</v>
      </c>
      <c r="IU30" s="69">
        <v>324540</v>
      </c>
      <c r="IV30" s="69">
        <v>98462</v>
      </c>
      <c r="IW30" s="69">
        <v>298338</v>
      </c>
      <c r="IX30" s="69">
        <v>0</v>
      </c>
      <c r="IY30" s="69">
        <v>283226</v>
      </c>
      <c r="IZ30" s="69">
        <v>255133</v>
      </c>
      <c r="JA30" s="69">
        <v>10774</v>
      </c>
      <c r="JB30" s="69">
        <v>134379</v>
      </c>
      <c r="JC30" s="69">
        <v>0</v>
      </c>
      <c r="JD30" s="69">
        <v>160368</v>
      </c>
      <c r="JE30" s="69">
        <v>0</v>
      </c>
      <c r="JF30" s="69">
        <v>341830</v>
      </c>
      <c r="JG30" s="69">
        <v>222808</v>
      </c>
      <c r="JH30" s="69">
        <v>79884</v>
      </c>
      <c r="JI30" s="69">
        <v>96903</v>
      </c>
      <c r="JJ30" s="69">
        <v>22045</v>
      </c>
      <c r="JK30" s="69">
        <v>31871</v>
      </c>
      <c r="JL30" s="69">
        <v>6689</v>
      </c>
      <c r="JM30" s="69">
        <v>308967</v>
      </c>
      <c r="JN30" s="69">
        <v>132604</v>
      </c>
      <c r="JO30" s="69">
        <v>0</v>
      </c>
      <c r="JP30" s="69"/>
      <c r="JQ30" s="69"/>
      <c r="JR30" s="69">
        <v>3388356</v>
      </c>
      <c r="JS30" s="69">
        <v>0</v>
      </c>
      <c r="JT30" s="69">
        <v>61800</v>
      </c>
      <c r="JU30" s="69">
        <v>609797</v>
      </c>
      <c r="JV30" s="69">
        <v>577324</v>
      </c>
      <c r="JW30" s="69">
        <v>0</v>
      </c>
      <c r="JX30" s="69">
        <v>89869</v>
      </c>
      <c r="JY30" s="69">
        <v>749723</v>
      </c>
      <c r="JZ30" s="69">
        <v>227458</v>
      </c>
      <c r="KA30" s="69">
        <v>689193</v>
      </c>
      <c r="KB30" s="69">
        <v>0</v>
      </c>
      <c r="KC30" s="69">
        <v>654285</v>
      </c>
      <c r="KD30" s="69">
        <v>589387</v>
      </c>
      <c r="KE30" s="69">
        <v>24891</v>
      </c>
      <c r="KF30" s="69">
        <v>310430</v>
      </c>
      <c r="KG30" s="69">
        <v>0</v>
      </c>
      <c r="KH30" s="69">
        <v>370466</v>
      </c>
      <c r="KI30" s="69">
        <v>0</v>
      </c>
      <c r="KJ30" s="69">
        <v>789665</v>
      </c>
      <c r="KK30" s="69">
        <v>514712</v>
      </c>
      <c r="KL30" s="69">
        <v>184541</v>
      </c>
      <c r="KM30" s="69">
        <v>223857</v>
      </c>
      <c r="KN30" s="69">
        <v>50927</v>
      </c>
      <c r="KO30" s="69">
        <v>73626</v>
      </c>
      <c r="KP30" s="69">
        <v>15451</v>
      </c>
      <c r="KQ30" s="69">
        <v>713749</v>
      </c>
      <c r="KR30" s="69">
        <v>306329</v>
      </c>
      <c r="KS30" s="69">
        <v>0</v>
      </c>
      <c r="KT30" s="69"/>
      <c r="KU30" s="69"/>
      <c r="KV30" s="69">
        <v>7827479</v>
      </c>
      <c r="KW30" s="69"/>
    </row>
    <row r="31" spans="1:309" x14ac:dyDescent="0.25">
      <c r="A31" t="s">
        <v>378</v>
      </c>
      <c r="C31" t="s">
        <v>1088</v>
      </c>
      <c r="D31" t="s">
        <v>1101</v>
      </c>
      <c r="E31" s="2">
        <v>39818.757060185198</v>
      </c>
      <c r="G31" t="s">
        <v>379</v>
      </c>
      <c r="L31">
        <v>0</v>
      </c>
      <c r="M31">
        <v>0</v>
      </c>
      <c r="N31">
        <v>0</v>
      </c>
      <c r="O31">
        <v>37302425</v>
      </c>
      <c r="P31" s="69">
        <v>0</v>
      </c>
      <c r="Q31" s="69">
        <v>1431315</v>
      </c>
      <c r="R31">
        <v>0</v>
      </c>
      <c r="S31">
        <v>1431315</v>
      </c>
      <c r="T31">
        <v>5076766</v>
      </c>
      <c r="U31">
        <v>3437955</v>
      </c>
      <c r="V31">
        <v>2098676</v>
      </c>
      <c r="W31">
        <v>0</v>
      </c>
      <c r="X31">
        <v>0</v>
      </c>
      <c r="Y31">
        <v>0</v>
      </c>
      <c r="Z31">
        <v>10613397</v>
      </c>
      <c r="AA31">
        <v>225663</v>
      </c>
      <c r="AB31">
        <v>558957</v>
      </c>
      <c r="AC31">
        <v>2325215</v>
      </c>
      <c r="AD31">
        <v>0</v>
      </c>
      <c r="AE31">
        <v>275261</v>
      </c>
      <c r="AF31">
        <v>992146</v>
      </c>
      <c r="AG31">
        <v>4377242</v>
      </c>
      <c r="AH31">
        <v>5302429</v>
      </c>
      <c r="AI31">
        <v>3996912</v>
      </c>
      <c r="AJ31">
        <v>4423891</v>
      </c>
      <c r="AK31">
        <v>0</v>
      </c>
      <c r="AL31">
        <v>275261</v>
      </c>
      <c r="AM31">
        <v>992146</v>
      </c>
      <c r="AN31">
        <v>14990639</v>
      </c>
      <c r="AO31">
        <v>0</v>
      </c>
      <c r="AP31">
        <v>0</v>
      </c>
      <c r="AQ31">
        <v>263816</v>
      </c>
      <c r="AR31">
        <v>0</v>
      </c>
      <c r="AS31">
        <v>263816</v>
      </c>
      <c r="AT31">
        <v>0</v>
      </c>
      <c r="AU31">
        <v>0</v>
      </c>
      <c r="AV31">
        <v>70024</v>
      </c>
      <c r="AW31">
        <v>156173</v>
      </c>
      <c r="AX31">
        <v>226197</v>
      </c>
      <c r="AY31">
        <v>0</v>
      </c>
      <c r="AZ31">
        <v>0</v>
      </c>
      <c r="BA31">
        <v>333840</v>
      </c>
      <c r="BB31">
        <v>0</v>
      </c>
      <c r="BC31">
        <v>333840</v>
      </c>
      <c r="BD31">
        <v>1630637</v>
      </c>
      <c r="BE31">
        <v>0</v>
      </c>
      <c r="BF31">
        <v>0</v>
      </c>
      <c r="BG31">
        <v>0</v>
      </c>
      <c r="BH31">
        <v>0</v>
      </c>
      <c r="BI31">
        <v>1630637</v>
      </c>
      <c r="BJ31">
        <v>0</v>
      </c>
      <c r="BK31">
        <v>0</v>
      </c>
      <c r="BL31">
        <v>346880</v>
      </c>
      <c r="BM31">
        <v>0</v>
      </c>
      <c r="BN31">
        <v>0</v>
      </c>
      <c r="BO31">
        <v>346880</v>
      </c>
      <c r="BP31">
        <v>2229282</v>
      </c>
      <c r="BQ31">
        <v>0</v>
      </c>
      <c r="BR31">
        <v>0</v>
      </c>
      <c r="BS31">
        <v>0</v>
      </c>
      <c r="BT31">
        <v>0</v>
      </c>
      <c r="BU31">
        <v>2229282</v>
      </c>
      <c r="BV31">
        <v>3859919</v>
      </c>
      <c r="BW31">
        <v>0</v>
      </c>
      <c r="BX31">
        <v>346880</v>
      </c>
      <c r="BY31">
        <v>0</v>
      </c>
      <c r="BZ31">
        <v>0</v>
      </c>
      <c r="CA31">
        <v>4206799</v>
      </c>
      <c r="CB31">
        <v>0</v>
      </c>
      <c r="CC31">
        <v>0</v>
      </c>
      <c r="CD31">
        <v>0</v>
      </c>
      <c r="CE31">
        <v>0</v>
      </c>
      <c r="CF31">
        <v>0</v>
      </c>
      <c r="CG31">
        <v>0</v>
      </c>
      <c r="CH31">
        <v>0</v>
      </c>
      <c r="CI31">
        <v>0</v>
      </c>
      <c r="CJ31">
        <v>0</v>
      </c>
      <c r="CK31">
        <v>0</v>
      </c>
      <c r="CL31">
        <v>0</v>
      </c>
      <c r="CM31">
        <v>0</v>
      </c>
      <c r="CN31">
        <v>0</v>
      </c>
      <c r="CO31">
        <v>0</v>
      </c>
      <c r="CP31">
        <v>0</v>
      </c>
      <c r="CQ31">
        <v>0</v>
      </c>
      <c r="CR31">
        <v>3582</v>
      </c>
      <c r="CS31">
        <v>2224880</v>
      </c>
      <c r="CT31">
        <v>0</v>
      </c>
      <c r="CU31">
        <v>0</v>
      </c>
      <c r="CV31">
        <v>0</v>
      </c>
      <c r="CW31">
        <v>281600</v>
      </c>
      <c r="CX31">
        <v>212240</v>
      </c>
      <c r="CY31">
        <v>0</v>
      </c>
      <c r="CZ31">
        <v>141024</v>
      </c>
      <c r="DA31">
        <v>235632</v>
      </c>
      <c r="DB31">
        <v>102496</v>
      </c>
      <c r="DC31">
        <v>0</v>
      </c>
      <c r="DD31">
        <v>0</v>
      </c>
      <c r="DE31">
        <v>0</v>
      </c>
      <c r="DF31">
        <v>426576</v>
      </c>
      <c r="DG31">
        <v>97184</v>
      </c>
      <c r="DH31">
        <v>75440</v>
      </c>
      <c r="DI31">
        <v>0</v>
      </c>
      <c r="DJ31">
        <v>141056</v>
      </c>
      <c r="DK31">
        <v>0</v>
      </c>
      <c r="DL31">
        <v>67232</v>
      </c>
      <c r="DM31">
        <v>381296</v>
      </c>
      <c r="DN31">
        <v>32656</v>
      </c>
      <c r="DO31">
        <v>0</v>
      </c>
      <c r="DP31">
        <v>44368</v>
      </c>
      <c r="DQ31">
        <v>105728</v>
      </c>
      <c r="DR31">
        <v>120784</v>
      </c>
      <c r="DS31">
        <v>494832</v>
      </c>
      <c r="DT31">
        <v>231344</v>
      </c>
      <c r="DU31">
        <v>0</v>
      </c>
      <c r="DX31" s="69">
        <v>3191488</v>
      </c>
      <c r="DY31" s="69">
        <v>0</v>
      </c>
      <c r="DZ31" s="69">
        <v>0</v>
      </c>
      <c r="EA31" s="69">
        <v>914897</v>
      </c>
      <c r="EB31" s="69">
        <v>992344</v>
      </c>
      <c r="EC31" s="69">
        <v>0</v>
      </c>
      <c r="ED31" s="69">
        <v>363326</v>
      </c>
      <c r="EE31" s="69">
        <v>1050488</v>
      </c>
      <c r="EF31" s="69">
        <v>385755</v>
      </c>
      <c r="EG31" s="69">
        <v>0</v>
      </c>
      <c r="EH31" s="69">
        <v>0</v>
      </c>
      <c r="EI31" s="69">
        <v>0</v>
      </c>
      <c r="EJ31" s="69">
        <v>1939647</v>
      </c>
      <c r="EK31" s="69">
        <v>465791</v>
      </c>
      <c r="EL31" s="69">
        <v>625626</v>
      </c>
      <c r="EM31" s="69">
        <v>0</v>
      </c>
      <c r="EN31" s="69">
        <v>624388</v>
      </c>
      <c r="EO31" s="69">
        <v>0</v>
      </c>
      <c r="EP31" s="69">
        <v>626281</v>
      </c>
      <c r="EQ31" s="69">
        <v>1124015</v>
      </c>
      <c r="ER31" s="69">
        <v>414346</v>
      </c>
      <c r="ES31" s="69">
        <v>0</v>
      </c>
      <c r="ET31" s="69">
        <v>197864</v>
      </c>
      <c r="EU31" s="69">
        <v>378029</v>
      </c>
      <c r="EV31" s="69">
        <v>562706</v>
      </c>
      <c r="EW31" s="69">
        <v>1175981</v>
      </c>
      <c r="EX31" s="69">
        <v>1133290</v>
      </c>
      <c r="EY31" s="69">
        <v>0</v>
      </c>
      <c r="EZ31" s="69"/>
      <c r="FA31" s="69"/>
      <c r="FB31" s="69">
        <v>12974774</v>
      </c>
      <c r="FC31" s="69">
        <v>0</v>
      </c>
      <c r="FD31" s="69">
        <v>0</v>
      </c>
      <c r="FE31" s="69">
        <v>41432</v>
      </c>
      <c r="FF31" s="69">
        <v>24218</v>
      </c>
      <c r="FG31" s="69">
        <v>0</v>
      </c>
      <c r="FH31" s="69">
        <v>23211</v>
      </c>
      <c r="FI31" s="69">
        <v>129417</v>
      </c>
      <c r="FJ31" s="69">
        <v>20940</v>
      </c>
      <c r="FK31" s="69">
        <v>0</v>
      </c>
      <c r="FL31" s="69">
        <v>0</v>
      </c>
      <c r="FM31" s="69">
        <v>0</v>
      </c>
      <c r="FN31" s="69">
        <v>577891</v>
      </c>
      <c r="FO31" s="69">
        <v>19507</v>
      </c>
      <c r="FP31" s="69">
        <v>36375</v>
      </c>
      <c r="FQ31" s="69">
        <v>0</v>
      </c>
      <c r="FR31" s="69">
        <v>53070</v>
      </c>
      <c r="FS31" s="69">
        <v>0</v>
      </c>
      <c r="FT31" s="69">
        <v>53264</v>
      </c>
      <c r="FU31" s="69">
        <v>34337</v>
      </c>
      <c r="FV31" s="69">
        <v>70139</v>
      </c>
      <c r="FW31" s="69">
        <v>0</v>
      </c>
      <c r="FX31" s="69">
        <v>24376</v>
      </c>
      <c r="FY31" s="69">
        <v>39926</v>
      </c>
      <c r="FZ31" s="69">
        <v>65855</v>
      </c>
      <c r="GA31" s="69">
        <v>20360</v>
      </c>
      <c r="GB31" s="69">
        <v>159428</v>
      </c>
      <c r="GC31" s="69">
        <v>0</v>
      </c>
      <c r="GD31" s="69"/>
      <c r="GE31" s="69"/>
      <c r="GF31" s="69">
        <v>1393746</v>
      </c>
      <c r="GG31" s="69">
        <v>0</v>
      </c>
      <c r="GH31" s="69">
        <v>0</v>
      </c>
      <c r="GI31" s="69">
        <v>148082</v>
      </c>
      <c r="GJ31" s="69">
        <v>157409</v>
      </c>
      <c r="GK31" s="69">
        <v>0</v>
      </c>
      <c r="GL31" s="69">
        <v>59853</v>
      </c>
      <c r="GM31" s="69">
        <v>182701</v>
      </c>
      <c r="GN31" s="69">
        <v>62974</v>
      </c>
      <c r="GO31" s="69">
        <v>0</v>
      </c>
      <c r="GP31" s="69">
        <v>0</v>
      </c>
      <c r="GQ31" s="69">
        <v>0</v>
      </c>
      <c r="GR31" s="69">
        <v>389826</v>
      </c>
      <c r="GS31" s="69">
        <v>75146</v>
      </c>
      <c r="GT31" s="69">
        <v>102507</v>
      </c>
      <c r="GU31" s="69">
        <v>0</v>
      </c>
      <c r="GV31" s="69">
        <v>104900</v>
      </c>
      <c r="GW31" s="69">
        <v>0</v>
      </c>
      <c r="GX31" s="69">
        <v>105224</v>
      </c>
      <c r="GY31" s="69">
        <v>179364</v>
      </c>
      <c r="GZ31" s="69">
        <v>75020</v>
      </c>
      <c r="HA31" s="69">
        <v>0</v>
      </c>
      <c r="HB31" s="69">
        <v>34413</v>
      </c>
      <c r="HC31" s="69">
        <v>64718</v>
      </c>
      <c r="HD31" s="69">
        <v>97329</v>
      </c>
      <c r="HE31" s="69">
        <v>185246</v>
      </c>
      <c r="HF31" s="69">
        <v>200170</v>
      </c>
      <c r="HG31" s="69">
        <v>0</v>
      </c>
      <c r="HH31" s="69"/>
      <c r="HI31" s="69"/>
      <c r="HJ31" s="69">
        <v>2224880</v>
      </c>
      <c r="HK31" s="69">
        <v>0</v>
      </c>
      <c r="HL31" s="69">
        <v>0</v>
      </c>
      <c r="HM31" s="69">
        <v>55758</v>
      </c>
      <c r="HN31" s="69">
        <v>13505</v>
      </c>
      <c r="HO31" s="69">
        <v>0</v>
      </c>
      <c r="HP31" s="69">
        <v>12103</v>
      </c>
      <c r="HQ31" s="69">
        <v>32940</v>
      </c>
      <c r="HR31" s="69">
        <v>37783</v>
      </c>
      <c r="HS31" s="69">
        <v>0</v>
      </c>
      <c r="HT31" s="69">
        <v>0</v>
      </c>
      <c r="HU31" s="69">
        <v>0</v>
      </c>
      <c r="HV31" s="69">
        <v>138990</v>
      </c>
      <c r="HW31" s="69">
        <v>3483</v>
      </c>
      <c r="HX31" s="69">
        <v>22614</v>
      </c>
      <c r="HY31" s="69">
        <v>0</v>
      </c>
      <c r="HZ31" s="69">
        <v>43074</v>
      </c>
      <c r="IA31" s="69">
        <v>0</v>
      </c>
      <c r="IB31" s="69">
        <v>13965</v>
      </c>
      <c r="IC31" s="69">
        <v>33411</v>
      </c>
      <c r="ID31" s="69">
        <v>18637</v>
      </c>
      <c r="IE31" s="69">
        <v>0</v>
      </c>
      <c r="IF31" s="69">
        <v>6204</v>
      </c>
      <c r="IG31" s="69">
        <v>22120</v>
      </c>
      <c r="IH31" s="69">
        <v>18034</v>
      </c>
      <c r="II31" s="69">
        <v>34548</v>
      </c>
      <c r="IJ31" s="69">
        <v>231409</v>
      </c>
      <c r="IK31" s="69">
        <v>0</v>
      </c>
      <c r="IL31" s="69"/>
      <c r="IM31" s="69"/>
      <c r="IN31" s="69">
        <v>738578</v>
      </c>
      <c r="IO31" s="69">
        <v>0</v>
      </c>
      <c r="IP31" s="69">
        <v>0</v>
      </c>
      <c r="IQ31" s="69">
        <v>245272</v>
      </c>
      <c r="IR31" s="69">
        <v>195132</v>
      </c>
      <c r="IS31" s="69">
        <v>0</v>
      </c>
      <c r="IT31" s="69">
        <v>95167</v>
      </c>
      <c r="IU31" s="69">
        <v>345058</v>
      </c>
      <c r="IV31" s="69">
        <v>121697</v>
      </c>
      <c r="IW31" s="69">
        <v>0</v>
      </c>
      <c r="IX31" s="69">
        <v>0</v>
      </c>
      <c r="IY31" s="69">
        <v>0</v>
      </c>
      <c r="IZ31" s="69">
        <v>1106707</v>
      </c>
      <c r="JA31" s="69">
        <v>98136</v>
      </c>
      <c r="JB31" s="69">
        <v>161496</v>
      </c>
      <c r="JC31" s="69">
        <v>0</v>
      </c>
      <c r="JD31" s="69">
        <v>201044</v>
      </c>
      <c r="JE31" s="69">
        <v>0</v>
      </c>
      <c r="JF31" s="69">
        <v>172453</v>
      </c>
      <c r="JG31" s="69">
        <v>247112</v>
      </c>
      <c r="JH31" s="69">
        <v>163796</v>
      </c>
      <c r="JI31" s="69">
        <v>0</v>
      </c>
      <c r="JJ31" s="69">
        <v>64993</v>
      </c>
      <c r="JK31" s="69">
        <v>126764</v>
      </c>
      <c r="JL31" s="69">
        <v>181218</v>
      </c>
      <c r="JM31" s="69">
        <v>240154</v>
      </c>
      <c r="JN31" s="69">
        <v>591007</v>
      </c>
      <c r="JO31" s="69">
        <v>0</v>
      </c>
      <c r="JP31" s="69"/>
      <c r="JQ31" s="69"/>
      <c r="JR31" s="69">
        <v>4357204</v>
      </c>
      <c r="JS31" s="69">
        <v>0</v>
      </c>
      <c r="JT31" s="69">
        <v>0</v>
      </c>
      <c r="JU31" s="69">
        <v>1160169</v>
      </c>
      <c r="JV31" s="69">
        <v>1187476</v>
      </c>
      <c r="JW31" s="69">
        <v>0</v>
      </c>
      <c r="JX31" s="69">
        <v>458493</v>
      </c>
      <c r="JY31" s="69">
        <v>1395546</v>
      </c>
      <c r="JZ31" s="69">
        <v>507452</v>
      </c>
      <c r="KA31" s="69">
        <v>0</v>
      </c>
      <c r="KB31" s="69">
        <v>0</v>
      </c>
      <c r="KC31" s="69">
        <v>0</v>
      </c>
      <c r="KD31" s="69">
        <v>3046354</v>
      </c>
      <c r="KE31" s="69">
        <v>563927</v>
      </c>
      <c r="KF31" s="69">
        <v>787122</v>
      </c>
      <c r="KG31" s="69">
        <v>0</v>
      </c>
      <c r="KH31" s="69">
        <v>825432</v>
      </c>
      <c r="KI31" s="69">
        <v>0</v>
      </c>
      <c r="KJ31" s="69">
        <v>798734</v>
      </c>
      <c r="KK31" s="69">
        <v>1371127</v>
      </c>
      <c r="KL31" s="69">
        <v>578142</v>
      </c>
      <c r="KM31" s="69">
        <v>0</v>
      </c>
      <c r="KN31" s="69">
        <v>262857</v>
      </c>
      <c r="KO31" s="69">
        <v>504793</v>
      </c>
      <c r="KP31" s="69">
        <v>743924</v>
      </c>
      <c r="KQ31" s="69">
        <v>1416135</v>
      </c>
      <c r="KR31" s="69">
        <v>1724297</v>
      </c>
      <c r="KS31" s="69">
        <v>0</v>
      </c>
      <c r="KT31" s="69"/>
      <c r="KU31" s="69"/>
      <c r="KV31" s="69">
        <v>17331978</v>
      </c>
      <c r="KW31" s="69"/>
    </row>
    <row r="32" spans="1:309" x14ac:dyDescent="0.25">
      <c r="A32" t="s">
        <v>380</v>
      </c>
      <c r="C32" t="s">
        <v>1088</v>
      </c>
      <c r="D32" t="s">
        <v>1116</v>
      </c>
      <c r="E32" s="2">
        <v>39820.647199074097</v>
      </c>
      <c r="G32" t="s">
        <v>381</v>
      </c>
      <c r="L32">
        <v>0</v>
      </c>
      <c r="M32">
        <v>0</v>
      </c>
      <c r="N32">
        <v>0</v>
      </c>
      <c r="O32">
        <v>36220875</v>
      </c>
      <c r="P32" s="69">
        <v>0</v>
      </c>
      <c r="Q32" s="69">
        <v>1414310</v>
      </c>
      <c r="R32">
        <v>0</v>
      </c>
      <c r="S32">
        <v>1414310</v>
      </c>
      <c r="T32">
        <v>3932888</v>
      </c>
      <c r="U32">
        <v>1403832</v>
      </c>
      <c r="V32">
        <v>1957808</v>
      </c>
      <c r="W32">
        <v>0</v>
      </c>
      <c r="X32">
        <v>0</v>
      </c>
      <c r="Y32">
        <v>0</v>
      </c>
      <c r="Z32">
        <v>7294528</v>
      </c>
      <c r="AA32">
        <v>3200050</v>
      </c>
      <c r="AB32">
        <v>244109</v>
      </c>
      <c r="AC32">
        <v>331446</v>
      </c>
      <c r="AD32">
        <v>0</v>
      </c>
      <c r="AE32">
        <v>0</v>
      </c>
      <c r="AF32">
        <v>569530</v>
      </c>
      <c r="AG32">
        <v>4345135</v>
      </c>
      <c r="AH32">
        <v>7132938</v>
      </c>
      <c r="AI32">
        <v>1647941</v>
      </c>
      <c r="AJ32">
        <v>2289254</v>
      </c>
      <c r="AK32">
        <v>0</v>
      </c>
      <c r="AL32">
        <v>0</v>
      </c>
      <c r="AM32">
        <v>569530</v>
      </c>
      <c r="AN32">
        <v>11639663</v>
      </c>
      <c r="AO32">
        <v>713907</v>
      </c>
      <c r="AP32">
        <v>0</v>
      </c>
      <c r="AQ32">
        <v>0</v>
      </c>
      <c r="AR32">
        <v>0</v>
      </c>
      <c r="AS32">
        <v>713907</v>
      </c>
      <c r="AT32">
        <v>601445</v>
      </c>
      <c r="AU32">
        <v>0</v>
      </c>
      <c r="AV32">
        <v>0</v>
      </c>
      <c r="AW32">
        <v>0</v>
      </c>
      <c r="AX32">
        <v>601445</v>
      </c>
      <c r="AY32">
        <v>1315352</v>
      </c>
      <c r="AZ32">
        <v>0</v>
      </c>
      <c r="BA32">
        <v>0</v>
      </c>
      <c r="BB32">
        <v>0</v>
      </c>
      <c r="BC32">
        <v>1315352</v>
      </c>
      <c r="BD32">
        <v>1489302</v>
      </c>
      <c r="BE32">
        <v>0</v>
      </c>
      <c r="BF32">
        <v>0</v>
      </c>
      <c r="BG32">
        <v>0</v>
      </c>
      <c r="BH32">
        <v>0</v>
      </c>
      <c r="BI32">
        <v>1489302</v>
      </c>
      <c r="BJ32">
        <v>0</v>
      </c>
      <c r="BK32">
        <v>0</v>
      </c>
      <c r="BL32">
        <v>263015</v>
      </c>
      <c r="BM32">
        <v>0</v>
      </c>
      <c r="BN32">
        <v>0</v>
      </c>
      <c r="BO32">
        <v>263015</v>
      </c>
      <c r="BP32">
        <v>4585629</v>
      </c>
      <c r="BQ32">
        <v>0</v>
      </c>
      <c r="BR32">
        <v>0</v>
      </c>
      <c r="BS32">
        <v>0</v>
      </c>
      <c r="BT32">
        <v>0</v>
      </c>
      <c r="BU32">
        <v>4585629</v>
      </c>
      <c r="BV32">
        <v>6074931</v>
      </c>
      <c r="BW32">
        <v>0</v>
      </c>
      <c r="BX32">
        <v>263015</v>
      </c>
      <c r="BY32">
        <v>0</v>
      </c>
      <c r="BZ32">
        <v>0</v>
      </c>
      <c r="CA32">
        <v>6337946</v>
      </c>
      <c r="CB32">
        <v>0</v>
      </c>
      <c r="CC32">
        <v>0</v>
      </c>
      <c r="CD32">
        <v>0</v>
      </c>
      <c r="CE32">
        <v>0</v>
      </c>
      <c r="CF32">
        <v>0</v>
      </c>
      <c r="CG32">
        <v>0</v>
      </c>
      <c r="CH32">
        <v>0</v>
      </c>
      <c r="CI32">
        <v>0</v>
      </c>
      <c r="CJ32">
        <v>0</v>
      </c>
      <c r="CK32">
        <v>0</v>
      </c>
      <c r="CL32">
        <v>0</v>
      </c>
      <c r="CM32">
        <v>0</v>
      </c>
      <c r="CN32">
        <v>0</v>
      </c>
      <c r="CO32">
        <v>0</v>
      </c>
      <c r="CP32">
        <v>0</v>
      </c>
      <c r="CQ32">
        <v>0</v>
      </c>
      <c r="CR32">
        <v>3583</v>
      </c>
      <c r="CS32">
        <v>2192602</v>
      </c>
      <c r="CT32">
        <v>0</v>
      </c>
      <c r="CU32">
        <v>70176</v>
      </c>
      <c r="CV32">
        <v>145216</v>
      </c>
      <c r="CW32">
        <v>339984</v>
      </c>
      <c r="CX32">
        <v>288684</v>
      </c>
      <c r="CY32">
        <v>12896</v>
      </c>
      <c r="CZ32">
        <v>19402</v>
      </c>
      <c r="DA32">
        <v>184019</v>
      </c>
      <c r="DB32">
        <v>90634</v>
      </c>
      <c r="DC32">
        <v>159549</v>
      </c>
      <c r="DD32">
        <v>0</v>
      </c>
      <c r="DE32">
        <v>214372</v>
      </c>
      <c r="DF32">
        <v>297516</v>
      </c>
      <c r="DG32">
        <v>40513</v>
      </c>
      <c r="DH32">
        <v>154114</v>
      </c>
      <c r="DI32">
        <v>0</v>
      </c>
      <c r="DJ32">
        <v>25530</v>
      </c>
      <c r="DK32">
        <v>0</v>
      </c>
      <c r="DL32">
        <v>39712</v>
      </c>
      <c r="DM32">
        <v>172976</v>
      </c>
      <c r="DN32">
        <v>68056</v>
      </c>
      <c r="DO32">
        <v>40968</v>
      </c>
      <c r="DP32">
        <v>43892</v>
      </c>
      <c r="DQ32">
        <v>55365</v>
      </c>
      <c r="DR32">
        <v>22470</v>
      </c>
      <c r="DS32">
        <v>294896</v>
      </c>
      <c r="DT32">
        <v>122032</v>
      </c>
      <c r="DU32">
        <v>0</v>
      </c>
      <c r="DX32" s="69">
        <v>2902972</v>
      </c>
      <c r="DY32" s="69">
        <v>142296</v>
      </c>
      <c r="DZ32" s="69">
        <v>959311</v>
      </c>
      <c r="EA32" s="69">
        <v>1093166</v>
      </c>
      <c r="EB32" s="69">
        <v>782821</v>
      </c>
      <c r="EC32" s="69"/>
      <c r="ED32" s="69">
        <v>91801</v>
      </c>
      <c r="EE32" s="69">
        <v>823019</v>
      </c>
      <c r="EF32" s="69">
        <v>590487</v>
      </c>
      <c r="EG32" s="69">
        <v>334189</v>
      </c>
      <c r="EH32" s="69">
        <v>0</v>
      </c>
      <c r="EI32" s="69">
        <v>498521</v>
      </c>
      <c r="EJ32" s="69">
        <v>1666632</v>
      </c>
      <c r="EK32" s="69">
        <v>154003</v>
      </c>
      <c r="EL32" s="69">
        <v>868241</v>
      </c>
      <c r="EM32" s="69">
        <v>0</v>
      </c>
      <c r="EN32" s="69">
        <v>316681</v>
      </c>
      <c r="EO32" s="69">
        <v>0</v>
      </c>
      <c r="EP32" s="69">
        <v>285265</v>
      </c>
      <c r="EQ32" s="69">
        <v>850888</v>
      </c>
      <c r="ER32" s="69">
        <v>180699</v>
      </c>
      <c r="ES32" s="69">
        <v>118237</v>
      </c>
      <c r="ET32" s="69">
        <v>0</v>
      </c>
      <c r="EU32" s="69">
        <v>531568</v>
      </c>
      <c r="EV32" s="69">
        <v>46211</v>
      </c>
      <c r="EW32" s="69">
        <v>1109936</v>
      </c>
      <c r="EX32" s="69">
        <v>595535</v>
      </c>
      <c r="EY32" s="69">
        <v>0</v>
      </c>
      <c r="EZ32" s="69"/>
      <c r="FA32" s="69"/>
      <c r="FB32" s="69">
        <v>12039507</v>
      </c>
      <c r="FC32" s="69">
        <v>0</v>
      </c>
      <c r="FD32" s="69">
        <v>2649</v>
      </c>
      <c r="FE32" s="69">
        <v>36007</v>
      </c>
      <c r="FF32" s="69">
        <v>0</v>
      </c>
      <c r="FG32" s="69">
        <v>0</v>
      </c>
      <c r="FH32" s="69">
        <v>2407</v>
      </c>
      <c r="FI32" s="69">
        <v>3518</v>
      </c>
      <c r="FJ32" s="69">
        <v>5588</v>
      </c>
      <c r="FK32" s="69">
        <v>0</v>
      </c>
      <c r="FL32" s="69">
        <v>0</v>
      </c>
      <c r="FM32" s="69">
        <v>7145</v>
      </c>
      <c r="FN32" s="69">
        <v>39939</v>
      </c>
      <c r="FO32" s="69">
        <v>0</v>
      </c>
      <c r="FP32" s="69">
        <v>0</v>
      </c>
      <c r="FQ32" s="69">
        <v>0</v>
      </c>
      <c r="FR32" s="69">
        <v>83258</v>
      </c>
      <c r="FS32" s="69">
        <v>0</v>
      </c>
      <c r="FT32" s="69">
        <v>0</v>
      </c>
      <c r="FU32" s="69">
        <v>30650</v>
      </c>
      <c r="FV32" s="69">
        <v>0</v>
      </c>
      <c r="FW32" s="69">
        <v>0</v>
      </c>
      <c r="FX32" s="69">
        <v>0</v>
      </c>
      <c r="FY32" s="69">
        <v>156777</v>
      </c>
      <c r="FZ32" s="69">
        <v>0</v>
      </c>
      <c r="GA32" s="69">
        <v>0</v>
      </c>
      <c r="GB32" s="69">
        <v>8016</v>
      </c>
      <c r="GC32" s="69">
        <v>0</v>
      </c>
      <c r="GD32" s="69"/>
      <c r="GE32" s="69"/>
      <c r="GF32" s="69">
        <v>375954</v>
      </c>
      <c r="GG32" s="69">
        <v>25130</v>
      </c>
      <c r="GH32" s="69">
        <v>169885</v>
      </c>
      <c r="GI32" s="69">
        <v>199415</v>
      </c>
      <c r="GJ32" s="69">
        <v>138248</v>
      </c>
      <c r="GK32" s="69">
        <v>0</v>
      </c>
      <c r="GL32" s="69">
        <v>16637</v>
      </c>
      <c r="GM32" s="69">
        <v>145969</v>
      </c>
      <c r="GN32" s="69">
        <v>105268</v>
      </c>
      <c r="GO32" s="69">
        <v>59019</v>
      </c>
      <c r="GP32" s="69">
        <v>0</v>
      </c>
      <c r="GQ32" s="69">
        <v>89302</v>
      </c>
      <c r="GR32" s="69">
        <v>301385</v>
      </c>
      <c r="GS32" s="69">
        <v>27197</v>
      </c>
      <c r="GT32" s="69">
        <v>153334</v>
      </c>
      <c r="GU32" s="69">
        <v>0</v>
      </c>
      <c r="GV32" s="69">
        <v>70630</v>
      </c>
      <c r="GW32" s="69">
        <v>0</v>
      </c>
      <c r="GX32" s="69">
        <v>50379</v>
      </c>
      <c r="GY32" s="69">
        <v>155682</v>
      </c>
      <c r="GZ32" s="69">
        <v>31912</v>
      </c>
      <c r="HA32" s="69">
        <v>20881</v>
      </c>
      <c r="HB32" s="69">
        <v>0</v>
      </c>
      <c r="HC32" s="69">
        <v>121563</v>
      </c>
      <c r="HD32" s="69">
        <v>8161</v>
      </c>
      <c r="HE32" s="69">
        <v>196018</v>
      </c>
      <c r="HF32" s="69">
        <v>106589</v>
      </c>
      <c r="HG32" s="69">
        <v>0</v>
      </c>
      <c r="HH32" s="69"/>
      <c r="HI32" s="69"/>
      <c r="HJ32" s="69">
        <v>2192602</v>
      </c>
      <c r="HK32" s="69">
        <v>16720</v>
      </c>
      <c r="HL32" s="69">
        <v>149841</v>
      </c>
      <c r="HM32" s="69">
        <v>191748</v>
      </c>
      <c r="HN32" s="69">
        <v>112867</v>
      </c>
      <c r="HO32" s="69">
        <v>103158</v>
      </c>
      <c r="HP32" s="69">
        <v>13636</v>
      </c>
      <c r="HQ32" s="69">
        <v>162933</v>
      </c>
      <c r="HR32" s="69">
        <v>126000</v>
      </c>
      <c r="HS32" s="69">
        <v>59188</v>
      </c>
      <c r="HT32" s="69">
        <v>0</v>
      </c>
      <c r="HU32" s="69">
        <v>61872</v>
      </c>
      <c r="HV32" s="69">
        <v>63310</v>
      </c>
      <c r="HW32" s="69">
        <v>2432</v>
      </c>
      <c r="HX32" s="69">
        <v>86605</v>
      </c>
      <c r="HY32" s="69">
        <v>0</v>
      </c>
      <c r="HZ32" s="69">
        <v>120752</v>
      </c>
      <c r="IA32" s="69">
        <v>0</v>
      </c>
      <c r="IB32" s="69">
        <v>10787</v>
      </c>
      <c r="IC32" s="69">
        <v>19358</v>
      </c>
      <c r="ID32" s="69">
        <v>1797</v>
      </c>
      <c r="IE32" s="69">
        <v>5284</v>
      </c>
      <c r="IF32" s="69">
        <v>0</v>
      </c>
      <c r="IG32" s="69">
        <v>51669</v>
      </c>
      <c r="IH32" s="69">
        <v>1719</v>
      </c>
      <c r="II32" s="69">
        <v>23496</v>
      </c>
      <c r="IJ32" s="69">
        <v>89899</v>
      </c>
      <c r="IK32" s="69">
        <v>0</v>
      </c>
      <c r="IL32" s="69"/>
      <c r="IM32" s="69"/>
      <c r="IN32" s="69">
        <v>1475071</v>
      </c>
      <c r="IO32" s="69">
        <v>41850</v>
      </c>
      <c r="IP32" s="69">
        <v>322375</v>
      </c>
      <c r="IQ32" s="69">
        <v>427170</v>
      </c>
      <c r="IR32" s="69">
        <v>251115</v>
      </c>
      <c r="IS32" s="69"/>
      <c r="IT32" s="69">
        <v>32680</v>
      </c>
      <c r="IU32" s="69">
        <v>312420</v>
      </c>
      <c r="IV32" s="69">
        <v>236856</v>
      </c>
      <c r="IW32" s="69">
        <v>118207</v>
      </c>
      <c r="IX32" s="69">
        <v>0</v>
      </c>
      <c r="IY32" s="69">
        <v>158319</v>
      </c>
      <c r="IZ32" s="69">
        <v>404634</v>
      </c>
      <c r="JA32" s="69">
        <v>29629</v>
      </c>
      <c r="JB32" s="69">
        <v>239939</v>
      </c>
      <c r="JC32" s="69">
        <v>0</v>
      </c>
      <c r="JD32" s="69">
        <v>274640</v>
      </c>
      <c r="JE32" s="69">
        <v>0</v>
      </c>
      <c r="JF32" s="69">
        <v>61166</v>
      </c>
      <c r="JG32" s="69">
        <v>205690</v>
      </c>
      <c r="JH32" s="69">
        <v>33709</v>
      </c>
      <c r="JI32" s="69">
        <v>26165</v>
      </c>
      <c r="JJ32" s="69">
        <v>0</v>
      </c>
      <c r="JK32" s="69">
        <v>330009</v>
      </c>
      <c r="JL32" s="69">
        <v>9880</v>
      </c>
      <c r="JM32" s="69">
        <v>219514</v>
      </c>
      <c r="JN32" s="69">
        <v>204504</v>
      </c>
      <c r="JO32" s="69">
        <v>0</v>
      </c>
      <c r="JP32" s="69"/>
      <c r="JQ32" s="69"/>
      <c r="JR32" s="69">
        <v>4043627</v>
      </c>
      <c r="JS32" s="69">
        <v>184146</v>
      </c>
      <c r="JT32" s="69">
        <v>1281686</v>
      </c>
      <c r="JU32" s="69">
        <v>1520336</v>
      </c>
      <c r="JV32" s="69">
        <v>1033936</v>
      </c>
      <c r="JW32" s="69">
        <v>103158</v>
      </c>
      <c r="JX32" s="69">
        <v>124481</v>
      </c>
      <c r="JY32" s="69">
        <v>1135439</v>
      </c>
      <c r="JZ32" s="69">
        <v>827343</v>
      </c>
      <c r="KA32" s="69">
        <v>452396</v>
      </c>
      <c r="KB32" s="69">
        <v>0</v>
      </c>
      <c r="KC32" s="69">
        <v>656840</v>
      </c>
      <c r="KD32" s="69">
        <v>2071266</v>
      </c>
      <c r="KE32" s="69">
        <v>183632</v>
      </c>
      <c r="KF32" s="69">
        <v>1108180</v>
      </c>
      <c r="KG32" s="69">
        <v>0</v>
      </c>
      <c r="KH32" s="69">
        <v>591321</v>
      </c>
      <c r="KI32" s="69">
        <v>0</v>
      </c>
      <c r="KJ32" s="69">
        <v>346431</v>
      </c>
      <c r="KK32" s="69">
        <v>1056578</v>
      </c>
      <c r="KL32" s="69">
        <v>214408</v>
      </c>
      <c r="KM32" s="69">
        <v>144402</v>
      </c>
      <c r="KN32" s="69">
        <v>0</v>
      </c>
      <c r="KO32" s="69">
        <v>861577</v>
      </c>
      <c r="KP32" s="69">
        <v>56091</v>
      </c>
      <c r="KQ32" s="69">
        <v>1329450</v>
      </c>
      <c r="KR32" s="69">
        <v>800039</v>
      </c>
      <c r="KS32" s="69">
        <v>0</v>
      </c>
      <c r="KT32" s="69"/>
      <c r="KU32" s="69"/>
      <c r="KV32" s="69">
        <v>16083134</v>
      </c>
      <c r="KW32" s="69"/>
    </row>
    <row r="33" spans="1:309" ht="15" customHeight="1" x14ac:dyDescent="0.25">
      <c r="A33" t="s">
        <v>444</v>
      </c>
      <c r="C33" t="s">
        <v>1088</v>
      </c>
      <c r="D33" t="s">
        <v>1132</v>
      </c>
      <c r="E33" s="2">
        <v>39797.759756944397</v>
      </c>
      <c r="G33" t="s">
        <v>445</v>
      </c>
      <c r="L33">
        <v>0</v>
      </c>
      <c r="M33">
        <v>0</v>
      </c>
      <c r="N33">
        <v>0</v>
      </c>
      <c r="O33">
        <v>185487407</v>
      </c>
      <c r="P33" s="69">
        <v>0</v>
      </c>
      <c r="Q33" s="69">
        <v>3866185</v>
      </c>
      <c r="R33">
        <v>0</v>
      </c>
      <c r="S33">
        <v>3866185</v>
      </c>
      <c r="T33">
        <v>15185781</v>
      </c>
      <c r="U33">
        <v>11274750</v>
      </c>
      <c r="V33">
        <v>23851147</v>
      </c>
      <c r="W33">
        <v>0</v>
      </c>
      <c r="X33">
        <v>0</v>
      </c>
      <c r="Y33">
        <v>0</v>
      </c>
      <c r="Z33">
        <v>50311678</v>
      </c>
      <c r="AA33">
        <v>11688885</v>
      </c>
      <c r="AB33">
        <v>3138142</v>
      </c>
      <c r="AC33">
        <v>6742489</v>
      </c>
      <c r="AD33">
        <v>0</v>
      </c>
      <c r="AE33">
        <v>0</v>
      </c>
      <c r="AF33">
        <v>1864438</v>
      </c>
      <c r="AG33">
        <v>23433954</v>
      </c>
      <c r="AH33">
        <v>26874666</v>
      </c>
      <c r="AI33">
        <v>14412892</v>
      </c>
      <c r="AJ33">
        <v>30593636</v>
      </c>
      <c r="AK33">
        <v>0</v>
      </c>
      <c r="AL33">
        <v>0</v>
      </c>
      <c r="AM33">
        <v>1864438</v>
      </c>
      <c r="AN33">
        <v>73745632</v>
      </c>
      <c r="AO33">
        <v>1916435</v>
      </c>
      <c r="AP33">
        <v>0</v>
      </c>
      <c r="AQ33">
        <v>384376</v>
      </c>
      <c r="AR33">
        <v>0</v>
      </c>
      <c r="AS33">
        <v>2300811</v>
      </c>
      <c r="AT33">
        <v>651343</v>
      </c>
      <c r="AU33">
        <v>0</v>
      </c>
      <c r="AV33">
        <v>287288</v>
      </c>
      <c r="AW33">
        <v>0</v>
      </c>
      <c r="AX33">
        <v>938631</v>
      </c>
      <c r="AY33">
        <v>2567778</v>
      </c>
      <c r="AZ33">
        <v>0</v>
      </c>
      <c r="BA33">
        <v>671664</v>
      </c>
      <c r="BB33">
        <v>0</v>
      </c>
      <c r="BC33">
        <v>3239442</v>
      </c>
      <c r="BD33">
        <v>7749721</v>
      </c>
      <c r="BE33">
        <v>0</v>
      </c>
      <c r="BF33">
        <v>0</v>
      </c>
      <c r="BG33">
        <v>0</v>
      </c>
      <c r="BH33">
        <v>0</v>
      </c>
      <c r="BI33">
        <v>7749721</v>
      </c>
      <c r="BJ33">
        <v>0</v>
      </c>
      <c r="BK33">
        <v>0</v>
      </c>
      <c r="BL33">
        <v>1957691</v>
      </c>
      <c r="BM33">
        <v>0</v>
      </c>
      <c r="BN33">
        <v>0</v>
      </c>
      <c r="BO33">
        <v>1957691</v>
      </c>
      <c r="BP33">
        <v>18597484</v>
      </c>
      <c r="BQ33">
        <v>3262433</v>
      </c>
      <c r="BR33">
        <v>0</v>
      </c>
      <c r="BS33">
        <v>0</v>
      </c>
      <c r="BT33">
        <v>94968</v>
      </c>
      <c r="BU33">
        <v>21954885</v>
      </c>
      <c r="BV33">
        <v>26347205</v>
      </c>
      <c r="BW33">
        <v>3262433</v>
      </c>
      <c r="BX33">
        <v>1957691</v>
      </c>
      <c r="BY33">
        <v>0</v>
      </c>
      <c r="BZ33">
        <v>94968</v>
      </c>
      <c r="CA33">
        <v>31662297</v>
      </c>
      <c r="CB33">
        <v>0</v>
      </c>
      <c r="CC33">
        <v>0</v>
      </c>
      <c r="CD33">
        <v>0</v>
      </c>
      <c r="CE33">
        <v>0</v>
      </c>
      <c r="CF33">
        <v>0</v>
      </c>
      <c r="CG33">
        <v>0</v>
      </c>
      <c r="CH33">
        <v>0</v>
      </c>
      <c r="CI33">
        <v>0</v>
      </c>
      <c r="CJ33">
        <v>0</v>
      </c>
      <c r="CK33">
        <v>0</v>
      </c>
      <c r="CL33">
        <v>0</v>
      </c>
      <c r="CM33">
        <v>0</v>
      </c>
      <c r="CN33">
        <v>0</v>
      </c>
      <c r="CO33">
        <v>0</v>
      </c>
      <c r="CP33">
        <v>0</v>
      </c>
      <c r="CQ33">
        <v>0</v>
      </c>
      <c r="CR33">
        <v>11145</v>
      </c>
      <c r="CS33">
        <v>3000639</v>
      </c>
      <c r="CT33">
        <v>0</v>
      </c>
      <c r="CU33">
        <v>30852</v>
      </c>
      <c r="CV33">
        <v>170656</v>
      </c>
      <c r="CW33">
        <v>2242800</v>
      </c>
      <c r="CX33">
        <v>934610</v>
      </c>
      <c r="CY33">
        <v>528</v>
      </c>
      <c r="CZ33">
        <v>133204</v>
      </c>
      <c r="DA33">
        <v>881335</v>
      </c>
      <c r="DB33">
        <v>8496</v>
      </c>
      <c r="DC33">
        <v>339820</v>
      </c>
      <c r="DD33">
        <v>864</v>
      </c>
      <c r="DE33">
        <v>332787</v>
      </c>
      <c r="DF33">
        <v>3308150</v>
      </c>
      <c r="DG33">
        <v>441240</v>
      </c>
      <c r="DH33">
        <v>513006</v>
      </c>
      <c r="DI33">
        <v>18648</v>
      </c>
      <c r="DJ33">
        <v>558295</v>
      </c>
      <c r="DK33">
        <v>65184</v>
      </c>
      <c r="DL33">
        <v>152064</v>
      </c>
      <c r="DM33">
        <v>2545024</v>
      </c>
      <c r="DN33">
        <v>58736</v>
      </c>
      <c r="DO33">
        <v>36312</v>
      </c>
      <c r="DP33">
        <v>18151</v>
      </c>
      <c r="DQ33">
        <v>378768</v>
      </c>
      <c r="DR33">
        <v>249820</v>
      </c>
      <c r="DS33">
        <v>3220096</v>
      </c>
      <c r="DT33">
        <v>899088</v>
      </c>
      <c r="DU33">
        <v>0</v>
      </c>
      <c r="DX33" s="69">
        <v>17538534</v>
      </c>
      <c r="DY33" s="69">
        <v>134287</v>
      </c>
      <c r="DZ33" s="69">
        <v>564230</v>
      </c>
      <c r="EA33" s="69">
        <v>6647696</v>
      </c>
      <c r="EB33" s="69">
        <v>3537679</v>
      </c>
      <c r="EC33" s="69"/>
      <c r="ED33" s="69">
        <v>137622</v>
      </c>
      <c r="EE33" s="69">
        <v>3386531</v>
      </c>
      <c r="EF33" s="69">
        <v>24234</v>
      </c>
      <c r="EG33" s="69">
        <v>952309</v>
      </c>
      <c r="EH33" s="69">
        <v>605</v>
      </c>
      <c r="EI33" s="69">
        <v>1810515</v>
      </c>
      <c r="EJ33" s="69">
        <v>12698425</v>
      </c>
      <c r="EK33" s="69">
        <v>1329400</v>
      </c>
      <c r="EL33" s="69">
        <v>3268119</v>
      </c>
      <c r="EM33" s="69">
        <v>215665</v>
      </c>
      <c r="EN33" s="69">
        <v>2465830</v>
      </c>
      <c r="EO33" s="69">
        <v>566838</v>
      </c>
      <c r="EP33" s="69">
        <v>710407</v>
      </c>
      <c r="EQ33" s="69">
        <v>7267620</v>
      </c>
      <c r="ER33" s="69">
        <v>203896</v>
      </c>
      <c r="ES33" s="69">
        <v>259466</v>
      </c>
      <c r="ET33" s="69">
        <v>67239</v>
      </c>
      <c r="EU33" s="69">
        <v>1549126</v>
      </c>
      <c r="EV33" s="69">
        <v>552489</v>
      </c>
      <c r="EW33" s="69">
        <v>9217280</v>
      </c>
      <c r="EX33" s="69">
        <v>4350209</v>
      </c>
      <c r="EY33" s="69">
        <v>0</v>
      </c>
      <c r="EZ33" s="69"/>
      <c r="FA33" s="69"/>
      <c r="FB33" s="69">
        <v>61920693</v>
      </c>
      <c r="FC33" s="69">
        <v>5413</v>
      </c>
      <c r="FD33" s="69">
        <v>51661</v>
      </c>
      <c r="FE33" s="69">
        <v>672048</v>
      </c>
      <c r="FF33" s="69">
        <v>41919</v>
      </c>
      <c r="FG33" s="69">
        <v>0</v>
      </c>
      <c r="FH33" s="69">
        <v>12642</v>
      </c>
      <c r="FI33" s="69">
        <v>66306</v>
      </c>
      <c r="FJ33" s="69">
        <v>5000</v>
      </c>
      <c r="FK33" s="69">
        <v>3378</v>
      </c>
      <c r="FL33" s="69">
        <v>0</v>
      </c>
      <c r="FM33" s="69">
        <v>96910</v>
      </c>
      <c r="FN33" s="69">
        <v>445922</v>
      </c>
      <c r="FO33" s="69">
        <v>6037</v>
      </c>
      <c r="FP33" s="69">
        <v>355891</v>
      </c>
      <c r="FQ33" s="69">
        <v>63802</v>
      </c>
      <c r="FR33" s="69">
        <v>416162</v>
      </c>
      <c r="FS33" s="69">
        <v>0</v>
      </c>
      <c r="FT33" s="69">
        <v>35788</v>
      </c>
      <c r="FU33" s="69">
        <v>471177</v>
      </c>
      <c r="FV33" s="69">
        <v>2912</v>
      </c>
      <c r="FW33" s="69">
        <v>5515</v>
      </c>
      <c r="FX33" s="69">
        <v>3599</v>
      </c>
      <c r="FY33" s="69">
        <v>201196</v>
      </c>
      <c r="FZ33" s="69">
        <v>231354</v>
      </c>
      <c r="GA33" s="69">
        <v>64550</v>
      </c>
      <c r="GB33" s="69">
        <v>283778</v>
      </c>
      <c r="GC33" s="69">
        <v>0</v>
      </c>
      <c r="GD33" s="69"/>
      <c r="GE33" s="69"/>
      <c r="GF33" s="69">
        <v>3542960</v>
      </c>
      <c r="GG33" s="69">
        <v>6403</v>
      </c>
      <c r="GH33" s="69">
        <v>28230</v>
      </c>
      <c r="GI33" s="69">
        <v>335513</v>
      </c>
      <c r="GJ33" s="69">
        <v>164077</v>
      </c>
      <c r="GK33" s="69">
        <v>136</v>
      </c>
      <c r="GL33" s="69">
        <v>6888</v>
      </c>
      <c r="GM33" s="69">
        <v>158267</v>
      </c>
      <c r="GN33" s="69">
        <v>1340</v>
      </c>
      <c r="GO33" s="69">
        <v>43806</v>
      </c>
      <c r="GP33" s="69">
        <v>28</v>
      </c>
      <c r="GQ33" s="69">
        <v>87430</v>
      </c>
      <c r="GR33" s="69">
        <v>602494</v>
      </c>
      <c r="GS33" s="69">
        <v>61212</v>
      </c>
      <c r="GT33" s="69">
        <v>166113</v>
      </c>
      <c r="GU33" s="69">
        <v>12810</v>
      </c>
      <c r="GV33" s="69">
        <v>132101</v>
      </c>
      <c r="GW33" s="69">
        <v>25982</v>
      </c>
      <c r="GX33" s="69">
        <v>34203</v>
      </c>
      <c r="GY33" s="69">
        <v>354721</v>
      </c>
      <c r="GZ33" s="69">
        <v>9479</v>
      </c>
      <c r="HA33" s="69">
        <v>12146</v>
      </c>
      <c r="HB33" s="69">
        <v>3247</v>
      </c>
      <c r="HC33" s="69">
        <v>80229</v>
      </c>
      <c r="HD33" s="69">
        <v>35929</v>
      </c>
      <c r="HE33" s="69">
        <v>425449</v>
      </c>
      <c r="HF33" s="69">
        <v>212407</v>
      </c>
      <c r="HG33" s="69">
        <v>0</v>
      </c>
      <c r="HH33" s="69"/>
      <c r="HI33" s="69"/>
      <c r="HJ33" s="69">
        <v>3000639</v>
      </c>
      <c r="HK33" s="69">
        <v>17846</v>
      </c>
      <c r="HL33" s="69">
        <v>128333</v>
      </c>
      <c r="HM33" s="69">
        <v>913930</v>
      </c>
      <c r="HN33" s="69">
        <v>235060</v>
      </c>
      <c r="HO33" s="69">
        <v>572</v>
      </c>
      <c r="HP33" s="69">
        <v>94718</v>
      </c>
      <c r="HQ33" s="69">
        <v>357316</v>
      </c>
      <c r="HR33" s="69">
        <v>9951</v>
      </c>
      <c r="HS33" s="69">
        <v>50594</v>
      </c>
      <c r="HT33" s="69">
        <v>11088</v>
      </c>
      <c r="HU33" s="69">
        <v>177192</v>
      </c>
      <c r="HV33" s="69">
        <v>1041412</v>
      </c>
      <c r="HW33" s="69">
        <v>48992</v>
      </c>
      <c r="HX33" s="69">
        <v>348455</v>
      </c>
      <c r="HY33" s="69">
        <v>45197</v>
      </c>
      <c r="HZ33" s="69">
        <v>443982</v>
      </c>
      <c r="IA33" s="69">
        <v>41598</v>
      </c>
      <c r="IB33" s="69">
        <v>33117</v>
      </c>
      <c r="IC33" s="69">
        <v>595634</v>
      </c>
      <c r="ID33" s="69">
        <v>39160</v>
      </c>
      <c r="IE33" s="69">
        <v>123960</v>
      </c>
      <c r="IF33" s="69">
        <v>6581</v>
      </c>
      <c r="IG33" s="69">
        <v>86140</v>
      </c>
      <c r="IH33" s="69">
        <v>172572</v>
      </c>
      <c r="II33" s="69">
        <v>708733</v>
      </c>
      <c r="IJ33" s="69">
        <v>736832</v>
      </c>
      <c r="IK33" s="69">
        <v>0</v>
      </c>
      <c r="IL33" s="69"/>
      <c r="IM33" s="69"/>
      <c r="IN33" s="69">
        <v>6468965</v>
      </c>
      <c r="IO33" s="69">
        <v>29662</v>
      </c>
      <c r="IP33" s="69">
        <v>208224</v>
      </c>
      <c r="IQ33" s="69">
        <v>1921491</v>
      </c>
      <c r="IR33" s="69">
        <v>441056</v>
      </c>
      <c r="IS33" s="69"/>
      <c r="IT33" s="69">
        <v>114248</v>
      </c>
      <c r="IU33" s="69">
        <v>581889</v>
      </c>
      <c r="IV33" s="69">
        <v>16291</v>
      </c>
      <c r="IW33" s="69">
        <v>97778</v>
      </c>
      <c r="IX33" s="69">
        <v>11116</v>
      </c>
      <c r="IY33" s="69">
        <v>361532</v>
      </c>
      <c r="IZ33" s="69">
        <v>2089828</v>
      </c>
      <c r="JA33" s="69">
        <v>116241</v>
      </c>
      <c r="JB33" s="69">
        <v>870459</v>
      </c>
      <c r="JC33" s="69">
        <v>121809</v>
      </c>
      <c r="JD33" s="69">
        <v>992245</v>
      </c>
      <c r="JE33" s="69">
        <v>67580</v>
      </c>
      <c r="JF33" s="69">
        <v>103108</v>
      </c>
      <c r="JG33" s="69">
        <v>1421532</v>
      </c>
      <c r="JH33" s="69">
        <v>51551</v>
      </c>
      <c r="JI33" s="69">
        <v>141621</v>
      </c>
      <c r="JJ33" s="69">
        <v>13427</v>
      </c>
      <c r="JK33" s="69">
        <v>367565</v>
      </c>
      <c r="JL33" s="69">
        <v>439855</v>
      </c>
      <c r="JM33" s="69">
        <v>1198732</v>
      </c>
      <c r="JN33" s="69">
        <v>1233017</v>
      </c>
      <c r="JO33" s="69">
        <v>0</v>
      </c>
      <c r="JP33" s="69"/>
      <c r="JQ33" s="69"/>
      <c r="JR33" s="69">
        <v>13012564</v>
      </c>
      <c r="JS33" s="69">
        <v>163949</v>
      </c>
      <c r="JT33" s="69">
        <v>772454</v>
      </c>
      <c r="JU33" s="69">
        <v>8569187</v>
      </c>
      <c r="JV33" s="69">
        <v>3978735</v>
      </c>
      <c r="JW33" s="69">
        <v>3684</v>
      </c>
      <c r="JX33" s="69">
        <v>251870</v>
      </c>
      <c r="JY33" s="69">
        <v>3968420</v>
      </c>
      <c r="JZ33" s="69">
        <v>40525</v>
      </c>
      <c r="KA33" s="69">
        <v>1050087</v>
      </c>
      <c r="KB33" s="69">
        <v>11721</v>
      </c>
      <c r="KC33" s="69">
        <v>2172047</v>
      </c>
      <c r="KD33" s="69">
        <v>14788253</v>
      </c>
      <c r="KE33" s="69">
        <v>1445641</v>
      </c>
      <c r="KF33" s="69">
        <v>4138578</v>
      </c>
      <c r="KG33" s="69">
        <v>337474</v>
      </c>
      <c r="KH33" s="69">
        <v>3458075</v>
      </c>
      <c r="KI33" s="69">
        <v>634418</v>
      </c>
      <c r="KJ33" s="69">
        <v>813515</v>
      </c>
      <c r="KK33" s="69">
        <v>8689152</v>
      </c>
      <c r="KL33" s="69">
        <v>255447</v>
      </c>
      <c r="KM33" s="69">
        <v>401087</v>
      </c>
      <c r="KN33" s="69">
        <v>80666</v>
      </c>
      <c r="KO33" s="69">
        <v>1916691</v>
      </c>
      <c r="KP33" s="69">
        <v>992344</v>
      </c>
      <c r="KQ33" s="69">
        <v>10416012</v>
      </c>
      <c r="KR33" s="69">
        <v>5583226</v>
      </c>
      <c r="KS33" s="69">
        <v>0</v>
      </c>
      <c r="KT33" s="69"/>
      <c r="KU33" s="69"/>
      <c r="KV33" s="69">
        <v>74933257</v>
      </c>
      <c r="KW33" s="69"/>
    </row>
    <row r="34" spans="1:309" x14ac:dyDescent="0.25">
      <c r="A34" t="s">
        <v>382</v>
      </c>
      <c r="C34" t="s">
        <v>1088</v>
      </c>
      <c r="D34" t="s">
        <v>1102</v>
      </c>
      <c r="E34" s="2">
        <v>39793.457453703697</v>
      </c>
      <c r="G34" t="s">
        <v>383</v>
      </c>
      <c r="L34">
        <v>0</v>
      </c>
      <c r="M34">
        <v>0</v>
      </c>
      <c r="N34">
        <v>0</v>
      </c>
      <c r="O34">
        <v>35126676</v>
      </c>
      <c r="P34" s="69">
        <v>0</v>
      </c>
      <c r="Q34" s="69">
        <v>297392</v>
      </c>
      <c r="R34">
        <v>0</v>
      </c>
      <c r="S34">
        <v>297392</v>
      </c>
      <c r="T34">
        <v>3615489</v>
      </c>
      <c r="U34">
        <v>1611438</v>
      </c>
      <c r="V34">
        <v>1232412</v>
      </c>
      <c r="W34">
        <v>0</v>
      </c>
      <c r="X34">
        <v>0</v>
      </c>
      <c r="Y34">
        <v>0</v>
      </c>
      <c r="Z34">
        <v>6459339</v>
      </c>
      <c r="AA34">
        <v>3090893</v>
      </c>
      <c r="AB34">
        <v>452667</v>
      </c>
      <c r="AC34">
        <v>309323</v>
      </c>
      <c r="AD34">
        <v>0</v>
      </c>
      <c r="AE34">
        <v>817458</v>
      </c>
      <c r="AF34">
        <v>0</v>
      </c>
      <c r="AG34">
        <v>4670341</v>
      </c>
      <c r="AH34">
        <v>6706382</v>
      </c>
      <c r="AI34">
        <v>2064105</v>
      </c>
      <c r="AJ34">
        <v>1541735</v>
      </c>
      <c r="AK34">
        <v>0</v>
      </c>
      <c r="AL34">
        <v>817458</v>
      </c>
      <c r="AM34">
        <v>0</v>
      </c>
      <c r="AN34">
        <v>11129680</v>
      </c>
      <c r="AO34">
        <v>303543</v>
      </c>
      <c r="AP34">
        <v>0</v>
      </c>
      <c r="AQ34">
        <v>183013</v>
      </c>
      <c r="AR34">
        <v>0</v>
      </c>
      <c r="AS34">
        <v>486556</v>
      </c>
      <c r="AT34">
        <v>78365</v>
      </c>
      <c r="AU34">
        <v>0</v>
      </c>
      <c r="AV34">
        <v>148877</v>
      </c>
      <c r="AW34">
        <v>0</v>
      </c>
      <c r="AX34">
        <v>227242</v>
      </c>
      <c r="AY34">
        <v>381908</v>
      </c>
      <c r="AZ34">
        <v>0</v>
      </c>
      <c r="BA34">
        <v>331890</v>
      </c>
      <c r="BB34">
        <v>0</v>
      </c>
      <c r="BC34">
        <v>713798</v>
      </c>
      <c r="BD34">
        <v>1192459</v>
      </c>
      <c r="BE34">
        <v>0</v>
      </c>
      <c r="BF34">
        <v>0</v>
      </c>
      <c r="BG34">
        <v>0</v>
      </c>
      <c r="BH34">
        <v>0</v>
      </c>
      <c r="BI34">
        <v>1192459</v>
      </c>
      <c r="BJ34">
        <v>0</v>
      </c>
      <c r="BK34">
        <v>0</v>
      </c>
      <c r="BL34">
        <v>370318</v>
      </c>
      <c r="BM34">
        <v>0</v>
      </c>
      <c r="BN34">
        <v>0</v>
      </c>
      <c r="BO34">
        <v>370318</v>
      </c>
      <c r="BP34">
        <v>3169467</v>
      </c>
      <c r="BQ34">
        <v>0</v>
      </c>
      <c r="BR34">
        <v>0</v>
      </c>
      <c r="BS34">
        <v>0</v>
      </c>
      <c r="BT34">
        <v>304956</v>
      </c>
      <c r="BU34">
        <v>3474423</v>
      </c>
      <c r="BV34">
        <v>4361926</v>
      </c>
      <c r="BW34">
        <v>0</v>
      </c>
      <c r="BX34">
        <v>370318</v>
      </c>
      <c r="BY34">
        <v>0</v>
      </c>
      <c r="BZ34">
        <v>304956</v>
      </c>
      <c r="CA34">
        <v>5037200</v>
      </c>
      <c r="CB34">
        <v>0</v>
      </c>
      <c r="CC34">
        <v>0</v>
      </c>
      <c r="CD34">
        <v>0</v>
      </c>
      <c r="CE34">
        <v>0</v>
      </c>
      <c r="CF34">
        <v>0</v>
      </c>
      <c r="CG34">
        <v>0</v>
      </c>
      <c r="CH34">
        <v>0</v>
      </c>
      <c r="CI34">
        <v>0</v>
      </c>
      <c r="CJ34">
        <v>0</v>
      </c>
      <c r="CK34">
        <v>0</v>
      </c>
      <c r="CL34">
        <v>0</v>
      </c>
      <c r="CM34">
        <v>0</v>
      </c>
      <c r="CN34">
        <v>0</v>
      </c>
      <c r="CO34">
        <v>0</v>
      </c>
      <c r="CP34">
        <v>0</v>
      </c>
      <c r="CQ34">
        <v>0</v>
      </c>
      <c r="CR34">
        <v>3590</v>
      </c>
      <c r="CS34">
        <v>621881</v>
      </c>
      <c r="CT34">
        <v>0</v>
      </c>
      <c r="CU34">
        <v>33794</v>
      </c>
      <c r="CV34">
        <v>0</v>
      </c>
      <c r="CW34">
        <v>395424</v>
      </c>
      <c r="CX34">
        <v>333750</v>
      </c>
      <c r="CY34">
        <v>0</v>
      </c>
      <c r="CZ34">
        <v>15530</v>
      </c>
      <c r="DA34">
        <v>108579</v>
      </c>
      <c r="DB34">
        <v>0</v>
      </c>
      <c r="DC34">
        <v>154356</v>
      </c>
      <c r="DD34">
        <v>736</v>
      </c>
      <c r="DE34">
        <v>962</v>
      </c>
      <c r="DF34">
        <v>548266</v>
      </c>
      <c r="DG34">
        <v>94259</v>
      </c>
      <c r="DH34">
        <v>168187</v>
      </c>
      <c r="DI34">
        <v>0</v>
      </c>
      <c r="DJ34">
        <v>308230</v>
      </c>
      <c r="DK34">
        <v>49840</v>
      </c>
      <c r="DL34">
        <v>86064</v>
      </c>
      <c r="DM34">
        <v>311306</v>
      </c>
      <c r="DN34">
        <v>0</v>
      </c>
      <c r="DO34">
        <v>66360</v>
      </c>
      <c r="DP34">
        <v>1304</v>
      </c>
      <c r="DQ34">
        <v>108630</v>
      </c>
      <c r="DR34">
        <v>134830</v>
      </c>
      <c r="DS34">
        <v>607584</v>
      </c>
      <c r="DT34">
        <v>264186</v>
      </c>
      <c r="DU34">
        <v>0</v>
      </c>
      <c r="DX34" s="69">
        <v>3792177</v>
      </c>
      <c r="DY34" s="69">
        <v>102560</v>
      </c>
      <c r="DZ34" s="69">
        <v>0</v>
      </c>
      <c r="EA34" s="69">
        <v>1026207</v>
      </c>
      <c r="EB34" s="69">
        <v>1131159</v>
      </c>
      <c r="EC34" s="69">
        <v>0</v>
      </c>
      <c r="ED34" s="69">
        <v>5364</v>
      </c>
      <c r="EE34" s="69">
        <v>1018469</v>
      </c>
      <c r="EF34" s="69">
        <v>0</v>
      </c>
      <c r="EG34" s="69">
        <v>355929</v>
      </c>
      <c r="EH34" s="69">
        <v>0</v>
      </c>
      <c r="EI34" s="69">
        <v>3129</v>
      </c>
      <c r="EJ34" s="69">
        <v>2393261</v>
      </c>
      <c r="EK34" s="69">
        <v>238545</v>
      </c>
      <c r="EL34" s="69">
        <v>1484202</v>
      </c>
      <c r="EM34" s="69">
        <v>0</v>
      </c>
      <c r="EN34" s="69">
        <v>1281747</v>
      </c>
      <c r="EO34" s="69">
        <v>279205</v>
      </c>
      <c r="EP34" s="69">
        <v>343170</v>
      </c>
      <c r="EQ34" s="69">
        <v>969245</v>
      </c>
      <c r="ER34" s="69">
        <v>0</v>
      </c>
      <c r="ES34" s="69">
        <v>0</v>
      </c>
      <c r="ET34" s="69">
        <v>0</v>
      </c>
      <c r="EU34" s="69">
        <v>665136</v>
      </c>
      <c r="EV34" s="69">
        <v>231306</v>
      </c>
      <c r="EW34" s="69">
        <v>1418555</v>
      </c>
      <c r="EX34" s="69">
        <v>1655409</v>
      </c>
      <c r="EY34" s="69">
        <v>0</v>
      </c>
      <c r="EZ34" s="69"/>
      <c r="FA34" s="69"/>
      <c r="FB34" s="69">
        <v>14602598</v>
      </c>
      <c r="FC34" s="69">
        <v>225432</v>
      </c>
      <c r="FD34" s="69">
        <v>0</v>
      </c>
      <c r="FE34" s="69">
        <v>45469</v>
      </c>
      <c r="FF34" s="69">
        <v>156805</v>
      </c>
      <c r="FG34" s="69">
        <v>0</v>
      </c>
      <c r="FH34" s="69">
        <v>0</v>
      </c>
      <c r="FI34" s="69">
        <v>49721</v>
      </c>
      <c r="FJ34" s="69">
        <v>0</v>
      </c>
      <c r="FK34" s="69">
        <v>597106</v>
      </c>
      <c r="FL34" s="69">
        <v>0</v>
      </c>
      <c r="FM34" s="69">
        <v>0</v>
      </c>
      <c r="FN34" s="69">
        <v>76863</v>
      </c>
      <c r="FO34" s="69">
        <v>0</v>
      </c>
      <c r="FP34" s="69">
        <v>96956</v>
      </c>
      <c r="FQ34" s="69">
        <v>0</v>
      </c>
      <c r="FR34" s="69">
        <v>226168</v>
      </c>
      <c r="FS34" s="69">
        <v>14961</v>
      </c>
      <c r="FT34" s="69">
        <v>19561</v>
      </c>
      <c r="FU34" s="69">
        <v>85042</v>
      </c>
      <c r="FV34" s="69">
        <v>0</v>
      </c>
      <c r="FW34" s="69">
        <v>0</v>
      </c>
      <c r="FX34" s="69">
        <v>0</v>
      </c>
      <c r="FY34" s="69">
        <v>59283</v>
      </c>
      <c r="FZ34" s="69">
        <v>216906</v>
      </c>
      <c r="GA34" s="69">
        <v>128870</v>
      </c>
      <c r="GB34" s="69">
        <v>110674</v>
      </c>
      <c r="GC34" s="69">
        <v>0</v>
      </c>
      <c r="GD34" s="69"/>
      <c r="GE34" s="69"/>
      <c r="GF34" s="69">
        <v>2109817</v>
      </c>
      <c r="GG34" s="69">
        <v>12205</v>
      </c>
      <c r="GH34" s="69">
        <v>0</v>
      </c>
      <c r="GI34" s="69">
        <v>39878</v>
      </c>
      <c r="GJ34" s="69">
        <v>47926</v>
      </c>
      <c r="GK34" s="69">
        <v>0</v>
      </c>
      <c r="GL34" s="69">
        <v>200</v>
      </c>
      <c r="GM34" s="69">
        <v>39748</v>
      </c>
      <c r="GN34" s="69">
        <v>0</v>
      </c>
      <c r="GO34" s="69">
        <v>35463</v>
      </c>
      <c r="GP34" s="69">
        <v>0</v>
      </c>
      <c r="GQ34" s="69">
        <v>116</v>
      </c>
      <c r="GR34" s="69">
        <v>91915</v>
      </c>
      <c r="GS34" s="69">
        <v>8876</v>
      </c>
      <c r="GT34" s="69">
        <v>58836</v>
      </c>
      <c r="GU34" s="69">
        <v>0</v>
      </c>
      <c r="GV34" s="69">
        <v>56111</v>
      </c>
      <c r="GW34" s="69">
        <v>10946</v>
      </c>
      <c r="GX34" s="69">
        <v>13497</v>
      </c>
      <c r="GY34" s="69">
        <v>39231</v>
      </c>
      <c r="GZ34" s="69">
        <v>0</v>
      </c>
      <c r="HA34" s="69">
        <v>0</v>
      </c>
      <c r="HB34" s="69">
        <v>0</v>
      </c>
      <c r="HC34" s="69">
        <v>26956</v>
      </c>
      <c r="HD34" s="69">
        <v>16678</v>
      </c>
      <c r="HE34" s="69">
        <v>57581</v>
      </c>
      <c r="HF34" s="69">
        <v>65717</v>
      </c>
      <c r="HG34" s="69">
        <v>0</v>
      </c>
      <c r="HH34" s="69"/>
      <c r="HI34" s="69"/>
      <c r="HJ34" s="69">
        <v>621881</v>
      </c>
      <c r="HK34" s="69">
        <v>118651</v>
      </c>
      <c r="HL34" s="69">
        <v>0</v>
      </c>
      <c r="HM34" s="69">
        <v>32610</v>
      </c>
      <c r="HN34" s="69">
        <v>97287</v>
      </c>
      <c r="HO34" s="69">
        <v>0</v>
      </c>
      <c r="HP34" s="69">
        <v>32</v>
      </c>
      <c r="HQ34" s="69">
        <v>38441</v>
      </c>
      <c r="HR34" s="69">
        <v>0</v>
      </c>
      <c r="HS34" s="69">
        <v>82093</v>
      </c>
      <c r="HT34" s="69">
        <v>0</v>
      </c>
      <c r="HU34" s="69">
        <v>25</v>
      </c>
      <c r="HV34" s="69">
        <v>17616</v>
      </c>
      <c r="HW34" s="69">
        <v>17610</v>
      </c>
      <c r="HX34" s="69">
        <v>86813</v>
      </c>
      <c r="HY34" s="69">
        <v>0</v>
      </c>
      <c r="HZ34" s="69">
        <v>110983</v>
      </c>
      <c r="IA34" s="69">
        <v>14494</v>
      </c>
      <c r="IB34" s="69">
        <v>14782</v>
      </c>
      <c r="IC34" s="69">
        <v>10097</v>
      </c>
      <c r="ID34" s="69">
        <v>0</v>
      </c>
      <c r="IE34" s="69">
        <v>16870</v>
      </c>
      <c r="IF34" s="69">
        <v>0</v>
      </c>
      <c r="IG34" s="69">
        <v>18935</v>
      </c>
      <c r="IH34" s="69">
        <v>119441</v>
      </c>
      <c r="II34" s="69">
        <v>20185</v>
      </c>
      <c r="IJ34" s="69">
        <v>102301</v>
      </c>
      <c r="IK34" s="69">
        <v>0</v>
      </c>
      <c r="IL34" s="69"/>
      <c r="IM34" s="69"/>
      <c r="IN34" s="69">
        <v>919266</v>
      </c>
      <c r="IO34" s="69">
        <v>356288</v>
      </c>
      <c r="IP34" s="69">
        <v>0</v>
      </c>
      <c r="IQ34" s="69">
        <v>117957</v>
      </c>
      <c r="IR34" s="69">
        <v>302018</v>
      </c>
      <c r="IS34" s="69">
        <v>0</v>
      </c>
      <c r="IT34" s="69">
        <v>232</v>
      </c>
      <c r="IU34" s="69">
        <v>127910</v>
      </c>
      <c r="IV34" s="69">
        <v>0</v>
      </c>
      <c r="IW34" s="69">
        <v>714662</v>
      </c>
      <c r="IX34" s="69">
        <v>0</v>
      </c>
      <c r="IY34" s="69">
        <v>141</v>
      </c>
      <c r="IZ34" s="69">
        <v>186394</v>
      </c>
      <c r="JA34" s="69">
        <v>26486</v>
      </c>
      <c r="JB34" s="69">
        <v>242605</v>
      </c>
      <c r="JC34" s="69">
        <v>0</v>
      </c>
      <c r="JD34" s="69">
        <v>393262</v>
      </c>
      <c r="JE34" s="69">
        <v>40401</v>
      </c>
      <c r="JF34" s="69">
        <v>47840</v>
      </c>
      <c r="JG34" s="69">
        <v>134370</v>
      </c>
      <c r="JH34" s="69">
        <v>0</v>
      </c>
      <c r="JI34" s="69">
        <v>16870</v>
      </c>
      <c r="JJ34" s="69">
        <v>0</v>
      </c>
      <c r="JK34" s="69">
        <v>105174</v>
      </c>
      <c r="JL34" s="69">
        <v>353025</v>
      </c>
      <c r="JM34" s="69">
        <v>206636</v>
      </c>
      <c r="JN34" s="69">
        <v>278692</v>
      </c>
      <c r="JO34" s="69">
        <v>0</v>
      </c>
      <c r="JP34" s="69"/>
      <c r="JQ34" s="69"/>
      <c r="JR34" s="69">
        <v>3650964</v>
      </c>
      <c r="JS34" s="69">
        <v>458848</v>
      </c>
      <c r="JT34" s="69">
        <v>0</v>
      </c>
      <c r="JU34" s="69">
        <v>1144164</v>
      </c>
      <c r="JV34" s="69">
        <v>1433177</v>
      </c>
      <c r="JW34" s="69">
        <v>0</v>
      </c>
      <c r="JX34" s="69">
        <v>5596</v>
      </c>
      <c r="JY34" s="69">
        <v>1146379</v>
      </c>
      <c r="JZ34" s="69">
        <v>0</v>
      </c>
      <c r="KA34" s="69">
        <v>1070591</v>
      </c>
      <c r="KB34" s="69">
        <v>0</v>
      </c>
      <c r="KC34" s="69">
        <v>3270</v>
      </c>
      <c r="KD34" s="69">
        <v>2579655</v>
      </c>
      <c r="KE34" s="69">
        <v>265031</v>
      </c>
      <c r="KF34" s="69">
        <v>1726807</v>
      </c>
      <c r="KG34" s="69">
        <v>0</v>
      </c>
      <c r="KH34" s="69">
        <v>1675009</v>
      </c>
      <c r="KI34" s="69">
        <v>319606</v>
      </c>
      <c r="KJ34" s="69">
        <v>391010</v>
      </c>
      <c r="KK34" s="69">
        <v>1103615</v>
      </c>
      <c r="KL34" s="69">
        <v>0</v>
      </c>
      <c r="KM34" s="69">
        <v>16870</v>
      </c>
      <c r="KN34" s="69">
        <v>0</v>
      </c>
      <c r="KO34" s="69">
        <v>770310</v>
      </c>
      <c r="KP34" s="69">
        <v>584331</v>
      </c>
      <c r="KQ34" s="69">
        <v>1625191</v>
      </c>
      <c r="KR34" s="69">
        <v>1934101</v>
      </c>
      <c r="KS34" s="69">
        <v>0</v>
      </c>
      <c r="KT34" s="69"/>
      <c r="KU34" s="69"/>
      <c r="KV34" s="69">
        <v>18253562</v>
      </c>
      <c r="KW34" s="69"/>
    </row>
    <row r="35" spans="1:309" ht="15" customHeight="1" x14ac:dyDescent="0.25">
      <c r="A35" t="s">
        <v>434</v>
      </c>
      <c r="C35" t="s">
        <v>1088</v>
      </c>
      <c r="D35" t="s">
        <v>1128</v>
      </c>
      <c r="E35" s="2">
        <v>39790.410520833299</v>
      </c>
      <c r="G35" t="s">
        <v>435</v>
      </c>
      <c r="L35">
        <v>0</v>
      </c>
      <c r="M35">
        <v>0</v>
      </c>
      <c r="N35">
        <v>0</v>
      </c>
      <c r="O35">
        <v>30309720</v>
      </c>
      <c r="P35" s="69">
        <v>0</v>
      </c>
      <c r="Q35" s="69">
        <v>785677</v>
      </c>
      <c r="R35">
        <v>0</v>
      </c>
      <c r="S35">
        <v>785677</v>
      </c>
      <c r="T35">
        <v>2517992</v>
      </c>
      <c r="U35">
        <v>1553166</v>
      </c>
      <c r="V35">
        <v>2709678</v>
      </c>
      <c r="W35">
        <v>0</v>
      </c>
      <c r="X35">
        <v>0</v>
      </c>
      <c r="Y35">
        <v>0</v>
      </c>
      <c r="Z35">
        <v>6780836</v>
      </c>
      <c r="AA35">
        <v>1375870</v>
      </c>
      <c r="AB35">
        <v>251582</v>
      </c>
      <c r="AC35">
        <v>1213759</v>
      </c>
      <c r="AD35">
        <v>0</v>
      </c>
      <c r="AE35">
        <v>45210</v>
      </c>
      <c r="AF35">
        <v>569380</v>
      </c>
      <c r="AG35">
        <v>3455801</v>
      </c>
      <c r="AH35">
        <v>3893862</v>
      </c>
      <c r="AI35">
        <v>1804748</v>
      </c>
      <c r="AJ35">
        <v>3923437</v>
      </c>
      <c r="AK35">
        <v>0</v>
      </c>
      <c r="AL35">
        <v>45210</v>
      </c>
      <c r="AM35">
        <v>569380</v>
      </c>
      <c r="AN35">
        <v>10236637</v>
      </c>
      <c r="AO35">
        <v>0</v>
      </c>
      <c r="AP35">
        <v>0</v>
      </c>
      <c r="AQ35">
        <v>330012</v>
      </c>
      <c r="AR35">
        <v>0</v>
      </c>
      <c r="AS35">
        <v>330012</v>
      </c>
      <c r="AT35">
        <v>0</v>
      </c>
      <c r="AU35">
        <v>0</v>
      </c>
      <c r="AV35">
        <v>102679</v>
      </c>
      <c r="AW35">
        <v>15021</v>
      </c>
      <c r="AX35">
        <v>117700</v>
      </c>
      <c r="AY35">
        <v>0</v>
      </c>
      <c r="AZ35">
        <v>0</v>
      </c>
      <c r="BA35">
        <v>432691</v>
      </c>
      <c r="BB35">
        <v>15021</v>
      </c>
      <c r="BC35">
        <v>447712</v>
      </c>
      <c r="BD35">
        <v>736553</v>
      </c>
      <c r="BE35">
        <v>0</v>
      </c>
      <c r="BF35">
        <v>0</v>
      </c>
      <c r="BG35">
        <v>0</v>
      </c>
      <c r="BH35">
        <v>0</v>
      </c>
      <c r="BI35">
        <v>736553</v>
      </c>
      <c r="BJ35">
        <v>0</v>
      </c>
      <c r="BK35">
        <v>0</v>
      </c>
      <c r="BL35">
        <v>272852</v>
      </c>
      <c r="BM35">
        <v>0</v>
      </c>
      <c r="BN35">
        <v>0</v>
      </c>
      <c r="BO35">
        <v>272852</v>
      </c>
      <c r="BP35">
        <v>3257554</v>
      </c>
      <c r="BQ35">
        <v>84008</v>
      </c>
      <c r="BR35">
        <v>0</v>
      </c>
      <c r="BS35">
        <v>0</v>
      </c>
      <c r="BT35">
        <v>149144</v>
      </c>
      <c r="BU35">
        <v>3490706</v>
      </c>
      <c r="BV35">
        <v>3994107</v>
      </c>
      <c r="BW35">
        <v>84008</v>
      </c>
      <c r="BX35">
        <v>272852</v>
      </c>
      <c r="BY35">
        <v>0</v>
      </c>
      <c r="BZ35">
        <v>149144</v>
      </c>
      <c r="CA35">
        <v>4500111</v>
      </c>
      <c r="CB35">
        <v>0</v>
      </c>
      <c r="CC35">
        <v>0</v>
      </c>
      <c r="CD35">
        <v>0</v>
      </c>
      <c r="CE35">
        <v>0</v>
      </c>
      <c r="CF35">
        <v>0</v>
      </c>
      <c r="CG35">
        <v>0</v>
      </c>
      <c r="CH35">
        <v>0</v>
      </c>
      <c r="CI35">
        <v>0</v>
      </c>
      <c r="CJ35">
        <v>0</v>
      </c>
      <c r="CK35">
        <v>0</v>
      </c>
      <c r="CL35">
        <v>0</v>
      </c>
      <c r="CM35">
        <v>0</v>
      </c>
      <c r="CN35">
        <v>0</v>
      </c>
      <c r="CO35">
        <v>0</v>
      </c>
      <c r="CP35">
        <v>0</v>
      </c>
      <c r="CQ35">
        <v>0</v>
      </c>
      <c r="CR35">
        <v>9797</v>
      </c>
      <c r="CS35">
        <v>1292551</v>
      </c>
      <c r="CT35">
        <v>0</v>
      </c>
      <c r="CU35">
        <v>3984</v>
      </c>
      <c r="CV35">
        <v>51376</v>
      </c>
      <c r="CW35">
        <v>292772</v>
      </c>
      <c r="CX35">
        <v>157317</v>
      </c>
      <c r="CY35">
        <v>26462</v>
      </c>
      <c r="CZ35">
        <v>13441</v>
      </c>
      <c r="DA35">
        <v>40119</v>
      </c>
      <c r="DB35">
        <v>2712</v>
      </c>
      <c r="DC35">
        <v>101320</v>
      </c>
      <c r="DD35">
        <v>5873</v>
      </c>
      <c r="DE35">
        <v>62738</v>
      </c>
      <c r="DF35">
        <v>307418</v>
      </c>
      <c r="DG35">
        <v>205856</v>
      </c>
      <c r="DH35">
        <v>162190</v>
      </c>
      <c r="DI35">
        <v>0</v>
      </c>
      <c r="DJ35">
        <v>149318</v>
      </c>
      <c r="DK35">
        <v>27054</v>
      </c>
      <c r="DL35">
        <v>97064</v>
      </c>
      <c r="DM35">
        <v>213472</v>
      </c>
      <c r="DN35">
        <v>35926</v>
      </c>
      <c r="DO35">
        <v>42787</v>
      </c>
      <c r="DP35">
        <v>4368</v>
      </c>
      <c r="DQ35">
        <v>61888</v>
      </c>
      <c r="DR35">
        <v>106381</v>
      </c>
      <c r="DS35">
        <v>367200</v>
      </c>
      <c r="DT35">
        <v>127082</v>
      </c>
      <c r="DU35">
        <v>0</v>
      </c>
      <c r="DX35" s="69">
        <v>2666118</v>
      </c>
      <c r="DY35" s="69">
        <v>2112</v>
      </c>
      <c r="DZ35" s="69">
        <v>196000</v>
      </c>
      <c r="EA35" s="69">
        <v>895027</v>
      </c>
      <c r="EB35" s="69">
        <v>716938</v>
      </c>
      <c r="EC35" s="69">
        <v>361773</v>
      </c>
      <c r="ED35" s="69">
        <v>118502</v>
      </c>
      <c r="EE35" s="69">
        <v>435940</v>
      </c>
      <c r="EF35" s="69">
        <v>4140</v>
      </c>
      <c r="EG35" s="69">
        <v>305894</v>
      </c>
      <c r="EH35" s="69">
        <v>10444</v>
      </c>
      <c r="EI35" s="69">
        <v>361859</v>
      </c>
      <c r="EJ35" s="69">
        <v>1128946</v>
      </c>
      <c r="EK35" s="69">
        <v>341933</v>
      </c>
      <c r="EL35" s="69">
        <v>699244</v>
      </c>
      <c r="EM35" s="69">
        <v>0</v>
      </c>
      <c r="EN35" s="69">
        <v>701889</v>
      </c>
      <c r="EO35" s="69">
        <v>141987</v>
      </c>
      <c r="EP35" s="69">
        <v>455557</v>
      </c>
      <c r="EQ35" s="69">
        <v>805873</v>
      </c>
      <c r="ER35" s="69">
        <v>247001</v>
      </c>
      <c r="ES35" s="69">
        <v>395451</v>
      </c>
      <c r="ET35" s="69">
        <v>37790</v>
      </c>
      <c r="EU35" s="69">
        <v>305008</v>
      </c>
      <c r="EV35" s="69">
        <v>297576</v>
      </c>
      <c r="EW35" s="69">
        <v>1124549</v>
      </c>
      <c r="EX35" s="69">
        <v>578018</v>
      </c>
      <c r="EY35" s="69">
        <v>0</v>
      </c>
      <c r="EZ35" s="69"/>
      <c r="FA35" s="69"/>
      <c r="FB35" s="69">
        <v>10669451</v>
      </c>
      <c r="FC35" s="69">
        <v>0</v>
      </c>
      <c r="FD35" s="69">
        <v>5124</v>
      </c>
      <c r="FE35" s="69">
        <v>1243</v>
      </c>
      <c r="FF35" s="69">
        <v>31454</v>
      </c>
      <c r="FG35" s="69">
        <v>110391</v>
      </c>
      <c r="FH35" s="69">
        <v>2474</v>
      </c>
      <c r="FI35" s="69">
        <v>12653</v>
      </c>
      <c r="FJ35" s="69">
        <v>6421</v>
      </c>
      <c r="FK35" s="69">
        <v>5921</v>
      </c>
      <c r="FL35" s="69">
        <v>16197</v>
      </c>
      <c r="FM35" s="69">
        <v>113315</v>
      </c>
      <c r="FN35" s="69">
        <v>151968</v>
      </c>
      <c r="FO35" s="69">
        <v>0</v>
      </c>
      <c r="FP35" s="69">
        <v>62073</v>
      </c>
      <c r="FQ35" s="69">
        <v>0</v>
      </c>
      <c r="FR35" s="69">
        <v>80990</v>
      </c>
      <c r="FS35" s="69">
        <v>1098</v>
      </c>
      <c r="FT35" s="69">
        <v>2740</v>
      </c>
      <c r="FU35" s="69">
        <v>4559</v>
      </c>
      <c r="FV35" s="69">
        <v>4663</v>
      </c>
      <c r="FW35" s="69">
        <v>120625</v>
      </c>
      <c r="FX35" s="69">
        <v>0</v>
      </c>
      <c r="FY35" s="69">
        <v>797</v>
      </c>
      <c r="FZ35" s="69">
        <v>171448</v>
      </c>
      <c r="GA35" s="69">
        <v>0</v>
      </c>
      <c r="GB35" s="69">
        <v>4148</v>
      </c>
      <c r="GC35" s="69">
        <v>0</v>
      </c>
      <c r="GD35" s="69"/>
      <c r="GE35" s="69"/>
      <c r="GF35" s="69">
        <v>910302</v>
      </c>
      <c r="GG35" s="69">
        <v>236</v>
      </c>
      <c r="GH35" s="69">
        <v>22450</v>
      </c>
      <c r="GI35" s="69">
        <v>100043</v>
      </c>
      <c r="GJ35" s="69">
        <v>83537</v>
      </c>
      <c r="GK35" s="69">
        <v>52704</v>
      </c>
      <c r="GL35" s="69">
        <v>13504</v>
      </c>
      <c r="GM35" s="69">
        <v>50073</v>
      </c>
      <c r="GN35" s="69">
        <v>1179</v>
      </c>
      <c r="GO35" s="69">
        <v>34805</v>
      </c>
      <c r="GP35" s="69">
        <v>2974</v>
      </c>
      <c r="GQ35" s="69">
        <v>53040</v>
      </c>
      <c r="GR35" s="69">
        <v>142978</v>
      </c>
      <c r="GS35" s="69">
        <v>38167</v>
      </c>
      <c r="GT35" s="69">
        <v>84979</v>
      </c>
      <c r="GU35" s="69">
        <v>0</v>
      </c>
      <c r="GV35" s="69">
        <v>87386</v>
      </c>
      <c r="GW35" s="69">
        <v>15971</v>
      </c>
      <c r="GX35" s="69">
        <v>51156</v>
      </c>
      <c r="GY35" s="69">
        <v>90462</v>
      </c>
      <c r="GZ35" s="69">
        <v>28091</v>
      </c>
      <c r="HA35" s="69">
        <v>57605</v>
      </c>
      <c r="HB35" s="69">
        <v>4218</v>
      </c>
      <c r="HC35" s="69">
        <v>34134</v>
      </c>
      <c r="HD35" s="69">
        <v>52353</v>
      </c>
      <c r="HE35" s="69">
        <v>125524</v>
      </c>
      <c r="HF35" s="69">
        <v>64982</v>
      </c>
      <c r="HG35" s="69">
        <v>0</v>
      </c>
      <c r="HH35" s="69"/>
      <c r="HI35" s="69"/>
      <c r="HJ35" s="69">
        <v>1292551</v>
      </c>
      <c r="HK35" s="69">
        <v>0</v>
      </c>
      <c r="HL35" s="69">
        <v>43921</v>
      </c>
      <c r="HM35" s="69">
        <v>119539</v>
      </c>
      <c r="HN35" s="69">
        <v>52665</v>
      </c>
      <c r="HO35" s="69">
        <v>451404</v>
      </c>
      <c r="HP35" s="69">
        <v>4436</v>
      </c>
      <c r="HQ35" s="69">
        <v>86957</v>
      </c>
      <c r="HR35" s="69">
        <v>3260</v>
      </c>
      <c r="HS35" s="69">
        <v>48036</v>
      </c>
      <c r="HT35" s="69">
        <v>8225</v>
      </c>
      <c r="HU35" s="69">
        <v>409645</v>
      </c>
      <c r="HV35" s="69">
        <v>169665</v>
      </c>
      <c r="HW35" s="69">
        <v>5752</v>
      </c>
      <c r="HX35" s="69">
        <v>123693</v>
      </c>
      <c r="HY35" s="69">
        <v>0</v>
      </c>
      <c r="HZ35" s="69">
        <v>140622</v>
      </c>
      <c r="IA35" s="69">
        <v>11825</v>
      </c>
      <c r="IB35" s="69">
        <v>28163</v>
      </c>
      <c r="IC35" s="69">
        <v>45957</v>
      </c>
      <c r="ID35" s="69">
        <v>49300</v>
      </c>
      <c r="IE35" s="69">
        <v>143496</v>
      </c>
      <c r="IF35" s="69">
        <v>0</v>
      </c>
      <c r="IG35" s="69">
        <v>8288</v>
      </c>
      <c r="IH35" s="69">
        <v>147997</v>
      </c>
      <c r="II35" s="69">
        <v>58734</v>
      </c>
      <c r="IJ35" s="69">
        <v>39244</v>
      </c>
      <c r="IK35" s="69">
        <v>0</v>
      </c>
      <c r="IL35" s="69"/>
      <c r="IM35" s="69"/>
      <c r="IN35" s="69">
        <v>2200824</v>
      </c>
      <c r="IO35" s="69">
        <v>236</v>
      </c>
      <c r="IP35" s="69">
        <v>71495</v>
      </c>
      <c r="IQ35" s="69">
        <v>220825</v>
      </c>
      <c r="IR35" s="69">
        <v>167656</v>
      </c>
      <c r="IS35" s="69">
        <v>614499</v>
      </c>
      <c r="IT35" s="69">
        <v>20414</v>
      </c>
      <c r="IU35" s="69">
        <v>149683</v>
      </c>
      <c r="IV35" s="69">
        <v>10860</v>
      </c>
      <c r="IW35" s="69">
        <v>88762</v>
      </c>
      <c r="IX35" s="69">
        <v>27396</v>
      </c>
      <c r="IY35" s="69">
        <v>576000</v>
      </c>
      <c r="IZ35" s="69">
        <v>464611</v>
      </c>
      <c r="JA35" s="69">
        <v>43919</v>
      </c>
      <c r="JB35" s="69">
        <v>270745</v>
      </c>
      <c r="JC35" s="69">
        <v>0</v>
      </c>
      <c r="JD35" s="69">
        <v>308998</v>
      </c>
      <c r="JE35" s="69">
        <v>28894</v>
      </c>
      <c r="JF35" s="69">
        <v>82059</v>
      </c>
      <c r="JG35" s="69">
        <v>140978</v>
      </c>
      <c r="JH35" s="69">
        <v>82054</v>
      </c>
      <c r="JI35" s="69">
        <v>321726</v>
      </c>
      <c r="JJ35" s="69">
        <v>4218</v>
      </c>
      <c r="JK35" s="69">
        <v>43219</v>
      </c>
      <c r="JL35" s="69">
        <v>371798</v>
      </c>
      <c r="JM35" s="69">
        <v>184258</v>
      </c>
      <c r="JN35" s="69">
        <v>108374</v>
      </c>
      <c r="JO35" s="69">
        <v>0</v>
      </c>
      <c r="JP35" s="69"/>
      <c r="JQ35" s="69"/>
      <c r="JR35" s="69">
        <v>4403677</v>
      </c>
      <c r="JS35" s="69">
        <v>2348</v>
      </c>
      <c r="JT35" s="69">
        <v>267495</v>
      </c>
      <c r="JU35" s="69">
        <v>1115852</v>
      </c>
      <c r="JV35" s="69">
        <v>884594</v>
      </c>
      <c r="JW35" s="69">
        <v>976272</v>
      </c>
      <c r="JX35" s="69">
        <v>138916</v>
      </c>
      <c r="JY35" s="69">
        <v>585623</v>
      </c>
      <c r="JZ35" s="69">
        <v>15000</v>
      </c>
      <c r="KA35" s="69">
        <v>394656</v>
      </c>
      <c r="KB35" s="69">
        <v>37840</v>
      </c>
      <c r="KC35" s="69">
        <v>937859</v>
      </c>
      <c r="KD35" s="69">
        <v>1593557</v>
      </c>
      <c r="KE35" s="69">
        <v>385852</v>
      </c>
      <c r="KF35" s="69">
        <v>969989</v>
      </c>
      <c r="KG35" s="69">
        <v>0</v>
      </c>
      <c r="KH35" s="69">
        <v>1010887</v>
      </c>
      <c r="KI35" s="69">
        <v>170881</v>
      </c>
      <c r="KJ35" s="69">
        <v>537616</v>
      </c>
      <c r="KK35" s="69">
        <v>946851</v>
      </c>
      <c r="KL35" s="69">
        <v>329055</v>
      </c>
      <c r="KM35" s="69">
        <v>717177</v>
      </c>
      <c r="KN35" s="69">
        <v>42008</v>
      </c>
      <c r="KO35" s="69">
        <v>348227</v>
      </c>
      <c r="KP35" s="69">
        <v>669374</v>
      </c>
      <c r="KQ35" s="69">
        <v>1308807</v>
      </c>
      <c r="KR35" s="69">
        <v>686392</v>
      </c>
      <c r="KS35" s="69">
        <v>0</v>
      </c>
      <c r="KT35" s="69"/>
      <c r="KU35" s="69"/>
      <c r="KV35" s="69">
        <v>15073128</v>
      </c>
      <c r="KW35" s="69" t="s">
        <v>1145</v>
      </c>
    </row>
    <row r="36" spans="1:309" x14ac:dyDescent="0.25">
      <c r="A36" t="s">
        <v>384</v>
      </c>
      <c r="C36" t="s">
        <v>1088</v>
      </c>
      <c r="D36" t="s">
        <v>1103</v>
      </c>
      <c r="E36" s="2">
        <v>39797.555613425902</v>
      </c>
      <c r="G36" t="s">
        <v>385</v>
      </c>
      <c r="L36">
        <v>0</v>
      </c>
      <c r="M36">
        <v>0</v>
      </c>
      <c r="N36">
        <v>0</v>
      </c>
      <c r="O36">
        <v>24420277</v>
      </c>
      <c r="P36" s="69">
        <v>0</v>
      </c>
      <c r="Q36" s="69">
        <v>664783</v>
      </c>
      <c r="R36">
        <v>0</v>
      </c>
      <c r="S36">
        <v>664783</v>
      </c>
      <c r="T36">
        <v>2163474</v>
      </c>
      <c r="U36">
        <v>1385485</v>
      </c>
      <c r="V36">
        <v>1844308</v>
      </c>
      <c r="W36">
        <v>0</v>
      </c>
      <c r="X36">
        <v>0</v>
      </c>
      <c r="Y36">
        <v>0</v>
      </c>
      <c r="Z36">
        <v>5393267</v>
      </c>
      <c r="AA36">
        <v>1484324</v>
      </c>
      <c r="AB36">
        <v>581040</v>
      </c>
      <c r="AC36">
        <v>462125</v>
      </c>
      <c r="AD36">
        <v>0</v>
      </c>
      <c r="AE36">
        <v>0</v>
      </c>
      <c r="AF36">
        <v>143278</v>
      </c>
      <c r="AG36">
        <v>2670767</v>
      </c>
      <c r="AH36">
        <v>3647798</v>
      </c>
      <c r="AI36">
        <v>1966525</v>
      </c>
      <c r="AJ36">
        <v>2306433</v>
      </c>
      <c r="AK36">
        <v>0</v>
      </c>
      <c r="AL36">
        <v>0</v>
      </c>
      <c r="AM36">
        <v>143278</v>
      </c>
      <c r="AN36">
        <v>8064034</v>
      </c>
      <c r="AO36">
        <v>0</v>
      </c>
      <c r="AP36">
        <v>0</v>
      </c>
      <c r="AQ36">
        <v>15652</v>
      </c>
      <c r="AR36">
        <v>0</v>
      </c>
      <c r="AS36">
        <v>15652</v>
      </c>
      <c r="AT36">
        <v>0</v>
      </c>
      <c r="AU36">
        <v>0</v>
      </c>
      <c r="AV36">
        <v>5323</v>
      </c>
      <c r="AW36">
        <v>0</v>
      </c>
      <c r="AX36">
        <v>5323</v>
      </c>
      <c r="AY36">
        <v>0</v>
      </c>
      <c r="AZ36">
        <v>0</v>
      </c>
      <c r="BA36">
        <v>20975</v>
      </c>
      <c r="BB36">
        <v>0</v>
      </c>
      <c r="BC36">
        <v>20975</v>
      </c>
      <c r="BD36">
        <v>592715</v>
      </c>
      <c r="BE36">
        <v>0</v>
      </c>
      <c r="BF36">
        <v>0</v>
      </c>
      <c r="BG36">
        <v>0</v>
      </c>
      <c r="BH36">
        <v>0</v>
      </c>
      <c r="BI36">
        <v>592715</v>
      </c>
      <c r="BJ36">
        <v>0</v>
      </c>
      <c r="BK36">
        <v>0</v>
      </c>
      <c r="BL36">
        <v>72947</v>
      </c>
      <c r="BM36">
        <v>0</v>
      </c>
      <c r="BN36">
        <v>0</v>
      </c>
      <c r="BO36">
        <v>72947</v>
      </c>
      <c r="BP36">
        <v>2165152</v>
      </c>
      <c r="BQ36">
        <v>815551</v>
      </c>
      <c r="BR36">
        <v>0</v>
      </c>
      <c r="BS36">
        <v>0</v>
      </c>
      <c r="BT36">
        <v>249492</v>
      </c>
      <c r="BU36">
        <v>3003204</v>
      </c>
      <c r="BV36">
        <v>2757867</v>
      </c>
      <c r="BW36">
        <v>815551</v>
      </c>
      <c r="BX36">
        <v>72947</v>
      </c>
      <c r="BY36">
        <v>0</v>
      </c>
      <c r="BZ36">
        <v>22501</v>
      </c>
      <c r="CA36">
        <v>3668866</v>
      </c>
      <c r="CB36">
        <v>0</v>
      </c>
      <c r="CC36">
        <v>0</v>
      </c>
      <c r="CD36">
        <v>0</v>
      </c>
      <c r="CE36">
        <v>0</v>
      </c>
      <c r="CF36">
        <v>0</v>
      </c>
      <c r="CG36">
        <v>0</v>
      </c>
      <c r="CH36">
        <v>0</v>
      </c>
      <c r="CI36">
        <v>0</v>
      </c>
      <c r="CJ36">
        <v>0</v>
      </c>
      <c r="CK36">
        <v>0</v>
      </c>
      <c r="CL36">
        <v>0</v>
      </c>
      <c r="CM36">
        <v>0</v>
      </c>
      <c r="CN36">
        <v>0</v>
      </c>
      <c r="CO36">
        <v>0</v>
      </c>
      <c r="CP36">
        <v>0</v>
      </c>
      <c r="CQ36">
        <v>0</v>
      </c>
      <c r="CR36">
        <v>3593</v>
      </c>
      <c r="CS36">
        <v>1229481</v>
      </c>
      <c r="CT36">
        <v>0</v>
      </c>
      <c r="CU36">
        <v>19696</v>
      </c>
      <c r="CV36">
        <v>3014</v>
      </c>
      <c r="CW36">
        <v>369456</v>
      </c>
      <c r="CX36">
        <v>338568</v>
      </c>
      <c r="CY36">
        <v>0</v>
      </c>
      <c r="CZ36">
        <v>10110</v>
      </c>
      <c r="DA36">
        <v>309816</v>
      </c>
      <c r="DB36">
        <v>2384</v>
      </c>
      <c r="DC36">
        <v>395208</v>
      </c>
      <c r="DD36">
        <v>672</v>
      </c>
      <c r="DE36">
        <v>29768</v>
      </c>
      <c r="DF36">
        <v>554016</v>
      </c>
      <c r="DG36">
        <v>61264</v>
      </c>
      <c r="DH36">
        <v>110424</v>
      </c>
      <c r="DI36">
        <v>0</v>
      </c>
      <c r="DJ36">
        <v>196427</v>
      </c>
      <c r="DK36">
        <v>0</v>
      </c>
      <c r="DL36">
        <v>105008</v>
      </c>
      <c r="DM36">
        <v>380272</v>
      </c>
      <c r="DN36">
        <v>628</v>
      </c>
      <c r="DO36">
        <v>29880</v>
      </c>
      <c r="DP36">
        <v>3488</v>
      </c>
      <c r="DQ36">
        <v>151824</v>
      </c>
      <c r="DR36">
        <v>258230</v>
      </c>
      <c r="DS36">
        <v>510832</v>
      </c>
      <c r="DT36">
        <v>160576</v>
      </c>
      <c r="DU36">
        <v>0</v>
      </c>
      <c r="DX36" s="69">
        <v>4001561</v>
      </c>
      <c r="DY36" s="69">
        <v>65284</v>
      </c>
      <c r="DZ36" s="69">
        <v>825</v>
      </c>
      <c r="EA36" s="69">
        <v>923999</v>
      </c>
      <c r="EB36" s="69">
        <v>1016281</v>
      </c>
      <c r="EC36" s="69">
        <v>0</v>
      </c>
      <c r="ED36" s="69">
        <v>70694</v>
      </c>
      <c r="EE36" s="69">
        <v>504830</v>
      </c>
      <c r="EF36" s="69">
        <v>5362</v>
      </c>
      <c r="EG36" s="69">
        <v>327199</v>
      </c>
      <c r="EH36" s="69">
        <v>11422</v>
      </c>
      <c r="EI36" s="69">
        <v>60489</v>
      </c>
      <c r="EJ36" s="69">
        <v>1542331</v>
      </c>
      <c r="EK36" s="69">
        <v>102383</v>
      </c>
      <c r="EL36" s="69">
        <v>636568</v>
      </c>
      <c r="EM36" s="69">
        <v>0</v>
      </c>
      <c r="EN36" s="69">
        <v>392742</v>
      </c>
      <c r="EO36" s="69">
        <v>0</v>
      </c>
      <c r="EP36" s="69">
        <v>545776</v>
      </c>
      <c r="EQ36" s="69">
        <v>1051269</v>
      </c>
      <c r="ER36" s="69">
        <v>2330</v>
      </c>
      <c r="ES36" s="69">
        <v>110782</v>
      </c>
      <c r="ET36" s="69">
        <v>1931</v>
      </c>
      <c r="EU36" s="69">
        <v>435017</v>
      </c>
      <c r="EV36" s="69">
        <v>363782</v>
      </c>
      <c r="EW36" s="69">
        <v>1295530</v>
      </c>
      <c r="EX36" s="69">
        <v>528164</v>
      </c>
      <c r="EY36" s="69">
        <v>0</v>
      </c>
      <c r="EZ36" s="69"/>
      <c r="FA36" s="69"/>
      <c r="FB36" s="69">
        <v>9994990</v>
      </c>
      <c r="FC36" s="69">
        <v>0</v>
      </c>
      <c r="FD36" s="69">
        <v>0</v>
      </c>
      <c r="FE36" s="69">
        <v>0</v>
      </c>
      <c r="FF36" s="69">
        <v>0</v>
      </c>
      <c r="FG36" s="69">
        <v>0</v>
      </c>
      <c r="FH36" s="69">
        <v>0</v>
      </c>
      <c r="FI36" s="69">
        <v>0</v>
      </c>
      <c r="FJ36" s="69">
        <v>0</v>
      </c>
      <c r="FK36" s="69">
        <v>0</v>
      </c>
      <c r="FL36" s="69">
        <v>0</v>
      </c>
      <c r="FM36" s="69">
        <v>0</v>
      </c>
      <c r="FN36" s="69">
        <v>0</v>
      </c>
      <c r="FO36" s="69">
        <v>0</v>
      </c>
      <c r="FP36" s="69">
        <v>0</v>
      </c>
      <c r="FQ36" s="69">
        <v>0</v>
      </c>
      <c r="FR36" s="69">
        <v>0</v>
      </c>
      <c r="FS36" s="69">
        <v>0</v>
      </c>
      <c r="FT36" s="69">
        <v>0</v>
      </c>
      <c r="FU36" s="69">
        <v>0</v>
      </c>
      <c r="FV36" s="69">
        <v>0</v>
      </c>
      <c r="FW36" s="69">
        <v>0</v>
      </c>
      <c r="FX36" s="69">
        <v>0</v>
      </c>
      <c r="FY36" s="69">
        <v>0</v>
      </c>
      <c r="FZ36" s="69">
        <v>0</v>
      </c>
      <c r="GA36" s="69">
        <v>0</v>
      </c>
      <c r="GB36" s="69">
        <v>0</v>
      </c>
      <c r="GC36" s="69">
        <v>0</v>
      </c>
      <c r="GD36" s="69"/>
      <c r="GE36" s="69"/>
      <c r="GF36" s="69">
        <v>0</v>
      </c>
      <c r="GG36" s="69">
        <v>0</v>
      </c>
      <c r="GH36" s="69">
        <v>0</v>
      </c>
      <c r="GI36" s="69">
        <v>0</v>
      </c>
      <c r="GJ36" s="69">
        <v>0</v>
      </c>
      <c r="GK36" s="69">
        <v>0</v>
      </c>
      <c r="GL36" s="69">
        <v>0</v>
      </c>
      <c r="GM36" s="69">
        <v>0</v>
      </c>
      <c r="GN36" s="69">
        <v>0</v>
      </c>
      <c r="GO36" s="69">
        <v>0</v>
      </c>
      <c r="GP36" s="69">
        <v>0</v>
      </c>
      <c r="GQ36" s="69">
        <v>0</v>
      </c>
      <c r="GR36" s="69">
        <v>0</v>
      </c>
      <c r="GS36" s="69">
        <v>0</v>
      </c>
      <c r="GT36" s="69">
        <v>0</v>
      </c>
      <c r="GU36" s="69">
        <v>0</v>
      </c>
      <c r="GV36" s="69">
        <v>0</v>
      </c>
      <c r="GW36" s="69">
        <v>0</v>
      </c>
      <c r="GX36" s="69">
        <v>0</v>
      </c>
      <c r="GY36" s="69">
        <v>0</v>
      </c>
      <c r="GZ36" s="69">
        <v>0</v>
      </c>
      <c r="HA36" s="69">
        <v>0</v>
      </c>
      <c r="HB36" s="69">
        <v>0</v>
      </c>
      <c r="HC36" s="69">
        <v>0</v>
      </c>
      <c r="HD36" s="69">
        <v>0</v>
      </c>
      <c r="HE36" s="69">
        <v>0</v>
      </c>
      <c r="HF36" s="69">
        <v>0</v>
      </c>
      <c r="HG36" s="69">
        <v>0</v>
      </c>
      <c r="HH36" s="69"/>
      <c r="HI36" s="69"/>
      <c r="HJ36" s="69">
        <v>1229481</v>
      </c>
      <c r="HK36" s="69">
        <v>24085</v>
      </c>
      <c r="HL36" s="69">
        <v>0</v>
      </c>
      <c r="HM36" s="69">
        <v>122283</v>
      </c>
      <c r="HN36" s="69">
        <v>119864</v>
      </c>
      <c r="HO36" s="69">
        <v>0</v>
      </c>
      <c r="HP36" s="69">
        <v>9163</v>
      </c>
      <c r="HQ36" s="69">
        <v>58752</v>
      </c>
      <c r="HR36" s="69">
        <v>0</v>
      </c>
      <c r="HS36" s="69">
        <v>18192</v>
      </c>
      <c r="HT36" s="69">
        <v>110</v>
      </c>
      <c r="HU36" s="69">
        <v>63217</v>
      </c>
      <c r="HV36" s="69">
        <v>67933</v>
      </c>
      <c r="HW36" s="69">
        <v>3594</v>
      </c>
      <c r="HX36" s="69">
        <v>78238</v>
      </c>
      <c r="HY36" s="69">
        <v>0</v>
      </c>
      <c r="HZ36" s="69">
        <v>45328</v>
      </c>
      <c r="IA36" s="69">
        <v>0</v>
      </c>
      <c r="IB36" s="69">
        <v>77597</v>
      </c>
      <c r="IC36" s="69">
        <v>34337</v>
      </c>
      <c r="ID36" s="69">
        <v>282</v>
      </c>
      <c r="IE36" s="69">
        <v>13383</v>
      </c>
      <c r="IF36" s="69">
        <v>349</v>
      </c>
      <c r="IG36" s="69">
        <v>48752</v>
      </c>
      <c r="IH36" s="69">
        <v>51938</v>
      </c>
      <c r="II36" s="69">
        <v>32727</v>
      </c>
      <c r="IJ36" s="69">
        <v>72803</v>
      </c>
      <c r="IK36" s="69">
        <v>0</v>
      </c>
      <c r="IL36" s="69"/>
      <c r="IM36" s="69"/>
      <c r="IN36" s="69">
        <v>942927</v>
      </c>
      <c r="IO36" s="69">
        <v>24085</v>
      </c>
      <c r="IP36" s="69">
        <v>0</v>
      </c>
      <c r="IQ36" s="69">
        <v>122283</v>
      </c>
      <c r="IR36" s="69">
        <v>119864</v>
      </c>
      <c r="IS36" s="69">
        <v>0</v>
      </c>
      <c r="IT36" s="69">
        <v>9163</v>
      </c>
      <c r="IU36" s="69">
        <v>58752</v>
      </c>
      <c r="IV36" s="69">
        <v>0</v>
      </c>
      <c r="IW36" s="69">
        <v>18192</v>
      </c>
      <c r="IX36" s="69">
        <v>110</v>
      </c>
      <c r="IY36" s="69">
        <v>63217</v>
      </c>
      <c r="IZ36" s="69">
        <v>67933</v>
      </c>
      <c r="JA36" s="69">
        <v>3594</v>
      </c>
      <c r="JB36" s="69">
        <v>78238</v>
      </c>
      <c r="JC36" s="69">
        <v>0</v>
      </c>
      <c r="JD36" s="69">
        <v>45328</v>
      </c>
      <c r="JE36" s="69">
        <v>0</v>
      </c>
      <c r="JF36" s="69">
        <v>77597</v>
      </c>
      <c r="JG36" s="69">
        <v>34337</v>
      </c>
      <c r="JH36" s="69">
        <v>282</v>
      </c>
      <c r="JI36" s="69">
        <v>13383</v>
      </c>
      <c r="JJ36" s="69">
        <v>349</v>
      </c>
      <c r="JK36" s="69">
        <v>48752</v>
      </c>
      <c r="JL36" s="69">
        <v>51938</v>
      </c>
      <c r="JM36" s="69">
        <v>32727</v>
      </c>
      <c r="JN36" s="69">
        <v>72803</v>
      </c>
      <c r="JO36" s="69">
        <v>0</v>
      </c>
      <c r="JP36" s="69"/>
      <c r="JQ36" s="69"/>
      <c r="JR36" s="69">
        <v>2172408</v>
      </c>
      <c r="JS36" s="69">
        <v>89369</v>
      </c>
      <c r="JT36" s="69">
        <v>825</v>
      </c>
      <c r="JU36" s="69">
        <v>1046282</v>
      </c>
      <c r="JV36" s="69">
        <v>1136145</v>
      </c>
      <c r="JW36" s="69">
        <v>0</v>
      </c>
      <c r="JX36" s="69">
        <v>79857</v>
      </c>
      <c r="JY36" s="69">
        <v>563582</v>
      </c>
      <c r="JZ36" s="69">
        <v>5362</v>
      </c>
      <c r="KA36" s="69">
        <v>345391</v>
      </c>
      <c r="KB36" s="69">
        <v>11532</v>
      </c>
      <c r="KC36" s="69">
        <v>123706</v>
      </c>
      <c r="KD36" s="69">
        <v>1610264</v>
      </c>
      <c r="KE36" s="69">
        <v>105977</v>
      </c>
      <c r="KF36" s="69">
        <v>714806</v>
      </c>
      <c r="KG36" s="69">
        <v>0</v>
      </c>
      <c r="KH36" s="69">
        <v>438070</v>
      </c>
      <c r="KI36" s="69">
        <v>0</v>
      </c>
      <c r="KJ36" s="69">
        <v>623373</v>
      </c>
      <c r="KK36" s="69">
        <v>1085606</v>
      </c>
      <c r="KL36" s="69">
        <v>2612</v>
      </c>
      <c r="KM36" s="69">
        <v>124165</v>
      </c>
      <c r="KN36" s="69">
        <v>2280</v>
      </c>
      <c r="KO36" s="69">
        <v>483769</v>
      </c>
      <c r="KP36" s="69">
        <v>415720</v>
      </c>
      <c r="KQ36" s="69">
        <v>1328257</v>
      </c>
      <c r="KR36" s="69">
        <v>600967</v>
      </c>
      <c r="KS36" s="69">
        <v>0</v>
      </c>
      <c r="KT36" s="69"/>
      <c r="KU36" s="69"/>
      <c r="KV36" s="69">
        <v>12167398</v>
      </c>
      <c r="KW36" s="69"/>
    </row>
    <row r="37" spans="1:309" x14ac:dyDescent="0.25">
      <c r="A37" t="s">
        <v>362</v>
      </c>
      <c r="C37" t="s">
        <v>1088</v>
      </c>
      <c r="D37" t="s">
        <v>1093</v>
      </c>
      <c r="E37" s="2">
        <v>39801.644675925898</v>
      </c>
      <c r="G37" t="s">
        <v>363</v>
      </c>
      <c r="L37">
        <v>0</v>
      </c>
      <c r="M37">
        <v>0</v>
      </c>
      <c r="N37">
        <v>0</v>
      </c>
      <c r="O37">
        <v>18527102</v>
      </c>
      <c r="P37" s="69">
        <v>0</v>
      </c>
      <c r="Q37" s="69">
        <v>200388</v>
      </c>
      <c r="R37">
        <v>0</v>
      </c>
      <c r="S37">
        <v>200388</v>
      </c>
      <c r="T37">
        <v>1341842</v>
      </c>
      <c r="U37">
        <v>926149</v>
      </c>
      <c r="V37">
        <v>1641884</v>
      </c>
      <c r="W37">
        <v>52810</v>
      </c>
      <c r="X37">
        <v>0</v>
      </c>
      <c r="Y37">
        <v>0</v>
      </c>
      <c r="Z37">
        <v>3962685</v>
      </c>
      <c r="AA37">
        <v>1236935</v>
      </c>
      <c r="AB37">
        <v>179427</v>
      </c>
      <c r="AC37">
        <v>352463</v>
      </c>
      <c r="AD37">
        <v>25878</v>
      </c>
      <c r="AE37">
        <v>0</v>
      </c>
      <c r="AF37">
        <v>413725</v>
      </c>
      <c r="AG37">
        <v>2208428</v>
      </c>
      <c r="AH37">
        <v>2578777</v>
      </c>
      <c r="AI37">
        <v>1105576</v>
      </c>
      <c r="AJ37">
        <v>1994347</v>
      </c>
      <c r="AK37">
        <v>78688</v>
      </c>
      <c r="AL37">
        <v>0</v>
      </c>
      <c r="AM37">
        <v>413725</v>
      </c>
      <c r="AN37">
        <v>6171113</v>
      </c>
      <c r="AO37">
        <v>0</v>
      </c>
      <c r="AP37">
        <v>0</v>
      </c>
      <c r="AQ37">
        <v>282221</v>
      </c>
      <c r="AR37">
        <v>0</v>
      </c>
      <c r="AS37">
        <v>282221</v>
      </c>
      <c r="AT37">
        <v>0</v>
      </c>
      <c r="AU37">
        <v>0</v>
      </c>
      <c r="AV37">
        <v>136303</v>
      </c>
      <c r="AW37">
        <v>0</v>
      </c>
      <c r="AX37">
        <v>136303</v>
      </c>
      <c r="AY37">
        <v>0</v>
      </c>
      <c r="AZ37">
        <v>0</v>
      </c>
      <c r="BA37">
        <v>418524</v>
      </c>
      <c r="BB37">
        <v>0</v>
      </c>
      <c r="BC37">
        <v>418524</v>
      </c>
      <c r="BD37">
        <v>366384</v>
      </c>
      <c r="BE37">
        <v>0</v>
      </c>
      <c r="BF37">
        <v>0</v>
      </c>
      <c r="BG37">
        <v>0</v>
      </c>
      <c r="BH37">
        <v>0</v>
      </c>
      <c r="BI37">
        <v>366384</v>
      </c>
      <c r="BJ37">
        <v>0</v>
      </c>
      <c r="BK37">
        <v>0</v>
      </c>
      <c r="BL37">
        <v>98972</v>
      </c>
      <c r="BM37">
        <v>0</v>
      </c>
      <c r="BN37">
        <v>0</v>
      </c>
      <c r="BO37">
        <v>98972</v>
      </c>
      <c r="BP37">
        <v>1821640</v>
      </c>
      <c r="BQ37">
        <v>0</v>
      </c>
      <c r="BR37">
        <v>0</v>
      </c>
      <c r="BS37">
        <v>0</v>
      </c>
      <c r="BT37">
        <v>0</v>
      </c>
      <c r="BU37">
        <v>1821640</v>
      </c>
      <c r="BV37">
        <v>2188024</v>
      </c>
      <c r="BW37">
        <v>0</v>
      </c>
      <c r="BX37">
        <v>98972</v>
      </c>
      <c r="BY37">
        <v>0</v>
      </c>
      <c r="BZ37">
        <v>0</v>
      </c>
      <c r="CA37">
        <v>2286996</v>
      </c>
      <c r="CB37">
        <v>0</v>
      </c>
      <c r="CC37">
        <v>0</v>
      </c>
      <c r="CD37">
        <v>0</v>
      </c>
      <c r="CE37">
        <v>0</v>
      </c>
      <c r="CF37">
        <v>0</v>
      </c>
      <c r="CG37">
        <v>0</v>
      </c>
      <c r="CH37">
        <v>0</v>
      </c>
      <c r="CI37">
        <v>0</v>
      </c>
      <c r="CJ37">
        <v>0</v>
      </c>
      <c r="CK37">
        <v>0</v>
      </c>
      <c r="CL37">
        <v>0</v>
      </c>
      <c r="CM37">
        <v>0</v>
      </c>
      <c r="CN37">
        <v>0</v>
      </c>
      <c r="CO37">
        <v>0</v>
      </c>
      <c r="CP37">
        <v>0</v>
      </c>
      <c r="CQ37">
        <v>0</v>
      </c>
      <c r="CR37">
        <v>3558</v>
      </c>
      <c r="CS37">
        <v>379845</v>
      </c>
      <c r="CT37">
        <v>0</v>
      </c>
      <c r="CU37">
        <v>64304</v>
      </c>
      <c r="CV37">
        <v>4248</v>
      </c>
      <c r="CW37">
        <v>273264</v>
      </c>
      <c r="CX37">
        <v>109184</v>
      </c>
      <c r="CY37">
        <v>0</v>
      </c>
      <c r="CZ37">
        <v>5506</v>
      </c>
      <c r="DA37">
        <v>99165</v>
      </c>
      <c r="DB37">
        <v>0</v>
      </c>
      <c r="DC37">
        <v>137888</v>
      </c>
      <c r="DD37">
        <v>0</v>
      </c>
      <c r="DE37">
        <v>13772</v>
      </c>
      <c r="DF37">
        <v>409632</v>
      </c>
      <c r="DG37">
        <v>75616</v>
      </c>
      <c r="DH37">
        <v>110384</v>
      </c>
      <c r="DI37">
        <v>0</v>
      </c>
      <c r="DJ37">
        <v>110429</v>
      </c>
      <c r="DK37">
        <v>0</v>
      </c>
      <c r="DL37">
        <v>194976</v>
      </c>
      <c r="DM37">
        <v>363664</v>
      </c>
      <c r="DN37">
        <v>0</v>
      </c>
      <c r="DO37">
        <v>0</v>
      </c>
      <c r="DP37">
        <v>1344</v>
      </c>
      <c r="DQ37">
        <v>68016</v>
      </c>
      <c r="DR37">
        <v>26160</v>
      </c>
      <c r="DS37">
        <v>633504</v>
      </c>
      <c r="DT37">
        <v>132276</v>
      </c>
      <c r="DU37">
        <v>0</v>
      </c>
      <c r="DX37" s="69">
        <v>2833332</v>
      </c>
      <c r="DY37" s="69">
        <v>248234</v>
      </c>
      <c r="DZ37" s="69">
        <v>74933</v>
      </c>
      <c r="EA37" s="69">
        <v>686584</v>
      </c>
      <c r="EB37" s="69">
        <v>281942</v>
      </c>
      <c r="EC37" s="69">
        <v>0</v>
      </c>
      <c r="ED37" s="69">
        <v>3463</v>
      </c>
      <c r="EE37" s="69">
        <v>488756</v>
      </c>
      <c r="EF37" s="69">
        <v>0</v>
      </c>
      <c r="EG37" s="69">
        <v>267305</v>
      </c>
      <c r="EH37" s="69">
        <v>0</v>
      </c>
      <c r="EI37" s="69">
        <v>3682</v>
      </c>
      <c r="EJ37" s="69">
        <v>1222356</v>
      </c>
      <c r="EK37" s="69">
        <v>120302</v>
      </c>
      <c r="EL37" s="69">
        <v>477643</v>
      </c>
      <c r="EM37" s="69">
        <v>0</v>
      </c>
      <c r="EN37" s="69">
        <v>397947</v>
      </c>
      <c r="EO37" s="69">
        <v>0</v>
      </c>
      <c r="EP37" s="69">
        <v>465502</v>
      </c>
      <c r="EQ37" s="69">
        <v>831324</v>
      </c>
      <c r="ER37" s="69">
        <v>0</v>
      </c>
      <c r="ES37" s="69">
        <v>0</v>
      </c>
      <c r="ET37" s="69">
        <v>16628</v>
      </c>
      <c r="EU37" s="69">
        <v>277790</v>
      </c>
      <c r="EV37" s="69">
        <v>104096</v>
      </c>
      <c r="EW37" s="69">
        <v>1352668</v>
      </c>
      <c r="EX37" s="69">
        <v>399338</v>
      </c>
      <c r="EY37" s="69">
        <v>0</v>
      </c>
      <c r="EZ37" s="69"/>
      <c r="FA37" s="69"/>
      <c r="FB37" s="69">
        <v>7720493</v>
      </c>
      <c r="FC37" s="69">
        <v>65664</v>
      </c>
      <c r="FD37" s="69">
        <v>7121</v>
      </c>
      <c r="FE37" s="69">
        <v>22945</v>
      </c>
      <c r="FF37" s="69">
        <v>10918</v>
      </c>
      <c r="FG37" s="69">
        <v>0</v>
      </c>
      <c r="FH37" s="69">
        <v>3309</v>
      </c>
      <c r="FI37" s="69">
        <v>11481</v>
      </c>
      <c r="FJ37" s="69">
        <v>0</v>
      </c>
      <c r="FK37" s="69">
        <v>26700</v>
      </c>
      <c r="FL37" s="69">
        <v>0</v>
      </c>
      <c r="FM37" s="69">
        <v>3519</v>
      </c>
      <c r="FN37" s="69">
        <v>60215</v>
      </c>
      <c r="FO37" s="69">
        <v>4797</v>
      </c>
      <c r="FP37" s="69">
        <v>33874</v>
      </c>
      <c r="FQ37" s="69">
        <v>0</v>
      </c>
      <c r="FR37" s="69">
        <v>60403</v>
      </c>
      <c r="FS37" s="69">
        <v>0</v>
      </c>
      <c r="FT37" s="69">
        <v>1504</v>
      </c>
      <c r="FU37" s="69">
        <v>413</v>
      </c>
      <c r="FV37" s="69">
        <v>0</v>
      </c>
      <c r="FW37" s="69">
        <v>0</v>
      </c>
      <c r="FX37" s="69">
        <v>0</v>
      </c>
      <c r="FY37" s="69">
        <v>7251</v>
      </c>
      <c r="FZ37" s="69">
        <v>0</v>
      </c>
      <c r="GA37" s="69">
        <v>0</v>
      </c>
      <c r="GB37" s="69">
        <v>5810</v>
      </c>
      <c r="GC37" s="69">
        <v>0</v>
      </c>
      <c r="GD37" s="69"/>
      <c r="GE37" s="69"/>
      <c r="GF37" s="69">
        <v>325924</v>
      </c>
      <c r="GG37" s="69">
        <v>14818</v>
      </c>
      <c r="GH37" s="69">
        <v>3874</v>
      </c>
      <c r="GI37" s="69">
        <v>33495</v>
      </c>
      <c r="GJ37" s="69">
        <v>13825</v>
      </c>
      <c r="GK37" s="69">
        <v>0</v>
      </c>
      <c r="GL37" s="69">
        <v>320</v>
      </c>
      <c r="GM37" s="69">
        <v>23615</v>
      </c>
      <c r="GN37" s="69">
        <v>0</v>
      </c>
      <c r="GO37" s="69">
        <v>13879</v>
      </c>
      <c r="GP37" s="69">
        <v>0</v>
      </c>
      <c r="GQ37" s="69">
        <v>340</v>
      </c>
      <c r="GR37" s="69">
        <v>60546</v>
      </c>
      <c r="GS37" s="69">
        <v>5906</v>
      </c>
      <c r="GT37" s="69">
        <v>24147</v>
      </c>
      <c r="GU37" s="69">
        <v>0</v>
      </c>
      <c r="GV37" s="69">
        <v>21637</v>
      </c>
      <c r="GW37" s="69">
        <v>0</v>
      </c>
      <c r="GX37" s="69">
        <v>22046</v>
      </c>
      <c r="GY37" s="69">
        <v>39264</v>
      </c>
      <c r="GZ37" s="69">
        <v>0</v>
      </c>
      <c r="HA37" s="69">
        <v>0</v>
      </c>
      <c r="HB37" s="69">
        <v>785</v>
      </c>
      <c r="HC37" s="69">
        <v>13456</v>
      </c>
      <c r="HD37" s="69">
        <v>4914</v>
      </c>
      <c r="HE37" s="69">
        <v>63855</v>
      </c>
      <c r="HF37" s="69">
        <v>19126</v>
      </c>
      <c r="HG37" s="69">
        <v>0</v>
      </c>
      <c r="HH37" s="69"/>
      <c r="HI37" s="69"/>
      <c r="HJ37" s="69">
        <v>379845</v>
      </c>
      <c r="HK37" s="69">
        <v>117003</v>
      </c>
      <c r="HL37" s="69">
        <v>13910</v>
      </c>
      <c r="HM37" s="69">
        <v>85710</v>
      </c>
      <c r="HN37" s="69">
        <v>44173</v>
      </c>
      <c r="HO37" s="69">
        <v>0</v>
      </c>
      <c r="HP37" s="69">
        <v>5292</v>
      </c>
      <c r="HQ37" s="69">
        <v>453249</v>
      </c>
      <c r="HR37" s="69">
        <v>0</v>
      </c>
      <c r="HS37" s="69">
        <v>37339</v>
      </c>
      <c r="HT37" s="69">
        <v>0</v>
      </c>
      <c r="HU37" s="69">
        <v>5628</v>
      </c>
      <c r="HV37" s="69">
        <v>42345</v>
      </c>
      <c r="HW37" s="69">
        <v>15728</v>
      </c>
      <c r="HX37" s="69">
        <v>58963</v>
      </c>
      <c r="HY37" s="69">
        <v>0</v>
      </c>
      <c r="HZ37" s="69">
        <v>89445</v>
      </c>
      <c r="IA37" s="69">
        <v>0</v>
      </c>
      <c r="IB37" s="69">
        <v>71253</v>
      </c>
      <c r="IC37" s="69">
        <v>145988</v>
      </c>
      <c r="ID37" s="69">
        <v>0</v>
      </c>
      <c r="IE37" s="69">
        <v>0</v>
      </c>
      <c r="IF37" s="69">
        <v>201</v>
      </c>
      <c r="IG37" s="69">
        <v>120282</v>
      </c>
      <c r="IH37" s="69">
        <v>4523</v>
      </c>
      <c r="II37" s="69">
        <v>48174</v>
      </c>
      <c r="IJ37" s="69">
        <v>78338</v>
      </c>
      <c r="IK37" s="69">
        <v>0</v>
      </c>
      <c r="IL37" s="69"/>
      <c r="IM37" s="69"/>
      <c r="IN37" s="69">
        <v>1437544</v>
      </c>
      <c r="IO37" s="69">
        <v>197485</v>
      </c>
      <c r="IP37" s="69">
        <v>24905</v>
      </c>
      <c r="IQ37" s="69">
        <v>142150</v>
      </c>
      <c r="IR37" s="69">
        <v>68916</v>
      </c>
      <c r="IS37" s="69">
        <v>0</v>
      </c>
      <c r="IT37" s="69">
        <v>8921</v>
      </c>
      <c r="IU37" s="69">
        <v>488345</v>
      </c>
      <c r="IV37" s="69">
        <v>0</v>
      </c>
      <c r="IW37" s="69">
        <v>77918</v>
      </c>
      <c r="IX37" s="69">
        <v>0</v>
      </c>
      <c r="IY37" s="69">
        <v>9487</v>
      </c>
      <c r="IZ37" s="69">
        <v>163106</v>
      </c>
      <c r="JA37" s="69">
        <v>26431</v>
      </c>
      <c r="JB37" s="69">
        <v>116984</v>
      </c>
      <c r="JC37" s="69">
        <v>0</v>
      </c>
      <c r="JD37" s="69">
        <v>171485</v>
      </c>
      <c r="JE37" s="69">
        <v>0</v>
      </c>
      <c r="JF37" s="69">
        <v>94803</v>
      </c>
      <c r="JG37" s="69">
        <v>185665</v>
      </c>
      <c r="JH37" s="69">
        <v>0</v>
      </c>
      <c r="JI37" s="69">
        <v>0</v>
      </c>
      <c r="JJ37" s="69">
        <v>986</v>
      </c>
      <c r="JK37" s="69">
        <v>140989</v>
      </c>
      <c r="JL37" s="69">
        <v>9437</v>
      </c>
      <c r="JM37" s="69">
        <v>112029</v>
      </c>
      <c r="JN37" s="69">
        <v>103274</v>
      </c>
      <c r="JO37" s="69">
        <v>0</v>
      </c>
      <c r="JP37" s="69"/>
      <c r="JQ37" s="69"/>
      <c r="JR37" s="69">
        <v>2143313</v>
      </c>
      <c r="JS37" s="69">
        <v>445719</v>
      </c>
      <c r="JT37" s="69">
        <v>99838</v>
      </c>
      <c r="JU37" s="69">
        <v>828734</v>
      </c>
      <c r="JV37" s="69">
        <v>350858</v>
      </c>
      <c r="JW37" s="69">
        <v>0</v>
      </c>
      <c r="JX37" s="69">
        <v>12384</v>
      </c>
      <c r="JY37" s="69">
        <v>977101</v>
      </c>
      <c r="JZ37" s="69">
        <v>0</v>
      </c>
      <c r="KA37" s="69">
        <v>345223</v>
      </c>
      <c r="KB37" s="69">
        <v>0</v>
      </c>
      <c r="KC37" s="69">
        <v>13169</v>
      </c>
      <c r="KD37" s="69">
        <v>1385462</v>
      </c>
      <c r="KE37" s="69">
        <v>146733</v>
      </c>
      <c r="KF37" s="69">
        <v>594627</v>
      </c>
      <c r="KG37" s="69">
        <v>0</v>
      </c>
      <c r="KH37" s="69">
        <v>569432</v>
      </c>
      <c r="KI37" s="69">
        <v>0</v>
      </c>
      <c r="KJ37" s="69">
        <v>560305</v>
      </c>
      <c r="KK37" s="69">
        <v>1016989</v>
      </c>
      <c r="KL37" s="69">
        <v>0</v>
      </c>
      <c r="KM37" s="69">
        <v>0</v>
      </c>
      <c r="KN37" s="69">
        <v>17614</v>
      </c>
      <c r="KO37" s="69">
        <v>418779</v>
      </c>
      <c r="KP37" s="69">
        <v>113533</v>
      </c>
      <c r="KQ37" s="69">
        <v>1464697</v>
      </c>
      <c r="KR37" s="69">
        <v>502612</v>
      </c>
      <c r="KS37" s="69">
        <v>0</v>
      </c>
      <c r="KT37" s="69"/>
      <c r="KU37" s="69"/>
      <c r="KV37" s="69">
        <v>9863806</v>
      </c>
      <c r="KW37" s="69"/>
    </row>
    <row r="38" spans="1:309" x14ac:dyDescent="0.25">
      <c r="A38" t="s">
        <v>448</v>
      </c>
      <c r="C38" t="s">
        <v>1088</v>
      </c>
      <c r="D38" t="s">
        <v>1134</v>
      </c>
      <c r="E38" s="2">
        <v>39799.374884259298</v>
      </c>
      <c r="G38" t="s">
        <v>449</v>
      </c>
      <c r="L38">
        <v>0</v>
      </c>
      <c r="M38">
        <v>0</v>
      </c>
      <c r="N38">
        <v>0</v>
      </c>
      <c r="O38">
        <v>10767200</v>
      </c>
      <c r="P38" s="69">
        <v>0</v>
      </c>
      <c r="Q38" s="69">
        <v>178932</v>
      </c>
      <c r="R38">
        <v>0</v>
      </c>
      <c r="S38">
        <v>178932</v>
      </c>
      <c r="T38">
        <v>1156678</v>
      </c>
      <c r="U38">
        <v>490498</v>
      </c>
      <c r="V38">
        <v>684152</v>
      </c>
      <c r="W38">
        <v>0</v>
      </c>
      <c r="X38">
        <v>0</v>
      </c>
      <c r="Y38">
        <v>0</v>
      </c>
      <c r="Z38">
        <v>2331328</v>
      </c>
      <c r="AA38">
        <v>1058793</v>
      </c>
      <c r="AB38">
        <v>96813</v>
      </c>
      <c r="AC38">
        <v>71295</v>
      </c>
      <c r="AD38">
        <v>0</v>
      </c>
      <c r="AE38">
        <v>0</v>
      </c>
      <c r="AF38">
        <v>0</v>
      </c>
      <c r="AG38">
        <v>1226901</v>
      </c>
      <c r="AH38">
        <v>2215471</v>
      </c>
      <c r="AI38">
        <v>587311</v>
      </c>
      <c r="AJ38">
        <v>755447</v>
      </c>
      <c r="AK38">
        <v>0</v>
      </c>
      <c r="AL38">
        <v>0</v>
      </c>
      <c r="AM38">
        <v>0</v>
      </c>
      <c r="AN38">
        <v>3558229</v>
      </c>
      <c r="AO38">
        <v>0</v>
      </c>
      <c r="AP38">
        <v>0</v>
      </c>
      <c r="AQ38">
        <v>50657</v>
      </c>
      <c r="AR38">
        <v>0</v>
      </c>
      <c r="AS38">
        <v>50657</v>
      </c>
      <c r="AT38">
        <v>0</v>
      </c>
      <c r="AU38">
        <v>0</v>
      </c>
      <c r="AV38">
        <v>124005</v>
      </c>
      <c r="AW38">
        <v>0</v>
      </c>
      <c r="AX38">
        <v>124005</v>
      </c>
      <c r="AY38">
        <v>0</v>
      </c>
      <c r="AZ38">
        <v>0</v>
      </c>
      <c r="BA38">
        <v>174662</v>
      </c>
      <c r="BB38">
        <v>0</v>
      </c>
      <c r="BC38">
        <v>174662</v>
      </c>
      <c r="BD38">
        <v>466590</v>
      </c>
      <c r="BE38">
        <v>0</v>
      </c>
      <c r="BF38">
        <v>0</v>
      </c>
      <c r="BG38">
        <v>0</v>
      </c>
      <c r="BH38">
        <v>0</v>
      </c>
      <c r="BI38">
        <v>466590</v>
      </c>
      <c r="BJ38">
        <v>0</v>
      </c>
      <c r="BK38">
        <v>0</v>
      </c>
      <c r="BL38">
        <v>35050</v>
      </c>
      <c r="BM38">
        <v>0</v>
      </c>
      <c r="BN38">
        <v>0</v>
      </c>
      <c r="BO38">
        <v>35050</v>
      </c>
      <c r="BP38">
        <v>852557</v>
      </c>
      <c r="BQ38">
        <v>0</v>
      </c>
      <c r="BR38">
        <v>0</v>
      </c>
      <c r="BS38">
        <v>0</v>
      </c>
      <c r="BT38">
        <v>303947</v>
      </c>
      <c r="BU38">
        <v>1156504</v>
      </c>
      <c r="BV38">
        <v>1319147</v>
      </c>
      <c r="BW38">
        <v>0</v>
      </c>
      <c r="BX38">
        <v>35050</v>
      </c>
      <c r="BY38">
        <v>0</v>
      </c>
      <c r="BZ38">
        <v>303947</v>
      </c>
      <c r="CA38">
        <v>1658144</v>
      </c>
      <c r="CB38">
        <v>0</v>
      </c>
      <c r="CC38">
        <v>0</v>
      </c>
      <c r="CD38">
        <v>0</v>
      </c>
      <c r="CE38">
        <v>0</v>
      </c>
      <c r="CF38">
        <v>0</v>
      </c>
      <c r="CG38">
        <v>0</v>
      </c>
      <c r="CH38">
        <v>0</v>
      </c>
      <c r="CI38">
        <v>0</v>
      </c>
      <c r="CJ38">
        <v>0</v>
      </c>
      <c r="CK38">
        <v>0</v>
      </c>
      <c r="CL38">
        <v>0</v>
      </c>
      <c r="CM38">
        <v>0</v>
      </c>
      <c r="CN38">
        <v>0</v>
      </c>
      <c r="CO38">
        <v>0</v>
      </c>
      <c r="CP38">
        <v>0</v>
      </c>
      <c r="CQ38">
        <v>0</v>
      </c>
      <c r="CR38">
        <v>23154</v>
      </c>
      <c r="CS38">
        <v>356479</v>
      </c>
      <c r="CT38">
        <v>0</v>
      </c>
      <c r="CU38">
        <v>13040</v>
      </c>
      <c r="CV38">
        <v>29392</v>
      </c>
      <c r="CW38">
        <v>154032</v>
      </c>
      <c r="CX38">
        <v>68672</v>
      </c>
      <c r="CY38">
        <v>0</v>
      </c>
      <c r="CZ38">
        <v>2528</v>
      </c>
      <c r="DA38">
        <v>16780</v>
      </c>
      <c r="DB38">
        <v>3016</v>
      </c>
      <c r="DC38">
        <v>44610</v>
      </c>
      <c r="DD38">
        <v>0</v>
      </c>
      <c r="DE38">
        <v>5872</v>
      </c>
      <c r="DF38">
        <v>175312</v>
      </c>
      <c r="DG38">
        <v>7500</v>
      </c>
      <c r="DH38">
        <v>52257</v>
      </c>
      <c r="DI38">
        <v>17888</v>
      </c>
      <c r="DJ38">
        <v>94318</v>
      </c>
      <c r="DK38">
        <v>0</v>
      </c>
      <c r="DL38">
        <v>30944</v>
      </c>
      <c r="DM38">
        <v>105200</v>
      </c>
      <c r="DN38">
        <v>17174</v>
      </c>
      <c r="DO38">
        <v>7627</v>
      </c>
      <c r="DP38">
        <v>408</v>
      </c>
      <c r="DQ38">
        <v>39552</v>
      </c>
      <c r="DR38">
        <v>29444</v>
      </c>
      <c r="DS38">
        <v>184016</v>
      </c>
      <c r="DT38">
        <v>39520</v>
      </c>
      <c r="DU38">
        <v>0</v>
      </c>
      <c r="DX38" s="69">
        <v>1139102</v>
      </c>
      <c r="DY38" s="69">
        <v>94667</v>
      </c>
      <c r="DZ38" s="69">
        <v>103218</v>
      </c>
      <c r="EA38" s="69">
        <v>541021</v>
      </c>
      <c r="EB38" s="69">
        <v>243675</v>
      </c>
      <c r="EC38" s="69">
        <v>0</v>
      </c>
      <c r="ED38" s="69">
        <v>0</v>
      </c>
      <c r="EE38" s="69">
        <v>178550</v>
      </c>
      <c r="EF38" s="69">
        <v>4216</v>
      </c>
      <c r="EG38" s="69">
        <v>81478</v>
      </c>
      <c r="EH38" s="69">
        <v>0</v>
      </c>
      <c r="EI38" s="69">
        <v>0</v>
      </c>
      <c r="EJ38" s="69">
        <v>506515</v>
      </c>
      <c r="EK38" s="69">
        <v>61591</v>
      </c>
      <c r="EL38" s="69">
        <v>333805</v>
      </c>
      <c r="EM38" s="69">
        <v>195182</v>
      </c>
      <c r="EN38" s="69">
        <v>362094</v>
      </c>
      <c r="EO38" s="69">
        <v>0</v>
      </c>
      <c r="EP38" s="69">
        <v>177282</v>
      </c>
      <c r="EQ38" s="69">
        <v>340053</v>
      </c>
      <c r="ER38" s="69">
        <v>67026</v>
      </c>
      <c r="ES38" s="69">
        <v>11804</v>
      </c>
      <c r="ET38" s="69">
        <v>0</v>
      </c>
      <c r="EU38" s="69">
        <v>121969</v>
      </c>
      <c r="EV38" s="69">
        <v>199534</v>
      </c>
      <c r="EW38" s="69">
        <v>476654</v>
      </c>
      <c r="EX38" s="69">
        <v>254005</v>
      </c>
      <c r="EY38" s="69">
        <v>0</v>
      </c>
      <c r="EZ38" s="69"/>
      <c r="FA38" s="69"/>
      <c r="FB38" s="69">
        <v>4354339</v>
      </c>
      <c r="FC38" s="69">
        <v>37136</v>
      </c>
      <c r="FD38" s="69">
        <v>0</v>
      </c>
      <c r="FE38" s="69">
        <v>0</v>
      </c>
      <c r="FF38" s="69">
        <v>0</v>
      </c>
      <c r="FG38" s="69">
        <v>0</v>
      </c>
      <c r="FH38" s="69">
        <v>0</v>
      </c>
      <c r="FI38" s="69">
        <v>0</v>
      </c>
      <c r="FJ38" s="69">
        <v>0</v>
      </c>
      <c r="FK38" s="69">
        <v>0</v>
      </c>
      <c r="FL38" s="69">
        <v>0</v>
      </c>
      <c r="FM38" s="69">
        <v>0</v>
      </c>
      <c r="FN38" s="69">
        <v>0</v>
      </c>
      <c r="FO38" s="69">
        <v>0</v>
      </c>
      <c r="FP38" s="69">
        <v>0</v>
      </c>
      <c r="FQ38" s="69">
        <v>0</v>
      </c>
      <c r="FR38" s="69">
        <v>39439</v>
      </c>
      <c r="FS38" s="69">
        <v>0</v>
      </c>
      <c r="FT38" s="69">
        <v>0</v>
      </c>
      <c r="FU38" s="69">
        <v>0</v>
      </c>
      <c r="FV38" s="69">
        <v>0</v>
      </c>
      <c r="FW38" s="69">
        <v>59942</v>
      </c>
      <c r="FX38" s="69">
        <v>0</v>
      </c>
      <c r="FY38" s="69">
        <v>0</v>
      </c>
      <c r="FZ38" s="69">
        <v>0</v>
      </c>
      <c r="GA38" s="69">
        <v>0</v>
      </c>
      <c r="GB38" s="69">
        <v>0</v>
      </c>
      <c r="GC38" s="69">
        <v>254688</v>
      </c>
      <c r="GD38" s="69"/>
      <c r="GE38" s="69"/>
      <c r="GF38" s="69">
        <v>391205</v>
      </c>
      <c r="GG38" s="69">
        <v>9901</v>
      </c>
      <c r="GH38" s="69">
        <v>7754</v>
      </c>
      <c r="GI38" s="69">
        <v>40641</v>
      </c>
      <c r="GJ38" s="69">
        <v>18305</v>
      </c>
      <c r="GK38" s="69">
        <v>0</v>
      </c>
      <c r="GL38" s="69">
        <v>0</v>
      </c>
      <c r="GM38" s="69">
        <v>13412</v>
      </c>
      <c r="GN38" s="69">
        <v>317</v>
      </c>
      <c r="GO38" s="69">
        <v>6121</v>
      </c>
      <c r="GP38" s="69">
        <v>0</v>
      </c>
      <c r="GQ38" s="69">
        <v>0</v>
      </c>
      <c r="GR38" s="69">
        <v>38049</v>
      </c>
      <c r="GS38" s="69">
        <v>4627</v>
      </c>
      <c r="GT38" s="69">
        <v>25075</v>
      </c>
      <c r="GU38" s="69">
        <v>14662</v>
      </c>
      <c r="GV38" s="69">
        <v>30163</v>
      </c>
      <c r="GW38" s="69">
        <v>0</v>
      </c>
      <c r="GX38" s="69">
        <v>13317</v>
      </c>
      <c r="GY38" s="69">
        <v>25544</v>
      </c>
      <c r="GZ38" s="69">
        <v>5035</v>
      </c>
      <c r="HA38" s="69">
        <v>5389</v>
      </c>
      <c r="HB38" s="69">
        <v>0</v>
      </c>
      <c r="HC38" s="69">
        <v>9162</v>
      </c>
      <c r="HD38" s="69">
        <v>14989</v>
      </c>
      <c r="HE38" s="69">
        <v>35806</v>
      </c>
      <c r="HF38" s="69">
        <v>19081</v>
      </c>
      <c r="HG38" s="69">
        <v>19132</v>
      </c>
      <c r="HH38" s="69"/>
      <c r="HI38" s="69"/>
      <c r="HJ38" s="69">
        <v>356479</v>
      </c>
      <c r="HK38" s="69">
        <v>26369</v>
      </c>
      <c r="HL38" s="69">
        <v>15893</v>
      </c>
      <c r="HM38" s="69">
        <v>37815</v>
      </c>
      <c r="HN38" s="69">
        <v>4428</v>
      </c>
      <c r="HO38" s="69">
        <v>0</v>
      </c>
      <c r="HP38" s="69">
        <v>26266</v>
      </c>
      <c r="HQ38" s="69">
        <v>1911</v>
      </c>
      <c r="HR38" s="69">
        <v>6704</v>
      </c>
      <c r="HS38" s="69">
        <v>9451</v>
      </c>
      <c r="HT38" s="69">
        <v>0</v>
      </c>
      <c r="HU38" s="69">
        <v>0</v>
      </c>
      <c r="HV38" s="69">
        <v>30099</v>
      </c>
      <c r="HW38" s="69">
        <v>2106</v>
      </c>
      <c r="HX38" s="69">
        <v>24342</v>
      </c>
      <c r="HY38" s="69">
        <v>18817</v>
      </c>
      <c r="HZ38" s="69">
        <v>53505</v>
      </c>
      <c r="IA38" s="69">
        <v>0</v>
      </c>
      <c r="IB38" s="69">
        <v>10483</v>
      </c>
      <c r="IC38" s="69">
        <v>5981</v>
      </c>
      <c r="ID38" s="69">
        <v>6450</v>
      </c>
      <c r="IE38" s="69">
        <v>39904</v>
      </c>
      <c r="IF38" s="69">
        <v>0</v>
      </c>
      <c r="IG38" s="69">
        <v>2621</v>
      </c>
      <c r="IH38" s="69">
        <v>11188</v>
      </c>
      <c r="II38" s="69">
        <v>16302</v>
      </c>
      <c r="IJ38" s="69">
        <v>13014</v>
      </c>
      <c r="IK38" s="69">
        <v>35508</v>
      </c>
      <c r="IL38" s="69"/>
      <c r="IM38" s="69"/>
      <c r="IN38" s="69">
        <v>399157</v>
      </c>
      <c r="IO38" s="69">
        <v>73406</v>
      </c>
      <c r="IP38" s="69">
        <v>23647</v>
      </c>
      <c r="IQ38" s="69">
        <v>78456</v>
      </c>
      <c r="IR38" s="69">
        <v>22733</v>
      </c>
      <c r="IS38" s="69">
        <v>0</v>
      </c>
      <c r="IT38" s="69">
        <v>26266</v>
      </c>
      <c r="IU38" s="69">
        <v>15323</v>
      </c>
      <c r="IV38" s="69">
        <v>7021</v>
      </c>
      <c r="IW38" s="69">
        <v>15572</v>
      </c>
      <c r="IX38" s="69">
        <v>0</v>
      </c>
      <c r="IY38" s="69">
        <v>0</v>
      </c>
      <c r="IZ38" s="69">
        <v>68148</v>
      </c>
      <c r="JA38" s="69">
        <v>6733</v>
      </c>
      <c r="JB38" s="69">
        <v>49417</v>
      </c>
      <c r="JC38" s="69">
        <v>33479</v>
      </c>
      <c r="JD38" s="69">
        <v>123107</v>
      </c>
      <c r="JE38" s="69">
        <v>0</v>
      </c>
      <c r="JF38" s="69">
        <v>23800</v>
      </c>
      <c r="JG38" s="69">
        <v>31525</v>
      </c>
      <c r="JH38" s="69">
        <v>11485</v>
      </c>
      <c r="JI38" s="69">
        <v>105235</v>
      </c>
      <c r="JJ38" s="69">
        <v>0</v>
      </c>
      <c r="JK38" s="69">
        <v>11783</v>
      </c>
      <c r="JL38" s="69">
        <v>26177</v>
      </c>
      <c r="JM38" s="69">
        <v>52108</v>
      </c>
      <c r="JN38" s="69">
        <v>32095</v>
      </c>
      <c r="JO38" s="69">
        <v>309328</v>
      </c>
      <c r="JP38" s="69"/>
      <c r="JQ38" s="69"/>
      <c r="JR38" s="69">
        <v>1146841</v>
      </c>
      <c r="JS38" s="69">
        <v>168073</v>
      </c>
      <c r="JT38" s="69">
        <v>126865</v>
      </c>
      <c r="JU38" s="69">
        <v>619477</v>
      </c>
      <c r="JV38" s="69">
        <v>266408</v>
      </c>
      <c r="JW38" s="69">
        <v>0</v>
      </c>
      <c r="JX38" s="69">
        <v>26266</v>
      </c>
      <c r="JY38" s="69">
        <v>193873</v>
      </c>
      <c r="JZ38" s="69">
        <v>11237</v>
      </c>
      <c r="KA38" s="69">
        <v>97050</v>
      </c>
      <c r="KB38" s="69">
        <v>0</v>
      </c>
      <c r="KC38" s="69">
        <v>0</v>
      </c>
      <c r="KD38" s="69">
        <v>574663</v>
      </c>
      <c r="KE38" s="69">
        <v>68324</v>
      </c>
      <c r="KF38" s="69">
        <v>383222</v>
      </c>
      <c r="KG38" s="69">
        <v>228661</v>
      </c>
      <c r="KH38" s="69">
        <v>485201</v>
      </c>
      <c r="KI38" s="69">
        <v>0</v>
      </c>
      <c r="KJ38" s="69">
        <v>201082</v>
      </c>
      <c r="KK38" s="69">
        <v>371578</v>
      </c>
      <c r="KL38" s="69">
        <v>78511</v>
      </c>
      <c r="KM38" s="69">
        <v>117039</v>
      </c>
      <c r="KN38" s="69">
        <v>0</v>
      </c>
      <c r="KO38" s="69">
        <v>133752</v>
      </c>
      <c r="KP38" s="69">
        <v>225711</v>
      </c>
      <c r="KQ38" s="69">
        <v>528762</v>
      </c>
      <c r="KR38" s="69">
        <v>286100</v>
      </c>
      <c r="KS38" s="69">
        <v>309328</v>
      </c>
      <c r="KT38" s="69"/>
      <c r="KU38" s="69"/>
      <c r="KV38" s="69">
        <v>5501180</v>
      </c>
      <c r="KW38" s="69"/>
    </row>
    <row r="39" spans="1:309" x14ac:dyDescent="0.25">
      <c r="A39" t="s">
        <v>386</v>
      </c>
      <c r="C39" t="s">
        <v>1088</v>
      </c>
      <c r="D39" t="s">
        <v>1104</v>
      </c>
      <c r="E39" s="2">
        <v>39806.735000000001</v>
      </c>
      <c r="G39" t="s">
        <v>387</v>
      </c>
      <c r="L39">
        <v>0</v>
      </c>
      <c r="M39">
        <v>0</v>
      </c>
      <c r="N39">
        <v>0</v>
      </c>
      <c r="O39">
        <v>24521242</v>
      </c>
      <c r="P39" s="69">
        <v>0</v>
      </c>
      <c r="Q39" s="69">
        <v>778145</v>
      </c>
      <c r="R39">
        <v>0</v>
      </c>
      <c r="S39">
        <v>778145</v>
      </c>
      <c r="T39">
        <v>2003418</v>
      </c>
      <c r="U39">
        <v>1538754</v>
      </c>
      <c r="V39">
        <v>1645845</v>
      </c>
      <c r="W39">
        <v>0</v>
      </c>
      <c r="X39">
        <v>0</v>
      </c>
      <c r="Y39">
        <v>0</v>
      </c>
      <c r="Z39">
        <v>5188017</v>
      </c>
      <c r="AA39">
        <v>1497193</v>
      </c>
      <c r="AB39">
        <v>454194</v>
      </c>
      <c r="AC39">
        <v>637707</v>
      </c>
      <c r="AD39">
        <v>0</v>
      </c>
      <c r="AE39">
        <v>566045</v>
      </c>
      <c r="AF39">
        <v>447728</v>
      </c>
      <c r="AG39">
        <v>3602867</v>
      </c>
      <c r="AH39">
        <v>3500611</v>
      </c>
      <c r="AI39">
        <v>1992948</v>
      </c>
      <c r="AJ39">
        <v>2283552</v>
      </c>
      <c r="AK39">
        <v>0</v>
      </c>
      <c r="AL39">
        <v>566045</v>
      </c>
      <c r="AM39">
        <v>447728</v>
      </c>
      <c r="AN39">
        <v>8790884</v>
      </c>
      <c r="AO39">
        <v>97124</v>
      </c>
      <c r="AP39">
        <v>0</v>
      </c>
      <c r="AQ39">
        <v>678821</v>
      </c>
      <c r="AR39">
        <v>0</v>
      </c>
      <c r="AS39">
        <v>775945</v>
      </c>
      <c r="AT39">
        <v>43412</v>
      </c>
      <c r="AU39">
        <v>0</v>
      </c>
      <c r="AV39">
        <v>133804</v>
      </c>
      <c r="AW39">
        <v>0</v>
      </c>
      <c r="AX39">
        <v>177216</v>
      </c>
      <c r="AY39">
        <v>140536</v>
      </c>
      <c r="AZ39">
        <v>0</v>
      </c>
      <c r="BA39">
        <v>812625</v>
      </c>
      <c r="BB39">
        <v>0</v>
      </c>
      <c r="BC39">
        <v>953161</v>
      </c>
      <c r="BD39">
        <v>883126</v>
      </c>
      <c r="BE39">
        <v>0</v>
      </c>
      <c r="BF39">
        <v>0</v>
      </c>
      <c r="BG39">
        <v>0</v>
      </c>
      <c r="BH39">
        <v>0</v>
      </c>
      <c r="BI39">
        <v>883126</v>
      </c>
      <c r="BJ39">
        <v>0</v>
      </c>
      <c r="BK39">
        <v>0</v>
      </c>
      <c r="BL39">
        <v>204472</v>
      </c>
      <c r="BM39">
        <v>0</v>
      </c>
      <c r="BN39">
        <v>0</v>
      </c>
      <c r="BO39">
        <v>204472</v>
      </c>
      <c r="BP39">
        <v>2560888</v>
      </c>
      <c r="BQ39">
        <v>982687</v>
      </c>
      <c r="BR39">
        <v>0</v>
      </c>
      <c r="BS39">
        <v>0</v>
      </c>
      <c r="BT39">
        <v>0</v>
      </c>
      <c r="BU39">
        <v>3543575</v>
      </c>
      <c r="BV39">
        <v>3444014</v>
      </c>
      <c r="BW39">
        <v>982687</v>
      </c>
      <c r="BX39">
        <v>204472</v>
      </c>
      <c r="BY39">
        <v>0</v>
      </c>
      <c r="BZ39">
        <v>0</v>
      </c>
      <c r="CA39">
        <v>4631173</v>
      </c>
      <c r="CB39">
        <v>0</v>
      </c>
      <c r="CC39">
        <v>0</v>
      </c>
      <c r="CD39">
        <v>0</v>
      </c>
      <c r="CE39">
        <v>0</v>
      </c>
      <c r="CF39">
        <v>0</v>
      </c>
      <c r="CG39">
        <v>0</v>
      </c>
      <c r="CH39">
        <v>0</v>
      </c>
      <c r="CI39">
        <v>0</v>
      </c>
      <c r="CJ39">
        <v>0</v>
      </c>
      <c r="CK39">
        <v>0</v>
      </c>
      <c r="CL39">
        <v>0</v>
      </c>
      <c r="CM39">
        <v>0</v>
      </c>
      <c r="CN39">
        <v>0</v>
      </c>
      <c r="CO39">
        <v>0</v>
      </c>
      <c r="CP39">
        <v>0</v>
      </c>
      <c r="CQ39">
        <v>0</v>
      </c>
      <c r="CR39">
        <v>3596</v>
      </c>
      <c r="CS39">
        <v>595093</v>
      </c>
      <c r="CT39">
        <v>0</v>
      </c>
      <c r="CU39">
        <v>7768</v>
      </c>
      <c r="CV39">
        <v>58080</v>
      </c>
      <c r="CW39">
        <v>178032</v>
      </c>
      <c r="CX39">
        <v>125857</v>
      </c>
      <c r="CY39">
        <v>0</v>
      </c>
      <c r="CZ39">
        <v>54929</v>
      </c>
      <c r="DA39">
        <v>49927</v>
      </c>
      <c r="DB39">
        <v>36204</v>
      </c>
      <c r="DC39">
        <v>142555</v>
      </c>
      <c r="DD39">
        <v>0</v>
      </c>
      <c r="DE39">
        <v>91088</v>
      </c>
      <c r="DF39">
        <v>247428</v>
      </c>
      <c r="DG39">
        <v>14080</v>
      </c>
      <c r="DH39">
        <v>129514</v>
      </c>
      <c r="DI39">
        <v>0</v>
      </c>
      <c r="DJ39">
        <v>126957</v>
      </c>
      <c r="DK39">
        <v>3200</v>
      </c>
      <c r="DL39">
        <v>47145</v>
      </c>
      <c r="DM39">
        <v>198024</v>
      </c>
      <c r="DN39">
        <v>28800</v>
      </c>
      <c r="DO39">
        <v>34496</v>
      </c>
      <c r="DP39">
        <v>2912</v>
      </c>
      <c r="DQ39">
        <v>84160</v>
      </c>
      <c r="DR39">
        <v>72903</v>
      </c>
      <c r="DS39">
        <v>279744</v>
      </c>
      <c r="DT39">
        <v>96764</v>
      </c>
      <c r="DU39">
        <v>0</v>
      </c>
      <c r="DX39" s="69">
        <v>2110567</v>
      </c>
      <c r="DY39" s="69">
        <v>51777</v>
      </c>
      <c r="DZ39" s="69">
        <v>101138</v>
      </c>
      <c r="EA39" s="69">
        <v>514310</v>
      </c>
      <c r="EB39" s="69">
        <v>439312</v>
      </c>
      <c r="EC39" s="69">
        <v>0</v>
      </c>
      <c r="ED39" s="69">
        <v>22952</v>
      </c>
      <c r="EE39" s="69">
        <v>165542</v>
      </c>
      <c r="EF39" s="69">
        <v>34190</v>
      </c>
      <c r="EG39" s="69">
        <v>528864</v>
      </c>
      <c r="EH39" s="69">
        <v>0</v>
      </c>
      <c r="EI39" s="69">
        <v>252763</v>
      </c>
      <c r="EJ39" s="69">
        <v>992950</v>
      </c>
      <c r="EK39" s="69">
        <v>51675</v>
      </c>
      <c r="EL39" s="69">
        <v>772738</v>
      </c>
      <c r="EM39" s="69">
        <v>0</v>
      </c>
      <c r="EN39" s="69">
        <v>697586</v>
      </c>
      <c r="EO39" s="69">
        <v>55678</v>
      </c>
      <c r="EP39" s="69">
        <v>227260</v>
      </c>
      <c r="EQ39" s="69">
        <v>645428</v>
      </c>
      <c r="ER39" s="69">
        <v>67105</v>
      </c>
      <c r="ES39" s="69">
        <v>111819</v>
      </c>
      <c r="ET39" s="69">
        <v>5739</v>
      </c>
      <c r="EU39" s="69">
        <v>321800</v>
      </c>
      <c r="EV39" s="69">
        <v>295850</v>
      </c>
      <c r="EW39" s="69">
        <v>862158</v>
      </c>
      <c r="EX39" s="69">
        <v>495112</v>
      </c>
      <c r="EY39" s="69">
        <v>0</v>
      </c>
      <c r="EZ39" s="69"/>
      <c r="FA39" s="69"/>
      <c r="FB39" s="69">
        <v>7713746</v>
      </c>
      <c r="FC39" s="69">
        <v>0</v>
      </c>
      <c r="FD39" s="69">
        <v>0</v>
      </c>
      <c r="FE39" s="69">
        <v>20552</v>
      </c>
      <c r="FF39" s="69">
        <v>4999</v>
      </c>
      <c r="FG39" s="69">
        <v>0</v>
      </c>
      <c r="FH39" s="69">
        <v>409</v>
      </c>
      <c r="FI39" s="69">
        <v>1710</v>
      </c>
      <c r="FJ39" s="69">
        <v>0</v>
      </c>
      <c r="FK39" s="69">
        <v>28194</v>
      </c>
      <c r="FL39" s="69">
        <v>0</v>
      </c>
      <c r="FM39" s="69">
        <v>17623</v>
      </c>
      <c r="FN39" s="69">
        <v>6025</v>
      </c>
      <c r="FO39" s="69">
        <v>1330</v>
      </c>
      <c r="FP39" s="69">
        <v>21839</v>
      </c>
      <c r="FQ39" s="69">
        <v>0</v>
      </c>
      <c r="FR39" s="69">
        <v>13191</v>
      </c>
      <c r="FS39" s="69">
        <v>0</v>
      </c>
      <c r="FT39" s="69">
        <v>16744</v>
      </c>
      <c r="FU39" s="69">
        <v>47034</v>
      </c>
      <c r="FV39" s="69">
        <v>5484</v>
      </c>
      <c r="FW39" s="69">
        <v>1324</v>
      </c>
      <c r="FX39" s="69">
        <v>256</v>
      </c>
      <c r="FY39" s="69">
        <v>72859</v>
      </c>
      <c r="FZ39" s="69">
        <v>12609</v>
      </c>
      <c r="GA39" s="69">
        <v>2641</v>
      </c>
      <c r="GB39" s="69">
        <v>12963</v>
      </c>
      <c r="GC39" s="69">
        <v>0</v>
      </c>
      <c r="GD39" s="69"/>
      <c r="GE39" s="69"/>
      <c r="GF39" s="69">
        <v>287786</v>
      </c>
      <c r="GG39" s="69">
        <v>3851</v>
      </c>
      <c r="GH39" s="69">
        <v>7522</v>
      </c>
      <c r="GI39" s="69">
        <v>39779</v>
      </c>
      <c r="GJ39" s="69">
        <v>33044</v>
      </c>
      <c r="GK39" s="69">
        <v>0</v>
      </c>
      <c r="GL39" s="69">
        <v>1737</v>
      </c>
      <c r="GM39" s="69">
        <v>12439</v>
      </c>
      <c r="GN39" s="69">
        <v>2543</v>
      </c>
      <c r="GO39" s="69">
        <v>41430</v>
      </c>
      <c r="GP39" s="69">
        <v>0</v>
      </c>
      <c r="GQ39" s="69">
        <v>20109</v>
      </c>
      <c r="GR39" s="69">
        <v>74296</v>
      </c>
      <c r="GS39" s="69">
        <v>3942</v>
      </c>
      <c r="GT39" s="69">
        <v>59095</v>
      </c>
      <c r="GU39" s="69">
        <v>0</v>
      </c>
      <c r="GV39" s="69">
        <v>52862</v>
      </c>
      <c r="GW39" s="69">
        <v>4141</v>
      </c>
      <c r="GX39" s="69">
        <v>18147</v>
      </c>
      <c r="GY39" s="69">
        <v>51500</v>
      </c>
      <c r="GZ39" s="69">
        <v>5399</v>
      </c>
      <c r="HA39" s="69">
        <v>8415</v>
      </c>
      <c r="HB39" s="69">
        <v>446</v>
      </c>
      <c r="HC39" s="69">
        <v>29352</v>
      </c>
      <c r="HD39" s="69">
        <v>22941</v>
      </c>
      <c r="HE39" s="69">
        <v>64317</v>
      </c>
      <c r="HF39" s="69">
        <v>37787</v>
      </c>
      <c r="HG39" s="69">
        <v>0</v>
      </c>
      <c r="HH39" s="69"/>
      <c r="HI39" s="69"/>
      <c r="HJ39" s="69">
        <v>595093</v>
      </c>
      <c r="HK39" s="69">
        <v>4314</v>
      </c>
      <c r="HL39" s="69">
        <v>43676</v>
      </c>
      <c r="HM39" s="69">
        <v>65928</v>
      </c>
      <c r="HN39" s="69">
        <v>23152</v>
      </c>
      <c r="HO39" s="69">
        <v>0</v>
      </c>
      <c r="HP39" s="69">
        <v>2516</v>
      </c>
      <c r="HQ39" s="69">
        <v>32318</v>
      </c>
      <c r="HR39" s="69">
        <v>2151</v>
      </c>
      <c r="HS39" s="69">
        <v>126143</v>
      </c>
      <c r="HT39" s="69">
        <v>0</v>
      </c>
      <c r="HU39" s="69">
        <v>39878</v>
      </c>
      <c r="HV39" s="69">
        <v>44724</v>
      </c>
      <c r="HW39" s="69">
        <v>5521</v>
      </c>
      <c r="HX39" s="69">
        <v>134007</v>
      </c>
      <c r="HY39" s="69">
        <v>0</v>
      </c>
      <c r="HZ39" s="69">
        <v>102784</v>
      </c>
      <c r="IA39" s="69">
        <v>2717</v>
      </c>
      <c r="IB39" s="69">
        <v>27094</v>
      </c>
      <c r="IC39" s="69">
        <v>45413</v>
      </c>
      <c r="ID39" s="69">
        <v>81206</v>
      </c>
      <c r="IE39" s="69">
        <v>190382</v>
      </c>
      <c r="IF39" s="69">
        <v>1609</v>
      </c>
      <c r="IG39" s="69">
        <v>15500</v>
      </c>
      <c r="IH39" s="69">
        <v>108874</v>
      </c>
      <c r="II39" s="69">
        <v>41948</v>
      </c>
      <c r="IJ39" s="69">
        <v>77127</v>
      </c>
      <c r="IK39" s="69">
        <v>0</v>
      </c>
      <c r="IL39" s="69"/>
      <c r="IM39" s="69"/>
      <c r="IN39" s="69">
        <v>1218982</v>
      </c>
      <c r="IO39" s="69">
        <v>8165</v>
      </c>
      <c r="IP39" s="69">
        <v>51198</v>
      </c>
      <c r="IQ39" s="69">
        <v>126259</v>
      </c>
      <c r="IR39" s="69">
        <v>61195</v>
      </c>
      <c r="IS39" s="69">
        <v>0</v>
      </c>
      <c r="IT39" s="69">
        <v>4662</v>
      </c>
      <c r="IU39" s="69">
        <v>46467</v>
      </c>
      <c r="IV39" s="69">
        <v>4694</v>
      </c>
      <c r="IW39" s="69">
        <v>195767</v>
      </c>
      <c r="IX39" s="69">
        <v>0</v>
      </c>
      <c r="IY39" s="69">
        <v>77610</v>
      </c>
      <c r="IZ39" s="69">
        <v>125045</v>
      </c>
      <c r="JA39" s="69">
        <v>10793</v>
      </c>
      <c r="JB39" s="69">
        <v>214941</v>
      </c>
      <c r="JC39" s="69">
        <v>0</v>
      </c>
      <c r="JD39" s="69">
        <v>168837</v>
      </c>
      <c r="JE39" s="69">
        <v>6858</v>
      </c>
      <c r="JF39" s="69">
        <v>61985</v>
      </c>
      <c r="JG39" s="69">
        <v>143947</v>
      </c>
      <c r="JH39" s="69">
        <v>92089</v>
      </c>
      <c r="JI39" s="69">
        <v>200121</v>
      </c>
      <c r="JJ39" s="69">
        <v>2311</v>
      </c>
      <c r="JK39" s="69">
        <v>117711</v>
      </c>
      <c r="JL39" s="69">
        <v>144424</v>
      </c>
      <c r="JM39" s="69">
        <v>108906</v>
      </c>
      <c r="JN39" s="69">
        <v>127877</v>
      </c>
      <c r="JO39" s="69">
        <v>0</v>
      </c>
      <c r="JP39" s="69"/>
      <c r="JQ39" s="69"/>
      <c r="JR39" s="69">
        <v>2101861</v>
      </c>
      <c r="JS39" s="69">
        <v>59942</v>
      </c>
      <c r="JT39" s="69">
        <v>152336</v>
      </c>
      <c r="JU39" s="69">
        <v>640569</v>
      </c>
      <c r="JV39" s="69">
        <v>500507</v>
      </c>
      <c r="JW39" s="69">
        <v>0</v>
      </c>
      <c r="JX39" s="69">
        <v>27614</v>
      </c>
      <c r="JY39" s="69">
        <v>212009</v>
      </c>
      <c r="JZ39" s="69">
        <v>38884</v>
      </c>
      <c r="KA39" s="69">
        <v>724631</v>
      </c>
      <c r="KB39" s="69">
        <v>0</v>
      </c>
      <c r="KC39" s="69">
        <v>330373</v>
      </c>
      <c r="KD39" s="69">
        <v>1117995</v>
      </c>
      <c r="KE39" s="69">
        <v>62468</v>
      </c>
      <c r="KF39" s="69">
        <v>987679</v>
      </c>
      <c r="KG39" s="69">
        <v>0</v>
      </c>
      <c r="KH39" s="69">
        <v>866423</v>
      </c>
      <c r="KI39" s="69">
        <v>62536</v>
      </c>
      <c r="KJ39" s="69">
        <v>289245</v>
      </c>
      <c r="KK39" s="69">
        <v>789375</v>
      </c>
      <c r="KL39" s="69">
        <v>159194</v>
      </c>
      <c r="KM39" s="69">
        <v>311940</v>
      </c>
      <c r="KN39" s="69">
        <v>8050</v>
      </c>
      <c r="KO39" s="69">
        <v>439511</v>
      </c>
      <c r="KP39" s="69">
        <v>440274</v>
      </c>
      <c r="KQ39" s="69">
        <v>971064</v>
      </c>
      <c r="KR39" s="69">
        <v>622989</v>
      </c>
      <c r="KS39" s="69">
        <v>0</v>
      </c>
      <c r="KT39" s="69"/>
      <c r="KU39" s="69"/>
      <c r="KV39" s="69">
        <v>9815607</v>
      </c>
      <c r="KW39" s="69"/>
    </row>
    <row r="40" spans="1:309" x14ac:dyDescent="0.25">
      <c r="A40" t="s">
        <v>388</v>
      </c>
      <c r="C40" t="s">
        <v>1088</v>
      </c>
      <c r="D40" t="s">
        <v>1105</v>
      </c>
      <c r="E40" s="2">
        <v>39797.430324074099</v>
      </c>
      <c r="G40" t="s">
        <v>389</v>
      </c>
      <c r="L40">
        <v>0</v>
      </c>
      <c r="M40">
        <v>0</v>
      </c>
      <c r="N40">
        <v>0</v>
      </c>
      <c r="O40">
        <v>10261287</v>
      </c>
      <c r="P40" s="69">
        <v>0</v>
      </c>
      <c r="Q40" s="69">
        <v>270661</v>
      </c>
      <c r="R40">
        <v>0</v>
      </c>
      <c r="S40">
        <v>270661</v>
      </c>
      <c r="T40">
        <v>712807</v>
      </c>
      <c r="U40">
        <v>613587</v>
      </c>
      <c r="V40">
        <v>1063015</v>
      </c>
      <c r="W40">
        <v>0</v>
      </c>
      <c r="X40">
        <v>0</v>
      </c>
      <c r="Y40">
        <v>0</v>
      </c>
      <c r="Z40">
        <v>2389409</v>
      </c>
      <c r="AA40">
        <v>766776</v>
      </c>
      <c r="AB40">
        <v>167901</v>
      </c>
      <c r="AC40">
        <v>405180</v>
      </c>
      <c r="AD40">
        <v>0</v>
      </c>
      <c r="AE40">
        <v>0</v>
      </c>
      <c r="AF40">
        <v>210260</v>
      </c>
      <c r="AG40">
        <v>1550117</v>
      </c>
      <c r="AH40">
        <v>1479583</v>
      </c>
      <c r="AI40">
        <v>781488</v>
      </c>
      <c r="AJ40">
        <v>1468195</v>
      </c>
      <c r="AK40">
        <v>0</v>
      </c>
      <c r="AL40">
        <v>0</v>
      </c>
      <c r="AM40">
        <v>210260</v>
      </c>
      <c r="AN40">
        <v>3939526</v>
      </c>
      <c r="AO40">
        <v>0</v>
      </c>
      <c r="AP40">
        <v>0</v>
      </c>
      <c r="AQ40">
        <v>0</v>
      </c>
      <c r="AR40">
        <v>0</v>
      </c>
      <c r="AS40">
        <v>0</v>
      </c>
      <c r="AT40">
        <v>0</v>
      </c>
      <c r="AU40">
        <v>0</v>
      </c>
      <c r="AV40">
        <v>0</v>
      </c>
      <c r="AW40">
        <v>43950</v>
      </c>
      <c r="AX40">
        <v>0</v>
      </c>
      <c r="AY40">
        <v>0</v>
      </c>
      <c r="AZ40">
        <v>0</v>
      </c>
      <c r="BA40">
        <v>0</v>
      </c>
      <c r="BB40">
        <v>0</v>
      </c>
      <c r="BC40">
        <v>0</v>
      </c>
      <c r="BD40">
        <v>237226</v>
      </c>
      <c r="BE40">
        <v>0</v>
      </c>
      <c r="BF40">
        <v>0</v>
      </c>
      <c r="BG40">
        <v>0</v>
      </c>
      <c r="BH40">
        <v>0</v>
      </c>
      <c r="BI40">
        <v>237226</v>
      </c>
      <c r="BJ40">
        <v>0</v>
      </c>
      <c r="BK40">
        <v>0</v>
      </c>
      <c r="BL40">
        <v>54280</v>
      </c>
      <c r="BM40">
        <v>0</v>
      </c>
      <c r="BN40">
        <v>0</v>
      </c>
      <c r="BO40">
        <v>54280</v>
      </c>
      <c r="BP40">
        <v>1194955</v>
      </c>
      <c r="BQ40">
        <v>0</v>
      </c>
      <c r="BR40">
        <v>0</v>
      </c>
      <c r="BS40">
        <v>0</v>
      </c>
      <c r="BT40">
        <v>0</v>
      </c>
      <c r="BU40">
        <v>1194955</v>
      </c>
      <c r="BV40">
        <v>1432181</v>
      </c>
      <c r="BW40">
        <v>0</v>
      </c>
      <c r="BX40">
        <v>54280</v>
      </c>
      <c r="BY40">
        <v>0</v>
      </c>
      <c r="BZ40">
        <v>0</v>
      </c>
      <c r="CA40">
        <v>1486461</v>
      </c>
      <c r="CB40">
        <v>0</v>
      </c>
      <c r="CC40">
        <v>0</v>
      </c>
      <c r="CD40">
        <v>0</v>
      </c>
      <c r="CE40">
        <v>0</v>
      </c>
      <c r="CF40">
        <v>0</v>
      </c>
      <c r="CG40">
        <v>0</v>
      </c>
      <c r="CH40">
        <v>0</v>
      </c>
      <c r="CI40">
        <v>0</v>
      </c>
      <c r="CJ40">
        <v>0</v>
      </c>
      <c r="CK40">
        <v>0</v>
      </c>
      <c r="CL40">
        <v>0</v>
      </c>
      <c r="CM40">
        <v>0</v>
      </c>
      <c r="CN40">
        <v>0</v>
      </c>
      <c r="CO40">
        <v>0</v>
      </c>
      <c r="CP40">
        <v>0</v>
      </c>
      <c r="CQ40">
        <v>0</v>
      </c>
      <c r="CR40">
        <v>3600</v>
      </c>
      <c r="CS40">
        <v>324813</v>
      </c>
      <c r="CT40">
        <v>0</v>
      </c>
      <c r="CU40">
        <v>8821</v>
      </c>
      <c r="CV40">
        <v>20241</v>
      </c>
      <c r="CW40">
        <v>103712</v>
      </c>
      <c r="CX40">
        <v>44470</v>
      </c>
      <c r="CY40">
        <v>0</v>
      </c>
      <c r="CZ40">
        <v>3902</v>
      </c>
      <c r="DA40">
        <v>29901</v>
      </c>
      <c r="DB40">
        <v>3584</v>
      </c>
      <c r="DC40">
        <v>84789</v>
      </c>
      <c r="DD40">
        <v>0</v>
      </c>
      <c r="DE40">
        <v>24833</v>
      </c>
      <c r="DF40">
        <v>101555</v>
      </c>
      <c r="DG40">
        <v>7256</v>
      </c>
      <c r="DH40">
        <v>97469</v>
      </c>
      <c r="DI40">
        <v>0</v>
      </c>
      <c r="DJ40">
        <v>70186</v>
      </c>
      <c r="DK40">
        <v>0</v>
      </c>
      <c r="DL40">
        <v>103764</v>
      </c>
      <c r="DM40">
        <v>56610</v>
      </c>
      <c r="DN40">
        <v>0</v>
      </c>
      <c r="DO40">
        <v>0</v>
      </c>
      <c r="DP40">
        <v>336</v>
      </c>
      <c r="DQ40">
        <v>42690</v>
      </c>
      <c r="DR40">
        <v>3072</v>
      </c>
      <c r="DS40">
        <v>108592</v>
      </c>
      <c r="DT40">
        <v>64504</v>
      </c>
      <c r="DU40">
        <v>0</v>
      </c>
      <c r="DX40" s="69">
        <v>980287</v>
      </c>
      <c r="DY40" s="69">
        <v>9302</v>
      </c>
      <c r="DZ40" s="69">
        <v>113963</v>
      </c>
      <c r="EA40" s="69">
        <v>350095</v>
      </c>
      <c r="EB40" s="69">
        <v>150825</v>
      </c>
      <c r="EC40" s="69">
        <v>0</v>
      </c>
      <c r="ED40" s="69">
        <v>41321</v>
      </c>
      <c r="EE40" s="69">
        <v>294864</v>
      </c>
      <c r="EF40" s="69">
        <v>3960</v>
      </c>
      <c r="EG40" s="69">
        <v>186188</v>
      </c>
      <c r="EH40" s="69">
        <v>0</v>
      </c>
      <c r="EI40" s="69">
        <v>102566</v>
      </c>
      <c r="EJ40" s="69">
        <v>344064</v>
      </c>
      <c r="EK40" s="69">
        <v>45672</v>
      </c>
      <c r="EL40" s="69">
        <v>529142</v>
      </c>
      <c r="EM40" s="69">
        <v>0</v>
      </c>
      <c r="EN40" s="69">
        <v>229314</v>
      </c>
      <c r="EO40" s="69">
        <v>0</v>
      </c>
      <c r="EP40" s="69">
        <v>310712</v>
      </c>
      <c r="EQ40" s="69">
        <v>308625</v>
      </c>
      <c r="ER40" s="69">
        <v>0</v>
      </c>
      <c r="ES40" s="69">
        <v>0</v>
      </c>
      <c r="ET40" s="69">
        <v>2508</v>
      </c>
      <c r="EU40" s="69">
        <v>168765</v>
      </c>
      <c r="EV40" s="69">
        <v>5677</v>
      </c>
      <c r="EW40" s="69">
        <v>279099</v>
      </c>
      <c r="EX40" s="69">
        <v>261769</v>
      </c>
      <c r="EY40" s="69">
        <v>0</v>
      </c>
      <c r="EZ40" s="69"/>
      <c r="FA40" s="69"/>
      <c r="FB40" s="69">
        <v>3738431</v>
      </c>
      <c r="FC40" s="69">
        <v>760</v>
      </c>
      <c r="FD40" s="69">
        <v>2707</v>
      </c>
      <c r="FE40" s="69">
        <v>2064</v>
      </c>
      <c r="FF40" s="69">
        <v>8843</v>
      </c>
      <c r="FG40" s="69">
        <v>0</v>
      </c>
      <c r="FH40" s="69">
        <v>90</v>
      </c>
      <c r="FI40" s="69">
        <v>2542</v>
      </c>
      <c r="FJ40" s="69">
        <v>482</v>
      </c>
      <c r="FK40" s="69">
        <v>2499</v>
      </c>
      <c r="FL40" s="69">
        <v>0</v>
      </c>
      <c r="FM40" s="69">
        <v>21451</v>
      </c>
      <c r="FN40" s="69">
        <v>4594</v>
      </c>
      <c r="FO40" s="69">
        <v>48</v>
      </c>
      <c r="FP40" s="69">
        <v>40935</v>
      </c>
      <c r="FQ40" s="69">
        <v>0</v>
      </c>
      <c r="FR40" s="69">
        <v>23808</v>
      </c>
      <c r="FS40" s="69">
        <v>0</v>
      </c>
      <c r="FT40" s="69">
        <v>6936</v>
      </c>
      <c r="FU40" s="69">
        <v>3544</v>
      </c>
      <c r="FV40" s="69">
        <v>0</v>
      </c>
      <c r="FW40" s="69">
        <v>0</v>
      </c>
      <c r="FX40" s="69">
        <v>305</v>
      </c>
      <c r="FY40" s="69">
        <v>228</v>
      </c>
      <c r="FZ40" s="69">
        <v>120</v>
      </c>
      <c r="GA40" s="69">
        <v>7216</v>
      </c>
      <c r="GB40" s="69">
        <v>2646</v>
      </c>
      <c r="GC40" s="69">
        <v>0</v>
      </c>
      <c r="GD40" s="69"/>
      <c r="GE40" s="69"/>
      <c r="GF40" s="69">
        <v>131818</v>
      </c>
      <c r="GG40" s="69">
        <v>844</v>
      </c>
      <c r="GH40" s="69">
        <v>9792</v>
      </c>
      <c r="GI40" s="69">
        <v>29555</v>
      </c>
      <c r="GJ40" s="69">
        <v>13400</v>
      </c>
      <c r="GK40" s="69">
        <v>0</v>
      </c>
      <c r="GL40" s="69">
        <v>3475</v>
      </c>
      <c r="GM40" s="69">
        <v>24960</v>
      </c>
      <c r="GN40" s="69">
        <v>373</v>
      </c>
      <c r="GO40" s="69">
        <v>15836</v>
      </c>
      <c r="GP40" s="69">
        <v>0</v>
      </c>
      <c r="GQ40" s="69">
        <v>10408</v>
      </c>
      <c r="GR40" s="69">
        <v>29261</v>
      </c>
      <c r="GS40" s="69">
        <v>3837</v>
      </c>
      <c r="GT40" s="69">
        <v>47844</v>
      </c>
      <c r="GU40" s="69">
        <v>0</v>
      </c>
      <c r="GV40" s="69">
        <v>21243</v>
      </c>
      <c r="GW40" s="69">
        <v>0</v>
      </c>
      <c r="GX40" s="69">
        <v>26659</v>
      </c>
      <c r="GY40" s="69">
        <v>26199</v>
      </c>
      <c r="GZ40" s="69">
        <v>0</v>
      </c>
      <c r="HA40" s="69">
        <v>0</v>
      </c>
      <c r="HB40" s="69">
        <v>236</v>
      </c>
      <c r="HC40" s="69">
        <v>14183</v>
      </c>
      <c r="HD40" s="69">
        <v>487</v>
      </c>
      <c r="HE40" s="69">
        <v>24029</v>
      </c>
      <c r="HF40" s="69">
        <v>22191</v>
      </c>
      <c r="HG40" s="69">
        <v>0</v>
      </c>
      <c r="HH40" s="69"/>
      <c r="HI40" s="69"/>
      <c r="HJ40" s="69">
        <v>324813</v>
      </c>
      <c r="HK40" s="69">
        <v>8241</v>
      </c>
      <c r="HL40" s="69">
        <v>63068</v>
      </c>
      <c r="HM40" s="69">
        <v>61119</v>
      </c>
      <c r="HN40" s="69">
        <v>13319</v>
      </c>
      <c r="HO40" s="69">
        <v>0</v>
      </c>
      <c r="HP40" s="69">
        <v>6667</v>
      </c>
      <c r="HQ40" s="69">
        <v>23646</v>
      </c>
      <c r="HR40" s="69">
        <v>9027</v>
      </c>
      <c r="HS40" s="69">
        <v>30431</v>
      </c>
      <c r="HT40" s="69">
        <v>0</v>
      </c>
      <c r="HU40" s="69">
        <v>131642</v>
      </c>
      <c r="HV40" s="69">
        <v>19918</v>
      </c>
      <c r="HW40" s="69">
        <v>3841</v>
      </c>
      <c r="HX40" s="69">
        <v>27743</v>
      </c>
      <c r="HY40" s="69">
        <v>0</v>
      </c>
      <c r="HZ40" s="69">
        <v>40374</v>
      </c>
      <c r="IA40" s="69">
        <v>0</v>
      </c>
      <c r="IB40" s="69">
        <v>33942</v>
      </c>
      <c r="IC40" s="69">
        <v>17700</v>
      </c>
      <c r="ID40" s="69">
        <v>0</v>
      </c>
      <c r="IE40" s="69">
        <v>0</v>
      </c>
      <c r="IF40" s="69">
        <v>5717</v>
      </c>
      <c r="IG40" s="69">
        <v>7055</v>
      </c>
      <c r="IH40" s="69">
        <v>207</v>
      </c>
      <c r="II40" s="69">
        <v>21665</v>
      </c>
      <c r="IJ40" s="69">
        <v>54515</v>
      </c>
      <c r="IK40" s="69">
        <v>0</v>
      </c>
      <c r="IL40" s="69"/>
      <c r="IM40" s="69"/>
      <c r="IN40" s="69">
        <v>579837</v>
      </c>
      <c r="IO40" s="69">
        <v>9845</v>
      </c>
      <c r="IP40" s="69">
        <v>75567</v>
      </c>
      <c r="IQ40" s="69">
        <v>92738</v>
      </c>
      <c r="IR40" s="69">
        <v>35562</v>
      </c>
      <c r="IS40" s="69">
        <v>0</v>
      </c>
      <c r="IT40" s="69">
        <v>10232</v>
      </c>
      <c r="IU40" s="69">
        <v>51148</v>
      </c>
      <c r="IV40" s="69">
        <v>9882</v>
      </c>
      <c r="IW40" s="69">
        <v>48766</v>
      </c>
      <c r="IX40" s="69">
        <v>0</v>
      </c>
      <c r="IY40" s="69">
        <v>163501</v>
      </c>
      <c r="IZ40" s="69">
        <v>53773</v>
      </c>
      <c r="JA40" s="69">
        <v>7726</v>
      </c>
      <c r="JB40" s="69">
        <v>116522</v>
      </c>
      <c r="JC40" s="69">
        <v>0</v>
      </c>
      <c r="JD40" s="69">
        <v>85425</v>
      </c>
      <c r="JE40" s="69">
        <v>0</v>
      </c>
      <c r="JF40" s="69">
        <v>67537</v>
      </c>
      <c r="JG40" s="69">
        <v>47443</v>
      </c>
      <c r="JH40" s="69">
        <v>0</v>
      </c>
      <c r="JI40" s="69">
        <v>0</v>
      </c>
      <c r="JJ40" s="69">
        <v>6258</v>
      </c>
      <c r="JK40" s="69">
        <v>21466</v>
      </c>
      <c r="JL40" s="69">
        <v>814</v>
      </c>
      <c r="JM40" s="69">
        <v>52910</v>
      </c>
      <c r="JN40" s="69">
        <v>79352</v>
      </c>
      <c r="JO40" s="69">
        <v>0</v>
      </c>
      <c r="JP40" s="69"/>
      <c r="JQ40" s="69"/>
      <c r="JR40" s="69">
        <v>1036468</v>
      </c>
      <c r="JS40" s="69">
        <v>19147</v>
      </c>
      <c r="JT40" s="69">
        <v>189530</v>
      </c>
      <c r="JU40" s="69">
        <v>442833</v>
      </c>
      <c r="JV40" s="69">
        <v>186387</v>
      </c>
      <c r="JW40" s="69">
        <v>0</v>
      </c>
      <c r="JX40" s="69">
        <v>51553</v>
      </c>
      <c r="JY40" s="69">
        <v>346012</v>
      </c>
      <c r="JZ40" s="69">
        <v>13842</v>
      </c>
      <c r="KA40" s="69">
        <v>234954</v>
      </c>
      <c r="KB40" s="69">
        <v>0</v>
      </c>
      <c r="KC40" s="69">
        <v>266067</v>
      </c>
      <c r="KD40" s="69">
        <v>397837</v>
      </c>
      <c r="KE40" s="69">
        <v>53398</v>
      </c>
      <c r="KF40" s="69">
        <v>645664</v>
      </c>
      <c r="KG40" s="69">
        <v>0</v>
      </c>
      <c r="KH40" s="69">
        <v>314739</v>
      </c>
      <c r="KI40" s="69">
        <v>0</v>
      </c>
      <c r="KJ40" s="69">
        <v>378249</v>
      </c>
      <c r="KK40" s="69">
        <v>356068</v>
      </c>
      <c r="KL40" s="69">
        <v>0</v>
      </c>
      <c r="KM40" s="69">
        <v>0</v>
      </c>
      <c r="KN40" s="69">
        <v>8766</v>
      </c>
      <c r="KO40" s="69">
        <v>190231</v>
      </c>
      <c r="KP40" s="69">
        <v>6491</v>
      </c>
      <c r="KQ40" s="69">
        <v>332009</v>
      </c>
      <c r="KR40" s="69">
        <v>341121</v>
      </c>
      <c r="KS40" s="69">
        <v>0</v>
      </c>
      <c r="KT40" s="69"/>
      <c r="KU40" s="69"/>
      <c r="KV40" s="69">
        <v>4774899</v>
      </c>
      <c r="KW40" s="69"/>
    </row>
    <row r="41" spans="1:309" x14ac:dyDescent="0.25">
      <c r="A41" t="s">
        <v>390</v>
      </c>
      <c r="C41" t="s">
        <v>1088</v>
      </c>
      <c r="D41" t="s">
        <v>1106</v>
      </c>
      <c r="E41" s="2">
        <v>39793.5485416667</v>
      </c>
      <c r="G41" t="s">
        <v>391</v>
      </c>
      <c r="L41">
        <v>0</v>
      </c>
      <c r="M41">
        <v>0</v>
      </c>
      <c r="N41">
        <v>0</v>
      </c>
      <c r="O41">
        <v>14450612</v>
      </c>
      <c r="P41" s="69">
        <v>0</v>
      </c>
      <c r="Q41" s="69">
        <v>336484</v>
      </c>
      <c r="R41">
        <v>0</v>
      </c>
      <c r="S41">
        <v>336484</v>
      </c>
      <c r="T41">
        <v>1204413</v>
      </c>
      <c r="U41">
        <v>944626</v>
      </c>
      <c r="V41">
        <v>794399</v>
      </c>
      <c r="W41">
        <v>0</v>
      </c>
      <c r="X41">
        <v>0</v>
      </c>
      <c r="Y41">
        <v>0</v>
      </c>
      <c r="Z41">
        <v>2943438</v>
      </c>
      <c r="AA41">
        <v>1019471</v>
      </c>
      <c r="AB41">
        <v>213726</v>
      </c>
      <c r="AC41">
        <v>192656</v>
      </c>
      <c r="AD41">
        <v>0</v>
      </c>
      <c r="AE41">
        <v>0</v>
      </c>
      <c r="AF41">
        <v>0</v>
      </c>
      <c r="AG41">
        <v>1425853</v>
      </c>
      <c r="AH41">
        <v>2223884</v>
      </c>
      <c r="AI41">
        <v>1158352</v>
      </c>
      <c r="AJ41">
        <v>987055</v>
      </c>
      <c r="AK41">
        <v>0</v>
      </c>
      <c r="AL41">
        <v>0</v>
      </c>
      <c r="AM41">
        <v>0</v>
      </c>
      <c r="AN41">
        <v>4369291</v>
      </c>
      <c r="AO41">
        <v>100080</v>
      </c>
      <c r="AP41">
        <v>0</v>
      </c>
      <c r="AQ41">
        <v>0</v>
      </c>
      <c r="AR41">
        <v>0</v>
      </c>
      <c r="AS41">
        <v>100080</v>
      </c>
      <c r="AT41">
        <v>51048</v>
      </c>
      <c r="AU41">
        <v>0</v>
      </c>
      <c r="AV41">
        <v>0</v>
      </c>
      <c r="AW41">
        <v>0</v>
      </c>
      <c r="AX41">
        <v>51048</v>
      </c>
      <c r="AY41">
        <v>151128</v>
      </c>
      <c r="AZ41">
        <v>0</v>
      </c>
      <c r="BA41">
        <v>0</v>
      </c>
      <c r="BB41">
        <v>0</v>
      </c>
      <c r="BC41">
        <v>151128</v>
      </c>
      <c r="BD41">
        <v>777002</v>
      </c>
      <c r="BE41">
        <v>0</v>
      </c>
      <c r="BF41">
        <v>0</v>
      </c>
      <c r="BG41">
        <v>0</v>
      </c>
      <c r="BH41">
        <v>0</v>
      </c>
      <c r="BI41">
        <v>777002</v>
      </c>
      <c r="BJ41">
        <v>0</v>
      </c>
      <c r="BK41">
        <v>0</v>
      </c>
      <c r="BL41">
        <v>213642</v>
      </c>
      <c r="BM41">
        <v>0</v>
      </c>
      <c r="BN41">
        <v>0</v>
      </c>
      <c r="BO41">
        <v>213642</v>
      </c>
      <c r="BP41">
        <v>566380</v>
      </c>
      <c r="BQ41">
        <v>75380</v>
      </c>
      <c r="BR41">
        <v>0</v>
      </c>
      <c r="BS41">
        <v>0</v>
      </c>
      <c r="BT41">
        <v>147168</v>
      </c>
      <c r="BU41">
        <v>788928</v>
      </c>
      <c r="BV41">
        <v>1343382</v>
      </c>
      <c r="BW41">
        <v>75380</v>
      </c>
      <c r="BX41">
        <v>213642</v>
      </c>
      <c r="BY41">
        <v>0</v>
      </c>
      <c r="BZ41">
        <v>147168</v>
      </c>
      <c r="CA41">
        <v>1779572</v>
      </c>
      <c r="CB41">
        <v>0</v>
      </c>
      <c r="CC41">
        <v>0</v>
      </c>
      <c r="CD41">
        <v>0</v>
      </c>
      <c r="CE41">
        <v>0</v>
      </c>
      <c r="CF41">
        <v>0</v>
      </c>
      <c r="CG41">
        <v>0</v>
      </c>
      <c r="CH41">
        <v>0</v>
      </c>
      <c r="CI41">
        <v>0</v>
      </c>
      <c r="CJ41">
        <v>0</v>
      </c>
      <c r="CK41">
        <v>0</v>
      </c>
      <c r="CL41">
        <v>0</v>
      </c>
      <c r="CM41">
        <v>0</v>
      </c>
      <c r="CN41">
        <v>0</v>
      </c>
      <c r="CO41">
        <v>0</v>
      </c>
      <c r="CP41">
        <v>0</v>
      </c>
      <c r="CQ41">
        <v>0</v>
      </c>
      <c r="CR41">
        <v>3601</v>
      </c>
      <c r="CS41">
        <v>715804</v>
      </c>
      <c r="CT41">
        <v>0</v>
      </c>
      <c r="CU41">
        <v>4304</v>
      </c>
      <c r="CV41">
        <v>181404</v>
      </c>
      <c r="CW41">
        <v>277952</v>
      </c>
      <c r="CX41">
        <v>98931</v>
      </c>
      <c r="CY41">
        <v>0</v>
      </c>
      <c r="CZ41">
        <v>4989</v>
      </c>
      <c r="DA41">
        <v>91371</v>
      </c>
      <c r="DB41">
        <v>64</v>
      </c>
      <c r="DC41">
        <v>62802</v>
      </c>
      <c r="DD41">
        <v>0</v>
      </c>
      <c r="DE41">
        <v>103092</v>
      </c>
      <c r="DF41">
        <v>333440</v>
      </c>
      <c r="DG41">
        <v>42560</v>
      </c>
      <c r="DH41">
        <v>58224</v>
      </c>
      <c r="DI41">
        <v>0</v>
      </c>
      <c r="DJ41">
        <v>102709</v>
      </c>
      <c r="DK41">
        <v>0</v>
      </c>
      <c r="DL41">
        <v>78197</v>
      </c>
      <c r="DM41">
        <v>355424</v>
      </c>
      <c r="DN41">
        <v>0</v>
      </c>
      <c r="DO41">
        <v>15600</v>
      </c>
      <c r="DP41">
        <v>1432</v>
      </c>
      <c r="DQ41">
        <v>85344</v>
      </c>
      <c r="DR41">
        <v>30048</v>
      </c>
      <c r="DS41">
        <v>301728</v>
      </c>
      <c r="DT41">
        <v>102912</v>
      </c>
      <c r="DU41">
        <v>0</v>
      </c>
      <c r="DX41" s="69">
        <v>2332527</v>
      </c>
      <c r="DY41" s="69">
        <v>41804</v>
      </c>
      <c r="DZ41" s="69">
        <v>597218</v>
      </c>
      <c r="EA41" s="69">
        <v>552265</v>
      </c>
      <c r="EB41" s="69">
        <v>281799</v>
      </c>
      <c r="EC41" s="69">
        <v>0</v>
      </c>
      <c r="ED41" s="69">
        <v>32604</v>
      </c>
      <c r="EE41" s="69">
        <v>245017</v>
      </c>
      <c r="EF41" s="69">
        <v>37</v>
      </c>
      <c r="EG41" s="69">
        <v>92890</v>
      </c>
      <c r="EH41" s="69">
        <v>0</v>
      </c>
      <c r="EI41" s="69">
        <v>213021</v>
      </c>
      <c r="EJ41" s="69">
        <v>914683</v>
      </c>
      <c r="EK41" s="69">
        <v>105864</v>
      </c>
      <c r="EL41" s="69">
        <v>446300</v>
      </c>
      <c r="EM41" s="69">
        <v>0</v>
      </c>
      <c r="EN41" s="69">
        <v>257194</v>
      </c>
      <c r="EO41" s="69">
        <v>0</v>
      </c>
      <c r="EP41" s="69">
        <v>347157</v>
      </c>
      <c r="EQ41" s="69">
        <v>670221</v>
      </c>
      <c r="ER41" s="69">
        <v>0</v>
      </c>
      <c r="ES41" s="69">
        <v>8995</v>
      </c>
      <c r="ET41" s="69">
        <v>51</v>
      </c>
      <c r="EU41" s="69">
        <v>248668</v>
      </c>
      <c r="EV41" s="69">
        <v>76395</v>
      </c>
      <c r="EW41" s="69">
        <v>801030</v>
      </c>
      <c r="EX41" s="69">
        <v>313216</v>
      </c>
      <c r="EY41" s="69">
        <v>0</v>
      </c>
      <c r="EZ41" s="69"/>
      <c r="FA41" s="69"/>
      <c r="FB41" s="69">
        <v>6246429</v>
      </c>
      <c r="FC41" s="69">
        <v>0</v>
      </c>
      <c r="FD41" s="69">
        <v>3888</v>
      </c>
      <c r="FE41" s="69">
        <v>0</v>
      </c>
      <c r="FF41" s="69">
        <v>13788</v>
      </c>
      <c r="FG41" s="69">
        <v>0</v>
      </c>
      <c r="FH41" s="69">
        <v>91</v>
      </c>
      <c r="FI41" s="69">
        <v>18023</v>
      </c>
      <c r="FJ41" s="69">
        <v>129</v>
      </c>
      <c r="FK41" s="69">
        <v>11758</v>
      </c>
      <c r="FL41" s="69">
        <v>0</v>
      </c>
      <c r="FM41" s="69">
        <v>2488</v>
      </c>
      <c r="FN41" s="69">
        <v>17179</v>
      </c>
      <c r="FO41" s="69">
        <v>3285</v>
      </c>
      <c r="FP41" s="69">
        <v>13943</v>
      </c>
      <c r="FQ41" s="69">
        <v>0</v>
      </c>
      <c r="FR41" s="69">
        <v>55204</v>
      </c>
      <c r="FS41" s="69">
        <v>0</v>
      </c>
      <c r="FT41" s="69">
        <v>930</v>
      </c>
      <c r="FU41" s="69">
        <v>0</v>
      </c>
      <c r="FV41" s="69">
        <v>0</v>
      </c>
      <c r="FW41" s="69">
        <v>31397</v>
      </c>
      <c r="FX41" s="69">
        <v>177</v>
      </c>
      <c r="FY41" s="69">
        <v>32072</v>
      </c>
      <c r="FZ41" s="69">
        <v>0</v>
      </c>
      <c r="GA41" s="69">
        <v>0</v>
      </c>
      <c r="GB41" s="69">
        <v>41612</v>
      </c>
      <c r="GC41" s="69">
        <v>0</v>
      </c>
      <c r="GD41" s="69"/>
      <c r="GE41" s="69"/>
      <c r="GF41" s="69">
        <v>245964</v>
      </c>
      <c r="GG41" s="69">
        <v>4609</v>
      </c>
      <c r="GH41" s="69">
        <v>66274</v>
      </c>
      <c r="GI41" s="69">
        <v>60889</v>
      </c>
      <c r="GJ41" s="69">
        <v>32589</v>
      </c>
      <c r="GK41" s="69">
        <v>0</v>
      </c>
      <c r="GL41" s="69">
        <v>3605</v>
      </c>
      <c r="GM41" s="69">
        <v>29001</v>
      </c>
      <c r="GN41" s="69">
        <v>18</v>
      </c>
      <c r="GO41" s="69">
        <v>11538</v>
      </c>
      <c r="GP41" s="69">
        <v>0</v>
      </c>
      <c r="GQ41" s="69">
        <v>23760</v>
      </c>
      <c r="GR41" s="69">
        <v>102740</v>
      </c>
      <c r="GS41" s="69">
        <v>12034</v>
      </c>
      <c r="GT41" s="69">
        <v>50743</v>
      </c>
      <c r="GU41" s="69">
        <v>0</v>
      </c>
      <c r="GV41" s="69">
        <v>34443</v>
      </c>
      <c r="GW41" s="69">
        <v>0</v>
      </c>
      <c r="GX41" s="69">
        <v>38378</v>
      </c>
      <c r="GY41" s="69">
        <v>73894</v>
      </c>
      <c r="GZ41" s="69">
        <v>0</v>
      </c>
      <c r="HA41" s="69">
        <v>4453</v>
      </c>
      <c r="HB41" s="69">
        <v>25</v>
      </c>
      <c r="HC41" s="69">
        <v>30952</v>
      </c>
      <c r="HD41" s="69">
        <v>8423</v>
      </c>
      <c r="HE41" s="69">
        <v>88316</v>
      </c>
      <c r="HF41" s="69">
        <v>39121</v>
      </c>
      <c r="HG41" s="69">
        <v>0</v>
      </c>
      <c r="HH41" s="69"/>
      <c r="HI41" s="69"/>
      <c r="HJ41" s="69">
        <v>715804</v>
      </c>
      <c r="HK41" s="69">
        <v>7437</v>
      </c>
      <c r="HL41" s="69">
        <v>129079</v>
      </c>
      <c r="HM41" s="69">
        <v>35034</v>
      </c>
      <c r="HN41" s="69">
        <v>21614</v>
      </c>
      <c r="HO41" s="69">
        <v>0</v>
      </c>
      <c r="HP41" s="69">
        <v>8716</v>
      </c>
      <c r="HQ41" s="69">
        <v>22993</v>
      </c>
      <c r="HR41" s="69">
        <v>124</v>
      </c>
      <c r="HS41" s="69">
        <v>24575</v>
      </c>
      <c r="HT41" s="69">
        <v>0</v>
      </c>
      <c r="HU41" s="69">
        <v>39288</v>
      </c>
      <c r="HV41" s="69">
        <v>24311</v>
      </c>
      <c r="HW41" s="69">
        <v>4729</v>
      </c>
      <c r="HX41" s="69">
        <v>48683</v>
      </c>
      <c r="HY41" s="69">
        <v>0</v>
      </c>
      <c r="HZ41" s="69">
        <v>78696</v>
      </c>
      <c r="IA41" s="69">
        <v>0</v>
      </c>
      <c r="IB41" s="69">
        <v>20896</v>
      </c>
      <c r="IC41" s="69">
        <v>18366</v>
      </c>
      <c r="ID41" s="69">
        <v>0</v>
      </c>
      <c r="IE41" s="69">
        <v>155292</v>
      </c>
      <c r="IF41" s="69">
        <v>170</v>
      </c>
      <c r="IG41" s="69">
        <v>32209</v>
      </c>
      <c r="IH41" s="69">
        <v>4326</v>
      </c>
      <c r="II41" s="69">
        <v>9509</v>
      </c>
      <c r="IJ41" s="69">
        <v>82914</v>
      </c>
      <c r="IK41" s="69">
        <v>-15853</v>
      </c>
      <c r="IL41" s="69"/>
      <c r="IM41" s="69"/>
      <c r="IN41" s="69">
        <v>753108</v>
      </c>
      <c r="IO41" s="69">
        <v>12046</v>
      </c>
      <c r="IP41" s="69">
        <v>199241</v>
      </c>
      <c r="IQ41" s="69">
        <v>95923</v>
      </c>
      <c r="IR41" s="69">
        <v>67991</v>
      </c>
      <c r="IS41" s="69">
        <v>0</v>
      </c>
      <c r="IT41" s="69">
        <v>12412</v>
      </c>
      <c r="IU41" s="69">
        <v>70017</v>
      </c>
      <c r="IV41" s="69">
        <v>271</v>
      </c>
      <c r="IW41" s="69">
        <v>47871</v>
      </c>
      <c r="IX41" s="69">
        <v>0</v>
      </c>
      <c r="IY41" s="69">
        <v>65536</v>
      </c>
      <c r="IZ41" s="69">
        <v>144230</v>
      </c>
      <c r="JA41" s="69">
        <v>20048</v>
      </c>
      <c r="JB41" s="69">
        <v>113369</v>
      </c>
      <c r="JC41" s="69">
        <v>0</v>
      </c>
      <c r="JD41" s="69">
        <v>168343</v>
      </c>
      <c r="JE41" s="69">
        <v>0</v>
      </c>
      <c r="JF41" s="69">
        <v>60204</v>
      </c>
      <c r="JG41" s="69">
        <v>92260</v>
      </c>
      <c r="JH41" s="69">
        <v>0</v>
      </c>
      <c r="JI41" s="69">
        <v>191142</v>
      </c>
      <c r="JJ41" s="69">
        <v>372</v>
      </c>
      <c r="JK41" s="69">
        <v>95233</v>
      </c>
      <c r="JL41" s="69">
        <v>12749</v>
      </c>
      <c r="JM41" s="69">
        <v>97825</v>
      </c>
      <c r="JN41" s="69">
        <v>163647</v>
      </c>
      <c r="JO41" s="69">
        <v>-15853</v>
      </c>
      <c r="JP41" s="69"/>
      <c r="JQ41" s="69"/>
      <c r="JR41" s="69">
        <v>1714876</v>
      </c>
      <c r="JS41" s="69">
        <v>53850</v>
      </c>
      <c r="JT41" s="69">
        <v>796459</v>
      </c>
      <c r="JU41" s="69">
        <v>648188</v>
      </c>
      <c r="JV41" s="69">
        <v>349790</v>
      </c>
      <c r="JW41" s="69">
        <v>0</v>
      </c>
      <c r="JX41" s="69">
        <v>45016</v>
      </c>
      <c r="JY41" s="69">
        <v>315034</v>
      </c>
      <c r="JZ41" s="69">
        <v>308</v>
      </c>
      <c r="KA41" s="69">
        <v>140761</v>
      </c>
      <c r="KB41" s="69">
        <v>0</v>
      </c>
      <c r="KC41" s="69">
        <v>278557</v>
      </c>
      <c r="KD41" s="69">
        <v>1058913</v>
      </c>
      <c r="KE41" s="69">
        <v>125912</v>
      </c>
      <c r="KF41" s="69">
        <v>559669</v>
      </c>
      <c r="KG41" s="69">
        <v>0</v>
      </c>
      <c r="KH41" s="69">
        <v>425537</v>
      </c>
      <c r="KI41" s="69">
        <v>0</v>
      </c>
      <c r="KJ41" s="69">
        <v>407361</v>
      </c>
      <c r="KK41" s="69">
        <v>762481</v>
      </c>
      <c r="KL41" s="69">
        <v>0</v>
      </c>
      <c r="KM41" s="69">
        <v>200137</v>
      </c>
      <c r="KN41" s="69">
        <v>423</v>
      </c>
      <c r="KO41" s="69">
        <v>343901</v>
      </c>
      <c r="KP41" s="69">
        <v>89144</v>
      </c>
      <c r="KQ41" s="69">
        <v>898855</v>
      </c>
      <c r="KR41" s="69">
        <v>476863</v>
      </c>
      <c r="KS41" s="69">
        <v>-15853</v>
      </c>
      <c r="KT41" s="69"/>
      <c r="KU41" s="69"/>
      <c r="KV41" s="69">
        <v>7961305</v>
      </c>
      <c r="KW41" s="69"/>
    </row>
    <row r="42" spans="1:309" x14ac:dyDescent="0.25">
      <c r="A42" t="s">
        <v>392</v>
      </c>
      <c r="C42" t="s">
        <v>1088</v>
      </c>
      <c r="D42" t="s">
        <v>1107</v>
      </c>
      <c r="E42" s="2">
        <v>39797.567870370403</v>
      </c>
      <c r="G42" t="s">
        <v>393</v>
      </c>
      <c r="L42">
        <v>0</v>
      </c>
      <c r="M42">
        <v>0</v>
      </c>
      <c r="N42">
        <v>0</v>
      </c>
      <c r="O42">
        <v>3213872</v>
      </c>
      <c r="P42" s="69">
        <v>0</v>
      </c>
      <c r="Q42" s="69">
        <v>37728</v>
      </c>
      <c r="R42">
        <v>0</v>
      </c>
      <c r="S42">
        <v>37728</v>
      </c>
      <c r="T42">
        <v>317148</v>
      </c>
      <c r="U42">
        <v>189681</v>
      </c>
      <c r="V42">
        <v>102234</v>
      </c>
      <c r="W42">
        <v>0</v>
      </c>
      <c r="X42">
        <v>0</v>
      </c>
      <c r="Y42">
        <v>0</v>
      </c>
      <c r="Z42">
        <v>609063</v>
      </c>
      <c r="AA42">
        <v>378155</v>
      </c>
      <c r="AB42">
        <v>24437</v>
      </c>
      <c r="AC42">
        <v>23081</v>
      </c>
      <c r="AD42">
        <v>0</v>
      </c>
      <c r="AE42">
        <v>122557</v>
      </c>
      <c r="AF42">
        <v>95130</v>
      </c>
      <c r="AG42">
        <v>643360</v>
      </c>
      <c r="AH42">
        <v>695303</v>
      </c>
      <c r="AI42">
        <v>214118</v>
      </c>
      <c r="AJ42">
        <v>125315</v>
      </c>
      <c r="AK42">
        <v>0</v>
      </c>
      <c r="AL42">
        <v>122557</v>
      </c>
      <c r="AM42">
        <v>95130</v>
      </c>
      <c r="AN42">
        <v>1252423</v>
      </c>
      <c r="AO42">
        <v>0</v>
      </c>
      <c r="AP42">
        <v>0</v>
      </c>
      <c r="AQ42">
        <v>0</v>
      </c>
      <c r="AR42">
        <v>0</v>
      </c>
      <c r="AS42">
        <v>0</v>
      </c>
      <c r="AT42">
        <v>0</v>
      </c>
      <c r="AU42">
        <v>0</v>
      </c>
      <c r="AV42">
        <v>0</v>
      </c>
      <c r="AW42">
        <v>0</v>
      </c>
      <c r="AX42">
        <v>0</v>
      </c>
      <c r="AY42">
        <v>0</v>
      </c>
      <c r="AZ42">
        <v>0</v>
      </c>
      <c r="BA42">
        <v>0</v>
      </c>
      <c r="BB42">
        <v>0</v>
      </c>
      <c r="BC42">
        <v>0</v>
      </c>
      <c r="BD42">
        <v>105116</v>
      </c>
      <c r="BE42">
        <v>0</v>
      </c>
      <c r="BF42">
        <v>0</v>
      </c>
      <c r="BG42">
        <v>0</v>
      </c>
      <c r="BH42">
        <v>0</v>
      </c>
      <c r="BI42">
        <v>105116</v>
      </c>
      <c r="BJ42">
        <v>0</v>
      </c>
      <c r="BK42">
        <v>0</v>
      </c>
      <c r="BL42">
        <v>88832</v>
      </c>
      <c r="BM42">
        <v>0</v>
      </c>
      <c r="BN42">
        <v>0</v>
      </c>
      <c r="BO42">
        <v>88832</v>
      </c>
      <c r="BP42">
        <v>387730</v>
      </c>
      <c r="BQ42">
        <v>0</v>
      </c>
      <c r="BR42">
        <v>0</v>
      </c>
      <c r="BS42">
        <v>0</v>
      </c>
      <c r="BT42">
        <v>0</v>
      </c>
      <c r="BU42">
        <v>387730</v>
      </c>
      <c r="BV42">
        <v>492846</v>
      </c>
      <c r="BW42">
        <v>0</v>
      </c>
      <c r="BX42">
        <v>88832</v>
      </c>
      <c r="BY42">
        <v>0</v>
      </c>
      <c r="BZ42">
        <v>0</v>
      </c>
      <c r="CA42">
        <v>581678</v>
      </c>
      <c r="CB42">
        <v>0</v>
      </c>
      <c r="CC42">
        <v>0</v>
      </c>
      <c r="CD42">
        <v>0</v>
      </c>
      <c r="CE42">
        <v>0</v>
      </c>
      <c r="CF42">
        <v>0</v>
      </c>
      <c r="CG42">
        <v>0</v>
      </c>
      <c r="CH42">
        <v>0</v>
      </c>
      <c r="CI42">
        <v>0</v>
      </c>
      <c r="CJ42">
        <v>0</v>
      </c>
      <c r="CK42">
        <v>0</v>
      </c>
      <c r="CL42">
        <v>0</v>
      </c>
      <c r="CM42">
        <v>0</v>
      </c>
      <c r="CN42">
        <v>0</v>
      </c>
      <c r="CO42">
        <v>0</v>
      </c>
      <c r="CP42">
        <v>0</v>
      </c>
      <c r="CQ42">
        <v>0</v>
      </c>
      <c r="CR42">
        <v>3603</v>
      </c>
      <c r="CS42">
        <v>48475</v>
      </c>
      <c r="CT42">
        <v>0</v>
      </c>
      <c r="CU42">
        <v>2112</v>
      </c>
      <c r="CV42">
        <v>20064</v>
      </c>
      <c r="CW42">
        <v>30624</v>
      </c>
      <c r="CX42">
        <v>9168</v>
      </c>
      <c r="CY42">
        <v>0</v>
      </c>
      <c r="CZ42">
        <v>0</v>
      </c>
      <c r="DA42">
        <v>28273</v>
      </c>
      <c r="DB42">
        <v>0</v>
      </c>
      <c r="DC42">
        <v>34720</v>
      </c>
      <c r="DD42">
        <v>0</v>
      </c>
      <c r="DE42">
        <v>0</v>
      </c>
      <c r="DF42">
        <v>68060</v>
      </c>
      <c r="DG42">
        <v>672</v>
      </c>
      <c r="DH42">
        <v>0</v>
      </c>
      <c r="DI42">
        <v>0</v>
      </c>
      <c r="DJ42">
        <v>10543</v>
      </c>
      <c r="DK42">
        <v>0</v>
      </c>
      <c r="DL42">
        <v>85360</v>
      </c>
      <c r="DM42">
        <v>30160</v>
      </c>
      <c r="DN42">
        <v>0</v>
      </c>
      <c r="DO42">
        <v>0</v>
      </c>
      <c r="DP42">
        <v>320</v>
      </c>
      <c r="DQ42">
        <v>50480</v>
      </c>
      <c r="DR42">
        <v>0</v>
      </c>
      <c r="DS42">
        <v>44592</v>
      </c>
      <c r="DT42">
        <v>10336</v>
      </c>
      <c r="DU42">
        <v>0</v>
      </c>
      <c r="DX42" s="69">
        <v>425484</v>
      </c>
      <c r="DY42" s="69">
        <v>6210</v>
      </c>
      <c r="DZ42" s="69">
        <v>37305</v>
      </c>
      <c r="EA42" s="69">
        <v>52627</v>
      </c>
      <c r="EB42" s="69">
        <v>41919</v>
      </c>
      <c r="EC42" s="69">
        <v>0</v>
      </c>
      <c r="ED42" s="69">
        <v>0</v>
      </c>
      <c r="EE42" s="69">
        <v>68883</v>
      </c>
      <c r="EF42" s="69">
        <v>0</v>
      </c>
      <c r="EG42" s="69">
        <v>46506</v>
      </c>
      <c r="EH42" s="69">
        <v>0</v>
      </c>
      <c r="EI42" s="69">
        <v>0</v>
      </c>
      <c r="EJ42" s="69">
        <v>177858</v>
      </c>
      <c r="EK42" s="69">
        <v>1000</v>
      </c>
      <c r="EL42" s="69">
        <v>0</v>
      </c>
      <c r="EM42" s="69">
        <v>0</v>
      </c>
      <c r="EN42" s="69">
        <v>37878</v>
      </c>
      <c r="EO42" s="69">
        <v>0</v>
      </c>
      <c r="EP42" s="69">
        <v>191082</v>
      </c>
      <c r="EQ42" s="69">
        <v>92172</v>
      </c>
      <c r="ER42" s="69">
        <v>0</v>
      </c>
      <c r="ES42" s="69">
        <v>0</v>
      </c>
      <c r="ET42" s="69">
        <v>1000</v>
      </c>
      <c r="EU42" s="69">
        <v>407120</v>
      </c>
      <c r="EV42" s="69">
        <v>0</v>
      </c>
      <c r="EW42" s="69">
        <v>73755</v>
      </c>
      <c r="EX42" s="69">
        <v>48499</v>
      </c>
      <c r="EY42" s="69">
        <v>0</v>
      </c>
      <c r="EZ42" s="69"/>
      <c r="FA42" s="69"/>
      <c r="FB42" s="69">
        <v>1283814</v>
      </c>
      <c r="FC42" s="69">
        <v>0</v>
      </c>
      <c r="FD42" s="69">
        <v>0</v>
      </c>
      <c r="FE42" s="69">
        <v>0</v>
      </c>
      <c r="FF42" s="69">
        <v>0</v>
      </c>
      <c r="FG42" s="69">
        <v>0</v>
      </c>
      <c r="FH42" s="69">
        <v>0</v>
      </c>
      <c r="FI42" s="69">
        <v>0</v>
      </c>
      <c r="FJ42" s="69">
        <v>0</v>
      </c>
      <c r="FK42" s="69">
        <v>0</v>
      </c>
      <c r="FL42" s="69">
        <v>0</v>
      </c>
      <c r="FM42" s="69">
        <v>0</v>
      </c>
      <c r="FN42" s="69">
        <v>0</v>
      </c>
      <c r="FO42" s="69">
        <v>0</v>
      </c>
      <c r="FP42" s="69">
        <v>0</v>
      </c>
      <c r="FQ42" s="69">
        <v>0</v>
      </c>
      <c r="FR42" s="69">
        <v>0</v>
      </c>
      <c r="FS42" s="69">
        <v>0</v>
      </c>
      <c r="FT42" s="69">
        <v>0</v>
      </c>
      <c r="FU42" s="69">
        <v>0</v>
      </c>
      <c r="FV42" s="69">
        <v>0</v>
      </c>
      <c r="FW42" s="69">
        <v>0</v>
      </c>
      <c r="FX42" s="69">
        <v>0</v>
      </c>
      <c r="FY42" s="69">
        <v>0</v>
      </c>
      <c r="FZ42" s="69">
        <v>0</v>
      </c>
      <c r="GA42" s="69">
        <v>0</v>
      </c>
      <c r="GB42" s="69">
        <v>0</v>
      </c>
      <c r="GC42" s="69">
        <v>0</v>
      </c>
      <c r="GD42" s="69"/>
      <c r="GE42" s="69"/>
      <c r="GF42" s="69">
        <v>0</v>
      </c>
      <c r="GG42" s="69">
        <v>0</v>
      </c>
      <c r="GH42" s="69">
        <v>0</v>
      </c>
      <c r="GI42" s="69">
        <v>0</v>
      </c>
      <c r="GJ42" s="69">
        <v>0</v>
      </c>
      <c r="GK42" s="69">
        <v>0</v>
      </c>
      <c r="GL42" s="69">
        <v>0</v>
      </c>
      <c r="GM42" s="69">
        <v>0</v>
      </c>
      <c r="GN42" s="69">
        <v>0</v>
      </c>
      <c r="GO42" s="69">
        <v>0</v>
      </c>
      <c r="GP42" s="69">
        <v>0</v>
      </c>
      <c r="GQ42" s="69">
        <v>0</v>
      </c>
      <c r="GR42" s="69">
        <v>0</v>
      </c>
      <c r="GS42" s="69">
        <v>0</v>
      </c>
      <c r="GT42" s="69">
        <v>0</v>
      </c>
      <c r="GU42" s="69">
        <v>0</v>
      </c>
      <c r="GV42" s="69">
        <v>0</v>
      </c>
      <c r="GW42" s="69">
        <v>0</v>
      </c>
      <c r="GX42" s="69">
        <v>0</v>
      </c>
      <c r="GY42" s="69">
        <v>0</v>
      </c>
      <c r="GZ42" s="69">
        <v>0</v>
      </c>
      <c r="HA42" s="69">
        <v>0</v>
      </c>
      <c r="HB42" s="69">
        <v>0</v>
      </c>
      <c r="HC42" s="69">
        <v>0</v>
      </c>
      <c r="HD42" s="69">
        <v>0</v>
      </c>
      <c r="HE42" s="69">
        <v>0</v>
      </c>
      <c r="HF42" s="69">
        <v>0</v>
      </c>
      <c r="HG42" s="69">
        <v>0</v>
      </c>
      <c r="HH42" s="69"/>
      <c r="HI42" s="69"/>
      <c r="HJ42" s="69">
        <v>48475</v>
      </c>
      <c r="HK42" s="69">
        <v>2777</v>
      </c>
      <c r="HL42" s="69">
        <v>6600</v>
      </c>
      <c r="HM42" s="69">
        <v>4139</v>
      </c>
      <c r="HN42" s="69">
        <v>2000</v>
      </c>
      <c r="HO42" s="69">
        <v>0</v>
      </c>
      <c r="HP42" s="69">
        <v>0</v>
      </c>
      <c r="HQ42" s="69">
        <v>4885</v>
      </c>
      <c r="HR42" s="69">
        <v>0</v>
      </c>
      <c r="HS42" s="69">
        <v>31920</v>
      </c>
      <c r="HT42" s="69">
        <v>0</v>
      </c>
      <c r="HU42" s="69">
        <v>0</v>
      </c>
      <c r="HV42" s="69">
        <v>5484</v>
      </c>
      <c r="HW42" s="69">
        <v>0</v>
      </c>
      <c r="HX42" s="69">
        <v>0</v>
      </c>
      <c r="HY42" s="69">
        <v>0</v>
      </c>
      <c r="HZ42" s="69">
        <v>13666</v>
      </c>
      <c r="IA42" s="69">
        <v>0</v>
      </c>
      <c r="IB42" s="69">
        <v>12115</v>
      </c>
      <c r="IC42" s="69">
        <v>357</v>
      </c>
      <c r="ID42" s="69">
        <v>0</v>
      </c>
      <c r="IE42" s="69">
        <v>0</v>
      </c>
      <c r="IF42" s="69">
        <v>0</v>
      </c>
      <c r="IG42" s="69">
        <v>7583</v>
      </c>
      <c r="IH42" s="69">
        <v>0</v>
      </c>
      <c r="II42" s="69">
        <v>3064</v>
      </c>
      <c r="IJ42" s="69">
        <v>10294</v>
      </c>
      <c r="IK42" s="69">
        <v>0</v>
      </c>
      <c r="IL42" s="69"/>
      <c r="IM42" s="69"/>
      <c r="IN42" s="69">
        <v>104884</v>
      </c>
      <c r="IO42" s="69">
        <v>2777</v>
      </c>
      <c r="IP42" s="69">
        <v>6600</v>
      </c>
      <c r="IQ42" s="69">
        <v>4139</v>
      </c>
      <c r="IR42" s="69">
        <v>2000</v>
      </c>
      <c r="IS42" s="69">
        <v>0</v>
      </c>
      <c r="IT42" s="69">
        <v>0</v>
      </c>
      <c r="IU42" s="69">
        <v>4885</v>
      </c>
      <c r="IV42" s="69">
        <v>0</v>
      </c>
      <c r="IW42" s="69">
        <v>31920</v>
      </c>
      <c r="IX42" s="69">
        <v>0</v>
      </c>
      <c r="IY42" s="69">
        <v>0</v>
      </c>
      <c r="IZ42" s="69">
        <v>5484</v>
      </c>
      <c r="JA42" s="69">
        <v>0</v>
      </c>
      <c r="JB42" s="69">
        <v>0</v>
      </c>
      <c r="JC42" s="69">
        <v>0</v>
      </c>
      <c r="JD42" s="69">
        <v>13666</v>
      </c>
      <c r="JE42" s="69">
        <v>0</v>
      </c>
      <c r="JF42" s="69">
        <v>12115</v>
      </c>
      <c r="JG42" s="69">
        <v>357</v>
      </c>
      <c r="JH42" s="69">
        <v>0</v>
      </c>
      <c r="JI42" s="69">
        <v>0</v>
      </c>
      <c r="JJ42" s="69">
        <v>0</v>
      </c>
      <c r="JK42" s="69">
        <v>7583</v>
      </c>
      <c r="JL42" s="69">
        <v>0</v>
      </c>
      <c r="JM42" s="69">
        <v>3064</v>
      </c>
      <c r="JN42" s="69">
        <v>10294</v>
      </c>
      <c r="JO42" s="69">
        <v>0</v>
      </c>
      <c r="JP42" s="69"/>
      <c r="JQ42" s="69"/>
      <c r="JR42" s="69">
        <v>153359</v>
      </c>
      <c r="JS42" s="69">
        <v>8987</v>
      </c>
      <c r="JT42" s="69">
        <v>43905</v>
      </c>
      <c r="JU42" s="69">
        <v>56766</v>
      </c>
      <c r="JV42" s="69">
        <v>43919</v>
      </c>
      <c r="JW42" s="69">
        <v>0</v>
      </c>
      <c r="JX42" s="69">
        <v>0</v>
      </c>
      <c r="JY42" s="69">
        <v>73768</v>
      </c>
      <c r="JZ42" s="69">
        <v>0</v>
      </c>
      <c r="KA42" s="69">
        <v>78426</v>
      </c>
      <c r="KB42" s="69">
        <v>0</v>
      </c>
      <c r="KC42" s="69">
        <v>0</v>
      </c>
      <c r="KD42" s="69">
        <v>183342</v>
      </c>
      <c r="KE42" s="69">
        <v>1000</v>
      </c>
      <c r="KF42" s="69">
        <v>0</v>
      </c>
      <c r="KG42" s="69">
        <v>0</v>
      </c>
      <c r="KH42" s="69">
        <v>51544</v>
      </c>
      <c r="KI42" s="69">
        <v>0</v>
      </c>
      <c r="KJ42" s="69">
        <v>203197</v>
      </c>
      <c r="KK42" s="69">
        <v>92529</v>
      </c>
      <c r="KL42" s="69">
        <v>0</v>
      </c>
      <c r="KM42" s="69">
        <v>0</v>
      </c>
      <c r="KN42" s="69">
        <v>1000</v>
      </c>
      <c r="KO42" s="69">
        <v>414703</v>
      </c>
      <c r="KP42" s="69">
        <v>0</v>
      </c>
      <c r="KQ42" s="69">
        <v>76819</v>
      </c>
      <c r="KR42" s="69">
        <v>58793</v>
      </c>
      <c r="KS42" s="69">
        <v>0</v>
      </c>
      <c r="KT42" s="69"/>
      <c r="KU42" s="69"/>
      <c r="KV42" s="69">
        <v>1437173</v>
      </c>
      <c r="KW42" s="69"/>
    </row>
    <row r="43" spans="1:309" ht="15" customHeight="1" x14ac:dyDescent="0.25">
      <c r="A43" t="s">
        <v>396</v>
      </c>
      <c r="C43" t="s">
        <v>1088</v>
      </c>
      <c r="D43" t="s">
        <v>1109</v>
      </c>
      <c r="E43" s="2">
        <v>39787.7042013889</v>
      </c>
      <c r="G43" t="s">
        <v>397</v>
      </c>
      <c r="L43">
        <v>0</v>
      </c>
      <c r="M43">
        <v>0</v>
      </c>
      <c r="N43">
        <v>0</v>
      </c>
      <c r="O43">
        <v>109747509</v>
      </c>
      <c r="P43" s="69">
        <v>0</v>
      </c>
      <c r="Q43" s="69">
        <v>2957038</v>
      </c>
      <c r="R43">
        <v>0</v>
      </c>
      <c r="S43">
        <v>2957038</v>
      </c>
      <c r="T43">
        <v>8344714</v>
      </c>
      <c r="U43">
        <v>7185096</v>
      </c>
      <c r="V43">
        <v>6255617</v>
      </c>
      <c r="W43">
        <v>0</v>
      </c>
      <c r="X43">
        <v>0</v>
      </c>
      <c r="Y43">
        <v>0</v>
      </c>
      <c r="Z43">
        <v>21785427</v>
      </c>
      <c r="AA43">
        <v>6793544</v>
      </c>
      <c r="AB43">
        <v>2080976</v>
      </c>
      <c r="AC43">
        <v>3657250</v>
      </c>
      <c r="AD43">
        <v>0</v>
      </c>
      <c r="AE43">
        <v>0</v>
      </c>
      <c r="AF43">
        <v>0</v>
      </c>
      <c r="AG43">
        <v>12531770</v>
      </c>
      <c r="AH43">
        <v>15138258</v>
      </c>
      <c r="AI43">
        <v>9266072</v>
      </c>
      <c r="AJ43">
        <v>9912867</v>
      </c>
      <c r="AK43">
        <v>0</v>
      </c>
      <c r="AL43">
        <v>0</v>
      </c>
      <c r="AM43">
        <v>0</v>
      </c>
      <c r="AN43">
        <v>34317197</v>
      </c>
      <c r="AO43">
        <v>278126</v>
      </c>
      <c r="AP43">
        <v>0</v>
      </c>
      <c r="AQ43">
        <v>1855344</v>
      </c>
      <c r="AR43">
        <v>0</v>
      </c>
      <c r="AS43">
        <v>2133470</v>
      </c>
      <c r="AT43">
        <v>95167</v>
      </c>
      <c r="AU43">
        <v>0</v>
      </c>
      <c r="AV43">
        <v>1351836</v>
      </c>
      <c r="AW43">
        <v>0</v>
      </c>
      <c r="AX43">
        <v>1447003</v>
      </c>
      <c r="AY43">
        <v>373293</v>
      </c>
      <c r="AZ43">
        <v>0</v>
      </c>
      <c r="BA43">
        <v>3207180</v>
      </c>
      <c r="BB43">
        <v>0</v>
      </c>
      <c r="BC43">
        <v>3580473</v>
      </c>
      <c r="BD43">
        <v>4464284</v>
      </c>
      <c r="BE43">
        <v>0</v>
      </c>
      <c r="BF43">
        <v>0</v>
      </c>
      <c r="BG43">
        <v>0</v>
      </c>
      <c r="BH43">
        <v>0</v>
      </c>
      <c r="BI43">
        <v>4464284</v>
      </c>
      <c r="BJ43">
        <v>0</v>
      </c>
      <c r="BK43">
        <v>0</v>
      </c>
      <c r="BL43">
        <v>1752829</v>
      </c>
      <c r="BM43">
        <v>0</v>
      </c>
      <c r="BN43">
        <v>0</v>
      </c>
      <c r="BO43">
        <v>1752829</v>
      </c>
      <c r="BP43">
        <v>8715413</v>
      </c>
      <c r="BQ43">
        <v>0</v>
      </c>
      <c r="BR43">
        <v>0</v>
      </c>
      <c r="BS43">
        <v>0</v>
      </c>
      <c r="BT43">
        <v>1876339</v>
      </c>
      <c r="BU43">
        <v>10591752</v>
      </c>
      <c r="BV43">
        <v>13179697</v>
      </c>
      <c r="BW43">
        <v>0</v>
      </c>
      <c r="BX43">
        <v>1752829</v>
      </c>
      <c r="BY43">
        <v>0</v>
      </c>
      <c r="BZ43">
        <v>1876339</v>
      </c>
      <c r="CA43">
        <v>16808865</v>
      </c>
      <c r="CB43">
        <v>0</v>
      </c>
      <c r="CC43">
        <v>0</v>
      </c>
      <c r="CD43">
        <v>0</v>
      </c>
      <c r="CE43">
        <v>0</v>
      </c>
      <c r="CF43">
        <v>0</v>
      </c>
      <c r="CG43">
        <v>0</v>
      </c>
      <c r="CH43">
        <v>0</v>
      </c>
      <c r="CI43">
        <v>0</v>
      </c>
      <c r="CJ43">
        <v>0</v>
      </c>
      <c r="CK43">
        <v>0</v>
      </c>
      <c r="CL43">
        <v>0</v>
      </c>
      <c r="CM43">
        <v>0</v>
      </c>
      <c r="CN43">
        <v>0</v>
      </c>
      <c r="CO43">
        <v>0</v>
      </c>
      <c r="CP43">
        <v>0</v>
      </c>
      <c r="CQ43">
        <v>0</v>
      </c>
      <c r="CR43">
        <v>3609</v>
      </c>
      <c r="CS43">
        <v>3551996</v>
      </c>
      <c r="CT43">
        <v>0</v>
      </c>
      <c r="CU43">
        <v>12768</v>
      </c>
      <c r="CV43">
        <v>263764</v>
      </c>
      <c r="CW43">
        <v>1416240</v>
      </c>
      <c r="CX43">
        <v>639804</v>
      </c>
      <c r="CY43">
        <v>47216</v>
      </c>
      <c r="CZ43">
        <v>145100</v>
      </c>
      <c r="DA43">
        <v>241589</v>
      </c>
      <c r="DB43">
        <v>62014</v>
      </c>
      <c r="DC43">
        <v>627798</v>
      </c>
      <c r="DD43">
        <v>108404</v>
      </c>
      <c r="DE43">
        <v>149294</v>
      </c>
      <c r="DF43">
        <v>1405576</v>
      </c>
      <c r="DG43">
        <v>122584</v>
      </c>
      <c r="DH43">
        <v>353704</v>
      </c>
      <c r="DI43">
        <v>0</v>
      </c>
      <c r="DJ43">
        <v>579814</v>
      </c>
      <c r="DK43">
        <v>49440</v>
      </c>
      <c r="DL43">
        <v>258992</v>
      </c>
      <c r="DM43">
        <v>1185232</v>
      </c>
      <c r="DN43">
        <v>239344</v>
      </c>
      <c r="DO43">
        <v>50078</v>
      </c>
      <c r="DP43">
        <v>20896</v>
      </c>
      <c r="DQ43">
        <v>429264</v>
      </c>
      <c r="DR43">
        <v>116592</v>
      </c>
      <c r="DS43">
        <v>1618560</v>
      </c>
      <c r="DT43">
        <v>558472</v>
      </c>
      <c r="DU43">
        <v>0</v>
      </c>
      <c r="DX43" s="69">
        <v>10702539</v>
      </c>
      <c r="DY43" s="69">
        <v>34040</v>
      </c>
      <c r="DZ43" s="69">
        <v>497916</v>
      </c>
      <c r="EA43" s="69">
        <v>3775731</v>
      </c>
      <c r="EB43" s="69">
        <v>1885679</v>
      </c>
      <c r="EC43" s="69">
        <v>252913</v>
      </c>
      <c r="ED43" s="69">
        <v>229472</v>
      </c>
      <c r="EE43" s="69">
        <v>1227076</v>
      </c>
      <c r="EF43" s="69">
        <v>199556</v>
      </c>
      <c r="EG43" s="69">
        <v>2299704</v>
      </c>
      <c r="EH43" s="69">
        <v>522033</v>
      </c>
      <c r="EI43" s="69">
        <v>718946</v>
      </c>
      <c r="EJ43" s="69">
        <v>4600056</v>
      </c>
      <c r="EK43" s="69">
        <v>595946</v>
      </c>
      <c r="EL43" s="69">
        <v>1899261</v>
      </c>
      <c r="EM43" s="69">
        <v>0</v>
      </c>
      <c r="EN43" s="69">
        <v>3331746</v>
      </c>
      <c r="EO43" s="69">
        <v>268658</v>
      </c>
      <c r="EP43" s="69">
        <v>1510135</v>
      </c>
      <c r="EQ43" s="69">
        <v>3897538</v>
      </c>
      <c r="ER43" s="69">
        <v>1005325</v>
      </c>
      <c r="ES43" s="69">
        <v>206429</v>
      </c>
      <c r="ET43" s="69">
        <v>86232</v>
      </c>
      <c r="EU43" s="69">
        <v>1774971</v>
      </c>
      <c r="EV43" s="69">
        <v>744029</v>
      </c>
      <c r="EW43" s="69">
        <v>5307177</v>
      </c>
      <c r="EX43" s="69">
        <v>2536302</v>
      </c>
      <c r="EY43" s="69">
        <v>0</v>
      </c>
      <c r="EZ43" s="69"/>
      <c r="FA43" s="69"/>
      <c r="FB43" s="69">
        <v>39406871</v>
      </c>
      <c r="FC43" s="69">
        <v>17552</v>
      </c>
      <c r="FD43" s="69">
        <v>77270</v>
      </c>
      <c r="FE43" s="69">
        <v>352589</v>
      </c>
      <c r="FF43" s="69">
        <v>79434</v>
      </c>
      <c r="FG43" s="69">
        <v>27290</v>
      </c>
      <c r="FH43" s="69">
        <v>26313</v>
      </c>
      <c r="FI43" s="69">
        <v>69679</v>
      </c>
      <c r="FJ43" s="69">
        <v>40</v>
      </c>
      <c r="FK43" s="69">
        <v>186983</v>
      </c>
      <c r="FL43" s="69">
        <v>41050</v>
      </c>
      <c r="FM43" s="69">
        <v>81190</v>
      </c>
      <c r="FN43" s="69">
        <v>215992</v>
      </c>
      <c r="FO43" s="69">
        <v>12252</v>
      </c>
      <c r="FP43" s="69">
        <v>220963</v>
      </c>
      <c r="FQ43" s="69">
        <v>0</v>
      </c>
      <c r="FR43" s="69">
        <v>261952</v>
      </c>
      <c r="FS43" s="69">
        <v>14252</v>
      </c>
      <c r="FT43" s="69">
        <v>115214</v>
      </c>
      <c r="FU43" s="69">
        <v>344231</v>
      </c>
      <c r="FV43" s="69">
        <v>206036</v>
      </c>
      <c r="FW43" s="69">
        <v>28461</v>
      </c>
      <c r="FX43" s="69">
        <v>0</v>
      </c>
      <c r="FY43" s="69">
        <v>87554</v>
      </c>
      <c r="FZ43" s="69">
        <v>62341</v>
      </c>
      <c r="GA43" s="69">
        <v>213046</v>
      </c>
      <c r="GB43" s="69">
        <v>273970</v>
      </c>
      <c r="GC43" s="69">
        <v>0</v>
      </c>
      <c r="GD43" s="69"/>
      <c r="GE43" s="69"/>
      <c r="GF43" s="69">
        <v>3015654</v>
      </c>
      <c r="GG43" s="69">
        <v>4320</v>
      </c>
      <c r="GH43" s="69">
        <v>48160</v>
      </c>
      <c r="GI43" s="69">
        <v>345660</v>
      </c>
      <c r="GJ43" s="69">
        <v>164537</v>
      </c>
      <c r="GK43" s="69">
        <v>23461</v>
      </c>
      <c r="GL43" s="69">
        <v>21417</v>
      </c>
      <c r="GM43" s="69">
        <v>108576</v>
      </c>
      <c r="GN43" s="69">
        <v>16712</v>
      </c>
      <c r="GO43" s="69">
        <v>208208</v>
      </c>
      <c r="GP43" s="69">
        <v>47146</v>
      </c>
      <c r="GQ43" s="69">
        <v>66995</v>
      </c>
      <c r="GR43" s="69">
        <v>403243</v>
      </c>
      <c r="GS43" s="69">
        <v>50924</v>
      </c>
      <c r="GT43" s="69">
        <v>177524</v>
      </c>
      <c r="GU43" s="69">
        <v>0</v>
      </c>
      <c r="GV43" s="69">
        <v>300897</v>
      </c>
      <c r="GW43" s="69">
        <v>23688</v>
      </c>
      <c r="GX43" s="69">
        <v>136089</v>
      </c>
      <c r="GY43" s="69">
        <v>355159</v>
      </c>
      <c r="GZ43" s="69">
        <v>101426</v>
      </c>
      <c r="HA43" s="69">
        <v>19667</v>
      </c>
      <c r="HB43" s="69">
        <v>7220</v>
      </c>
      <c r="HC43" s="69">
        <v>155947</v>
      </c>
      <c r="HD43" s="69">
        <v>67517</v>
      </c>
      <c r="HE43" s="69">
        <v>462203</v>
      </c>
      <c r="HF43" s="69">
        <v>235301</v>
      </c>
      <c r="HG43" s="69">
        <v>0</v>
      </c>
      <c r="HH43" s="69"/>
      <c r="HI43" s="69"/>
      <c r="HJ43" s="69">
        <v>3551996</v>
      </c>
      <c r="HK43" s="69">
        <v>0</v>
      </c>
      <c r="HL43" s="69">
        <v>287660</v>
      </c>
      <c r="HM43" s="69">
        <v>604727</v>
      </c>
      <c r="HN43" s="69">
        <v>230935</v>
      </c>
      <c r="HO43" s="69">
        <v>1057699</v>
      </c>
      <c r="HP43" s="69">
        <v>60165</v>
      </c>
      <c r="HQ43" s="69">
        <v>194771</v>
      </c>
      <c r="HR43" s="69">
        <v>26816</v>
      </c>
      <c r="HS43" s="69">
        <v>407146</v>
      </c>
      <c r="HT43" s="69">
        <v>96032</v>
      </c>
      <c r="HU43" s="69">
        <v>1356554</v>
      </c>
      <c r="HV43" s="69">
        <v>449309</v>
      </c>
      <c r="HW43" s="69">
        <v>61374</v>
      </c>
      <c r="HX43" s="69">
        <v>275213</v>
      </c>
      <c r="HY43" s="69">
        <v>0</v>
      </c>
      <c r="HZ43" s="69">
        <v>419411</v>
      </c>
      <c r="IA43" s="69">
        <v>22944</v>
      </c>
      <c r="IB43" s="69">
        <v>182399</v>
      </c>
      <c r="IC43" s="69">
        <v>332204</v>
      </c>
      <c r="ID43" s="69">
        <v>262759</v>
      </c>
      <c r="IE43" s="69">
        <v>488165</v>
      </c>
      <c r="IF43" s="69">
        <v>0</v>
      </c>
      <c r="IG43" s="69">
        <v>188676</v>
      </c>
      <c r="IH43" s="69">
        <v>157894</v>
      </c>
      <c r="II43" s="69">
        <v>406886</v>
      </c>
      <c r="IJ43" s="69">
        <v>416015</v>
      </c>
      <c r="IK43" s="69">
        <v>0</v>
      </c>
      <c r="IL43" s="69"/>
      <c r="IM43" s="69"/>
      <c r="IN43" s="69">
        <v>7985754</v>
      </c>
      <c r="IO43" s="69">
        <v>21872</v>
      </c>
      <c r="IP43" s="69">
        <v>413090</v>
      </c>
      <c r="IQ43" s="69">
        <v>1302976</v>
      </c>
      <c r="IR43" s="69">
        <v>474906</v>
      </c>
      <c r="IS43" s="69">
        <v>1108450</v>
      </c>
      <c r="IT43" s="69">
        <v>107895</v>
      </c>
      <c r="IU43" s="69">
        <v>373026</v>
      </c>
      <c r="IV43" s="69">
        <v>43568</v>
      </c>
      <c r="IW43" s="69">
        <v>802337</v>
      </c>
      <c r="IX43" s="69">
        <v>184228</v>
      </c>
      <c r="IY43" s="69">
        <v>1504739</v>
      </c>
      <c r="IZ43" s="69">
        <v>1068544</v>
      </c>
      <c r="JA43" s="69">
        <v>124550</v>
      </c>
      <c r="JB43" s="69">
        <v>673700</v>
      </c>
      <c r="JC43" s="69">
        <v>0</v>
      </c>
      <c r="JD43" s="69">
        <v>982260</v>
      </c>
      <c r="JE43" s="69">
        <v>60884</v>
      </c>
      <c r="JF43" s="69">
        <v>433702</v>
      </c>
      <c r="JG43" s="69">
        <v>1031594</v>
      </c>
      <c r="JH43" s="69">
        <v>570221</v>
      </c>
      <c r="JI43" s="69">
        <v>536293</v>
      </c>
      <c r="JJ43" s="69">
        <v>7220</v>
      </c>
      <c r="JK43" s="69">
        <v>432177</v>
      </c>
      <c r="JL43" s="69">
        <v>287752</v>
      </c>
      <c r="JM43" s="69">
        <v>1082135</v>
      </c>
      <c r="JN43" s="69">
        <v>925286</v>
      </c>
      <c r="JO43" s="69">
        <v>0</v>
      </c>
      <c r="JP43" s="69"/>
      <c r="JQ43" s="69"/>
      <c r="JR43" s="69">
        <v>14553404</v>
      </c>
      <c r="JS43" s="69">
        <v>55912</v>
      </c>
      <c r="JT43" s="69">
        <v>911006</v>
      </c>
      <c r="JU43" s="69">
        <v>5078707</v>
      </c>
      <c r="JV43" s="69">
        <v>2360585</v>
      </c>
      <c r="JW43" s="69">
        <v>1361363</v>
      </c>
      <c r="JX43" s="69">
        <v>337367</v>
      </c>
      <c r="JY43" s="69">
        <v>1600102</v>
      </c>
      <c r="JZ43" s="69">
        <v>243124</v>
      </c>
      <c r="KA43" s="69">
        <v>3102041</v>
      </c>
      <c r="KB43" s="69">
        <v>706261</v>
      </c>
      <c r="KC43" s="69">
        <v>2223685</v>
      </c>
      <c r="KD43" s="69">
        <v>5668600</v>
      </c>
      <c r="KE43" s="69">
        <v>720496</v>
      </c>
      <c r="KF43" s="69">
        <v>2572961</v>
      </c>
      <c r="KG43" s="69">
        <v>0</v>
      </c>
      <c r="KH43" s="69">
        <v>4314006</v>
      </c>
      <c r="KI43" s="69">
        <v>329542</v>
      </c>
      <c r="KJ43" s="69">
        <v>1943837</v>
      </c>
      <c r="KK43" s="69">
        <v>4929132</v>
      </c>
      <c r="KL43" s="69">
        <v>1575546</v>
      </c>
      <c r="KM43" s="69">
        <v>742722</v>
      </c>
      <c r="KN43" s="69">
        <v>93452</v>
      </c>
      <c r="KO43" s="69">
        <v>2207148</v>
      </c>
      <c r="KP43" s="69">
        <v>1031781</v>
      </c>
      <c r="KQ43" s="69">
        <v>6389312</v>
      </c>
      <c r="KR43" s="69">
        <v>3461588</v>
      </c>
      <c r="KS43" s="69">
        <v>0</v>
      </c>
      <c r="KT43" s="69"/>
      <c r="KU43" s="69"/>
      <c r="KV43" s="69">
        <v>53960275</v>
      </c>
      <c r="KW43" s="69"/>
    </row>
    <row r="44" spans="1:309" x14ac:dyDescent="0.25">
      <c r="A44" t="s">
        <v>398</v>
      </c>
      <c r="C44" t="s">
        <v>1088</v>
      </c>
      <c r="D44" t="s">
        <v>1110</v>
      </c>
      <c r="E44" s="2">
        <v>39791.479722222197</v>
      </c>
      <c r="G44" t="s">
        <v>399</v>
      </c>
      <c r="L44">
        <v>0</v>
      </c>
      <c r="M44">
        <v>0</v>
      </c>
      <c r="N44">
        <v>0</v>
      </c>
      <c r="O44">
        <v>35457157</v>
      </c>
      <c r="P44" s="69">
        <v>0</v>
      </c>
      <c r="Q44" s="69">
        <v>1310482</v>
      </c>
      <c r="R44">
        <v>0</v>
      </c>
      <c r="S44">
        <v>1310482</v>
      </c>
      <c r="T44">
        <v>2005955</v>
      </c>
      <c r="U44">
        <v>2432246</v>
      </c>
      <c r="V44">
        <v>1226243</v>
      </c>
      <c r="W44">
        <v>0</v>
      </c>
      <c r="X44">
        <v>0</v>
      </c>
      <c r="Y44">
        <v>0</v>
      </c>
      <c r="Z44">
        <v>5664444</v>
      </c>
      <c r="AA44">
        <v>1470126</v>
      </c>
      <c r="AB44">
        <v>1025388</v>
      </c>
      <c r="AC44">
        <v>366662</v>
      </c>
      <c r="AD44">
        <v>0</v>
      </c>
      <c r="AE44">
        <v>107519</v>
      </c>
      <c r="AF44">
        <v>732942</v>
      </c>
      <c r="AG44">
        <v>3702637</v>
      </c>
      <c r="AH44">
        <v>3476081</v>
      </c>
      <c r="AI44">
        <v>3457634</v>
      </c>
      <c r="AJ44">
        <v>1592905</v>
      </c>
      <c r="AK44">
        <v>0</v>
      </c>
      <c r="AL44">
        <v>107519</v>
      </c>
      <c r="AM44">
        <v>732942</v>
      </c>
      <c r="AN44">
        <v>9367081</v>
      </c>
      <c r="AO44">
        <v>0</v>
      </c>
      <c r="AP44">
        <v>0</v>
      </c>
      <c r="AQ44">
        <v>413047</v>
      </c>
      <c r="AR44">
        <v>0</v>
      </c>
      <c r="AS44">
        <v>413047</v>
      </c>
      <c r="AT44">
        <v>0</v>
      </c>
      <c r="AU44">
        <v>0</v>
      </c>
      <c r="AV44">
        <v>510288</v>
      </c>
      <c r="AW44">
        <v>0</v>
      </c>
      <c r="AX44">
        <v>510288</v>
      </c>
      <c r="AY44">
        <v>0</v>
      </c>
      <c r="AZ44">
        <v>0</v>
      </c>
      <c r="BA44">
        <v>923335</v>
      </c>
      <c r="BB44">
        <v>0</v>
      </c>
      <c r="BC44">
        <v>923335</v>
      </c>
      <c r="BD44">
        <v>1637535</v>
      </c>
      <c r="BE44">
        <v>0</v>
      </c>
      <c r="BF44">
        <v>0</v>
      </c>
      <c r="BG44">
        <v>0</v>
      </c>
      <c r="BH44">
        <v>0</v>
      </c>
      <c r="BI44">
        <v>1637535</v>
      </c>
      <c r="BJ44">
        <v>0</v>
      </c>
      <c r="BK44">
        <v>0</v>
      </c>
      <c r="BL44">
        <v>850883</v>
      </c>
      <c r="BM44">
        <v>0</v>
      </c>
      <c r="BN44">
        <v>0</v>
      </c>
      <c r="BO44">
        <v>850883</v>
      </c>
      <c r="BP44">
        <v>3049575</v>
      </c>
      <c r="BQ44">
        <v>0</v>
      </c>
      <c r="BR44">
        <v>0</v>
      </c>
      <c r="BS44">
        <v>0</v>
      </c>
      <c r="BT44">
        <v>89279</v>
      </c>
      <c r="BU44">
        <v>3138854</v>
      </c>
      <c r="BV44">
        <v>4687110</v>
      </c>
      <c r="BW44">
        <v>0</v>
      </c>
      <c r="BX44">
        <v>850883</v>
      </c>
      <c r="BY44">
        <v>0</v>
      </c>
      <c r="BZ44">
        <v>89279</v>
      </c>
      <c r="CA44">
        <v>5627272</v>
      </c>
      <c r="CB44">
        <v>0</v>
      </c>
      <c r="CC44">
        <v>0</v>
      </c>
      <c r="CD44">
        <v>0</v>
      </c>
      <c r="CE44">
        <v>0</v>
      </c>
      <c r="CF44">
        <v>0</v>
      </c>
      <c r="CG44">
        <v>0</v>
      </c>
      <c r="CH44">
        <v>0</v>
      </c>
      <c r="CI44">
        <v>0</v>
      </c>
      <c r="CJ44">
        <v>0</v>
      </c>
      <c r="CK44">
        <v>0</v>
      </c>
      <c r="CL44">
        <v>0</v>
      </c>
      <c r="CM44">
        <v>0</v>
      </c>
      <c r="CN44">
        <v>0</v>
      </c>
      <c r="CO44">
        <v>0</v>
      </c>
      <c r="CP44">
        <v>0</v>
      </c>
      <c r="CQ44">
        <v>0</v>
      </c>
      <c r="CR44">
        <v>3611</v>
      </c>
      <c r="CS44">
        <v>2237473</v>
      </c>
      <c r="CT44">
        <v>0</v>
      </c>
      <c r="CU44">
        <v>29868</v>
      </c>
      <c r="CV44">
        <v>63448</v>
      </c>
      <c r="CW44">
        <v>491568</v>
      </c>
      <c r="CX44">
        <v>181339</v>
      </c>
      <c r="CY44">
        <v>1872</v>
      </c>
      <c r="CZ44">
        <v>118865</v>
      </c>
      <c r="DA44">
        <v>193209</v>
      </c>
      <c r="DB44">
        <v>13384</v>
      </c>
      <c r="DC44">
        <v>160004</v>
      </c>
      <c r="DD44">
        <v>1088</v>
      </c>
      <c r="DE44">
        <v>39120</v>
      </c>
      <c r="DF44">
        <v>434512</v>
      </c>
      <c r="DG44">
        <v>123552</v>
      </c>
      <c r="DH44">
        <v>118826</v>
      </c>
      <c r="DI44">
        <v>0</v>
      </c>
      <c r="DJ44">
        <v>168747</v>
      </c>
      <c r="DK44">
        <v>20992</v>
      </c>
      <c r="DL44">
        <v>202976</v>
      </c>
      <c r="DM44">
        <v>500936</v>
      </c>
      <c r="DN44">
        <v>57296</v>
      </c>
      <c r="DO44">
        <v>38596</v>
      </c>
      <c r="DP44">
        <v>7264</v>
      </c>
      <c r="DQ44">
        <v>107712</v>
      </c>
      <c r="DR44">
        <v>155496</v>
      </c>
      <c r="DS44">
        <v>781536</v>
      </c>
      <c r="DT44">
        <v>278100</v>
      </c>
      <c r="DU44">
        <v>0</v>
      </c>
      <c r="DX44" s="69">
        <v>4290306</v>
      </c>
      <c r="DY44" s="69">
        <v>223816</v>
      </c>
      <c r="DZ44" s="69">
        <v>123355</v>
      </c>
      <c r="EA44" s="69">
        <v>1412854</v>
      </c>
      <c r="EB44" s="69">
        <v>567685</v>
      </c>
      <c r="EC44" s="69"/>
      <c r="ED44" s="69">
        <v>221836</v>
      </c>
      <c r="EE44" s="69">
        <v>743624</v>
      </c>
      <c r="EF44" s="69"/>
      <c r="EG44" s="69">
        <v>481307</v>
      </c>
      <c r="EH44" s="69"/>
      <c r="EI44" s="69">
        <v>40648</v>
      </c>
      <c r="EJ44" s="69">
        <v>1696214</v>
      </c>
      <c r="EK44" s="69">
        <v>342044</v>
      </c>
      <c r="EL44" s="69">
        <v>405133</v>
      </c>
      <c r="EM44" s="69">
        <v>0</v>
      </c>
      <c r="EN44" s="69">
        <v>1004863</v>
      </c>
      <c r="EO44" s="69">
        <v>115884</v>
      </c>
      <c r="EP44" s="69">
        <v>686977</v>
      </c>
      <c r="EQ44" s="69">
        <v>1376962</v>
      </c>
      <c r="ER44" s="69">
        <v>196532</v>
      </c>
      <c r="ES44" s="69">
        <v>96181</v>
      </c>
      <c r="ET44" s="69">
        <v>96853</v>
      </c>
      <c r="EU44" s="69">
        <v>865255</v>
      </c>
      <c r="EV44" s="69">
        <v>276712</v>
      </c>
      <c r="EW44" s="69">
        <v>2223593</v>
      </c>
      <c r="EX44" s="69">
        <v>1876815</v>
      </c>
      <c r="EY44" s="69">
        <v>0</v>
      </c>
      <c r="EZ44" s="69"/>
      <c r="FA44" s="69"/>
      <c r="FB44" s="69">
        <v>15419350</v>
      </c>
      <c r="FC44" s="69">
        <v>0</v>
      </c>
      <c r="FD44" s="69">
        <v>0</v>
      </c>
      <c r="FE44" s="69">
        <v>0</v>
      </c>
      <c r="FF44" s="69">
        <v>0</v>
      </c>
      <c r="FG44" s="69">
        <v>0</v>
      </c>
      <c r="FH44" s="69">
        <v>0</v>
      </c>
      <c r="FI44" s="69">
        <v>0</v>
      </c>
      <c r="FJ44" s="69">
        <v>0</v>
      </c>
      <c r="FK44" s="69">
        <v>0</v>
      </c>
      <c r="FL44" s="69">
        <v>0</v>
      </c>
      <c r="FM44" s="69">
        <v>0</v>
      </c>
      <c r="FN44" s="69">
        <v>0</v>
      </c>
      <c r="FO44" s="69">
        <v>0</v>
      </c>
      <c r="FP44" s="69">
        <v>0</v>
      </c>
      <c r="FQ44" s="69">
        <v>0</v>
      </c>
      <c r="FR44" s="69">
        <v>0</v>
      </c>
      <c r="FS44" s="69">
        <v>0</v>
      </c>
      <c r="FT44" s="69">
        <v>0</v>
      </c>
      <c r="FU44" s="69">
        <v>0</v>
      </c>
      <c r="FV44" s="69">
        <v>0</v>
      </c>
      <c r="FW44" s="69">
        <v>0</v>
      </c>
      <c r="FX44" s="69">
        <v>0</v>
      </c>
      <c r="FY44" s="69">
        <v>0</v>
      </c>
      <c r="FZ44" s="69">
        <v>0</v>
      </c>
      <c r="GA44" s="69">
        <v>0</v>
      </c>
      <c r="GB44" s="69">
        <v>0</v>
      </c>
      <c r="GC44" s="69">
        <v>0</v>
      </c>
      <c r="GD44" s="69"/>
      <c r="GE44" s="69"/>
      <c r="GF44" s="69">
        <v>0</v>
      </c>
      <c r="GG44" s="69">
        <v>0</v>
      </c>
      <c r="GH44" s="69">
        <v>0</v>
      </c>
      <c r="GI44" s="69">
        <v>0</v>
      </c>
      <c r="GJ44" s="69">
        <v>0</v>
      </c>
      <c r="GK44" s="69">
        <v>0</v>
      </c>
      <c r="GL44" s="69">
        <v>0</v>
      </c>
      <c r="GM44" s="69">
        <v>0</v>
      </c>
      <c r="GN44" s="69">
        <v>0</v>
      </c>
      <c r="GO44" s="69">
        <v>0</v>
      </c>
      <c r="GP44" s="69">
        <v>0</v>
      </c>
      <c r="GQ44" s="69">
        <v>0</v>
      </c>
      <c r="GR44" s="69">
        <v>0</v>
      </c>
      <c r="GS44" s="69">
        <v>0</v>
      </c>
      <c r="GT44" s="69">
        <v>0</v>
      </c>
      <c r="GU44" s="69">
        <v>0</v>
      </c>
      <c r="GV44" s="69">
        <v>0</v>
      </c>
      <c r="GW44" s="69">
        <v>0</v>
      </c>
      <c r="GX44" s="69">
        <v>0</v>
      </c>
      <c r="GY44" s="69">
        <v>0</v>
      </c>
      <c r="GZ44" s="69">
        <v>0</v>
      </c>
      <c r="HA44" s="69">
        <v>0</v>
      </c>
      <c r="HB44" s="69">
        <v>0</v>
      </c>
      <c r="HC44" s="69">
        <v>0</v>
      </c>
      <c r="HD44" s="69">
        <v>0</v>
      </c>
      <c r="HE44" s="69">
        <v>0</v>
      </c>
      <c r="HF44" s="69">
        <v>0</v>
      </c>
      <c r="HG44" s="69">
        <v>0</v>
      </c>
      <c r="HH44" s="69"/>
      <c r="HI44" s="69"/>
      <c r="HJ44" s="69">
        <v>2237473</v>
      </c>
      <c r="HK44" s="69">
        <v>34716</v>
      </c>
      <c r="HL44" s="69">
        <v>125306</v>
      </c>
      <c r="HM44" s="69">
        <v>222108</v>
      </c>
      <c r="HN44" s="69">
        <v>42253</v>
      </c>
      <c r="HO44" s="69">
        <v>325</v>
      </c>
      <c r="HP44" s="69">
        <v>115174</v>
      </c>
      <c r="HQ44" s="69">
        <v>96052</v>
      </c>
      <c r="HR44" s="69">
        <v>4758</v>
      </c>
      <c r="HS44" s="69">
        <v>78179</v>
      </c>
      <c r="HT44" s="69">
        <v>3338</v>
      </c>
      <c r="HU44" s="69">
        <v>20817</v>
      </c>
      <c r="HV44" s="69">
        <v>64622</v>
      </c>
      <c r="HW44" s="69">
        <v>3847</v>
      </c>
      <c r="HX44" s="69">
        <v>51449</v>
      </c>
      <c r="HY44" s="69">
        <v>0</v>
      </c>
      <c r="HZ44" s="69">
        <v>51713</v>
      </c>
      <c r="IA44" s="69">
        <v>9318</v>
      </c>
      <c r="IB44" s="69">
        <v>53129</v>
      </c>
      <c r="IC44" s="69">
        <v>37387</v>
      </c>
      <c r="ID44" s="69">
        <v>11064</v>
      </c>
      <c r="IE44" s="69">
        <v>23837</v>
      </c>
      <c r="IF44" s="69">
        <v>22382</v>
      </c>
      <c r="IG44" s="69">
        <v>55696</v>
      </c>
      <c r="IH44" s="69">
        <v>51544</v>
      </c>
      <c r="II44" s="69">
        <v>64700</v>
      </c>
      <c r="IJ44" s="69">
        <v>150671</v>
      </c>
      <c r="IK44" s="69">
        <v>0</v>
      </c>
      <c r="IL44" s="69"/>
      <c r="IM44" s="69"/>
      <c r="IN44" s="69">
        <v>1394385</v>
      </c>
      <c r="IO44" s="69">
        <v>34716</v>
      </c>
      <c r="IP44" s="69">
        <v>125306</v>
      </c>
      <c r="IQ44" s="69">
        <v>222108</v>
      </c>
      <c r="IR44" s="69">
        <v>42253</v>
      </c>
      <c r="IS44" s="69"/>
      <c r="IT44" s="69">
        <v>115174</v>
      </c>
      <c r="IU44" s="69">
        <v>96052</v>
      </c>
      <c r="IV44" s="69"/>
      <c r="IW44" s="69">
        <v>78179</v>
      </c>
      <c r="IX44" s="69"/>
      <c r="IY44" s="69">
        <v>20817</v>
      </c>
      <c r="IZ44" s="69">
        <v>64622</v>
      </c>
      <c r="JA44" s="69">
        <v>3847</v>
      </c>
      <c r="JB44" s="69">
        <v>51449</v>
      </c>
      <c r="JC44" s="69">
        <v>0</v>
      </c>
      <c r="JD44" s="69">
        <v>51713</v>
      </c>
      <c r="JE44" s="69">
        <v>9318</v>
      </c>
      <c r="JF44" s="69">
        <v>53129</v>
      </c>
      <c r="JG44" s="69">
        <v>37387</v>
      </c>
      <c r="JH44" s="69">
        <v>11064</v>
      </c>
      <c r="JI44" s="69">
        <v>23837</v>
      </c>
      <c r="JJ44" s="69">
        <v>22382</v>
      </c>
      <c r="JK44" s="69">
        <v>55696</v>
      </c>
      <c r="JL44" s="69">
        <v>51544</v>
      </c>
      <c r="JM44" s="69">
        <v>64700</v>
      </c>
      <c r="JN44" s="69">
        <v>150671</v>
      </c>
      <c r="JO44" s="69">
        <v>0</v>
      </c>
      <c r="JP44" s="69"/>
      <c r="JQ44" s="69"/>
      <c r="JR44" s="69">
        <v>3631858</v>
      </c>
      <c r="JS44" s="69">
        <v>258532</v>
      </c>
      <c r="JT44" s="69">
        <v>248661</v>
      </c>
      <c r="JU44" s="69">
        <v>1634962</v>
      </c>
      <c r="JV44" s="69">
        <v>609938</v>
      </c>
      <c r="JW44" s="69">
        <v>3107</v>
      </c>
      <c r="JX44" s="69">
        <v>337010</v>
      </c>
      <c r="JY44" s="69">
        <v>839676</v>
      </c>
      <c r="JZ44" s="69">
        <v>301427</v>
      </c>
      <c r="KA44" s="69">
        <v>559486</v>
      </c>
      <c r="KB44" s="69">
        <v>48094</v>
      </c>
      <c r="KC44" s="69">
        <v>61465</v>
      </c>
      <c r="KD44" s="69">
        <v>1760836</v>
      </c>
      <c r="KE44" s="69">
        <v>345891</v>
      </c>
      <c r="KF44" s="69">
        <v>456582</v>
      </c>
      <c r="KG44" s="69">
        <v>0</v>
      </c>
      <c r="KH44" s="69">
        <v>1056576</v>
      </c>
      <c r="KI44" s="69">
        <v>125202</v>
      </c>
      <c r="KJ44" s="69">
        <v>740106</v>
      </c>
      <c r="KK44" s="69">
        <v>1414349</v>
      </c>
      <c r="KL44" s="69">
        <v>207596</v>
      </c>
      <c r="KM44" s="69">
        <v>120018</v>
      </c>
      <c r="KN44" s="69">
        <v>119235</v>
      </c>
      <c r="KO44" s="69">
        <v>920951</v>
      </c>
      <c r="KP44" s="69">
        <v>328256</v>
      </c>
      <c r="KQ44" s="69">
        <v>2288293</v>
      </c>
      <c r="KR44" s="69">
        <v>2027486</v>
      </c>
      <c r="KS44" s="69">
        <v>0</v>
      </c>
      <c r="KT44" s="69"/>
      <c r="KU44" s="69"/>
      <c r="KV44" s="69">
        <v>19051208</v>
      </c>
      <c r="KW44" s="69"/>
    </row>
    <row r="45" spans="1:309" x14ac:dyDescent="0.25">
      <c r="A45" t="s">
        <v>458</v>
      </c>
      <c r="C45" t="s">
        <v>1088</v>
      </c>
      <c r="D45" t="s">
        <v>1138</v>
      </c>
      <c r="E45" s="2">
        <v>39794.549942129597</v>
      </c>
      <c r="G45" t="s">
        <v>459</v>
      </c>
      <c r="L45">
        <v>0</v>
      </c>
      <c r="M45">
        <v>0</v>
      </c>
      <c r="N45">
        <v>0</v>
      </c>
      <c r="O45">
        <v>73085979</v>
      </c>
      <c r="P45" s="69">
        <v>0</v>
      </c>
      <c r="Q45" s="69">
        <v>1868289</v>
      </c>
      <c r="R45">
        <v>0</v>
      </c>
      <c r="S45">
        <v>1868289</v>
      </c>
      <c r="T45">
        <v>7122452</v>
      </c>
      <c r="U45">
        <v>4902785</v>
      </c>
      <c r="V45">
        <v>3631316</v>
      </c>
      <c r="W45">
        <v>0</v>
      </c>
      <c r="X45">
        <v>0</v>
      </c>
      <c r="Y45">
        <v>0</v>
      </c>
      <c r="Z45">
        <v>15656553</v>
      </c>
      <c r="AA45">
        <v>5962959</v>
      </c>
      <c r="AB45">
        <v>949007</v>
      </c>
      <c r="AC45">
        <v>1684911</v>
      </c>
      <c r="AD45">
        <v>0</v>
      </c>
      <c r="AE45">
        <v>0</v>
      </c>
      <c r="AF45">
        <v>1866801</v>
      </c>
      <c r="AG45">
        <v>10463678</v>
      </c>
      <c r="AH45">
        <v>13085411</v>
      </c>
      <c r="AI45">
        <v>5851792</v>
      </c>
      <c r="AJ45">
        <v>5316227</v>
      </c>
      <c r="AK45">
        <v>0</v>
      </c>
      <c r="AL45">
        <v>0</v>
      </c>
      <c r="AM45">
        <v>1866801</v>
      </c>
      <c r="AN45">
        <v>26120231</v>
      </c>
      <c r="AO45">
        <v>265976</v>
      </c>
      <c r="AP45">
        <v>0</v>
      </c>
      <c r="AQ45">
        <v>48215</v>
      </c>
      <c r="AR45">
        <v>0</v>
      </c>
      <c r="AS45">
        <v>314191</v>
      </c>
      <c r="AT45">
        <v>25766</v>
      </c>
      <c r="AU45">
        <v>0</v>
      </c>
      <c r="AV45">
        <v>11725</v>
      </c>
      <c r="AW45">
        <v>275915</v>
      </c>
      <c r="AX45">
        <v>43616</v>
      </c>
      <c r="AY45">
        <v>291742</v>
      </c>
      <c r="AZ45">
        <v>0</v>
      </c>
      <c r="BA45">
        <v>59940</v>
      </c>
      <c r="BB45">
        <v>6125</v>
      </c>
      <c r="BC45">
        <v>357807</v>
      </c>
      <c r="BD45">
        <v>2091334</v>
      </c>
      <c r="BE45">
        <v>0</v>
      </c>
      <c r="BF45">
        <v>0</v>
      </c>
      <c r="BG45">
        <v>0</v>
      </c>
      <c r="BH45">
        <v>0</v>
      </c>
      <c r="BI45">
        <v>2091334</v>
      </c>
      <c r="BJ45">
        <v>0</v>
      </c>
      <c r="BK45">
        <v>0</v>
      </c>
      <c r="BL45">
        <v>665803</v>
      </c>
      <c r="BM45">
        <v>0</v>
      </c>
      <c r="BN45">
        <v>0</v>
      </c>
      <c r="BO45">
        <v>665803</v>
      </c>
      <c r="BP45">
        <v>6576633</v>
      </c>
      <c r="BQ45">
        <v>0</v>
      </c>
      <c r="BR45">
        <v>0</v>
      </c>
      <c r="BS45">
        <v>0</v>
      </c>
      <c r="BT45">
        <v>120146</v>
      </c>
      <c r="BU45">
        <v>6696779</v>
      </c>
      <c r="BV45">
        <v>8667967</v>
      </c>
      <c r="BW45">
        <v>0</v>
      </c>
      <c r="BX45">
        <v>665803</v>
      </c>
      <c r="BY45">
        <v>0</v>
      </c>
      <c r="BZ45">
        <v>120146</v>
      </c>
      <c r="CA45">
        <v>9453916</v>
      </c>
      <c r="CB45">
        <v>0</v>
      </c>
      <c r="CC45">
        <v>0</v>
      </c>
      <c r="CD45">
        <v>0</v>
      </c>
      <c r="CE45">
        <v>0</v>
      </c>
      <c r="CF45">
        <v>0</v>
      </c>
      <c r="CG45">
        <v>0</v>
      </c>
      <c r="CH45">
        <v>0</v>
      </c>
      <c r="CI45">
        <v>0</v>
      </c>
      <c r="CJ45">
        <v>0</v>
      </c>
      <c r="CK45">
        <v>0</v>
      </c>
      <c r="CL45">
        <v>0</v>
      </c>
      <c r="CM45">
        <v>0</v>
      </c>
      <c r="CN45">
        <v>0</v>
      </c>
      <c r="CO45">
        <v>0</v>
      </c>
      <c r="CP45">
        <v>0</v>
      </c>
      <c r="CQ45">
        <v>0</v>
      </c>
      <c r="CR45">
        <v>31034</v>
      </c>
      <c r="CS45">
        <v>2881432</v>
      </c>
      <c r="CT45">
        <v>0</v>
      </c>
      <c r="CU45">
        <v>21648</v>
      </c>
      <c r="CV45">
        <v>83592</v>
      </c>
      <c r="CW45">
        <v>967680</v>
      </c>
      <c r="CX45">
        <v>571718</v>
      </c>
      <c r="CY45">
        <v>0</v>
      </c>
      <c r="CZ45">
        <v>8888</v>
      </c>
      <c r="DA45">
        <v>564948</v>
      </c>
      <c r="DB45">
        <v>29098</v>
      </c>
      <c r="DC45">
        <v>211268</v>
      </c>
      <c r="DD45">
        <v>13536</v>
      </c>
      <c r="DE45">
        <v>198545</v>
      </c>
      <c r="DF45">
        <v>1324068</v>
      </c>
      <c r="DG45">
        <v>278480</v>
      </c>
      <c r="DH45">
        <v>282336</v>
      </c>
      <c r="DI45">
        <v>0</v>
      </c>
      <c r="DJ45">
        <v>285288</v>
      </c>
      <c r="DK45">
        <v>19200</v>
      </c>
      <c r="DL45">
        <v>223136</v>
      </c>
      <c r="DM45">
        <v>1079176</v>
      </c>
      <c r="DN45">
        <v>135712</v>
      </c>
      <c r="DO45">
        <v>66388</v>
      </c>
      <c r="DP45">
        <v>86160</v>
      </c>
      <c r="DQ45">
        <v>63552</v>
      </c>
      <c r="DR45">
        <v>87536</v>
      </c>
      <c r="DS45">
        <v>1140912</v>
      </c>
      <c r="DT45">
        <v>237360</v>
      </c>
      <c r="DU45">
        <v>0</v>
      </c>
      <c r="DX45" s="69">
        <v>7980225</v>
      </c>
      <c r="DY45" s="69">
        <v>58294</v>
      </c>
      <c r="DZ45" s="69">
        <v>810239</v>
      </c>
      <c r="EA45" s="69">
        <v>2605760</v>
      </c>
      <c r="EB45" s="69">
        <v>1031004</v>
      </c>
      <c r="EC45" s="69">
        <v>0</v>
      </c>
      <c r="ED45" s="69">
        <v>26667</v>
      </c>
      <c r="EE45" s="69">
        <v>1695002</v>
      </c>
      <c r="EF45" s="69">
        <v>121264</v>
      </c>
      <c r="EG45" s="69">
        <v>827740</v>
      </c>
      <c r="EH45" s="69">
        <v>33242</v>
      </c>
      <c r="EI45" s="69">
        <v>231222</v>
      </c>
      <c r="EJ45" s="69">
        <v>5255065</v>
      </c>
      <c r="EK45" s="69">
        <v>823651</v>
      </c>
      <c r="EL45" s="69">
        <v>1303931</v>
      </c>
      <c r="EM45" s="69">
        <v>0</v>
      </c>
      <c r="EN45" s="69">
        <v>1707858</v>
      </c>
      <c r="EO45" s="69">
        <v>128758</v>
      </c>
      <c r="EP45" s="69">
        <v>1173708</v>
      </c>
      <c r="EQ45" s="69">
        <v>3084698</v>
      </c>
      <c r="ER45" s="69">
        <v>452905</v>
      </c>
      <c r="ES45" s="69">
        <v>221553</v>
      </c>
      <c r="ET45" s="69">
        <v>466248</v>
      </c>
      <c r="EU45" s="69">
        <v>379465</v>
      </c>
      <c r="EV45" s="69">
        <v>404513</v>
      </c>
      <c r="EW45" s="69">
        <v>3821569</v>
      </c>
      <c r="EX45" s="69">
        <v>819866</v>
      </c>
      <c r="EY45" s="69">
        <v>0</v>
      </c>
      <c r="EZ45" s="69"/>
      <c r="FA45" s="69"/>
      <c r="FB45" s="69">
        <v>27484222</v>
      </c>
      <c r="FC45" s="69">
        <v>6050</v>
      </c>
      <c r="FD45" s="69">
        <v>187755</v>
      </c>
      <c r="FE45" s="69">
        <v>270438</v>
      </c>
      <c r="FF45" s="69">
        <v>135584</v>
      </c>
      <c r="FG45" s="69">
        <v>0</v>
      </c>
      <c r="FH45" s="69">
        <v>23331</v>
      </c>
      <c r="FI45" s="69">
        <v>326898</v>
      </c>
      <c r="FJ45" s="69">
        <v>50019</v>
      </c>
      <c r="FK45" s="69">
        <v>279006</v>
      </c>
      <c r="FL45" s="69">
        <v>0</v>
      </c>
      <c r="FM45" s="69">
        <v>132193</v>
      </c>
      <c r="FN45" s="69">
        <v>1099276</v>
      </c>
      <c r="FO45" s="69">
        <v>6525</v>
      </c>
      <c r="FP45" s="69">
        <v>425956</v>
      </c>
      <c r="FQ45" s="69">
        <v>0</v>
      </c>
      <c r="FR45" s="69">
        <v>528561</v>
      </c>
      <c r="FS45" s="69">
        <v>27047</v>
      </c>
      <c r="FT45" s="69">
        <v>217797</v>
      </c>
      <c r="FU45" s="69">
        <v>56110</v>
      </c>
      <c r="FV45" s="69">
        <v>5942</v>
      </c>
      <c r="FW45" s="69">
        <v>73386</v>
      </c>
      <c r="FX45" s="69">
        <v>45510</v>
      </c>
      <c r="FY45" s="69">
        <v>4508</v>
      </c>
      <c r="FZ45" s="69">
        <v>1502</v>
      </c>
      <c r="GA45" s="69">
        <v>29724</v>
      </c>
      <c r="GB45" s="69">
        <v>4350</v>
      </c>
      <c r="GC45" s="69">
        <v>0</v>
      </c>
      <c r="GD45" s="69"/>
      <c r="GE45" s="69"/>
      <c r="GF45" s="69">
        <v>3937468</v>
      </c>
      <c r="GG45" s="69">
        <v>5900</v>
      </c>
      <c r="GH45" s="69">
        <v>91518</v>
      </c>
      <c r="GI45" s="69">
        <v>263753</v>
      </c>
      <c r="GJ45" s="69">
        <v>106978</v>
      </c>
      <c r="GK45" s="69">
        <v>0</v>
      </c>
      <c r="GL45" s="69">
        <v>4585</v>
      </c>
      <c r="GM45" s="69">
        <v>185412</v>
      </c>
      <c r="GN45" s="69">
        <v>15707</v>
      </c>
      <c r="GO45" s="69">
        <v>101491</v>
      </c>
      <c r="GP45" s="69">
        <v>3048</v>
      </c>
      <c r="GQ45" s="69">
        <v>33326</v>
      </c>
      <c r="GR45" s="69">
        <v>582706</v>
      </c>
      <c r="GS45" s="69">
        <v>76129</v>
      </c>
      <c r="GT45" s="69">
        <v>158634</v>
      </c>
      <c r="GU45" s="69">
        <v>0</v>
      </c>
      <c r="GV45" s="69">
        <v>205084</v>
      </c>
      <c r="GW45" s="69">
        <v>14288</v>
      </c>
      <c r="GX45" s="69">
        <v>127604</v>
      </c>
      <c r="GY45" s="69">
        <v>288018</v>
      </c>
      <c r="GZ45" s="69">
        <v>42077</v>
      </c>
      <c r="HA45" s="69">
        <v>27046</v>
      </c>
      <c r="HB45" s="69">
        <v>46929</v>
      </c>
      <c r="HC45" s="69">
        <v>35211</v>
      </c>
      <c r="HD45" s="69">
        <v>37232</v>
      </c>
      <c r="HE45" s="69">
        <v>353171</v>
      </c>
      <c r="HF45" s="69">
        <v>75582</v>
      </c>
      <c r="HG45" s="69">
        <v>0</v>
      </c>
      <c r="HH45" s="69"/>
      <c r="HI45" s="69"/>
      <c r="HJ45" s="69">
        <v>2881432</v>
      </c>
      <c r="HK45" s="69">
        <v>7144</v>
      </c>
      <c r="HL45" s="69">
        <v>170043</v>
      </c>
      <c r="HM45" s="69">
        <v>319345</v>
      </c>
      <c r="HN45" s="69">
        <v>130491</v>
      </c>
      <c r="HO45" s="69">
        <v>0</v>
      </c>
      <c r="HP45" s="69">
        <v>6660</v>
      </c>
      <c r="HQ45" s="69">
        <v>264110</v>
      </c>
      <c r="HR45" s="69">
        <v>84412</v>
      </c>
      <c r="HS45" s="69">
        <v>135842</v>
      </c>
      <c r="HT45" s="69">
        <v>6190</v>
      </c>
      <c r="HU45" s="69">
        <v>88256</v>
      </c>
      <c r="HV45" s="69">
        <v>425233</v>
      </c>
      <c r="HW45" s="69">
        <v>47638</v>
      </c>
      <c r="HX45" s="69">
        <v>27025</v>
      </c>
      <c r="HY45" s="69">
        <v>0</v>
      </c>
      <c r="HZ45" s="69">
        <v>373185</v>
      </c>
      <c r="IA45" s="69">
        <v>85775</v>
      </c>
      <c r="IB45" s="69">
        <v>146639</v>
      </c>
      <c r="IC45" s="69">
        <v>151798</v>
      </c>
      <c r="ID45" s="69">
        <v>71686</v>
      </c>
      <c r="IE45" s="69">
        <v>44772</v>
      </c>
      <c r="IF45" s="69">
        <v>103878</v>
      </c>
      <c r="IG45" s="69">
        <v>55620</v>
      </c>
      <c r="IH45" s="69">
        <v>21161</v>
      </c>
      <c r="II45" s="69">
        <v>160004</v>
      </c>
      <c r="IJ45" s="69">
        <v>48779</v>
      </c>
      <c r="IK45" s="69">
        <v>0</v>
      </c>
      <c r="IL45" s="69"/>
      <c r="IM45" s="69"/>
      <c r="IN45" s="69">
        <v>2975686</v>
      </c>
      <c r="IO45" s="69">
        <v>19094</v>
      </c>
      <c r="IP45" s="69">
        <v>449316</v>
      </c>
      <c r="IQ45" s="69">
        <v>853536</v>
      </c>
      <c r="IR45" s="69">
        <v>373053</v>
      </c>
      <c r="IS45" s="69">
        <v>0</v>
      </c>
      <c r="IT45" s="69">
        <v>34576</v>
      </c>
      <c r="IU45" s="69">
        <v>776420</v>
      </c>
      <c r="IV45" s="69">
        <v>150138</v>
      </c>
      <c r="IW45" s="69">
        <v>516339</v>
      </c>
      <c r="IX45" s="69">
        <v>9238</v>
      </c>
      <c r="IY45" s="69">
        <v>253775</v>
      </c>
      <c r="IZ45" s="69">
        <v>2107215</v>
      </c>
      <c r="JA45" s="69">
        <v>130292</v>
      </c>
      <c r="JB45" s="69">
        <v>611615</v>
      </c>
      <c r="JC45" s="69">
        <v>0</v>
      </c>
      <c r="JD45" s="69">
        <v>1106830</v>
      </c>
      <c r="JE45" s="69">
        <v>127110</v>
      </c>
      <c r="JF45" s="69">
        <v>492040</v>
      </c>
      <c r="JG45" s="69">
        <v>495926</v>
      </c>
      <c r="JH45" s="69">
        <v>119705</v>
      </c>
      <c r="JI45" s="69">
        <v>145204</v>
      </c>
      <c r="JJ45" s="69">
        <v>196317</v>
      </c>
      <c r="JK45" s="69">
        <v>95339</v>
      </c>
      <c r="JL45" s="69">
        <v>59895</v>
      </c>
      <c r="JM45" s="69">
        <v>542899</v>
      </c>
      <c r="JN45" s="69">
        <v>128711</v>
      </c>
      <c r="JO45" s="69">
        <v>0</v>
      </c>
      <c r="JP45" s="69"/>
      <c r="JQ45" s="69"/>
      <c r="JR45" s="69">
        <v>9794586</v>
      </c>
      <c r="JS45" s="69">
        <v>77388</v>
      </c>
      <c r="JT45" s="69">
        <v>1259555</v>
      </c>
      <c r="JU45" s="69">
        <v>3459296</v>
      </c>
      <c r="JV45" s="69">
        <v>1404057</v>
      </c>
      <c r="JW45" s="69">
        <v>0</v>
      </c>
      <c r="JX45" s="69">
        <v>61243</v>
      </c>
      <c r="JY45" s="69">
        <v>2471422</v>
      </c>
      <c r="JZ45" s="69">
        <v>271402</v>
      </c>
      <c r="KA45" s="69">
        <v>1344079</v>
      </c>
      <c r="KB45" s="69">
        <v>42480</v>
      </c>
      <c r="KC45" s="69">
        <v>484997</v>
      </c>
      <c r="KD45" s="69">
        <v>7362280</v>
      </c>
      <c r="KE45" s="69">
        <v>953943</v>
      </c>
      <c r="KF45" s="69">
        <v>1915546</v>
      </c>
      <c r="KG45" s="69">
        <v>0</v>
      </c>
      <c r="KH45" s="69">
        <v>2814688</v>
      </c>
      <c r="KI45" s="69">
        <v>255868</v>
      </c>
      <c r="KJ45" s="69">
        <v>1665748</v>
      </c>
      <c r="KK45" s="69">
        <v>3580624</v>
      </c>
      <c r="KL45" s="69">
        <v>572610</v>
      </c>
      <c r="KM45" s="69">
        <v>366757</v>
      </c>
      <c r="KN45" s="69">
        <v>662565</v>
      </c>
      <c r="KO45" s="69">
        <v>474804</v>
      </c>
      <c r="KP45" s="69">
        <v>464408</v>
      </c>
      <c r="KQ45" s="69">
        <v>4364468</v>
      </c>
      <c r="KR45" s="69">
        <v>948577</v>
      </c>
      <c r="KS45" s="69">
        <v>0</v>
      </c>
      <c r="KT45" s="69"/>
      <c r="KU45" s="69"/>
      <c r="KV45" s="69">
        <v>37278808</v>
      </c>
      <c r="KW45" s="69"/>
    </row>
    <row r="46" spans="1:309" x14ac:dyDescent="0.25">
      <c r="A46" t="s">
        <v>400</v>
      </c>
      <c r="C46" t="s">
        <v>1088</v>
      </c>
      <c r="D46" t="s">
        <v>1111</v>
      </c>
      <c r="E46" s="2">
        <v>39793.543101851901</v>
      </c>
      <c r="G46" t="s">
        <v>401</v>
      </c>
      <c r="L46">
        <v>0</v>
      </c>
      <c r="M46">
        <v>0</v>
      </c>
      <c r="N46">
        <v>0</v>
      </c>
      <c r="O46">
        <v>19399155</v>
      </c>
      <c r="P46" s="69">
        <v>0</v>
      </c>
      <c r="Q46" s="69">
        <v>308431</v>
      </c>
      <c r="R46">
        <v>0</v>
      </c>
      <c r="S46">
        <v>308431</v>
      </c>
      <c r="T46">
        <v>2163178</v>
      </c>
      <c r="U46">
        <v>953343</v>
      </c>
      <c r="V46">
        <v>1551123</v>
      </c>
      <c r="W46">
        <v>0</v>
      </c>
      <c r="X46">
        <v>0</v>
      </c>
      <c r="Y46">
        <v>0</v>
      </c>
      <c r="Z46">
        <v>4667644</v>
      </c>
      <c r="AA46">
        <v>1046254</v>
      </c>
      <c r="AB46">
        <v>281553</v>
      </c>
      <c r="AC46">
        <v>294876</v>
      </c>
      <c r="AD46">
        <v>0</v>
      </c>
      <c r="AE46">
        <v>0</v>
      </c>
      <c r="AF46">
        <v>318191</v>
      </c>
      <c r="AG46">
        <v>1940874</v>
      </c>
      <c r="AH46">
        <v>3209432</v>
      </c>
      <c r="AI46">
        <v>1234896</v>
      </c>
      <c r="AJ46">
        <v>1845999</v>
      </c>
      <c r="AK46">
        <v>0</v>
      </c>
      <c r="AL46">
        <v>0</v>
      </c>
      <c r="AM46">
        <v>318191</v>
      </c>
      <c r="AN46">
        <v>6608518</v>
      </c>
      <c r="AO46">
        <v>93790</v>
      </c>
      <c r="AP46">
        <v>0</v>
      </c>
      <c r="AQ46">
        <v>0</v>
      </c>
      <c r="AR46">
        <v>0</v>
      </c>
      <c r="AS46">
        <v>93790</v>
      </c>
      <c r="AT46">
        <v>312</v>
      </c>
      <c r="AU46">
        <v>0</v>
      </c>
      <c r="AV46">
        <v>0</v>
      </c>
      <c r="AW46">
        <v>0</v>
      </c>
      <c r="AX46">
        <v>312</v>
      </c>
      <c r="AY46">
        <v>94102</v>
      </c>
      <c r="AZ46">
        <v>0</v>
      </c>
      <c r="BA46">
        <v>0</v>
      </c>
      <c r="BB46">
        <v>0</v>
      </c>
      <c r="BC46">
        <v>94102</v>
      </c>
      <c r="BD46">
        <v>969895</v>
      </c>
      <c r="BE46">
        <v>0</v>
      </c>
      <c r="BF46">
        <v>0</v>
      </c>
      <c r="BG46">
        <v>0</v>
      </c>
      <c r="BH46">
        <v>0</v>
      </c>
      <c r="BI46">
        <v>969895</v>
      </c>
      <c r="BJ46">
        <v>0</v>
      </c>
      <c r="BK46">
        <v>0</v>
      </c>
      <c r="BL46">
        <v>62827</v>
      </c>
      <c r="BM46">
        <v>0</v>
      </c>
      <c r="BN46">
        <v>0</v>
      </c>
      <c r="BO46">
        <v>62827</v>
      </c>
      <c r="BP46">
        <v>2828207</v>
      </c>
      <c r="BQ46">
        <v>0</v>
      </c>
      <c r="BR46">
        <v>0</v>
      </c>
      <c r="BS46">
        <v>0</v>
      </c>
      <c r="BT46">
        <v>0</v>
      </c>
      <c r="BU46">
        <v>2828207</v>
      </c>
      <c r="BV46">
        <v>3798102</v>
      </c>
      <c r="BW46">
        <v>0</v>
      </c>
      <c r="BX46">
        <v>62827</v>
      </c>
      <c r="BY46">
        <v>0</v>
      </c>
      <c r="BZ46">
        <v>0</v>
      </c>
      <c r="CA46">
        <v>3860929</v>
      </c>
      <c r="CB46">
        <v>0</v>
      </c>
      <c r="CC46">
        <v>0</v>
      </c>
      <c r="CD46">
        <v>0</v>
      </c>
      <c r="CE46">
        <v>0</v>
      </c>
      <c r="CF46">
        <v>0</v>
      </c>
      <c r="CG46">
        <v>0</v>
      </c>
      <c r="CH46">
        <v>0</v>
      </c>
      <c r="CI46">
        <v>0</v>
      </c>
      <c r="CJ46">
        <v>0</v>
      </c>
      <c r="CK46">
        <v>0</v>
      </c>
      <c r="CL46">
        <v>0</v>
      </c>
      <c r="CM46">
        <v>0</v>
      </c>
      <c r="CN46">
        <v>0</v>
      </c>
      <c r="CO46">
        <v>0</v>
      </c>
      <c r="CP46">
        <v>0</v>
      </c>
      <c r="CQ46">
        <v>0</v>
      </c>
      <c r="CR46">
        <v>3614</v>
      </c>
      <c r="CS46">
        <v>477618</v>
      </c>
      <c r="CT46">
        <v>0</v>
      </c>
      <c r="CU46">
        <v>20672</v>
      </c>
      <c r="CV46">
        <v>7248</v>
      </c>
      <c r="CW46">
        <v>222080</v>
      </c>
      <c r="CX46">
        <v>112066</v>
      </c>
      <c r="CY46">
        <v>0</v>
      </c>
      <c r="CZ46">
        <v>9198</v>
      </c>
      <c r="DA46">
        <v>125000</v>
      </c>
      <c r="DB46">
        <v>8160</v>
      </c>
      <c r="DC46">
        <v>111752</v>
      </c>
      <c r="DD46">
        <v>1504</v>
      </c>
      <c r="DE46">
        <v>14640</v>
      </c>
      <c r="DF46">
        <v>335536</v>
      </c>
      <c r="DG46">
        <v>35216</v>
      </c>
      <c r="DH46">
        <v>7904</v>
      </c>
      <c r="DI46">
        <v>0</v>
      </c>
      <c r="DJ46">
        <v>45336</v>
      </c>
      <c r="DK46">
        <v>0</v>
      </c>
      <c r="DL46">
        <v>104608</v>
      </c>
      <c r="DM46">
        <v>220240</v>
      </c>
      <c r="DN46">
        <v>53760</v>
      </c>
      <c r="DO46">
        <v>33320</v>
      </c>
      <c r="DP46">
        <v>4992</v>
      </c>
      <c r="DQ46">
        <v>57840</v>
      </c>
      <c r="DR46">
        <v>76857</v>
      </c>
      <c r="DS46">
        <v>395392</v>
      </c>
      <c r="DT46">
        <v>74208</v>
      </c>
      <c r="DU46">
        <v>0</v>
      </c>
      <c r="DX46" s="69">
        <v>2077529</v>
      </c>
      <c r="DY46" s="69">
        <v>108329</v>
      </c>
      <c r="DZ46" s="69">
        <v>57466</v>
      </c>
      <c r="EA46" s="69">
        <v>737212</v>
      </c>
      <c r="EB46" s="69">
        <v>560356</v>
      </c>
      <c r="EC46" s="69">
        <v>0</v>
      </c>
      <c r="ED46" s="69">
        <v>4096</v>
      </c>
      <c r="EE46" s="69">
        <v>214098</v>
      </c>
      <c r="EF46" s="69">
        <v>34646</v>
      </c>
      <c r="EG46" s="69">
        <v>350818</v>
      </c>
      <c r="EH46" s="69">
        <v>0</v>
      </c>
      <c r="EI46" s="69">
        <v>143376</v>
      </c>
      <c r="EJ46" s="69">
        <v>1106277</v>
      </c>
      <c r="EK46" s="69">
        <v>67701</v>
      </c>
      <c r="EL46" s="69">
        <v>0</v>
      </c>
      <c r="EM46" s="69">
        <v>0</v>
      </c>
      <c r="EN46" s="69">
        <v>0</v>
      </c>
      <c r="EO46" s="69">
        <v>0</v>
      </c>
      <c r="EP46" s="69">
        <v>437164</v>
      </c>
      <c r="EQ46" s="69">
        <v>792741</v>
      </c>
      <c r="ER46" s="69">
        <v>195582</v>
      </c>
      <c r="ES46" s="69">
        <v>58232</v>
      </c>
      <c r="ET46" s="69">
        <v>0</v>
      </c>
      <c r="EU46" s="69">
        <v>153233</v>
      </c>
      <c r="EV46" s="69">
        <v>259771</v>
      </c>
      <c r="EW46" s="69">
        <v>1144562</v>
      </c>
      <c r="EX46" s="69">
        <v>254726</v>
      </c>
      <c r="EY46" s="69">
        <v>0</v>
      </c>
      <c r="EZ46" s="69"/>
      <c r="FA46" s="69"/>
      <c r="FB46" s="69">
        <v>6680386</v>
      </c>
      <c r="FC46" s="69">
        <v>0</v>
      </c>
      <c r="FD46" s="69">
        <v>3806</v>
      </c>
      <c r="FE46" s="69">
        <v>0</v>
      </c>
      <c r="FF46" s="69">
        <v>17270</v>
      </c>
      <c r="FG46" s="69">
        <v>0</v>
      </c>
      <c r="FH46" s="69">
        <v>6907</v>
      </c>
      <c r="FI46" s="69">
        <v>20022</v>
      </c>
      <c r="FJ46" s="69">
        <v>0</v>
      </c>
      <c r="FK46" s="69">
        <v>7617</v>
      </c>
      <c r="FL46" s="69">
        <v>0</v>
      </c>
      <c r="FM46" s="69">
        <v>2910</v>
      </c>
      <c r="FN46" s="69">
        <v>132234</v>
      </c>
      <c r="FO46" s="69">
        <v>0</v>
      </c>
      <c r="FP46" s="69">
        <v>0</v>
      </c>
      <c r="FQ46" s="69">
        <v>0</v>
      </c>
      <c r="FR46" s="69">
        <v>21832</v>
      </c>
      <c r="FS46" s="69">
        <v>0</v>
      </c>
      <c r="FT46" s="69">
        <v>59756</v>
      </c>
      <c r="FU46" s="69">
        <v>129081</v>
      </c>
      <c r="FV46" s="69">
        <v>1908</v>
      </c>
      <c r="FW46" s="69">
        <v>165295</v>
      </c>
      <c r="FX46" s="69">
        <v>0</v>
      </c>
      <c r="FY46" s="69">
        <v>73485</v>
      </c>
      <c r="FZ46" s="69">
        <v>120010</v>
      </c>
      <c r="GA46" s="69">
        <v>3696</v>
      </c>
      <c r="GB46" s="69">
        <v>0</v>
      </c>
      <c r="GC46" s="69">
        <v>0</v>
      </c>
      <c r="GD46" s="69"/>
      <c r="GE46" s="69"/>
      <c r="GF46" s="69">
        <v>765829</v>
      </c>
      <c r="GG46" s="69">
        <v>6948</v>
      </c>
      <c r="GH46" s="69">
        <v>3930</v>
      </c>
      <c r="GI46" s="69">
        <v>47287</v>
      </c>
      <c r="GJ46" s="69">
        <v>37050</v>
      </c>
      <c r="GK46" s="69">
        <v>0</v>
      </c>
      <c r="GL46" s="69">
        <v>706</v>
      </c>
      <c r="GM46" s="69">
        <v>15017</v>
      </c>
      <c r="GN46" s="69">
        <v>2222</v>
      </c>
      <c r="GO46" s="69">
        <v>22991</v>
      </c>
      <c r="GP46" s="69">
        <v>0</v>
      </c>
      <c r="GQ46" s="69">
        <v>9383</v>
      </c>
      <c r="GR46" s="69">
        <v>79441</v>
      </c>
      <c r="GS46" s="69">
        <v>4343</v>
      </c>
      <c r="GT46" s="69">
        <v>0</v>
      </c>
      <c r="GU46" s="69">
        <v>0</v>
      </c>
      <c r="GV46" s="69">
        <v>1400</v>
      </c>
      <c r="GW46" s="69">
        <v>0</v>
      </c>
      <c r="GX46" s="69">
        <v>31874</v>
      </c>
      <c r="GY46" s="69">
        <v>59128</v>
      </c>
      <c r="GZ46" s="69">
        <v>12667</v>
      </c>
      <c r="HA46" s="69">
        <v>14338</v>
      </c>
      <c r="HB46" s="69">
        <v>0</v>
      </c>
      <c r="HC46" s="69">
        <v>14542</v>
      </c>
      <c r="HD46" s="69">
        <v>24360</v>
      </c>
      <c r="HE46" s="69">
        <v>73652</v>
      </c>
      <c r="HF46" s="69">
        <v>16339</v>
      </c>
      <c r="HG46" s="69">
        <v>0</v>
      </c>
      <c r="HH46" s="69"/>
      <c r="HI46" s="69"/>
      <c r="HJ46" s="69">
        <v>477618</v>
      </c>
      <c r="HK46" s="69">
        <v>19975</v>
      </c>
      <c r="HL46" s="69">
        <v>10064</v>
      </c>
      <c r="HM46" s="69">
        <v>104725</v>
      </c>
      <c r="HN46" s="69">
        <v>81424</v>
      </c>
      <c r="HO46" s="69">
        <v>0</v>
      </c>
      <c r="HP46" s="69">
        <v>7164</v>
      </c>
      <c r="HQ46" s="69">
        <v>43363</v>
      </c>
      <c r="HR46" s="69">
        <v>9871</v>
      </c>
      <c r="HS46" s="69">
        <v>37339</v>
      </c>
      <c r="HT46" s="69">
        <v>2407</v>
      </c>
      <c r="HU46" s="69">
        <v>12798</v>
      </c>
      <c r="HV46" s="69">
        <v>50706</v>
      </c>
      <c r="HW46" s="69">
        <v>3872</v>
      </c>
      <c r="HX46" s="69">
        <v>0</v>
      </c>
      <c r="HY46" s="69">
        <v>0</v>
      </c>
      <c r="HZ46" s="69">
        <v>60407</v>
      </c>
      <c r="IA46" s="69">
        <v>0</v>
      </c>
      <c r="IB46" s="69">
        <v>74501</v>
      </c>
      <c r="IC46" s="69">
        <v>32146</v>
      </c>
      <c r="ID46" s="69">
        <v>50927</v>
      </c>
      <c r="IE46" s="69">
        <v>166753</v>
      </c>
      <c r="IF46" s="69">
        <v>2407</v>
      </c>
      <c r="IG46" s="69">
        <v>41573</v>
      </c>
      <c r="IH46" s="69">
        <v>50058</v>
      </c>
      <c r="II46" s="69">
        <v>35572</v>
      </c>
      <c r="IJ46" s="69">
        <v>23481</v>
      </c>
      <c r="IK46" s="69">
        <v>0</v>
      </c>
      <c r="IL46" s="69"/>
      <c r="IM46" s="69"/>
      <c r="IN46" s="69">
        <v>921533</v>
      </c>
      <c r="IO46" s="69">
        <v>26923</v>
      </c>
      <c r="IP46" s="69">
        <v>17800</v>
      </c>
      <c r="IQ46" s="69">
        <v>152012</v>
      </c>
      <c r="IR46" s="69">
        <v>135744</v>
      </c>
      <c r="IS46" s="69">
        <v>0</v>
      </c>
      <c r="IT46" s="69">
        <v>14777</v>
      </c>
      <c r="IU46" s="69">
        <v>78402</v>
      </c>
      <c r="IV46" s="69">
        <v>12093</v>
      </c>
      <c r="IW46" s="69">
        <v>67947</v>
      </c>
      <c r="IX46" s="69">
        <v>2407</v>
      </c>
      <c r="IY46" s="69">
        <v>25091</v>
      </c>
      <c r="IZ46" s="69">
        <v>262381</v>
      </c>
      <c r="JA46" s="69">
        <v>8215</v>
      </c>
      <c r="JB46" s="69">
        <v>0</v>
      </c>
      <c r="JC46" s="69">
        <v>0</v>
      </c>
      <c r="JD46" s="69">
        <v>83639</v>
      </c>
      <c r="JE46" s="69">
        <v>0</v>
      </c>
      <c r="JF46" s="69">
        <v>166131</v>
      </c>
      <c r="JG46" s="69">
        <v>220355</v>
      </c>
      <c r="JH46" s="69">
        <v>65502</v>
      </c>
      <c r="JI46" s="69">
        <v>346386</v>
      </c>
      <c r="JJ46" s="69">
        <v>2407</v>
      </c>
      <c r="JK46" s="69">
        <v>129600</v>
      </c>
      <c r="JL46" s="69">
        <v>194428</v>
      </c>
      <c r="JM46" s="69">
        <v>112920</v>
      </c>
      <c r="JN46" s="69">
        <v>39820</v>
      </c>
      <c r="JO46" s="69">
        <v>0</v>
      </c>
      <c r="JP46" s="69"/>
      <c r="JQ46" s="69"/>
      <c r="JR46" s="69">
        <v>2164980</v>
      </c>
      <c r="JS46" s="69">
        <v>135252</v>
      </c>
      <c r="JT46" s="69">
        <v>75266</v>
      </c>
      <c r="JU46" s="69">
        <v>889224</v>
      </c>
      <c r="JV46" s="69">
        <v>696100</v>
      </c>
      <c r="JW46" s="69">
        <v>0</v>
      </c>
      <c r="JX46" s="69">
        <v>18873</v>
      </c>
      <c r="JY46" s="69">
        <v>292500</v>
      </c>
      <c r="JZ46" s="69">
        <v>46739</v>
      </c>
      <c r="KA46" s="69">
        <v>418765</v>
      </c>
      <c r="KB46" s="69">
        <v>2407</v>
      </c>
      <c r="KC46" s="69">
        <v>168467</v>
      </c>
      <c r="KD46" s="69">
        <v>1368658</v>
      </c>
      <c r="KE46" s="69">
        <v>75916</v>
      </c>
      <c r="KF46" s="69">
        <v>0</v>
      </c>
      <c r="KG46" s="69">
        <v>0</v>
      </c>
      <c r="KH46" s="69">
        <v>83639</v>
      </c>
      <c r="KI46" s="69">
        <v>0</v>
      </c>
      <c r="KJ46" s="69">
        <v>603295</v>
      </c>
      <c r="KK46" s="69">
        <v>1013096</v>
      </c>
      <c r="KL46" s="69">
        <v>261084</v>
      </c>
      <c r="KM46" s="69">
        <v>404618</v>
      </c>
      <c r="KN46" s="69">
        <v>2407</v>
      </c>
      <c r="KO46" s="69">
        <v>282833</v>
      </c>
      <c r="KP46" s="69">
        <v>454199</v>
      </c>
      <c r="KQ46" s="69">
        <v>1257482</v>
      </c>
      <c r="KR46" s="69">
        <v>294546</v>
      </c>
      <c r="KS46" s="69">
        <v>0</v>
      </c>
      <c r="KT46" s="69"/>
      <c r="KU46" s="69"/>
      <c r="KV46" s="69">
        <v>8845366</v>
      </c>
      <c r="KW46" s="69" t="s">
        <v>1143</v>
      </c>
    </row>
    <row r="47" spans="1:309" x14ac:dyDescent="0.25">
      <c r="A47" t="s">
        <v>402</v>
      </c>
      <c r="C47" t="s">
        <v>1088</v>
      </c>
      <c r="D47" t="s">
        <v>1112</v>
      </c>
      <c r="E47" s="2">
        <v>39793.646736111099</v>
      </c>
      <c r="G47" t="s">
        <v>403</v>
      </c>
      <c r="L47">
        <v>0</v>
      </c>
      <c r="M47">
        <v>0</v>
      </c>
      <c r="N47">
        <v>0</v>
      </c>
      <c r="O47">
        <v>146732504</v>
      </c>
      <c r="P47" s="69">
        <v>0</v>
      </c>
      <c r="Q47" s="69">
        <v>4721591</v>
      </c>
      <c r="R47">
        <v>0</v>
      </c>
      <c r="S47">
        <v>4721591</v>
      </c>
      <c r="T47">
        <v>10652227</v>
      </c>
      <c r="U47">
        <v>10164306</v>
      </c>
      <c r="V47">
        <v>8769468</v>
      </c>
      <c r="W47">
        <v>0</v>
      </c>
      <c r="X47">
        <v>0</v>
      </c>
      <c r="Y47">
        <v>0</v>
      </c>
      <c r="Z47">
        <v>29586001</v>
      </c>
      <c r="AA47">
        <v>5795968</v>
      </c>
      <c r="AB47">
        <v>1562170</v>
      </c>
      <c r="AC47">
        <v>1510734</v>
      </c>
      <c r="AD47">
        <v>0</v>
      </c>
      <c r="AE47">
        <v>464031</v>
      </c>
      <c r="AF47">
        <v>2262163</v>
      </c>
      <c r="AG47">
        <v>11595066</v>
      </c>
      <c r="AH47">
        <v>16448195</v>
      </c>
      <c r="AI47">
        <v>11726476</v>
      </c>
      <c r="AJ47">
        <v>10280202</v>
      </c>
      <c r="AK47">
        <v>0</v>
      </c>
      <c r="AL47">
        <v>464031</v>
      </c>
      <c r="AM47">
        <v>2262163</v>
      </c>
      <c r="AN47">
        <v>41181067</v>
      </c>
      <c r="AO47">
        <v>2620219</v>
      </c>
      <c r="AP47">
        <v>0</v>
      </c>
      <c r="AQ47">
        <v>0</v>
      </c>
      <c r="AR47">
        <v>0</v>
      </c>
      <c r="AS47">
        <v>2620219</v>
      </c>
      <c r="AT47">
        <v>672958</v>
      </c>
      <c r="AU47">
        <v>0</v>
      </c>
      <c r="AV47">
        <v>0</v>
      </c>
      <c r="AW47">
        <v>19410</v>
      </c>
      <c r="AX47">
        <v>692368</v>
      </c>
      <c r="AY47">
        <v>3293177</v>
      </c>
      <c r="AZ47">
        <v>0</v>
      </c>
      <c r="BA47">
        <v>0</v>
      </c>
      <c r="BB47">
        <v>19410</v>
      </c>
      <c r="BC47">
        <v>3312587</v>
      </c>
      <c r="BD47">
        <v>8448627</v>
      </c>
      <c r="BE47">
        <v>0</v>
      </c>
      <c r="BF47">
        <v>0</v>
      </c>
      <c r="BG47">
        <v>0</v>
      </c>
      <c r="BH47">
        <v>0</v>
      </c>
      <c r="BI47">
        <v>8448627</v>
      </c>
      <c r="BJ47">
        <v>0</v>
      </c>
      <c r="BK47">
        <v>0</v>
      </c>
      <c r="BL47">
        <v>2586504</v>
      </c>
      <c r="BM47">
        <v>0</v>
      </c>
      <c r="BN47">
        <v>0</v>
      </c>
      <c r="BO47">
        <v>2586504</v>
      </c>
      <c r="BP47">
        <v>17404888</v>
      </c>
      <c r="BQ47">
        <v>3853633</v>
      </c>
      <c r="BR47">
        <v>0</v>
      </c>
      <c r="BS47">
        <v>0</v>
      </c>
      <c r="BT47">
        <v>498885</v>
      </c>
      <c r="BU47">
        <v>21757406</v>
      </c>
      <c r="BV47">
        <v>25853515</v>
      </c>
      <c r="BW47">
        <v>3853633</v>
      </c>
      <c r="BX47">
        <v>2586504</v>
      </c>
      <c r="BY47">
        <v>0</v>
      </c>
      <c r="BZ47">
        <v>498885</v>
      </c>
      <c r="CA47">
        <v>32792537</v>
      </c>
      <c r="CB47">
        <v>0</v>
      </c>
      <c r="CC47">
        <v>0</v>
      </c>
      <c r="CD47">
        <v>0</v>
      </c>
      <c r="CE47">
        <v>0</v>
      </c>
      <c r="CF47">
        <v>0</v>
      </c>
      <c r="CG47">
        <v>0</v>
      </c>
      <c r="CH47">
        <v>0</v>
      </c>
      <c r="CI47">
        <v>0</v>
      </c>
      <c r="CJ47">
        <v>0</v>
      </c>
      <c r="CK47">
        <v>0</v>
      </c>
      <c r="CL47">
        <v>0</v>
      </c>
      <c r="CM47">
        <v>0</v>
      </c>
      <c r="CN47">
        <v>0</v>
      </c>
      <c r="CO47">
        <v>0</v>
      </c>
      <c r="CP47">
        <v>0</v>
      </c>
      <c r="CQ47">
        <v>0</v>
      </c>
      <c r="CR47">
        <v>3626</v>
      </c>
      <c r="CS47">
        <v>6055326</v>
      </c>
      <c r="CT47">
        <v>0</v>
      </c>
      <c r="CU47">
        <v>27236</v>
      </c>
      <c r="CV47">
        <v>34420</v>
      </c>
      <c r="CW47">
        <v>2185056</v>
      </c>
      <c r="CX47">
        <v>998437</v>
      </c>
      <c r="CY47">
        <v>1008</v>
      </c>
      <c r="CZ47">
        <v>282176</v>
      </c>
      <c r="DA47">
        <v>554501</v>
      </c>
      <c r="DB47">
        <v>1236</v>
      </c>
      <c r="DC47">
        <v>221932</v>
      </c>
      <c r="DD47">
        <v>10048</v>
      </c>
      <c r="DE47">
        <v>221121</v>
      </c>
      <c r="DF47">
        <v>2367296</v>
      </c>
      <c r="DG47">
        <v>480240</v>
      </c>
      <c r="DH47">
        <v>277147</v>
      </c>
      <c r="DI47">
        <v>37568</v>
      </c>
      <c r="DJ47">
        <v>315983</v>
      </c>
      <c r="DK47">
        <v>43248</v>
      </c>
      <c r="DL47">
        <v>0</v>
      </c>
      <c r="DM47">
        <v>1425205</v>
      </c>
      <c r="DN47">
        <v>104988</v>
      </c>
      <c r="DO47">
        <v>189854</v>
      </c>
      <c r="DP47">
        <v>36514</v>
      </c>
      <c r="DQ47">
        <v>402816</v>
      </c>
      <c r="DR47">
        <v>313149</v>
      </c>
      <c r="DS47">
        <v>3049376</v>
      </c>
      <c r="DT47">
        <v>1006892</v>
      </c>
      <c r="DU47">
        <v>0</v>
      </c>
      <c r="DX47" s="69">
        <v>14587447</v>
      </c>
      <c r="DY47" s="69">
        <v>99287</v>
      </c>
      <c r="DZ47" s="69">
        <v>404751</v>
      </c>
      <c r="EA47" s="69">
        <v>6001371</v>
      </c>
      <c r="EB47" s="69">
        <v>2688451</v>
      </c>
      <c r="EC47" s="69"/>
      <c r="ED47" s="69">
        <v>585711</v>
      </c>
      <c r="EE47" s="69">
        <v>2301609</v>
      </c>
      <c r="EF47" s="69">
        <v>831</v>
      </c>
      <c r="EG47" s="69">
        <v>710114</v>
      </c>
      <c r="EH47" s="69">
        <v>59935</v>
      </c>
      <c r="EI47" s="69">
        <v>1123526</v>
      </c>
      <c r="EJ47" s="69">
        <v>7499415</v>
      </c>
      <c r="EK47" s="69">
        <v>1295080</v>
      </c>
      <c r="EL47" s="69">
        <v>2134969</v>
      </c>
      <c r="EM47" s="69">
        <v>418954</v>
      </c>
      <c r="EN47" s="69">
        <v>1624095</v>
      </c>
      <c r="EO47" s="69">
        <v>400003</v>
      </c>
      <c r="EP47" s="69">
        <v>0</v>
      </c>
      <c r="EQ47" s="69">
        <v>4481011</v>
      </c>
      <c r="ER47" s="69">
        <v>476469</v>
      </c>
      <c r="ES47" s="69">
        <v>829336</v>
      </c>
      <c r="ET47" s="69">
        <v>14065</v>
      </c>
      <c r="EU47" s="69">
        <v>1522770</v>
      </c>
      <c r="EV47" s="69">
        <v>1300739</v>
      </c>
      <c r="EW47" s="69">
        <v>7027725</v>
      </c>
      <c r="EX47" s="69">
        <v>4018161</v>
      </c>
      <c r="EY47" s="69">
        <v>0</v>
      </c>
      <c r="EZ47" s="69"/>
      <c r="FA47" s="69"/>
      <c r="FB47" s="69">
        <v>47020167</v>
      </c>
      <c r="FC47" s="69">
        <v>20248</v>
      </c>
      <c r="FD47" s="69">
        <v>26471</v>
      </c>
      <c r="FE47" s="69">
        <v>1004161</v>
      </c>
      <c r="FF47" s="69">
        <v>703151</v>
      </c>
      <c r="FG47" s="69">
        <v>3412</v>
      </c>
      <c r="FH47" s="69">
        <v>747461</v>
      </c>
      <c r="FI47" s="69">
        <v>388287</v>
      </c>
      <c r="FJ47" s="69">
        <v>1911</v>
      </c>
      <c r="FK47" s="69">
        <v>103027</v>
      </c>
      <c r="FL47" s="69">
        <v>5232</v>
      </c>
      <c r="FM47" s="69">
        <v>226512</v>
      </c>
      <c r="FN47" s="69">
        <v>1045260</v>
      </c>
      <c r="FO47" s="69">
        <v>215080</v>
      </c>
      <c r="FP47" s="69">
        <v>453946</v>
      </c>
      <c r="FQ47" s="69">
        <v>21682</v>
      </c>
      <c r="FR47" s="69">
        <v>596310</v>
      </c>
      <c r="FS47" s="69">
        <v>20611</v>
      </c>
      <c r="FT47" s="69">
        <v>0</v>
      </c>
      <c r="FU47" s="69">
        <v>643533</v>
      </c>
      <c r="FV47" s="69">
        <v>77477</v>
      </c>
      <c r="FW47" s="69">
        <v>181678</v>
      </c>
      <c r="FX47" s="69">
        <v>38989</v>
      </c>
      <c r="FY47" s="69">
        <v>199300</v>
      </c>
      <c r="FZ47" s="69">
        <v>1075799</v>
      </c>
      <c r="GA47" s="69">
        <v>1314483</v>
      </c>
      <c r="GB47" s="69">
        <v>488119</v>
      </c>
      <c r="GC47" s="69">
        <v>0</v>
      </c>
      <c r="GD47" s="69"/>
      <c r="GE47" s="69"/>
      <c r="GF47" s="69">
        <v>9602140</v>
      </c>
      <c r="GG47" s="69">
        <v>12783</v>
      </c>
      <c r="GH47" s="69">
        <v>46116</v>
      </c>
      <c r="GI47" s="69">
        <v>749188</v>
      </c>
      <c r="GJ47" s="69">
        <v>362706</v>
      </c>
      <c r="GK47" s="69">
        <v>556</v>
      </c>
      <c r="GL47" s="69">
        <v>142573</v>
      </c>
      <c r="GM47" s="69">
        <v>287664</v>
      </c>
      <c r="GN47" s="69">
        <v>293</v>
      </c>
      <c r="GO47" s="69">
        <v>86959</v>
      </c>
      <c r="GP47" s="69">
        <v>6969</v>
      </c>
      <c r="GQ47" s="69">
        <v>144376</v>
      </c>
      <c r="GR47" s="69">
        <v>913788</v>
      </c>
      <c r="GS47" s="69">
        <v>161500</v>
      </c>
      <c r="GT47" s="69">
        <v>276865</v>
      </c>
      <c r="GU47" s="69">
        <v>47123</v>
      </c>
      <c r="GV47" s="69">
        <v>237455</v>
      </c>
      <c r="GW47" s="69">
        <v>44981</v>
      </c>
      <c r="GX47" s="69">
        <v>0</v>
      </c>
      <c r="GY47" s="69">
        <v>548031</v>
      </c>
      <c r="GZ47" s="69">
        <v>59240</v>
      </c>
      <c r="HA47" s="69">
        <v>108120</v>
      </c>
      <c r="HB47" s="69">
        <v>5674</v>
      </c>
      <c r="HC47" s="69">
        <v>184162</v>
      </c>
      <c r="HD47" s="69">
        <v>254153</v>
      </c>
      <c r="HE47" s="69">
        <v>892136</v>
      </c>
      <c r="HF47" s="69">
        <v>481912</v>
      </c>
      <c r="HG47" s="69">
        <v>0</v>
      </c>
      <c r="HH47" s="69"/>
      <c r="HI47" s="69"/>
      <c r="HJ47" s="69">
        <v>6055326</v>
      </c>
      <c r="HK47" s="69">
        <v>41111</v>
      </c>
      <c r="HL47" s="69">
        <v>51977</v>
      </c>
      <c r="HM47" s="69">
        <v>616096</v>
      </c>
      <c r="HN47" s="69">
        <v>289625</v>
      </c>
      <c r="HO47" s="69">
        <v>1121</v>
      </c>
      <c r="HP47" s="69">
        <v>263211</v>
      </c>
      <c r="HQ47" s="69">
        <v>268365</v>
      </c>
      <c r="HR47" s="69">
        <v>562</v>
      </c>
      <c r="HS47" s="69">
        <v>73942</v>
      </c>
      <c r="HT47" s="69">
        <v>9921</v>
      </c>
      <c r="HU47" s="69">
        <v>167548</v>
      </c>
      <c r="HV47" s="69">
        <v>325232</v>
      </c>
      <c r="HW47" s="69">
        <v>69189</v>
      </c>
      <c r="HX47" s="69">
        <v>128976</v>
      </c>
      <c r="HY47" s="69">
        <v>57945</v>
      </c>
      <c r="HZ47" s="69">
        <v>175377</v>
      </c>
      <c r="IA47" s="69">
        <v>23961</v>
      </c>
      <c r="IB47" s="69">
        <v>0</v>
      </c>
      <c r="IC47" s="69">
        <v>180136</v>
      </c>
      <c r="ID47" s="69">
        <v>85958</v>
      </c>
      <c r="IE47" s="69">
        <v>242746</v>
      </c>
      <c r="IF47" s="69">
        <v>10343</v>
      </c>
      <c r="IG47" s="69">
        <v>134847</v>
      </c>
      <c r="IH47" s="69">
        <v>872238</v>
      </c>
      <c r="II47" s="69">
        <v>314399</v>
      </c>
      <c r="IJ47" s="69">
        <v>422721</v>
      </c>
      <c r="IK47" s="69">
        <v>0</v>
      </c>
      <c r="IL47" s="69"/>
      <c r="IM47" s="69"/>
      <c r="IN47" s="69">
        <v>4827547</v>
      </c>
      <c r="IO47" s="69">
        <v>74142</v>
      </c>
      <c r="IP47" s="69">
        <v>124564</v>
      </c>
      <c r="IQ47" s="69">
        <v>2369445</v>
      </c>
      <c r="IR47" s="69">
        <v>1355482</v>
      </c>
      <c r="IS47" s="69"/>
      <c r="IT47" s="69">
        <v>1153245</v>
      </c>
      <c r="IU47" s="69">
        <v>944316</v>
      </c>
      <c r="IV47" s="69">
        <v>2766</v>
      </c>
      <c r="IW47" s="69">
        <v>263928</v>
      </c>
      <c r="IX47" s="69">
        <v>22122</v>
      </c>
      <c r="IY47" s="69">
        <v>538436</v>
      </c>
      <c r="IZ47" s="69">
        <v>2284280</v>
      </c>
      <c r="JA47" s="69">
        <v>445769</v>
      </c>
      <c r="JB47" s="69">
        <v>859787</v>
      </c>
      <c r="JC47" s="69">
        <v>126750</v>
      </c>
      <c r="JD47" s="69">
        <v>1009142</v>
      </c>
      <c r="JE47" s="69">
        <v>89553</v>
      </c>
      <c r="JF47" s="69">
        <v>0</v>
      </c>
      <c r="JG47" s="69">
        <v>1371700</v>
      </c>
      <c r="JH47" s="69">
        <v>222675</v>
      </c>
      <c r="JI47" s="69">
        <v>532544</v>
      </c>
      <c r="JJ47" s="69">
        <v>55006</v>
      </c>
      <c r="JK47" s="69">
        <v>518309</v>
      </c>
      <c r="JL47" s="69">
        <v>2202190</v>
      </c>
      <c r="JM47" s="69">
        <v>2521018</v>
      </c>
      <c r="JN47" s="69">
        <v>1392752</v>
      </c>
      <c r="JO47" s="69">
        <v>0</v>
      </c>
      <c r="JP47" s="69"/>
      <c r="JQ47" s="69"/>
      <c r="JR47" s="69">
        <v>20485013</v>
      </c>
      <c r="JS47" s="69">
        <v>173429</v>
      </c>
      <c r="JT47" s="69">
        <v>529315</v>
      </c>
      <c r="JU47" s="69">
        <v>8370816</v>
      </c>
      <c r="JV47" s="69">
        <v>4043933</v>
      </c>
      <c r="JW47" s="69">
        <v>6878</v>
      </c>
      <c r="JX47" s="69">
        <v>1738956</v>
      </c>
      <c r="JY47" s="69">
        <v>3245925</v>
      </c>
      <c r="JZ47" s="69">
        <v>3597</v>
      </c>
      <c r="KA47" s="69">
        <v>974042</v>
      </c>
      <c r="KB47" s="69">
        <v>82057</v>
      </c>
      <c r="KC47" s="69">
        <v>1661962</v>
      </c>
      <c r="KD47" s="69">
        <v>9783695</v>
      </c>
      <c r="KE47" s="69">
        <v>1740849</v>
      </c>
      <c r="KF47" s="69">
        <v>2994756</v>
      </c>
      <c r="KG47" s="69">
        <v>545704</v>
      </c>
      <c r="KH47" s="69">
        <v>2633237</v>
      </c>
      <c r="KI47" s="69">
        <v>489556</v>
      </c>
      <c r="KJ47" s="69">
        <v>0</v>
      </c>
      <c r="KK47" s="69">
        <v>5852711</v>
      </c>
      <c r="KL47" s="69">
        <v>699144</v>
      </c>
      <c r="KM47" s="69">
        <v>1361880</v>
      </c>
      <c r="KN47" s="69">
        <v>69071</v>
      </c>
      <c r="KO47" s="69">
        <v>2041079</v>
      </c>
      <c r="KP47" s="69">
        <v>3502929</v>
      </c>
      <c r="KQ47" s="69">
        <v>9548743</v>
      </c>
      <c r="KR47" s="69">
        <v>5410913</v>
      </c>
      <c r="KS47" s="69">
        <v>0</v>
      </c>
      <c r="KT47" s="69"/>
      <c r="KU47" s="69"/>
      <c r="KV47" s="69">
        <v>67505180</v>
      </c>
      <c r="KW47" s="69"/>
    </row>
    <row r="48" spans="1:309" x14ac:dyDescent="0.25">
      <c r="A48" t="s">
        <v>404</v>
      </c>
      <c r="C48" t="s">
        <v>1088</v>
      </c>
      <c r="D48" t="s">
        <v>1113</v>
      </c>
      <c r="E48" s="2">
        <v>39799.652476851901</v>
      </c>
      <c r="G48" t="s">
        <v>405</v>
      </c>
      <c r="L48">
        <v>0</v>
      </c>
      <c r="M48">
        <v>0</v>
      </c>
      <c r="N48">
        <v>0</v>
      </c>
      <c r="O48">
        <v>18939010</v>
      </c>
      <c r="P48" s="69">
        <v>0</v>
      </c>
      <c r="Q48" s="69">
        <v>528980</v>
      </c>
      <c r="R48">
        <v>0</v>
      </c>
      <c r="S48">
        <v>528980</v>
      </c>
      <c r="T48">
        <v>2328492</v>
      </c>
      <c r="U48">
        <v>986722</v>
      </c>
      <c r="V48">
        <v>999923</v>
      </c>
      <c r="W48">
        <v>0</v>
      </c>
      <c r="X48">
        <v>0</v>
      </c>
      <c r="Y48">
        <v>0</v>
      </c>
      <c r="Z48">
        <v>4315137</v>
      </c>
      <c r="AA48">
        <v>1508349</v>
      </c>
      <c r="AB48">
        <v>181432</v>
      </c>
      <c r="AC48">
        <v>398309</v>
      </c>
      <c r="AD48">
        <v>0</v>
      </c>
      <c r="AE48">
        <v>213476</v>
      </c>
      <c r="AF48">
        <v>0</v>
      </c>
      <c r="AG48">
        <v>2301566</v>
      </c>
      <c r="AH48">
        <v>3836841</v>
      </c>
      <c r="AI48">
        <v>1168154</v>
      </c>
      <c r="AJ48">
        <v>1398232</v>
      </c>
      <c r="AK48">
        <v>0</v>
      </c>
      <c r="AL48">
        <v>213476</v>
      </c>
      <c r="AM48">
        <v>0</v>
      </c>
      <c r="AN48">
        <v>6616703</v>
      </c>
      <c r="AO48">
        <v>246294</v>
      </c>
      <c r="AP48">
        <v>0</v>
      </c>
      <c r="AQ48">
        <v>0</v>
      </c>
      <c r="AR48">
        <v>0</v>
      </c>
      <c r="AS48">
        <v>246294</v>
      </c>
      <c r="AT48">
        <v>39414</v>
      </c>
      <c r="AU48">
        <v>0</v>
      </c>
      <c r="AV48">
        <v>0</v>
      </c>
      <c r="AW48">
        <v>59476</v>
      </c>
      <c r="AX48">
        <v>575065</v>
      </c>
      <c r="AY48">
        <v>285708</v>
      </c>
      <c r="AZ48">
        <v>0</v>
      </c>
      <c r="BA48">
        <v>0</v>
      </c>
      <c r="BB48">
        <v>535651</v>
      </c>
      <c r="BC48">
        <v>821359</v>
      </c>
      <c r="BD48">
        <v>618072</v>
      </c>
      <c r="BE48">
        <v>0</v>
      </c>
      <c r="BF48">
        <v>0</v>
      </c>
      <c r="BG48">
        <v>0</v>
      </c>
      <c r="BH48">
        <v>0</v>
      </c>
      <c r="BI48">
        <v>618072</v>
      </c>
      <c r="BJ48">
        <v>0</v>
      </c>
      <c r="BK48">
        <v>0</v>
      </c>
      <c r="BL48">
        <v>218973</v>
      </c>
      <c r="BM48">
        <v>0</v>
      </c>
      <c r="BN48">
        <v>0</v>
      </c>
      <c r="BO48">
        <v>218973</v>
      </c>
      <c r="BP48">
        <v>1469413</v>
      </c>
      <c r="BQ48">
        <v>0</v>
      </c>
      <c r="BR48">
        <v>0</v>
      </c>
      <c r="BS48">
        <v>0</v>
      </c>
      <c r="BT48">
        <v>0</v>
      </c>
      <c r="BU48">
        <v>1509831</v>
      </c>
      <c r="BV48">
        <v>2087485</v>
      </c>
      <c r="BW48">
        <v>0</v>
      </c>
      <c r="BX48">
        <v>218973</v>
      </c>
      <c r="BY48">
        <v>0</v>
      </c>
      <c r="BZ48">
        <v>40418</v>
      </c>
      <c r="CA48">
        <v>2346876</v>
      </c>
      <c r="CB48">
        <v>0</v>
      </c>
      <c r="CC48">
        <v>0</v>
      </c>
      <c r="CD48">
        <v>0</v>
      </c>
      <c r="CE48">
        <v>0</v>
      </c>
      <c r="CF48">
        <v>0</v>
      </c>
      <c r="CG48">
        <v>0</v>
      </c>
      <c r="CH48">
        <v>0</v>
      </c>
      <c r="CI48">
        <v>0</v>
      </c>
      <c r="CJ48">
        <v>0</v>
      </c>
      <c r="CK48">
        <v>0</v>
      </c>
      <c r="CL48">
        <v>0</v>
      </c>
      <c r="CM48">
        <v>0</v>
      </c>
      <c r="CN48">
        <v>0</v>
      </c>
      <c r="CO48">
        <v>0</v>
      </c>
      <c r="CP48">
        <v>0</v>
      </c>
      <c r="CQ48">
        <v>0</v>
      </c>
      <c r="CR48">
        <v>3627</v>
      </c>
      <c r="CS48">
        <v>738017</v>
      </c>
      <c r="CT48">
        <v>0</v>
      </c>
      <c r="CU48">
        <v>19984</v>
      </c>
      <c r="CV48">
        <v>6730</v>
      </c>
      <c r="CW48">
        <v>251184</v>
      </c>
      <c r="CX48">
        <v>189718</v>
      </c>
      <c r="CY48">
        <v>0</v>
      </c>
      <c r="CZ48">
        <v>2863</v>
      </c>
      <c r="DA48">
        <v>90576</v>
      </c>
      <c r="DB48">
        <v>0</v>
      </c>
      <c r="DC48">
        <v>30827</v>
      </c>
      <c r="DD48">
        <v>0</v>
      </c>
      <c r="DE48">
        <v>25204</v>
      </c>
      <c r="DF48">
        <v>334320</v>
      </c>
      <c r="DG48">
        <v>30906</v>
      </c>
      <c r="DH48">
        <v>94997</v>
      </c>
      <c r="DI48">
        <v>17555</v>
      </c>
      <c r="DJ48">
        <v>138213</v>
      </c>
      <c r="DK48">
        <v>37472</v>
      </c>
      <c r="DL48">
        <v>108576</v>
      </c>
      <c r="DM48">
        <v>199880</v>
      </c>
      <c r="DN48">
        <v>0</v>
      </c>
      <c r="DO48">
        <v>0</v>
      </c>
      <c r="DP48">
        <v>4624</v>
      </c>
      <c r="DQ48">
        <v>68256</v>
      </c>
      <c r="DR48">
        <v>55821</v>
      </c>
      <c r="DS48">
        <v>314464</v>
      </c>
      <c r="DT48">
        <v>125872</v>
      </c>
      <c r="DU48">
        <v>0</v>
      </c>
      <c r="DX48" s="69">
        <v>2148042</v>
      </c>
      <c r="DY48" s="69">
        <v>66122</v>
      </c>
      <c r="DZ48" s="69">
        <v>4500</v>
      </c>
      <c r="EA48" s="69">
        <v>718705</v>
      </c>
      <c r="EB48" s="69">
        <v>352949</v>
      </c>
      <c r="EC48" s="69">
        <v>0</v>
      </c>
      <c r="ED48" s="69">
        <v>8130</v>
      </c>
      <c r="EE48" s="69">
        <v>273299</v>
      </c>
      <c r="EF48" s="69">
        <v>0</v>
      </c>
      <c r="EG48" s="69">
        <v>91402</v>
      </c>
      <c r="EH48" s="69">
        <v>0</v>
      </c>
      <c r="EI48" s="69">
        <v>56030</v>
      </c>
      <c r="EJ48" s="69">
        <v>976254</v>
      </c>
      <c r="EK48" s="69">
        <v>99074</v>
      </c>
      <c r="EL48" s="69">
        <v>497232</v>
      </c>
      <c r="EM48" s="69">
        <v>249218</v>
      </c>
      <c r="EN48" s="69">
        <v>455442</v>
      </c>
      <c r="EO48" s="69">
        <v>183817</v>
      </c>
      <c r="EP48" s="69">
        <v>501390</v>
      </c>
      <c r="EQ48" s="69">
        <v>622307</v>
      </c>
      <c r="ER48" s="69">
        <v>0</v>
      </c>
      <c r="ES48" s="69">
        <v>0</v>
      </c>
      <c r="ET48" s="69">
        <v>15913</v>
      </c>
      <c r="EU48" s="69">
        <v>191264</v>
      </c>
      <c r="EV48" s="69">
        <v>113989</v>
      </c>
      <c r="EW48" s="69">
        <v>753733</v>
      </c>
      <c r="EX48" s="69">
        <v>617139</v>
      </c>
      <c r="EY48" s="69">
        <v>0</v>
      </c>
      <c r="EZ48" s="69"/>
      <c r="FA48" s="69"/>
      <c r="FB48" s="69">
        <v>6847909</v>
      </c>
      <c r="FC48" s="69">
        <v>341</v>
      </c>
      <c r="FD48" s="69">
        <v>15078</v>
      </c>
      <c r="FE48" s="69">
        <v>38448</v>
      </c>
      <c r="FF48" s="69">
        <v>59690</v>
      </c>
      <c r="FG48" s="69">
        <v>0</v>
      </c>
      <c r="FH48" s="69">
        <v>2872</v>
      </c>
      <c r="FI48" s="69">
        <v>35080</v>
      </c>
      <c r="FJ48" s="69">
        <v>0</v>
      </c>
      <c r="FK48" s="69">
        <v>6798</v>
      </c>
      <c r="FL48" s="69">
        <v>0</v>
      </c>
      <c r="FM48" s="69">
        <v>4939</v>
      </c>
      <c r="FN48" s="69">
        <v>0</v>
      </c>
      <c r="FO48" s="69">
        <v>3172</v>
      </c>
      <c r="FP48" s="69">
        <v>20035</v>
      </c>
      <c r="FQ48" s="69">
        <v>31545</v>
      </c>
      <c r="FR48" s="69">
        <v>172697</v>
      </c>
      <c r="FS48" s="69">
        <v>9382</v>
      </c>
      <c r="FT48" s="69">
        <v>35147</v>
      </c>
      <c r="FU48" s="69">
        <v>4630</v>
      </c>
      <c r="FV48" s="69">
        <v>0</v>
      </c>
      <c r="FW48" s="69">
        <v>0</v>
      </c>
      <c r="FX48" s="69">
        <v>871</v>
      </c>
      <c r="FY48" s="69">
        <v>0</v>
      </c>
      <c r="FZ48" s="69">
        <v>41531</v>
      </c>
      <c r="GA48" s="69">
        <v>239</v>
      </c>
      <c r="GB48" s="69">
        <v>18050</v>
      </c>
      <c r="GC48" s="69">
        <v>0</v>
      </c>
      <c r="GD48" s="69"/>
      <c r="GE48" s="69"/>
      <c r="GF48" s="69">
        <v>500545</v>
      </c>
      <c r="GG48" s="69">
        <v>6675</v>
      </c>
      <c r="GH48" s="69">
        <v>1966</v>
      </c>
      <c r="GI48" s="69">
        <v>76042</v>
      </c>
      <c r="GJ48" s="69">
        <v>41442</v>
      </c>
      <c r="GK48" s="69">
        <v>0</v>
      </c>
      <c r="GL48" s="69">
        <v>1105</v>
      </c>
      <c r="GM48" s="69">
        <v>30971</v>
      </c>
      <c r="GN48" s="69">
        <v>0</v>
      </c>
      <c r="GO48" s="69">
        <v>9862</v>
      </c>
      <c r="GP48" s="69">
        <v>0</v>
      </c>
      <c r="GQ48" s="69">
        <v>6123</v>
      </c>
      <c r="GR48" s="69">
        <v>98047</v>
      </c>
      <c r="GS48" s="69">
        <v>10269</v>
      </c>
      <c r="GT48" s="69">
        <v>51950</v>
      </c>
      <c r="GU48" s="69">
        <v>28197</v>
      </c>
      <c r="GV48" s="69">
        <v>63085</v>
      </c>
      <c r="GW48" s="69">
        <v>19403</v>
      </c>
      <c r="GX48" s="69">
        <v>53885</v>
      </c>
      <c r="GY48" s="69">
        <v>62964</v>
      </c>
      <c r="GZ48" s="69">
        <v>0</v>
      </c>
      <c r="HA48" s="69">
        <v>0</v>
      </c>
      <c r="HB48" s="69">
        <v>1686</v>
      </c>
      <c r="HC48" s="69">
        <v>19209</v>
      </c>
      <c r="HD48" s="69">
        <v>15619</v>
      </c>
      <c r="HE48" s="69">
        <v>75723</v>
      </c>
      <c r="HF48" s="69">
        <v>63793</v>
      </c>
      <c r="HG48" s="69">
        <v>0</v>
      </c>
      <c r="HH48" s="69"/>
      <c r="HI48" s="69"/>
      <c r="HJ48" s="69">
        <v>738017</v>
      </c>
      <c r="HK48" s="69">
        <v>5305</v>
      </c>
      <c r="HL48" s="69">
        <v>61188</v>
      </c>
      <c r="HM48" s="69">
        <v>210370</v>
      </c>
      <c r="HN48" s="69">
        <v>53568</v>
      </c>
      <c r="HO48" s="69">
        <v>0</v>
      </c>
      <c r="HP48" s="69">
        <v>3322</v>
      </c>
      <c r="HQ48" s="69">
        <v>47905</v>
      </c>
      <c r="HR48" s="69">
        <v>0</v>
      </c>
      <c r="HS48" s="69">
        <v>7786</v>
      </c>
      <c r="HT48" s="69">
        <v>0</v>
      </c>
      <c r="HU48" s="69">
        <v>21047</v>
      </c>
      <c r="HV48" s="69">
        <v>42948</v>
      </c>
      <c r="HW48" s="69">
        <v>4314</v>
      </c>
      <c r="HX48" s="69">
        <v>53229</v>
      </c>
      <c r="HY48" s="69">
        <v>41559</v>
      </c>
      <c r="HZ48" s="69">
        <v>116633</v>
      </c>
      <c r="IA48" s="69">
        <v>18706</v>
      </c>
      <c r="IB48" s="69">
        <v>24562</v>
      </c>
      <c r="IC48" s="69">
        <v>127220</v>
      </c>
      <c r="ID48" s="69">
        <v>0</v>
      </c>
      <c r="IE48" s="69">
        <v>0</v>
      </c>
      <c r="IF48" s="69">
        <v>2092</v>
      </c>
      <c r="IG48" s="69">
        <v>7990</v>
      </c>
      <c r="IH48" s="69">
        <v>36445</v>
      </c>
      <c r="II48" s="69">
        <v>41241</v>
      </c>
      <c r="IJ48" s="69">
        <v>187260</v>
      </c>
      <c r="IK48" s="69">
        <v>0</v>
      </c>
      <c r="IL48" s="69"/>
      <c r="IM48" s="69"/>
      <c r="IN48" s="69">
        <v>1114690</v>
      </c>
      <c r="IO48" s="69">
        <v>12321</v>
      </c>
      <c r="IP48" s="69">
        <v>78232</v>
      </c>
      <c r="IQ48" s="69">
        <v>324860</v>
      </c>
      <c r="IR48" s="69">
        <v>154700</v>
      </c>
      <c r="IS48" s="69">
        <v>0</v>
      </c>
      <c r="IT48" s="69">
        <v>7299</v>
      </c>
      <c r="IU48" s="69">
        <v>113956</v>
      </c>
      <c r="IV48" s="69">
        <v>0</v>
      </c>
      <c r="IW48" s="69">
        <v>24446</v>
      </c>
      <c r="IX48" s="69">
        <v>0</v>
      </c>
      <c r="IY48" s="69">
        <v>32109</v>
      </c>
      <c r="IZ48" s="69">
        <v>140995</v>
      </c>
      <c r="JA48" s="69">
        <v>17755</v>
      </c>
      <c r="JB48" s="69">
        <v>125214</v>
      </c>
      <c r="JC48" s="69">
        <v>101301</v>
      </c>
      <c r="JD48" s="69">
        <v>352415</v>
      </c>
      <c r="JE48" s="69">
        <v>47491</v>
      </c>
      <c r="JF48" s="69">
        <v>113594</v>
      </c>
      <c r="JG48" s="69">
        <v>194814</v>
      </c>
      <c r="JH48" s="69">
        <v>0</v>
      </c>
      <c r="JI48" s="69">
        <v>0</v>
      </c>
      <c r="JJ48" s="69">
        <v>4649</v>
      </c>
      <c r="JK48" s="69">
        <v>27199</v>
      </c>
      <c r="JL48" s="69">
        <v>93595</v>
      </c>
      <c r="JM48" s="69">
        <v>117203</v>
      </c>
      <c r="JN48" s="69">
        <v>269103</v>
      </c>
      <c r="JO48" s="69">
        <v>0</v>
      </c>
      <c r="JP48" s="69"/>
      <c r="JQ48" s="69"/>
      <c r="JR48" s="69">
        <v>2353252</v>
      </c>
      <c r="JS48" s="69">
        <v>78443</v>
      </c>
      <c r="JT48" s="69">
        <v>82732</v>
      </c>
      <c r="JU48" s="69">
        <v>1043565</v>
      </c>
      <c r="JV48" s="69">
        <v>507649</v>
      </c>
      <c r="JW48" s="69">
        <v>0</v>
      </c>
      <c r="JX48" s="69">
        <v>15429</v>
      </c>
      <c r="JY48" s="69">
        <v>387255</v>
      </c>
      <c r="JZ48" s="69">
        <v>0</v>
      </c>
      <c r="KA48" s="69">
        <v>115848</v>
      </c>
      <c r="KB48" s="69">
        <v>0</v>
      </c>
      <c r="KC48" s="69">
        <v>88139</v>
      </c>
      <c r="KD48" s="69">
        <v>1117249</v>
      </c>
      <c r="KE48" s="69">
        <v>116829</v>
      </c>
      <c r="KF48" s="69">
        <v>622446</v>
      </c>
      <c r="KG48" s="69">
        <v>350519</v>
      </c>
      <c r="KH48" s="69">
        <v>807857</v>
      </c>
      <c r="KI48" s="69">
        <v>231308</v>
      </c>
      <c r="KJ48" s="69">
        <v>614984</v>
      </c>
      <c r="KK48" s="69">
        <v>817121</v>
      </c>
      <c r="KL48" s="69">
        <v>0</v>
      </c>
      <c r="KM48" s="69">
        <v>0</v>
      </c>
      <c r="KN48" s="69">
        <v>20562</v>
      </c>
      <c r="KO48" s="69">
        <v>218463</v>
      </c>
      <c r="KP48" s="69">
        <v>207584</v>
      </c>
      <c r="KQ48" s="69">
        <v>870936</v>
      </c>
      <c r="KR48" s="69">
        <v>886242</v>
      </c>
      <c r="KS48" s="69">
        <v>0</v>
      </c>
      <c r="KT48" s="69"/>
      <c r="KU48" s="69"/>
      <c r="KV48" s="69">
        <v>9201161</v>
      </c>
      <c r="KW48" s="69"/>
    </row>
    <row r="49" spans="1:309" ht="15" customHeight="1" x14ac:dyDescent="0.25">
      <c r="A49" t="s">
        <v>406</v>
      </c>
      <c r="C49" s="69" t="s">
        <v>1088</v>
      </c>
      <c r="D49" t="s">
        <v>1114</v>
      </c>
      <c r="E49" s="2">
        <v>39794.608634259297</v>
      </c>
      <c r="G49" t="s">
        <v>407</v>
      </c>
      <c r="L49">
        <v>0</v>
      </c>
      <c r="M49">
        <v>0</v>
      </c>
      <c r="N49">
        <v>0</v>
      </c>
      <c r="O49">
        <v>15954193</v>
      </c>
      <c r="P49" s="69">
        <v>0</v>
      </c>
      <c r="Q49" s="69">
        <v>318595</v>
      </c>
      <c r="R49">
        <v>0</v>
      </c>
      <c r="S49">
        <v>318595</v>
      </c>
      <c r="T49">
        <v>1098499</v>
      </c>
      <c r="U49">
        <v>774578</v>
      </c>
      <c r="V49">
        <v>1224167</v>
      </c>
      <c r="W49">
        <v>0</v>
      </c>
      <c r="X49">
        <v>0</v>
      </c>
      <c r="Y49">
        <v>0</v>
      </c>
      <c r="Z49">
        <v>3097244</v>
      </c>
      <c r="AA49">
        <v>784340</v>
      </c>
      <c r="AB49">
        <v>66007</v>
      </c>
      <c r="AC49">
        <v>261516</v>
      </c>
      <c r="AD49">
        <v>0</v>
      </c>
      <c r="AE49">
        <v>40914</v>
      </c>
      <c r="AF49">
        <v>200337</v>
      </c>
      <c r="AG49">
        <v>2040105</v>
      </c>
      <c r="AH49">
        <v>1882839</v>
      </c>
      <c r="AI49">
        <v>840585</v>
      </c>
      <c r="AJ49">
        <v>1485683</v>
      </c>
      <c r="AK49">
        <v>0</v>
      </c>
      <c r="AL49">
        <v>40914</v>
      </c>
      <c r="AM49">
        <v>887328</v>
      </c>
      <c r="AN49">
        <v>5137349</v>
      </c>
      <c r="AO49">
        <v>0</v>
      </c>
      <c r="AP49">
        <v>0</v>
      </c>
      <c r="AQ49">
        <v>0</v>
      </c>
      <c r="AR49">
        <v>0</v>
      </c>
      <c r="AS49">
        <v>0</v>
      </c>
      <c r="AT49">
        <v>0</v>
      </c>
      <c r="AU49">
        <v>0</v>
      </c>
      <c r="AV49">
        <v>0</v>
      </c>
      <c r="AW49">
        <v>0</v>
      </c>
      <c r="AX49">
        <v>0</v>
      </c>
      <c r="AY49">
        <v>0</v>
      </c>
      <c r="AZ49">
        <v>0</v>
      </c>
      <c r="BA49">
        <v>0</v>
      </c>
      <c r="BB49">
        <v>0</v>
      </c>
      <c r="BC49">
        <v>0</v>
      </c>
      <c r="BD49">
        <v>633777</v>
      </c>
      <c r="BE49">
        <v>0</v>
      </c>
      <c r="BF49">
        <v>0</v>
      </c>
      <c r="BG49">
        <v>0</v>
      </c>
      <c r="BH49">
        <v>0</v>
      </c>
      <c r="BI49">
        <v>633777</v>
      </c>
      <c r="BJ49">
        <v>0</v>
      </c>
      <c r="BK49">
        <v>0</v>
      </c>
      <c r="BL49">
        <v>65193</v>
      </c>
      <c r="BM49">
        <v>0</v>
      </c>
      <c r="BN49">
        <v>0</v>
      </c>
      <c r="BO49">
        <v>65193</v>
      </c>
      <c r="BP49">
        <v>1302738</v>
      </c>
      <c r="BQ49">
        <v>0</v>
      </c>
      <c r="BR49">
        <v>0</v>
      </c>
      <c r="BS49">
        <v>0</v>
      </c>
      <c r="BT49">
        <v>0</v>
      </c>
      <c r="BU49">
        <v>1302738</v>
      </c>
      <c r="BV49">
        <v>1936515</v>
      </c>
      <c r="BW49">
        <v>0</v>
      </c>
      <c r="BX49">
        <v>65193</v>
      </c>
      <c r="BY49">
        <v>0</v>
      </c>
      <c r="BZ49">
        <v>0</v>
      </c>
      <c r="CA49">
        <v>2001708</v>
      </c>
      <c r="CB49">
        <v>0</v>
      </c>
      <c r="CC49">
        <v>0</v>
      </c>
      <c r="CD49">
        <v>0</v>
      </c>
      <c r="CE49">
        <v>0</v>
      </c>
      <c r="CF49">
        <v>0</v>
      </c>
      <c r="CG49">
        <v>0</v>
      </c>
      <c r="CH49">
        <v>0</v>
      </c>
      <c r="CI49">
        <v>0</v>
      </c>
      <c r="CJ49">
        <v>0</v>
      </c>
      <c r="CK49">
        <v>0</v>
      </c>
      <c r="CL49">
        <v>0</v>
      </c>
      <c r="CM49">
        <v>0</v>
      </c>
      <c r="CN49">
        <v>0</v>
      </c>
      <c r="CO49">
        <v>0</v>
      </c>
      <c r="CP49">
        <v>0</v>
      </c>
      <c r="CQ49">
        <v>0</v>
      </c>
      <c r="CR49">
        <v>3628</v>
      </c>
      <c r="CS49">
        <v>815726</v>
      </c>
      <c r="CT49">
        <v>0</v>
      </c>
      <c r="CU49">
        <v>22171</v>
      </c>
      <c r="CV49">
        <v>117147</v>
      </c>
      <c r="CW49">
        <v>263576</v>
      </c>
      <c r="CX49">
        <v>222667</v>
      </c>
      <c r="CY49">
        <v>0</v>
      </c>
      <c r="CZ49">
        <v>9800</v>
      </c>
      <c r="DA49">
        <v>64117</v>
      </c>
      <c r="DB49">
        <v>34872</v>
      </c>
      <c r="DC49">
        <v>206898</v>
      </c>
      <c r="DD49">
        <v>0</v>
      </c>
      <c r="DE49">
        <v>184098</v>
      </c>
      <c r="DF49">
        <v>260544</v>
      </c>
      <c r="DG49">
        <v>24176</v>
      </c>
      <c r="DH49">
        <v>132226</v>
      </c>
      <c r="DI49">
        <v>980</v>
      </c>
      <c r="DJ49">
        <v>61004</v>
      </c>
      <c r="DK49">
        <v>0</v>
      </c>
      <c r="DL49">
        <v>155044</v>
      </c>
      <c r="DM49">
        <v>211184</v>
      </c>
      <c r="DN49">
        <v>106864</v>
      </c>
      <c r="DO49">
        <v>20316</v>
      </c>
      <c r="DP49">
        <v>13116</v>
      </c>
      <c r="DQ49">
        <v>21168</v>
      </c>
      <c r="DR49">
        <v>25152</v>
      </c>
      <c r="DS49">
        <v>293536</v>
      </c>
      <c r="DT49">
        <v>93136</v>
      </c>
      <c r="DU49">
        <v>0</v>
      </c>
      <c r="DX49" s="69">
        <v>2543792</v>
      </c>
      <c r="DY49" s="69">
        <v>98888</v>
      </c>
      <c r="DZ49" s="69">
        <v>375829</v>
      </c>
      <c r="EA49" s="69">
        <v>841287</v>
      </c>
      <c r="EB49" s="69">
        <v>818022</v>
      </c>
      <c r="EC49" s="69">
        <v>0</v>
      </c>
      <c r="ED49" s="69">
        <v>35429</v>
      </c>
      <c r="EE49" s="69">
        <v>357566</v>
      </c>
      <c r="EF49" s="69">
        <v>59196</v>
      </c>
      <c r="EG49" s="69">
        <v>371715</v>
      </c>
      <c r="EH49" s="69">
        <v>0</v>
      </c>
      <c r="EI49" s="69">
        <v>304522</v>
      </c>
      <c r="EJ49" s="69">
        <v>694054</v>
      </c>
      <c r="EK49" s="69">
        <v>82854</v>
      </c>
      <c r="EL49" s="69">
        <v>952080</v>
      </c>
      <c r="EM49" s="69">
        <v>0</v>
      </c>
      <c r="EN49" s="69">
        <v>133528</v>
      </c>
      <c r="EO49" s="69">
        <v>0</v>
      </c>
      <c r="EP49" s="69">
        <v>449394</v>
      </c>
      <c r="EQ49" s="69">
        <v>555868</v>
      </c>
      <c r="ER49" s="69">
        <v>266369</v>
      </c>
      <c r="ES49" s="69">
        <v>33600</v>
      </c>
      <c r="ET49" s="69">
        <v>21802</v>
      </c>
      <c r="EU49" s="69">
        <v>14220</v>
      </c>
      <c r="EV49" s="69">
        <v>61988</v>
      </c>
      <c r="EW49" s="69">
        <v>762333</v>
      </c>
      <c r="EX49" s="69">
        <v>249361</v>
      </c>
      <c r="EY49" s="69">
        <v>0</v>
      </c>
      <c r="EZ49" s="69"/>
      <c r="FA49" s="69"/>
      <c r="FB49" s="69">
        <v>7539905</v>
      </c>
      <c r="FC49" s="69">
        <v>19720</v>
      </c>
      <c r="FD49" s="69">
        <v>19771</v>
      </c>
      <c r="FE49" s="69">
        <v>33089</v>
      </c>
      <c r="FF49" s="69">
        <v>35084</v>
      </c>
      <c r="FG49" s="69">
        <v>0</v>
      </c>
      <c r="FH49" s="69">
        <v>0</v>
      </c>
      <c r="FI49" s="69">
        <v>0</v>
      </c>
      <c r="FJ49" s="69">
        <v>27082</v>
      </c>
      <c r="FK49" s="69">
        <v>44388</v>
      </c>
      <c r="FL49" s="69">
        <v>0</v>
      </c>
      <c r="FM49" s="69">
        <v>22110</v>
      </c>
      <c r="FN49" s="69">
        <v>30770</v>
      </c>
      <c r="FO49" s="69">
        <v>0</v>
      </c>
      <c r="FP49" s="69">
        <v>0</v>
      </c>
      <c r="FQ49" s="69">
        <v>1500</v>
      </c>
      <c r="FR49" s="69">
        <v>0</v>
      </c>
      <c r="FS49" s="69">
        <v>0</v>
      </c>
      <c r="FT49" s="69">
        <v>32930</v>
      </c>
      <c r="FU49" s="69">
        <v>30770</v>
      </c>
      <c r="FV49" s="69">
        <v>26910</v>
      </c>
      <c r="FW49" s="69">
        <v>0</v>
      </c>
      <c r="FX49" s="69">
        <v>5528</v>
      </c>
      <c r="FY49" s="69">
        <v>0</v>
      </c>
      <c r="FZ49" s="69">
        <v>21286</v>
      </c>
      <c r="GA49" s="69">
        <v>34262</v>
      </c>
      <c r="GB49" s="69">
        <v>5017</v>
      </c>
      <c r="GC49" s="69">
        <v>0</v>
      </c>
      <c r="GD49" s="69"/>
      <c r="GE49" s="69"/>
      <c r="GF49" s="69">
        <v>390217</v>
      </c>
      <c r="GG49" s="69">
        <v>12201</v>
      </c>
      <c r="GH49" s="69">
        <v>40693</v>
      </c>
      <c r="GI49" s="69">
        <v>89942</v>
      </c>
      <c r="GJ49" s="69">
        <v>87754</v>
      </c>
      <c r="GK49" s="69">
        <v>0</v>
      </c>
      <c r="GL49" s="69">
        <v>3644</v>
      </c>
      <c r="GM49" s="69">
        <v>36781</v>
      </c>
      <c r="GN49" s="69">
        <v>8875</v>
      </c>
      <c r="GO49" s="69">
        <v>42802</v>
      </c>
      <c r="GP49" s="69">
        <v>0</v>
      </c>
      <c r="GQ49" s="69">
        <v>33599</v>
      </c>
      <c r="GR49" s="69">
        <v>74558</v>
      </c>
      <c r="GS49" s="69">
        <v>8523</v>
      </c>
      <c r="GT49" s="69">
        <v>97935</v>
      </c>
      <c r="GU49" s="69">
        <v>154</v>
      </c>
      <c r="GV49" s="69">
        <v>13735</v>
      </c>
      <c r="GW49" s="69">
        <v>0</v>
      </c>
      <c r="GX49" s="69">
        <v>49614</v>
      </c>
      <c r="GY49" s="69">
        <v>60344</v>
      </c>
      <c r="GZ49" s="69">
        <v>30168</v>
      </c>
      <c r="HA49" s="69">
        <v>3456</v>
      </c>
      <c r="HB49" s="69">
        <v>2811</v>
      </c>
      <c r="HC49" s="69">
        <v>1463</v>
      </c>
      <c r="HD49" s="69">
        <v>8566</v>
      </c>
      <c r="HE49" s="69">
        <v>81941</v>
      </c>
      <c r="HF49" s="69">
        <v>26166</v>
      </c>
      <c r="HG49" s="69">
        <v>0</v>
      </c>
      <c r="HH49" s="69"/>
      <c r="HI49" s="69"/>
      <c r="HJ49" s="69">
        <v>815726</v>
      </c>
      <c r="HK49" s="69">
        <v>16283</v>
      </c>
      <c r="HL49" s="69">
        <v>35730</v>
      </c>
      <c r="HM49" s="69">
        <v>38688</v>
      </c>
      <c r="HN49" s="69">
        <v>11593</v>
      </c>
      <c r="HO49" s="69">
        <v>0</v>
      </c>
      <c r="HP49" s="69">
        <v>8287</v>
      </c>
      <c r="HQ49" s="69">
        <v>22171</v>
      </c>
      <c r="HR49" s="69">
        <v>3314</v>
      </c>
      <c r="HS49" s="69">
        <v>241158</v>
      </c>
      <c r="HT49" s="69">
        <v>0</v>
      </c>
      <c r="HU49" s="69">
        <v>11121</v>
      </c>
      <c r="HV49" s="69">
        <v>13492</v>
      </c>
      <c r="HW49" s="69">
        <v>91</v>
      </c>
      <c r="HX49" s="69">
        <v>24089</v>
      </c>
      <c r="HY49" s="69">
        <v>0</v>
      </c>
      <c r="HZ49" s="69">
        <v>6709</v>
      </c>
      <c r="IA49" s="69">
        <v>0</v>
      </c>
      <c r="IB49" s="69">
        <v>74917</v>
      </c>
      <c r="IC49" s="69">
        <v>5557</v>
      </c>
      <c r="ID49" s="69">
        <v>61563</v>
      </c>
      <c r="IE49" s="69">
        <v>8248</v>
      </c>
      <c r="IF49" s="69">
        <v>2625</v>
      </c>
      <c r="IG49" s="69">
        <v>4079</v>
      </c>
      <c r="IH49" s="69">
        <v>1242</v>
      </c>
      <c r="II49" s="69">
        <v>18568</v>
      </c>
      <c r="IJ49" s="69">
        <v>28496</v>
      </c>
      <c r="IK49" s="69">
        <v>0</v>
      </c>
      <c r="IL49" s="69"/>
      <c r="IM49" s="69"/>
      <c r="IN49" s="69">
        <v>638021</v>
      </c>
      <c r="IO49" s="69">
        <v>48204</v>
      </c>
      <c r="IP49" s="69">
        <v>96194</v>
      </c>
      <c r="IQ49" s="69">
        <v>161719</v>
      </c>
      <c r="IR49" s="69">
        <v>134431</v>
      </c>
      <c r="IS49" s="69">
        <v>0</v>
      </c>
      <c r="IT49" s="69">
        <v>11931</v>
      </c>
      <c r="IU49" s="69">
        <v>58952</v>
      </c>
      <c r="IV49" s="69">
        <v>39271</v>
      </c>
      <c r="IW49" s="69">
        <v>328348</v>
      </c>
      <c r="IX49" s="69">
        <v>0</v>
      </c>
      <c r="IY49" s="69">
        <v>66830</v>
      </c>
      <c r="IZ49" s="69">
        <v>118820</v>
      </c>
      <c r="JA49" s="69">
        <v>8614</v>
      </c>
      <c r="JB49" s="69">
        <v>122024</v>
      </c>
      <c r="JC49" s="69">
        <v>1654</v>
      </c>
      <c r="JD49" s="69">
        <v>20444</v>
      </c>
      <c r="JE49" s="69">
        <v>0</v>
      </c>
      <c r="JF49" s="69">
        <v>157461</v>
      </c>
      <c r="JG49" s="69">
        <v>96671</v>
      </c>
      <c r="JH49" s="69">
        <v>118641</v>
      </c>
      <c r="JI49" s="69">
        <v>11704</v>
      </c>
      <c r="JJ49" s="69">
        <v>10964</v>
      </c>
      <c r="JK49" s="69">
        <v>5542</v>
      </c>
      <c r="JL49" s="69">
        <v>31094</v>
      </c>
      <c r="JM49" s="69">
        <v>134771</v>
      </c>
      <c r="JN49" s="69">
        <v>59679</v>
      </c>
      <c r="JO49" s="69">
        <v>0</v>
      </c>
      <c r="JP49" s="69"/>
      <c r="JQ49" s="69"/>
      <c r="JR49" s="69">
        <v>1843964</v>
      </c>
      <c r="JS49" s="69">
        <v>147092</v>
      </c>
      <c r="JT49" s="69">
        <v>472023</v>
      </c>
      <c r="JU49" s="69">
        <v>1003006</v>
      </c>
      <c r="JV49" s="69">
        <v>952453</v>
      </c>
      <c r="JW49" s="69">
        <v>0</v>
      </c>
      <c r="JX49" s="69">
        <v>47360</v>
      </c>
      <c r="JY49" s="69">
        <v>416518</v>
      </c>
      <c r="JZ49" s="69">
        <v>98467</v>
      </c>
      <c r="KA49" s="69">
        <v>700063</v>
      </c>
      <c r="KB49" s="69">
        <v>0</v>
      </c>
      <c r="KC49" s="69">
        <v>371352</v>
      </c>
      <c r="KD49" s="69">
        <v>812874</v>
      </c>
      <c r="KE49" s="69">
        <v>91468</v>
      </c>
      <c r="KF49" s="69">
        <v>1074104</v>
      </c>
      <c r="KG49" s="69">
        <v>1654</v>
      </c>
      <c r="KH49" s="69">
        <v>153972</v>
      </c>
      <c r="KI49" s="69">
        <v>0</v>
      </c>
      <c r="KJ49" s="69">
        <v>606855</v>
      </c>
      <c r="KK49" s="69">
        <v>652539</v>
      </c>
      <c r="KL49" s="69">
        <v>385010</v>
      </c>
      <c r="KM49" s="69">
        <v>45304</v>
      </c>
      <c r="KN49" s="69">
        <v>32766</v>
      </c>
      <c r="KO49" s="69">
        <v>19762</v>
      </c>
      <c r="KP49" s="69">
        <v>93082</v>
      </c>
      <c r="KQ49" s="69">
        <v>897104</v>
      </c>
      <c r="KR49" s="69">
        <v>309040</v>
      </c>
      <c r="KS49" s="69">
        <v>0</v>
      </c>
      <c r="KT49" s="69"/>
      <c r="KU49" s="69"/>
      <c r="KV49" s="69">
        <v>9383869</v>
      </c>
      <c r="KW49" s="69"/>
    </row>
    <row r="50" spans="1:309" x14ac:dyDescent="0.25">
      <c r="A50" t="s">
        <v>410</v>
      </c>
      <c r="E50" s="2">
        <v>39819.473518518498</v>
      </c>
      <c r="G50" t="s">
        <v>411</v>
      </c>
      <c r="L50">
        <v>0</v>
      </c>
      <c r="M50">
        <v>0</v>
      </c>
      <c r="N50">
        <v>0</v>
      </c>
      <c r="O50">
        <v>47728240</v>
      </c>
      <c r="P50" s="69">
        <v>0</v>
      </c>
      <c r="Q50" s="69">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273603</v>
      </c>
      <c r="AR50">
        <v>0</v>
      </c>
      <c r="AS50">
        <v>273603</v>
      </c>
      <c r="AT50">
        <v>0</v>
      </c>
      <c r="AU50">
        <v>0</v>
      </c>
      <c r="AV50">
        <v>273144</v>
      </c>
      <c r="AW50">
        <v>0</v>
      </c>
      <c r="AX50">
        <v>273144</v>
      </c>
      <c r="AY50">
        <v>0</v>
      </c>
      <c r="AZ50">
        <v>0</v>
      </c>
      <c r="BA50">
        <v>546747</v>
      </c>
      <c r="BB50">
        <v>0</v>
      </c>
      <c r="BC50">
        <v>546747</v>
      </c>
      <c r="BD50">
        <v>793303</v>
      </c>
      <c r="BE50">
        <v>0</v>
      </c>
      <c r="BF50">
        <v>0</v>
      </c>
      <c r="BG50">
        <v>0</v>
      </c>
      <c r="BH50">
        <v>0</v>
      </c>
      <c r="BI50">
        <v>793303</v>
      </c>
      <c r="BJ50">
        <v>0</v>
      </c>
      <c r="BK50">
        <v>0</v>
      </c>
      <c r="BL50">
        <v>0</v>
      </c>
      <c r="BM50">
        <v>0</v>
      </c>
      <c r="BN50">
        <v>0</v>
      </c>
      <c r="BO50">
        <v>0</v>
      </c>
      <c r="BP50">
        <v>1492957</v>
      </c>
      <c r="BQ50">
        <v>892107</v>
      </c>
      <c r="BR50">
        <v>0</v>
      </c>
      <c r="BS50">
        <v>0</v>
      </c>
      <c r="BT50">
        <v>0</v>
      </c>
      <c r="BU50">
        <v>2385064</v>
      </c>
      <c r="BV50">
        <v>2286260</v>
      </c>
      <c r="BW50">
        <v>892107</v>
      </c>
      <c r="BX50">
        <v>0</v>
      </c>
      <c r="BY50">
        <v>0</v>
      </c>
      <c r="BZ50">
        <v>0</v>
      </c>
      <c r="CA50">
        <v>3178367</v>
      </c>
      <c r="CB50">
        <v>0</v>
      </c>
      <c r="CC50">
        <v>0</v>
      </c>
      <c r="CD50">
        <v>0</v>
      </c>
      <c r="CE50">
        <v>0</v>
      </c>
      <c r="CF50">
        <v>0</v>
      </c>
      <c r="CG50">
        <v>0</v>
      </c>
      <c r="CH50">
        <v>0</v>
      </c>
      <c r="CI50">
        <v>0</v>
      </c>
      <c r="CJ50">
        <v>0</v>
      </c>
      <c r="CK50">
        <v>0</v>
      </c>
      <c r="CL50">
        <v>0</v>
      </c>
      <c r="CM50">
        <v>0</v>
      </c>
      <c r="CN50">
        <v>0</v>
      </c>
      <c r="CO50">
        <v>0</v>
      </c>
      <c r="CP50">
        <v>0</v>
      </c>
      <c r="CQ50">
        <v>0</v>
      </c>
      <c r="CR50">
        <v>3643</v>
      </c>
      <c r="CS50">
        <v>0</v>
      </c>
      <c r="CT50">
        <v>0</v>
      </c>
      <c r="CU50">
        <v>4704</v>
      </c>
      <c r="CV50">
        <v>1280</v>
      </c>
      <c r="CW50">
        <v>519152</v>
      </c>
      <c r="CX50">
        <v>220768</v>
      </c>
      <c r="CY50">
        <v>0</v>
      </c>
      <c r="CZ50">
        <v>17451</v>
      </c>
      <c r="DA50">
        <v>351671</v>
      </c>
      <c r="DB50">
        <v>24268</v>
      </c>
      <c r="DC50">
        <v>122894</v>
      </c>
      <c r="DD50">
        <v>6432</v>
      </c>
      <c r="DE50">
        <v>80128</v>
      </c>
      <c r="DF50">
        <v>397616</v>
      </c>
      <c r="DG50">
        <v>244800</v>
      </c>
      <c r="DH50">
        <v>163056</v>
      </c>
      <c r="DI50">
        <v>0</v>
      </c>
      <c r="DJ50">
        <v>190384</v>
      </c>
      <c r="DK50">
        <v>30560</v>
      </c>
      <c r="DL50">
        <v>102160</v>
      </c>
      <c r="DM50">
        <v>292944</v>
      </c>
      <c r="DN50">
        <v>74048</v>
      </c>
      <c r="DO50">
        <v>0</v>
      </c>
      <c r="DP50">
        <v>6336</v>
      </c>
      <c r="DQ50">
        <v>74016</v>
      </c>
      <c r="DR50">
        <v>99720</v>
      </c>
      <c r="DS50">
        <v>674544</v>
      </c>
      <c r="DT50">
        <v>222288</v>
      </c>
      <c r="DU50">
        <v>0</v>
      </c>
      <c r="DX50" s="69">
        <v>3921220</v>
      </c>
      <c r="DY50" s="69"/>
      <c r="DZ50" s="69"/>
      <c r="EA50" s="69"/>
      <c r="EB50" s="69"/>
      <c r="EC50" s="69"/>
      <c r="ED50" s="69"/>
      <c r="EE50" s="69"/>
      <c r="EF50" s="69"/>
      <c r="EG50" s="69"/>
      <c r="EH50" s="69"/>
      <c r="EI50" s="69"/>
      <c r="EJ50" s="69"/>
      <c r="EK50" s="69"/>
      <c r="EL50" s="69"/>
      <c r="EM50" s="69"/>
      <c r="EN50" s="69"/>
      <c r="EO50" s="69"/>
      <c r="EP50" s="69"/>
      <c r="EQ50" s="69"/>
      <c r="ER50" s="69"/>
      <c r="ES50" s="69"/>
      <c r="ET50" s="69"/>
      <c r="EU50" s="69"/>
      <c r="EV50" s="69"/>
      <c r="EW50" s="69"/>
      <c r="EX50" s="69"/>
      <c r="EY50" s="69">
        <v>0</v>
      </c>
      <c r="EZ50" s="69"/>
      <c r="FA50" s="69"/>
      <c r="FB50" s="69">
        <v>9761813</v>
      </c>
      <c r="FC50" s="69">
        <v>353</v>
      </c>
      <c r="FD50" s="69">
        <v>766</v>
      </c>
      <c r="FE50" s="69">
        <v>108926</v>
      </c>
      <c r="FF50" s="69">
        <v>144013</v>
      </c>
      <c r="FG50" s="69">
        <v>0</v>
      </c>
      <c r="FH50" s="69">
        <v>60103</v>
      </c>
      <c r="FI50" s="69">
        <v>369376</v>
      </c>
      <c r="FJ50" s="69">
        <v>40499</v>
      </c>
      <c r="FK50" s="69">
        <v>43537</v>
      </c>
      <c r="FL50" s="69">
        <v>10612</v>
      </c>
      <c r="FM50" s="69">
        <v>51509</v>
      </c>
      <c r="FN50" s="69">
        <v>536060</v>
      </c>
      <c r="FO50" s="69">
        <v>23913</v>
      </c>
      <c r="FP50" s="69">
        <v>309711</v>
      </c>
      <c r="FQ50" s="69">
        <v>0</v>
      </c>
      <c r="FR50" s="69">
        <v>3422</v>
      </c>
      <c r="FS50" s="69">
        <v>0</v>
      </c>
      <c r="FT50" s="69">
        <v>208200</v>
      </c>
      <c r="FU50" s="69">
        <v>184158</v>
      </c>
      <c r="FV50" s="69">
        <v>41742</v>
      </c>
      <c r="FW50" s="69">
        <v>0</v>
      </c>
      <c r="FX50" s="69">
        <v>6249</v>
      </c>
      <c r="FY50" s="69">
        <v>17362</v>
      </c>
      <c r="FZ50" s="69">
        <v>291739</v>
      </c>
      <c r="GA50" s="69">
        <v>50468</v>
      </c>
      <c r="GB50" s="69">
        <v>55981</v>
      </c>
      <c r="GC50" s="69">
        <v>0</v>
      </c>
      <c r="GD50" s="69"/>
      <c r="GE50" s="69"/>
      <c r="GF50" s="69">
        <v>2558699</v>
      </c>
      <c r="GG50" s="69">
        <v>0</v>
      </c>
      <c r="GH50" s="69">
        <v>0</v>
      </c>
      <c r="GI50" s="69">
        <v>0</v>
      </c>
      <c r="GJ50" s="69">
        <v>0</v>
      </c>
      <c r="GK50" s="69">
        <v>0</v>
      </c>
      <c r="GL50" s="69">
        <v>0</v>
      </c>
      <c r="GM50" s="69">
        <v>0</v>
      </c>
      <c r="GN50" s="69">
        <v>0</v>
      </c>
      <c r="GO50" s="69">
        <v>0</v>
      </c>
      <c r="GP50" s="69">
        <v>0</v>
      </c>
      <c r="GQ50" s="69">
        <v>0</v>
      </c>
      <c r="GR50" s="69">
        <v>0</v>
      </c>
      <c r="GS50" s="69">
        <v>0</v>
      </c>
      <c r="GT50" s="69">
        <v>0</v>
      </c>
      <c r="GU50" s="69">
        <v>0</v>
      </c>
      <c r="GV50" s="69">
        <v>0</v>
      </c>
      <c r="GW50" s="69">
        <v>0</v>
      </c>
      <c r="GX50" s="69">
        <v>0</v>
      </c>
      <c r="GY50" s="69">
        <v>0</v>
      </c>
      <c r="GZ50" s="69">
        <v>0</v>
      </c>
      <c r="HA50" s="69">
        <v>0</v>
      </c>
      <c r="HB50" s="69">
        <v>0</v>
      </c>
      <c r="HC50" s="69">
        <v>0</v>
      </c>
      <c r="HD50" s="69">
        <v>0</v>
      </c>
      <c r="HE50" s="69">
        <v>0</v>
      </c>
      <c r="HF50" s="69">
        <v>0</v>
      </c>
      <c r="HG50" s="69">
        <v>0</v>
      </c>
      <c r="HH50" s="69"/>
      <c r="HI50" s="69"/>
      <c r="HJ50" s="69">
        <v>0</v>
      </c>
      <c r="HK50" s="69">
        <v>151</v>
      </c>
      <c r="HL50" s="69">
        <v>267</v>
      </c>
      <c r="HM50" s="69">
        <v>45714</v>
      </c>
      <c r="HN50" s="69">
        <v>31420</v>
      </c>
      <c r="HO50" s="69">
        <v>0</v>
      </c>
      <c r="HP50" s="69">
        <v>7330</v>
      </c>
      <c r="HQ50" s="69">
        <v>44678</v>
      </c>
      <c r="HR50" s="69">
        <v>7259</v>
      </c>
      <c r="HS50" s="69">
        <v>17339</v>
      </c>
      <c r="HT50" s="69">
        <v>8946</v>
      </c>
      <c r="HU50" s="69">
        <v>17484</v>
      </c>
      <c r="HV50" s="69">
        <v>81038</v>
      </c>
      <c r="HW50" s="69">
        <v>13201</v>
      </c>
      <c r="HX50" s="69">
        <v>78931</v>
      </c>
      <c r="HY50" s="69">
        <v>0</v>
      </c>
      <c r="HZ50" s="69">
        <v>18861</v>
      </c>
      <c r="IA50" s="69">
        <v>3122</v>
      </c>
      <c r="IB50" s="69">
        <v>52064</v>
      </c>
      <c r="IC50" s="69">
        <v>80440</v>
      </c>
      <c r="ID50" s="69">
        <v>14563</v>
      </c>
      <c r="IE50" s="69">
        <v>0</v>
      </c>
      <c r="IF50" s="69">
        <v>931</v>
      </c>
      <c r="IG50" s="69">
        <v>6754</v>
      </c>
      <c r="IH50" s="69">
        <v>55236</v>
      </c>
      <c r="II50" s="69">
        <v>24429</v>
      </c>
      <c r="IJ50" s="69">
        <v>129044</v>
      </c>
      <c r="IK50" s="69">
        <v>0</v>
      </c>
      <c r="IL50" s="69"/>
      <c r="IM50" s="69"/>
      <c r="IN50" s="69">
        <v>739202</v>
      </c>
      <c r="IO50" s="69"/>
      <c r="IP50" s="69"/>
      <c r="IQ50" s="69"/>
      <c r="IR50" s="69"/>
      <c r="IS50" s="69"/>
      <c r="IT50" s="69"/>
      <c r="IU50" s="69"/>
      <c r="IV50" s="69"/>
      <c r="IW50" s="69"/>
      <c r="IX50" s="69"/>
      <c r="IY50" s="69"/>
      <c r="IZ50" s="69"/>
      <c r="JA50" s="69"/>
      <c r="JB50" s="69"/>
      <c r="JC50" s="69"/>
      <c r="JD50" s="69"/>
      <c r="JE50" s="69"/>
      <c r="JF50" s="69"/>
      <c r="JG50" s="69"/>
      <c r="JH50" s="69"/>
      <c r="JI50" s="69"/>
      <c r="JJ50" s="69"/>
      <c r="JK50" s="69"/>
      <c r="JL50" s="69"/>
      <c r="JM50" s="69"/>
      <c r="JN50" s="69"/>
      <c r="JO50" s="69">
        <v>0</v>
      </c>
      <c r="JP50" s="69"/>
      <c r="JQ50" s="69"/>
      <c r="JR50" s="69">
        <v>3297901</v>
      </c>
      <c r="JS50" s="69">
        <v>1781</v>
      </c>
      <c r="JT50" s="69">
        <v>8820</v>
      </c>
      <c r="JU50" s="69">
        <v>519332</v>
      </c>
      <c r="JV50" s="69">
        <v>1760604</v>
      </c>
      <c r="JW50" s="69">
        <v>0</v>
      </c>
      <c r="JX50" s="69">
        <v>68354</v>
      </c>
      <c r="JY50" s="69">
        <v>554012</v>
      </c>
      <c r="JZ50" s="69">
        <v>154825</v>
      </c>
      <c r="KA50" s="69">
        <v>312435</v>
      </c>
      <c r="KB50" s="69">
        <v>100986</v>
      </c>
      <c r="KC50" s="69">
        <v>512700</v>
      </c>
      <c r="KD50" s="69">
        <v>661287</v>
      </c>
      <c r="KE50" s="69">
        <v>368117</v>
      </c>
      <c r="KF50" s="69">
        <v>1940076</v>
      </c>
      <c r="KG50" s="69">
        <v>0</v>
      </c>
      <c r="KH50" s="69">
        <v>207561</v>
      </c>
      <c r="KI50" s="69">
        <v>32250</v>
      </c>
      <c r="KJ50" s="69">
        <v>1293904</v>
      </c>
      <c r="KK50" s="69">
        <v>306034</v>
      </c>
      <c r="KL50" s="69">
        <v>480678</v>
      </c>
      <c r="KM50" s="69">
        <v>0</v>
      </c>
      <c r="KN50" s="69">
        <v>17795</v>
      </c>
      <c r="KO50" s="69">
        <v>192342</v>
      </c>
      <c r="KP50" s="69">
        <v>593155</v>
      </c>
      <c r="KQ50" s="69">
        <v>2015204</v>
      </c>
      <c r="KR50" s="69">
        <v>957462</v>
      </c>
      <c r="KS50" s="69">
        <v>0</v>
      </c>
      <c r="KT50" s="69"/>
      <c r="KU50" s="69"/>
      <c r="KV50" s="69">
        <v>13059714</v>
      </c>
      <c r="KW50" s="69"/>
    </row>
    <row r="51" spans="1:309" x14ac:dyDescent="0.25">
      <c r="A51" t="s">
        <v>460</v>
      </c>
      <c r="C51" t="s">
        <v>1088</v>
      </c>
      <c r="D51" t="s">
        <v>1139</v>
      </c>
      <c r="E51" s="2">
        <v>39790.341226851902</v>
      </c>
      <c r="G51" t="s">
        <v>461</v>
      </c>
      <c r="L51">
        <v>0</v>
      </c>
      <c r="M51">
        <v>0</v>
      </c>
      <c r="N51">
        <v>0</v>
      </c>
      <c r="O51">
        <v>5900098</v>
      </c>
      <c r="P51" s="69">
        <v>0</v>
      </c>
      <c r="Q51" s="69">
        <v>60053</v>
      </c>
      <c r="R51">
        <v>0</v>
      </c>
      <c r="S51">
        <v>60053</v>
      </c>
      <c r="T51">
        <v>622468</v>
      </c>
      <c r="U51">
        <v>508131</v>
      </c>
      <c r="V51">
        <v>489081</v>
      </c>
      <c r="W51">
        <v>142444</v>
      </c>
      <c r="X51">
        <v>0</v>
      </c>
      <c r="Y51">
        <v>0</v>
      </c>
      <c r="Z51">
        <v>1762124</v>
      </c>
      <c r="AA51">
        <v>76471</v>
      </c>
      <c r="AB51">
        <v>228785</v>
      </c>
      <c r="AC51">
        <v>90295</v>
      </c>
      <c r="AD51">
        <v>18796</v>
      </c>
      <c r="AE51">
        <v>289490</v>
      </c>
      <c r="AF51">
        <v>136422</v>
      </c>
      <c r="AG51">
        <v>840259</v>
      </c>
      <c r="AH51">
        <v>698939</v>
      </c>
      <c r="AI51">
        <v>736916</v>
      </c>
      <c r="AJ51">
        <v>579376</v>
      </c>
      <c r="AK51">
        <v>161240</v>
      </c>
      <c r="AL51">
        <v>289490</v>
      </c>
      <c r="AM51">
        <v>136422</v>
      </c>
      <c r="AN51">
        <v>2602383</v>
      </c>
      <c r="AO51">
        <v>0</v>
      </c>
      <c r="AP51">
        <v>0</v>
      </c>
      <c r="AQ51">
        <v>242096</v>
      </c>
      <c r="AR51">
        <v>0</v>
      </c>
      <c r="AS51">
        <v>242096</v>
      </c>
      <c r="AT51">
        <v>0</v>
      </c>
      <c r="AU51">
        <v>0</v>
      </c>
      <c r="AV51">
        <v>193720</v>
      </c>
      <c r="AW51">
        <v>201</v>
      </c>
      <c r="AX51">
        <v>193921</v>
      </c>
      <c r="AY51">
        <v>0</v>
      </c>
      <c r="AZ51">
        <v>0</v>
      </c>
      <c r="BA51">
        <v>435816</v>
      </c>
      <c r="BB51">
        <v>201</v>
      </c>
      <c r="BC51">
        <v>436017</v>
      </c>
      <c r="BD51">
        <v>376863</v>
      </c>
      <c r="BE51">
        <v>0</v>
      </c>
      <c r="BF51">
        <v>0</v>
      </c>
      <c r="BG51">
        <v>0</v>
      </c>
      <c r="BH51">
        <v>0</v>
      </c>
      <c r="BI51">
        <v>376863</v>
      </c>
      <c r="BJ51">
        <v>0</v>
      </c>
      <c r="BK51">
        <v>0</v>
      </c>
      <c r="BL51">
        <v>26420</v>
      </c>
      <c r="BM51">
        <v>0</v>
      </c>
      <c r="BN51">
        <v>0</v>
      </c>
      <c r="BO51">
        <v>26420</v>
      </c>
      <c r="BP51">
        <v>330967</v>
      </c>
      <c r="BQ51">
        <v>0</v>
      </c>
      <c r="BR51">
        <v>0</v>
      </c>
      <c r="BS51">
        <v>0</v>
      </c>
      <c r="BT51">
        <v>16926</v>
      </c>
      <c r="BU51">
        <v>347893</v>
      </c>
      <c r="BV51">
        <v>707830</v>
      </c>
      <c r="BW51">
        <v>0</v>
      </c>
      <c r="BX51">
        <v>26420</v>
      </c>
      <c r="BY51">
        <v>0</v>
      </c>
      <c r="BZ51">
        <v>16926</v>
      </c>
      <c r="CA51">
        <v>751176</v>
      </c>
      <c r="CB51">
        <v>0</v>
      </c>
      <c r="CC51">
        <v>0</v>
      </c>
      <c r="CD51">
        <v>0</v>
      </c>
      <c r="CE51">
        <v>0</v>
      </c>
      <c r="CF51">
        <v>0</v>
      </c>
      <c r="CG51">
        <v>0</v>
      </c>
      <c r="CH51">
        <v>0</v>
      </c>
      <c r="CI51">
        <v>0</v>
      </c>
      <c r="CJ51">
        <v>0</v>
      </c>
      <c r="CK51">
        <v>0</v>
      </c>
      <c r="CL51">
        <v>0</v>
      </c>
      <c r="CM51">
        <v>0</v>
      </c>
      <c r="CN51">
        <v>0</v>
      </c>
      <c r="CO51">
        <v>0</v>
      </c>
      <c r="CP51">
        <v>0</v>
      </c>
      <c r="CQ51">
        <v>0</v>
      </c>
      <c r="CR51">
        <v>33965</v>
      </c>
      <c r="CS51">
        <v>44800</v>
      </c>
      <c r="CT51">
        <v>0</v>
      </c>
      <c r="CU51">
        <v>672</v>
      </c>
      <c r="CV51">
        <v>44426</v>
      </c>
      <c r="CW51">
        <v>17458</v>
      </c>
      <c r="CX51">
        <v>31192</v>
      </c>
      <c r="CY51">
        <v>96</v>
      </c>
      <c r="CZ51">
        <v>5528</v>
      </c>
      <c r="DA51">
        <v>71328</v>
      </c>
      <c r="DB51">
        <v>15584</v>
      </c>
      <c r="DC51">
        <v>48</v>
      </c>
      <c r="DD51">
        <v>0</v>
      </c>
      <c r="DE51">
        <v>129104</v>
      </c>
      <c r="DF51">
        <v>46152</v>
      </c>
      <c r="DG51">
        <v>80</v>
      </c>
      <c r="DH51">
        <v>0</v>
      </c>
      <c r="DI51">
        <v>0</v>
      </c>
      <c r="DJ51">
        <v>120</v>
      </c>
      <c r="DK51">
        <v>0</v>
      </c>
      <c r="DL51">
        <v>0</v>
      </c>
      <c r="DM51">
        <v>38800</v>
      </c>
      <c r="DN51">
        <v>2160</v>
      </c>
      <c r="DO51">
        <v>27976</v>
      </c>
      <c r="DP51">
        <v>9152</v>
      </c>
      <c r="DQ51">
        <v>0</v>
      </c>
      <c r="DR51">
        <v>48</v>
      </c>
      <c r="DS51">
        <v>16544</v>
      </c>
      <c r="DT51">
        <v>5760</v>
      </c>
      <c r="DU51">
        <v>0</v>
      </c>
      <c r="DX51" s="69">
        <v>462228</v>
      </c>
      <c r="DY51" s="69">
        <v>3091</v>
      </c>
      <c r="DZ51" s="69">
        <v>291052</v>
      </c>
      <c r="EA51" s="69">
        <v>40784</v>
      </c>
      <c r="EB51" s="69">
        <v>49216</v>
      </c>
      <c r="EC51" s="69"/>
      <c r="ED51" s="69">
        <v>25431</v>
      </c>
      <c r="EE51" s="69">
        <v>112543</v>
      </c>
      <c r="EF51" s="69">
        <v>71691</v>
      </c>
      <c r="EG51" s="69">
        <v>221</v>
      </c>
      <c r="EH51" s="69">
        <v>0</v>
      </c>
      <c r="EI51" s="69">
        <v>577030</v>
      </c>
      <c r="EJ51" s="69">
        <v>150314</v>
      </c>
      <c r="EK51" s="69">
        <v>155</v>
      </c>
      <c r="EL51" s="69">
        <v>0</v>
      </c>
      <c r="EM51" s="69">
        <v>0</v>
      </c>
      <c r="EN51" s="69">
        <v>550</v>
      </c>
      <c r="EO51" s="69">
        <v>0</v>
      </c>
      <c r="EP51" s="69">
        <v>0</v>
      </c>
      <c r="EQ51" s="69">
        <v>147569</v>
      </c>
      <c r="ER51" s="69">
        <v>7317</v>
      </c>
      <c r="ES51" s="69">
        <v>94762</v>
      </c>
      <c r="ET51" s="69">
        <v>42102</v>
      </c>
      <c r="EU51" s="69">
        <v>0</v>
      </c>
      <c r="EV51" s="69">
        <v>76</v>
      </c>
      <c r="EW51" s="69">
        <v>18142</v>
      </c>
      <c r="EX51" s="69">
        <v>9088</v>
      </c>
      <c r="EY51" s="69">
        <v>0</v>
      </c>
      <c r="EZ51" s="69"/>
      <c r="FA51" s="69"/>
      <c r="FB51" s="69">
        <v>1641575</v>
      </c>
      <c r="FC51" s="69">
        <v>45</v>
      </c>
      <c r="FD51" s="69">
        <v>27759</v>
      </c>
      <c r="FE51" s="69">
        <v>545</v>
      </c>
      <c r="FF51" s="69">
        <v>1079</v>
      </c>
      <c r="FG51" s="69">
        <v>7</v>
      </c>
      <c r="FH51" s="69">
        <v>367</v>
      </c>
      <c r="FI51" s="69">
        <v>2469</v>
      </c>
      <c r="FJ51" s="69">
        <v>1035</v>
      </c>
      <c r="FK51" s="69">
        <v>3</v>
      </c>
      <c r="FL51" s="69">
        <v>0</v>
      </c>
      <c r="FM51" s="69">
        <v>9168</v>
      </c>
      <c r="FN51" s="69">
        <v>2040</v>
      </c>
      <c r="FO51" s="69">
        <v>3</v>
      </c>
      <c r="FP51" s="69">
        <v>0</v>
      </c>
      <c r="FQ51" s="69">
        <v>0</v>
      </c>
      <c r="FR51" s="69">
        <v>8</v>
      </c>
      <c r="FS51" s="69">
        <v>0</v>
      </c>
      <c r="FT51" s="69">
        <v>0</v>
      </c>
      <c r="FU51" s="69">
        <v>1811</v>
      </c>
      <c r="FV51" s="69">
        <v>105</v>
      </c>
      <c r="FW51" s="69">
        <v>1359</v>
      </c>
      <c r="FX51" s="69">
        <v>608</v>
      </c>
      <c r="FY51" s="69">
        <v>0</v>
      </c>
      <c r="FZ51" s="69">
        <v>1</v>
      </c>
      <c r="GA51" s="69">
        <v>145</v>
      </c>
      <c r="GB51" s="69">
        <v>199</v>
      </c>
      <c r="GC51" s="69">
        <v>0</v>
      </c>
      <c r="GD51" s="69"/>
      <c r="GE51" s="69"/>
      <c r="GF51" s="69">
        <v>48756</v>
      </c>
      <c r="GG51" s="69">
        <v>83</v>
      </c>
      <c r="GH51" s="69">
        <v>8450</v>
      </c>
      <c r="GI51" s="69">
        <v>1095</v>
      </c>
      <c r="GJ51" s="69">
        <v>1333</v>
      </c>
      <c r="GK51" s="69">
        <v>12</v>
      </c>
      <c r="GL51" s="69">
        <v>684</v>
      </c>
      <c r="GM51" s="69">
        <v>3048</v>
      </c>
      <c r="GN51" s="69">
        <v>1928</v>
      </c>
      <c r="GO51" s="69">
        <v>6</v>
      </c>
      <c r="GP51" s="69">
        <v>0</v>
      </c>
      <c r="GQ51" s="69">
        <v>15536</v>
      </c>
      <c r="GR51" s="69">
        <v>4038</v>
      </c>
      <c r="GS51" s="69">
        <v>4</v>
      </c>
      <c r="GT51" s="69">
        <v>0</v>
      </c>
      <c r="GU51" s="69">
        <v>0</v>
      </c>
      <c r="GV51" s="69">
        <v>15</v>
      </c>
      <c r="GW51" s="69">
        <v>0</v>
      </c>
      <c r="GX51" s="69">
        <v>0</v>
      </c>
      <c r="GY51" s="69">
        <v>3959</v>
      </c>
      <c r="GZ51" s="69">
        <v>197</v>
      </c>
      <c r="HA51" s="69">
        <v>2548</v>
      </c>
      <c r="HB51" s="69">
        <v>1132</v>
      </c>
      <c r="HC51" s="69">
        <v>0</v>
      </c>
      <c r="HD51" s="69">
        <v>2</v>
      </c>
      <c r="HE51" s="69">
        <v>485</v>
      </c>
      <c r="HF51" s="69">
        <v>246</v>
      </c>
      <c r="HG51" s="69">
        <v>0</v>
      </c>
      <c r="HH51" s="69"/>
      <c r="HI51" s="69"/>
      <c r="HJ51" s="69">
        <v>44800</v>
      </c>
      <c r="HK51" s="69">
        <v>346</v>
      </c>
      <c r="HL51" s="69">
        <v>47100</v>
      </c>
      <c r="HM51" s="69">
        <v>9079</v>
      </c>
      <c r="HN51" s="69">
        <v>33210</v>
      </c>
      <c r="HO51" s="69">
        <v>49</v>
      </c>
      <c r="HP51" s="69">
        <v>2848</v>
      </c>
      <c r="HQ51" s="69">
        <v>75944</v>
      </c>
      <c r="HR51" s="69">
        <v>8028</v>
      </c>
      <c r="HS51" s="69">
        <v>25</v>
      </c>
      <c r="HT51" s="69">
        <v>0</v>
      </c>
      <c r="HU51" s="69">
        <v>138534</v>
      </c>
      <c r="HV51" s="69">
        <v>26074</v>
      </c>
      <c r="HW51" s="69">
        <v>41</v>
      </c>
      <c r="HX51" s="69">
        <v>0</v>
      </c>
      <c r="HY51" s="69">
        <v>0</v>
      </c>
      <c r="HZ51" s="69">
        <v>62</v>
      </c>
      <c r="IA51" s="69">
        <v>0</v>
      </c>
      <c r="IB51" s="69">
        <v>0</v>
      </c>
      <c r="IC51" s="69">
        <v>22285</v>
      </c>
      <c r="ID51" s="69">
        <v>6477</v>
      </c>
      <c r="IE51" s="69">
        <v>83895</v>
      </c>
      <c r="IF51" s="69">
        <v>4715</v>
      </c>
      <c r="IG51" s="69">
        <v>0</v>
      </c>
      <c r="IH51" s="69">
        <v>51</v>
      </c>
      <c r="II51" s="69">
        <v>3991</v>
      </c>
      <c r="IJ51" s="69">
        <v>6133</v>
      </c>
      <c r="IK51" s="69">
        <v>0</v>
      </c>
      <c r="IL51" s="69"/>
      <c r="IM51" s="69"/>
      <c r="IN51" s="69">
        <v>468887</v>
      </c>
      <c r="IO51" s="69">
        <v>474</v>
      </c>
      <c r="IP51" s="69">
        <v>83309</v>
      </c>
      <c r="IQ51" s="69">
        <v>10719</v>
      </c>
      <c r="IR51" s="69">
        <v>35622</v>
      </c>
      <c r="IS51" s="69"/>
      <c r="IT51" s="69">
        <v>3899</v>
      </c>
      <c r="IU51" s="69">
        <v>81461</v>
      </c>
      <c r="IV51" s="69">
        <v>10991</v>
      </c>
      <c r="IW51" s="69">
        <v>34</v>
      </c>
      <c r="IX51" s="69">
        <v>0</v>
      </c>
      <c r="IY51" s="69">
        <v>163238</v>
      </c>
      <c r="IZ51" s="69">
        <v>32152</v>
      </c>
      <c r="JA51" s="69">
        <v>48</v>
      </c>
      <c r="JB51" s="69">
        <v>0</v>
      </c>
      <c r="JC51" s="69">
        <v>0</v>
      </c>
      <c r="JD51" s="69">
        <v>85</v>
      </c>
      <c r="JE51" s="69">
        <v>0</v>
      </c>
      <c r="JF51" s="69">
        <v>0</v>
      </c>
      <c r="JG51" s="69">
        <v>28055</v>
      </c>
      <c r="JH51" s="69">
        <v>6779</v>
      </c>
      <c r="JI51" s="69">
        <v>87802</v>
      </c>
      <c r="JJ51" s="69">
        <v>6455</v>
      </c>
      <c r="JK51" s="69">
        <v>0</v>
      </c>
      <c r="JL51" s="69">
        <v>54</v>
      </c>
      <c r="JM51" s="69">
        <v>4621</v>
      </c>
      <c r="JN51" s="69">
        <v>6578</v>
      </c>
      <c r="JO51" s="69">
        <v>0</v>
      </c>
      <c r="JP51" s="69"/>
      <c r="JQ51" s="69"/>
      <c r="JR51" s="69">
        <v>562443</v>
      </c>
      <c r="JS51" s="69">
        <v>3565</v>
      </c>
      <c r="JT51" s="69">
        <v>374361</v>
      </c>
      <c r="JU51" s="69">
        <v>51503</v>
      </c>
      <c r="JV51" s="69">
        <v>84838</v>
      </c>
      <c r="JW51" s="69">
        <v>509</v>
      </c>
      <c r="JX51" s="69">
        <v>29330</v>
      </c>
      <c r="JY51" s="69">
        <v>194004</v>
      </c>
      <c r="JZ51" s="69">
        <v>82682</v>
      </c>
      <c r="KA51" s="69">
        <v>255</v>
      </c>
      <c r="KB51" s="69">
        <v>0</v>
      </c>
      <c r="KC51" s="69">
        <v>740268</v>
      </c>
      <c r="KD51" s="69">
        <v>182466</v>
      </c>
      <c r="KE51" s="69">
        <v>203</v>
      </c>
      <c r="KF51" s="69">
        <v>0</v>
      </c>
      <c r="KG51" s="69">
        <v>0</v>
      </c>
      <c r="KH51" s="69">
        <v>635</v>
      </c>
      <c r="KI51" s="69">
        <v>0</v>
      </c>
      <c r="KJ51" s="69">
        <v>0</v>
      </c>
      <c r="KK51" s="69">
        <v>175624</v>
      </c>
      <c r="KL51" s="69">
        <v>14096</v>
      </c>
      <c r="KM51" s="69">
        <v>182564</v>
      </c>
      <c r="KN51" s="69">
        <v>48557</v>
      </c>
      <c r="KO51" s="69">
        <v>0</v>
      </c>
      <c r="KP51" s="69">
        <v>130</v>
      </c>
      <c r="KQ51" s="69">
        <v>22763</v>
      </c>
      <c r="KR51" s="69">
        <v>15666</v>
      </c>
      <c r="KS51" s="69">
        <v>0</v>
      </c>
      <c r="KT51" s="69"/>
      <c r="KU51" s="69"/>
      <c r="KV51" s="69">
        <v>2204018</v>
      </c>
      <c r="KW51" s="69"/>
    </row>
    <row r="52" spans="1:309" x14ac:dyDescent="0.25">
      <c r="A52" t="s">
        <v>430</v>
      </c>
      <c r="C52" t="s">
        <v>1088</v>
      </c>
      <c r="D52" t="s">
        <v>1126</v>
      </c>
      <c r="E52" s="2">
        <v>39798.332974536999</v>
      </c>
      <c r="G52" t="s">
        <v>431</v>
      </c>
      <c r="L52">
        <v>0</v>
      </c>
      <c r="M52">
        <v>0</v>
      </c>
      <c r="N52">
        <v>0</v>
      </c>
      <c r="O52">
        <v>25430623</v>
      </c>
      <c r="P52" s="69">
        <v>0</v>
      </c>
      <c r="Q52" s="69">
        <v>203101</v>
      </c>
      <c r="R52">
        <v>0</v>
      </c>
      <c r="S52">
        <v>203101</v>
      </c>
      <c r="T52">
        <v>1952439</v>
      </c>
      <c r="U52">
        <v>1832961</v>
      </c>
      <c r="V52">
        <v>883102</v>
      </c>
      <c r="W52">
        <v>124032</v>
      </c>
      <c r="X52">
        <v>0</v>
      </c>
      <c r="Y52">
        <v>0</v>
      </c>
      <c r="Z52">
        <v>4792534</v>
      </c>
      <c r="AA52">
        <v>836742</v>
      </c>
      <c r="AB52">
        <v>504397</v>
      </c>
      <c r="AC52">
        <v>210929</v>
      </c>
      <c r="AD52">
        <v>12966</v>
      </c>
      <c r="AE52">
        <v>1027463</v>
      </c>
      <c r="AF52">
        <v>378244</v>
      </c>
      <c r="AG52">
        <v>2970741</v>
      </c>
      <c r="AH52">
        <v>2789181</v>
      </c>
      <c r="AI52">
        <v>2337358</v>
      </c>
      <c r="AJ52">
        <v>1094031</v>
      </c>
      <c r="AK52">
        <v>136998</v>
      </c>
      <c r="AL52">
        <v>1027463</v>
      </c>
      <c r="AM52">
        <v>378244</v>
      </c>
      <c r="AN52">
        <v>7763275</v>
      </c>
      <c r="AO52">
        <v>343501</v>
      </c>
      <c r="AP52">
        <v>0</v>
      </c>
      <c r="AQ52">
        <v>0</v>
      </c>
      <c r="AR52">
        <v>0</v>
      </c>
      <c r="AS52">
        <v>343501</v>
      </c>
      <c r="AT52">
        <v>411097</v>
      </c>
      <c r="AU52">
        <v>0</v>
      </c>
      <c r="AV52">
        <v>0</v>
      </c>
      <c r="AW52">
        <v>0</v>
      </c>
      <c r="AX52">
        <v>411097</v>
      </c>
      <c r="AY52">
        <v>754598</v>
      </c>
      <c r="AZ52">
        <v>0</v>
      </c>
      <c r="BA52">
        <v>0</v>
      </c>
      <c r="BB52">
        <v>0</v>
      </c>
      <c r="BC52">
        <v>754598</v>
      </c>
      <c r="BD52">
        <v>1152061</v>
      </c>
      <c r="BE52">
        <v>0</v>
      </c>
      <c r="BF52">
        <v>0</v>
      </c>
      <c r="BG52">
        <v>0</v>
      </c>
      <c r="BH52">
        <v>0</v>
      </c>
      <c r="BI52">
        <v>1152061</v>
      </c>
      <c r="BJ52">
        <v>0</v>
      </c>
      <c r="BK52">
        <v>0</v>
      </c>
      <c r="BL52">
        <v>620417</v>
      </c>
      <c r="BM52">
        <v>0</v>
      </c>
      <c r="BN52">
        <v>0</v>
      </c>
      <c r="BO52">
        <v>620417</v>
      </c>
      <c r="BP52">
        <v>1970206</v>
      </c>
      <c r="BQ52">
        <v>0</v>
      </c>
      <c r="BR52">
        <v>0</v>
      </c>
      <c r="BS52">
        <v>0</v>
      </c>
      <c r="BT52">
        <v>379419</v>
      </c>
      <c r="BU52">
        <v>2349625</v>
      </c>
      <c r="BV52">
        <v>3122267</v>
      </c>
      <c r="BW52">
        <v>0</v>
      </c>
      <c r="BX52">
        <v>620417</v>
      </c>
      <c r="BY52">
        <v>0</v>
      </c>
      <c r="BZ52">
        <v>379419</v>
      </c>
      <c r="CA52">
        <v>4122103</v>
      </c>
      <c r="CB52">
        <v>0</v>
      </c>
      <c r="CC52">
        <v>0</v>
      </c>
      <c r="CD52">
        <v>0</v>
      </c>
      <c r="CE52">
        <v>0</v>
      </c>
      <c r="CF52">
        <v>0</v>
      </c>
      <c r="CG52">
        <v>0</v>
      </c>
      <c r="CH52">
        <v>0</v>
      </c>
      <c r="CI52">
        <v>0</v>
      </c>
      <c r="CJ52">
        <v>0</v>
      </c>
      <c r="CK52">
        <v>0</v>
      </c>
      <c r="CL52">
        <v>0</v>
      </c>
      <c r="CM52">
        <v>0</v>
      </c>
      <c r="CN52">
        <v>0</v>
      </c>
      <c r="CO52">
        <v>0</v>
      </c>
      <c r="CP52">
        <v>0</v>
      </c>
      <c r="CQ52">
        <v>0</v>
      </c>
      <c r="CR52">
        <v>9225</v>
      </c>
      <c r="CS52">
        <v>622323</v>
      </c>
      <c r="CT52">
        <v>0</v>
      </c>
      <c r="CU52">
        <v>33280</v>
      </c>
      <c r="CV52">
        <v>94720</v>
      </c>
      <c r="CW52">
        <v>262816</v>
      </c>
      <c r="CX52">
        <v>186680</v>
      </c>
      <c r="CY52">
        <v>0</v>
      </c>
      <c r="CZ52">
        <v>44224</v>
      </c>
      <c r="DA52">
        <v>96056</v>
      </c>
      <c r="DB52">
        <v>16960</v>
      </c>
      <c r="DC52">
        <v>127621</v>
      </c>
      <c r="DD52">
        <v>432</v>
      </c>
      <c r="DE52">
        <v>194296</v>
      </c>
      <c r="DF52">
        <v>327065</v>
      </c>
      <c r="DG52">
        <v>71396</v>
      </c>
      <c r="DH52">
        <v>38736</v>
      </c>
      <c r="DI52">
        <v>44644</v>
      </c>
      <c r="DJ52">
        <v>187497</v>
      </c>
      <c r="DK52">
        <v>0</v>
      </c>
      <c r="DL52">
        <v>0</v>
      </c>
      <c r="DM52">
        <v>247040</v>
      </c>
      <c r="DN52">
        <v>130704</v>
      </c>
      <c r="DO52">
        <v>71528</v>
      </c>
      <c r="DP52">
        <v>82032</v>
      </c>
      <c r="DQ52">
        <v>6480</v>
      </c>
      <c r="DR52">
        <v>98680</v>
      </c>
      <c r="DS52">
        <v>338928</v>
      </c>
      <c r="DT52">
        <v>115728</v>
      </c>
      <c r="DU52">
        <v>0</v>
      </c>
      <c r="DX52" s="69">
        <v>2817543</v>
      </c>
      <c r="DY52" s="69">
        <v>85467</v>
      </c>
      <c r="DZ52" s="69">
        <v>488375</v>
      </c>
      <c r="EA52" s="69">
        <v>555718</v>
      </c>
      <c r="EB52" s="69">
        <v>241268</v>
      </c>
      <c r="EC52" s="69">
        <v>0</v>
      </c>
      <c r="ED52" s="69">
        <v>320901</v>
      </c>
      <c r="EE52" s="69">
        <v>601370</v>
      </c>
      <c r="EF52" s="69">
        <v>135125</v>
      </c>
      <c r="EG52" s="69">
        <v>342548</v>
      </c>
      <c r="EH52" s="69">
        <v>11</v>
      </c>
      <c r="EI52" s="69">
        <v>657316</v>
      </c>
      <c r="EJ52" s="69">
        <v>659885</v>
      </c>
      <c r="EK52" s="69">
        <v>147005</v>
      </c>
      <c r="EL52" s="69">
        <v>113706</v>
      </c>
      <c r="EM52" s="69">
        <v>256529</v>
      </c>
      <c r="EN52" s="69">
        <v>909474</v>
      </c>
      <c r="EO52" s="69">
        <v>0</v>
      </c>
      <c r="EP52" s="69">
        <v>0</v>
      </c>
      <c r="EQ52" s="69">
        <v>867811</v>
      </c>
      <c r="ER52" s="69">
        <v>366412</v>
      </c>
      <c r="ES52" s="69">
        <v>139325</v>
      </c>
      <c r="ET52" s="69">
        <v>18967</v>
      </c>
      <c r="EU52" s="69">
        <v>159</v>
      </c>
      <c r="EV52" s="69">
        <v>90335</v>
      </c>
      <c r="EW52" s="69">
        <v>507673</v>
      </c>
      <c r="EX52" s="69">
        <v>120637</v>
      </c>
      <c r="EY52" s="69">
        <v>0</v>
      </c>
      <c r="EZ52" s="69"/>
      <c r="FA52" s="69"/>
      <c r="FB52" s="69">
        <v>7626017</v>
      </c>
      <c r="FC52" s="69">
        <v>52195</v>
      </c>
      <c r="FD52" s="69">
        <v>169476</v>
      </c>
      <c r="FE52" s="69">
        <v>210223</v>
      </c>
      <c r="FF52" s="69">
        <v>126411</v>
      </c>
      <c r="FG52" s="69">
        <v>0</v>
      </c>
      <c r="FH52" s="69">
        <v>28426</v>
      </c>
      <c r="FI52" s="69">
        <v>149152</v>
      </c>
      <c r="FJ52" s="69">
        <v>37058</v>
      </c>
      <c r="FK52" s="69">
        <v>187143</v>
      </c>
      <c r="FL52" s="69">
        <v>248</v>
      </c>
      <c r="FM52" s="69">
        <v>216268</v>
      </c>
      <c r="FN52" s="69">
        <v>372387</v>
      </c>
      <c r="FO52" s="69">
        <v>42342</v>
      </c>
      <c r="FP52" s="69">
        <v>23440</v>
      </c>
      <c r="FQ52" s="69">
        <v>80844</v>
      </c>
      <c r="FR52" s="69">
        <v>369345</v>
      </c>
      <c r="FS52" s="69">
        <v>0</v>
      </c>
      <c r="FT52" s="69">
        <v>0</v>
      </c>
      <c r="FU52" s="69">
        <v>234005</v>
      </c>
      <c r="FV52" s="69">
        <v>166452</v>
      </c>
      <c r="FW52" s="69">
        <v>64091</v>
      </c>
      <c r="FX52" s="69">
        <v>51757</v>
      </c>
      <c r="FY52" s="69">
        <v>3727</v>
      </c>
      <c r="FZ52" s="69">
        <v>118347</v>
      </c>
      <c r="GA52" s="69">
        <v>237129</v>
      </c>
      <c r="GB52" s="69">
        <v>79353</v>
      </c>
      <c r="GC52" s="69">
        <v>0</v>
      </c>
      <c r="GD52" s="69"/>
      <c r="GE52" s="69"/>
      <c r="GF52" s="69">
        <v>3019819</v>
      </c>
      <c r="GG52" s="69">
        <v>8047</v>
      </c>
      <c r="GH52" s="69">
        <v>38456</v>
      </c>
      <c r="GI52" s="69">
        <v>44775</v>
      </c>
      <c r="GJ52" s="69">
        <v>21493</v>
      </c>
      <c r="GK52" s="69">
        <v>0</v>
      </c>
      <c r="GL52" s="69">
        <v>20421</v>
      </c>
      <c r="GM52" s="69">
        <v>43873</v>
      </c>
      <c r="GN52" s="69">
        <v>10065</v>
      </c>
      <c r="GO52" s="69">
        <v>30964</v>
      </c>
      <c r="GP52" s="69">
        <v>15</v>
      </c>
      <c r="GQ52" s="69">
        <v>51067</v>
      </c>
      <c r="GR52" s="69">
        <v>60343</v>
      </c>
      <c r="GS52" s="69">
        <v>11069</v>
      </c>
      <c r="GT52" s="69">
        <v>8017</v>
      </c>
      <c r="GU52" s="69">
        <v>19722</v>
      </c>
      <c r="GV52" s="69">
        <v>74756</v>
      </c>
      <c r="GW52" s="69">
        <v>0</v>
      </c>
      <c r="GX52" s="69">
        <v>0</v>
      </c>
      <c r="GY52" s="69">
        <v>64409</v>
      </c>
      <c r="GZ52" s="69">
        <v>31150</v>
      </c>
      <c r="HA52" s="69">
        <v>11891</v>
      </c>
      <c r="HB52" s="69">
        <v>4134</v>
      </c>
      <c r="HC52" s="69">
        <v>227</v>
      </c>
      <c r="HD52" s="69">
        <v>12199</v>
      </c>
      <c r="HE52" s="69">
        <v>43539</v>
      </c>
      <c r="HF52" s="69">
        <v>11691</v>
      </c>
      <c r="HG52" s="69">
        <v>0</v>
      </c>
      <c r="HH52" s="69"/>
      <c r="HI52" s="69"/>
      <c r="HJ52" s="69">
        <v>622323</v>
      </c>
      <c r="HK52" s="69">
        <v>123738</v>
      </c>
      <c r="HL52" s="69">
        <v>145444</v>
      </c>
      <c r="HM52" s="69">
        <v>150424</v>
      </c>
      <c r="HN52" s="69">
        <v>106739</v>
      </c>
      <c r="HO52" s="69">
        <v>0</v>
      </c>
      <c r="HP52" s="69">
        <v>22478</v>
      </c>
      <c r="HQ52" s="69">
        <v>97909</v>
      </c>
      <c r="HR52" s="69">
        <v>32979</v>
      </c>
      <c r="HS52" s="69">
        <v>115627</v>
      </c>
      <c r="HT52" s="69">
        <v>193</v>
      </c>
      <c r="HU52" s="69">
        <v>121262</v>
      </c>
      <c r="HV52" s="69">
        <v>185797</v>
      </c>
      <c r="HW52" s="69">
        <v>36686</v>
      </c>
      <c r="HX52" s="69">
        <v>28449</v>
      </c>
      <c r="HY52" s="69">
        <v>73285</v>
      </c>
      <c r="HZ52" s="69">
        <v>184967</v>
      </c>
      <c r="IA52" s="69">
        <v>0</v>
      </c>
      <c r="IB52" s="69">
        <v>0</v>
      </c>
      <c r="IC52" s="69">
        <v>111235</v>
      </c>
      <c r="ID52" s="69">
        <v>116532</v>
      </c>
      <c r="IE52" s="69">
        <v>53088</v>
      </c>
      <c r="IF52" s="69">
        <v>38954</v>
      </c>
      <c r="IG52" s="69">
        <v>2891</v>
      </c>
      <c r="IH52" s="69">
        <v>100337</v>
      </c>
      <c r="II52" s="69">
        <v>164113</v>
      </c>
      <c r="IJ52" s="69">
        <v>63923</v>
      </c>
      <c r="IK52" s="69">
        <v>0</v>
      </c>
      <c r="IL52" s="69"/>
      <c r="IM52" s="69"/>
      <c r="IN52" s="69">
        <v>2077050</v>
      </c>
      <c r="IO52" s="69">
        <v>183980</v>
      </c>
      <c r="IP52" s="69">
        <v>353376</v>
      </c>
      <c r="IQ52" s="69">
        <v>405422</v>
      </c>
      <c r="IR52" s="69">
        <v>254643</v>
      </c>
      <c r="IS52" s="69">
        <v>0</v>
      </c>
      <c r="IT52" s="69">
        <v>71325</v>
      </c>
      <c r="IU52" s="69">
        <v>290934</v>
      </c>
      <c r="IV52" s="69">
        <v>80102</v>
      </c>
      <c r="IW52" s="69">
        <v>333734</v>
      </c>
      <c r="IX52" s="69">
        <v>456</v>
      </c>
      <c r="IY52" s="69">
        <v>388597</v>
      </c>
      <c r="IZ52" s="69">
        <v>618527</v>
      </c>
      <c r="JA52" s="69">
        <v>90097</v>
      </c>
      <c r="JB52" s="69">
        <v>59906</v>
      </c>
      <c r="JC52" s="69">
        <v>173851</v>
      </c>
      <c r="JD52" s="69">
        <v>629068</v>
      </c>
      <c r="JE52" s="69">
        <v>0</v>
      </c>
      <c r="JF52" s="69">
        <v>0</v>
      </c>
      <c r="JG52" s="69">
        <v>409649</v>
      </c>
      <c r="JH52" s="69">
        <v>314134</v>
      </c>
      <c r="JI52" s="69">
        <v>129070</v>
      </c>
      <c r="JJ52" s="69">
        <v>94845</v>
      </c>
      <c r="JK52" s="69">
        <v>6845</v>
      </c>
      <c r="JL52" s="69">
        <v>230883</v>
      </c>
      <c r="JM52" s="69">
        <v>444781</v>
      </c>
      <c r="JN52" s="69">
        <v>154967</v>
      </c>
      <c r="JO52" s="69">
        <v>0</v>
      </c>
      <c r="JP52" s="69"/>
      <c r="JQ52" s="69"/>
      <c r="JR52" s="69">
        <v>5719192</v>
      </c>
      <c r="JS52" s="69">
        <v>269447</v>
      </c>
      <c r="JT52" s="69">
        <v>841751</v>
      </c>
      <c r="JU52" s="69">
        <v>961140</v>
      </c>
      <c r="JV52" s="69">
        <v>495911</v>
      </c>
      <c r="JW52" s="69">
        <v>0</v>
      </c>
      <c r="JX52" s="69">
        <v>392226</v>
      </c>
      <c r="JY52" s="69">
        <v>892304</v>
      </c>
      <c r="JZ52" s="69">
        <v>215227</v>
      </c>
      <c r="KA52" s="69">
        <v>676282</v>
      </c>
      <c r="KB52" s="69">
        <v>467</v>
      </c>
      <c r="KC52" s="69">
        <v>1045913</v>
      </c>
      <c r="KD52" s="69">
        <v>1278412</v>
      </c>
      <c r="KE52" s="69">
        <v>237102</v>
      </c>
      <c r="KF52" s="69">
        <v>173612</v>
      </c>
      <c r="KG52" s="69">
        <v>430380</v>
      </c>
      <c r="KH52" s="69">
        <v>1538542</v>
      </c>
      <c r="KI52" s="69">
        <v>0</v>
      </c>
      <c r="KJ52" s="69">
        <v>0</v>
      </c>
      <c r="KK52" s="69">
        <v>1277460</v>
      </c>
      <c r="KL52" s="69">
        <v>680546</v>
      </c>
      <c r="KM52" s="69">
        <v>268395</v>
      </c>
      <c r="KN52" s="69">
        <v>113812</v>
      </c>
      <c r="KO52" s="69">
        <v>7004</v>
      </c>
      <c r="KP52" s="69">
        <v>321218</v>
      </c>
      <c r="KQ52" s="69">
        <v>952454</v>
      </c>
      <c r="KR52" s="69">
        <v>275604</v>
      </c>
      <c r="KS52" s="69">
        <v>0</v>
      </c>
      <c r="KT52" s="69"/>
      <c r="KU52" s="69"/>
      <c r="KV52" s="69">
        <v>13345209</v>
      </c>
      <c r="KW52" s="69"/>
    </row>
    <row r="53" spans="1:309" x14ac:dyDescent="0.25">
      <c r="A53" t="s">
        <v>408</v>
      </c>
      <c r="C53" t="s">
        <v>1088</v>
      </c>
      <c r="D53" t="s">
        <v>1115</v>
      </c>
      <c r="E53" s="2">
        <v>39805.546574074098</v>
      </c>
      <c r="G53" t="s">
        <v>409</v>
      </c>
      <c r="L53">
        <v>0</v>
      </c>
      <c r="M53">
        <v>0</v>
      </c>
      <c r="N53">
        <v>0</v>
      </c>
      <c r="O53">
        <v>39141780</v>
      </c>
      <c r="P53" s="69">
        <v>0</v>
      </c>
      <c r="Q53" s="69">
        <v>185946</v>
      </c>
      <c r="R53">
        <v>0</v>
      </c>
      <c r="S53">
        <v>185946</v>
      </c>
      <c r="T53">
        <v>2498041</v>
      </c>
      <c r="U53">
        <v>1754345</v>
      </c>
      <c r="V53">
        <v>942708</v>
      </c>
      <c r="W53">
        <v>209160</v>
      </c>
      <c r="X53">
        <v>0</v>
      </c>
      <c r="Y53">
        <v>0</v>
      </c>
      <c r="Z53">
        <v>5404254</v>
      </c>
      <c r="AA53">
        <v>1170844</v>
      </c>
      <c r="AB53">
        <v>378136</v>
      </c>
      <c r="AC53">
        <v>510156</v>
      </c>
      <c r="AD53">
        <v>51073</v>
      </c>
      <c r="AE53">
        <v>2491561</v>
      </c>
      <c r="AF53">
        <v>797073</v>
      </c>
      <c r="AG53">
        <v>5398843</v>
      </c>
      <c r="AH53">
        <v>3668885</v>
      </c>
      <c r="AI53">
        <v>2132481</v>
      </c>
      <c r="AJ53">
        <v>1452864</v>
      </c>
      <c r="AK53">
        <v>260233</v>
      </c>
      <c r="AL53">
        <v>2491561</v>
      </c>
      <c r="AM53">
        <v>797073</v>
      </c>
      <c r="AN53">
        <v>10803097</v>
      </c>
      <c r="AO53">
        <v>521085</v>
      </c>
      <c r="AP53">
        <v>0</v>
      </c>
      <c r="AQ53">
        <v>0</v>
      </c>
      <c r="AR53">
        <v>0</v>
      </c>
      <c r="AS53">
        <v>521085</v>
      </c>
      <c r="AT53">
        <v>929564</v>
      </c>
      <c r="AU53">
        <v>0</v>
      </c>
      <c r="AV53">
        <v>0</v>
      </c>
      <c r="AW53">
        <v>0</v>
      </c>
      <c r="AX53">
        <v>929564</v>
      </c>
      <c r="AY53">
        <v>1450649</v>
      </c>
      <c r="AZ53">
        <v>0</v>
      </c>
      <c r="BA53">
        <v>0</v>
      </c>
      <c r="BB53">
        <v>0</v>
      </c>
      <c r="BC53">
        <v>1450649</v>
      </c>
      <c r="BD53">
        <v>1693293</v>
      </c>
      <c r="BE53">
        <v>0</v>
      </c>
      <c r="BF53">
        <v>0</v>
      </c>
      <c r="BG53">
        <v>0</v>
      </c>
      <c r="BH53">
        <v>0</v>
      </c>
      <c r="BI53">
        <v>1693293</v>
      </c>
      <c r="BJ53">
        <v>0</v>
      </c>
      <c r="BK53">
        <v>0</v>
      </c>
      <c r="BL53">
        <v>931751</v>
      </c>
      <c r="BM53">
        <v>0</v>
      </c>
      <c r="BN53">
        <v>0</v>
      </c>
      <c r="BO53">
        <v>931751</v>
      </c>
      <c r="BP53">
        <v>3091104</v>
      </c>
      <c r="BQ53">
        <v>0</v>
      </c>
      <c r="BR53">
        <v>0</v>
      </c>
      <c r="BS53">
        <v>0</v>
      </c>
      <c r="BT53">
        <v>57833</v>
      </c>
      <c r="BU53">
        <v>3148937</v>
      </c>
      <c r="BV53">
        <v>4784397</v>
      </c>
      <c r="BW53">
        <v>0</v>
      </c>
      <c r="BX53">
        <v>931751</v>
      </c>
      <c r="BY53">
        <v>0</v>
      </c>
      <c r="BZ53">
        <v>57833</v>
      </c>
      <c r="CA53">
        <v>5773981</v>
      </c>
      <c r="CB53">
        <v>0</v>
      </c>
      <c r="CC53">
        <v>0</v>
      </c>
      <c r="CD53">
        <v>0</v>
      </c>
      <c r="CE53">
        <v>0</v>
      </c>
      <c r="CF53">
        <v>0</v>
      </c>
      <c r="CG53">
        <v>0</v>
      </c>
      <c r="CH53">
        <v>0</v>
      </c>
      <c r="CI53">
        <v>0</v>
      </c>
      <c r="CJ53">
        <v>0</v>
      </c>
      <c r="CK53">
        <v>0</v>
      </c>
      <c r="CL53">
        <v>0</v>
      </c>
      <c r="CM53">
        <v>0</v>
      </c>
      <c r="CN53">
        <v>0</v>
      </c>
      <c r="CO53">
        <v>0</v>
      </c>
      <c r="CP53">
        <v>0</v>
      </c>
      <c r="CQ53">
        <v>0</v>
      </c>
      <c r="CR53">
        <v>3634</v>
      </c>
      <c r="CS53">
        <v>1091202</v>
      </c>
      <c r="CT53">
        <v>0</v>
      </c>
      <c r="CU53">
        <v>54256</v>
      </c>
      <c r="CV53">
        <v>346176</v>
      </c>
      <c r="CW53">
        <v>77792</v>
      </c>
      <c r="CX53">
        <v>122438</v>
      </c>
      <c r="CY53">
        <v>47136</v>
      </c>
      <c r="CZ53">
        <v>163600</v>
      </c>
      <c r="DA53">
        <v>323376</v>
      </c>
      <c r="DB53">
        <v>107841</v>
      </c>
      <c r="DC53">
        <v>82291</v>
      </c>
      <c r="DD53">
        <v>2800</v>
      </c>
      <c r="DE53">
        <v>642835</v>
      </c>
      <c r="DF53">
        <v>317680</v>
      </c>
      <c r="DG53">
        <v>7776</v>
      </c>
      <c r="DH53">
        <v>167419</v>
      </c>
      <c r="DI53">
        <v>0</v>
      </c>
      <c r="DJ53">
        <v>47088</v>
      </c>
      <c r="DK53">
        <v>0</v>
      </c>
      <c r="DL53">
        <v>0</v>
      </c>
      <c r="DM53">
        <v>206832</v>
      </c>
      <c r="DN53">
        <v>417280</v>
      </c>
      <c r="DO53">
        <v>312512</v>
      </c>
      <c r="DP53">
        <v>214753</v>
      </c>
      <c r="DQ53">
        <v>0</v>
      </c>
      <c r="DR53">
        <v>23408</v>
      </c>
      <c r="DS53">
        <v>66880</v>
      </c>
      <c r="DT53">
        <v>148764</v>
      </c>
      <c r="DU53">
        <v>0</v>
      </c>
      <c r="DX53" s="69">
        <v>3900933</v>
      </c>
      <c r="DY53" s="69">
        <v>205220</v>
      </c>
      <c r="DZ53" s="69">
        <v>877075</v>
      </c>
      <c r="EA53" s="69">
        <v>367724</v>
      </c>
      <c r="EB53" s="69">
        <v>292939</v>
      </c>
      <c r="EC53" s="69">
        <v>294752</v>
      </c>
      <c r="ED53" s="69">
        <v>538472</v>
      </c>
      <c r="EE53" s="69">
        <v>1204365</v>
      </c>
      <c r="EF53" s="69">
        <v>362389</v>
      </c>
      <c r="EG53" s="69">
        <v>270148</v>
      </c>
      <c r="EH53" s="69">
        <v>25322</v>
      </c>
      <c r="EI53" s="69">
        <v>2286035</v>
      </c>
      <c r="EJ53" s="69">
        <v>840085</v>
      </c>
      <c r="EK53" s="69">
        <v>24217</v>
      </c>
      <c r="EL53" s="69">
        <v>301673</v>
      </c>
      <c r="EM53" s="69">
        <v>0</v>
      </c>
      <c r="EN53" s="69">
        <v>3742</v>
      </c>
      <c r="EO53" s="69">
        <v>0</v>
      </c>
      <c r="EP53" s="69">
        <v>0</v>
      </c>
      <c r="EQ53" s="69">
        <v>720959</v>
      </c>
      <c r="ER53" s="69">
        <v>1243552</v>
      </c>
      <c r="ES53" s="69">
        <v>969921</v>
      </c>
      <c r="ET53" s="69">
        <v>1178146</v>
      </c>
      <c r="EU53" s="69">
        <v>0</v>
      </c>
      <c r="EV53" s="69">
        <v>122720</v>
      </c>
      <c r="EW53" s="69">
        <v>182901</v>
      </c>
      <c r="EX53" s="69">
        <v>281351</v>
      </c>
      <c r="EY53" s="69">
        <v>0</v>
      </c>
      <c r="EZ53" s="69"/>
      <c r="FA53" s="69"/>
      <c r="FB53" s="69">
        <v>12593708</v>
      </c>
      <c r="FC53" s="69">
        <v>91036</v>
      </c>
      <c r="FD53" s="69">
        <v>421869</v>
      </c>
      <c r="FE53" s="69">
        <v>61859</v>
      </c>
      <c r="FF53" s="69">
        <v>108271</v>
      </c>
      <c r="FG53" s="69">
        <v>195750</v>
      </c>
      <c r="FH53" s="69">
        <v>174704</v>
      </c>
      <c r="FI53" s="69">
        <v>340174</v>
      </c>
      <c r="FJ53" s="69">
        <v>56478</v>
      </c>
      <c r="FK53" s="69">
        <v>68191</v>
      </c>
      <c r="FL53" s="69">
        <v>1245</v>
      </c>
      <c r="FM53" s="69">
        <v>592406</v>
      </c>
      <c r="FN53" s="69">
        <v>227139</v>
      </c>
      <c r="FO53" s="69">
        <v>11656</v>
      </c>
      <c r="FP53" s="69">
        <v>133350</v>
      </c>
      <c r="FQ53" s="69">
        <v>0</v>
      </c>
      <c r="FR53" s="69">
        <v>20933</v>
      </c>
      <c r="FS53" s="69">
        <v>0</v>
      </c>
      <c r="FT53" s="69">
        <v>0</v>
      </c>
      <c r="FU53" s="69">
        <v>254818</v>
      </c>
      <c r="FV53" s="69">
        <v>319460</v>
      </c>
      <c r="FW53" s="69">
        <v>284923</v>
      </c>
      <c r="FX53" s="69">
        <v>216872</v>
      </c>
      <c r="FY53" s="69">
        <v>0</v>
      </c>
      <c r="FZ53" s="69">
        <v>10406</v>
      </c>
      <c r="GA53" s="69">
        <v>69445</v>
      </c>
      <c r="GB53" s="69">
        <v>108294</v>
      </c>
      <c r="GC53" s="69">
        <v>210627</v>
      </c>
      <c r="GD53" s="69"/>
      <c r="GE53" s="69"/>
      <c r="GF53" s="69">
        <v>3979906</v>
      </c>
      <c r="GG53" s="69">
        <v>19505</v>
      </c>
      <c r="GH53" s="69">
        <v>85522</v>
      </c>
      <c r="GI53" s="69">
        <v>28284</v>
      </c>
      <c r="GJ53" s="69">
        <v>26416</v>
      </c>
      <c r="GK53" s="69">
        <v>32295</v>
      </c>
      <c r="GL53" s="69">
        <v>46955</v>
      </c>
      <c r="GM53" s="69">
        <v>101692</v>
      </c>
      <c r="GN53" s="69">
        <v>27578</v>
      </c>
      <c r="GO53" s="69">
        <v>22276</v>
      </c>
      <c r="GP53" s="69">
        <v>1749</v>
      </c>
      <c r="GQ53" s="69">
        <v>189516</v>
      </c>
      <c r="GR53" s="69">
        <v>70266</v>
      </c>
      <c r="GS53" s="69">
        <v>2362</v>
      </c>
      <c r="GT53" s="69">
        <v>28642</v>
      </c>
      <c r="GU53" s="69">
        <v>0</v>
      </c>
      <c r="GV53" s="69">
        <v>1625</v>
      </c>
      <c r="GW53" s="69">
        <v>0</v>
      </c>
      <c r="GX53" s="69">
        <v>0</v>
      </c>
      <c r="GY53" s="69">
        <v>64245</v>
      </c>
      <c r="GZ53" s="69">
        <v>102908</v>
      </c>
      <c r="HA53" s="69">
        <v>82619</v>
      </c>
      <c r="HB53" s="69">
        <v>91848</v>
      </c>
      <c r="HC53" s="69">
        <v>0</v>
      </c>
      <c r="HD53" s="69">
        <v>8765</v>
      </c>
      <c r="HE53" s="69">
        <v>16614</v>
      </c>
      <c r="HF53" s="69">
        <v>25654</v>
      </c>
      <c r="HG53" s="69">
        <v>13868</v>
      </c>
      <c r="HH53" s="69"/>
      <c r="HI53" s="69"/>
      <c r="HJ53" s="69">
        <v>1091202</v>
      </c>
      <c r="HK53" s="69">
        <v>53422</v>
      </c>
      <c r="HL53" s="69">
        <v>439320</v>
      </c>
      <c r="HM53" s="69">
        <v>88496</v>
      </c>
      <c r="HN53" s="69">
        <v>56388</v>
      </c>
      <c r="HO53" s="69">
        <v>655554</v>
      </c>
      <c r="HP53" s="69">
        <v>169299</v>
      </c>
      <c r="HQ53" s="69">
        <v>299023</v>
      </c>
      <c r="HR53" s="69">
        <v>98646</v>
      </c>
      <c r="HS53" s="69">
        <v>109202</v>
      </c>
      <c r="HT53" s="69">
        <v>976</v>
      </c>
      <c r="HU53" s="69">
        <v>831080</v>
      </c>
      <c r="HV53" s="69">
        <v>213720</v>
      </c>
      <c r="HW53" s="69">
        <v>4230</v>
      </c>
      <c r="HX53" s="69">
        <v>101374</v>
      </c>
      <c r="HY53" s="69">
        <v>0</v>
      </c>
      <c r="HZ53" s="69">
        <v>16415</v>
      </c>
      <c r="IA53" s="69">
        <v>0</v>
      </c>
      <c r="IB53" s="69">
        <v>0</v>
      </c>
      <c r="IC53" s="69">
        <v>116372</v>
      </c>
      <c r="ID53" s="69">
        <v>286769</v>
      </c>
      <c r="IE53" s="69">
        <v>272935</v>
      </c>
      <c r="IF53" s="69">
        <v>113803</v>
      </c>
      <c r="IG53" s="69">
        <v>0</v>
      </c>
      <c r="IH53" s="69">
        <v>8160</v>
      </c>
      <c r="II53" s="69">
        <v>67751</v>
      </c>
      <c r="IJ53" s="69">
        <v>105365</v>
      </c>
      <c r="IK53" s="69">
        <v>9897</v>
      </c>
      <c r="IL53" s="69"/>
      <c r="IM53" s="69"/>
      <c r="IN53" s="69">
        <v>4118197</v>
      </c>
      <c r="IO53" s="69">
        <v>163963</v>
      </c>
      <c r="IP53" s="69">
        <v>946711</v>
      </c>
      <c r="IQ53" s="69">
        <v>178639</v>
      </c>
      <c r="IR53" s="69">
        <v>191075</v>
      </c>
      <c r="IS53" s="69">
        <v>883599</v>
      </c>
      <c r="IT53" s="69">
        <v>390958</v>
      </c>
      <c r="IU53" s="69">
        <v>740889</v>
      </c>
      <c r="IV53" s="69">
        <v>182702</v>
      </c>
      <c r="IW53" s="69">
        <v>199669</v>
      </c>
      <c r="IX53" s="69">
        <v>3970</v>
      </c>
      <c r="IY53" s="69">
        <v>1613002</v>
      </c>
      <c r="IZ53" s="69">
        <v>511125</v>
      </c>
      <c r="JA53" s="69">
        <v>18248</v>
      </c>
      <c r="JB53" s="69">
        <v>263366</v>
      </c>
      <c r="JC53" s="69">
        <v>0</v>
      </c>
      <c r="JD53" s="69">
        <v>38973</v>
      </c>
      <c r="JE53" s="69">
        <v>0</v>
      </c>
      <c r="JF53" s="69">
        <v>0</v>
      </c>
      <c r="JG53" s="69">
        <v>435435</v>
      </c>
      <c r="JH53" s="69">
        <v>709137</v>
      </c>
      <c r="JI53" s="69">
        <v>640477</v>
      </c>
      <c r="JJ53" s="69">
        <v>422523</v>
      </c>
      <c r="JK53" s="69">
        <v>0</v>
      </c>
      <c r="JL53" s="69">
        <v>27331</v>
      </c>
      <c r="JM53" s="69">
        <v>153810</v>
      </c>
      <c r="JN53" s="69">
        <v>239313</v>
      </c>
      <c r="JO53" s="69">
        <v>234392</v>
      </c>
      <c r="JP53" s="69"/>
      <c r="JQ53" s="69"/>
      <c r="JR53" s="69">
        <v>9189305</v>
      </c>
      <c r="JS53" s="69">
        <v>369183</v>
      </c>
      <c r="JT53" s="69">
        <v>1823786</v>
      </c>
      <c r="JU53" s="69">
        <v>546363</v>
      </c>
      <c r="JV53" s="69">
        <v>484014</v>
      </c>
      <c r="JW53" s="69">
        <v>1178351</v>
      </c>
      <c r="JX53" s="69">
        <v>929430</v>
      </c>
      <c r="JY53" s="69">
        <v>1945254</v>
      </c>
      <c r="JZ53" s="69">
        <v>545091</v>
      </c>
      <c r="KA53" s="69">
        <v>469817</v>
      </c>
      <c r="KB53" s="69">
        <v>29292</v>
      </c>
      <c r="KC53" s="69">
        <v>3899037</v>
      </c>
      <c r="KD53" s="69">
        <v>1351210</v>
      </c>
      <c r="KE53" s="69">
        <v>42465</v>
      </c>
      <c r="KF53" s="69">
        <v>565039</v>
      </c>
      <c r="KG53" s="69">
        <v>0</v>
      </c>
      <c r="KH53" s="69">
        <v>42715</v>
      </c>
      <c r="KI53" s="69">
        <v>0</v>
      </c>
      <c r="KJ53" s="69">
        <v>0</v>
      </c>
      <c r="KK53" s="69">
        <v>1156394</v>
      </c>
      <c r="KL53" s="69">
        <v>1952689</v>
      </c>
      <c r="KM53" s="69">
        <v>1610398</v>
      </c>
      <c r="KN53" s="69">
        <v>1600669</v>
      </c>
      <c r="KO53" s="69">
        <v>0</v>
      </c>
      <c r="KP53" s="69">
        <v>150051</v>
      </c>
      <c r="KQ53" s="69">
        <v>336711</v>
      </c>
      <c r="KR53" s="69">
        <v>520664</v>
      </c>
      <c r="KS53" s="69">
        <v>234392</v>
      </c>
      <c r="KT53" s="69"/>
      <c r="KU53" s="69"/>
      <c r="KV53" s="69">
        <v>21783013</v>
      </c>
      <c r="KW53" s="69"/>
    </row>
    <row r="54" spans="1:309" x14ac:dyDescent="0.25">
      <c r="A54" t="s">
        <v>436</v>
      </c>
      <c r="C54" t="s">
        <v>1088</v>
      </c>
      <c r="D54" t="s">
        <v>1129</v>
      </c>
      <c r="E54" s="2">
        <v>39799.428356481498</v>
      </c>
      <c r="G54" t="s">
        <v>437</v>
      </c>
      <c r="L54">
        <v>0</v>
      </c>
      <c r="M54">
        <v>0</v>
      </c>
      <c r="N54">
        <v>0</v>
      </c>
      <c r="O54">
        <v>17130026</v>
      </c>
      <c r="P54" s="69">
        <v>0</v>
      </c>
      <c r="Q54" s="69">
        <v>106910</v>
      </c>
      <c r="R54">
        <v>0</v>
      </c>
      <c r="S54">
        <v>106910</v>
      </c>
      <c r="T54">
        <v>1456195</v>
      </c>
      <c r="U54">
        <v>1579490</v>
      </c>
      <c r="V54">
        <v>918001</v>
      </c>
      <c r="W54">
        <v>62854</v>
      </c>
      <c r="X54">
        <v>0</v>
      </c>
      <c r="Y54">
        <v>0</v>
      </c>
      <c r="Z54">
        <v>4016540</v>
      </c>
      <c r="AA54">
        <v>219875</v>
      </c>
      <c r="AB54">
        <v>493118</v>
      </c>
      <c r="AC54">
        <v>956589</v>
      </c>
      <c r="AD54">
        <v>2155</v>
      </c>
      <c r="AE54">
        <v>803842</v>
      </c>
      <c r="AF54">
        <v>181970</v>
      </c>
      <c r="AG54">
        <v>2657549</v>
      </c>
      <c r="AH54">
        <v>1676070</v>
      </c>
      <c r="AI54">
        <v>2072608</v>
      </c>
      <c r="AJ54">
        <v>1874590</v>
      </c>
      <c r="AK54">
        <v>65009</v>
      </c>
      <c r="AL54">
        <v>803842</v>
      </c>
      <c r="AM54">
        <v>181970</v>
      </c>
      <c r="AN54">
        <v>6674089</v>
      </c>
      <c r="AO54">
        <v>680700</v>
      </c>
      <c r="AP54">
        <v>0</v>
      </c>
      <c r="AQ54">
        <v>0</v>
      </c>
      <c r="AR54">
        <v>0</v>
      </c>
      <c r="AS54">
        <v>680700</v>
      </c>
      <c r="AT54">
        <v>505377</v>
      </c>
      <c r="AU54">
        <v>0</v>
      </c>
      <c r="AV54">
        <v>0</v>
      </c>
      <c r="AW54">
        <v>0</v>
      </c>
      <c r="AX54">
        <v>505377</v>
      </c>
      <c r="AY54">
        <v>1186077</v>
      </c>
      <c r="AZ54">
        <v>0</v>
      </c>
      <c r="BA54">
        <v>0</v>
      </c>
      <c r="BB54">
        <v>0</v>
      </c>
      <c r="BC54">
        <v>1186077</v>
      </c>
      <c r="BD54">
        <v>943304</v>
      </c>
      <c r="BE54">
        <v>0</v>
      </c>
      <c r="BF54">
        <v>0</v>
      </c>
      <c r="BG54">
        <v>0</v>
      </c>
      <c r="BH54">
        <v>0</v>
      </c>
      <c r="BI54">
        <v>943304</v>
      </c>
      <c r="BJ54">
        <v>0</v>
      </c>
      <c r="BK54">
        <v>0</v>
      </c>
      <c r="BL54">
        <v>29692</v>
      </c>
      <c r="BM54">
        <v>0</v>
      </c>
      <c r="BN54">
        <v>0</v>
      </c>
      <c r="BO54">
        <v>29692</v>
      </c>
      <c r="BP54">
        <v>1424206</v>
      </c>
      <c r="BQ54">
        <v>0</v>
      </c>
      <c r="BR54">
        <v>0</v>
      </c>
      <c r="BS54">
        <v>0</v>
      </c>
      <c r="BT54">
        <v>111686</v>
      </c>
      <c r="BU54">
        <v>1535892</v>
      </c>
      <c r="BV54">
        <v>2367510</v>
      </c>
      <c r="BW54">
        <v>0</v>
      </c>
      <c r="BX54">
        <v>29692</v>
      </c>
      <c r="BY54">
        <v>0</v>
      </c>
      <c r="BZ54">
        <v>111686</v>
      </c>
      <c r="CA54">
        <v>2508888</v>
      </c>
      <c r="CB54">
        <v>0</v>
      </c>
      <c r="CC54">
        <v>0</v>
      </c>
      <c r="CD54">
        <v>0</v>
      </c>
      <c r="CE54">
        <v>0</v>
      </c>
      <c r="CF54">
        <v>0</v>
      </c>
      <c r="CG54">
        <v>0</v>
      </c>
      <c r="CH54">
        <v>0</v>
      </c>
      <c r="CI54">
        <v>0</v>
      </c>
      <c r="CJ54">
        <v>0</v>
      </c>
      <c r="CK54">
        <v>0</v>
      </c>
      <c r="CL54">
        <v>0</v>
      </c>
      <c r="CM54">
        <v>0</v>
      </c>
      <c r="CN54">
        <v>0</v>
      </c>
      <c r="CO54">
        <v>0</v>
      </c>
      <c r="CP54">
        <v>0</v>
      </c>
      <c r="CQ54">
        <v>0</v>
      </c>
      <c r="CR54">
        <v>9932</v>
      </c>
      <c r="CS54">
        <v>274478</v>
      </c>
      <c r="CT54">
        <v>0</v>
      </c>
      <c r="CU54">
        <v>0</v>
      </c>
      <c r="CV54">
        <v>32505</v>
      </c>
      <c r="CW54">
        <v>864</v>
      </c>
      <c r="CX54">
        <v>368610</v>
      </c>
      <c r="CY54">
        <v>1208</v>
      </c>
      <c r="CZ54">
        <v>9136</v>
      </c>
      <c r="DA54">
        <v>125194</v>
      </c>
      <c r="DB54">
        <v>11440</v>
      </c>
      <c r="DC54">
        <v>19184</v>
      </c>
      <c r="DD54">
        <v>0</v>
      </c>
      <c r="DE54">
        <v>104548</v>
      </c>
      <c r="DF54">
        <v>74792</v>
      </c>
      <c r="DG54">
        <v>4328</v>
      </c>
      <c r="DH54">
        <v>30048</v>
      </c>
      <c r="DI54">
        <v>0</v>
      </c>
      <c r="DJ54">
        <v>122839</v>
      </c>
      <c r="DK54">
        <v>0</v>
      </c>
      <c r="DL54">
        <v>249032</v>
      </c>
      <c r="DM54">
        <v>66304</v>
      </c>
      <c r="DN54">
        <v>48544</v>
      </c>
      <c r="DO54">
        <v>85492</v>
      </c>
      <c r="DP54">
        <v>384</v>
      </c>
      <c r="DQ54">
        <v>0</v>
      </c>
      <c r="DR54">
        <v>47490</v>
      </c>
      <c r="DS54">
        <v>26976</v>
      </c>
      <c r="DT54">
        <v>32368</v>
      </c>
      <c r="DU54">
        <v>0</v>
      </c>
      <c r="DX54" s="69">
        <v>1461286</v>
      </c>
      <c r="DY54" s="69">
        <v>0</v>
      </c>
      <c r="DZ54" s="69">
        <v>87227</v>
      </c>
      <c r="EA54" s="69">
        <v>2877</v>
      </c>
      <c r="EB54" s="69">
        <v>936103</v>
      </c>
      <c r="EC54" s="69"/>
      <c r="ED54" s="69">
        <v>24516</v>
      </c>
      <c r="EE54" s="69">
        <v>317937</v>
      </c>
      <c r="EF54" s="69">
        <v>30699</v>
      </c>
      <c r="EG54" s="69">
        <v>51480</v>
      </c>
      <c r="EH54" s="69">
        <v>0</v>
      </c>
      <c r="EI54" s="69">
        <v>682175</v>
      </c>
      <c r="EJ54" s="69">
        <v>249017</v>
      </c>
      <c r="EK54" s="69">
        <v>14410</v>
      </c>
      <c r="EL54" s="69">
        <v>92806</v>
      </c>
      <c r="EM54" s="69">
        <v>0</v>
      </c>
      <c r="EN54" s="69">
        <v>379402</v>
      </c>
      <c r="EO54" s="69">
        <v>0</v>
      </c>
      <c r="EP54" s="69">
        <v>769163</v>
      </c>
      <c r="EQ54" s="69">
        <v>220756</v>
      </c>
      <c r="ER54" s="69">
        <v>173723</v>
      </c>
      <c r="ES54" s="69">
        <v>305948</v>
      </c>
      <c r="ET54" s="69">
        <v>1031</v>
      </c>
      <c r="EU54" s="69">
        <v>0</v>
      </c>
      <c r="EV54" s="69">
        <v>120602</v>
      </c>
      <c r="EW54" s="69">
        <v>89815</v>
      </c>
      <c r="EX54" s="69">
        <v>82201</v>
      </c>
      <c r="EY54" s="69">
        <v>0</v>
      </c>
      <c r="EZ54" s="69"/>
      <c r="FA54" s="69"/>
      <c r="FB54" s="69">
        <v>4635130</v>
      </c>
      <c r="FC54" s="69">
        <v>0</v>
      </c>
      <c r="FD54" s="69">
        <v>25931</v>
      </c>
      <c r="FE54" s="69">
        <v>444</v>
      </c>
      <c r="FF54" s="69">
        <v>176050</v>
      </c>
      <c r="FG54" s="69">
        <v>964</v>
      </c>
      <c r="FH54" s="69">
        <v>7288</v>
      </c>
      <c r="FI54" s="69">
        <v>59793</v>
      </c>
      <c r="FJ54" s="69">
        <v>9127</v>
      </c>
      <c r="FK54" s="69">
        <v>15304</v>
      </c>
      <c r="FL54" s="69">
        <v>0</v>
      </c>
      <c r="FM54" s="69">
        <v>48536</v>
      </c>
      <c r="FN54" s="69">
        <v>38404</v>
      </c>
      <c r="FO54" s="69">
        <v>2223</v>
      </c>
      <c r="FP54" s="69">
        <v>20782</v>
      </c>
      <c r="FQ54" s="69">
        <v>0</v>
      </c>
      <c r="FR54" s="69">
        <v>84958</v>
      </c>
      <c r="FS54" s="69">
        <v>0</v>
      </c>
      <c r="FT54" s="69">
        <v>172236</v>
      </c>
      <c r="FU54" s="69">
        <v>34046</v>
      </c>
      <c r="FV54" s="69">
        <v>20252</v>
      </c>
      <c r="FW54" s="69">
        <v>35666</v>
      </c>
      <c r="FX54" s="69">
        <v>306</v>
      </c>
      <c r="FY54" s="69">
        <v>0</v>
      </c>
      <c r="FZ54" s="69">
        <v>22681</v>
      </c>
      <c r="GA54" s="69">
        <v>13851</v>
      </c>
      <c r="GB54" s="69">
        <v>15460</v>
      </c>
      <c r="GC54" s="69">
        <v>0</v>
      </c>
      <c r="GD54" s="69"/>
      <c r="GE54" s="69"/>
      <c r="GF54" s="69">
        <v>804302</v>
      </c>
      <c r="GG54" s="69">
        <v>0</v>
      </c>
      <c r="GH54" s="69">
        <v>5710</v>
      </c>
      <c r="GI54" s="69">
        <v>168</v>
      </c>
      <c r="GJ54" s="69">
        <v>56120</v>
      </c>
      <c r="GK54" s="69">
        <v>212</v>
      </c>
      <c r="GL54" s="69">
        <v>1605</v>
      </c>
      <c r="GM54" s="69">
        <v>19061</v>
      </c>
      <c r="GN54" s="69">
        <v>2010</v>
      </c>
      <c r="GO54" s="69">
        <v>3370</v>
      </c>
      <c r="GP54" s="69">
        <v>0</v>
      </c>
      <c r="GQ54" s="69">
        <v>36872</v>
      </c>
      <c r="GR54" s="69">
        <v>14503</v>
      </c>
      <c r="GS54" s="69">
        <v>839</v>
      </c>
      <c r="GT54" s="69">
        <v>5732</v>
      </c>
      <c r="GU54" s="69">
        <v>0</v>
      </c>
      <c r="GV54" s="69">
        <v>23432</v>
      </c>
      <c r="GW54" s="69">
        <v>0</v>
      </c>
      <c r="GX54" s="69">
        <v>47504</v>
      </c>
      <c r="GY54" s="69">
        <v>12858</v>
      </c>
      <c r="GZ54" s="69">
        <v>9788</v>
      </c>
      <c r="HA54" s="69">
        <v>17238</v>
      </c>
      <c r="HB54" s="69">
        <v>67</v>
      </c>
      <c r="HC54" s="69">
        <v>0</v>
      </c>
      <c r="HD54" s="69">
        <v>7230</v>
      </c>
      <c r="HE54" s="69">
        <v>5231</v>
      </c>
      <c r="HF54" s="69">
        <v>4928</v>
      </c>
      <c r="HG54" s="69">
        <v>0</v>
      </c>
      <c r="HH54" s="69"/>
      <c r="HI54" s="69"/>
      <c r="HJ54" s="69">
        <v>274478</v>
      </c>
      <c r="HK54" s="69">
        <v>0</v>
      </c>
      <c r="HL54" s="69">
        <v>98005</v>
      </c>
      <c r="HM54" s="69">
        <v>650</v>
      </c>
      <c r="HN54" s="69">
        <v>198860</v>
      </c>
      <c r="HO54" s="69">
        <v>3642</v>
      </c>
      <c r="HP54" s="69">
        <v>27545</v>
      </c>
      <c r="HQ54" s="69">
        <v>67541</v>
      </c>
      <c r="HR54" s="69">
        <v>34492</v>
      </c>
      <c r="HS54" s="69">
        <v>57842</v>
      </c>
      <c r="HT54" s="69">
        <v>0</v>
      </c>
      <c r="HU54" s="69">
        <v>202897</v>
      </c>
      <c r="HV54" s="69">
        <v>56255</v>
      </c>
      <c r="HW54" s="69">
        <v>3256</v>
      </c>
      <c r="HX54" s="69">
        <v>18188</v>
      </c>
      <c r="HY54" s="69">
        <v>0</v>
      </c>
      <c r="HZ54" s="69">
        <v>74355</v>
      </c>
      <c r="IA54" s="69">
        <v>0</v>
      </c>
      <c r="IB54" s="69">
        <v>150741</v>
      </c>
      <c r="IC54" s="69">
        <v>49871</v>
      </c>
      <c r="ID54" s="69">
        <v>45322</v>
      </c>
      <c r="IE54" s="69">
        <v>79817</v>
      </c>
      <c r="IF54" s="69">
        <v>1157</v>
      </c>
      <c r="IG54" s="69">
        <v>0</v>
      </c>
      <c r="IH54" s="69">
        <v>25620</v>
      </c>
      <c r="II54" s="69">
        <v>20290</v>
      </c>
      <c r="IJ54" s="69">
        <v>17462</v>
      </c>
      <c r="IK54" s="69">
        <v>0</v>
      </c>
      <c r="IL54" s="69"/>
      <c r="IM54" s="69"/>
      <c r="IN54" s="69">
        <v>1233808</v>
      </c>
      <c r="IO54" s="69">
        <v>0</v>
      </c>
      <c r="IP54" s="69">
        <v>129646</v>
      </c>
      <c r="IQ54" s="69">
        <v>1262</v>
      </c>
      <c r="IR54" s="69">
        <v>431030</v>
      </c>
      <c r="IS54" s="69"/>
      <c r="IT54" s="69">
        <v>36438</v>
      </c>
      <c r="IU54" s="69">
        <v>146395</v>
      </c>
      <c r="IV54" s="69">
        <v>45629</v>
      </c>
      <c r="IW54" s="69">
        <v>76516</v>
      </c>
      <c r="IX54" s="69">
        <v>0</v>
      </c>
      <c r="IY54" s="69">
        <v>288305</v>
      </c>
      <c r="IZ54" s="69">
        <v>109162</v>
      </c>
      <c r="JA54" s="69">
        <v>6318</v>
      </c>
      <c r="JB54" s="69">
        <v>44702</v>
      </c>
      <c r="JC54" s="69">
        <v>0</v>
      </c>
      <c r="JD54" s="69">
        <v>182745</v>
      </c>
      <c r="JE54" s="69">
        <v>0</v>
      </c>
      <c r="JF54" s="69">
        <v>370481</v>
      </c>
      <c r="JG54" s="69">
        <v>96775</v>
      </c>
      <c r="JH54" s="69">
        <v>75362</v>
      </c>
      <c r="JI54" s="69">
        <v>132721</v>
      </c>
      <c r="JJ54" s="69">
        <v>1530</v>
      </c>
      <c r="JK54" s="69">
        <v>0</v>
      </c>
      <c r="JL54" s="69">
        <v>55531</v>
      </c>
      <c r="JM54" s="69">
        <v>39372</v>
      </c>
      <c r="JN54" s="69">
        <v>37850</v>
      </c>
      <c r="JO54" s="69">
        <v>0</v>
      </c>
      <c r="JP54" s="69"/>
      <c r="JQ54" s="69"/>
      <c r="JR54" s="69">
        <v>2312588</v>
      </c>
      <c r="JS54" s="69">
        <v>0</v>
      </c>
      <c r="JT54" s="69">
        <v>216873</v>
      </c>
      <c r="JU54" s="69">
        <v>4139</v>
      </c>
      <c r="JV54" s="69">
        <v>1367133</v>
      </c>
      <c r="JW54" s="69">
        <v>8060</v>
      </c>
      <c r="JX54" s="69">
        <v>60954</v>
      </c>
      <c r="JY54" s="69">
        <v>464332</v>
      </c>
      <c r="JZ54" s="69">
        <v>76328</v>
      </c>
      <c r="KA54" s="69">
        <v>127996</v>
      </c>
      <c r="KB54" s="69">
        <v>0</v>
      </c>
      <c r="KC54" s="69">
        <v>970480</v>
      </c>
      <c r="KD54" s="69">
        <v>358179</v>
      </c>
      <c r="KE54" s="69">
        <v>20728</v>
      </c>
      <c r="KF54" s="69">
        <v>137508</v>
      </c>
      <c r="KG54" s="69">
        <v>0</v>
      </c>
      <c r="KH54" s="69">
        <v>562147</v>
      </c>
      <c r="KI54" s="69">
        <v>0</v>
      </c>
      <c r="KJ54" s="69">
        <v>1139644</v>
      </c>
      <c r="KK54" s="69">
        <v>317531</v>
      </c>
      <c r="KL54" s="69">
        <v>249085</v>
      </c>
      <c r="KM54" s="69">
        <v>438669</v>
      </c>
      <c r="KN54" s="69">
        <v>2561</v>
      </c>
      <c r="KO54" s="69">
        <v>0</v>
      </c>
      <c r="KP54" s="69">
        <v>176133</v>
      </c>
      <c r="KQ54" s="69">
        <v>129187</v>
      </c>
      <c r="KR54" s="69">
        <v>120051</v>
      </c>
      <c r="KS54" s="69">
        <v>0</v>
      </c>
      <c r="KT54" s="69"/>
      <c r="KU54" s="69"/>
      <c r="KV54" s="69">
        <v>6947718</v>
      </c>
      <c r="KW54" s="69"/>
    </row>
    <row r="55" spans="1:309" x14ac:dyDescent="0.25">
      <c r="A55" t="s">
        <v>370</v>
      </c>
      <c r="C55" t="s">
        <v>1088</v>
      </c>
      <c r="D55" t="s">
        <v>1097</v>
      </c>
      <c r="E55" s="2">
        <v>39799.398495370398</v>
      </c>
      <c r="G55" t="s">
        <v>371</v>
      </c>
      <c r="L55">
        <v>0</v>
      </c>
      <c r="M55">
        <v>0</v>
      </c>
      <c r="N55">
        <v>0</v>
      </c>
      <c r="O55">
        <v>20368311</v>
      </c>
      <c r="P55" s="69">
        <v>0</v>
      </c>
      <c r="Q55" s="69">
        <v>651457</v>
      </c>
      <c r="R55">
        <v>0</v>
      </c>
      <c r="S55">
        <v>651457</v>
      </c>
      <c r="T55">
        <v>1566613</v>
      </c>
      <c r="U55">
        <v>1368498</v>
      </c>
      <c r="V55">
        <v>1488670</v>
      </c>
      <c r="W55">
        <v>0</v>
      </c>
      <c r="X55">
        <v>0</v>
      </c>
      <c r="Y55">
        <v>0</v>
      </c>
      <c r="Z55">
        <v>4423781</v>
      </c>
      <c r="AA55">
        <v>480550</v>
      </c>
      <c r="AB55">
        <v>278025</v>
      </c>
      <c r="AC55">
        <v>938714</v>
      </c>
      <c r="AD55">
        <v>0</v>
      </c>
      <c r="AE55">
        <v>2883</v>
      </c>
      <c r="AF55">
        <v>347941</v>
      </c>
      <c r="AG55">
        <v>2048113</v>
      </c>
      <c r="AH55">
        <v>2047163</v>
      </c>
      <c r="AI55">
        <v>1646523</v>
      </c>
      <c r="AJ55">
        <v>2427384</v>
      </c>
      <c r="AK55">
        <v>0</v>
      </c>
      <c r="AL55">
        <v>2883</v>
      </c>
      <c r="AM55">
        <v>347941</v>
      </c>
      <c r="AN55">
        <v>6471894</v>
      </c>
      <c r="AO55">
        <v>191991</v>
      </c>
      <c r="AP55">
        <v>0</v>
      </c>
      <c r="AQ55">
        <v>0</v>
      </c>
      <c r="AR55">
        <v>0</v>
      </c>
      <c r="AS55">
        <v>191991</v>
      </c>
      <c r="AT55">
        <v>53958</v>
      </c>
      <c r="AU55">
        <v>0</v>
      </c>
      <c r="AV55">
        <v>0</v>
      </c>
      <c r="AW55">
        <v>0</v>
      </c>
      <c r="AX55">
        <v>53958</v>
      </c>
      <c r="AY55">
        <v>245949</v>
      </c>
      <c r="AZ55">
        <v>0</v>
      </c>
      <c r="BA55">
        <v>0</v>
      </c>
      <c r="BB55">
        <v>0</v>
      </c>
      <c r="BC55">
        <v>245949</v>
      </c>
      <c r="BD55">
        <v>878366</v>
      </c>
      <c r="BE55">
        <v>0</v>
      </c>
      <c r="BF55">
        <v>0</v>
      </c>
      <c r="BG55">
        <v>0</v>
      </c>
      <c r="BH55">
        <v>0</v>
      </c>
      <c r="BI55">
        <v>878366</v>
      </c>
      <c r="BJ55">
        <v>0</v>
      </c>
      <c r="BK55">
        <v>0</v>
      </c>
      <c r="BL55">
        <v>339221</v>
      </c>
      <c r="BM55">
        <v>0</v>
      </c>
      <c r="BN55">
        <v>0</v>
      </c>
      <c r="BO55">
        <v>339221</v>
      </c>
      <c r="BP55">
        <v>1523578</v>
      </c>
      <c r="BQ55">
        <v>142241</v>
      </c>
      <c r="BR55">
        <v>0</v>
      </c>
      <c r="BS55">
        <v>0</v>
      </c>
      <c r="BT55">
        <v>10280</v>
      </c>
      <c r="BU55">
        <v>1676099</v>
      </c>
      <c r="BV55">
        <v>2401944</v>
      </c>
      <c r="BW55">
        <v>142241</v>
      </c>
      <c r="BX55">
        <v>339221</v>
      </c>
      <c r="BY55">
        <v>0</v>
      </c>
      <c r="BZ55">
        <v>10280</v>
      </c>
      <c r="CA55">
        <v>2893686</v>
      </c>
      <c r="CB55">
        <v>0</v>
      </c>
      <c r="CC55">
        <v>0</v>
      </c>
      <c r="CD55">
        <v>0</v>
      </c>
      <c r="CE55">
        <v>0</v>
      </c>
      <c r="CF55">
        <v>0</v>
      </c>
      <c r="CG55">
        <v>0</v>
      </c>
      <c r="CH55">
        <v>0</v>
      </c>
      <c r="CI55">
        <v>0</v>
      </c>
      <c r="CJ55">
        <v>0</v>
      </c>
      <c r="CK55">
        <v>0</v>
      </c>
      <c r="CL55">
        <v>0</v>
      </c>
      <c r="CM55">
        <v>0</v>
      </c>
      <c r="CN55">
        <v>0</v>
      </c>
      <c r="CO55">
        <v>0</v>
      </c>
      <c r="CP55">
        <v>0</v>
      </c>
      <c r="CQ55">
        <v>0</v>
      </c>
      <c r="CR55">
        <v>3572</v>
      </c>
      <c r="CS55">
        <v>971709</v>
      </c>
      <c r="CT55">
        <v>0</v>
      </c>
      <c r="CU55">
        <v>74336</v>
      </c>
      <c r="CV55">
        <v>110816</v>
      </c>
      <c r="CW55">
        <v>286752</v>
      </c>
      <c r="CX55">
        <v>230030</v>
      </c>
      <c r="CY55">
        <v>0</v>
      </c>
      <c r="CZ55">
        <v>50739</v>
      </c>
      <c r="DA55">
        <v>284808</v>
      </c>
      <c r="DB55">
        <v>56869</v>
      </c>
      <c r="DC55">
        <v>228293</v>
      </c>
      <c r="DD55">
        <v>0</v>
      </c>
      <c r="DE55">
        <v>162276</v>
      </c>
      <c r="DF55">
        <v>338624</v>
      </c>
      <c r="DG55">
        <v>48144</v>
      </c>
      <c r="DH55">
        <v>174841</v>
      </c>
      <c r="DI55">
        <v>0</v>
      </c>
      <c r="DJ55">
        <v>98515</v>
      </c>
      <c r="DK55">
        <v>0</v>
      </c>
      <c r="DL55">
        <v>90012</v>
      </c>
      <c r="DM55">
        <v>249787</v>
      </c>
      <c r="DN55">
        <v>76144</v>
      </c>
      <c r="DO55">
        <v>0</v>
      </c>
      <c r="DP55">
        <v>39320</v>
      </c>
      <c r="DQ55">
        <v>49872</v>
      </c>
      <c r="DR55">
        <v>50952</v>
      </c>
      <c r="DS55">
        <v>419712</v>
      </c>
      <c r="DT55">
        <v>138176</v>
      </c>
      <c r="DU55">
        <v>0</v>
      </c>
      <c r="DX55" s="69">
        <v>3259018</v>
      </c>
      <c r="DY55" s="69">
        <v>219453</v>
      </c>
      <c r="DZ55" s="69">
        <v>166672</v>
      </c>
      <c r="EA55" s="69">
        <v>758493</v>
      </c>
      <c r="EB55" s="69">
        <v>837288</v>
      </c>
      <c r="EC55" s="69">
        <v>0</v>
      </c>
      <c r="ED55" s="69">
        <v>36158</v>
      </c>
      <c r="EE55" s="69">
        <v>407645</v>
      </c>
      <c r="EF55" s="69">
        <v>166083</v>
      </c>
      <c r="EG55" s="69">
        <v>468400</v>
      </c>
      <c r="EH55" s="69">
        <v>0</v>
      </c>
      <c r="EI55" s="69">
        <v>329447</v>
      </c>
      <c r="EJ55" s="69">
        <v>841071</v>
      </c>
      <c r="EK55" s="69">
        <v>58375</v>
      </c>
      <c r="EL55" s="69">
        <v>734263</v>
      </c>
      <c r="EM55" s="69">
        <v>0</v>
      </c>
      <c r="EN55" s="69">
        <v>302695</v>
      </c>
      <c r="EO55" s="69">
        <v>0</v>
      </c>
      <c r="EP55" s="69">
        <v>234620</v>
      </c>
      <c r="EQ55" s="69">
        <v>736850</v>
      </c>
      <c r="ER55" s="69">
        <v>190651</v>
      </c>
      <c r="ES55" s="69">
        <v>0</v>
      </c>
      <c r="ET55" s="69">
        <v>46414</v>
      </c>
      <c r="EU55" s="69">
        <v>225320</v>
      </c>
      <c r="EV55" s="69">
        <v>116020</v>
      </c>
      <c r="EW55" s="69">
        <v>1023525</v>
      </c>
      <c r="EX55" s="69">
        <v>624443</v>
      </c>
      <c r="EY55" s="69">
        <v>0</v>
      </c>
      <c r="EZ55" s="69"/>
      <c r="FA55" s="69"/>
      <c r="FB55" s="69">
        <v>8523886</v>
      </c>
      <c r="FC55" s="69">
        <v>0</v>
      </c>
      <c r="FD55" s="69">
        <v>5835</v>
      </c>
      <c r="FE55" s="69">
        <v>5143</v>
      </c>
      <c r="FF55" s="69">
        <v>13875</v>
      </c>
      <c r="FG55" s="69">
        <v>0</v>
      </c>
      <c r="FH55" s="69">
        <v>0</v>
      </c>
      <c r="FI55" s="69">
        <v>0</v>
      </c>
      <c r="FJ55" s="69">
        <v>0</v>
      </c>
      <c r="FK55" s="69">
        <v>20629</v>
      </c>
      <c r="FL55" s="69">
        <v>0</v>
      </c>
      <c r="FM55" s="69">
        <v>0</v>
      </c>
      <c r="FN55" s="69">
        <v>8482</v>
      </c>
      <c r="FO55" s="69">
        <v>0</v>
      </c>
      <c r="FP55" s="69">
        <v>0</v>
      </c>
      <c r="FQ55" s="69">
        <v>0</v>
      </c>
      <c r="FR55" s="69">
        <v>7534</v>
      </c>
      <c r="FS55" s="69">
        <v>0</v>
      </c>
      <c r="FT55" s="69">
        <v>11300</v>
      </c>
      <c r="FU55" s="69">
        <v>15959</v>
      </c>
      <c r="FV55" s="69">
        <v>0</v>
      </c>
      <c r="FW55" s="69">
        <v>0</v>
      </c>
      <c r="FX55" s="69">
        <v>0</v>
      </c>
      <c r="FY55" s="69">
        <v>4791</v>
      </c>
      <c r="FZ55" s="69">
        <v>0</v>
      </c>
      <c r="GA55" s="69">
        <v>6930</v>
      </c>
      <c r="GB55" s="69">
        <v>9814</v>
      </c>
      <c r="GC55" s="69">
        <v>0</v>
      </c>
      <c r="GD55" s="69"/>
      <c r="GE55" s="69"/>
      <c r="GF55" s="69">
        <v>110292</v>
      </c>
      <c r="GG55" s="69">
        <v>24698</v>
      </c>
      <c r="GH55" s="69">
        <v>19414</v>
      </c>
      <c r="GI55" s="69">
        <v>85941</v>
      </c>
      <c r="GJ55" s="69">
        <v>95792</v>
      </c>
      <c r="GK55" s="69">
        <v>0</v>
      </c>
      <c r="GL55" s="69">
        <v>4069</v>
      </c>
      <c r="GM55" s="69">
        <v>45877</v>
      </c>
      <c r="GN55" s="69">
        <v>18691</v>
      </c>
      <c r="GO55" s="69">
        <v>55036</v>
      </c>
      <c r="GP55" s="69">
        <v>0</v>
      </c>
      <c r="GQ55" s="69">
        <v>37077</v>
      </c>
      <c r="GR55" s="69">
        <v>95611</v>
      </c>
      <c r="GS55" s="69">
        <v>6570</v>
      </c>
      <c r="GT55" s="69">
        <v>82636</v>
      </c>
      <c r="GU55" s="69">
        <v>0</v>
      </c>
      <c r="GV55" s="69">
        <v>34914</v>
      </c>
      <c r="GW55" s="69">
        <v>0</v>
      </c>
      <c r="GX55" s="69">
        <v>27676</v>
      </c>
      <c r="GY55" s="69">
        <v>84723</v>
      </c>
      <c r="GZ55" s="69">
        <v>21456</v>
      </c>
      <c r="HA55" s="69">
        <v>0</v>
      </c>
      <c r="HB55" s="69">
        <v>5224</v>
      </c>
      <c r="HC55" s="69">
        <v>25897</v>
      </c>
      <c r="HD55" s="69">
        <v>13057</v>
      </c>
      <c r="HE55" s="69">
        <v>115970</v>
      </c>
      <c r="HF55" s="69">
        <v>71381</v>
      </c>
      <c r="HG55" s="69">
        <v>0</v>
      </c>
      <c r="HH55" s="69"/>
      <c r="HI55" s="69"/>
      <c r="HJ55" s="69">
        <v>971709</v>
      </c>
      <c r="HK55" s="69">
        <v>37824</v>
      </c>
      <c r="HL55" s="69">
        <v>35327</v>
      </c>
      <c r="HM55" s="69">
        <v>70350</v>
      </c>
      <c r="HN55" s="69">
        <v>133508</v>
      </c>
      <c r="HO55" s="69">
        <v>0</v>
      </c>
      <c r="HP55" s="69">
        <v>31219</v>
      </c>
      <c r="HQ55" s="69">
        <v>5288</v>
      </c>
      <c r="HR55" s="69">
        <v>8474</v>
      </c>
      <c r="HS55" s="69">
        <v>67574</v>
      </c>
      <c r="HT55" s="69">
        <v>0</v>
      </c>
      <c r="HU55" s="69">
        <v>48149</v>
      </c>
      <c r="HV55" s="69">
        <v>60242</v>
      </c>
      <c r="HW55" s="69">
        <v>6595</v>
      </c>
      <c r="HX55" s="69">
        <v>81114</v>
      </c>
      <c r="HY55" s="69">
        <v>0</v>
      </c>
      <c r="HZ55" s="69">
        <v>46413</v>
      </c>
      <c r="IA55" s="69">
        <v>0</v>
      </c>
      <c r="IB55" s="69">
        <v>27340</v>
      </c>
      <c r="IC55" s="69">
        <v>36374</v>
      </c>
      <c r="ID55" s="69">
        <v>23545</v>
      </c>
      <c r="IE55" s="69">
        <v>0</v>
      </c>
      <c r="IF55" s="69">
        <v>7347</v>
      </c>
      <c r="IG55" s="69">
        <v>11822</v>
      </c>
      <c r="IH55" s="69">
        <v>5598</v>
      </c>
      <c r="II55" s="69">
        <v>34550</v>
      </c>
      <c r="IJ55" s="69">
        <v>79006</v>
      </c>
      <c r="IK55" s="69">
        <v>0</v>
      </c>
      <c r="IL55" s="69"/>
      <c r="IM55" s="69"/>
      <c r="IN55" s="69">
        <v>857659</v>
      </c>
      <c r="IO55" s="69">
        <v>62522</v>
      </c>
      <c r="IP55" s="69">
        <v>60576</v>
      </c>
      <c r="IQ55" s="69">
        <v>161434</v>
      </c>
      <c r="IR55" s="69">
        <v>243175</v>
      </c>
      <c r="IS55" s="69">
        <v>0</v>
      </c>
      <c r="IT55" s="69">
        <v>35288</v>
      </c>
      <c r="IU55" s="69">
        <v>51165</v>
      </c>
      <c r="IV55" s="69">
        <v>27165</v>
      </c>
      <c r="IW55" s="69">
        <v>143239</v>
      </c>
      <c r="IX55" s="69">
        <v>0</v>
      </c>
      <c r="IY55" s="69">
        <v>85226</v>
      </c>
      <c r="IZ55" s="69">
        <v>164335</v>
      </c>
      <c r="JA55" s="69">
        <v>13165</v>
      </c>
      <c r="JB55" s="69">
        <v>163750</v>
      </c>
      <c r="JC55" s="69">
        <v>0</v>
      </c>
      <c r="JD55" s="69">
        <v>88861</v>
      </c>
      <c r="JE55" s="69">
        <v>0</v>
      </c>
      <c r="JF55" s="69">
        <v>66316</v>
      </c>
      <c r="JG55" s="69">
        <v>137056</v>
      </c>
      <c r="JH55" s="69">
        <v>45001</v>
      </c>
      <c r="JI55" s="69">
        <v>0</v>
      </c>
      <c r="JJ55" s="69">
        <v>12571</v>
      </c>
      <c r="JK55" s="69">
        <v>42510</v>
      </c>
      <c r="JL55" s="69">
        <v>18655</v>
      </c>
      <c r="JM55" s="69">
        <v>157450</v>
      </c>
      <c r="JN55" s="69">
        <v>160201</v>
      </c>
      <c r="JO55" s="69">
        <v>0</v>
      </c>
      <c r="JP55" s="69"/>
      <c r="JQ55" s="69"/>
      <c r="JR55" s="69">
        <v>1939660</v>
      </c>
      <c r="JS55" s="69">
        <v>281975</v>
      </c>
      <c r="JT55" s="69">
        <v>227248</v>
      </c>
      <c r="JU55" s="69">
        <v>919927</v>
      </c>
      <c r="JV55" s="69">
        <v>1080463</v>
      </c>
      <c r="JW55" s="69">
        <v>0</v>
      </c>
      <c r="JX55" s="69">
        <v>71446</v>
      </c>
      <c r="JY55" s="69">
        <v>458810</v>
      </c>
      <c r="JZ55" s="69">
        <v>193248</v>
      </c>
      <c r="KA55" s="69">
        <v>611639</v>
      </c>
      <c r="KB55" s="69">
        <v>0</v>
      </c>
      <c r="KC55" s="69">
        <v>414673</v>
      </c>
      <c r="KD55" s="69">
        <v>1005406</v>
      </c>
      <c r="KE55" s="69">
        <v>71540</v>
      </c>
      <c r="KF55" s="69">
        <v>898013</v>
      </c>
      <c r="KG55" s="69">
        <v>0</v>
      </c>
      <c r="KH55" s="69">
        <v>391556</v>
      </c>
      <c r="KI55" s="69">
        <v>0</v>
      </c>
      <c r="KJ55" s="69">
        <v>300936</v>
      </c>
      <c r="KK55" s="69">
        <v>873906</v>
      </c>
      <c r="KL55" s="69">
        <v>235652</v>
      </c>
      <c r="KM55" s="69">
        <v>0</v>
      </c>
      <c r="KN55" s="69">
        <v>58985</v>
      </c>
      <c r="KO55" s="69">
        <v>267830</v>
      </c>
      <c r="KP55" s="69">
        <v>134675</v>
      </c>
      <c r="KQ55" s="69">
        <v>1180975</v>
      </c>
      <c r="KR55" s="69">
        <v>784644</v>
      </c>
      <c r="KS55" s="69">
        <v>0</v>
      </c>
      <c r="KT55" s="69"/>
      <c r="KU55" s="69"/>
      <c r="KV55" s="69">
        <v>10463546</v>
      </c>
      <c r="KW55" s="69"/>
    </row>
    <row r="56" spans="1:309" x14ac:dyDescent="0.25">
      <c r="A56" t="s">
        <v>412</v>
      </c>
      <c r="C56" t="s">
        <v>1088</v>
      </c>
      <c r="D56" t="s">
        <v>1118</v>
      </c>
      <c r="E56" s="2">
        <v>39799.6562037037</v>
      </c>
      <c r="G56" t="s">
        <v>413</v>
      </c>
      <c r="L56">
        <v>0</v>
      </c>
      <c r="M56">
        <v>0</v>
      </c>
      <c r="N56">
        <v>0</v>
      </c>
      <c r="O56">
        <v>39509819</v>
      </c>
      <c r="P56" s="69">
        <v>0</v>
      </c>
      <c r="Q56" s="69">
        <v>1259147</v>
      </c>
      <c r="R56">
        <v>0</v>
      </c>
      <c r="S56">
        <v>1259147</v>
      </c>
      <c r="T56">
        <v>3361701</v>
      </c>
      <c r="U56">
        <v>2798416</v>
      </c>
      <c r="V56">
        <v>1356670</v>
      </c>
      <c r="W56">
        <v>0</v>
      </c>
      <c r="X56">
        <v>0</v>
      </c>
      <c r="Y56">
        <v>0</v>
      </c>
      <c r="Z56">
        <v>7516787</v>
      </c>
      <c r="AA56">
        <v>2378334</v>
      </c>
      <c r="AB56">
        <v>1771171</v>
      </c>
      <c r="AC56">
        <v>1002945</v>
      </c>
      <c r="AD56">
        <v>0</v>
      </c>
      <c r="AE56">
        <v>875403</v>
      </c>
      <c r="AF56">
        <v>634148</v>
      </c>
      <c r="AG56">
        <v>6721119</v>
      </c>
      <c r="AH56">
        <v>5740035</v>
      </c>
      <c r="AI56">
        <v>4569587</v>
      </c>
      <c r="AJ56">
        <v>2359615</v>
      </c>
      <c r="AK56">
        <v>0</v>
      </c>
      <c r="AL56">
        <v>875403</v>
      </c>
      <c r="AM56">
        <v>693266</v>
      </c>
      <c r="AN56">
        <v>14237906</v>
      </c>
      <c r="AO56">
        <v>0</v>
      </c>
      <c r="AP56">
        <v>0</v>
      </c>
      <c r="AQ56">
        <v>40106</v>
      </c>
      <c r="AR56">
        <v>0</v>
      </c>
      <c r="AS56">
        <v>40106</v>
      </c>
      <c r="AT56">
        <v>0</v>
      </c>
      <c r="AU56">
        <v>0</v>
      </c>
      <c r="AV56">
        <v>24609</v>
      </c>
      <c r="AW56">
        <v>9581</v>
      </c>
      <c r="AX56">
        <v>34190</v>
      </c>
      <c r="AY56">
        <v>0</v>
      </c>
      <c r="AZ56">
        <v>0</v>
      </c>
      <c r="BA56">
        <v>64715</v>
      </c>
      <c r="BB56">
        <v>9581</v>
      </c>
      <c r="BC56">
        <v>74296</v>
      </c>
      <c r="BD56">
        <v>692471</v>
      </c>
      <c r="BE56">
        <v>0</v>
      </c>
      <c r="BF56">
        <v>0</v>
      </c>
      <c r="BG56">
        <v>0</v>
      </c>
      <c r="BH56">
        <v>0</v>
      </c>
      <c r="BI56">
        <v>692471</v>
      </c>
      <c r="BJ56">
        <v>0</v>
      </c>
      <c r="BK56">
        <v>0</v>
      </c>
      <c r="BL56">
        <v>198189</v>
      </c>
      <c r="BM56">
        <v>0</v>
      </c>
      <c r="BN56">
        <v>0</v>
      </c>
      <c r="BO56">
        <v>198189</v>
      </c>
      <c r="BP56">
        <v>2664177</v>
      </c>
      <c r="BQ56">
        <v>1013639</v>
      </c>
      <c r="BR56">
        <v>0</v>
      </c>
      <c r="BS56">
        <v>0</v>
      </c>
      <c r="BT56">
        <v>57082</v>
      </c>
      <c r="BU56">
        <v>3734898</v>
      </c>
      <c r="BV56">
        <v>3356648</v>
      </c>
      <c r="BW56">
        <v>1013639</v>
      </c>
      <c r="BX56">
        <v>198189</v>
      </c>
      <c r="BY56">
        <v>0</v>
      </c>
      <c r="BZ56">
        <v>57082</v>
      </c>
      <c r="CA56">
        <v>4625558</v>
      </c>
      <c r="CB56">
        <v>0</v>
      </c>
      <c r="CC56">
        <v>0</v>
      </c>
      <c r="CD56">
        <v>0</v>
      </c>
      <c r="CE56">
        <v>0</v>
      </c>
      <c r="CF56">
        <v>0</v>
      </c>
      <c r="CG56">
        <v>0</v>
      </c>
      <c r="CH56">
        <v>0</v>
      </c>
      <c r="CI56">
        <v>0</v>
      </c>
      <c r="CJ56">
        <v>0</v>
      </c>
      <c r="CK56">
        <v>0</v>
      </c>
      <c r="CL56">
        <v>0</v>
      </c>
      <c r="CM56">
        <v>0</v>
      </c>
      <c r="CN56">
        <v>0</v>
      </c>
      <c r="CO56">
        <v>0</v>
      </c>
      <c r="CP56">
        <v>0</v>
      </c>
      <c r="CQ56">
        <v>0</v>
      </c>
      <c r="CR56">
        <v>3648</v>
      </c>
      <c r="CS56">
        <v>660721</v>
      </c>
      <c r="CT56">
        <v>0</v>
      </c>
      <c r="CU56">
        <v>37562</v>
      </c>
      <c r="CV56">
        <v>28528</v>
      </c>
      <c r="CW56">
        <v>622768</v>
      </c>
      <c r="CX56">
        <v>449092</v>
      </c>
      <c r="CY56">
        <v>90</v>
      </c>
      <c r="CZ56">
        <v>37704</v>
      </c>
      <c r="DA56">
        <v>56411</v>
      </c>
      <c r="DB56">
        <v>12960</v>
      </c>
      <c r="DC56">
        <v>78381</v>
      </c>
      <c r="DD56">
        <v>3232</v>
      </c>
      <c r="DE56">
        <v>188447</v>
      </c>
      <c r="DF56">
        <v>494712</v>
      </c>
      <c r="DG56">
        <v>175280</v>
      </c>
      <c r="DH56">
        <v>174252</v>
      </c>
      <c r="DI56">
        <v>34892</v>
      </c>
      <c r="DJ56">
        <v>281212</v>
      </c>
      <c r="DK56">
        <v>38928</v>
      </c>
      <c r="DL56">
        <v>199157</v>
      </c>
      <c r="DM56">
        <v>508464</v>
      </c>
      <c r="DN56">
        <v>52147</v>
      </c>
      <c r="DO56">
        <v>8000</v>
      </c>
      <c r="DP56">
        <v>19967</v>
      </c>
      <c r="DQ56">
        <v>104801</v>
      </c>
      <c r="DR56">
        <v>54970</v>
      </c>
      <c r="DS56">
        <v>729184</v>
      </c>
      <c r="DT56">
        <v>313115</v>
      </c>
      <c r="DU56">
        <v>0</v>
      </c>
      <c r="DX56" s="69">
        <v>4704256</v>
      </c>
      <c r="DY56" s="69">
        <v>43859</v>
      </c>
      <c r="DZ56" s="69">
        <v>140686</v>
      </c>
      <c r="EA56" s="69">
        <v>1318666</v>
      </c>
      <c r="EB56" s="69">
        <v>542394</v>
      </c>
      <c r="EC56" s="69"/>
      <c r="ED56" s="69">
        <v>77703</v>
      </c>
      <c r="EE56" s="69">
        <v>883572</v>
      </c>
      <c r="EF56" s="69">
        <v>16524</v>
      </c>
      <c r="EG56" s="69">
        <v>140696</v>
      </c>
      <c r="EH56" s="69">
        <v>87</v>
      </c>
      <c r="EI56" s="69">
        <v>437181</v>
      </c>
      <c r="EJ56" s="69">
        <v>2096900</v>
      </c>
      <c r="EK56" s="69">
        <v>189869</v>
      </c>
      <c r="EL56" s="69">
        <v>914852</v>
      </c>
      <c r="EM56" s="69">
        <v>288005</v>
      </c>
      <c r="EN56" s="69">
        <v>1223579</v>
      </c>
      <c r="EO56" s="69">
        <v>213356</v>
      </c>
      <c r="EP56" s="69">
        <v>591768</v>
      </c>
      <c r="EQ56" s="69">
        <v>1354321</v>
      </c>
      <c r="ER56" s="69">
        <v>411212</v>
      </c>
      <c r="ES56" s="69">
        <v>10200</v>
      </c>
      <c r="ET56" s="69">
        <v>11600</v>
      </c>
      <c r="EU56" s="69">
        <v>838441</v>
      </c>
      <c r="EV56" s="69">
        <v>196896</v>
      </c>
      <c r="EW56" s="69">
        <v>1573513</v>
      </c>
      <c r="EX56" s="69">
        <v>952687</v>
      </c>
      <c r="EY56" s="69">
        <v>0</v>
      </c>
      <c r="EZ56" s="69"/>
      <c r="FA56" s="69"/>
      <c r="FB56" s="69">
        <v>14468682</v>
      </c>
      <c r="FC56" s="69">
        <v>1597</v>
      </c>
      <c r="FD56" s="69">
        <v>3497</v>
      </c>
      <c r="FE56" s="69">
        <v>352487</v>
      </c>
      <c r="FF56" s="69">
        <v>42409</v>
      </c>
      <c r="FG56" s="69">
        <v>63</v>
      </c>
      <c r="FH56" s="69">
        <v>3217</v>
      </c>
      <c r="FI56" s="69">
        <v>12798</v>
      </c>
      <c r="FJ56" s="69">
        <v>9050</v>
      </c>
      <c r="FK56" s="69">
        <v>143374</v>
      </c>
      <c r="FL56" s="69">
        <v>123</v>
      </c>
      <c r="FM56" s="69">
        <v>82507</v>
      </c>
      <c r="FN56" s="69">
        <v>91823</v>
      </c>
      <c r="FO56" s="69">
        <v>31490</v>
      </c>
      <c r="FP56" s="69">
        <v>61975</v>
      </c>
      <c r="FQ56" s="69">
        <v>42938</v>
      </c>
      <c r="FR56" s="69">
        <v>64051</v>
      </c>
      <c r="FS56" s="69">
        <v>2984</v>
      </c>
      <c r="FT56" s="69">
        <v>12824</v>
      </c>
      <c r="FU56" s="69">
        <v>140871</v>
      </c>
      <c r="FV56" s="69">
        <v>20136</v>
      </c>
      <c r="FW56" s="69">
        <v>5586</v>
      </c>
      <c r="FX56" s="69">
        <v>6612</v>
      </c>
      <c r="FY56" s="69">
        <v>9503</v>
      </c>
      <c r="FZ56" s="69">
        <v>19294</v>
      </c>
      <c r="GA56" s="69">
        <v>30744</v>
      </c>
      <c r="GB56" s="69">
        <v>60020</v>
      </c>
      <c r="GC56" s="69">
        <v>0</v>
      </c>
      <c r="GD56" s="69"/>
      <c r="GE56" s="69"/>
      <c r="GF56" s="69">
        <v>1251973</v>
      </c>
      <c r="GG56" s="69">
        <v>1910</v>
      </c>
      <c r="GH56" s="69">
        <v>6060</v>
      </c>
      <c r="GI56" s="69">
        <v>70237</v>
      </c>
      <c r="GJ56" s="69">
        <v>24579</v>
      </c>
      <c r="GK56" s="69">
        <v>7</v>
      </c>
      <c r="GL56" s="69">
        <v>3401</v>
      </c>
      <c r="GM56" s="69">
        <v>37673</v>
      </c>
      <c r="GN56" s="69">
        <v>1075</v>
      </c>
      <c r="GO56" s="69">
        <v>11939</v>
      </c>
      <c r="GP56" s="69">
        <v>9</v>
      </c>
      <c r="GQ56" s="69">
        <v>21842</v>
      </c>
      <c r="GR56" s="69">
        <v>91990</v>
      </c>
      <c r="GS56" s="69">
        <v>9303</v>
      </c>
      <c r="GT56" s="69">
        <v>41055</v>
      </c>
      <c r="GU56" s="69">
        <v>13909</v>
      </c>
      <c r="GV56" s="69">
        <v>54118</v>
      </c>
      <c r="GW56" s="69">
        <v>9093</v>
      </c>
      <c r="GX56" s="69">
        <v>25410</v>
      </c>
      <c r="GY56" s="69">
        <v>62841</v>
      </c>
      <c r="GZ56" s="69">
        <v>18129</v>
      </c>
      <c r="HA56" s="69">
        <v>663</v>
      </c>
      <c r="HB56" s="69">
        <v>765</v>
      </c>
      <c r="HC56" s="69">
        <v>35638</v>
      </c>
      <c r="HD56" s="69">
        <v>9086</v>
      </c>
      <c r="HE56" s="69">
        <v>67425</v>
      </c>
      <c r="HF56" s="69">
        <v>42563</v>
      </c>
      <c r="HG56" s="69">
        <v>0</v>
      </c>
      <c r="HH56" s="69"/>
      <c r="HI56" s="69"/>
      <c r="HJ56" s="69">
        <v>660721</v>
      </c>
      <c r="HK56" s="69">
        <v>22858</v>
      </c>
      <c r="HL56" s="69">
        <v>79552</v>
      </c>
      <c r="HM56" s="69">
        <v>368084</v>
      </c>
      <c r="HN56" s="69">
        <v>252020</v>
      </c>
      <c r="HO56" s="69">
        <v>246</v>
      </c>
      <c r="HP56" s="69">
        <v>21508</v>
      </c>
      <c r="HQ56" s="69">
        <v>74951</v>
      </c>
      <c r="HR56" s="69">
        <v>35396</v>
      </c>
      <c r="HS56" s="69">
        <v>85128</v>
      </c>
      <c r="HT56" s="69">
        <v>1267</v>
      </c>
      <c r="HU56" s="69">
        <v>333390</v>
      </c>
      <c r="HV56" s="69">
        <v>326709</v>
      </c>
      <c r="HW56" s="69">
        <v>71654</v>
      </c>
      <c r="HX56" s="69">
        <v>188761</v>
      </c>
      <c r="HY56" s="69">
        <v>55571</v>
      </c>
      <c r="HZ56" s="69">
        <v>340292</v>
      </c>
      <c r="IA56" s="69">
        <v>32768</v>
      </c>
      <c r="IB56" s="69">
        <v>132756</v>
      </c>
      <c r="IC56" s="69">
        <v>272481</v>
      </c>
      <c r="ID56" s="69">
        <v>180463</v>
      </c>
      <c r="IE56" s="69">
        <v>21849</v>
      </c>
      <c r="IF56" s="69">
        <v>28560</v>
      </c>
      <c r="IG56" s="69">
        <v>75353</v>
      </c>
      <c r="IH56" s="69">
        <v>83245</v>
      </c>
      <c r="II56" s="69">
        <v>325483</v>
      </c>
      <c r="IJ56" s="69">
        <v>281120</v>
      </c>
      <c r="IK56" s="69">
        <v>0</v>
      </c>
      <c r="IL56" s="69"/>
      <c r="IM56" s="69"/>
      <c r="IN56" s="69">
        <v>3691465</v>
      </c>
      <c r="IO56" s="69">
        <v>26365</v>
      </c>
      <c r="IP56" s="69">
        <v>89109</v>
      </c>
      <c r="IQ56" s="69">
        <v>790808</v>
      </c>
      <c r="IR56" s="69">
        <v>319008</v>
      </c>
      <c r="IS56" s="69"/>
      <c r="IT56" s="69">
        <v>28126</v>
      </c>
      <c r="IU56" s="69">
        <v>125422</v>
      </c>
      <c r="IV56" s="69">
        <v>45521</v>
      </c>
      <c r="IW56" s="69">
        <v>240441</v>
      </c>
      <c r="IX56" s="69">
        <v>1399</v>
      </c>
      <c r="IY56" s="69">
        <v>437739</v>
      </c>
      <c r="IZ56" s="69">
        <v>510522</v>
      </c>
      <c r="JA56" s="69">
        <v>112447</v>
      </c>
      <c r="JB56" s="69">
        <v>291791</v>
      </c>
      <c r="JC56" s="69">
        <v>112418</v>
      </c>
      <c r="JD56" s="69">
        <v>458461</v>
      </c>
      <c r="JE56" s="69">
        <v>44845</v>
      </c>
      <c r="JF56" s="69">
        <v>170990</v>
      </c>
      <c r="JG56" s="69">
        <v>476193</v>
      </c>
      <c r="JH56" s="69">
        <v>218728</v>
      </c>
      <c r="JI56" s="69">
        <v>28098</v>
      </c>
      <c r="JJ56" s="69">
        <v>35937</v>
      </c>
      <c r="JK56" s="69">
        <v>120494</v>
      </c>
      <c r="JL56" s="69">
        <v>111625</v>
      </c>
      <c r="JM56" s="69">
        <v>423652</v>
      </c>
      <c r="JN56" s="69">
        <v>383703</v>
      </c>
      <c r="JO56" s="69">
        <v>0</v>
      </c>
      <c r="JP56" s="69"/>
      <c r="JQ56" s="69"/>
      <c r="JR56" s="69">
        <v>5604159</v>
      </c>
      <c r="JS56" s="69">
        <v>70224</v>
      </c>
      <c r="JT56" s="69">
        <v>229795</v>
      </c>
      <c r="JU56" s="69">
        <v>2109474</v>
      </c>
      <c r="JV56" s="69">
        <v>861402</v>
      </c>
      <c r="JW56" s="69">
        <v>431</v>
      </c>
      <c r="JX56" s="69">
        <v>105829</v>
      </c>
      <c r="JY56" s="69">
        <v>1008994</v>
      </c>
      <c r="JZ56" s="69">
        <v>62045</v>
      </c>
      <c r="KA56" s="69">
        <v>381137</v>
      </c>
      <c r="KB56" s="69">
        <v>1486</v>
      </c>
      <c r="KC56" s="69">
        <v>874920</v>
      </c>
      <c r="KD56" s="69">
        <v>2607422</v>
      </c>
      <c r="KE56" s="69">
        <v>302316</v>
      </c>
      <c r="KF56" s="69">
        <v>1206643</v>
      </c>
      <c r="KG56" s="69">
        <v>400423</v>
      </c>
      <c r="KH56" s="69">
        <v>1682040</v>
      </c>
      <c r="KI56" s="69">
        <v>258201</v>
      </c>
      <c r="KJ56" s="69">
        <v>762758</v>
      </c>
      <c r="KK56" s="69">
        <v>1830514</v>
      </c>
      <c r="KL56" s="69">
        <v>629940</v>
      </c>
      <c r="KM56" s="69">
        <v>38298</v>
      </c>
      <c r="KN56" s="69">
        <v>47537</v>
      </c>
      <c r="KO56" s="69">
        <v>958935</v>
      </c>
      <c r="KP56" s="69">
        <v>308521</v>
      </c>
      <c r="KQ56" s="69">
        <v>1997165</v>
      </c>
      <c r="KR56" s="69">
        <v>1336390</v>
      </c>
      <c r="KS56" s="69">
        <v>0</v>
      </c>
      <c r="KT56" s="69"/>
      <c r="KU56" s="69"/>
      <c r="KV56" s="69">
        <v>20072841</v>
      </c>
      <c r="KW56" s="69" t="s">
        <v>1144</v>
      </c>
    </row>
    <row r="57" spans="1:309" x14ac:dyDescent="0.25">
      <c r="A57" t="s">
        <v>438</v>
      </c>
      <c r="C57" s="62"/>
      <c r="E57" s="2">
        <v>39798.611770833297</v>
      </c>
      <c r="G57" t="s">
        <v>439</v>
      </c>
      <c r="L57">
        <v>0</v>
      </c>
      <c r="M57">
        <v>0</v>
      </c>
      <c r="N57">
        <v>0</v>
      </c>
      <c r="O57">
        <v>11718273</v>
      </c>
      <c r="P57" s="69">
        <v>0</v>
      </c>
      <c r="Q57" s="69">
        <v>0</v>
      </c>
      <c r="R57">
        <v>0</v>
      </c>
      <c r="S57">
        <v>0</v>
      </c>
      <c r="T57">
        <v>1168815</v>
      </c>
      <c r="U57">
        <v>968207</v>
      </c>
      <c r="V57">
        <v>1331154</v>
      </c>
      <c r="W57">
        <v>0</v>
      </c>
      <c r="X57">
        <v>0</v>
      </c>
      <c r="Y57">
        <v>0</v>
      </c>
      <c r="Z57">
        <v>3468176</v>
      </c>
      <c r="AA57">
        <v>670530</v>
      </c>
      <c r="AB57">
        <v>131611</v>
      </c>
      <c r="AC57">
        <v>398445</v>
      </c>
      <c r="AD57">
        <v>0</v>
      </c>
      <c r="AE57">
        <v>144035</v>
      </c>
      <c r="AF57">
        <v>152505</v>
      </c>
      <c r="AG57">
        <v>1497126</v>
      </c>
      <c r="AH57">
        <v>1839345</v>
      </c>
      <c r="AI57">
        <v>1099818</v>
      </c>
      <c r="AJ57">
        <v>1729599</v>
      </c>
      <c r="AK57">
        <v>0</v>
      </c>
      <c r="AL57">
        <v>144035</v>
      </c>
      <c r="AM57">
        <v>152505</v>
      </c>
      <c r="AN57">
        <v>4965302</v>
      </c>
      <c r="AO57">
        <v>0</v>
      </c>
      <c r="AP57">
        <v>0</v>
      </c>
      <c r="AQ57">
        <v>79478</v>
      </c>
      <c r="AR57">
        <v>0</v>
      </c>
      <c r="AS57">
        <v>79478</v>
      </c>
      <c r="AT57">
        <v>0</v>
      </c>
      <c r="AU57">
        <v>0</v>
      </c>
      <c r="AV57">
        <v>57361</v>
      </c>
      <c r="AW57">
        <v>0</v>
      </c>
      <c r="AX57">
        <v>57361</v>
      </c>
      <c r="AY57">
        <v>0</v>
      </c>
      <c r="AZ57">
        <v>0</v>
      </c>
      <c r="BA57">
        <v>136839</v>
      </c>
      <c r="BB57">
        <v>0</v>
      </c>
      <c r="BC57">
        <v>136839</v>
      </c>
      <c r="BD57">
        <v>533298</v>
      </c>
      <c r="BE57">
        <v>0</v>
      </c>
      <c r="BF57">
        <v>0</v>
      </c>
      <c r="BG57">
        <v>0</v>
      </c>
      <c r="BH57">
        <v>0</v>
      </c>
      <c r="BI57">
        <v>533298</v>
      </c>
      <c r="BJ57">
        <v>0</v>
      </c>
      <c r="BK57">
        <v>0</v>
      </c>
      <c r="BL57">
        <v>32236</v>
      </c>
      <c r="BM57">
        <v>0</v>
      </c>
      <c r="BN57">
        <v>0</v>
      </c>
      <c r="BO57">
        <v>32236</v>
      </c>
      <c r="BP57">
        <v>1025315</v>
      </c>
      <c r="BQ57">
        <v>344648</v>
      </c>
      <c r="BR57">
        <v>0</v>
      </c>
      <c r="BS57">
        <v>0</v>
      </c>
      <c r="BT57">
        <v>0</v>
      </c>
      <c r="BU57">
        <v>1522468</v>
      </c>
      <c r="BV57">
        <v>1711118</v>
      </c>
      <c r="BW57">
        <v>344648</v>
      </c>
      <c r="BX57">
        <v>32236</v>
      </c>
      <c r="BY57">
        <v>0</v>
      </c>
      <c r="BZ57">
        <v>0</v>
      </c>
      <c r="CA57">
        <v>2088002</v>
      </c>
      <c r="CB57">
        <v>0</v>
      </c>
      <c r="CC57">
        <v>0</v>
      </c>
      <c r="CD57">
        <v>0</v>
      </c>
      <c r="CE57">
        <v>0</v>
      </c>
      <c r="CF57">
        <v>0</v>
      </c>
      <c r="CG57">
        <v>0</v>
      </c>
      <c r="CH57">
        <v>0</v>
      </c>
      <c r="CI57">
        <v>0</v>
      </c>
      <c r="CJ57">
        <v>0</v>
      </c>
      <c r="CK57">
        <v>0</v>
      </c>
      <c r="CL57">
        <v>0</v>
      </c>
      <c r="CM57">
        <v>0</v>
      </c>
      <c r="CN57">
        <v>0</v>
      </c>
      <c r="CO57">
        <v>0</v>
      </c>
      <c r="CP57">
        <v>0</v>
      </c>
      <c r="CQ57">
        <v>0</v>
      </c>
      <c r="CR57">
        <v>10060</v>
      </c>
      <c r="CS57">
        <v>249102</v>
      </c>
      <c r="CT57">
        <v>0</v>
      </c>
      <c r="CU57">
        <v>7232</v>
      </c>
      <c r="CV57">
        <v>45020</v>
      </c>
      <c r="CW57">
        <v>112224</v>
      </c>
      <c r="CX57">
        <v>45709</v>
      </c>
      <c r="CY57">
        <v>0</v>
      </c>
      <c r="CZ57">
        <v>0</v>
      </c>
      <c r="DA57">
        <v>84270</v>
      </c>
      <c r="DB57">
        <v>7920</v>
      </c>
      <c r="DC57">
        <v>101300</v>
      </c>
      <c r="DD57">
        <v>0</v>
      </c>
      <c r="DE57">
        <v>22067</v>
      </c>
      <c r="DF57">
        <v>147029</v>
      </c>
      <c r="DG57">
        <v>25136</v>
      </c>
      <c r="DH57">
        <v>112011</v>
      </c>
      <c r="DI57">
        <v>0</v>
      </c>
      <c r="DJ57">
        <v>68522</v>
      </c>
      <c r="DK57">
        <v>0</v>
      </c>
      <c r="DL57">
        <v>167422</v>
      </c>
      <c r="DM57">
        <v>97680</v>
      </c>
      <c r="DN57">
        <v>11328</v>
      </c>
      <c r="DO57">
        <v>100</v>
      </c>
      <c r="DP57">
        <v>2256</v>
      </c>
      <c r="DQ57">
        <v>24816</v>
      </c>
      <c r="DR57">
        <v>129481</v>
      </c>
      <c r="DS57">
        <v>185280</v>
      </c>
      <c r="DT57">
        <v>35056</v>
      </c>
      <c r="DU57">
        <v>0</v>
      </c>
      <c r="DX57" s="69">
        <v>1431859</v>
      </c>
      <c r="DY57" s="69"/>
      <c r="DZ57" s="69"/>
      <c r="EA57" s="69"/>
      <c r="EB57" s="69"/>
      <c r="EC57" s="69"/>
      <c r="ED57" s="69"/>
      <c r="EE57" s="69"/>
      <c r="EF57" s="69"/>
      <c r="EG57" s="69"/>
      <c r="EH57" s="69"/>
      <c r="EI57" s="69"/>
      <c r="EJ57" s="69"/>
      <c r="EK57" s="69"/>
      <c r="EL57" s="69"/>
      <c r="EM57" s="69"/>
      <c r="EN57" s="69"/>
      <c r="EO57" s="69"/>
      <c r="EP57" s="69"/>
      <c r="EQ57" s="69"/>
      <c r="ER57" s="69"/>
      <c r="ES57" s="69"/>
      <c r="ET57" s="69"/>
      <c r="EU57" s="69"/>
      <c r="EV57" s="69"/>
      <c r="EW57" s="69"/>
      <c r="EX57" s="69"/>
      <c r="EY57" s="69">
        <v>0</v>
      </c>
      <c r="EZ57" s="69"/>
      <c r="FA57" s="69"/>
      <c r="FB57" s="69">
        <v>4121032</v>
      </c>
      <c r="FC57" s="69">
        <v>0</v>
      </c>
      <c r="FD57" s="69">
        <v>0</v>
      </c>
      <c r="FE57" s="69">
        <v>0</v>
      </c>
      <c r="FF57" s="69">
        <v>0</v>
      </c>
      <c r="FG57" s="69">
        <v>0</v>
      </c>
      <c r="FH57" s="69">
        <v>0</v>
      </c>
      <c r="FI57" s="69">
        <v>0</v>
      </c>
      <c r="FJ57" s="69">
        <v>0</v>
      </c>
      <c r="FK57" s="69">
        <v>0</v>
      </c>
      <c r="FL57" s="69">
        <v>0</v>
      </c>
      <c r="FM57" s="69">
        <v>0</v>
      </c>
      <c r="FN57" s="69">
        <v>0</v>
      </c>
      <c r="FO57" s="69">
        <v>0</v>
      </c>
      <c r="FP57" s="69">
        <v>0</v>
      </c>
      <c r="FQ57" s="69">
        <v>0</v>
      </c>
      <c r="FR57" s="69">
        <v>0</v>
      </c>
      <c r="FS57" s="69">
        <v>0</v>
      </c>
      <c r="FT57" s="69">
        <v>0</v>
      </c>
      <c r="FU57" s="69">
        <v>0</v>
      </c>
      <c r="FV57" s="69">
        <v>0</v>
      </c>
      <c r="FW57" s="69">
        <v>0</v>
      </c>
      <c r="FX57" s="69">
        <v>0</v>
      </c>
      <c r="FY57" s="69">
        <v>0</v>
      </c>
      <c r="FZ57" s="69">
        <v>0</v>
      </c>
      <c r="GA57" s="69">
        <v>0</v>
      </c>
      <c r="GB57" s="69">
        <v>0</v>
      </c>
      <c r="GC57" s="69">
        <v>0</v>
      </c>
      <c r="GD57" s="69"/>
      <c r="GE57" s="69"/>
      <c r="GF57" s="69">
        <v>0</v>
      </c>
      <c r="GG57" s="69">
        <v>0</v>
      </c>
      <c r="GH57" s="69">
        <v>0</v>
      </c>
      <c r="GI57" s="69">
        <v>0</v>
      </c>
      <c r="GJ57" s="69">
        <v>0</v>
      </c>
      <c r="GK57" s="69">
        <v>0</v>
      </c>
      <c r="GL57" s="69">
        <v>0</v>
      </c>
      <c r="GM57" s="69">
        <v>0</v>
      </c>
      <c r="GN57" s="69">
        <v>0</v>
      </c>
      <c r="GO57" s="69">
        <v>0</v>
      </c>
      <c r="GP57" s="69">
        <v>0</v>
      </c>
      <c r="GQ57" s="69">
        <v>0</v>
      </c>
      <c r="GR57" s="69">
        <v>0</v>
      </c>
      <c r="GS57" s="69">
        <v>0</v>
      </c>
      <c r="GT57" s="69">
        <v>0</v>
      </c>
      <c r="GU57" s="69">
        <v>0</v>
      </c>
      <c r="GV57" s="69">
        <v>0</v>
      </c>
      <c r="GW57" s="69">
        <v>0</v>
      </c>
      <c r="GX57" s="69">
        <v>0</v>
      </c>
      <c r="GY57" s="69">
        <v>0</v>
      </c>
      <c r="GZ57" s="69">
        <v>0</v>
      </c>
      <c r="HA57" s="69">
        <v>0</v>
      </c>
      <c r="HB57" s="69">
        <v>0</v>
      </c>
      <c r="HC57" s="69">
        <v>0</v>
      </c>
      <c r="HD57" s="69">
        <v>0</v>
      </c>
      <c r="HE57" s="69">
        <v>0</v>
      </c>
      <c r="HF57" s="69">
        <v>0</v>
      </c>
      <c r="HG57" s="69">
        <v>0</v>
      </c>
      <c r="HH57" s="69"/>
      <c r="HI57" s="69"/>
      <c r="HJ57" s="69">
        <v>249102</v>
      </c>
      <c r="HK57" s="69">
        <v>4325</v>
      </c>
      <c r="HL57" s="69">
        <v>38617</v>
      </c>
      <c r="HM57" s="69">
        <v>32140</v>
      </c>
      <c r="HN57" s="69">
        <v>11215</v>
      </c>
      <c r="HO57" s="69">
        <v>0</v>
      </c>
      <c r="HP57" s="69">
        <v>0</v>
      </c>
      <c r="HQ57" s="69">
        <v>10249</v>
      </c>
      <c r="HR57" s="69">
        <v>0</v>
      </c>
      <c r="HS57" s="69">
        <v>12743</v>
      </c>
      <c r="HT57" s="69">
        <v>0</v>
      </c>
      <c r="HU57" s="69">
        <v>0</v>
      </c>
      <c r="HV57" s="69">
        <v>17873</v>
      </c>
      <c r="HW57" s="69">
        <v>1997</v>
      </c>
      <c r="HX57" s="69">
        <v>17323</v>
      </c>
      <c r="HY57" s="69">
        <v>0</v>
      </c>
      <c r="HZ57" s="69">
        <v>11482</v>
      </c>
      <c r="IA57" s="69">
        <v>0</v>
      </c>
      <c r="IB57" s="69">
        <v>17124</v>
      </c>
      <c r="IC57" s="69">
        <v>11966</v>
      </c>
      <c r="ID57" s="69">
        <v>6461</v>
      </c>
      <c r="IE57" s="69">
        <v>0</v>
      </c>
      <c r="IF57" s="69">
        <v>2788</v>
      </c>
      <c r="IG57" s="69">
        <v>10360</v>
      </c>
      <c r="IH57" s="69">
        <v>21319</v>
      </c>
      <c r="II57" s="69">
        <v>8223</v>
      </c>
      <c r="IJ57" s="69">
        <v>12478</v>
      </c>
      <c r="IK57" s="69">
        <v>0</v>
      </c>
      <c r="IL57" s="69"/>
      <c r="IM57" s="69"/>
      <c r="IN57" s="69">
        <v>248683</v>
      </c>
      <c r="IO57" s="69"/>
      <c r="IP57" s="69"/>
      <c r="IQ57" s="69"/>
      <c r="IR57" s="69"/>
      <c r="IS57" s="69"/>
      <c r="IT57" s="69"/>
      <c r="IU57" s="69"/>
      <c r="IV57" s="69"/>
      <c r="IW57" s="69"/>
      <c r="IX57" s="69"/>
      <c r="IY57" s="69"/>
      <c r="IZ57" s="69"/>
      <c r="JA57" s="69"/>
      <c r="JB57" s="69"/>
      <c r="JC57" s="69"/>
      <c r="JD57" s="69"/>
      <c r="JE57" s="69"/>
      <c r="JF57" s="69"/>
      <c r="JG57" s="69"/>
      <c r="JH57" s="69"/>
      <c r="JI57" s="69"/>
      <c r="JJ57" s="69"/>
      <c r="JK57" s="69"/>
      <c r="JL57" s="69"/>
      <c r="JM57" s="69"/>
      <c r="JN57" s="69"/>
      <c r="JO57" s="69">
        <v>0</v>
      </c>
      <c r="JP57" s="69"/>
      <c r="JQ57" s="69"/>
      <c r="JR57" s="69">
        <v>497785</v>
      </c>
      <c r="JS57" s="69">
        <v>75164</v>
      </c>
      <c r="JT57" s="69">
        <v>165449</v>
      </c>
      <c r="JU57" s="69">
        <v>324555</v>
      </c>
      <c r="JV57" s="69">
        <v>85889</v>
      </c>
      <c r="JW57" s="69">
        <v>0</v>
      </c>
      <c r="JX57" s="69">
        <v>0</v>
      </c>
      <c r="JY57" s="69">
        <v>228404</v>
      </c>
      <c r="JZ57" s="69">
        <v>9921</v>
      </c>
      <c r="KA57" s="69">
        <v>263333</v>
      </c>
      <c r="KB57" s="69">
        <v>0</v>
      </c>
      <c r="KC57" s="69">
        <v>0</v>
      </c>
      <c r="KD57" s="69">
        <v>460258</v>
      </c>
      <c r="KE57" s="69">
        <v>61569</v>
      </c>
      <c r="KF57" s="69">
        <v>443320</v>
      </c>
      <c r="KG57" s="69">
        <v>0</v>
      </c>
      <c r="KH57" s="69">
        <v>234367</v>
      </c>
      <c r="KI57" s="69">
        <v>0</v>
      </c>
      <c r="KJ57" s="69">
        <v>644648</v>
      </c>
      <c r="KK57" s="69">
        <v>350986</v>
      </c>
      <c r="KL57" s="69">
        <v>43456</v>
      </c>
      <c r="KM57" s="69">
        <v>213</v>
      </c>
      <c r="KN57" s="69">
        <v>72552</v>
      </c>
      <c r="KO57" s="69">
        <v>84482</v>
      </c>
      <c r="KP57" s="69">
        <v>249721</v>
      </c>
      <c r="KQ57" s="69">
        <v>442596</v>
      </c>
      <c r="KR57" s="69">
        <v>128832</v>
      </c>
      <c r="KS57" s="69">
        <v>0</v>
      </c>
      <c r="KT57" s="69"/>
      <c r="KU57" s="69"/>
      <c r="KV57" s="69">
        <v>4618817</v>
      </c>
      <c r="KW57" s="69"/>
    </row>
    <row r="58" spans="1:309" x14ac:dyDescent="0.25">
      <c r="A58" t="s">
        <v>414</v>
      </c>
      <c r="C58" t="s">
        <v>1088</v>
      </c>
      <c r="D58" t="s">
        <v>1119</v>
      </c>
      <c r="E58" s="2">
        <v>39794.460717592599</v>
      </c>
      <c r="G58" t="s">
        <v>415</v>
      </c>
      <c r="L58">
        <v>0</v>
      </c>
      <c r="M58">
        <v>0</v>
      </c>
      <c r="N58">
        <v>0</v>
      </c>
      <c r="O58">
        <v>17810822</v>
      </c>
      <c r="P58" s="69">
        <v>0</v>
      </c>
      <c r="Q58" s="69">
        <v>450940</v>
      </c>
      <c r="R58">
        <v>0</v>
      </c>
      <c r="S58">
        <v>450940</v>
      </c>
      <c r="T58">
        <v>1724513</v>
      </c>
      <c r="U58">
        <v>1107239</v>
      </c>
      <c r="V58">
        <v>1106309</v>
      </c>
      <c r="W58">
        <v>0</v>
      </c>
      <c r="X58">
        <v>0</v>
      </c>
      <c r="Y58">
        <v>0</v>
      </c>
      <c r="Z58">
        <v>3938061</v>
      </c>
      <c r="AA58">
        <v>753174</v>
      </c>
      <c r="AB58">
        <v>290981</v>
      </c>
      <c r="AC58">
        <v>298447</v>
      </c>
      <c r="AD58">
        <v>0</v>
      </c>
      <c r="AE58">
        <v>72205</v>
      </c>
      <c r="AF58">
        <v>208101</v>
      </c>
      <c r="AG58">
        <v>1622908</v>
      </c>
      <c r="AH58">
        <v>2477687</v>
      </c>
      <c r="AI58">
        <v>1398220</v>
      </c>
      <c r="AJ58">
        <v>1404756</v>
      </c>
      <c r="AK58">
        <v>0</v>
      </c>
      <c r="AL58">
        <v>72205</v>
      </c>
      <c r="AM58">
        <v>208101</v>
      </c>
      <c r="AN58">
        <v>5560969</v>
      </c>
      <c r="AO58">
        <v>0</v>
      </c>
      <c r="AP58">
        <v>0</v>
      </c>
      <c r="AQ58">
        <v>28925</v>
      </c>
      <c r="AR58">
        <v>0</v>
      </c>
      <c r="AS58">
        <v>28925</v>
      </c>
      <c r="AT58">
        <v>0</v>
      </c>
      <c r="AU58">
        <v>0</v>
      </c>
      <c r="AV58">
        <v>93516</v>
      </c>
      <c r="AW58">
        <v>0</v>
      </c>
      <c r="AX58">
        <v>93516</v>
      </c>
      <c r="AY58">
        <v>0</v>
      </c>
      <c r="AZ58">
        <v>0</v>
      </c>
      <c r="BA58">
        <v>122441</v>
      </c>
      <c r="BB58">
        <v>0</v>
      </c>
      <c r="BC58">
        <v>122441</v>
      </c>
      <c r="BD58">
        <v>765319</v>
      </c>
      <c r="BE58">
        <v>0</v>
      </c>
      <c r="BF58">
        <v>0</v>
      </c>
      <c r="BG58">
        <v>0</v>
      </c>
      <c r="BH58">
        <v>0</v>
      </c>
      <c r="BI58">
        <v>765319</v>
      </c>
      <c r="BJ58">
        <v>0</v>
      </c>
      <c r="BK58">
        <v>0</v>
      </c>
      <c r="BL58">
        <v>151750</v>
      </c>
      <c r="BM58">
        <v>0</v>
      </c>
      <c r="BN58">
        <v>0</v>
      </c>
      <c r="BO58">
        <v>151750</v>
      </c>
      <c r="BP58">
        <v>1441710</v>
      </c>
      <c r="BQ58">
        <v>151222</v>
      </c>
      <c r="BR58">
        <v>0</v>
      </c>
      <c r="BS58">
        <v>0</v>
      </c>
      <c r="BT58">
        <v>16418</v>
      </c>
      <c r="BU58">
        <v>1609350</v>
      </c>
      <c r="BV58">
        <v>2207029</v>
      </c>
      <c r="BW58">
        <v>151222</v>
      </c>
      <c r="BX58">
        <v>151750</v>
      </c>
      <c r="BY58">
        <v>0</v>
      </c>
      <c r="BZ58">
        <v>16418</v>
      </c>
      <c r="CA58">
        <v>2526419</v>
      </c>
      <c r="CB58">
        <v>0</v>
      </c>
      <c r="CC58">
        <v>0</v>
      </c>
      <c r="CD58">
        <v>0</v>
      </c>
      <c r="CE58">
        <v>0</v>
      </c>
      <c r="CF58">
        <v>0</v>
      </c>
      <c r="CG58">
        <v>0</v>
      </c>
      <c r="CH58">
        <v>0</v>
      </c>
      <c r="CI58">
        <v>0</v>
      </c>
      <c r="CJ58">
        <v>0</v>
      </c>
      <c r="CK58">
        <v>0</v>
      </c>
      <c r="CL58">
        <v>0</v>
      </c>
      <c r="CM58">
        <v>0</v>
      </c>
      <c r="CN58">
        <v>0</v>
      </c>
      <c r="CO58">
        <v>0</v>
      </c>
      <c r="CP58">
        <v>0</v>
      </c>
      <c r="CQ58">
        <v>0</v>
      </c>
      <c r="CR58">
        <v>3662</v>
      </c>
      <c r="CS58">
        <v>724689</v>
      </c>
      <c r="CT58">
        <v>0</v>
      </c>
      <c r="CU58">
        <v>10752</v>
      </c>
      <c r="CV58">
        <v>24724</v>
      </c>
      <c r="CW58">
        <v>224022</v>
      </c>
      <c r="CX58">
        <v>109771</v>
      </c>
      <c r="CY58">
        <v>0</v>
      </c>
      <c r="CZ58">
        <v>1160</v>
      </c>
      <c r="DA58">
        <v>87132</v>
      </c>
      <c r="DB58">
        <v>7054</v>
      </c>
      <c r="DC58">
        <v>36322</v>
      </c>
      <c r="DD58">
        <v>0</v>
      </c>
      <c r="DE58">
        <v>40197</v>
      </c>
      <c r="DF58">
        <v>197393</v>
      </c>
      <c r="DG58">
        <v>12591</v>
      </c>
      <c r="DH58">
        <v>131275</v>
      </c>
      <c r="DI58">
        <v>0</v>
      </c>
      <c r="DJ58">
        <v>100190</v>
      </c>
      <c r="DK58">
        <v>31456</v>
      </c>
      <c r="DL58">
        <v>197472</v>
      </c>
      <c r="DM58">
        <v>120192</v>
      </c>
      <c r="DN58">
        <v>0</v>
      </c>
      <c r="DO58">
        <v>66</v>
      </c>
      <c r="DP58">
        <v>1632</v>
      </c>
      <c r="DQ58">
        <v>48816</v>
      </c>
      <c r="DR58">
        <v>53881</v>
      </c>
      <c r="DS58">
        <v>272736</v>
      </c>
      <c r="DT58">
        <v>64288</v>
      </c>
      <c r="DU58">
        <v>0</v>
      </c>
      <c r="DX58" s="69">
        <v>1773122</v>
      </c>
      <c r="DY58" s="69">
        <v>2100</v>
      </c>
      <c r="DZ58" s="69">
        <v>69385</v>
      </c>
      <c r="EA58" s="69">
        <v>736822</v>
      </c>
      <c r="EB58" s="69">
        <v>237944</v>
      </c>
      <c r="EC58" s="69">
        <v>0</v>
      </c>
      <c r="ED58" s="69">
        <v>6310</v>
      </c>
      <c r="EE58" s="69">
        <v>344269</v>
      </c>
      <c r="EF58" s="69">
        <v>51795</v>
      </c>
      <c r="EG58" s="69">
        <v>47969</v>
      </c>
      <c r="EH58" s="69">
        <v>0</v>
      </c>
      <c r="EI58" s="69">
        <v>77637</v>
      </c>
      <c r="EJ58" s="69">
        <v>746047</v>
      </c>
      <c r="EK58" s="69">
        <v>62439</v>
      </c>
      <c r="EL58" s="69">
        <v>941228</v>
      </c>
      <c r="EM58" s="69">
        <v>0</v>
      </c>
      <c r="EN58" s="69">
        <v>315564</v>
      </c>
      <c r="EO58" s="69">
        <v>195879</v>
      </c>
      <c r="EP58" s="69">
        <v>742295</v>
      </c>
      <c r="EQ58" s="69">
        <v>481043</v>
      </c>
      <c r="ER58" s="69">
        <v>0</v>
      </c>
      <c r="ES58" s="69">
        <v>906</v>
      </c>
      <c r="ET58" s="69">
        <v>300</v>
      </c>
      <c r="EU58" s="69">
        <v>176073</v>
      </c>
      <c r="EV58" s="69">
        <v>164244</v>
      </c>
      <c r="EW58" s="69">
        <v>799080</v>
      </c>
      <c r="EX58" s="69">
        <v>342762</v>
      </c>
      <c r="EY58" s="69">
        <v>0</v>
      </c>
      <c r="EZ58" s="69"/>
      <c r="FA58" s="69"/>
      <c r="FB58" s="69">
        <v>6542091</v>
      </c>
      <c r="FC58" s="69">
        <v>0</v>
      </c>
      <c r="FD58" s="69">
        <v>2043</v>
      </c>
      <c r="FE58" s="69">
        <v>38289</v>
      </c>
      <c r="FF58" s="69">
        <v>11371</v>
      </c>
      <c r="FG58" s="69">
        <v>0</v>
      </c>
      <c r="FH58" s="69">
        <v>0</v>
      </c>
      <c r="FI58" s="69">
        <v>11686</v>
      </c>
      <c r="FJ58" s="69">
        <v>0</v>
      </c>
      <c r="FK58" s="69">
        <v>2043</v>
      </c>
      <c r="FL58" s="69">
        <v>0</v>
      </c>
      <c r="FM58" s="69">
        <v>2043</v>
      </c>
      <c r="FN58" s="69">
        <v>28317</v>
      </c>
      <c r="FO58" s="69">
        <v>1694</v>
      </c>
      <c r="FP58" s="69">
        <v>29570</v>
      </c>
      <c r="FQ58" s="69">
        <v>0</v>
      </c>
      <c r="FR58" s="69">
        <v>10357</v>
      </c>
      <c r="FS58" s="69">
        <v>12947</v>
      </c>
      <c r="FT58" s="69">
        <v>75626</v>
      </c>
      <c r="FU58" s="69">
        <v>25918</v>
      </c>
      <c r="FV58" s="69">
        <v>0</v>
      </c>
      <c r="FW58" s="69">
        <v>0</v>
      </c>
      <c r="FX58" s="69">
        <v>0</v>
      </c>
      <c r="FY58" s="69">
        <v>8269</v>
      </c>
      <c r="FZ58" s="69">
        <v>18680</v>
      </c>
      <c r="GA58" s="69">
        <v>28440</v>
      </c>
      <c r="GB58" s="69">
        <v>17445</v>
      </c>
      <c r="GC58" s="69">
        <v>0</v>
      </c>
      <c r="GD58" s="69"/>
      <c r="GE58" s="69"/>
      <c r="GF58" s="69">
        <v>324738</v>
      </c>
      <c r="GG58" s="69">
        <v>222</v>
      </c>
      <c r="GH58" s="69">
        <v>7538</v>
      </c>
      <c r="GI58" s="69">
        <v>81801</v>
      </c>
      <c r="GJ58" s="69">
        <v>26311</v>
      </c>
      <c r="GK58" s="69">
        <v>0</v>
      </c>
      <c r="GL58" s="69">
        <v>666</v>
      </c>
      <c r="GM58" s="69">
        <v>37566</v>
      </c>
      <c r="GN58" s="69">
        <v>5466</v>
      </c>
      <c r="GO58" s="69">
        <v>5278</v>
      </c>
      <c r="GP58" s="69">
        <v>0</v>
      </c>
      <c r="GQ58" s="69">
        <v>8409</v>
      </c>
      <c r="GR58" s="69">
        <v>81722</v>
      </c>
      <c r="GS58" s="69">
        <v>6768</v>
      </c>
      <c r="GT58" s="69">
        <v>102453</v>
      </c>
      <c r="GU58" s="69">
        <v>0</v>
      </c>
      <c r="GV58" s="69">
        <v>34396</v>
      </c>
      <c r="GW58" s="69">
        <v>22038</v>
      </c>
      <c r="GX58" s="69">
        <v>86319</v>
      </c>
      <c r="GY58" s="69">
        <v>53502</v>
      </c>
      <c r="GZ58" s="69">
        <v>0</v>
      </c>
      <c r="HA58" s="69">
        <v>96</v>
      </c>
      <c r="HB58" s="69">
        <v>32</v>
      </c>
      <c r="HC58" s="69">
        <v>19454</v>
      </c>
      <c r="HD58" s="69">
        <v>19305</v>
      </c>
      <c r="HE58" s="69">
        <v>87332</v>
      </c>
      <c r="HF58" s="69">
        <v>38014</v>
      </c>
      <c r="HG58" s="69">
        <v>0</v>
      </c>
      <c r="HH58" s="69"/>
      <c r="HI58" s="69"/>
      <c r="HJ58" s="69">
        <v>724689</v>
      </c>
      <c r="HK58" s="69">
        <v>42261</v>
      </c>
      <c r="HL58" s="69">
        <v>18626</v>
      </c>
      <c r="HM58" s="69">
        <v>246147</v>
      </c>
      <c r="HN58" s="69">
        <v>113640</v>
      </c>
      <c r="HO58" s="69">
        <v>0</v>
      </c>
      <c r="HP58" s="69">
        <v>0</v>
      </c>
      <c r="HQ58" s="69">
        <v>111740</v>
      </c>
      <c r="HR58" s="69">
        <v>44171</v>
      </c>
      <c r="HS58" s="69">
        <v>10827</v>
      </c>
      <c r="HT58" s="69">
        <v>0</v>
      </c>
      <c r="HU58" s="69">
        <v>181149</v>
      </c>
      <c r="HV58" s="69">
        <v>54437</v>
      </c>
      <c r="HW58" s="69">
        <v>15912</v>
      </c>
      <c r="HX58" s="69">
        <v>133115</v>
      </c>
      <c r="HY58" s="69">
        <v>0</v>
      </c>
      <c r="HZ58" s="69">
        <v>43490</v>
      </c>
      <c r="IA58" s="69">
        <v>17433</v>
      </c>
      <c r="IB58" s="69">
        <v>144554</v>
      </c>
      <c r="IC58" s="69">
        <v>156770</v>
      </c>
      <c r="ID58" s="69">
        <v>0</v>
      </c>
      <c r="IE58" s="69">
        <v>0</v>
      </c>
      <c r="IF58" s="69">
        <v>20</v>
      </c>
      <c r="IG58" s="69">
        <v>22337</v>
      </c>
      <c r="IH58" s="69">
        <v>293005</v>
      </c>
      <c r="II58" s="69">
        <v>42148</v>
      </c>
      <c r="IJ58" s="69">
        <v>91272</v>
      </c>
      <c r="IK58" s="69">
        <v>0</v>
      </c>
      <c r="IL58" s="69"/>
      <c r="IM58" s="69"/>
      <c r="IN58" s="69">
        <v>1783054</v>
      </c>
      <c r="IO58" s="69">
        <v>42483</v>
      </c>
      <c r="IP58" s="69">
        <v>28207</v>
      </c>
      <c r="IQ58" s="69">
        <v>366237</v>
      </c>
      <c r="IR58" s="69">
        <v>151322</v>
      </c>
      <c r="IS58" s="69">
        <v>0</v>
      </c>
      <c r="IT58" s="69">
        <v>666</v>
      </c>
      <c r="IU58" s="69">
        <v>160992</v>
      </c>
      <c r="IV58" s="69">
        <v>49637</v>
      </c>
      <c r="IW58" s="69">
        <v>18148</v>
      </c>
      <c r="IX58" s="69">
        <v>0</v>
      </c>
      <c r="IY58" s="69">
        <v>191601</v>
      </c>
      <c r="IZ58" s="69">
        <v>164476</v>
      </c>
      <c r="JA58" s="69">
        <v>24374</v>
      </c>
      <c r="JB58" s="69">
        <v>265138</v>
      </c>
      <c r="JC58" s="69">
        <v>0</v>
      </c>
      <c r="JD58" s="69">
        <v>88243</v>
      </c>
      <c r="JE58" s="69">
        <v>52418</v>
      </c>
      <c r="JF58" s="69">
        <v>306499</v>
      </c>
      <c r="JG58" s="69">
        <v>236190</v>
      </c>
      <c r="JH58" s="69">
        <v>0</v>
      </c>
      <c r="JI58" s="69">
        <v>96</v>
      </c>
      <c r="JJ58" s="69">
        <v>52</v>
      </c>
      <c r="JK58" s="69">
        <v>50060</v>
      </c>
      <c r="JL58" s="69">
        <v>330990</v>
      </c>
      <c r="JM58" s="69">
        <v>157920</v>
      </c>
      <c r="JN58" s="69">
        <v>146731</v>
      </c>
      <c r="JO58" s="69">
        <v>0</v>
      </c>
      <c r="JP58" s="69"/>
      <c r="JQ58" s="69"/>
      <c r="JR58" s="69">
        <v>2832481</v>
      </c>
      <c r="JS58" s="69">
        <v>44583</v>
      </c>
      <c r="JT58" s="69">
        <v>97592</v>
      </c>
      <c r="JU58" s="69">
        <v>1103059</v>
      </c>
      <c r="JV58" s="69">
        <v>389266</v>
      </c>
      <c r="JW58" s="69">
        <v>0</v>
      </c>
      <c r="JX58" s="69">
        <v>6976</v>
      </c>
      <c r="JY58" s="69">
        <v>505261</v>
      </c>
      <c r="JZ58" s="69">
        <v>101432</v>
      </c>
      <c r="KA58" s="69">
        <v>66117</v>
      </c>
      <c r="KB58" s="69">
        <v>0</v>
      </c>
      <c r="KC58" s="69">
        <v>269238</v>
      </c>
      <c r="KD58" s="69">
        <v>910523</v>
      </c>
      <c r="KE58" s="69">
        <v>86813</v>
      </c>
      <c r="KF58" s="69">
        <v>1206366</v>
      </c>
      <c r="KG58" s="69">
        <v>0</v>
      </c>
      <c r="KH58" s="69">
        <v>403807</v>
      </c>
      <c r="KI58" s="69">
        <v>248297</v>
      </c>
      <c r="KJ58" s="69">
        <v>1048794</v>
      </c>
      <c r="KK58" s="69">
        <v>717233</v>
      </c>
      <c r="KL58" s="69">
        <v>0</v>
      </c>
      <c r="KM58" s="69">
        <v>1002</v>
      </c>
      <c r="KN58" s="69">
        <v>352</v>
      </c>
      <c r="KO58" s="69">
        <v>226133</v>
      </c>
      <c r="KP58" s="69">
        <v>495234</v>
      </c>
      <c r="KQ58" s="69">
        <v>957000</v>
      </c>
      <c r="KR58" s="69">
        <v>489493</v>
      </c>
      <c r="KS58" s="69">
        <v>0</v>
      </c>
      <c r="KT58" s="69"/>
      <c r="KU58" s="69"/>
      <c r="KV58" s="69">
        <v>9374572</v>
      </c>
      <c r="KW58" s="69"/>
    </row>
    <row r="59" spans="1:309" x14ac:dyDescent="0.25">
      <c r="A59" t="s">
        <v>416</v>
      </c>
      <c r="C59" t="s">
        <v>1088</v>
      </c>
      <c r="D59" t="s">
        <v>1120</v>
      </c>
      <c r="E59" s="2">
        <v>39794.661666666703</v>
      </c>
      <c r="G59" t="s">
        <v>417</v>
      </c>
      <c r="L59">
        <v>0</v>
      </c>
      <c r="M59">
        <v>0</v>
      </c>
      <c r="N59">
        <v>0</v>
      </c>
      <c r="O59">
        <v>20233788</v>
      </c>
      <c r="P59" s="69">
        <v>0</v>
      </c>
      <c r="Q59" s="69">
        <v>181182</v>
      </c>
      <c r="R59">
        <v>0</v>
      </c>
      <c r="S59">
        <v>181182</v>
      </c>
      <c r="T59">
        <v>2727401</v>
      </c>
      <c r="U59">
        <v>1250352</v>
      </c>
      <c r="V59">
        <v>949339</v>
      </c>
      <c r="W59">
        <v>0</v>
      </c>
      <c r="X59">
        <v>0</v>
      </c>
      <c r="Y59">
        <v>0</v>
      </c>
      <c r="Z59">
        <v>4927092</v>
      </c>
      <c r="AA59">
        <v>2625029</v>
      </c>
      <c r="AB59">
        <v>204470</v>
      </c>
      <c r="AC59">
        <v>203521</v>
      </c>
      <c r="AD59">
        <v>0</v>
      </c>
      <c r="AE59">
        <v>0</v>
      </c>
      <c r="AF59">
        <v>274073</v>
      </c>
      <c r="AG59">
        <v>3307093</v>
      </c>
      <c r="AH59">
        <v>5352430</v>
      </c>
      <c r="AI59">
        <v>1454822</v>
      </c>
      <c r="AJ59">
        <v>1152860</v>
      </c>
      <c r="AK59">
        <v>0</v>
      </c>
      <c r="AL59">
        <v>0</v>
      </c>
      <c r="AM59">
        <v>274073</v>
      </c>
      <c r="AN59">
        <v>8234185</v>
      </c>
      <c r="AO59">
        <v>16609</v>
      </c>
      <c r="AP59">
        <v>0</v>
      </c>
      <c r="AQ59">
        <v>0</v>
      </c>
      <c r="AR59">
        <v>0</v>
      </c>
      <c r="AS59">
        <v>16609</v>
      </c>
      <c r="AT59">
        <v>43690</v>
      </c>
      <c r="AU59">
        <v>0</v>
      </c>
      <c r="AV59">
        <v>0</v>
      </c>
      <c r="AW59">
        <v>0</v>
      </c>
      <c r="AX59">
        <v>43690</v>
      </c>
      <c r="AY59">
        <v>60299</v>
      </c>
      <c r="AZ59">
        <v>0</v>
      </c>
      <c r="BA59">
        <v>0</v>
      </c>
      <c r="BB59">
        <v>0</v>
      </c>
      <c r="BC59">
        <v>60299</v>
      </c>
      <c r="BD59">
        <v>0</v>
      </c>
      <c r="BE59">
        <v>0</v>
      </c>
      <c r="BF59">
        <v>0</v>
      </c>
      <c r="BG59">
        <v>0</v>
      </c>
      <c r="BH59">
        <v>0</v>
      </c>
      <c r="BI59">
        <v>0</v>
      </c>
      <c r="BJ59">
        <v>0</v>
      </c>
      <c r="BK59">
        <v>0</v>
      </c>
      <c r="BL59">
        <v>0</v>
      </c>
      <c r="BM59">
        <v>0</v>
      </c>
      <c r="BN59">
        <v>0</v>
      </c>
      <c r="BO59">
        <v>0</v>
      </c>
      <c r="BP59">
        <v>2436315</v>
      </c>
      <c r="BQ59">
        <v>0</v>
      </c>
      <c r="BR59">
        <v>0</v>
      </c>
      <c r="BS59">
        <v>0</v>
      </c>
      <c r="BT59">
        <v>0</v>
      </c>
      <c r="BU59">
        <v>2436315</v>
      </c>
      <c r="BV59">
        <v>2436315</v>
      </c>
      <c r="BW59">
        <v>0</v>
      </c>
      <c r="BX59">
        <v>0</v>
      </c>
      <c r="BY59">
        <v>0</v>
      </c>
      <c r="BZ59">
        <v>0</v>
      </c>
      <c r="CA59">
        <v>2436315</v>
      </c>
      <c r="CB59">
        <v>0</v>
      </c>
      <c r="CC59">
        <v>0</v>
      </c>
      <c r="CD59">
        <v>0</v>
      </c>
      <c r="CE59">
        <v>0</v>
      </c>
      <c r="CF59">
        <v>0</v>
      </c>
      <c r="CG59">
        <v>0</v>
      </c>
      <c r="CH59">
        <v>0</v>
      </c>
      <c r="CI59">
        <v>0</v>
      </c>
      <c r="CJ59">
        <v>0</v>
      </c>
      <c r="CK59">
        <v>0</v>
      </c>
      <c r="CL59">
        <v>0</v>
      </c>
      <c r="CM59">
        <v>0</v>
      </c>
      <c r="CN59">
        <v>0</v>
      </c>
      <c r="CO59">
        <v>0</v>
      </c>
      <c r="CP59">
        <v>0</v>
      </c>
      <c r="CQ59">
        <v>0</v>
      </c>
      <c r="CR59">
        <v>3664</v>
      </c>
      <c r="CS59">
        <v>290529</v>
      </c>
      <c r="CT59">
        <v>0</v>
      </c>
      <c r="CU59">
        <v>19216</v>
      </c>
      <c r="CV59">
        <v>4640</v>
      </c>
      <c r="CW59">
        <v>221280</v>
      </c>
      <c r="CX59">
        <v>69999</v>
      </c>
      <c r="CY59">
        <v>0</v>
      </c>
      <c r="CZ59">
        <v>8554</v>
      </c>
      <c r="DA59">
        <v>97082</v>
      </c>
      <c r="DB59">
        <v>21496</v>
      </c>
      <c r="DC59">
        <v>121427</v>
      </c>
      <c r="DD59">
        <v>0</v>
      </c>
      <c r="DE59">
        <v>19968</v>
      </c>
      <c r="DF59">
        <v>289104</v>
      </c>
      <c r="DG59">
        <v>12272</v>
      </c>
      <c r="DH59">
        <v>90288</v>
      </c>
      <c r="DI59">
        <v>0</v>
      </c>
      <c r="DJ59">
        <v>138216</v>
      </c>
      <c r="DK59">
        <v>34752</v>
      </c>
      <c r="DL59">
        <v>87616</v>
      </c>
      <c r="DM59">
        <v>233776</v>
      </c>
      <c r="DN59">
        <v>0</v>
      </c>
      <c r="DO59">
        <v>19026</v>
      </c>
      <c r="DP59">
        <v>1544</v>
      </c>
      <c r="DQ59">
        <v>98912</v>
      </c>
      <c r="DR59">
        <v>98432</v>
      </c>
      <c r="DS59">
        <v>333648</v>
      </c>
      <c r="DT59">
        <v>81338</v>
      </c>
      <c r="DU59">
        <v>0</v>
      </c>
      <c r="DX59" s="69">
        <v>2102586</v>
      </c>
      <c r="DY59" s="69">
        <v>71696</v>
      </c>
      <c r="DZ59" s="69">
        <v>6366</v>
      </c>
      <c r="EA59" s="69">
        <v>554154</v>
      </c>
      <c r="EB59" s="69">
        <v>255182</v>
      </c>
      <c r="EC59" s="69">
        <v>0</v>
      </c>
      <c r="ED59" s="69">
        <v>42242</v>
      </c>
      <c r="EE59" s="69">
        <v>316655</v>
      </c>
      <c r="EF59" s="69">
        <v>29507</v>
      </c>
      <c r="EG59" s="69">
        <v>254139</v>
      </c>
      <c r="EH59" s="69">
        <v>0</v>
      </c>
      <c r="EI59" s="69">
        <v>32978</v>
      </c>
      <c r="EJ59" s="69">
        <v>878227</v>
      </c>
      <c r="EK59" s="69">
        <v>38072</v>
      </c>
      <c r="EL59" s="69">
        <v>510911</v>
      </c>
      <c r="EM59" s="69">
        <v>0</v>
      </c>
      <c r="EN59" s="69">
        <v>541201</v>
      </c>
      <c r="EO59" s="69">
        <v>201152</v>
      </c>
      <c r="EP59" s="69">
        <v>286739</v>
      </c>
      <c r="EQ59" s="69">
        <v>789893</v>
      </c>
      <c r="ER59" s="69">
        <v>0</v>
      </c>
      <c r="ES59" s="69">
        <v>282750</v>
      </c>
      <c r="ET59" s="69">
        <v>4929</v>
      </c>
      <c r="EU59" s="69">
        <v>335314</v>
      </c>
      <c r="EV59" s="69">
        <v>432900</v>
      </c>
      <c r="EW59" s="69">
        <v>877409</v>
      </c>
      <c r="EX59" s="69">
        <v>336121</v>
      </c>
      <c r="EY59" s="69">
        <v>0</v>
      </c>
      <c r="EZ59" s="69"/>
      <c r="FA59" s="69"/>
      <c r="FB59" s="69">
        <v>7078537</v>
      </c>
      <c r="FC59" s="69">
        <v>11982</v>
      </c>
      <c r="FD59" s="69">
        <v>8446</v>
      </c>
      <c r="FE59" s="69">
        <v>44410</v>
      </c>
      <c r="FF59" s="69">
        <v>22702</v>
      </c>
      <c r="FG59" s="69">
        <v>0</v>
      </c>
      <c r="FH59" s="69">
        <v>6683</v>
      </c>
      <c r="FI59" s="69">
        <v>13414</v>
      </c>
      <c r="FJ59" s="69">
        <v>39150</v>
      </c>
      <c r="FK59" s="69">
        <v>105455</v>
      </c>
      <c r="FL59" s="69">
        <v>0</v>
      </c>
      <c r="FM59" s="69">
        <v>25882</v>
      </c>
      <c r="FN59" s="69">
        <v>162732</v>
      </c>
      <c r="FO59" s="69">
        <v>3160</v>
      </c>
      <c r="FP59" s="69">
        <v>27885</v>
      </c>
      <c r="FQ59" s="69">
        <v>0</v>
      </c>
      <c r="FR59" s="69">
        <v>45281</v>
      </c>
      <c r="FS59" s="69">
        <v>4920</v>
      </c>
      <c r="FT59" s="69">
        <v>28463</v>
      </c>
      <c r="FU59" s="69">
        <v>122875</v>
      </c>
      <c r="FV59" s="69">
        <v>0</v>
      </c>
      <c r="FW59" s="69">
        <v>420</v>
      </c>
      <c r="FX59" s="69">
        <v>622</v>
      </c>
      <c r="FY59" s="69">
        <v>16180</v>
      </c>
      <c r="FZ59" s="69">
        <v>17078</v>
      </c>
      <c r="GA59" s="69">
        <v>75459</v>
      </c>
      <c r="GB59" s="69">
        <v>86808</v>
      </c>
      <c r="GC59" s="69">
        <v>0</v>
      </c>
      <c r="GD59" s="69"/>
      <c r="GE59" s="69"/>
      <c r="GF59" s="69">
        <v>870007</v>
      </c>
      <c r="GG59" s="69">
        <v>3059</v>
      </c>
      <c r="GH59" s="69">
        <v>541</v>
      </c>
      <c r="GI59" s="69">
        <v>21878</v>
      </c>
      <c r="GJ59" s="69">
        <v>10157</v>
      </c>
      <c r="GK59" s="69">
        <v>0</v>
      </c>
      <c r="GL59" s="69">
        <v>1788</v>
      </c>
      <c r="GM59" s="69">
        <v>12064</v>
      </c>
      <c r="GN59" s="69">
        <v>2509</v>
      </c>
      <c r="GO59" s="69">
        <v>13144</v>
      </c>
      <c r="GP59" s="69">
        <v>0</v>
      </c>
      <c r="GQ59" s="69">
        <v>2151</v>
      </c>
      <c r="GR59" s="69">
        <v>38048</v>
      </c>
      <c r="GS59" s="69">
        <v>1507</v>
      </c>
      <c r="GT59" s="69">
        <v>19694</v>
      </c>
      <c r="GU59" s="69">
        <v>0</v>
      </c>
      <c r="GV59" s="69">
        <v>21437</v>
      </c>
      <c r="GW59" s="69">
        <v>7532</v>
      </c>
      <c r="GX59" s="69">
        <v>11521</v>
      </c>
      <c r="GY59" s="69">
        <v>33363</v>
      </c>
      <c r="GZ59" s="69">
        <v>0</v>
      </c>
      <c r="HA59" s="69">
        <v>10350</v>
      </c>
      <c r="HB59" s="69">
        <v>203</v>
      </c>
      <c r="HC59" s="69">
        <v>12848</v>
      </c>
      <c r="HD59" s="69">
        <v>16447</v>
      </c>
      <c r="HE59" s="69">
        <v>34828</v>
      </c>
      <c r="HF59" s="69">
        <v>15459</v>
      </c>
      <c r="HG59" s="69">
        <v>0</v>
      </c>
      <c r="HH59" s="69"/>
      <c r="HI59" s="69"/>
      <c r="HJ59" s="69">
        <v>290529</v>
      </c>
      <c r="HK59" s="69">
        <v>80388</v>
      </c>
      <c r="HL59" s="69">
        <v>5773</v>
      </c>
      <c r="HM59" s="69">
        <v>125547</v>
      </c>
      <c r="HN59" s="69">
        <v>65253</v>
      </c>
      <c r="HO59" s="69">
        <v>0</v>
      </c>
      <c r="HP59" s="69">
        <v>4726</v>
      </c>
      <c r="HQ59" s="69">
        <v>37418</v>
      </c>
      <c r="HR59" s="69">
        <v>26760</v>
      </c>
      <c r="HS59" s="69">
        <v>76404</v>
      </c>
      <c r="HT59" s="69">
        <v>0</v>
      </c>
      <c r="HU59" s="69">
        <v>23242</v>
      </c>
      <c r="HV59" s="69">
        <v>118351</v>
      </c>
      <c r="HW59" s="69">
        <v>5112</v>
      </c>
      <c r="HX59" s="69">
        <v>86424</v>
      </c>
      <c r="HY59" s="69">
        <v>0</v>
      </c>
      <c r="HZ59" s="69">
        <v>113866</v>
      </c>
      <c r="IA59" s="69">
        <v>30230</v>
      </c>
      <c r="IB59" s="69">
        <v>38251</v>
      </c>
      <c r="IC59" s="69">
        <v>125591</v>
      </c>
      <c r="ID59" s="69">
        <v>0</v>
      </c>
      <c r="IE59" s="69">
        <v>104815</v>
      </c>
      <c r="IF59" s="69">
        <v>852</v>
      </c>
      <c r="IG59" s="69">
        <v>39029</v>
      </c>
      <c r="IH59" s="69">
        <v>100274</v>
      </c>
      <c r="II59" s="69">
        <v>80856</v>
      </c>
      <c r="IJ59" s="69">
        <v>67645</v>
      </c>
      <c r="IK59" s="69">
        <v>0</v>
      </c>
      <c r="IL59" s="69"/>
      <c r="IM59" s="69"/>
      <c r="IN59" s="69">
        <v>1356807</v>
      </c>
      <c r="IO59" s="69">
        <v>95429</v>
      </c>
      <c r="IP59" s="69">
        <v>14760</v>
      </c>
      <c r="IQ59" s="69">
        <v>191835</v>
      </c>
      <c r="IR59" s="69">
        <v>98112</v>
      </c>
      <c r="IS59" s="69">
        <v>0</v>
      </c>
      <c r="IT59" s="69">
        <v>13197</v>
      </c>
      <c r="IU59" s="69">
        <v>62896</v>
      </c>
      <c r="IV59" s="69">
        <v>68419</v>
      </c>
      <c r="IW59" s="69">
        <v>195003</v>
      </c>
      <c r="IX59" s="69">
        <v>0</v>
      </c>
      <c r="IY59" s="69">
        <v>51275</v>
      </c>
      <c r="IZ59" s="69">
        <v>319131</v>
      </c>
      <c r="JA59" s="69">
        <v>9779</v>
      </c>
      <c r="JB59" s="69">
        <v>134003</v>
      </c>
      <c r="JC59" s="69">
        <v>0</v>
      </c>
      <c r="JD59" s="69">
        <v>180584</v>
      </c>
      <c r="JE59" s="69">
        <v>42682</v>
      </c>
      <c r="JF59" s="69">
        <v>78235</v>
      </c>
      <c r="JG59" s="69">
        <v>281829</v>
      </c>
      <c r="JH59" s="69">
        <v>0</v>
      </c>
      <c r="JI59" s="69">
        <v>115585</v>
      </c>
      <c r="JJ59" s="69">
        <v>1677</v>
      </c>
      <c r="JK59" s="69">
        <v>68057</v>
      </c>
      <c r="JL59" s="69">
        <v>133799</v>
      </c>
      <c r="JM59" s="69">
        <v>191143</v>
      </c>
      <c r="JN59" s="69">
        <v>169912</v>
      </c>
      <c r="JO59" s="69">
        <v>0</v>
      </c>
      <c r="JP59" s="69"/>
      <c r="JQ59" s="69"/>
      <c r="JR59" s="69">
        <v>2517343</v>
      </c>
      <c r="JS59" s="69">
        <v>167125</v>
      </c>
      <c r="JT59" s="69">
        <v>21126</v>
      </c>
      <c r="JU59" s="69">
        <v>745989</v>
      </c>
      <c r="JV59" s="69">
        <v>353294</v>
      </c>
      <c r="JW59" s="69">
        <v>0</v>
      </c>
      <c r="JX59" s="69">
        <v>55439</v>
      </c>
      <c r="JY59" s="69">
        <v>379551</v>
      </c>
      <c r="JZ59" s="69">
        <v>97926</v>
      </c>
      <c r="KA59" s="69">
        <v>449142</v>
      </c>
      <c r="KB59" s="69">
        <v>0</v>
      </c>
      <c r="KC59" s="69">
        <v>84253</v>
      </c>
      <c r="KD59" s="69">
        <v>1197358</v>
      </c>
      <c r="KE59" s="69">
        <v>47851</v>
      </c>
      <c r="KF59" s="69">
        <v>644914</v>
      </c>
      <c r="KG59" s="69">
        <v>0</v>
      </c>
      <c r="KH59" s="69">
        <v>721785</v>
      </c>
      <c r="KI59" s="69">
        <v>243834</v>
      </c>
      <c r="KJ59" s="69">
        <v>364974</v>
      </c>
      <c r="KK59" s="69">
        <v>1071722</v>
      </c>
      <c r="KL59" s="69">
        <v>0</v>
      </c>
      <c r="KM59" s="69">
        <v>398335</v>
      </c>
      <c r="KN59" s="69">
        <v>6606</v>
      </c>
      <c r="KO59" s="69">
        <v>403371</v>
      </c>
      <c r="KP59" s="69">
        <v>566699</v>
      </c>
      <c r="KQ59" s="69">
        <v>1068552</v>
      </c>
      <c r="KR59" s="69">
        <v>506033</v>
      </c>
      <c r="KS59" s="69">
        <v>0</v>
      </c>
      <c r="KT59" s="69"/>
      <c r="KU59" s="69"/>
      <c r="KV59" s="69">
        <v>9595880</v>
      </c>
      <c r="KW59" s="69"/>
    </row>
    <row r="60" spans="1:309" x14ac:dyDescent="0.25">
      <c r="A60" t="s">
        <v>432</v>
      </c>
      <c r="C60" t="s">
        <v>1088</v>
      </c>
      <c r="D60" t="s">
        <v>1127</v>
      </c>
      <c r="E60" s="2">
        <v>39797.622511574104</v>
      </c>
      <c r="G60" t="s">
        <v>433</v>
      </c>
      <c r="L60">
        <v>0</v>
      </c>
      <c r="M60">
        <v>0</v>
      </c>
      <c r="N60">
        <v>0</v>
      </c>
      <c r="O60">
        <v>8160639</v>
      </c>
      <c r="P60" s="69">
        <v>0</v>
      </c>
      <c r="Q60">
        <v>74698</v>
      </c>
      <c r="R60">
        <v>0</v>
      </c>
      <c r="S60">
        <v>74698</v>
      </c>
      <c r="T60">
        <v>1010458</v>
      </c>
      <c r="U60">
        <v>341397</v>
      </c>
      <c r="V60">
        <v>587261</v>
      </c>
      <c r="W60">
        <v>0</v>
      </c>
      <c r="X60">
        <v>0</v>
      </c>
      <c r="Y60">
        <v>0</v>
      </c>
      <c r="Z60">
        <v>1939116</v>
      </c>
      <c r="AA60">
        <v>966849</v>
      </c>
      <c r="AB60">
        <v>35250</v>
      </c>
      <c r="AC60">
        <v>158740</v>
      </c>
      <c r="AD60">
        <v>0</v>
      </c>
      <c r="AE60">
        <v>73896</v>
      </c>
      <c r="AF60">
        <v>197160</v>
      </c>
      <c r="AG60">
        <v>1431895</v>
      </c>
      <c r="AH60">
        <v>1977307</v>
      </c>
      <c r="AI60">
        <v>376647</v>
      </c>
      <c r="AJ60">
        <v>746001</v>
      </c>
      <c r="AK60">
        <v>0</v>
      </c>
      <c r="AL60">
        <v>73896</v>
      </c>
      <c r="AM60">
        <v>197160</v>
      </c>
      <c r="AN60">
        <v>3371011</v>
      </c>
      <c r="AO60">
        <v>0</v>
      </c>
      <c r="AP60">
        <v>0</v>
      </c>
      <c r="AQ60">
        <v>32841</v>
      </c>
      <c r="AR60">
        <v>0</v>
      </c>
      <c r="AS60">
        <v>32841</v>
      </c>
      <c r="AT60">
        <v>0</v>
      </c>
      <c r="AU60">
        <v>17000</v>
      </c>
      <c r="AV60">
        <v>44953</v>
      </c>
      <c r="AW60">
        <v>6881</v>
      </c>
      <c r="AX60">
        <v>68834</v>
      </c>
      <c r="AY60">
        <v>0</v>
      </c>
      <c r="AZ60">
        <v>17000</v>
      </c>
      <c r="BA60">
        <v>77794</v>
      </c>
      <c r="BB60">
        <v>6881</v>
      </c>
      <c r="BC60">
        <v>101675</v>
      </c>
      <c r="BD60">
        <v>72787</v>
      </c>
      <c r="BE60">
        <v>0</v>
      </c>
      <c r="BF60">
        <v>0</v>
      </c>
      <c r="BG60">
        <v>0</v>
      </c>
      <c r="BH60">
        <v>0</v>
      </c>
      <c r="BI60">
        <v>72787</v>
      </c>
      <c r="BJ60">
        <v>0</v>
      </c>
      <c r="BK60">
        <v>0</v>
      </c>
      <c r="BL60">
        <v>16010</v>
      </c>
      <c r="BM60">
        <v>0</v>
      </c>
      <c r="BN60">
        <v>0</v>
      </c>
      <c r="BO60">
        <v>16010</v>
      </c>
      <c r="BP60">
        <v>1627687</v>
      </c>
      <c r="BQ60">
        <v>148944</v>
      </c>
      <c r="BR60">
        <v>0</v>
      </c>
      <c r="BS60">
        <v>0</v>
      </c>
      <c r="BT60">
        <v>45278</v>
      </c>
      <c r="BU60">
        <v>1821909</v>
      </c>
      <c r="BV60">
        <v>1700474</v>
      </c>
      <c r="BW60">
        <v>148944</v>
      </c>
      <c r="BX60">
        <v>16010</v>
      </c>
      <c r="BY60">
        <v>0</v>
      </c>
      <c r="BZ60">
        <v>45278</v>
      </c>
      <c r="CA60">
        <v>1910706</v>
      </c>
      <c r="CB60">
        <v>0</v>
      </c>
      <c r="CC60">
        <v>0</v>
      </c>
      <c r="CD60">
        <v>0</v>
      </c>
      <c r="CE60">
        <v>0</v>
      </c>
      <c r="CF60">
        <v>0</v>
      </c>
      <c r="CG60">
        <v>0</v>
      </c>
      <c r="CH60">
        <v>0</v>
      </c>
      <c r="CI60">
        <v>0</v>
      </c>
      <c r="CJ60">
        <v>0</v>
      </c>
      <c r="CK60">
        <v>0</v>
      </c>
      <c r="CL60">
        <v>0</v>
      </c>
      <c r="CM60">
        <v>0</v>
      </c>
      <c r="CN60">
        <v>0</v>
      </c>
      <c r="CO60">
        <v>0</v>
      </c>
      <c r="CP60">
        <v>0</v>
      </c>
      <c r="CQ60">
        <v>0</v>
      </c>
      <c r="CR60">
        <v>9549</v>
      </c>
      <c r="CS60">
        <v>76333</v>
      </c>
      <c r="CT60">
        <v>0</v>
      </c>
      <c r="CU60">
        <v>75073</v>
      </c>
      <c r="CV60">
        <v>26304</v>
      </c>
      <c r="CW60">
        <v>108640</v>
      </c>
      <c r="CX60">
        <v>13564</v>
      </c>
      <c r="CY60">
        <v>0</v>
      </c>
      <c r="CZ60">
        <v>864</v>
      </c>
      <c r="DA60">
        <v>34024</v>
      </c>
      <c r="DB60">
        <v>0</v>
      </c>
      <c r="DC60">
        <v>13802</v>
      </c>
      <c r="DD60">
        <v>0</v>
      </c>
      <c r="DE60">
        <v>9429</v>
      </c>
      <c r="DF60">
        <v>135344</v>
      </c>
      <c r="DG60">
        <v>32304</v>
      </c>
      <c r="DH60">
        <v>0</v>
      </c>
      <c r="DI60">
        <v>0</v>
      </c>
      <c r="DJ60">
        <v>12931</v>
      </c>
      <c r="DK60">
        <v>0</v>
      </c>
      <c r="DL60">
        <v>29888</v>
      </c>
      <c r="DM60">
        <v>215072</v>
      </c>
      <c r="DN60">
        <v>0</v>
      </c>
      <c r="DO60">
        <v>0</v>
      </c>
      <c r="DP60">
        <v>11760</v>
      </c>
      <c r="DQ60">
        <v>43168</v>
      </c>
      <c r="DR60">
        <v>62900</v>
      </c>
      <c r="DS60">
        <v>120816</v>
      </c>
      <c r="DT60">
        <v>41232</v>
      </c>
      <c r="DU60">
        <v>0</v>
      </c>
      <c r="DX60" s="69">
        <v>987115</v>
      </c>
      <c r="DY60" s="69">
        <v>244979</v>
      </c>
      <c r="DZ60" s="69">
        <v>81383</v>
      </c>
      <c r="EA60" s="69">
        <v>227550</v>
      </c>
      <c r="EB60" s="69">
        <v>52224</v>
      </c>
      <c r="EC60" s="69">
        <v>0</v>
      </c>
      <c r="ED60" s="69">
        <v>11851</v>
      </c>
      <c r="EE60" s="69">
        <v>53381</v>
      </c>
      <c r="EF60" s="69">
        <v>0</v>
      </c>
      <c r="EG60" s="69">
        <v>55185</v>
      </c>
      <c r="EH60" s="69">
        <v>0</v>
      </c>
      <c r="EI60" s="69">
        <v>34936</v>
      </c>
      <c r="EJ60" s="69">
        <v>380971</v>
      </c>
      <c r="EK60" s="69">
        <v>58086</v>
      </c>
      <c r="EL60" s="69">
        <v>0</v>
      </c>
      <c r="EM60" s="69">
        <v>0</v>
      </c>
      <c r="EN60" s="69">
        <v>30868</v>
      </c>
      <c r="EO60" s="69">
        <v>0</v>
      </c>
      <c r="EP60" s="69">
        <v>105820</v>
      </c>
      <c r="EQ60" s="69">
        <v>347864</v>
      </c>
      <c r="ER60" s="69">
        <v>0</v>
      </c>
      <c r="ES60" s="69">
        <v>0</v>
      </c>
      <c r="ET60" s="69">
        <v>42403</v>
      </c>
      <c r="EU60" s="69">
        <v>148801</v>
      </c>
      <c r="EV60" s="69">
        <v>96976</v>
      </c>
      <c r="EW60" s="69">
        <v>355081</v>
      </c>
      <c r="EX60" s="69">
        <v>149619</v>
      </c>
      <c r="EY60" s="69">
        <v>0</v>
      </c>
      <c r="EZ60" s="69"/>
      <c r="FA60" s="69"/>
      <c r="FB60" s="69">
        <v>2477978</v>
      </c>
      <c r="FC60" s="69">
        <v>8869</v>
      </c>
      <c r="FD60" s="69">
        <v>1123</v>
      </c>
      <c r="FE60" s="69">
        <v>0</v>
      </c>
      <c r="FF60" s="69">
        <v>0</v>
      </c>
      <c r="FG60" s="69">
        <v>0</v>
      </c>
      <c r="FH60" s="69">
        <v>577</v>
      </c>
      <c r="FI60" s="69">
        <v>0</v>
      </c>
      <c r="FJ60" s="69">
        <v>0</v>
      </c>
      <c r="FK60" s="69">
        <v>0</v>
      </c>
      <c r="FL60" s="69">
        <v>0</v>
      </c>
      <c r="FM60" s="69">
        <v>0</v>
      </c>
      <c r="FN60" s="69">
        <v>312</v>
      </c>
      <c r="FO60" s="69">
        <v>0</v>
      </c>
      <c r="FP60" s="69">
        <v>0</v>
      </c>
      <c r="FQ60" s="69">
        <v>0</v>
      </c>
      <c r="FR60" s="69">
        <v>0</v>
      </c>
      <c r="FS60" s="69">
        <v>0</v>
      </c>
      <c r="FT60" s="69">
        <v>0</v>
      </c>
      <c r="FU60" s="69">
        <v>1673</v>
      </c>
      <c r="FV60" s="69">
        <v>0</v>
      </c>
      <c r="FW60" s="69">
        <v>0</v>
      </c>
      <c r="FX60" s="69">
        <v>0</v>
      </c>
      <c r="FY60" s="69">
        <v>12071</v>
      </c>
      <c r="FZ60" s="69">
        <v>10931</v>
      </c>
      <c r="GA60" s="69">
        <v>0</v>
      </c>
      <c r="GB60" s="69">
        <v>2639</v>
      </c>
      <c r="GC60" s="69">
        <v>0</v>
      </c>
      <c r="GD60" s="69"/>
      <c r="GE60" s="69"/>
      <c r="GF60" s="69">
        <v>38195</v>
      </c>
      <c r="GG60" s="69">
        <v>7701</v>
      </c>
      <c r="GH60" s="69">
        <v>2503</v>
      </c>
      <c r="GI60" s="69">
        <v>6903</v>
      </c>
      <c r="GJ60" s="69">
        <v>1584</v>
      </c>
      <c r="GK60" s="69">
        <v>0</v>
      </c>
      <c r="GL60" s="69">
        <v>377</v>
      </c>
      <c r="GM60" s="69">
        <v>1619</v>
      </c>
      <c r="GN60" s="69">
        <v>0</v>
      </c>
      <c r="GO60" s="69">
        <v>1674</v>
      </c>
      <c r="GP60" s="69">
        <v>0</v>
      </c>
      <c r="GQ60" s="69">
        <v>1060</v>
      </c>
      <c r="GR60" s="69">
        <v>11567</v>
      </c>
      <c r="GS60" s="69">
        <v>1762</v>
      </c>
      <c r="GT60" s="69">
        <v>0</v>
      </c>
      <c r="GU60" s="69">
        <v>0</v>
      </c>
      <c r="GV60" s="69">
        <v>936</v>
      </c>
      <c r="GW60" s="69">
        <v>0</v>
      </c>
      <c r="GX60" s="69">
        <v>3210</v>
      </c>
      <c r="GY60" s="69">
        <v>10604</v>
      </c>
      <c r="GZ60" s="69">
        <v>0</v>
      </c>
      <c r="HA60" s="69">
        <v>0</v>
      </c>
      <c r="HB60" s="69">
        <v>1286</v>
      </c>
      <c r="HC60" s="69">
        <v>4880</v>
      </c>
      <c r="HD60" s="69">
        <v>3274</v>
      </c>
      <c r="HE60" s="69">
        <v>10772</v>
      </c>
      <c r="HF60" s="69">
        <v>4619</v>
      </c>
      <c r="HG60" s="69">
        <v>0</v>
      </c>
      <c r="HH60" s="69"/>
      <c r="HI60" s="69"/>
      <c r="HJ60" s="69">
        <v>76333</v>
      </c>
      <c r="HK60" s="69">
        <v>57362</v>
      </c>
      <c r="HL60" s="69">
        <v>21811</v>
      </c>
      <c r="HM60" s="69">
        <v>6773</v>
      </c>
      <c r="HN60" s="69">
        <v>6044</v>
      </c>
      <c r="HO60" s="69">
        <v>0</v>
      </c>
      <c r="HP60" s="69">
        <v>118436</v>
      </c>
      <c r="HQ60" s="69">
        <v>7301</v>
      </c>
      <c r="HR60" s="69">
        <v>0</v>
      </c>
      <c r="HS60" s="69">
        <v>797</v>
      </c>
      <c r="HT60" s="69">
        <v>0</v>
      </c>
      <c r="HU60" s="69">
        <v>3068</v>
      </c>
      <c r="HV60" s="69">
        <v>5137</v>
      </c>
      <c r="HW60" s="69">
        <v>33</v>
      </c>
      <c r="HX60" s="69">
        <v>0</v>
      </c>
      <c r="HY60" s="69">
        <v>0</v>
      </c>
      <c r="HZ60" s="69">
        <v>18934</v>
      </c>
      <c r="IA60" s="69">
        <v>0</v>
      </c>
      <c r="IB60" s="69">
        <v>2908</v>
      </c>
      <c r="IC60" s="69">
        <v>3179</v>
      </c>
      <c r="ID60" s="69">
        <v>0</v>
      </c>
      <c r="IE60" s="69">
        <v>0</v>
      </c>
      <c r="IF60" s="69">
        <v>4243</v>
      </c>
      <c r="IG60" s="69">
        <v>50269</v>
      </c>
      <c r="IH60" s="69">
        <v>14360</v>
      </c>
      <c r="II60" s="69">
        <v>5828</v>
      </c>
      <c r="IJ60" s="69">
        <v>32879</v>
      </c>
      <c r="IK60" s="69">
        <v>0</v>
      </c>
      <c r="IL60" s="69"/>
      <c r="IM60" s="69"/>
      <c r="IN60" s="69">
        <v>359362</v>
      </c>
      <c r="IO60" s="69">
        <v>73932</v>
      </c>
      <c r="IP60" s="69">
        <v>25437</v>
      </c>
      <c r="IQ60" s="69">
        <v>13676</v>
      </c>
      <c r="IR60" s="69">
        <v>7628</v>
      </c>
      <c r="IS60" s="69">
        <v>0</v>
      </c>
      <c r="IT60" s="69">
        <v>119390</v>
      </c>
      <c r="IU60" s="69">
        <v>8920</v>
      </c>
      <c r="IV60" s="69">
        <v>0</v>
      </c>
      <c r="IW60" s="69">
        <v>2471</v>
      </c>
      <c r="IX60" s="69">
        <v>0</v>
      </c>
      <c r="IY60" s="69">
        <v>4128</v>
      </c>
      <c r="IZ60" s="69">
        <v>17016</v>
      </c>
      <c r="JA60" s="69">
        <v>1795</v>
      </c>
      <c r="JB60" s="69">
        <v>0</v>
      </c>
      <c r="JC60" s="69">
        <v>0</v>
      </c>
      <c r="JD60" s="69">
        <v>19870</v>
      </c>
      <c r="JE60" s="69">
        <v>0</v>
      </c>
      <c r="JF60" s="69">
        <v>6118</v>
      </c>
      <c r="JG60" s="69">
        <v>15456</v>
      </c>
      <c r="JH60" s="69">
        <v>0</v>
      </c>
      <c r="JI60" s="69">
        <v>0</v>
      </c>
      <c r="JJ60" s="69">
        <v>5529</v>
      </c>
      <c r="JK60" s="69">
        <v>67220</v>
      </c>
      <c r="JL60" s="69">
        <v>28565</v>
      </c>
      <c r="JM60" s="69">
        <v>16600</v>
      </c>
      <c r="JN60" s="69">
        <v>40137</v>
      </c>
      <c r="JO60" s="69">
        <v>0</v>
      </c>
      <c r="JP60" s="69"/>
      <c r="JQ60" s="69"/>
      <c r="JR60" s="69">
        <v>473890</v>
      </c>
      <c r="JS60" s="69">
        <v>318911</v>
      </c>
      <c r="JT60" s="69">
        <v>106820</v>
      </c>
      <c r="JU60" s="69">
        <v>241226</v>
      </c>
      <c r="JV60" s="69">
        <v>59852</v>
      </c>
      <c r="JW60" s="69">
        <v>0</v>
      </c>
      <c r="JX60" s="69">
        <v>131241</v>
      </c>
      <c r="JY60" s="69">
        <v>62301</v>
      </c>
      <c r="JZ60" s="69">
        <v>0</v>
      </c>
      <c r="KA60" s="69">
        <v>57656</v>
      </c>
      <c r="KB60" s="69">
        <v>0</v>
      </c>
      <c r="KC60" s="69">
        <v>39064</v>
      </c>
      <c r="KD60" s="69">
        <v>397987</v>
      </c>
      <c r="KE60" s="69">
        <v>59881</v>
      </c>
      <c r="KF60" s="69">
        <v>0</v>
      </c>
      <c r="KG60" s="69">
        <v>0</v>
      </c>
      <c r="KH60" s="69">
        <v>50738</v>
      </c>
      <c r="KI60" s="69">
        <v>0</v>
      </c>
      <c r="KJ60" s="69">
        <v>111938</v>
      </c>
      <c r="KK60" s="69">
        <v>363320</v>
      </c>
      <c r="KL60" s="69">
        <v>0</v>
      </c>
      <c r="KM60" s="69">
        <v>0</v>
      </c>
      <c r="KN60" s="69">
        <v>47932</v>
      </c>
      <c r="KO60" s="69">
        <v>216021</v>
      </c>
      <c r="KP60" s="69">
        <v>125541</v>
      </c>
      <c r="KQ60" s="69">
        <v>371681</v>
      </c>
      <c r="KR60" s="69">
        <v>189756</v>
      </c>
      <c r="KS60" s="69">
        <v>0</v>
      </c>
      <c r="KT60" s="69"/>
      <c r="KU60" s="69"/>
      <c r="KV60" s="69">
        <v>2951868</v>
      </c>
      <c r="KW60" s="69"/>
    </row>
    <row r="61" spans="1:309" x14ac:dyDescent="0.25">
      <c r="A61" t="s">
        <v>418</v>
      </c>
      <c r="C61" t="s">
        <v>1088</v>
      </c>
      <c r="D61" t="s">
        <v>1121</v>
      </c>
      <c r="E61" s="2">
        <v>39792.4071527778</v>
      </c>
      <c r="G61" t="s">
        <v>419</v>
      </c>
      <c r="L61">
        <v>0</v>
      </c>
      <c r="M61">
        <v>0</v>
      </c>
      <c r="N61">
        <v>0</v>
      </c>
      <c r="O61">
        <v>24634061</v>
      </c>
      <c r="P61" s="69">
        <v>0</v>
      </c>
      <c r="Q61">
        <v>623508</v>
      </c>
      <c r="R61">
        <v>0</v>
      </c>
      <c r="S61">
        <v>623508</v>
      </c>
      <c r="T61">
        <v>2471743</v>
      </c>
      <c r="U61">
        <v>1372347</v>
      </c>
      <c r="V61">
        <v>1523847</v>
      </c>
      <c r="W61">
        <v>0</v>
      </c>
      <c r="X61">
        <v>0</v>
      </c>
      <c r="Y61">
        <v>0</v>
      </c>
      <c r="Z61">
        <v>5367937</v>
      </c>
      <c r="AA61">
        <v>2326220</v>
      </c>
      <c r="AB61">
        <v>181913</v>
      </c>
      <c r="AC61">
        <v>665387</v>
      </c>
      <c r="AD61">
        <v>0</v>
      </c>
      <c r="AE61">
        <v>570364</v>
      </c>
      <c r="AF61">
        <v>590110</v>
      </c>
      <c r="AG61">
        <v>4333994</v>
      </c>
      <c r="AH61">
        <v>4797963</v>
      </c>
      <c r="AI61">
        <v>1554260</v>
      </c>
      <c r="AJ61">
        <v>2189234</v>
      </c>
      <c r="AK61">
        <v>0</v>
      </c>
      <c r="AL61">
        <v>570364</v>
      </c>
      <c r="AM61">
        <v>590110</v>
      </c>
      <c r="AN61">
        <v>9701931</v>
      </c>
      <c r="AO61">
        <v>481702</v>
      </c>
      <c r="AP61">
        <v>0</v>
      </c>
      <c r="AQ61">
        <v>0</v>
      </c>
      <c r="AR61">
        <v>0</v>
      </c>
      <c r="AS61">
        <v>481702</v>
      </c>
      <c r="AT61">
        <v>235169</v>
      </c>
      <c r="AU61">
        <v>0</v>
      </c>
      <c r="AV61">
        <v>0</v>
      </c>
      <c r="AW61">
        <v>0</v>
      </c>
      <c r="AX61">
        <v>235169</v>
      </c>
      <c r="AY61">
        <v>716871</v>
      </c>
      <c r="AZ61">
        <v>0</v>
      </c>
      <c r="BA61">
        <v>0</v>
      </c>
      <c r="BB61">
        <v>0</v>
      </c>
      <c r="BC61">
        <v>716871</v>
      </c>
      <c r="BD61">
        <v>1140261</v>
      </c>
      <c r="BE61">
        <v>0</v>
      </c>
      <c r="BF61">
        <v>0</v>
      </c>
      <c r="BG61">
        <v>0</v>
      </c>
      <c r="BH61">
        <v>0</v>
      </c>
      <c r="BI61">
        <v>1140261</v>
      </c>
      <c r="BJ61">
        <v>0</v>
      </c>
      <c r="BK61">
        <v>0</v>
      </c>
      <c r="BL61">
        <v>128062</v>
      </c>
      <c r="BM61">
        <v>0</v>
      </c>
      <c r="BN61">
        <v>0</v>
      </c>
      <c r="BO61">
        <v>128062</v>
      </c>
      <c r="BP61">
        <v>2379015</v>
      </c>
      <c r="BQ61">
        <v>0</v>
      </c>
      <c r="BR61">
        <v>0</v>
      </c>
      <c r="BS61">
        <v>0</v>
      </c>
      <c r="BT61">
        <v>0</v>
      </c>
      <c r="BU61">
        <v>2824679</v>
      </c>
      <c r="BV61">
        <v>3519276</v>
      </c>
      <c r="BW61">
        <v>0</v>
      </c>
      <c r="BX61">
        <v>128062</v>
      </c>
      <c r="BY61">
        <v>0</v>
      </c>
      <c r="BZ61">
        <v>445664</v>
      </c>
      <c r="CA61">
        <v>4093002</v>
      </c>
      <c r="CB61">
        <v>0</v>
      </c>
      <c r="CC61">
        <v>0</v>
      </c>
      <c r="CD61">
        <v>0</v>
      </c>
      <c r="CE61">
        <v>0</v>
      </c>
      <c r="CF61">
        <v>0</v>
      </c>
      <c r="CG61">
        <v>0</v>
      </c>
      <c r="CH61">
        <v>0</v>
      </c>
      <c r="CI61">
        <v>0</v>
      </c>
      <c r="CJ61">
        <v>0</v>
      </c>
      <c r="CK61">
        <v>0</v>
      </c>
      <c r="CL61">
        <v>0</v>
      </c>
      <c r="CM61">
        <v>0</v>
      </c>
      <c r="CN61">
        <v>0</v>
      </c>
      <c r="CO61">
        <v>0</v>
      </c>
      <c r="CP61">
        <v>0</v>
      </c>
      <c r="CQ61">
        <v>0</v>
      </c>
      <c r="CR61">
        <v>3668</v>
      </c>
      <c r="CS61">
        <v>982496</v>
      </c>
      <c r="CT61">
        <v>0</v>
      </c>
      <c r="CU61">
        <v>9760</v>
      </c>
      <c r="CV61">
        <v>16960</v>
      </c>
      <c r="CW61">
        <v>365456</v>
      </c>
      <c r="CX61">
        <v>113034</v>
      </c>
      <c r="CY61">
        <v>0</v>
      </c>
      <c r="CZ61">
        <v>0</v>
      </c>
      <c r="DA61">
        <v>79370</v>
      </c>
      <c r="DB61">
        <v>1056</v>
      </c>
      <c r="DC61">
        <v>97268</v>
      </c>
      <c r="DD61">
        <v>432</v>
      </c>
      <c r="DE61">
        <v>56896</v>
      </c>
      <c r="DF61">
        <v>399728</v>
      </c>
      <c r="DG61">
        <v>12216</v>
      </c>
      <c r="DH61">
        <v>49688</v>
      </c>
      <c r="DI61">
        <v>31456</v>
      </c>
      <c r="DJ61">
        <v>140351</v>
      </c>
      <c r="DK61">
        <v>0</v>
      </c>
      <c r="DL61">
        <v>51248</v>
      </c>
      <c r="DM61">
        <v>220336</v>
      </c>
      <c r="DN61">
        <v>15792</v>
      </c>
      <c r="DO61">
        <v>0</v>
      </c>
      <c r="DP61">
        <v>2904</v>
      </c>
      <c r="DQ61">
        <v>42240</v>
      </c>
      <c r="DR61">
        <v>64194</v>
      </c>
      <c r="DS61">
        <v>536016</v>
      </c>
      <c r="DT61">
        <v>91654</v>
      </c>
      <c r="DU61">
        <v>0</v>
      </c>
      <c r="DX61" s="69">
        <v>2398055</v>
      </c>
      <c r="DY61" s="69">
        <v>77669</v>
      </c>
      <c r="DZ61" s="69">
        <v>162033</v>
      </c>
      <c r="EA61" s="69">
        <v>1089442</v>
      </c>
      <c r="EB61" s="69">
        <v>231934</v>
      </c>
      <c r="EC61" s="69">
        <v>0</v>
      </c>
      <c r="ED61" s="69">
        <v>0</v>
      </c>
      <c r="EE61" s="69">
        <v>415559</v>
      </c>
      <c r="EF61" s="69"/>
      <c r="EG61" s="69">
        <v>407695</v>
      </c>
      <c r="EH61" s="69">
        <v>0</v>
      </c>
      <c r="EI61" s="69">
        <v>163921</v>
      </c>
      <c r="EJ61" s="69">
        <v>1272192</v>
      </c>
      <c r="EK61" s="69">
        <v>50989</v>
      </c>
      <c r="EL61" s="69">
        <v>463989</v>
      </c>
      <c r="EM61" s="69">
        <v>312474</v>
      </c>
      <c r="EN61" s="69">
        <v>529094</v>
      </c>
      <c r="EO61" s="69">
        <v>0</v>
      </c>
      <c r="EP61" s="69">
        <v>240245</v>
      </c>
      <c r="EQ61" s="69">
        <v>664302</v>
      </c>
      <c r="ER61" s="69">
        <v>111977</v>
      </c>
      <c r="ES61" s="69">
        <v>0</v>
      </c>
      <c r="ET61" s="69">
        <v>8267</v>
      </c>
      <c r="EU61" s="69">
        <v>165979</v>
      </c>
      <c r="EV61" s="69">
        <v>450932</v>
      </c>
      <c r="EW61" s="69">
        <v>1284688</v>
      </c>
      <c r="EX61" s="69">
        <v>351117</v>
      </c>
      <c r="EY61" s="69">
        <v>0</v>
      </c>
      <c r="EZ61" s="69"/>
      <c r="FA61" s="69"/>
      <c r="FB61" s="69">
        <v>8527368</v>
      </c>
      <c r="FC61" s="69">
        <v>97</v>
      </c>
      <c r="FD61" s="69">
        <v>172</v>
      </c>
      <c r="FE61" s="69">
        <v>3309</v>
      </c>
      <c r="FF61" s="69">
        <v>962</v>
      </c>
      <c r="FG61" s="69">
        <v>0</v>
      </c>
      <c r="FH61" s="69">
        <v>0</v>
      </c>
      <c r="FI61" s="69">
        <v>722</v>
      </c>
      <c r="FJ61" s="69">
        <v>0</v>
      </c>
      <c r="FK61" s="69">
        <v>916</v>
      </c>
      <c r="FL61" s="69">
        <v>0</v>
      </c>
      <c r="FM61" s="69">
        <v>551</v>
      </c>
      <c r="FN61" s="69">
        <v>3699</v>
      </c>
      <c r="FO61" s="69">
        <v>85</v>
      </c>
      <c r="FP61" s="69">
        <v>475</v>
      </c>
      <c r="FQ61" s="69">
        <v>18500</v>
      </c>
      <c r="FR61" s="69">
        <v>37785</v>
      </c>
      <c r="FS61" s="69">
        <v>0</v>
      </c>
      <c r="FT61" s="69">
        <v>11506</v>
      </c>
      <c r="FU61" s="69">
        <v>2080</v>
      </c>
      <c r="FV61" s="69">
        <v>193</v>
      </c>
      <c r="FW61" s="69">
        <v>0</v>
      </c>
      <c r="FX61" s="69">
        <v>0</v>
      </c>
      <c r="FY61" s="69">
        <v>420</v>
      </c>
      <c r="FZ61" s="69">
        <v>21969</v>
      </c>
      <c r="GA61" s="69">
        <v>4916</v>
      </c>
      <c r="GB61" s="69">
        <v>892</v>
      </c>
      <c r="GC61" s="69">
        <v>0</v>
      </c>
      <c r="GD61" s="69"/>
      <c r="GE61" s="69"/>
      <c r="GF61" s="69">
        <v>109249</v>
      </c>
      <c r="GG61" s="69">
        <v>8847</v>
      </c>
      <c r="GH61" s="69">
        <v>18452</v>
      </c>
      <c r="GI61" s="69">
        <v>124311</v>
      </c>
      <c r="GJ61" s="69">
        <v>26494</v>
      </c>
      <c r="GK61" s="69">
        <v>0</v>
      </c>
      <c r="GL61" s="69">
        <v>0</v>
      </c>
      <c r="GM61" s="69">
        <v>47356</v>
      </c>
      <c r="GN61" s="69">
        <v>8290</v>
      </c>
      <c r="GO61" s="69">
        <v>46483</v>
      </c>
      <c r="GP61" s="69">
        <v>0</v>
      </c>
      <c r="GQ61" s="69">
        <v>18710</v>
      </c>
      <c r="GR61" s="69">
        <v>145145</v>
      </c>
      <c r="GS61" s="69">
        <v>5810</v>
      </c>
      <c r="GT61" s="69">
        <v>52837</v>
      </c>
      <c r="GU61" s="69">
        <v>37651</v>
      </c>
      <c r="GV61" s="69">
        <v>64488</v>
      </c>
      <c r="GW61" s="69">
        <v>0</v>
      </c>
      <c r="GX61" s="69">
        <v>28639</v>
      </c>
      <c r="GY61" s="69">
        <v>75807</v>
      </c>
      <c r="GZ61" s="69">
        <v>12760</v>
      </c>
      <c r="HA61" s="69">
        <v>0</v>
      </c>
      <c r="HB61" s="69">
        <v>940</v>
      </c>
      <c r="HC61" s="69">
        <v>18929</v>
      </c>
      <c r="HD61" s="69">
        <v>53797</v>
      </c>
      <c r="HE61" s="69">
        <v>146705</v>
      </c>
      <c r="HF61" s="69">
        <v>40044</v>
      </c>
      <c r="HG61" s="69">
        <v>0</v>
      </c>
      <c r="HH61" s="69"/>
      <c r="HI61" s="69"/>
      <c r="HJ61" s="69">
        <v>982496</v>
      </c>
      <c r="HK61" s="69">
        <v>4219</v>
      </c>
      <c r="HL61" s="69">
        <v>30195</v>
      </c>
      <c r="HM61" s="69">
        <v>119997</v>
      </c>
      <c r="HN61" s="69">
        <v>12333</v>
      </c>
      <c r="HO61" s="69">
        <v>0</v>
      </c>
      <c r="HP61" s="69">
        <v>0</v>
      </c>
      <c r="HQ61" s="69">
        <v>76907</v>
      </c>
      <c r="HR61" s="69">
        <v>30224</v>
      </c>
      <c r="HS61" s="69">
        <v>37109</v>
      </c>
      <c r="HT61" s="69">
        <v>0</v>
      </c>
      <c r="HU61" s="69">
        <v>15934</v>
      </c>
      <c r="HV61" s="69">
        <v>29693</v>
      </c>
      <c r="HW61" s="69">
        <v>1062</v>
      </c>
      <c r="HX61" s="69">
        <v>54018</v>
      </c>
      <c r="HY61" s="69">
        <v>131145</v>
      </c>
      <c r="HZ61" s="69">
        <v>150211</v>
      </c>
      <c r="IA61" s="69">
        <v>0</v>
      </c>
      <c r="IB61" s="69">
        <v>21935</v>
      </c>
      <c r="IC61" s="69">
        <v>14562</v>
      </c>
      <c r="ID61" s="69">
        <v>18725</v>
      </c>
      <c r="IE61" s="69">
        <v>0</v>
      </c>
      <c r="IF61" s="69">
        <v>0</v>
      </c>
      <c r="IG61" s="69">
        <v>3815</v>
      </c>
      <c r="IH61" s="69">
        <v>40698</v>
      </c>
      <c r="II61" s="69">
        <v>71121</v>
      </c>
      <c r="IJ61" s="69">
        <v>51507</v>
      </c>
      <c r="IK61" s="69">
        <v>0</v>
      </c>
      <c r="IL61" s="69"/>
      <c r="IM61" s="69"/>
      <c r="IN61" s="69">
        <v>915410</v>
      </c>
      <c r="IO61" s="69">
        <v>13163</v>
      </c>
      <c r="IP61" s="69">
        <v>48819</v>
      </c>
      <c r="IQ61" s="69">
        <v>247617</v>
      </c>
      <c r="IR61" s="69">
        <v>39789</v>
      </c>
      <c r="IS61" s="69">
        <v>0</v>
      </c>
      <c r="IT61" s="69">
        <v>0</v>
      </c>
      <c r="IU61" s="69">
        <v>124985</v>
      </c>
      <c r="IV61" s="69"/>
      <c r="IW61" s="69">
        <v>84508</v>
      </c>
      <c r="IX61" s="69">
        <v>0</v>
      </c>
      <c r="IY61" s="69">
        <v>35195</v>
      </c>
      <c r="IZ61" s="69">
        <v>178537</v>
      </c>
      <c r="JA61" s="69">
        <v>6957</v>
      </c>
      <c r="JB61" s="69">
        <v>107330</v>
      </c>
      <c r="JC61" s="69">
        <v>187296</v>
      </c>
      <c r="JD61" s="69">
        <v>252484</v>
      </c>
      <c r="JE61" s="69">
        <v>0</v>
      </c>
      <c r="JF61" s="69">
        <v>62080</v>
      </c>
      <c r="JG61" s="69">
        <v>92449</v>
      </c>
      <c r="JH61" s="69">
        <v>31678</v>
      </c>
      <c r="JI61" s="69">
        <v>0</v>
      </c>
      <c r="JJ61" s="69">
        <v>940</v>
      </c>
      <c r="JK61" s="69">
        <v>23164</v>
      </c>
      <c r="JL61" s="69">
        <v>116464</v>
      </c>
      <c r="JM61" s="69">
        <v>222742</v>
      </c>
      <c r="JN61" s="69">
        <v>92443</v>
      </c>
      <c r="JO61" s="69">
        <v>0</v>
      </c>
      <c r="JP61" s="69"/>
      <c r="JQ61" s="69"/>
      <c r="JR61" s="69">
        <v>2007155</v>
      </c>
      <c r="JS61" s="69">
        <v>90832</v>
      </c>
      <c r="JT61" s="69">
        <v>210852</v>
      </c>
      <c r="JU61" s="69">
        <v>1337059</v>
      </c>
      <c r="JV61" s="69">
        <v>271723</v>
      </c>
      <c r="JW61" s="69">
        <v>0</v>
      </c>
      <c r="JX61" s="69">
        <v>0</v>
      </c>
      <c r="JY61" s="69">
        <v>540544</v>
      </c>
      <c r="JZ61" s="69">
        <v>111384</v>
      </c>
      <c r="KA61" s="69">
        <v>492203</v>
      </c>
      <c r="KB61" s="69">
        <v>0</v>
      </c>
      <c r="KC61" s="69">
        <v>199116</v>
      </c>
      <c r="KD61" s="69">
        <v>1450729</v>
      </c>
      <c r="KE61" s="69">
        <v>57946</v>
      </c>
      <c r="KF61" s="69">
        <v>571319</v>
      </c>
      <c r="KG61" s="69">
        <v>499770</v>
      </c>
      <c r="KH61" s="69">
        <v>781578</v>
      </c>
      <c r="KI61" s="69">
        <v>0</v>
      </c>
      <c r="KJ61" s="69">
        <v>302325</v>
      </c>
      <c r="KK61" s="69">
        <v>756751</v>
      </c>
      <c r="KL61" s="69">
        <v>143655</v>
      </c>
      <c r="KM61" s="69">
        <v>0</v>
      </c>
      <c r="KN61" s="69">
        <v>9207</v>
      </c>
      <c r="KO61" s="69">
        <v>189143</v>
      </c>
      <c r="KP61" s="69">
        <v>567396</v>
      </c>
      <c r="KQ61" s="69">
        <v>1507430</v>
      </c>
      <c r="KR61" s="69">
        <v>443560</v>
      </c>
      <c r="KS61" s="69">
        <v>0</v>
      </c>
      <c r="KT61" s="69"/>
      <c r="KU61" s="69"/>
      <c r="KV61" s="69">
        <v>10534523</v>
      </c>
      <c r="KW61" s="69"/>
    </row>
    <row r="62" spans="1:309" ht="15" customHeight="1" x14ac:dyDescent="0.25">
      <c r="E62" s="2"/>
      <c r="DX62" s="69"/>
      <c r="DY62" s="69"/>
      <c r="DZ62" s="69"/>
      <c r="EA62" s="69"/>
      <c r="EB62" s="69"/>
      <c r="EC62" s="69"/>
      <c r="ED62" s="69"/>
      <c r="EE62" s="69"/>
      <c r="EF62" s="69"/>
      <c r="EG62" s="69"/>
      <c r="EH62" s="69"/>
      <c r="EI62" s="69"/>
      <c r="EJ62" s="69"/>
      <c r="EK62" s="69"/>
      <c r="EL62" s="69"/>
      <c r="EM62" s="69"/>
      <c r="EN62" s="69"/>
      <c r="EO62" s="69"/>
      <c r="EP62" s="69"/>
      <c r="EQ62" s="69"/>
      <c r="ER62" s="69"/>
      <c r="ES62" s="69"/>
      <c r="ET62" s="69"/>
      <c r="EU62" s="69"/>
      <c r="EV62" s="69"/>
      <c r="EW62" s="69"/>
      <c r="EX62" s="69"/>
      <c r="EY62" s="69"/>
      <c r="EZ62" s="69"/>
      <c r="FA62" s="69"/>
      <c r="FB62" s="69"/>
      <c r="FC62" s="69"/>
      <c r="FD62" s="69"/>
      <c r="FE62" s="69"/>
      <c r="FF62" s="69"/>
      <c r="FG62" s="69"/>
      <c r="FH62" s="69"/>
      <c r="FI62" s="69"/>
      <c r="FJ62" s="69"/>
      <c r="FK62" s="69"/>
      <c r="FL62" s="69"/>
      <c r="FM62" s="69"/>
      <c r="FN62" s="69"/>
      <c r="FO62" s="69"/>
      <c r="FP62" s="69"/>
      <c r="FQ62" s="69"/>
      <c r="FR62" s="69"/>
      <c r="FS62" s="69"/>
      <c r="FT62" s="69"/>
      <c r="FU62" s="69"/>
      <c r="FV62" s="69"/>
      <c r="FW62" s="69"/>
      <c r="FX62" s="69"/>
      <c r="FY62" s="69"/>
      <c r="FZ62" s="69"/>
      <c r="GA62" s="69"/>
      <c r="GB62" s="69"/>
      <c r="GC62" s="69"/>
      <c r="GD62" s="69"/>
      <c r="GE62" s="69"/>
      <c r="GF62" s="69"/>
      <c r="GG62" s="69"/>
      <c r="GH62" s="69"/>
      <c r="GI62" s="69"/>
      <c r="GJ62" s="69"/>
      <c r="GK62" s="69"/>
      <c r="GL62" s="69"/>
      <c r="GM62" s="69"/>
      <c r="GN62" s="69"/>
      <c r="GO62" s="69"/>
      <c r="GP62" s="69"/>
      <c r="GQ62" s="69"/>
      <c r="GR62" s="69"/>
      <c r="GS62" s="69"/>
      <c r="GT62" s="69"/>
      <c r="GU62" s="69"/>
      <c r="GV62" s="69"/>
      <c r="GW62" s="69"/>
      <c r="GX62" s="69"/>
      <c r="GY62" s="69"/>
      <c r="GZ62" s="69"/>
      <c r="HA62" s="69"/>
      <c r="HB62" s="69"/>
      <c r="HC62" s="69"/>
      <c r="HD62" s="69"/>
      <c r="HE62" s="69"/>
      <c r="HF62" s="69"/>
      <c r="HG62" s="69"/>
      <c r="HH62" s="69"/>
      <c r="HI62" s="69"/>
      <c r="HJ62" s="69"/>
      <c r="HK62" s="69"/>
      <c r="HL62" s="69"/>
      <c r="HM62" s="69"/>
      <c r="HN62" s="69"/>
      <c r="HO62" s="69"/>
      <c r="HP62" s="69"/>
      <c r="HQ62" s="69"/>
      <c r="HR62" s="69"/>
      <c r="HS62" s="69"/>
      <c r="HT62" s="69"/>
      <c r="HU62" s="69"/>
      <c r="HV62" s="69"/>
      <c r="HW62" s="69"/>
      <c r="HX62" s="69"/>
      <c r="HY62" s="69"/>
      <c r="HZ62" s="69"/>
      <c r="IA62" s="69"/>
      <c r="IB62" s="69"/>
      <c r="IC62" s="69"/>
      <c r="ID62" s="69"/>
      <c r="IE62" s="69"/>
      <c r="IF62" s="69"/>
      <c r="IG62" s="69"/>
      <c r="IH62" s="69"/>
      <c r="II62" s="69"/>
      <c r="IJ62" s="69"/>
      <c r="IK62" s="69"/>
      <c r="IL62" s="69"/>
      <c r="IM62" s="69"/>
      <c r="IN62" s="69"/>
      <c r="IO62" s="69"/>
      <c r="IP62" s="69"/>
      <c r="IQ62" s="69"/>
      <c r="IR62" s="69"/>
      <c r="IS62" s="69"/>
      <c r="IT62" s="69"/>
      <c r="IU62" s="69"/>
      <c r="IV62" s="69"/>
      <c r="IW62" s="69"/>
      <c r="IX62" s="69"/>
      <c r="IY62" s="69"/>
      <c r="IZ62" s="69"/>
      <c r="JA62" s="69"/>
      <c r="JB62" s="69"/>
      <c r="JC62" s="69"/>
      <c r="JD62" s="69"/>
      <c r="JE62" s="69"/>
      <c r="JF62" s="69"/>
      <c r="JG62" s="69"/>
      <c r="JH62" s="69"/>
      <c r="JI62" s="69"/>
      <c r="JJ62" s="69"/>
      <c r="JK62" s="69"/>
      <c r="JL62" s="69"/>
      <c r="JM62" s="69"/>
      <c r="JN62" s="69"/>
      <c r="JO62" s="69"/>
      <c r="JP62" s="69"/>
      <c r="JQ62" s="69"/>
      <c r="JR62" s="69"/>
      <c r="JS62" s="69"/>
      <c r="JT62" s="69"/>
      <c r="JU62" s="69"/>
      <c r="JV62" s="69"/>
      <c r="JW62" s="69"/>
      <c r="JX62" s="69"/>
      <c r="JY62" s="69"/>
      <c r="JZ62" s="69"/>
      <c r="KA62" s="69"/>
      <c r="KB62" s="69"/>
      <c r="KC62" s="69"/>
      <c r="KD62" s="69"/>
      <c r="KE62" s="69"/>
      <c r="KF62" s="69"/>
      <c r="KG62" s="69"/>
      <c r="KH62" s="69"/>
      <c r="KI62" s="69"/>
      <c r="KJ62" s="69"/>
      <c r="KK62" s="69"/>
      <c r="KL62" s="69"/>
      <c r="KM62" s="69"/>
      <c r="KN62" s="69"/>
      <c r="KO62" s="69"/>
      <c r="KP62" s="69"/>
      <c r="KQ62" s="69"/>
      <c r="KR62" s="69"/>
      <c r="KS62" s="69"/>
      <c r="KT62" s="69"/>
      <c r="KU62" s="69"/>
      <c r="KV62" s="69"/>
      <c r="KW62" s="69"/>
    </row>
    <row r="63" spans="1:309" x14ac:dyDescent="0.25">
      <c r="A63" s="69"/>
      <c r="B63" s="69"/>
      <c r="C63" s="69"/>
      <c r="D63" s="69"/>
      <c r="E63" s="2"/>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c r="CC63" s="69"/>
      <c r="CD63" s="69"/>
      <c r="CE63" s="69"/>
      <c r="CF63" s="69"/>
      <c r="CG63" s="69"/>
      <c r="CH63" s="69"/>
      <c r="CI63" s="69"/>
      <c r="CJ63" s="69"/>
      <c r="CK63" s="69"/>
      <c r="CL63" s="69"/>
      <c r="CM63" s="69"/>
      <c r="CN63" s="69"/>
      <c r="CO63" s="69"/>
      <c r="CP63" s="69"/>
      <c r="CQ63" s="69"/>
      <c r="DX63" s="69"/>
      <c r="DY63" s="69"/>
      <c r="DZ63" s="69"/>
      <c r="EA63" s="69"/>
      <c r="EB63" s="69"/>
      <c r="EC63" s="69"/>
      <c r="ED63" s="69"/>
      <c r="EE63" s="69"/>
      <c r="EF63" s="69"/>
      <c r="EG63" s="69"/>
      <c r="EH63" s="69"/>
      <c r="EI63" s="69"/>
      <c r="EJ63" s="69"/>
      <c r="EK63" s="69"/>
      <c r="EL63" s="69"/>
      <c r="EM63" s="69"/>
      <c r="EN63" s="69"/>
      <c r="EO63" s="69"/>
      <c r="EP63" s="69"/>
      <c r="EQ63" s="69"/>
      <c r="ER63" s="69"/>
      <c r="ES63" s="69"/>
      <c r="ET63" s="69"/>
      <c r="EU63" s="69"/>
      <c r="EV63" s="69"/>
      <c r="EW63" s="69"/>
      <c r="EX63" s="69"/>
      <c r="EY63" s="69"/>
      <c r="EZ63" s="69"/>
      <c r="FA63" s="69"/>
      <c r="FB63" s="69"/>
      <c r="FC63" s="69"/>
      <c r="FD63" s="69"/>
      <c r="FE63" s="69"/>
      <c r="FF63" s="69"/>
      <c r="FG63" s="69"/>
      <c r="FH63" s="69"/>
      <c r="FI63" s="69"/>
      <c r="FJ63" s="69"/>
      <c r="FK63" s="69"/>
      <c r="FL63" s="69"/>
      <c r="FM63" s="69"/>
      <c r="FN63" s="69"/>
      <c r="FO63" s="69"/>
      <c r="FP63" s="69"/>
      <c r="FQ63" s="69"/>
      <c r="FR63" s="69"/>
      <c r="FS63" s="69"/>
      <c r="FT63" s="69"/>
      <c r="FU63" s="69"/>
      <c r="FV63" s="69"/>
      <c r="FW63" s="69"/>
      <c r="FX63" s="69"/>
      <c r="FY63" s="69"/>
      <c r="FZ63" s="69"/>
      <c r="GA63" s="69"/>
      <c r="GB63" s="69"/>
      <c r="GC63" s="69"/>
      <c r="GD63" s="69"/>
      <c r="GE63" s="69"/>
      <c r="GF63" s="69"/>
      <c r="GG63" s="69"/>
      <c r="GH63" s="69"/>
      <c r="GI63" s="69"/>
      <c r="GJ63" s="69"/>
      <c r="GK63" s="69"/>
      <c r="GL63" s="69"/>
      <c r="GM63" s="69"/>
      <c r="GN63" s="69"/>
      <c r="GO63" s="69"/>
      <c r="GP63" s="69"/>
      <c r="GQ63" s="69"/>
      <c r="GR63" s="69"/>
      <c r="GS63" s="69"/>
      <c r="GT63" s="69"/>
      <c r="GU63" s="69"/>
      <c r="GV63" s="69"/>
      <c r="GW63" s="69"/>
      <c r="GX63" s="69"/>
      <c r="GY63" s="69"/>
      <c r="GZ63" s="69"/>
      <c r="HA63" s="69"/>
      <c r="HB63" s="69"/>
      <c r="HC63" s="69"/>
      <c r="HD63" s="69"/>
      <c r="HE63" s="69"/>
      <c r="HF63" s="69"/>
      <c r="HG63" s="69"/>
      <c r="HH63" s="69"/>
      <c r="HI63" s="69"/>
      <c r="HJ63" s="69"/>
      <c r="HK63" s="69"/>
      <c r="HL63" s="69"/>
      <c r="HM63" s="69"/>
      <c r="HN63" s="69"/>
      <c r="HO63" s="69"/>
      <c r="HP63" s="69"/>
      <c r="HQ63" s="69"/>
      <c r="HR63" s="69"/>
      <c r="HS63" s="69"/>
      <c r="HT63" s="69"/>
      <c r="HU63" s="69"/>
      <c r="HV63" s="69"/>
      <c r="HW63" s="69"/>
      <c r="HX63" s="69"/>
      <c r="HY63" s="69"/>
      <c r="HZ63" s="69"/>
      <c r="IA63" s="69"/>
      <c r="IB63" s="69"/>
      <c r="IC63" s="69"/>
      <c r="ID63" s="69"/>
      <c r="IE63" s="69"/>
      <c r="IF63" s="69"/>
      <c r="IG63" s="69"/>
      <c r="IH63" s="69"/>
      <c r="II63" s="69"/>
      <c r="IJ63" s="69"/>
      <c r="IK63" s="69"/>
      <c r="IL63" s="69"/>
      <c r="IM63" s="69"/>
      <c r="IN63" s="69"/>
      <c r="IO63" s="69"/>
      <c r="IP63" s="69"/>
      <c r="IQ63" s="69"/>
      <c r="IR63" s="69"/>
      <c r="IS63" s="69"/>
      <c r="IT63" s="69"/>
      <c r="IU63" s="69"/>
      <c r="IV63" s="69"/>
      <c r="IW63" s="69"/>
      <c r="IX63" s="69"/>
      <c r="IY63" s="69"/>
      <c r="IZ63" s="69"/>
      <c r="JA63" s="69"/>
      <c r="JB63" s="69"/>
      <c r="JC63" s="69"/>
      <c r="JD63" s="69"/>
      <c r="JE63" s="69"/>
      <c r="JF63" s="69"/>
      <c r="JG63" s="69"/>
      <c r="JH63" s="69"/>
      <c r="JI63" s="69"/>
      <c r="JJ63" s="69"/>
      <c r="JK63" s="69"/>
      <c r="JL63" s="69"/>
      <c r="JM63" s="69"/>
      <c r="JN63" s="69"/>
      <c r="JO63" s="69"/>
      <c r="JP63" s="69"/>
      <c r="JQ63" s="69"/>
      <c r="JR63" s="69"/>
      <c r="JS63" s="69"/>
      <c r="JT63" s="69"/>
      <c r="JU63" s="69"/>
      <c r="JV63" s="69"/>
      <c r="JW63" s="69"/>
      <c r="JX63" s="69"/>
      <c r="JY63" s="69"/>
      <c r="JZ63" s="69"/>
      <c r="KA63" s="69"/>
      <c r="KB63" s="69"/>
      <c r="KC63" s="69"/>
      <c r="KD63" s="69"/>
      <c r="KE63" s="69"/>
      <c r="KF63" s="69"/>
      <c r="KG63" s="69"/>
      <c r="KH63" s="69"/>
      <c r="KI63" s="69"/>
      <c r="KJ63" s="69"/>
      <c r="KK63" s="69"/>
      <c r="KL63" s="69"/>
      <c r="KM63" s="69"/>
      <c r="KN63" s="69"/>
      <c r="KO63" s="69"/>
      <c r="KP63" s="69"/>
      <c r="KQ63" s="69"/>
      <c r="KR63" s="69"/>
      <c r="KS63" s="69"/>
      <c r="KT63" s="69"/>
      <c r="KU63" s="69"/>
      <c r="KV63" s="69"/>
      <c r="KW63" s="69"/>
    </row>
    <row r="64" spans="1:309" x14ac:dyDescent="0.25">
      <c r="CU64" s="69"/>
      <c r="CV64" s="69"/>
      <c r="CW64" s="69"/>
      <c r="CX64" s="69"/>
      <c r="CY64" s="69"/>
      <c r="CZ64" s="69"/>
      <c r="DA64" s="69"/>
      <c r="DB64" s="69"/>
      <c r="DC64" s="69"/>
      <c r="DD64" s="69"/>
      <c r="DE64" s="69"/>
      <c r="DF64" s="69"/>
      <c r="DG64" s="69"/>
      <c r="DH64" s="69"/>
      <c r="DI64" s="69"/>
      <c r="DJ64" s="69"/>
      <c r="DK64" s="69"/>
      <c r="DL64" s="69"/>
      <c r="DM64" s="69"/>
      <c r="DN64" s="69"/>
      <c r="DO64" s="69"/>
      <c r="DP64" s="69"/>
      <c r="DQ64" s="69"/>
      <c r="DR64" s="69"/>
      <c r="DS64" s="69"/>
      <c r="DT64" s="69"/>
      <c r="DU64" s="69"/>
      <c r="DV64" s="69"/>
      <c r="JS64" s="10"/>
      <c r="JT64" s="10"/>
      <c r="JU64" s="10"/>
      <c r="JV64" s="10"/>
      <c r="JW64" s="10"/>
      <c r="JX64" s="10"/>
      <c r="JY64" s="10"/>
      <c r="JZ64" s="10"/>
      <c r="KA64" s="10"/>
      <c r="KB64" s="10"/>
      <c r="KC64" s="10"/>
      <c r="KD64" s="10"/>
      <c r="KE64" s="10"/>
      <c r="KF64" s="10"/>
      <c r="KG64" s="10"/>
      <c r="KH64" s="10"/>
      <c r="KI64" s="10"/>
      <c r="KJ64" s="10"/>
      <c r="KK64" s="10"/>
      <c r="KL64" s="10"/>
      <c r="KM64" s="10"/>
      <c r="KN64" s="10"/>
      <c r="KO64" s="10"/>
      <c r="KP64" s="10"/>
      <c r="KQ64" s="10"/>
      <c r="KR64" s="10"/>
      <c r="KS64" s="10"/>
      <c r="KT64" s="10"/>
      <c r="KU64" s="10"/>
      <c r="KV64" s="42"/>
    </row>
    <row r="68" spans="126:127" x14ac:dyDescent="0.25">
      <c r="DV68" s="69"/>
    </row>
    <row r="69" spans="126:127" x14ac:dyDescent="0.25">
      <c r="DV69" s="69"/>
    </row>
    <row r="70" spans="126:127" x14ac:dyDescent="0.25">
      <c r="DV70" s="69"/>
    </row>
    <row r="71" spans="126:127" x14ac:dyDescent="0.25">
      <c r="DV71" s="69"/>
    </row>
    <row r="72" spans="126:127" x14ac:dyDescent="0.25">
      <c r="DV72" s="69"/>
    </row>
    <row r="73" spans="126:127" x14ac:dyDescent="0.25">
      <c r="DV73" s="69"/>
    </row>
    <row r="74" spans="126:127" x14ac:dyDescent="0.25">
      <c r="DV74" s="69"/>
    </row>
    <row r="75" spans="126:127" x14ac:dyDescent="0.25">
      <c r="DV75" s="69"/>
    </row>
    <row r="76" spans="126:127" x14ac:dyDescent="0.25">
      <c r="DV76" s="69"/>
    </row>
    <row r="77" spans="126:127" s="69" customFormat="1" x14ac:dyDescent="0.25">
      <c r="DW77"/>
    </row>
    <row r="78" spans="126:127" x14ac:dyDescent="0.25">
      <c r="DV78" s="69"/>
    </row>
    <row r="79" spans="126:127" x14ac:dyDescent="0.25">
      <c r="DV79" s="69"/>
    </row>
    <row r="80" spans="126:127" x14ac:dyDescent="0.25">
      <c r="DV80" s="69"/>
    </row>
    <row r="81" spans="121:127" x14ac:dyDescent="0.25">
      <c r="DV81" s="69"/>
    </row>
    <row r="82" spans="121:127" x14ac:dyDescent="0.25">
      <c r="DQ82" s="69"/>
      <c r="DR82" s="69"/>
      <c r="DV82" s="69"/>
    </row>
    <row r="83" spans="121:127" x14ac:dyDescent="0.25">
      <c r="DV83" s="69"/>
    </row>
    <row r="84" spans="121:127" s="69" customFormat="1" x14ac:dyDescent="0.25">
      <c r="DQ84"/>
      <c r="DR84"/>
      <c r="DW84"/>
    </row>
    <row r="85" spans="121:127" x14ac:dyDescent="0.25">
      <c r="DV85" s="69"/>
    </row>
    <row r="86" spans="121:127" x14ac:dyDescent="0.25">
      <c r="DV86" s="69"/>
    </row>
    <row r="87" spans="121:127" x14ac:dyDescent="0.25">
      <c r="DV87" s="69"/>
    </row>
    <row r="88" spans="121:127" x14ac:dyDescent="0.25">
      <c r="DV88" s="69"/>
    </row>
    <row r="89" spans="121:127" x14ac:dyDescent="0.25">
      <c r="DV89" s="69"/>
    </row>
    <row r="90" spans="121:127" x14ac:dyDescent="0.25">
      <c r="DV90" s="69"/>
    </row>
    <row r="91" spans="121:127" s="69" customFormat="1" x14ac:dyDescent="0.25">
      <c r="DQ91"/>
      <c r="DR91"/>
      <c r="DW91"/>
    </row>
    <row r="92" spans="121:127" x14ac:dyDescent="0.25">
      <c r="DV92" s="69"/>
    </row>
    <row r="93" spans="121:127" x14ac:dyDescent="0.25">
      <c r="DV93" s="69"/>
    </row>
    <row r="94" spans="121:127" x14ac:dyDescent="0.25">
      <c r="DV94" s="69"/>
    </row>
    <row r="95" spans="121:127" x14ac:dyDescent="0.25">
      <c r="DV95" s="69"/>
    </row>
    <row r="96" spans="121:127" x14ac:dyDescent="0.25">
      <c r="DV96" s="69"/>
    </row>
    <row r="97" spans="121:127" x14ac:dyDescent="0.25">
      <c r="DV97" s="69"/>
    </row>
    <row r="98" spans="121:127" x14ac:dyDescent="0.25">
      <c r="DV98" s="69"/>
    </row>
    <row r="99" spans="121:127" x14ac:dyDescent="0.25">
      <c r="DQ99" s="69"/>
      <c r="DR99" s="69"/>
      <c r="DV99" s="69"/>
    </row>
    <row r="100" spans="121:127" x14ac:dyDescent="0.25">
      <c r="DV100" s="69"/>
    </row>
    <row r="101" spans="121:127" x14ac:dyDescent="0.25">
      <c r="DV101" s="69"/>
    </row>
    <row r="102" spans="121:127" x14ac:dyDescent="0.25">
      <c r="DV102" s="69"/>
    </row>
    <row r="103" spans="121:127" x14ac:dyDescent="0.25">
      <c r="DV103" s="69"/>
    </row>
    <row r="104" spans="121:127" x14ac:dyDescent="0.25">
      <c r="DV104" s="69"/>
    </row>
    <row r="105" spans="121:127" x14ac:dyDescent="0.25">
      <c r="DV105" s="69"/>
    </row>
    <row r="106" spans="121:127" x14ac:dyDescent="0.25">
      <c r="DQ106" s="69"/>
      <c r="DR106" s="69"/>
      <c r="DV106" s="69"/>
    </row>
    <row r="107" spans="121:127" x14ac:dyDescent="0.25">
      <c r="DV107" s="69"/>
    </row>
    <row r="108" spans="121:127" x14ac:dyDescent="0.25">
      <c r="DV108" s="69"/>
    </row>
    <row r="109" spans="121:127" x14ac:dyDescent="0.25">
      <c r="DV109" s="69"/>
    </row>
    <row r="110" spans="121:127" x14ac:dyDescent="0.25">
      <c r="DV110" s="69"/>
    </row>
    <row r="111" spans="121:127" x14ac:dyDescent="0.25">
      <c r="DV111" s="69"/>
    </row>
    <row r="112" spans="121:127" s="69" customFormat="1" x14ac:dyDescent="0.25">
      <c r="DQ112"/>
      <c r="DR112"/>
      <c r="DW112"/>
    </row>
    <row r="113" spans="121:275" x14ac:dyDescent="0.25">
      <c r="DV113" s="69"/>
    </row>
    <row r="114" spans="121:275" x14ac:dyDescent="0.25">
      <c r="DV114" s="69"/>
    </row>
    <row r="115" spans="121:275" x14ac:dyDescent="0.25">
      <c r="DV115" s="69"/>
    </row>
    <row r="116" spans="121:275" x14ac:dyDescent="0.25">
      <c r="DV116" s="69"/>
    </row>
    <row r="117" spans="121:275" x14ac:dyDescent="0.25">
      <c r="DV117" s="69"/>
    </row>
    <row r="118" spans="121:275" x14ac:dyDescent="0.25">
      <c r="DV118" s="69"/>
    </row>
    <row r="119" spans="121:275" s="69" customFormat="1" x14ac:dyDescent="0.25">
      <c r="DQ119"/>
      <c r="DR119"/>
      <c r="DW119"/>
    </row>
    <row r="120" spans="121:275" x14ac:dyDescent="0.25">
      <c r="DV120" s="69"/>
    </row>
    <row r="121" spans="121:275" x14ac:dyDescent="0.25">
      <c r="DV121" s="69"/>
    </row>
    <row r="122" spans="121:275" x14ac:dyDescent="0.25">
      <c r="DV122" s="69"/>
    </row>
    <row r="123" spans="121:275" x14ac:dyDescent="0.25">
      <c r="DV123" s="69"/>
    </row>
    <row r="125" spans="121:275" x14ac:dyDescent="0.25">
      <c r="DZ125" s="69"/>
      <c r="EA125" s="69"/>
      <c r="EB125" s="69"/>
      <c r="EC125" s="69"/>
      <c r="ED125" s="69"/>
      <c r="EE125" s="69"/>
      <c r="EF125" s="69"/>
      <c r="EG125" s="69"/>
      <c r="EH125" s="69"/>
      <c r="EI125" s="69"/>
      <c r="EJ125" s="69"/>
      <c r="EK125" s="69"/>
      <c r="EL125" s="69"/>
      <c r="EM125" s="69"/>
      <c r="EN125" s="69"/>
      <c r="EO125" s="69"/>
      <c r="EP125" s="69"/>
      <c r="EQ125" s="69"/>
      <c r="ER125" s="69"/>
      <c r="ES125" s="69"/>
      <c r="ET125" s="69"/>
      <c r="EU125" s="69"/>
      <c r="EV125" s="69"/>
      <c r="EW125" s="69"/>
      <c r="EX125" s="69"/>
      <c r="EY125" s="69"/>
    </row>
    <row r="126" spans="121:275" x14ac:dyDescent="0.25">
      <c r="DY126" s="69"/>
      <c r="DZ126" s="69"/>
      <c r="EA126" s="69"/>
      <c r="EB126" s="69"/>
      <c r="EC126" s="69"/>
      <c r="ED126" s="69"/>
      <c r="EE126" s="69"/>
      <c r="EF126" s="69"/>
      <c r="EG126" s="69"/>
      <c r="EH126" s="69"/>
      <c r="EI126" s="69"/>
      <c r="EJ126" s="69"/>
      <c r="EK126" s="69"/>
      <c r="EL126" s="69"/>
      <c r="EM126" s="69"/>
      <c r="EN126" s="69"/>
      <c r="EO126" s="69"/>
      <c r="EP126" s="69"/>
      <c r="EQ126" s="69"/>
      <c r="ER126" s="69"/>
      <c r="ES126" s="69"/>
      <c r="ET126" s="69"/>
      <c r="EU126" s="69"/>
      <c r="EV126" s="69"/>
      <c r="EW126" s="69"/>
      <c r="EX126" s="69"/>
      <c r="EY126" s="69"/>
    </row>
    <row r="127" spans="121:275" x14ac:dyDescent="0.25">
      <c r="DY127" s="69"/>
      <c r="DZ127" s="69"/>
      <c r="EA127" s="69"/>
      <c r="EB127" s="69"/>
      <c r="EC127" s="69"/>
      <c r="ED127" s="69"/>
      <c r="EE127" s="69"/>
      <c r="EF127" s="69"/>
      <c r="EG127" s="69"/>
      <c r="EH127" s="69"/>
      <c r="EI127" s="69"/>
      <c r="EJ127" s="69"/>
      <c r="EK127" s="69"/>
      <c r="EL127" s="69"/>
      <c r="EM127" s="69"/>
      <c r="EN127" s="69"/>
      <c r="EO127" s="69"/>
      <c r="EP127" s="69"/>
      <c r="EQ127" s="69"/>
      <c r="ER127" s="69"/>
      <c r="ES127" s="69"/>
      <c r="ET127" s="69"/>
      <c r="EU127" s="69"/>
      <c r="EV127" s="69"/>
      <c r="EW127" s="69"/>
      <c r="EX127" s="69"/>
      <c r="EY127" s="69"/>
      <c r="IP127" s="69"/>
      <c r="IQ127" s="69"/>
      <c r="IR127" s="69"/>
      <c r="IS127" s="69"/>
      <c r="IT127" s="69"/>
      <c r="IU127" s="69"/>
      <c r="IV127" s="69"/>
      <c r="IW127" s="69"/>
      <c r="IX127" s="69"/>
      <c r="IY127" s="69"/>
      <c r="IZ127" s="69"/>
      <c r="JA127" s="69"/>
      <c r="JB127" s="69"/>
      <c r="JC127" s="69"/>
      <c r="JD127" s="69"/>
      <c r="JE127" s="69"/>
      <c r="JF127" s="69"/>
      <c r="JG127" s="69"/>
      <c r="JH127" s="69"/>
      <c r="JI127" s="69"/>
      <c r="JJ127" s="69"/>
      <c r="JK127" s="69"/>
      <c r="JL127" s="69"/>
      <c r="JM127" s="69"/>
      <c r="JN127" s="69"/>
      <c r="JO127" s="69"/>
    </row>
    <row r="128" spans="121:275" x14ac:dyDescent="0.25">
      <c r="DY128" s="69"/>
      <c r="DZ128" s="69"/>
      <c r="EA128" s="69"/>
      <c r="EB128" s="69"/>
      <c r="EC128" s="69"/>
      <c r="ED128" s="69"/>
      <c r="EE128" s="69"/>
      <c r="EF128" s="69"/>
      <c r="EG128" s="69"/>
      <c r="EH128" s="69"/>
      <c r="EI128" s="69"/>
      <c r="EJ128" s="69"/>
      <c r="EK128" s="69"/>
      <c r="EL128" s="69"/>
      <c r="EM128" s="69"/>
      <c r="EN128" s="69"/>
      <c r="EO128" s="69"/>
      <c r="EP128" s="69"/>
      <c r="EQ128" s="69"/>
      <c r="ER128" s="69"/>
      <c r="ES128" s="69"/>
      <c r="ET128" s="69"/>
      <c r="EU128" s="69"/>
      <c r="EV128" s="69"/>
      <c r="EW128" s="69"/>
      <c r="EX128" s="69"/>
      <c r="EY128" s="69"/>
      <c r="IO128" s="69"/>
      <c r="IP128" s="69"/>
      <c r="IQ128" s="69"/>
      <c r="IR128" s="69"/>
      <c r="IS128" s="69"/>
      <c r="IT128" s="69"/>
      <c r="IU128" s="69"/>
      <c r="IV128" s="69"/>
      <c r="IW128" s="69"/>
      <c r="IX128" s="69"/>
      <c r="IY128" s="69"/>
      <c r="IZ128" s="69"/>
      <c r="JA128" s="69"/>
      <c r="JB128" s="69"/>
      <c r="JC128" s="69"/>
      <c r="JD128" s="69"/>
      <c r="JE128" s="69"/>
      <c r="JF128" s="69"/>
      <c r="JG128" s="69"/>
      <c r="JH128" s="69"/>
      <c r="JI128" s="69"/>
      <c r="JJ128" s="69"/>
      <c r="JK128" s="69"/>
      <c r="JL128" s="69"/>
      <c r="JM128" s="69"/>
      <c r="JN128" s="69"/>
      <c r="JO128" s="69"/>
    </row>
    <row r="129" spans="121:275" x14ac:dyDescent="0.25">
      <c r="DY129" s="69"/>
      <c r="DZ129" s="69"/>
      <c r="EA129" s="69"/>
      <c r="EB129" s="69"/>
      <c r="EC129" s="69"/>
      <c r="ED129" s="69"/>
      <c r="EE129" s="69"/>
      <c r="EF129" s="69"/>
      <c r="EG129" s="69"/>
      <c r="EH129" s="69"/>
      <c r="EI129" s="69"/>
      <c r="EJ129" s="69"/>
      <c r="EK129" s="69"/>
      <c r="EL129" s="69"/>
      <c r="EM129" s="69"/>
      <c r="EN129" s="69"/>
      <c r="EO129" s="69"/>
      <c r="EP129" s="69"/>
      <c r="EQ129" s="69"/>
      <c r="ER129" s="69"/>
      <c r="ES129" s="69"/>
      <c r="ET129" s="69"/>
      <c r="EU129" s="69"/>
      <c r="EV129" s="69"/>
      <c r="EW129" s="69"/>
      <c r="EX129" s="69"/>
      <c r="EY129" s="69"/>
      <c r="IO129" s="69"/>
      <c r="IP129" s="69"/>
      <c r="IQ129" s="69"/>
      <c r="IR129" s="69"/>
      <c r="IS129" s="69"/>
      <c r="IT129" s="69"/>
      <c r="IU129" s="69"/>
      <c r="IV129" s="69"/>
      <c r="IW129" s="69"/>
      <c r="IX129" s="69"/>
      <c r="IY129" s="69"/>
      <c r="IZ129" s="69"/>
      <c r="JA129" s="69"/>
      <c r="JB129" s="69"/>
      <c r="JC129" s="69"/>
      <c r="JD129" s="69"/>
      <c r="JE129" s="69"/>
      <c r="JF129" s="69"/>
      <c r="JG129" s="69"/>
      <c r="JH129" s="69"/>
      <c r="JI129" s="69"/>
      <c r="JJ129" s="69"/>
      <c r="JK129" s="69"/>
      <c r="JL129" s="69"/>
      <c r="JM129" s="69"/>
      <c r="JN129" s="69"/>
      <c r="JO129" s="69"/>
    </row>
    <row r="130" spans="121:275" x14ac:dyDescent="0.25">
      <c r="DY130" s="69"/>
      <c r="DZ130" s="69"/>
      <c r="EA130" s="69"/>
      <c r="EB130" s="69"/>
      <c r="EC130" s="69"/>
      <c r="ED130" s="69"/>
      <c r="EE130" s="69"/>
      <c r="EF130" s="69"/>
      <c r="EG130" s="69"/>
      <c r="EH130" s="69"/>
      <c r="EI130" s="69"/>
      <c r="EJ130" s="69"/>
      <c r="EK130" s="69"/>
      <c r="EL130" s="69"/>
      <c r="EM130" s="69"/>
      <c r="EN130" s="69"/>
      <c r="EO130" s="69"/>
      <c r="EP130" s="69"/>
      <c r="EQ130" s="69"/>
      <c r="ER130" s="69"/>
      <c r="ES130" s="69"/>
      <c r="ET130" s="69"/>
      <c r="EU130" s="69"/>
      <c r="EV130" s="69"/>
      <c r="EW130" s="69"/>
      <c r="EX130" s="69"/>
      <c r="EY130" s="69"/>
      <c r="IO130" s="69"/>
      <c r="IP130" s="69"/>
      <c r="IQ130" s="69"/>
      <c r="IR130" s="69"/>
      <c r="IS130" s="69"/>
      <c r="IT130" s="69"/>
      <c r="IU130" s="69"/>
      <c r="IV130" s="69"/>
      <c r="IW130" s="69"/>
      <c r="IX130" s="69"/>
      <c r="IY130" s="69"/>
      <c r="IZ130" s="69"/>
      <c r="JA130" s="69"/>
      <c r="JB130" s="69"/>
      <c r="JC130" s="69"/>
      <c r="JD130" s="69"/>
      <c r="JE130" s="69"/>
      <c r="JF130" s="69"/>
      <c r="JG130" s="69"/>
      <c r="JH130" s="69"/>
      <c r="JI130" s="69"/>
      <c r="JJ130" s="69"/>
      <c r="JK130" s="69"/>
      <c r="JL130" s="69"/>
      <c r="JM130" s="69"/>
      <c r="JN130" s="69"/>
      <c r="JO130" s="69"/>
    </row>
    <row r="131" spans="121:275" x14ac:dyDescent="0.25">
      <c r="DY131" s="69"/>
      <c r="DZ131" s="69"/>
      <c r="EA131" s="69"/>
      <c r="EB131" s="69"/>
      <c r="EC131" s="69"/>
      <c r="ED131" s="69"/>
      <c r="EE131" s="69"/>
      <c r="EF131" s="69"/>
      <c r="EG131" s="69"/>
      <c r="EH131" s="69"/>
      <c r="EI131" s="69"/>
      <c r="EJ131" s="69"/>
      <c r="EK131" s="69"/>
      <c r="EL131" s="69"/>
      <c r="EM131" s="69"/>
      <c r="EN131" s="69"/>
      <c r="EO131" s="69"/>
      <c r="EP131" s="69"/>
      <c r="EQ131" s="69"/>
      <c r="ER131" s="69"/>
      <c r="ES131" s="69"/>
      <c r="ET131" s="69"/>
      <c r="EU131" s="69"/>
      <c r="EV131" s="69"/>
      <c r="EW131" s="69"/>
      <c r="EX131" s="69"/>
      <c r="EY131" s="69"/>
      <c r="IO131" s="69"/>
      <c r="IP131" s="69"/>
      <c r="IQ131" s="69"/>
      <c r="IR131" s="69"/>
      <c r="IS131" s="69"/>
      <c r="IT131" s="69"/>
      <c r="IU131" s="69"/>
      <c r="IV131" s="69"/>
      <c r="IW131" s="69"/>
      <c r="IX131" s="69"/>
      <c r="IY131" s="69"/>
      <c r="IZ131" s="69"/>
      <c r="JA131" s="69"/>
      <c r="JB131" s="69"/>
      <c r="JC131" s="69"/>
      <c r="JD131" s="69"/>
      <c r="JE131" s="69"/>
      <c r="JF131" s="69"/>
      <c r="JG131" s="69"/>
      <c r="JH131" s="69"/>
      <c r="JI131" s="69"/>
      <c r="JJ131" s="69"/>
      <c r="JK131" s="69"/>
      <c r="JL131" s="69"/>
      <c r="JM131" s="69"/>
      <c r="JN131" s="69"/>
      <c r="JO131" s="69"/>
    </row>
    <row r="132" spans="121:275" x14ac:dyDescent="0.25">
      <c r="DQ132" s="69"/>
      <c r="DR132" s="69"/>
      <c r="DY132" s="69"/>
      <c r="DZ132" s="69"/>
      <c r="EA132" s="69"/>
      <c r="EB132" s="69"/>
      <c r="EC132" s="69"/>
      <c r="ED132" s="69"/>
      <c r="EE132" s="69"/>
      <c r="EF132" s="69"/>
      <c r="EG132" s="69"/>
      <c r="EH132" s="69"/>
      <c r="EI132" s="69"/>
      <c r="EJ132" s="69"/>
      <c r="EK132" s="69"/>
      <c r="EL132" s="69"/>
      <c r="EM132" s="69"/>
      <c r="EN132" s="69"/>
      <c r="EO132" s="69"/>
      <c r="EP132" s="69"/>
      <c r="EQ132" s="69"/>
      <c r="ER132" s="69"/>
      <c r="ES132" s="69"/>
      <c r="ET132" s="69"/>
      <c r="EU132" s="69"/>
      <c r="EV132" s="69"/>
      <c r="EW132" s="69"/>
      <c r="EX132" s="69"/>
      <c r="EY132" s="69"/>
      <c r="IO132" s="69"/>
      <c r="IP132" s="69"/>
      <c r="IQ132" s="69"/>
      <c r="IR132" s="69"/>
      <c r="IS132" s="69"/>
      <c r="IT132" s="69"/>
      <c r="IU132" s="69"/>
      <c r="IV132" s="69"/>
      <c r="IW132" s="69"/>
      <c r="IX132" s="69"/>
      <c r="IY132" s="69"/>
      <c r="IZ132" s="69"/>
      <c r="JA132" s="69"/>
      <c r="JB132" s="69"/>
      <c r="JC132" s="69"/>
      <c r="JD132" s="69"/>
      <c r="JE132" s="69"/>
      <c r="JF132" s="69"/>
      <c r="JG132" s="69"/>
      <c r="JH132" s="69"/>
      <c r="JI132" s="69"/>
      <c r="JJ132" s="69"/>
      <c r="JK132" s="69"/>
      <c r="JL132" s="69"/>
      <c r="JM132" s="69"/>
      <c r="JN132" s="69"/>
      <c r="JO132" s="69"/>
    </row>
    <row r="133" spans="121:275" x14ac:dyDescent="0.25">
      <c r="DY133" s="69"/>
      <c r="DZ133" s="69"/>
      <c r="EA133" s="69"/>
      <c r="EB133" s="69"/>
      <c r="EC133" s="69"/>
      <c r="ED133" s="69"/>
      <c r="EE133" s="69"/>
      <c r="EF133" s="69"/>
      <c r="EG133" s="69"/>
      <c r="EH133" s="69"/>
      <c r="EI133" s="69"/>
      <c r="EJ133" s="69"/>
      <c r="EK133" s="69"/>
      <c r="EL133" s="69"/>
      <c r="EM133" s="69"/>
      <c r="EN133" s="69"/>
      <c r="EO133" s="69"/>
      <c r="EP133" s="69"/>
      <c r="EQ133" s="69"/>
      <c r="ER133" s="69"/>
      <c r="ES133" s="69"/>
      <c r="ET133" s="69"/>
      <c r="EU133" s="69"/>
      <c r="EV133" s="69"/>
      <c r="EW133" s="69"/>
      <c r="EX133" s="69"/>
      <c r="EY133" s="69"/>
      <c r="IO133" s="69"/>
      <c r="IP133" s="69"/>
      <c r="IQ133" s="69"/>
      <c r="IR133" s="69"/>
      <c r="IS133" s="69"/>
      <c r="IT133" s="69"/>
      <c r="IU133" s="69"/>
      <c r="IV133" s="69"/>
      <c r="IW133" s="69"/>
      <c r="IX133" s="69"/>
      <c r="IY133" s="69"/>
      <c r="IZ133" s="69"/>
      <c r="JA133" s="69"/>
      <c r="JB133" s="69"/>
      <c r="JC133" s="69"/>
      <c r="JD133" s="69"/>
      <c r="JE133" s="69"/>
      <c r="JF133" s="69"/>
      <c r="JG133" s="69"/>
      <c r="JH133" s="69"/>
      <c r="JI133" s="69"/>
      <c r="JJ133" s="69"/>
      <c r="JK133" s="69"/>
      <c r="JL133" s="69"/>
      <c r="JM133" s="69"/>
      <c r="JN133" s="69"/>
      <c r="JO133" s="69"/>
    </row>
    <row r="134" spans="121:275" x14ac:dyDescent="0.25">
      <c r="DY134" s="69"/>
      <c r="DZ134" s="69"/>
      <c r="EA134" s="69"/>
      <c r="EB134" s="69"/>
      <c r="EC134" s="69"/>
      <c r="ED134" s="69"/>
      <c r="EE134" s="69"/>
      <c r="EF134" s="69"/>
      <c r="EG134" s="69"/>
      <c r="EH134" s="69"/>
      <c r="EI134" s="69"/>
      <c r="EJ134" s="69"/>
      <c r="EK134" s="69"/>
      <c r="EL134" s="69"/>
      <c r="EM134" s="69"/>
      <c r="EN134" s="69"/>
      <c r="EO134" s="69"/>
      <c r="EP134" s="69"/>
      <c r="EQ134" s="69"/>
      <c r="ER134" s="69"/>
      <c r="ES134" s="69"/>
      <c r="ET134" s="69"/>
      <c r="EU134" s="69"/>
      <c r="EV134" s="69"/>
      <c r="EW134" s="69"/>
      <c r="EX134" s="69"/>
      <c r="EY134" s="69"/>
      <c r="IO134" s="69"/>
      <c r="IP134" s="69"/>
      <c r="IQ134" s="69"/>
      <c r="IR134" s="69"/>
      <c r="IS134" s="69"/>
      <c r="IT134" s="69"/>
      <c r="IU134" s="69"/>
      <c r="IV134" s="69"/>
      <c r="IW134" s="69"/>
      <c r="IX134" s="69"/>
      <c r="IY134" s="69"/>
      <c r="IZ134" s="69"/>
      <c r="JA134" s="69"/>
      <c r="JB134" s="69"/>
      <c r="JC134" s="69"/>
      <c r="JD134" s="69"/>
      <c r="JE134" s="69"/>
      <c r="JF134" s="69"/>
      <c r="JG134" s="69"/>
      <c r="JH134" s="69"/>
      <c r="JI134" s="69"/>
      <c r="JJ134" s="69"/>
      <c r="JK134" s="69"/>
      <c r="JL134" s="69"/>
      <c r="JM134" s="69"/>
      <c r="JN134" s="69"/>
      <c r="JO134" s="69"/>
    </row>
    <row r="135" spans="121:275" x14ac:dyDescent="0.25">
      <c r="DY135" s="69"/>
      <c r="DZ135" s="69"/>
      <c r="EA135" s="69"/>
      <c r="EB135" s="69"/>
      <c r="EC135" s="69"/>
      <c r="ED135" s="69"/>
      <c r="EE135" s="69"/>
      <c r="EF135" s="69"/>
      <c r="EG135" s="69"/>
      <c r="EH135" s="69"/>
      <c r="EI135" s="69"/>
      <c r="EJ135" s="69"/>
      <c r="EK135" s="69"/>
      <c r="EL135" s="69"/>
      <c r="EM135" s="69"/>
      <c r="EN135" s="69"/>
      <c r="EO135" s="69"/>
      <c r="EP135" s="69"/>
      <c r="EQ135" s="69"/>
      <c r="ER135" s="69"/>
      <c r="ES135" s="69"/>
      <c r="ET135" s="69"/>
      <c r="EU135" s="69"/>
      <c r="EV135" s="69"/>
      <c r="EW135" s="69"/>
      <c r="EX135" s="69"/>
      <c r="EY135" s="69"/>
      <c r="IO135" s="69"/>
      <c r="IP135" s="69"/>
      <c r="IQ135" s="69"/>
      <c r="IR135" s="69"/>
      <c r="IS135" s="69"/>
      <c r="IT135" s="69"/>
      <c r="IU135" s="69"/>
      <c r="IV135" s="69"/>
      <c r="IW135" s="69"/>
      <c r="IX135" s="69"/>
      <c r="IY135" s="69"/>
      <c r="IZ135" s="69"/>
      <c r="JA135" s="69"/>
      <c r="JB135" s="69"/>
      <c r="JC135" s="69"/>
      <c r="JD135" s="69"/>
      <c r="JE135" s="69"/>
      <c r="JF135" s="69"/>
      <c r="JG135" s="69"/>
      <c r="JH135" s="69"/>
      <c r="JI135" s="69"/>
      <c r="JJ135" s="69"/>
      <c r="JK135" s="69"/>
      <c r="JL135" s="69"/>
      <c r="JM135" s="69"/>
      <c r="JN135" s="69"/>
      <c r="JO135" s="69"/>
    </row>
    <row r="136" spans="121:275" x14ac:dyDescent="0.25">
      <c r="DY136" s="69"/>
      <c r="DZ136" s="69"/>
      <c r="EA136" s="69"/>
      <c r="EB136" s="69"/>
      <c r="EC136" s="69"/>
      <c r="ED136" s="69"/>
      <c r="EE136" s="69"/>
      <c r="EF136" s="69"/>
      <c r="EG136" s="69"/>
      <c r="EH136" s="69"/>
      <c r="EI136" s="69"/>
      <c r="EJ136" s="69"/>
      <c r="EK136" s="69"/>
      <c r="EL136" s="69"/>
      <c r="EM136" s="69"/>
      <c r="EN136" s="69"/>
      <c r="EO136" s="69"/>
      <c r="EP136" s="69"/>
      <c r="EQ136" s="69"/>
      <c r="ER136" s="69"/>
      <c r="ES136" s="69"/>
      <c r="ET136" s="69"/>
      <c r="EU136" s="69"/>
      <c r="EV136" s="69"/>
      <c r="EW136" s="69"/>
      <c r="EX136" s="69"/>
      <c r="EY136" s="69"/>
      <c r="IO136" s="69"/>
      <c r="IP136" s="69"/>
      <c r="IQ136" s="69"/>
      <c r="IR136" s="69"/>
      <c r="IS136" s="69"/>
      <c r="IT136" s="69"/>
      <c r="IU136" s="69"/>
      <c r="IV136" s="69"/>
      <c r="IW136" s="69"/>
      <c r="IX136" s="69"/>
      <c r="IY136" s="69"/>
      <c r="IZ136" s="69"/>
      <c r="JA136" s="69"/>
      <c r="JB136" s="69"/>
      <c r="JC136" s="69"/>
      <c r="JD136" s="69"/>
      <c r="JE136" s="69"/>
      <c r="JF136" s="69"/>
      <c r="JG136" s="69"/>
      <c r="JH136" s="69"/>
      <c r="JI136" s="69"/>
      <c r="JJ136" s="69"/>
      <c r="JK136" s="69"/>
      <c r="JL136" s="69"/>
      <c r="JM136" s="69"/>
      <c r="JN136" s="69"/>
      <c r="JO136" s="69"/>
    </row>
    <row r="137" spans="121:275" x14ac:dyDescent="0.25">
      <c r="DY137" s="69"/>
      <c r="DZ137" s="69"/>
      <c r="EA137" s="69"/>
      <c r="EB137" s="69"/>
      <c r="EC137" s="69"/>
      <c r="ED137" s="69"/>
      <c r="EE137" s="69"/>
      <c r="EF137" s="69"/>
      <c r="EG137" s="69"/>
      <c r="EH137" s="69"/>
      <c r="EI137" s="69"/>
      <c r="EJ137" s="69"/>
      <c r="EK137" s="69"/>
      <c r="EL137" s="69"/>
      <c r="EM137" s="69"/>
      <c r="EN137" s="69"/>
      <c r="EO137" s="69"/>
      <c r="EP137" s="69"/>
      <c r="EQ137" s="69"/>
      <c r="ER137" s="69"/>
      <c r="ES137" s="69"/>
      <c r="ET137" s="69"/>
      <c r="EU137" s="69"/>
      <c r="EV137" s="69"/>
      <c r="EW137" s="69"/>
      <c r="EX137" s="69"/>
      <c r="EY137" s="69"/>
      <c r="IO137" s="69"/>
      <c r="IP137" s="69"/>
      <c r="IQ137" s="69"/>
      <c r="IR137" s="69"/>
      <c r="IS137" s="69"/>
      <c r="IT137" s="69"/>
      <c r="IU137" s="69"/>
      <c r="IV137" s="69"/>
      <c r="IW137" s="69"/>
      <c r="IX137" s="69"/>
      <c r="IY137" s="69"/>
      <c r="IZ137" s="69"/>
      <c r="JA137" s="69"/>
      <c r="JB137" s="69"/>
      <c r="JC137" s="69"/>
      <c r="JD137" s="69"/>
      <c r="JE137" s="69"/>
      <c r="JF137" s="69"/>
      <c r="JG137" s="69"/>
      <c r="JH137" s="69"/>
      <c r="JI137" s="69"/>
      <c r="JJ137" s="69"/>
      <c r="JK137" s="69"/>
      <c r="JL137" s="69"/>
      <c r="JM137" s="69"/>
      <c r="JN137" s="69"/>
      <c r="JO137" s="69"/>
    </row>
    <row r="138" spans="121:275" x14ac:dyDescent="0.25">
      <c r="DY138" s="69"/>
      <c r="DZ138" s="69"/>
      <c r="EA138" s="69"/>
      <c r="EB138" s="69"/>
      <c r="EC138" s="69"/>
      <c r="ED138" s="69"/>
      <c r="EE138" s="69"/>
      <c r="EF138" s="69"/>
      <c r="EG138" s="69"/>
      <c r="EH138" s="69"/>
      <c r="EI138" s="69"/>
      <c r="EJ138" s="69"/>
      <c r="EK138" s="69"/>
      <c r="EL138" s="69"/>
      <c r="EM138" s="69"/>
      <c r="EN138" s="69"/>
      <c r="EO138" s="69"/>
      <c r="EP138" s="69"/>
      <c r="EQ138" s="69"/>
      <c r="ER138" s="69"/>
      <c r="ES138" s="69"/>
      <c r="ET138" s="69"/>
      <c r="EU138" s="69"/>
      <c r="EV138" s="69"/>
      <c r="EW138" s="69"/>
      <c r="EX138" s="69"/>
      <c r="EY138" s="69"/>
      <c r="IO138" s="69"/>
      <c r="IP138" s="69"/>
      <c r="IQ138" s="69"/>
      <c r="IR138" s="69"/>
      <c r="IS138" s="69"/>
      <c r="IT138" s="69"/>
      <c r="IU138" s="69"/>
      <c r="IV138" s="69"/>
      <c r="IW138" s="69"/>
      <c r="IX138" s="69"/>
      <c r="IY138" s="69"/>
      <c r="IZ138" s="69"/>
      <c r="JA138" s="69"/>
      <c r="JB138" s="69"/>
      <c r="JC138" s="69"/>
      <c r="JD138" s="69"/>
      <c r="JE138" s="69"/>
      <c r="JF138" s="69"/>
      <c r="JG138" s="69"/>
      <c r="JH138" s="69"/>
      <c r="JI138" s="69"/>
      <c r="JJ138" s="69"/>
      <c r="JK138" s="69"/>
      <c r="JL138" s="69"/>
      <c r="JM138" s="69"/>
      <c r="JN138" s="69"/>
      <c r="JO138" s="69"/>
    </row>
    <row r="139" spans="121:275" x14ac:dyDescent="0.25">
      <c r="DY139" s="69"/>
      <c r="DZ139" s="69"/>
      <c r="EA139" s="69"/>
      <c r="EB139" s="69"/>
      <c r="EC139" s="69"/>
      <c r="ED139" s="69"/>
      <c r="EE139" s="69"/>
      <c r="EF139" s="69"/>
      <c r="EG139" s="69"/>
      <c r="EH139" s="69"/>
      <c r="EI139" s="69"/>
      <c r="EJ139" s="69"/>
      <c r="EK139" s="69"/>
      <c r="EL139" s="69"/>
      <c r="EM139" s="69"/>
      <c r="EN139" s="69"/>
      <c r="EO139" s="69"/>
      <c r="EP139" s="69"/>
      <c r="EQ139" s="69"/>
      <c r="ER139" s="69"/>
      <c r="ES139" s="69"/>
      <c r="ET139" s="69"/>
      <c r="EU139" s="69"/>
      <c r="EV139" s="69"/>
      <c r="EW139" s="69"/>
      <c r="EX139" s="69"/>
      <c r="EY139" s="69"/>
      <c r="IO139" s="69"/>
      <c r="IP139" s="69"/>
      <c r="IQ139" s="69"/>
      <c r="IR139" s="69"/>
      <c r="IS139" s="69"/>
      <c r="IT139" s="69"/>
      <c r="IU139" s="69"/>
      <c r="IV139" s="69"/>
      <c r="IW139" s="69"/>
      <c r="IX139" s="69"/>
      <c r="IY139" s="69"/>
      <c r="IZ139" s="69"/>
      <c r="JA139" s="69"/>
      <c r="JB139" s="69"/>
      <c r="JC139" s="69"/>
      <c r="JD139" s="69"/>
      <c r="JE139" s="69"/>
      <c r="JF139" s="69"/>
      <c r="JG139" s="69"/>
      <c r="JH139" s="69"/>
      <c r="JI139" s="69"/>
      <c r="JJ139" s="69"/>
      <c r="JK139" s="69"/>
      <c r="JL139" s="69"/>
      <c r="JM139" s="69"/>
      <c r="JN139" s="69"/>
      <c r="JO139" s="69"/>
    </row>
    <row r="140" spans="121:275" x14ac:dyDescent="0.25">
      <c r="DY140" s="69"/>
      <c r="DZ140" s="69"/>
      <c r="EA140" s="69"/>
      <c r="EB140" s="69"/>
      <c r="EC140" s="69"/>
      <c r="ED140" s="69"/>
      <c r="EE140" s="69"/>
      <c r="EF140" s="69"/>
      <c r="EG140" s="69"/>
      <c r="EH140" s="69"/>
      <c r="EI140" s="69"/>
      <c r="EJ140" s="69"/>
      <c r="EK140" s="69"/>
      <c r="EL140" s="69"/>
      <c r="EM140" s="69"/>
      <c r="EN140" s="69"/>
      <c r="EO140" s="69"/>
      <c r="EP140" s="69"/>
      <c r="EQ140" s="69"/>
      <c r="ER140" s="69"/>
      <c r="ES140" s="69"/>
      <c r="ET140" s="69"/>
      <c r="EU140" s="69"/>
      <c r="EV140" s="69"/>
      <c r="EW140" s="69"/>
      <c r="EX140" s="69"/>
      <c r="EY140" s="69"/>
      <c r="IO140" s="69"/>
      <c r="IP140" s="69"/>
      <c r="IQ140" s="69"/>
      <c r="IR140" s="69"/>
      <c r="IS140" s="69"/>
      <c r="IT140" s="69"/>
      <c r="IU140" s="69"/>
      <c r="IV140" s="69"/>
      <c r="IW140" s="69"/>
      <c r="IX140" s="69"/>
      <c r="IY140" s="69"/>
      <c r="IZ140" s="69"/>
      <c r="JA140" s="69"/>
      <c r="JB140" s="69"/>
      <c r="JC140" s="69"/>
      <c r="JD140" s="69"/>
      <c r="JE140" s="69"/>
      <c r="JF140" s="69"/>
      <c r="JG140" s="69"/>
      <c r="JH140" s="69"/>
      <c r="JI140" s="69"/>
      <c r="JJ140" s="69"/>
      <c r="JK140" s="69"/>
      <c r="JL140" s="69"/>
      <c r="JM140" s="69"/>
      <c r="JN140" s="69"/>
      <c r="JO140" s="69"/>
    </row>
    <row r="141" spans="121:275" x14ac:dyDescent="0.25">
      <c r="DY141" s="69"/>
      <c r="DZ141" s="69"/>
      <c r="EA141" s="69"/>
      <c r="EB141" s="69"/>
      <c r="EC141" s="69"/>
      <c r="ED141" s="69"/>
      <c r="EE141" s="69"/>
      <c r="EF141" s="69"/>
      <c r="EG141" s="69"/>
      <c r="EH141" s="69"/>
      <c r="EI141" s="69"/>
      <c r="EJ141" s="69"/>
      <c r="EK141" s="69"/>
      <c r="EL141" s="69"/>
      <c r="EM141" s="69"/>
      <c r="EN141" s="69"/>
      <c r="EO141" s="69"/>
      <c r="EP141" s="69"/>
      <c r="EQ141" s="69"/>
      <c r="ER141" s="69"/>
      <c r="ES141" s="69"/>
      <c r="ET141" s="69"/>
      <c r="EU141" s="69"/>
      <c r="EV141" s="69"/>
      <c r="EW141" s="69"/>
      <c r="EX141" s="69"/>
      <c r="EY141" s="69"/>
      <c r="IO141" s="69"/>
      <c r="IP141" s="69"/>
      <c r="IQ141" s="69"/>
      <c r="IR141" s="69"/>
      <c r="IS141" s="69"/>
      <c r="IT141" s="69"/>
      <c r="IU141" s="69"/>
      <c r="IV141" s="69"/>
      <c r="IW141" s="69"/>
      <c r="IX141" s="69"/>
      <c r="IY141" s="69"/>
      <c r="IZ141" s="69"/>
      <c r="JA141" s="69"/>
      <c r="JB141" s="69"/>
      <c r="JC141" s="69"/>
      <c r="JD141" s="69"/>
      <c r="JE141" s="69"/>
      <c r="JF141" s="69"/>
      <c r="JG141" s="69"/>
      <c r="JH141" s="69"/>
      <c r="JI141" s="69"/>
      <c r="JJ141" s="69"/>
      <c r="JK141" s="69"/>
      <c r="JL141" s="69"/>
      <c r="JM141" s="69"/>
      <c r="JN141" s="69"/>
      <c r="JO141" s="69"/>
    </row>
    <row r="142" spans="121:275" x14ac:dyDescent="0.25">
      <c r="DY142" s="69"/>
      <c r="DZ142" s="69"/>
      <c r="EA142" s="69"/>
      <c r="EB142" s="69"/>
      <c r="EC142" s="69"/>
      <c r="ED142" s="69"/>
      <c r="EE142" s="69"/>
      <c r="EF142" s="69"/>
      <c r="EG142" s="69"/>
      <c r="EH142" s="69"/>
      <c r="EI142" s="69"/>
      <c r="EJ142" s="69"/>
      <c r="EK142" s="69"/>
      <c r="EL142" s="69"/>
      <c r="EM142" s="69"/>
      <c r="EN142" s="69"/>
      <c r="EO142" s="69"/>
      <c r="EP142" s="69"/>
      <c r="EQ142" s="69"/>
      <c r="ER142" s="69"/>
      <c r="ES142" s="69"/>
      <c r="ET142" s="69"/>
      <c r="EU142" s="69"/>
      <c r="EV142" s="69"/>
      <c r="EW142" s="69"/>
      <c r="EX142" s="69"/>
      <c r="EY142" s="69"/>
      <c r="IO142" s="69"/>
      <c r="IP142" s="69"/>
      <c r="IQ142" s="69"/>
      <c r="IR142" s="69"/>
      <c r="IS142" s="69"/>
      <c r="IT142" s="69"/>
      <c r="IU142" s="69"/>
      <c r="IV142" s="69"/>
      <c r="IW142" s="69"/>
      <c r="IX142" s="69"/>
      <c r="IY142" s="69"/>
      <c r="IZ142" s="69"/>
      <c r="JA142" s="69"/>
      <c r="JB142" s="69"/>
      <c r="JC142" s="69"/>
      <c r="JD142" s="69"/>
      <c r="JE142" s="69"/>
      <c r="JF142" s="69"/>
      <c r="JG142" s="69"/>
      <c r="JH142" s="69"/>
      <c r="JI142" s="69"/>
      <c r="JJ142" s="69"/>
      <c r="JK142" s="69"/>
      <c r="JL142" s="69"/>
      <c r="JM142" s="69"/>
      <c r="JN142" s="69"/>
      <c r="JO142" s="69"/>
    </row>
    <row r="143" spans="121:275" x14ac:dyDescent="0.25">
      <c r="DY143" s="69"/>
      <c r="DZ143" s="69"/>
      <c r="EA143" s="69"/>
      <c r="EB143" s="69"/>
      <c r="EC143" s="69"/>
      <c r="ED143" s="69"/>
      <c r="EE143" s="69"/>
      <c r="EF143" s="69"/>
      <c r="EG143" s="69"/>
      <c r="EH143" s="69"/>
      <c r="EI143" s="69"/>
      <c r="EJ143" s="69"/>
      <c r="EK143" s="69"/>
      <c r="EL143" s="69"/>
      <c r="EM143" s="69"/>
      <c r="EN143" s="69"/>
      <c r="EO143" s="69"/>
      <c r="EP143" s="69"/>
      <c r="EQ143" s="69"/>
      <c r="ER143" s="69"/>
      <c r="ES143" s="69"/>
      <c r="ET143" s="69"/>
      <c r="EU143" s="69"/>
      <c r="EV143" s="69"/>
      <c r="EW143" s="69"/>
      <c r="EX143" s="69"/>
      <c r="EY143" s="69"/>
      <c r="IO143" s="69"/>
      <c r="IP143" s="69"/>
      <c r="IQ143" s="69"/>
      <c r="IR143" s="69"/>
      <c r="IS143" s="69"/>
      <c r="IT143" s="69"/>
      <c r="IU143" s="69"/>
      <c r="IV143" s="69"/>
      <c r="IW143" s="69"/>
      <c r="IX143" s="69"/>
      <c r="IY143" s="69"/>
      <c r="IZ143" s="69"/>
      <c r="JA143" s="69"/>
      <c r="JB143" s="69"/>
      <c r="JC143" s="69"/>
      <c r="JD143" s="69"/>
      <c r="JE143" s="69"/>
      <c r="JF143" s="69"/>
      <c r="JG143" s="69"/>
      <c r="JH143" s="69"/>
      <c r="JI143" s="69"/>
      <c r="JJ143" s="69"/>
      <c r="JK143" s="69"/>
      <c r="JL143" s="69"/>
      <c r="JM143" s="69"/>
      <c r="JN143" s="69"/>
      <c r="JO143" s="69"/>
    </row>
    <row r="144" spans="121:275" x14ac:dyDescent="0.25">
      <c r="DY144" s="69"/>
      <c r="DZ144" s="69"/>
      <c r="EA144" s="69"/>
      <c r="EB144" s="69"/>
      <c r="EC144" s="69"/>
      <c r="ED144" s="69"/>
      <c r="EE144" s="69"/>
      <c r="EF144" s="69"/>
      <c r="EG144" s="69"/>
      <c r="EH144" s="69"/>
      <c r="EI144" s="69"/>
      <c r="EJ144" s="69"/>
      <c r="EK144" s="69"/>
      <c r="EL144" s="69"/>
      <c r="EM144" s="69"/>
      <c r="EN144" s="69"/>
      <c r="EO144" s="69"/>
      <c r="EP144" s="69"/>
      <c r="EQ144" s="69"/>
      <c r="ER144" s="69"/>
      <c r="ES144" s="69"/>
      <c r="ET144" s="69"/>
      <c r="EU144" s="69"/>
      <c r="EV144" s="69"/>
      <c r="EW144" s="69"/>
      <c r="EX144" s="69"/>
      <c r="EY144" s="69"/>
      <c r="IO144" s="69"/>
      <c r="IP144" s="69"/>
      <c r="IQ144" s="69"/>
      <c r="IR144" s="69"/>
      <c r="IS144" s="69"/>
      <c r="IT144" s="69"/>
      <c r="IU144" s="69"/>
      <c r="IV144" s="69"/>
      <c r="IW144" s="69"/>
      <c r="IX144" s="69"/>
      <c r="IY144" s="69"/>
      <c r="IZ144" s="69"/>
      <c r="JA144" s="69"/>
      <c r="JB144" s="69"/>
      <c r="JC144" s="69"/>
      <c r="JD144" s="69"/>
      <c r="JE144" s="69"/>
      <c r="JF144" s="69"/>
      <c r="JG144" s="69"/>
      <c r="JH144" s="69"/>
      <c r="JI144" s="69"/>
      <c r="JJ144" s="69"/>
      <c r="JK144" s="69"/>
      <c r="JL144" s="69"/>
      <c r="JM144" s="69"/>
      <c r="JN144" s="69"/>
      <c r="JO144" s="69"/>
    </row>
    <row r="145" spans="129:275" x14ac:dyDescent="0.25">
      <c r="DY145" s="69"/>
      <c r="DZ145" s="69"/>
      <c r="EA145" s="69"/>
      <c r="EB145" s="69"/>
      <c r="EC145" s="69"/>
      <c r="ED145" s="69"/>
      <c r="EE145" s="69"/>
      <c r="EF145" s="69"/>
      <c r="EG145" s="69"/>
      <c r="EH145" s="69"/>
      <c r="EI145" s="69"/>
      <c r="EJ145" s="69"/>
      <c r="EK145" s="69"/>
      <c r="EL145" s="69"/>
      <c r="EM145" s="69"/>
      <c r="EN145" s="69"/>
      <c r="EO145" s="69"/>
      <c r="EP145" s="69"/>
      <c r="EQ145" s="69"/>
      <c r="ER145" s="69"/>
      <c r="ES145" s="69"/>
      <c r="ET145" s="69"/>
      <c r="EU145" s="69"/>
      <c r="EV145" s="69"/>
      <c r="EW145" s="69"/>
      <c r="EX145" s="69"/>
      <c r="EY145" s="69"/>
      <c r="IO145" s="69"/>
      <c r="IP145" s="69"/>
      <c r="IQ145" s="69"/>
      <c r="IR145" s="69"/>
      <c r="IS145" s="69"/>
      <c r="IT145" s="69"/>
      <c r="IU145" s="69"/>
      <c r="IV145" s="69"/>
      <c r="IW145" s="69"/>
      <c r="IX145" s="69"/>
      <c r="IY145" s="69"/>
      <c r="IZ145" s="69"/>
      <c r="JA145" s="69"/>
      <c r="JB145" s="69"/>
      <c r="JC145" s="69"/>
      <c r="JD145" s="69"/>
      <c r="JE145" s="69"/>
      <c r="JF145" s="69"/>
      <c r="JG145" s="69"/>
      <c r="JH145" s="69"/>
      <c r="JI145" s="69"/>
      <c r="JJ145" s="69"/>
      <c r="JK145" s="69"/>
      <c r="JL145" s="69"/>
      <c r="JM145" s="69"/>
      <c r="JN145" s="69"/>
      <c r="JO145" s="69"/>
    </row>
    <row r="146" spans="129:275" x14ac:dyDescent="0.25">
      <c r="DY146" s="69"/>
      <c r="DZ146" s="69"/>
      <c r="EA146" s="69"/>
      <c r="EB146" s="69"/>
      <c r="EC146" s="69"/>
      <c r="ED146" s="69"/>
      <c r="EE146" s="69"/>
      <c r="EF146" s="69"/>
      <c r="EG146" s="69"/>
      <c r="EH146" s="69"/>
      <c r="EI146" s="69"/>
      <c r="EJ146" s="69"/>
      <c r="EK146" s="69"/>
      <c r="EL146" s="69"/>
      <c r="EM146" s="69"/>
      <c r="EN146" s="69"/>
      <c r="EO146" s="69"/>
      <c r="EP146" s="69"/>
      <c r="EQ146" s="69"/>
      <c r="ER146" s="69"/>
      <c r="ES146" s="69"/>
      <c r="ET146" s="69"/>
      <c r="EU146" s="69"/>
      <c r="EV146" s="69"/>
      <c r="EW146" s="69"/>
      <c r="EX146" s="69"/>
      <c r="EY146" s="69"/>
      <c r="IO146" s="69"/>
      <c r="IP146" s="69"/>
      <c r="IQ146" s="69"/>
      <c r="IR146" s="69"/>
      <c r="IS146" s="69"/>
      <c r="IT146" s="69"/>
      <c r="IU146" s="69"/>
      <c r="IV146" s="69"/>
      <c r="IW146" s="69"/>
      <c r="IX146" s="69"/>
      <c r="IY146" s="69"/>
      <c r="IZ146" s="69"/>
      <c r="JA146" s="69"/>
      <c r="JB146" s="69"/>
      <c r="JC146" s="69"/>
      <c r="JD146" s="69"/>
      <c r="JE146" s="69"/>
      <c r="JF146" s="69"/>
      <c r="JG146" s="69"/>
      <c r="JH146" s="69"/>
      <c r="JI146" s="69"/>
      <c r="JJ146" s="69"/>
      <c r="JK146" s="69"/>
      <c r="JL146" s="69"/>
      <c r="JM146" s="69"/>
      <c r="JN146" s="69"/>
      <c r="JO146" s="69"/>
    </row>
    <row r="147" spans="129:275" x14ac:dyDescent="0.25">
      <c r="DY147" s="69"/>
      <c r="DZ147" s="69"/>
      <c r="EA147" s="69"/>
      <c r="EB147" s="69"/>
      <c r="EC147" s="69"/>
      <c r="ED147" s="69"/>
      <c r="EE147" s="69"/>
      <c r="EF147" s="69"/>
      <c r="EG147" s="69"/>
      <c r="EH147" s="69"/>
      <c r="EI147" s="69"/>
      <c r="EJ147" s="69"/>
      <c r="EK147" s="69"/>
      <c r="EL147" s="69"/>
      <c r="EM147" s="69"/>
      <c r="EN147" s="69"/>
      <c r="EO147" s="69"/>
      <c r="EP147" s="69"/>
      <c r="EQ147" s="69"/>
      <c r="ER147" s="69"/>
      <c r="ES147" s="69"/>
      <c r="ET147" s="69"/>
      <c r="EU147" s="69"/>
      <c r="EV147" s="69"/>
      <c r="EW147" s="69"/>
      <c r="EX147" s="69"/>
      <c r="EY147" s="69"/>
      <c r="IO147" s="69"/>
      <c r="IP147" s="69"/>
      <c r="IQ147" s="69"/>
      <c r="IR147" s="69"/>
      <c r="IS147" s="69"/>
      <c r="IT147" s="69"/>
      <c r="IU147" s="69"/>
      <c r="IV147" s="69"/>
      <c r="IW147" s="69"/>
      <c r="IX147" s="69"/>
      <c r="IY147" s="69"/>
      <c r="IZ147" s="69"/>
      <c r="JA147" s="69"/>
      <c r="JB147" s="69"/>
      <c r="JC147" s="69"/>
      <c r="JD147" s="69"/>
      <c r="JE147" s="69"/>
      <c r="JF147" s="69"/>
      <c r="JG147" s="69"/>
      <c r="JH147" s="69"/>
      <c r="JI147" s="69"/>
      <c r="JJ147" s="69"/>
      <c r="JK147" s="69"/>
      <c r="JL147" s="69"/>
      <c r="JM147" s="69"/>
      <c r="JN147" s="69"/>
      <c r="JO147" s="69"/>
    </row>
    <row r="148" spans="129:275" x14ac:dyDescent="0.25">
      <c r="DY148" s="69"/>
      <c r="DZ148" s="69"/>
      <c r="EA148" s="69"/>
      <c r="EB148" s="69"/>
      <c r="EC148" s="69"/>
      <c r="ED148" s="69"/>
      <c r="EE148" s="69"/>
      <c r="EF148" s="69"/>
      <c r="EG148" s="69"/>
      <c r="EH148" s="69"/>
      <c r="EI148" s="69"/>
      <c r="EJ148" s="69"/>
      <c r="EK148" s="69"/>
      <c r="EL148" s="69"/>
      <c r="EM148" s="69"/>
      <c r="EN148" s="69"/>
      <c r="EO148" s="69"/>
      <c r="EP148" s="69"/>
      <c r="EQ148" s="69"/>
      <c r="ER148" s="69"/>
      <c r="ES148" s="69"/>
      <c r="ET148" s="69"/>
      <c r="EU148" s="69"/>
      <c r="EV148" s="69"/>
      <c r="EW148" s="69"/>
      <c r="EX148" s="69"/>
      <c r="EY148" s="69"/>
      <c r="IO148" s="69"/>
      <c r="IP148" s="69"/>
      <c r="IQ148" s="69"/>
      <c r="IR148" s="69"/>
      <c r="IS148" s="69"/>
      <c r="IT148" s="69"/>
      <c r="IU148" s="69"/>
      <c r="IV148" s="69"/>
      <c r="IW148" s="69"/>
      <c r="IX148" s="69"/>
      <c r="IY148" s="69"/>
      <c r="IZ148" s="69"/>
      <c r="JA148" s="69"/>
      <c r="JB148" s="69"/>
      <c r="JC148" s="69"/>
      <c r="JD148" s="69"/>
      <c r="JE148" s="69"/>
      <c r="JF148" s="69"/>
      <c r="JG148" s="69"/>
      <c r="JH148" s="69"/>
      <c r="JI148" s="69"/>
      <c r="JJ148" s="69"/>
      <c r="JK148" s="69"/>
      <c r="JL148" s="69"/>
      <c r="JM148" s="69"/>
      <c r="JN148" s="69"/>
      <c r="JO148" s="69"/>
    </row>
    <row r="149" spans="129:275" x14ac:dyDescent="0.25">
      <c r="DY149" s="69"/>
      <c r="DZ149" s="69"/>
      <c r="EA149" s="69"/>
      <c r="EB149" s="69"/>
      <c r="EC149" s="69"/>
      <c r="ED149" s="69"/>
      <c r="EE149" s="69"/>
      <c r="EF149" s="69"/>
      <c r="EG149" s="69"/>
      <c r="EH149" s="69"/>
      <c r="EI149" s="69"/>
      <c r="EJ149" s="69"/>
      <c r="EK149" s="69"/>
      <c r="EL149" s="69"/>
      <c r="EM149" s="69"/>
      <c r="EN149" s="69"/>
      <c r="EO149" s="69"/>
      <c r="EP149" s="69"/>
      <c r="EQ149" s="69"/>
      <c r="ER149" s="69"/>
      <c r="ES149" s="69"/>
      <c r="ET149" s="69"/>
      <c r="EU149" s="69"/>
      <c r="EV149" s="69"/>
      <c r="EW149" s="69"/>
      <c r="EX149" s="69"/>
      <c r="EY149" s="69"/>
      <c r="IO149" s="69"/>
      <c r="IP149" s="69"/>
      <c r="IQ149" s="69"/>
      <c r="IR149" s="69"/>
      <c r="IS149" s="69"/>
      <c r="IT149" s="69"/>
      <c r="IU149" s="69"/>
      <c r="IV149" s="69"/>
      <c r="IW149" s="69"/>
      <c r="IX149" s="69"/>
      <c r="IY149" s="69"/>
      <c r="IZ149" s="69"/>
      <c r="JA149" s="69"/>
      <c r="JB149" s="69"/>
      <c r="JC149" s="69"/>
      <c r="JD149" s="69"/>
      <c r="JE149" s="69"/>
      <c r="JF149" s="69"/>
      <c r="JG149" s="69"/>
      <c r="JH149" s="69"/>
      <c r="JI149" s="69"/>
      <c r="JJ149" s="69"/>
      <c r="JK149" s="69"/>
      <c r="JL149" s="69"/>
      <c r="JM149" s="69"/>
      <c r="JN149" s="69"/>
      <c r="JO149" s="69"/>
    </row>
    <row r="150" spans="129:275" x14ac:dyDescent="0.25">
      <c r="DY150" s="69"/>
      <c r="DZ150" s="69"/>
      <c r="EA150" s="69"/>
      <c r="EB150" s="69"/>
      <c r="EC150" s="69"/>
      <c r="ED150" s="69"/>
      <c r="EE150" s="69"/>
      <c r="EF150" s="69"/>
      <c r="EG150" s="69"/>
      <c r="EH150" s="69"/>
      <c r="EI150" s="69"/>
      <c r="EJ150" s="69"/>
      <c r="EK150" s="69"/>
      <c r="EL150" s="69"/>
      <c r="EM150" s="69"/>
      <c r="EN150" s="69"/>
      <c r="EO150" s="69"/>
      <c r="EP150" s="69"/>
      <c r="EQ150" s="69"/>
      <c r="ER150" s="69"/>
      <c r="ES150" s="69"/>
      <c r="ET150" s="69"/>
      <c r="EU150" s="69"/>
      <c r="EV150" s="69"/>
      <c r="EW150" s="69"/>
      <c r="EX150" s="69"/>
      <c r="EY150" s="69"/>
      <c r="IO150" s="69"/>
      <c r="IP150" s="69"/>
      <c r="IQ150" s="69"/>
      <c r="IR150" s="69"/>
      <c r="IS150" s="69"/>
      <c r="IT150" s="69"/>
      <c r="IU150" s="69"/>
      <c r="IV150" s="69"/>
      <c r="IW150" s="69"/>
      <c r="IX150" s="69"/>
      <c r="IY150" s="69"/>
      <c r="IZ150" s="69"/>
      <c r="JA150" s="69"/>
      <c r="JB150" s="69"/>
      <c r="JC150" s="69"/>
      <c r="JD150" s="69"/>
      <c r="JE150" s="69"/>
      <c r="JF150" s="69"/>
      <c r="JG150" s="69"/>
      <c r="JH150" s="69"/>
      <c r="JI150" s="69"/>
      <c r="JJ150" s="69"/>
      <c r="JK150" s="69"/>
      <c r="JL150" s="69"/>
      <c r="JM150" s="69"/>
      <c r="JN150" s="69"/>
      <c r="JO150" s="69"/>
    </row>
    <row r="151" spans="129:275" x14ac:dyDescent="0.25">
      <c r="DY151" s="69"/>
      <c r="DZ151" s="69"/>
      <c r="EA151" s="69"/>
      <c r="EB151" s="69"/>
      <c r="EC151" s="69"/>
      <c r="ED151" s="69"/>
      <c r="EE151" s="69"/>
      <c r="EF151" s="69"/>
      <c r="EG151" s="69"/>
      <c r="EH151" s="69"/>
      <c r="EI151" s="69"/>
      <c r="EJ151" s="69"/>
      <c r="EK151" s="69"/>
      <c r="EL151" s="69"/>
      <c r="EM151" s="69"/>
      <c r="EN151" s="69"/>
      <c r="EO151" s="69"/>
      <c r="EP151" s="69"/>
      <c r="EQ151" s="69"/>
      <c r="ER151" s="69"/>
      <c r="ES151" s="69"/>
      <c r="ET151" s="69"/>
      <c r="EU151" s="69"/>
      <c r="EV151" s="69"/>
      <c r="EW151" s="69"/>
      <c r="EX151" s="69"/>
      <c r="EY151" s="69"/>
      <c r="IO151" s="69"/>
      <c r="IP151" s="69"/>
      <c r="IQ151" s="69"/>
      <c r="IR151" s="69"/>
      <c r="IS151" s="69"/>
      <c r="IT151" s="69"/>
      <c r="IU151" s="69"/>
      <c r="IV151" s="69"/>
      <c r="IW151" s="69"/>
      <c r="IX151" s="69"/>
      <c r="IY151" s="69"/>
      <c r="IZ151" s="69"/>
      <c r="JA151" s="69"/>
      <c r="JB151" s="69"/>
      <c r="JC151" s="69"/>
      <c r="JD151" s="69"/>
      <c r="JE151" s="69"/>
      <c r="JF151" s="69"/>
      <c r="JG151" s="69"/>
      <c r="JH151" s="69"/>
      <c r="JI151" s="69"/>
      <c r="JJ151" s="69"/>
      <c r="JK151" s="69"/>
      <c r="JL151" s="69"/>
      <c r="JM151" s="69"/>
      <c r="JN151" s="69"/>
      <c r="JO151" s="69"/>
    </row>
    <row r="152" spans="129:275" x14ac:dyDescent="0.25">
      <c r="DY152" s="69"/>
      <c r="DZ152" s="69"/>
      <c r="EA152" s="69"/>
      <c r="EB152" s="69"/>
      <c r="EC152" s="69"/>
      <c r="ED152" s="69"/>
      <c r="EE152" s="69"/>
      <c r="EF152" s="69"/>
      <c r="EG152" s="69"/>
      <c r="EH152" s="69"/>
      <c r="EI152" s="69"/>
      <c r="EJ152" s="69"/>
      <c r="EK152" s="69"/>
      <c r="EL152" s="69"/>
      <c r="EM152" s="69"/>
      <c r="EN152" s="69"/>
      <c r="EO152" s="69"/>
      <c r="EP152" s="69"/>
      <c r="EQ152" s="69"/>
      <c r="ER152" s="69"/>
      <c r="ES152" s="69"/>
      <c r="ET152" s="69"/>
      <c r="EU152" s="69"/>
      <c r="EV152" s="69"/>
      <c r="EW152" s="69"/>
      <c r="EX152" s="69"/>
      <c r="EY152" s="69"/>
      <c r="IO152" s="69"/>
      <c r="IP152" s="69"/>
      <c r="IQ152" s="69"/>
      <c r="IR152" s="69"/>
      <c r="IS152" s="69"/>
      <c r="IT152" s="69"/>
      <c r="IU152" s="69"/>
      <c r="IV152" s="69"/>
      <c r="IW152" s="69"/>
      <c r="IX152" s="69"/>
      <c r="IY152" s="69"/>
      <c r="IZ152" s="69"/>
      <c r="JA152" s="69"/>
      <c r="JB152" s="69"/>
      <c r="JC152" s="69"/>
      <c r="JD152" s="69"/>
      <c r="JE152" s="69"/>
      <c r="JF152" s="69"/>
      <c r="JG152" s="69"/>
      <c r="JH152" s="69"/>
      <c r="JI152" s="69"/>
      <c r="JJ152" s="69"/>
      <c r="JK152" s="69"/>
      <c r="JL152" s="69"/>
      <c r="JM152" s="69"/>
      <c r="JN152" s="69"/>
      <c r="JO152" s="69"/>
    </row>
    <row r="153" spans="129:275" x14ac:dyDescent="0.25">
      <c r="DY153" s="69"/>
      <c r="DZ153" s="69"/>
      <c r="EA153" s="69"/>
      <c r="EB153" s="69"/>
      <c r="EC153" s="69"/>
      <c r="ED153" s="69"/>
      <c r="EE153" s="69"/>
      <c r="EF153" s="69"/>
      <c r="EG153" s="69"/>
      <c r="EH153" s="69"/>
      <c r="EI153" s="69"/>
      <c r="EJ153" s="69"/>
      <c r="EK153" s="69"/>
      <c r="EL153" s="69"/>
      <c r="EM153" s="69"/>
      <c r="EN153" s="69"/>
      <c r="EO153" s="69"/>
      <c r="EP153" s="69"/>
      <c r="EQ153" s="69"/>
      <c r="ER153" s="69"/>
      <c r="ES153" s="69"/>
      <c r="ET153" s="69"/>
      <c r="EU153" s="69"/>
      <c r="EV153" s="69"/>
      <c r="EW153" s="69"/>
      <c r="EX153" s="69"/>
      <c r="EY153" s="69"/>
      <c r="IO153" s="69"/>
      <c r="IP153" s="69"/>
      <c r="IQ153" s="69"/>
      <c r="IR153" s="69"/>
      <c r="IS153" s="69"/>
      <c r="IT153" s="69"/>
      <c r="IU153" s="69"/>
      <c r="IV153" s="69"/>
      <c r="IW153" s="69"/>
      <c r="IX153" s="69"/>
      <c r="IY153" s="69"/>
      <c r="IZ153" s="69"/>
      <c r="JA153" s="69"/>
      <c r="JB153" s="69"/>
      <c r="JC153" s="69"/>
      <c r="JD153" s="69"/>
      <c r="JE153" s="69"/>
      <c r="JF153" s="69"/>
      <c r="JG153" s="69"/>
      <c r="JH153" s="69"/>
      <c r="JI153" s="69"/>
      <c r="JJ153" s="69"/>
      <c r="JK153" s="69"/>
      <c r="JL153" s="69"/>
      <c r="JM153" s="69"/>
      <c r="JN153" s="69"/>
      <c r="JO153" s="69"/>
    </row>
    <row r="154" spans="129:275" x14ac:dyDescent="0.25">
      <c r="DY154" s="69"/>
      <c r="DZ154" s="69"/>
      <c r="EA154" s="69"/>
      <c r="EB154" s="69"/>
      <c r="EC154" s="69"/>
      <c r="ED154" s="69"/>
      <c r="EE154" s="69"/>
      <c r="EF154" s="69"/>
      <c r="EG154" s="69"/>
      <c r="EH154" s="69"/>
      <c r="EI154" s="69"/>
      <c r="EJ154" s="69"/>
      <c r="EK154" s="69"/>
      <c r="EL154" s="69"/>
      <c r="EM154" s="69"/>
      <c r="EN154" s="69"/>
      <c r="EO154" s="69"/>
      <c r="EP154" s="69"/>
      <c r="EQ154" s="69"/>
      <c r="ER154" s="69"/>
      <c r="ES154" s="69"/>
      <c r="ET154" s="69"/>
      <c r="EU154" s="69"/>
      <c r="EV154" s="69"/>
      <c r="EW154" s="69"/>
      <c r="EX154" s="69"/>
      <c r="EY154" s="69"/>
      <c r="IO154" s="69"/>
      <c r="IP154" s="69"/>
      <c r="IQ154" s="69"/>
      <c r="IR154" s="69"/>
      <c r="IS154" s="69"/>
      <c r="IT154" s="69"/>
      <c r="IU154" s="69"/>
      <c r="IV154" s="69"/>
      <c r="IW154" s="69"/>
      <c r="IX154" s="69"/>
      <c r="IY154" s="69"/>
      <c r="IZ154" s="69"/>
      <c r="JA154" s="69"/>
      <c r="JB154" s="69"/>
      <c r="JC154" s="69"/>
      <c r="JD154" s="69"/>
      <c r="JE154" s="69"/>
      <c r="JF154" s="69"/>
      <c r="JG154" s="69"/>
      <c r="JH154" s="69"/>
      <c r="JI154" s="69"/>
      <c r="JJ154" s="69"/>
      <c r="JK154" s="69"/>
      <c r="JL154" s="69"/>
      <c r="JM154" s="69"/>
      <c r="JN154" s="69"/>
      <c r="JO154" s="69"/>
    </row>
    <row r="155" spans="129:275" x14ac:dyDescent="0.25">
      <c r="DY155" s="69"/>
      <c r="DZ155" s="69"/>
      <c r="EA155" s="69"/>
      <c r="EB155" s="69"/>
      <c r="EC155" s="69"/>
      <c r="ED155" s="69"/>
      <c r="EE155" s="69"/>
      <c r="EF155" s="69"/>
      <c r="EG155" s="69"/>
      <c r="EH155" s="69"/>
      <c r="EI155" s="69"/>
      <c r="EJ155" s="69"/>
      <c r="EK155" s="69"/>
      <c r="EL155" s="69"/>
      <c r="EM155" s="69"/>
      <c r="EN155" s="69"/>
      <c r="EO155" s="69"/>
      <c r="EP155" s="69"/>
      <c r="EQ155" s="69"/>
      <c r="ER155" s="69"/>
      <c r="ES155" s="69"/>
      <c r="ET155" s="69"/>
      <c r="EU155" s="69"/>
      <c r="EV155" s="69"/>
      <c r="EW155" s="69"/>
      <c r="EX155" s="69"/>
      <c r="EY155" s="69"/>
      <c r="IO155" s="69"/>
      <c r="IP155" s="69"/>
      <c r="IQ155" s="69"/>
      <c r="IR155" s="69"/>
      <c r="IS155" s="69"/>
      <c r="IT155" s="69"/>
      <c r="IU155" s="69"/>
      <c r="IV155" s="69"/>
      <c r="IW155" s="69"/>
      <c r="IX155" s="69"/>
      <c r="IY155" s="69"/>
      <c r="IZ155" s="69"/>
      <c r="JA155" s="69"/>
      <c r="JB155" s="69"/>
      <c r="JC155" s="69"/>
      <c r="JD155" s="69"/>
      <c r="JE155" s="69"/>
      <c r="JF155" s="69"/>
      <c r="JG155" s="69"/>
      <c r="JH155" s="69"/>
      <c r="JI155" s="69"/>
      <c r="JJ155" s="69"/>
      <c r="JK155" s="69"/>
      <c r="JL155" s="69"/>
      <c r="JM155" s="69"/>
      <c r="JN155" s="69"/>
      <c r="JO155" s="69"/>
    </row>
    <row r="156" spans="129:275" x14ac:dyDescent="0.25">
      <c r="DY156" s="69"/>
      <c r="DZ156" s="69"/>
      <c r="EA156" s="69"/>
      <c r="EB156" s="69"/>
      <c r="EC156" s="69"/>
      <c r="ED156" s="69"/>
      <c r="EE156" s="69"/>
      <c r="EF156" s="69"/>
      <c r="EG156" s="69"/>
      <c r="EH156" s="69"/>
      <c r="EI156" s="69"/>
      <c r="EJ156" s="69"/>
      <c r="EK156" s="69"/>
      <c r="EL156" s="69"/>
      <c r="EM156" s="69"/>
      <c r="EN156" s="69"/>
      <c r="EO156" s="69"/>
      <c r="EP156" s="69"/>
      <c r="EQ156" s="69"/>
      <c r="ER156" s="69"/>
      <c r="ES156" s="69"/>
      <c r="ET156" s="69"/>
      <c r="EU156" s="69"/>
      <c r="EV156" s="69"/>
      <c r="EW156" s="69"/>
      <c r="EX156" s="69"/>
      <c r="EY156" s="69"/>
      <c r="IO156" s="69"/>
      <c r="IP156" s="69"/>
      <c r="IQ156" s="69"/>
      <c r="IR156" s="69"/>
      <c r="IS156" s="69"/>
      <c r="IT156" s="69"/>
      <c r="IU156" s="69"/>
      <c r="IV156" s="69"/>
      <c r="IW156" s="69"/>
      <c r="IX156" s="69"/>
      <c r="IY156" s="69"/>
      <c r="IZ156" s="69"/>
      <c r="JA156" s="69"/>
      <c r="JB156" s="69"/>
      <c r="JC156" s="69"/>
      <c r="JD156" s="69"/>
      <c r="JE156" s="69"/>
      <c r="JF156" s="69"/>
      <c r="JG156" s="69"/>
      <c r="JH156" s="69"/>
      <c r="JI156" s="69"/>
      <c r="JJ156" s="69"/>
      <c r="JK156" s="69"/>
      <c r="JL156" s="69"/>
      <c r="JM156" s="69"/>
      <c r="JN156" s="69"/>
      <c r="JO156" s="69"/>
    </row>
    <row r="157" spans="129:275" x14ac:dyDescent="0.25">
      <c r="DY157" s="69"/>
      <c r="DZ157" s="69"/>
      <c r="EA157" s="69"/>
      <c r="EB157" s="69"/>
      <c r="EC157" s="69"/>
      <c r="ED157" s="69"/>
      <c r="EE157" s="69"/>
      <c r="EF157" s="69"/>
      <c r="EG157" s="69"/>
      <c r="EH157" s="69"/>
      <c r="EI157" s="69"/>
      <c r="EJ157" s="69"/>
      <c r="EK157" s="69"/>
      <c r="EL157" s="69"/>
      <c r="EM157" s="69"/>
      <c r="EN157" s="69"/>
      <c r="EO157" s="69"/>
      <c r="EP157" s="69"/>
      <c r="EQ157" s="69"/>
      <c r="ER157" s="69"/>
      <c r="ES157" s="69"/>
      <c r="ET157" s="69"/>
      <c r="EU157" s="69"/>
      <c r="EV157" s="69"/>
      <c r="EW157" s="69"/>
      <c r="EX157" s="69"/>
      <c r="EY157" s="69"/>
      <c r="IO157" s="69"/>
      <c r="IP157" s="69"/>
      <c r="IQ157" s="69"/>
      <c r="IR157" s="69"/>
      <c r="IS157" s="69"/>
      <c r="IT157" s="69"/>
      <c r="IU157" s="69"/>
      <c r="IV157" s="69"/>
      <c r="IW157" s="69"/>
      <c r="IX157" s="69"/>
      <c r="IY157" s="69"/>
      <c r="IZ157" s="69"/>
      <c r="JA157" s="69"/>
      <c r="JB157" s="69"/>
      <c r="JC157" s="69"/>
      <c r="JD157" s="69"/>
      <c r="JE157" s="69"/>
      <c r="JF157" s="69"/>
      <c r="JG157" s="69"/>
      <c r="JH157" s="69"/>
      <c r="JI157" s="69"/>
      <c r="JJ157" s="69"/>
      <c r="JK157" s="69"/>
      <c r="JL157" s="69"/>
      <c r="JM157" s="69"/>
      <c r="JN157" s="69"/>
      <c r="JO157" s="69"/>
    </row>
    <row r="158" spans="129:275" x14ac:dyDescent="0.25">
      <c r="DY158" s="69"/>
      <c r="DZ158" s="69"/>
      <c r="EA158" s="69"/>
      <c r="EB158" s="69"/>
      <c r="EC158" s="69"/>
      <c r="ED158" s="69"/>
      <c r="EE158" s="69"/>
      <c r="EF158" s="69"/>
      <c r="EG158" s="69"/>
      <c r="EH158" s="69"/>
      <c r="EI158" s="69"/>
      <c r="EJ158" s="69"/>
      <c r="EK158" s="69"/>
      <c r="EL158" s="69"/>
      <c r="EM158" s="69"/>
      <c r="EN158" s="69"/>
      <c r="EO158" s="69"/>
      <c r="EP158" s="69"/>
      <c r="EQ158" s="69"/>
      <c r="ER158" s="69"/>
      <c r="ES158" s="69"/>
      <c r="ET158" s="69"/>
      <c r="EU158" s="69"/>
      <c r="EV158" s="69"/>
      <c r="EW158" s="69"/>
      <c r="EX158" s="69"/>
      <c r="EY158" s="69"/>
      <c r="IO158" s="69"/>
      <c r="IP158" s="69"/>
      <c r="IQ158" s="69"/>
      <c r="IR158" s="69"/>
      <c r="IS158" s="69"/>
      <c r="IT158" s="69"/>
      <c r="IU158" s="69"/>
      <c r="IV158" s="69"/>
      <c r="IW158" s="69"/>
      <c r="IX158" s="69"/>
      <c r="IY158" s="69"/>
      <c r="IZ158" s="69"/>
      <c r="JA158" s="69"/>
      <c r="JB158" s="69"/>
      <c r="JC158" s="69"/>
      <c r="JD158" s="69"/>
      <c r="JE158" s="69"/>
      <c r="JF158" s="69"/>
      <c r="JG158" s="69"/>
      <c r="JH158" s="69"/>
      <c r="JI158" s="69"/>
      <c r="JJ158" s="69"/>
      <c r="JK158" s="69"/>
      <c r="JL158" s="69"/>
      <c r="JM158" s="69"/>
      <c r="JN158" s="69"/>
      <c r="JO158" s="69"/>
    </row>
    <row r="159" spans="129:275" x14ac:dyDescent="0.25">
      <c r="DY159" s="69"/>
      <c r="DZ159" s="69"/>
      <c r="EA159" s="69"/>
      <c r="EB159" s="69"/>
      <c r="EC159" s="69"/>
      <c r="ED159" s="69"/>
      <c r="EE159" s="69"/>
      <c r="EF159" s="69"/>
      <c r="EG159" s="69"/>
      <c r="EH159" s="69"/>
      <c r="EI159" s="69"/>
      <c r="EJ159" s="69"/>
      <c r="EK159" s="69"/>
      <c r="EL159" s="69"/>
      <c r="EM159" s="69"/>
      <c r="EN159" s="69"/>
      <c r="EO159" s="69"/>
      <c r="EP159" s="69"/>
      <c r="EQ159" s="69"/>
      <c r="ER159" s="69"/>
      <c r="ES159" s="69"/>
      <c r="ET159" s="69"/>
      <c r="EU159" s="69"/>
      <c r="EV159" s="69"/>
      <c r="EW159" s="69"/>
      <c r="EX159" s="69"/>
      <c r="EY159" s="69"/>
      <c r="IO159" s="69"/>
      <c r="IP159" s="69"/>
      <c r="IQ159" s="69"/>
      <c r="IR159" s="69"/>
      <c r="IS159" s="69"/>
      <c r="IT159" s="69"/>
      <c r="IU159" s="69"/>
      <c r="IV159" s="69"/>
      <c r="IW159" s="69"/>
      <c r="IX159" s="69"/>
      <c r="IY159" s="69"/>
      <c r="IZ159" s="69"/>
      <c r="JA159" s="69"/>
      <c r="JB159" s="69"/>
      <c r="JC159" s="69"/>
      <c r="JD159" s="69"/>
      <c r="JE159" s="69"/>
      <c r="JF159" s="69"/>
      <c r="JG159" s="69"/>
      <c r="JH159" s="69"/>
      <c r="JI159" s="69"/>
      <c r="JJ159" s="69"/>
      <c r="JK159" s="69"/>
      <c r="JL159" s="69"/>
      <c r="JM159" s="69"/>
      <c r="JN159" s="69"/>
      <c r="JO159" s="69"/>
    </row>
    <row r="160" spans="129:275" x14ac:dyDescent="0.25">
      <c r="DY160" s="69"/>
      <c r="DZ160" s="69"/>
      <c r="EA160" s="69"/>
      <c r="EB160" s="69"/>
      <c r="EC160" s="69"/>
      <c r="ED160" s="69"/>
      <c r="EE160" s="69"/>
      <c r="EF160" s="69"/>
      <c r="EG160" s="69"/>
      <c r="EH160" s="69"/>
      <c r="EI160" s="69"/>
      <c r="EJ160" s="69"/>
      <c r="EK160" s="69"/>
      <c r="EL160" s="69"/>
      <c r="EM160" s="69"/>
      <c r="EN160" s="69"/>
      <c r="EO160" s="69"/>
      <c r="EP160" s="69"/>
      <c r="EQ160" s="69"/>
      <c r="ER160" s="69"/>
      <c r="ES160" s="69"/>
      <c r="ET160" s="69"/>
      <c r="EU160" s="69"/>
      <c r="EV160" s="69"/>
      <c r="EW160" s="69"/>
      <c r="EX160" s="69"/>
      <c r="EY160" s="69"/>
      <c r="IO160" s="69"/>
      <c r="IP160" s="69"/>
      <c r="IQ160" s="69"/>
      <c r="IR160" s="69"/>
      <c r="IS160" s="69"/>
      <c r="IT160" s="69"/>
      <c r="IU160" s="69"/>
      <c r="IV160" s="69"/>
      <c r="IW160" s="69"/>
      <c r="IX160" s="69"/>
      <c r="IY160" s="69"/>
      <c r="IZ160" s="69"/>
      <c r="JA160" s="69"/>
      <c r="JB160" s="69"/>
      <c r="JC160" s="69"/>
      <c r="JD160" s="69"/>
      <c r="JE160" s="69"/>
      <c r="JF160" s="69"/>
      <c r="JG160" s="69"/>
      <c r="JH160" s="69"/>
      <c r="JI160" s="69"/>
      <c r="JJ160" s="69"/>
      <c r="JK160" s="69"/>
      <c r="JL160" s="69"/>
      <c r="JM160" s="69"/>
      <c r="JN160" s="69"/>
      <c r="JO160" s="69"/>
    </row>
    <row r="161" spans="129:275" x14ac:dyDescent="0.25">
      <c r="DY161" s="69"/>
      <c r="DZ161" s="69"/>
      <c r="EA161" s="69"/>
      <c r="EB161" s="69"/>
      <c r="EC161" s="69"/>
      <c r="ED161" s="69"/>
      <c r="EE161" s="69"/>
      <c r="EF161" s="69"/>
      <c r="EG161" s="69"/>
      <c r="EH161" s="69"/>
      <c r="EI161" s="69"/>
      <c r="EJ161" s="69"/>
      <c r="EK161" s="69"/>
      <c r="EL161" s="69"/>
      <c r="EM161" s="69"/>
      <c r="EN161" s="69"/>
      <c r="EO161" s="69"/>
      <c r="EP161" s="69"/>
      <c r="EQ161" s="69"/>
      <c r="ER161" s="69"/>
      <c r="ES161" s="69"/>
      <c r="ET161" s="69"/>
      <c r="EU161" s="69"/>
      <c r="EV161" s="69"/>
      <c r="EW161" s="69"/>
      <c r="EX161" s="69"/>
      <c r="EY161" s="69"/>
      <c r="IO161" s="69"/>
      <c r="IP161" s="69"/>
      <c r="IQ161" s="69"/>
      <c r="IR161" s="69"/>
      <c r="IS161" s="69"/>
      <c r="IT161" s="69"/>
      <c r="IU161" s="69"/>
      <c r="IV161" s="69"/>
      <c r="IW161" s="69"/>
      <c r="IX161" s="69"/>
      <c r="IY161" s="69"/>
      <c r="IZ161" s="69"/>
      <c r="JA161" s="69"/>
      <c r="JB161" s="69"/>
      <c r="JC161" s="69"/>
      <c r="JD161" s="69"/>
      <c r="JE161" s="69"/>
      <c r="JF161" s="69"/>
      <c r="JG161" s="69"/>
      <c r="JH161" s="69"/>
      <c r="JI161" s="69"/>
      <c r="JJ161" s="69"/>
      <c r="JK161" s="69"/>
      <c r="JL161" s="69"/>
      <c r="JM161" s="69"/>
      <c r="JN161" s="69"/>
      <c r="JO161" s="69"/>
    </row>
    <row r="162" spans="129:275" x14ac:dyDescent="0.25">
      <c r="DY162" s="69"/>
      <c r="DZ162" s="69"/>
      <c r="EA162" s="69"/>
      <c r="EB162" s="69"/>
      <c r="EC162" s="69"/>
      <c r="ED162" s="69"/>
      <c r="EE162" s="69"/>
      <c r="EF162" s="69"/>
      <c r="EG162" s="69"/>
      <c r="EH162" s="69"/>
      <c r="EI162" s="69"/>
      <c r="EJ162" s="69"/>
      <c r="EK162" s="69"/>
      <c r="EL162" s="69"/>
      <c r="EM162" s="69"/>
      <c r="EN162" s="69"/>
      <c r="EO162" s="69"/>
      <c r="EP162" s="69"/>
      <c r="EQ162" s="69"/>
      <c r="ER162" s="69"/>
      <c r="ES162" s="69"/>
      <c r="ET162" s="69"/>
      <c r="EU162" s="69"/>
      <c r="EV162" s="69"/>
      <c r="EW162" s="69"/>
      <c r="EX162" s="69"/>
      <c r="EY162" s="69"/>
      <c r="IO162" s="69"/>
      <c r="IP162" s="69"/>
      <c r="IQ162" s="69"/>
      <c r="IR162" s="69"/>
      <c r="IS162" s="69"/>
      <c r="IT162" s="69"/>
      <c r="IU162" s="69"/>
      <c r="IV162" s="69"/>
      <c r="IW162" s="69"/>
      <c r="IX162" s="69"/>
      <c r="IY162" s="69"/>
      <c r="IZ162" s="69"/>
      <c r="JA162" s="69"/>
      <c r="JB162" s="69"/>
      <c r="JC162" s="69"/>
      <c r="JD162" s="69"/>
      <c r="JE162" s="69"/>
      <c r="JF162" s="69"/>
      <c r="JG162" s="69"/>
      <c r="JH162" s="69"/>
      <c r="JI162" s="69"/>
      <c r="JJ162" s="69"/>
      <c r="JK162" s="69"/>
      <c r="JL162" s="69"/>
      <c r="JM162" s="69"/>
      <c r="JN162" s="69"/>
      <c r="JO162" s="69"/>
    </row>
    <row r="163" spans="129:275" x14ac:dyDescent="0.25">
      <c r="DY163" s="69"/>
      <c r="DZ163" s="69"/>
      <c r="EA163" s="69"/>
      <c r="EB163" s="69"/>
      <c r="EC163" s="69"/>
      <c r="ED163" s="69"/>
      <c r="EE163" s="69"/>
      <c r="EF163" s="69"/>
      <c r="EG163" s="69"/>
      <c r="EH163" s="69"/>
      <c r="EI163" s="69"/>
      <c r="EJ163" s="69"/>
      <c r="EK163" s="69"/>
      <c r="EL163" s="69"/>
      <c r="EM163" s="69"/>
      <c r="EN163" s="69"/>
      <c r="EO163" s="69"/>
      <c r="EP163" s="69"/>
      <c r="EQ163" s="69"/>
      <c r="ER163" s="69"/>
      <c r="ES163" s="69"/>
      <c r="ET163" s="69"/>
      <c r="EU163" s="69"/>
      <c r="EV163" s="69"/>
      <c r="EW163" s="69"/>
      <c r="EX163" s="69"/>
      <c r="EY163" s="69"/>
      <c r="IO163" s="69"/>
      <c r="IP163" s="69"/>
      <c r="IQ163" s="69"/>
      <c r="IR163" s="69"/>
      <c r="IS163" s="69"/>
      <c r="IT163" s="69"/>
      <c r="IU163" s="69"/>
      <c r="IV163" s="69"/>
      <c r="IW163" s="69"/>
      <c r="IX163" s="69"/>
      <c r="IY163" s="69"/>
      <c r="IZ163" s="69"/>
      <c r="JA163" s="69"/>
      <c r="JB163" s="69"/>
      <c r="JC163" s="69"/>
      <c r="JD163" s="69"/>
      <c r="JE163" s="69"/>
      <c r="JF163" s="69"/>
      <c r="JG163" s="69"/>
      <c r="JH163" s="69"/>
      <c r="JI163" s="69"/>
      <c r="JJ163" s="69"/>
      <c r="JK163" s="69"/>
      <c r="JL163" s="69"/>
      <c r="JM163" s="69"/>
      <c r="JN163" s="69"/>
      <c r="JO163" s="69"/>
    </row>
    <row r="164" spans="129:275" x14ac:dyDescent="0.25">
      <c r="DY164" s="69"/>
      <c r="DZ164" s="69"/>
      <c r="EA164" s="69"/>
      <c r="EB164" s="69"/>
      <c r="EC164" s="69"/>
      <c r="ED164" s="69"/>
      <c r="EE164" s="69"/>
      <c r="EF164" s="69"/>
      <c r="EG164" s="69"/>
      <c r="EH164" s="69"/>
      <c r="EI164" s="69"/>
      <c r="EJ164" s="69"/>
      <c r="EK164" s="69"/>
      <c r="EL164" s="69"/>
      <c r="EM164" s="69"/>
      <c r="EN164" s="69"/>
      <c r="EO164" s="69"/>
      <c r="EP164" s="69"/>
      <c r="EQ164" s="69"/>
      <c r="ER164" s="69"/>
      <c r="ES164" s="69"/>
      <c r="ET164" s="69"/>
      <c r="EU164" s="69"/>
      <c r="EV164" s="69"/>
      <c r="EW164" s="69"/>
      <c r="EX164" s="69"/>
      <c r="EY164" s="69"/>
      <c r="IO164" s="69"/>
      <c r="IP164" s="69"/>
      <c r="IQ164" s="69"/>
      <c r="IR164" s="69"/>
      <c r="IS164" s="69"/>
      <c r="IT164" s="69"/>
      <c r="IU164" s="69"/>
      <c r="IV164" s="69"/>
      <c r="IW164" s="69"/>
      <c r="IX164" s="69"/>
      <c r="IY164" s="69"/>
      <c r="IZ164" s="69"/>
      <c r="JA164" s="69"/>
      <c r="JB164" s="69"/>
      <c r="JC164" s="69"/>
      <c r="JD164" s="69"/>
      <c r="JE164" s="69"/>
      <c r="JF164" s="69"/>
      <c r="JG164" s="69"/>
      <c r="JH164" s="69"/>
      <c r="JI164" s="69"/>
      <c r="JJ164" s="69"/>
      <c r="JK164" s="69"/>
      <c r="JL164" s="69"/>
      <c r="JM164" s="69"/>
      <c r="JN164" s="69"/>
      <c r="JO164" s="69"/>
    </row>
    <row r="165" spans="129:275" x14ac:dyDescent="0.25">
      <c r="DY165" s="69"/>
      <c r="DZ165" s="69"/>
      <c r="EA165" s="69"/>
      <c r="EB165" s="69"/>
      <c r="EC165" s="69"/>
      <c r="ED165" s="69"/>
      <c r="EE165" s="69"/>
      <c r="EF165" s="69"/>
      <c r="EG165" s="69"/>
      <c r="EH165" s="69"/>
      <c r="EI165" s="69"/>
      <c r="EJ165" s="69"/>
      <c r="EK165" s="69"/>
      <c r="EL165" s="69"/>
      <c r="EM165" s="69"/>
      <c r="EN165" s="69"/>
      <c r="EO165" s="69"/>
      <c r="EP165" s="69"/>
      <c r="EQ165" s="69"/>
      <c r="ER165" s="69"/>
      <c r="ES165" s="69"/>
      <c r="ET165" s="69"/>
      <c r="EU165" s="69"/>
      <c r="EV165" s="69"/>
      <c r="EW165" s="69"/>
      <c r="EX165" s="69"/>
      <c r="EY165" s="69"/>
      <c r="IO165" s="69"/>
      <c r="IP165" s="69"/>
      <c r="IQ165" s="69"/>
      <c r="IR165" s="69"/>
      <c r="IS165" s="69"/>
      <c r="IT165" s="69"/>
      <c r="IU165" s="69"/>
      <c r="IV165" s="69"/>
      <c r="IW165" s="69"/>
      <c r="IX165" s="69"/>
      <c r="IY165" s="69"/>
      <c r="IZ165" s="69"/>
      <c r="JA165" s="69"/>
      <c r="JB165" s="69"/>
      <c r="JC165" s="69"/>
      <c r="JD165" s="69"/>
      <c r="JE165" s="69"/>
      <c r="JF165" s="69"/>
      <c r="JG165" s="69"/>
      <c r="JH165" s="69"/>
      <c r="JI165" s="69"/>
      <c r="JJ165" s="69"/>
      <c r="JK165" s="69"/>
      <c r="JL165" s="69"/>
      <c r="JM165" s="69"/>
      <c r="JN165" s="69"/>
      <c r="JO165" s="69"/>
    </row>
    <row r="166" spans="129:275" x14ac:dyDescent="0.25">
      <c r="DY166" s="69"/>
      <c r="DZ166" s="69"/>
      <c r="EA166" s="69"/>
      <c r="EB166" s="69"/>
      <c r="EC166" s="69"/>
      <c r="ED166" s="69"/>
      <c r="EE166" s="69"/>
      <c r="EF166" s="69"/>
      <c r="EG166" s="69"/>
      <c r="EH166" s="69"/>
      <c r="EI166" s="69"/>
      <c r="EJ166" s="69"/>
      <c r="EK166" s="69"/>
      <c r="EL166" s="69"/>
      <c r="EM166" s="69"/>
      <c r="EN166" s="69"/>
      <c r="EO166" s="69"/>
      <c r="EP166" s="69"/>
      <c r="EQ166" s="69"/>
      <c r="ER166" s="69"/>
      <c r="ES166" s="69"/>
      <c r="ET166" s="69"/>
      <c r="EU166" s="69"/>
      <c r="EV166" s="69"/>
      <c r="EW166" s="69"/>
      <c r="EX166" s="69"/>
      <c r="EY166" s="69"/>
      <c r="IO166" s="69"/>
      <c r="IP166" s="69"/>
      <c r="IQ166" s="69"/>
      <c r="IR166" s="69"/>
      <c r="IS166" s="69"/>
      <c r="IT166" s="69"/>
      <c r="IU166" s="69"/>
      <c r="IV166" s="69"/>
      <c r="IW166" s="69"/>
      <c r="IX166" s="69"/>
      <c r="IY166" s="69"/>
      <c r="IZ166" s="69"/>
      <c r="JA166" s="69"/>
      <c r="JB166" s="69"/>
      <c r="JC166" s="69"/>
      <c r="JD166" s="69"/>
      <c r="JE166" s="69"/>
      <c r="JF166" s="69"/>
      <c r="JG166" s="69"/>
      <c r="JH166" s="69"/>
      <c r="JI166" s="69"/>
      <c r="JJ166" s="69"/>
      <c r="JK166" s="69"/>
      <c r="JL166" s="69"/>
      <c r="JM166" s="69"/>
      <c r="JN166" s="69"/>
      <c r="JO166" s="69"/>
    </row>
    <row r="167" spans="129:275" x14ac:dyDescent="0.25">
      <c r="DY167" s="69"/>
      <c r="DZ167" s="69"/>
      <c r="EA167" s="69"/>
      <c r="EB167" s="69"/>
      <c r="EC167" s="69"/>
      <c r="ED167" s="69"/>
      <c r="EE167" s="69"/>
      <c r="EF167" s="69"/>
      <c r="EG167" s="69"/>
      <c r="EH167" s="69"/>
      <c r="EI167" s="69"/>
      <c r="EJ167" s="69"/>
      <c r="EK167" s="69"/>
      <c r="EL167" s="69"/>
      <c r="EM167" s="69"/>
      <c r="EN167" s="69"/>
      <c r="EO167" s="69"/>
      <c r="EP167" s="69"/>
      <c r="EQ167" s="69"/>
      <c r="ER167" s="69"/>
      <c r="ES167" s="69"/>
      <c r="ET167" s="69"/>
      <c r="EU167" s="69"/>
      <c r="EV167" s="69"/>
      <c r="EW167" s="69"/>
      <c r="EX167" s="69"/>
      <c r="EY167" s="69"/>
      <c r="IO167" s="69"/>
      <c r="IP167" s="69"/>
      <c r="IQ167" s="69"/>
      <c r="IR167" s="69"/>
      <c r="IS167" s="69"/>
      <c r="IT167" s="69"/>
      <c r="IU167" s="69"/>
      <c r="IV167" s="69"/>
      <c r="IW167" s="69"/>
      <c r="IX167" s="69"/>
      <c r="IY167" s="69"/>
      <c r="IZ167" s="69"/>
      <c r="JA167" s="69"/>
      <c r="JB167" s="69"/>
      <c r="JC167" s="69"/>
      <c r="JD167" s="69"/>
      <c r="JE167" s="69"/>
      <c r="JF167" s="69"/>
      <c r="JG167" s="69"/>
      <c r="JH167" s="69"/>
      <c r="JI167" s="69"/>
      <c r="JJ167" s="69"/>
      <c r="JK167" s="69"/>
      <c r="JL167" s="69"/>
      <c r="JM167" s="69"/>
      <c r="JN167" s="69"/>
      <c r="JO167" s="69"/>
    </row>
    <row r="168" spans="129:275" x14ac:dyDescent="0.25">
      <c r="DY168" s="69"/>
      <c r="DZ168" s="69"/>
      <c r="EA168" s="69"/>
      <c r="EB168" s="69"/>
      <c r="EC168" s="69"/>
      <c r="ED168" s="69"/>
      <c r="EE168" s="69"/>
      <c r="EF168" s="69"/>
      <c r="EG168" s="69"/>
      <c r="EH168" s="69"/>
      <c r="EI168" s="69"/>
      <c r="EJ168" s="69"/>
      <c r="EK168" s="69"/>
      <c r="EL168" s="69"/>
      <c r="EM168" s="69"/>
      <c r="EN168" s="69"/>
      <c r="EO168" s="69"/>
      <c r="EP168" s="69"/>
      <c r="EQ168" s="69"/>
      <c r="ER168" s="69"/>
      <c r="ES168" s="69"/>
      <c r="ET168" s="69"/>
      <c r="EU168" s="69"/>
      <c r="EV168" s="69"/>
      <c r="EW168" s="69"/>
      <c r="EX168" s="69"/>
      <c r="EY168" s="69"/>
      <c r="IO168" s="69"/>
      <c r="IP168" s="69"/>
      <c r="IQ168" s="69"/>
      <c r="IR168" s="69"/>
      <c r="IS168" s="69"/>
      <c r="IT168" s="69"/>
      <c r="IU168" s="69"/>
      <c r="IV168" s="69"/>
      <c r="IW168" s="69"/>
      <c r="IX168" s="69"/>
      <c r="IY168" s="69"/>
      <c r="IZ168" s="69"/>
      <c r="JA168" s="69"/>
      <c r="JB168" s="69"/>
      <c r="JC168" s="69"/>
      <c r="JD168" s="69"/>
      <c r="JE168" s="69"/>
      <c r="JF168" s="69"/>
      <c r="JG168" s="69"/>
      <c r="JH168" s="69"/>
      <c r="JI168" s="69"/>
      <c r="JJ168" s="69"/>
      <c r="JK168" s="69"/>
      <c r="JL168" s="69"/>
      <c r="JM168" s="69"/>
      <c r="JN168" s="69"/>
      <c r="JO168" s="69"/>
    </row>
    <row r="169" spans="129:275" x14ac:dyDescent="0.25">
      <c r="DY169" s="69"/>
      <c r="DZ169" s="69"/>
      <c r="EA169" s="69"/>
      <c r="EB169" s="69"/>
      <c r="EC169" s="69"/>
      <c r="ED169" s="69"/>
      <c r="EE169" s="69"/>
      <c r="EF169" s="69"/>
      <c r="EG169" s="69"/>
      <c r="EH169" s="69"/>
      <c r="EI169" s="69"/>
      <c r="EJ169" s="69"/>
      <c r="EK169" s="69"/>
      <c r="EL169" s="69"/>
      <c r="EM169" s="69"/>
      <c r="EN169" s="69"/>
      <c r="EO169" s="69"/>
      <c r="EP169" s="69"/>
      <c r="EQ169" s="69"/>
      <c r="ER169" s="69"/>
      <c r="ES169" s="69"/>
      <c r="ET169" s="69"/>
      <c r="EU169" s="69"/>
      <c r="EV169" s="69"/>
      <c r="EW169" s="69"/>
      <c r="EX169" s="69"/>
      <c r="EY169" s="69"/>
      <c r="IO169" s="69"/>
      <c r="IP169" s="69"/>
      <c r="IQ169" s="69"/>
      <c r="IR169" s="69"/>
      <c r="IS169" s="69"/>
      <c r="IT169" s="69"/>
      <c r="IU169" s="69"/>
      <c r="IV169" s="69"/>
      <c r="IW169" s="69"/>
      <c r="IX169" s="69"/>
      <c r="IY169" s="69"/>
      <c r="IZ169" s="69"/>
      <c r="JA169" s="69"/>
      <c r="JB169" s="69"/>
      <c r="JC169" s="69"/>
      <c r="JD169" s="69"/>
      <c r="JE169" s="69"/>
      <c r="JF169" s="69"/>
      <c r="JG169" s="69"/>
      <c r="JH169" s="69"/>
      <c r="JI169" s="69"/>
      <c r="JJ169" s="69"/>
      <c r="JK169" s="69"/>
      <c r="JL169" s="69"/>
      <c r="JM169" s="69"/>
      <c r="JN169" s="69"/>
      <c r="JO169" s="69"/>
    </row>
    <row r="170" spans="129:275" x14ac:dyDescent="0.25">
      <c r="DY170" s="69"/>
      <c r="DZ170" s="69"/>
      <c r="EA170" s="69"/>
      <c r="EB170" s="69"/>
      <c r="EC170" s="69"/>
      <c r="ED170" s="69"/>
      <c r="EE170" s="69"/>
      <c r="EF170" s="69"/>
      <c r="EG170" s="69"/>
      <c r="EH170" s="69"/>
      <c r="EI170" s="69"/>
      <c r="EJ170" s="69"/>
      <c r="EK170" s="69"/>
      <c r="EL170" s="69"/>
      <c r="EM170" s="69"/>
      <c r="EN170" s="69"/>
      <c r="EO170" s="69"/>
      <c r="EP170" s="69"/>
      <c r="EQ170" s="69"/>
      <c r="ER170" s="69"/>
      <c r="ES170" s="69"/>
      <c r="ET170" s="69"/>
      <c r="EU170" s="69"/>
      <c r="EV170" s="69"/>
      <c r="EW170" s="69"/>
      <c r="EX170" s="69"/>
      <c r="EY170" s="69"/>
      <c r="IO170" s="69"/>
      <c r="IP170" s="69"/>
      <c r="IQ170" s="69"/>
      <c r="IR170" s="69"/>
      <c r="IS170" s="69"/>
      <c r="IT170" s="69"/>
      <c r="IU170" s="69"/>
      <c r="IV170" s="69"/>
      <c r="IW170" s="69"/>
      <c r="IX170" s="69"/>
      <c r="IY170" s="69"/>
      <c r="IZ170" s="69"/>
      <c r="JA170" s="69"/>
      <c r="JB170" s="69"/>
      <c r="JC170" s="69"/>
      <c r="JD170" s="69"/>
      <c r="JE170" s="69"/>
      <c r="JF170" s="69"/>
      <c r="JG170" s="69"/>
      <c r="JH170" s="69"/>
      <c r="JI170" s="69"/>
      <c r="JJ170" s="69"/>
      <c r="JK170" s="69"/>
      <c r="JL170" s="69"/>
      <c r="JM170" s="69"/>
      <c r="JN170" s="69"/>
      <c r="JO170" s="69"/>
    </row>
    <row r="171" spans="129:275" x14ac:dyDescent="0.25">
      <c r="DY171" s="69"/>
      <c r="DZ171" s="69"/>
      <c r="EA171" s="69"/>
      <c r="EB171" s="69"/>
      <c r="EC171" s="69"/>
      <c r="ED171" s="69"/>
      <c r="EE171" s="69"/>
      <c r="EF171" s="69"/>
      <c r="EG171" s="69"/>
      <c r="EH171" s="69"/>
      <c r="EI171" s="69"/>
      <c r="EJ171" s="69"/>
      <c r="EK171" s="69"/>
      <c r="EL171" s="69"/>
      <c r="EM171" s="69"/>
      <c r="EN171" s="69"/>
      <c r="EO171" s="69"/>
      <c r="EP171" s="69"/>
      <c r="EQ171" s="69"/>
      <c r="ER171" s="69"/>
      <c r="ES171" s="69"/>
      <c r="ET171" s="69"/>
      <c r="EU171" s="69"/>
      <c r="EV171" s="69"/>
      <c r="EW171" s="69"/>
      <c r="EX171" s="69"/>
      <c r="EY171" s="69"/>
      <c r="IO171" s="69"/>
      <c r="IP171" s="69"/>
      <c r="IQ171" s="69"/>
      <c r="IR171" s="69"/>
      <c r="IS171" s="69"/>
      <c r="IT171" s="69"/>
      <c r="IU171" s="69"/>
      <c r="IV171" s="69"/>
      <c r="IW171" s="69"/>
      <c r="IX171" s="69"/>
      <c r="IY171" s="69"/>
      <c r="IZ171" s="69"/>
      <c r="JA171" s="69"/>
      <c r="JB171" s="69"/>
      <c r="JC171" s="69"/>
      <c r="JD171" s="69"/>
      <c r="JE171" s="69"/>
      <c r="JF171" s="69"/>
      <c r="JG171" s="69"/>
      <c r="JH171" s="69"/>
      <c r="JI171" s="69"/>
      <c r="JJ171" s="69"/>
      <c r="JK171" s="69"/>
      <c r="JL171" s="69"/>
      <c r="JM171" s="69"/>
      <c r="JN171" s="69"/>
      <c r="JO171" s="69"/>
    </row>
    <row r="172" spans="129:275" x14ac:dyDescent="0.25">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IO172" s="69"/>
      <c r="IP172" s="69"/>
      <c r="IQ172" s="69"/>
      <c r="IR172" s="69"/>
      <c r="IS172" s="69"/>
      <c r="IT172" s="69"/>
      <c r="IU172" s="69"/>
      <c r="IV172" s="69"/>
      <c r="IW172" s="69"/>
      <c r="IX172" s="69"/>
      <c r="IY172" s="69"/>
      <c r="IZ172" s="69"/>
      <c r="JA172" s="69"/>
      <c r="JB172" s="69"/>
      <c r="JC172" s="69"/>
      <c r="JD172" s="69"/>
      <c r="JE172" s="69"/>
      <c r="JF172" s="69"/>
      <c r="JG172" s="69"/>
      <c r="JH172" s="69"/>
      <c r="JI172" s="69"/>
      <c r="JJ172" s="69"/>
      <c r="JK172" s="69"/>
      <c r="JL172" s="69"/>
      <c r="JM172" s="69"/>
      <c r="JN172" s="69"/>
      <c r="JO172" s="69"/>
    </row>
    <row r="173" spans="129:275" x14ac:dyDescent="0.25">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IO173" s="69"/>
      <c r="IP173" s="69"/>
      <c r="IQ173" s="69"/>
      <c r="IR173" s="69"/>
      <c r="IS173" s="69"/>
      <c r="IT173" s="69"/>
      <c r="IU173" s="69"/>
      <c r="IV173" s="69"/>
      <c r="IW173" s="69"/>
      <c r="IX173" s="69"/>
      <c r="IY173" s="69"/>
      <c r="IZ173" s="69"/>
      <c r="JA173" s="69"/>
      <c r="JB173" s="69"/>
      <c r="JC173" s="69"/>
      <c r="JD173" s="69"/>
      <c r="JE173" s="69"/>
      <c r="JF173" s="69"/>
      <c r="JG173" s="69"/>
      <c r="JH173" s="69"/>
      <c r="JI173" s="69"/>
      <c r="JJ173" s="69"/>
      <c r="JK173" s="69"/>
      <c r="JL173" s="69"/>
      <c r="JM173" s="69"/>
      <c r="JN173" s="69"/>
      <c r="JO173" s="69"/>
    </row>
    <row r="174" spans="129:275" x14ac:dyDescent="0.25">
      <c r="DY174" s="69"/>
      <c r="DZ174" s="69"/>
      <c r="EA174" s="69"/>
      <c r="EB174" s="69"/>
      <c r="EC174" s="69"/>
      <c r="ED174" s="69"/>
      <c r="EE174" s="69"/>
      <c r="EF174" s="69"/>
      <c r="EG174" s="69"/>
      <c r="EH174" s="69"/>
      <c r="EI174" s="69"/>
      <c r="EJ174" s="69"/>
      <c r="EK174" s="69"/>
      <c r="EL174" s="69"/>
      <c r="EM174" s="69"/>
      <c r="EN174" s="69"/>
      <c r="EO174" s="69"/>
      <c r="EP174" s="69"/>
      <c r="EQ174" s="69"/>
      <c r="ER174" s="69"/>
      <c r="ES174" s="69"/>
      <c r="ET174" s="69"/>
      <c r="EU174" s="69"/>
      <c r="EV174" s="69"/>
      <c r="EW174" s="69"/>
      <c r="EX174" s="69"/>
      <c r="EY174" s="69"/>
      <c r="IO174" s="69"/>
      <c r="IP174" s="69"/>
      <c r="IQ174" s="69"/>
      <c r="IR174" s="69"/>
      <c r="IS174" s="69"/>
      <c r="IT174" s="69"/>
      <c r="IU174" s="69"/>
      <c r="IV174" s="69"/>
      <c r="IW174" s="69"/>
      <c r="IX174" s="69"/>
      <c r="IY174" s="69"/>
      <c r="IZ174" s="69"/>
      <c r="JA174" s="69"/>
      <c r="JB174" s="69"/>
      <c r="JC174" s="69"/>
      <c r="JD174" s="69"/>
      <c r="JE174" s="69"/>
      <c r="JF174" s="69"/>
      <c r="JG174" s="69"/>
      <c r="JH174" s="69"/>
      <c r="JI174" s="69"/>
      <c r="JJ174" s="69"/>
      <c r="JK174" s="69"/>
      <c r="JL174" s="69"/>
      <c r="JM174" s="69"/>
      <c r="JN174" s="69"/>
      <c r="JO174" s="69"/>
    </row>
    <row r="175" spans="129:275" x14ac:dyDescent="0.25">
      <c r="DY175" s="69"/>
      <c r="DZ175" s="69"/>
      <c r="EA175" s="69"/>
      <c r="EB175" s="69"/>
      <c r="EC175" s="69"/>
      <c r="ED175" s="69"/>
      <c r="EE175" s="69"/>
      <c r="EF175" s="69"/>
      <c r="EG175" s="69"/>
      <c r="EH175" s="69"/>
      <c r="EI175" s="69"/>
      <c r="EJ175" s="69"/>
      <c r="EK175" s="69"/>
      <c r="EL175" s="69"/>
      <c r="EM175" s="69"/>
      <c r="EN175" s="69"/>
      <c r="EO175" s="69"/>
      <c r="EP175" s="69"/>
      <c r="EQ175" s="69"/>
      <c r="ER175" s="69"/>
      <c r="ES175" s="69"/>
      <c r="ET175" s="69"/>
      <c r="EU175" s="69"/>
      <c r="EV175" s="69"/>
      <c r="EW175" s="69"/>
      <c r="EX175" s="69"/>
      <c r="EY175" s="69"/>
      <c r="IO175" s="69"/>
      <c r="IP175" s="69"/>
      <c r="IQ175" s="69"/>
      <c r="IR175" s="69"/>
      <c r="IS175" s="69"/>
      <c r="IT175" s="69"/>
      <c r="IU175" s="69"/>
      <c r="IV175" s="69"/>
      <c r="IW175" s="69"/>
      <c r="IX175" s="69"/>
      <c r="IY175" s="69"/>
      <c r="IZ175" s="69"/>
      <c r="JA175" s="69"/>
      <c r="JB175" s="69"/>
      <c r="JC175" s="69"/>
      <c r="JD175" s="69"/>
      <c r="JE175" s="69"/>
      <c r="JF175" s="69"/>
      <c r="JG175" s="69"/>
      <c r="JH175" s="69"/>
      <c r="JI175" s="69"/>
      <c r="JJ175" s="69"/>
      <c r="JK175" s="69"/>
      <c r="JL175" s="69"/>
      <c r="JM175" s="69"/>
      <c r="JN175" s="69"/>
      <c r="JO175" s="69"/>
    </row>
    <row r="176" spans="129:275" x14ac:dyDescent="0.25">
      <c r="DY176" s="69"/>
      <c r="DZ176" s="69"/>
      <c r="EA176" s="69"/>
      <c r="EB176" s="69"/>
      <c r="EC176" s="69"/>
      <c r="ED176" s="69"/>
      <c r="EE176" s="69"/>
      <c r="EF176" s="69"/>
      <c r="EG176" s="69"/>
      <c r="EH176" s="69"/>
      <c r="EI176" s="69"/>
      <c r="EJ176" s="69"/>
      <c r="EK176" s="69"/>
      <c r="EL176" s="69"/>
      <c r="EM176" s="69"/>
      <c r="EN176" s="69"/>
      <c r="EO176" s="69"/>
      <c r="EP176" s="69"/>
      <c r="EQ176" s="69"/>
      <c r="ER176" s="69"/>
      <c r="ES176" s="69"/>
      <c r="ET176" s="69"/>
      <c r="EU176" s="69"/>
      <c r="EV176" s="69"/>
      <c r="EW176" s="69"/>
      <c r="EX176" s="69"/>
      <c r="EY176" s="69"/>
      <c r="IO176" s="69"/>
      <c r="IP176" s="69"/>
      <c r="IQ176" s="69"/>
      <c r="IR176" s="69"/>
      <c r="IS176" s="69"/>
      <c r="IT176" s="69"/>
      <c r="IU176" s="69"/>
      <c r="IV176" s="69"/>
      <c r="IW176" s="69"/>
      <c r="IX176" s="69"/>
      <c r="IY176" s="69"/>
      <c r="IZ176" s="69"/>
      <c r="JA176" s="69"/>
      <c r="JB176" s="69"/>
      <c r="JC176" s="69"/>
      <c r="JD176" s="69"/>
      <c r="JE176" s="69"/>
      <c r="JF176" s="69"/>
      <c r="JG176" s="69"/>
      <c r="JH176" s="69"/>
      <c r="JI176" s="69"/>
      <c r="JJ176" s="69"/>
      <c r="JK176" s="69"/>
      <c r="JL176" s="69"/>
      <c r="JM176" s="69"/>
      <c r="JN176" s="69"/>
      <c r="JO176" s="69"/>
    </row>
    <row r="177" spans="129:275" x14ac:dyDescent="0.25">
      <c r="DY177" s="69"/>
      <c r="DZ177" s="69"/>
      <c r="EA177" s="69"/>
      <c r="EB177" s="69"/>
      <c r="EC177" s="69"/>
      <c r="ED177" s="69"/>
      <c r="EE177" s="69"/>
      <c r="EF177" s="69"/>
      <c r="EG177" s="69"/>
      <c r="EH177" s="69"/>
      <c r="EI177" s="69"/>
      <c r="EJ177" s="69"/>
      <c r="EK177" s="69"/>
      <c r="EL177" s="69"/>
      <c r="EM177" s="69"/>
      <c r="EN177" s="69"/>
      <c r="EO177" s="69"/>
      <c r="EP177" s="69"/>
      <c r="EQ177" s="69"/>
      <c r="ER177" s="69"/>
      <c r="ES177" s="69"/>
      <c r="ET177" s="69"/>
      <c r="EU177" s="69"/>
      <c r="EV177" s="69"/>
      <c r="EW177" s="69"/>
      <c r="EX177" s="69"/>
      <c r="EY177" s="69"/>
      <c r="IO177" s="69"/>
      <c r="IP177" s="69"/>
      <c r="IQ177" s="69"/>
      <c r="IR177" s="69"/>
      <c r="IS177" s="69"/>
      <c r="IT177" s="69"/>
      <c r="IU177" s="69"/>
      <c r="IV177" s="69"/>
      <c r="IW177" s="69"/>
      <c r="IX177" s="69"/>
      <c r="IY177" s="69"/>
      <c r="IZ177" s="69"/>
      <c r="JA177" s="69"/>
      <c r="JB177" s="69"/>
      <c r="JC177" s="69"/>
      <c r="JD177" s="69"/>
      <c r="JE177" s="69"/>
      <c r="JF177" s="69"/>
      <c r="JG177" s="69"/>
      <c r="JH177" s="69"/>
      <c r="JI177" s="69"/>
      <c r="JJ177" s="69"/>
      <c r="JK177" s="69"/>
      <c r="JL177" s="69"/>
      <c r="JM177" s="69"/>
      <c r="JN177" s="69"/>
      <c r="JO177" s="69"/>
    </row>
    <row r="178" spans="129:275" x14ac:dyDescent="0.25">
      <c r="DY178" s="69"/>
      <c r="DZ178" s="69"/>
      <c r="EA178" s="69"/>
      <c r="EB178" s="69"/>
      <c r="EC178" s="69"/>
      <c r="ED178" s="69"/>
      <c r="EE178" s="69"/>
      <c r="EF178" s="69"/>
      <c r="EG178" s="69"/>
      <c r="EH178" s="69"/>
      <c r="EI178" s="69"/>
      <c r="EJ178" s="69"/>
      <c r="EK178" s="69"/>
      <c r="EL178" s="69"/>
      <c r="EM178" s="69"/>
      <c r="EN178" s="69"/>
      <c r="EO178" s="69"/>
      <c r="EP178" s="69"/>
      <c r="EQ178" s="69"/>
      <c r="ER178" s="69"/>
      <c r="ES178" s="69"/>
      <c r="ET178" s="69"/>
      <c r="EU178" s="69"/>
      <c r="EV178" s="69"/>
      <c r="EW178" s="69"/>
      <c r="EX178" s="69"/>
      <c r="EY178" s="69"/>
      <c r="IO178" s="69"/>
      <c r="IP178" s="69"/>
      <c r="IQ178" s="69"/>
      <c r="IR178" s="69"/>
      <c r="IS178" s="69"/>
      <c r="IT178" s="69"/>
      <c r="IU178" s="69"/>
      <c r="IV178" s="69"/>
      <c r="IW178" s="69"/>
      <c r="IX178" s="69"/>
      <c r="IY178" s="69"/>
      <c r="IZ178" s="69"/>
      <c r="JA178" s="69"/>
      <c r="JB178" s="69"/>
      <c r="JC178" s="69"/>
      <c r="JD178" s="69"/>
      <c r="JE178" s="69"/>
      <c r="JF178" s="69"/>
      <c r="JG178" s="69"/>
      <c r="JH178" s="69"/>
      <c r="JI178" s="69"/>
      <c r="JJ178" s="69"/>
      <c r="JK178" s="69"/>
      <c r="JL178" s="69"/>
      <c r="JM178" s="69"/>
      <c r="JN178" s="69"/>
      <c r="JO178" s="69"/>
    </row>
    <row r="179" spans="129:275" x14ac:dyDescent="0.25">
      <c r="DY179" s="69"/>
      <c r="DZ179" s="69"/>
      <c r="EA179" s="69"/>
      <c r="EB179" s="69"/>
      <c r="EC179" s="69"/>
      <c r="ED179" s="69"/>
      <c r="EE179" s="69"/>
      <c r="EF179" s="69"/>
      <c r="EG179" s="69"/>
      <c r="EH179" s="69"/>
      <c r="EI179" s="69"/>
      <c r="EJ179" s="69"/>
      <c r="EK179" s="69"/>
      <c r="EL179" s="69"/>
      <c r="EM179" s="69"/>
      <c r="EN179" s="69"/>
      <c r="EO179" s="69"/>
      <c r="EP179" s="69"/>
      <c r="EQ179" s="69"/>
      <c r="ER179" s="69"/>
      <c r="ES179" s="69"/>
      <c r="ET179" s="69"/>
      <c r="EU179" s="69"/>
      <c r="EV179" s="69"/>
      <c r="EW179" s="69"/>
      <c r="EX179" s="69"/>
      <c r="EY179" s="69"/>
      <c r="IO179" s="69"/>
      <c r="IP179" s="69"/>
      <c r="IQ179" s="69"/>
      <c r="IR179" s="69"/>
      <c r="IS179" s="69"/>
      <c r="IT179" s="69"/>
      <c r="IU179" s="69"/>
      <c r="IV179" s="69"/>
      <c r="IW179" s="69"/>
      <c r="IX179" s="69"/>
      <c r="IY179" s="69"/>
      <c r="IZ179" s="69"/>
      <c r="JA179" s="69"/>
      <c r="JB179" s="69"/>
      <c r="JC179" s="69"/>
      <c r="JD179" s="69"/>
      <c r="JE179" s="69"/>
      <c r="JF179" s="69"/>
      <c r="JG179" s="69"/>
      <c r="JH179" s="69"/>
      <c r="JI179" s="69"/>
      <c r="JJ179" s="69"/>
      <c r="JK179" s="69"/>
      <c r="JL179" s="69"/>
      <c r="JM179" s="69"/>
      <c r="JN179" s="69"/>
      <c r="JO179" s="69"/>
    </row>
    <row r="180" spans="129:275" x14ac:dyDescent="0.25">
      <c r="DY180" s="69"/>
      <c r="DZ180" s="69"/>
      <c r="EA180" s="69"/>
      <c r="EB180" s="69"/>
      <c r="EC180" s="69"/>
      <c r="ED180" s="69"/>
      <c r="EE180" s="69"/>
      <c r="EF180" s="69"/>
      <c r="EG180" s="69"/>
      <c r="EH180" s="69"/>
      <c r="EI180" s="69"/>
      <c r="EJ180" s="69"/>
      <c r="EK180" s="69"/>
      <c r="EL180" s="69"/>
      <c r="EM180" s="69"/>
      <c r="EN180" s="69"/>
      <c r="EO180" s="69"/>
      <c r="EP180" s="69"/>
      <c r="EQ180" s="69"/>
      <c r="ER180" s="69"/>
      <c r="ES180" s="69"/>
      <c r="ET180" s="69"/>
      <c r="EU180" s="69"/>
      <c r="EV180" s="69"/>
      <c r="EW180" s="69"/>
      <c r="EX180" s="69"/>
      <c r="EY180" s="69"/>
      <c r="IO180" s="69"/>
      <c r="IP180" s="69"/>
      <c r="IQ180" s="69"/>
      <c r="IR180" s="69"/>
      <c r="IS180" s="69"/>
      <c r="IT180" s="69"/>
      <c r="IU180" s="69"/>
      <c r="IV180" s="69"/>
      <c r="IW180" s="69"/>
      <c r="IX180" s="69"/>
      <c r="IY180" s="69"/>
      <c r="IZ180" s="69"/>
      <c r="JA180" s="69"/>
      <c r="JB180" s="69"/>
      <c r="JC180" s="69"/>
      <c r="JD180" s="69"/>
      <c r="JE180" s="69"/>
      <c r="JF180" s="69"/>
      <c r="JG180" s="69"/>
      <c r="JH180" s="69"/>
      <c r="JI180" s="69"/>
      <c r="JJ180" s="69"/>
      <c r="JK180" s="69"/>
      <c r="JL180" s="69"/>
      <c r="JM180" s="69"/>
      <c r="JN180" s="69"/>
      <c r="JO180" s="69"/>
    </row>
    <row r="181" spans="129:275" x14ac:dyDescent="0.25">
      <c r="DY181" s="69"/>
      <c r="DZ181" s="69"/>
      <c r="EA181" s="69"/>
      <c r="EB181" s="69"/>
      <c r="EC181" s="69"/>
      <c r="ED181" s="69"/>
      <c r="EE181" s="69"/>
      <c r="EF181" s="69"/>
      <c r="EG181" s="69"/>
      <c r="EH181" s="69"/>
      <c r="EI181" s="69"/>
      <c r="EJ181" s="69"/>
      <c r="EK181" s="69"/>
      <c r="EL181" s="69"/>
      <c r="EM181" s="69"/>
      <c r="EN181" s="69"/>
      <c r="EO181" s="69"/>
      <c r="EP181" s="69"/>
      <c r="EQ181" s="69"/>
      <c r="ER181" s="69"/>
      <c r="ES181" s="69"/>
      <c r="ET181" s="69"/>
      <c r="EU181" s="69"/>
      <c r="EV181" s="69"/>
      <c r="EW181" s="69"/>
      <c r="EX181" s="69"/>
      <c r="EY181" s="69"/>
      <c r="IO181" s="69"/>
      <c r="IP181" s="69"/>
      <c r="IQ181" s="69"/>
      <c r="IR181" s="69"/>
      <c r="IS181" s="69"/>
      <c r="IT181" s="69"/>
      <c r="IU181" s="69"/>
      <c r="IV181" s="69"/>
      <c r="IW181" s="69"/>
      <c r="IX181" s="69"/>
      <c r="IY181" s="69"/>
      <c r="IZ181" s="69"/>
      <c r="JA181" s="69"/>
      <c r="JB181" s="69"/>
      <c r="JC181" s="69"/>
      <c r="JD181" s="69"/>
      <c r="JE181" s="69"/>
      <c r="JF181" s="69"/>
      <c r="JG181" s="69"/>
      <c r="JH181" s="69"/>
      <c r="JI181" s="69"/>
      <c r="JJ181" s="69"/>
      <c r="JK181" s="69"/>
      <c r="JL181" s="69"/>
      <c r="JM181" s="69"/>
      <c r="JN181" s="69"/>
      <c r="JO181" s="69"/>
    </row>
    <row r="182" spans="129:275" x14ac:dyDescent="0.25">
      <c r="IO182" s="69"/>
      <c r="IP182" s="69"/>
      <c r="IQ182" s="69"/>
      <c r="IR182" s="69"/>
      <c r="IS182" s="69"/>
      <c r="IT182" s="69"/>
      <c r="IU182" s="69"/>
      <c r="IV182" s="69"/>
      <c r="IW182" s="69"/>
      <c r="IX182" s="69"/>
      <c r="IY182" s="69"/>
      <c r="IZ182" s="69"/>
      <c r="JA182" s="69"/>
      <c r="JB182" s="69"/>
      <c r="JC182" s="69"/>
      <c r="JD182" s="69"/>
      <c r="JE182" s="69"/>
      <c r="JF182" s="69"/>
      <c r="JG182" s="69"/>
      <c r="JH182" s="69"/>
      <c r="JI182" s="69"/>
      <c r="JJ182" s="69"/>
      <c r="JK182" s="69"/>
      <c r="JL182" s="69"/>
      <c r="JM182" s="69"/>
      <c r="JN182" s="69"/>
      <c r="JO182" s="69"/>
    </row>
    <row r="183" spans="129:275" x14ac:dyDescent="0.25">
      <c r="IO183" s="69"/>
      <c r="IP183" s="69"/>
      <c r="IQ183" s="69"/>
      <c r="IR183" s="69"/>
      <c r="IS183" s="69"/>
      <c r="IT183" s="69"/>
      <c r="IU183" s="69"/>
      <c r="IV183" s="69"/>
      <c r="IW183" s="69"/>
      <c r="IX183" s="69"/>
      <c r="IY183" s="69"/>
      <c r="IZ183" s="69"/>
      <c r="JA183" s="69"/>
      <c r="JB183" s="69"/>
      <c r="JC183" s="69"/>
      <c r="JD183" s="69"/>
      <c r="JE183" s="69"/>
      <c r="JF183" s="69"/>
      <c r="JG183" s="69"/>
      <c r="JH183" s="69"/>
      <c r="JI183" s="69"/>
      <c r="JJ183" s="69"/>
      <c r="JK183" s="69"/>
      <c r="JL183" s="69"/>
      <c r="JM183" s="69"/>
      <c r="JN183" s="69"/>
      <c r="JO183" s="69"/>
    </row>
  </sheetData>
  <sortState ref="A67:XFD123">
    <sortCondition ref="DW67"/>
  </sortState>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vt:i4>
      </vt:variant>
    </vt:vector>
  </HeadingPairs>
  <TitlesOfParts>
    <vt:vector size="70" baseType="lpstr">
      <vt:lpstr>Summary</vt:lpstr>
      <vt:lpstr>Rate History</vt:lpstr>
      <vt:lpstr>FTSE Summary</vt:lpstr>
      <vt:lpstr>Discipline Summary</vt:lpstr>
      <vt:lpstr>Discipline Analysis</vt:lpstr>
      <vt:lpstr>Neutral</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Data</vt:lpstr>
      <vt:lpstr>'Discipline Analysis'!Print_Area</vt:lpstr>
      <vt:lpstr>'Discipline Analysis'!Print_Titles</vt:lpstr>
      <vt:lpstr>'Discipline Summary'!Print_Titles</vt:lpstr>
      <vt:lpstr>'FTSE Summary'!Print_Titles</vt:lpstr>
      <vt:lpstr>Neutral!Print_Titles</vt:lpstr>
      <vt:lpstr>'Rate History'!Print_Titles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and Technical College</dc:title>
  <dc:subject>Expenditure Study</dc:subject>
  <dc:creator>Paul Turcotte</dc:creator>
  <cp:lastModifiedBy>Paul Turcotte</cp:lastModifiedBy>
  <cp:lastPrinted>2012-11-12T15:51:18Z</cp:lastPrinted>
  <dcterms:created xsi:type="dcterms:W3CDTF">2012-11-10T05:06:36Z</dcterms:created>
  <dcterms:modified xsi:type="dcterms:W3CDTF">2012-11-26T19:19:14Z</dcterms:modified>
</cp:coreProperties>
</file>