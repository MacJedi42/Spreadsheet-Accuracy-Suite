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<sst xmlns="http://schemas.openxmlformats.org/spreadsheetml/2006/main" count="533" uniqueCount="402">
  <si>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</si>
  <si>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</si>
  <si>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</si>
  <si>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</si>
  <si>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</si>
  <si>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</si>
  <si>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</si>
  <si>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</si>
  <si>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</si>
  <si>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</si>
  <si>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</si>
  <si>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</si>
  <si>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</si>
  <si>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</si>
  <si>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</si>
  <si>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</si>
  <si>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</si>
  <si>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</si>
  <si>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</si>
  <si>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</si>
  <si>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</si>
  <si>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</si>
  <si>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</si>
  <si>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</si>
  <si>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</si>
  <si>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</si>
  <si>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</si>
  <si>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</si>
  <si>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</si>
  <si>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</si>
  <si>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</si>
  <si>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</si>
  <si>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</si>
  <si>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</si>
  <si>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</si>
  <si>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</si>
  <si>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</si>
  <si>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</si>
  <si>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</si>
  <si>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</si>
  <si>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</si>
  <si>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</si>
  <si>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</si>
  <si>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</si>
  <si>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</si>
  <si>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</si>
  <si>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</si>
  <si>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</si>
  <si>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</si>
  <si>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</si>
  <si>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</si>
  <si>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</si>
  <si>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</si>
  <si>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</si>
  <si>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</si>
  <si>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</si>
  <si>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</si>
  <si>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</si>
  <si>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</si>
  <si>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</si>
  <si>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</si>
  <si>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</si>
  <si>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</si>
  <si>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</si>
  <si>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</si>
  <si>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</si>
  <si>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</si>
  <si>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</si>
  <si>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</si>
  <si>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</si>
  <si>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</si>
  <si>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</si>
  <si>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</si>
  <si>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</si>
  <si>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</si>
  <si>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</si>
  <si>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</si>
  <si>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</si>
  <si>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</si>
  <si>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</si>
  <si>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</si>
  <si>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</si>
  <si>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</si>
  <si>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</si>
  <si>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</si>
  <si>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</si>
  <si>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</si>
  <si>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</si>
  <si>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</si>
  <si>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</si>
  <si>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</si>
  <si>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</si>
  <si>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</si>
  <si>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</si>
  <si>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</si>
  <si>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</si>
  <si>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</si>
  <si>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</si>
  <si>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</si>
  <si>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</si>
  <si>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</si>
  <si>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</si>
  <si>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</si>
  <si>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</si>
  <si>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</si>
  <si>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</si>
  <si>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</si>
  <si>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</si>
  <si>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</si>
  <si>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</si>
  <si>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</si>
  <si>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</si>
  <si>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</si>
  <si>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</si>
  <si>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</si>
  <si>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</si>
  <si>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</si>
  <si>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</si>
  <si>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</si>
  <si>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</si>
  <si>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</si>
  <si>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</si>
  <si>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</si>
  <si>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</si>
  <si>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</si>
  <si>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</si>
  <si>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</si>
  <si>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</si>
  <si>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</si>
  <si>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</si>
  <si>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</si>
  <si>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</si>
  <si>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</si>
  <si>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</si>
  <si>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</si>
  <si>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</si>
  <si>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</si>
  <si>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</si>
  <si>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</si>
  <si>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</si>
  <si>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</si>
  <si>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</si>
  <si>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</si>
  <si>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</si>
  <si>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</si>
  <si>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</si>
  <si>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</si>
  <si>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</si>
  <si>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</si>
  <si>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</si>
  <si>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</si>
  <si>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</si>
  <si>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</si>
  <si>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</si>
  <si>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</si>
  <si>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</si>
  <si>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</si>
  <si>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</si>
  <si>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</si>
  <si>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</si>
  <si>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</si>
  <si>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</si>
  <si>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</si>
  <si>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</si>
  <si>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</si>
  <si>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</si>
  <si>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</si>
  <si>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</si>
  <si>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</si>
  <si>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</si>
  <si>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</si>
  <si>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</si>
  <si>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</si>
  <si>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</si>
  <si>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</si>
  <si>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</si>
  <si>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</si>
  <si>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</si>
  <si>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</si>
  <si>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</si>
  <si>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</si>
  <si>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</si>
  <si>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</si>
  <si>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</si>
  <si>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</si>
  <si>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</si>
  <si>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</si>
  <si>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</si>
  <si>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</si>
  <si>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</si>
  <si>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</si>
  <si>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</si>
  <si>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</si>
  <si>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</si>
  <si>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</si>
  <si>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</si>
  <si>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</si>
  <si>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</si>
  <si>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</si>
  <si>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</si>
  <si>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</si>
  <si>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</si>
  <si>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</si>
  <si>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</si>
  <si>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</si>
  <si>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</si>
  <si>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</si>
  <si>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</si>
  <si>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</si>
  <si>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</si>
  <si>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</si>
  <si>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</si>
  <si>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</si>
  <si>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</si>
  <si>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</si>
  <si>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</si>
  <si>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</si>
  <si>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</si>
  <si>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</si>
  <si>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</si>
  <si>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</si>
  <si>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</si>
  <si>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</si>
  <si>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</si>
  <si>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</si>
  <si>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</si>
  <si>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</si>
  <si>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</si>
  <si>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</si>
  <si>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</si>
  <si>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</si>
  <si>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</si>
  <si>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</si>
  <si>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</si>
  <si>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</si>
  <si>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</si>
  <si>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</si>
  <si>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</si>
  <si>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</si>
  <si>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</si>
  <si>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</si>
  <si>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</si>
  <si>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</si>
  <si>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</si>
  <si>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</si>
  <si>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</si>
  <si>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</si>
  <si>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</si>
  <si>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</si>
  <si>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</si>
  <si>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</si>
  <si>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</si>
  <si>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</si>
  <si>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</si>
  <si>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</si>
  <si>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</si>
  <si>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</si>
  <si>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</si>
  <si>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</si>
  <si>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</si>
  <si>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</si>
  <si>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</si>
  <si>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</si>
  <si>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</si>
  <si>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</si>
  <si>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</si>
  <si>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</si>
  <si>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</si>
  <si>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</si>
  <si>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</si>
  <si>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</si>
  <si>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</si>
  <si>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</si>
  <si>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</si>
  <si>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</si>
  <si>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</si>
  <si>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</si>
  <si>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</si>
  <si>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</si>
  <si>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</si>
  <si>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</si>
  <si>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</si>
  <si>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</si>
  <si>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</si>
  <si>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</si>
  <si>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</si>
  <si>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</si>
  <si>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</si>
  <si>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</si>
  <si>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</si>
  <si>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</si>
  <si>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</si>
  <si>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</si>
  <si>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</si>
  <si>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</si>
  <si>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</si>
  <si>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</si>
  <si>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</si>
  <si>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</si>
  <si>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</si>
  <si>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</si>
  <si>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</si>
  <si>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</si>
  <si>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</si>
  <si>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</si>
  <si>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</si>
  <si>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</si>
  <si>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</si>
  <si>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</si>
  <si>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</si>
  <si>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</si>
  <si>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</si>
  <si>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</si>
  <si>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</si>
  <si>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</si>
  <si>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</si>
  <si>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</si>
  <si>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</si>
  <si>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</si>
  <si>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</si>
  <si>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</si>
  <si>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</si>
  <si>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</si>
  <si>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</si>
  <si>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</si>
  <si>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</si>
  <si>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</si>
  <si>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</si>
  <si>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</si>
  <si>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</si>
  <si>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</si>
  <si>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</si>
  <si>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</si>
  <si>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</si>
  <si>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</si>
  <si>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</si>
  <si>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</si>
  <si>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</si>
  <si>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</si>
  <si>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</si>
  <si>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</si>
  <si>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</si>
  <si>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</si>
  <si>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</si>
  <si>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</si>
  <si>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</si>
  <si>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</si>
  <si>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</si>
  <si>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</si>
  <si>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</si>
  <si>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</si>
  <si>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</si>
  <si>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</si>
  <si>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</si>
  <si>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</si>
  <si>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</si>
  <si>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</si>
  <si>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</si>
  <si>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</si>
  <si>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</si>
  <si>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</si>
  <si>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</si>
  <si>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</si>
  <si>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</si>
  <si>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</si>
  <si>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</si>
  <si>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</si>
  <si>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</si>
  <si>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</si>
  <si>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</si>
  <si>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</si>
  <si>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</si>
  <si>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</si>
  <si>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</si>
  <si>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</si>
  <si>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</si>
  <si>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</si>
  <si>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</si>
  <si>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</si>
  <si>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</si>
  <si>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</si>
  <si>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</si>
  <si>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</si>
  <si>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</si>
  <si>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</si>
  <si>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</si>
  <si>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</si>
  <si>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</si>
  <si>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</si>
  <si>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</si>
  <si>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</si>
  <si>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</si>
  <si>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</si>
  <si>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</si>
  <si>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</si>
  <si>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WQ0031506</t>
  </si>
  <si>
    <t>Mason Farm WWTP</t>
  </si>
  <si>
    <t>Continuous</t>
  </si>
  <si>
    <t>5 x Week</t>
  </si>
  <si>
    <t>Weekly</t>
  </si>
  <si>
    <t>6-9</t>
  </si>
  <si>
    <t>See Permit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</si>
</sst>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154</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v>80082</v>
      </c>
      <c r="F3" s="46" t="s">
        <v>27</v>
      </c>
      <c r="G3" s="18" t="s">
        <v>19</v>
      </c>
      <c r="H3" s="46" t="s">
        <v>48</v>
      </c>
      <c r="I3" s="18" t="s">
        <v>33</v>
      </c>
      <c r="J3" s="46" t="s">
        <v>45</v>
      </c>
      <c r="K3" s="18" t="s">
        <v>57</v>
      </c>
      <c r="L3" s="46"/>
      <c r="M3" s="18"/>
      <c r="N3" s="46"/>
      <c r="O3" s="18"/>
      <c r="P3" s="46"/>
      <c r="Q3" s="18"/>
      <c r="R3" s="46"/>
      <c r="S3" s="28"/>
    </row>
    <row r="4" spans="1:20" ht="71.25" customHeight="1">
      <c r="A4" s="98" t="s">
        <v>69</v>
      </c>
      <c r="B4" s="15" t="s">
        <v>379</v>
      </c>
      <c r="C4" s="16" t="s">
        <v>380</v>
      </c>
      <c r="D4" s="36" t="s">
        <v>230</v>
      </c>
      <c r="E4" s="47" t="str">
        <f>IF(ISBLANK(E$3), " ", VLOOKUP(E$3,'PCS Parameter Codes'!$A$1:$D$76,2,FALSE))</f>
        <v>Carbonaceous BOD</v>
      </c>
      <c r="F4" s="48" t="str">
        <f>IF(ISBLANK(F$3), " ", VLOOKUP(F$3,'PCS Parameter Codes'!$A$1:$D$76,2,FALSE))</f>
        <v>Fecal Coliform</v>
      </c>
      <c r="G4" s="47" t="str">
        <f>IF(ISBLANK(G$3), " ", VLOOKUP(G$3,'PCS Parameter Codes'!$A$1:$D$76,2,FALSE))</f>
        <v>Nitrite + Nitrate</v>
      </c>
      <c r="H4" s="48" t="str">
        <f>IF(ISBLANK(H$3), " ", VLOOKUP(H$3,'PCS Parameter Codes'!$A$1:$D$76,2,FALSE))</f>
        <v>Ammonia</v>
      </c>
      <c r="I4" s="47" t="str">
        <f>IF(ISBLANK(I$3), " ", VLOOKUP(I$3,'PCS Parameter Codes'!$A$1:$D$76,2,FALSE))</f>
        <v>pH</v>
      </c>
      <c r="J4" s="48" t="str">
        <f>IF(ISBLANK(J$3), " ", VLOOKUP(J$3,'PCS Parameter Codes'!$A$1:$D$76,2,FALSE))</f>
        <v>Total Suspended Solids</v>
      </c>
      <c r="K4" s="47" t="str">
        <f>IF(ISBLANK(K$3), " ", VLOOKUP(K$3,'PCS Parameter Codes'!$A$1:$D$76,2,FALSE))</f>
        <v>Turbidity</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NTU</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364</v>
      </c>
      <c r="G40" s="61" t="s">
        <v>363</v>
      </c>
      <c r="H40" s="60" t="s">
        <v>363</v>
      </c>
      <c r="I40" s="61" t="s">
        <v>364</v>
      </c>
      <c r="J40" s="60" t="s">
        <v>363</v>
      </c>
      <c r="K40" s="61" t="s">
        <v>365</v>
      </c>
      <c r="L40" s="60"/>
      <c r="M40" s="61"/>
      <c r="N40" s="60"/>
      <c r="O40" s="61"/>
      <c r="P40" s="60"/>
      <c r="Q40" s="61"/>
      <c r="R40" s="60"/>
      <c r="S40" s="62"/>
    </row>
    <row r="41" spans="1:19" ht="15" customHeight="1">
      <c r="A41" s="100" t="s">
        <v>373</v>
      </c>
      <c r="B41" s="101"/>
      <c r="C41" s="102"/>
      <c r="D41" s="65"/>
      <c r="E41" s="6">
        <v>10</v>
      </c>
      <c r="F41" s="63">
        <v>14</v>
      </c>
      <c r="G41" s="6"/>
      <c r="H41" s="63">
        <v>4</v>
      </c>
      <c r="I41" s="6"/>
      <c r="J41" s="63">
        <v>5</v>
      </c>
      <c r="K41" s="6"/>
      <c r="L41" s="63"/>
      <c r="M41" s="6"/>
      <c r="N41" s="63"/>
      <c r="O41" s="6"/>
      <c r="P41" s="63"/>
      <c r="Q41" s="6"/>
      <c r="R41" s="63"/>
      <c r="S41" s="54"/>
    </row>
    <row r="42" spans="1:19" ht="15" customHeight="1">
      <c r="A42" s="80" t="s">
        <v>374</v>
      </c>
      <c r="B42" s="83"/>
      <c r="C42" s="84"/>
      <c r="D42" s="65"/>
      <c r="E42" s="6">
        <v>15</v>
      </c>
      <c r="F42" s="63">
        <v>25</v>
      </c>
      <c r="G42" s="6"/>
      <c r="H42" s="63">
        <v>6</v>
      </c>
      <c r="I42" s="195" t="s">
        <v>400</v>
      </c>
      <c r="J42" s="63">
        <v>10</v>
      </c>
      <c r="K42" s="6">
        <v>10</v>
      </c>
      <c r="L42" s="63"/>
      <c r="M42" s="6"/>
      <c r="N42" s="63"/>
      <c r="O42" s="6"/>
      <c r="P42" s="63"/>
      <c r="Q42" s="6"/>
      <c r="R42" s="63"/>
      <c r="S42" s="54"/>
    </row>
    <row r="43" spans="1:19" ht="15" customHeight="1">
      <c r="A43" s="80" t="s">
        <v>375</v>
      </c>
      <c r="B43" s="81"/>
      <c r="C43" s="82"/>
      <c r="D43" s="66" t="s">
        <v>397</v>
      </c>
      <c r="E43" s="67" t="s">
        <v>398</v>
      </c>
      <c r="F43" s="68" t="s">
        <v>398</v>
      </c>
      <c r="G43" s="67" t="s">
        <v>399</v>
      </c>
      <c r="H43" s="68" t="s">
        <v>399</v>
      </c>
      <c r="I43" s="67" t="s">
        <v>398</v>
      </c>
      <c r="J43" s="68" t="s">
        <v>398</v>
      </c>
      <c r="K43" s="67" t="s">
        <v>397</v>
      </c>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154</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63"/>
      <c r="M42" s="6"/>
      <c r="N42" s="63"/>
      <c r="O42" s="6"/>
      <c r="P42" s="63"/>
      <c r="Q42" s="6"/>
      <c r="R42" s="63"/>
      <c r="S42" s="54"/>
    </row>
    <row r="43" spans="1:19" ht="15" customHeight="1">
      <c r="A43" s="80" t="s">
        <v>375</v>
      </c>
      <c r="B43" s="81"/>
      <c r="C43" s="82"/>
      <c r="D43" s="66" t="s">
        <v>401</v>
      </c>
      <c r="E43" s="67"/>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2" t="s">
        <v>78</v>
      </c>
      <c r="F11" s="158"/>
      <c r="G11" s="134"/>
      <c r="H11" s="137"/>
      <c r="I11" s="137"/>
      <c r="J11" s="159"/>
      <c r="K11" s="160" t="s">
        <v>217</v>
      </c>
      <c r="L11" s="158"/>
      <c r="M11" s="158"/>
      <c r="N11" s="161"/>
      <c r="O11" s="137"/>
      <c r="P11" s="137"/>
      <c r="Q11" s="137"/>
      <c r="R11" s="137"/>
      <c r="S11" s="138"/>
    </row>
    <row r="12" spans="1:20" ht="30.75" customHeight="1">
      <c r="A12" s="163" t="s">
        <v>222</v>
      </c>
      <c r="B12" s="164"/>
      <c r="C12" s="164"/>
      <c r="D12" s="164"/>
      <c r="E12" s="164"/>
      <c r="F12" s="164"/>
      <c r="G12" s="164"/>
      <c r="H12" s="164"/>
      <c r="I12" s="164"/>
      <c r="J12" s="165"/>
      <c r="K12" s="160" t="s">
        <v>218</v>
      </c>
      <c r="L12" s="158"/>
      <c r="M12" s="134"/>
      <c r="N12" s="137"/>
      <c r="O12" s="137"/>
      <c r="P12" s="166" t="s">
        <v>361</v>
      </c>
      <c r="Q12" s="158"/>
      <c r="R12" s="167"/>
      <c r="S12" s="168"/>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9"/>
      <c r="B17" s="170"/>
      <c r="C17" s="170"/>
      <c r="D17" s="170"/>
      <c r="E17" s="170"/>
      <c r="F17" s="170"/>
      <c r="G17" s="170"/>
      <c r="H17" s="170"/>
      <c r="I17" s="170"/>
      <c r="J17" s="170"/>
      <c r="K17" s="170"/>
      <c r="L17" s="170"/>
      <c r="M17" s="170"/>
      <c r="N17" s="170"/>
      <c r="O17" s="170"/>
      <c r="P17" s="170"/>
      <c r="Q17" s="170"/>
      <c r="R17" s="170"/>
      <c r="S17" s="170"/>
    </row>
    <row r="18" spans="1:19" ht="15" customHeight="1">
      <c r="A18" s="169" t="s">
        <v>85</v>
      </c>
      <c r="B18" s="170"/>
      <c r="C18" s="170"/>
      <c r="D18" s="170"/>
      <c r="E18" s="170"/>
      <c r="F18" s="170"/>
      <c r="G18" s="170"/>
      <c r="H18" s="170"/>
      <c r="I18" s="170"/>
      <c r="J18" s="170"/>
      <c r="K18" s="170"/>
      <c r="L18" s="170"/>
      <c r="M18" s="170"/>
      <c r="N18" s="170"/>
      <c r="O18" s="170"/>
      <c r="P18" s="170"/>
      <c r="Q18" s="170"/>
      <c r="R18" s="170"/>
      <c r="S18" s="170"/>
    </row>
    <row r="19" spans="1:19" ht="15" customHeight="1">
      <c r="A19" s="169" t="s">
        <v>55</v>
      </c>
      <c r="B19" s="170"/>
      <c r="C19" s="170"/>
      <c r="D19" s="170"/>
      <c r="E19" s="170"/>
      <c r="F19" s="170"/>
      <c r="G19" s="170"/>
      <c r="H19" s="170"/>
      <c r="I19" s="170"/>
      <c r="J19" s="170"/>
      <c r="K19" s="170"/>
      <c r="L19" s="170"/>
      <c r="M19" s="170"/>
      <c r="N19" s="170"/>
      <c r="O19" s="170"/>
      <c r="P19" s="170"/>
      <c r="Q19" s="170"/>
      <c r="R19" s="170"/>
      <c r="S19" s="170"/>
    </row>
    <row r="20" spans="1:19" ht="15" customHeight="1">
      <c r="A20" s="169" t="s">
        <v>68</v>
      </c>
      <c r="B20" s="170"/>
      <c r="C20" s="170"/>
      <c r="D20" s="170"/>
      <c r="E20" s="170"/>
      <c r="F20" s="170"/>
      <c r="G20" s="170"/>
      <c r="H20" s="170"/>
      <c r="I20" s="170"/>
      <c r="J20" s="170"/>
      <c r="K20" s="170"/>
      <c r="L20" s="170"/>
      <c r="M20" s="170"/>
      <c r="N20" s="170"/>
      <c r="O20" s="170"/>
      <c r="P20" s="170"/>
      <c r="Q20" s="170"/>
      <c r="R20" s="170"/>
      <c r="S20" s="170"/>
    </row>
    <row r="21" spans="1:19" ht="15" customHeight="1">
      <c r="A21" s="169" t="s">
        <v>1</v>
      </c>
      <c r="B21" s="170"/>
      <c r="C21" s="170"/>
      <c r="D21" s="170"/>
      <c r="E21" s="170"/>
      <c r="F21" s="170"/>
      <c r="G21" s="170"/>
      <c r="H21" s="170"/>
      <c r="I21" s="170"/>
      <c r="J21" s="170"/>
      <c r="K21" s="170"/>
      <c r="L21" s="170"/>
      <c r="M21" s="170"/>
      <c r="N21" s="170"/>
      <c r="O21" s="170"/>
      <c r="P21" s="170"/>
      <c r="Q21" s="170"/>
      <c r="R21" s="170"/>
      <c r="S21" s="170"/>
    </row>
    <row r="22" spans="1:19" ht="15" customHeight="1">
      <c r="A22" s="169" t="s">
        <v>84</v>
      </c>
      <c r="B22" s="170"/>
      <c r="C22" s="170"/>
      <c r="D22" s="170"/>
      <c r="E22" s="170"/>
      <c r="F22" s="170"/>
      <c r="G22" s="170"/>
      <c r="H22" s="170"/>
      <c r="I22" s="170"/>
      <c r="J22" s="170"/>
      <c r="K22" s="170"/>
      <c r="L22" s="170"/>
      <c r="M22" s="170"/>
      <c r="N22" s="170"/>
      <c r="O22" s="170"/>
      <c r="P22" s="170"/>
      <c r="Q22" s="170"/>
      <c r="R22" s="170"/>
      <c r="S22" s="170"/>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2012-04-27T15:51:32Z</dcterms:modified>
</cp:coreProperties>
</file>