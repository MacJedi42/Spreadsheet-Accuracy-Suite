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4385" yWindow="-15" windowWidth="7260" windowHeight="10230"/>
  </bookViews>
  <sheets>
    <sheet name="AllotherIndicators" sheetId="1" r:id="rId1"/>
    <sheet name="Breastfeeding" sheetId="2" r:id="rId2"/>
    <sheet name="Table1" sheetId="3" r:id="rId3"/>
  </sheets>
  <calcPr calcId="125725"/>
</workbook>
</file>

<file path=xl/calcChain.xml><?xml version="1.0" encoding="utf-8"?>
<calcChain xmlns="http://schemas.openxmlformats.org/spreadsheetml/2006/main">
  <c r="Y4" i="2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3"/>
</calcChain>
</file>

<file path=xl/sharedStrings.xml><?xml version="1.0" encoding="utf-8"?>
<sst xmlns="http://schemas.openxmlformats.org/spreadsheetml/2006/main" count="378" uniqueCount="127">
  <si>
    <t>Region</t>
  </si>
  <si>
    <t>Country</t>
  </si>
  <si>
    <t>CEE/CIS</t>
  </si>
  <si>
    <t>Azerbaijan</t>
  </si>
  <si>
    <t>Turkmenistan</t>
  </si>
  <si>
    <t>Tajikistan</t>
  </si>
  <si>
    <t>EAPRO</t>
  </si>
  <si>
    <t>Laos</t>
  </si>
  <si>
    <t>DPR Korea</t>
  </si>
  <si>
    <t>Papua New Guinea</t>
  </si>
  <si>
    <t>Cambodia</t>
  </si>
  <si>
    <t>Philippines</t>
  </si>
  <si>
    <t>Myanmar</t>
  </si>
  <si>
    <t>Indonesia</t>
  </si>
  <si>
    <t>China</t>
  </si>
  <si>
    <t>ESARO</t>
  </si>
  <si>
    <t>Eritrea</t>
  </si>
  <si>
    <t>Rwanda</t>
  </si>
  <si>
    <t>Burundi</t>
  </si>
  <si>
    <t>Somalia</t>
  </si>
  <si>
    <t>Tanzania</t>
  </si>
  <si>
    <t>Kenya</t>
  </si>
  <si>
    <t xml:space="preserve">Uganda </t>
  </si>
  <si>
    <t>Ethiopia</t>
  </si>
  <si>
    <t>Botswana</t>
  </si>
  <si>
    <t xml:space="preserve">Swaziland </t>
  </si>
  <si>
    <t xml:space="preserve">Lesotho </t>
  </si>
  <si>
    <t xml:space="preserve">South Africa </t>
  </si>
  <si>
    <t>Zimbabwe</t>
  </si>
  <si>
    <t>Zambia</t>
  </si>
  <si>
    <t>Malawi</t>
  </si>
  <si>
    <t>Madagascar</t>
  </si>
  <si>
    <t>Mozambique</t>
  </si>
  <si>
    <t>Angola</t>
  </si>
  <si>
    <t>MENA</t>
  </si>
  <si>
    <t>Djibouti</t>
  </si>
  <si>
    <t>Sudan</t>
  </si>
  <si>
    <t>Iraq</t>
  </si>
  <si>
    <t>Yemen</t>
  </si>
  <si>
    <t>Morocco</t>
  </si>
  <si>
    <t>Egypt</t>
  </si>
  <si>
    <t>ROSA</t>
  </si>
  <si>
    <t>Nepal</t>
  </si>
  <si>
    <t>Bangladesh</t>
  </si>
  <si>
    <t>Afghanistan</t>
  </si>
  <si>
    <t>Pakistan</t>
  </si>
  <si>
    <t>India</t>
  </si>
  <si>
    <t>TACRO</t>
  </si>
  <si>
    <t>Bolivia</t>
  </si>
  <si>
    <t>Peru</t>
  </si>
  <si>
    <t>Guatemala</t>
  </si>
  <si>
    <t>Haiti</t>
  </si>
  <si>
    <t>Mexico</t>
  </si>
  <si>
    <t>Brazil</t>
  </si>
  <si>
    <t>WCARO</t>
  </si>
  <si>
    <t>Congo</t>
  </si>
  <si>
    <t>Gabon</t>
  </si>
  <si>
    <t>Equitorial Guinea</t>
  </si>
  <si>
    <t>Gambia</t>
  </si>
  <si>
    <t>Mauritania</t>
  </si>
  <si>
    <t>Guinea-Bissau</t>
  </si>
  <si>
    <t>Togo</t>
  </si>
  <si>
    <t>Liberia</t>
  </si>
  <si>
    <t>CAR</t>
  </si>
  <si>
    <t>Ghana</t>
  </si>
  <si>
    <t>Benin</t>
  </si>
  <si>
    <t xml:space="preserve">Senegal </t>
  </si>
  <si>
    <t>Sierra Leone</t>
  </si>
  <si>
    <t>Guinea</t>
  </si>
  <si>
    <t>Cote d'Ivoire</t>
  </si>
  <si>
    <t>Cameroon</t>
  </si>
  <si>
    <t>Chad</t>
  </si>
  <si>
    <t>Mali</t>
  </si>
  <si>
    <t>Burkina Faso</t>
  </si>
  <si>
    <t>Niger</t>
  </si>
  <si>
    <t>DR Congo</t>
  </si>
  <si>
    <t>Nigeria</t>
  </si>
  <si>
    <t>Baseline</t>
  </si>
  <si>
    <t>Conservative</t>
  </si>
  <si>
    <t>Ambitious</t>
  </si>
  <si>
    <t>&lt;1 EBF</t>
  </si>
  <si>
    <t>&lt;1 Predominant</t>
  </si>
  <si>
    <t>&lt;1 Partial</t>
  </si>
  <si>
    <t>1-5 EBF</t>
  </si>
  <si>
    <t>1-5 Predominant</t>
  </si>
  <si>
    <t>1-5 Partial</t>
  </si>
  <si>
    <t>na</t>
  </si>
  <si>
    <t>12-23 Any Breast milk</t>
  </si>
  <si>
    <t>Improved water*</t>
  </si>
  <si>
    <t>Improved sanitation*</t>
  </si>
  <si>
    <t>* Data from JMP 2010</t>
  </si>
  <si>
    <t>Treated water**</t>
  </si>
  <si>
    <t>** Used piped water values from the JMP 2010 report</t>
  </si>
  <si>
    <t>Hand washing***</t>
  </si>
  <si>
    <r>
      <t>ORS</t>
    </r>
    <r>
      <rPr>
        <sz val="11"/>
        <color indexed="8"/>
        <rFont val="Calibri"/>
        <family val="2"/>
      </rPr>
      <t>†</t>
    </r>
  </si>
  <si>
    <t xml:space="preserve">Antibiotics Dysentary†† </t>
  </si>
  <si>
    <t xml:space="preserve">†† Most recent DHS/MICS. Assumed to be the same as percent of children with symptoms suggestive of pneumonia treated with an antibiotic.  </t>
  </si>
  <si>
    <t>Zinc supplementation†††</t>
  </si>
  <si>
    <t>††† Most recent DHS/MICS. Defined as percent of children with diarrhea in the past 2 weeks treated with zinc.  If this data was not collected in the Survey, 0 was the default value.</t>
  </si>
  <si>
    <r>
      <t>Rotavirus Vaccination</t>
    </r>
    <r>
      <rPr>
        <sz val="11"/>
        <color indexed="8"/>
        <rFont val="Calibri"/>
        <family val="2"/>
      </rPr>
      <t>‡</t>
    </r>
  </si>
  <si>
    <t>Vitamin A supplementation‡‡</t>
  </si>
  <si>
    <t>Breastfeeding Data*</t>
  </si>
  <si>
    <t>*All data from the most recent DHS/MICS.</t>
  </si>
  <si>
    <t xml:space="preserve">Ambitious </t>
  </si>
  <si>
    <t>Universal</t>
  </si>
  <si>
    <t>† Most recent DHS/MICS. Defined as percent of children with diarrhea in the past 2 weeks who were treated with ORS or prepackaged ORS solutions.</t>
  </si>
  <si>
    <t>‡‡ UNICEF 2008 value or most recent. Countries listed as na are considered not to be Vitamin A deficient according to the Lancet Nutrition series and were excluded from the analysis.</t>
  </si>
  <si>
    <t>‡ Estimates from  WHO/UNICEF estimates of national immunization coverage.  2010  3/19/2010; Available from: http://www.who.int/immunization_monitoring/routine/immunization_coverage/en/index4.html.</t>
  </si>
  <si>
    <t>6-11 Any Breast Milk</t>
  </si>
  <si>
    <t>***Estimates based on work  Curtis et al.  Curtis VA, Danquah LO, Aunger RV.  Planned, motivated and habitual hygiene behaviour: an eleven country review.  Health Education Review 2009; 24: 655-673.</t>
  </si>
  <si>
    <r>
      <t>Improved water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</si>
  <si>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Treated water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</si>
  <si>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Improved sanitation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</si>
  <si>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Hand washing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</si>
  <si>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ORS</t>
    </r>
    <r>
      <rPr>
        <b/>
        <vertAlign val="superscript"/>
        <sz val="11"/>
        <color theme="1"/>
        <rFont val="Calibri"/>
        <family val="2"/>
        <scheme val="minor"/>
      </rPr>
      <t>4</t>
    </r>
  </si>
  <si>
    <r>
      <t>Antibiotics Dysentary</t>
    </r>
    <r>
      <rPr>
        <b/>
        <vertAlign val="super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 xml:space="preserve"> </t>
    </r>
  </si>
  <si>
    <t>1.  Data from JMP 2010</t>
  </si>
  <si>
    <t>2.  Used piped water values from the JMP 2010 report</t>
  </si>
  <si>
    <t>3.  Estimates based on work  Curtis et al.  Curtis VA, Danquah LO, Aunger RV.  Planned, motivated and habitual hygiene behaviour: an eleven country review.  Health Education Review 2009; 24: 655-673.</t>
  </si>
  <si>
    <t>4.  Most recent DHS/MICS. Defined as percent of children with diarrhea in the past 2 weeks who were treated with ORS or prepackaged ORS solutions.</t>
  </si>
  <si>
    <t xml:space="preserve">5.   Most recent DHS/MICS. Assumed to be the same as percent of children with symptoms suggestive of pneumonia treated with an antibiotic.  </t>
  </si>
  <si>
    <t>6.   Most recent DHS/MICS. Defined as percent of children with diarrhea in the past 2 weeks treated with zinc.  If this data was not collected in the Survey, 0 was the default value.</t>
  </si>
  <si>
    <t>7.  Estimates from  WHO/UNICEF estimates of national immunization coverage.  2010  3/19/2010; Available from: http://www.who.int/immunization_monitoring/routine/immunization_coverage/en/index4.html.</t>
  </si>
  <si>
    <t>8.   UNICEF 2008 value or most recent. Countries listed as na are considered not to be Vitamin A deficient according to the Lancet Nutrition series and were excluded from the analysis.</t>
  </si>
  <si>
    <r>
      <t>Rotavirus Vaccination</t>
    </r>
    <r>
      <rPr>
        <b/>
        <vertAlign val="superscript"/>
        <sz val="11"/>
        <color theme="1"/>
        <rFont val="Calibri"/>
        <family val="2"/>
        <scheme val="minor"/>
      </rPr>
      <t>7</t>
    </r>
  </si>
  <si>
    <r>
      <t>Vitamin A supplementation</t>
    </r>
    <r>
      <rPr>
        <b/>
        <vertAlign val="superscript"/>
        <sz val="11"/>
        <color theme="1"/>
        <rFont val="Calibri"/>
        <family val="2"/>
        <scheme val="minor"/>
      </rPr>
      <t>8</t>
    </r>
  </si>
  <si>
    <r>
      <t>Zinc for diarrhea treatment</t>
    </r>
    <r>
      <rPr>
        <b/>
        <vertAlign val="superscript"/>
        <sz val="11"/>
        <color theme="1"/>
        <rFont val="Calibri"/>
        <family val="2"/>
        <scheme val="minor"/>
      </rPr>
      <t>6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</si>
</sst>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8.5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Fill="1" applyBorder="1"/>
    <xf numFmtId="0" fontId="0" fillId="0" borderId="0" xfId="0" applyBorder="1"/>
    <xf numFmtId="3" fontId="2" fillId="0" borderId="0" xfId="1" applyNumberFormat="1" applyFont="1" applyFill="1" applyBorder="1" applyAlignment="1"/>
    <xf numFmtId="0" fontId="0" fillId="2" borderId="0" xfId="0" applyFill="1"/>
    <xf numFmtId="0" fontId="0" fillId="2" borderId="1" xfId="0" applyFill="1" applyBorder="1"/>
    <xf numFmtId="0" fontId="0" fillId="0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0" xfId="0" applyNumberFormat="1" applyFill="1"/>
    <xf numFmtId="0" fontId="0" fillId="8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/>
    <xf numFmtId="0" fontId="4" fillId="0" borderId="2" xfId="0" applyFont="1" applyFill="1" applyBorder="1"/>
    <xf numFmtId="0" fontId="4" fillId="0" borderId="2" xfId="0" applyFont="1" applyFill="1" applyBorder="1" applyAlignment="1">
      <alignment horizontal="center" wrapText="1"/>
    </xf>
    <xf numFmtId="0" fontId="0" fillId="0" borderId="2" xfId="0" applyFill="1" applyBorder="1"/>
    <xf numFmtId="1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2">
    <cellStyle name="Normal" xfId="0" builtinId="0"/>
    <cellStyle name="Normal_CONSTA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79"/>
  <sheetViews>
    <sheetView tabSelected="1" workbookViewId="0">
      <pane xSplit="2" ySplit="2" topLeftCell="C56" activePane="bottomRight" state="frozen"/>
      <selection activeCell="B33" sqref="B33"/>
      <selection pane="topRight" activeCell="B33" sqref="B33"/>
      <selection pane="bottomLeft" activeCell="B33" sqref="B33"/>
      <selection pane="bottomRight" activeCell="F73" sqref="F73"/>
    </sheetView>
  </sheetViews>
  <sheetFormatPr defaultRowHeight="15"/>
  <cols>
    <col min="1" max="1" width="9.140625" style="2"/>
    <col min="2" max="2" width="20.5703125" style="2" bestFit="1" customWidth="1"/>
    <col min="3" max="3" width="8.5703125" style="9" bestFit="1" customWidth="1"/>
    <col min="4" max="4" width="12.5703125" style="9" bestFit="1" customWidth="1"/>
    <col min="5" max="5" width="10.140625" style="9" bestFit="1" customWidth="1"/>
    <col min="6" max="6" width="8.5703125" style="10" bestFit="1" customWidth="1"/>
    <col min="7" max="7" width="12.5703125" style="10" bestFit="1" customWidth="1"/>
    <col min="8" max="8" width="10.140625" style="10" bestFit="1" customWidth="1"/>
    <col min="9" max="9" width="8.5703125" style="7" bestFit="1" customWidth="1"/>
    <col min="10" max="10" width="12.5703125" style="7" bestFit="1" customWidth="1"/>
    <col min="11" max="11" width="10.140625" style="7" bestFit="1" customWidth="1"/>
    <col min="12" max="12" width="8.5703125" style="9" bestFit="1" customWidth="1"/>
    <col min="13" max="13" width="12.5703125" style="9" bestFit="1" customWidth="1"/>
    <col min="14" max="14" width="10.140625" style="9" bestFit="1" customWidth="1"/>
    <col min="15" max="15" width="8.5703125" style="11" bestFit="1" customWidth="1"/>
    <col min="16" max="16" width="12.5703125" style="11" bestFit="1" customWidth="1"/>
    <col min="17" max="17" width="10.140625" style="11" customWidth="1"/>
    <col min="18" max="18" width="8.5703125" style="12" bestFit="1" customWidth="1"/>
    <col min="19" max="19" width="12.5703125" style="12" bestFit="1" customWidth="1"/>
    <col min="20" max="20" width="10.140625" style="12" bestFit="1" customWidth="1"/>
    <col min="21" max="21" width="8.5703125" style="13" bestFit="1" customWidth="1"/>
    <col min="22" max="22" width="12.5703125" style="13" bestFit="1" customWidth="1"/>
    <col min="23" max="23" width="10.140625" style="13" bestFit="1" customWidth="1"/>
    <col min="24" max="26" width="9.140625" style="14"/>
    <col min="27" max="29" width="9.140625" style="8"/>
    <col min="30" max="30" width="9.140625" style="1"/>
    <col min="31" max="16384" width="9.140625" style="2"/>
  </cols>
  <sheetData>
    <row r="1" spans="1:34">
      <c r="C1" s="24" t="s">
        <v>88</v>
      </c>
      <c r="D1" s="24"/>
      <c r="E1" s="24"/>
      <c r="F1" s="25" t="s">
        <v>91</v>
      </c>
      <c r="G1" s="25"/>
      <c r="H1" s="25"/>
      <c r="I1" s="26" t="s">
        <v>89</v>
      </c>
      <c r="J1" s="26"/>
      <c r="K1" s="26"/>
      <c r="L1" s="24" t="s">
        <v>93</v>
      </c>
      <c r="M1" s="24"/>
      <c r="N1" s="24"/>
      <c r="O1" s="27" t="s">
        <v>94</v>
      </c>
      <c r="P1" s="27"/>
      <c r="Q1" s="27"/>
      <c r="R1" s="28" t="s">
        <v>95</v>
      </c>
      <c r="S1" s="28"/>
      <c r="T1" s="28"/>
      <c r="U1" s="21" t="s">
        <v>97</v>
      </c>
      <c r="V1" s="21"/>
      <c r="W1" s="21"/>
      <c r="X1" s="22" t="s">
        <v>99</v>
      </c>
      <c r="Y1" s="22"/>
      <c r="Z1" s="22"/>
      <c r="AA1" s="23" t="s">
        <v>100</v>
      </c>
      <c r="AB1" s="23"/>
      <c r="AC1" s="23"/>
    </row>
    <row r="2" spans="1:34">
      <c r="A2" s="2" t="s">
        <v>0</v>
      </c>
      <c r="B2" s="2" t="s">
        <v>1</v>
      </c>
      <c r="C2" s="9" t="s">
        <v>77</v>
      </c>
      <c r="D2" s="9" t="s">
        <v>78</v>
      </c>
      <c r="E2" s="9" t="s">
        <v>79</v>
      </c>
      <c r="F2" s="10" t="s">
        <v>77</v>
      </c>
      <c r="G2" s="10" t="s">
        <v>78</v>
      </c>
      <c r="H2" s="10" t="s">
        <v>79</v>
      </c>
      <c r="I2" s="7" t="s">
        <v>77</v>
      </c>
      <c r="J2" s="7" t="s">
        <v>78</v>
      </c>
      <c r="K2" s="7" t="s">
        <v>79</v>
      </c>
      <c r="L2" s="9" t="s">
        <v>77</v>
      </c>
      <c r="M2" s="9" t="s">
        <v>78</v>
      </c>
      <c r="N2" s="9" t="s">
        <v>79</v>
      </c>
      <c r="O2" s="11" t="s">
        <v>77</v>
      </c>
      <c r="P2" s="11" t="s">
        <v>78</v>
      </c>
      <c r="Q2" s="11" t="s">
        <v>79</v>
      </c>
      <c r="R2" s="12" t="s">
        <v>77</v>
      </c>
      <c r="S2" s="12" t="s">
        <v>78</v>
      </c>
      <c r="T2" s="12" t="s">
        <v>79</v>
      </c>
      <c r="U2" s="13" t="s">
        <v>77</v>
      </c>
      <c r="V2" s="13" t="s">
        <v>78</v>
      </c>
      <c r="W2" s="13" t="s">
        <v>79</v>
      </c>
      <c r="X2" s="14" t="s">
        <v>77</v>
      </c>
      <c r="Y2" s="14" t="s">
        <v>78</v>
      </c>
      <c r="Z2" s="14" t="s">
        <v>79</v>
      </c>
      <c r="AA2" s="8" t="s">
        <v>77</v>
      </c>
      <c r="AB2" s="8" t="s">
        <v>78</v>
      </c>
      <c r="AC2" s="8" t="s">
        <v>79</v>
      </c>
      <c r="AF2"/>
      <c r="AG2"/>
      <c r="AH2"/>
    </row>
    <row r="3" spans="1:34">
      <c r="A3" s="2" t="s">
        <v>41</v>
      </c>
      <c r="B3" s="2" t="s">
        <v>44</v>
      </c>
      <c r="C3" s="15">
        <v>48.266666666666424</v>
      </c>
      <c r="D3" s="9">
        <v>86</v>
      </c>
      <c r="E3" s="9">
        <v>99</v>
      </c>
      <c r="F3" s="16">
        <v>3.6000000000000227</v>
      </c>
      <c r="G3" s="10">
        <v>30</v>
      </c>
      <c r="H3" s="10">
        <v>70</v>
      </c>
      <c r="I3" s="17">
        <v>36.799999999999955</v>
      </c>
      <c r="J3" s="7">
        <v>67</v>
      </c>
      <c r="K3" s="7">
        <v>75</v>
      </c>
      <c r="L3" s="9">
        <v>17</v>
      </c>
      <c r="M3" s="9">
        <v>35</v>
      </c>
      <c r="N3" s="9">
        <v>55</v>
      </c>
      <c r="O3" s="11">
        <v>29.6</v>
      </c>
      <c r="P3" s="11">
        <v>75</v>
      </c>
      <c r="Q3" s="11">
        <v>90</v>
      </c>
      <c r="R3" s="12">
        <v>16</v>
      </c>
      <c r="S3" s="12">
        <v>75</v>
      </c>
      <c r="T3" s="12">
        <v>90</v>
      </c>
      <c r="U3" s="13">
        <v>0</v>
      </c>
      <c r="V3" s="13">
        <v>50</v>
      </c>
      <c r="W3" s="13">
        <v>90</v>
      </c>
      <c r="X3" s="14">
        <v>0</v>
      </c>
      <c r="Y3" s="14">
        <v>50</v>
      </c>
      <c r="Z3" s="14">
        <v>90</v>
      </c>
      <c r="AA3" s="19">
        <v>96</v>
      </c>
      <c r="AB3" s="8">
        <v>96</v>
      </c>
      <c r="AC3" s="8">
        <v>96</v>
      </c>
      <c r="AE3" s="3"/>
    </row>
    <row r="4" spans="1:34">
      <c r="A4" s="1" t="s">
        <v>15</v>
      </c>
      <c r="B4" s="2" t="s">
        <v>33</v>
      </c>
      <c r="C4" s="15">
        <v>50</v>
      </c>
      <c r="D4" s="9">
        <v>75</v>
      </c>
      <c r="E4" s="9">
        <v>99</v>
      </c>
      <c r="F4" s="16">
        <v>20</v>
      </c>
      <c r="G4" s="10">
        <v>30</v>
      </c>
      <c r="H4" s="10">
        <v>70</v>
      </c>
      <c r="I4" s="17">
        <v>57</v>
      </c>
      <c r="J4" s="7">
        <v>67</v>
      </c>
      <c r="K4" s="7">
        <v>75</v>
      </c>
      <c r="L4" s="18">
        <v>17</v>
      </c>
      <c r="M4" s="9">
        <v>35</v>
      </c>
      <c r="N4" s="9">
        <v>55</v>
      </c>
      <c r="O4" s="11">
        <v>39.9</v>
      </c>
      <c r="P4" s="11">
        <v>75</v>
      </c>
      <c r="Q4" s="11">
        <v>90</v>
      </c>
      <c r="R4" s="12">
        <v>19.899999999999999</v>
      </c>
      <c r="S4" s="12">
        <v>75</v>
      </c>
      <c r="T4" s="12">
        <v>90</v>
      </c>
      <c r="U4" s="13">
        <v>0</v>
      </c>
      <c r="V4" s="13">
        <v>50</v>
      </c>
      <c r="W4" s="13">
        <v>90</v>
      </c>
      <c r="X4" s="14">
        <v>0</v>
      </c>
      <c r="Y4" s="14">
        <v>50</v>
      </c>
      <c r="Z4" s="14">
        <v>90</v>
      </c>
      <c r="AA4" s="19">
        <v>82</v>
      </c>
      <c r="AB4" s="8">
        <v>90</v>
      </c>
      <c r="AC4" s="8">
        <v>90</v>
      </c>
      <c r="AE4" s="3"/>
    </row>
    <row r="5" spans="1:34">
      <c r="A5" s="1" t="s">
        <v>2</v>
      </c>
      <c r="B5" s="2" t="s">
        <v>3</v>
      </c>
      <c r="C5" s="15">
        <v>80</v>
      </c>
      <c r="D5" s="9">
        <v>86</v>
      </c>
      <c r="E5" s="9">
        <v>99</v>
      </c>
      <c r="F5" s="16">
        <v>50</v>
      </c>
      <c r="G5" s="10">
        <v>50</v>
      </c>
      <c r="H5" s="10">
        <v>70</v>
      </c>
      <c r="I5" s="17">
        <v>45</v>
      </c>
      <c r="J5" s="7">
        <v>67</v>
      </c>
      <c r="K5" s="7">
        <v>75</v>
      </c>
      <c r="L5" s="18">
        <v>17</v>
      </c>
      <c r="M5" s="9">
        <v>35</v>
      </c>
      <c r="N5" s="9">
        <v>55</v>
      </c>
      <c r="O5" s="11">
        <v>10.1</v>
      </c>
      <c r="P5" s="11">
        <v>75</v>
      </c>
      <c r="Q5" s="11">
        <v>90</v>
      </c>
      <c r="R5" s="12">
        <v>5</v>
      </c>
      <c r="S5" s="12">
        <v>75</v>
      </c>
      <c r="T5" s="12">
        <v>90</v>
      </c>
      <c r="U5" s="13">
        <v>0</v>
      </c>
      <c r="V5" s="13">
        <v>50</v>
      </c>
      <c r="W5" s="13">
        <v>90</v>
      </c>
      <c r="X5" s="14">
        <v>0</v>
      </c>
      <c r="Y5" s="14">
        <v>50</v>
      </c>
      <c r="Z5" s="14">
        <v>90</v>
      </c>
      <c r="AA5" s="19">
        <v>90</v>
      </c>
      <c r="AB5" s="8" t="s">
        <v>86</v>
      </c>
      <c r="AC5" s="8" t="s">
        <v>86</v>
      </c>
      <c r="AE5" s="3"/>
    </row>
    <row r="6" spans="1:34">
      <c r="A6" s="1" t="s">
        <v>41</v>
      </c>
      <c r="B6" s="2" t="s">
        <v>43</v>
      </c>
      <c r="C6" s="15">
        <v>80</v>
      </c>
      <c r="D6" s="9">
        <v>86</v>
      </c>
      <c r="E6" s="9">
        <v>99</v>
      </c>
      <c r="F6" s="16">
        <v>6</v>
      </c>
      <c r="G6" s="10">
        <v>30</v>
      </c>
      <c r="H6" s="10">
        <v>70</v>
      </c>
      <c r="I6" s="17">
        <v>51</v>
      </c>
      <c r="J6" s="7">
        <v>67</v>
      </c>
      <c r="K6" s="7">
        <v>75</v>
      </c>
      <c r="L6" s="18">
        <v>17</v>
      </c>
      <c r="M6" s="9">
        <v>35</v>
      </c>
      <c r="N6" s="9">
        <v>55</v>
      </c>
      <c r="O6" s="11">
        <v>76.5</v>
      </c>
      <c r="P6" s="11">
        <v>76.5</v>
      </c>
      <c r="Q6" s="11">
        <v>90</v>
      </c>
      <c r="R6" s="12">
        <v>21.5</v>
      </c>
      <c r="S6" s="12">
        <v>75</v>
      </c>
      <c r="T6" s="12">
        <v>90</v>
      </c>
      <c r="U6" s="13">
        <v>22.5</v>
      </c>
      <c r="V6" s="13">
        <v>50</v>
      </c>
      <c r="W6" s="13">
        <v>90</v>
      </c>
      <c r="X6" s="14">
        <v>0</v>
      </c>
      <c r="Y6" s="14">
        <v>50</v>
      </c>
      <c r="Z6" s="14">
        <v>90</v>
      </c>
      <c r="AA6" s="19">
        <v>97</v>
      </c>
      <c r="AB6" s="8">
        <v>97</v>
      </c>
      <c r="AC6" s="8">
        <v>97</v>
      </c>
      <c r="AE6" s="3"/>
    </row>
    <row r="7" spans="1:34">
      <c r="A7" s="1" t="s">
        <v>54</v>
      </c>
      <c r="B7" s="2" t="s">
        <v>65</v>
      </c>
      <c r="C7" s="15">
        <v>74.943714821763479</v>
      </c>
      <c r="D7" s="9">
        <v>75</v>
      </c>
      <c r="E7" s="9">
        <v>99</v>
      </c>
      <c r="F7" s="16">
        <v>11.971857410881853</v>
      </c>
      <c r="G7" s="10">
        <v>30</v>
      </c>
      <c r="H7" s="10">
        <v>70</v>
      </c>
      <c r="I7" s="17">
        <v>12.112570356472816</v>
      </c>
      <c r="J7" s="7">
        <v>67</v>
      </c>
      <c r="K7" s="7">
        <v>75</v>
      </c>
      <c r="L7" s="18">
        <v>17</v>
      </c>
      <c r="M7" s="9">
        <v>35</v>
      </c>
      <c r="N7" s="9">
        <v>55</v>
      </c>
      <c r="O7" s="11">
        <v>23.3</v>
      </c>
      <c r="P7" s="11">
        <v>75</v>
      </c>
      <c r="Q7" s="11">
        <v>90</v>
      </c>
      <c r="R7" s="12">
        <v>11.7</v>
      </c>
      <c r="S7" s="12">
        <v>75</v>
      </c>
      <c r="T7" s="12">
        <v>90</v>
      </c>
      <c r="U7" s="13">
        <v>0</v>
      </c>
      <c r="V7" s="13">
        <v>50</v>
      </c>
      <c r="W7" s="13">
        <v>90</v>
      </c>
      <c r="X7" s="14">
        <v>0</v>
      </c>
      <c r="Y7" s="14">
        <v>50</v>
      </c>
      <c r="Z7" s="14">
        <v>90</v>
      </c>
      <c r="AA7" s="19">
        <v>52</v>
      </c>
      <c r="AB7" s="8">
        <v>90</v>
      </c>
      <c r="AC7" s="8">
        <v>90</v>
      </c>
      <c r="AE7" s="3"/>
    </row>
    <row r="8" spans="1:34">
      <c r="A8" s="1" t="s">
        <v>47</v>
      </c>
      <c r="B8" s="2" t="s">
        <v>48</v>
      </c>
      <c r="C8" s="15">
        <v>86.309568480300186</v>
      </c>
      <c r="D8" s="9">
        <v>86</v>
      </c>
      <c r="E8" s="9">
        <v>99</v>
      </c>
      <c r="F8" s="16">
        <v>77.450281425891262</v>
      </c>
      <c r="G8" s="10">
        <v>77</v>
      </c>
      <c r="H8" s="10">
        <v>77</v>
      </c>
      <c r="I8" s="17">
        <v>25.150093808630459</v>
      </c>
      <c r="J8" s="7">
        <v>67</v>
      </c>
      <c r="K8" s="7">
        <v>75</v>
      </c>
      <c r="L8" s="18">
        <v>17</v>
      </c>
      <c r="M8" s="9">
        <v>35</v>
      </c>
      <c r="N8" s="9">
        <v>55</v>
      </c>
      <c r="O8" s="11">
        <v>28.8</v>
      </c>
      <c r="P8" s="11">
        <v>75</v>
      </c>
      <c r="Q8" s="11">
        <v>90</v>
      </c>
      <c r="R8" s="12">
        <v>30.9</v>
      </c>
      <c r="S8" s="12">
        <v>75</v>
      </c>
      <c r="T8" s="12">
        <v>90</v>
      </c>
      <c r="U8" s="13">
        <v>0</v>
      </c>
      <c r="V8" s="13">
        <v>50</v>
      </c>
      <c r="W8" s="13">
        <v>90</v>
      </c>
      <c r="X8" s="14">
        <v>0</v>
      </c>
      <c r="Y8" s="14">
        <v>50</v>
      </c>
      <c r="Z8" s="14">
        <v>90</v>
      </c>
      <c r="AA8" s="19">
        <v>45</v>
      </c>
      <c r="AB8" s="8">
        <v>90</v>
      </c>
      <c r="AC8" s="8">
        <v>90</v>
      </c>
      <c r="AE8" s="3"/>
    </row>
    <row r="9" spans="1:34">
      <c r="A9" s="1" t="s">
        <v>15</v>
      </c>
      <c r="B9" s="2" t="s">
        <v>24</v>
      </c>
      <c r="C9" s="15">
        <v>95.121951219512212</v>
      </c>
      <c r="D9" s="9">
        <v>95</v>
      </c>
      <c r="E9" s="9">
        <v>99</v>
      </c>
      <c r="F9" s="16">
        <v>62</v>
      </c>
      <c r="G9" s="10">
        <v>62</v>
      </c>
      <c r="H9" s="10">
        <v>70</v>
      </c>
      <c r="I9" s="17">
        <v>60</v>
      </c>
      <c r="J9" s="7">
        <v>67</v>
      </c>
      <c r="K9" s="7">
        <v>75</v>
      </c>
      <c r="L9" s="18">
        <v>17</v>
      </c>
      <c r="M9" s="9">
        <v>35</v>
      </c>
      <c r="N9" s="9">
        <v>55</v>
      </c>
      <c r="O9" s="11">
        <v>48.9</v>
      </c>
      <c r="P9" s="11">
        <v>75</v>
      </c>
      <c r="Q9" s="11">
        <v>90</v>
      </c>
      <c r="R9" s="12">
        <v>24.4</v>
      </c>
      <c r="S9" s="12">
        <v>75</v>
      </c>
      <c r="T9" s="12">
        <v>90</v>
      </c>
      <c r="U9" s="13">
        <v>0</v>
      </c>
      <c r="V9" s="13">
        <v>50</v>
      </c>
      <c r="W9" s="13">
        <v>90</v>
      </c>
      <c r="X9" s="14">
        <v>0</v>
      </c>
      <c r="Y9" s="14">
        <v>50</v>
      </c>
      <c r="Z9" s="14">
        <v>90</v>
      </c>
      <c r="AA9" s="19">
        <v>15</v>
      </c>
      <c r="AB9" s="8">
        <v>90</v>
      </c>
      <c r="AC9" s="8">
        <v>90</v>
      </c>
      <c r="AE9" s="3"/>
    </row>
    <row r="10" spans="1:34">
      <c r="A10" s="2" t="s">
        <v>47</v>
      </c>
      <c r="B10" s="2" t="s">
        <v>53</v>
      </c>
      <c r="C10" s="15">
        <v>97</v>
      </c>
      <c r="D10" s="9">
        <v>97</v>
      </c>
      <c r="E10" s="9">
        <v>99</v>
      </c>
      <c r="F10" s="16">
        <v>91</v>
      </c>
      <c r="G10" s="10">
        <v>91</v>
      </c>
      <c r="H10" s="10">
        <v>91</v>
      </c>
      <c r="I10" s="17">
        <v>80</v>
      </c>
      <c r="J10" s="7">
        <v>80</v>
      </c>
      <c r="K10" s="7">
        <v>80</v>
      </c>
      <c r="L10" s="18">
        <v>17</v>
      </c>
      <c r="M10" s="9">
        <v>35</v>
      </c>
      <c r="N10" s="9">
        <v>55</v>
      </c>
      <c r="O10" s="11">
        <v>56</v>
      </c>
      <c r="P10" s="11">
        <v>75</v>
      </c>
      <c r="Q10" s="11">
        <v>90</v>
      </c>
      <c r="R10" s="12">
        <v>25</v>
      </c>
      <c r="S10" s="12">
        <v>75</v>
      </c>
      <c r="T10" s="12">
        <v>90</v>
      </c>
      <c r="U10" s="13">
        <v>0</v>
      </c>
      <c r="V10" s="13">
        <v>50</v>
      </c>
      <c r="W10" s="13">
        <v>90</v>
      </c>
      <c r="X10" s="14">
        <v>71</v>
      </c>
      <c r="Y10" s="14">
        <v>71</v>
      </c>
      <c r="Z10" s="14">
        <v>90</v>
      </c>
      <c r="AA10" s="19">
        <v>0</v>
      </c>
      <c r="AB10" s="8">
        <v>90</v>
      </c>
      <c r="AC10" s="8">
        <v>90</v>
      </c>
      <c r="AE10" s="3"/>
    </row>
    <row r="11" spans="1:34">
      <c r="A11" s="1" t="s">
        <v>54</v>
      </c>
      <c r="B11" s="2" t="s">
        <v>73</v>
      </c>
      <c r="C11" s="15">
        <v>75.803001876172857</v>
      </c>
      <c r="D11" s="9">
        <v>76</v>
      </c>
      <c r="E11" s="9">
        <v>99</v>
      </c>
      <c r="F11" s="16">
        <v>4.1031894934334332</v>
      </c>
      <c r="G11" s="10">
        <v>30</v>
      </c>
      <c r="H11" s="10">
        <v>70</v>
      </c>
      <c r="I11" s="17">
        <v>11.168855534709223</v>
      </c>
      <c r="J11" s="7">
        <v>67</v>
      </c>
      <c r="K11" s="7">
        <v>75</v>
      </c>
      <c r="L11" s="18">
        <v>17</v>
      </c>
      <c r="M11" s="9">
        <v>35</v>
      </c>
      <c r="N11" s="9">
        <v>55</v>
      </c>
      <c r="O11" s="11">
        <v>16.5</v>
      </c>
      <c r="P11" s="11">
        <v>75</v>
      </c>
      <c r="Q11" s="11">
        <v>90</v>
      </c>
      <c r="R11" s="12">
        <v>31.4</v>
      </c>
      <c r="S11" s="12">
        <v>75</v>
      </c>
      <c r="T11" s="12">
        <v>90</v>
      </c>
      <c r="U11" s="13">
        <v>0</v>
      </c>
      <c r="V11" s="13">
        <v>50</v>
      </c>
      <c r="W11" s="13">
        <v>90</v>
      </c>
      <c r="X11" s="14">
        <v>0</v>
      </c>
      <c r="Y11" s="14">
        <v>50</v>
      </c>
      <c r="Z11" s="14">
        <v>90</v>
      </c>
      <c r="AA11" s="19">
        <v>100</v>
      </c>
      <c r="AB11" s="8">
        <v>100</v>
      </c>
      <c r="AC11" s="8">
        <v>100</v>
      </c>
      <c r="AE11" s="3"/>
    </row>
    <row r="12" spans="1:34">
      <c r="A12" s="1" t="s">
        <v>15</v>
      </c>
      <c r="B12" s="2" t="s">
        <v>18</v>
      </c>
      <c r="C12" s="15">
        <v>72.44</v>
      </c>
      <c r="D12" s="9">
        <v>75</v>
      </c>
      <c r="E12" s="9">
        <v>99</v>
      </c>
      <c r="F12" s="16">
        <v>6</v>
      </c>
      <c r="G12" s="10">
        <v>30</v>
      </c>
      <c r="H12" s="10">
        <v>70</v>
      </c>
      <c r="I12" s="17">
        <v>46.140000000000015</v>
      </c>
      <c r="J12" s="7">
        <v>67</v>
      </c>
      <c r="K12" s="7">
        <v>75</v>
      </c>
      <c r="L12" s="18">
        <v>17</v>
      </c>
      <c r="M12" s="9">
        <v>35</v>
      </c>
      <c r="N12" s="9">
        <v>55</v>
      </c>
      <c r="O12" s="11">
        <v>38.1</v>
      </c>
      <c r="P12" s="11">
        <v>75</v>
      </c>
      <c r="Q12" s="11">
        <v>90</v>
      </c>
      <c r="R12" s="12">
        <v>26.2</v>
      </c>
      <c r="S12" s="12">
        <v>75</v>
      </c>
      <c r="T12" s="12">
        <v>90</v>
      </c>
      <c r="U12" s="13">
        <v>0</v>
      </c>
      <c r="V12" s="13">
        <v>50</v>
      </c>
      <c r="W12" s="13">
        <v>90</v>
      </c>
      <c r="X12" s="14">
        <v>0</v>
      </c>
      <c r="Y12" s="14">
        <v>50</v>
      </c>
      <c r="Z12" s="14">
        <v>90</v>
      </c>
      <c r="AA12" s="19">
        <v>80</v>
      </c>
      <c r="AB12" s="8">
        <v>90</v>
      </c>
      <c r="AC12" s="8">
        <v>90</v>
      </c>
      <c r="AE12" s="3"/>
    </row>
    <row r="13" spans="1:34">
      <c r="A13" s="1" t="s">
        <v>6</v>
      </c>
      <c r="B13" s="2" t="s">
        <v>10</v>
      </c>
      <c r="C13" s="15">
        <v>61.204081632653015</v>
      </c>
      <c r="D13" s="9">
        <v>86</v>
      </c>
      <c r="E13" s="9">
        <v>99</v>
      </c>
      <c r="F13" s="16">
        <v>16</v>
      </c>
      <c r="G13" s="10">
        <v>30</v>
      </c>
      <c r="H13" s="10">
        <v>70</v>
      </c>
      <c r="I13" s="17">
        <v>28.515306122448692</v>
      </c>
      <c r="J13" s="7">
        <v>67</v>
      </c>
      <c r="K13" s="7">
        <v>75</v>
      </c>
      <c r="L13" s="18">
        <v>17</v>
      </c>
      <c r="M13" s="9">
        <v>35</v>
      </c>
      <c r="N13" s="9">
        <v>55</v>
      </c>
      <c r="O13" s="11">
        <v>21.1</v>
      </c>
      <c r="P13" s="11">
        <v>75</v>
      </c>
      <c r="Q13" s="11">
        <v>90</v>
      </c>
      <c r="R13" s="12">
        <v>12</v>
      </c>
      <c r="S13" s="12">
        <v>75</v>
      </c>
      <c r="T13" s="12">
        <v>90</v>
      </c>
      <c r="U13" s="13">
        <v>0</v>
      </c>
      <c r="V13" s="13">
        <v>50</v>
      </c>
      <c r="W13" s="13">
        <v>90</v>
      </c>
      <c r="X13" s="14">
        <v>0</v>
      </c>
      <c r="Y13" s="14">
        <v>50</v>
      </c>
      <c r="Z13" s="14">
        <v>90</v>
      </c>
      <c r="AA13" s="19">
        <v>88</v>
      </c>
      <c r="AB13" s="8">
        <v>90</v>
      </c>
      <c r="AC13" s="8">
        <v>90</v>
      </c>
      <c r="AE13" s="3"/>
    </row>
    <row r="14" spans="1:34">
      <c r="A14" s="1" t="s">
        <v>54</v>
      </c>
      <c r="B14" s="2" t="s">
        <v>70</v>
      </c>
      <c r="C14" s="15">
        <v>74</v>
      </c>
      <c r="D14" s="9">
        <v>75</v>
      </c>
      <c r="E14" s="9">
        <v>99</v>
      </c>
      <c r="F14" s="16">
        <v>14.59662288930582</v>
      </c>
      <c r="G14" s="10">
        <v>30</v>
      </c>
      <c r="H14" s="10">
        <v>70</v>
      </c>
      <c r="I14" s="17">
        <v>47.018761726078807</v>
      </c>
      <c r="J14" s="7">
        <v>67</v>
      </c>
      <c r="K14" s="7">
        <v>75</v>
      </c>
      <c r="L14" s="18">
        <v>17</v>
      </c>
      <c r="M14" s="9">
        <v>35</v>
      </c>
      <c r="N14" s="9">
        <v>55</v>
      </c>
      <c r="O14" s="11">
        <v>12.9</v>
      </c>
      <c r="P14" s="11">
        <v>75</v>
      </c>
      <c r="Q14" s="11">
        <v>90</v>
      </c>
      <c r="R14" s="12">
        <v>38</v>
      </c>
      <c r="S14" s="12">
        <v>75</v>
      </c>
      <c r="T14" s="12">
        <v>90</v>
      </c>
      <c r="U14" s="13">
        <v>0</v>
      </c>
      <c r="V14" s="13">
        <v>50</v>
      </c>
      <c r="W14" s="13">
        <v>90</v>
      </c>
      <c r="X14" s="14">
        <v>0</v>
      </c>
      <c r="Y14" s="14">
        <v>50</v>
      </c>
      <c r="Z14" s="14">
        <v>90</v>
      </c>
      <c r="AA14" s="19">
        <v>92</v>
      </c>
      <c r="AB14" s="8">
        <v>92</v>
      </c>
      <c r="AC14" s="8">
        <v>92</v>
      </c>
      <c r="AE14" s="3"/>
    </row>
    <row r="15" spans="1:34">
      <c r="A15" s="1" t="s">
        <v>54</v>
      </c>
      <c r="B15" s="2" t="s">
        <v>63</v>
      </c>
      <c r="C15" s="15">
        <v>66.872448979591809</v>
      </c>
      <c r="D15" s="9">
        <v>75</v>
      </c>
      <c r="E15" s="9">
        <v>99</v>
      </c>
      <c r="F15" s="16">
        <v>2.3826530612244881</v>
      </c>
      <c r="G15" s="10">
        <v>30</v>
      </c>
      <c r="H15" s="10">
        <v>70</v>
      </c>
      <c r="I15" s="17">
        <v>33.69387755102025</v>
      </c>
      <c r="J15" s="7">
        <v>67</v>
      </c>
      <c r="K15" s="7">
        <v>75</v>
      </c>
      <c r="L15" s="18">
        <v>17</v>
      </c>
      <c r="M15" s="9">
        <v>35</v>
      </c>
      <c r="N15" s="9">
        <v>55</v>
      </c>
      <c r="O15" s="11">
        <v>17.2</v>
      </c>
      <c r="P15" s="11">
        <v>75</v>
      </c>
      <c r="Q15" s="11">
        <v>90</v>
      </c>
      <c r="R15" s="12">
        <v>39.4</v>
      </c>
      <c r="S15" s="12">
        <v>75</v>
      </c>
      <c r="T15" s="12">
        <v>90</v>
      </c>
      <c r="U15" s="13">
        <v>0</v>
      </c>
      <c r="V15" s="13">
        <v>50</v>
      </c>
      <c r="W15" s="13">
        <v>90</v>
      </c>
      <c r="X15" s="14">
        <v>0</v>
      </c>
      <c r="Y15" s="14">
        <v>50</v>
      </c>
      <c r="Z15" s="14">
        <v>90</v>
      </c>
      <c r="AA15" s="19">
        <v>68</v>
      </c>
      <c r="AB15" s="8">
        <v>90</v>
      </c>
      <c r="AC15" s="8">
        <v>90</v>
      </c>
      <c r="AE15" s="3"/>
    </row>
    <row r="16" spans="1:34">
      <c r="A16" s="1" t="s">
        <v>54</v>
      </c>
      <c r="B16" s="2" t="s">
        <v>71</v>
      </c>
      <c r="C16" s="15">
        <v>49.533333333333076</v>
      </c>
      <c r="D16" s="9">
        <v>75</v>
      </c>
      <c r="E16" s="9">
        <v>99</v>
      </c>
      <c r="F16" s="16">
        <v>4.8666666666667311</v>
      </c>
      <c r="G16" s="10">
        <v>30</v>
      </c>
      <c r="H16" s="10">
        <v>70</v>
      </c>
      <c r="I16" s="17">
        <v>9.1333333333333258</v>
      </c>
      <c r="J16" s="7">
        <v>67</v>
      </c>
      <c r="K16" s="7">
        <v>75</v>
      </c>
      <c r="L16" s="9">
        <v>17</v>
      </c>
      <c r="M16" s="9">
        <v>35</v>
      </c>
      <c r="N16" s="9">
        <v>55</v>
      </c>
      <c r="O16" s="11">
        <v>15.1</v>
      </c>
      <c r="P16" s="11">
        <v>75</v>
      </c>
      <c r="Q16" s="11">
        <v>90</v>
      </c>
      <c r="R16" s="12">
        <v>11.8</v>
      </c>
      <c r="S16" s="12">
        <v>75</v>
      </c>
      <c r="T16" s="12">
        <v>90</v>
      </c>
      <c r="U16" s="13">
        <v>0</v>
      </c>
      <c r="V16" s="13">
        <v>50</v>
      </c>
      <c r="W16" s="13">
        <v>90</v>
      </c>
      <c r="X16" s="14">
        <v>0</v>
      </c>
      <c r="Y16" s="14">
        <v>50</v>
      </c>
      <c r="Z16" s="14">
        <v>90</v>
      </c>
      <c r="AA16" s="19">
        <v>0</v>
      </c>
      <c r="AB16" s="8">
        <v>90</v>
      </c>
      <c r="AC16" s="8">
        <v>90</v>
      </c>
      <c r="AD16" s="6"/>
      <c r="AE16" s="3"/>
    </row>
    <row r="17" spans="1:31">
      <c r="A17" s="2" t="s">
        <v>6</v>
      </c>
      <c r="B17" s="2" t="s">
        <v>14</v>
      </c>
      <c r="C17" s="15">
        <v>89.459662288930303</v>
      </c>
      <c r="D17" s="9">
        <v>89</v>
      </c>
      <c r="E17" s="9">
        <v>99</v>
      </c>
      <c r="F17" s="16">
        <v>82.519999999999982</v>
      </c>
      <c r="G17" s="10">
        <v>83</v>
      </c>
      <c r="H17" s="10">
        <v>83</v>
      </c>
      <c r="I17" s="17">
        <v>55.187617260788102</v>
      </c>
      <c r="J17" s="7">
        <v>67</v>
      </c>
      <c r="K17" s="7">
        <v>75</v>
      </c>
      <c r="L17" s="9">
        <v>13</v>
      </c>
      <c r="M17" s="9">
        <v>35</v>
      </c>
      <c r="N17" s="9">
        <v>55</v>
      </c>
      <c r="O17" s="11">
        <v>29</v>
      </c>
      <c r="P17" s="11">
        <v>75</v>
      </c>
      <c r="Q17" s="11">
        <v>90</v>
      </c>
      <c r="R17" s="12">
        <v>33</v>
      </c>
      <c r="S17" s="12">
        <v>75</v>
      </c>
      <c r="T17" s="12">
        <v>90</v>
      </c>
      <c r="U17" s="13">
        <v>0</v>
      </c>
      <c r="V17" s="13">
        <v>50</v>
      </c>
      <c r="W17" s="13">
        <v>90</v>
      </c>
      <c r="X17" s="14">
        <v>0</v>
      </c>
      <c r="Y17" s="14">
        <v>50</v>
      </c>
      <c r="Z17" s="14">
        <v>90</v>
      </c>
      <c r="AA17" s="19">
        <v>0</v>
      </c>
      <c r="AB17" s="8">
        <v>90</v>
      </c>
      <c r="AC17" s="8">
        <v>90</v>
      </c>
      <c r="AD17" s="6"/>
      <c r="AE17" s="3"/>
    </row>
    <row r="18" spans="1:31">
      <c r="A18" s="1" t="s">
        <v>54</v>
      </c>
      <c r="B18" s="2" t="s">
        <v>55</v>
      </c>
      <c r="C18" s="15">
        <v>71</v>
      </c>
      <c r="D18" s="9">
        <v>75</v>
      </c>
      <c r="E18" s="9">
        <v>99</v>
      </c>
      <c r="F18" s="16">
        <v>28</v>
      </c>
      <c r="G18" s="10">
        <v>30</v>
      </c>
      <c r="H18" s="10">
        <v>70</v>
      </c>
      <c r="I18" s="17">
        <v>30</v>
      </c>
      <c r="J18" s="7">
        <v>67</v>
      </c>
      <c r="K18" s="7">
        <v>75</v>
      </c>
      <c r="L18" s="9">
        <v>17</v>
      </c>
      <c r="M18" s="9">
        <v>35</v>
      </c>
      <c r="N18" s="9">
        <v>55</v>
      </c>
      <c r="O18" s="11">
        <v>18.2</v>
      </c>
      <c r="P18" s="11">
        <v>75</v>
      </c>
      <c r="Q18" s="11">
        <v>90</v>
      </c>
      <c r="R18" s="12">
        <v>21.9</v>
      </c>
      <c r="S18" s="12">
        <v>75</v>
      </c>
      <c r="T18" s="12">
        <v>90</v>
      </c>
      <c r="U18" s="13">
        <v>0</v>
      </c>
      <c r="V18" s="13">
        <v>50</v>
      </c>
      <c r="W18" s="13">
        <v>90</v>
      </c>
      <c r="X18" s="14">
        <v>0</v>
      </c>
      <c r="Y18" s="14">
        <v>50</v>
      </c>
      <c r="Z18" s="14">
        <v>90</v>
      </c>
      <c r="AA18" s="19">
        <v>10</v>
      </c>
      <c r="AB18" s="8">
        <v>90</v>
      </c>
      <c r="AC18" s="8">
        <v>90</v>
      </c>
      <c r="AD18" s="6"/>
      <c r="AE18" s="3"/>
    </row>
    <row r="19" spans="1:31">
      <c r="A19" s="1" t="s">
        <v>54</v>
      </c>
      <c r="B19" s="2" t="s">
        <v>69</v>
      </c>
      <c r="C19" s="15">
        <v>79.812382739212012</v>
      </c>
      <c r="D19" s="9">
        <v>80</v>
      </c>
      <c r="E19" s="9">
        <v>99</v>
      </c>
      <c r="F19" s="16">
        <v>39.784240150094092</v>
      </c>
      <c r="G19" s="10">
        <v>40</v>
      </c>
      <c r="H19" s="10">
        <v>70</v>
      </c>
      <c r="I19" s="17">
        <v>23.281425891181982</v>
      </c>
      <c r="J19" s="7">
        <v>67</v>
      </c>
      <c r="K19" s="7">
        <v>75</v>
      </c>
      <c r="L19" s="9">
        <v>17</v>
      </c>
      <c r="M19" s="9">
        <v>35</v>
      </c>
      <c r="N19" s="9">
        <v>55</v>
      </c>
      <c r="O19" s="11">
        <v>14.1</v>
      </c>
      <c r="P19" s="11">
        <v>75</v>
      </c>
      <c r="Q19" s="11">
        <v>90</v>
      </c>
      <c r="R19" s="12">
        <v>19.2</v>
      </c>
      <c r="S19" s="12">
        <v>75</v>
      </c>
      <c r="T19" s="12">
        <v>90</v>
      </c>
      <c r="U19" s="13">
        <v>0</v>
      </c>
      <c r="V19" s="13">
        <v>50</v>
      </c>
      <c r="W19" s="13">
        <v>90</v>
      </c>
      <c r="X19" s="14">
        <v>0</v>
      </c>
      <c r="Y19" s="14">
        <v>50</v>
      </c>
      <c r="Z19" s="14">
        <v>90</v>
      </c>
      <c r="AA19" s="19">
        <v>90</v>
      </c>
      <c r="AB19" s="8">
        <v>90</v>
      </c>
      <c r="AC19" s="8">
        <v>90</v>
      </c>
      <c r="AD19" s="6"/>
      <c r="AE19" s="3"/>
    </row>
    <row r="20" spans="1:31">
      <c r="A20" s="1" t="s">
        <v>34</v>
      </c>
      <c r="B20" s="2" t="s">
        <v>35</v>
      </c>
      <c r="C20" s="15">
        <v>92.178571428571558</v>
      </c>
      <c r="D20" s="9">
        <v>92</v>
      </c>
      <c r="E20" s="9">
        <v>99</v>
      </c>
      <c r="F20" s="16">
        <v>72.127551020408191</v>
      </c>
      <c r="G20" s="10">
        <v>72</v>
      </c>
      <c r="H20" s="10">
        <v>72</v>
      </c>
      <c r="I20" s="17">
        <v>55.974489795918316</v>
      </c>
      <c r="J20" s="7">
        <v>67</v>
      </c>
      <c r="K20" s="7">
        <v>75</v>
      </c>
      <c r="L20" s="18">
        <v>17</v>
      </c>
      <c r="M20" s="9">
        <v>35</v>
      </c>
      <c r="N20" s="9">
        <v>55</v>
      </c>
      <c r="O20" s="11">
        <v>49.1</v>
      </c>
      <c r="P20" s="11">
        <v>75</v>
      </c>
      <c r="Q20" s="11">
        <v>90</v>
      </c>
      <c r="R20" s="12">
        <v>42.5</v>
      </c>
      <c r="S20" s="12">
        <v>75</v>
      </c>
      <c r="T20" s="12">
        <v>90</v>
      </c>
      <c r="U20" s="13">
        <v>0</v>
      </c>
      <c r="V20" s="13">
        <v>50</v>
      </c>
      <c r="W20" s="13">
        <v>90</v>
      </c>
      <c r="X20" s="14">
        <v>0</v>
      </c>
      <c r="Y20" s="14">
        <v>50</v>
      </c>
      <c r="Z20" s="14">
        <v>90</v>
      </c>
      <c r="AA20" s="19">
        <v>86</v>
      </c>
      <c r="AB20" s="8">
        <v>94</v>
      </c>
      <c r="AC20" s="8">
        <v>94</v>
      </c>
      <c r="AE20" s="3"/>
    </row>
    <row r="21" spans="1:31">
      <c r="A21" s="2" t="s">
        <v>6</v>
      </c>
      <c r="B21" s="2" t="s">
        <v>8</v>
      </c>
      <c r="C21" s="15">
        <v>100</v>
      </c>
      <c r="D21" s="9">
        <v>100</v>
      </c>
      <c r="E21" s="9">
        <v>100</v>
      </c>
      <c r="F21" s="16">
        <v>77</v>
      </c>
      <c r="G21" s="10">
        <v>77</v>
      </c>
      <c r="H21" s="10">
        <v>77</v>
      </c>
      <c r="I21" s="17">
        <v>59</v>
      </c>
      <c r="J21" s="7">
        <v>67</v>
      </c>
      <c r="K21" s="7">
        <v>75</v>
      </c>
      <c r="L21" s="9">
        <v>17</v>
      </c>
      <c r="M21" s="9">
        <v>35</v>
      </c>
      <c r="N21" s="9">
        <v>55</v>
      </c>
      <c r="O21" s="11">
        <v>35</v>
      </c>
      <c r="P21" s="11">
        <v>75</v>
      </c>
      <c r="Q21" s="11">
        <v>90</v>
      </c>
      <c r="R21" s="12">
        <v>33</v>
      </c>
      <c r="S21" s="12">
        <v>75</v>
      </c>
      <c r="T21" s="12">
        <v>90</v>
      </c>
      <c r="U21" s="13">
        <v>0</v>
      </c>
      <c r="V21" s="13">
        <v>50</v>
      </c>
      <c r="W21" s="13">
        <v>90</v>
      </c>
      <c r="X21" s="14">
        <v>0</v>
      </c>
      <c r="Y21" s="14">
        <v>50</v>
      </c>
      <c r="Z21" s="14">
        <v>90</v>
      </c>
      <c r="AA21" s="19">
        <v>85</v>
      </c>
      <c r="AB21" s="8">
        <v>95</v>
      </c>
      <c r="AC21" s="8">
        <v>95</v>
      </c>
      <c r="AD21" s="6"/>
      <c r="AE21" s="3"/>
    </row>
    <row r="22" spans="1:31">
      <c r="A22" s="1" t="s">
        <v>54</v>
      </c>
      <c r="B22" s="2" t="s">
        <v>75</v>
      </c>
      <c r="C22" s="15">
        <v>45.668367346938794</v>
      </c>
      <c r="D22" s="9">
        <v>75</v>
      </c>
      <c r="E22" s="9">
        <v>99</v>
      </c>
      <c r="F22" s="16">
        <v>9.1020408163265074</v>
      </c>
      <c r="G22" s="10">
        <v>30</v>
      </c>
      <c r="H22" s="10">
        <v>70</v>
      </c>
      <c r="I22" s="17">
        <v>22.770408163265301</v>
      </c>
      <c r="J22" s="7">
        <v>67</v>
      </c>
      <c r="K22" s="7">
        <v>75</v>
      </c>
      <c r="L22" s="9">
        <v>17</v>
      </c>
      <c r="M22" s="9">
        <v>35</v>
      </c>
      <c r="N22" s="9">
        <v>55</v>
      </c>
      <c r="O22" s="11">
        <v>30.8</v>
      </c>
      <c r="P22" s="11">
        <v>75</v>
      </c>
      <c r="Q22" s="11">
        <v>90</v>
      </c>
      <c r="R22" s="12">
        <v>20.9</v>
      </c>
      <c r="S22" s="12">
        <v>75</v>
      </c>
      <c r="T22" s="12">
        <v>90</v>
      </c>
      <c r="U22" s="13">
        <v>0</v>
      </c>
      <c r="V22" s="13">
        <v>50</v>
      </c>
      <c r="W22" s="13">
        <v>90</v>
      </c>
      <c r="X22" s="14">
        <v>0</v>
      </c>
      <c r="Y22" s="14">
        <v>50</v>
      </c>
      <c r="Z22" s="14">
        <v>90</v>
      </c>
      <c r="AA22" s="19">
        <v>98</v>
      </c>
      <c r="AB22" s="8">
        <v>98</v>
      </c>
      <c r="AC22" s="8">
        <v>98</v>
      </c>
      <c r="AD22" s="6"/>
      <c r="AE22" s="3"/>
    </row>
    <row r="23" spans="1:31">
      <c r="A23" s="2" t="s">
        <v>34</v>
      </c>
      <c r="B23" s="2" t="s">
        <v>40</v>
      </c>
      <c r="C23" s="15">
        <v>98.839999999999918</v>
      </c>
      <c r="D23" s="9">
        <v>99</v>
      </c>
      <c r="E23" s="9">
        <v>99</v>
      </c>
      <c r="F23" s="16">
        <v>92.019999999999982</v>
      </c>
      <c r="G23" s="10">
        <v>92</v>
      </c>
      <c r="H23" s="10">
        <v>92</v>
      </c>
      <c r="I23" s="17">
        <v>94.399999999999636</v>
      </c>
      <c r="J23" s="7">
        <v>94</v>
      </c>
      <c r="K23" s="7">
        <v>94</v>
      </c>
      <c r="L23" s="9">
        <v>17</v>
      </c>
      <c r="M23" s="9">
        <v>35</v>
      </c>
      <c r="N23" s="9">
        <v>55</v>
      </c>
      <c r="O23" s="11">
        <v>33.5</v>
      </c>
      <c r="P23" s="11">
        <v>75</v>
      </c>
      <c r="Q23" s="11">
        <v>90</v>
      </c>
      <c r="R23" s="12">
        <v>73.3</v>
      </c>
      <c r="S23" s="12">
        <v>75</v>
      </c>
      <c r="T23" s="12">
        <v>90</v>
      </c>
      <c r="U23" s="13">
        <v>0.8</v>
      </c>
      <c r="V23" s="13">
        <v>50</v>
      </c>
      <c r="W23" s="13">
        <v>90</v>
      </c>
      <c r="X23" s="14">
        <v>0</v>
      </c>
      <c r="Y23" s="14">
        <v>50</v>
      </c>
      <c r="Z23" s="14">
        <v>90</v>
      </c>
      <c r="AA23" s="19">
        <v>68</v>
      </c>
      <c r="AB23" s="8">
        <v>90</v>
      </c>
      <c r="AC23" s="8">
        <v>90</v>
      </c>
      <c r="AD23" s="6"/>
      <c r="AE23" s="3"/>
    </row>
    <row r="24" spans="1:31">
      <c r="A24" s="1" t="s">
        <v>54</v>
      </c>
      <c r="B24" s="2" t="s">
        <v>57</v>
      </c>
      <c r="C24" s="15">
        <v>43</v>
      </c>
      <c r="D24" s="9">
        <v>75</v>
      </c>
      <c r="E24" s="9">
        <v>99</v>
      </c>
      <c r="F24" s="16">
        <v>6</v>
      </c>
      <c r="G24" s="10">
        <v>30</v>
      </c>
      <c r="H24" s="10">
        <v>70</v>
      </c>
      <c r="I24" s="17">
        <v>51</v>
      </c>
      <c r="J24" s="7">
        <v>67</v>
      </c>
      <c r="K24" s="7">
        <v>75</v>
      </c>
      <c r="L24" s="18">
        <v>17</v>
      </c>
      <c r="M24" s="9">
        <v>35</v>
      </c>
      <c r="N24" s="9">
        <v>55</v>
      </c>
      <c r="O24" s="11">
        <v>36</v>
      </c>
      <c r="P24" s="11">
        <v>75</v>
      </c>
      <c r="Q24" s="11">
        <v>90</v>
      </c>
      <c r="R24" s="12">
        <v>18</v>
      </c>
      <c r="S24" s="12">
        <v>75</v>
      </c>
      <c r="T24" s="12">
        <v>90</v>
      </c>
      <c r="U24" s="13">
        <v>0</v>
      </c>
      <c r="V24" s="13">
        <v>50</v>
      </c>
      <c r="W24" s="13">
        <v>90</v>
      </c>
      <c r="X24" s="14">
        <v>0</v>
      </c>
      <c r="Y24" s="14">
        <v>50</v>
      </c>
      <c r="Z24" s="14">
        <v>90</v>
      </c>
      <c r="AA24" s="19">
        <v>0</v>
      </c>
      <c r="AB24" s="8">
        <v>90</v>
      </c>
      <c r="AC24" s="8">
        <v>90</v>
      </c>
      <c r="AE24" s="3"/>
    </row>
    <row r="25" spans="1:31">
      <c r="A25" s="1" t="s">
        <v>15</v>
      </c>
      <c r="B25" s="2" t="s">
        <v>16</v>
      </c>
      <c r="C25" s="15">
        <v>61</v>
      </c>
      <c r="D25" s="9">
        <v>75</v>
      </c>
      <c r="E25" s="9">
        <v>99</v>
      </c>
      <c r="F25" s="16">
        <v>9</v>
      </c>
      <c r="G25" s="10">
        <v>30</v>
      </c>
      <c r="H25" s="10">
        <v>70</v>
      </c>
      <c r="I25" s="17">
        <v>13.733333333333348</v>
      </c>
      <c r="J25" s="7">
        <v>67</v>
      </c>
      <c r="K25" s="7">
        <v>75</v>
      </c>
      <c r="L25" s="18">
        <v>17</v>
      </c>
      <c r="M25" s="9">
        <v>35</v>
      </c>
      <c r="N25" s="9">
        <v>55</v>
      </c>
      <c r="O25" s="11">
        <v>44.7</v>
      </c>
      <c r="P25" s="11">
        <v>75</v>
      </c>
      <c r="Q25" s="11">
        <v>90</v>
      </c>
      <c r="R25" s="12">
        <v>22.4</v>
      </c>
      <c r="S25" s="12">
        <v>75</v>
      </c>
      <c r="T25" s="12">
        <v>90</v>
      </c>
      <c r="U25" s="13">
        <v>0</v>
      </c>
      <c r="V25" s="13">
        <v>50</v>
      </c>
      <c r="W25" s="13">
        <v>90</v>
      </c>
      <c r="X25" s="14">
        <v>0</v>
      </c>
      <c r="Y25" s="14">
        <v>50</v>
      </c>
      <c r="Z25" s="14">
        <v>90</v>
      </c>
      <c r="AA25" s="19">
        <v>49</v>
      </c>
      <c r="AB25" s="8">
        <v>90</v>
      </c>
      <c r="AC25" s="8">
        <v>90</v>
      </c>
      <c r="AE25" s="3"/>
    </row>
    <row r="26" spans="1:31">
      <c r="A26" s="2" t="s">
        <v>15</v>
      </c>
      <c r="B26" s="2" t="s">
        <v>23</v>
      </c>
      <c r="C26" s="15">
        <v>38</v>
      </c>
      <c r="D26" s="9">
        <v>75</v>
      </c>
      <c r="E26" s="9">
        <v>99</v>
      </c>
      <c r="F26" s="16">
        <v>6.9155722326454452</v>
      </c>
      <c r="G26" s="10">
        <v>30</v>
      </c>
      <c r="H26" s="10">
        <v>70</v>
      </c>
      <c r="I26" s="17">
        <v>11.666666666666629</v>
      </c>
      <c r="J26" s="7">
        <v>67</v>
      </c>
      <c r="K26" s="7">
        <v>75</v>
      </c>
      <c r="L26" s="18">
        <v>17</v>
      </c>
      <c r="M26" s="9">
        <v>35</v>
      </c>
      <c r="N26" s="9">
        <v>55</v>
      </c>
      <c r="O26" s="11">
        <v>19.899999999999999</v>
      </c>
      <c r="P26" s="11">
        <v>75</v>
      </c>
      <c r="Q26" s="11">
        <v>90</v>
      </c>
      <c r="R26" s="12">
        <v>4.9000000000000004</v>
      </c>
      <c r="S26" s="12">
        <v>75</v>
      </c>
      <c r="T26" s="12">
        <v>90</v>
      </c>
      <c r="U26" s="13">
        <v>0</v>
      </c>
      <c r="V26" s="13">
        <v>50</v>
      </c>
      <c r="W26" s="13">
        <v>90</v>
      </c>
      <c r="X26" s="14">
        <v>0</v>
      </c>
      <c r="Y26" s="14">
        <v>50</v>
      </c>
      <c r="Z26" s="14">
        <v>90</v>
      </c>
      <c r="AA26" s="19">
        <v>88</v>
      </c>
      <c r="AB26" s="8">
        <v>90</v>
      </c>
      <c r="AC26" s="8">
        <v>90</v>
      </c>
      <c r="AE26" s="3"/>
    </row>
    <row r="27" spans="1:31">
      <c r="A27" s="1" t="s">
        <v>54</v>
      </c>
      <c r="B27" s="2" t="s">
        <v>56</v>
      </c>
      <c r="C27" s="15">
        <v>87</v>
      </c>
      <c r="D27" s="9">
        <v>87</v>
      </c>
      <c r="E27" s="9">
        <v>99</v>
      </c>
      <c r="F27" s="16">
        <v>43</v>
      </c>
      <c r="G27" s="10">
        <v>43</v>
      </c>
      <c r="H27" s="10">
        <v>70</v>
      </c>
      <c r="I27" s="17">
        <v>32.899999999999977</v>
      </c>
      <c r="J27" s="7">
        <v>67</v>
      </c>
      <c r="K27" s="7">
        <v>75</v>
      </c>
      <c r="L27" s="18">
        <v>17</v>
      </c>
      <c r="M27" s="9">
        <v>35</v>
      </c>
      <c r="N27" s="9">
        <v>55</v>
      </c>
      <c r="O27" s="11">
        <v>24.8</v>
      </c>
      <c r="P27" s="11">
        <v>75</v>
      </c>
      <c r="Q27" s="11">
        <v>90</v>
      </c>
      <c r="R27" s="12">
        <v>23.9</v>
      </c>
      <c r="S27" s="12">
        <v>75</v>
      </c>
      <c r="T27" s="12">
        <v>90</v>
      </c>
      <c r="U27" s="13">
        <v>0</v>
      </c>
      <c r="V27" s="13">
        <v>50</v>
      </c>
      <c r="W27" s="13">
        <v>90</v>
      </c>
      <c r="X27" s="14">
        <v>0</v>
      </c>
      <c r="Y27" s="14">
        <v>50</v>
      </c>
      <c r="Z27" s="14">
        <v>90</v>
      </c>
      <c r="AA27" s="19">
        <v>0</v>
      </c>
      <c r="AB27" s="8">
        <v>90</v>
      </c>
      <c r="AC27" s="8">
        <v>90</v>
      </c>
      <c r="AE27" s="3"/>
    </row>
    <row r="28" spans="1:31">
      <c r="A28" s="1" t="s">
        <v>54</v>
      </c>
      <c r="B28" s="2" t="s">
        <v>58</v>
      </c>
      <c r="C28" s="15">
        <v>92</v>
      </c>
      <c r="D28" s="9">
        <v>92</v>
      </c>
      <c r="E28" s="9">
        <v>99</v>
      </c>
      <c r="F28" s="16">
        <v>32.934333958724437</v>
      </c>
      <c r="G28" s="10">
        <v>33</v>
      </c>
      <c r="H28" s="10">
        <v>70</v>
      </c>
      <c r="I28" s="17">
        <v>66.872448979591809</v>
      </c>
      <c r="J28" s="7">
        <v>67</v>
      </c>
      <c r="K28" s="7">
        <v>75</v>
      </c>
      <c r="L28" s="9">
        <v>17</v>
      </c>
      <c r="M28" s="9">
        <v>35</v>
      </c>
      <c r="N28" s="9">
        <v>55</v>
      </c>
      <c r="O28" s="11">
        <v>40.700000000000003</v>
      </c>
      <c r="P28" s="11">
        <v>75</v>
      </c>
      <c r="Q28" s="11">
        <v>90</v>
      </c>
      <c r="R28" s="12">
        <v>61.3</v>
      </c>
      <c r="S28" s="12">
        <v>75</v>
      </c>
      <c r="T28" s="12">
        <v>90</v>
      </c>
      <c r="U28" s="13">
        <v>0</v>
      </c>
      <c r="V28" s="13">
        <v>50</v>
      </c>
      <c r="W28" s="13">
        <v>90</v>
      </c>
      <c r="X28" s="14">
        <v>0</v>
      </c>
      <c r="Y28" s="14">
        <v>50</v>
      </c>
      <c r="Z28" s="14">
        <v>90</v>
      </c>
      <c r="AA28" s="19">
        <v>28</v>
      </c>
      <c r="AB28" s="8">
        <v>90</v>
      </c>
      <c r="AC28" s="8">
        <v>90</v>
      </c>
      <c r="AD28" s="6"/>
      <c r="AE28" s="3"/>
    </row>
    <row r="29" spans="1:31">
      <c r="A29" s="1" t="s">
        <v>54</v>
      </c>
      <c r="B29" s="2" t="s">
        <v>64</v>
      </c>
      <c r="C29" s="15">
        <v>82</v>
      </c>
      <c r="D29" s="9">
        <v>82</v>
      </c>
      <c r="E29" s="9">
        <v>99</v>
      </c>
      <c r="F29" s="16">
        <v>17.092870544090061</v>
      </c>
      <c r="G29" s="10">
        <v>30</v>
      </c>
      <c r="H29" s="10">
        <v>70</v>
      </c>
      <c r="I29" s="17">
        <v>13</v>
      </c>
      <c r="J29" s="7">
        <v>67</v>
      </c>
      <c r="K29" s="7">
        <v>75</v>
      </c>
      <c r="L29" s="9">
        <v>3</v>
      </c>
      <c r="M29" s="9">
        <v>35</v>
      </c>
      <c r="N29" s="9">
        <v>55</v>
      </c>
      <c r="O29" s="11">
        <v>44.5</v>
      </c>
      <c r="P29" s="11">
        <v>75</v>
      </c>
      <c r="Q29" s="11">
        <v>90</v>
      </c>
      <c r="R29" s="12">
        <v>32.9</v>
      </c>
      <c r="S29" s="12">
        <v>75</v>
      </c>
      <c r="T29" s="12">
        <v>90</v>
      </c>
      <c r="U29" s="13">
        <v>0</v>
      </c>
      <c r="V29" s="13">
        <v>50</v>
      </c>
      <c r="W29" s="13">
        <v>90</v>
      </c>
      <c r="X29" s="14">
        <v>0</v>
      </c>
      <c r="Y29" s="14">
        <v>50</v>
      </c>
      <c r="Z29" s="14">
        <v>90</v>
      </c>
      <c r="AA29" s="19">
        <v>24</v>
      </c>
      <c r="AB29" s="8">
        <v>90</v>
      </c>
      <c r="AC29" s="8">
        <v>90</v>
      </c>
      <c r="AE29" s="3"/>
    </row>
    <row r="30" spans="1:31">
      <c r="A30" s="1" t="s">
        <v>47</v>
      </c>
      <c r="B30" s="2" t="s">
        <v>50</v>
      </c>
      <c r="C30" s="15">
        <v>94.084427767354555</v>
      </c>
      <c r="D30" s="9">
        <v>94</v>
      </c>
      <c r="E30" s="9">
        <v>99</v>
      </c>
      <c r="F30" s="16">
        <v>81.16885553470911</v>
      </c>
      <c r="G30" s="10">
        <v>81</v>
      </c>
      <c r="H30" s="10">
        <v>81</v>
      </c>
      <c r="I30" s="17">
        <v>80.878048780488143</v>
      </c>
      <c r="J30" s="7">
        <v>81</v>
      </c>
      <c r="K30" s="7">
        <v>81</v>
      </c>
      <c r="L30" s="18">
        <v>17</v>
      </c>
      <c r="M30" s="9">
        <v>35</v>
      </c>
      <c r="N30" s="9">
        <v>55</v>
      </c>
      <c r="O30" s="11">
        <v>30.4</v>
      </c>
      <c r="P30" s="11">
        <v>75</v>
      </c>
      <c r="Q30" s="11">
        <v>90</v>
      </c>
      <c r="R30" s="12">
        <v>15.2</v>
      </c>
      <c r="S30" s="12">
        <v>75</v>
      </c>
      <c r="T30" s="12">
        <v>90</v>
      </c>
      <c r="U30" s="13">
        <v>0</v>
      </c>
      <c r="V30" s="13">
        <v>50</v>
      </c>
      <c r="W30" s="13">
        <v>90</v>
      </c>
      <c r="X30" s="14">
        <v>0</v>
      </c>
      <c r="Y30" s="14">
        <v>50</v>
      </c>
      <c r="Z30" s="14">
        <v>90</v>
      </c>
      <c r="AA30" s="19">
        <v>20</v>
      </c>
      <c r="AB30" s="8">
        <v>90</v>
      </c>
      <c r="AC30" s="8">
        <v>90</v>
      </c>
      <c r="AE30" s="3"/>
    </row>
    <row r="31" spans="1:31">
      <c r="A31" s="1" t="s">
        <v>54</v>
      </c>
      <c r="B31" s="2" t="s">
        <v>68</v>
      </c>
      <c r="C31" s="15">
        <v>70.962476547842698</v>
      </c>
      <c r="D31" s="9">
        <v>75</v>
      </c>
      <c r="E31" s="9">
        <v>99</v>
      </c>
      <c r="F31" s="16">
        <v>9.5778611632270554</v>
      </c>
      <c r="G31" s="10">
        <v>30</v>
      </c>
      <c r="H31" s="10">
        <v>70</v>
      </c>
      <c r="I31" s="17">
        <v>18.962476547842471</v>
      </c>
      <c r="J31" s="7">
        <v>67</v>
      </c>
      <c r="K31" s="7">
        <v>75</v>
      </c>
      <c r="L31" s="18">
        <v>17</v>
      </c>
      <c r="M31" s="9">
        <v>35</v>
      </c>
      <c r="N31" s="9">
        <v>55</v>
      </c>
      <c r="O31" s="11">
        <v>33.1</v>
      </c>
      <c r="P31" s="11">
        <v>75</v>
      </c>
      <c r="Q31" s="11">
        <v>90</v>
      </c>
      <c r="R31" s="12">
        <v>17.3</v>
      </c>
      <c r="S31" s="12">
        <v>75</v>
      </c>
      <c r="T31" s="12">
        <v>90</v>
      </c>
      <c r="U31" s="13">
        <v>0</v>
      </c>
      <c r="V31" s="13">
        <v>50</v>
      </c>
      <c r="W31" s="13">
        <v>90</v>
      </c>
      <c r="X31" s="14">
        <v>0</v>
      </c>
      <c r="Y31" s="14">
        <v>50</v>
      </c>
      <c r="Z31" s="14">
        <v>90</v>
      </c>
      <c r="AA31" s="19">
        <v>94</v>
      </c>
      <c r="AB31" s="8">
        <v>94</v>
      </c>
      <c r="AC31" s="8">
        <v>94</v>
      </c>
      <c r="AD31" s="6"/>
      <c r="AE31" s="3"/>
    </row>
    <row r="32" spans="1:31">
      <c r="A32" s="1" t="s">
        <v>54</v>
      </c>
      <c r="B32" s="2" t="s">
        <v>60</v>
      </c>
      <c r="C32" s="15">
        <v>60.540816326530603</v>
      </c>
      <c r="D32" s="9">
        <v>75</v>
      </c>
      <c r="E32" s="9">
        <v>99</v>
      </c>
      <c r="F32" s="16">
        <v>8.8780487804878021</v>
      </c>
      <c r="G32" s="10">
        <v>30</v>
      </c>
      <c r="H32" s="10">
        <v>70</v>
      </c>
      <c r="I32" s="17">
        <v>21.076530612244937</v>
      </c>
      <c r="J32" s="7">
        <v>67</v>
      </c>
      <c r="K32" s="7">
        <v>75</v>
      </c>
      <c r="L32" s="18">
        <v>17</v>
      </c>
      <c r="M32" s="9">
        <v>35</v>
      </c>
      <c r="N32" s="9">
        <v>55</v>
      </c>
      <c r="O32" s="11">
        <v>26.2</v>
      </c>
      <c r="P32" s="11">
        <v>75</v>
      </c>
      <c r="Q32" s="11">
        <v>90</v>
      </c>
      <c r="R32" s="12">
        <v>41.9</v>
      </c>
      <c r="S32" s="12">
        <v>75</v>
      </c>
      <c r="T32" s="12">
        <v>90</v>
      </c>
      <c r="U32" s="13">
        <v>0</v>
      </c>
      <c r="V32" s="13">
        <v>50</v>
      </c>
      <c r="W32" s="13">
        <v>90</v>
      </c>
      <c r="X32" s="14">
        <v>0</v>
      </c>
      <c r="Y32" s="14">
        <v>50</v>
      </c>
      <c r="Z32" s="14">
        <v>90</v>
      </c>
      <c r="AA32" s="19">
        <v>66</v>
      </c>
      <c r="AB32" s="8">
        <v>90</v>
      </c>
      <c r="AC32" s="8">
        <v>90</v>
      </c>
      <c r="AE32" s="3"/>
    </row>
    <row r="33" spans="1:31">
      <c r="A33" s="1" t="s">
        <v>47</v>
      </c>
      <c r="B33" s="2" t="s">
        <v>51</v>
      </c>
      <c r="C33" s="15">
        <v>62.681050656660545</v>
      </c>
      <c r="D33" s="9">
        <v>86</v>
      </c>
      <c r="E33" s="9">
        <v>99</v>
      </c>
      <c r="F33" s="16">
        <v>11.652908067542228</v>
      </c>
      <c r="G33" s="10">
        <v>30</v>
      </c>
      <c r="H33" s="10">
        <v>70</v>
      </c>
      <c r="I33" s="17">
        <v>17.076530612244824</v>
      </c>
      <c r="J33" s="7">
        <v>67</v>
      </c>
      <c r="K33" s="7">
        <v>75</v>
      </c>
      <c r="L33" s="18">
        <v>17</v>
      </c>
      <c r="M33" s="9">
        <v>35</v>
      </c>
      <c r="N33" s="9">
        <v>55</v>
      </c>
      <c r="O33" s="11">
        <v>40.299999999999997</v>
      </c>
      <c r="P33" s="11">
        <v>75</v>
      </c>
      <c r="Q33" s="11">
        <v>90</v>
      </c>
      <c r="R33" s="12">
        <v>4.5999999999999996</v>
      </c>
      <c r="S33" s="12">
        <v>75</v>
      </c>
      <c r="T33" s="12">
        <v>90</v>
      </c>
      <c r="U33" s="13">
        <v>0</v>
      </c>
      <c r="V33" s="13">
        <v>50</v>
      </c>
      <c r="W33" s="13">
        <v>90</v>
      </c>
      <c r="X33" s="14">
        <v>0</v>
      </c>
      <c r="Y33" s="14">
        <v>50</v>
      </c>
      <c r="Z33" s="14">
        <v>90</v>
      </c>
      <c r="AA33" s="19">
        <v>34</v>
      </c>
      <c r="AB33" s="8">
        <v>90</v>
      </c>
      <c r="AC33" s="8">
        <v>90</v>
      </c>
      <c r="AE33" s="3"/>
    </row>
    <row r="34" spans="1:31">
      <c r="A34" s="1" t="s">
        <v>41</v>
      </c>
      <c r="B34" s="2" t="s">
        <v>46</v>
      </c>
      <c r="C34" s="15">
        <v>87.866666666666788</v>
      </c>
      <c r="D34" s="9">
        <v>88</v>
      </c>
      <c r="E34" s="9">
        <v>99</v>
      </c>
      <c r="F34" s="16">
        <v>22.046904315197025</v>
      </c>
      <c r="G34" s="10">
        <v>30</v>
      </c>
      <c r="H34" s="10">
        <v>70</v>
      </c>
      <c r="I34" s="17">
        <v>31</v>
      </c>
      <c r="J34" s="7">
        <v>67</v>
      </c>
      <c r="K34" s="7">
        <v>75</v>
      </c>
      <c r="L34" s="9">
        <v>42</v>
      </c>
      <c r="M34" s="9">
        <v>35</v>
      </c>
      <c r="N34" s="9">
        <v>55</v>
      </c>
      <c r="O34" s="11">
        <v>26</v>
      </c>
      <c r="P34" s="11">
        <v>75</v>
      </c>
      <c r="Q34" s="11">
        <v>90</v>
      </c>
      <c r="R34" s="12">
        <v>13</v>
      </c>
      <c r="S34" s="12">
        <v>75</v>
      </c>
      <c r="T34" s="12">
        <v>90</v>
      </c>
      <c r="U34" s="13">
        <v>0</v>
      </c>
      <c r="V34" s="13">
        <v>50</v>
      </c>
      <c r="W34" s="13">
        <v>90</v>
      </c>
      <c r="X34" s="14">
        <v>0</v>
      </c>
      <c r="Y34" s="14">
        <v>50</v>
      </c>
      <c r="Z34" s="14">
        <v>90</v>
      </c>
      <c r="AA34" s="19">
        <v>53</v>
      </c>
      <c r="AB34" s="8">
        <v>90</v>
      </c>
      <c r="AC34" s="8">
        <v>90</v>
      </c>
      <c r="AE34" s="3"/>
    </row>
    <row r="35" spans="1:31">
      <c r="A35" s="1" t="s">
        <v>6</v>
      </c>
      <c r="B35" s="2" t="s">
        <v>13</v>
      </c>
      <c r="C35" s="15">
        <v>80.315196998123952</v>
      </c>
      <c r="D35" s="9">
        <v>86</v>
      </c>
      <c r="E35" s="9">
        <v>99</v>
      </c>
      <c r="F35" s="16">
        <v>22.559099437148461</v>
      </c>
      <c r="G35" s="10">
        <v>30</v>
      </c>
      <c r="H35" s="10">
        <v>70</v>
      </c>
      <c r="I35" s="17">
        <v>52.159474671669614</v>
      </c>
      <c r="J35" s="7">
        <v>67</v>
      </c>
      <c r="K35" s="7">
        <v>75</v>
      </c>
      <c r="L35" s="18">
        <v>17</v>
      </c>
      <c r="M35" s="9">
        <v>35</v>
      </c>
      <c r="N35" s="9">
        <v>55</v>
      </c>
      <c r="O35" s="11">
        <v>34.700000000000003</v>
      </c>
      <c r="P35" s="11">
        <v>75</v>
      </c>
      <c r="Q35" s="11">
        <v>90</v>
      </c>
      <c r="R35" s="12">
        <v>33</v>
      </c>
      <c r="S35" s="12">
        <v>75</v>
      </c>
      <c r="T35" s="12">
        <v>90</v>
      </c>
      <c r="U35" s="13">
        <v>0</v>
      </c>
      <c r="V35" s="13">
        <v>50</v>
      </c>
      <c r="W35" s="13">
        <v>90</v>
      </c>
      <c r="X35" s="14">
        <v>0</v>
      </c>
      <c r="Y35" s="14">
        <v>50</v>
      </c>
      <c r="Z35" s="14">
        <v>90</v>
      </c>
      <c r="AA35" s="19">
        <v>86</v>
      </c>
      <c r="AB35" s="8">
        <v>90</v>
      </c>
      <c r="AC35" s="8">
        <v>90</v>
      </c>
      <c r="AE35" s="3"/>
    </row>
    <row r="36" spans="1:31">
      <c r="A36" s="2" t="s">
        <v>34</v>
      </c>
      <c r="B36" s="2" t="s">
        <v>37</v>
      </c>
      <c r="C36" s="15">
        <v>79.382653061224474</v>
      </c>
      <c r="D36" s="9">
        <v>86</v>
      </c>
      <c r="E36" s="9">
        <v>99</v>
      </c>
      <c r="F36" s="16">
        <v>76.102040816326564</v>
      </c>
      <c r="G36" s="10">
        <v>76</v>
      </c>
      <c r="H36" s="10">
        <v>76</v>
      </c>
      <c r="I36" s="17">
        <v>72.693877551020364</v>
      </c>
      <c r="J36" s="7">
        <v>73</v>
      </c>
      <c r="K36" s="7">
        <v>75</v>
      </c>
      <c r="L36" s="9">
        <v>17</v>
      </c>
      <c r="M36" s="9">
        <v>35</v>
      </c>
      <c r="N36" s="9">
        <v>55</v>
      </c>
      <c r="O36" s="11">
        <v>30.7</v>
      </c>
      <c r="P36" s="11">
        <v>75</v>
      </c>
      <c r="Q36" s="11">
        <v>90</v>
      </c>
      <c r="R36" s="12">
        <v>82</v>
      </c>
      <c r="S36" s="12">
        <v>82</v>
      </c>
      <c r="T36" s="12">
        <v>90</v>
      </c>
      <c r="U36" s="13">
        <v>0</v>
      </c>
      <c r="V36" s="13">
        <v>50</v>
      </c>
      <c r="W36" s="13">
        <v>90</v>
      </c>
      <c r="X36" s="14">
        <v>0</v>
      </c>
      <c r="Y36" s="14">
        <v>50</v>
      </c>
      <c r="Z36" s="14">
        <v>90</v>
      </c>
      <c r="AA36" s="19">
        <v>0</v>
      </c>
      <c r="AB36" s="8">
        <v>90</v>
      </c>
      <c r="AC36" s="8">
        <v>90</v>
      </c>
      <c r="AD36" s="6"/>
      <c r="AE36" s="3"/>
    </row>
    <row r="37" spans="1:31">
      <c r="A37" s="1" t="s">
        <v>15</v>
      </c>
      <c r="B37" s="2" t="s">
        <v>21</v>
      </c>
      <c r="C37" s="15">
        <v>58.89681050656668</v>
      </c>
      <c r="D37" s="9">
        <v>75</v>
      </c>
      <c r="E37" s="9">
        <v>99</v>
      </c>
      <c r="F37" s="16">
        <v>18.784240150093808</v>
      </c>
      <c r="G37" s="10">
        <v>30</v>
      </c>
      <c r="H37" s="10">
        <v>70</v>
      </c>
      <c r="I37" s="17">
        <v>30.971857410881853</v>
      </c>
      <c r="J37" s="7">
        <v>67</v>
      </c>
      <c r="K37" s="7">
        <v>75</v>
      </c>
      <c r="L37" s="18">
        <v>17</v>
      </c>
      <c r="M37" s="9">
        <v>35</v>
      </c>
      <c r="N37" s="9">
        <v>55</v>
      </c>
      <c r="O37" s="11">
        <v>29.2</v>
      </c>
      <c r="P37" s="11">
        <v>75</v>
      </c>
      <c r="Q37" s="11">
        <v>90</v>
      </c>
      <c r="R37" s="12">
        <v>22</v>
      </c>
      <c r="S37" s="12">
        <v>75</v>
      </c>
      <c r="T37" s="12">
        <v>90</v>
      </c>
      <c r="U37" s="13">
        <v>0</v>
      </c>
      <c r="V37" s="13">
        <v>50</v>
      </c>
      <c r="W37" s="13">
        <v>90</v>
      </c>
      <c r="X37" s="14">
        <v>0</v>
      </c>
      <c r="Y37" s="14">
        <v>50</v>
      </c>
      <c r="Z37" s="14">
        <v>90</v>
      </c>
      <c r="AA37" s="19">
        <v>27</v>
      </c>
      <c r="AB37" s="8">
        <v>90</v>
      </c>
      <c r="AC37" s="8">
        <v>90</v>
      </c>
      <c r="AE37" s="3"/>
    </row>
    <row r="38" spans="1:31">
      <c r="A38" s="2" t="s">
        <v>6</v>
      </c>
      <c r="B38" s="2" t="s">
        <v>7</v>
      </c>
      <c r="C38" s="15">
        <v>56.872448979592036</v>
      </c>
      <c r="D38" s="9">
        <v>75</v>
      </c>
      <c r="E38" s="9">
        <v>99</v>
      </c>
      <c r="F38" s="16">
        <v>19.59183673469397</v>
      </c>
      <c r="G38" s="10">
        <v>30</v>
      </c>
      <c r="H38" s="10">
        <v>70</v>
      </c>
      <c r="I38" s="17">
        <v>53</v>
      </c>
      <c r="J38" s="7">
        <v>67</v>
      </c>
      <c r="K38" s="7">
        <v>75</v>
      </c>
      <c r="L38" s="18">
        <v>17</v>
      </c>
      <c r="M38" s="9">
        <v>35</v>
      </c>
      <c r="N38" s="9">
        <v>55</v>
      </c>
      <c r="O38" s="11">
        <v>30.7</v>
      </c>
      <c r="P38" s="11">
        <v>75</v>
      </c>
      <c r="Q38" s="11">
        <v>90</v>
      </c>
      <c r="R38" s="12">
        <v>52.1</v>
      </c>
      <c r="S38" s="12">
        <v>75</v>
      </c>
      <c r="T38" s="12">
        <v>90</v>
      </c>
      <c r="U38" s="13">
        <v>0</v>
      </c>
      <c r="V38" s="13">
        <v>50</v>
      </c>
      <c r="W38" s="13">
        <v>90</v>
      </c>
      <c r="X38" s="14">
        <v>0</v>
      </c>
      <c r="Y38" s="14">
        <v>50</v>
      </c>
      <c r="Z38" s="14">
        <v>90</v>
      </c>
      <c r="AA38" s="19">
        <v>69</v>
      </c>
      <c r="AB38" s="8">
        <v>90</v>
      </c>
      <c r="AC38" s="8">
        <v>90</v>
      </c>
      <c r="AE38" s="3"/>
    </row>
    <row r="39" spans="1:31">
      <c r="A39" s="1" t="s">
        <v>15</v>
      </c>
      <c r="B39" s="2" t="s">
        <v>26</v>
      </c>
      <c r="C39" s="15">
        <v>85</v>
      </c>
      <c r="D39" s="9">
        <v>85</v>
      </c>
      <c r="E39" s="9">
        <v>99</v>
      </c>
      <c r="F39" s="16">
        <v>19</v>
      </c>
      <c r="G39" s="10">
        <v>30</v>
      </c>
      <c r="H39" s="10">
        <v>70</v>
      </c>
      <c r="I39" s="17">
        <v>12</v>
      </c>
      <c r="J39" s="7">
        <v>67</v>
      </c>
      <c r="K39" s="7">
        <v>75</v>
      </c>
      <c r="L39" s="18">
        <v>17</v>
      </c>
      <c r="M39" s="9">
        <v>35</v>
      </c>
      <c r="N39" s="9">
        <v>55</v>
      </c>
      <c r="O39" s="11">
        <v>41.9</v>
      </c>
      <c r="P39" s="11">
        <v>75</v>
      </c>
      <c r="Q39" s="11">
        <v>90</v>
      </c>
      <c r="R39" s="12">
        <v>27.2</v>
      </c>
      <c r="S39" s="12">
        <v>75</v>
      </c>
      <c r="T39" s="12">
        <v>90</v>
      </c>
      <c r="U39" s="13">
        <v>0</v>
      </c>
      <c r="V39" s="13">
        <v>50</v>
      </c>
      <c r="W39" s="13">
        <v>90</v>
      </c>
      <c r="X39" s="14">
        <v>0</v>
      </c>
      <c r="Y39" s="14">
        <v>50</v>
      </c>
      <c r="Z39" s="14">
        <v>90</v>
      </c>
      <c r="AA39" s="19">
        <v>38</v>
      </c>
      <c r="AB39" s="8">
        <v>90</v>
      </c>
      <c r="AC39" s="8">
        <v>90</v>
      </c>
      <c r="AE39" s="3"/>
    </row>
    <row r="40" spans="1:31">
      <c r="A40" s="1" t="s">
        <v>54</v>
      </c>
      <c r="B40" s="2" t="s">
        <v>62</v>
      </c>
      <c r="C40" s="15">
        <v>68</v>
      </c>
      <c r="D40" s="9">
        <v>75</v>
      </c>
      <c r="E40" s="9">
        <v>99</v>
      </c>
      <c r="F40" s="16">
        <v>2</v>
      </c>
      <c r="G40" s="10">
        <v>30</v>
      </c>
      <c r="H40" s="10">
        <v>70</v>
      </c>
      <c r="I40" s="17">
        <v>17</v>
      </c>
      <c r="J40" s="7">
        <v>67</v>
      </c>
      <c r="K40" s="7">
        <v>75</v>
      </c>
      <c r="L40" s="18">
        <v>17</v>
      </c>
      <c r="M40" s="9">
        <v>35</v>
      </c>
      <c r="N40" s="9">
        <v>55</v>
      </c>
      <c r="O40" s="11">
        <v>53.1</v>
      </c>
      <c r="P40" s="11">
        <v>75</v>
      </c>
      <c r="Q40" s="11">
        <v>90</v>
      </c>
      <c r="R40" s="12">
        <v>48.7</v>
      </c>
      <c r="S40" s="12">
        <v>75</v>
      </c>
      <c r="T40" s="12">
        <v>90</v>
      </c>
      <c r="U40" s="13">
        <v>0</v>
      </c>
      <c r="V40" s="13">
        <v>50</v>
      </c>
      <c r="W40" s="13">
        <v>90</v>
      </c>
      <c r="X40" s="14">
        <v>0</v>
      </c>
      <c r="Y40" s="14">
        <v>50</v>
      </c>
      <c r="Z40" s="14">
        <v>90</v>
      </c>
      <c r="AA40" s="19">
        <v>85</v>
      </c>
      <c r="AB40" s="8">
        <v>90</v>
      </c>
      <c r="AC40" s="8">
        <v>90</v>
      </c>
      <c r="AE40" s="3"/>
    </row>
    <row r="41" spans="1:31">
      <c r="A41" s="1" t="s">
        <v>15</v>
      </c>
      <c r="B41" s="2" t="s">
        <v>31</v>
      </c>
      <c r="C41" s="15">
        <v>41.200000000000045</v>
      </c>
      <c r="D41" s="9">
        <v>75</v>
      </c>
      <c r="E41" s="9">
        <v>99</v>
      </c>
      <c r="F41" s="16">
        <v>7</v>
      </c>
      <c r="G41" s="10">
        <v>30</v>
      </c>
      <c r="H41" s="10">
        <v>70</v>
      </c>
      <c r="I41" s="17">
        <v>11.400000000000034</v>
      </c>
      <c r="J41" s="7">
        <v>67</v>
      </c>
      <c r="K41" s="7">
        <v>75</v>
      </c>
      <c r="L41" s="18">
        <v>4</v>
      </c>
      <c r="M41" s="9">
        <v>35</v>
      </c>
      <c r="N41" s="9">
        <v>55</v>
      </c>
      <c r="O41" s="11">
        <v>12.4</v>
      </c>
      <c r="P41" s="11">
        <v>75</v>
      </c>
      <c r="Q41" s="11">
        <v>90</v>
      </c>
      <c r="R41" s="12">
        <v>20</v>
      </c>
      <c r="S41" s="12">
        <v>75</v>
      </c>
      <c r="T41" s="12">
        <v>90</v>
      </c>
      <c r="U41" s="13">
        <v>0</v>
      </c>
      <c r="V41" s="13">
        <v>50</v>
      </c>
      <c r="W41" s="13">
        <v>90</v>
      </c>
      <c r="X41" s="14">
        <v>0</v>
      </c>
      <c r="Y41" s="14">
        <v>50</v>
      </c>
      <c r="Z41" s="14">
        <v>90</v>
      </c>
      <c r="AA41" s="19">
        <v>97</v>
      </c>
      <c r="AB41" s="8">
        <v>97</v>
      </c>
      <c r="AC41" s="8">
        <v>97</v>
      </c>
      <c r="AE41" s="3"/>
    </row>
    <row r="42" spans="1:31">
      <c r="A42" s="1" t="s">
        <v>15</v>
      </c>
      <c r="B42" s="2" t="s">
        <v>30</v>
      </c>
      <c r="C42" s="15">
        <v>80.440900562852221</v>
      </c>
      <c r="D42" s="9">
        <v>80</v>
      </c>
      <c r="E42" s="9">
        <v>99</v>
      </c>
      <c r="F42" s="16">
        <v>7</v>
      </c>
      <c r="G42" s="10">
        <v>30</v>
      </c>
      <c r="H42" s="10">
        <v>70</v>
      </c>
      <c r="I42" s="17">
        <v>56.206378986866866</v>
      </c>
      <c r="J42" s="7">
        <v>67</v>
      </c>
      <c r="K42" s="7">
        <v>75</v>
      </c>
      <c r="L42" s="18">
        <v>17</v>
      </c>
      <c r="M42" s="9">
        <v>35</v>
      </c>
      <c r="N42" s="9">
        <v>55</v>
      </c>
      <c r="O42" s="11">
        <v>63.1</v>
      </c>
      <c r="P42" s="11">
        <v>75</v>
      </c>
      <c r="Q42" s="11">
        <v>90</v>
      </c>
      <c r="R42" s="12">
        <v>29.5</v>
      </c>
      <c r="S42" s="12">
        <v>75</v>
      </c>
      <c r="T42" s="12">
        <v>90</v>
      </c>
      <c r="U42" s="13">
        <v>0</v>
      </c>
      <c r="V42" s="13">
        <v>50</v>
      </c>
      <c r="W42" s="13">
        <v>90</v>
      </c>
      <c r="X42" s="14">
        <v>0</v>
      </c>
      <c r="Y42" s="14">
        <v>50</v>
      </c>
      <c r="Z42" s="14">
        <v>90</v>
      </c>
      <c r="AA42" s="19">
        <v>95</v>
      </c>
      <c r="AB42" s="8">
        <v>95</v>
      </c>
      <c r="AC42" s="8">
        <v>95</v>
      </c>
      <c r="AE42" s="3"/>
    </row>
    <row r="43" spans="1:31">
      <c r="A43" s="1" t="s">
        <v>54</v>
      </c>
      <c r="B43" s="2" t="s">
        <v>72</v>
      </c>
      <c r="C43" s="15">
        <v>55.78424015009341</v>
      </c>
      <c r="D43" s="9">
        <v>75</v>
      </c>
      <c r="E43" s="9">
        <v>99</v>
      </c>
      <c r="F43" s="16">
        <v>11.624765478424024</v>
      </c>
      <c r="G43" s="10">
        <v>30</v>
      </c>
      <c r="H43" s="10">
        <v>70</v>
      </c>
      <c r="I43" s="17">
        <v>36.375234521575976</v>
      </c>
      <c r="J43" s="7">
        <v>67</v>
      </c>
      <c r="K43" s="7">
        <v>75</v>
      </c>
      <c r="L43" s="18">
        <v>17</v>
      </c>
      <c r="M43" s="9">
        <v>35</v>
      </c>
      <c r="N43" s="9">
        <v>55</v>
      </c>
      <c r="O43" s="11">
        <v>14</v>
      </c>
      <c r="P43" s="11">
        <v>75</v>
      </c>
      <c r="Q43" s="11">
        <v>90</v>
      </c>
      <c r="R43" s="12">
        <v>7</v>
      </c>
      <c r="S43" s="12">
        <v>75</v>
      </c>
      <c r="T43" s="12">
        <v>90</v>
      </c>
      <c r="U43" s="13">
        <v>0</v>
      </c>
      <c r="V43" s="13">
        <v>50</v>
      </c>
      <c r="W43" s="13">
        <v>90</v>
      </c>
      <c r="X43" s="14">
        <v>0</v>
      </c>
      <c r="Y43" s="14">
        <v>50</v>
      </c>
      <c r="Z43" s="14">
        <v>90</v>
      </c>
      <c r="AA43" s="19">
        <v>97</v>
      </c>
      <c r="AB43" s="8">
        <v>97</v>
      </c>
      <c r="AC43" s="8">
        <v>97</v>
      </c>
      <c r="AE43" s="3"/>
    </row>
    <row r="44" spans="1:31">
      <c r="A44" s="1" t="s">
        <v>54</v>
      </c>
      <c r="B44" s="2" t="s">
        <v>59</v>
      </c>
      <c r="C44" s="15">
        <v>49</v>
      </c>
      <c r="D44" s="9">
        <v>75</v>
      </c>
      <c r="E44" s="9">
        <v>99</v>
      </c>
      <c r="F44" s="16">
        <v>22</v>
      </c>
      <c r="G44" s="10">
        <v>30</v>
      </c>
      <c r="H44" s="10">
        <v>70</v>
      </c>
      <c r="I44" s="17">
        <v>26</v>
      </c>
      <c r="J44" s="7">
        <v>67</v>
      </c>
      <c r="K44" s="7">
        <v>75</v>
      </c>
      <c r="L44" s="18">
        <v>17</v>
      </c>
      <c r="M44" s="9">
        <v>35</v>
      </c>
      <c r="N44" s="9">
        <v>55</v>
      </c>
      <c r="O44" s="11">
        <v>22.2</v>
      </c>
      <c r="P44" s="11">
        <v>75</v>
      </c>
      <c r="Q44" s="11">
        <v>90</v>
      </c>
      <c r="R44" s="12">
        <v>24</v>
      </c>
      <c r="S44" s="12">
        <v>75</v>
      </c>
      <c r="T44" s="12">
        <v>90</v>
      </c>
      <c r="U44" s="13">
        <v>0</v>
      </c>
      <c r="V44" s="13">
        <v>50</v>
      </c>
      <c r="W44" s="13">
        <v>90</v>
      </c>
      <c r="X44" s="14">
        <v>0</v>
      </c>
      <c r="Y44" s="14">
        <v>50</v>
      </c>
      <c r="Z44" s="14">
        <v>90</v>
      </c>
      <c r="AA44" s="19">
        <v>87</v>
      </c>
      <c r="AB44" s="8">
        <v>90</v>
      </c>
      <c r="AC44" s="8">
        <v>90</v>
      </c>
      <c r="AE44" s="3"/>
    </row>
    <row r="45" spans="1:31">
      <c r="A45" s="1" t="s">
        <v>47</v>
      </c>
      <c r="B45" s="2" t="s">
        <v>52</v>
      </c>
      <c r="C45" s="15">
        <v>94.215759849906249</v>
      </c>
      <c r="D45" s="9">
        <v>94</v>
      </c>
      <c r="E45" s="9">
        <v>99</v>
      </c>
      <c r="F45" s="16">
        <v>87.375234521575976</v>
      </c>
      <c r="G45" s="10">
        <v>87</v>
      </c>
      <c r="H45" s="10">
        <v>87</v>
      </c>
      <c r="I45" s="17">
        <v>84.962476547842698</v>
      </c>
      <c r="J45" s="7">
        <v>85</v>
      </c>
      <c r="K45" s="7">
        <v>85</v>
      </c>
      <c r="L45" s="18">
        <v>17</v>
      </c>
      <c r="M45" s="9">
        <v>35</v>
      </c>
      <c r="N45" s="9">
        <v>55</v>
      </c>
      <c r="O45" s="11">
        <v>4.4000000000000004</v>
      </c>
      <c r="P45" s="11">
        <v>75</v>
      </c>
      <c r="Q45" s="11">
        <v>90</v>
      </c>
      <c r="R45" s="12">
        <v>15</v>
      </c>
      <c r="S45" s="12">
        <v>75</v>
      </c>
      <c r="T45" s="12">
        <v>90</v>
      </c>
      <c r="U45" s="13">
        <v>0</v>
      </c>
      <c r="V45" s="13">
        <v>50</v>
      </c>
      <c r="W45" s="13">
        <v>90</v>
      </c>
      <c r="X45" s="14">
        <v>0</v>
      </c>
      <c r="Y45" s="14">
        <v>50</v>
      </c>
      <c r="Z45" s="14">
        <v>90</v>
      </c>
      <c r="AA45" s="19">
        <v>63</v>
      </c>
      <c r="AB45" s="8">
        <v>90</v>
      </c>
      <c r="AC45" s="8">
        <v>90</v>
      </c>
      <c r="AE45" s="3"/>
    </row>
    <row r="46" spans="1:31">
      <c r="A46" s="2" t="s">
        <v>34</v>
      </c>
      <c r="B46" s="2" t="s">
        <v>39</v>
      </c>
      <c r="C46" s="15">
        <v>81.200000000000045</v>
      </c>
      <c r="D46" s="9">
        <v>81</v>
      </c>
      <c r="E46" s="9">
        <v>99</v>
      </c>
      <c r="F46" s="16">
        <v>57.943714821763479</v>
      </c>
      <c r="G46" s="10">
        <v>58</v>
      </c>
      <c r="H46" s="10">
        <v>70</v>
      </c>
      <c r="I46" s="17">
        <v>69.066666666666833</v>
      </c>
      <c r="J46" s="7">
        <v>69</v>
      </c>
      <c r="K46" s="7">
        <v>75</v>
      </c>
      <c r="L46" s="18">
        <v>17</v>
      </c>
      <c r="M46" s="9">
        <v>35</v>
      </c>
      <c r="N46" s="9">
        <v>55</v>
      </c>
      <c r="O46" s="11">
        <v>22.9</v>
      </c>
      <c r="P46" s="11">
        <v>75</v>
      </c>
      <c r="Q46" s="11">
        <v>90</v>
      </c>
      <c r="R46" s="12">
        <v>17.3</v>
      </c>
      <c r="S46" s="12">
        <v>75</v>
      </c>
      <c r="T46" s="12">
        <v>90</v>
      </c>
      <c r="U46" s="13">
        <v>0</v>
      </c>
      <c r="V46" s="13">
        <v>50</v>
      </c>
      <c r="W46" s="13">
        <v>90</v>
      </c>
      <c r="X46" s="14">
        <v>0</v>
      </c>
      <c r="Y46" s="14">
        <v>50</v>
      </c>
      <c r="Z46" s="14">
        <v>90</v>
      </c>
      <c r="AA46" s="19">
        <v>43</v>
      </c>
      <c r="AB46" s="8">
        <v>90</v>
      </c>
      <c r="AC46" s="8">
        <v>90</v>
      </c>
      <c r="AE46" s="3"/>
    </row>
    <row r="47" spans="1:31">
      <c r="A47" s="1" t="s">
        <v>15</v>
      </c>
      <c r="B47" s="2" t="s">
        <v>32</v>
      </c>
      <c r="C47" s="15">
        <v>47.102040816326507</v>
      </c>
      <c r="D47" s="9">
        <v>75</v>
      </c>
      <c r="E47" s="9">
        <v>99</v>
      </c>
      <c r="F47" s="16">
        <v>8.0510204081632821</v>
      </c>
      <c r="G47" s="10">
        <v>30</v>
      </c>
      <c r="H47" s="10">
        <v>70</v>
      </c>
      <c r="I47" s="17">
        <v>16.64285714285711</v>
      </c>
      <c r="J47" s="7">
        <v>67</v>
      </c>
      <c r="K47" s="7">
        <v>75</v>
      </c>
      <c r="L47" s="9">
        <v>17</v>
      </c>
      <c r="M47" s="9">
        <v>35</v>
      </c>
      <c r="N47" s="9">
        <v>55</v>
      </c>
      <c r="O47" s="11">
        <v>48.5</v>
      </c>
      <c r="P47" s="11">
        <v>75</v>
      </c>
      <c r="Q47" s="11">
        <v>90</v>
      </c>
      <c r="R47" s="12">
        <v>15.1</v>
      </c>
      <c r="S47" s="12">
        <v>75</v>
      </c>
      <c r="T47" s="12">
        <v>90</v>
      </c>
      <c r="U47" s="13">
        <v>0</v>
      </c>
      <c r="V47" s="13">
        <v>50</v>
      </c>
      <c r="W47" s="13">
        <v>90</v>
      </c>
      <c r="X47" s="14">
        <v>0</v>
      </c>
      <c r="Y47" s="14">
        <v>50</v>
      </c>
      <c r="Z47" s="14">
        <v>90</v>
      </c>
      <c r="AA47" s="19">
        <v>83</v>
      </c>
      <c r="AB47" s="8">
        <v>90</v>
      </c>
      <c r="AC47" s="8">
        <v>90</v>
      </c>
      <c r="AE47" s="3"/>
    </row>
    <row r="48" spans="1:31">
      <c r="A48" s="1" t="s">
        <v>6</v>
      </c>
      <c r="B48" s="2" t="s">
        <v>12</v>
      </c>
      <c r="C48" s="15">
        <v>71.166666666666515</v>
      </c>
      <c r="D48" s="9">
        <v>75</v>
      </c>
      <c r="E48" s="9">
        <v>99</v>
      </c>
      <c r="F48" s="16">
        <v>6.1666666666666572</v>
      </c>
      <c r="G48" s="10">
        <v>30</v>
      </c>
      <c r="H48" s="10">
        <v>70</v>
      </c>
      <c r="I48" s="17">
        <v>81</v>
      </c>
      <c r="J48" s="7">
        <v>81</v>
      </c>
      <c r="K48" s="7">
        <v>81</v>
      </c>
      <c r="L48" s="18">
        <v>17</v>
      </c>
      <c r="M48" s="9">
        <v>35</v>
      </c>
      <c r="N48" s="9">
        <v>55</v>
      </c>
      <c r="O48" s="11">
        <v>44.9</v>
      </c>
      <c r="P48" s="11">
        <v>75</v>
      </c>
      <c r="Q48" s="11">
        <v>90</v>
      </c>
      <c r="R48" s="12">
        <v>18.399999999999999</v>
      </c>
      <c r="S48" s="12">
        <v>75</v>
      </c>
      <c r="T48" s="12">
        <v>90</v>
      </c>
      <c r="U48" s="13">
        <v>0</v>
      </c>
      <c r="V48" s="13">
        <v>50</v>
      </c>
      <c r="W48" s="13">
        <v>90</v>
      </c>
      <c r="X48" s="14">
        <v>0</v>
      </c>
      <c r="Y48" s="14">
        <v>50</v>
      </c>
      <c r="Z48" s="14">
        <v>90</v>
      </c>
      <c r="AA48" s="19">
        <v>94</v>
      </c>
      <c r="AB48" s="8">
        <v>94</v>
      </c>
      <c r="AC48" s="8">
        <v>94</v>
      </c>
      <c r="AD48" s="6"/>
      <c r="AE48" s="3"/>
    </row>
    <row r="49" spans="1:31">
      <c r="A49" s="1" t="s">
        <v>41</v>
      </c>
      <c r="B49" s="2" t="s">
        <v>42</v>
      </c>
      <c r="C49" s="15">
        <v>92.17823639774906</v>
      </c>
      <c r="D49" s="9">
        <v>92</v>
      </c>
      <c r="E49" s="9">
        <v>99</v>
      </c>
      <c r="F49" s="16">
        <v>18.671669793621277</v>
      </c>
      <c r="G49" s="10">
        <v>30</v>
      </c>
      <c r="H49" s="10">
        <v>70</v>
      </c>
      <c r="I49" s="17">
        <v>31.849906191369882</v>
      </c>
      <c r="J49" s="7">
        <v>67</v>
      </c>
      <c r="K49" s="7">
        <v>75</v>
      </c>
      <c r="L49" s="18">
        <v>17</v>
      </c>
      <c r="M49" s="9">
        <v>35</v>
      </c>
      <c r="N49" s="9">
        <v>55</v>
      </c>
      <c r="O49" s="11">
        <v>29.3</v>
      </c>
      <c r="P49" s="11">
        <v>75</v>
      </c>
      <c r="Q49" s="11">
        <v>90</v>
      </c>
      <c r="R49" s="12">
        <v>25.1</v>
      </c>
      <c r="S49" s="12">
        <v>75</v>
      </c>
      <c r="T49" s="12">
        <v>90</v>
      </c>
      <c r="U49" s="13">
        <v>0</v>
      </c>
      <c r="V49" s="13">
        <v>50</v>
      </c>
      <c r="W49" s="13">
        <v>90</v>
      </c>
      <c r="X49" s="14">
        <v>0</v>
      </c>
      <c r="Y49" s="14">
        <v>50</v>
      </c>
      <c r="Z49" s="14">
        <v>90</v>
      </c>
      <c r="AA49" s="19">
        <v>93</v>
      </c>
      <c r="AB49" s="8">
        <v>93</v>
      </c>
      <c r="AC49" s="8">
        <v>93</v>
      </c>
      <c r="AE49" s="3"/>
    </row>
    <row r="50" spans="1:31">
      <c r="A50" s="1" t="s">
        <v>54</v>
      </c>
      <c r="B50" s="2" t="s">
        <v>74</v>
      </c>
      <c r="C50" s="15">
        <v>47.615384615384755</v>
      </c>
      <c r="D50" s="9">
        <v>75</v>
      </c>
      <c r="E50" s="9">
        <v>99</v>
      </c>
      <c r="F50" s="16">
        <v>7.0281425891182039</v>
      </c>
      <c r="G50" s="10">
        <v>30</v>
      </c>
      <c r="H50" s="10">
        <v>70</v>
      </c>
      <c r="I50" s="17">
        <v>9.2063789868668664</v>
      </c>
      <c r="J50" s="7">
        <v>67</v>
      </c>
      <c r="K50" s="7">
        <v>75</v>
      </c>
      <c r="L50" s="18">
        <v>17</v>
      </c>
      <c r="M50" s="9">
        <v>35</v>
      </c>
      <c r="N50" s="9">
        <v>55</v>
      </c>
      <c r="O50" s="11">
        <v>17.600000000000001</v>
      </c>
      <c r="P50" s="11">
        <v>75</v>
      </c>
      <c r="Q50" s="11">
        <v>90</v>
      </c>
      <c r="R50" s="12">
        <v>9</v>
      </c>
      <c r="S50" s="12">
        <v>75</v>
      </c>
      <c r="T50" s="12">
        <v>90</v>
      </c>
      <c r="U50" s="13">
        <v>0</v>
      </c>
      <c r="V50" s="13">
        <v>50</v>
      </c>
      <c r="W50" s="13">
        <v>90</v>
      </c>
      <c r="X50" s="14">
        <v>0</v>
      </c>
      <c r="Y50" s="14">
        <v>50</v>
      </c>
      <c r="Z50" s="14">
        <v>90</v>
      </c>
      <c r="AA50" s="19">
        <v>92</v>
      </c>
      <c r="AB50" s="8">
        <v>92</v>
      </c>
      <c r="AC50" s="8">
        <v>92</v>
      </c>
      <c r="AE50" s="3"/>
    </row>
    <row r="51" spans="1:31">
      <c r="A51" s="1" t="s">
        <v>54</v>
      </c>
      <c r="B51" s="2" t="s">
        <v>76</v>
      </c>
      <c r="C51" s="15">
        <v>58.318949343339682</v>
      </c>
      <c r="D51" s="9">
        <v>75</v>
      </c>
      <c r="E51" s="9">
        <v>99</v>
      </c>
      <c r="F51" s="16">
        <v>6.375234521575976</v>
      </c>
      <c r="G51" s="10">
        <v>30</v>
      </c>
      <c r="H51" s="10">
        <v>70</v>
      </c>
      <c r="I51" s="17">
        <v>31.615384615384642</v>
      </c>
      <c r="J51" s="7">
        <v>67</v>
      </c>
      <c r="K51" s="7">
        <v>75</v>
      </c>
      <c r="L51" s="18">
        <v>17</v>
      </c>
      <c r="M51" s="9">
        <v>35</v>
      </c>
      <c r="N51" s="9">
        <v>55</v>
      </c>
      <c r="O51" s="11">
        <v>18.2</v>
      </c>
      <c r="P51" s="11">
        <v>75</v>
      </c>
      <c r="Q51" s="11">
        <v>90</v>
      </c>
      <c r="R51" s="12">
        <v>46.4</v>
      </c>
      <c r="S51" s="12">
        <v>75</v>
      </c>
      <c r="T51" s="12">
        <v>90</v>
      </c>
      <c r="U51" s="13">
        <v>0</v>
      </c>
      <c r="V51" s="13">
        <v>50</v>
      </c>
      <c r="W51" s="13">
        <v>90</v>
      </c>
      <c r="X51" s="14">
        <v>0</v>
      </c>
      <c r="Y51" s="14">
        <v>50</v>
      </c>
      <c r="Z51" s="14">
        <v>90</v>
      </c>
      <c r="AA51" s="19">
        <v>74</v>
      </c>
      <c r="AB51" s="8">
        <v>90</v>
      </c>
      <c r="AC51" s="8">
        <v>90</v>
      </c>
      <c r="AD51" s="6"/>
      <c r="AE51" s="3"/>
    </row>
    <row r="52" spans="1:31">
      <c r="A52" s="2" t="s">
        <v>41</v>
      </c>
      <c r="B52" s="2" t="s">
        <v>45</v>
      </c>
      <c r="C52" s="15">
        <v>89.812382739212012</v>
      </c>
      <c r="D52" s="9">
        <v>90</v>
      </c>
      <c r="E52" s="9">
        <v>99</v>
      </c>
      <c r="F52" s="16">
        <v>33.19699812382737</v>
      </c>
      <c r="G52" s="10">
        <v>33</v>
      </c>
      <c r="H52" s="10">
        <v>70</v>
      </c>
      <c r="I52" s="17">
        <v>45</v>
      </c>
      <c r="J52" s="7">
        <v>67</v>
      </c>
      <c r="K52" s="7">
        <v>75</v>
      </c>
      <c r="L52" s="18">
        <v>17</v>
      </c>
      <c r="M52" s="9">
        <v>35</v>
      </c>
      <c r="N52" s="9">
        <v>55</v>
      </c>
      <c r="O52" s="11">
        <v>41.1</v>
      </c>
      <c r="P52" s="11">
        <v>75</v>
      </c>
      <c r="Q52" s="11">
        <v>90</v>
      </c>
      <c r="R52" s="12">
        <v>50.3</v>
      </c>
      <c r="S52" s="12">
        <v>75</v>
      </c>
      <c r="T52" s="12">
        <v>90</v>
      </c>
      <c r="U52" s="13">
        <v>0</v>
      </c>
      <c r="V52" s="13">
        <v>50</v>
      </c>
      <c r="W52" s="13">
        <v>90</v>
      </c>
      <c r="X52" s="14">
        <v>0</v>
      </c>
      <c r="Y52" s="14">
        <v>50</v>
      </c>
      <c r="Z52" s="14">
        <v>90</v>
      </c>
      <c r="AA52" s="19">
        <v>97</v>
      </c>
      <c r="AB52" s="8">
        <v>97</v>
      </c>
      <c r="AC52" s="8">
        <v>97</v>
      </c>
      <c r="AE52" s="3"/>
    </row>
    <row r="53" spans="1:31">
      <c r="A53" s="1" t="s">
        <v>47</v>
      </c>
      <c r="B53" s="2" t="s">
        <v>49</v>
      </c>
      <c r="C53" s="15">
        <v>82.093808630394051</v>
      </c>
      <c r="D53" s="9">
        <v>86</v>
      </c>
      <c r="E53" s="9">
        <v>99</v>
      </c>
      <c r="F53" s="16">
        <v>70.13133208255158</v>
      </c>
      <c r="G53" s="10">
        <v>70</v>
      </c>
      <c r="H53" s="10">
        <v>70</v>
      </c>
      <c r="I53" s="17">
        <v>68.206378986866866</v>
      </c>
      <c r="J53" s="7">
        <v>68</v>
      </c>
      <c r="K53" s="7">
        <v>75</v>
      </c>
      <c r="L53" s="9">
        <v>14</v>
      </c>
      <c r="M53" s="9">
        <v>35</v>
      </c>
      <c r="N53" s="9">
        <v>55</v>
      </c>
      <c r="O53" s="11">
        <v>28.1</v>
      </c>
      <c r="P53" s="11">
        <v>75</v>
      </c>
      <c r="Q53" s="11">
        <v>90</v>
      </c>
      <c r="R53" s="12">
        <v>28</v>
      </c>
      <c r="S53" s="12">
        <v>75</v>
      </c>
      <c r="T53" s="12">
        <v>90</v>
      </c>
      <c r="U53" s="13">
        <v>0</v>
      </c>
      <c r="V53" s="13">
        <v>50</v>
      </c>
      <c r="W53" s="13">
        <v>90</v>
      </c>
      <c r="X53" s="14">
        <v>0</v>
      </c>
      <c r="Y53" s="14">
        <v>50</v>
      </c>
      <c r="Z53" s="14">
        <v>90</v>
      </c>
      <c r="AA53" s="19">
        <v>0</v>
      </c>
      <c r="AB53" s="8">
        <v>90</v>
      </c>
      <c r="AC53" s="8">
        <v>90</v>
      </c>
      <c r="AE53" s="3"/>
    </row>
    <row r="54" spans="1:31">
      <c r="A54" s="1" t="s">
        <v>6</v>
      </c>
      <c r="B54" s="2" t="s">
        <v>11</v>
      </c>
      <c r="C54" s="15">
        <v>91.112570356472816</v>
      </c>
      <c r="D54" s="9">
        <v>91</v>
      </c>
      <c r="E54" s="9">
        <v>99</v>
      </c>
      <c r="F54" s="16">
        <v>47.934333958724437</v>
      </c>
      <c r="G54" s="10">
        <v>48</v>
      </c>
      <c r="H54" s="10">
        <v>70</v>
      </c>
      <c r="I54" s="17">
        <v>76.215759849906135</v>
      </c>
      <c r="J54" s="7">
        <v>76</v>
      </c>
      <c r="K54" s="7">
        <v>76</v>
      </c>
      <c r="L54" s="18">
        <v>17</v>
      </c>
      <c r="M54" s="9">
        <v>35</v>
      </c>
      <c r="N54" s="9">
        <v>55</v>
      </c>
      <c r="O54" s="11">
        <v>42.4</v>
      </c>
      <c r="P54" s="11">
        <v>75</v>
      </c>
      <c r="Q54" s="11">
        <v>90</v>
      </c>
      <c r="R54" s="12">
        <v>36</v>
      </c>
      <c r="S54" s="12">
        <v>75</v>
      </c>
      <c r="T54" s="12">
        <v>90</v>
      </c>
      <c r="U54" s="13">
        <v>0</v>
      </c>
      <c r="V54" s="13">
        <v>50</v>
      </c>
      <c r="W54" s="13">
        <v>90</v>
      </c>
      <c r="X54" s="14">
        <v>0</v>
      </c>
      <c r="Y54" s="14">
        <v>50</v>
      </c>
      <c r="Z54" s="14">
        <v>90</v>
      </c>
      <c r="AA54" s="19">
        <v>86</v>
      </c>
      <c r="AB54" s="8">
        <v>90</v>
      </c>
      <c r="AC54" s="8">
        <v>90</v>
      </c>
      <c r="AE54" s="3"/>
    </row>
    <row r="55" spans="1:31">
      <c r="A55" s="2" t="s">
        <v>6</v>
      </c>
      <c r="B55" s="2" t="s">
        <v>9</v>
      </c>
      <c r="C55" s="15">
        <v>39.872448979591837</v>
      </c>
      <c r="D55" s="9">
        <v>86</v>
      </c>
      <c r="E55" s="9">
        <v>99</v>
      </c>
      <c r="F55" s="16">
        <v>9.6428571428571672</v>
      </c>
      <c r="G55" s="10">
        <v>30</v>
      </c>
      <c r="H55" s="10">
        <v>70</v>
      </c>
      <c r="I55" s="17">
        <v>45.204081632653072</v>
      </c>
      <c r="J55" s="7">
        <v>67</v>
      </c>
      <c r="K55" s="7">
        <v>75</v>
      </c>
      <c r="L55" s="18">
        <v>17</v>
      </c>
      <c r="M55" s="9">
        <v>35</v>
      </c>
      <c r="N55" s="9">
        <v>55</v>
      </c>
      <c r="O55" s="11">
        <v>30</v>
      </c>
      <c r="P55" s="11">
        <v>75</v>
      </c>
      <c r="Q55" s="11">
        <v>90</v>
      </c>
      <c r="R55" s="12">
        <v>30</v>
      </c>
      <c r="S55" s="12">
        <v>75</v>
      </c>
      <c r="T55" s="12">
        <v>90</v>
      </c>
      <c r="U55" s="13">
        <v>0</v>
      </c>
      <c r="V55" s="13">
        <v>50</v>
      </c>
      <c r="W55" s="13">
        <v>90</v>
      </c>
      <c r="X55" s="14">
        <v>0</v>
      </c>
      <c r="Y55" s="14">
        <v>50</v>
      </c>
      <c r="Z55" s="14">
        <v>90</v>
      </c>
      <c r="AA55" s="19">
        <v>7</v>
      </c>
      <c r="AB55" s="8">
        <v>90</v>
      </c>
      <c r="AC55" s="8">
        <v>90</v>
      </c>
      <c r="AD55" s="6"/>
      <c r="AE55" s="3"/>
    </row>
    <row r="56" spans="1:31">
      <c r="A56" s="1" t="s">
        <v>15</v>
      </c>
      <c r="B56" s="2" t="s">
        <v>17</v>
      </c>
      <c r="C56" s="15">
        <v>65.347091932457772</v>
      </c>
      <c r="D56" s="9">
        <v>75</v>
      </c>
      <c r="E56" s="9">
        <v>99</v>
      </c>
      <c r="F56" s="16">
        <v>3.6904315196998141</v>
      </c>
      <c r="G56" s="10">
        <v>30</v>
      </c>
      <c r="H56" s="10">
        <v>70</v>
      </c>
      <c r="I56" s="17">
        <v>54.028142589118488</v>
      </c>
      <c r="J56" s="7">
        <v>67</v>
      </c>
      <c r="K56" s="7">
        <v>75</v>
      </c>
      <c r="L56" s="18">
        <v>17</v>
      </c>
      <c r="M56" s="9">
        <v>35</v>
      </c>
      <c r="N56" s="9">
        <v>55</v>
      </c>
      <c r="O56" s="11">
        <v>21.3</v>
      </c>
      <c r="P56" s="11">
        <v>75</v>
      </c>
      <c r="Q56" s="11">
        <v>90</v>
      </c>
      <c r="R56" s="12">
        <v>12.8</v>
      </c>
      <c r="S56" s="12">
        <v>75</v>
      </c>
      <c r="T56" s="12">
        <v>90</v>
      </c>
      <c r="U56" s="13">
        <v>0</v>
      </c>
      <c r="V56" s="13">
        <v>50</v>
      </c>
      <c r="W56" s="13">
        <v>90</v>
      </c>
      <c r="X56" s="14">
        <v>0</v>
      </c>
      <c r="Y56" s="14">
        <v>50</v>
      </c>
      <c r="Z56" s="14">
        <v>90</v>
      </c>
      <c r="AA56" s="19">
        <v>76</v>
      </c>
      <c r="AB56" s="8">
        <v>90</v>
      </c>
      <c r="AC56" s="8">
        <v>90</v>
      </c>
      <c r="AE56" s="3"/>
    </row>
    <row r="57" spans="1:31">
      <c r="A57" s="1" t="s">
        <v>54</v>
      </c>
      <c r="B57" s="2" t="s">
        <v>66</v>
      </c>
      <c r="C57" s="15">
        <v>69.037523452157643</v>
      </c>
      <c r="D57" s="9">
        <v>75</v>
      </c>
      <c r="E57" s="9">
        <v>99</v>
      </c>
      <c r="F57" s="16">
        <v>38.159474671669614</v>
      </c>
      <c r="G57" s="10">
        <v>38</v>
      </c>
      <c r="H57" s="10">
        <v>70</v>
      </c>
      <c r="I57" s="17">
        <v>51.009380863039269</v>
      </c>
      <c r="J57" s="7">
        <v>67</v>
      </c>
      <c r="K57" s="7">
        <v>75</v>
      </c>
      <c r="L57" s="9">
        <v>23</v>
      </c>
      <c r="M57" s="9">
        <v>35</v>
      </c>
      <c r="N57" s="9">
        <v>55</v>
      </c>
      <c r="O57" s="11">
        <v>15</v>
      </c>
      <c r="P57" s="11">
        <v>75</v>
      </c>
      <c r="Q57" s="11">
        <v>90</v>
      </c>
      <c r="R57" s="12">
        <v>20.3</v>
      </c>
      <c r="S57" s="12">
        <v>75</v>
      </c>
      <c r="T57" s="12">
        <v>90</v>
      </c>
      <c r="U57" s="13">
        <v>0</v>
      </c>
      <c r="V57" s="13">
        <v>50</v>
      </c>
      <c r="W57" s="13">
        <v>90</v>
      </c>
      <c r="X57" s="14">
        <v>0</v>
      </c>
      <c r="Y57" s="14">
        <v>50</v>
      </c>
      <c r="Z57" s="14">
        <v>90</v>
      </c>
      <c r="AA57" s="19">
        <v>90</v>
      </c>
      <c r="AB57" s="8">
        <v>94</v>
      </c>
      <c r="AC57" s="8">
        <v>94</v>
      </c>
      <c r="AE57" s="3"/>
    </row>
    <row r="58" spans="1:31">
      <c r="A58" s="1" t="s">
        <v>54</v>
      </c>
      <c r="B58" s="2" t="s">
        <v>67</v>
      </c>
      <c r="C58" s="15">
        <v>49.204081632653015</v>
      </c>
      <c r="D58" s="9">
        <v>75</v>
      </c>
      <c r="E58" s="9">
        <v>99</v>
      </c>
      <c r="F58" s="16">
        <v>6</v>
      </c>
      <c r="G58" s="10">
        <v>30</v>
      </c>
      <c r="H58" s="10">
        <v>70</v>
      </c>
      <c r="I58" s="17">
        <v>12.846938775510182</v>
      </c>
      <c r="J58" s="7">
        <v>67</v>
      </c>
      <c r="K58" s="7">
        <v>75</v>
      </c>
      <c r="L58" s="18">
        <v>17</v>
      </c>
      <c r="M58" s="9">
        <v>35</v>
      </c>
      <c r="N58" s="9">
        <v>55</v>
      </c>
      <c r="O58" s="11">
        <v>51.5</v>
      </c>
      <c r="P58" s="11">
        <v>75</v>
      </c>
      <c r="Q58" s="11">
        <v>90</v>
      </c>
      <c r="R58" s="12">
        <v>45</v>
      </c>
      <c r="S58" s="12">
        <v>75</v>
      </c>
      <c r="T58" s="12">
        <v>90</v>
      </c>
      <c r="U58" s="13">
        <v>0</v>
      </c>
      <c r="V58" s="13">
        <v>50</v>
      </c>
      <c r="W58" s="13">
        <v>90</v>
      </c>
      <c r="X58" s="14">
        <v>0</v>
      </c>
      <c r="Y58" s="14">
        <v>50</v>
      </c>
      <c r="Z58" s="14">
        <v>90</v>
      </c>
      <c r="AA58" s="19">
        <v>12</v>
      </c>
      <c r="AB58" s="8">
        <v>90</v>
      </c>
      <c r="AC58" s="8">
        <v>90</v>
      </c>
      <c r="AD58" s="6"/>
      <c r="AE58" s="3"/>
    </row>
    <row r="59" spans="1:31">
      <c r="A59" s="1" t="s">
        <v>15</v>
      </c>
      <c r="B59" s="2" t="s">
        <v>19</v>
      </c>
      <c r="C59" s="15">
        <v>30</v>
      </c>
      <c r="D59" s="9">
        <v>75</v>
      </c>
      <c r="E59" s="9">
        <v>99</v>
      </c>
      <c r="F59" s="16">
        <v>19.408163265306484</v>
      </c>
      <c r="G59" s="10">
        <v>30</v>
      </c>
      <c r="H59" s="10">
        <v>70</v>
      </c>
      <c r="I59" s="17">
        <v>23</v>
      </c>
      <c r="J59" s="7">
        <v>67</v>
      </c>
      <c r="K59" s="7">
        <v>75</v>
      </c>
      <c r="L59" s="18">
        <v>17</v>
      </c>
      <c r="M59" s="9">
        <v>35</v>
      </c>
      <c r="N59" s="9">
        <v>55</v>
      </c>
      <c r="O59" s="11">
        <v>9.1</v>
      </c>
      <c r="P59" s="11">
        <v>75</v>
      </c>
      <c r="Q59" s="11">
        <v>90</v>
      </c>
      <c r="R59" s="12">
        <v>32.4</v>
      </c>
      <c r="S59" s="12">
        <v>75</v>
      </c>
      <c r="T59" s="12">
        <v>90</v>
      </c>
      <c r="U59" s="13">
        <v>0</v>
      </c>
      <c r="V59" s="13">
        <v>50</v>
      </c>
      <c r="W59" s="13">
        <v>90</v>
      </c>
      <c r="X59" s="14">
        <v>0</v>
      </c>
      <c r="Y59" s="14">
        <v>50</v>
      </c>
      <c r="Z59" s="14">
        <v>90</v>
      </c>
      <c r="AA59" s="19">
        <v>100</v>
      </c>
      <c r="AB59" s="8">
        <v>100</v>
      </c>
      <c r="AC59" s="8">
        <v>100</v>
      </c>
      <c r="AE59" s="3"/>
    </row>
    <row r="60" spans="1:31">
      <c r="A60" s="1" t="s">
        <v>15</v>
      </c>
      <c r="B60" s="2" t="s">
        <v>27</v>
      </c>
      <c r="C60" s="15">
        <v>90.744897959183618</v>
      </c>
      <c r="D60" s="9">
        <v>91</v>
      </c>
      <c r="E60" s="9">
        <v>99</v>
      </c>
      <c r="F60" s="16">
        <v>66.668367346938794</v>
      </c>
      <c r="G60" s="10">
        <v>67</v>
      </c>
      <c r="H60" s="10">
        <v>70</v>
      </c>
      <c r="I60" s="17">
        <v>76.693877551020364</v>
      </c>
      <c r="J60" s="7">
        <v>77</v>
      </c>
      <c r="K60" s="7">
        <v>77</v>
      </c>
      <c r="L60" s="18">
        <v>17</v>
      </c>
      <c r="M60" s="9">
        <v>35</v>
      </c>
      <c r="N60" s="9">
        <v>55</v>
      </c>
      <c r="O60" s="11">
        <v>40</v>
      </c>
      <c r="P60" s="11">
        <v>75</v>
      </c>
      <c r="Q60" s="11">
        <v>90</v>
      </c>
      <c r="R60" s="12">
        <v>32.4</v>
      </c>
      <c r="S60" s="12">
        <v>75</v>
      </c>
      <c r="T60" s="12">
        <v>90</v>
      </c>
      <c r="U60" s="13">
        <v>0</v>
      </c>
      <c r="V60" s="13">
        <v>50</v>
      </c>
      <c r="W60" s="13">
        <v>90</v>
      </c>
      <c r="X60" s="14">
        <v>0</v>
      </c>
      <c r="Y60" s="14">
        <v>50</v>
      </c>
      <c r="Z60" s="14">
        <v>90</v>
      </c>
      <c r="AA60" s="19">
        <v>39</v>
      </c>
      <c r="AB60" s="8">
        <v>90</v>
      </c>
      <c r="AC60" s="8">
        <v>90</v>
      </c>
      <c r="AE60" s="3"/>
    </row>
    <row r="61" spans="1:31">
      <c r="A61" s="2" t="s">
        <v>34</v>
      </c>
      <c r="B61" s="2" t="s">
        <v>36</v>
      </c>
      <c r="C61" s="15">
        <v>57.375234521575976</v>
      </c>
      <c r="D61" s="9">
        <v>75</v>
      </c>
      <c r="E61" s="9">
        <v>99</v>
      </c>
      <c r="F61" s="16">
        <v>28</v>
      </c>
      <c r="G61" s="10">
        <v>30</v>
      </c>
      <c r="H61" s="10">
        <v>70</v>
      </c>
      <c r="I61" s="17">
        <v>33.9812382739212</v>
      </c>
      <c r="J61" s="7">
        <v>67</v>
      </c>
      <c r="K61" s="7">
        <v>75</v>
      </c>
      <c r="L61" s="18">
        <v>17</v>
      </c>
      <c r="M61" s="9">
        <v>35</v>
      </c>
      <c r="N61" s="9">
        <v>55</v>
      </c>
      <c r="O61" s="11">
        <v>58.3</v>
      </c>
      <c r="P61" s="11">
        <v>75</v>
      </c>
      <c r="Q61" s="11">
        <v>90</v>
      </c>
      <c r="R61" s="12">
        <v>45</v>
      </c>
      <c r="S61" s="12">
        <v>75</v>
      </c>
      <c r="T61" s="12">
        <v>90</v>
      </c>
      <c r="U61" s="13">
        <v>0</v>
      </c>
      <c r="V61" s="13">
        <v>50</v>
      </c>
      <c r="W61" s="13">
        <v>90</v>
      </c>
      <c r="X61" s="14">
        <v>0</v>
      </c>
      <c r="Y61" s="14">
        <v>50</v>
      </c>
      <c r="Z61" s="14">
        <v>90</v>
      </c>
      <c r="AA61" s="19">
        <v>67</v>
      </c>
      <c r="AB61" s="8">
        <v>90</v>
      </c>
      <c r="AC61" s="8">
        <v>90</v>
      </c>
      <c r="AE61" s="3"/>
    </row>
    <row r="62" spans="1:31">
      <c r="A62" s="1" t="s">
        <v>15</v>
      </c>
      <c r="B62" s="2" t="s">
        <v>25</v>
      </c>
      <c r="C62" s="15">
        <v>69</v>
      </c>
      <c r="D62" s="9">
        <v>75</v>
      </c>
      <c r="E62" s="9">
        <v>99</v>
      </c>
      <c r="F62" s="16">
        <v>31.515306122448919</v>
      </c>
      <c r="G62" s="10">
        <v>32</v>
      </c>
      <c r="H62" s="10">
        <v>70</v>
      </c>
      <c r="I62" s="17">
        <v>54.617346938775654</v>
      </c>
      <c r="J62" s="7">
        <v>67</v>
      </c>
      <c r="K62" s="7">
        <v>75</v>
      </c>
      <c r="L62" s="18">
        <v>17</v>
      </c>
      <c r="M62" s="9">
        <v>35</v>
      </c>
      <c r="N62" s="9">
        <v>55</v>
      </c>
      <c r="O62" s="11">
        <v>85.5</v>
      </c>
      <c r="P62" s="11">
        <v>85.5</v>
      </c>
      <c r="Q62" s="11">
        <v>90</v>
      </c>
      <c r="R62" s="12">
        <v>24</v>
      </c>
      <c r="S62" s="12">
        <v>75</v>
      </c>
      <c r="T62" s="12">
        <v>90</v>
      </c>
      <c r="U62" s="13">
        <v>0</v>
      </c>
      <c r="V62" s="13">
        <v>50</v>
      </c>
      <c r="W62" s="13">
        <v>90</v>
      </c>
      <c r="X62" s="14">
        <v>0</v>
      </c>
      <c r="Y62" s="14">
        <v>50</v>
      </c>
      <c r="Z62" s="14">
        <v>90</v>
      </c>
      <c r="AA62" s="19">
        <v>44</v>
      </c>
      <c r="AB62" s="8">
        <v>90</v>
      </c>
      <c r="AC62" s="8">
        <v>90</v>
      </c>
      <c r="AE62" s="3"/>
    </row>
    <row r="63" spans="1:31">
      <c r="A63" s="1" t="s">
        <v>2</v>
      </c>
      <c r="B63" s="2" t="s">
        <v>5</v>
      </c>
      <c r="C63" s="15">
        <v>69.566326530612287</v>
      </c>
      <c r="D63" s="9">
        <v>86</v>
      </c>
      <c r="E63" s="9">
        <v>99</v>
      </c>
      <c r="F63" s="16">
        <v>40</v>
      </c>
      <c r="G63" s="10">
        <v>40</v>
      </c>
      <c r="H63" s="10">
        <v>70</v>
      </c>
      <c r="I63" s="17">
        <v>93.948979591836746</v>
      </c>
      <c r="J63" s="7">
        <v>94</v>
      </c>
      <c r="K63" s="7">
        <v>94</v>
      </c>
      <c r="L63" s="18">
        <v>17</v>
      </c>
      <c r="M63" s="9">
        <v>35</v>
      </c>
      <c r="N63" s="9">
        <v>55</v>
      </c>
      <c r="O63" s="11">
        <v>48.4</v>
      </c>
      <c r="P63" s="11">
        <v>75</v>
      </c>
      <c r="Q63" s="11">
        <v>90</v>
      </c>
      <c r="R63" s="12">
        <v>40.6</v>
      </c>
      <c r="S63" s="12">
        <v>75</v>
      </c>
      <c r="T63" s="12">
        <v>90</v>
      </c>
      <c r="U63" s="13">
        <v>0</v>
      </c>
      <c r="V63" s="13">
        <v>50</v>
      </c>
      <c r="W63" s="13">
        <v>90</v>
      </c>
      <c r="X63" s="14">
        <v>0</v>
      </c>
      <c r="Y63" s="14">
        <v>50</v>
      </c>
      <c r="Z63" s="14">
        <v>90</v>
      </c>
      <c r="AA63" s="19" t="s">
        <v>86</v>
      </c>
      <c r="AB63" s="8" t="s">
        <v>86</v>
      </c>
      <c r="AC63" s="8" t="s">
        <v>86</v>
      </c>
      <c r="AE63" s="3"/>
    </row>
    <row r="64" spans="1:31">
      <c r="A64" s="1" t="s">
        <v>15</v>
      </c>
      <c r="B64" s="2" t="s">
        <v>20</v>
      </c>
      <c r="C64" s="15">
        <v>53.82176360225138</v>
      </c>
      <c r="D64" s="9">
        <v>75</v>
      </c>
      <c r="E64" s="9">
        <v>99</v>
      </c>
      <c r="F64" s="16">
        <v>8.1594746716697841</v>
      </c>
      <c r="G64" s="10">
        <v>30</v>
      </c>
      <c r="H64" s="10">
        <v>70</v>
      </c>
      <c r="I64" s="17">
        <v>24</v>
      </c>
      <c r="J64" s="7">
        <v>67</v>
      </c>
      <c r="K64" s="7">
        <v>75</v>
      </c>
      <c r="L64" s="9">
        <v>13</v>
      </c>
      <c r="M64" s="9">
        <v>35</v>
      </c>
      <c r="N64" s="9">
        <v>55</v>
      </c>
      <c r="O64" s="11">
        <v>53.9</v>
      </c>
      <c r="P64" s="11">
        <v>75</v>
      </c>
      <c r="Q64" s="11">
        <v>90</v>
      </c>
      <c r="R64" s="12">
        <v>22</v>
      </c>
      <c r="S64" s="12">
        <v>75</v>
      </c>
      <c r="T64" s="12">
        <v>90</v>
      </c>
      <c r="U64" s="13">
        <v>0</v>
      </c>
      <c r="V64" s="13">
        <v>50</v>
      </c>
      <c r="W64" s="13">
        <v>90</v>
      </c>
      <c r="X64" s="14">
        <v>0</v>
      </c>
      <c r="Y64" s="14">
        <v>50</v>
      </c>
      <c r="Z64" s="14">
        <v>90</v>
      </c>
      <c r="AA64" s="19">
        <v>93</v>
      </c>
      <c r="AB64" s="8">
        <v>93</v>
      </c>
      <c r="AC64" s="8">
        <v>93</v>
      </c>
      <c r="AE64" s="3"/>
    </row>
    <row r="65" spans="1:31">
      <c r="A65" s="1" t="s">
        <v>54</v>
      </c>
      <c r="B65" s="2" t="s">
        <v>61</v>
      </c>
      <c r="C65" s="15">
        <v>59.906191369605949</v>
      </c>
      <c r="D65" s="9">
        <v>75</v>
      </c>
      <c r="E65" s="9">
        <v>99</v>
      </c>
      <c r="F65" s="16">
        <v>5.7091932457786072</v>
      </c>
      <c r="G65" s="10">
        <v>30</v>
      </c>
      <c r="H65" s="10">
        <v>70</v>
      </c>
      <c r="I65" s="17">
        <v>12</v>
      </c>
      <c r="J65" s="7">
        <v>67</v>
      </c>
      <c r="K65" s="7">
        <v>75</v>
      </c>
      <c r="L65" s="18">
        <v>17</v>
      </c>
      <c r="M65" s="9">
        <v>35</v>
      </c>
      <c r="N65" s="9">
        <v>55</v>
      </c>
      <c r="O65" s="11">
        <v>11.1</v>
      </c>
      <c r="P65" s="11">
        <v>75</v>
      </c>
      <c r="Q65" s="11">
        <v>90</v>
      </c>
      <c r="R65" s="12">
        <v>25.6</v>
      </c>
      <c r="S65" s="12">
        <v>75</v>
      </c>
      <c r="T65" s="12">
        <v>90</v>
      </c>
      <c r="U65" s="13">
        <v>0</v>
      </c>
      <c r="V65" s="13">
        <v>50</v>
      </c>
      <c r="W65" s="13">
        <v>90</v>
      </c>
      <c r="X65" s="14">
        <v>0</v>
      </c>
      <c r="Y65" s="14">
        <v>50</v>
      </c>
      <c r="Z65" s="14">
        <v>90</v>
      </c>
      <c r="AA65" s="19">
        <v>64</v>
      </c>
      <c r="AB65" s="8">
        <v>90</v>
      </c>
      <c r="AC65" s="8">
        <v>90</v>
      </c>
      <c r="AE65" s="3"/>
    </row>
    <row r="66" spans="1:31">
      <c r="A66" s="1" t="s">
        <v>2</v>
      </c>
      <c r="B66" s="2" t="s">
        <v>4</v>
      </c>
      <c r="C66" s="15">
        <v>71</v>
      </c>
      <c r="D66" s="9">
        <v>75</v>
      </c>
      <c r="E66" s="9">
        <v>99</v>
      </c>
      <c r="F66" s="16">
        <v>45</v>
      </c>
      <c r="G66" s="10">
        <v>45</v>
      </c>
      <c r="H66" s="10">
        <v>70</v>
      </c>
      <c r="I66" s="17">
        <v>95</v>
      </c>
      <c r="J66" s="7">
        <v>95</v>
      </c>
      <c r="K66" s="7">
        <v>95</v>
      </c>
      <c r="L66" s="18">
        <v>17</v>
      </c>
      <c r="M66" s="9">
        <v>35</v>
      </c>
      <c r="N66" s="9">
        <v>55</v>
      </c>
      <c r="O66" s="11">
        <v>46.7</v>
      </c>
      <c r="P66" s="11">
        <v>75</v>
      </c>
      <c r="Q66" s="11">
        <v>90</v>
      </c>
      <c r="R66" s="12">
        <v>50</v>
      </c>
      <c r="S66" s="12">
        <v>75</v>
      </c>
      <c r="T66" s="12">
        <v>90</v>
      </c>
      <c r="U66" s="13">
        <v>0</v>
      </c>
      <c r="V66" s="13">
        <v>50</v>
      </c>
      <c r="W66" s="13">
        <v>90</v>
      </c>
      <c r="X66" s="14">
        <v>0</v>
      </c>
      <c r="Y66" s="14">
        <v>50</v>
      </c>
      <c r="Z66" s="14">
        <v>90</v>
      </c>
      <c r="AA66" s="19">
        <v>0</v>
      </c>
      <c r="AB66" s="8" t="s">
        <v>86</v>
      </c>
      <c r="AC66" s="8" t="s">
        <v>86</v>
      </c>
      <c r="AE66" s="3"/>
    </row>
    <row r="67" spans="1:31">
      <c r="A67" s="1" t="s">
        <v>15</v>
      </c>
      <c r="B67" s="2" t="s">
        <v>22</v>
      </c>
      <c r="C67" s="15">
        <v>64</v>
      </c>
      <c r="D67" s="9">
        <v>75</v>
      </c>
      <c r="E67" s="9">
        <v>99</v>
      </c>
      <c r="F67" s="16">
        <v>3</v>
      </c>
      <c r="G67" s="10">
        <v>30</v>
      </c>
      <c r="H67" s="10">
        <v>70</v>
      </c>
      <c r="I67" s="17">
        <v>47</v>
      </c>
      <c r="J67" s="7">
        <v>67</v>
      </c>
      <c r="K67" s="7">
        <v>75</v>
      </c>
      <c r="L67" s="9">
        <v>14</v>
      </c>
      <c r="M67" s="9">
        <v>35</v>
      </c>
      <c r="N67" s="9">
        <v>55</v>
      </c>
      <c r="O67" s="11">
        <v>39.6</v>
      </c>
      <c r="P67" s="11">
        <v>75</v>
      </c>
      <c r="Q67" s="11">
        <v>90</v>
      </c>
      <c r="R67" s="12">
        <v>47.2</v>
      </c>
      <c r="S67" s="12">
        <v>75</v>
      </c>
      <c r="T67" s="12">
        <v>90</v>
      </c>
      <c r="U67" s="13">
        <v>0</v>
      </c>
      <c r="V67" s="13">
        <v>50</v>
      </c>
      <c r="W67" s="13">
        <v>90</v>
      </c>
      <c r="X67" s="14">
        <v>0</v>
      </c>
      <c r="Y67" s="14">
        <v>50</v>
      </c>
      <c r="Z67" s="14">
        <v>90</v>
      </c>
      <c r="AA67" s="19">
        <v>67</v>
      </c>
      <c r="AB67" s="8">
        <v>90</v>
      </c>
      <c r="AC67" s="8">
        <v>90</v>
      </c>
      <c r="AE67" s="3"/>
    </row>
    <row r="68" spans="1:31">
      <c r="A68" s="2" t="s">
        <v>34</v>
      </c>
      <c r="B68" s="2" t="s">
        <v>38</v>
      </c>
      <c r="C68" s="15">
        <v>61.923469387755063</v>
      </c>
      <c r="D68" s="9">
        <v>75</v>
      </c>
      <c r="E68" s="9">
        <v>99</v>
      </c>
      <c r="F68" s="16">
        <v>28.35714285714289</v>
      </c>
      <c r="G68" s="10">
        <v>30</v>
      </c>
      <c r="H68" s="10">
        <v>70</v>
      </c>
      <c r="I68" s="17">
        <v>51.896810506566453</v>
      </c>
      <c r="J68" s="7">
        <v>67</v>
      </c>
      <c r="K68" s="7">
        <v>75</v>
      </c>
      <c r="L68" s="18">
        <v>17</v>
      </c>
      <c r="M68" s="9">
        <v>35</v>
      </c>
      <c r="N68" s="9">
        <v>55</v>
      </c>
      <c r="O68" s="11">
        <v>32.700000000000003</v>
      </c>
      <c r="P68" s="11">
        <v>75</v>
      </c>
      <c r="Q68" s="11">
        <v>90</v>
      </c>
      <c r="R68" s="12">
        <v>37.9</v>
      </c>
      <c r="S68" s="12">
        <v>75</v>
      </c>
      <c r="T68" s="12">
        <v>90</v>
      </c>
      <c r="U68" s="13">
        <v>0</v>
      </c>
      <c r="V68" s="13">
        <v>50</v>
      </c>
      <c r="W68" s="13">
        <v>90</v>
      </c>
      <c r="X68" s="14">
        <v>0</v>
      </c>
      <c r="Y68" s="14">
        <v>50</v>
      </c>
      <c r="Z68" s="14">
        <v>90</v>
      </c>
      <c r="AA68" s="19">
        <v>47</v>
      </c>
      <c r="AB68" s="8">
        <v>90</v>
      </c>
      <c r="AC68" s="8">
        <v>90</v>
      </c>
      <c r="AE68" s="3"/>
    </row>
    <row r="69" spans="1:31">
      <c r="A69" s="1" t="s">
        <v>15</v>
      </c>
      <c r="B69" s="2" t="s">
        <v>29</v>
      </c>
      <c r="C69" s="15">
        <v>59.671669793621277</v>
      </c>
      <c r="D69" s="9">
        <v>75</v>
      </c>
      <c r="E69" s="9">
        <v>99</v>
      </c>
      <c r="F69" s="16">
        <v>13.57598499061919</v>
      </c>
      <c r="G69" s="10">
        <v>30</v>
      </c>
      <c r="H69" s="10">
        <v>70</v>
      </c>
      <c r="I69" s="17">
        <v>49</v>
      </c>
      <c r="J69" s="7">
        <v>67</v>
      </c>
      <c r="K69" s="7">
        <v>75</v>
      </c>
      <c r="L69" s="18">
        <v>17</v>
      </c>
      <c r="M69" s="9">
        <v>35</v>
      </c>
      <c r="N69" s="9">
        <v>55</v>
      </c>
      <c r="O69" s="11">
        <v>59.9</v>
      </c>
      <c r="P69" s="11">
        <v>75</v>
      </c>
      <c r="Q69" s="11">
        <v>90</v>
      </c>
      <c r="R69" s="12">
        <v>14</v>
      </c>
      <c r="S69" s="12">
        <v>75</v>
      </c>
      <c r="T69" s="12">
        <v>90</v>
      </c>
      <c r="U69" s="13">
        <v>0</v>
      </c>
      <c r="V69" s="13">
        <v>50</v>
      </c>
      <c r="W69" s="13">
        <v>90</v>
      </c>
      <c r="X69" s="14">
        <v>0</v>
      </c>
      <c r="Y69" s="14">
        <v>50</v>
      </c>
      <c r="Z69" s="14">
        <v>90</v>
      </c>
      <c r="AA69" s="19">
        <v>96</v>
      </c>
      <c r="AB69" s="8">
        <v>96</v>
      </c>
      <c r="AC69" s="8">
        <v>96</v>
      </c>
      <c r="AE69" s="3"/>
    </row>
    <row r="70" spans="1:31">
      <c r="A70" s="1" t="s">
        <v>15</v>
      </c>
      <c r="B70" s="2" t="s">
        <v>28</v>
      </c>
      <c r="C70" s="15">
        <v>82.225140712945631</v>
      </c>
      <c r="D70" s="9">
        <v>82</v>
      </c>
      <c r="E70" s="9">
        <v>99</v>
      </c>
      <c r="F70" s="16">
        <v>36.459662288930645</v>
      </c>
      <c r="G70" s="10">
        <v>36</v>
      </c>
      <c r="H70" s="10">
        <v>70</v>
      </c>
      <c r="I70" s="17">
        <v>44.159474671669784</v>
      </c>
      <c r="J70" s="7">
        <v>67</v>
      </c>
      <c r="K70" s="7">
        <v>75</v>
      </c>
      <c r="L70" s="18">
        <v>17</v>
      </c>
      <c r="M70" s="9">
        <v>35</v>
      </c>
      <c r="N70" s="9">
        <v>55</v>
      </c>
      <c r="O70" s="11">
        <v>5.6</v>
      </c>
      <c r="P70" s="11">
        <v>75</v>
      </c>
      <c r="Q70" s="11">
        <v>90</v>
      </c>
      <c r="R70" s="12">
        <v>7.9</v>
      </c>
      <c r="S70" s="12">
        <v>75</v>
      </c>
      <c r="T70" s="12">
        <v>90</v>
      </c>
      <c r="U70" s="13">
        <v>0</v>
      </c>
      <c r="V70" s="13">
        <v>50</v>
      </c>
      <c r="W70" s="13">
        <v>90</v>
      </c>
      <c r="X70" s="14">
        <v>0</v>
      </c>
      <c r="Y70" s="14">
        <v>50</v>
      </c>
      <c r="Z70" s="14">
        <v>90</v>
      </c>
      <c r="AA70" s="19">
        <v>20</v>
      </c>
      <c r="AB70" s="8">
        <v>90</v>
      </c>
      <c r="AC70" s="8">
        <v>90</v>
      </c>
      <c r="AE70" s="3"/>
    </row>
    <row r="71" spans="1:31">
      <c r="AA71" s="19"/>
    </row>
    <row r="72" spans="1:31">
      <c r="A72" s="1" t="s">
        <v>90</v>
      </c>
    </row>
    <row r="73" spans="1:31">
      <c r="A73" s="1" t="s">
        <v>92</v>
      </c>
    </row>
    <row r="74" spans="1:31">
      <c r="A74" s="1" t="s">
        <v>109</v>
      </c>
    </row>
    <row r="75" spans="1:31">
      <c r="A75" s="2" t="s">
        <v>105</v>
      </c>
    </row>
    <row r="76" spans="1:31">
      <c r="A76" s="2" t="s">
        <v>96</v>
      </c>
    </row>
    <row r="77" spans="1:31">
      <c r="A77" s="1" t="s">
        <v>98</v>
      </c>
    </row>
    <row r="78" spans="1:31">
      <c r="A78" s="2" t="s">
        <v>107</v>
      </c>
    </row>
    <row r="79" spans="1:31">
      <c r="A79" s="2" t="s">
        <v>106</v>
      </c>
    </row>
  </sheetData>
  <mergeCells count="9">
    <mergeCell ref="U1:W1"/>
    <mergeCell ref="X1:Z1"/>
    <mergeCell ref="AA1:AC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2"/>
  <sheetViews>
    <sheetView workbookViewId="0">
      <pane xSplit="1" ySplit="2" topLeftCell="B3" activePane="bottomRight" state="frozen"/>
      <selection activeCell="B33" sqref="B33"/>
      <selection pane="topRight" activeCell="B33" sqref="B33"/>
      <selection pane="bottomLeft" activeCell="B33" sqref="B33"/>
      <selection pane="bottomRight" activeCell="T1" sqref="T1:V1"/>
    </sheetView>
  </sheetViews>
  <sheetFormatPr defaultRowHeight="15"/>
  <cols>
    <col min="1" max="1" width="19.140625" customWidth="1"/>
    <col min="2" max="2" width="8.5703125" style="4" bestFit="1" customWidth="1"/>
    <col min="3" max="3" width="10.5703125" bestFit="1" customWidth="1"/>
    <col min="4" max="4" width="9.28515625" bestFit="1" customWidth="1"/>
    <col min="5" max="5" width="8.5703125" style="4" bestFit="1" customWidth="1"/>
    <col min="6" max="6" width="10.5703125" bestFit="1" customWidth="1"/>
    <col min="7" max="7" width="9.28515625" bestFit="1" customWidth="1"/>
    <col min="8" max="8" width="8.5703125" style="4" bestFit="1" customWidth="1"/>
    <col min="9" max="9" width="10.5703125" bestFit="1" customWidth="1"/>
    <col min="10" max="10" width="9.28515625" bestFit="1" customWidth="1"/>
    <col min="11" max="11" width="8.5703125" style="5" bestFit="1" customWidth="1"/>
    <col min="12" max="12" width="10.5703125" bestFit="1" customWidth="1"/>
    <col min="13" max="13" width="9.28515625" bestFit="1" customWidth="1"/>
    <col min="14" max="14" width="8.5703125" style="4" bestFit="1" customWidth="1"/>
    <col min="15" max="15" width="10.5703125" bestFit="1" customWidth="1"/>
    <col min="16" max="16" width="9.28515625" bestFit="1" customWidth="1"/>
    <col min="17" max="17" width="8.5703125" style="4" bestFit="1" customWidth="1"/>
    <col min="18" max="18" width="10.5703125" bestFit="1" customWidth="1"/>
    <col min="19" max="19" width="9.28515625" bestFit="1" customWidth="1"/>
    <col min="20" max="20" width="8.5703125" style="4" bestFit="1" customWidth="1"/>
    <col min="21" max="21" width="10.5703125" bestFit="1" customWidth="1"/>
    <col min="22" max="22" width="9.28515625" bestFit="1" customWidth="1"/>
    <col min="23" max="23" width="8.5703125" style="4" bestFit="1" customWidth="1"/>
    <col min="24" max="24" width="10.5703125" bestFit="1" customWidth="1"/>
    <col min="25" max="25" width="9.28515625" bestFit="1" customWidth="1"/>
  </cols>
  <sheetData>
    <row r="1" spans="1:25">
      <c r="B1" s="29" t="s">
        <v>80</v>
      </c>
      <c r="C1" s="29"/>
      <c r="D1" s="29"/>
      <c r="E1" s="29" t="s">
        <v>81</v>
      </c>
      <c r="F1" s="29"/>
      <c r="G1" s="29"/>
      <c r="H1" s="29" t="s">
        <v>82</v>
      </c>
      <c r="I1" s="29"/>
      <c r="J1" s="29"/>
      <c r="K1" s="30" t="s">
        <v>83</v>
      </c>
      <c r="L1" s="31"/>
      <c r="M1" s="31"/>
      <c r="N1" s="29" t="s">
        <v>84</v>
      </c>
      <c r="O1" s="29"/>
      <c r="P1" s="29"/>
      <c r="Q1" s="29" t="s">
        <v>85</v>
      </c>
      <c r="R1" s="29"/>
      <c r="S1" s="29"/>
      <c r="T1" s="29" t="s">
        <v>108</v>
      </c>
      <c r="U1" s="29"/>
      <c r="V1" s="29"/>
      <c r="W1" s="29" t="s">
        <v>87</v>
      </c>
      <c r="X1" s="29"/>
      <c r="Y1" s="29"/>
    </row>
    <row r="2" spans="1:25">
      <c r="A2" t="s">
        <v>101</v>
      </c>
      <c r="B2" s="4" t="s">
        <v>77</v>
      </c>
      <c r="C2" t="s">
        <v>103</v>
      </c>
      <c r="D2" t="s">
        <v>104</v>
      </c>
      <c r="E2" s="4" t="s">
        <v>77</v>
      </c>
      <c r="F2" t="s">
        <v>103</v>
      </c>
      <c r="G2" t="s">
        <v>104</v>
      </c>
      <c r="H2" s="4" t="s">
        <v>77</v>
      </c>
      <c r="I2" t="s">
        <v>103</v>
      </c>
      <c r="J2" t="s">
        <v>104</v>
      </c>
      <c r="K2" s="4" t="s">
        <v>77</v>
      </c>
      <c r="L2" t="s">
        <v>103</v>
      </c>
      <c r="M2" t="s">
        <v>104</v>
      </c>
      <c r="N2" s="4" t="s">
        <v>77</v>
      </c>
      <c r="O2" t="s">
        <v>103</v>
      </c>
      <c r="P2" t="s">
        <v>104</v>
      </c>
      <c r="Q2" s="4" t="s">
        <v>77</v>
      </c>
      <c r="R2" t="s">
        <v>103</v>
      </c>
      <c r="S2" t="s">
        <v>104</v>
      </c>
      <c r="T2" s="4" t="s">
        <v>77</v>
      </c>
      <c r="U2" t="s">
        <v>103</v>
      </c>
      <c r="V2" t="s">
        <v>104</v>
      </c>
      <c r="W2" s="4" t="s">
        <v>77</v>
      </c>
      <c r="X2" t="s">
        <v>103</v>
      </c>
      <c r="Y2" t="s">
        <v>104</v>
      </c>
    </row>
    <row r="3" spans="1:25">
      <c r="A3" s="2" t="s">
        <v>44</v>
      </c>
      <c r="B3" s="4">
        <v>93</v>
      </c>
      <c r="C3">
        <v>93</v>
      </c>
      <c r="D3">
        <v>93</v>
      </c>
      <c r="E3" s="20">
        <v>5</v>
      </c>
      <c r="F3">
        <v>5</v>
      </c>
      <c r="G3">
        <v>5</v>
      </c>
      <c r="H3" s="20">
        <v>1</v>
      </c>
      <c r="I3">
        <v>1</v>
      </c>
      <c r="J3">
        <v>1</v>
      </c>
      <c r="K3" s="20">
        <v>83</v>
      </c>
      <c r="L3">
        <v>83</v>
      </c>
      <c r="M3">
        <v>90</v>
      </c>
      <c r="N3" s="20">
        <v>8</v>
      </c>
      <c r="O3">
        <v>8</v>
      </c>
      <c r="P3">
        <v>5</v>
      </c>
      <c r="Q3" s="20">
        <v>5</v>
      </c>
      <c r="R3">
        <v>5</v>
      </c>
      <c r="S3">
        <v>0</v>
      </c>
      <c r="T3" s="4">
        <v>85</v>
      </c>
      <c r="U3">
        <f>IF(T3&gt;=90,T3,90)</f>
        <v>90</v>
      </c>
      <c r="V3">
        <f>IF(T3 &gt;=95,T3,95)</f>
        <v>95</v>
      </c>
      <c r="W3" s="4">
        <v>69.3</v>
      </c>
      <c r="X3">
        <f>IF(W3&gt;=75,W3,75)</f>
        <v>75</v>
      </c>
      <c r="Y3">
        <f>IF(W3&gt;=85,W3,85)</f>
        <v>85</v>
      </c>
    </row>
    <row r="4" spans="1:25">
      <c r="A4" s="2" t="s">
        <v>33</v>
      </c>
      <c r="B4" s="4">
        <v>17</v>
      </c>
      <c r="C4">
        <v>70</v>
      </c>
      <c r="D4">
        <v>90</v>
      </c>
      <c r="E4" s="20">
        <v>42.6</v>
      </c>
      <c r="F4">
        <v>10</v>
      </c>
      <c r="G4">
        <v>5</v>
      </c>
      <c r="H4" s="20">
        <v>36.5</v>
      </c>
      <c r="I4">
        <v>10</v>
      </c>
      <c r="J4">
        <v>0</v>
      </c>
      <c r="K4" s="20">
        <v>5.6</v>
      </c>
      <c r="L4">
        <v>70</v>
      </c>
      <c r="M4">
        <v>90</v>
      </c>
      <c r="N4" s="20">
        <v>31.3</v>
      </c>
      <c r="O4">
        <v>10</v>
      </c>
      <c r="P4">
        <v>5</v>
      </c>
      <c r="Q4" s="20">
        <v>59.5</v>
      </c>
      <c r="R4">
        <v>10</v>
      </c>
      <c r="S4">
        <v>0</v>
      </c>
      <c r="T4" s="4">
        <v>93.500000000000014</v>
      </c>
      <c r="U4">
        <f t="shared" ref="U4:U67" si="0">IF(T4&gt;=90,T4,90)</f>
        <v>93.500000000000014</v>
      </c>
      <c r="V4">
        <f t="shared" ref="V4:V67" si="1">IF(T4 &gt;=95,T4,95)</f>
        <v>95</v>
      </c>
      <c r="W4" s="4">
        <v>72.899999999999991</v>
      </c>
      <c r="X4">
        <f t="shared" ref="X4:X67" si="2">IF(W4&gt;=75,W4,75)</f>
        <v>75</v>
      </c>
      <c r="Y4">
        <f t="shared" ref="Y4:Y67" si="3">IF(W4&gt;=85,W4,85)</f>
        <v>85</v>
      </c>
    </row>
    <row r="5" spans="1:25">
      <c r="A5" s="2" t="s">
        <v>3</v>
      </c>
      <c r="B5" s="4">
        <v>22.6</v>
      </c>
      <c r="C5">
        <v>70</v>
      </c>
      <c r="D5">
        <v>90</v>
      </c>
      <c r="E5" s="20">
        <v>39.799999999999997</v>
      </c>
      <c r="F5">
        <v>10</v>
      </c>
      <c r="G5">
        <v>5</v>
      </c>
      <c r="H5" s="20">
        <v>27.3</v>
      </c>
      <c r="I5">
        <v>10</v>
      </c>
      <c r="J5">
        <v>0</v>
      </c>
      <c r="K5" s="20">
        <v>2.4</v>
      </c>
      <c r="L5">
        <v>70</v>
      </c>
      <c r="M5">
        <v>90</v>
      </c>
      <c r="N5" s="20">
        <v>24.4</v>
      </c>
      <c r="O5">
        <v>10</v>
      </c>
      <c r="P5">
        <v>5</v>
      </c>
      <c r="Q5" s="20">
        <v>44.9</v>
      </c>
      <c r="R5">
        <v>10</v>
      </c>
      <c r="S5">
        <v>0</v>
      </c>
      <c r="T5" s="4">
        <v>40.5</v>
      </c>
      <c r="U5">
        <f t="shared" si="0"/>
        <v>90</v>
      </c>
      <c r="V5">
        <f t="shared" si="1"/>
        <v>95</v>
      </c>
      <c r="W5" s="4">
        <v>25.300000000000004</v>
      </c>
      <c r="X5">
        <f t="shared" si="2"/>
        <v>75</v>
      </c>
      <c r="Y5">
        <f t="shared" si="3"/>
        <v>85</v>
      </c>
    </row>
    <row r="6" spans="1:25">
      <c r="A6" s="2" t="s">
        <v>43</v>
      </c>
      <c r="B6" s="4">
        <v>62.5</v>
      </c>
      <c r="C6">
        <v>70</v>
      </c>
      <c r="D6">
        <v>90</v>
      </c>
      <c r="E6" s="20">
        <v>7.98</v>
      </c>
      <c r="F6">
        <v>10</v>
      </c>
      <c r="G6">
        <v>5</v>
      </c>
      <c r="H6" s="20">
        <v>28.66</v>
      </c>
      <c r="I6">
        <v>10</v>
      </c>
      <c r="J6">
        <v>0</v>
      </c>
      <c r="K6" s="20">
        <v>42.73</v>
      </c>
      <c r="L6">
        <v>70</v>
      </c>
      <c r="M6">
        <v>90</v>
      </c>
      <c r="N6" s="20">
        <v>8.99</v>
      </c>
      <c r="O6">
        <v>10</v>
      </c>
      <c r="P6">
        <v>5</v>
      </c>
      <c r="Q6" s="20">
        <v>47.66</v>
      </c>
      <c r="R6">
        <v>10</v>
      </c>
      <c r="S6">
        <v>0</v>
      </c>
      <c r="T6" s="4">
        <v>96.51</v>
      </c>
      <c r="U6">
        <f t="shared" si="0"/>
        <v>96.51</v>
      </c>
      <c r="V6">
        <f t="shared" si="1"/>
        <v>96.51</v>
      </c>
      <c r="W6" s="4">
        <v>93.1</v>
      </c>
      <c r="X6">
        <f t="shared" si="2"/>
        <v>93.1</v>
      </c>
      <c r="Y6">
        <f t="shared" si="3"/>
        <v>93.1</v>
      </c>
    </row>
    <row r="7" spans="1:25">
      <c r="A7" s="2" t="s">
        <v>65</v>
      </c>
      <c r="B7" s="4">
        <v>57.5</v>
      </c>
      <c r="C7">
        <v>70</v>
      </c>
      <c r="D7">
        <v>90</v>
      </c>
      <c r="E7" s="20">
        <v>21.5</v>
      </c>
      <c r="F7">
        <v>10</v>
      </c>
      <c r="G7">
        <v>5</v>
      </c>
      <c r="H7" s="20">
        <v>20.399999999999999</v>
      </c>
      <c r="I7">
        <v>10</v>
      </c>
      <c r="J7">
        <v>0</v>
      </c>
      <c r="K7" s="20">
        <v>18.7</v>
      </c>
      <c r="L7">
        <v>70</v>
      </c>
      <c r="M7">
        <v>90</v>
      </c>
      <c r="N7" s="20">
        <v>25.5</v>
      </c>
      <c r="O7">
        <v>10</v>
      </c>
      <c r="P7">
        <v>5</v>
      </c>
      <c r="Q7" s="20">
        <v>55.1</v>
      </c>
      <c r="R7">
        <v>10</v>
      </c>
      <c r="S7">
        <v>0</v>
      </c>
      <c r="T7" s="4">
        <v>99.299999999999983</v>
      </c>
      <c r="U7">
        <f t="shared" si="0"/>
        <v>99.299999999999983</v>
      </c>
      <c r="V7">
        <f t="shared" si="1"/>
        <v>99.299999999999983</v>
      </c>
      <c r="W7" s="4">
        <v>86.899999999999991</v>
      </c>
      <c r="X7">
        <f t="shared" si="2"/>
        <v>86.899999999999991</v>
      </c>
      <c r="Y7">
        <f t="shared" si="3"/>
        <v>86.899999999999991</v>
      </c>
    </row>
    <row r="8" spans="1:25">
      <c r="A8" s="2" t="s">
        <v>48</v>
      </c>
      <c r="B8" s="4">
        <v>61.7</v>
      </c>
      <c r="C8">
        <v>70</v>
      </c>
      <c r="D8">
        <v>90</v>
      </c>
      <c r="E8" s="20">
        <v>36.299999999999997</v>
      </c>
      <c r="F8">
        <v>10</v>
      </c>
      <c r="G8">
        <v>5</v>
      </c>
      <c r="H8" s="20">
        <v>0.1</v>
      </c>
      <c r="I8">
        <v>10</v>
      </c>
      <c r="J8">
        <v>0</v>
      </c>
      <c r="K8" s="20">
        <v>34.6</v>
      </c>
      <c r="L8">
        <v>70</v>
      </c>
      <c r="M8">
        <v>90</v>
      </c>
      <c r="N8" s="20">
        <v>26.2</v>
      </c>
      <c r="O8">
        <v>10</v>
      </c>
      <c r="P8">
        <v>5</v>
      </c>
      <c r="Q8" s="20">
        <v>35.6</v>
      </c>
      <c r="R8">
        <v>10</v>
      </c>
      <c r="S8">
        <v>0</v>
      </c>
      <c r="T8" s="4">
        <v>92.1</v>
      </c>
      <c r="U8">
        <f t="shared" si="0"/>
        <v>92.1</v>
      </c>
      <c r="V8">
        <f t="shared" si="1"/>
        <v>95</v>
      </c>
      <c r="W8" s="4">
        <v>73.800000000000011</v>
      </c>
      <c r="X8">
        <f t="shared" si="2"/>
        <v>75</v>
      </c>
      <c r="Y8">
        <f t="shared" si="3"/>
        <v>85</v>
      </c>
    </row>
    <row r="9" spans="1:25">
      <c r="A9" s="2" t="s">
        <v>24</v>
      </c>
      <c r="B9" s="4">
        <v>49</v>
      </c>
      <c r="C9">
        <v>70</v>
      </c>
      <c r="D9">
        <v>90</v>
      </c>
      <c r="E9" s="20">
        <v>25.3</v>
      </c>
      <c r="F9">
        <v>10</v>
      </c>
      <c r="G9">
        <v>5</v>
      </c>
      <c r="H9" s="20">
        <v>20.5</v>
      </c>
      <c r="I9">
        <v>10</v>
      </c>
      <c r="J9">
        <v>0</v>
      </c>
      <c r="K9" s="20">
        <v>10.1</v>
      </c>
      <c r="L9">
        <v>70</v>
      </c>
      <c r="M9">
        <v>90</v>
      </c>
      <c r="N9" s="20">
        <v>18.100000000000001</v>
      </c>
      <c r="O9">
        <v>10</v>
      </c>
      <c r="P9">
        <v>5</v>
      </c>
      <c r="Q9" s="20">
        <v>63.5</v>
      </c>
      <c r="R9">
        <v>10</v>
      </c>
      <c r="S9">
        <v>0</v>
      </c>
      <c r="T9" s="4">
        <v>93.100000000000009</v>
      </c>
      <c r="U9">
        <f t="shared" si="0"/>
        <v>93.100000000000009</v>
      </c>
      <c r="V9">
        <f t="shared" si="1"/>
        <v>95</v>
      </c>
      <c r="W9" s="4">
        <v>51.5</v>
      </c>
      <c r="X9">
        <f t="shared" si="2"/>
        <v>75</v>
      </c>
      <c r="Y9">
        <f t="shared" si="3"/>
        <v>85</v>
      </c>
    </row>
    <row r="10" spans="1:25">
      <c r="A10" s="2" t="s">
        <v>53</v>
      </c>
      <c r="B10" s="4">
        <v>57.8</v>
      </c>
      <c r="C10">
        <v>70</v>
      </c>
      <c r="D10">
        <v>90</v>
      </c>
      <c r="E10" s="20">
        <v>3.6</v>
      </c>
      <c r="F10">
        <v>10</v>
      </c>
      <c r="G10">
        <v>5</v>
      </c>
      <c r="H10" s="20">
        <v>35</v>
      </c>
      <c r="I10">
        <v>10</v>
      </c>
      <c r="J10">
        <v>0</v>
      </c>
      <c r="K10" s="20">
        <v>11.2</v>
      </c>
      <c r="L10">
        <v>70</v>
      </c>
      <c r="M10">
        <v>90</v>
      </c>
      <c r="N10" s="20">
        <v>6.3</v>
      </c>
      <c r="O10">
        <v>10</v>
      </c>
      <c r="P10">
        <v>5</v>
      </c>
      <c r="Q10" s="20">
        <v>42.6</v>
      </c>
      <c r="R10">
        <v>10</v>
      </c>
      <c r="S10">
        <v>0</v>
      </c>
      <c r="T10" s="4">
        <v>41.500000000000007</v>
      </c>
      <c r="U10">
        <f t="shared" si="0"/>
        <v>90</v>
      </c>
      <c r="V10">
        <f t="shared" si="1"/>
        <v>95</v>
      </c>
      <c r="W10" s="4">
        <v>21.8</v>
      </c>
      <c r="X10">
        <f t="shared" si="2"/>
        <v>75</v>
      </c>
      <c r="Y10">
        <f t="shared" si="3"/>
        <v>85</v>
      </c>
    </row>
    <row r="11" spans="1:25">
      <c r="A11" s="2" t="s">
        <v>73</v>
      </c>
      <c r="B11" s="4">
        <v>18.2</v>
      </c>
      <c r="C11">
        <v>70</v>
      </c>
      <c r="D11">
        <v>90</v>
      </c>
      <c r="E11" s="20">
        <v>70.099999999999994</v>
      </c>
      <c r="F11">
        <v>10</v>
      </c>
      <c r="G11">
        <v>5</v>
      </c>
      <c r="H11" s="20">
        <v>10.4</v>
      </c>
      <c r="I11">
        <v>10</v>
      </c>
      <c r="J11">
        <v>0</v>
      </c>
      <c r="K11" s="20">
        <v>16.100000000000001</v>
      </c>
      <c r="L11">
        <v>70</v>
      </c>
      <c r="M11">
        <v>90</v>
      </c>
      <c r="N11" s="20">
        <v>68.5</v>
      </c>
      <c r="O11">
        <v>10</v>
      </c>
      <c r="P11">
        <v>5</v>
      </c>
      <c r="Q11" s="20">
        <v>15.4</v>
      </c>
      <c r="R11">
        <v>10</v>
      </c>
      <c r="S11">
        <v>0</v>
      </c>
      <c r="T11" s="4">
        <v>99.800000000000011</v>
      </c>
      <c r="U11">
        <f t="shared" si="0"/>
        <v>99.800000000000011</v>
      </c>
      <c r="V11">
        <f t="shared" si="1"/>
        <v>99.800000000000011</v>
      </c>
      <c r="W11" s="4">
        <v>94.600000000000009</v>
      </c>
      <c r="X11">
        <f t="shared" si="2"/>
        <v>94.600000000000009</v>
      </c>
      <c r="Y11">
        <f t="shared" si="3"/>
        <v>94.600000000000009</v>
      </c>
    </row>
    <row r="12" spans="1:25">
      <c r="A12" s="2" t="s">
        <v>18</v>
      </c>
      <c r="B12" s="4">
        <v>78.400000000000006</v>
      </c>
      <c r="C12">
        <v>78.400000000000006</v>
      </c>
      <c r="D12">
        <v>90</v>
      </c>
      <c r="E12" s="20">
        <v>20.5</v>
      </c>
      <c r="F12">
        <v>20.5</v>
      </c>
      <c r="G12">
        <v>5</v>
      </c>
      <c r="H12" s="20">
        <v>1.1000000000000001</v>
      </c>
      <c r="I12">
        <v>1.1000000000000001</v>
      </c>
      <c r="J12">
        <v>0</v>
      </c>
      <c r="K12" s="20">
        <v>39.700000000000003</v>
      </c>
      <c r="L12">
        <v>70</v>
      </c>
      <c r="M12">
        <v>90</v>
      </c>
      <c r="N12" s="20">
        <v>37.4</v>
      </c>
      <c r="O12">
        <v>10</v>
      </c>
      <c r="P12">
        <v>5</v>
      </c>
      <c r="Q12" s="20">
        <v>21.4</v>
      </c>
      <c r="R12">
        <v>10</v>
      </c>
      <c r="S12">
        <v>0</v>
      </c>
      <c r="T12" s="4">
        <v>99</v>
      </c>
      <c r="U12">
        <f t="shared" si="0"/>
        <v>99</v>
      </c>
      <c r="V12">
        <f t="shared" si="1"/>
        <v>99</v>
      </c>
      <c r="W12" s="4">
        <v>85.7</v>
      </c>
      <c r="X12">
        <f t="shared" si="2"/>
        <v>85.7</v>
      </c>
      <c r="Y12">
        <f t="shared" si="3"/>
        <v>85.7</v>
      </c>
    </row>
    <row r="13" spans="1:25">
      <c r="A13" s="2" t="s">
        <v>10</v>
      </c>
      <c r="B13" s="20">
        <v>47.57</v>
      </c>
      <c r="C13">
        <v>70</v>
      </c>
      <c r="D13">
        <v>90</v>
      </c>
      <c r="E13" s="20">
        <v>47.58</v>
      </c>
      <c r="F13">
        <v>10</v>
      </c>
      <c r="G13">
        <v>5</v>
      </c>
      <c r="H13" s="20">
        <v>4.53</v>
      </c>
      <c r="I13">
        <v>10</v>
      </c>
      <c r="J13">
        <v>0</v>
      </c>
      <c r="K13" s="20">
        <v>40.659999999999997</v>
      </c>
      <c r="L13">
        <v>70</v>
      </c>
      <c r="M13">
        <v>90</v>
      </c>
      <c r="N13" s="20">
        <v>37.07</v>
      </c>
      <c r="O13">
        <v>10</v>
      </c>
      <c r="P13">
        <v>5</v>
      </c>
      <c r="Q13" s="20">
        <v>20.83</v>
      </c>
      <c r="R13">
        <v>10</v>
      </c>
      <c r="S13">
        <v>0</v>
      </c>
      <c r="T13" s="4">
        <v>95.039999999999992</v>
      </c>
      <c r="U13">
        <f t="shared" si="0"/>
        <v>95.039999999999992</v>
      </c>
      <c r="V13">
        <f t="shared" si="1"/>
        <v>95.039999999999992</v>
      </c>
      <c r="W13" s="4">
        <v>78.699999999999989</v>
      </c>
      <c r="X13">
        <f t="shared" si="2"/>
        <v>78.699999999999989</v>
      </c>
      <c r="Y13">
        <f t="shared" si="3"/>
        <v>85</v>
      </c>
    </row>
    <row r="14" spans="1:25">
      <c r="A14" s="2" t="s">
        <v>70</v>
      </c>
      <c r="B14" s="20">
        <v>37.5</v>
      </c>
      <c r="C14">
        <v>70</v>
      </c>
      <c r="D14">
        <v>90</v>
      </c>
      <c r="E14" s="20">
        <v>43.6</v>
      </c>
      <c r="F14">
        <v>10</v>
      </c>
      <c r="G14">
        <v>5</v>
      </c>
      <c r="H14" s="20">
        <v>18.100000000000001</v>
      </c>
      <c r="I14">
        <v>10</v>
      </c>
      <c r="J14">
        <v>0</v>
      </c>
      <c r="K14" s="20">
        <v>10.7</v>
      </c>
      <c r="L14">
        <v>70</v>
      </c>
      <c r="M14">
        <v>90</v>
      </c>
      <c r="N14" s="20">
        <v>27.8</v>
      </c>
      <c r="O14">
        <v>10</v>
      </c>
      <c r="P14">
        <v>5</v>
      </c>
      <c r="Q14" s="20">
        <v>60</v>
      </c>
      <c r="R14">
        <v>10</v>
      </c>
      <c r="S14">
        <v>0</v>
      </c>
      <c r="T14" s="4">
        <v>95.399999999999991</v>
      </c>
      <c r="U14">
        <f t="shared" si="0"/>
        <v>95.399999999999991</v>
      </c>
      <c r="V14">
        <f t="shared" si="1"/>
        <v>95.399999999999991</v>
      </c>
      <c r="W14" s="4">
        <v>47</v>
      </c>
      <c r="X14">
        <f t="shared" si="2"/>
        <v>75</v>
      </c>
      <c r="Y14">
        <f t="shared" si="3"/>
        <v>85</v>
      </c>
    </row>
    <row r="15" spans="1:25">
      <c r="A15" s="2" t="s">
        <v>63</v>
      </c>
      <c r="B15" s="20">
        <v>34.6</v>
      </c>
      <c r="C15">
        <v>70</v>
      </c>
      <c r="D15">
        <v>90</v>
      </c>
      <c r="E15" s="20">
        <v>50</v>
      </c>
      <c r="F15">
        <v>10</v>
      </c>
      <c r="G15">
        <v>5</v>
      </c>
      <c r="H15" s="20">
        <v>14.2</v>
      </c>
      <c r="I15">
        <v>10</v>
      </c>
      <c r="J15">
        <v>0</v>
      </c>
      <c r="K15" s="20">
        <v>8.3000000000000007</v>
      </c>
      <c r="L15">
        <v>70</v>
      </c>
      <c r="M15">
        <v>90</v>
      </c>
      <c r="N15" s="20">
        <v>27.9</v>
      </c>
      <c r="O15">
        <v>10</v>
      </c>
      <c r="P15">
        <v>5</v>
      </c>
      <c r="Q15" s="20">
        <v>61.6</v>
      </c>
      <c r="R15">
        <v>10</v>
      </c>
      <c r="S15">
        <v>0</v>
      </c>
      <c r="T15" s="4">
        <v>97.8</v>
      </c>
      <c r="U15">
        <f t="shared" si="0"/>
        <v>97.8</v>
      </c>
      <c r="V15">
        <f t="shared" si="1"/>
        <v>97.8</v>
      </c>
      <c r="W15" s="4">
        <v>72.8</v>
      </c>
      <c r="X15">
        <f t="shared" si="2"/>
        <v>75</v>
      </c>
      <c r="Y15">
        <f t="shared" si="3"/>
        <v>85</v>
      </c>
    </row>
    <row r="16" spans="1:25">
      <c r="A16" s="2" t="s">
        <v>71</v>
      </c>
      <c r="B16" s="20">
        <v>1.1000000000000001</v>
      </c>
      <c r="C16">
        <v>70</v>
      </c>
      <c r="D16">
        <v>90</v>
      </c>
      <c r="E16" s="20">
        <v>86.3</v>
      </c>
      <c r="F16">
        <v>10</v>
      </c>
      <c r="G16">
        <v>5</v>
      </c>
      <c r="H16" s="20">
        <v>11.9</v>
      </c>
      <c r="I16">
        <v>10</v>
      </c>
      <c r="J16">
        <v>0</v>
      </c>
      <c r="K16" s="20">
        <v>2.4</v>
      </c>
      <c r="L16">
        <v>70</v>
      </c>
      <c r="M16">
        <v>90</v>
      </c>
      <c r="N16" s="20">
        <v>47.4</v>
      </c>
      <c r="O16">
        <v>10</v>
      </c>
      <c r="P16">
        <v>5</v>
      </c>
      <c r="Q16" s="20">
        <v>50.2</v>
      </c>
      <c r="R16">
        <v>10</v>
      </c>
      <c r="S16">
        <v>0</v>
      </c>
      <c r="T16" s="4">
        <v>98.4</v>
      </c>
      <c r="U16">
        <f t="shared" si="0"/>
        <v>98.4</v>
      </c>
      <c r="V16">
        <f t="shared" si="1"/>
        <v>98.4</v>
      </c>
      <c r="W16" s="4">
        <v>85.5</v>
      </c>
      <c r="X16">
        <f t="shared" si="2"/>
        <v>85.5</v>
      </c>
      <c r="Y16">
        <f t="shared" si="3"/>
        <v>85.5</v>
      </c>
    </row>
    <row r="17" spans="1:25">
      <c r="A17" s="2" t="s">
        <v>14</v>
      </c>
      <c r="B17" s="20">
        <v>77</v>
      </c>
      <c r="C17">
        <v>70</v>
      </c>
      <c r="D17">
        <v>90</v>
      </c>
      <c r="E17" s="20">
        <v>15</v>
      </c>
      <c r="F17">
        <v>10</v>
      </c>
      <c r="G17">
        <v>5</v>
      </c>
      <c r="H17" s="20">
        <v>8</v>
      </c>
      <c r="I17">
        <v>10</v>
      </c>
      <c r="J17">
        <v>0</v>
      </c>
      <c r="K17" s="20">
        <v>51</v>
      </c>
      <c r="L17">
        <v>70</v>
      </c>
      <c r="M17">
        <v>90</v>
      </c>
      <c r="N17" s="20">
        <v>30</v>
      </c>
      <c r="O17">
        <v>10</v>
      </c>
      <c r="P17">
        <v>5</v>
      </c>
      <c r="Q17" s="20">
        <v>19</v>
      </c>
      <c r="R17">
        <v>10</v>
      </c>
      <c r="S17">
        <v>0</v>
      </c>
      <c r="T17" s="4">
        <v>100</v>
      </c>
      <c r="U17">
        <f t="shared" si="0"/>
        <v>100</v>
      </c>
      <c r="V17">
        <f t="shared" si="1"/>
        <v>100</v>
      </c>
      <c r="W17" s="4">
        <v>20</v>
      </c>
      <c r="X17">
        <f t="shared" si="2"/>
        <v>75</v>
      </c>
      <c r="Y17">
        <f t="shared" si="3"/>
        <v>85</v>
      </c>
    </row>
    <row r="18" spans="1:25">
      <c r="A18" s="2" t="s">
        <v>55</v>
      </c>
      <c r="B18" s="20">
        <v>33.700000000000003</v>
      </c>
      <c r="C18">
        <v>70</v>
      </c>
      <c r="D18">
        <v>90</v>
      </c>
      <c r="E18" s="20">
        <v>55.1</v>
      </c>
      <c r="F18">
        <v>10</v>
      </c>
      <c r="G18">
        <v>5</v>
      </c>
      <c r="H18" s="20">
        <v>11.2</v>
      </c>
      <c r="I18">
        <v>10</v>
      </c>
      <c r="J18">
        <v>0</v>
      </c>
      <c r="K18" s="20">
        <v>9.6</v>
      </c>
      <c r="L18">
        <v>70</v>
      </c>
      <c r="M18">
        <v>90</v>
      </c>
      <c r="N18" s="20">
        <v>30.1</v>
      </c>
      <c r="O18">
        <v>10</v>
      </c>
      <c r="P18">
        <v>5</v>
      </c>
      <c r="Q18" s="20">
        <v>57.2</v>
      </c>
      <c r="R18">
        <v>10</v>
      </c>
      <c r="S18">
        <v>0</v>
      </c>
      <c r="T18" s="4">
        <v>92.9</v>
      </c>
      <c r="U18">
        <f t="shared" si="0"/>
        <v>92.9</v>
      </c>
      <c r="V18">
        <f t="shared" si="1"/>
        <v>95</v>
      </c>
      <c r="W18" s="4">
        <v>56.1</v>
      </c>
      <c r="X18">
        <f t="shared" si="2"/>
        <v>75</v>
      </c>
      <c r="Y18">
        <f t="shared" si="3"/>
        <v>85</v>
      </c>
    </row>
    <row r="19" spans="1:25">
      <c r="A19" s="2" t="s">
        <v>69</v>
      </c>
      <c r="B19" s="20">
        <v>13.8</v>
      </c>
      <c r="C19">
        <v>70</v>
      </c>
      <c r="D19">
        <v>90</v>
      </c>
      <c r="E19" s="20">
        <v>60.3</v>
      </c>
      <c r="F19">
        <v>10</v>
      </c>
      <c r="G19">
        <v>5</v>
      </c>
      <c r="H19" s="20">
        <v>23.9</v>
      </c>
      <c r="I19">
        <v>10</v>
      </c>
      <c r="J19">
        <v>0</v>
      </c>
      <c r="K19" s="20">
        <v>7.2</v>
      </c>
      <c r="L19">
        <v>70</v>
      </c>
      <c r="M19">
        <v>90</v>
      </c>
      <c r="N19" s="20">
        <v>50.5</v>
      </c>
      <c r="O19">
        <v>10</v>
      </c>
      <c r="P19">
        <v>5</v>
      </c>
      <c r="Q19" s="20">
        <v>40</v>
      </c>
      <c r="R19">
        <v>10</v>
      </c>
      <c r="S19">
        <v>0</v>
      </c>
      <c r="T19" s="4">
        <v>95.899999999999991</v>
      </c>
      <c r="U19">
        <f t="shared" si="0"/>
        <v>95.899999999999991</v>
      </c>
      <c r="V19">
        <f t="shared" si="1"/>
        <v>95.899999999999991</v>
      </c>
      <c r="W19" s="4">
        <v>69.099999999999994</v>
      </c>
      <c r="X19">
        <f t="shared" si="2"/>
        <v>75</v>
      </c>
      <c r="Y19">
        <f t="shared" si="3"/>
        <v>85</v>
      </c>
    </row>
    <row r="20" spans="1:25">
      <c r="A20" s="2" t="s">
        <v>35</v>
      </c>
      <c r="B20" s="20">
        <v>5</v>
      </c>
      <c r="C20">
        <v>70</v>
      </c>
      <c r="D20">
        <v>90</v>
      </c>
      <c r="E20" s="20">
        <v>82</v>
      </c>
      <c r="F20">
        <v>10</v>
      </c>
      <c r="G20">
        <v>5</v>
      </c>
      <c r="H20" s="20">
        <v>6</v>
      </c>
      <c r="I20">
        <v>10</v>
      </c>
      <c r="J20">
        <v>0</v>
      </c>
      <c r="K20" s="20">
        <v>2</v>
      </c>
      <c r="L20">
        <v>70</v>
      </c>
      <c r="M20">
        <v>90</v>
      </c>
      <c r="N20" s="20">
        <v>78</v>
      </c>
      <c r="O20">
        <v>10</v>
      </c>
      <c r="P20">
        <v>5</v>
      </c>
      <c r="Q20" s="20">
        <v>8</v>
      </c>
      <c r="R20">
        <v>10</v>
      </c>
      <c r="S20">
        <v>0</v>
      </c>
      <c r="T20" s="4">
        <v>70</v>
      </c>
      <c r="U20">
        <f t="shared" si="0"/>
        <v>90</v>
      </c>
      <c r="V20">
        <f t="shared" si="1"/>
        <v>95</v>
      </c>
      <c r="W20" s="4">
        <v>35</v>
      </c>
      <c r="X20">
        <f t="shared" si="2"/>
        <v>75</v>
      </c>
      <c r="Y20">
        <f t="shared" si="3"/>
        <v>85</v>
      </c>
    </row>
    <row r="21" spans="1:25">
      <c r="A21" s="2" t="s">
        <v>8</v>
      </c>
      <c r="B21" s="20">
        <v>77</v>
      </c>
      <c r="C21">
        <v>77</v>
      </c>
      <c r="D21">
        <v>90</v>
      </c>
      <c r="E21" s="20">
        <v>15</v>
      </c>
      <c r="F21">
        <v>15</v>
      </c>
      <c r="G21">
        <v>5</v>
      </c>
      <c r="H21" s="20">
        <v>8</v>
      </c>
      <c r="I21">
        <v>8</v>
      </c>
      <c r="J21">
        <v>0</v>
      </c>
      <c r="K21" s="20">
        <v>51</v>
      </c>
      <c r="L21">
        <v>70</v>
      </c>
      <c r="M21">
        <v>90</v>
      </c>
      <c r="N21" s="20">
        <v>30</v>
      </c>
      <c r="O21">
        <v>10</v>
      </c>
      <c r="P21">
        <v>5</v>
      </c>
      <c r="Q21" s="20">
        <v>19</v>
      </c>
      <c r="R21">
        <v>10</v>
      </c>
      <c r="S21">
        <v>0</v>
      </c>
      <c r="T21" s="4">
        <v>100</v>
      </c>
      <c r="U21">
        <f t="shared" si="0"/>
        <v>100</v>
      </c>
      <c r="V21">
        <f t="shared" si="1"/>
        <v>100</v>
      </c>
      <c r="W21" s="4">
        <v>20</v>
      </c>
      <c r="X21">
        <f t="shared" si="2"/>
        <v>75</v>
      </c>
      <c r="Y21">
        <f t="shared" si="3"/>
        <v>85</v>
      </c>
    </row>
    <row r="22" spans="1:25">
      <c r="A22" s="2" t="s">
        <v>75</v>
      </c>
      <c r="B22" s="20">
        <v>40.74</v>
      </c>
      <c r="C22">
        <v>70</v>
      </c>
      <c r="D22">
        <v>90</v>
      </c>
      <c r="E22" s="20">
        <v>35.32</v>
      </c>
      <c r="F22">
        <v>10</v>
      </c>
      <c r="G22">
        <v>5</v>
      </c>
      <c r="H22" s="20">
        <v>23.85</v>
      </c>
      <c r="I22">
        <v>10</v>
      </c>
      <c r="J22">
        <v>0</v>
      </c>
      <c r="K22" s="20">
        <v>15.6</v>
      </c>
      <c r="L22">
        <v>70</v>
      </c>
      <c r="M22">
        <v>90</v>
      </c>
      <c r="N22" s="20">
        <v>13.06</v>
      </c>
      <c r="O22">
        <v>10</v>
      </c>
      <c r="P22">
        <v>5</v>
      </c>
      <c r="Q22" s="20">
        <v>70.849999999999994</v>
      </c>
      <c r="R22">
        <v>10</v>
      </c>
      <c r="S22">
        <v>0</v>
      </c>
      <c r="T22" s="4">
        <v>99.01</v>
      </c>
      <c r="U22">
        <f t="shared" si="0"/>
        <v>99.01</v>
      </c>
      <c r="V22">
        <f t="shared" si="1"/>
        <v>99.01</v>
      </c>
      <c r="W22" s="4">
        <v>72.3</v>
      </c>
      <c r="X22">
        <f t="shared" si="2"/>
        <v>75</v>
      </c>
      <c r="Y22">
        <f t="shared" si="3"/>
        <v>85</v>
      </c>
    </row>
    <row r="23" spans="1:25">
      <c r="A23" s="2" t="s">
        <v>40</v>
      </c>
      <c r="B23" s="20">
        <v>67.400000000000006</v>
      </c>
      <c r="C23">
        <v>70</v>
      </c>
      <c r="D23">
        <v>90</v>
      </c>
      <c r="E23" s="20">
        <v>21.6</v>
      </c>
      <c r="F23">
        <v>10</v>
      </c>
      <c r="G23">
        <v>5</v>
      </c>
      <c r="H23" s="20">
        <v>9.1999999999999993</v>
      </c>
      <c r="I23">
        <v>10</v>
      </c>
      <c r="J23">
        <v>0</v>
      </c>
      <c r="K23" s="20">
        <v>7.8</v>
      </c>
      <c r="L23">
        <v>70</v>
      </c>
      <c r="M23">
        <v>90</v>
      </c>
      <c r="N23" s="20">
        <v>33.700000000000003</v>
      </c>
      <c r="O23">
        <v>10</v>
      </c>
      <c r="P23">
        <v>5</v>
      </c>
      <c r="Q23" s="20">
        <v>54</v>
      </c>
      <c r="R23">
        <v>10</v>
      </c>
      <c r="S23">
        <v>0</v>
      </c>
      <c r="T23" s="4">
        <v>86.8</v>
      </c>
      <c r="U23">
        <f t="shared" si="0"/>
        <v>90</v>
      </c>
      <c r="V23">
        <f t="shared" si="1"/>
        <v>95</v>
      </c>
      <c r="W23" s="4">
        <v>52.6</v>
      </c>
      <c r="X23">
        <f t="shared" si="2"/>
        <v>75</v>
      </c>
      <c r="Y23">
        <f t="shared" si="3"/>
        <v>85</v>
      </c>
    </row>
    <row r="24" spans="1:25">
      <c r="A24" s="2" t="s">
        <v>57</v>
      </c>
      <c r="B24" s="20">
        <v>6.9</v>
      </c>
      <c r="C24">
        <v>70</v>
      </c>
      <c r="D24">
        <v>90</v>
      </c>
      <c r="E24" s="20">
        <v>78.2</v>
      </c>
      <c r="F24">
        <v>10</v>
      </c>
      <c r="G24">
        <v>5</v>
      </c>
      <c r="H24" s="20">
        <v>3</v>
      </c>
      <c r="I24">
        <v>10</v>
      </c>
      <c r="J24">
        <v>0</v>
      </c>
      <c r="K24" s="20">
        <v>2.1</v>
      </c>
      <c r="L24">
        <v>70</v>
      </c>
      <c r="M24">
        <v>90</v>
      </c>
      <c r="N24" s="20">
        <v>50.4</v>
      </c>
      <c r="O24">
        <v>10</v>
      </c>
      <c r="P24">
        <v>5</v>
      </c>
      <c r="Q24" s="20">
        <v>30.3</v>
      </c>
      <c r="R24">
        <v>10</v>
      </c>
      <c r="S24">
        <v>0</v>
      </c>
      <c r="T24" s="4">
        <v>74</v>
      </c>
      <c r="U24">
        <f t="shared" si="0"/>
        <v>90</v>
      </c>
      <c r="V24">
        <f t="shared" si="1"/>
        <v>95</v>
      </c>
      <c r="W24" s="4">
        <v>13.7</v>
      </c>
      <c r="X24">
        <f t="shared" si="2"/>
        <v>75</v>
      </c>
      <c r="Y24">
        <f t="shared" si="3"/>
        <v>85</v>
      </c>
    </row>
    <row r="25" spans="1:25">
      <c r="A25" s="2" t="s">
        <v>16</v>
      </c>
      <c r="B25" s="20">
        <v>79.400000000000006</v>
      </c>
      <c r="C25">
        <v>70</v>
      </c>
      <c r="D25">
        <v>90</v>
      </c>
      <c r="E25" s="20">
        <v>18.3</v>
      </c>
      <c r="F25">
        <v>10</v>
      </c>
      <c r="G25">
        <v>5</v>
      </c>
      <c r="H25" s="20">
        <v>2.2999999999999998</v>
      </c>
      <c r="I25">
        <v>10</v>
      </c>
      <c r="J25">
        <v>0</v>
      </c>
      <c r="K25" s="20">
        <v>25.8</v>
      </c>
      <c r="L25">
        <v>70</v>
      </c>
      <c r="M25">
        <v>90</v>
      </c>
      <c r="N25" s="20">
        <v>53.9</v>
      </c>
      <c r="O25">
        <v>10</v>
      </c>
      <c r="P25">
        <v>5</v>
      </c>
      <c r="Q25" s="20">
        <v>20.2</v>
      </c>
      <c r="R25">
        <v>10</v>
      </c>
      <c r="S25">
        <v>0</v>
      </c>
      <c r="T25" s="4">
        <v>97.899999999999991</v>
      </c>
      <c r="U25">
        <f t="shared" si="0"/>
        <v>97.899999999999991</v>
      </c>
      <c r="V25">
        <f t="shared" si="1"/>
        <v>97.899999999999991</v>
      </c>
      <c r="W25" s="4">
        <v>77.599999999999994</v>
      </c>
      <c r="X25">
        <f t="shared" si="2"/>
        <v>77.599999999999994</v>
      </c>
      <c r="Y25">
        <f t="shared" si="3"/>
        <v>85</v>
      </c>
    </row>
    <row r="26" spans="1:25">
      <c r="A26" s="2" t="s">
        <v>23</v>
      </c>
      <c r="B26" s="20">
        <v>78.099999999999994</v>
      </c>
      <c r="C26">
        <v>78.099999999999994</v>
      </c>
      <c r="D26">
        <v>90</v>
      </c>
      <c r="E26" s="20">
        <v>12.17</v>
      </c>
      <c r="F26">
        <v>12.17</v>
      </c>
      <c r="G26">
        <v>5</v>
      </c>
      <c r="H26" s="20">
        <v>8.52</v>
      </c>
      <c r="I26">
        <v>8.52</v>
      </c>
      <c r="J26">
        <v>0</v>
      </c>
      <c r="K26" s="20">
        <v>35.71</v>
      </c>
      <c r="L26">
        <v>70</v>
      </c>
      <c r="M26">
        <v>90</v>
      </c>
      <c r="N26" s="20">
        <v>30.33</v>
      </c>
      <c r="O26">
        <v>10</v>
      </c>
      <c r="P26">
        <v>5</v>
      </c>
      <c r="Q26" s="20">
        <v>32.299999999999997</v>
      </c>
      <c r="R26">
        <v>10</v>
      </c>
      <c r="S26">
        <v>0</v>
      </c>
      <c r="T26" s="4">
        <v>98.87</v>
      </c>
      <c r="U26">
        <f t="shared" si="0"/>
        <v>98.87</v>
      </c>
      <c r="V26">
        <f t="shared" si="1"/>
        <v>98.87</v>
      </c>
      <c r="W26" s="4">
        <v>90.500000000000014</v>
      </c>
      <c r="X26">
        <f t="shared" si="2"/>
        <v>90.500000000000014</v>
      </c>
      <c r="Y26">
        <f t="shared" si="3"/>
        <v>90.500000000000014</v>
      </c>
    </row>
    <row r="27" spans="1:25">
      <c r="A27" s="2" t="s">
        <v>56</v>
      </c>
      <c r="B27" s="20">
        <v>6.9</v>
      </c>
      <c r="C27">
        <v>70</v>
      </c>
      <c r="D27">
        <v>90</v>
      </c>
      <c r="E27" s="20">
        <v>78.2</v>
      </c>
      <c r="F27">
        <v>10</v>
      </c>
      <c r="G27">
        <v>5</v>
      </c>
      <c r="H27" s="20">
        <v>3</v>
      </c>
      <c r="I27">
        <v>10</v>
      </c>
      <c r="J27">
        <v>0</v>
      </c>
      <c r="K27" s="20">
        <v>2.1</v>
      </c>
      <c r="L27">
        <v>70</v>
      </c>
      <c r="M27">
        <v>90</v>
      </c>
      <c r="N27" s="20">
        <v>50.4</v>
      </c>
      <c r="O27">
        <v>10</v>
      </c>
      <c r="P27">
        <v>5</v>
      </c>
      <c r="Q27" s="20">
        <v>30.3</v>
      </c>
      <c r="R27">
        <v>10</v>
      </c>
      <c r="S27">
        <v>0</v>
      </c>
      <c r="T27" s="4">
        <v>74</v>
      </c>
      <c r="U27">
        <f t="shared" si="0"/>
        <v>90</v>
      </c>
      <c r="V27">
        <f t="shared" si="1"/>
        <v>95</v>
      </c>
      <c r="W27" s="4">
        <v>13.7</v>
      </c>
      <c r="X27">
        <f t="shared" si="2"/>
        <v>75</v>
      </c>
      <c r="Y27">
        <f t="shared" si="3"/>
        <v>85</v>
      </c>
    </row>
    <row r="28" spans="1:25">
      <c r="A28" s="2" t="s">
        <v>58</v>
      </c>
      <c r="B28" s="20">
        <v>45.82</v>
      </c>
      <c r="C28">
        <v>70</v>
      </c>
      <c r="D28">
        <v>90</v>
      </c>
      <c r="E28" s="20">
        <v>48.28</v>
      </c>
      <c r="F28">
        <v>10</v>
      </c>
      <c r="G28">
        <v>5</v>
      </c>
      <c r="H28" s="20">
        <v>1.72</v>
      </c>
      <c r="I28">
        <v>10</v>
      </c>
      <c r="J28">
        <v>0</v>
      </c>
      <c r="K28" s="20">
        <v>21.36</v>
      </c>
      <c r="L28">
        <v>70</v>
      </c>
      <c r="M28">
        <v>90</v>
      </c>
      <c r="N28" s="20">
        <v>47.59</v>
      </c>
      <c r="O28">
        <v>10</v>
      </c>
      <c r="P28">
        <v>5</v>
      </c>
      <c r="Q28" s="20">
        <v>29.74</v>
      </c>
      <c r="R28">
        <v>10</v>
      </c>
      <c r="S28">
        <v>0</v>
      </c>
      <c r="T28" s="4">
        <v>96.91</v>
      </c>
      <c r="U28">
        <f t="shared" si="0"/>
        <v>96.91</v>
      </c>
      <c r="V28">
        <f t="shared" si="1"/>
        <v>96.91</v>
      </c>
      <c r="W28" s="4">
        <v>76.099999999999994</v>
      </c>
      <c r="X28">
        <f t="shared" si="2"/>
        <v>76.099999999999994</v>
      </c>
      <c r="Y28">
        <f t="shared" si="3"/>
        <v>85</v>
      </c>
    </row>
    <row r="29" spans="1:25">
      <c r="A29" s="2" t="s">
        <v>64</v>
      </c>
      <c r="B29" s="20">
        <v>84.3</v>
      </c>
      <c r="C29">
        <v>84.3</v>
      </c>
      <c r="D29">
        <v>90</v>
      </c>
      <c r="E29" s="20">
        <v>9.4</v>
      </c>
      <c r="F29">
        <v>9.4</v>
      </c>
      <c r="G29">
        <v>5</v>
      </c>
      <c r="H29" s="20">
        <v>6.3</v>
      </c>
      <c r="I29">
        <v>6.3</v>
      </c>
      <c r="J29">
        <v>0</v>
      </c>
      <c r="K29" s="20">
        <v>49.4</v>
      </c>
      <c r="L29">
        <v>70</v>
      </c>
      <c r="M29">
        <v>90</v>
      </c>
      <c r="N29" s="20">
        <v>17.100000000000001</v>
      </c>
      <c r="O29">
        <v>10</v>
      </c>
      <c r="P29">
        <v>5</v>
      </c>
      <c r="Q29" s="20">
        <v>32.200000000000003</v>
      </c>
      <c r="R29">
        <v>10</v>
      </c>
      <c r="S29">
        <v>0</v>
      </c>
      <c r="T29" s="4">
        <v>97.1</v>
      </c>
      <c r="U29">
        <f t="shared" si="0"/>
        <v>97.1</v>
      </c>
      <c r="V29">
        <f t="shared" si="1"/>
        <v>97.1</v>
      </c>
      <c r="W29" s="4">
        <v>76.2</v>
      </c>
      <c r="X29">
        <f t="shared" si="2"/>
        <v>76.2</v>
      </c>
      <c r="Y29">
        <f t="shared" si="3"/>
        <v>85</v>
      </c>
    </row>
    <row r="30" spans="1:25">
      <c r="A30" s="2" t="s">
        <v>50</v>
      </c>
      <c r="B30" s="20">
        <v>56.8</v>
      </c>
      <c r="C30">
        <v>70</v>
      </c>
      <c r="D30">
        <v>90</v>
      </c>
      <c r="E30" s="20">
        <v>2.1</v>
      </c>
      <c r="F30">
        <v>10</v>
      </c>
      <c r="G30">
        <v>5</v>
      </c>
      <c r="H30" s="20">
        <v>40.5</v>
      </c>
      <c r="I30">
        <v>10</v>
      </c>
      <c r="J30">
        <v>0</v>
      </c>
      <c r="K30" s="20">
        <v>27.3</v>
      </c>
      <c r="L30">
        <v>70</v>
      </c>
      <c r="M30">
        <v>90</v>
      </c>
      <c r="N30" s="20">
        <v>2.2999999999999998</v>
      </c>
      <c r="O30">
        <v>10</v>
      </c>
      <c r="P30">
        <v>5</v>
      </c>
      <c r="Q30" s="20">
        <v>67.8</v>
      </c>
      <c r="R30">
        <v>10</v>
      </c>
      <c r="S30">
        <v>0</v>
      </c>
      <c r="T30" s="4">
        <v>90.500000000000014</v>
      </c>
      <c r="U30">
        <f t="shared" si="0"/>
        <v>90.500000000000014</v>
      </c>
      <c r="V30">
        <f t="shared" si="1"/>
        <v>95</v>
      </c>
      <c r="W30" s="4">
        <v>61</v>
      </c>
      <c r="X30">
        <f t="shared" si="2"/>
        <v>75</v>
      </c>
      <c r="Y30">
        <f t="shared" si="3"/>
        <v>85</v>
      </c>
    </row>
    <row r="31" spans="1:25">
      <c r="A31" s="2" t="s">
        <v>68</v>
      </c>
      <c r="B31" s="20">
        <v>28.42</v>
      </c>
      <c r="C31">
        <v>70</v>
      </c>
      <c r="D31">
        <v>90</v>
      </c>
      <c r="E31" s="20">
        <v>45.27</v>
      </c>
      <c r="F31">
        <v>10</v>
      </c>
      <c r="G31">
        <v>5</v>
      </c>
      <c r="H31" s="20">
        <v>25.03</v>
      </c>
      <c r="I31">
        <v>10</v>
      </c>
      <c r="J31">
        <v>0</v>
      </c>
      <c r="K31" s="20">
        <v>22.54</v>
      </c>
      <c r="L31">
        <v>70</v>
      </c>
      <c r="M31">
        <v>90</v>
      </c>
      <c r="N31" s="20">
        <v>43.77</v>
      </c>
      <c r="O31">
        <v>10</v>
      </c>
      <c r="P31">
        <v>5</v>
      </c>
      <c r="Q31" s="20">
        <v>32.49</v>
      </c>
      <c r="R31">
        <v>10</v>
      </c>
      <c r="S31">
        <v>0</v>
      </c>
      <c r="T31" s="4">
        <v>98.61</v>
      </c>
      <c r="U31">
        <f t="shared" si="0"/>
        <v>98.61</v>
      </c>
      <c r="V31">
        <f t="shared" si="1"/>
        <v>98.61</v>
      </c>
      <c r="W31" s="4">
        <v>83.8</v>
      </c>
      <c r="X31">
        <f t="shared" si="2"/>
        <v>83.8</v>
      </c>
      <c r="Y31">
        <f t="shared" si="3"/>
        <v>85</v>
      </c>
    </row>
    <row r="32" spans="1:25">
      <c r="A32" s="2" t="s">
        <v>60</v>
      </c>
      <c r="B32" s="20">
        <v>54.62</v>
      </c>
      <c r="C32">
        <v>70</v>
      </c>
      <c r="D32">
        <v>90</v>
      </c>
      <c r="E32" s="20">
        <v>41.39</v>
      </c>
      <c r="F32">
        <v>10</v>
      </c>
      <c r="G32">
        <v>5</v>
      </c>
      <c r="H32" s="20">
        <v>2.91</v>
      </c>
      <c r="I32">
        <v>10</v>
      </c>
      <c r="J32">
        <v>0</v>
      </c>
      <c r="K32" s="20">
        <v>18.55</v>
      </c>
      <c r="L32">
        <v>70</v>
      </c>
      <c r="M32">
        <v>90</v>
      </c>
      <c r="N32" s="20">
        <v>49.91</v>
      </c>
      <c r="O32">
        <v>10</v>
      </c>
      <c r="P32">
        <v>5</v>
      </c>
      <c r="Q32" s="20">
        <v>27.11</v>
      </c>
      <c r="R32">
        <v>10</v>
      </c>
      <c r="S32">
        <v>0</v>
      </c>
      <c r="T32" s="4">
        <v>96.57</v>
      </c>
      <c r="U32">
        <f t="shared" si="0"/>
        <v>96.57</v>
      </c>
      <c r="V32">
        <f t="shared" si="1"/>
        <v>96.57</v>
      </c>
      <c r="W32" s="4">
        <v>75.25</v>
      </c>
      <c r="X32">
        <f t="shared" si="2"/>
        <v>75.25</v>
      </c>
      <c r="Y32">
        <f t="shared" si="3"/>
        <v>85</v>
      </c>
    </row>
    <row r="33" spans="1:25">
      <c r="A33" s="2" t="s">
        <v>51</v>
      </c>
      <c r="B33" s="20">
        <v>45.1</v>
      </c>
      <c r="C33">
        <v>70</v>
      </c>
      <c r="D33">
        <v>90</v>
      </c>
      <c r="E33" s="20">
        <v>26.3</v>
      </c>
      <c r="F33">
        <v>10</v>
      </c>
      <c r="G33">
        <v>5</v>
      </c>
      <c r="H33" s="20">
        <v>27.5</v>
      </c>
      <c r="I33">
        <v>10</v>
      </c>
      <c r="J33">
        <v>0</v>
      </c>
      <c r="K33" s="20">
        <v>9.8000000000000007</v>
      </c>
      <c r="L33">
        <v>70</v>
      </c>
      <c r="M33">
        <v>90</v>
      </c>
      <c r="N33" s="20">
        <v>22.6</v>
      </c>
      <c r="O33">
        <v>10</v>
      </c>
      <c r="P33">
        <v>5</v>
      </c>
      <c r="Q33" s="20">
        <v>67.3</v>
      </c>
      <c r="R33">
        <v>10</v>
      </c>
      <c r="S33">
        <v>0</v>
      </c>
      <c r="T33" s="4">
        <v>93.500000000000014</v>
      </c>
      <c r="U33">
        <f t="shared" si="0"/>
        <v>93.500000000000014</v>
      </c>
      <c r="V33">
        <f t="shared" si="1"/>
        <v>95</v>
      </c>
      <c r="W33" s="4">
        <v>53.9</v>
      </c>
      <c r="X33">
        <f t="shared" si="2"/>
        <v>75</v>
      </c>
      <c r="Y33">
        <f t="shared" si="3"/>
        <v>85</v>
      </c>
    </row>
    <row r="34" spans="1:25">
      <c r="A34" s="2" t="s">
        <v>46</v>
      </c>
      <c r="B34" s="20">
        <v>69</v>
      </c>
      <c r="C34">
        <v>70</v>
      </c>
      <c r="D34">
        <v>90</v>
      </c>
      <c r="E34" s="20">
        <v>18.8</v>
      </c>
      <c r="F34">
        <v>10</v>
      </c>
      <c r="G34">
        <v>5</v>
      </c>
      <c r="H34" s="20">
        <v>9.5</v>
      </c>
      <c r="I34">
        <v>10</v>
      </c>
      <c r="J34">
        <v>0</v>
      </c>
      <c r="K34" s="20">
        <v>27.6</v>
      </c>
      <c r="L34">
        <v>70</v>
      </c>
      <c r="M34">
        <v>90</v>
      </c>
      <c r="N34" s="20">
        <v>32</v>
      </c>
      <c r="O34">
        <v>10</v>
      </c>
      <c r="P34">
        <v>5</v>
      </c>
      <c r="Q34" s="20">
        <v>38.799999999999997</v>
      </c>
      <c r="R34">
        <v>10</v>
      </c>
      <c r="S34">
        <v>0</v>
      </c>
      <c r="T34" s="4">
        <v>93.7</v>
      </c>
      <c r="U34">
        <f t="shared" si="0"/>
        <v>93.7</v>
      </c>
      <c r="V34">
        <f t="shared" si="1"/>
        <v>95</v>
      </c>
      <c r="W34" s="4">
        <v>82.300000000000011</v>
      </c>
      <c r="X34">
        <f t="shared" si="2"/>
        <v>82.300000000000011</v>
      </c>
      <c r="Y34">
        <f t="shared" si="3"/>
        <v>85</v>
      </c>
    </row>
    <row r="35" spans="1:25">
      <c r="A35" s="2" t="s">
        <v>13</v>
      </c>
      <c r="B35" s="20">
        <v>64</v>
      </c>
      <c r="C35">
        <v>70</v>
      </c>
      <c r="D35">
        <v>90</v>
      </c>
      <c r="E35" s="20">
        <v>4.2</v>
      </c>
      <c r="F35">
        <v>10</v>
      </c>
      <c r="G35">
        <v>5</v>
      </c>
      <c r="H35" s="20">
        <v>27.8</v>
      </c>
      <c r="I35">
        <v>10</v>
      </c>
      <c r="J35">
        <v>0</v>
      </c>
      <c r="K35" s="20">
        <v>17.8</v>
      </c>
      <c r="L35">
        <v>70</v>
      </c>
      <c r="M35">
        <v>90</v>
      </c>
      <c r="N35" s="20">
        <v>13.2</v>
      </c>
      <c r="O35">
        <v>10</v>
      </c>
      <c r="P35">
        <v>5</v>
      </c>
      <c r="Q35" s="20">
        <v>59.3</v>
      </c>
      <c r="R35">
        <v>10</v>
      </c>
      <c r="S35">
        <v>0</v>
      </c>
      <c r="T35" s="4">
        <v>86.2</v>
      </c>
      <c r="U35">
        <f t="shared" si="0"/>
        <v>90</v>
      </c>
      <c r="V35">
        <f t="shared" si="1"/>
        <v>95</v>
      </c>
      <c r="W35" s="4">
        <v>68.2</v>
      </c>
      <c r="X35">
        <f t="shared" si="2"/>
        <v>75</v>
      </c>
      <c r="Y35">
        <f t="shared" si="3"/>
        <v>85</v>
      </c>
    </row>
    <row r="36" spans="1:25">
      <c r="A36" s="2" t="s">
        <v>37</v>
      </c>
      <c r="B36" s="20">
        <v>40.840000000000003</v>
      </c>
      <c r="C36">
        <v>70</v>
      </c>
      <c r="D36">
        <v>90</v>
      </c>
      <c r="E36" s="20">
        <v>31.6</v>
      </c>
      <c r="F36">
        <v>10</v>
      </c>
      <c r="G36">
        <v>5</v>
      </c>
      <c r="H36" s="20">
        <v>24.69</v>
      </c>
      <c r="I36">
        <v>10</v>
      </c>
      <c r="J36">
        <v>0</v>
      </c>
      <c r="K36" s="20">
        <v>28.2</v>
      </c>
      <c r="L36">
        <v>70</v>
      </c>
      <c r="M36">
        <v>90</v>
      </c>
      <c r="N36" s="20">
        <v>13.85</v>
      </c>
      <c r="O36">
        <v>10</v>
      </c>
      <c r="P36">
        <v>5</v>
      </c>
      <c r="Q36" s="20">
        <v>46.49</v>
      </c>
      <c r="R36">
        <v>10</v>
      </c>
      <c r="S36">
        <v>0</v>
      </c>
      <c r="T36" s="4">
        <v>74.30680000000001</v>
      </c>
      <c r="U36">
        <f t="shared" si="0"/>
        <v>90</v>
      </c>
      <c r="V36">
        <f t="shared" si="1"/>
        <v>95</v>
      </c>
      <c r="W36" s="4">
        <v>40.199999999999996</v>
      </c>
      <c r="X36">
        <f t="shared" si="2"/>
        <v>75</v>
      </c>
      <c r="Y36">
        <f t="shared" si="3"/>
        <v>85</v>
      </c>
    </row>
    <row r="37" spans="1:25">
      <c r="A37" s="2" t="s">
        <v>21</v>
      </c>
      <c r="B37" s="20">
        <v>29.3</v>
      </c>
      <c r="C37">
        <v>70</v>
      </c>
      <c r="D37">
        <v>90</v>
      </c>
      <c r="E37" s="20">
        <v>39.4</v>
      </c>
      <c r="F37">
        <v>10</v>
      </c>
      <c r="G37">
        <v>5</v>
      </c>
      <c r="H37" s="20">
        <v>30.5</v>
      </c>
      <c r="I37">
        <v>10</v>
      </c>
      <c r="J37">
        <v>0</v>
      </c>
      <c r="K37" s="20">
        <v>2.6</v>
      </c>
      <c r="L37">
        <v>70</v>
      </c>
      <c r="M37">
        <v>90</v>
      </c>
      <c r="N37" s="20">
        <v>8.4</v>
      </c>
      <c r="O37">
        <v>10</v>
      </c>
      <c r="P37">
        <v>5</v>
      </c>
      <c r="Q37" s="20">
        <v>88.9</v>
      </c>
      <c r="R37">
        <v>10</v>
      </c>
      <c r="S37">
        <v>0</v>
      </c>
      <c r="T37" s="4">
        <v>96.6</v>
      </c>
      <c r="U37">
        <f t="shared" si="0"/>
        <v>96.6</v>
      </c>
      <c r="V37">
        <f t="shared" si="1"/>
        <v>96.6</v>
      </c>
      <c r="W37" s="4">
        <v>74.900000000000006</v>
      </c>
      <c r="X37">
        <f t="shared" si="2"/>
        <v>75</v>
      </c>
      <c r="Y37">
        <f t="shared" si="3"/>
        <v>85</v>
      </c>
    </row>
    <row r="38" spans="1:25">
      <c r="A38" s="2" t="s">
        <v>7</v>
      </c>
      <c r="B38" s="20">
        <v>34.96</v>
      </c>
      <c r="C38">
        <v>70</v>
      </c>
      <c r="D38">
        <v>90</v>
      </c>
      <c r="E38" s="20">
        <v>59.75</v>
      </c>
      <c r="F38">
        <v>10</v>
      </c>
      <c r="G38">
        <v>5</v>
      </c>
      <c r="H38" s="20">
        <v>3.76</v>
      </c>
      <c r="I38">
        <v>10</v>
      </c>
      <c r="J38">
        <v>0</v>
      </c>
      <c r="K38" s="20">
        <v>14.61</v>
      </c>
      <c r="L38">
        <v>70</v>
      </c>
      <c r="M38">
        <v>90</v>
      </c>
      <c r="N38" s="20">
        <v>70.36</v>
      </c>
      <c r="O38">
        <v>10</v>
      </c>
      <c r="P38">
        <v>5</v>
      </c>
      <c r="Q38" s="20">
        <v>10.25</v>
      </c>
      <c r="R38">
        <v>10</v>
      </c>
      <c r="S38">
        <v>0</v>
      </c>
      <c r="T38" s="4">
        <v>95.36</v>
      </c>
      <c r="U38">
        <f t="shared" si="0"/>
        <v>95.36</v>
      </c>
      <c r="V38">
        <f t="shared" si="1"/>
        <v>95.36</v>
      </c>
      <c r="W38" s="4">
        <v>56</v>
      </c>
      <c r="X38">
        <f t="shared" si="2"/>
        <v>75</v>
      </c>
      <c r="Y38">
        <f t="shared" si="3"/>
        <v>85</v>
      </c>
    </row>
    <row r="39" spans="1:25">
      <c r="A39" s="2" t="s">
        <v>26</v>
      </c>
      <c r="B39" s="20">
        <v>26.35</v>
      </c>
      <c r="C39">
        <v>70</v>
      </c>
      <c r="D39">
        <v>90</v>
      </c>
      <c r="E39" s="20">
        <v>12.52</v>
      </c>
      <c r="F39">
        <v>10</v>
      </c>
      <c r="G39">
        <v>5</v>
      </c>
      <c r="H39" s="20">
        <v>61.14</v>
      </c>
      <c r="I39">
        <v>10</v>
      </c>
      <c r="J39">
        <v>0</v>
      </c>
      <c r="K39" s="20">
        <v>15.27</v>
      </c>
      <c r="L39">
        <v>70</v>
      </c>
      <c r="M39">
        <v>90</v>
      </c>
      <c r="N39" s="20">
        <v>5.8</v>
      </c>
      <c r="O39">
        <v>10</v>
      </c>
      <c r="P39">
        <v>5</v>
      </c>
      <c r="Q39" s="20">
        <v>75.02</v>
      </c>
      <c r="R39">
        <v>10</v>
      </c>
      <c r="S39">
        <v>0</v>
      </c>
      <c r="T39" s="4">
        <v>90.9</v>
      </c>
      <c r="U39">
        <f t="shared" si="0"/>
        <v>90.9</v>
      </c>
      <c r="V39">
        <f t="shared" si="1"/>
        <v>95</v>
      </c>
      <c r="W39" s="4">
        <v>71.2</v>
      </c>
      <c r="X39">
        <f t="shared" si="2"/>
        <v>75</v>
      </c>
      <c r="Y39">
        <f t="shared" si="3"/>
        <v>85</v>
      </c>
    </row>
    <row r="40" spans="1:25">
      <c r="A40" s="2" t="s">
        <v>62</v>
      </c>
      <c r="B40" s="20">
        <v>37.6</v>
      </c>
      <c r="C40">
        <v>70</v>
      </c>
      <c r="D40">
        <v>90</v>
      </c>
      <c r="E40" s="20">
        <v>46.8</v>
      </c>
      <c r="F40">
        <v>10</v>
      </c>
      <c r="G40">
        <v>5</v>
      </c>
      <c r="H40" s="20">
        <v>10.9</v>
      </c>
      <c r="I40">
        <v>10</v>
      </c>
      <c r="J40">
        <v>0</v>
      </c>
      <c r="K40" s="20">
        <v>18.8</v>
      </c>
      <c r="L40">
        <v>70</v>
      </c>
      <c r="M40">
        <v>90</v>
      </c>
      <c r="N40" s="20">
        <v>39.799999999999997</v>
      </c>
      <c r="O40">
        <v>10</v>
      </c>
      <c r="P40">
        <v>5</v>
      </c>
      <c r="Q40" s="20">
        <v>40.700000000000003</v>
      </c>
      <c r="R40">
        <v>10</v>
      </c>
      <c r="S40">
        <v>0</v>
      </c>
      <c r="T40" s="4">
        <v>96.300000000000011</v>
      </c>
      <c r="U40">
        <f t="shared" si="0"/>
        <v>96.300000000000011</v>
      </c>
      <c r="V40">
        <f t="shared" si="1"/>
        <v>96.300000000000011</v>
      </c>
      <c r="W40" s="4">
        <v>67.3</v>
      </c>
      <c r="X40">
        <f t="shared" si="2"/>
        <v>75</v>
      </c>
      <c r="Y40">
        <f t="shared" si="3"/>
        <v>85</v>
      </c>
    </row>
    <row r="41" spans="1:25">
      <c r="A41" s="2" t="s">
        <v>31</v>
      </c>
      <c r="B41" s="20">
        <v>89.6</v>
      </c>
      <c r="C41">
        <v>89.6</v>
      </c>
      <c r="D41">
        <v>90</v>
      </c>
      <c r="E41" s="20">
        <v>7.7</v>
      </c>
      <c r="F41">
        <v>7.7</v>
      </c>
      <c r="G41">
        <v>5</v>
      </c>
      <c r="H41" s="20">
        <v>2.7</v>
      </c>
      <c r="I41">
        <v>7.7</v>
      </c>
      <c r="J41">
        <v>0</v>
      </c>
      <c r="K41" s="20">
        <v>48.8</v>
      </c>
      <c r="L41">
        <v>70</v>
      </c>
      <c r="M41">
        <v>90</v>
      </c>
      <c r="N41" s="20">
        <v>18.100000000000001</v>
      </c>
      <c r="O41">
        <v>10</v>
      </c>
      <c r="P41">
        <v>5</v>
      </c>
      <c r="Q41" s="20">
        <v>32.200000000000003</v>
      </c>
      <c r="R41">
        <v>10</v>
      </c>
      <c r="S41">
        <v>0</v>
      </c>
      <c r="T41" s="4">
        <v>97.88</v>
      </c>
      <c r="U41">
        <f t="shared" si="0"/>
        <v>97.88</v>
      </c>
      <c r="V41">
        <f t="shared" si="1"/>
        <v>97.88</v>
      </c>
      <c r="W41" s="4">
        <v>82</v>
      </c>
      <c r="X41">
        <f t="shared" si="2"/>
        <v>82</v>
      </c>
      <c r="Y41">
        <f t="shared" si="3"/>
        <v>85</v>
      </c>
    </row>
    <row r="42" spans="1:25">
      <c r="A42" s="2" t="s">
        <v>30</v>
      </c>
      <c r="B42" s="20">
        <v>82.69</v>
      </c>
      <c r="C42">
        <v>82.69</v>
      </c>
      <c r="D42">
        <v>90</v>
      </c>
      <c r="E42" s="20">
        <v>9.41</v>
      </c>
      <c r="F42">
        <v>9.41</v>
      </c>
      <c r="G42">
        <v>5</v>
      </c>
      <c r="H42" s="20">
        <v>7.8</v>
      </c>
      <c r="I42">
        <v>7.8</v>
      </c>
      <c r="J42">
        <v>0</v>
      </c>
      <c r="K42" s="20">
        <v>11.7</v>
      </c>
      <c r="L42">
        <v>70</v>
      </c>
      <c r="M42">
        <v>90</v>
      </c>
      <c r="N42" s="20">
        <v>4.1100000000000003</v>
      </c>
      <c r="O42">
        <v>10</v>
      </c>
      <c r="P42">
        <v>5</v>
      </c>
      <c r="Q42" s="20">
        <v>84.19</v>
      </c>
      <c r="R42">
        <v>10</v>
      </c>
      <c r="S42">
        <v>0</v>
      </c>
      <c r="T42" s="4">
        <v>99.789999999999992</v>
      </c>
      <c r="U42">
        <f t="shared" si="0"/>
        <v>99.789999999999992</v>
      </c>
      <c r="V42">
        <f t="shared" si="1"/>
        <v>99.789999999999992</v>
      </c>
      <c r="W42" s="4">
        <v>89.961999999999989</v>
      </c>
      <c r="X42">
        <f t="shared" si="2"/>
        <v>89.961999999999989</v>
      </c>
      <c r="Y42">
        <f t="shared" si="3"/>
        <v>89.961999999999989</v>
      </c>
    </row>
    <row r="43" spans="1:25">
      <c r="A43" s="2" t="s">
        <v>72</v>
      </c>
      <c r="B43" s="20">
        <v>44.52</v>
      </c>
      <c r="C43">
        <v>70</v>
      </c>
      <c r="D43">
        <v>90</v>
      </c>
      <c r="E43" s="20">
        <v>49.35</v>
      </c>
      <c r="F43">
        <v>10</v>
      </c>
      <c r="G43">
        <v>5</v>
      </c>
      <c r="H43" s="20">
        <v>6.04</v>
      </c>
      <c r="I43">
        <v>10</v>
      </c>
      <c r="J43">
        <v>0</v>
      </c>
      <c r="K43" s="20">
        <v>32.659999999999997</v>
      </c>
      <c r="L43">
        <v>70</v>
      </c>
      <c r="M43">
        <v>90</v>
      </c>
      <c r="N43" s="20">
        <v>58.15</v>
      </c>
      <c r="O43">
        <v>10</v>
      </c>
      <c r="P43">
        <v>5</v>
      </c>
      <c r="Q43" s="20">
        <v>8.5</v>
      </c>
      <c r="R43">
        <v>10</v>
      </c>
      <c r="S43">
        <v>0</v>
      </c>
      <c r="T43" s="4">
        <v>99.26</v>
      </c>
      <c r="U43">
        <f t="shared" si="0"/>
        <v>99.26</v>
      </c>
      <c r="V43">
        <f t="shared" si="1"/>
        <v>99.26</v>
      </c>
      <c r="W43" s="4">
        <v>85.199999999999989</v>
      </c>
      <c r="X43">
        <f t="shared" si="2"/>
        <v>85.199999999999989</v>
      </c>
      <c r="Y43">
        <f t="shared" si="3"/>
        <v>85.199999999999989</v>
      </c>
    </row>
    <row r="44" spans="1:25">
      <c r="A44" s="2" t="s">
        <v>59</v>
      </c>
      <c r="B44" s="20">
        <v>44.4</v>
      </c>
      <c r="C44">
        <v>70</v>
      </c>
      <c r="D44">
        <v>90</v>
      </c>
      <c r="E44" s="20">
        <v>33.4</v>
      </c>
      <c r="F44">
        <v>10</v>
      </c>
      <c r="G44">
        <v>5</v>
      </c>
      <c r="H44" s="20">
        <v>20.8</v>
      </c>
      <c r="I44">
        <v>10</v>
      </c>
      <c r="J44">
        <v>0</v>
      </c>
      <c r="K44" s="20">
        <v>9</v>
      </c>
      <c r="L44">
        <v>70</v>
      </c>
      <c r="M44">
        <v>90</v>
      </c>
      <c r="N44" s="20">
        <v>25</v>
      </c>
      <c r="O44">
        <v>10</v>
      </c>
      <c r="P44">
        <v>5</v>
      </c>
      <c r="Q44" s="20">
        <v>64.900000000000006</v>
      </c>
      <c r="R44">
        <v>10</v>
      </c>
      <c r="S44">
        <v>0</v>
      </c>
      <c r="T44" s="4">
        <v>97.8</v>
      </c>
      <c r="U44">
        <f t="shared" si="0"/>
        <v>97.8</v>
      </c>
      <c r="V44">
        <f t="shared" si="1"/>
        <v>97.8</v>
      </c>
      <c r="W44" s="4">
        <v>66.7</v>
      </c>
      <c r="X44">
        <f t="shared" si="2"/>
        <v>75</v>
      </c>
      <c r="Y44">
        <f t="shared" si="3"/>
        <v>85</v>
      </c>
    </row>
    <row r="45" spans="1:25">
      <c r="A45" s="2" t="s">
        <v>52</v>
      </c>
      <c r="B45" s="20">
        <v>53.6</v>
      </c>
      <c r="C45">
        <v>70</v>
      </c>
      <c r="D45">
        <v>90</v>
      </c>
      <c r="E45" s="20">
        <v>0</v>
      </c>
      <c r="F45">
        <v>10</v>
      </c>
      <c r="G45">
        <v>5</v>
      </c>
      <c r="H45" s="20">
        <v>26.7</v>
      </c>
      <c r="I45">
        <v>10</v>
      </c>
      <c r="J45">
        <v>0</v>
      </c>
      <c r="K45" s="20">
        <v>14.7</v>
      </c>
      <c r="L45">
        <v>70</v>
      </c>
      <c r="M45">
        <v>90</v>
      </c>
      <c r="N45" s="20">
        <v>1</v>
      </c>
      <c r="O45">
        <v>10</v>
      </c>
      <c r="P45">
        <v>5</v>
      </c>
      <c r="Q45" s="20">
        <v>47.1</v>
      </c>
      <c r="R45">
        <v>10</v>
      </c>
      <c r="S45">
        <v>0</v>
      </c>
      <c r="T45" s="4">
        <v>49.599999999999994</v>
      </c>
      <c r="U45">
        <f t="shared" si="0"/>
        <v>90</v>
      </c>
      <c r="V45">
        <f t="shared" si="1"/>
        <v>95</v>
      </c>
      <c r="W45" s="4">
        <v>21.7</v>
      </c>
      <c r="X45">
        <f t="shared" si="2"/>
        <v>75</v>
      </c>
      <c r="Y45">
        <f t="shared" si="3"/>
        <v>85</v>
      </c>
    </row>
    <row r="46" spans="1:25">
      <c r="A46" s="2" t="s">
        <v>39</v>
      </c>
      <c r="B46" s="20">
        <v>62</v>
      </c>
      <c r="C46">
        <v>70</v>
      </c>
      <c r="D46">
        <v>90</v>
      </c>
      <c r="E46" s="20">
        <v>8.9</v>
      </c>
      <c r="F46">
        <v>10</v>
      </c>
      <c r="G46">
        <v>5</v>
      </c>
      <c r="H46" s="20">
        <v>23</v>
      </c>
      <c r="I46">
        <v>10</v>
      </c>
      <c r="J46">
        <v>0</v>
      </c>
      <c r="K46" s="20">
        <v>9.9</v>
      </c>
      <c r="L46">
        <v>70</v>
      </c>
      <c r="M46">
        <v>90</v>
      </c>
      <c r="N46" s="20">
        <v>16.2</v>
      </c>
      <c r="O46">
        <v>10</v>
      </c>
      <c r="P46">
        <v>5</v>
      </c>
      <c r="Q46" s="20">
        <v>57.6</v>
      </c>
      <c r="R46">
        <v>10</v>
      </c>
      <c r="S46">
        <v>0</v>
      </c>
      <c r="T46" s="4">
        <v>73.5</v>
      </c>
      <c r="U46">
        <f t="shared" si="0"/>
        <v>90</v>
      </c>
      <c r="V46">
        <f t="shared" si="1"/>
        <v>95</v>
      </c>
      <c r="W46" s="4">
        <v>31.099999999999998</v>
      </c>
      <c r="X46">
        <f t="shared" si="2"/>
        <v>75</v>
      </c>
      <c r="Y46">
        <f t="shared" si="3"/>
        <v>85</v>
      </c>
    </row>
    <row r="47" spans="1:25">
      <c r="A47" s="2" t="s">
        <v>32</v>
      </c>
      <c r="B47" s="20">
        <v>49.8</v>
      </c>
      <c r="C47">
        <v>70</v>
      </c>
      <c r="D47">
        <v>90</v>
      </c>
      <c r="E47" s="20">
        <v>40</v>
      </c>
      <c r="F47">
        <v>10</v>
      </c>
      <c r="G47">
        <v>5</v>
      </c>
      <c r="H47" s="20">
        <v>9.9</v>
      </c>
      <c r="I47">
        <v>10</v>
      </c>
      <c r="J47">
        <v>0</v>
      </c>
      <c r="K47" s="20">
        <v>13.7</v>
      </c>
      <c r="L47">
        <v>70</v>
      </c>
      <c r="M47">
        <v>90</v>
      </c>
      <c r="N47" s="20">
        <v>36.799999999999997</v>
      </c>
      <c r="O47">
        <v>10</v>
      </c>
      <c r="P47">
        <v>5</v>
      </c>
      <c r="Q47" s="20">
        <v>48.3</v>
      </c>
      <c r="R47">
        <v>10</v>
      </c>
      <c r="S47">
        <v>0</v>
      </c>
      <c r="T47" s="4">
        <v>97.699999999999989</v>
      </c>
      <c r="U47">
        <f t="shared" si="0"/>
        <v>97.699999999999989</v>
      </c>
      <c r="V47">
        <f t="shared" si="1"/>
        <v>97.699999999999989</v>
      </c>
      <c r="W47" s="4">
        <v>85.100000000000009</v>
      </c>
      <c r="X47">
        <f t="shared" si="2"/>
        <v>85.100000000000009</v>
      </c>
      <c r="Y47">
        <f t="shared" si="3"/>
        <v>85.100000000000009</v>
      </c>
    </row>
    <row r="48" spans="1:25">
      <c r="A48" s="2" t="s">
        <v>12</v>
      </c>
      <c r="B48" s="20">
        <v>18.3</v>
      </c>
      <c r="C48">
        <v>70</v>
      </c>
      <c r="D48">
        <v>90</v>
      </c>
      <c r="E48" s="20">
        <v>56</v>
      </c>
      <c r="F48">
        <v>10</v>
      </c>
      <c r="G48">
        <v>5</v>
      </c>
      <c r="H48" s="20">
        <v>22.2</v>
      </c>
      <c r="I48">
        <v>10</v>
      </c>
      <c r="J48">
        <v>0</v>
      </c>
      <c r="K48" s="20">
        <v>3</v>
      </c>
      <c r="L48">
        <v>70</v>
      </c>
      <c r="M48">
        <v>90</v>
      </c>
      <c r="N48" s="20">
        <v>34.700000000000003</v>
      </c>
      <c r="O48">
        <v>10</v>
      </c>
      <c r="P48">
        <v>5</v>
      </c>
      <c r="Q48" s="20">
        <v>59.6</v>
      </c>
      <c r="R48">
        <v>10</v>
      </c>
      <c r="S48">
        <v>0</v>
      </c>
      <c r="T48" s="4">
        <v>94.6</v>
      </c>
      <c r="U48">
        <f t="shared" si="0"/>
        <v>94.6</v>
      </c>
      <c r="V48">
        <f t="shared" si="1"/>
        <v>95</v>
      </c>
      <c r="W48" s="4">
        <v>77.499999999999986</v>
      </c>
      <c r="X48">
        <f t="shared" si="2"/>
        <v>77.499999999999986</v>
      </c>
      <c r="Y48">
        <f t="shared" si="3"/>
        <v>85</v>
      </c>
    </row>
    <row r="49" spans="1:25">
      <c r="A49" s="2" t="s">
        <v>42</v>
      </c>
      <c r="B49" s="20">
        <v>82.6</v>
      </c>
      <c r="C49">
        <v>82.6</v>
      </c>
      <c r="D49">
        <v>90</v>
      </c>
      <c r="E49" s="20">
        <v>8.18</v>
      </c>
      <c r="F49">
        <v>8.18</v>
      </c>
      <c r="G49">
        <v>5</v>
      </c>
      <c r="H49" s="20">
        <v>9.15</v>
      </c>
      <c r="I49">
        <v>9.15</v>
      </c>
      <c r="J49">
        <v>0</v>
      </c>
      <c r="K49" s="20">
        <v>41.35</v>
      </c>
      <c r="L49">
        <v>70</v>
      </c>
      <c r="M49">
        <v>90</v>
      </c>
      <c r="N49" s="20">
        <v>20.149999999999999</v>
      </c>
      <c r="O49">
        <v>10</v>
      </c>
      <c r="P49">
        <v>5</v>
      </c>
      <c r="Q49" s="20">
        <v>38.450000000000003</v>
      </c>
      <c r="R49">
        <v>10</v>
      </c>
      <c r="S49">
        <v>0</v>
      </c>
      <c r="T49" s="4">
        <v>99.56</v>
      </c>
      <c r="U49">
        <f t="shared" si="0"/>
        <v>99.56</v>
      </c>
      <c r="V49">
        <f t="shared" si="1"/>
        <v>99.56</v>
      </c>
      <c r="W49" s="4">
        <v>96.7</v>
      </c>
      <c r="X49">
        <f t="shared" si="2"/>
        <v>96.7</v>
      </c>
      <c r="Y49">
        <f t="shared" si="3"/>
        <v>96.7</v>
      </c>
    </row>
    <row r="50" spans="1:25">
      <c r="A50" s="2" t="s">
        <v>74</v>
      </c>
      <c r="B50" s="20">
        <v>17.7</v>
      </c>
      <c r="C50">
        <v>70</v>
      </c>
      <c r="D50">
        <v>90</v>
      </c>
      <c r="E50" s="20">
        <v>69.8</v>
      </c>
      <c r="F50">
        <v>10</v>
      </c>
      <c r="G50">
        <v>5</v>
      </c>
      <c r="H50" s="20">
        <v>10.6</v>
      </c>
      <c r="I50">
        <v>10</v>
      </c>
      <c r="J50">
        <v>0</v>
      </c>
      <c r="K50" s="20">
        <v>8.4</v>
      </c>
      <c r="L50">
        <v>70</v>
      </c>
      <c r="M50">
        <v>90</v>
      </c>
      <c r="N50" s="20">
        <v>59.2</v>
      </c>
      <c r="O50">
        <v>10</v>
      </c>
      <c r="P50">
        <v>5</v>
      </c>
      <c r="Q50" s="20">
        <v>31.6</v>
      </c>
      <c r="R50">
        <v>10</v>
      </c>
      <c r="S50">
        <v>0</v>
      </c>
      <c r="T50" s="4">
        <v>99.5</v>
      </c>
      <c r="U50">
        <f t="shared" si="0"/>
        <v>99.5</v>
      </c>
      <c r="V50">
        <f t="shared" si="1"/>
        <v>99.5</v>
      </c>
      <c r="W50" s="4">
        <v>98.4</v>
      </c>
      <c r="X50">
        <f t="shared" si="2"/>
        <v>98.4</v>
      </c>
      <c r="Y50">
        <f t="shared" si="3"/>
        <v>98.4</v>
      </c>
    </row>
    <row r="51" spans="1:25">
      <c r="A51" s="2" t="s">
        <v>76</v>
      </c>
      <c r="B51" s="20">
        <v>20.100000000000001</v>
      </c>
      <c r="C51">
        <v>70</v>
      </c>
      <c r="D51">
        <v>90</v>
      </c>
      <c r="E51" s="20">
        <v>52</v>
      </c>
      <c r="F51">
        <v>10</v>
      </c>
      <c r="G51">
        <v>5</v>
      </c>
      <c r="H51" s="20">
        <v>25.4</v>
      </c>
      <c r="I51">
        <v>10</v>
      </c>
      <c r="J51">
        <v>0</v>
      </c>
      <c r="K51" s="20">
        <v>7.2</v>
      </c>
      <c r="L51">
        <v>70</v>
      </c>
      <c r="M51">
        <v>90</v>
      </c>
      <c r="N51" s="20">
        <v>37</v>
      </c>
      <c r="O51">
        <v>10</v>
      </c>
      <c r="P51">
        <v>5</v>
      </c>
      <c r="Q51" s="20">
        <v>52.7</v>
      </c>
      <c r="R51">
        <v>10</v>
      </c>
      <c r="S51">
        <v>0</v>
      </c>
      <c r="T51" s="4">
        <v>95.7</v>
      </c>
      <c r="U51">
        <f t="shared" si="0"/>
        <v>95.7</v>
      </c>
      <c r="V51">
        <f t="shared" si="1"/>
        <v>95.7</v>
      </c>
      <c r="W51" s="4">
        <v>64.8</v>
      </c>
      <c r="X51">
        <f t="shared" si="2"/>
        <v>75</v>
      </c>
      <c r="Y51">
        <f t="shared" si="3"/>
        <v>85</v>
      </c>
    </row>
    <row r="52" spans="1:25">
      <c r="A52" s="2" t="s">
        <v>45</v>
      </c>
      <c r="B52" s="20">
        <v>54.6</v>
      </c>
      <c r="C52">
        <v>70</v>
      </c>
      <c r="D52">
        <v>90</v>
      </c>
      <c r="E52" s="20">
        <v>13.9</v>
      </c>
      <c r="F52">
        <v>10</v>
      </c>
      <c r="G52">
        <v>5</v>
      </c>
      <c r="H52" s="20">
        <v>28.6</v>
      </c>
      <c r="I52">
        <v>10</v>
      </c>
      <c r="J52">
        <v>0</v>
      </c>
      <c r="K52" s="20">
        <v>23.1</v>
      </c>
      <c r="L52">
        <v>70</v>
      </c>
      <c r="M52">
        <v>90</v>
      </c>
      <c r="N52" s="20">
        <v>21.9</v>
      </c>
      <c r="O52">
        <v>10</v>
      </c>
      <c r="P52">
        <v>5</v>
      </c>
      <c r="Q52" s="20">
        <v>51.6</v>
      </c>
      <c r="R52">
        <v>10</v>
      </c>
      <c r="S52">
        <v>0</v>
      </c>
      <c r="T52" s="4">
        <v>88.9</v>
      </c>
      <c r="U52">
        <f t="shared" si="0"/>
        <v>90</v>
      </c>
      <c r="V52">
        <f t="shared" si="1"/>
        <v>95</v>
      </c>
      <c r="W52" s="4">
        <v>69.3</v>
      </c>
      <c r="X52">
        <f t="shared" si="2"/>
        <v>75</v>
      </c>
      <c r="Y52">
        <f t="shared" si="3"/>
        <v>85</v>
      </c>
    </row>
    <row r="53" spans="1:25">
      <c r="A53" s="2" t="s">
        <v>9</v>
      </c>
      <c r="B53" s="20">
        <v>0</v>
      </c>
      <c r="C53">
        <v>70</v>
      </c>
      <c r="D53">
        <v>90</v>
      </c>
      <c r="E53" s="20">
        <v>0</v>
      </c>
      <c r="F53">
        <v>10</v>
      </c>
      <c r="G53">
        <v>5</v>
      </c>
      <c r="H53" s="20">
        <v>0</v>
      </c>
      <c r="I53">
        <v>10</v>
      </c>
      <c r="J53">
        <v>0</v>
      </c>
      <c r="K53" s="20">
        <v>0</v>
      </c>
      <c r="L53">
        <v>70</v>
      </c>
      <c r="M53">
        <v>90</v>
      </c>
      <c r="N53" s="20">
        <v>0</v>
      </c>
      <c r="O53">
        <v>10</v>
      </c>
      <c r="P53">
        <v>5</v>
      </c>
      <c r="Q53" s="20">
        <v>0</v>
      </c>
      <c r="R53">
        <v>10</v>
      </c>
      <c r="S53">
        <v>0</v>
      </c>
      <c r="T53" s="4">
        <v>0</v>
      </c>
      <c r="U53">
        <f t="shared" si="0"/>
        <v>90</v>
      </c>
      <c r="V53">
        <f t="shared" si="1"/>
        <v>95</v>
      </c>
      <c r="W53" s="4">
        <v>0</v>
      </c>
      <c r="X53">
        <f t="shared" si="2"/>
        <v>75</v>
      </c>
      <c r="Y53">
        <f t="shared" si="3"/>
        <v>85</v>
      </c>
    </row>
    <row r="54" spans="1:25">
      <c r="A54" s="2" t="s">
        <v>49</v>
      </c>
      <c r="B54" s="20">
        <v>78.56</v>
      </c>
      <c r="C54">
        <v>78.56</v>
      </c>
      <c r="D54">
        <v>90</v>
      </c>
      <c r="E54" s="20">
        <v>7.08</v>
      </c>
      <c r="F54">
        <v>7.08</v>
      </c>
      <c r="G54">
        <v>5</v>
      </c>
      <c r="H54" s="20">
        <v>13.55</v>
      </c>
      <c r="I54">
        <v>13.55</v>
      </c>
      <c r="J54">
        <v>0</v>
      </c>
      <c r="K54" s="20">
        <v>56.09</v>
      </c>
      <c r="L54">
        <v>70</v>
      </c>
      <c r="M54">
        <v>90</v>
      </c>
      <c r="N54" s="20">
        <v>8.58</v>
      </c>
      <c r="O54">
        <v>10</v>
      </c>
      <c r="P54">
        <v>5</v>
      </c>
      <c r="Q54" s="20">
        <v>30.33</v>
      </c>
      <c r="R54">
        <v>10</v>
      </c>
      <c r="S54">
        <v>0</v>
      </c>
      <c r="T54" s="4">
        <v>90.31</v>
      </c>
      <c r="U54">
        <f t="shared" si="0"/>
        <v>90.31</v>
      </c>
      <c r="V54">
        <f t="shared" si="1"/>
        <v>95</v>
      </c>
      <c r="W54" s="4">
        <v>66.8</v>
      </c>
      <c r="X54">
        <f t="shared" si="2"/>
        <v>75</v>
      </c>
      <c r="Y54">
        <f t="shared" si="3"/>
        <v>85</v>
      </c>
    </row>
    <row r="55" spans="1:25">
      <c r="A55" s="2" t="s">
        <v>11</v>
      </c>
      <c r="B55" s="20">
        <v>52.5</v>
      </c>
      <c r="C55">
        <v>70</v>
      </c>
      <c r="D55">
        <v>90</v>
      </c>
      <c r="E55" s="20">
        <v>19.3</v>
      </c>
      <c r="F55">
        <v>10</v>
      </c>
      <c r="G55">
        <v>5</v>
      </c>
      <c r="H55" s="20">
        <v>15</v>
      </c>
      <c r="I55">
        <v>10</v>
      </c>
      <c r="J55">
        <v>0</v>
      </c>
      <c r="K55" s="20">
        <v>16.100000000000001</v>
      </c>
      <c r="L55">
        <v>70</v>
      </c>
      <c r="M55">
        <v>90</v>
      </c>
      <c r="N55" s="20">
        <v>21.1</v>
      </c>
      <c r="O55">
        <v>10</v>
      </c>
      <c r="P55">
        <v>5</v>
      </c>
      <c r="Q55" s="20">
        <v>34.9</v>
      </c>
      <c r="R55">
        <v>10</v>
      </c>
      <c r="S55">
        <v>0</v>
      </c>
      <c r="T55" s="4">
        <v>67.199999999999989</v>
      </c>
      <c r="U55">
        <f t="shared" si="0"/>
        <v>90</v>
      </c>
      <c r="V55">
        <f t="shared" si="1"/>
        <v>95</v>
      </c>
      <c r="W55" s="4">
        <v>43.1</v>
      </c>
      <c r="X55">
        <f t="shared" si="2"/>
        <v>75</v>
      </c>
      <c r="Y55">
        <f t="shared" si="3"/>
        <v>85</v>
      </c>
    </row>
    <row r="56" spans="1:25">
      <c r="A56" s="2" t="s">
        <v>17</v>
      </c>
      <c r="B56" s="20">
        <v>96.12</v>
      </c>
      <c r="C56">
        <v>96.12</v>
      </c>
      <c r="D56">
        <v>96.12</v>
      </c>
      <c r="E56" s="20">
        <v>1.99</v>
      </c>
      <c r="F56">
        <v>1.99</v>
      </c>
      <c r="G56">
        <v>1.99</v>
      </c>
      <c r="H56" s="20">
        <v>1.39</v>
      </c>
      <c r="I56">
        <v>1.39</v>
      </c>
      <c r="J56">
        <v>1.39</v>
      </c>
      <c r="K56" s="20">
        <v>72.400000000000006</v>
      </c>
      <c r="L56">
        <v>72.400000000000006</v>
      </c>
      <c r="M56">
        <v>90</v>
      </c>
      <c r="N56" s="20">
        <v>2.98</v>
      </c>
      <c r="O56">
        <v>2.98</v>
      </c>
      <c r="P56">
        <v>5</v>
      </c>
      <c r="Q56" s="20">
        <v>24.62</v>
      </c>
      <c r="R56">
        <v>24.62</v>
      </c>
      <c r="S56">
        <v>0</v>
      </c>
      <c r="T56" s="4">
        <v>98.849800000000002</v>
      </c>
      <c r="U56">
        <f t="shared" si="0"/>
        <v>98.849800000000002</v>
      </c>
      <c r="V56">
        <f t="shared" si="1"/>
        <v>98.849800000000002</v>
      </c>
      <c r="W56" s="4">
        <v>80</v>
      </c>
      <c r="X56">
        <f t="shared" si="2"/>
        <v>80</v>
      </c>
      <c r="Y56">
        <f t="shared" si="3"/>
        <v>85</v>
      </c>
    </row>
    <row r="57" spans="1:25">
      <c r="A57" s="2" t="s">
        <v>66</v>
      </c>
      <c r="B57" s="20">
        <v>31.26</v>
      </c>
      <c r="C57">
        <v>70</v>
      </c>
      <c r="D57">
        <v>90</v>
      </c>
      <c r="E57" s="20">
        <v>48</v>
      </c>
      <c r="F57">
        <v>10</v>
      </c>
      <c r="G57">
        <v>5</v>
      </c>
      <c r="H57" s="20">
        <v>19.489999999999998</v>
      </c>
      <c r="I57">
        <v>10</v>
      </c>
      <c r="J57">
        <v>0</v>
      </c>
      <c r="K57" s="20">
        <v>12.35</v>
      </c>
      <c r="L57">
        <v>70</v>
      </c>
      <c r="M57">
        <v>90</v>
      </c>
      <c r="N57" s="20">
        <v>43.78</v>
      </c>
      <c r="O57">
        <v>10</v>
      </c>
      <c r="P57">
        <v>5</v>
      </c>
      <c r="Q57" s="20">
        <v>43.11</v>
      </c>
      <c r="R57">
        <v>10</v>
      </c>
      <c r="S57">
        <v>0</v>
      </c>
      <c r="T57" s="4">
        <v>97.47</v>
      </c>
      <c r="U57">
        <f t="shared" si="0"/>
        <v>97.47</v>
      </c>
      <c r="V57">
        <f t="shared" si="1"/>
        <v>97.47</v>
      </c>
      <c r="W57" s="4">
        <v>77.2</v>
      </c>
      <c r="X57">
        <f t="shared" si="2"/>
        <v>77.2</v>
      </c>
      <c r="Y57">
        <f t="shared" si="3"/>
        <v>85</v>
      </c>
    </row>
    <row r="58" spans="1:25">
      <c r="A58" s="2" t="s">
        <v>67</v>
      </c>
      <c r="B58" s="20">
        <v>10.5</v>
      </c>
      <c r="C58">
        <v>70</v>
      </c>
      <c r="D58">
        <v>90</v>
      </c>
      <c r="E58" s="20">
        <v>80</v>
      </c>
      <c r="F58">
        <v>10</v>
      </c>
      <c r="G58">
        <v>5</v>
      </c>
      <c r="H58" s="20">
        <v>8</v>
      </c>
      <c r="I58">
        <v>10</v>
      </c>
      <c r="J58">
        <v>0</v>
      </c>
      <c r="K58" s="20">
        <v>7.9</v>
      </c>
      <c r="L58">
        <v>70</v>
      </c>
      <c r="M58">
        <v>90</v>
      </c>
      <c r="N58" s="20">
        <v>43.7</v>
      </c>
      <c r="O58">
        <v>10</v>
      </c>
      <c r="P58">
        <v>5</v>
      </c>
      <c r="Q58" s="20">
        <v>43.4</v>
      </c>
      <c r="R58">
        <v>10</v>
      </c>
      <c r="S58">
        <v>0</v>
      </c>
      <c r="T58" s="4">
        <v>89.800000000000011</v>
      </c>
      <c r="U58">
        <f t="shared" si="0"/>
        <v>90</v>
      </c>
      <c r="V58">
        <f t="shared" si="1"/>
        <v>95</v>
      </c>
      <c r="W58" s="4">
        <v>66.7</v>
      </c>
      <c r="X58">
        <f t="shared" si="2"/>
        <v>75</v>
      </c>
      <c r="Y58">
        <f t="shared" si="3"/>
        <v>85</v>
      </c>
    </row>
    <row r="59" spans="1:25">
      <c r="A59" s="2" t="s">
        <v>19</v>
      </c>
      <c r="B59" s="20">
        <v>42</v>
      </c>
      <c r="C59">
        <v>70</v>
      </c>
      <c r="D59">
        <v>90</v>
      </c>
      <c r="E59" s="20">
        <v>37</v>
      </c>
      <c r="F59">
        <v>10</v>
      </c>
      <c r="G59">
        <v>5</v>
      </c>
      <c r="H59" s="20">
        <v>20</v>
      </c>
      <c r="I59">
        <v>10</v>
      </c>
      <c r="J59">
        <v>0</v>
      </c>
      <c r="K59" s="20">
        <v>21</v>
      </c>
      <c r="L59">
        <v>70</v>
      </c>
      <c r="M59">
        <v>90</v>
      </c>
      <c r="N59" s="20">
        <v>42</v>
      </c>
      <c r="O59">
        <v>10</v>
      </c>
      <c r="P59">
        <v>5</v>
      </c>
      <c r="Q59" s="20">
        <v>27</v>
      </c>
      <c r="R59">
        <v>10</v>
      </c>
      <c r="S59">
        <v>0</v>
      </c>
      <c r="T59" s="4">
        <v>77.5</v>
      </c>
      <c r="U59">
        <f t="shared" si="0"/>
        <v>90</v>
      </c>
      <c r="V59">
        <f t="shared" si="1"/>
        <v>95</v>
      </c>
      <c r="W59" s="4">
        <v>17.100000000000001</v>
      </c>
      <c r="X59">
        <f t="shared" si="2"/>
        <v>75</v>
      </c>
      <c r="Y59">
        <f t="shared" si="3"/>
        <v>85</v>
      </c>
    </row>
    <row r="60" spans="1:25">
      <c r="A60" s="2" t="s">
        <v>27</v>
      </c>
      <c r="B60" s="20">
        <v>11.2</v>
      </c>
      <c r="C60">
        <v>70</v>
      </c>
      <c r="D60">
        <v>90</v>
      </c>
      <c r="E60" s="20">
        <v>35.5</v>
      </c>
      <c r="F60">
        <v>10</v>
      </c>
      <c r="G60">
        <v>5</v>
      </c>
      <c r="H60" s="20">
        <v>36.5</v>
      </c>
      <c r="I60">
        <v>10</v>
      </c>
      <c r="J60">
        <v>0</v>
      </c>
      <c r="K60" s="20">
        <v>1.3</v>
      </c>
      <c r="L60">
        <v>70</v>
      </c>
      <c r="M60">
        <v>90</v>
      </c>
      <c r="N60" s="20">
        <v>19.899999999999999</v>
      </c>
      <c r="O60">
        <v>10</v>
      </c>
      <c r="P60">
        <v>5</v>
      </c>
      <c r="Q60" s="20">
        <v>39.200000000000003</v>
      </c>
      <c r="R60">
        <v>10</v>
      </c>
      <c r="S60">
        <v>0</v>
      </c>
      <c r="T60" s="4">
        <v>71.7</v>
      </c>
      <c r="U60">
        <f t="shared" si="0"/>
        <v>90</v>
      </c>
      <c r="V60">
        <f t="shared" si="1"/>
        <v>95</v>
      </c>
      <c r="W60" s="4">
        <v>51.1</v>
      </c>
      <c r="X60">
        <f t="shared" si="2"/>
        <v>75</v>
      </c>
      <c r="Y60">
        <f t="shared" si="3"/>
        <v>85</v>
      </c>
    </row>
    <row r="61" spans="1:25">
      <c r="A61" s="2" t="s">
        <v>36</v>
      </c>
      <c r="B61" s="20">
        <v>17.100000000000001</v>
      </c>
      <c r="C61">
        <v>70</v>
      </c>
      <c r="D61">
        <v>90</v>
      </c>
      <c r="E61" s="20">
        <v>34.5</v>
      </c>
      <c r="F61">
        <v>10</v>
      </c>
      <c r="G61">
        <v>5</v>
      </c>
      <c r="H61" s="20">
        <v>45.3</v>
      </c>
      <c r="I61">
        <v>10</v>
      </c>
      <c r="J61">
        <v>0</v>
      </c>
      <c r="K61" s="20">
        <v>10.9</v>
      </c>
      <c r="L61">
        <v>70</v>
      </c>
      <c r="M61">
        <v>90</v>
      </c>
      <c r="N61" s="20">
        <v>21.8</v>
      </c>
      <c r="O61">
        <v>10</v>
      </c>
      <c r="P61">
        <v>5</v>
      </c>
      <c r="Q61" s="20">
        <v>64</v>
      </c>
      <c r="R61">
        <v>10</v>
      </c>
      <c r="S61">
        <v>0</v>
      </c>
      <c r="T61" s="4">
        <v>96.3</v>
      </c>
      <c r="U61">
        <f t="shared" si="0"/>
        <v>96.3</v>
      </c>
      <c r="V61">
        <f t="shared" si="1"/>
        <v>96.3</v>
      </c>
      <c r="W61" s="4">
        <v>56.6</v>
      </c>
      <c r="X61">
        <f t="shared" si="2"/>
        <v>75</v>
      </c>
      <c r="Y61">
        <f t="shared" si="3"/>
        <v>85</v>
      </c>
    </row>
    <row r="62" spans="1:25">
      <c r="A62" s="2" t="s">
        <v>25</v>
      </c>
      <c r="B62" s="20">
        <v>42.2</v>
      </c>
      <c r="C62">
        <v>70</v>
      </c>
      <c r="D62">
        <v>90</v>
      </c>
      <c r="E62" s="20">
        <v>48.6</v>
      </c>
      <c r="F62">
        <v>10</v>
      </c>
      <c r="G62">
        <v>5</v>
      </c>
      <c r="H62" s="20">
        <v>8.1</v>
      </c>
      <c r="I62">
        <v>10</v>
      </c>
      <c r="J62">
        <v>0</v>
      </c>
      <c r="K62" s="20">
        <v>7.8</v>
      </c>
      <c r="L62">
        <v>70</v>
      </c>
      <c r="M62">
        <v>90</v>
      </c>
      <c r="N62" s="20">
        <v>30.9</v>
      </c>
      <c r="O62">
        <v>10</v>
      </c>
      <c r="P62">
        <v>5</v>
      </c>
      <c r="Q62" s="20">
        <v>56.6</v>
      </c>
      <c r="R62">
        <v>10</v>
      </c>
      <c r="S62">
        <v>0</v>
      </c>
      <c r="T62" s="4">
        <v>90.5</v>
      </c>
      <c r="U62">
        <f t="shared" si="0"/>
        <v>90.5</v>
      </c>
      <c r="V62">
        <f t="shared" si="1"/>
        <v>95</v>
      </c>
      <c r="W62" s="4">
        <v>48.8</v>
      </c>
      <c r="X62">
        <f t="shared" si="2"/>
        <v>75</v>
      </c>
      <c r="Y62">
        <f t="shared" si="3"/>
        <v>85</v>
      </c>
    </row>
    <row r="63" spans="1:25">
      <c r="A63" s="2" t="s">
        <v>5</v>
      </c>
      <c r="B63" s="20">
        <v>33.880000000000003</v>
      </c>
      <c r="C63">
        <v>70</v>
      </c>
      <c r="D63">
        <v>90</v>
      </c>
      <c r="E63" s="20">
        <v>63.06</v>
      </c>
      <c r="F63">
        <v>10</v>
      </c>
      <c r="G63">
        <v>5</v>
      </c>
      <c r="H63" s="20">
        <v>2.0699999999999998</v>
      </c>
      <c r="I63">
        <v>10</v>
      </c>
      <c r="J63">
        <v>0</v>
      </c>
      <c r="K63" s="20">
        <v>7.16</v>
      </c>
      <c r="L63">
        <v>70</v>
      </c>
      <c r="M63">
        <v>90</v>
      </c>
      <c r="N63" s="20">
        <v>67.3</v>
      </c>
      <c r="O63">
        <v>10</v>
      </c>
      <c r="P63">
        <v>5</v>
      </c>
      <c r="Q63" s="20">
        <v>21.51</v>
      </c>
      <c r="R63">
        <v>10</v>
      </c>
      <c r="S63">
        <v>0</v>
      </c>
      <c r="T63" s="4">
        <v>88.511499999999998</v>
      </c>
      <c r="U63">
        <f t="shared" si="0"/>
        <v>90</v>
      </c>
      <c r="V63">
        <f t="shared" si="1"/>
        <v>95</v>
      </c>
      <c r="W63" s="4">
        <v>62.6</v>
      </c>
      <c r="X63">
        <f t="shared" si="2"/>
        <v>75</v>
      </c>
      <c r="Y63">
        <f t="shared" si="3"/>
        <v>85</v>
      </c>
    </row>
    <row r="64" spans="1:25">
      <c r="A64" s="2" t="s">
        <v>20</v>
      </c>
      <c r="B64" s="20">
        <v>70</v>
      </c>
      <c r="C64">
        <v>70</v>
      </c>
      <c r="D64">
        <v>90</v>
      </c>
      <c r="E64" s="20">
        <v>18.899999999999999</v>
      </c>
      <c r="F64">
        <v>10</v>
      </c>
      <c r="G64">
        <v>5</v>
      </c>
      <c r="H64" s="20">
        <v>8.6999999999999993</v>
      </c>
      <c r="I64">
        <v>10</v>
      </c>
      <c r="J64">
        <v>0</v>
      </c>
      <c r="K64" s="20">
        <v>13.5</v>
      </c>
      <c r="L64">
        <v>70</v>
      </c>
      <c r="M64">
        <v>90</v>
      </c>
      <c r="N64" s="20">
        <v>19.399999999999999</v>
      </c>
      <c r="O64">
        <v>10</v>
      </c>
      <c r="P64">
        <v>5</v>
      </c>
      <c r="Q64" s="20">
        <v>63.3</v>
      </c>
      <c r="R64">
        <v>10</v>
      </c>
      <c r="S64">
        <v>0</v>
      </c>
      <c r="T64" s="4">
        <v>98.100000000000009</v>
      </c>
      <c r="U64">
        <f t="shared" si="0"/>
        <v>98.100000000000009</v>
      </c>
      <c r="V64">
        <f t="shared" si="1"/>
        <v>98.100000000000009</v>
      </c>
      <c r="W64" s="4">
        <v>83.500000000000014</v>
      </c>
      <c r="X64">
        <f t="shared" si="2"/>
        <v>83.500000000000014</v>
      </c>
      <c r="Y64">
        <f t="shared" si="3"/>
        <v>85</v>
      </c>
    </row>
    <row r="65" spans="1:25">
      <c r="A65" s="2" t="s">
        <v>61</v>
      </c>
      <c r="B65" s="20">
        <v>36.409999999999997</v>
      </c>
      <c r="C65">
        <v>70</v>
      </c>
      <c r="D65">
        <v>90</v>
      </c>
      <c r="E65" s="20">
        <v>26.56</v>
      </c>
      <c r="F65">
        <v>10</v>
      </c>
      <c r="G65">
        <v>5</v>
      </c>
      <c r="H65" s="20">
        <v>35.28</v>
      </c>
      <c r="I65">
        <v>10</v>
      </c>
      <c r="J65">
        <v>0</v>
      </c>
      <c r="K65" s="20">
        <v>11.16</v>
      </c>
      <c r="L65">
        <v>70</v>
      </c>
      <c r="M65">
        <v>90</v>
      </c>
      <c r="N65" s="20">
        <v>19.38</v>
      </c>
      <c r="O65">
        <v>10</v>
      </c>
      <c r="P65">
        <v>5</v>
      </c>
      <c r="Q65" s="20">
        <v>66.099999999999994</v>
      </c>
      <c r="R65">
        <v>10</v>
      </c>
      <c r="S65">
        <v>0</v>
      </c>
      <c r="T65" s="4">
        <v>95.210000000000008</v>
      </c>
      <c r="U65">
        <f t="shared" si="0"/>
        <v>95.210000000000008</v>
      </c>
      <c r="V65">
        <f t="shared" si="1"/>
        <v>95.210000000000008</v>
      </c>
      <c r="W65" s="4">
        <v>89.8</v>
      </c>
      <c r="X65">
        <f t="shared" si="2"/>
        <v>89.8</v>
      </c>
      <c r="Y65">
        <f t="shared" si="3"/>
        <v>89.8</v>
      </c>
    </row>
    <row r="66" spans="1:25">
      <c r="A66" s="2" t="s">
        <v>4</v>
      </c>
      <c r="B66" s="20">
        <v>26.5</v>
      </c>
      <c r="C66">
        <v>70</v>
      </c>
      <c r="D66">
        <v>90</v>
      </c>
      <c r="E66" s="20">
        <v>66.400000000000006</v>
      </c>
      <c r="F66">
        <v>10</v>
      </c>
      <c r="G66">
        <v>5</v>
      </c>
      <c r="H66" s="20">
        <v>4.5999999999999996</v>
      </c>
      <c r="I66">
        <v>10</v>
      </c>
      <c r="J66">
        <v>0</v>
      </c>
      <c r="K66" s="20">
        <v>5.0999999999999996</v>
      </c>
      <c r="L66">
        <v>70</v>
      </c>
      <c r="M66">
        <v>90</v>
      </c>
      <c r="N66" s="20">
        <v>37.700000000000003</v>
      </c>
      <c r="O66">
        <v>10</v>
      </c>
      <c r="P66">
        <v>5</v>
      </c>
      <c r="Q66" s="20">
        <v>51.5</v>
      </c>
      <c r="R66">
        <v>10</v>
      </c>
      <c r="S66">
        <v>0</v>
      </c>
      <c r="T66" s="4">
        <v>85.2</v>
      </c>
      <c r="U66">
        <f t="shared" si="0"/>
        <v>90</v>
      </c>
      <c r="V66">
        <f t="shared" si="1"/>
        <v>95</v>
      </c>
      <c r="W66" s="4">
        <v>37.1</v>
      </c>
      <c r="X66">
        <f t="shared" si="2"/>
        <v>75</v>
      </c>
      <c r="Y66">
        <f t="shared" si="3"/>
        <v>85</v>
      </c>
    </row>
    <row r="67" spans="1:25">
      <c r="A67" s="2" t="s">
        <v>22</v>
      </c>
      <c r="B67" s="20">
        <v>83.15</v>
      </c>
      <c r="C67">
        <v>83.15</v>
      </c>
      <c r="D67">
        <v>90</v>
      </c>
      <c r="E67" s="20">
        <v>3.35</v>
      </c>
      <c r="F67">
        <v>3.35</v>
      </c>
      <c r="G67">
        <v>5</v>
      </c>
      <c r="H67" s="20">
        <v>12.48</v>
      </c>
      <c r="I67">
        <v>12.48</v>
      </c>
      <c r="J67">
        <v>0</v>
      </c>
      <c r="K67" s="20">
        <v>41.17</v>
      </c>
      <c r="L67">
        <v>70</v>
      </c>
      <c r="M67">
        <v>90</v>
      </c>
      <c r="N67" s="20">
        <v>10.8</v>
      </c>
      <c r="O67">
        <v>10</v>
      </c>
      <c r="P67">
        <v>5</v>
      </c>
      <c r="Q67" s="20">
        <v>46.56</v>
      </c>
      <c r="R67">
        <v>10</v>
      </c>
      <c r="S67">
        <v>0</v>
      </c>
      <c r="T67" s="4">
        <v>98.55</v>
      </c>
      <c r="U67">
        <f t="shared" si="0"/>
        <v>98.55</v>
      </c>
      <c r="V67">
        <f t="shared" si="1"/>
        <v>98.55</v>
      </c>
      <c r="W67" s="4">
        <v>76.599999999999994</v>
      </c>
      <c r="X67">
        <f t="shared" si="2"/>
        <v>76.599999999999994</v>
      </c>
      <c r="Y67">
        <f t="shared" si="3"/>
        <v>85</v>
      </c>
    </row>
    <row r="68" spans="1:25">
      <c r="A68" s="2" t="s">
        <v>38</v>
      </c>
      <c r="B68" s="20">
        <v>31.5</v>
      </c>
      <c r="C68">
        <v>70</v>
      </c>
      <c r="D68">
        <v>90</v>
      </c>
      <c r="E68" s="20">
        <v>22.4</v>
      </c>
      <c r="F68">
        <v>10</v>
      </c>
      <c r="G68">
        <v>5</v>
      </c>
      <c r="H68" s="20">
        <v>42.9</v>
      </c>
      <c r="I68">
        <v>10</v>
      </c>
      <c r="J68">
        <v>0</v>
      </c>
      <c r="K68" s="20">
        <v>7.6</v>
      </c>
      <c r="L68">
        <v>70</v>
      </c>
      <c r="M68">
        <v>90</v>
      </c>
      <c r="N68" s="20">
        <v>14.3</v>
      </c>
      <c r="O68">
        <v>10</v>
      </c>
      <c r="P68">
        <v>5</v>
      </c>
      <c r="Q68" s="20">
        <v>71.400000000000006</v>
      </c>
      <c r="R68">
        <v>10</v>
      </c>
      <c r="S68">
        <v>0</v>
      </c>
      <c r="T68" s="4">
        <v>83.4</v>
      </c>
      <c r="U68">
        <f>IF(T68&gt;=90,T68,90)</f>
        <v>90</v>
      </c>
      <c r="V68">
        <f>IF(T68 &gt;=95,T68,95)</f>
        <v>95</v>
      </c>
      <c r="W68" s="4">
        <v>54.8</v>
      </c>
      <c r="X68">
        <f>IF(W68&gt;=75,W68,75)</f>
        <v>75</v>
      </c>
      <c r="Y68">
        <f>IF(W68&gt;=85,W68,85)</f>
        <v>85</v>
      </c>
    </row>
    <row r="69" spans="1:25">
      <c r="A69" s="2" t="s">
        <v>29</v>
      </c>
      <c r="B69" s="20">
        <v>65.2</v>
      </c>
      <c r="C69">
        <v>70</v>
      </c>
      <c r="D69">
        <v>90</v>
      </c>
      <c r="E69" s="20">
        <v>31.3</v>
      </c>
      <c r="F69">
        <v>10</v>
      </c>
      <c r="G69">
        <v>5</v>
      </c>
      <c r="H69" s="20">
        <v>3.4</v>
      </c>
      <c r="I69">
        <v>10</v>
      </c>
      <c r="J69">
        <v>0</v>
      </c>
      <c r="K69" s="20">
        <v>15.2</v>
      </c>
      <c r="L69">
        <v>70</v>
      </c>
      <c r="M69">
        <v>90</v>
      </c>
      <c r="N69" s="20">
        <v>18.899999999999999</v>
      </c>
      <c r="O69">
        <v>10</v>
      </c>
      <c r="P69">
        <v>5</v>
      </c>
      <c r="Q69" s="20">
        <v>64</v>
      </c>
      <c r="R69">
        <v>10</v>
      </c>
      <c r="S69">
        <v>0</v>
      </c>
      <c r="T69" s="4">
        <v>99.000000000000014</v>
      </c>
      <c r="U69">
        <f>IF(T69&gt;=90,T69,90)</f>
        <v>99.000000000000014</v>
      </c>
      <c r="V69">
        <f>IF(T69 &gt;=95,T69,95)</f>
        <v>99.000000000000014</v>
      </c>
      <c r="W69" s="4">
        <v>84.999999999999986</v>
      </c>
      <c r="X69">
        <f>IF(W69&gt;=75,W69,75)</f>
        <v>84.999999999999986</v>
      </c>
      <c r="Y69">
        <f>IF(W69&gt;=85,W69,85)</f>
        <v>84.999999999999986</v>
      </c>
    </row>
    <row r="70" spans="1:25">
      <c r="A70" s="2" t="s">
        <v>28</v>
      </c>
      <c r="B70" s="20">
        <v>40.6</v>
      </c>
      <c r="C70">
        <v>70</v>
      </c>
      <c r="D70">
        <v>90</v>
      </c>
      <c r="E70" s="20">
        <v>23.4</v>
      </c>
      <c r="F70">
        <v>10</v>
      </c>
      <c r="G70">
        <v>5</v>
      </c>
      <c r="H70" s="20">
        <v>34.1</v>
      </c>
      <c r="I70">
        <v>10</v>
      </c>
      <c r="J70">
        <v>0</v>
      </c>
      <c r="K70" s="20">
        <v>14.3</v>
      </c>
      <c r="L70">
        <v>70</v>
      </c>
      <c r="M70">
        <v>90</v>
      </c>
      <c r="N70" s="20">
        <v>8.1999999999999993</v>
      </c>
      <c r="O70">
        <v>10</v>
      </c>
      <c r="P70">
        <v>5</v>
      </c>
      <c r="Q70" s="20">
        <v>74.3</v>
      </c>
      <c r="R70">
        <v>10</v>
      </c>
      <c r="S70">
        <v>0</v>
      </c>
      <c r="T70" s="4">
        <v>99.000000000000014</v>
      </c>
      <c r="U70">
        <f>IF(T70&gt;=90,T70,90)</f>
        <v>99.000000000000014</v>
      </c>
      <c r="V70">
        <f>IF(T70 &gt;=95,T70,95)</f>
        <v>99.000000000000014</v>
      </c>
      <c r="W70" s="4">
        <v>66</v>
      </c>
      <c r="X70">
        <f>IF(W70&gt;=75,W70,75)</f>
        <v>75</v>
      </c>
      <c r="Y70">
        <f>IF(W70&gt;=85,W70,85)</f>
        <v>85</v>
      </c>
    </row>
    <row r="72" spans="1:25">
      <c r="A72" t="s">
        <v>102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8"/>
  <sheetViews>
    <sheetView workbookViewId="0">
      <selection activeCell="K15" sqref="K15"/>
    </sheetView>
  </sheetViews>
  <sheetFormatPr defaultRowHeight="15"/>
  <cols>
    <col min="1" max="1" width="18" style="1" customWidth="1"/>
    <col min="2" max="2" width="9.28515625" style="6" customWidth="1"/>
    <col min="3" max="3" width="8.28515625" style="6" customWidth="1"/>
    <col min="4" max="4" width="10.7109375" style="6" customWidth="1"/>
    <col min="5" max="5" width="10.42578125" style="6" customWidth="1"/>
    <col min="6" max="6" width="7.7109375" style="6" customWidth="1"/>
    <col min="7" max="7" width="11.85546875" style="6" customWidth="1"/>
    <col min="8" max="8" width="12.85546875" style="6" customWidth="1"/>
    <col min="9" max="9" width="12.5703125" style="6" customWidth="1"/>
    <col min="10" max="10" width="16.7109375" style="6" customWidth="1"/>
    <col min="11" max="16384" width="9.140625" style="1"/>
  </cols>
  <sheetData>
    <row r="1" spans="1:15" ht="47.25">
      <c r="A1" s="33" t="s">
        <v>1</v>
      </c>
      <c r="B1" s="34" t="s">
        <v>110</v>
      </c>
      <c r="C1" s="34" t="s">
        <v>111</v>
      </c>
      <c r="D1" s="34" t="s">
        <v>112</v>
      </c>
      <c r="E1" s="34" t="s">
        <v>113</v>
      </c>
      <c r="F1" s="34" t="s">
        <v>114</v>
      </c>
      <c r="G1" s="34" t="s">
        <v>115</v>
      </c>
      <c r="H1" s="34" t="s">
        <v>126</v>
      </c>
      <c r="I1" s="34" t="s">
        <v>124</v>
      </c>
      <c r="J1" s="34" t="s">
        <v>125</v>
      </c>
      <c r="M1" s="32"/>
      <c r="N1" s="32"/>
      <c r="O1" s="32"/>
    </row>
    <row r="2" spans="1:15">
      <c r="A2" s="35" t="s">
        <v>44</v>
      </c>
      <c r="B2" s="36">
        <v>48.266666666666424</v>
      </c>
      <c r="C2" s="36">
        <v>3.6000000000000227</v>
      </c>
      <c r="D2" s="36">
        <v>36.799999999999955</v>
      </c>
      <c r="E2" s="37">
        <v>17</v>
      </c>
      <c r="F2" s="37">
        <v>29.6</v>
      </c>
      <c r="G2" s="37">
        <v>16</v>
      </c>
      <c r="H2" s="37">
        <v>0</v>
      </c>
      <c r="I2" s="37">
        <v>0</v>
      </c>
      <c r="J2" s="37">
        <v>96</v>
      </c>
      <c r="L2" s="3"/>
    </row>
    <row r="3" spans="1:15">
      <c r="A3" s="35" t="s">
        <v>33</v>
      </c>
      <c r="B3" s="36">
        <v>50</v>
      </c>
      <c r="C3" s="36">
        <v>20</v>
      </c>
      <c r="D3" s="36">
        <v>57</v>
      </c>
      <c r="E3" s="37">
        <v>17</v>
      </c>
      <c r="F3" s="37">
        <v>39.9</v>
      </c>
      <c r="G3" s="37">
        <v>19.899999999999999</v>
      </c>
      <c r="H3" s="37">
        <v>0</v>
      </c>
      <c r="I3" s="37">
        <v>0</v>
      </c>
      <c r="J3" s="37">
        <v>82</v>
      </c>
      <c r="L3" s="3"/>
    </row>
    <row r="4" spans="1:15">
      <c r="A4" s="35" t="s">
        <v>3</v>
      </c>
      <c r="B4" s="36">
        <v>80</v>
      </c>
      <c r="C4" s="36">
        <v>50</v>
      </c>
      <c r="D4" s="36">
        <v>45</v>
      </c>
      <c r="E4" s="37">
        <v>17</v>
      </c>
      <c r="F4" s="37">
        <v>10.1</v>
      </c>
      <c r="G4" s="37">
        <v>5</v>
      </c>
      <c r="H4" s="37">
        <v>0</v>
      </c>
      <c r="I4" s="37">
        <v>0</v>
      </c>
      <c r="J4" s="37">
        <v>90</v>
      </c>
      <c r="L4" s="3"/>
    </row>
    <row r="5" spans="1:15">
      <c r="A5" s="35" t="s">
        <v>43</v>
      </c>
      <c r="B5" s="36">
        <v>80</v>
      </c>
      <c r="C5" s="36">
        <v>6</v>
      </c>
      <c r="D5" s="36">
        <v>51</v>
      </c>
      <c r="E5" s="37">
        <v>17</v>
      </c>
      <c r="F5" s="37">
        <v>76.5</v>
      </c>
      <c r="G5" s="37">
        <v>21.5</v>
      </c>
      <c r="H5" s="37">
        <v>22.5</v>
      </c>
      <c r="I5" s="37">
        <v>0</v>
      </c>
      <c r="J5" s="37">
        <v>97</v>
      </c>
      <c r="L5" s="3"/>
    </row>
    <row r="6" spans="1:15">
      <c r="A6" s="35" t="s">
        <v>65</v>
      </c>
      <c r="B6" s="36">
        <v>74.943714821763479</v>
      </c>
      <c r="C6" s="36">
        <v>11.971857410881853</v>
      </c>
      <c r="D6" s="36">
        <v>12.112570356472816</v>
      </c>
      <c r="E6" s="37">
        <v>17</v>
      </c>
      <c r="F6" s="37">
        <v>23.3</v>
      </c>
      <c r="G6" s="37">
        <v>11.7</v>
      </c>
      <c r="H6" s="37">
        <v>0</v>
      </c>
      <c r="I6" s="37">
        <v>0</v>
      </c>
      <c r="J6" s="37">
        <v>52</v>
      </c>
      <c r="L6" s="3"/>
    </row>
    <row r="7" spans="1:15">
      <c r="A7" s="35" t="s">
        <v>48</v>
      </c>
      <c r="B7" s="36">
        <v>86.309568480300186</v>
      </c>
      <c r="C7" s="36">
        <v>77.450281425891262</v>
      </c>
      <c r="D7" s="36">
        <v>25.150093808630459</v>
      </c>
      <c r="E7" s="37">
        <v>17</v>
      </c>
      <c r="F7" s="37">
        <v>28.8</v>
      </c>
      <c r="G7" s="37">
        <v>30.9</v>
      </c>
      <c r="H7" s="37">
        <v>0</v>
      </c>
      <c r="I7" s="37">
        <v>0</v>
      </c>
      <c r="J7" s="37">
        <v>45</v>
      </c>
      <c r="L7" s="3"/>
    </row>
    <row r="8" spans="1:15">
      <c r="A8" s="35" t="s">
        <v>24</v>
      </c>
      <c r="B8" s="36">
        <v>95.121951219512212</v>
      </c>
      <c r="C8" s="36">
        <v>62</v>
      </c>
      <c r="D8" s="36">
        <v>60</v>
      </c>
      <c r="E8" s="37">
        <v>17</v>
      </c>
      <c r="F8" s="37">
        <v>48.9</v>
      </c>
      <c r="G8" s="37">
        <v>24.4</v>
      </c>
      <c r="H8" s="37">
        <v>0</v>
      </c>
      <c r="I8" s="37">
        <v>0</v>
      </c>
      <c r="J8" s="37">
        <v>15</v>
      </c>
      <c r="L8" s="3"/>
    </row>
    <row r="9" spans="1:15">
      <c r="A9" s="35" t="s">
        <v>53</v>
      </c>
      <c r="B9" s="36">
        <v>97</v>
      </c>
      <c r="C9" s="36">
        <v>91</v>
      </c>
      <c r="D9" s="36">
        <v>80</v>
      </c>
      <c r="E9" s="37">
        <v>17</v>
      </c>
      <c r="F9" s="37">
        <v>56</v>
      </c>
      <c r="G9" s="37">
        <v>25</v>
      </c>
      <c r="H9" s="37">
        <v>0</v>
      </c>
      <c r="I9" s="37">
        <v>71</v>
      </c>
      <c r="J9" s="37">
        <v>0</v>
      </c>
      <c r="L9" s="3"/>
    </row>
    <row r="10" spans="1:15">
      <c r="A10" s="35" t="s">
        <v>73</v>
      </c>
      <c r="B10" s="36">
        <v>75.803001876172857</v>
      </c>
      <c r="C10" s="36">
        <v>4.1031894934334332</v>
      </c>
      <c r="D10" s="36">
        <v>11.168855534709223</v>
      </c>
      <c r="E10" s="37">
        <v>17</v>
      </c>
      <c r="F10" s="37">
        <v>16.5</v>
      </c>
      <c r="G10" s="37">
        <v>31.4</v>
      </c>
      <c r="H10" s="37">
        <v>0</v>
      </c>
      <c r="I10" s="37">
        <v>0</v>
      </c>
      <c r="J10" s="37">
        <v>100</v>
      </c>
      <c r="L10" s="3"/>
    </row>
    <row r="11" spans="1:15">
      <c r="A11" s="35" t="s">
        <v>18</v>
      </c>
      <c r="B11" s="36">
        <v>72.44</v>
      </c>
      <c r="C11" s="36">
        <v>6</v>
      </c>
      <c r="D11" s="36">
        <v>46.140000000000015</v>
      </c>
      <c r="E11" s="37">
        <v>17</v>
      </c>
      <c r="F11" s="37">
        <v>38.1</v>
      </c>
      <c r="G11" s="37">
        <v>26.2</v>
      </c>
      <c r="H11" s="37">
        <v>0</v>
      </c>
      <c r="I11" s="37">
        <v>0</v>
      </c>
      <c r="J11" s="37">
        <v>80</v>
      </c>
      <c r="L11" s="3"/>
    </row>
    <row r="12" spans="1:15">
      <c r="A12" s="35" t="s">
        <v>10</v>
      </c>
      <c r="B12" s="36">
        <v>61.204081632653015</v>
      </c>
      <c r="C12" s="36">
        <v>16</v>
      </c>
      <c r="D12" s="36">
        <v>28.515306122448692</v>
      </c>
      <c r="E12" s="37">
        <v>17</v>
      </c>
      <c r="F12" s="37">
        <v>21.1</v>
      </c>
      <c r="G12" s="37">
        <v>12</v>
      </c>
      <c r="H12" s="37">
        <v>0</v>
      </c>
      <c r="I12" s="37">
        <v>0</v>
      </c>
      <c r="J12" s="37">
        <v>88</v>
      </c>
      <c r="L12" s="3"/>
    </row>
    <row r="13" spans="1:15">
      <c r="A13" s="35" t="s">
        <v>70</v>
      </c>
      <c r="B13" s="36">
        <v>74</v>
      </c>
      <c r="C13" s="36">
        <v>14.59662288930582</v>
      </c>
      <c r="D13" s="36">
        <v>47.018761726078807</v>
      </c>
      <c r="E13" s="37">
        <v>17</v>
      </c>
      <c r="F13" s="37">
        <v>12.9</v>
      </c>
      <c r="G13" s="37">
        <v>38</v>
      </c>
      <c r="H13" s="37">
        <v>0</v>
      </c>
      <c r="I13" s="37">
        <v>0</v>
      </c>
      <c r="J13" s="37">
        <v>92</v>
      </c>
      <c r="L13" s="3"/>
    </row>
    <row r="14" spans="1:15">
      <c r="A14" s="35" t="s">
        <v>63</v>
      </c>
      <c r="B14" s="36">
        <v>66.872448979591809</v>
      </c>
      <c r="C14" s="36">
        <v>2.3826530612244881</v>
      </c>
      <c r="D14" s="36">
        <v>33.69387755102025</v>
      </c>
      <c r="E14" s="37">
        <v>17</v>
      </c>
      <c r="F14" s="37">
        <v>17.2</v>
      </c>
      <c r="G14" s="37">
        <v>39.4</v>
      </c>
      <c r="H14" s="37">
        <v>0</v>
      </c>
      <c r="I14" s="37">
        <v>0</v>
      </c>
      <c r="J14" s="37">
        <v>68</v>
      </c>
      <c r="L14" s="3"/>
    </row>
    <row r="15" spans="1:15">
      <c r="A15" s="35" t="s">
        <v>71</v>
      </c>
      <c r="B15" s="36">
        <v>49.533333333333076</v>
      </c>
      <c r="C15" s="36">
        <v>4.8666666666667311</v>
      </c>
      <c r="D15" s="36">
        <v>9.1333333333333258</v>
      </c>
      <c r="E15" s="37">
        <v>17</v>
      </c>
      <c r="F15" s="37">
        <v>15.1</v>
      </c>
      <c r="G15" s="37">
        <v>11.8</v>
      </c>
      <c r="H15" s="37">
        <v>0</v>
      </c>
      <c r="I15" s="37">
        <v>0</v>
      </c>
      <c r="J15" s="37">
        <v>0</v>
      </c>
      <c r="K15" s="6"/>
      <c r="L15" s="3"/>
    </row>
    <row r="16" spans="1:15">
      <c r="A16" s="35" t="s">
        <v>14</v>
      </c>
      <c r="B16" s="36">
        <v>89.459662288930303</v>
      </c>
      <c r="C16" s="36">
        <v>82.519999999999982</v>
      </c>
      <c r="D16" s="36">
        <v>55.187617260788102</v>
      </c>
      <c r="E16" s="37">
        <v>13</v>
      </c>
      <c r="F16" s="37">
        <v>29</v>
      </c>
      <c r="G16" s="37">
        <v>33</v>
      </c>
      <c r="H16" s="37">
        <v>0</v>
      </c>
      <c r="I16" s="37">
        <v>0</v>
      </c>
      <c r="J16" s="37">
        <v>0</v>
      </c>
      <c r="K16" s="6"/>
      <c r="L16" s="3"/>
    </row>
    <row r="17" spans="1:12">
      <c r="A17" s="35" t="s">
        <v>55</v>
      </c>
      <c r="B17" s="36">
        <v>71</v>
      </c>
      <c r="C17" s="36">
        <v>28</v>
      </c>
      <c r="D17" s="36">
        <v>30</v>
      </c>
      <c r="E17" s="37">
        <v>17</v>
      </c>
      <c r="F17" s="37">
        <v>18.2</v>
      </c>
      <c r="G17" s="37">
        <v>21.9</v>
      </c>
      <c r="H17" s="37">
        <v>0</v>
      </c>
      <c r="I17" s="37">
        <v>0</v>
      </c>
      <c r="J17" s="37">
        <v>10</v>
      </c>
      <c r="K17" s="6"/>
      <c r="L17" s="3"/>
    </row>
    <row r="18" spans="1:12">
      <c r="A18" s="35" t="s">
        <v>69</v>
      </c>
      <c r="B18" s="36">
        <v>79.812382739212012</v>
      </c>
      <c r="C18" s="36">
        <v>39.784240150094092</v>
      </c>
      <c r="D18" s="36">
        <v>23.281425891181982</v>
      </c>
      <c r="E18" s="37">
        <v>17</v>
      </c>
      <c r="F18" s="37">
        <v>14.1</v>
      </c>
      <c r="G18" s="37">
        <v>19.2</v>
      </c>
      <c r="H18" s="37">
        <v>0</v>
      </c>
      <c r="I18" s="37">
        <v>0</v>
      </c>
      <c r="J18" s="37">
        <v>90</v>
      </c>
      <c r="K18" s="6"/>
      <c r="L18" s="3"/>
    </row>
    <row r="19" spans="1:12">
      <c r="A19" s="35" t="s">
        <v>35</v>
      </c>
      <c r="B19" s="36">
        <v>92.178571428571558</v>
      </c>
      <c r="C19" s="36">
        <v>72.127551020408191</v>
      </c>
      <c r="D19" s="36">
        <v>55.974489795918316</v>
      </c>
      <c r="E19" s="37">
        <v>17</v>
      </c>
      <c r="F19" s="37">
        <v>49.1</v>
      </c>
      <c r="G19" s="37">
        <v>42.5</v>
      </c>
      <c r="H19" s="37">
        <v>0</v>
      </c>
      <c r="I19" s="37">
        <v>0</v>
      </c>
      <c r="J19" s="37">
        <v>86</v>
      </c>
      <c r="L19" s="3"/>
    </row>
    <row r="20" spans="1:12">
      <c r="A20" s="35" t="s">
        <v>8</v>
      </c>
      <c r="B20" s="36">
        <v>100</v>
      </c>
      <c r="C20" s="36">
        <v>77</v>
      </c>
      <c r="D20" s="36">
        <v>59</v>
      </c>
      <c r="E20" s="37">
        <v>17</v>
      </c>
      <c r="F20" s="37">
        <v>35</v>
      </c>
      <c r="G20" s="37">
        <v>33</v>
      </c>
      <c r="H20" s="37">
        <v>0</v>
      </c>
      <c r="I20" s="37">
        <v>0</v>
      </c>
      <c r="J20" s="37">
        <v>85</v>
      </c>
      <c r="K20" s="6"/>
      <c r="L20" s="3"/>
    </row>
    <row r="21" spans="1:12">
      <c r="A21" s="35" t="s">
        <v>75</v>
      </c>
      <c r="B21" s="36">
        <v>45.668367346938794</v>
      </c>
      <c r="C21" s="36">
        <v>9.1020408163265074</v>
      </c>
      <c r="D21" s="36">
        <v>22.770408163265301</v>
      </c>
      <c r="E21" s="37">
        <v>17</v>
      </c>
      <c r="F21" s="37">
        <v>30.8</v>
      </c>
      <c r="G21" s="37">
        <v>20.9</v>
      </c>
      <c r="H21" s="37">
        <v>0</v>
      </c>
      <c r="I21" s="37">
        <v>0</v>
      </c>
      <c r="J21" s="37">
        <v>98</v>
      </c>
      <c r="K21" s="6"/>
      <c r="L21" s="3"/>
    </row>
    <row r="22" spans="1:12">
      <c r="A22" s="35" t="s">
        <v>40</v>
      </c>
      <c r="B22" s="36">
        <v>98.839999999999918</v>
      </c>
      <c r="C22" s="36">
        <v>92.019999999999982</v>
      </c>
      <c r="D22" s="36">
        <v>94.399999999999636</v>
      </c>
      <c r="E22" s="37">
        <v>17</v>
      </c>
      <c r="F22" s="37">
        <v>33.5</v>
      </c>
      <c r="G22" s="37">
        <v>73.3</v>
      </c>
      <c r="H22" s="37">
        <v>0.8</v>
      </c>
      <c r="I22" s="37">
        <v>0</v>
      </c>
      <c r="J22" s="37">
        <v>68</v>
      </c>
      <c r="K22" s="6"/>
      <c r="L22" s="3"/>
    </row>
    <row r="23" spans="1:12">
      <c r="A23" s="35" t="s">
        <v>57</v>
      </c>
      <c r="B23" s="36">
        <v>43</v>
      </c>
      <c r="C23" s="36">
        <v>6</v>
      </c>
      <c r="D23" s="36">
        <v>51</v>
      </c>
      <c r="E23" s="37">
        <v>17</v>
      </c>
      <c r="F23" s="37">
        <v>36</v>
      </c>
      <c r="G23" s="37">
        <v>18</v>
      </c>
      <c r="H23" s="37">
        <v>0</v>
      </c>
      <c r="I23" s="37">
        <v>0</v>
      </c>
      <c r="J23" s="37">
        <v>0</v>
      </c>
      <c r="L23" s="3"/>
    </row>
    <row r="24" spans="1:12">
      <c r="A24" s="35" t="s">
        <v>16</v>
      </c>
      <c r="B24" s="36">
        <v>61</v>
      </c>
      <c r="C24" s="36">
        <v>9</v>
      </c>
      <c r="D24" s="36">
        <v>13.733333333333348</v>
      </c>
      <c r="E24" s="37">
        <v>17</v>
      </c>
      <c r="F24" s="37">
        <v>44.7</v>
      </c>
      <c r="G24" s="37">
        <v>22.4</v>
      </c>
      <c r="H24" s="37">
        <v>0</v>
      </c>
      <c r="I24" s="37">
        <v>0</v>
      </c>
      <c r="J24" s="37">
        <v>49</v>
      </c>
      <c r="L24" s="3"/>
    </row>
    <row r="25" spans="1:12">
      <c r="A25" s="35" t="s">
        <v>23</v>
      </c>
      <c r="B25" s="36">
        <v>38</v>
      </c>
      <c r="C25" s="36">
        <v>6.9155722326454452</v>
      </c>
      <c r="D25" s="36">
        <v>11.666666666666629</v>
      </c>
      <c r="E25" s="37">
        <v>17</v>
      </c>
      <c r="F25" s="37">
        <v>19.899999999999999</v>
      </c>
      <c r="G25" s="37">
        <v>4.9000000000000004</v>
      </c>
      <c r="H25" s="37">
        <v>0</v>
      </c>
      <c r="I25" s="37">
        <v>0</v>
      </c>
      <c r="J25" s="37">
        <v>88</v>
      </c>
      <c r="L25" s="3"/>
    </row>
    <row r="26" spans="1:12">
      <c r="A26" s="35" t="s">
        <v>56</v>
      </c>
      <c r="B26" s="36">
        <v>87</v>
      </c>
      <c r="C26" s="36">
        <v>43</v>
      </c>
      <c r="D26" s="36">
        <v>32.899999999999977</v>
      </c>
      <c r="E26" s="37">
        <v>17</v>
      </c>
      <c r="F26" s="37">
        <v>24.8</v>
      </c>
      <c r="G26" s="37">
        <v>23.9</v>
      </c>
      <c r="H26" s="37">
        <v>0</v>
      </c>
      <c r="I26" s="37">
        <v>0</v>
      </c>
      <c r="J26" s="37">
        <v>0</v>
      </c>
      <c r="L26" s="3"/>
    </row>
    <row r="27" spans="1:12">
      <c r="A27" s="35" t="s">
        <v>58</v>
      </c>
      <c r="B27" s="36">
        <v>92</v>
      </c>
      <c r="C27" s="36">
        <v>32.934333958724437</v>
      </c>
      <c r="D27" s="36">
        <v>66.872448979591809</v>
      </c>
      <c r="E27" s="37">
        <v>17</v>
      </c>
      <c r="F27" s="37">
        <v>40.700000000000003</v>
      </c>
      <c r="G27" s="37">
        <v>61.3</v>
      </c>
      <c r="H27" s="37">
        <v>0</v>
      </c>
      <c r="I27" s="37">
        <v>0</v>
      </c>
      <c r="J27" s="37">
        <v>28</v>
      </c>
      <c r="K27" s="6"/>
      <c r="L27" s="3"/>
    </row>
    <row r="28" spans="1:12">
      <c r="A28" s="35" t="s">
        <v>64</v>
      </c>
      <c r="B28" s="36">
        <v>82</v>
      </c>
      <c r="C28" s="36">
        <v>17.092870544090061</v>
      </c>
      <c r="D28" s="36">
        <v>13</v>
      </c>
      <c r="E28" s="37">
        <v>3</v>
      </c>
      <c r="F28" s="37">
        <v>44.5</v>
      </c>
      <c r="G28" s="37">
        <v>32.9</v>
      </c>
      <c r="H28" s="37">
        <v>0</v>
      </c>
      <c r="I28" s="37">
        <v>0</v>
      </c>
      <c r="J28" s="37">
        <v>24</v>
      </c>
      <c r="L28" s="3"/>
    </row>
    <row r="29" spans="1:12">
      <c r="A29" s="35" t="s">
        <v>50</v>
      </c>
      <c r="B29" s="36">
        <v>94.084427767354555</v>
      </c>
      <c r="C29" s="36">
        <v>81.16885553470911</v>
      </c>
      <c r="D29" s="36">
        <v>80.878048780488143</v>
      </c>
      <c r="E29" s="37">
        <v>17</v>
      </c>
      <c r="F29" s="37">
        <v>30.4</v>
      </c>
      <c r="G29" s="37">
        <v>15.2</v>
      </c>
      <c r="H29" s="37">
        <v>0</v>
      </c>
      <c r="I29" s="37">
        <v>0</v>
      </c>
      <c r="J29" s="37">
        <v>20</v>
      </c>
      <c r="L29" s="3"/>
    </row>
    <row r="30" spans="1:12">
      <c r="A30" s="35" t="s">
        <v>68</v>
      </c>
      <c r="B30" s="36">
        <v>70.962476547842698</v>
      </c>
      <c r="C30" s="36">
        <v>9.5778611632270554</v>
      </c>
      <c r="D30" s="36">
        <v>18.962476547842471</v>
      </c>
      <c r="E30" s="37">
        <v>17</v>
      </c>
      <c r="F30" s="37">
        <v>33.1</v>
      </c>
      <c r="G30" s="37">
        <v>17.3</v>
      </c>
      <c r="H30" s="37">
        <v>0</v>
      </c>
      <c r="I30" s="37">
        <v>0</v>
      </c>
      <c r="J30" s="37">
        <v>94</v>
      </c>
      <c r="K30" s="6"/>
      <c r="L30" s="3"/>
    </row>
    <row r="31" spans="1:12">
      <c r="A31" s="35" t="s">
        <v>60</v>
      </c>
      <c r="B31" s="36">
        <v>60.540816326530603</v>
      </c>
      <c r="C31" s="36">
        <v>8.8780487804878021</v>
      </c>
      <c r="D31" s="36">
        <v>21.076530612244937</v>
      </c>
      <c r="E31" s="37">
        <v>17</v>
      </c>
      <c r="F31" s="37">
        <v>26.2</v>
      </c>
      <c r="G31" s="37">
        <v>41.9</v>
      </c>
      <c r="H31" s="37">
        <v>0</v>
      </c>
      <c r="I31" s="37">
        <v>0</v>
      </c>
      <c r="J31" s="37">
        <v>66</v>
      </c>
      <c r="L31" s="3"/>
    </row>
    <row r="32" spans="1:12">
      <c r="A32" s="35" t="s">
        <v>51</v>
      </c>
      <c r="B32" s="36">
        <v>62.681050656660545</v>
      </c>
      <c r="C32" s="36">
        <v>11.652908067542228</v>
      </c>
      <c r="D32" s="36">
        <v>17.076530612244824</v>
      </c>
      <c r="E32" s="37">
        <v>17</v>
      </c>
      <c r="F32" s="37">
        <v>40.299999999999997</v>
      </c>
      <c r="G32" s="37">
        <v>4.5999999999999996</v>
      </c>
      <c r="H32" s="37">
        <v>0</v>
      </c>
      <c r="I32" s="37">
        <v>0</v>
      </c>
      <c r="J32" s="37">
        <v>34</v>
      </c>
      <c r="L32" s="3"/>
    </row>
    <row r="33" spans="1:12">
      <c r="A33" s="35" t="s">
        <v>46</v>
      </c>
      <c r="B33" s="36">
        <v>87.866666666666788</v>
      </c>
      <c r="C33" s="36">
        <v>22.046904315197025</v>
      </c>
      <c r="D33" s="36">
        <v>31</v>
      </c>
      <c r="E33" s="37">
        <v>42</v>
      </c>
      <c r="F33" s="37">
        <v>26</v>
      </c>
      <c r="G33" s="37">
        <v>13</v>
      </c>
      <c r="H33" s="37">
        <v>0</v>
      </c>
      <c r="I33" s="37">
        <v>0</v>
      </c>
      <c r="J33" s="37">
        <v>53</v>
      </c>
      <c r="L33" s="3"/>
    </row>
    <row r="34" spans="1:12">
      <c r="A34" s="35" t="s">
        <v>13</v>
      </c>
      <c r="B34" s="36">
        <v>80.315196998123952</v>
      </c>
      <c r="C34" s="36">
        <v>22.559099437148461</v>
      </c>
      <c r="D34" s="36">
        <v>52.159474671669614</v>
      </c>
      <c r="E34" s="37">
        <v>17</v>
      </c>
      <c r="F34" s="37">
        <v>34.700000000000003</v>
      </c>
      <c r="G34" s="37">
        <v>33</v>
      </c>
      <c r="H34" s="37">
        <v>0</v>
      </c>
      <c r="I34" s="37">
        <v>0</v>
      </c>
      <c r="J34" s="37">
        <v>86</v>
      </c>
      <c r="L34" s="3"/>
    </row>
    <row r="35" spans="1:12">
      <c r="A35" s="35" t="s">
        <v>37</v>
      </c>
      <c r="B35" s="36">
        <v>79.382653061224474</v>
      </c>
      <c r="C35" s="36">
        <v>76.102040816326564</v>
      </c>
      <c r="D35" s="36">
        <v>72.693877551020364</v>
      </c>
      <c r="E35" s="37">
        <v>17</v>
      </c>
      <c r="F35" s="37">
        <v>30.7</v>
      </c>
      <c r="G35" s="37">
        <v>82</v>
      </c>
      <c r="H35" s="37">
        <v>0</v>
      </c>
      <c r="I35" s="37">
        <v>0</v>
      </c>
      <c r="J35" s="37">
        <v>0</v>
      </c>
      <c r="K35" s="6"/>
      <c r="L35" s="3"/>
    </row>
    <row r="36" spans="1:12">
      <c r="A36" s="35" t="s">
        <v>21</v>
      </c>
      <c r="B36" s="36">
        <v>58.89681050656668</v>
      </c>
      <c r="C36" s="36">
        <v>18.784240150093808</v>
      </c>
      <c r="D36" s="36">
        <v>30.971857410881853</v>
      </c>
      <c r="E36" s="37">
        <v>17</v>
      </c>
      <c r="F36" s="37">
        <v>29.2</v>
      </c>
      <c r="G36" s="37">
        <v>22</v>
      </c>
      <c r="H36" s="37">
        <v>0</v>
      </c>
      <c r="I36" s="37">
        <v>0</v>
      </c>
      <c r="J36" s="37">
        <v>27</v>
      </c>
      <c r="L36" s="3"/>
    </row>
    <row r="37" spans="1:12">
      <c r="A37" s="35" t="s">
        <v>7</v>
      </c>
      <c r="B37" s="36">
        <v>56.872448979592036</v>
      </c>
      <c r="C37" s="36">
        <v>19.59183673469397</v>
      </c>
      <c r="D37" s="36">
        <v>53</v>
      </c>
      <c r="E37" s="37">
        <v>17</v>
      </c>
      <c r="F37" s="37">
        <v>30.7</v>
      </c>
      <c r="G37" s="37">
        <v>52.1</v>
      </c>
      <c r="H37" s="37">
        <v>0</v>
      </c>
      <c r="I37" s="37">
        <v>0</v>
      </c>
      <c r="J37" s="37">
        <v>69</v>
      </c>
      <c r="L37" s="3"/>
    </row>
    <row r="38" spans="1:12">
      <c r="A38" s="35" t="s">
        <v>26</v>
      </c>
      <c r="B38" s="36">
        <v>85</v>
      </c>
      <c r="C38" s="36">
        <v>19</v>
      </c>
      <c r="D38" s="36">
        <v>12</v>
      </c>
      <c r="E38" s="37">
        <v>17</v>
      </c>
      <c r="F38" s="37">
        <v>41.9</v>
      </c>
      <c r="G38" s="37">
        <v>27.2</v>
      </c>
      <c r="H38" s="37">
        <v>0</v>
      </c>
      <c r="I38" s="37">
        <v>0</v>
      </c>
      <c r="J38" s="37">
        <v>38</v>
      </c>
      <c r="L38" s="3"/>
    </row>
    <row r="39" spans="1:12">
      <c r="A39" s="35" t="s">
        <v>62</v>
      </c>
      <c r="B39" s="36">
        <v>68</v>
      </c>
      <c r="C39" s="36">
        <v>2</v>
      </c>
      <c r="D39" s="36">
        <v>17</v>
      </c>
      <c r="E39" s="37">
        <v>17</v>
      </c>
      <c r="F39" s="37">
        <v>53.1</v>
      </c>
      <c r="G39" s="37">
        <v>48.7</v>
      </c>
      <c r="H39" s="37">
        <v>0</v>
      </c>
      <c r="I39" s="37">
        <v>0</v>
      </c>
      <c r="J39" s="37">
        <v>85</v>
      </c>
      <c r="L39" s="3"/>
    </row>
    <row r="40" spans="1:12">
      <c r="A40" s="35" t="s">
        <v>31</v>
      </c>
      <c r="B40" s="36">
        <v>41.200000000000045</v>
      </c>
      <c r="C40" s="36">
        <v>7</v>
      </c>
      <c r="D40" s="36">
        <v>11.400000000000034</v>
      </c>
      <c r="E40" s="37">
        <v>4</v>
      </c>
      <c r="F40" s="37">
        <v>12.4</v>
      </c>
      <c r="G40" s="37">
        <v>20</v>
      </c>
      <c r="H40" s="37">
        <v>0</v>
      </c>
      <c r="I40" s="37">
        <v>0</v>
      </c>
      <c r="J40" s="37">
        <v>97</v>
      </c>
      <c r="L40" s="3"/>
    </row>
    <row r="41" spans="1:12">
      <c r="A41" s="35" t="s">
        <v>30</v>
      </c>
      <c r="B41" s="36">
        <v>80.440900562852221</v>
      </c>
      <c r="C41" s="36">
        <v>7</v>
      </c>
      <c r="D41" s="36">
        <v>56.206378986866866</v>
      </c>
      <c r="E41" s="37">
        <v>17</v>
      </c>
      <c r="F41" s="37">
        <v>63.1</v>
      </c>
      <c r="G41" s="37">
        <v>29.5</v>
      </c>
      <c r="H41" s="37">
        <v>0</v>
      </c>
      <c r="I41" s="37">
        <v>0</v>
      </c>
      <c r="J41" s="37">
        <v>95</v>
      </c>
      <c r="L41" s="3"/>
    </row>
    <row r="42" spans="1:12">
      <c r="A42" s="35" t="s">
        <v>72</v>
      </c>
      <c r="B42" s="36">
        <v>55.78424015009341</v>
      </c>
      <c r="C42" s="36">
        <v>11.624765478424024</v>
      </c>
      <c r="D42" s="36">
        <v>36.375234521575976</v>
      </c>
      <c r="E42" s="37">
        <v>17</v>
      </c>
      <c r="F42" s="37">
        <v>14</v>
      </c>
      <c r="G42" s="37">
        <v>7</v>
      </c>
      <c r="H42" s="37">
        <v>0</v>
      </c>
      <c r="I42" s="37">
        <v>0</v>
      </c>
      <c r="J42" s="37">
        <v>97</v>
      </c>
      <c r="L42" s="3"/>
    </row>
    <row r="43" spans="1:12">
      <c r="A43" s="35" t="s">
        <v>59</v>
      </c>
      <c r="B43" s="36">
        <v>49</v>
      </c>
      <c r="C43" s="36">
        <v>22</v>
      </c>
      <c r="D43" s="36">
        <v>26</v>
      </c>
      <c r="E43" s="37">
        <v>17</v>
      </c>
      <c r="F43" s="37">
        <v>22.2</v>
      </c>
      <c r="G43" s="37">
        <v>24</v>
      </c>
      <c r="H43" s="37">
        <v>0</v>
      </c>
      <c r="I43" s="37">
        <v>0</v>
      </c>
      <c r="J43" s="37">
        <v>87</v>
      </c>
      <c r="L43" s="3"/>
    </row>
    <row r="44" spans="1:12">
      <c r="A44" s="35" t="s">
        <v>52</v>
      </c>
      <c r="B44" s="36">
        <v>94.215759849906249</v>
      </c>
      <c r="C44" s="36">
        <v>87.375234521575976</v>
      </c>
      <c r="D44" s="36">
        <v>84.962476547842698</v>
      </c>
      <c r="E44" s="37">
        <v>17</v>
      </c>
      <c r="F44" s="37">
        <v>4.4000000000000004</v>
      </c>
      <c r="G44" s="37">
        <v>15</v>
      </c>
      <c r="H44" s="37">
        <v>0</v>
      </c>
      <c r="I44" s="37">
        <v>0</v>
      </c>
      <c r="J44" s="37">
        <v>63</v>
      </c>
      <c r="L44" s="3"/>
    </row>
    <row r="45" spans="1:12">
      <c r="A45" s="35" t="s">
        <v>39</v>
      </c>
      <c r="B45" s="36">
        <v>81.200000000000045</v>
      </c>
      <c r="C45" s="36">
        <v>57.943714821763479</v>
      </c>
      <c r="D45" s="36">
        <v>69.066666666666833</v>
      </c>
      <c r="E45" s="37">
        <v>17</v>
      </c>
      <c r="F45" s="37">
        <v>22.9</v>
      </c>
      <c r="G45" s="37">
        <v>17.3</v>
      </c>
      <c r="H45" s="37">
        <v>0</v>
      </c>
      <c r="I45" s="37">
        <v>0</v>
      </c>
      <c r="J45" s="37">
        <v>43</v>
      </c>
      <c r="L45" s="3"/>
    </row>
    <row r="46" spans="1:12">
      <c r="A46" s="35" t="s">
        <v>32</v>
      </c>
      <c r="B46" s="36">
        <v>47.102040816326507</v>
      </c>
      <c r="C46" s="36">
        <v>8.0510204081632821</v>
      </c>
      <c r="D46" s="36">
        <v>16.64285714285711</v>
      </c>
      <c r="E46" s="37">
        <v>17</v>
      </c>
      <c r="F46" s="37">
        <v>48.5</v>
      </c>
      <c r="G46" s="37">
        <v>15.1</v>
      </c>
      <c r="H46" s="37">
        <v>0</v>
      </c>
      <c r="I46" s="37">
        <v>0</v>
      </c>
      <c r="J46" s="37">
        <v>83</v>
      </c>
      <c r="L46" s="3"/>
    </row>
    <row r="47" spans="1:12">
      <c r="A47" s="35" t="s">
        <v>12</v>
      </c>
      <c r="B47" s="36">
        <v>71.166666666666515</v>
      </c>
      <c r="C47" s="36">
        <v>6.1666666666666572</v>
      </c>
      <c r="D47" s="36">
        <v>81</v>
      </c>
      <c r="E47" s="37">
        <v>17</v>
      </c>
      <c r="F47" s="37">
        <v>44.9</v>
      </c>
      <c r="G47" s="37">
        <v>18.399999999999999</v>
      </c>
      <c r="H47" s="37">
        <v>0</v>
      </c>
      <c r="I47" s="37">
        <v>0</v>
      </c>
      <c r="J47" s="37">
        <v>94</v>
      </c>
      <c r="K47" s="6"/>
      <c r="L47" s="3"/>
    </row>
    <row r="48" spans="1:12">
      <c r="A48" s="35" t="s">
        <v>42</v>
      </c>
      <c r="B48" s="36">
        <v>92.17823639774906</v>
      </c>
      <c r="C48" s="36">
        <v>18.671669793621277</v>
      </c>
      <c r="D48" s="36">
        <v>31.849906191369882</v>
      </c>
      <c r="E48" s="37">
        <v>17</v>
      </c>
      <c r="F48" s="37">
        <v>29.3</v>
      </c>
      <c r="G48" s="37">
        <v>25.1</v>
      </c>
      <c r="H48" s="37">
        <v>0</v>
      </c>
      <c r="I48" s="37">
        <v>0</v>
      </c>
      <c r="J48" s="37">
        <v>93</v>
      </c>
      <c r="L48" s="3"/>
    </row>
    <row r="49" spans="1:12">
      <c r="A49" s="35" t="s">
        <v>74</v>
      </c>
      <c r="B49" s="36">
        <v>47.615384615384755</v>
      </c>
      <c r="C49" s="36">
        <v>7.0281425891182039</v>
      </c>
      <c r="D49" s="36">
        <v>9.2063789868668664</v>
      </c>
      <c r="E49" s="37">
        <v>17</v>
      </c>
      <c r="F49" s="37">
        <v>17.600000000000001</v>
      </c>
      <c r="G49" s="37">
        <v>9</v>
      </c>
      <c r="H49" s="37">
        <v>0</v>
      </c>
      <c r="I49" s="37">
        <v>0</v>
      </c>
      <c r="J49" s="37">
        <v>92</v>
      </c>
      <c r="L49" s="3"/>
    </row>
    <row r="50" spans="1:12">
      <c r="A50" s="35" t="s">
        <v>76</v>
      </c>
      <c r="B50" s="36">
        <v>58.318949343339682</v>
      </c>
      <c r="C50" s="36">
        <v>6.375234521575976</v>
      </c>
      <c r="D50" s="36">
        <v>31.615384615384642</v>
      </c>
      <c r="E50" s="37">
        <v>17</v>
      </c>
      <c r="F50" s="37">
        <v>18.2</v>
      </c>
      <c r="G50" s="37">
        <v>46.4</v>
      </c>
      <c r="H50" s="37">
        <v>0</v>
      </c>
      <c r="I50" s="37">
        <v>0</v>
      </c>
      <c r="J50" s="37">
        <v>74</v>
      </c>
      <c r="K50" s="6"/>
      <c r="L50" s="3"/>
    </row>
    <row r="51" spans="1:12">
      <c r="A51" s="35" t="s">
        <v>45</v>
      </c>
      <c r="B51" s="36">
        <v>89.812382739212012</v>
      </c>
      <c r="C51" s="36">
        <v>33.19699812382737</v>
      </c>
      <c r="D51" s="36">
        <v>45</v>
      </c>
      <c r="E51" s="37">
        <v>17</v>
      </c>
      <c r="F51" s="37">
        <v>41.1</v>
      </c>
      <c r="G51" s="37">
        <v>50.3</v>
      </c>
      <c r="H51" s="37">
        <v>0</v>
      </c>
      <c r="I51" s="37">
        <v>0</v>
      </c>
      <c r="J51" s="37">
        <v>97</v>
      </c>
      <c r="L51" s="3"/>
    </row>
    <row r="52" spans="1:12">
      <c r="A52" s="35" t="s">
        <v>49</v>
      </c>
      <c r="B52" s="36">
        <v>82.093808630394051</v>
      </c>
      <c r="C52" s="36">
        <v>70.13133208255158</v>
      </c>
      <c r="D52" s="36">
        <v>68.206378986866866</v>
      </c>
      <c r="E52" s="37">
        <v>14</v>
      </c>
      <c r="F52" s="37">
        <v>28.1</v>
      </c>
      <c r="G52" s="37">
        <v>28</v>
      </c>
      <c r="H52" s="37">
        <v>0</v>
      </c>
      <c r="I52" s="37">
        <v>0</v>
      </c>
      <c r="J52" s="37">
        <v>0</v>
      </c>
      <c r="L52" s="3"/>
    </row>
    <row r="53" spans="1:12">
      <c r="A53" s="35" t="s">
        <v>11</v>
      </c>
      <c r="B53" s="36">
        <v>91.112570356472816</v>
      </c>
      <c r="C53" s="36">
        <v>47.934333958724437</v>
      </c>
      <c r="D53" s="36">
        <v>76.215759849906135</v>
      </c>
      <c r="E53" s="37">
        <v>17</v>
      </c>
      <c r="F53" s="37">
        <v>42.4</v>
      </c>
      <c r="G53" s="37">
        <v>36</v>
      </c>
      <c r="H53" s="37">
        <v>0</v>
      </c>
      <c r="I53" s="37">
        <v>0</v>
      </c>
      <c r="J53" s="37">
        <v>86</v>
      </c>
      <c r="L53" s="3"/>
    </row>
    <row r="54" spans="1:12">
      <c r="A54" s="35" t="s">
        <v>9</v>
      </c>
      <c r="B54" s="36">
        <v>39.872448979591837</v>
      </c>
      <c r="C54" s="36">
        <v>9.6428571428571672</v>
      </c>
      <c r="D54" s="36">
        <v>45.204081632653072</v>
      </c>
      <c r="E54" s="37">
        <v>17</v>
      </c>
      <c r="F54" s="37">
        <v>30</v>
      </c>
      <c r="G54" s="37">
        <v>30</v>
      </c>
      <c r="H54" s="37">
        <v>0</v>
      </c>
      <c r="I54" s="37">
        <v>0</v>
      </c>
      <c r="J54" s="37">
        <v>7</v>
      </c>
      <c r="K54" s="6"/>
      <c r="L54" s="3"/>
    </row>
    <row r="55" spans="1:12">
      <c r="A55" s="35" t="s">
        <v>17</v>
      </c>
      <c r="B55" s="36">
        <v>65.347091932457772</v>
      </c>
      <c r="C55" s="36">
        <v>3.6904315196998141</v>
      </c>
      <c r="D55" s="36">
        <v>54.028142589118488</v>
      </c>
      <c r="E55" s="37">
        <v>17</v>
      </c>
      <c r="F55" s="37">
        <v>21.3</v>
      </c>
      <c r="G55" s="37">
        <v>12.8</v>
      </c>
      <c r="H55" s="37">
        <v>0</v>
      </c>
      <c r="I55" s="37">
        <v>0</v>
      </c>
      <c r="J55" s="37">
        <v>76</v>
      </c>
      <c r="L55" s="3"/>
    </row>
    <row r="56" spans="1:12">
      <c r="A56" s="35" t="s">
        <v>66</v>
      </c>
      <c r="B56" s="36">
        <v>69.037523452157643</v>
      </c>
      <c r="C56" s="36">
        <v>38.159474671669614</v>
      </c>
      <c r="D56" s="36">
        <v>51.009380863039269</v>
      </c>
      <c r="E56" s="37">
        <v>23</v>
      </c>
      <c r="F56" s="37">
        <v>15</v>
      </c>
      <c r="G56" s="37">
        <v>20.3</v>
      </c>
      <c r="H56" s="37">
        <v>0</v>
      </c>
      <c r="I56" s="37">
        <v>0</v>
      </c>
      <c r="J56" s="37">
        <v>90</v>
      </c>
      <c r="L56" s="3"/>
    </row>
    <row r="57" spans="1:12">
      <c r="A57" s="35" t="s">
        <v>67</v>
      </c>
      <c r="B57" s="36">
        <v>49.204081632653015</v>
      </c>
      <c r="C57" s="36">
        <v>6</v>
      </c>
      <c r="D57" s="36">
        <v>12.846938775510182</v>
      </c>
      <c r="E57" s="37">
        <v>17</v>
      </c>
      <c r="F57" s="37">
        <v>51.5</v>
      </c>
      <c r="G57" s="37">
        <v>45</v>
      </c>
      <c r="H57" s="37">
        <v>0</v>
      </c>
      <c r="I57" s="37">
        <v>0</v>
      </c>
      <c r="J57" s="37">
        <v>12</v>
      </c>
      <c r="K57" s="6"/>
      <c r="L57" s="3"/>
    </row>
    <row r="58" spans="1:12">
      <c r="A58" s="35" t="s">
        <v>19</v>
      </c>
      <c r="B58" s="36">
        <v>30</v>
      </c>
      <c r="C58" s="36">
        <v>19.408163265306484</v>
      </c>
      <c r="D58" s="36">
        <v>23</v>
      </c>
      <c r="E58" s="37">
        <v>17</v>
      </c>
      <c r="F58" s="37">
        <v>9.1</v>
      </c>
      <c r="G58" s="37">
        <v>32.4</v>
      </c>
      <c r="H58" s="37">
        <v>0</v>
      </c>
      <c r="I58" s="37">
        <v>0</v>
      </c>
      <c r="J58" s="37">
        <v>100</v>
      </c>
      <c r="L58" s="3"/>
    </row>
    <row r="59" spans="1:12">
      <c r="A59" s="35" t="s">
        <v>27</v>
      </c>
      <c r="B59" s="36">
        <v>90.744897959183618</v>
      </c>
      <c r="C59" s="36">
        <v>66.668367346938794</v>
      </c>
      <c r="D59" s="36">
        <v>76.693877551020364</v>
      </c>
      <c r="E59" s="37">
        <v>17</v>
      </c>
      <c r="F59" s="37">
        <v>40</v>
      </c>
      <c r="G59" s="37">
        <v>32.4</v>
      </c>
      <c r="H59" s="37">
        <v>0</v>
      </c>
      <c r="I59" s="37">
        <v>0</v>
      </c>
      <c r="J59" s="37">
        <v>39</v>
      </c>
      <c r="L59" s="3"/>
    </row>
    <row r="60" spans="1:12">
      <c r="A60" s="35" t="s">
        <v>36</v>
      </c>
      <c r="B60" s="36">
        <v>57.375234521575976</v>
      </c>
      <c r="C60" s="36">
        <v>28</v>
      </c>
      <c r="D60" s="36">
        <v>33.9812382739212</v>
      </c>
      <c r="E60" s="37">
        <v>17</v>
      </c>
      <c r="F60" s="37">
        <v>58.3</v>
      </c>
      <c r="G60" s="37">
        <v>45</v>
      </c>
      <c r="H60" s="37">
        <v>0</v>
      </c>
      <c r="I60" s="37">
        <v>0</v>
      </c>
      <c r="J60" s="37">
        <v>67</v>
      </c>
      <c r="L60" s="3"/>
    </row>
    <row r="61" spans="1:12">
      <c r="A61" s="35" t="s">
        <v>25</v>
      </c>
      <c r="B61" s="36">
        <v>69</v>
      </c>
      <c r="C61" s="36">
        <v>31.515306122448919</v>
      </c>
      <c r="D61" s="36">
        <v>54.617346938775654</v>
      </c>
      <c r="E61" s="37">
        <v>17</v>
      </c>
      <c r="F61" s="37">
        <v>85.5</v>
      </c>
      <c r="G61" s="37">
        <v>24</v>
      </c>
      <c r="H61" s="37">
        <v>0</v>
      </c>
      <c r="I61" s="37">
        <v>0</v>
      </c>
      <c r="J61" s="37">
        <v>44</v>
      </c>
      <c r="L61" s="3"/>
    </row>
    <row r="62" spans="1:12">
      <c r="A62" s="35" t="s">
        <v>5</v>
      </c>
      <c r="B62" s="36">
        <v>69.566326530612287</v>
      </c>
      <c r="C62" s="36">
        <v>40</v>
      </c>
      <c r="D62" s="36">
        <v>93.948979591836746</v>
      </c>
      <c r="E62" s="37">
        <v>17</v>
      </c>
      <c r="F62" s="37">
        <v>48.4</v>
      </c>
      <c r="G62" s="37">
        <v>40.6</v>
      </c>
      <c r="H62" s="37">
        <v>0</v>
      </c>
      <c r="I62" s="37">
        <v>0</v>
      </c>
      <c r="J62" s="37" t="s">
        <v>86</v>
      </c>
      <c r="L62" s="3"/>
    </row>
    <row r="63" spans="1:12">
      <c r="A63" s="35" t="s">
        <v>20</v>
      </c>
      <c r="B63" s="36">
        <v>53.82176360225138</v>
      </c>
      <c r="C63" s="36">
        <v>8.1594746716697841</v>
      </c>
      <c r="D63" s="36">
        <v>24</v>
      </c>
      <c r="E63" s="37">
        <v>13</v>
      </c>
      <c r="F63" s="37">
        <v>53.9</v>
      </c>
      <c r="G63" s="37">
        <v>22</v>
      </c>
      <c r="H63" s="37">
        <v>0</v>
      </c>
      <c r="I63" s="37">
        <v>0</v>
      </c>
      <c r="J63" s="37">
        <v>93</v>
      </c>
      <c r="L63" s="3"/>
    </row>
    <row r="64" spans="1:12">
      <c r="A64" s="35" t="s">
        <v>61</v>
      </c>
      <c r="B64" s="36">
        <v>59.906191369605949</v>
      </c>
      <c r="C64" s="36">
        <v>5.7091932457786072</v>
      </c>
      <c r="D64" s="36">
        <v>12</v>
      </c>
      <c r="E64" s="37">
        <v>17</v>
      </c>
      <c r="F64" s="37">
        <v>11.1</v>
      </c>
      <c r="G64" s="37">
        <v>25.6</v>
      </c>
      <c r="H64" s="37">
        <v>0</v>
      </c>
      <c r="I64" s="37">
        <v>0</v>
      </c>
      <c r="J64" s="37">
        <v>64</v>
      </c>
      <c r="L64" s="3"/>
    </row>
    <row r="65" spans="1:12">
      <c r="A65" s="35" t="s">
        <v>4</v>
      </c>
      <c r="B65" s="36">
        <v>71</v>
      </c>
      <c r="C65" s="36">
        <v>45</v>
      </c>
      <c r="D65" s="36">
        <v>95</v>
      </c>
      <c r="E65" s="37">
        <v>17</v>
      </c>
      <c r="F65" s="37">
        <v>46.7</v>
      </c>
      <c r="G65" s="37">
        <v>50</v>
      </c>
      <c r="H65" s="37">
        <v>0</v>
      </c>
      <c r="I65" s="37">
        <v>0</v>
      </c>
      <c r="J65" s="37">
        <v>0</v>
      </c>
      <c r="L65" s="3"/>
    </row>
    <row r="66" spans="1:12">
      <c r="A66" s="35" t="s">
        <v>22</v>
      </c>
      <c r="B66" s="36">
        <v>64</v>
      </c>
      <c r="C66" s="36">
        <v>3</v>
      </c>
      <c r="D66" s="36">
        <v>47</v>
      </c>
      <c r="E66" s="37">
        <v>14</v>
      </c>
      <c r="F66" s="37">
        <v>39.6</v>
      </c>
      <c r="G66" s="37">
        <v>47.2</v>
      </c>
      <c r="H66" s="37">
        <v>0</v>
      </c>
      <c r="I66" s="37">
        <v>0</v>
      </c>
      <c r="J66" s="37">
        <v>67</v>
      </c>
      <c r="L66" s="3"/>
    </row>
    <row r="67" spans="1:12">
      <c r="A67" s="35" t="s">
        <v>38</v>
      </c>
      <c r="B67" s="36">
        <v>61.923469387755063</v>
      </c>
      <c r="C67" s="36">
        <v>28.35714285714289</v>
      </c>
      <c r="D67" s="36">
        <v>51.896810506566453</v>
      </c>
      <c r="E67" s="37">
        <v>17</v>
      </c>
      <c r="F67" s="37">
        <v>32.700000000000003</v>
      </c>
      <c r="G67" s="37">
        <v>37.9</v>
      </c>
      <c r="H67" s="37">
        <v>0</v>
      </c>
      <c r="I67" s="37">
        <v>0</v>
      </c>
      <c r="J67" s="37">
        <v>47</v>
      </c>
      <c r="L67" s="3"/>
    </row>
    <row r="68" spans="1:12">
      <c r="A68" s="35" t="s">
        <v>29</v>
      </c>
      <c r="B68" s="36">
        <v>59.671669793621277</v>
      </c>
      <c r="C68" s="36">
        <v>13.57598499061919</v>
      </c>
      <c r="D68" s="36">
        <v>49</v>
      </c>
      <c r="E68" s="37">
        <v>17</v>
      </c>
      <c r="F68" s="37">
        <v>59.9</v>
      </c>
      <c r="G68" s="37">
        <v>14</v>
      </c>
      <c r="H68" s="37">
        <v>0</v>
      </c>
      <c r="I68" s="37">
        <v>0</v>
      </c>
      <c r="J68" s="37">
        <v>96</v>
      </c>
      <c r="L68" s="3"/>
    </row>
    <row r="69" spans="1:12">
      <c r="A69" s="35" t="s">
        <v>28</v>
      </c>
      <c r="B69" s="36">
        <v>82.225140712945631</v>
      </c>
      <c r="C69" s="36">
        <v>36.459662288930645</v>
      </c>
      <c r="D69" s="36">
        <v>44.159474671669784</v>
      </c>
      <c r="E69" s="37">
        <v>17</v>
      </c>
      <c r="F69" s="37">
        <v>5.6</v>
      </c>
      <c r="G69" s="37">
        <v>7.9</v>
      </c>
      <c r="H69" s="37">
        <v>0</v>
      </c>
      <c r="I69" s="37">
        <v>0</v>
      </c>
      <c r="J69" s="37">
        <v>20</v>
      </c>
      <c r="L69" s="3"/>
    </row>
    <row r="71" spans="1:12">
      <c r="A71" s="1" t="s">
        <v>116</v>
      </c>
    </row>
    <row r="72" spans="1:12">
      <c r="A72" s="1" t="s">
        <v>117</v>
      </c>
    </row>
    <row r="73" spans="1:12">
      <c r="A73" s="1" t="s">
        <v>118</v>
      </c>
    </row>
    <row r="74" spans="1:12">
      <c r="A74" s="1" t="s">
        <v>119</v>
      </c>
    </row>
    <row r="75" spans="1:12">
      <c r="A75" s="1" t="s">
        <v>120</v>
      </c>
    </row>
    <row r="76" spans="1:12">
      <c r="A76" s="1" t="s">
        <v>121</v>
      </c>
    </row>
    <row r="77" spans="1:12">
      <c r="A77" s="1" t="s">
        <v>122</v>
      </c>
    </row>
    <row r="78" spans="1:12">
      <c r="A78" s="1" t="s">
        <v>123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AllotherIndicators</vt:lpstr>
      <vt:lpstr>Breastfeeding</vt:lpstr>
      <vt:lpstr>Table1</vt:lpstr>
    </vt:vector>
  </TitlesOfParts>
  <Company>Johns Hopkins Bloomberg School of Public Health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IFriberg</dc:creator>
  <cp:lastModifiedBy>user</cp:lastModifiedBy>
  <dcterms:created xsi:type="dcterms:W3CDTF">2010-04-05T16:49:04Z</dcterms:created>
  <dcterms:modified xsi:type="dcterms:W3CDTF">2010-12-01T21:24:46Z</dcterms:modified>
</cp:coreProperties>
</file>