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576" windowWidth="19416" windowHeight="9036"/>
  </bookViews>
  <sheets>
    <sheet name="Weekly Menu 6-8 (2)" sheetId="4" r:id="rId1"/>
    <sheet name="Sheet1" sheetId="1" r:id="rId2"/>
    <sheet name="Sheet2" sheetId="2" r:id="rId3"/>
    <sheet name="Sheet3" sheetId="3" r:id="rId4"/>
  </sheets>
  <definedNames>
    <definedName name="_xlnm.Print_Area" localSheetId="0">'Weekly Menu 6-8 (2)'!$A$2:$Q$29</definedName>
  </definedNames>
  <calcPr calcId="145621"/>
</workbook>
</file>

<file path=xl/calcChain.xml><?xml version="1.0" encoding="utf-8"?>
<calcChain xmlns="http://schemas.openxmlformats.org/spreadsheetml/2006/main">
  <c r="N15" i="4" l="1"/>
  <c r="P15" i="4" s="1"/>
  <c r="Q15" i="4" s="1"/>
  <c r="Q13" i="4"/>
  <c r="N14" i="4"/>
  <c r="P14" i="4" s="1"/>
  <c r="Q14" i="4" s="1"/>
  <c r="N22" i="4" l="1"/>
  <c r="Q22" i="4" s="1"/>
  <c r="N26" i="4"/>
  <c r="Q26" i="4" s="1"/>
  <c r="N7" i="4" l="1"/>
  <c r="P7" i="4"/>
  <c r="Q7" i="4" s="1"/>
  <c r="D8" i="4"/>
  <c r="F8" i="4"/>
  <c r="H8" i="4"/>
  <c r="J8" i="4"/>
  <c r="L8" i="4"/>
  <c r="N10" i="4"/>
  <c r="P10" i="4" s="1"/>
  <c r="Q10" i="4" s="1"/>
  <c r="N11" i="4"/>
  <c r="P11" i="4" s="1"/>
  <c r="Q11" i="4" s="1"/>
  <c r="N12" i="4"/>
  <c r="P12" i="4" s="1"/>
  <c r="Q12" i="4" s="1"/>
  <c r="N13" i="4"/>
  <c r="D19" i="4"/>
  <c r="F19" i="4"/>
  <c r="H19" i="4"/>
  <c r="J19" i="4"/>
  <c r="L19" i="4"/>
  <c r="N23" i="4"/>
  <c r="N24" i="4"/>
  <c r="N27" i="4"/>
  <c r="Q27" i="4" s="1"/>
  <c r="N29" i="4"/>
  <c r="Q29" i="4" s="1"/>
  <c r="Q23" i="4" l="1"/>
  <c r="P23" i="4"/>
  <c r="N19" i="4"/>
  <c r="P19" i="4" s="1"/>
  <c r="Q19" i="4" s="1"/>
  <c r="P13" i="4"/>
</calcChain>
</file>

<file path=xl/sharedStrings.xml><?xml version="1.0" encoding="utf-8"?>
<sst xmlns="http://schemas.openxmlformats.org/spreadsheetml/2006/main" count="146" uniqueCount="97">
  <si>
    <t>Offer 1 cup/day</t>
  </si>
  <si>
    <t>Non-fat (flavored or unflavored) or 1% unflavored</t>
  </si>
  <si>
    <t>cup</t>
  </si>
  <si>
    <t>MILK</t>
  </si>
  <si>
    <t>Minimum of 1 oz. per day</t>
  </si>
  <si>
    <t>oz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</si>
  <si>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</si>
  <si>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</si>
  <si>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</si>
  <si>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</si>
  <si>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</si>
  <si>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</si>
  <si>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</si>
  <si>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</si>
  <si>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</si>
  <si>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</si>
  <si>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</si>
  <si>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</si>
  <si>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</si>
  <si>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</si>
  <si>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</si>
  <si>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</si>
  <si>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</si>
  <si>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</si>
  <si>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</si>
  <si>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</si>
  <si>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</si>
  <si>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</si>
  <si>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</si>
  <si>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</si>
  <si>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</si>
  <si>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</si>
  <si>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</si>
  <si>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</si>
  <si>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</si>
  <si>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Age/grade:                 6-8</t>
  </si>
  <si>
    <t>Fat free chocolate, strawberry, white and low fat white</t>
  </si>
  <si>
    <t>9 per week minimum</t>
  </si>
  <si>
    <t>10 per week maximum</t>
  </si>
  <si>
    <t>Minimum of 1 per day</t>
  </si>
  <si>
    <t>8 per week minimum</t>
  </si>
  <si>
    <t>Enter daily minimum offering</t>
  </si>
  <si>
    <t>Enter daily maximum offering</t>
  </si>
  <si>
    <t>Choice of fresh peach or mixed fruit</t>
  </si>
  <si>
    <t>Whole grain round roll</t>
  </si>
  <si>
    <t>Whole grain steak roll</t>
  </si>
  <si>
    <t>Date: Week # 3</t>
  </si>
  <si>
    <t>Choice of applesauce or mixed fruit</t>
  </si>
  <si>
    <t>Choice of fresh orange or diced pears</t>
  </si>
  <si>
    <t>Choice of fresh apple or mandarin oranges</t>
  </si>
  <si>
    <t>Choice of pineapple tidbits or 100% apple juice</t>
  </si>
  <si>
    <t>Mashed potatoes w/ gravy</t>
  </si>
  <si>
    <t xml:space="preserve">Pot pie </t>
  </si>
  <si>
    <t>Ham and cheese sandwich</t>
  </si>
  <si>
    <t>Spaghetti w/ meat sauce</t>
  </si>
  <si>
    <t>Whole grain spaghetti</t>
  </si>
  <si>
    <t>Chicken pot pie USDA recipe D-19</t>
  </si>
  <si>
    <t>Whole grain english muffin</t>
  </si>
  <si>
    <t>Pizza crust</t>
  </si>
  <si>
    <t>Chip steak sandwich</t>
  </si>
  <si>
    <t>Sub roll</t>
  </si>
  <si>
    <t>Whole grain dinner roll and breading on chicken nuggets</t>
  </si>
  <si>
    <t>Steamed spinach</t>
  </si>
  <si>
    <t>Additional Vegetables</t>
  </si>
  <si>
    <t>Steamed Carrots</t>
  </si>
  <si>
    <t>Vegetable Chili</t>
  </si>
  <si>
    <t>Fresh carrots w/ ff ranch dressing</t>
  </si>
  <si>
    <t>Breaded chicken nuggets - 5 each</t>
  </si>
  <si>
    <t>Weekly Average:  Calories 647, Saturated fat 7.58%, Sodium 1238 mg</t>
  </si>
  <si>
    <t>Pizza w/ 2 oz. low fat moz. &amp; pepperoni</t>
  </si>
  <si>
    <t>MEETS</t>
  </si>
  <si>
    <t>1 cup of additional</t>
  </si>
  <si>
    <t>Fruit Totals                (for each day)</t>
  </si>
  <si>
    <t>VEGETABLES                ¾ cup of vegs/day</t>
  </si>
  <si>
    <t>VEG TOTALS                   (for each day)</t>
  </si>
  <si>
    <t>Tomato sauce w/ spaghetti</t>
  </si>
  <si>
    <t>Iceberg lettuce &amp; sliced tomato                              (1/2 c lettuce &amp; 1/4 c tomato)</t>
  </si>
  <si>
    <t xml:space="preserve">Iceberg and Romaine lettuce in Chef salad               (1 1/2 cup) </t>
  </si>
  <si>
    <t>Total weekly ounce equivalent offered</t>
  </si>
  <si>
    <t>Whole grain round roll and dinner roll</t>
  </si>
  <si>
    <t xml:space="preserve">Required weekly vegetable sub-groups adds up to 2 ¾ cups; weekly total of all vegetables is 3 ¾ cups </t>
  </si>
  <si>
    <t>Whole grain dinner roll 2 each</t>
  </si>
  <si>
    <t>Sauce on Pizza</t>
  </si>
  <si>
    <t>Whole grain soft pretzel nuggets</t>
  </si>
  <si>
    <t>Whole grain spaghetti and whole grain soft pretzel nuggets</t>
  </si>
  <si>
    <t xml:space="preserve">Whole grain english muffin and dinner rolls </t>
  </si>
  <si>
    <t>½ cup of fruit</t>
  </si>
  <si>
    <t>Chef salad w/turkey</t>
  </si>
  <si>
    <t xml:space="preserve">Yogurt parfait </t>
  </si>
  <si>
    <t>Cheeseburger sub</t>
  </si>
  <si>
    <t>Breakfast sandwich w/ sausage (1.5oz.) amer. Cheese (1/2 oz.)</t>
  </si>
  <si>
    <t>Steamed green beans</t>
  </si>
  <si>
    <t>Mixed vegetable in pot pie</t>
  </si>
  <si>
    <t>Side salad w/ ff dressing*                (1 cup)</t>
  </si>
  <si>
    <t>Tater tots</t>
  </si>
  <si>
    <t xml:space="preserve">                                                                                               (To meet requirements for k-5 and k-8, see footnote at bottom)</t>
  </si>
  <si>
    <t>Quantity Difference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</si>
</sst>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19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</xf>
    <xf numFmtId="12" fontId="1" fillId="0" borderId="13" xfId="0" applyNumberFormat="1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7" fillId="0" borderId="0" xfId="0" applyFont="1" applyFill="1" applyProtection="1">
      <protection locked="0"/>
    </xf>
    <xf numFmtId="0" fontId="8" fillId="0" borderId="1" xfId="0" applyFont="1" applyFill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Fill="1" applyAlignment="1" applyProtection="1">
      <alignment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</xf>
    <xf numFmtId="0" fontId="3" fillId="0" borderId="26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9" borderId="16" xfId="0" applyFont="1" applyFill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12" fontId="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23" xfId="0" applyFont="1" applyFill="1" applyBorder="1" applyAlignment="1" applyProtection="1">
      <alignment horizontal="center" vertical="center" wrapText="1"/>
    </xf>
    <xf numFmtId="12" fontId="1" fillId="7" borderId="40" xfId="0" applyNumberFormat="1" applyFont="1" applyFill="1" applyBorder="1" applyAlignment="1" applyProtection="1">
      <alignment horizontal="center" vertical="center" wrapText="1"/>
    </xf>
    <xf numFmtId="12" fontId="1" fillId="7" borderId="41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12" fontId="1" fillId="6" borderId="13" xfId="0" applyNumberFormat="1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 applyProtection="1">
      <alignment horizontal="center" vertical="center" wrapText="1"/>
    </xf>
    <xf numFmtId="0" fontId="8" fillId="0" borderId="10" xfId="0" applyFont="1" applyFill="1" applyBorder="1" applyAlignment="1" applyProtection="1">
      <alignment horizontal="center" vertical="center" wrapText="1"/>
    </xf>
    <xf numFmtId="0" fontId="1" fillId="7" borderId="17" xfId="0" applyFont="1" applyFill="1" applyBorder="1" applyAlignment="1" applyProtection="1">
      <alignment horizontal="center" vertical="center" wrapText="1"/>
    </xf>
    <xf numFmtId="12" fontId="8" fillId="0" borderId="8" xfId="0" applyNumberFormat="1" applyFont="1" applyFill="1" applyBorder="1" applyAlignment="1" applyProtection="1">
      <alignment horizontal="center" vertical="center" wrapText="1"/>
    </xf>
    <xf numFmtId="0" fontId="1" fillId="3" borderId="40" xfId="0" applyFont="1" applyFill="1" applyBorder="1" applyAlignment="1" applyProtection="1">
      <alignment horizontal="center" vertical="center" wrapText="1"/>
      <protection locked="0"/>
    </xf>
    <xf numFmtId="12" fontId="1" fillId="0" borderId="43" xfId="0" applyNumberFormat="1" applyFont="1" applyBorder="1" applyAlignment="1" applyProtection="1">
      <alignment horizontal="center" vertical="center" wrapText="1"/>
    </xf>
    <xf numFmtId="0" fontId="6" fillId="0" borderId="8" xfId="0" applyFont="1" applyFill="1" applyBorder="1" applyAlignment="1" applyProtection="1">
      <alignment horizontal="center" vertical="center" wrapText="1"/>
    </xf>
    <xf numFmtId="12" fontId="1" fillId="0" borderId="3" xfId="0" applyNumberFormat="1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7" borderId="40" xfId="0" applyFont="1" applyFill="1" applyBorder="1" applyAlignment="1" applyProtection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9" borderId="23" xfId="0" applyFont="1" applyFill="1" applyBorder="1" applyAlignment="1" applyProtection="1">
      <alignment horizontal="center" vertical="center" wrapText="1"/>
      <protection locked="0"/>
    </xf>
    <xf numFmtId="0" fontId="3" fillId="7" borderId="23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2" fillId="3" borderId="42" xfId="0" applyFont="1" applyFill="1" applyBorder="1" applyAlignment="1" applyProtection="1">
      <alignment horizontal="center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12" fontId="8" fillId="0" borderId="1" xfId="0" applyNumberFormat="1" applyFont="1" applyFill="1" applyBorder="1" applyAlignment="1" applyProtection="1">
      <alignment horizontal="center" vertical="center" wrapText="1"/>
    </xf>
    <xf numFmtId="12" fontId="2" fillId="2" borderId="6" xfId="0" applyNumberFormat="1" applyFont="1" applyFill="1" applyBorder="1" applyAlignment="1" applyProtection="1">
      <alignment horizontal="center" vertical="center" wrapText="1"/>
    </xf>
    <xf numFmtId="0" fontId="1" fillId="0" borderId="44" xfId="0" applyFont="1" applyBorder="1" applyAlignment="1" applyProtection="1">
      <alignment horizontal="center" vertical="top" wrapText="1"/>
      <protection locked="0"/>
    </xf>
    <xf numFmtId="0" fontId="4" fillId="0" borderId="33" xfId="0" applyFont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</xf>
    <xf numFmtId="0" fontId="0" fillId="0" borderId="29" xfId="0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39" xfId="0" applyFont="1" applyBorder="1" applyAlignment="1" applyProtection="1">
      <alignment horizontal="center" vertical="center" wrapText="1"/>
    </xf>
    <xf numFmtId="0" fontId="1" fillId="9" borderId="22" xfId="0" applyFont="1" applyFill="1" applyBorder="1" applyAlignment="1" applyProtection="1">
      <alignment horizontal="center" vertical="center" wrapText="1"/>
      <protection locked="0"/>
    </xf>
    <xf numFmtId="0" fontId="1" fillId="9" borderId="21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12" fontId="1" fillId="0" borderId="11" xfId="0" applyNumberFormat="1" applyFont="1" applyBorder="1" applyAlignment="1" applyProtection="1">
      <alignment horizontal="center" vertical="center" wrapText="1"/>
    </xf>
    <xf numFmtId="12" fontId="1" fillId="0" borderId="35" xfId="0" applyNumberFormat="1" applyFont="1" applyBorder="1" applyAlignment="1" applyProtection="1">
      <alignment horizontal="center" vertical="center" wrapText="1"/>
    </xf>
    <xf numFmtId="12" fontId="1" fillId="0" borderId="11" xfId="0" applyNumberFormat="1" applyFont="1" applyFill="1" applyBorder="1" applyAlignment="1" applyProtection="1">
      <alignment horizontal="center" vertical="center" wrapText="1"/>
    </xf>
    <xf numFmtId="12" fontId="1" fillId="0" borderId="35" xfId="0" applyNumberFormat="1" applyFont="1" applyFill="1" applyBorder="1" applyAlignment="1" applyProtection="1">
      <alignment horizontal="center" vertical="center" wrapText="1"/>
    </xf>
    <xf numFmtId="12" fontId="1" fillId="0" borderId="37" xfId="0" applyNumberFormat="1" applyFont="1" applyFill="1" applyBorder="1" applyAlignment="1" applyProtection="1">
      <alignment horizontal="center" vertical="center" wrapText="1"/>
    </xf>
    <xf numFmtId="12" fontId="1" fillId="0" borderId="38" xfId="0" applyNumberFormat="1" applyFont="1" applyFill="1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35" xfId="0" applyFont="1" applyBorder="1" applyAlignment="1" applyProtection="1">
      <alignment horizontal="center" vertical="center" wrapText="1"/>
    </xf>
    <xf numFmtId="0" fontId="2" fillId="4" borderId="42" xfId="0" applyFont="1" applyFill="1" applyBorder="1" applyAlignment="1" applyProtection="1">
      <alignment horizontal="center" vertical="center" wrapText="1"/>
    </xf>
    <xf numFmtId="0" fontId="2" fillId="4" borderId="21" xfId="0" applyFont="1" applyFill="1" applyBorder="1" applyAlignment="1" applyProtection="1">
      <alignment horizontal="center" vertical="center" wrapText="1"/>
    </xf>
    <xf numFmtId="0" fontId="2" fillId="4" borderId="20" xfId="0" applyFont="1" applyFill="1" applyBorder="1" applyAlignment="1" applyProtection="1">
      <alignment horizontal="center" vertical="center" wrapText="1"/>
    </xf>
    <xf numFmtId="0" fontId="1" fillId="7" borderId="22" xfId="0" applyFont="1" applyFill="1" applyBorder="1" applyAlignment="1" applyProtection="1">
      <alignment horizontal="center" vertical="center" wrapText="1"/>
    </xf>
    <xf numFmtId="0" fontId="1" fillId="7" borderId="21" xfId="0" applyFont="1" applyFill="1" applyBorder="1" applyAlignment="1" applyProtection="1">
      <alignment horizontal="center" vertical="center" wrapText="1"/>
    </xf>
    <xf numFmtId="0" fontId="1" fillId="7" borderId="0" xfId="0" applyFont="1" applyFill="1" applyBorder="1" applyAlignment="1" applyProtection="1">
      <alignment horizontal="center" vertical="center" wrapText="1"/>
    </xf>
    <xf numFmtId="0" fontId="1" fillId="7" borderId="20" xfId="0" applyFont="1" applyFill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2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8"/>
  <sheetViews>
    <sheetView tabSelected="1" view="pageLayout" topLeftCell="B1" zoomScaleNormal="100" workbookViewId="0">
      <selection activeCell="B6" sqref="B6:Q6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44140625" style="2" customWidth="1"/>
    <col min="11" max="11" width="16" style="2" customWidth="1"/>
    <col min="12" max="12" width="6.44140625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15" thickBot="1" x14ac:dyDescent="0.35">
      <c r="A1" s="78" t="s">
        <v>95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34" ht="27.6" x14ac:dyDescent="0.3">
      <c r="A2" s="66" t="s">
        <v>46</v>
      </c>
      <c r="B2" s="67" t="s">
        <v>35</v>
      </c>
      <c r="C2" s="79" t="s">
        <v>68</v>
      </c>
      <c r="D2" s="79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59"/>
      <c r="Q2" s="68"/>
    </row>
    <row r="3" spans="1:34" ht="15" x14ac:dyDescent="0.25">
      <c r="A3" s="81"/>
      <c r="B3" s="82"/>
      <c r="C3" s="83" t="s">
        <v>34</v>
      </c>
      <c r="D3" s="83"/>
      <c r="E3" s="83"/>
      <c r="F3" s="83"/>
      <c r="G3" s="83"/>
      <c r="H3" s="83"/>
      <c r="I3" s="83"/>
      <c r="J3" s="83"/>
      <c r="K3" s="83"/>
      <c r="L3" s="83"/>
      <c r="M3" s="60"/>
      <c r="N3" s="83" t="s">
        <v>33</v>
      </c>
      <c r="O3" s="83"/>
      <c r="P3" s="83"/>
      <c r="Q3" s="84"/>
    </row>
    <row r="4" spans="1:34" ht="18.75" customHeight="1" x14ac:dyDescent="0.3">
      <c r="A4" s="85" t="s">
        <v>15</v>
      </c>
      <c r="B4" s="87" t="s">
        <v>14</v>
      </c>
      <c r="C4" s="89" t="s">
        <v>32</v>
      </c>
      <c r="D4" s="90"/>
      <c r="E4" s="89" t="s">
        <v>31</v>
      </c>
      <c r="F4" s="90"/>
      <c r="G4" s="89" t="s">
        <v>30</v>
      </c>
      <c r="H4" s="90"/>
      <c r="I4" s="89" t="s">
        <v>29</v>
      </c>
      <c r="J4" s="90"/>
      <c r="K4" s="89" t="s">
        <v>28</v>
      </c>
      <c r="L4" s="90"/>
      <c r="M4" s="32"/>
      <c r="N4" s="104" t="s">
        <v>11</v>
      </c>
      <c r="O4" s="104" t="s">
        <v>27</v>
      </c>
      <c r="P4" s="104" t="s">
        <v>96</v>
      </c>
      <c r="Q4" s="91" t="s">
        <v>26</v>
      </c>
    </row>
    <row r="5" spans="1:34" ht="19.2" customHeight="1" thickBot="1" x14ac:dyDescent="0.35">
      <c r="A5" s="86"/>
      <c r="B5" s="88"/>
      <c r="C5" s="52" t="s">
        <v>13</v>
      </c>
      <c r="D5" s="53" t="s">
        <v>25</v>
      </c>
      <c r="E5" s="52" t="s">
        <v>13</v>
      </c>
      <c r="F5" s="52" t="s">
        <v>25</v>
      </c>
      <c r="G5" s="52" t="s">
        <v>13</v>
      </c>
      <c r="H5" s="52" t="s">
        <v>25</v>
      </c>
      <c r="I5" s="52" t="s">
        <v>13</v>
      </c>
      <c r="J5" s="52" t="s">
        <v>25</v>
      </c>
      <c r="K5" s="52" t="s">
        <v>13</v>
      </c>
      <c r="L5" s="52" t="s">
        <v>25</v>
      </c>
      <c r="M5" s="57"/>
      <c r="N5" s="105"/>
      <c r="O5" s="106"/>
      <c r="P5" s="105"/>
      <c r="Q5" s="92"/>
    </row>
    <row r="6" spans="1:34" ht="15.75" thickBot="1" x14ac:dyDescent="0.3">
      <c r="A6" s="69" t="s">
        <v>24</v>
      </c>
      <c r="B6" s="93" t="s">
        <v>22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1:34" s="19" customFormat="1" ht="55.2" x14ac:dyDescent="0.3">
      <c r="A7" s="33" t="s">
        <v>24</v>
      </c>
      <c r="B7" s="24" t="s">
        <v>86</v>
      </c>
      <c r="C7" s="24" t="s">
        <v>47</v>
      </c>
      <c r="D7" s="23">
        <v>0.5</v>
      </c>
      <c r="E7" s="24" t="s">
        <v>48</v>
      </c>
      <c r="F7" s="23">
        <v>0.5</v>
      </c>
      <c r="G7" s="24" t="s">
        <v>49</v>
      </c>
      <c r="H7" s="23">
        <v>0.5</v>
      </c>
      <c r="I7" s="24" t="s">
        <v>50</v>
      </c>
      <c r="J7" s="23">
        <v>0.5</v>
      </c>
      <c r="K7" s="24" t="s">
        <v>43</v>
      </c>
      <c r="L7" s="23">
        <v>0.5</v>
      </c>
      <c r="M7" s="23"/>
      <c r="N7" s="96">
        <f>SUM(D7,F7,H7,J7,L7)</f>
        <v>2.5</v>
      </c>
      <c r="O7" s="98">
        <v>2.5</v>
      </c>
      <c r="P7" s="100">
        <f>N7-O7</f>
        <v>0</v>
      </c>
      <c r="Q7" s="102" t="str">
        <f>IF(P7&gt;=0,"MEETS","DOES NOT MEET")</f>
        <v>MEETS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s="19" customFormat="1" ht="28.2" thickBot="1" x14ac:dyDescent="0.35">
      <c r="A8" s="34" t="s">
        <v>72</v>
      </c>
      <c r="B8" s="22"/>
      <c r="C8" s="21" t="s">
        <v>16</v>
      </c>
      <c r="D8" s="20">
        <f>D7</f>
        <v>0.5</v>
      </c>
      <c r="E8" s="21" t="s">
        <v>16</v>
      </c>
      <c r="F8" s="20">
        <f>F7</f>
        <v>0.5</v>
      </c>
      <c r="G8" s="21" t="s">
        <v>16</v>
      </c>
      <c r="H8" s="20">
        <f>H7</f>
        <v>0.5</v>
      </c>
      <c r="I8" s="21" t="s">
        <v>16</v>
      </c>
      <c r="J8" s="20">
        <f>J7</f>
        <v>0.5</v>
      </c>
      <c r="K8" s="21" t="s">
        <v>16</v>
      </c>
      <c r="L8" s="20">
        <f>L7</f>
        <v>0.5</v>
      </c>
      <c r="M8" s="3"/>
      <c r="N8" s="97"/>
      <c r="O8" s="99"/>
      <c r="P8" s="101"/>
      <c r="Q8" s="10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.75" thickBot="1" x14ac:dyDescent="0.3">
      <c r="A9" s="70" t="s">
        <v>23</v>
      </c>
      <c r="B9" s="110" t="s">
        <v>22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2"/>
      <c r="N9" s="111"/>
      <c r="O9" s="111"/>
      <c r="P9" s="111"/>
      <c r="Q9" s="113"/>
    </row>
    <row r="10" spans="1:34" ht="27.6" x14ac:dyDescent="0.3">
      <c r="A10" s="35" t="s">
        <v>73</v>
      </c>
      <c r="B10" s="11" t="s">
        <v>21</v>
      </c>
      <c r="C10" s="18"/>
      <c r="D10" s="17"/>
      <c r="E10" s="18"/>
      <c r="F10" s="17"/>
      <c r="G10" s="18" t="s">
        <v>62</v>
      </c>
      <c r="H10" s="17">
        <v>0.5</v>
      </c>
      <c r="I10" s="18"/>
      <c r="J10" s="17"/>
      <c r="K10" s="18"/>
      <c r="L10" s="17"/>
      <c r="M10" s="3"/>
      <c r="N10" s="16">
        <f>SUM(D10,F10,H10,J10,L10)</f>
        <v>0.5</v>
      </c>
      <c r="O10" s="16">
        <v>0.5</v>
      </c>
      <c r="P10" s="15">
        <f t="shared" ref="P10:P15" si="0">N10-O10</f>
        <v>0</v>
      </c>
      <c r="Q10" s="56" t="str">
        <f t="shared" ref="Q10:Q15" si="1">IF(P10&gt;=0,"MEETS","DOES NOT MEET")</f>
        <v>MEETS</v>
      </c>
    </row>
    <row r="11" spans="1:34" ht="27.6" x14ac:dyDescent="0.3">
      <c r="A11" s="71"/>
      <c r="B11" s="10" t="s">
        <v>20</v>
      </c>
      <c r="C11" s="13" t="s">
        <v>66</v>
      </c>
      <c r="D11" s="3">
        <v>0.25</v>
      </c>
      <c r="E11" s="18"/>
      <c r="F11" s="3"/>
      <c r="G11" s="13"/>
      <c r="H11" s="3"/>
      <c r="I11" s="13" t="s">
        <v>64</v>
      </c>
      <c r="J11" s="3">
        <v>0.5</v>
      </c>
      <c r="K11" s="13"/>
      <c r="L11" s="3"/>
      <c r="M11" s="3"/>
      <c r="N11" s="9">
        <f>SUM(D11,F11,H11,J11,L11)</f>
        <v>0.75</v>
      </c>
      <c r="O11" s="9">
        <v>0.75</v>
      </c>
      <c r="P11" s="14">
        <f t="shared" si="0"/>
        <v>0</v>
      </c>
      <c r="Q11" s="8" t="str">
        <f t="shared" si="1"/>
        <v>MEETS</v>
      </c>
    </row>
    <row r="12" spans="1:34" ht="27.6" x14ac:dyDescent="0.3">
      <c r="A12" s="71"/>
      <c r="B12" s="61" t="s">
        <v>19</v>
      </c>
      <c r="C12" s="13"/>
      <c r="E12" s="13" t="s">
        <v>65</v>
      </c>
      <c r="F12" s="3">
        <v>0.5</v>
      </c>
      <c r="G12" s="13"/>
      <c r="H12" s="3"/>
      <c r="I12" s="13"/>
      <c r="J12" s="3"/>
      <c r="K12" s="13"/>
      <c r="L12" s="3"/>
      <c r="M12" s="3"/>
      <c r="N12" s="9">
        <f>SUM(D12,F12,H12,J12,L12)</f>
        <v>0.5</v>
      </c>
      <c r="O12" s="9">
        <v>0.5</v>
      </c>
      <c r="P12" s="14">
        <f t="shared" si="0"/>
        <v>0</v>
      </c>
      <c r="Q12" s="8" t="str">
        <f t="shared" si="1"/>
        <v>MEETS</v>
      </c>
    </row>
    <row r="13" spans="1:34" ht="30.75" customHeight="1" x14ac:dyDescent="0.3">
      <c r="A13" s="71"/>
      <c r="B13" s="10" t="s">
        <v>18</v>
      </c>
      <c r="C13" s="13"/>
      <c r="E13" s="13"/>
      <c r="F13" s="3"/>
      <c r="G13" s="13" t="s">
        <v>51</v>
      </c>
      <c r="H13" s="3">
        <v>0.5</v>
      </c>
      <c r="I13" s="13"/>
      <c r="J13" s="3"/>
      <c r="K13" s="13"/>
      <c r="L13" s="3"/>
      <c r="M13" s="3"/>
      <c r="N13" s="9">
        <f>SUM(D13,F13,H13,J13,L13)</f>
        <v>0.5</v>
      </c>
      <c r="O13" s="9">
        <v>0.5</v>
      </c>
      <c r="P13" s="14">
        <f t="shared" si="0"/>
        <v>0</v>
      </c>
      <c r="Q13" s="8" t="str">
        <f t="shared" si="1"/>
        <v>MEETS</v>
      </c>
    </row>
    <row r="14" spans="1:34" ht="25.5" customHeight="1" x14ac:dyDescent="0.3">
      <c r="A14" s="85" t="s">
        <v>80</v>
      </c>
      <c r="B14" s="52" t="s">
        <v>17</v>
      </c>
      <c r="C14" s="13"/>
      <c r="E14" s="13"/>
      <c r="F14" s="3"/>
      <c r="G14" s="13"/>
      <c r="H14" s="3"/>
      <c r="I14" s="13"/>
      <c r="J14" s="3"/>
      <c r="K14" s="13" t="s">
        <v>91</v>
      </c>
      <c r="L14" s="3">
        <v>0.75</v>
      </c>
      <c r="M14" s="3"/>
      <c r="N14" s="3">
        <f>SUM(D14,F14,H14,J14,L14)</f>
        <v>0.75</v>
      </c>
      <c r="O14" s="53">
        <v>0.5</v>
      </c>
      <c r="P14" s="54">
        <f t="shared" si="0"/>
        <v>0.25</v>
      </c>
      <c r="Q14" s="55" t="str">
        <f t="shared" si="1"/>
        <v>MEETS</v>
      </c>
    </row>
    <row r="15" spans="1:34" ht="14.4" customHeight="1" x14ac:dyDescent="0.3">
      <c r="A15" s="86"/>
      <c r="B15" s="87" t="s">
        <v>71</v>
      </c>
      <c r="C15" s="115" t="s">
        <v>63</v>
      </c>
      <c r="D15" s="116"/>
      <c r="E15" s="116"/>
      <c r="F15" s="116"/>
      <c r="G15" s="116"/>
      <c r="H15" s="116"/>
      <c r="I15" s="116"/>
      <c r="J15" s="116"/>
      <c r="K15" s="116"/>
      <c r="L15" s="117"/>
      <c r="M15" s="3"/>
      <c r="N15" s="120">
        <f>SUM(D16:D18,F16:F18,H16:H18,J16:J18,L16:L18)</f>
        <v>3</v>
      </c>
      <c r="O15" s="120">
        <v>1</v>
      </c>
      <c r="P15" s="122">
        <f t="shared" si="0"/>
        <v>2</v>
      </c>
      <c r="Q15" s="123" t="str">
        <f t="shared" si="1"/>
        <v>MEETS</v>
      </c>
    </row>
    <row r="16" spans="1:34" ht="62.25" customHeight="1" x14ac:dyDescent="0.3">
      <c r="A16" s="86"/>
      <c r="B16" s="118"/>
      <c r="C16" s="13" t="s">
        <v>93</v>
      </c>
      <c r="D16" s="3">
        <v>0.5</v>
      </c>
      <c r="E16" s="18" t="s">
        <v>76</v>
      </c>
      <c r="F16" s="3">
        <v>0.5</v>
      </c>
      <c r="G16" s="13"/>
      <c r="H16" s="3"/>
      <c r="I16" s="13" t="s">
        <v>77</v>
      </c>
      <c r="J16" s="3">
        <v>0.75</v>
      </c>
      <c r="K16" s="13" t="s">
        <v>92</v>
      </c>
      <c r="L16" s="3">
        <v>0.25</v>
      </c>
      <c r="M16" s="3"/>
      <c r="N16" s="118"/>
      <c r="O16" s="118"/>
      <c r="P16" s="118"/>
      <c r="Q16" s="124"/>
    </row>
    <row r="17" spans="1:17" ht="27.6" x14ac:dyDescent="0.3">
      <c r="A17" s="86"/>
      <c r="B17" s="118"/>
      <c r="C17" s="13" t="s">
        <v>75</v>
      </c>
      <c r="D17" s="3">
        <v>0.375</v>
      </c>
      <c r="E17" s="13"/>
      <c r="F17" s="3"/>
      <c r="G17" s="13"/>
      <c r="H17" s="3"/>
      <c r="I17" s="13" t="s">
        <v>94</v>
      </c>
      <c r="J17" s="3">
        <v>0.5</v>
      </c>
      <c r="K17" s="13" t="s">
        <v>82</v>
      </c>
      <c r="L17" s="3">
        <v>0.125</v>
      </c>
      <c r="M17" s="3"/>
      <c r="N17" s="118"/>
      <c r="O17" s="118"/>
      <c r="P17" s="118"/>
      <c r="Q17" s="124"/>
    </row>
    <row r="18" spans="1:17" ht="15" thickBot="1" x14ac:dyDescent="0.35">
      <c r="A18" s="114"/>
      <c r="B18" s="119"/>
      <c r="C18" s="12"/>
      <c r="D18" s="30"/>
      <c r="E18" s="30"/>
      <c r="F18" s="30"/>
      <c r="G18" s="30"/>
      <c r="H18" s="30"/>
      <c r="I18" s="30"/>
      <c r="J18" s="30"/>
      <c r="K18" s="13"/>
      <c r="L18" s="3"/>
      <c r="M18" s="3"/>
      <c r="N18" s="121"/>
      <c r="O18" s="121"/>
      <c r="P18" s="121"/>
      <c r="Q18" s="125"/>
    </row>
    <row r="19" spans="1:17" ht="28.2" thickBot="1" x14ac:dyDescent="0.35">
      <c r="A19" s="37" t="s">
        <v>74</v>
      </c>
      <c r="B19" s="62"/>
      <c r="C19" s="62" t="s">
        <v>16</v>
      </c>
      <c r="D19" s="38">
        <f>SUM(D10:D18)</f>
        <v>1.125</v>
      </c>
      <c r="E19" s="62" t="s">
        <v>16</v>
      </c>
      <c r="F19" s="38">
        <f>SUM(F10:F18)</f>
        <v>1</v>
      </c>
      <c r="G19" s="62" t="s">
        <v>16</v>
      </c>
      <c r="H19" s="38">
        <f>SUM(H10:H18)</f>
        <v>1</v>
      </c>
      <c r="I19" s="62" t="s">
        <v>16</v>
      </c>
      <c r="J19" s="38">
        <f>SUM(J10:J18)</f>
        <v>1.75</v>
      </c>
      <c r="K19" s="62" t="s">
        <v>16</v>
      </c>
      <c r="L19" s="39">
        <f>SUM(L10:L18)</f>
        <v>1.125</v>
      </c>
      <c r="M19" s="36"/>
      <c r="N19" s="54">
        <f>SUM(N10:N18)</f>
        <v>6</v>
      </c>
      <c r="O19" s="54">
        <v>3.75</v>
      </c>
      <c r="P19" s="54">
        <f>N19-O19</f>
        <v>2.25</v>
      </c>
      <c r="Q19" s="52" t="str">
        <f>IF(P19&gt;=0,"MEETS","DOES NOT MEET")</f>
        <v>MEETS</v>
      </c>
    </row>
    <row r="20" spans="1:17" ht="28.2" thickBot="1" x14ac:dyDescent="0.35">
      <c r="A20" s="40" t="s">
        <v>15</v>
      </c>
      <c r="B20" s="40" t="s">
        <v>14</v>
      </c>
      <c r="C20" s="40" t="s">
        <v>13</v>
      </c>
      <c r="D20" s="40" t="s">
        <v>12</v>
      </c>
      <c r="E20" s="41" t="s">
        <v>13</v>
      </c>
      <c r="F20" s="40" t="s">
        <v>12</v>
      </c>
      <c r="G20" s="41" t="s">
        <v>13</v>
      </c>
      <c r="H20" s="40" t="s">
        <v>12</v>
      </c>
      <c r="I20" s="41" t="s">
        <v>13</v>
      </c>
      <c r="J20" s="40" t="s">
        <v>12</v>
      </c>
      <c r="K20" s="41" t="s">
        <v>13</v>
      </c>
      <c r="L20" s="40" t="s">
        <v>12</v>
      </c>
      <c r="M20" s="54"/>
      <c r="N20" s="54" t="s">
        <v>11</v>
      </c>
      <c r="O20" s="54" t="s">
        <v>10</v>
      </c>
      <c r="P20" s="54"/>
      <c r="Q20" s="42"/>
    </row>
    <row r="21" spans="1:17" ht="15.75" customHeight="1" thickBot="1" x14ac:dyDescent="0.35">
      <c r="A21" s="107" t="s">
        <v>9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</row>
    <row r="22" spans="1:17" s="25" customFormat="1" ht="53.25" customHeight="1" x14ac:dyDescent="0.3">
      <c r="A22" s="43" t="s">
        <v>39</v>
      </c>
      <c r="B22" s="43" t="s">
        <v>41</v>
      </c>
      <c r="C22" s="18" t="s">
        <v>55</v>
      </c>
      <c r="D22" s="43">
        <v>1</v>
      </c>
      <c r="E22" s="18" t="s">
        <v>45</v>
      </c>
      <c r="F22" s="43">
        <v>2</v>
      </c>
      <c r="G22" s="43" t="s">
        <v>61</v>
      </c>
      <c r="H22" s="43">
        <v>2</v>
      </c>
      <c r="I22" s="18" t="s">
        <v>57</v>
      </c>
      <c r="J22" s="17">
        <v>2</v>
      </c>
      <c r="K22" s="43" t="s">
        <v>52</v>
      </c>
      <c r="L22" s="43">
        <v>1</v>
      </c>
      <c r="M22" s="49"/>
      <c r="N22" s="43">
        <f>D22+F22+H22+J22+L22</f>
        <v>8</v>
      </c>
      <c r="O22" s="43" t="s">
        <v>40</v>
      </c>
      <c r="P22" s="49" t="s">
        <v>78</v>
      </c>
      <c r="Q22" s="56" t="str">
        <f>IF(AND((N22)&gt;=8,(N22)&lt;=10),"MEETS","DOES NOT MEET")</f>
        <v>MEETS</v>
      </c>
    </row>
    <row r="23" spans="1:17" ht="38.25" customHeight="1" x14ac:dyDescent="0.3">
      <c r="A23" s="26" t="s">
        <v>39</v>
      </c>
      <c r="B23" s="26" t="s">
        <v>42</v>
      </c>
      <c r="C23" s="18" t="s">
        <v>83</v>
      </c>
      <c r="D23" s="17">
        <v>1</v>
      </c>
      <c r="E23" s="18" t="s">
        <v>60</v>
      </c>
      <c r="F23" s="18">
        <v>3</v>
      </c>
      <c r="G23" s="18" t="s">
        <v>44</v>
      </c>
      <c r="H23" s="18">
        <v>2</v>
      </c>
      <c r="I23" s="18" t="s">
        <v>81</v>
      </c>
      <c r="J23" s="17">
        <v>2</v>
      </c>
      <c r="K23" s="18" t="s">
        <v>58</v>
      </c>
      <c r="L23" s="17">
        <v>2</v>
      </c>
      <c r="M23" s="18"/>
      <c r="N23" s="9">
        <f>SUM(D23,F23,H23,J23,L23)</f>
        <v>10</v>
      </c>
      <c r="O23" s="27" t="s">
        <v>38</v>
      </c>
      <c r="P23" s="50">
        <f>N22+N23</f>
        <v>18</v>
      </c>
      <c r="Q23" s="8" t="str">
        <f>IF(AND((N23)&gt;=8,(N23)&lt;=10),"MEETS","DOES NOT MEET")</f>
        <v>MEETS</v>
      </c>
    </row>
    <row r="24" spans="1:17" ht="53.4" customHeight="1" thickBot="1" x14ac:dyDescent="0.35">
      <c r="A24" s="51"/>
      <c r="B24" s="57" t="s">
        <v>8</v>
      </c>
      <c r="C24" s="24" t="s">
        <v>84</v>
      </c>
      <c r="D24" s="44">
        <v>2</v>
      </c>
      <c r="E24" s="24" t="s">
        <v>45</v>
      </c>
      <c r="F24" s="24">
        <v>2</v>
      </c>
      <c r="G24" s="24" t="s">
        <v>79</v>
      </c>
      <c r="H24" s="24">
        <v>4</v>
      </c>
      <c r="I24" s="24" t="s">
        <v>85</v>
      </c>
      <c r="J24" s="23">
        <v>4</v>
      </c>
      <c r="K24" s="24"/>
      <c r="L24" s="23"/>
      <c r="M24" s="24"/>
      <c r="N24" s="53">
        <f>SUM(D24,F24,H24,J24,L24)</f>
        <v>12</v>
      </c>
      <c r="O24" s="58" t="s">
        <v>7</v>
      </c>
      <c r="P24" s="48">
        <v>12</v>
      </c>
      <c r="Q24" s="45" t="s">
        <v>70</v>
      </c>
    </row>
    <row r="25" spans="1:17" s="28" customFormat="1" ht="16.2" customHeight="1" thickBot="1" x14ac:dyDescent="0.35">
      <c r="A25" s="72" t="s">
        <v>6</v>
      </c>
      <c r="B25" s="63"/>
      <c r="C25" s="63"/>
      <c r="D25" s="63" t="s">
        <v>5</v>
      </c>
      <c r="E25" s="47"/>
      <c r="F25" s="64" t="s">
        <v>5</v>
      </c>
      <c r="G25" s="47"/>
      <c r="H25" s="63" t="s">
        <v>5</v>
      </c>
      <c r="I25" s="63"/>
      <c r="J25" s="63" t="s">
        <v>5</v>
      </c>
      <c r="K25" s="63"/>
      <c r="L25" s="63" t="s">
        <v>5</v>
      </c>
      <c r="M25" s="63"/>
      <c r="N25" s="63"/>
      <c r="O25" s="63"/>
      <c r="P25" s="63"/>
      <c r="Q25" s="73"/>
    </row>
    <row r="26" spans="1:17" s="29" customFormat="1" ht="65.25" customHeight="1" x14ac:dyDescent="0.3">
      <c r="A26" s="43" t="s">
        <v>4</v>
      </c>
      <c r="B26" s="43" t="s">
        <v>41</v>
      </c>
      <c r="C26" s="18" t="s">
        <v>54</v>
      </c>
      <c r="D26" s="17">
        <v>2</v>
      </c>
      <c r="E26" s="43" t="s">
        <v>59</v>
      </c>
      <c r="F26" s="43">
        <v>2</v>
      </c>
      <c r="G26" s="43" t="s">
        <v>67</v>
      </c>
      <c r="H26" s="43">
        <v>2</v>
      </c>
      <c r="I26" s="43" t="s">
        <v>90</v>
      </c>
      <c r="J26" s="43">
        <v>2</v>
      </c>
      <c r="K26" s="43" t="s">
        <v>56</v>
      </c>
      <c r="L26" s="43">
        <v>2</v>
      </c>
      <c r="M26" s="49"/>
      <c r="N26" s="46">
        <f>D26+F26+H26+J26+L26</f>
        <v>10</v>
      </c>
      <c r="O26" s="43" t="s">
        <v>37</v>
      </c>
      <c r="P26" s="49"/>
      <c r="Q26" s="56" t="str">
        <f>IF(AND((N26)&gt;=9,(N26)&lt;=10),"MEETS","DOES NOT MEET")</f>
        <v>MEETS</v>
      </c>
    </row>
    <row r="27" spans="1:17" ht="41.4" x14ac:dyDescent="0.3">
      <c r="A27" s="26" t="s">
        <v>4</v>
      </c>
      <c r="B27" s="26" t="s">
        <v>42</v>
      </c>
      <c r="C27" s="13" t="s">
        <v>88</v>
      </c>
      <c r="D27" s="3">
        <v>2</v>
      </c>
      <c r="E27" s="43" t="s">
        <v>89</v>
      </c>
      <c r="F27" s="3">
        <v>2</v>
      </c>
      <c r="G27" s="26" t="s">
        <v>53</v>
      </c>
      <c r="H27" s="76">
        <v>2</v>
      </c>
      <c r="I27" s="13" t="s">
        <v>87</v>
      </c>
      <c r="J27" s="13">
        <v>2</v>
      </c>
      <c r="K27" s="13" t="s">
        <v>69</v>
      </c>
      <c r="L27" s="13">
        <v>2</v>
      </c>
      <c r="M27" s="13"/>
      <c r="N27" s="9">
        <f>SUM(D27,F27,H27,J27,L27)</f>
        <v>10</v>
      </c>
      <c r="O27" s="10" t="s">
        <v>38</v>
      </c>
      <c r="P27" s="31"/>
      <c r="Q27" s="8" t="str">
        <f>IF(AND((N27)&gt;=9,(N27)&lt;=10),"MEETS","DOES NOT MEET")</f>
        <v>MEETS</v>
      </c>
    </row>
    <row r="28" spans="1:17" x14ac:dyDescent="0.3">
      <c r="A28" s="74" t="s">
        <v>3</v>
      </c>
      <c r="B28" s="65"/>
      <c r="C28" s="65"/>
      <c r="D28" s="65" t="s">
        <v>2</v>
      </c>
      <c r="E28" s="65"/>
      <c r="F28" s="65" t="s">
        <v>2</v>
      </c>
      <c r="G28" s="65"/>
      <c r="H28" s="77" t="s">
        <v>2</v>
      </c>
      <c r="I28" s="65"/>
      <c r="J28" s="65" t="s">
        <v>2</v>
      </c>
      <c r="K28" s="65"/>
      <c r="L28" s="65" t="s">
        <v>2</v>
      </c>
      <c r="M28" s="65"/>
      <c r="N28" s="65"/>
      <c r="O28" s="65"/>
      <c r="P28" s="65"/>
      <c r="Q28" s="75"/>
    </row>
    <row r="29" spans="1:17" ht="50.4" customHeight="1" x14ac:dyDescent="0.3">
      <c r="A29" s="71"/>
      <c r="B29" s="10" t="s">
        <v>1</v>
      </c>
      <c r="C29" s="13" t="s">
        <v>36</v>
      </c>
      <c r="D29" s="13">
        <v>1</v>
      </c>
      <c r="E29" s="13" t="s">
        <v>36</v>
      </c>
      <c r="F29" s="13">
        <v>1</v>
      </c>
      <c r="G29" s="13" t="s">
        <v>36</v>
      </c>
      <c r="H29" s="3">
        <v>1</v>
      </c>
      <c r="I29" s="13" t="s">
        <v>36</v>
      </c>
      <c r="J29" s="13">
        <v>1</v>
      </c>
      <c r="K29" s="13" t="s">
        <v>36</v>
      </c>
      <c r="L29" s="13">
        <v>1</v>
      </c>
      <c r="M29" s="13"/>
      <c r="N29" s="9">
        <f>SUM(D29,F29,H29,J29,L29)</f>
        <v>5</v>
      </c>
      <c r="O29" s="10" t="s">
        <v>0</v>
      </c>
      <c r="P29" s="31"/>
      <c r="Q29" s="8" t="str">
        <f>IF(N29&gt;=5,"MEETS","DOES NOT MEET")</f>
        <v>MEETS</v>
      </c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7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</sheetData>
  <mergeCells count="30">
    <mergeCell ref="A21:Q21"/>
    <mergeCell ref="B9:Q9"/>
    <mergeCell ref="A14:A18"/>
    <mergeCell ref="C15:L15"/>
    <mergeCell ref="B15:B18"/>
    <mergeCell ref="N15:N18"/>
    <mergeCell ref="O15:O18"/>
    <mergeCell ref="P15:P18"/>
    <mergeCell ref="Q15:Q18"/>
    <mergeCell ref="Q4:Q5"/>
    <mergeCell ref="B6:Q6"/>
    <mergeCell ref="N7:N8"/>
    <mergeCell ref="O7:O8"/>
    <mergeCell ref="P7:P8"/>
    <mergeCell ref="Q7:Q8"/>
    <mergeCell ref="I4:J4"/>
    <mergeCell ref="K4:L4"/>
    <mergeCell ref="N4:N5"/>
    <mergeCell ref="O4:O5"/>
    <mergeCell ref="P4:P5"/>
    <mergeCell ref="A4:A5"/>
    <mergeCell ref="B4:B5"/>
    <mergeCell ref="C4:D4"/>
    <mergeCell ref="E4:F4"/>
    <mergeCell ref="G4:H4"/>
    <mergeCell ref="A1:Q1"/>
    <mergeCell ref="C2:O2"/>
    <mergeCell ref="A3:B3"/>
    <mergeCell ref="C3:L3"/>
    <mergeCell ref="N3:Q3"/>
  </mergeCells>
  <conditionalFormatting sqref="Q19:Q20 Q10:Q14 Q23 Q7">
    <cfRule type="containsText" dxfId="21" priority="21" operator="containsText" text="MEETS">
      <formula>NOT(ISERROR(SEARCH("MEETS",Q7)))</formula>
    </cfRule>
    <cfRule type="containsText" dxfId="20" priority="22" operator="containsText" text="DOES NOT MEET">
      <formula>NOT(ISERROR(SEARCH("DOES NOT MEET",Q7)))</formula>
    </cfRule>
  </conditionalFormatting>
  <conditionalFormatting sqref="P7">
    <cfRule type="cellIs" dxfId="19" priority="20" operator="lessThan">
      <formula>0</formula>
    </cfRule>
  </conditionalFormatting>
  <conditionalFormatting sqref="F19 H19 L19 D19">
    <cfRule type="cellIs" dxfId="18" priority="19" operator="lessThan">
      <formula>0.75</formula>
    </cfRule>
  </conditionalFormatting>
  <conditionalFormatting sqref="Q27">
    <cfRule type="containsText" dxfId="17" priority="17" operator="containsText" text="MEETS">
      <formula>NOT(ISERROR(SEARCH("MEETS",Q27)))</formula>
    </cfRule>
    <cfRule type="containsText" dxfId="16" priority="18" operator="containsText" text="DOES NOT MEET">
      <formula>NOT(ISERROR(SEARCH("DOES NOT MEET",Q27)))</formula>
    </cfRule>
  </conditionalFormatting>
  <conditionalFormatting sqref="Q24">
    <cfRule type="containsText" dxfId="15" priority="15" operator="containsText" text="MEETS">
      <formula>NOT(ISERROR(SEARCH("MEETS",Q24)))</formula>
    </cfRule>
    <cfRule type="containsText" dxfId="14" priority="16" operator="containsText" text="DOES NOT MEET">
      <formula>NOT(ISERROR(SEARCH("DOES NOT MEET",Q24)))</formula>
    </cfRule>
  </conditionalFormatting>
  <conditionalFormatting sqref="Q29">
    <cfRule type="containsText" dxfId="13" priority="13" operator="containsText" text="MEETS">
      <formula>NOT(ISERROR(SEARCH("MEETS",Q29)))</formula>
    </cfRule>
    <cfRule type="containsText" dxfId="12" priority="14" operator="containsText" text="DOES NOT MEET">
      <formula>NOT(ISERROR(SEARCH("DOES NOT MEET",Q29)))</formula>
    </cfRule>
  </conditionalFormatting>
  <conditionalFormatting sqref="D8">
    <cfRule type="cellIs" dxfId="11" priority="12" operator="lessThan">
      <formula>0.5</formula>
    </cfRule>
  </conditionalFormatting>
  <conditionalFormatting sqref="H8">
    <cfRule type="cellIs" dxfId="10" priority="11" operator="lessThan">
      <formula>0.5</formula>
    </cfRule>
  </conditionalFormatting>
  <conditionalFormatting sqref="J8">
    <cfRule type="cellIs" dxfId="9" priority="10" operator="lessThan">
      <formula>0.5</formula>
    </cfRule>
  </conditionalFormatting>
  <conditionalFormatting sqref="L8">
    <cfRule type="cellIs" dxfId="8" priority="9" operator="lessThan">
      <formula>0.5</formula>
    </cfRule>
  </conditionalFormatting>
  <conditionalFormatting sqref="F8">
    <cfRule type="cellIs" dxfId="7" priority="8" operator="lessThan">
      <formula>0.5</formula>
    </cfRule>
  </conditionalFormatting>
  <conditionalFormatting sqref="J19">
    <cfRule type="cellIs" dxfId="6" priority="7" operator="lessThan">
      <formula>0.75</formula>
    </cfRule>
  </conditionalFormatting>
  <conditionalFormatting sqref="Q22">
    <cfRule type="containsText" dxfId="5" priority="5" operator="containsText" text="MEETS">
      <formula>NOT(ISERROR(SEARCH("MEETS",Q22)))</formula>
    </cfRule>
    <cfRule type="containsText" dxfId="4" priority="6" operator="containsText" text="DOES NOT MEET">
      <formula>NOT(ISERROR(SEARCH("DOES NOT MEET",Q22)))</formula>
    </cfRule>
  </conditionalFormatting>
  <conditionalFormatting sqref="Q26">
    <cfRule type="containsText" dxfId="3" priority="3" operator="containsText" text="MEETS">
      <formula>NOT(ISERROR(SEARCH("MEETS",Q26)))</formula>
    </cfRule>
    <cfRule type="containsText" dxfId="2" priority="4" operator="containsText" text="DOES NOT MEET">
      <formula>NOT(ISERROR(SEARCH("DOES NOT MEET",Q26)))</formula>
    </cfRule>
  </conditionalFormatting>
  <conditionalFormatting sqref="Q15">
    <cfRule type="containsText" dxfId="1" priority="1" operator="containsText" text="MEETS">
      <formula>NOT(ISERROR(SEARCH("MEETS",Q15)))</formula>
    </cfRule>
    <cfRule type="containsText" dxfId="0" priority="2" operator="containsText" text="DOES NOT MEET">
      <formula>NOT(ISERROR(SEARCH("DOES NOT MEET",Q15)))</formula>
    </cfRule>
  </conditionalFormatting>
  <pageMargins left="0" right="0" top="0.72499999999999998" bottom="0.5" header="0.3" footer="0.3"/>
  <pageSetup scale="59" orientation="landscape" r:id="rId1"/>
  <headerFooter alignWithMargins="0">
    <oddHeader xml:space="preserve">&amp;L&amp;G&amp;C&amp;"-,Bold"&amp;20Sample Menu 
Grades 6-8 - Week #3
</oddHeader>
    <oddFooter xml:space="preserve">&amp;L*  Nutrition analysis consists of a variety of salad dressing &amp;C&amp;"-,Bold"
For K-5 and K-8, serve only one dinner roll with the chef salad on Thursday
Weekly Average for revised menu = Calories 625, Saturated fat 8.08%, Sodium 1221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Weekly Menu 6-8 (2)</vt:lpstr>
      <vt:lpstr>Sheet1</vt:lpstr>
      <vt:lpstr>Sheet2</vt:lpstr>
      <vt:lpstr>Sheet3</vt:lpstr>
      <vt:lpstr>'Weekly Menu 6-8 (2)'!Print_Area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2012-11-07T18:31:11Z</cp:lastPrinted>
  <dcterms:created xsi:type="dcterms:W3CDTF">2012-06-06T19:00:54Z</dcterms:created>
  <dcterms:modified xsi:type="dcterms:W3CDTF">2012-11-08T19:26:47Z</dcterms:modified>
</cp:coreProperties>
</file>