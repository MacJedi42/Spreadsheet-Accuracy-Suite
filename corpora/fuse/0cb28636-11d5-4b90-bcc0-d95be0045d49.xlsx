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5180" windowHeight="9345"/>
  </bookViews>
  <sheets>
    <sheet name="W2calc" sheetId="1" r:id="rId1"/>
  </sheets>
  <calcPr calcId="125725"/>
</workbook>
</file>

<file path=xl/calcChain.xml><?xml version="1.0" encoding="utf-8"?>
<calcChain xmlns="http://schemas.openxmlformats.org/spreadsheetml/2006/main">
  <c r="D34" i="1"/>
  <c r="B7" l="1"/>
  <c r="B25"/>
  <c r="B35"/>
  <c r="B28" l="1"/>
  <c r="B38" s="1"/>
</calcChain>
</file>

<file path=xl/sharedStrings.xml><?xml version="1.0" encoding="utf-8"?>
<sst xmlns="http://schemas.openxmlformats.org/spreadsheetml/2006/main" count="32" uniqueCount="30">
  <si>
    <t>Last Paystub Reconciliation to W2</t>
  </si>
  <si>
    <t>Gross YTD - per ECHO</t>
  </si>
  <si>
    <t>Add: Group Term Life (Code C on W2)</t>
  </si>
  <si>
    <t>Deduct YTD per ECHO:</t>
  </si>
  <si>
    <t>FLXM</t>
  </si>
  <si>
    <t>FLXD</t>
  </si>
  <si>
    <t>AFF1,AFF2</t>
  </si>
  <si>
    <t>AFI1,AFI2</t>
  </si>
  <si>
    <t>IAAC</t>
  </si>
  <si>
    <t>DNF1,DNF2</t>
  </si>
  <si>
    <t>(enter as positive numbers)</t>
  </si>
  <si>
    <t>Taxable Social Security and Medicare</t>
  </si>
  <si>
    <t xml:space="preserve">    Wages   (Box 3 and Box 5 on W2)</t>
  </si>
  <si>
    <t>RREG,RRG$</t>
  </si>
  <si>
    <t>RADD,RAD$</t>
  </si>
  <si>
    <t>Taxable Federal and State Wages</t>
  </si>
  <si>
    <t xml:space="preserve">    (Box 1 and Box 16 on W2)</t>
  </si>
  <si>
    <t>B2FA, B2FB</t>
  </si>
  <si>
    <t>B2IA, B2IB</t>
  </si>
  <si>
    <t>B2S1, B2S2</t>
  </si>
  <si>
    <t>B2C1, B2C1</t>
  </si>
  <si>
    <t>BJF1,BJF2</t>
  </si>
  <si>
    <t>BJI1,BJI2</t>
  </si>
  <si>
    <t>BJS1, BJS2</t>
  </si>
  <si>
    <t>BJC1, BJC2</t>
  </si>
  <si>
    <t>(Maximum Social Security Wages - $110,100)</t>
  </si>
  <si>
    <t>Medicare taxable wages</t>
  </si>
  <si>
    <t>Gross Wages</t>
  </si>
  <si>
    <t>457b</t>
  </si>
  <si>
    <t>457 b/RSRA,RSR$</t>
  </si>
</sst>
</file>

<file path=xl/styles.xml><?xml version="1.0" encoding="utf-8"?>
<styleSheet xmlns="http://schemas.openxmlformats.org/spreadsheetml/2006/main">
  <fonts count="7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40" fontId="0" fillId="0" borderId="0" xfId="0" applyNumberFormat="1"/>
    <xf numFmtId="0" fontId="2" fillId="0" borderId="0" xfId="0" applyFont="1"/>
    <xf numFmtId="0" fontId="2" fillId="0" borderId="0" xfId="0" applyFont="1" applyAlignment="1">
      <alignment horizontal="right"/>
    </xf>
    <xf numFmtId="40" fontId="1" fillId="0" borderId="1" xfId="0" applyNumberFormat="1" applyFont="1" applyBorder="1"/>
    <xf numFmtId="0" fontId="3" fillId="0" borderId="0" xfId="0" applyFont="1"/>
    <xf numFmtId="0" fontId="5" fillId="0" borderId="0" xfId="0" applyFont="1"/>
    <xf numFmtId="40" fontId="0" fillId="0" borderId="2" xfId="0" applyNumberFormat="1" applyBorder="1"/>
    <xf numFmtId="40" fontId="0" fillId="2" borderId="3" xfId="0" applyNumberFormat="1" applyFill="1" applyBorder="1"/>
    <xf numFmtId="40" fontId="0" fillId="0" borderId="4" xfId="0" applyNumberFormat="1" applyBorder="1"/>
    <xf numFmtId="2" fontId="0" fillId="0" borderId="0" xfId="0" applyNumberFormat="1"/>
    <xf numFmtId="0" fontId="0" fillId="0" borderId="0" xfId="0" applyNumberFormat="1"/>
    <xf numFmtId="40" fontId="6" fillId="0" borderId="0" xfId="0" applyNumberFormat="1" applyFont="1"/>
    <xf numFmtId="0" fontId="0" fillId="3" borderId="0" xfId="0" applyNumberFormat="1" applyFill="1" applyAlignment="1">
      <alignment horizontal="center"/>
    </xf>
    <xf numFmtId="40" fontId="0" fillId="0" borderId="5" xfId="0" applyNumberFormat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2"/>
  <sheetViews>
    <sheetView tabSelected="1" workbookViewId="0">
      <selection activeCell="B32" sqref="B32"/>
    </sheetView>
  </sheetViews>
  <sheetFormatPr defaultRowHeight="12.75"/>
  <cols>
    <col min="1" max="1" width="35.85546875" bestFit="1" customWidth="1"/>
    <col min="2" max="2" width="13.85546875" customWidth="1"/>
    <col min="4" max="4" width="15.42578125" customWidth="1"/>
    <col min="5" max="5" width="9.5703125" bestFit="1" customWidth="1"/>
    <col min="6" max="6" width="14.42578125" customWidth="1"/>
    <col min="7" max="7" width="11" bestFit="1" customWidth="1"/>
  </cols>
  <sheetData>
    <row r="1" spans="1:7" s="1" customFormat="1">
      <c r="A1" s="6" t="s">
        <v>0</v>
      </c>
    </row>
    <row r="3" spans="1:7" ht="13.5" thickBot="1"/>
    <row r="4" spans="1:7" ht="13.5" thickBot="1">
      <c r="A4" s="6" t="s">
        <v>1</v>
      </c>
      <c r="B4" s="9"/>
      <c r="C4" s="2"/>
      <c r="D4" s="2"/>
    </row>
    <row r="5" spans="1:7" ht="13.5" thickBot="1">
      <c r="A5" s="3"/>
      <c r="B5" s="2"/>
      <c r="C5" s="2"/>
      <c r="D5" s="2"/>
    </row>
    <row r="6" spans="1:7" ht="13.5" thickBot="1">
      <c r="A6" s="3" t="s">
        <v>2</v>
      </c>
      <c r="B6" s="9"/>
      <c r="C6" s="2"/>
      <c r="D6" s="2"/>
    </row>
    <row r="7" spans="1:7">
      <c r="A7" s="3"/>
      <c r="B7" s="10">
        <f>SUM(B4:B6)</f>
        <v>0</v>
      </c>
      <c r="C7" s="2"/>
      <c r="D7" s="2"/>
    </row>
    <row r="8" spans="1:7">
      <c r="A8" s="3"/>
      <c r="B8" s="2"/>
      <c r="C8" s="2"/>
      <c r="D8" s="2"/>
    </row>
    <row r="9" spans="1:7">
      <c r="A9" s="3" t="s">
        <v>3</v>
      </c>
      <c r="B9" s="2"/>
      <c r="C9" s="2"/>
      <c r="D9" s="2"/>
    </row>
    <row r="10" spans="1:7" ht="13.5" thickBot="1">
      <c r="A10" s="7" t="s">
        <v>10</v>
      </c>
      <c r="B10" s="2"/>
      <c r="C10" s="2"/>
      <c r="D10" s="2"/>
    </row>
    <row r="11" spans="1:7" ht="13.5" thickBot="1">
      <c r="A11" s="4" t="s">
        <v>21</v>
      </c>
      <c r="B11" s="9"/>
      <c r="C11" s="2"/>
      <c r="D11" s="2"/>
      <c r="E11" s="11"/>
      <c r="F11" s="11"/>
      <c r="G11" s="11"/>
    </row>
    <row r="12" spans="1:7" ht="13.5" thickBot="1">
      <c r="A12" s="4" t="s">
        <v>22</v>
      </c>
      <c r="B12" s="9"/>
      <c r="C12" s="2"/>
      <c r="D12" s="2"/>
      <c r="E12" s="11"/>
      <c r="F12" s="11"/>
      <c r="G12" s="11"/>
    </row>
    <row r="13" spans="1:7" ht="13.5" thickBot="1">
      <c r="A13" s="4" t="s">
        <v>23</v>
      </c>
      <c r="B13" s="9"/>
      <c r="C13" s="2"/>
      <c r="D13" s="2"/>
      <c r="E13" s="11"/>
      <c r="F13" s="11"/>
      <c r="G13" s="11"/>
    </row>
    <row r="14" spans="1:7" ht="13.5" thickBot="1">
      <c r="A14" s="4" t="s">
        <v>24</v>
      </c>
      <c r="B14" s="9"/>
      <c r="C14" s="2"/>
      <c r="D14" s="2"/>
      <c r="E14" s="11"/>
      <c r="F14" s="11"/>
      <c r="G14" s="11"/>
    </row>
    <row r="15" spans="1:7" ht="13.5" thickBot="1">
      <c r="A15" s="4" t="s">
        <v>17</v>
      </c>
      <c r="B15" s="9"/>
      <c r="C15" s="2"/>
      <c r="D15" s="2"/>
      <c r="E15" s="11"/>
      <c r="F15" s="11"/>
      <c r="G15" s="11"/>
    </row>
    <row r="16" spans="1:7" ht="13.5" thickBot="1">
      <c r="A16" s="4" t="s">
        <v>18</v>
      </c>
      <c r="B16" s="9"/>
      <c r="C16" s="2"/>
      <c r="D16" s="2"/>
      <c r="E16" s="11"/>
      <c r="F16" s="11"/>
      <c r="G16" s="11"/>
    </row>
    <row r="17" spans="1:7" ht="13.5" thickBot="1">
      <c r="A17" s="4" t="s">
        <v>19</v>
      </c>
      <c r="B17" s="9"/>
      <c r="C17" s="2"/>
      <c r="D17" s="2"/>
      <c r="E17" s="11"/>
      <c r="F17" s="12"/>
      <c r="G17" s="11"/>
    </row>
    <row r="18" spans="1:7" ht="13.5" thickBot="1">
      <c r="A18" s="4" t="s">
        <v>20</v>
      </c>
      <c r="B18" s="9"/>
      <c r="C18" s="2"/>
      <c r="D18" s="2"/>
      <c r="E18" s="11"/>
      <c r="F18" s="11"/>
      <c r="G18" s="11"/>
    </row>
    <row r="19" spans="1:7" ht="13.5" thickBot="1">
      <c r="A19" s="4" t="s">
        <v>4</v>
      </c>
      <c r="B19" s="9"/>
      <c r="C19" s="2"/>
      <c r="D19" s="2"/>
      <c r="E19" s="11"/>
      <c r="F19" s="11"/>
      <c r="G19" s="11"/>
    </row>
    <row r="20" spans="1:7" ht="13.5" thickBot="1">
      <c r="A20" s="4" t="s">
        <v>5</v>
      </c>
      <c r="B20" s="9"/>
      <c r="C20" s="2"/>
      <c r="D20" s="2"/>
      <c r="E20" s="11"/>
      <c r="F20" s="11"/>
      <c r="G20" s="11"/>
    </row>
    <row r="21" spans="1:7" ht="13.5" thickBot="1">
      <c r="A21" s="4" t="s">
        <v>6</v>
      </c>
      <c r="B21" s="9"/>
      <c r="C21" s="2"/>
      <c r="D21" s="2"/>
      <c r="E21" s="11"/>
      <c r="F21" s="11"/>
      <c r="G21" s="11"/>
    </row>
    <row r="22" spans="1:7" ht="13.5" thickBot="1">
      <c r="A22" s="4" t="s">
        <v>7</v>
      </c>
      <c r="B22" s="9"/>
      <c r="C22" s="2"/>
      <c r="D22" s="2"/>
    </row>
    <row r="23" spans="1:7" ht="13.5" thickBot="1">
      <c r="A23" s="4" t="s">
        <v>9</v>
      </c>
      <c r="B23" s="9"/>
      <c r="C23" s="2"/>
      <c r="D23" s="2"/>
    </row>
    <row r="24" spans="1:7" ht="13.5" thickBot="1">
      <c r="A24" s="4" t="s">
        <v>8</v>
      </c>
      <c r="B24" s="9"/>
      <c r="C24" s="2"/>
      <c r="D24" s="2"/>
    </row>
    <row r="25" spans="1:7">
      <c r="A25" s="3"/>
      <c r="B25" s="10">
        <f>SUM(B11:B24)</f>
        <v>0</v>
      </c>
      <c r="C25" s="2"/>
      <c r="D25" s="2"/>
    </row>
    <row r="26" spans="1:7">
      <c r="A26" s="3"/>
      <c r="B26" s="2"/>
      <c r="C26" s="2"/>
      <c r="D26" s="2"/>
    </row>
    <row r="27" spans="1:7">
      <c r="A27" s="6" t="s">
        <v>11</v>
      </c>
      <c r="B27" s="2"/>
      <c r="C27" s="2"/>
      <c r="D27" s="14">
        <v>2012</v>
      </c>
    </row>
    <row r="28" spans="1:7">
      <c r="A28" s="6" t="s">
        <v>12</v>
      </c>
      <c r="B28" s="5">
        <f>+B7-B25</f>
        <v>0</v>
      </c>
      <c r="C28" s="13" t="s">
        <v>25</v>
      </c>
      <c r="D28" s="2"/>
    </row>
    <row r="29" spans="1:7">
      <c r="A29" s="3"/>
      <c r="B29" s="2"/>
      <c r="C29" s="2"/>
      <c r="D29" s="2"/>
    </row>
    <row r="30" spans="1:7">
      <c r="A30" s="3" t="s">
        <v>3</v>
      </c>
      <c r="B30" s="2"/>
      <c r="C30" s="2"/>
      <c r="D30" s="2"/>
    </row>
    <row r="31" spans="1:7" ht="13.5" thickBot="1">
      <c r="A31" s="7" t="s">
        <v>10</v>
      </c>
      <c r="B31" s="2"/>
      <c r="C31" s="2"/>
      <c r="D31" s="2"/>
    </row>
    <row r="32" spans="1:7" ht="13.5" thickBot="1">
      <c r="A32" s="4" t="s">
        <v>14</v>
      </c>
      <c r="B32" s="9"/>
      <c r="C32" s="2"/>
      <c r="D32" s="15">
        <v>0</v>
      </c>
      <c r="E32" s="16" t="s">
        <v>26</v>
      </c>
      <c r="F32" s="17"/>
    </row>
    <row r="33" spans="1:6" ht="13.5" thickBot="1">
      <c r="A33" s="4" t="s">
        <v>13</v>
      </c>
      <c r="B33" s="9">
        <v>0</v>
      </c>
      <c r="C33" s="2"/>
      <c r="D33" s="15">
        <v>0</v>
      </c>
      <c r="E33" s="16" t="s">
        <v>27</v>
      </c>
      <c r="F33" s="17"/>
    </row>
    <row r="34" spans="1:6" ht="13.5" thickBot="1">
      <c r="A34" s="4" t="s">
        <v>29</v>
      </c>
      <c r="B34" s="9">
        <v>0</v>
      </c>
      <c r="C34" s="2"/>
      <c r="D34" s="15">
        <f>D32-D33</f>
        <v>0</v>
      </c>
      <c r="E34" s="16" t="s">
        <v>28</v>
      </c>
      <c r="F34" s="17"/>
    </row>
    <row r="35" spans="1:6">
      <c r="A35" s="3"/>
      <c r="B35" s="10">
        <f>SUM(B32:B34)</f>
        <v>0</v>
      </c>
      <c r="C35" s="2"/>
      <c r="D35" s="2"/>
    </row>
    <row r="36" spans="1:6">
      <c r="A36" s="3"/>
      <c r="B36" s="2"/>
      <c r="C36" s="2"/>
      <c r="D36" s="2"/>
    </row>
    <row r="37" spans="1:6">
      <c r="A37" s="6" t="s">
        <v>15</v>
      </c>
      <c r="B37" s="2"/>
      <c r="C37" s="2"/>
      <c r="D37" s="2"/>
    </row>
    <row r="38" spans="1:6" ht="13.5" thickBot="1">
      <c r="A38" s="6" t="s">
        <v>16</v>
      </c>
      <c r="B38" s="8">
        <f>+B28-B35</f>
        <v>0</v>
      </c>
    </row>
    <row r="39" spans="1:6" ht="13.5" thickTop="1">
      <c r="A39" s="3"/>
    </row>
    <row r="40" spans="1:6">
      <c r="A40" s="3"/>
    </row>
    <row r="41" spans="1:6">
      <c r="A41" s="3"/>
    </row>
    <row r="42" spans="1:6">
      <c r="A42" s="3"/>
    </row>
  </sheetData>
  <mergeCells count="3">
    <mergeCell ref="E32:F32"/>
    <mergeCell ref="E33:F33"/>
    <mergeCell ref="E34:F34"/>
  </mergeCells>
  <phoneticPr fontId="4" type="noConversion"/>
  <pageMargins left="0.75" right="0.75" top="1" bottom="1" header="0.5" footer="0.5"/>
  <pageSetup scale="92" orientation="portrait" r:id="rId1"/>
  <headerFooter alignWithMargins="0">
    <oddFooter>&amp;L&amp;D
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W2calc</vt:lpstr>
    </vt:vector>
  </TitlesOfParts>
  <Company>Le Moyne College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fisherkh</dc:creator>
  <cp:lastModifiedBy>StinsonB</cp:lastModifiedBy>
  <cp:lastPrinted>2013-01-18T21:27:37Z</cp:lastPrinted>
  <dcterms:created xsi:type="dcterms:W3CDTF">2004-01-16T15:40:49Z</dcterms:created>
  <dcterms:modified xsi:type="dcterms:W3CDTF">2013-01-22T17:44:41Z</dcterms:modified>
</cp:coreProperties>
</file>